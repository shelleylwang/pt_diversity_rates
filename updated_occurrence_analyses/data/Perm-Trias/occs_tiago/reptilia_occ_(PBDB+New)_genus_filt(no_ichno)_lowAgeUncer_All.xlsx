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Paleontologia\Occurence Data\PBDB_PT_Tetrapods\"/>
    </mc:Choice>
  </mc:AlternateContent>
  <xr:revisionPtr revIDLastSave="0" documentId="13_ncr:1_{6B64BC4B-EF37-4B75-B2D8-9EF7253D367D}" xr6:coauthVersionLast="47" xr6:coauthVersionMax="47" xr10:uidLastSave="{00000000-0000-0000-0000-000000000000}"/>
  <bookViews>
    <workbookView xWindow="-103" yWindow="-103" windowWidth="33120" windowHeight="18000" xr2:uid="{EF4C1CC0-6D6D-4618-813F-A597A5C7ED30}"/>
  </bookViews>
  <sheets>
    <sheet name="reptilia_occ_(PBDB+New)_genus_f" sheetId="1" r:id="rId1"/>
  </sheets>
  <definedNames>
    <definedName name="_xlnm._FilterDatabase" localSheetId="0" hidden="1">'reptilia_occ_(PBDB+New)_genus_f'!$A$1:$BB$3988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888" authorId="0" shapeId="0" xr:uid="{46598702-D41C-41EC-8F20-10527D6069D2}">
      <text>
        <r>
          <rPr>
            <sz val="11"/>
            <color theme="1"/>
            <rFont val="Aptos Narrow"/>
            <scheme val="minor"/>
          </rPr>
          <t>======
ID#AAABj5gd0D4
tc={4D047D45-53B7-4A4E-B72B-C473D1D7D456}    (2022-08-03 17:30:13)
[Threaded comment]
Your version of Excel allows you to read this threaded comment; however, any edits to it will get removed if the file is opened in a newer version of Excel. Learn more: https://go.microsoft.com/fwlink/?linkid=870924
Comment:
    Conferir se é um único indivíduo mesmo, ou se são dois separados</t>
        </r>
      </text>
    </comment>
    <comment ref="AL907" authorId="0" shapeId="0" xr:uid="{6276BE34-15EF-43F2-A48E-4F9116B33945}">
      <text>
        <r>
          <rPr>
            <sz val="11"/>
            <color theme="1"/>
            <rFont val="Aptos Narrow"/>
            <scheme val="minor"/>
          </rPr>
          <t>======
ID#AAABj5gd0EM
Permo Triassic    (2023-10-04 19:39:40)
procedência: MN</t>
        </r>
      </text>
    </comment>
  </commentList>
</comments>
</file>

<file path=xl/sharedStrings.xml><?xml version="1.0" encoding="utf-8"?>
<sst xmlns="http://schemas.openxmlformats.org/spreadsheetml/2006/main" count="110726" uniqueCount="6539">
  <si>
    <t>occurrence_no</t>
  </si>
  <si>
    <t>Rotated Lat</t>
  </si>
  <si>
    <t>Rotated Lon</t>
  </si>
  <si>
    <t>pres_mode</t>
  </si>
  <si>
    <t>preservation_quality</t>
  </si>
  <si>
    <t>common_body_parts</t>
  </si>
  <si>
    <t>abund_value</t>
  </si>
  <si>
    <t>abund_unit</t>
  </si>
  <si>
    <t>class</t>
  </si>
  <si>
    <t>order</t>
  </si>
  <si>
    <t>family</t>
  </si>
  <si>
    <t>genus</t>
  </si>
  <si>
    <t>taxon_environment</t>
  </si>
  <si>
    <t>life_habit</t>
  </si>
  <si>
    <t>diet</t>
  </si>
  <si>
    <t>early_interval</t>
  </si>
  <si>
    <t>late_interval</t>
  </si>
  <si>
    <t>Epoch</t>
  </si>
  <si>
    <t>Period</t>
  </si>
  <si>
    <t>age_max</t>
  </si>
  <si>
    <t>age_min</t>
  </si>
  <si>
    <t>age_median</t>
  </si>
  <si>
    <t>age_uncer_range</t>
  </si>
  <si>
    <t>lng</t>
  </si>
  <si>
    <t>lat</t>
  </si>
  <si>
    <t>environment</t>
  </si>
  <si>
    <t>cc</t>
  </si>
  <si>
    <t>state</t>
  </si>
  <si>
    <t>county</t>
  </si>
  <si>
    <t>formation</t>
  </si>
  <si>
    <t>stratgroup</t>
  </si>
  <si>
    <t>member</t>
  </si>
  <si>
    <t>zone</t>
  </si>
  <si>
    <t>accepted_rank</t>
  </si>
  <si>
    <t>ref_author</t>
  </si>
  <si>
    <t>ref_pubyr</t>
  </si>
  <si>
    <t>collection_name</t>
  </si>
  <si>
    <t>collection_no</t>
  </si>
  <si>
    <t>collection_aka</t>
  </si>
  <si>
    <t>latlng_basis</t>
  </si>
  <si>
    <t>latlng_precision</t>
  </si>
  <si>
    <t>geogscale</t>
  </si>
  <si>
    <t>geogcomments</t>
  </si>
  <si>
    <t>paleomodel</t>
  </si>
  <si>
    <t>geoplate</t>
  </si>
  <si>
    <t>paleoage</t>
  </si>
  <si>
    <t>paleolng</t>
  </si>
  <si>
    <t>paleolat</t>
  </si>
  <si>
    <t>paleomodel2</t>
  </si>
  <si>
    <t>geoplate2</t>
  </si>
  <si>
    <t>paleoage2</t>
  </si>
  <si>
    <t>paleolng2</t>
  </si>
  <si>
    <t>paleolat2</t>
  </si>
  <si>
    <t>paleomodel3</t>
  </si>
  <si>
    <t>body</t>
  </si>
  <si>
    <t>good</t>
  </si>
  <si>
    <t>individuals</t>
  </si>
  <si>
    <t>Reptilia</t>
  </si>
  <si>
    <t>Kuehneosauridae</t>
  </si>
  <si>
    <t>Icarosaurus</t>
  </si>
  <si>
    <t>terrestrial</t>
  </si>
  <si>
    <t>volant</t>
  </si>
  <si>
    <t>Norian</t>
  </si>
  <si>
    <t>Late Triassic</t>
  </si>
  <si>
    <t>Triassic</t>
  </si>
  <si>
    <t>lacustrine - large</t>
  </si>
  <si>
    <t>US</t>
  </si>
  <si>
    <t>New Jersey</t>
  </si>
  <si>
    <t>Hudson</t>
  </si>
  <si>
    <t>Lockatong</t>
  </si>
  <si>
    <t>Chatham</t>
  </si>
  <si>
    <t>Ewing Creek</t>
  </si>
  <si>
    <t>species</t>
  </si>
  <si>
    <t>Colbert</t>
  </si>
  <si>
    <t>Granton Quarry</t>
  </si>
  <si>
    <t>Belmont-Gurnee Quarry, North Bergen</t>
  </si>
  <si>
    <t>stated in text</t>
  </si>
  <si>
    <t>seconds</t>
  </si>
  <si>
    <t>outcrop</t>
  </si>
  <si>
    <t>Coordinates stated by Olsen (2005). Remnants of the old Granton Quarry are preserved between the new Lowes Home Building Center on the south and Tonnelle Plaza (Hartz Mountain Industries) on the north, North Bergen.</t>
  </si>
  <si>
    <t>gplates</t>
  </si>
  <si>
    <t>mid</t>
  </si>
  <si>
    <t>scotese</t>
  </si>
  <si>
    <t>seton</t>
  </si>
  <si>
    <t>specimens</t>
  </si>
  <si>
    <t>Parasuchidae</t>
  </si>
  <si>
    <t>Rutiodon</t>
  </si>
  <si>
    <t>carnivore</t>
  </si>
  <si>
    <t>Kuehneosuchus</t>
  </si>
  <si>
    <t>Rhaetian</t>
  </si>
  <si>
    <t>fissure fill</t>
  </si>
  <si>
    <t>UK</t>
  </si>
  <si>
    <t>England</t>
  </si>
  <si>
    <t>Somerset</t>
  </si>
  <si>
    <t>Robinson</t>
  </si>
  <si>
    <t>Batscombe Quarry</t>
  </si>
  <si>
    <t xml:space="preserve">Batscombe Quarry, near Cheddar, Somerset. OS grid reference: ST 460 550. </t>
  </si>
  <si>
    <t>Kuehneosaurus</t>
  </si>
  <si>
    <t>Emborough Quarry</t>
  </si>
  <si>
    <t>at Emborough, about 6 mi. NNE of Wells, Mendip Hills, Somerset. OS grid reference: ST 623 505 (Fraser 1994).</t>
  </si>
  <si>
    <t>Procolophonidae</t>
  </si>
  <si>
    <t>Procolophon</t>
  </si>
  <si>
    <t>Induan</t>
  </si>
  <si>
    <t>Olenekian</t>
  </si>
  <si>
    <t>Early Triassic</t>
  </si>
  <si>
    <t>fluvial indet.</t>
  </si>
  <si>
    <t>ZA</t>
  </si>
  <si>
    <t>Eastern Cape</t>
  </si>
  <si>
    <t>Chris Hani</t>
  </si>
  <si>
    <t>Katberg</t>
  </si>
  <si>
    <t>Beaufort</t>
  </si>
  <si>
    <t>Broom</t>
  </si>
  <si>
    <t>Donnybrook (Queenstown District)</t>
  </si>
  <si>
    <t>Donnybrooke; Tafelberg; Swart Kei River</t>
  </si>
  <si>
    <t>based on nearby landmark</t>
  </si>
  <si>
    <t>small collection</t>
  </si>
  <si>
    <t xml:space="preserve">"Upper Zwart Kei, between Queenstown and Tarkastad, no doubt at Tafelberg, a mountain near Donnybrook." (Broom, 1905).\r\nDMS coordinates are based upon elevation named "Tafelberg" on the map, near which are two places named Donnybrook (one about 7 km to the S and one about 10 km to the SE), all being situated in the area of the upper reaches of the Swart Kei River.\r\nNote: The locality is frequently said to be located in the (former) Tarkastad district. The "Tafelberg" as well as both places named Donnybrook in its vicinity, however, are on the right (eastern) bank of the Swart Kei River, in the (former) Queenstown District. </t>
  </si>
  <si>
    <t>Araeoscelidae</t>
  </si>
  <si>
    <t>Araeoscelis</t>
  </si>
  <si>
    <t>ground dwelling</t>
  </si>
  <si>
    <t>insectivore</t>
  </si>
  <si>
    <t>Artinskian</t>
  </si>
  <si>
    <t>Cisuralian</t>
  </si>
  <si>
    <t>Permian</t>
  </si>
  <si>
    <t>terrestrial indet.</t>
  </si>
  <si>
    <t>Texas</t>
  </si>
  <si>
    <t>Archer</t>
  </si>
  <si>
    <t>Nocona</t>
  </si>
  <si>
    <t>Wichita</t>
  </si>
  <si>
    <t>Mouth of Godwin Creek</t>
  </si>
  <si>
    <t>"Godlin Creek", Locality XI of Case, 1907</t>
  </si>
  <si>
    <t>Near mouth of Godwin Creek, northern portion of Archer County (Vaughn, 1955; for further details see discussion therein). Lat long is for junction of Godwin Creek and North Fork of Little Wichita River.\r\n</t>
  </si>
  <si>
    <t>Clevosauridae</t>
  </si>
  <si>
    <t>Clevosaurus</t>
  </si>
  <si>
    <t>insectivore, herbivore</t>
  </si>
  <si>
    <t>Carnian</t>
  </si>
  <si>
    <t>Gloucestershire</t>
  </si>
  <si>
    <t>Fraser and Walkden</t>
  </si>
  <si>
    <t>Cromhall Quarry Site 1</t>
  </si>
  <si>
    <t>Cromhall Quarry, Slickstones</t>
  </si>
  <si>
    <t>OS coordinates ST 704 916 (also listed as ST(31)705915). Cromhall QUarry, 1 mi. NE of Cronhall and 13 mi NE of Bristol.</t>
  </si>
  <si>
    <t>NO_FAMILY_SPECIFIED</t>
  </si>
  <si>
    <t>Diphydontosaurus</t>
  </si>
  <si>
    <t>Fraser</t>
  </si>
  <si>
    <t>Cromhall Quarry Site 2</t>
  </si>
  <si>
    <t>OS coordinates ST 704 916</t>
  </si>
  <si>
    <t>Terrestrisuchus</t>
  </si>
  <si>
    <t>Whiteside and Marshall</t>
  </si>
  <si>
    <t>Planocephalosaurus</t>
  </si>
  <si>
    <t>Sphenodontidae</t>
  </si>
  <si>
    <t>Sigmala</t>
  </si>
  <si>
    <t>Cromhall Quarry Site 3</t>
  </si>
  <si>
    <t>medium</t>
  </si>
  <si>
    <t>Cromhall Quarry Site 4</t>
  </si>
  <si>
    <t>variable</t>
  </si>
  <si>
    <t>Cromhall Quarry general</t>
  </si>
  <si>
    <t>Slickstones</t>
  </si>
  <si>
    <t>Pelecymala</t>
  </si>
  <si>
    <t>karst indet.</t>
  </si>
  <si>
    <t>Cromhall Quarry Site 4 Level K</t>
  </si>
  <si>
    <t>minutes</t>
  </si>
  <si>
    <t>Coordinates of Cromhall</t>
  </si>
  <si>
    <t>Cromhall Quarry Site 4 Level J</t>
  </si>
  <si>
    <t>Cromhall Quarry Site 4 Level I</t>
  </si>
  <si>
    <t>Cromhall Quarry Site 4 Level G</t>
  </si>
  <si>
    <t>Cromhall Quarry Site 5</t>
  </si>
  <si>
    <t>Cromhall Quarry Site 7</t>
  </si>
  <si>
    <t>body,coprolite</t>
  </si>
  <si>
    <t>Trilophosauridae</t>
  </si>
  <si>
    <t>Trilophosaurus</t>
  </si>
  <si>
    <t>herbivore</t>
  </si>
  <si>
    <t>channel lag</t>
  </si>
  <si>
    <t>Crosby</t>
  </si>
  <si>
    <t>Tecovas</t>
  </si>
  <si>
    <t>Chinle</t>
  </si>
  <si>
    <t>Heckert</t>
  </si>
  <si>
    <t>NMMNH L-1430, Upper Kalgary</t>
  </si>
  <si>
    <t>Dockum Formation</t>
  </si>
  <si>
    <t>Head of Home Creek north of Kalgary (UTM 3701500N, 298850E, Zone 14; NAD 27 = coordinates from text). 400 m upstream (S) of Lower Kalgary</t>
  </si>
  <si>
    <t>body,concretion</t>
  </si>
  <si>
    <t>Silesauridae</t>
  </si>
  <si>
    <t>Lewisuchus</t>
  </si>
  <si>
    <t>Ladinian</t>
  </si>
  <si>
    <t>Middle Triassic</t>
  </si>
  <si>
    <t>fluvial-lacustrine indet.</t>
  </si>
  <si>
    <t>AR</t>
  </si>
  <si>
    <t>La Rioja</t>
  </si>
  <si>
    <t>ChaÃƒÂ±ares</t>
  </si>
  <si>
    <t>Agua de la PeÃƒÂ±a</t>
  </si>
  <si>
    <t>Romer</t>
  </si>
  <si>
    <t>ChaÃƒÂ±ares River, 4 km north</t>
  </si>
  <si>
    <t>Los ChaÃƒÂ±ares</t>
  </si>
  <si>
    <t>estimated from map</t>
  </si>
  <si>
    <t>4 km N of mouth of ChaÃƒÂ±ares River</t>
  </si>
  <si>
    <t>Lagerpetidae</t>
  </si>
  <si>
    <t>Lagerpeton</t>
  </si>
  <si>
    <t>Rauisuchidae</t>
  </si>
  <si>
    <t>Postosuchus</t>
  </si>
  <si>
    <t>"floodplain"</t>
  </si>
  <si>
    <t>Garza</t>
  </si>
  <si>
    <t>Cooper Canyon</t>
  </si>
  <si>
    <t>Dockum</t>
  </si>
  <si>
    <t>Chatterjee</t>
  </si>
  <si>
    <t>Miller's Ranch Quarry</t>
  </si>
  <si>
    <t>Post Quarry, Dockum Group, ETE Locality 1583, MOTT VPL 3624</t>
  </si>
  <si>
    <t>R. C. Miller Ranch/Post quarry, 9 mi/14.5 km SE of of Post, Garza County, W Texas; coordinates stated by Bolt &amp; Chatterjee (2000) and Chatterjee (1991)</t>
  </si>
  <si>
    <t>Stagonolepididae</t>
  </si>
  <si>
    <t>Desmatosuchus</t>
  </si>
  <si>
    <t>Parker</t>
  </si>
  <si>
    <t>Martz et al.</t>
  </si>
  <si>
    <t>Efraasia</t>
  </si>
  <si>
    <t>DE</t>
  </si>
  <si>
    <t>Baden-WÃƒÂ¼rttemberg</t>
  </si>
  <si>
    <t>Stuttgart</t>
  </si>
  <si>
    <t>LÃƒÂ¶wenstein</t>
  </si>
  <si>
    <t>Keuper</t>
  </si>
  <si>
    <t>Lower Stubensandstein</t>
  </si>
  <si>
    <t>Yates</t>
  </si>
  <si>
    <t>Goessel Quarry 375, Ochsenbach</t>
  </si>
  <si>
    <t>Goesel</t>
  </si>
  <si>
    <t>SE part of abandoned former Goessel quarry, 175 m NW of Ochsenbach church (GauÃƒÂŸ-KrÃƒÂ¼ger coordinates R 3498500, H 5431825, see Benton 1994), Stromberg region. Coordinates estimated from Google Earth</t>
  </si>
  <si>
    <t>Pachypleurosauridae</t>
  </si>
  <si>
    <t>Neusticosaurus</t>
  </si>
  <si>
    <t>marine</t>
  </si>
  <si>
    <t>Anisian</t>
  </si>
  <si>
    <t>offshore indet.</t>
  </si>
  <si>
    <t>CH</t>
  </si>
  <si>
    <t>Monte San Giorgio bituminous shales</t>
  </si>
  <si>
    <t>Sander</t>
  </si>
  <si>
    <t>Monte San Giorgio nothosaurs</t>
  </si>
  <si>
    <t>basin</t>
  </si>
  <si>
    <t>Monte San Giorgio, southern Switzerland. Coordinates for nearby Tessin/Ticino River.</t>
  </si>
  <si>
    <t>Mixosauridae</t>
  </si>
  <si>
    <t>Mixosaurus</t>
  </si>
  <si>
    <t>nektonic</t>
  </si>
  <si>
    <t>Nycteroleteridae</t>
  </si>
  <si>
    <t>Rhipaeosaurus</t>
  </si>
  <si>
    <t>Wordian</t>
  </si>
  <si>
    <t>Guadalupian</t>
  </si>
  <si>
    <t>RU</t>
  </si>
  <si>
    <t>Estemmenosuchus uralensis</t>
  </si>
  <si>
    <t>de Heinzelin</t>
  </si>
  <si>
    <t>Belebei</t>
  </si>
  <si>
    <t xml:space="preserve">ETE Locality 1518, Belebei, </t>
  </si>
  <si>
    <t>Plateosauridae</t>
  </si>
  <si>
    <t>Plateosaurus</t>
  </si>
  <si>
    <t>Aargau</t>
  </si>
  <si>
    <t>Klettgau</t>
  </si>
  <si>
    <t>Gruhalde</t>
  </si>
  <si>
    <t>Nau et al.</t>
  </si>
  <si>
    <t>"Gruhalde" clay quarry, Frick (Bed 65)</t>
  </si>
  <si>
    <t>ETE Locality 1555, Frick bonebed, Tonwerke Keller</t>
  </si>
  <si>
    <t>"Gruhalde" clay quarry, Frick, Kanton Aargau, Switzerland. Quarry of the Tonwerke Keller A. G. at Frick, coordinates 642-900/262-050.</t>
  </si>
  <si>
    <t>Aetosaurus</t>
  </si>
  <si>
    <t>Saltoposuchus</t>
  </si>
  <si>
    <t>Liliensternus</t>
  </si>
  <si>
    <t>ground dwelling, solitary</t>
  </si>
  <si>
    <t>Meyer and ThÃƒÂ¼ring</t>
  </si>
  <si>
    <t>skeletons,partial skeletons</t>
  </si>
  <si>
    <t>Freiburg</t>
  </si>
  <si>
    <t>Fraas</t>
  </si>
  <si>
    <t>Trossingen - Obere MÃƒÂ¼hle (lower)</t>
  </si>
  <si>
    <t>ETE Locality 1558, Plateosaurus bonebed</t>
  </si>
  <si>
    <t>cutbank of Trosselbach (Trossel Creek), near Obere MÃƒÂ¼hle (Upper Mill)</t>
  </si>
  <si>
    <t>Proganochelys</t>
  </si>
  <si>
    <t>Gaffney and Meeker</t>
  </si>
  <si>
    <t>Sachsen-Anhalt</t>
  </si>
  <si>
    <t>Trossingen</t>
  </si>
  <si>
    <t>Knollenmergel</t>
  </si>
  <si>
    <t>Jaekel</t>
  </si>
  <si>
    <t>Baerecke-Limpricht clay pit, Halberstadt (bed 18)</t>
  </si>
  <si>
    <t>ETE Locality 1559, Plateosaurus bonebed</t>
  </si>
  <si>
    <t>Baerecke-Limpricht brick-clay pit, a little S of Halberstadt</t>
  </si>
  <si>
    <t>Elachistosuchus</t>
  </si>
  <si>
    <t>Janensch</t>
  </si>
  <si>
    <t>Captorhinidae</t>
  </si>
  <si>
    <t>Captorhinus</t>
  </si>
  <si>
    <t>Kungurian</t>
  </si>
  <si>
    <t>Baylor</t>
  </si>
  <si>
    <t>Arroyo</t>
  </si>
  <si>
    <t>Clear Fork</t>
  </si>
  <si>
    <t>White</t>
  </si>
  <si>
    <t>West Coffee Creek</t>
  </si>
  <si>
    <t xml:space="preserve">ETE Locality 1591, Reptile B, West Coffee Creek, </t>
  </si>
  <si>
    <t>Eoraptor</t>
  </si>
  <si>
    <t>San Juan</t>
  </si>
  <si>
    <t>Ischigualasto</t>
  </si>
  <si>
    <t>Cancha de Bochas</t>
  </si>
  <si>
    <t>Scaphonyx-Exaeretodon-Herrerasaurus</t>
  </si>
  <si>
    <t>Sereno et al.</t>
  </si>
  <si>
    <t>northeast edge, Cancha de Bochas</t>
  </si>
  <si>
    <t>Eoraptor type, Valle de la Luna</t>
  </si>
  <si>
    <t>NE edge, Cancha de Bochas, Valle de la Luna, Ischigualasto-Villa UniÃƒÂ³n Basin, San Juan Province, Argentina</t>
  </si>
  <si>
    <t>Herrerasauridae</t>
  </si>
  <si>
    <t>Herrerasaurus</t>
  </si>
  <si>
    <t>Saurosuchus</t>
  </si>
  <si>
    <t>Aetosauroides</t>
  </si>
  <si>
    <t>poor</t>
  </si>
  <si>
    <t>Ischigalasto</t>
  </si>
  <si>
    <t>Sereno and Novas</t>
  </si>
  <si>
    <t>Arroyo de Agua</t>
  </si>
  <si>
    <t>MCZ field no. 295-58M</t>
  </si>
  <si>
    <t>1 km NW of Arroyo de Agua, San Juan, Argentina</t>
  </si>
  <si>
    <t>Fraser and Padian</t>
  </si>
  <si>
    <t>Cromhall Quarry (1990 fill)</t>
  </si>
  <si>
    <t xml:space="preserve">OS coordinates ST 704 916. This locality is the new fissure fill discovered in 1990. </t>
  </si>
  <si>
    <t>Guaibasauridae</t>
  </si>
  <si>
    <t>Agnosphitys</t>
  </si>
  <si>
    <t>Fraser et al.</t>
  </si>
  <si>
    <t>body,concretion,original phosphate</t>
  </si>
  <si>
    <t>excellent</t>
  </si>
  <si>
    <t>Luperosuchus</t>
  </si>
  <si>
    <t>Rogers et al.</t>
  </si>
  <si>
    <t>ChaÃƒÂ±ares Tetrapod Assemblage</t>
  </si>
  <si>
    <t>ETE Locality 1586, Los ChaÃƒÂ±ares</t>
  </si>
  <si>
    <t>Classic Los Chanares locality, near Rio Chanares. NOTE: original ETE collection 1586 was listed separately, but has now been combined with this one, and original ETE comments are in brackets: []</t>
  </si>
  <si>
    <t>Proterochampsidae</t>
  </si>
  <si>
    <t>Chanaresuchus</t>
  </si>
  <si>
    <t>Gualosuchus</t>
  </si>
  <si>
    <t>Gracilisuchidae</t>
  </si>
  <si>
    <t>Gracilisuchus</t>
  </si>
  <si>
    <t>Marasuchus</t>
  </si>
  <si>
    <t>Tropidosuchus</t>
  </si>
  <si>
    <t>Doswelliidae</t>
  </si>
  <si>
    <t>Tarjadia</t>
  </si>
  <si>
    <t>Pisanosaurus</t>
  </si>
  <si>
    <t>ground dwelling, gregarious</t>
  </si>
  <si>
    <t>General Lavalle</t>
  </si>
  <si>
    <t>Casamiquela</t>
  </si>
  <si>
    <t>Agua de Las Catas, Ischigualasto</t>
  </si>
  <si>
    <t>Hoyada del Cerro Las Lajas, Pisanosaurus type</t>
  </si>
  <si>
    <t>"Agua de las Catas" (or Hoyada del Cerro Las Lajas), Cerro Bola area, in front of km 461 on National Route no. 40. Province of La Rioja. Coordinates for Ischigualasto Provincial Park.</t>
  </si>
  <si>
    <t>Bradysaurus</t>
  </si>
  <si>
    <t>Capitanian</t>
  </si>
  <si>
    <t>Western Cape</t>
  </si>
  <si>
    <t>Beaufort West</t>
  </si>
  <si>
    <t>Abrahamskraal</t>
  </si>
  <si>
    <t>Tapinocephalus or Pristerognathus Assemblage</t>
  </si>
  <si>
    <t>Haughton and Boonstra</t>
  </si>
  <si>
    <t>Palmietfontein</t>
  </si>
  <si>
    <t>Palinut Fontein, Palmiet Fontein</t>
  </si>
  <si>
    <t>based on political unit</t>
  </si>
  <si>
    <t>"north-west of Tamboer, at the foot of the Nieuwveldt range" (Seeley, 1892). This is NOT the farm Palmietfontein about 50 km SSW of town of Beaufort West at National Road 12, but the farm upon Waikraal River, about 75 km W of town of Beaufort West. Original coordinates (32Ã‚Â°46'30"S, 22Ã‚Â°30'00"E) are modified accordingly.</t>
  </si>
  <si>
    <t>skeletons,skulls</t>
  </si>
  <si>
    <t>Arcticodactylus</t>
  </si>
  <si>
    <t>piscivore</t>
  </si>
  <si>
    <t>lacustrine - small</t>
  </si>
  <si>
    <t>GL</t>
  </si>
  <si>
    <t>East Greenland</t>
  </si>
  <si>
    <t>Fleming Fjord</t>
  </si>
  <si>
    <t>Scoresby Land</t>
  </si>
  <si>
    <t>ÃƒÂ˜rsted Dal</t>
  </si>
  <si>
    <t>Jenkins et al.</t>
  </si>
  <si>
    <t>Macknight Bjerg Quarry</t>
  </si>
  <si>
    <t>area V,  Jameson Land</t>
  </si>
  <si>
    <t>southern flank of Macknight Bjerg, Jameson Land; updated coordinates (71Ã‚Â° 22.277' N, 22Ã‚Â° 33.341' W) were provided by Jenkins et al. (2001)</t>
  </si>
  <si>
    <t>lacustrine indet.</t>
  </si>
  <si>
    <t>south of base camp II</t>
  </si>
  <si>
    <t>Jameson Land, area II</t>
  </si>
  <si>
    <t>local area</t>
  </si>
  <si>
    <t xml:space="preserve">"area II", approximately 200 m south of base camp II at stated coordinates, Jameson Land, Greenland. It is not clear if the rauisuchian was collected from the same area. </t>
  </si>
  <si>
    <t>alluvial fan</t>
  </si>
  <si>
    <t>western Sydkronen</t>
  </si>
  <si>
    <t>area VIII, Jameson Land</t>
  </si>
  <si>
    <t>includes western side of Sydkronen and nearby parts of "area VIII" (not distinguished in text), Jameson Land, Greenland</t>
  </si>
  <si>
    <t>Galton</t>
  </si>
  <si>
    <t>Issi</t>
  </si>
  <si>
    <t>Malmros Klint</t>
  </si>
  <si>
    <t>Beccari et al.</t>
  </si>
  <si>
    <t>Iron Cake site, northern flank of Macknight Bjerg</t>
  </si>
  <si>
    <t>area V</t>
  </si>
  <si>
    <t>Ã¢Â€ÂœIron CakeÃ¢Â€Â site, northern flank of Macknight Bjerg, Jameson Land, Greenland</t>
  </si>
  <si>
    <t>Pantydraco</t>
  </si>
  <si>
    <t>Wales</t>
  </si>
  <si>
    <t>Swansea</t>
  </si>
  <si>
    <t>Pant-y-ffynnon Quarry, Bonvilston</t>
  </si>
  <si>
    <t>Pant-y-ffynon, Cowbridge islands, ST 046 743</t>
  </si>
  <si>
    <t>Pant-y-ffynnon Quarry, near Bonvilston, South Glamorgan, Wales; also called Pant-y-ffynon, Cowbridge Island, ST 046 743; 3 mi E of Cowbridge. Simms &amp; Drost 2024: (grid ref. ST 045742; 51.4590, Ã¢ÂˆÂ’ 3.3755)</t>
  </si>
  <si>
    <t>Eumetabolodon</t>
  </si>
  <si>
    <t>CN</t>
  </si>
  <si>
    <t>Nei Mongol</t>
  </si>
  <si>
    <t>Zhuengeerqi</t>
  </si>
  <si>
    <t>Heshanggou</t>
  </si>
  <si>
    <t>Li</t>
  </si>
  <si>
    <t>Zhuengeerqi (upper He-Shang-Gou Formation)</t>
  </si>
  <si>
    <t>Zhun ge er qi (He-Shan-Kou Formation); Ordos Basin</t>
  </si>
  <si>
    <t>"Northeastern part of the Shaan-Gan-Ning Basin, in the border region between Inner Mongolia and Shaanxi province." 17.5 km north of Gucheng locality. Approximately 60 km from the town of Fu gu, and less than 30 km southeast of the town of "Jungar Qi" (based on USGS TM map data).\nNote: The Shaan-Gan-Ning (or Shaanganning) Basin is more commonly known as Ordos Basin. (TL)</t>
  </si>
  <si>
    <t>Shaanxi</t>
  </si>
  <si>
    <t>Fugu</t>
  </si>
  <si>
    <t>Gucheng (upper He-Shang-Gou Formation)</t>
  </si>
  <si>
    <t>Gucheng (He-Shan-Kou Formation); Ordos Basin</t>
  </si>
  <si>
    <t>"Northeastern part of the Shaan-Gan-Ning Basin, in the border region between Inner Mongolia and Shaanxi province." 17. 5 km south of Zhuengeerqi locality. Approximately 60 km from the town of Fu gu, and less than 30 km southeast of the town of "Jungar Qi" (based on USGS TM map data).\nNote: The Shaan-Gan-Ning (or Shaanganning) Basin is more commonly known as Ordos Basin. (TL)</t>
  </si>
  <si>
    <t>Youngetta</t>
  </si>
  <si>
    <t>"Shihtienfeng"</t>
  </si>
  <si>
    <t>Wusilangou (Dongsheng Town)</t>
  </si>
  <si>
    <t>(Shih-Tien-Feng Formation); Hantai Valley</t>
  </si>
  <si>
    <t xml:space="preserve">"locality is Wusilangou, Hantai valley, Dongsheng town, Inner Mongolia, only several dozen kilometers from Zheungeerqi county, where the other fossils [associated collections of Ling 1983] were found." </t>
  </si>
  <si>
    <t>Bolosauridae</t>
  </si>
  <si>
    <t>Belebey</t>
  </si>
  <si>
    <t>Bashkortostan</t>
  </si>
  <si>
    <t>Ivakhnenko</t>
  </si>
  <si>
    <t>Belebei, PIN 164</t>
  </si>
  <si>
    <t>Belebey Suite</t>
  </si>
  <si>
    <t>lat longs and altitude are for the town of Belebey in Bashkortostan, Russia.</t>
  </si>
  <si>
    <t>Rothianiscus</t>
  </si>
  <si>
    <t>Roadian</t>
  </si>
  <si>
    <t>deltaic indet.</t>
  </si>
  <si>
    <t>Oklahoma</t>
  </si>
  <si>
    <t>Blaine</t>
  </si>
  <si>
    <t>Chickasha</t>
  </si>
  <si>
    <t>El Reno</t>
  </si>
  <si>
    <t>Olson</t>
  </si>
  <si>
    <t>BC-1 (Chickasha Formation)</t>
  </si>
  <si>
    <t>Chickasha Tongue; Flowerpot Shale; Flowerpot Formation</t>
  </si>
  <si>
    <t xml:space="preserve">SW 1/4 SW 1/4 Sec. 6, T. 17 N., R. 10 W, near the small town of Hitchcock\r\nlat long is for Sec., T., R. stated above.\r\n </t>
  </si>
  <si>
    <t>BC-7 (Chickasha Formation)</t>
  </si>
  <si>
    <t>SW 1/4 NW 1/4 Sec. 34, NE 1/4 Sec. 33, S 1/2 Sec. 28, T. 18 N., R. 11 W. Type locality of Rothia robustus is at BC-7, 1 3/4 NW of the small town of Hitchcock. DMS coordinates are for center of area described by PLSS coordinates.</t>
  </si>
  <si>
    <t>BC-8 (Chickasha Formation)</t>
  </si>
  <si>
    <t xml:space="preserve">W 1/2 Sec. 22, SE 1/4 SE 1/4 Sec. 21, NW 1/4 SE 1/4 Sec. 21, T. 18 N., R. 11 W, approx. 3 miles north of the small town of Hitchcock. DMS coordinates are for center of area described by PLSS coordinates. </t>
  </si>
  <si>
    <t>BC-9 (Chickasha Formation)</t>
  </si>
  <si>
    <t>S 1/2 Sec. 27, T. 18 N., R. 11 W, near the small town of Hitchcock. According to the locality data given by Olson (1965) this area, however, is already part of locality BC-6 (see PBDB coll. 27414). Since Blaine County site 9 is located between BC-6 and BC-8 but is closer to BC-8 (Olson, 1965, fig. 1), "S 1/2" perhaps is a misspelling and actually should read "N 1/2". DMS coordinates are for center of N 1/2 Sec. 27, T. 18 N., R. 11 W, Okeene 7.5' quadrangle.</t>
  </si>
  <si>
    <t>elements</t>
  </si>
  <si>
    <t>Kingfisher</t>
  </si>
  <si>
    <t>KF-3 (Chickasha Formation)</t>
  </si>
  <si>
    <t>Stream cut in NW 1/4 SW 1/4 Sec. 31, T. 17 N., R. 9 W.</t>
  </si>
  <si>
    <t>KF-5 (Chickasha Formation)</t>
  </si>
  <si>
    <t>"Secs. 34, 35, T. 16 N., R. 9 W.; sec. 2, T. 15 N., R. 9 W., Kingfisher County. This site includes a large series of exposures along a tributary of Kingfisher Creek."</t>
  </si>
  <si>
    <t>Canadian</t>
  </si>
  <si>
    <t>Flowerpot</t>
  </si>
  <si>
    <t>C-2 (Flowerpot Formation)</t>
  </si>
  <si>
    <t>Flowerpot Shale; Flowerpot Formation</t>
  </si>
  <si>
    <t>Sec. 19, T. 14 N., R. 7 W. Lat long is for this Sec., T., R. "A small exposure is present on both sides of a cut formed by a creek, just west of U.S. Highway 81 and about 4 miles south of Okarche."</t>
  </si>
  <si>
    <t>"channel"</t>
  </si>
  <si>
    <t>KF-1, Omega Quarry (Chickasha Formation)</t>
  </si>
  <si>
    <t>NW 1/4 NW 1/4 NW 1/4 Sec. 19, T. 17 N., R. 9 W. It lies at a road intersection but a few feet east of the Blaine County line.</t>
  </si>
  <si>
    <t>fragments</t>
  </si>
  <si>
    <t>KF-2 (Chickasha Formation)</t>
  </si>
  <si>
    <t>NW 1/4 NW 1/4 Sec. 34, T. 17 N., R. 9 W., Loyal NW 7.5' quadrangle</t>
  </si>
  <si>
    <t>Captorhinoides</t>
  </si>
  <si>
    <t>Knox</t>
  </si>
  <si>
    <t>Vale</t>
  </si>
  <si>
    <t>Locality KF (Middle Vale Formation)</t>
  </si>
  <si>
    <t>three-channel hill, "fish quarry"</t>
  </si>
  <si>
    <t>"approx. seven miles north of Vera, Knox County, Texas" (Olson, 1951)\r\n"North wall of valley of South Wichita River, east of Vera-Gilliland road" (Olson, 1948); for details see map on p. 188 in Olson (1948)</t>
  </si>
  <si>
    <t>Bolosaurus</t>
  </si>
  <si>
    <t>Admiral</t>
  </si>
  <si>
    <t>Mount Barry, 12 (Admiral Formation)</t>
  </si>
  <si>
    <t>Locality 12 (Romer 1928), Locality IVf (Romer &amp; Price 1940), Mt. Barry, faunal Zone 1, Wichita Group, Texas red-beds, redbeds</t>
  </si>
  <si>
    <t>"10 miles west of Wichita Falls." Lat long is for Holliday, approx. 5 mi southeast of locality, but see detailed locality map in Romer 1928. "Zone 1. Lower Wichita; to Godwin Creek; Admiral Formation?"</t>
  </si>
  <si>
    <t>Falconnet</t>
  </si>
  <si>
    <t>Briar Creek</t>
  </si>
  <si>
    <t>(Admiral Formation) Locality 13 (Romer 1928), Locality IVd (Romer &amp; Price 1940), faunal Zone 1, Wichita Group, Texas red-beds, redbeds; Brier Creek</t>
  </si>
  <si>
    <t>"the collecting ground being mainly on the east side a few miles from the mouth, near and in the bone bed discovered by Case." Lat long is for Dundee, approx. 9 mi south of locality, but see detailed locality map in Romer 1928. "Zone 1. Lower Wichita; to Godwin Creek; Admiral Formation?"; DMS coordinates are for the mouth of Briar Creek into Lake Kickapoo</t>
  </si>
  <si>
    <t>Labidosaurus</t>
  </si>
  <si>
    <t>Baylor/Wilbarger</t>
  </si>
  <si>
    <t>Waggoner Ranch</t>
  </si>
  <si>
    <t>Fox and Bowman</t>
  </si>
  <si>
    <t>Whiskey Creek, 30 (Waggoner Ranch Formation)</t>
  </si>
  <si>
    <t>Locality 30 (Romer 1928), faunal Zone 3, Upper Wichita Group, Texas red-beds, redbeds</t>
  </si>
  <si>
    <t>"On the north side of the Big Wichita, not far below the Leauders" Limestone. See detailed locality map in Romer 1928. "Zone 3. Upper Wichita; to the Leuders Limestone; Clyde Formation?" Lat long is for Lake Kemp dam. Numbered "30" with taxonomic list and on map, but is incorrectly numbered "29" in text.</t>
  </si>
  <si>
    <t>Baylor/Willbarger</t>
  </si>
  <si>
    <t>Cope</t>
  </si>
  <si>
    <t>Coffee Creek, 34 (Arroyo Formation)</t>
  </si>
  <si>
    <t>Locality 34 (Romer 1928), faunal Zone 4, Lower Clear Fork Group, Texas red-beds, redbeds; Locality VIIa (Romer &amp; Price 1940); "Labidosaurus pocket"; Coffee Creek Bonebed; West Coffee Creek; Middle Coffee Creek; East Coffee Creek</t>
  </si>
  <si>
    <t>Collection comprises outcrops that today are at the bottom of Lake Kemp and outcrops in the northern vicinity of Lake Kemp. See detailed locality map in Romer 1928. "Zone 4. Lower Clear Fork". Lat long is for Kemp Lake near the today's mouths of West, Middle, and East Coffee Creek.</t>
  </si>
  <si>
    <t>Seltin</t>
  </si>
  <si>
    <t>Case</t>
  </si>
  <si>
    <t>Indian Creek, 35 (Arroyo Formation)</t>
  </si>
  <si>
    <t>Locality 35 (Romer 1928), Cacops bone bed, faunal Zone 4, Lower Clear Fork Group, Texas red-beds, redbeds</t>
  </si>
  <si>
    <t>"about 5 miles west of the Vernon road in the valley of the Wichita, not far from Indian Creek." (Williston 1911) \r\n\r\n"collections are mainly from the region near its mouth [Lower Clear Fork]." See detailed locality map in Romer 1928. " Zone 4. Lower Clear Fork. Lat long is for Kemp Lake near today's mouth of Indian Creek. Numbered "35" with taxonomic list and on map, but is incorrectly numbered "35" in Romer text.</t>
  </si>
  <si>
    <t>Pony Creek, 36 (Arroyo Formation)</t>
  </si>
  <si>
    <t>Locality 36 (Romer 1928), faunal Zone 4, Lower Clear Fork Group, Texas red-beds, redbeds</t>
  </si>
  <si>
    <t>"A tributary of the Big Wichita on the south side, north of Seymour; the collections were made near the head of the creek.." See detailed locality map in Romer 1928. "Zone 4. Lower Clear Fork. Lat long is for Kemp Lake. Numbered "36" with taxonomic list and on map, but is incorrectly numbered "35" in text.</t>
  </si>
  <si>
    <t>Craddock Bonebed, Brush Creek, 38 (Arroyo Formation)</t>
  </si>
  <si>
    <t>Locality 38 (Romer 1928), Craddock's ranch, Craddock bone bed, Brushy Creek, Bushy Creek, faunal Zone 4, Lower Clear Fork Group, Texas red-beds, redbeds</t>
  </si>
  <si>
    <t xml:space="preserve">"About seven miles north and somewhat west of Seymour lies Craddock's ranch, an area of 6 square miles, drained by Gray's Creek on the east and Brush Creek on the west. Numerous "breaks" are present in this region.." See detailed locality map in Romer 1928. " Zone 4. Lower Clear Fork. Lat long is for area south of Kemp Lake between Brushy Creek and Gray Creek. </t>
  </si>
  <si>
    <t>Vaughn</t>
  </si>
  <si>
    <t>Hog Creek, 39 (Arroyo Formation)</t>
  </si>
  <si>
    <t>Locality 39 (Romer 1928), faunal Zone 4, Lower Clear Fork Group, Texas red-beds, redbeds</t>
  </si>
  <si>
    <t>"The next creek west of Brush Creek.." See detailed locality map in Romer 1928. "Zone 4. Lower Clear Fork. Lat long is for Hog Creek.</t>
  </si>
  <si>
    <t>Table Top Mountain, 40 (Arroyo Formation)</t>
  </si>
  <si>
    <t>Locality 40 (Romer 1928), Table Top Mt., faunal Zone 4, Lower Clear Fork Group, Texas red-beds, redbeds</t>
  </si>
  <si>
    <t>"to the south above Craddock's ranch and Brush Creek." See detailed locality map in Romer 1928. " Zone 4. Lower Clear Fork. Lat long is for Seymour.</t>
  </si>
  <si>
    <t>Mesosauridae</t>
  </si>
  <si>
    <t>Mesosaurus</t>
  </si>
  <si>
    <t>amphibious</t>
  </si>
  <si>
    <t>Erongo</t>
  </si>
  <si>
    <t>Huab</t>
  </si>
  <si>
    <t>"Ecca"</t>
  </si>
  <si>
    <t>Horsthemke et al.</t>
  </si>
  <si>
    <t>Section 2, Cycle 2, Unit 5 (Karoo Sequence)</t>
  </si>
  <si>
    <t>Damaraland; Karroo; Huab Basin\r\n</t>
  </si>
  <si>
    <t>Section 2, Cycle 2, South of the Huab River (See Fig. 5), west of the Goboboseb Mountains, Huab Basin, northwestern Damaraland, Namibia.\nNote: This is in the southern part of the region referred to as Damaraland (original entry for State/province) in colonial times and during occupation by South Africa, which today is part of the Erongo Region of Namibia (TL).</t>
  </si>
  <si>
    <t>Section 3, Cycle 2, Unit 5 (Karoo Sequence)</t>
  </si>
  <si>
    <t>Damaraland; Karroo; Huab Basin</t>
  </si>
  <si>
    <t>Goboboseb Mountains, see Fig. 5, Karoo Sequence, Huab Basin, northwestern Damaraland, Namibia.\nNote: This is in the southern part of the region referred to as Damaraland (original entry for State/province) in colonial times and during occupation by South Africa, which today is part of the Erongo Region of Namibia (TL).</t>
  </si>
  <si>
    <t>Section 4, Cycle 2, Unit 5 (Karoo Sequence)</t>
  </si>
  <si>
    <t>Section 5, Cycle 2, Unit 6 (Karoo Sequence)</t>
  </si>
  <si>
    <t>body,mold/impression,concretion</t>
  </si>
  <si>
    <t>Pareiasauridae</t>
  </si>
  <si>
    <t>Deltavjatia</t>
  </si>
  <si>
    <t>Kirov</t>
  </si>
  <si>
    <t>Kotelnich</t>
  </si>
  <si>
    <t>Urpalov</t>
  </si>
  <si>
    <t>Vanyushonki</t>
  </si>
  <si>
    <t>Deltavjatia vjatkensis</t>
  </si>
  <si>
    <t>Hartmann-Weinberg</t>
  </si>
  <si>
    <t>Kotelnich, Vjatka River ("Sarmin" series), PIN 2212</t>
  </si>
  <si>
    <t>Kotel'nich; Volki, Volky; Vanyushonki</t>
  </si>
  <si>
    <t>Right bank of the Vjatka river (middle reaches), in the vicinity of the villages Volky and Tsemtsy, 4-5 km upstream from Vishkil'. (Hartmann-Weinberg, 1937).\r\n" [...] 18 km south of the town Kotel'nich near the Vanyushonki village on the western bank of the Vyatka River, Kirov district, Russia." (Kordikova &amp; Khlyupin, 2001). DMS coordinates approximately mark the western bank of Vyatka river, halfway between Volki and Vanyushonki villages.\r\n \r\nNote on modification of prevoiusly entered location details: &gt;&gt;2 km upstream from the type locality of Anthodon rossicus (reported by A. P. Hartmann-Weinberg 1937).&lt;&lt;, presumably cited from Efremov (1940), is incorrect since Efremov (1940) states that the Kotel'nich locality is "2 km downstream of the point, where S.G. Kashtanov had found his specimen", a specimen which was originally intended to be made the type of "Anthodon chlynoviensis", but which Efremov (1940) then referred to A. rossicus (TL).</t>
  </si>
  <si>
    <t>Scutosaurus</t>
  </si>
  <si>
    <t>Wuchiapingian</t>
  </si>
  <si>
    <t>Lopingian</t>
  </si>
  <si>
    <t>Tatarstan</t>
  </si>
  <si>
    <t>Tetyushi</t>
  </si>
  <si>
    <t>IV</t>
  </si>
  <si>
    <t>Efremov</t>
  </si>
  <si>
    <t>Klyutchevoy Ravine ("Sarmin" series)</t>
  </si>
  <si>
    <t>Volga locality, coll. No. 156, PIN, Volga Expedition of 1931; Klyuchevoy Ravine; Ilinskoe, Il'inskoe, Ilyinskoe, Iljinskoje</t>
  </si>
  <si>
    <t>"...on the right bank of the Volga river, vicinity of Ilyinskoe village, Tetyushi district, Tartar Republic, 9 km ups[t]ream of the Tetyushi landing place." (Efremov, 1940).\nAdditional notes: The Klyuchevskoy Ravine is a cutting into the relatively steep western bank of the Volga River (here dammed to form the huge Kuybyshev Reservoir Lake).\nPolar coordinates are for Il'inskoe village (originally entered coordinates: 54Ã‚Â°55'N, 48Ã‚Â°50'E).</t>
  </si>
  <si>
    <t>marine indet.</t>
  </si>
  <si>
    <t>FR</t>
  </si>
  <si>
    <t>Provence-Alpes-Cote d'Azur Region</t>
  </si>
  <si>
    <t>Var Departement</t>
  </si>
  <si>
    <t>Corroy</t>
  </si>
  <si>
    <t>Anse de Bonnette</t>
  </si>
  <si>
    <t>Bonnette</t>
  </si>
  <si>
    <t>South of Le Pradet, near Toulon</t>
  </si>
  <si>
    <t>not computable using this model</t>
  </si>
  <si>
    <t>Cymatosaurus</t>
  </si>
  <si>
    <t>Collines de Cuers</t>
  </si>
  <si>
    <t>Cuers</t>
  </si>
  <si>
    <t>On the hills surrounding the city of Cuers</t>
  </si>
  <si>
    <t>Termatosaurus</t>
  </si>
  <si>
    <t>Vieux Beausset</t>
  </si>
  <si>
    <t>Vieux-Beausset</t>
  </si>
  <si>
    <t>S of Beausset, near Toulon</t>
  </si>
  <si>
    <t>Ichthyosauridae</t>
  </si>
  <si>
    <t>Ichthyosaurus</t>
  </si>
  <si>
    <t>Saint Laurent, near Cuers</t>
  </si>
  <si>
    <t>St-Laurent, Saint-Laurent, Cuers</t>
  </si>
  <si>
    <t xml:space="preserve">This site is located along the D43 road around 'Saint-Laurens', Var (83), France </t>
  </si>
  <si>
    <t>Sollies-Toucas</t>
  </si>
  <si>
    <t>Sollies</t>
  </si>
  <si>
    <t>The collection was made both about 1km to the North and 1 km to South of the city Sollies-Toucas.</t>
  </si>
  <si>
    <t>adpression,charcoalification,coalified</t>
  </si>
  <si>
    <t>Asselian</t>
  </si>
  <si>
    <t>Sakmarian</t>
  </si>
  <si>
    <t>Geraldine Bonebed</t>
  </si>
  <si>
    <t>Locality is around 3km (~2miles) east of the intersection of Highway 25 and another unnamed Highway.</t>
  </si>
  <si>
    <t>Zupaysaurus</t>
  </si>
  <si>
    <t>Los Colorados</t>
  </si>
  <si>
    <t>Arcucci and Coria</t>
  </si>
  <si>
    <t>Quebrada de los Jachaleros</t>
  </si>
  <si>
    <t>Zupaysaurus type, La Esquina/El Salto</t>
  </si>
  <si>
    <t>Locality is given as "Quebrada de los Jachaleros, 7 km W of R.N. 126, La Rioja province, Argentina" by Ezcurra &amp; Novas (2007) and Arcucci &amp; Coria (2003). However, according to Arcucci et al. (2004) the locality is "NW of La Esquina and SE of El Salto" and is different to the classic "Quebrada de los Jachaleros" which is nearby, but in San Juan state. \r\nCoordinates are estimated based upon the map in Arcucci et al. (2004)</t>
  </si>
  <si>
    <t>Omphalosauridae</t>
  </si>
  <si>
    <t>Omphalosaurus</t>
  </si>
  <si>
    <t>Nevada</t>
  </si>
  <si>
    <t>Pershing</t>
  </si>
  <si>
    <t>Prida</t>
  </si>
  <si>
    <t>Merriam</t>
  </si>
  <si>
    <t>American Canyon (UCMP/Stanford)</t>
  </si>
  <si>
    <t>Omphalosaurus nevadanus type site</t>
  </si>
  <si>
    <t>West Humboldt Range, Nevada. Coordinates from UCMP website. American Canyon</t>
  </si>
  <si>
    <t>Grippiidae</t>
  </si>
  <si>
    <t>Grippia</t>
  </si>
  <si>
    <t>NO</t>
  </si>
  <si>
    <t>Spitzberger</t>
  </si>
  <si>
    <t>VikinghÃƒÂ¸gda</t>
  </si>
  <si>
    <t>Vendomdalen</t>
  </si>
  <si>
    <t>Wiman</t>
  </si>
  <si>
    <t>Agardh Bay</t>
  </si>
  <si>
    <t>Found east of Ivory Glacier</t>
  </si>
  <si>
    <t>Pareiasuchus</t>
  </si>
  <si>
    <t>Northern Cape</t>
  </si>
  <si>
    <t>Leeuwkloof pareiasaur locality</t>
  </si>
  <si>
    <t>Nieuwveld, Karoo, Karroo</t>
  </si>
  <si>
    <t>Lat long is for Loxton in the southern Karoo.</t>
  </si>
  <si>
    <t>body,charcoalification</t>
  </si>
  <si>
    <t>Ctenosauriscidae</t>
  </si>
  <si>
    <t>Arizonasaurus</t>
  </si>
  <si>
    <t>fine channel fill</t>
  </si>
  <si>
    <t>Arizona</t>
  </si>
  <si>
    <t>Navajo</t>
  </si>
  <si>
    <t>Moenkopi</t>
  </si>
  <si>
    <t>Holbrook</t>
  </si>
  <si>
    <t>Welles</t>
  </si>
  <si>
    <t>Holbrook quarry, UCMP V3922</t>
  </si>
  <si>
    <t>Geronimo Quarry</t>
  </si>
  <si>
    <t xml:space="preserve">Sec. 31, T. 18 N., R. 20 E., "most of the material was found in an area about 15 by 30 ft. ...the few exceptions are isolated finds from the same level, and all were within a half mile of the main quarry. </t>
  </si>
  <si>
    <t>Anisodontosaurus</t>
  </si>
  <si>
    <t>Placochelys</t>
  </si>
  <si>
    <t>IT</t>
  </si>
  <si>
    <t>Friuli-Venezia Giulia</t>
  </si>
  <si>
    <t>Udine</t>
  </si>
  <si>
    <t>Stolfa</t>
  </si>
  <si>
    <t>Fusea</t>
  </si>
  <si>
    <t>Fusea, NW of Tolmezzo, Friuli-Venezia Giulia, Udine, Italy. Coordinates for Tolmezzo.</t>
  </si>
  <si>
    <t>body,adpression,soft parts</t>
  </si>
  <si>
    <t>partial skeletons</t>
  </si>
  <si>
    <t>Psephoderma</t>
  </si>
  <si>
    <t>shallow subtidal indet.</t>
  </si>
  <si>
    <t>Lombardia</t>
  </si>
  <si>
    <t>Zorzino Limestone</t>
  </si>
  <si>
    <t>Pinna and Nosotti</t>
  </si>
  <si>
    <t>Endenna cave</t>
  </si>
  <si>
    <t>Endenna cave, in the Bergamo Prealps, Bergamasco, Italy. Coordinates for Bergamo.</t>
  </si>
  <si>
    <t>Vonhuenia</t>
  </si>
  <si>
    <t>Nizhegorod</t>
  </si>
  <si>
    <t>Vetluga</t>
  </si>
  <si>
    <t>Vokhminskaya</t>
  </si>
  <si>
    <t>Sennikov</t>
  </si>
  <si>
    <t>Spasskoye settlement (Vokhma Formation), PIN 1025</t>
  </si>
  <si>
    <t>Vetluga River; Spasskoe village</t>
  </si>
  <si>
    <t>Nizhegorodskaya region; watershed of Vyatka and Vetluga Rivers; Vetluga River basin</t>
  </si>
  <si>
    <t>Melanorosaurus</t>
  </si>
  <si>
    <t>Herschel</t>
  </si>
  <si>
    <t>Elliot</t>
  </si>
  <si>
    <t>Stormberg</t>
  </si>
  <si>
    <t>Lower</t>
  </si>
  <si>
    <t>Haughton</t>
  </si>
  <si>
    <t>Thaba 'Nyama, Herschel (zone A/6)</t>
  </si>
  <si>
    <t>Melanorosaurus type, Black Mountain, Thabanyama-Bensonvale</t>
  </si>
  <si>
    <t>Thaba 'Nyama (Black Mtn.) between Josana's Hoek and Josana's Neck, near Bensonvale, Herschel district, Eastern Cape province, South Africa. Coordinates for Josana's Hoek. Sterkspruit map.</t>
  </si>
  <si>
    <t>Plateosauravus</t>
  </si>
  <si>
    <t>kopje, Kromme Spruit (zone A/5)</t>
  </si>
  <si>
    <t>Krommspruit, Krommespruit</t>
  </si>
  <si>
    <t>kopje, Kromme Spruit, Herschel district, Transkei, Eastern Cape</t>
  </si>
  <si>
    <t>Chasmatosuchus</t>
  </si>
  <si>
    <t>Komi</t>
  </si>
  <si>
    <t>Luza/Pre-Luza</t>
  </si>
  <si>
    <t>Sludka</t>
  </si>
  <si>
    <t>Ochev (Otschev)</t>
  </si>
  <si>
    <t>Korzhinskoye</t>
  </si>
  <si>
    <t>Korzha, Korzhinskii; Luza River</t>
  </si>
  <si>
    <t>hand sample</t>
  </si>
  <si>
    <t>Korzhinskoye on the Luza River (PIN 3583/1) (Ochev, 1978).\r\nThe locality bearing that catalogue number is named "Korzha" and is said to be located in the Luza District of the Kirov Region by Sennikov (2008). The name "Korzha" appears to refer to a tributary of the Luza River. Near the junction of the two rivers is a small town or village named "Korzhinskii" on the map. This probably is the place referred to as "Korzhinskoye" by Ochev (1978). Korzhinskii, as well as the mouth of the Korzha River into the Luza river, actually are not in Kirov Region but immediately across the border in the Pre-Luza District of the Komi Republic. Polar coordinates originally entered (64Ã‚Â°56'27"N, 55Ã‚Â°52'38", for general Luza River) are modified and now are based on Korzhinskii village upon Luza River (TL).</t>
  </si>
  <si>
    <t>Orenburg</t>
  </si>
  <si>
    <t>Belyaevka</t>
  </si>
  <si>
    <t>Kopanaskya</t>
  </si>
  <si>
    <t>Blumenthal 1 locality</t>
  </si>
  <si>
    <t>Blyumental-1, locality 27 (Tverdokhlebov et al, 2003); Burtya River basin, Saratov Univ 104/13, 19</t>
  </si>
  <si>
    <t>Blumenthal 1 locality in the Burtya River basin (Saratov Univ 1043/13, 19) (Ochev, 1978).\n"Orenburg Region, 0.5 km east of Blyumental village (drainage basin of left bank of the Ural River)" (Tverdokhlebov et al., 2003).\nOriginally entered polar coordinates (51Ã‚Â°31'20"N, 56Ã‚Â°2'32"E) are altered according to position of Blyumental' village, Belyaevka District, Orenburg Region.</t>
  </si>
  <si>
    <t>Krasnaya yaruga gully</t>
  </si>
  <si>
    <t>Obshchiy Syrt, Fedorovka hamlet, Sorochka River, FÃƒÂ«dorovka</t>
  </si>
  <si>
    <t>"...from the Obshchiy Syrt (Krasnaya yaruga gully near Fedorovka hamlet on the Sorochka River). FÃƒÂ«dorovka (also called Zorovka?) (Ochev, 1978).\nTverdokhlebov et al. (2003) list two sublocalities, Krasnaya Yaruga I and II, which are said to be 4 and 5 km, respectively, east from Fedorovka village. Polar coordinates originally entered (53Ã‚Â°43'N, 53Ã‚Â°16'E) are modified and now are based on Fedorovka village, Belyaevka District, Orenburg Region. Geographic resolution (originally &gt;&gt;local area&lt;&lt;) is enhanced to &gt;&gt;outcrop&lt;&lt; (TL).</t>
  </si>
  <si>
    <t>Sorochinsk</t>
  </si>
  <si>
    <t>Kamennyy yar gully</t>
  </si>
  <si>
    <t>Troitskoye village, Troyitzkoe village, Troitskoe village, Sorochka River</t>
  </si>
  <si>
    <t>Kamennyy yar gully near Troitskoye village on the Sorochka River, Saratov Univ. 104/3833.\nNotes: Polar coordinates originally entered as 52Ã‚Â°32'N, 52Ã‚Â°34'E (based upon the Sorochka River) are rendered more precisely now and are based on little reservoir lake within the Kamenny Yar Ravine, situated about 6 km SE from Troitskoe village.\nState/province name originally entered as &gt;&gt;Orenburgskaya Oblast'&lt;&lt; is changed to &gt;&gt;Orenburg&lt;&lt;. Name of subordinate administrative unit (raion) is added.\nGeographic resolution (originally &gt;&gt;local area&lt;&lt;) is changed to &gt;&gt;outcrop&lt;&lt;.\n</t>
  </si>
  <si>
    <t>Chaohusaurus</t>
  </si>
  <si>
    <t>Anhui</t>
  </si>
  <si>
    <t>Chao</t>
  </si>
  <si>
    <t>Motani and You</t>
  </si>
  <si>
    <t>Chensaurus chaoxianensis type locality</t>
  </si>
  <si>
    <t>P45-H85-25, Majia-Shan</t>
  </si>
  <si>
    <t>degrees</t>
  </si>
  <si>
    <t>Type locality is located at Majia-Shan, Chao County, Anhui Province, P.R. China. More detailed stratigraphic information can be found in Chen (1985), which is in Chinese.</t>
  </si>
  <si>
    <t>Motani et al.</t>
  </si>
  <si>
    <t>50 km southwest of C. chaoxianensis type locality</t>
  </si>
  <si>
    <t>Chensaurus, WCRAI 313</t>
  </si>
  <si>
    <t>Anhui Province, China, about 50 km southwest of the type locality of Chensaurus (Chen 1985).</t>
  </si>
  <si>
    <t>Gorno</t>
  </si>
  <si>
    <t>Nosotti</t>
  </si>
  <si>
    <t>Vareno Hill (Gorno Sandstones)</t>
  </si>
  <si>
    <t>Colle Vareno</t>
  </si>
  <si>
    <t>Colle Vareno (Val Seriana, Bergamo). Coordinates are for Val Seriana.</t>
  </si>
  <si>
    <t>Calcare di Zu</t>
  </si>
  <si>
    <t>Corni di Canzo</t>
  </si>
  <si>
    <t>Horns of Canzo</t>
  </si>
  <si>
    <t xml:space="preserve">Corni di Canzo. Coordinate is for Canzo. </t>
  </si>
  <si>
    <t>S. Omobono (V. Imagna)</t>
  </si>
  <si>
    <t>Val Imagna</t>
  </si>
  <si>
    <t>S. Omobono (V. Imagna). \nCoordinates are for Imagna, a stream.\n</t>
  </si>
  <si>
    <t>Paraplacodontidae</t>
  </si>
  <si>
    <t>Paraplacodus</t>
  </si>
  <si>
    <t>Braies</t>
  </si>
  <si>
    <t>Val Pusteria</t>
  </si>
  <si>
    <t>Pusteria Valley, Valle</t>
  </si>
  <si>
    <t>Val Pusteria. Cordinate is for Pusteria.</t>
  </si>
  <si>
    <t>Barracudasaurus</t>
  </si>
  <si>
    <t>Guizhou</t>
  </si>
  <si>
    <t>Young</t>
  </si>
  <si>
    <t>Jenhui</t>
  </si>
  <si>
    <t>"Yueliangtien, Hsinchiao, north of Maotai, Jenhui Hsien, N. Kweichou almost three hundred kilometers due north of Shingyi"; Another Romanization of the locality name: Youeliangdian Xinjiao Maodai Renhui Guizhou</t>
  </si>
  <si>
    <t>Sarcosaurus</t>
  </si>
  <si>
    <t>Hettangian</t>
  </si>
  <si>
    <t>Early Jurassic</t>
  </si>
  <si>
    <t xml:space="preserve">Jurassic </t>
  </si>
  <si>
    <t>Warwickshire</t>
  </si>
  <si>
    <t>Blue Lias</t>
  </si>
  <si>
    <t>Lias</t>
  </si>
  <si>
    <t>Huene</t>
  </si>
  <si>
    <t>Wilmcote, Warwickshire (Hettangian)</t>
  </si>
  <si>
    <t>Wilmcote, near Stratford-on-Avon, Warwickshire, England.</t>
  </si>
  <si>
    <t>Czatkowiella</t>
  </si>
  <si>
    <t>PL</t>
  </si>
  <si>
    <t>Malopolskie</t>
  </si>
  <si>
    <t>Krakowski</t>
  </si>
  <si>
    <t>BorsukBiaynicka and Evans</t>
  </si>
  <si>
    <t>Czatkowice 1 quarry</t>
  </si>
  <si>
    <t xml:space="preserve">Czatkowice I quarry, near Krzeszowice, KrakÃƒÂ³w Uplands, south-central Poland. Coordinates based on Krzeszowice </t>
  </si>
  <si>
    <t>Sophineta</t>
  </si>
  <si>
    <t>Evans and BorsukBiaynicka</t>
  </si>
  <si>
    <t>Euparkeriidae</t>
  </si>
  <si>
    <t>Osmolskina</t>
  </si>
  <si>
    <t>Borsuk-Bialynicka and Evans</t>
  </si>
  <si>
    <t>Pamelina</t>
  </si>
  <si>
    <t>Evans</t>
  </si>
  <si>
    <t>Procolina</t>
  </si>
  <si>
    <t>BorsukBiaynicka and Lubka</t>
  </si>
  <si>
    <t>AT</t>
  </si>
  <si>
    <t>NiederÃƒÂ¶sterreich</t>
  </si>
  <si>
    <t>Hauptdolomit</t>
  </si>
  <si>
    <t>Rosenberg</t>
  </si>
  <si>
    <t>MÃƒÂ¶dling</t>
  </si>
  <si>
    <t>Moedling, Modling</t>
  </si>
  <si>
    <t>Austria, NiederÃƒÂ¶sterreich Province, at the end of the Rehgraben (valley), close to the PrieÃƒÂŸnitztal (valley), 1,5 km south of MÃƒÂ¶dling City. The quarry is called: WeiÃƒÂŸ'scher Steinbruch.</t>
  </si>
  <si>
    <t>skulls</t>
  </si>
  <si>
    <t>Euscolosuchus</t>
  </si>
  <si>
    <t>Virginia</t>
  </si>
  <si>
    <t>Chesterfield</t>
  </si>
  <si>
    <t>Vinita</t>
  </si>
  <si>
    <t>Tomahawk Creek</t>
  </si>
  <si>
    <t>Sues</t>
  </si>
  <si>
    <t>Tomahawk locality, USNM 39981</t>
  </si>
  <si>
    <t>1988-1</t>
  </si>
  <si>
    <t xml:space="preserve">along NE bank of old course of Old Hundred Road (VA 652), 0.1 mi. (0.16 km) E of eastern branch of Tomahawk Creek, near Midlothian, Chesterfield Co., VA. </t>
  </si>
  <si>
    <t>Uatchitodon</t>
  </si>
  <si>
    <t>Sues et al.</t>
  </si>
  <si>
    <t>Gomphiosauridion</t>
  </si>
  <si>
    <t>Sues and Olsen</t>
  </si>
  <si>
    <t>Xenodiphyodon</t>
  </si>
  <si>
    <t>wet floodplain</t>
  </si>
  <si>
    <t>Apache</t>
  </si>
  <si>
    <t>Mesa Redondo</t>
  </si>
  <si>
    <t>Placerias Quarry, UCMP A269</t>
  </si>
  <si>
    <t>grassy valley near Romero Spring, approx. 10.5 km SW of St. Johns, eastern Apache County.  In SW 1/4, NW 1/2, sec 14, T12N, R27E, near W edge of a low terrace along a tributary arroyo of Big Hollow Wash, at UTM 641260E, 3811730N, zone 12.</t>
  </si>
  <si>
    <t>Smilosuchus</t>
  </si>
  <si>
    <t>Long and Murry</t>
  </si>
  <si>
    <t>Coelophysidae</t>
  </si>
  <si>
    <t>Camposaurus</t>
  </si>
  <si>
    <t>Hunt et al.</t>
  </si>
  <si>
    <t>Calyptosuchus</t>
  </si>
  <si>
    <t>body,concretion,coprolite</t>
  </si>
  <si>
    <t>Tanystropheidae</t>
  </si>
  <si>
    <t>Tanytrachelos</t>
  </si>
  <si>
    <t>pond</t>
  </si>
  <si>
    <t>Petrified Forest</t>
  </si>
  <si>
    <t>Jacobs and Murry</t>
  </si>
  <si>
    <t>Downs Quarry, MNA 207-10</t>
  </si>
  <si>
    <t>aprox. 72 m E of the Placerias Quarry and 3 m above, on a tributary to Big Hollow Wash near Romer Spring, about 10.4 km SW of St. Johns, Arizona.  At UTM 641290E, 3811710N, zone 12.</t>
  </si>
  <si>
    <t>Parasuchus</t>
  </si>
  <si>
    <t>Acaenasuchus</t>
  </si>
  <si>
    <t>Cyamodontidae</t>
  </si>
  <si>
    <t>Cyamodus</t>
  </si>
  <si>
    <t>Kuhn-Schnyder</t>
  </si>
  <si>
    <t>Muschelkalk-Bonebed, Crailsheim</t>
  </si>
  <si>
    <t>Germany, Baden-WÃƒÂ¼rttemberg, Crailsheim</t>
  </si>
  <si>
    <t>Timanophon</t>
  </si>
  <si>
    <t>Charkabozh</t>
  </si>
  <si>
    <t>Novikov et al.</t>
  </si>
  <si>
    <t>Tsilma River</t>
  </si>
  <si>
    <t>Tsilma-1, Cherepanka-1, Cherepanka-3</t>
  </si>
  <si>
    <t>several localities in the drainage basin of the Tsilma River ("Pechora Syneclisis") (Novikov et al, 1990)\r\nOriginally entered coordinates were 69Ã‚Â°58'13" N 54Ã‚Â°15' E (original comment: "Coordinates taken from map in The Portable World: A Complete Atlas"). These coordinates, however, defined a place in the Pechora Sea off the southwestern coast of the southern island of Novaya Zemlya. The new coordinates (entered on 2015-04-22) are for the junction of the Tsilma and Pechora rivers at the town of Ust'-Tsilma, Komi Republic, Ust'-Tsilma District. (TL)</t>
  </si>
  <si>
    <t>Poposaurus</t>
  </si>
  <si>
    <t>Shuvosauridae</t>
  </si>
  <si>
    <t>Shuvosaurus</t>
  </si>
  <si>
    <t>Murry</t>
  </si>
  <si>
    <t>Kaye and Padian</t>
  </si>
  <si>
    <t>Nothosauridae</t>
  </si>
  <si>
    <t>Nothosaurus</t>
  </si>
  <si>
    <t>Hessen</t>
  </si>
  <si>
    <t>Busse</t>
  </si>
  <si>
    <t>Tonplatten Facies, Hessen Province</t>
  </si>
  <si>
    <t>Multiple sections.</t>
  </si>
  <si>
    <t>Randall</t>
  </si>
  <si>
    <t>Camp Springs</t>
  </si>
  <si>
    <t>Hunt and Lucas</t>
  </si>
  <si>
    <t>Panhandle Plains Museum P217</t>
  </si>
  <si>
    <t>UTM 3874800 m N, 256850 m E, zone 14; just N of N boundary of Palo Duro Canyon State Park, W side of Palo Duro Creek, Randall Co., TX</t>
  </si>
  <si>
    <t>Unaysaurus</t>
  </si>
  <si>
    <t>BR</t>
  </si>
  <si>
    <t>Rio Grande do Sul</t>
  </si>
  <si>
    <t>Caturrita</t>
  </si>
  <si>
    <t>RosÃƒÂ¡rio do Sul</t>
  </si>
  <si>
    <t>Ictidosauria</t>
  </si>
  <si>
    <t>Leal et al.</t>
  </si>
  <si>
    <t>ÃƒÂgua Negra</t>
  </si>
  <si>
    <t>Unaysaurus type site</t>
  </si>
  <si>
    <t>ÃƒÂgua Negra district, town of SÃƒÂ£o Martinho da Serra, 13 km N of Santa Maria, Rio Gande do Sul, Brazil</t>
  </si>
  <si>
    <t>Kermack</t>
  </si>
  <si>
    <t>Tricuspisaurus</t>
  </si>
  <si>
    <t>Glamorgan</t>
  </si>
  <si>
    <t>Ruthin Quarry</t>
  </si>
  <si>
    <t>Cowbridge islands, SS 975 796</t>
  </si>
  <si>
    <t>The U.K. National Grid Reference for the Ruthin Quarry is SS 975 796 (Fraser 1994) or SS 975795 (Simms &amp; Drost 2024). Abundant fragmentary remains of vertebrate fossils occur within the red marly sandstone of a single cavity. Ruthin Quarry, St. Mary Hill, near Cowbridge</t>
  </si>
  <si>
    <t>Skinner et al.</t>
  </si>
  <si>
    <t>Haligonia</t>
  </si>
  <si>
    <t>Edwards and Evans</t>
  </si>
  <si>
    <t>Variodens</t>
  </si>
  <si>
    <t>Cymbospondylidae</t>
  </si>
  <si>
    <t>Cymbospondylus</t>
  </si>
  <si>
    <t>Phalarodon</t>
  </si>
  <si>
    <t>Protosuchidae</t>
  </si>
  <si>
    <t>Protosuchus</t>
  </si>
  <si>
    <t>Coconino</t>
  </si>
  <si>
    <t>Moenave</t>
  </si>
  <si>
    <t>Glen Canyon</t>
  </si>
  <si>
    <t>Dinosaur Canyon</t>
  </si>
  <si>
    <t>Clark and Fastovsky</t>
  </si>
  <si>
    <t>79/2A Protosuchus locality, UCMP V84245</t>
  </si>
  <si>
    <t>Tonahakaad Wash</t>
  </si>
  <si>
    <t>The locality (79/2A) is in Tonahakaad Wash, fifteen miles southeast of Cameron, Coconino County, Arizona. Lat/Long coordinates are stated to be approximate.</t>
  </si>
  <si>
    <t>Lucasuchus</t>
  </si>
  <si>
    <t>North Carolina</t>
  </si>
  <si>
    <t>Pekin</t>
  </si>
  <si>
    <t>Pomona Terra-cotta (Pomona B)</t>
  </si>
  <si>
    <t>Pomona Pipe Products Co. clay pit</t>
  </si>
  <si>
    <t>Pomona Pipe Products Co. clay pit, 1.5 miles NW of Gulf, Chatham Co., NC; from southern side of quarry, now infilled</t>
  </si>
  <si>
    <t>%-specimens</t>
  </si>
  <si>
    <t>Avon</t>
  </si>
  <si>
    <t>Whiteside</t>
  </si>
  <si>
    <t>Tytherington Quarry, Fissure 2 (Bristol Channel)</t>
  </si>
  <si>
    <t>ST 660 890, ST 660890</t>
  </si>
  <si>
    <t>Fissure 2 in Tytherington Quarry, Avon, United Kingdom. The lat/long is derived from U.K. National Grid Reference for the Tytherington Quarry (ST 660 890), 16 km N of Bristol.</t>
  </si>
  <si>
    <t>Jingshanosaurus</t>
  </si>
  <si>
    <t>Yunnan</t>
  </si>
  <si>
    <t>Lufeng</t>
  </si>
  <si>
    <t>Shawan</t>
  </si>
  <si>
    <t>Zhang and Yang</t>
  </si>
  <si>
    <t>Xinwa, Jingshan</t>
  </si>
  <si>
    <t>Xinwa Village, Town of Jinshan</t>
  </si>
  <si>
    <t>Xinwa village, 6 km from Jingshan town, Lufeng county, Yunnan, China</t>
  </si>
  <si>
    <t>body,trace,replaced with calcite,coprolite</t>
  </si>
  <si>
    <t>dry floodplain</t>
  </si>
  <si>
    <t>Hollocher et al.</t>
  </si>
  <si>
    <t>Valle Pintado (upper), coprolites</t>
  </si>
  <si>
    <t>Valle Pintado, Ischigualasto-Via Union Basin, within Ischigualasto Provincial Park</t>
  </si>
  <si>
    <t>Rhynchosauridae</t>
  </si>
  <si>
    <t>Hyperodapedon</t>
  </si>
  <si>
    <t>Valle Pintado (lower)</t>
  </si>
  <si>
    <t>Via Union-Ischigualasto Basin, within Ischigualasto Provincial Park, San Juan province, NW Argentina</t>
  </si>
  <si>
    <t>skeletons,skulls,postcrania</t>
  </si>
  <si>
    <t>Machaeroprosopus</t>
  </si>
  <si>
    <t>New Mexico</t>
  </si>
  <si>
    <t>Rio Arriba</t>
  </si>
  <si>
    <t>Canjilon Quarry, UCMP V2816</t>
  </si>
  <si>
    <t>unpublished field data</t>
  </si>
  <si>
    <t>NE 1/4, SW 1/4, SW 1/4, sec 3, T24N, R4E, near Ghost Ranch Conference Center, NW New Mexico (also sometimes listed as section 2). UTM zone 13, 366350E, 4022257N.</t>
  </si>
  <si>
    <t>Typothorax</t>
  </si>
  <si>
    <t>Zeigler et al.</t>
  </si>
  <si>
    <t>body,adpression</t>
  </si>
  <si>
    <t>Coelophysis</t>
  </si>
  <si>
    <t>Connecticut</t>
  </si>
  <si>
    <t>New Haven</t>
  </si>
  <si>
    <t>Shuttle Meadow</t>
  </si>
  <si>
    <t>Meriden</t>
  </si>
  <si>
    <t>Bluff Head, Totoket Mountain</t>
  </si>
  <si>
    <t>North Guilford</t>
  </si>
  <si>
    <t>stream cut near Bluff Head, NE side of Totoket Mountain, North Guilford, near Durham, CT</t>
  </si>
  <si>
    <t>Teratosaurus</t>
  </si>
  <si>
    <t>Baden-Wurttemberg</t>
  </si>
  <si>
    <t>Middle Stubensandstein</t>
  </si>
  <si>
    <t>Meyer</t>
  </si>
  <si>
    <t>Heslach quarries, Stuttgart, "Heslacher Wand"</t>
  </si>
  <si>
    <t xml:space="preserve">Discoveries came from large quarry or chain of quarries, but locality data is imprecise. Most collections likely came from the "Heslacher Wand" cliff face at the mouth of the Nesnbach Valley to the east of Heslach. This large outcrop runs today for more than 200 metres from northwest to southeast (see HungerbÃƒÂ¼hler 1998: 380Ã¢Â€Â“383). GauÃƒÂŸ-KrÃƒÂ¼ger coordinates given by HungerbÃƒÂ¼hler (1998) are R 351058 H 540260. Note that this is distinct from the "Billert" quarry near Heslach that yielded abundant material of Aetosaurus. Note also that some of the specimens included here were listed by HungerbÃƒÂ¼hler (1998) as "Heslach or Kaltental". </t>
  </si>
  <si>
    <t>Burrer Quarry, Pfaffenhofen</t>
  </si>
  <si>
    <t>Burrerschen Quarry, Weisser Steinbruch, Heilbronn</t>
  </si>
  <si>
    <t>Mr. A. Burrer Quarry, Weisser Steinbruch, near Pfaffenhofen (= Heilbronn), Stromberg region, NW of Ludwigsburg, NordwÃƒÂ¼rttemberg (now Baden-WÃƒÂ¼rttemberg) and SW of Brackenheim; on the height over Pfaffenhofen.  Originally three separate operations that were combined: Heugel, Kleinarth, and Biedermann quarries.</t>
  </si>
  <si>
    <t>Gresslyosaurus</t>
  </si>
  <si>
    <t>Basel-Landschaft</t>
  </si>
  <si>
    <t>Liestal</t>
  </si>
  <si>
    <t>RÃƒÂ¼timeyer</t>
  </si>
  <si>
    <t>NiederschÃƒÂ¶nthal, Liestal</t>
  </si>
  <si>
    <t>NiederschÃƒÂ¶nthal, near Fullinsdorf, in Liestal, 10 km SE of Basel, Kanton Baselland</t>
  </si>
  <si>
    <t>Schaffhausen</t>
  </si>
  <si>
    <t>Santierge, Schleitheim</t>
  </si>
  <si>
    <t>Schleitheim-Santierge</t>
  </si>
  <si>
    <t>Santierge, a hill situated 900 m south of the church of Schleitheim in the Swiss Canton Schaffhausen</t>
  </si>
  <si>
    <t>Murry and Long</t>
  </si>
  <si>
    <t>Lacey Point SW1, SMU 229, PFV 27</t>
  </si>
  <si>
    <t>"Dinosaur Hill", Mesa Mound, UCMP V82242, PEFO 85106</t>
  </si>
  <si>
    <t>in Painted Desert Wilderness Area; Sec 18, T19N, R24E; about 0.7 km NW of actual Dinosaur Hill site (= PFV 40)</t>
  </si>
  <si>
    <t>skeletons,partial skeletons,skulls</t>
  </si>
  <si>
    <t>crevasse splay</t>
  </si>
  <si>
    <t>Siltstone</t>
  </si>
  <si>
    <t>Ghost Ranch Quarry</t>
  </si>
  <si>
    <t>Whitaker Quarry, Coelophysis Quarry</t>
  </si>
  <si>
    <t>SE 1/4, SE 1/4, SW 1/4, sec 1, T24N, R4E. Ghost Ranch, orig. owned by Arthur N. Pack</t>
  </si>
  <si>
    <t>NMMNH L-1312, Lower Kalgary</t>
  </si>
  <si>
    <t>Home Creek, SMU Loc. 120, Holmes Creek</t>
  </si>
  <si>
    <t>head of Home (= Homes, Holmes) Creek, Kalgary 7.5' quadrangle, Crosby Co., TX</t>
  </si>
  <si>
    <t>ZW</t>
  </si>
  <si>
    <t>Mashonaland Central</t>
  </si>
  <si>
    <t>Pebbly Arkose</t>
  </si>
  <si>
    <t>Karoo</t>
  </si>
  <si>
    <t>Raath et al.</t>
  </si>
  <si>
    <t>Z 53/3, Cabora Bassa Basin</t>
  </si>
  <si>
    <t xml:space="preserve">Dande Communal Lands, Cabora Bassa Basin; main rhynchosaur locality, grass-covered hilly area, ten individual bone concentrations found within a 200m square area. </t>
  </si>
  <si>
    <t>Saturnaliidae</t>
  </si>
  <si>
    <t>Saturnalia</t>
  </si>
  <si>
    <t>Langer et al.</t>
  </si>
  <si>
    <t>body,trace</t>
  </si>
  <si>
    <t>Revueltosaurus</t>
  </si>
  <si>
    <t>Quay</t>
  </si>
  <si>
    <t>Bull Canyon</t>
  </si>
  <si>
    <t>Hunt</t>
  </si>
  <si>
    <t>NMMNH Loc. 001, Revuelto Creek</t>
  </si>
  <si>
    <t>along Revuelto Creek, S of highway and railroad crossings 5 mi. W of San Jon, Quay Co., NM. NE 1/4, NE 1/4, SE 1/4, sec ?, T10N, R33E. [Gregory lists secs. 10, 14, 15.]</t>
  </si>
  <si>
    <t>Chindesaurus</t>
  </si>
  <si>
    <t>Dinosaur Hollow, PFV 20</t>
  </si>
  <si>
    <t>UCMP V84260, PEFO 85101, Chinde Mesa, Chinde Point, Gertie</t>
  </si>
  <si>
    <t>northern end of Petrified Forest National Monument, close to Chinde Point viewpoint; 6 km NE of PFV 40</t>
  </si>
  <si>
    <t>Loughney et al.</t>
  </si>
  <si>
    <t>Jura</t>
  </si>
  <si>
    <t>Franche-Comte</t>
  </si>
  <si>
    <t>Marnes irisÃƒÂ©es supÃƒÂ©rieures</t>
  </si>
  <si>
    <t>Villette railroad cutting, Poligny</t>
  </si>
  <si>
    <t>Arbois, Vilette</t>
  </si>
  <si>
    <t>in the Villette railroad cutting, near Arbois, Poligny</t>
  </si>
  <si>
    <t>Bois de Cassagne, Poligny</t>
  </si>
  <si>
    <t>Dimodosaurus type, Bois de Chassagne</t>
  </si>
  <si>
    <t>in a railroad cutting for the Bourg-BesanÃƒÂ§on railway line, Bois de Cassagne (= Chassagne), between Poligny and St. Lothain, SE France.</t>
  </si>
  <si>
    <t>Lorraine</t>
  </si>
  <si>
    <t>Meuthe-et-Moselle</t>
  </si>
  <si>
    <t>GrÃƒÂ¨s ÃƒÂ  Avicula contorta</t>
  </si>
  <si>
    <t>Buffetaut and Wouters</t>
  </si>
  <si>
    <t>Saint-Nicolas-de-Port</t>
  </si>
  <si>
    <t>RossiÃƒÂ¨res-aux-Salines, Rosieres-aux-Salines</t>
  </si>
  <si>
    <t>The quarry belongs to the city of RossiÃƒÂ¨res/Rosieres-aux-Salines, but its name comes from the larger (and farther) city of Saint-Nicolas-de-Port. Located 10 km ESE of Nancy</t>
  </si>
  <si>
    <t>Marnes de ChÃƒÂ¢lins</t>
  </si>
  <si>
    <t>Le Fechaux</t>
  </si>
  <si>
    <t>Lons-le-Saunier, Le Feschaux</t>
  </si>
  <si>
    <t>Le Fechaux (= Le Feschaux), in Lons-le-Saunier, Jura</t>
  </si>
  <si>
    <t>Camelotia</t>
  </si>
  <si>
    <t>Westbury</t>
  </si>
  <si>
    <t>Penarth</t>
  </si>
  <si>
    <t>Wedmore Stone</t>
  </si>
  <si>
    <t>Wedmore Hill, bed 7</t>
  </si>
  <si>
    <t>small quarry/pit, Wedmore Hill, parish of Wedmore, SE of Wedmore village, Vale of Glastonbury, Somerset. Described as "about the spot marked on the map of the Geological Survey by the letter D of the word Wedmore," NGR ST 4448.</t>
  </si>
  <si>
    <t>Staurikosaurus</t>
  </si>
  <si>
    <t>Santa Maria</t>
  </si>
  <si>
    <t>Alemoa</t>
  </si>
  <si>
    <t>AlemÃƒÂµa, Sanga Baixo (MCZ)</t>
  </si>
  <si>
    <t>Staurikosaurus type site, Sanga Grande, Santa Maria</t>
  </si>
  <si>
    <t>Sanga Grande (Baixo), at AlemÃƒÂµa, kilometer 3, E outskirts of Santa Maria</t>
  </si>
  <si>
    <t>Spondylosoma</t>
  </si>
  <si>
    <t>Dinodontosaurus</t>
  </si>
  <si>
    <t>Baum-Sanga (excavation 44), ChiniquÃƒÂ¡</t>
  </si>
  <si>
    <t>Spondylosoma type site</t>
  </si>
  <si>
    <t xml:space="preserve">vicinity of ChiniquÃƒÂ¡ (XiniquÃƒÂ¡), W of Santa Maria, Rio Grande do Sul, Parana Basin; Langer et al. (2007) show the locality to be approximately 12-15 km west of Sao Pedro do Sul. "Grabung 44" = excavation 44. </t>
  </si>
  <si>
    <t>Bayern</t>
  </si>
  <si>
    <t>Feuerletten</t>
  </si>
  <si>
    <t>Heroldsberg, Feuerletten</t>
  </si>
  <si>
    <t>Plateosaurus type site, NÃƒÂ¼rnberg</t>
  </si>
  <si>
    <t>Clay pit at the BuchenbÃƒÂ¼hl Hill, 2 km S of Heroldsberg, near NÃƒÂ¼rnberg (Nuremberg), Middle Franconia, Bavaria. Dorn (1930) thought that the site was actually between Heroldsberg and GÃƒÂ¼nthersbÃƒÂ¼hl, rather than the clay pit at BuchenbÃƒÂ¼hl (as claimed by Blanckenhorn, 1897).</t>
  </si>
  <si>
    <t>Moser</t>
  </si>
  <si>
    <t>Zanclodon</t>
  </si>
  <si>
    <t>Erfurt</t>
  </si>
  <si>
    <t>Lower Lettenkeuper</t>
  </si>
  <si>
    <t>Plieninger</t>
  </si>
  <si>
    <t>SwÃƒÂ¤bisch Hall, Gaildorf</t>
  </si>
  <si>
    <t>Zanclodon type site, SchwÃƒÂ¤bisch</t>
  </si>
  <si>
    <t>Gaildorf, near SwÃƒÂ¤bisch Hall (SchwÃƒÂ¤bisch), Baden-WÃƒÂ¼rttemberg</t>
  </si>
  <si>
    <t>"JÃƒÂ¤chklinge", Bl. 7420</t>
  </si>
  <si>
    <t>Brandklinge, Pfrondorf, TÃƒÂ¼bingen</t>
  </si>
  <si>
    <t>"JÃƒÂ¤chklinge" (= Brandklinge, "GÃƒÂ¤hklinge"?), in TÃƒÂ¼bingen-Pfrondorf, Bl. 7420 at 35-084, 53-796\r\n"The field designation Ã¢Â€ÂœGechtÃ¢Â€Â could also mean Ã¢Â€ÂœGechtbachÃ¢Â€Â, which flows into Ã¢Â€ÂœTiefenbachÃ¢Â€Â and most likely formed the Bradklinge"</t>
  </si>
  <si>
    <t>delta plain</t>
  </si>
  <si>
    <t>Bl. 7220, Degerloch</t>
  </si>
  <si>
    <t>near Degerloch, Stuttgart, Baden-WÃƒÂ¼rttemberg; Bl. 7220, 35-11050, 54-01370</t>
  </si>
  <si>
    <t>Bl. 7220, Erlenberg</t>
  </si>
  <si>
    <t>Erlenberg, beween Stuttgart (6 km S) and Vaihingen, Bl. 7220, from a railway cutting at 35-08540, 54-00850</t>
  </si>
  <si>
    <t>Degerloch, Stuttgart</t>
  </si>
  <si>
    <t>near Degerloch, Stuttgart, Baden-WÃƒÂ¼rttemberg; 100-120 feet from type site of P. reinigeri and 10 feet above</t>
  </si>
  <si>
    <t>Ruehleia</t>
  </si>
  <si>
    <t>Thuringia</t>
  </si>
  <si>
    <t>Grossen Gleichberg, RÃƒÂ¶mhild</t>
  </si>
  <si>
    <t>Grossen-Gleichberg</t>
  </si>
  <si>
    <t>Grossen Gleichberg, near RÃƒÂ¶mhild, SW of Hildburghausen, S Thuringia</t>
  </si>
  <si>
    <t>Gojirasaurus</t>
  </si>
  <si>
    <t>Carpenter</t>
  </si>
  <si>
    <t>UCM Loc. 82021, Revuelto Creek Local Fauna</t>
  </si>
  <si>
    <t>along upper rim of badlands on E side of Revuelto Creek, Quay Co., NM. Outcrops in secs 10, 14 and 15, T9N, R33E; revisited sites originally found by Gregory in 1947</t>
  </si>
  <si>
    <t>Carpenter and Parrish</t>
  </si>
  <si>
    <t>Rioarribasuchus</t>
  </si>
  <si>
    <t>Inadvertent Hills, UCMP V82250</t>
  </si>
  <si>
    <t>Dinosaur Hill, PFV 40, Fossil Cove, Bolt Quarry, FMNH 83-3, PEFO 85119</t>
  </si>
  <si>
    <t>3 low hills near Lacey Point, in SW portion of N end of PEFO National Park; Fossil Cove area</t>
  </si>
  <si>
    <t>Hesperosuchus</t>
  </si>
  <si>
    <t>Padian</t>
  </si>
  <si>
    <t>Massospondylidae</t>
  </si>
  <si>
    <t>Lufengosaurus</t>
  </si>
  <si>
    <t>Shawan, Lufeng</t>
  </si>
  <si>
    <t>2 li S of Tachung; 3 km N of Lufeng city, near small village of Shawan</t>
  </si>
  <si>
    <t>Tachung, Lufeng</t>
  </si>
  <si>
    <t>Tachun, Dachung, Dachong</t>
  </si>
  <si>
    <t>1 km NE of Shawan</t>
  </si>
  <si>
    <t>Anchisauridae</t>
  </si>
  <si>
    <t>Gyposaurus</t>
  </si>
  <si>
    <t>Lukousaurus</t>
  </si>
  <si>
    <t>Sinosaurus</t>
  </si>
  <si>
    <t>Lophostropheus</t>
  </si>
  <si>
    <t>marginal marine indet.</t>
  </si>
  <si>
    <t>Basse-Normandie</t>
  </si>
  <si>
    <t>Manche</t>
  </si>
  <si>
    <t>Moon-Airel</t>
  </si>
  <si>
    <t>Cuny and Galton</t>
  </si>
  <si>
    <t>Airel Quarry</t>
  </si>
  <si>
    <t>Carentain basin, W of Caen, SE of Cotentin peninsula, Normandy</t>
  </si>
  <si>
    <t>Chinshakiangosaurus</t>
  </si>
  <si>
    <t>Yungyin</t>
  </si>
  <si>
    <t>Fengjiahe</t>
  </si>
  <si>
    <t>Yeh</t>
  </si>
  <si>
    <t>Fenghe village, Zhonghe (IVPP)</t>
  </si>
  <si>
    <t>Dianzhong Basin</t>
  </si>
  <si>
    <t>Fenghe village, Zhonghe, Yungyin County, Dianzhong Basin, central Yunnan</t>
  </si>
  <si>
    <t>Ammorhynchus</t>
  </si>
  <si>
    <t>Nesbitt and Whatley</t>
  </si>
  <si>
    <t>MSM 02-153</t>
  </si>
  <si>
    <t>Moenkopi rhynchosaur, Ammorhynchus navajoi type</t>
  </si>
  <si>
    <t>Locality MSM 02-153 is within the Holbrook Member of the Moenkopi Formation and is ~10 miles southeast of Woodruff, Navajo County, AZ. Lat long is for Woodruff.</t>
  </si>
  <si>
    <t>MSM 00-99, ~2 km SE of Joseph City</t>
  </si>
  <si>
    <t>Locality MSM 00-99 is within the Holbrook Member of the Moenkopi Formation and is ~2 km southeast of Joseph City, Navajo County, AZ. Lat long is for Winslow.</t>
  </si>
  <si>
    <t>MSM 02-145, NW of Winslow</t>
  </si>
  <si>
    <t xml:space="preserve">Locality MSM 02-145 is within the Holbrook Member of the Moenkopi Formation and lies between the Little Colorado River and the town of Winslow, Navajo County, AZ. </t>
  </si>
  <si>
    <t>MSM 00-103, between Winslow and Holbrook</t>
  </si>
  <si>
    <t>Locality MSM 00-103 is within the Holbrook Member of the Moenkopi Formation and lies between Winslow and Holbrook, north of I-40, Navajo County, AZ. Lat long is for Winslow.</t>
  </si>
  <si>
    <t>Campylognathoididae</t>
  </si>
  <si>
    <t>Eudimorphodon</t>
  </si>
  <si>
    <t>Clemens</t>
  </si>
  <si>
    <t>Breitelen, Hallau layers d &amp; e</t>
  </si>
  <si>
    <t>Unter-Hallau, Hallau-Bratelen; Hallau Bratelen</t>
  </si>
  <si>
    <t>adjacent to road, near crest of the Hallauberg at Breitelen, 1 km NW of Hallau, 12 km W of Schaffhausen, kanton Schaffhausen. Formerly called Unter-Hallau.</t>
  </si>
  <si>
    <t>Unter-Hallau, Hallau-Bratelen</t>
  </si>
  <si>
    <t>adjacent to road, near crest of the Hallauberg at Breitelen, 1 km NW of Hallau, 12 km W of Schaffhausen, kanton Schaffhausen. Formerly called Unter-Hallau. Second shaft sunk in vicinity of 1915 excavation.</t>
  </si>
  <si>
    <t>Therizinosauridae</t>
  </si>
  <si>
    <t>Eshanosaurus</t>
  </si>
  <si>
    <t>Eshan</t>
  </si>
  <si>
    <t>Xu et al.</t>
  </si>
  <si>
    <t>Eshan (IVPP)</t>
  </si>
  <si>
    <t>Eshan county, Yunnan, Dianzhong Basin</t>
  </si>
  <si>
    <t>Thecodontosaurus</t>
  </si>
  <si>
    <t>Magnesian Conglomerate</t>
  </si>
  <si>
    <t>Owen</t>
  </si>
  <si>
    <t>Durdham Down, Quarry Steps</t>
  </si>
  <si>
    <t>Redland, Derdham</t>
  </si>
  <si>
    <t>Durdham Down locality at Quarry Steps, off Belgrave Terrace, Clifton, Redland, Bristol. Grid reference ST 572747. Described in Buckland 1824 as "by the turnpike-gate on Derdham Down"</t>
  </si>
  <si>
    <t>Benton et al.</t>
  </si>
  <si>
    <t>Coloradisaurus</t>
  </si>
  <si>
    <t>Bonaparte</t>
  </si>
  <si>
    <t>E of Cerro Rajado</t>
  </si>
  <si>
    <t>Coloradisaurus holotype</t>
  </si>
  <si>
    <t>"E of Cerro Rajado" according to Arcucci et al. (2004). Coordinates are estimated based upon the location of Rajado on the map in Arcucci et al. (2004)</t>
  </si>
  <si>
    <t>Riojasauridae</t>
  </si>
  <si>
    <t>Riojasaurus</t>
  </si>
  <si>
    <t>ruta 26, Los Colorados</t>
  </si>
  <si>
    <t>La Esquina</t>
  </si>
  <si>
    <t>between km 126 and 142 on ruta provincial 26 between Villa UnÃƒÂ­on and PatquÃƒÂ­a, S of Cerro Rajado. Arcucci et al. (2004) refer to this general area as "La Esquina"</t>
  </si>
  <si>
    <t>Syntarsus</t>
  </si>
  <si>
    <t>interdune</t>
  </si>
  <si>
    <t>Lucas and Heckert</t>
  </si>
  <si>
    <t>MNA 854-1, Ward Terrace</t>
  </si>
  <si>
    <t>MNA locality 854-1 on Ward Terrace near Cameron, AZ</t>
  </si>
  <si>
    <t>Arroyo Seco 1</t>
  </si>
  <si>
    <t>Coelophysis type site, Cope</t>
  </si>
  <si>
    <t>Arroyo Seco, Rio Arriba Co.</t>
  </si>
  <si>
    <t>Blue Mesa</t>
  </si>
  <si>
    <t>Camp</t>
  </si>
  <si>
    <t>Blue Hills 1, UCMP V7307, V7308</t>
  </si>
  <si>
    <t>St. Johns I</t>
  </si>
  <si>
    <t>Three miles NE of St. Johns</t>
  </si>
  <si>
    <t>Krzyzanowskisaurus</t>
  </si>
  <si>
    <t>Jasper Forest S, UCMP V82041</t>
  </si>
  <si>
    <t>PFV 167, PEFO 85070/85071, SMU 232, MNA 302/42 &amp; 302/43</t>
  </si>
  <si>
    <t>Leptosuchus</t>
  </si>
  <si>
    <t>Scutarx</t>
  </si>
  <si>
    <t>Sonsela</t>
  </si>
  <si>
    <t>Adamanian</t>
  </si>
  <si>
    <t>Battleship NW, UCMP V82261</t>
  </si>
  <si>
    <t>PFV 169, PEFO 85075</t>
  </si>
  <si>
    <t>near large butte (the "Battleship") across road from the Crystal Forest</t>
  </si>
  <si>
    <t>Rincon Basin East</t>
  </si>
  <si>
    <t>Winslow</t>
  </si>
  <si>
    <t>16 mi NE of Winslow, E margin of Rincon Basin</t>
  </si>
  <si>
    <t>Santa Fe</t>
  </si>
  <si>
    <t>Santa Rosa</t>
  </si>
  <si>
    <t>Tres Lagunas</t>
  </si>
  <si>
    <t>3 km North of White Lake</t>
  </si>
  <si>
    <t>29 km southwast of Canada Colorado</t>
  </si>
  <si>
    <t>Paratypothorax</t>
  </si>
  <si>
    <t>Valle FertÃƒÂ­l</t>
  </si>
  <si>
    <t>Reig</t>
  </si>
  <si>
    <t>3 km east-southeast of Aguada de la PeÃƒÂ±a</t>
  </si>
  <si>
    <t>PVL 2558, Ischigualasto</t>
  </si>
  <si>
    <t>3 km ESE of Aguada de la PeÃƒÂ±a, Ischigualasto Valley</t>
  </si>
  <si>
    <t>Valle Pintado</t>
  </si>
  <si>
    <t>Herrerasaurus type, Ischigualasto, Aguada de la PeÃƒÂ±a</t>
  </si>
  <si>
    <t>Valle Pintado, a few km ESE of Aguada de la PeÃƒÂ±a, Ischigualasto Valley</t>
  </si>
  <si>
    <t>Arroyo de la Pintada</t>
  </si>
  <si>
    <t>Aguada de la PeÃƒÂ±a, Ischigualasto, PVL 2045</t>
  </si>
  <si>
    <t>6 km WNW of Aguada de la PeÃƒÂ±a, 200 m right of dry river bed of Arroyo de la Pintada, Ischigualasto Valley</t>
  </si>
  <si>
    <t>Ischigualasto Valley (MLP)</t>
  </si>
  <si>
    <t>Ischigualasto Valley</t>
  </si>
  <si>
    <t>3.7 km east-southeast of Aguada de la PeÃƒÂ±a (MACN)</t>
  </si>
  <si>
    <t>Ischisaurus type, Ischigualasto</t>
  </si>
  <si>
    <t>3.7 km ESE of Aguada de la PeÃƒÂ±a, Ischigualasto Valley</t>
  </si>
  <si>
    <t>4 km east-southeast of Aguada de la PeÃƒÂ±a</t>
  </si>
  <si>
    <t>Ischigualasto, MLP</t>
  </si>
  <si>
    <t>4 km ESE of Aguada de la PeÃƒÂ±a, Ischigualasto Valley</t>
  </si>
  <si>
    <t>Trialestes</t>
  </si>
  <si>
    <t>4.2 km east-southeast of Aguada de la PeÃƒÂ±a</t>
  </si>
  <si>
    <t>Triassolestes type, Ischigualasto</t>
  </si>
  <si>
    <t>4.2 km ESE of Aguada de la PeÃƒÂ±a, southern Ischigualasto Valley</t>
  </si>
  <si>
    <t>Proterochampsa</t>
  </si>
  <si>
    <t>Valle FÃƒÂ©rtil</t>
  </si>
  <si>
    <t>Novas</t>
  </si>
  <si>
    <t>left bank, RÃƒÂ­o La Chilca, Ischigualasto</t>
  </si>
  <si>
    <t>left bank of RÃƒÂ­o La Chilca, 12 km before the Puerta de La Chilca, NW sector of Hoyada de Ischigualasto</t>
  </si>
  <si>
    <t>Parker et al.</t>
  </si>
  <si>
    <t>Revueltosaurus Quarry (PFV 297)</t>
  </si>
  <si>
    <t>in Petrified Forest National Park, in vicinity of Lacey Point. Coordinates for Lacy Point</t>
  </si>
  <si>
    <t>Parker and Irmis</t>
  </si>
  <si>
    <t>Vancleavea</t>
  </si>
  <si>
    <t>freshwater</t>
  </si>
  <si>
    <t>aquatic</t>
  </si>
  <si>
    <t>Nesbitt et al.</t>
  </si>
  <si>
    <t>Whitakersaurus</t>
  </si>
  <si>
    <t>Heckert et al.</t>
  </si>
  <si>
    <t>Sachs et al.</t>
  </si>
  <si>
    <t>Nottinghamshire</t>
  </si>
  <si>
    <t>Martill and Dawn</t>
  </si>
  <si>
    <t>Staple Pit</t>
  </si>
  <si>
    <t>South of Newark-upon-Trent, Nottinghamshire. National Grid Ref. SK 805499</t>
  </si>
  <si>
    <t>Painted Desert</t>
  </si>
  <si>
    <t>Sullivan et al.</t>
  </si>
  <si>
    <t>Orphan Mesa Loc. 1</t>
  </si>
  <si>
    <t>NW 1/4, NW 1/4, section 18, T24N, R5E. 2.5 km southeast of the Ghost Ranch quarry.</t>
  </si>
  <si>
    <t>Eucoelophysis</t>
  </si>
  <si>
    <t>Sullivan and Lucas</t>
  </si>
  <si>
    <t>Orphan Mesa Loc. 3</t>
  </si>
  <si>
    <t>Cross Quarry</t>
  </si>
  <si>
    <t>Orphan Mesa Loc. 2</t>
  </si>
  <si>
    <t>Orphan Mesa Loc. 5</t>
  </si>
  <si>
    <t>Orphan Mesa Loc. 6</t>
  </si>
  <si>
    <t>Orphan Mesa Loc. 8</t>
  </si>
  <si>
    <t>Orphan Mesa Loc. 9</t>
  </si>
  <si>
    <t>Orphan Mesa Loc. 12</t>
  </si>
  <si>
    <t>Orphan Mesa Loc. 13</t>
  </si>
  <si>
    <t>Arroyo Seco 2</t>
  </si>
  <si>
    <t>Gallina Canyon</t>
  </si>
  <si>
    <t>N 1/2, sec 5 or NW 1/4, sec 6 of T24N, R1E, Rio Arriba Co., in CaÃƒÂ±ada de Tableta, N of Cerro Blanco, near Gallina (sec 6 used for lat-long)</t>
  </si>
  <si>
    <t>teeth,postcrania</t>
  </si>
  <si>
    <t>Laquintasaura</t>
  </si>
  <si>
    <t>VE</t>
  </si>
  <si>
    <t>TÃƒÂ¡chira</t>
  </si>
  <si>
    <t>La Grita</t>
  </si>
  <si>
    <t>La Quinta</t>
  </si>
  <si>
    <t>Barrett et al.</t>
  </si>
  <si>
    <t>Rio La Grita</t>
  </si>
  <si>
    <t>La Quinta Quarry</t>
  </si>
  <si>
    <t>Small road cut across the Rio La Grita from the type section of the formation, which lies along the road between La Grita and Seboruca. Coordinates based on nearby town of La Grita.</t>
  </si>
  <si>
    <t>Niedersachsen</t>
  </si>
  <si>
    <t>RhÃƒÂ¤tkeuper</t>
  </si>
  <si>
    <t>Windolf</t>
  </si>
  <si>
    <t>Langeberge, Hedeper</t>
  </si>
  <si>
    <t>Langeberge, near Hedeper, WolfenbÃƒÂ¼ttel district; coordinates for Hedeper</t>
  </si>
  <si>
    <t>Asylosaurus</t>
  </si>
  <si>
    <t>Drepanosauridae</t>
  </si>
  <si>
    <t>Drepanosaurus</t>
  </si>
  <si>
    <t>Renesto et al.</t>
  </si>
  <si>
    <t>Sacisaurus</t>
  </si>
  <si>
    <t>Riograndia</t>
  </si>
  <si>
    <t>Ferigolo and Langer</t>
  </si>
  <si>
    <t>Agudo, Sacisaurus site</t>
  </si>
  <si>
    <t>inside the urban area of Agudo; coordinates given in text appear to be incorrect and locality is based upon town of Agudo</t>
  </si>
  <si>
    <t>Guaibasaurus</t>
  </si>
  <si>
    <t>Faxinal do Soturno County</t>
  </si>
  <si>
    <t>Brea et al.</t>
  </si>
  <si>
    <t>Faxinal do Soturno, Linha SÃƒÂ£o Luiz</t>
  </si>
  <si>
    <t xml:space="preserve">Coordinates given by de Vivar et al. (2020); slightly different sets of coordinates given for the same locality in different papers. Quarry for road metal located 1.5 km NE from the city of Faxinal do Soturno. Langer et al. (2007) and others refer to this locality as "Linha SÃƒÂ£o Luiz". </t>
  </si>
  <si>
    <t>body,mold/impression,adpression,trace,soft parts</t>
  </si>
  <si>
    <t>Grallatoridae</t>
  </si>
  <si>
    <t>Grallator</t>
  </si>
  <si>
    <t>Rockingham</t>
  </si>
  <si>
    <t>Cow Branch</t>
  </si>
  <si>
    <t>Dan River</t>
  </si>
  <si>
    <t>Upper</t>
  </si>
  <si>
    <t>Olsen and Gore</t>
  </si>
  <si>
    <t>Solite Corporation Quarry (YPM coll)</t>
  </si>
  <si>
    <t>Virginia Solite Quarry, CB1, Leaksville Junction</t>
  </si>
  <si>
    <t>In Leaksville Junction, straddling the VA/NC border near Edens, NC. Materials are from quarry B, in North Carolina</t>
  </si>
  <si>
    <t>Kholumolumo</t>
  </si>
  <si>
    <t>LS</t>
  </si>
  <si>
    <t>Mohale's Hoek</t>
  </si>
  <si>
    <t>Peyre de FabrÃƒÂ¨gues and Allain</t>
  </si>
  <si>
    <t>Thotobolo ea 'Ma-beata (zone A/4)</t>
  </si>
  <si>
    <t>Maphutseng Bone Bed, Euskelosaurus cemetery</t>
  </si>
  <si>
    <t>at foot of hill, a few meters from native huts, called Thotobolo ea 'Ma-beata, near Maphutseng, Mohale's-Hook district (Mohale's Hoek); later termed the "Maphutseng Euskelosaurus cemetery"</t>
  </si>
  <si>
    <t>teeth</t>
  </si>
  <si>
    <t>LU</t>
  </si>
  <si>
    <t>Diekirch</t>
  </si>
  <si>
    <t>Steinmergel</t>
  </si>
  <si>
    <t>Delsate</t>
  </si>
  <si>
    <t>Medernach bonebed</t>
  </si>
  <si>
    <t>Larochette</t>
  </si>
  <si>
    <t>talus of National (road) 14, between Larochette and Diekirch, from Rinckebierg to Medernach</t>
  </si>
  <si>
    <t>Yimenosaurus</t>
  </si>
  <si>
    <t>Yimen</t>
  </si>
  <si>
    <t>Bai et al.</t>
  </si>
  <si>
    <t>Jiaojiadian (YXV)</t>
  </si>
  <si>
    <t>Yimenosaurus type</t>
  </si>
  <si>
    <t>Jiaojiadian, Yimen Co., Yunnan - coordinates for nearby Yuxi</t>
  </si>
  <si>
    <t>Lessemsauridae</t>
  </si>
  <si>
    <t>Lessemsaurus</t>
  </si>
  <si>
    <t>Independencia</t>
  </si>
  <si>
    <t>Coloradian</t>
  </si>
  <si>
    <t>Paraje La Esquina</t>
  </si>
  <si>
    <t>Lessemsaurus type site</t>
  </si>
  <si>
    <t>Paraje la Esquina, Dpto. Independencia, SW La Rioja province, about 8 km west of provincial route 26, km 142</t>
  </si>
  <si>
    <t>Alwalkeria</t>
  </si>
  <si>
    <t>IN</t>
  </si>
  <si>
    <t>Andhra Pradesh</t>
  </si>
  <si>
    <t>Adilabad</t>
  </si>
  <si>
    <t>Lower Maleri</t>
  </si>
  <si>
    <t>Gondwana</t>
  </si>
  <si>
    <t>Nennal (ISI)</t>
  </si>
  <si>
    <t>Nainial, Pranhita-Godavari Valley</t>
  </si>
  <si>
    <t>Pranhita-Godavari Valley, Nennal (Nainial) village</t>
  </si>
  <si>
    <t>Tecovasaurus</t>
  </si>
  <si>
    <t>Lucianosaurus</t>
  </si>
  <si>
    <t>Guadalupe</t>
  </si>
  <si>
    <t>NMMNH Loc. 110, Luciano Mesa</t>
  </si>
  <si>
    <t>Lucianosaurus type; NMMNH L-00110, Bull Canyon, Luciana Mesa</t>
  </si>
  <si>
    <t>within Bull Canyon, near Luciano (= Luciana) Mesa; SW 1/4, SW 1/4, SE 1/4, sec 28, T9N, R26E</t>
  </si>
  <si>
    <t>Agate Bridge N, PFV 161</t>
  </si>
  <si>
    <t>PEFO 85065, UCMP V82239, MNA 302/53</t>
  </si>
  <si>
    <t>Giving Site, PFV 231</t>
  </si>
  <si>
    <t>PEFO</t>
  </si>
  <si>
    <t>SW of Lacey Point, Petrified Forest National Park</t>
  </si>
  <si>
    <t>Bowman Locality, PFV 89</t>
  </si>
  <si>
    <t>PEFO 85165, UCMP V84244, MNA 302/23</t>
  </si>
  <si>
    <t>Rhombopholis</t>
  </si>
  <si>
    <t>Bromsgrove Sandstone</t>
  </si>
  <si>
    <t>Sherwood Sandstone</t>
  </si>
  <si>
    <t>Benton and Walker</t>
  </si>
  <si>
    <t>Coten End Quarry</t>
  </si>
  <si>
    <t>Coton End Quarry</t>
  </si>
  <si>
    <t>OSGB SP 29006550. At Coton End, on the SE side of Warwick, at Blakedon Hill</t>
  </si>
  <si>
    <t>Bromsgroveia</t>
  </si>
  <si>
    <t>coastal indet.</t>
  </si>
  <si>
    <t>Benton and Spencer</t>
  </si>
  <si>
    <t>Aust Cliff bone bed (Ord coll, Bristol)</t>
  </si>
  <si>
    <t>body,trace,replaced with phosphate,coprolite</t>
  </si>
  <si>
    <t>Avicula contorta</t>
  </si>
  <si>
    <t>Rhaetic Bone Bed, Aust Cliff</t>
  </si>
  <si>
    <t>OSGB ST 565895 - ST 572901</t>
  </si>
  <si>
    <t>Tytherington Quarry, fissure 6b</t>
  </si>
  <si>
    <t>OSGB ST 66188894</t>
  </si>
  <si>
    <t>Ghost Ranch, southeast of quarry</t>
  </si>
  <si>
    <t>Approx. 1 mile to the southeast of the Ghost Ranch Quarry, to the east of Arroyo Seco and downstream from the quarry.</t>
  </si>
  <si>
    <t>Lot's Wife, PEFO</t>
  </si>
  <si>
    <t>Effigia</t>
  </si>
  <si>
    <t>Nesbitt and Norell</t>
  </si>
  <si>
    <t>Bonaparte and Pumares</t>
  </si>
  <si>
    <t>La Esquina, Ischigualasto (MACN-UPLR)</t>
  </si>
  <si>
    <t>La Esquina locality, near Pagancillo, Ischigualasto-Villa UniÃƒÂ³n basin</t>
  </si>
  <si>
    <t>Langeronyx</t>
  </si>
  <si>
    <t>Benton</t>
  </si>
  <si>
    <t>Azendohsauridae</t>
  </si>
  <si>
    <t>Azendohsaurus</t>
  </si>
  <si>
    <t>MA</t>
  </si>
  <si>
    <t>Marrakech-Safi</t>
  </si>
  <si>
    <t>Timezgadiouine</t>
  </si>
  <si>
    <t>Argana</t>
  </si>
  <si>
    <t>Irohalene</t>
  </si>
  <si>
    <t>Otischalkian</t>
  </si>
  <si>
    <t>Dutuit</t>
  </si>
  <si>
    <t>Locality XVI, Azendoh</t>
  </si>
  <si>
    <t>Alma</t>
  </si>
  <si>
    <t>between Agadir and Marrakech in the western High Atlas, about 15 km SW of Imi n'Tanoute, 1.5 km E of village of Azendoh, near village of Alma (coordinates 161.4Ã¢Â€Â“457.3). Includes sublocalities XVI 1, 2, and 3.</t>
  </si>
  <si>
    <t>Gauffre</t>
  </si>
  <si>
    <t>postcrania</t>
  </si>
  <si>
    <t>Arganasuchus</t>
  </si>
  <si>
    <t>Jalil and Peyer</t>
  </si>
  <si>
    <t>Locality XVII, Azarifen</t>
  </si>
  <si>
    <t>Near the village of Azarifen in the north of the Argana Basin; Lambert coordinates 161/458. Map shows locality to be close to the settlements of Titrine and Talaint; coordinates based on Talaint</t>
  </si>
  <si>
    <t>Technosaurus</t>
  </si>
  <si>
    <t>Martz</t>
  </si>
  <si>
    <t>Protoavis</t>
  </si>
  <si>
    <t>Small</t>
  </si>
  <si>
    <t>Flattops West, PFV 71</t>
  </si>
  <si>
    <t>PEFO 85146, UCMP V82259</t>
  </si>
  <si>
    <t>Pennsylvania</t>
  </si>
  <si>
    <t>York</t>
  </si>
  <si>
    <t>New Oxford</t>
  </si>
  <si>
    <t>Wheatley's Copper Mines, Emigsville (AMNH)</t>
  </si>
  <si>
    <t>Emiggsville</t>
  </si>
  <si>
    <t>Wheatley's Copper Mines, about 2 miles NW of Emigsville, part of Manchester, about 0.5 km SE of SMP locality 159.</t>
  </si>
  <si>
    <t xml:space="preserve"> Dinosaur Wash, PFV 122, Dying Grounds</t>
  </si>
  <si>
    <t>Dawn of the Dinosaurs, PEFO 85025, UCMP V7038, MNA 302/8, SMU 228, Camp Butte N1</t>
  </si>
  <si>
    <t>southern part of Petrified Forest National Monument, near base of Blue Mesa, in the Dying Grounds area. NOT the same as PFV 121 in Murry papers (typographical error).  Sec 23, T18N, R24E.</t>
  </si>
  <si>
    <t>Crosbysaurus</t>
  </si>
  <si>
    <t>Krzyzanowski Bonebed, NMMNH L-3764</t>
  </si>
  <si>
    <t>Blue Hills</t>
  </si>
  <si>
    <t>possibly one of Camp's (1930) "meal pots" localities, NE of Saint Johns, in the Blue Hills</t>
  </si>
  <si>
    <t>Stagonolepis</t>
  </si>
  <si>
    <t>McKinley</t>
  </si>
  <si>
    <t>Bluewater Creek</t>
  </si>
  <si>
    <t>NMMNH L-2739, Sixmile Spring</t>
  </si>
  <si>
    <t>Fort Wingate</t>
  </si>
  <si>
    <t>near Fort Wingate</t>
  </si>
  <si>
    <t>Fraserosphenodon</t>
  </si>
  <si>
    <t>Protecovasaurus</t>
  </si>
  <si>
    <t>Paleollanosaurus</t>
  </si>
  <si>
    <t>ChaÃƒÂ±ares River, 2 km north</t>
  </si>
  <si>
    <t>"2 km N of mouth of ChaÃƒÂ±ares River" according to Romer (1971), but "the exposures of the Los Chanares localtiy are more accurately located 3 km north of the north branch of the Chanares River and 5 km southwest of the Puerta de Talampaya" (Sereno &amp; Arcucci 1994)</t>
  </si>
  <si>
    <t>ChaÃƒÂ±ares River, 5 km northeast</t>
  </si>
  <si>
    <t>5 km NE of where the ChaÃƒÂ±ares River enters the Campo de Talampaya</t>
  </si>
  <si>
    <t>ChaÃƒÂ±ares River, 4.5 km east</t>
  </si>
  <si>
    <t>4.5 km E of mouth of ChaÃƒÂ±ares River</t>
  </si>
  <si>
    <t>ChaÃƒÂ±ares River, south fork valley</t>
  </si>
  <si>
    <t>0.5 mi SE of volcanic plug in the valley of the south fork of the ChaÃƒÂ±ares River</t>
  </si>
  <si>
    <t>ChaÃƒÂ±ares River, north fork valley</t>
  </si>
  <si>
    <t>5 mi E of where the ChaÃƒÂ±ares River enters the Talampaya Plain, in the valley of the north fork of the river</t>
  </si>
  <si>
    <t>Opole</t>
  </si>
  <si>
    <t>Drawno Beds</t>
  </si>
  <si>
    <t>Sulej</t>
  </si>
  <si>
    <t>KrasiejÃƒÂ³w locality (upper)</t>
  </si>
  <si>
    <t>KrasiejÃƒÂ³w, Opole Silesian region, in a clay pit belonging to the nearby Strzelce Opolskie cement plant</t>
  </si>
  <si>
    <t>Silesaurus</t>
  </si>
  <si>
    <t>Dzik</t>
  </si>
  <si>
    <t>Dzik et al.</t>
  </si>
  <si>
    <t>Polonosuchus</t>
  </si>
  <si>
    <t>Hunt and Wright</t>
  </si>
  <si>
    <t>Jeremiah's Perch, PFV 278</t>
  </si>
  <si>
    <t>Snyder Quarry, NMMNH 3845-1</t>
  </si>
  <si>
    <t>near Ghost Ranch, N-central New Mexico</t>
  </si>
  <si>
    <t>Sevatian</t>
  </si>
  <si>
    <t>Ziegler et al.</t>
  </si>
  <si>
    <t>Erpetosuchidae</t>
  </si>
  <si>
    <t>Erpetosuchus</t>
  </si>
  <si>
    <t>Olsen</t>
  </si>
  <si>
    <t>I-691, Cheshire</t>
  </si>
  <si>
    <t>just S of I-691, Cheshire</t>
  </si>
  <si>
    <t>body,replaced with silica</t>
  </si>
  <si>
    <t>Placodontidae</t>
  </si>
  <si>
    <t>Placodus</t>
  </si>
  <si>
    <t>durophage</t>
  </si>
  <si>
    <t>foreshore</t>
  </si>
  <si>
    <t>IL</t>
  </si>
  <si>
    <t>Brotzen</t>
  </si>
  <si>
    <t>Horizon 2, Woodbearing Member A, Wadi Raman, Negev Desert</t>
  </si>
  <si>
    <t>Wadi Raman is situated about 70 km south of Beersheva, Negev Desert</t>
  </si>
  <si>
    <t>Psephosauriscus</t>
  </si>
  <si>
    <t>Beneckeia beds, Member B, Wadi Raman, Negev Desert</t>
  </si>
  <si>
    <t>Tanystropheus</t>
  </si>
  <si>
    <t>Sandy beds, Member C, Wadi Raman, Negev Desert</t>
  </si>
  <si>
    <t>Placochelyidae</t>
  </si>
  <si>
    <t>Psephosaurus</t>
  </si>
  <si>
    <t>open shallow subtidal</t>
  </si>
  <si>
    <t>Sandy limestone, Ceratites zone 1, Member D, Wadi Raman, Negev Desert</t>
  </si>
  <si>
    <t>Ceratites zone 3, Member D, Wadi Raman, Negev Desert</t>
  </si>
  <si>
    <t>Parringtonia</t>
  </si>
  <si>
    <t>fluvial-deltaic indet.</t>
  </si>
  <si>
    <t>TZ</t>
  </si>
  <si>
    <t>Ruvuma</t>
  </si>
  <si>
    <t>Songea</t>
  </si>
  <si>
    <t>Manda Beds</t>
  </si>
  <si>
    <t>Lifua</t>
  </si>
  <si>
    <t>Cynognathus subzone C</t>
  </si>
  <si>
    <t>Parrington, Upper Bone Bed, Ruhuhu (Loc. B 15/1)</t>
  </si>
  <si>
    <t>Mkonoleko/Njalila, northwest of Songea, Ruhuhu Valley, Ruvuma region, southwestern Tanzania, E of Lake Nyasa (Njassa)</t>
  </si>
  <si>
    <t>Lunde</t>
  </si>
  <si>
    <t>Hurum et al.</t>
  </si>
  <si>
    <t>Snorre Field well 34/4-9S</t>
  </si>
  <si>
    <t>from a core taken from well 34/4-9S, NW part of Snorre Field, N part of Norwegian North Sea, offshore blocks 34/4 and 34/7</t>
  </si>
  <si>
    <t>Muschelkalk</t>
  </si>
  <si>
    <t>Bank der klein terrebrat</t>
  </si>
  <si>
    <t>McGowan and Smith</t>
  </si>
  <si>
    <t>Gottwollshausen, Ohrenklinge quarry</t>
  </si>
  <si>
    <t>Unable to get exact georeference - checked by WK</t>
  </si>
  <si>
    <t>Lehman and Chatterjee</t>
  </si>
  <si>
    <t>Lott Ranch, Garza</t>
  </si>
  <si>
    <t>from the Lott Ranch, Garza County - position estimated as 12 mi S of Post (historical location of ranch)</t>
  </si>
  <si>
    <t>skulls,partial skulls,teeth,vertebrae,limb elements</t>
  </si>
  <si>
    <t>Opisthodontosaurus</t>
  </si>
  <si>
    <t>Comanche</t>
  </si>
  <si>
    <t>Reisz et al.</t>
  </si>
  <si>
    <t>Richards Spur</t>
  </si>
  <si>
    <t>Fort Sill; OMNH locality V51; Dolese Bros. limestone quarry; FEP 60A</t>
  </si>
  <si>
    <t>"situated just west of the Anadarko-Lawton highway (U.S. routes 62 and 281), 10 1/2 miles south of Apache, about 1 1/2 miles south of the junction of this route and highway 277 (from Chickasha). It is about 6 miles north of Fort Sill, in sec. 31, T. 4 N. R. 11 W., Indian Meridian and Baseline, in Comanche County, Oklahoma" (Gregory et al., 1956 p. 2). Coordinates given in Hannibal &amp; May (2020) as "34Ã‚Â°46' 31.33" N and 98Ã‚Â°24' 22.00"W, which is about 5 miles (8 km) west of the center of the city of Elgin."</t>
  </si>
  <si>
    <t>Acleistorhinidae</t>
  </si>
  <si>
    <t>Colobomycter</t>
  </si>
  <si>
    <t>Sullivan and Reisz</t>
  </si>
  <si>
    <t>Baeotherates</t>
  </si>
  <si>
    <t>May and Cifelli</t>
  </si>
  <si>
    <t>Delorhynchus</t>
  </si>
  <si>
    <t>Fox</t>
  </si>
  <si>
    <t>Godefroit et al.</t>
  </si>
  <si>
    <t>Auf dem Heftgen, Syren</t>
  </si>
  <si>
    <t>SYREN 16561</t>
  </si>
  <si>
    <t>at northern wall of cemetery, near new housing estate, Syren, city of Weyler-la-Tour</t>
  </si>
  <si>
    <t>Godefroit and Cuny</t>
  </si>
  <si>
    <t>Graoullyodon</t>
  </si>
  <si>
    <t>Tillman</t>
  </si>
  <si>
    <t>Hennessey</t>
  </si>
  <si>
    <t>Daly</t>
  </si>
  <si>
    <t>southwest of Grandfield</t>
  </si>
  <si>
    <t>"SW1/4 SE1/4 SE1/4 sec. 20, T. 4 S, R. 15 W. This is 6 1/2 miles southwest of Grandfield... 3 miles north of the Red River..."\r\neast side of "a depression about fifty feet deep... near the top... [fossils] from the surface of a nose or ridge... three to four feet high and ten to twenty-five fee in area."</t>
  </si>
  <si>
    <t>Acleistorhinus</t>
  </si>
  <si>
    <t>Aixheim</t>
  </si>
  <si>
    <t>Aixheim, near Neuhaus, in Rottweil</t>
  </si>
  <si>
    <t>Austriadactylus</t>
  </si>
  <si>
    <t>lagoonal/restricted shallow subtidal</t>
  </si>
  <si>
    <t>Tyrol</t>
  </si>
  <si>
    <t>Seefelder Schichten</t>
  </si>
  <si>
    <t>Dalla Vecchia et al.</t>
  </si>
  <si>
    <t>Austriadactylus type locality near Ankerschlag</t>
  </si>
  <si>
    <t>Seefeld</t>
  </si>
  <si>
    <t>"Abandoned mine near Ankerschlag, Tyrol, NW Austria" (apparently near Seefeld in Tyrol, basis of coordinate)</t>
  </si>
  <si>
    <t>body,cast,trace</t>
  </si>
  <si>
    <t>Doswellia</t>
  </si>
  <si>
    <t>Hanover</t>
  </si>
  <si>
    <t>Falling Creek</t>
  </si>
  <si>
    <t>Doswell</t>
  </si>
  <si>
    <t>Poor Farm</t>
  </si>
  <si>
    <t>Weems</t>
  </si>
  <si>
    <t>Doswell sewer plant, bed 3 (USNM)</t>
  </si>
  <si>
    <t>Doswellia type site</t>
  </si>
  <si>
    <t>in pit dug for foundations of Doswell sewer plant, 1/4 mi N of confluence of North Anna and Little Rivers, near Doswell; Taylorsville Basin</t>
  </si>
  <si>
    <t>Doswell sewer plant, bed 4 (USNM)</t>
  </si>
  <si>
    <t>Doswell sewer plant, bed 7 (USNM)</t>
  </si>
  <si>
    <t>Doswell sewer plant, bed 8 (USNM)</t>
  </si>
  <si>
    <t>streambank north of Ashland (USNM)</t>
  </si>
  <si>
    <t>NE streambank of creek on E side of Richmond, Fredericksburg, &amp; Potomac Railway, 1.2 mi N of Ashland</t>
  </si>
  <si>
    <t>Teyumbaita</t>
  </si>
  <si>
    <t>Montefeltro et al.</t>
  </si>
  <si>
    <t>Wald Sanga (upper)</t>
  </si>
  <si>
    <t>Huene Sanga 1, Waldsanga</t>
  </si>
  <si>
    <t>near Santa Maria, between Allemoa and Sao JosÃƒÂ©\r\nCoordinates given by Montefeltro et al. (2010)</t>
  </si>
  <si>
    <t>Prestosuchus</t>
  </si>
  <si>
    <t>Cynodontier-Sanga, Fundgruppe 1045, ChiniquÃƒÂ¡</t>
  </si>
  <si>
    <t>vicinity of ChiniquÃƒÂ¡ (XiniquÃƒÂ¡), W of Santa Maria, Rio Grande do Sul, Parana Basin. This collection represents material grouped together by Huene as "Fundgruppe 1045"</t>
  </si>
  <si>
    <t>Dromomeron</t>
  </si>
  <si>
    <t>Irmis et al.</t>
  </si>
  <si>
    <t>coarse channel fill</t>
  </si>
  <si>
    <t>Hayden Quarry, Ghost Ranch (site 3)</t>
  </si>
  <si>
    <t>"is located in a series of exposures along the drainage of Arroyo Seco, an intermittently flowing tributary of the Rio Chama."</t>
  </si>
  <si>
    <t>Vivaron</t>
  </si>
  <si>
    <t>Lessner et al.</t>
  </si>
  <si>
    <t>Montgomery</t>
  </si>
  <si>
    <t>East of Pekin (PROXY)</t>
  </si>
  <si>
    <t>Pekinosaurus type site</t>
  </si>
  <si>
    <t>E of Pekin, Wadesboro Basin, NC; no further locality data given</t>
  </si>
  <si>
    <t>CA</t>
  </si>
  <si>
    <t>Nova Scotia</t>
  </si>
  <si>
    <t>McCoy Brook</t>
  </si>
  <si>
    <t>Wasson Bluff, site E</t>
  </si>
  <si>
    <t>E side of eastern microbasin, Wasson Bluff</t>
  </si>
  <si>
    <t>Wasson Bluff, site F</t>
  </si>
  <si>
    <t>westernmost edge of eastern microbasin, Wasson Bluff</t>
  </si>
  <si>
    <t>Wasson Bluff, site K</t>
  </si>
  <si>
    <t>W side of western microbasin, Wasson Bluff</t>
  </si>
  <si>
    <t>Ammosaurus</t>
  </si>
  <si>
    <t>Shubin et al.</t>
  </si>
  <si>
    <t>Wasson Bluff, site K'</t>
  </si>
  <si>
    <t>Wasson Bluff, site N west</t>
  </si>
  <si>
    <t>12 m W of site N, W side of western microbasin, Wasson Bluff</t>
  </si>
  <si>
    <t>Wasson Bluff, site N</t>
  </si>
  <si>
    <t>Wasson Bluff, site J south</t>
  </si>
  <si>
    <t>on a beach ridge S of site J, E margin of western microbasin, Wasson Bluff</t>
  </si>
  <si>
    <t>Wasson Bluff, site L east</t>
  </si>
  <si>
    <t>about 15 m E of site L, Wasson Bluff</t>
  </si>
  <si>
    <t>eolian indet.</t>
  </si>
  <si>
    <t>Olsen et al.</t>
  </si>
  <si>
    <t>Wasson Bluff, site L-K</t>
  </si>
  <si>
    <t>between sites L and K, W side of western microbasin, Wasson Bluff, Greenhill</t>
  </si>
  <si>
    <t>Wasson Bluff, site L-K'</t>
  </si>
  <si>
    <t>between sites L and K, W side of western microbasin, Wasson Bluff</t>
  </si>
  <si>
    <t>Hwiccewyrm</t>
  </si>
  <si>
    <t>Butler et al.</t>
  </si>
  <si>
    <t>Old Leamington Quarry</t>
  </si>
  <si>
    <t>?SP 325666, Warwick-Leamington area</t>
  </si>
  <si>
    <t>EG</t>
  </si>
  <si>
    <t>Shamal Sina</t>
  </si>
  <si>
    <t>Haas</t>
  </si>
  <si>
    <t>Gebel Araif en Naqa, Upper Ceratites-beds</t>
  </si>
  <si>
    <t>Gebel Araif en Naqa, near Egypt-Israel border</t>
  </si>
  <si>
    <t>Gebel Araif en Naqa, Lower Ceratites-beds</t>
  </si>
  <si>
    <t>NMMNH L-3251, Fort Wingate</t>
  </si>
  <si>
    <t>near town of Fort Wingate, Zuni Mtns.</t>
  </si>
  <si>
    <t>Tecovasuchus</t>
  </si>
  <si>
    <t>NMMNH L-3252</t>
  </si>
  <si>
    <t>Zuni Mountains area</t>
  </si>
  <si>
    <t>NMMNH L-3312</t>
  </si>
  <si>
    <t>Zuni Mountaina area; NW corner of sec 30, T14N, R15W</t>
  </si>
  <si>
    <t>%-elements</t>
  </si>
  <si>
    <t>WeiÃƒÂŸenburg-Gunzenhausen</t>
  </si>
  <si>
    <t>Ellingen, "Am TiergÃƒÂ¤rtle"</t>
  </si>
  <si>
    <t>"Am TiergÃƒÂ¤rtle" locality, village of Ellingen, near the town of Weissenburg, 45 km S of Nuremberg (see map in Moser 2003:fig. 14).</t>
  </si>
  <si>
    <t>van den Berg et al.</t>
  </si>
  <si>
    <t>Marshall and Whiteside</t>
  </si>
  <si>
    <t>Weigeltisauridae</t>
  </si>
  <si>
    <t>Weigeltisaurus</t>
  </si>
  <si>
    <t>Tyne and Wear</t>
  </si>
  <si>
    <t>Marl Slate</t>
  </si>
  <si>
    <t>Zechstein</t>
  </si>
  <si>
    <t>Eppleton Quarry (base of Marl Slate)</t>
  </si>
  <si>
    <t>Hetton-le-Hole</t>
  </si>
  <si>
    <t>"near Hetton-le-Hole, Tyne and Wear (NZ 351484)" (Pettigrew, 1979); "O.S. reference NZ 357484-not NZ 351484 as previously published" (Evans, 1982); coordinate based on Hetton-le-Hole</t>
  </si>
  <si>
    <t>peritidal</t>
  </si>
  <si>
    <t>Rottweil</t>
  </si>
  <si>
    <t>Trigonodus-Dolomit, Hall</t>
  </si>
  <si>
    <t>quarry near Hall</t>
  </si>
  <si>
    <t>Procompsognathus</t>
  </si>
  <si>
    <t>Mystriosuchus</t>
  </si>
  <si>
    <t>Sereno and Wild</t>
  </si>
  <si>
    <t>Nicrosaurus</t>
  </si>
  <si>
    <t>HungerbÃƒÂ¼hler and Hunt</t>
  </si>
  <si>
    <t>Provelosaurus</t>
  </si>
  <si>
    <t>SÃƒÂ£o Gabriel</t>
  </si>
  <si>
    <t>Rio do Rasto</t>
  </si>
  <si>
    <t>Passa Dois</t>
  </si>
  <si>
    <t>Morro Pelado</t>
  </si>
  <si>
    <t>Malabarba et al.</t>
  </si>
  <si>
    <t>Posto Queimado</t>
  </si>
  <si>
    <t>ParanÃƒÂ¡ Basin</t>
  </si>
  <si>
    <t>Coletta</t>
  </si>
  <si>
    <t>Inxuba Yethemba</t>
  </si>
  <si>
    <t>Lystrosaurus Assemblage</t>
  </si>
  <si>
    <t>Modesto et al.</t>
  </si>
  <si>
    <t>Brakfontein 333</t>
  </si>
  <si>
    <t>" [...] farm Brakfontein 333, Cradock District, Eastern Cape Province, Republic of South Africa; [...] " (Modesto et al., 2002).\r\nNote: Inxuba Yethemba is the name now used for the Cradock District.</t>
  </si>
  <si>
    <t>Sanchuansaurus</t>
  </si>
  <si>
    <t>Changhsingian</t>
  </si>
  <si>
    <t>Shanxi</t>
  </si>
  <si>
    <t>Liulin</t>
  </si>
  <si>
    <t xml:space="preserve">Shihtienfeng, Shiqianfeng, Sunjiagou </t>
  </si>
  <si>
    <t>Gao</t>
  </si>
  <si>
    <t>Tianjialing, Xuecun Town</t>
  </si>
  <si>
    <t>"Tianjialing Village, Liulin County, Shanxi Province" (Gao, 1989). \r\n\r\n"Shansisaurus xuecunensis is from Tianjialing village, near Xuecun (Cheng, 1980: 115), and Sanchuansaurus pygmaeus and the other pareiasaur bones reported by Gao (1989: 1234) are also Ã¢Â€Â˜from a locality near Tianjialing village, Liulin CountyÃ¢Â€Â™. The find site of Huanghesaurus liulinensis seemed less clear from GaoÃ¢Â€Â™s (1983) description, but Li &amp; Liu (2013: 199Ã¢Â€Â“200) state that it was from the same location. It turns out that Tianjialing village no longer exists Ã¢Â€Â“ it was a former habitation of the Tian family (Tianjialing means Ã¢Â€Â˜Tian family hillÃ¢Â€Â™), located at coordinates 37.410Ã‚Â°N, 110.811Ã‚Â°E, but the fossil site (37.412757Ã‚Â°N, 110.815922Ã‚Â°E), as confirmed by Li &amp; Liu (2013: 200), lies at the top of the cliff on the south bank of the Sanchuan River, opposite the G307 road, east of the bridge leading to Beigou village, and to the west of the G20 expressway bridge that crosses the Sanchuan valley, and just above a water tank for Beigou village, which carries the label Ã¢Â€Â˜TianjialingÃ¢Â€Â™ (as noted during fieldwork in July 2015)." (Benton 2016)\r\n</t>
  </si>
  <si>
    <t>Gecatogomphius</t>
  </si>
  <si>
    <t>Weinbaum and HungerbÃƒÂ¼hler</t>
  </si>
  <si>
    <t>MOTTU site 0690, McCarty Ranch</t>
  </si>
  <si>
    <t>Kalgary</t>
  </si>
  <si>
    <t>MOTTU site 0690, McCarty Ranch, near Kalgary</t>
  </si>
  <si>
    <t>Colobops</t>
  </si>
  <si>
    <t>Pritchard et al.</t>
  </si>
  <si>
    <t>I-91/Rte 6a/Rte 15, Meriden</t>
  </si>
  <si>
    <t>"near the junction of Routes 6a, 91, and 15, between Meriden and Middletown", exposed during highway construction blasting (and presumably therefore near the current I-691 extension)</t>
  </si>
  <si>
    <t>Protocaptorhinus</t>
  </si>
  <si>
    <t>Noble</t>
  </si>
  <si>
    <t>Wellington</t>
  </si>
  <si>
    <t>Sumner</t>
  </si>
  <si>
    <t>Orlando site, Noble Co. (Wellington Fm.)</t>
  </si>
  <si>
    <t>"about 2 miles northeast of Orlando in Noble County in SE1/4 sec. 31, T. 20 N., R. 1 W." (Olson, 1967 p. 44); Note: the town of Orlando itself lies in Logan Co., the fossil site, however, lies just across the border in Noble Co. Lat long is based on the map given by Olson (1967 p. 38).</t>
  </si>
  <si>
    <t>Captorhinikos</t>
  </si>
  <si>
    <t>Cleveland</t>
  </si>
  <si>
    <t>Fairmont Shale</t>
  </si>
  <si>
    <t>Norman</t>
  </si>
  <si>
    <t>Amos Moses estate</t>
  </si>
  <si>
    <t>short distance southeast of the campus of the University of Oklahoma, Norman, Oklahoma; on the property of Mr. Amos Moses of Norman, Oklahoma (SW 1/4 , NW 1/4 , sec. 13, T. 8 N., R. 2 W.)</t>
  </si>
  <si>
    <t>Acrodenta</t>
  </si>
  <si>
    <t>Marrakech-Tensift-Al Haouz</t>
  </si>
  <si>
    <t>Ikakern</t>
  </si>
  <si>
    <t>Tourbihine</t>
  </si>
  <si>
    <t>Irerhi village</t>
  </si>
  <si>
    <t>Argana Basin</t>
  </si>
  <si>
    <t>200 m SW of the douar (= moroccan mountain village) of Irerhi, halfway between the towns of Timesgadiouine and Argana; polar coordinates are for the village of Irerhi</t>
  </si>
  <si>
    <t>Labidosaurikos</t>
  </si>
  <si>
    <t>Logan</t>
  </si>
  <si>
    <t>Bruner</t>
  </si>
  <si>
    <t>1.5 miles northeast of Crescent</t>
  </si>
  <si>
    <t>About 1.5 miles (2.5 km) NE of Crescent</t>
  </si>
  <si>
    <t>Kapes</t>
  </si>
  <si>
    <t>Petropavlovka</t>
  </si>
  <si>
    <t>Yarensk</t>
  </si>
  <si>
    <t>Novikov and Sues</t>
  </si>
  <si>
    <t>Petropavlovka I (Locality 19)</t>
  </si>
  <si>
    <t>"Orenburg Region, southern outskirts of Petropavlovka village, right bank of the Sakmara River"; for details see map on p. 25/26 in Tverdokhlebov et al. (2003)</t>
  </si>
  <si>
    <t>Libognathus</t>
  </si>
  <si>
    <t>Double U Ranch, SE of Post</t>
  </si>
  <si>
    <t>"Double U Ranch, approximately 1.6 km (1 mile) southeast of Post, approximately 180 meters north of U.S. highway 84, along Sand Creek, Garza County, Texas. Lat. 33Ã‚Â°10'45"N, long. 101Ã‚Â°21'15"W, Post East 7.5 Minute Quadrangle."</t>
  </si>
  <si>
    <t>Nycteroleter</t>
  </si>
  <si>
    <t>Arkhangelsk</t>
  </si>
  <si>
    <t>Mezen'</t>
  </si>
  <si>
    <t>Ennatosaurus tecton</t>
  </si>
  <si>
    <t>Kiselikha, PIN 158, Lower Mezen' River</t>
  </si>
  <si>
    <t>Nizhnyaya Mezen'; Mezen' Basin</t>
  </si>
  <si>
    <t>One of a series of "localities in the lower reaches of the Mezen' River and its tributaries, the Kimzha (Kimja) and Peza" (Ivakhnenko, 1997), all located in Mezenskii District. \r\nLat long is for the junction area of the three rivers.</t>
  </si>
  <si>
    <t>Nyctiphruretidae</t>
  </si>
  <si>
    <t>Nyctiboetus</t>
  </si>
  <si>
    <t>Tverdokhlebova and Ivakhnenko</t>
  </si>
  <si>
    <t>Macroleter</t>
  </si>
  <si>
    <t>carbonate indet.</t>
  </si>
  <si>
    <t>Krymskiy, locality 7 of Tverdokhlebov et al. 2005</t>
  </si>
  <si>
    <t>Krimskii, Krymskii</t>
  </si>
  <si>
    <t>"Orenburg region, 1.2 km NE of Krymskii village, right bank of Molochai stream,\r\nSamara drainage basin" (Tverdokhlebov et al., 2005)</t>
  </si>
  <si>
    <t>Owenettidae</t>
  </si>
  <si>
    <t>Saurodektes</t>
  </si>
  <si>
    <t>Middelburg</t>
  </si>
  <si>
    <t>Balfour</t>
  </si>
  <si>
    <t>Palingkloof</t>
  </si>
  <si>
    <t>Manhaar Hill</t>
  </si>
  <si>
    <t>Barendskraal Farm, Klipfontein 234</t>
  </si>
  <si>
    <t>"on the slopes of 'Maanhaar', a koppie [term for a small hill in Afrikaans] on the farm Barendskraal (annex of Klipfontein 234), Middelburg District, Eastern Cape Province, South Africa"</t>
  </si>
  <si>
    <t>Acadiella</t>
  </si>
  <si>
    <t>Kings</t>
  </si>
  <si>
    <t>Wolfville</t>
  </si>
  <si>
    <t>Sues and Baird</t>
  </si>
  <si>
    <t>Evangeline Beach</t>
  </si>
  <si>
    <t>Acadiella holotype site</t>
  </si>
  <si>
    <t>Evangeline Beach, N of Grand PrÃƒÂ©</t>
  </si>
  <si>
    <t>Hants</t>
  </si>
  <si>
    <t>Old lighthouse, Burntcoat</t>
  </si>
  <si>
    <t>Haligonia holotype site</t>
  </si>
  <si>
    <t>from the eastern end of the cove below the old lighthouse at Burntcoat</t>
  </si>
  <si>
    <t>Locality KI (Upper Vale Formation)</t>
  </si>
  <si>
    <t>Lat long is estimated from map on p. 188 in Olson (1948) using the aerial photograph indices given in the footnote in Olson (1951, p. 104).</t>
  </si>
  <si>
    <t>Scoloparia</t>
  </si>
  <si>
    <t>Boot Island shore</t>
  </si>
  <si>
    <t>Scoloparia holotype site, , Boot Island reef</t>
  </si>
  <si>
    <t>from a beach on the NNW side of Boot Island</t>
  </si>
  <si>
    <t>Free State</t>
  </si>
  <si>
    <t>Kopanong</t>
  </si>
  <si>
    <t>Reisz and Scott</t>
  </si>
  <si>
    <t>Donovan's Kop</t>
  </si>
  <si>
    <t>"DonovanÃ¢Â€Â™s Kop, Tweefontein, Bethulie District"; Note: Kopanong is the name now used for the former Bethulie municipality.</t>
  </si>
  <si>
    <t>Millerettidae</t>
  </si>
  <si>
    <t>Milleropsis</t>
  </si>
  <si>
    <t>Dicynodon Assemblage</t>
  </si>
  <si>
    <t>Gow</t>
  </si>
  <si>
    <t>Swaelkrans, Murraysburg</t>
  </si>
  <si>
    <t>Swalekranz</t>
  </si>
  <si>
    <t>"Locality Swaelkrans, Murraysburg." (Gow, 1972). This site is mentioned as "Swalekranz" by Watson (1957, Phil. Trans. R. Soc. B 240). Polar coordinates are for Murraysburg.</t>
  </si>
  <si>
    <t>Milleretta</t>
  </si>
  <si>
    <t>Central Karoo</t>
  </si>
  <si>
    <t>Ringsfontein</t>
  </si>
  <si>
    <t>Locality Ringsfontein, Murraysburg</t>
  </si>
  <si>
    <t>Camdeboo</t>
  </si>
  <si>
    <t>Doornplaas</t>
  </si>
  <si>
    <t>Doornplaats; Rust</t>
  </si>
  <si>
    <t>"Locality Doornplaas, Graff Reinet" (Gow, 1972).\r\n"Doornplaats, Graaff-Reinet, South Africa" (Evans &amp; van den Heever, 1987).\r\nPolar coordinates are for farm Rust, situated about 35 km NW of Graaff-Reinet. Note: Camdeboo is the name now used for former Graaff-Reinet District.\r\n</t>
  </si>
  <si>
    <t>body,permineralized</t>
  </si>
  <si>
    <t>Dicynodon Assemblage Zone</t>
  </si>
  <si>
    <t>New Bethesda Commonage</t>
  </si>
  <si>
    <t>Nieu-Bethesda</t>
  </si>
  <si>
    <t>This collection comprises specimens collected from strata of the Dicynodon Assemblage biozone in the vicinity of New Bethesda, Graaff-Reinet (municipality currently called Camdeboo); lat long is for Nieu-Bethesda</t>
  </si>
  <si>
    <t>Millerosaurus</t>
  </si>
  <si>
    <t>Daptocephalus Assemblage</t>
  </si>
  <si>
    <t>Weltevreden, Nieu Bethesda (Graaff-Reinet)</t>
  </si>
  <si>
    <t>"Locality Weltevreden, Graaff Reinet"; polar coordinates are for farm Weltevreden, situated about 45 km NNW of Graaff-Reinet and about 10 km W of Nieu-Bethesda; Note: Camdeboo is the name now used for Graaff-Reinet municipality</t>
  </si>
  <si>
    <t>Teekloof</t>
  </si>
  <si>
    <t>Grootdriefontein (Dicynodon Assemblage Zone)</t>
  </si>
  <si>
    <t>Groot Driefontein</t>
  </si>
  <si>
    <t>"Locality Grootdriefontein, Murraysburg"; polar coordinates are for the farm houses of the farm Groot Driefontein, situated about 15 km NE of Murraysburg</t>
  </si>
  <si>
    <t>Daptocephalus or Dicynodon Assemblage Zone</t>
  </si>
  <si>
    <t>"Ganora", New Bethesda</t>
  </si>
  <si>
    <t>Afrikanderskloof</t>
  </si>
  <si>
    <t>Locality "Ganora", New Bethesda</t>
  </si>
  <si>
    <t>Millerinoides</t>
  </si>
  <si>
    <t>Wellwood (Dicynodon Assemblage Zone)</t>
  </si>
  <si>
    <t>"Locality Wellwood, Graaff Reinet"; polar coordinates are for farm Wellwood, a small area situated about 30 km NNE of Graaff-Reinet; Note: Camdeboo is the name now used for Graaff-Reinet municipality</t>
  </si>
  <si>
    <t>Petrolia</t>
  </si>
  <si>
    <t>Clark and Carroll</t>
  </si>
  <si>
    <t>Trematops locality (Belle Plains Fm.)</t>
  </si>
  <si>
    <t>west of Williams Ranch</t>
  </si>
  <si>
    <t>"west of Williams Ranch, J. Gibbs Survey A-566, southeast of Fulda,\r\nBaylor County, Texas" (Clark &amp; Carroll, 1973)\r\n"West of Williams, Baylor County" (Pawley, 2007 Appendix [http://www.journalofpaleontology.org/Archives/Volume_81/81(5)/Pawley/Appendix.doc]</t>
  </si>
  <si>
    <t>Cerro Blanco, NMMNH L-918</t>
  </si>
  <si>
    <t>Typothorax type, Gallina, Wheeler Expedition</t>
  </si>
  <si>
    <t>NE 1/4, sec 4, T23N, R1E; Cerro Blanco, near Gallina</t>
  </si>
  <si>
    <t>Mesa Montosa</t>
  </si>
  <si>
    <t>Coyote Amphitheater, NMMNH L-911</t>
  </si>
  <si>
    <t>Coyote Amphitheater; NW 1/4, sec 21, T23N, R3E</t>
  </si>
  <si>
    <t>Austriadraco</t>
  </si>
  <si>
    <t>Tirol</t>
  </si>
  <si>
    <t>Kellner</t>
  </si>
  <si>
    <t>Eudimorphodon site, Reither Joch-Alm, Seefeld</t>
  </si>
  <si>
    <t>"Above the Reither Joch-Alm (1499) at an elevation of about 1600 m"</t>
  </si>
  <si>
    <t>basinal (carbonate)</t>
  </si>
  <si>
    <t>Dolomia di Forni</t>
  </si>
  <si>
    <t>Dalla Vecchia</t>
  </si>
  <si>
    <t>Purone Creek, Forni di Sotto, Eudimorphodon</t>
  </si>
  <si>
    <t>Forchiar Creek, Enemonzo</t>
  </si>
  <si>
    <t>Eudimorphodon rosenfeldi holotype site</t>
  </si>
  <si>
    <t>Approximately 500 m a.s.l. along the Forchiar Creek, northern slope of Lovinzola Mt., Enemonzo, Carnia, Udine Province</t>
  </si>
  <si>
    <t>Seazza creek river bed, MFSN 21545</t>
  </si>
  <si>
    <t>Specimen is from the Seazza Creek valley, but more detailed locality data is not currently available</t>
  </si>
  <si>
    <t>Forchair Creek undescribed pterosaur, MFSN 26823</t>
  </si>
  <si>
    <t>"River bed of Forchair Creek"</t>
  </si>
  <si>
    <t>Preondactylus</t>
  </si>
  <si>
    <t>Wild</t>
  </si>
  <si>
    <t>S. church Madonna Peraries, Rio Seazza valley</t>
  </si>
  <si>
    <t>Preondactylus holotype site</t>
  </si>
  <si>
    <t>"south of the church in the small village of Madonna Peraries on the Northeast-slope of the Monte Pezzeit"</t>
  </si>
  <si>
    <t>Megalancosaurus</t>
  </si>
  <si>
    <t>arboreal</t>
  </si>
  <si>
    <t>Calzavara et al.</t>
  </si>
  <si>
    <t>Casolare Torzulis, Seazza Creek valley</t>
  </si>
  <si>
    <t>Megalancosaurus holotype</t>
  </si>
  <si>
    <t>"Near Casolare Torzulis in Preone valley - Ampezzo, Friuli, Italy"; more precise data not provided</t>
  </si>
  <si>
    <t>Langobardisaurus</t>
  </si>
  <si>
    <t>lower</t>
  </si>
  <si>
    <t>Renesto and Dalla Vecchia</t>
  </si>
  <si>
    <t>Seazza creek valley, Preone</t>
  </si>
  <si>
    <t>Langobardisaurus tonelloi holotype locality</t>
  </si>
  <si>
    <t>"Seazza creek valley"; no more detailed locality data provided</t>
  </si>
  <si>
    <t>Seazza creek valley, Preone, MFSN 18443a</t>
  </si>
  <si>
    <t>Oakes and Lucas</t>
  </si>
  <si>
    <t>Redonda</t>
  </si>
  <si>
    <t>Duke Ranch</t>
  </si>
  <si>
    <t>Shark Tooth Hill, NMMNH Loc. 487</t>
  </si>
  <si>
    <t>NMMNH L-487, SMU Loc. #133, SMU Loc. #134</t>
  </si>
  <si>
    <t>Shark Tooth Hill, SW 1/4, NE 1/4, NE 1/4, sec 28, T9N, R34E; immediately E of Sand Canyon Arroyo, 7.5 mi. S of San Jon, in eastern Quay County.  Two SMU localities at slightly different levels and facies, but collections not separated.</t>
  </si>
  <si>
    <t>Spielmann and Lucas</t>
  </si>
  <si>
    <t>Apache Canyon, NMMNH L-485</t>
  </si>
  <si>
    <t>Gregory's Quarry 2, UCMP 6148, YPM 6649</t>
  </si>
  <si>
    <t>NW 1/4 NE 1/4 NW 1/4 section 3, T8N, R33E. N and E sides of Apache Canyon, where road from Norton to Grady climbs the high plains escarpment.</t>
  </si>
  <si>
    <t>Redondasuchus</t>
  </si>
  <si>
    <t>Seazza creek valley, Preone, MFSN 1801</t>
  </si>
  <si>
    <t>Rovadia creek Langobardisaurus, MFSN 26829</t>
  </si>
  <si>
    <t xml:space="preserve">"Rovadia Creek where it has fallen from the rocky walls of the valley, later having been weathered by the stream"; no more detailed locality information provided. </t>
  </si>
  <si>
    <t>Owl Rock</t>
  </si>
  <si>
    <t>Kirby</t>
  </si>
  <si>
    <t>MNA 791, Ward Terrace</t>
  </si>
  <si>
    <t>at head of wash between Tenner and Tonehehand washes, on Ward Terrace, Navajo Nation</t>
  </si>
  <si>
    <t>Spielmann et al.</t>
  </si>
  <si>
    <t>MNA 214, north end of Ward Terrace</t>
  </si>
  <si>
    <t>UCMP V79713</t>
  </si>
  <si>
    <t>MNA 214, N end of Ward Terrace</t>
  </si>
  <si>
    <t>MNA 1060, Ward Terrace</t>
  </si>
  <si>
    <t>MNA 1060, N end of Ward Terrace</t>
  </si>
  <si>
    <t>MNA 908, Ward Terrace</t>
  </si>
  <si>
    <t>MNA 851, Ward Terrace</t>
  </si>
  <si>
    <t>MNA 852, Ward Terrace</t>
  </si>
  <si>
    <t>Milzer locality, MNA 853</t>
  </si>
  <si>
    <t>Ward Terrace</t>
  </si>
  <si>
    <t>MNA 853, Ward Terrace</t>
  </si>
  <si>
    <t>MNA 220, Ward Terrace</t>
  </si>
  <si>
    <t>UCMP V84248</t>
  </si>
  <si>
    <t>Billingsley Bonebed, MNA 360</t>
  </si>
  <si>
    <t>MNA 360, Ward Terrace</t>
  </si>
  <si>
    <t>Crocodile Hill locality (SMU Loc. 230, PFV 124)</t>
  </si>
  <si>
    <t>Petrified Forest, Crocodile Hill Quarry, Blue Mesa</t>
  </si>
  <si>
    <t>Crocodile Hill locality, Blue Mesa, Petrified Forest National Monument.  1200 ft (366 m) NNW of Dying Grounds knoll, Sec 23, T18N, R24E</t>
  </si>
  <si>
    <t>Crystal Forest locality (SMU Loc. 233)</t>
  </si>
  <si>
    <t>Petrified Forest, PEFO</t>
  </si>
  <si>
    <t>Petrified Forest National Monument; Sec 22, T17N, R24E, E of Crystal Forest Nature Trail, 3.75 km SSE of the "Sonsela Section" N of Agate Bridge on park road.</t>
  </si>
  <si>
    <t>body,replaced with other</t>
  </si>
  <si>
    <t>Flattops locality (SMU Loc. 231)</t>
  </si>
  <si>
    <t>Flattops area, Petrified Forest National Monument.  Sec 32, T17N, R24E</t>
  </si>
  <si>
    <t>Jasper Forest Locality (SMU Loc. 232)</t>
  </si>
  <si>
    <t>Sec 8, T17N, R24E</t>
  </si>
  <si>
    <t>Lower Sunday Canyon</t>
  </si>
  <si>
    <t>SMU Loc. 123</t>
  </si>
  <si>
    <t>badlands along Sunday Creek, Fortress Cliff 7.5' quadrangle</t>
  </si>
  <si>
    <t>Red Peak locality (SMU Loc. 131)</t>
  </si>
  <si>
    <t>Saladito Creek</t>
  </si>
  <si>
    <t>badlands along Saladito Creek, Apache Canyon 7.5' quadrangle; 2 localities; Hunt &amp; Lucas 1993 give coordinates as 34Ã‚Â° 57' 06" N, 103Ã‚Â° 26' 33" W, close to Apache Canyon in eastern Quay Co. Gregory lists secs. 28 &amp; 29, T9N, R33E.</t>
  </si>
  <si>
    <t>Joyce et al.</t>
  </si>
  <si>
    <t>Saurorictus</t>
  </si>
  <si>
    <t>Hoedemaker</t>
  </si>
  <si>
    <t>Tropidostoma Assemblage</t>
  </si>
  <si>
    <t>Modesto and Smith</t>
  </si>
  <si>
    <t>Leeukloof 43</t>
  </si>
  <si>
    <t>Leeuw Kloof, Leeuwkloof</t>
  </si>
  <si>
    <t>"A locality on the farm Leeukloof 43 in Beaufort West District, Western Cape Province, Republic of South Africa" (Modesto &amp; Smith, 2001). Polar coodinates are for the farm Leeuw Kloof 43, situated east of Regional Road 381, about 50 km NNW of Beaufort West.</t>
  </si>
  <si>
    <t>Rattlesnake Canyon (Admiral Fm.)</t>
  </si>
  <si>
    <t>Locality IVc (Romer &amp; Price 1940); Cummins' Headquarters; Lyles Place</t>
  </si>
  <si>
    <t>Rattlesnake Canyon, Archer County, Texas. Lat long is estimated from map on p. 397 in Clark &amp; Carroll (1973).</t>
  </si>
  <si>
    <t>Moradisaurus</t>
  </si>
  <si>
    <t>NE</t>
  </si>
  <si>
    <t>Agadez</t>
  </si>
  <si>
    <t>Arlit</t>
  </si>
  <si>
    <t>Moradi</t>
  </si>
  <si>
    <t>IzÃƒÂ©gouandane</t>
  </si>
  <si>
    <t>Taquet</t>
  </si>
  <si>
    <t>Tchimozenogue Area</t>
  </si>
  <si>
    <t>Moradi Fauna</t>
  </si>
  <si>
    <t>about 25 km south-southeast of the mining town of Arlit; for details see map on p. 310 in O'Keefe et al. (2005)</t>
  </si>
  <si>
    <t>Protorosaurus</t>
  </si>
  <si>
    <t>Hesse</t>
  </si>
  <si>
    <t>Waldeck-Frankenberg</t>
  </si>
  <si>
    <t>Werra</t>
  </si>
  <si>
    <t>Sues and Munk</t>
  </si>
  <si>
    <t>Korbach Fissure</t>
  </si>
  <si>
    <t>Fisseler quarry, Korbacher Spalte, Steinbruch Fisseler</t>
  </si>
  <si>
    <t>"1km south of the city of Korbach"</t>
  </si>
  <si>
    <t>Parasaurus</t>
  </si>
  <si>
    <t>Bunostegos</t>
  </si>
  <si>
    <t>Sidor et al.</t>
  </si>
  <si>
    <t>Ibadanane Area II</t>
  </si>
  <si>
    <t>"approximately 20 km west of Arlit"</t>
  </si>
  <si>
    <t>cast</t>
  </si>
  <si>
    <t>ZM</t>
  </si>
  <si>
    <t>Eastern</t>
  </si>
  <si>
    <t>Lundazi</t>
  </si>
  <si>
    <t>Madumabisa Mudstone</t>
  </si>
  <si>
    <t>Cistecephalus Assemblage</t>
  </si>
  <si>
    <t>Upper Luangwa Valley (Cistecephalus Zone fauna)</t>
  </si>
  <si>
    <t>"upper Luangwa Valley";\r\n"eastern margin of the Luangwa Valley near its northern extremity" (Kitching, 1963); locality coordinate is based on map on p. 259 in Kitching (1963); no exact locality data is given</t>
  </si>
  <si>
    <t>Woodrum's (Belle Plains Fm.)</t>
  </si>
  <si>
    <t>"NW of Woodrum's", Archer County, Texas. Lat long is estimated from map on p. 397 in Clark &amp; Carroll (1973).</t>
  </si>
  <si>
    <t>Fish Creek</t>
  </si>
  <si>
    <t>"Fish Creek, Baylor County, Texas" no further locality descriptions are given.</t>
  </si>
  <si>
    <t>Odontochelys</t>
  </si>
  <si>
    <t>deep-water indet.</t>
  </si>
  <si>
    <t>Xiaowa</t>
  </si>
  <si>
    <t>Li et al.</t>
  </si>
  <si>
    <t>Guanling, Lower Xiaowa Formation fossil lagerstÃƒÂ¤tte</t>
  </si>
  <si>
    <t>Guanling County, between Xinpu and Yongning</t>
  </si>
  <si>
    <t>Toretocnemidae</t>
  </si>
  <si>
    <t>Qianichthyosaurus</t>
  </si>
  <si>
    <t>Wang et al.</t>
  </si>
  <si>
    <t>Shastasauridae</t>
  </si>
  <si>
    <t>Guizhouichthyosaurus</t>
  </si>
  <si>
    <t>Guanlingsaurus</t>
  </si>
  <si>
    <t>Sinocyamodus</t>
  </si>
  <si>
    <t>Psephochelys</t>
  </si>
  <si>
    <t>Li and Rieppel</t>
  </si>
  <si>
    <t>Askeptosauridae</t>
  </si>
  <si>
    <t>Anshunsaurus</t>
  </si>
  <si>
    <t>Xinpusaurus</t>
  </si>
  <si>
    <t>Protorothyrididae</t>
  </si>
  <si>
    <t>Protorothyris</t>
  </si>
  <si>
    <t>West Virginia</t>
  </si>
  <si>
    <t>Monongalia</t>
  </si>
  <si>
    <t>Washington</t>
  </si>
  <si>
    <t>Dunkard</t>
  </si>
  <si>
    <t>Upper Marietta Sandstone</t>
  </si>
  <si>
    <t>Blacksville</t>
  </si>
  <si>
    <t>Dunkard Locality 9</t>
  </si>
  <si>
    <t>"Clay District, Monongalia County, West Virginia\r\nThis locality is a road cut on the east side of the Blacksville-Hundred Road (West Virginia Route No.7) about one and one-half miles west of Blacksville, West Virginia" (Moran, 1952)\r\nLat Long is for Blacksville</t>
  </si>
  <si>
    <t>Thuringothyris</t>
  </si>
  <si>
    <t>Gotha</t>
  </si>
  <si>
    <t>Tambach</t>
  </si>
  <si>
    <t>Rotliegend</t>
  </si>
  <si>
    <t>Tambach-Sandstein</t>
  </si>
  <si>
    <t>MÃƒÂ¼ller et al.</t>
  </si>
  <si>
    <t>Bromacker Quarry (upper level of Tambach sandstone)</t>
  </si>
  <si>
    <t>"...middle part of the Thuringian Forest near the village of Tambach-Dietharz and about 20 km south of the town of Gotha, central Germany."</t>
  </si>
  <si>
    <t>Eudibamus</t>
  </si>
  <si>
    <t>Berman et al.</t>
  </si>
  <si>
    <t>O'Keefe et al.</t>
  </si>
  <si>
    <t>Kissel et al.</t>
  </si>
  <si>
    <t>Big Wichita River (Arroyo Fm.)</t>
  </si>
  <si>
    <t>"North side Big Wichita River, Baylor County, Texas"</t>
  </si>
  <si>
    <t>Williston</t>
  </si>
  <si>
    <t>partial skulls,mandibles</t>
  </si>
  <si>
    <t>Gansu</t>
  </si>
  <si>
    <t>Qingtoushan</t>
  </si>
  <si>
    <t>Dashankou locality</t>
  </si>
  <si>
    <t>"The Dashankou locality is located about 20 km southwest of Old Yumen City, 50 km west of Jiayuguan City, 2500 m above the sea level. It lies on the north side of the Qilian Mountains." (Liu et al., 2009, APP). Polar coordinates are for Provincial Road 215 about 20 km SW from Old Yumen (Yumen Dongzhen).\r\nReisz et al. (2011) imply that Dashankou is (more or less) identical to Qingtoushan.</t>
  </si>
  <si>
    <t>Reisz and Heaton</t>
  </si>
  <si>
    <t>Wapitisaurus</t>
  </si>
  <si>
    <t>transition zone/lower shoreface</t>
  </si>
  <si>
    <t>British Columbia</t>
  </si>
  <si>
    <t>Sulphur Mountain</t>
  </si>
  <si>
    <t>Vega-Phroso Siltstone</t>
  </si>
  <si>
    <t>Brinkman</t>
  </si>
  <si>
    <t>Wapiti Lake</t>
  </si>
  <si>
    <t>"UTM 647,000 E., 6045000 N., Zone 10, map 931/10. Near Wapiti lake, British Columbia, Canada"</t>
  </si>
  <si>
    <t>Novikov</t>
  </si>
  <si>
    <t>Ust-Vymskii</t>
  </si>
  <si>
    <t>Yarenskian</t>
  </si>
  <si>
    <t>Gamskaya</t>
  </si>
  <si>
    <t>Spencer and Storrs</t>
  </si>
  <si>
    <t>Zheshart</t>
  </si>
  <si>
    <t>Vychegda River, Vichegda River, Zheshard</t>
  </si>
  <si>
    <t>"Zheshart settlement, Vichegda River, north-west of Siktivkar, Komi Semi-Autonomous Republic, north-east European Russia" (Spencer &amp; Storrs, 2002); Lat long is for Zheshart.</t>
  </si>
  <si>
    <t>Bashkyroleter</t>
  </si>
  <si>
    <t>Erythrosuchidae</t>
  </si>
  <si>
    <t>Chalishevia</t>
  </si>
  <si>
    <t>Bukobay</t>
  </si>
  <si>
    <t>Berdyankian</t>
  </si>
  <si>
    <t>Gower and Sennikov</t>
  </si>
  <si>
    <t>Starokoltaevo I (Locality 8)</t>
  </si>
  <si>
    <t>Koltayevo I</t>
  </si>
  <si>
    <t>"Bashkortostan. 10 km NE of Oktyabrsky town, right bank of the Bolshoy Yushatir\r\nRiver (Sakmara drainage basin)"</t>
  </si>
  <si>
    <t>Energosuchus</t>
  </si>
  <si>
    <t>Rautiania</t>
  </si>
  <si>
    <t>lacustrine deltaic indet.</t>
  </si>
  <si>
    <t>Saraktash</t>
  </si>
  <si>
    <t>Vyasovka</t>
  </si>
  <si>
    <t>Bulanov and Sennikov</t>
  </si>
  <si>
    <t>KulÃ¢Â€Â™chumovo-A</t>
  </si>
  <si>
    <t>Kulchumovo, Kultchumovo</t>
  </si>
  <si>
    <t>"Russia, Orenburg Region, Saraktashskii District" (Bulanov &amp; Sennikov, 2006); Lat long is for the village of KulÃ¢Â€Â™chumovo</t>
  </si>
  <si>
    <t>offshore</t>
  </si>
  <si>
    <t>Saxony Anhalt</t>
  </si>
  <si>
    <t>Mansfelder Land</t>
  </si>
  <si>
    <t>Kupferschiefer</t>
  </si>
  <si>
    <t>Evans and Haubold</t>
  </si>
  <si>
    <t>Mansfeld mining district</t>
  </si>
  <si>
    <t>Mansfelder Revier, Mansfelder Mulde, Mansfelder Land, Kupferschiefer, Copper Shale, Wolfsschacht, Otto-Schacht</t>
  </si>
  <si>
    <t>The Mansfeld Trough lies SE of the Hartz Mountains, and has many old mining facilities. Lat long is for the town of Eisleben.</t>
  </si>
  <si>
    <t>Hersfeld-Rotenburg</t>
  </si>
  <si>
    <t>Schaumberg</t>
  </si>
  <si>
    <t>Schwarzer Philipp</t>
  </si>
  <si>
    <t>Nentershausen-Bauhaus, Kupferschiefer, Copper Shale, Richelsdorfer Gebirge, Richelsdorf Mountains</t>
  </si>
  <si>
    <t>The specimen comes from the spoil heap of the abandoned copper mine "Schwarzer Philipp" at the graveyard of Bauhaus, a small village near the small town of Nentershausen in the central part of the Richelsdorf Mts. (NE Hesse), Central Germany.</t>
  </si>
  <si>
    <t>Wolfsberg Mine</t>
  </si>
  <si>
    <t>Iba, Kupferschiefer, Copper Shale, Richelsdorfer Gebirge, Richelsdorf Mountains</t>
  </si>
  <si>
    <t>The specimens come from the spoil heap of the abandoned Wolfsberg Mine near Iba, a village in the Richelsdorf Mts. of NE Hesse, Central Germany. Lat long is for Iba.</t>
  </si>
  <si>
    <t>Nordhausen</t>
  </si>
  <si>
    <t>Frey et al.</t>
  </si>
  <si>
    <t>Ellrich</t>
  </si>
  <si>
    <t>Ilfeld Basin, Kupferschiefer, Copper Shale</t>
  </si>
  <si>
    <t>Ellrich is a small town in the Ilfeld Rotliegend Basin at the southern margin of the Hartz Mountains, Central Germany.</t>
  </si>
  <si>
    <t>Younginidae</t>
  </si>
  <si>
    <t>Thadeosaurus</t>
  </si>
  <si>
    <t>MG</t>
  </si>
  <si>
    <t>Tulear</t>
  </si>
  <si>
    <t>Lower Sakamena</t>
  </si>
  <si>
    <t>Sakamena</t>
  </si>
  <si>
    <t>Carroll</t>
  </si>
  <si>
    <t>Mt. Eliva (Sakamena Fm.)</t>
  </si>
  <si>
    <t>Sakamena River Valley; Morondava Basin</t>
  </si>
  <si>
    <t>"Sakamena River Valley in the vicinity of Mount Eliva, southwestern Madagascar"; Lat long is estimated from map on Pl. 2 in Carroll (1981)</t>
  </si>
  <si>
    <t>Claudiosauridae</t>
  </si>
  <si>
    <t>Claudiosaurus</t>
  </si>
  <si>
    <t>paralic indet.</t>
  </si>
  <si>
    <t>Fianarantsoa</t>
  </si>
  <si>
    <t>Leoposa (Sakamena Fm.)</t>
  </si>
  <si>
    <t>Morondava Basin</t>
  </si>
  <si>
    <t>Locality is near Leoposa. Lat long is for Leoposa.</t>
  </si>
  <si>
    <t>Benenitra (Sakamena Fm.)</t>
  </si>
  <si>
    <t>Locality is near the village of Benenitra. Lat long is for Benenitra.</t>
  </si>
  <si>
    <t>Sakamaniga (Sakamena Fm.)</t>
  </si>
  <si>
    <t>Ranohira; Morondava Basin</t>
  </si>
  <si>
    <t>Locality is near the town of Ranohira. Lat long is for Ranohira.</t>
  </si>
  <si>
    <t>Coelurosauravus</t>
  </si>
  <si>
    <t>Emeroleter</t>
  </si>
  <si>
    <t>lacustrine delta plain</t>
  </si>
  <si>
    <t>Abdulino</t>
  </si>
  <si>
    <t>Tverdokhlebov et al.</t>
  </si>
  <si>
    <t>Saray Gir, locality 8 of Tverdokhlebov et al. 2005</t>
  </si>
  <si>
    <t>Sarai Gir, Sarai-Gir</t>
  </si>
  <si>
    <t>"Orenburg region, left bank of Saray Gir stream, 1 km upstream of Kluchevka village from where it empties into Zhilaya River, a left tributary of Ik River, Ural drainage basin" (Tverdokhlebov et al., 2005).\r\nNote: The tributary of Ik River in which the Saray-Gir River empties is designated as "Tiris" and the village at the mouth of Saray-Gir River is designated as "Novoyakupovo" on the topographic map (1:200.000, sheet Abdulino).</t>
  </si>
  <si>
    <t>Weigelt</t>
  </si>
  <si>
    <t>"Bullwagon"</t>
  </si>
  <si>
    <t>Locality KB (Upper Vale Fm.)</t>
  </si>
  <si>
    <t>"Valley of South Wichita River, south of River and East of Vera-Gilliland Road"; for details see map on p. 188 in Olson (1948)</t>
  </si>
  <si>
    <t>Locality KD</t>
  </si>
  <si>
    <t>(Upper Vale Fm.) Main site</t>
  </si>
  <si>
    <t>"Valley of South Wichita River, north of River and East of Vera-Gilliland Road"; for details see map on p. 188 in Olson (1948)</t>
  </si>
  <si>
    <t>Locality KC (Upper Vale Fm.)</t>
  </si>
  <si>
    <t>"South Walls of valley of South Wichita River, west of Vera-Gilliland Road"; for details see map on p. 188 in Olson (1948)</t>
  </si>
  <si>
    <t>Crooked Creek (Lower Vale Fm.)</t>
  </si>
  <si>
    <t>"Crooked Creek area"</t>
  </si>
  <si>
    <t>Locality KH (Upper Vale Fm.)</t>
  </si>
  <si>
    <t>"Southern margin of valley of North Wichita River"; for details see map on p. 188 in Olson (1948)</t>
  </si>
  <si>
    <t>Bodental (Nentershausen)</t>
  </si>
  <si>
    <t>Kupferschiefer, Copper Shale, Richelsdorfer Gebirge, Richelsdorf Mountains</t>
  </si>
  <si>
    <t>The Bodental locality is a few kilometers SW of Nentershausen in the central part of the Richelsdorf Mts. (NE Hesse), Central Germany.</t>
  </si>
  <si>
    <t>Prolacertidae</t>
  </si>
  <si>
    <t>Kadimakara</t>
  </si>
  <si>
    <t>AU</t>
  </si>
  <si>
    <t>Queensland</t>
  </si>
  <si>
    <t>Arcadia</t>
  </si>
  <si>
    <t>Rewan</t>
  </si>
  <si>
    <t>Bartholomai</t>
  </si>
  <si>
    <t>QMF L78 (Rewan Formation)</t>
  </si>
  <si>
    <t>"The Crater", QML 78</t>
  </si>
  <si>
    <t>"approximately 72 km southwest of Rolleston, central Queensland" (Bartholomai, 1979)</t>
  </si>
  <si>
    <t>Kudnu</t>
  </si>
  <si>
    <t>Lower Saxony</t>
  </si>
  <si>
    <t>Osterode</t>
  </si>
  <si>
    <t>Tsuji and MÃƒÂ¼ller</t>
  </si>
  <si>
    <t>Walkenried</t>
  </si>
  <si>
    <t>Walkenried is a small town in the Ilfeld Rotliegend Basin at the southern margin of the Hartz Mountains, Central Germany. Lat long is for Walkenried.</t>
  </si>
  <si>
    <t>Ilm-Kreis</t>
  </si>
  <si>
    <t>Ilmenau</t>
  </si>
  <si>
    <t>Kupferschiefer, Copper Shale</t>
  </si>
  <si>
    <t>Ilmenau is a small town at the northern margin of the southeastern part of the Thuringian Forest Mts. (ThÃƒÂ¼ringer Wald)</t>
  </si>
  <si>
    <t>Buchholz</t>
  </si>
  <si>
    <t>Spoil heaps near Buchholz, a village in the Ilfeld Rotliegend Basin at the southern margin of the Hartz Mountains, Central Germany. Lat long is for Buchholz.</t>
  </si>
  <si>
    <t>Archer City</t>
  </si>
  <si>
    <t>Cottonwood Creek (Moran Fm.)</t>
  </si>
  <si>
    <t>Locality IIb (Romer &amp; Price)</t>
  </si>
  <si>
    <t xml:space="preserve">Cottonwood Creek is a tributary of the south fork of the Little Wichita River (about 10 miles south of Archer City). Locality is "near the head of Cottonwood Creek, close to the southern border of Archer Co." (Romer &amp; Price, 1940) </t>
  </si>
  <si>
    <t>Romeria</t>
  </si>
  <si>
    <t>Middleton/Balfour</t>
  </si>
  <si>
    <t>Lee et al.</t>
  </si>
  <si>
    <t>Graaff-Reinet Commonage</t>
  </si>
  <si>
    <t>Lat long is for the town of Graaff-Reinet.</t>
  </si>
  <si>
    <t>Halde Schnepfenbusch</t>
  </si>
  <si>
    <t>Schachtanlage Schnepfenbusch, Nentershausen-Bauhaus, Kupferschiefer, Copper Shale, Richelsdorfer Gebirge, Richelsdorf Mountains</t>
  </si>
  <si>
    <t>"spoil heaps of the former mine Schachtanlage Schnepfenbusch near Nentershausen-Bauhaus (topographic map 1: 25 000, sheet no. 5925 - HÃƒÂ¶nebach; coordinates: r: 35 65 500, h: 56 51 200)" (Munk &amp; Sues, 1993)</t>
  </si>
  <si>
    <t>Munk and Sues</t>
  </si>
  <si>
    <t>Schaumberg et al.</t>
  </si>
  <si>
    <t>Sclerosaurus</t>
  </si>
  <si>
    <t>LÃƒÂ¶rrach</t>
  </si>
  <si>
    <t>Plattensandstein/RÃƒÂ¶tton</t>
  </si>
  <si>
    <t>Upper Buntsandstein</t>
  </si>
  <si>
    <t>Sues and Reisz</t>
  </si>
  <si>
    <t>Warmbach near Rheinfelden</t>
  </si>
  <si>
    <t>Sclerosaurus holotype site</t>
  </si>
  <si>
    <t>"quarry at Warmbach near Rheinfelden, Baden, Germany"</t>
  </si>
  <si>
    <t>body,mold/impression</t>
  </si>
  <si>
    <t>Basel-Stadt</t>
  </si>
  <si>
    <t>? Plattensandstein</t>
  </si>
  <si>
    <t>Riehen, Wiedersheim 1878</t>
  </si>
  <si>
    <t>Ã¢Â€ÂœLabyrinthodonÃ¢Â€Â ruetimeyeri holotype site</t>
  </si>
  <si>
    <t>"abandoned quarry at Riehen near Basel, Switzerland"</t>
  </si>
  <si>
    <t>Corosaurus</t>
  </si>
  <si>
    <t>Wyoming</t>
  </si>
  <si>
    <t>Natrona</t>
  </si>
  <si>
    <t>Crow Mountain</t>
  </si>
  <si>
    <t>Chugwater</t>
  </si>
  <si>
    <t>Alcova Limestone</t>
  </si>
  <si>
    <t>Rieppel</t>
  </si>
  <si>
    <t>Jackson Canyon</t>
  </si>
  <si>
    <t>The specimens were collected along the Alcova Limestone around Jackson Canyon and nearby outcrops - see Rieppel, O., 1998 for details.</t>
  </si>
  <si>
    <t>Noteosuchus</t>
  </si>
  <si>
    <t>Watson</t>
  </si>
  <si>
    <t>Grassy Ridge</t>
  </si>
  <si>
    <t>Grass Ridge, Grassridge</t>
  </si>
  <si>
    <t>"Grassy Ridge, Cape Province, at the very base of the Lystrosaurus zone" (Carroll, 1976); no further informations are given.\r\nKitching (1977) gives "Grassridge, Cradock" as the type locality of Noteosuchus colletti.\r\nThere is a farm called "Grass Ridge" just west of a reservoir lake called "Grass Ridge" as well at the eastern margin of the Inxuba Yethemba local municipality (former Cradock and Middelburg districts) in the Eastern Cape Province. It is very likely that this is the locality Carroll (1976) and Kitching (1977) refers to. Polar coordinates are for farm Grass Ridge, Inxuba Yethemba, Eastern Cape.</t>
  </si>
  <si>
    <t>Euparkeria</t>
  </si>
  <si>
    <t>Maletswai</t>
  </si>
  <si>
    <t>Burgersdorp</t>
  </si>
  <si>
    <t>Cynognathus Assemblage</t>
  </si>
  <si>
    <t>Ewer</t>
  </si>
  <si>
    <t>Euparkeria site, Aliwal North</t>
  </si>
  <si>
    <t>"Krielfontein", "Quarry Commonage"</t>
  </si>
  <si>
    <t>"one of the commonages over the brow of a hill on the left of the road to Lady Grey just outside Aliwal North" (Ewer, 1965);\r\n"Although others have also investigated exposures of the Cynognathus Assemblage Zone around Aliwal North and claims of knowledge of the true location of the site have been made, the site remains unknown" (Dilkes, 1998);\r\nLat Long is for the city of Aliwal North</t>
  </si>
  <si>
    <t>Mesosuchus</t>
  </si>
  <si>
    <t>Dilkes</t>
  </si>
  <si>
    <t>Sauropareion</t>
  </si>
  <si>
    <t>Barendskraal Farm</t>
  </si>
  <si>
    <t>"A locality on the farm Barendskraal, Middelburg District, Eastern Cape Province, Republic of South Africa" (Modesto et al., 2007); polar coordinates are for farm Klip Fonteyn 234 (said to include the Barendskraal farm in other Modesto papers, see, e.g., collection 80064) about 25 km SSW of Middelburg; Note: The former Middelburg district now is part of the Inxuba Yethemba local municipality.</t>
  </si>
  <si>
    <t>Phaanthosaurus</t>
  </si>
  <si>
    <t>Spencer and Benton</t>
  </si>
  <si>
    <t>Nizhnii Novgorod</t>
  </si>
  <si>
    <t>Krasnye Baki</t>
  </si>
  <si>
    <t>Krasnie Baki, Vetluga River</t>
  </si>
  <si>
    <t>"Krasnie Baki village, Vetluga River, Nizhnii Novgorod Province"; Lat long is for Krasnye Baki</t>
  </si>
  <si>
    <t>Anomoiodon</t>
  </si>
  <si>
    <t>Hildburghausen</t>
  </si>
  <si>
    <t>Solling</t>
  </si>
  <si>
    <t>Middle Buntsandstein</t>
  </si>
  <si>
    <t>Chirotherien Sandstein</t>
  </si>
  <si>
    <t>SÃƒÂ¤ilÃƒÂ¤</t>
  </si>
  <si>
    <t>Reurieth</t>
  </si>
  <si>
    <t>"Reurieth, near Hildburghausen" (SÃƒÂ¤ilÃƒÂ¤, 2008).</t>
  </si>
  <si>
    <t>Nyctiphruretus</t>
  </si>
  <si>
    <t>Reisz and Laurin</t>
  </si>
  <si>
    <t>Drysdall &amp; Kitching locality 21, Upper Luangwa Valley</t>
  </si>
  <si>
    <t>"upper Luangwa Valley" (Lee et al., 1977);\r\n"eastern margin of the Luangwa Valley near its northern extremity" (Kitching, 1963); locality coordinate is based on map on p. 259 in Kitching (1963); no exact locality data is given</t>
  </si>
  <si>
    <t>Proterosuchidae</t>
  </si>
  <si>
    <t>Archosaurus</t>
  </si>
  <si>
    <t>Vladimir</t>
  </si>
  <si>
    <t>Vyazniki</t>
  </si>
  <si>
    <t>Archosaurus rossicus</t>
  </si>
  <si>
    <t>Vyazniki Localities, PIN 1100</t>
  </si>
  <si>
    <t>Klyazma River; Bykovka gully; Zelenaya Gorka; Bykovka lake; Bykovka; Vyazniki-1; Vyazniki-2; Metallist; Yartsevo; Tolmachevo; Balymotikha-1; Balymotikha-2</t>
  </si>
  <si>
    <t>"Vyazniki locality, near Vyazniki, Vladimir Province" (Gower &amp; Sennikov, 2000); there is a total of 8 sub-localities, all close together at the peripherals of the town of Vyazniki; Lat long is based on map on p. S475 in Sennikov &amp; Golubev (2006)</t>
  </si>
  <si>
    <t>Elginiidae</t>
  </si>
  <si>
    <t>Obirkovia</t>
  </si>
  <si>
    <t>Bulanov and Yashina</t>
  </si>
  <si>
    <t>Tonshaevo</t>
  </si>
  <si>
    <t>Purly Locality, PIN 1538</t>
  </si>
  <si>
    <t>"Purly localitiy in the Nishnii Novgorod region" (Gower &amp; Sennikov, 2000); "Purly locality (Tonshaevskii District, Nizhni Novgorod Region, Russia)" (Ivakhnenko, 2008). Lat long is for the area of Purly, 1km north of Pizhma in Tonshaevo County.</t>
  </si>
  <si>
    <t>Kinelia</t>
  </si>
  <si>
    <t>Grachevskii</t>
  </si>
  <si>
    <t>Kutulukskaya</t>
  </si>
  <si>
    <t>Bulanov</t>
  </si>
  <si>
    <t>Vozdvizhenka, PIN 4538, locality 76 of Tverdokhlebov et al. 2005</t>
  </si>
  <si>
    <t>"Orenburg region, right bank of the Malaya Kinel River, 1 km downstream from\r\nVozdvizhenka village, Samara drainage basin" (Tverdokhlebov et al., 2005)</t>
  </si>
  <si>
    <t>Macrocnemus</t>
  </si>
  <si>
    <t>Piedmont</t>
  </si>
  <si>
    <t>Varese</t>
  </si>
  <si>
    <t>Besano</t>
  </si>
  <si>
    <t>Besano (Scisti bituminosi)</t>
  </si>
  <si>
    <t>Cava di Besano; beds equivalent to those at Monte San Giorgio</t>
  </si>
  <si>
    <t>"above Besano near Porto Ceresio"</t>
  </si>
  <si>
    <t>Ticino</t>
  </si>
  <si>
    <t>Mendrisio</t>
  </si>
  <si>
    <t>Mittlere Grenzbitumenzone</t>
  </si>
  <si>
    <t>Ticinites polymorphus</t>
  </si>
  <si>
    <t>Cava Tre Fontane</t>
  </si>
  <si>
    <t>Miniera Tre Fontane; Monte San Giorgio; Serpiano</t>
  </si>
  <si>
    <t>The Cava (or Miniera) Tre Fontane is an abandoned mine near Serpiano at the western flanks of the Mte. S. Giorgio</t>
  </si>
  <si>
    <t>Serpianosaurus</t>
  </si>
  <si>
    <t>Secedensis</t>
  </si>
  <si>
    <t>Point 902, Monte San Giorgio, Bed 132</t>
  </si>
  <si>
    <t>"Punkt 902" is a site near Serpiano, about 1 km WSW of the peak of Monte San Giorgio.</t>
  </si>
  <si>
    <t>Point 902, Monte San Giorgio, Bed 142</t>
  </si>
  <si>
    <t>Point 902, Monte San Giorgio, Bed 145</t>
  </si>
  <si>
    <t>Point 902, Monte San Giorgio, Bed 146</t>
  </si>
  <si>
    <t>Curionii</t>
  </si>
  <si>
    <t>Point 902, Monte San Giorgio, Bed 163</t>
  </si>
  <si>
    <t>Point 902, Monte San Giorgio, Bed 164</t>
  </si>
  <si>
    <t>Point 902, Monte San Giorgio, Bed 165</t>
  </si>
  <si>
    <t>body,adpression,coprolite</t>
  </si>
  <si>
    <t>Kanton Tessin</t>
  </si>
  <si>
    <t>Grenzbitumen-horizon</t>
  </si>
  <si>
    <t>Val Porina (incl. tetto nuovo)</t>
  </si>
  <si>
    <t>Valporina; Valle Porina; Miniera della Val Porina; Monte San Giorgio</t>
  </si>
  <si>
    <t>The Cava (or Miniera) della Val Porina is an abandoned mine in the Porina Valley about 1 km SW of the peak of Mte. S. Giorgio.\r\nThis collection comprises specimens for which no exact stratigraphic data are reported.</t>
  </si>
  <si>
    <t>Val Porina, tetto nuovo - Livello fra e cava</t>
  </si>
  <si>
    <t>Val Porina, tetto nuovo - Livello 8</t>
  </si>
  <si>
    <t>Val Porina, tetto nuovo - Livello 9</t>
  </si>
  <si>
    <t>Meride Limestone</t>
  </si>
  <si>
    <t>Alla Cascina</t>
  </si>
  <si>
    <t>Monte San Giorgio</t>
  </si>
  <si>
    <t>The Alla Cascina Locality is situated about 1 km SSW from the peak of Mte. S. Giorgio</t>
  </si>
  <si>
    <t>Adelosaurus</t>
  </si>
  <si>
    <t>Durham</t>
  </si>
  <si>
    <t>Middridge, Durham</t>
  </si>
  <si>
    <t>type locality of Adelosaurus huxleyi</t>
  </si>
  <si>
    <t>"Railway cutting, 1 km south-south-west of Middridge, Durham, England (NZ 2455 2535)" (Evans, 1988). Middridge is a small village near the town of Shildon, about 25 km WNW of Middlesbrough, and about 40 km S of Newcastle, northeastern England.</t>
  </si>
  <si>
    <t>Panphagia</t>
  </si>
  <si>
    <t>La PeÃƒÂ±a</t>
  </si>
  <si>
    <t>MartÃƒÂ­nez and Alcober</t>
  </si>
  <si>
    <t>Valle Pintado, Ischigualasto</t>
  </si>
  <si>
    <t>Panphagia type</t>
  </si>
  <si>
    <t>Valle Pintado, Hollada de Ischigualasto, Ischigualasto Provincial Park; IschigualastoÃ¢Â€Â“Villa UniÃƒÂ³n Basin</t>
  </si>
  <si>
    <t>"ditch along a secondary road in the NE 1/4 NW 1/4, sec. 29 T. 9 N., R. 2 W."\r\nThis today is in the northern outskirts of Norman, OK.</t>
  </si>
  <si>
    <t>USNM 21275</t>
  </si>
  <si>
    <t>"the southern half of section 24, T. 8 N., R. 2 W., Cleveland County, Oklahoma"; this is about 1 Mile E of Noble, Cleveland Co., OK</t>
  </si>
  <si>
    <t>Utatsusauridae</t>
  </si>
  <si>
    <t>Utatsusaurus</t>
  </si>
  <si>
    <t>JP</t>
  </si>
  <si>
    <t>Miyagi</t>
  </si>
  <si>
    <t>Motoyoshui-gun</t>
  </si>
  <si>
    <t>Osawa</t>
  </si>
  <si>
    <t>Inai</t>
  </si>
  <si>
    <t>Shikama and Kamei</t>
  </si>
  <si>
    <t>Tatezaki</t>
  </si>
  <si>
    <t>Tatezaki, Utatsu-cho, Motoyoshi-gun, Miyagi Prefecture</t>
  </si>
  <si>
    <t>mold/impression</t>
  </si>
  <si>
    <t>Tangasauridae</t>
  </si>
  <si>
    <t>Kenyasaurus</t>
  </si>
  <si>
    <t>KE</t>
  </si>
  <si>
    <t>Coast</t>
  </si>
  <si>
    <t>Kaloleni/Kinango</t>
  </si>
  <si>
    <t>Maji-Ya-Chumvi</t>
  </si>
  <si>
    <t>Duruma</t>
  </si>
  <si>
    <t>Harris and Carroll</t>
  </si>
  <si>
    <t>Mariakani</t>
  </si>
  <si>
    <t>"road cutting on the northeast side of the Nairobi-Mombasa road, approximately 3\r\nkilometers north of the village of Mariakani, 40 kilometers north of Mombasa, Kenya" (Harris &amp; Carroll, 1977); Mariakani lies on the border of Kaloleni and Kinango districts (formerly Kilifi and Kwale respectively) in the Coast Province of Kenya; lat long is for the town of Mariakani</t>
  </si>
  <si>
    <t>AA</t>
  </si>
  <si>
    <t>Fremouw</t>
  </si>
  <si>
    <t>Beacon</t>
  </si>
  <si>
    <t>Colbert and Kitching</t>
  </si>
  <si>
    <t>Kitching Ridge (Fremouw Fm.)</t>
  </si>
  <si>
    <t>Cumulus Hills</t>
  </si>
  <si>
    <t>Cumulus Hills, "east side of Shackleton Glacier, opposite its confluence with Logie Glacier and about 15 km. above the junctions of Baldwin Glacier on the east and McGregor Glacier on the west with Shackleton Glacier." (Colbert &amp; Kitching, 1975);\r\nIn the primary reference (Colbert &amp; Kitching, 1975) they say that the locality is 177Ã‚Â°E, but in Collinson et al. (2006, GSA Bull. 118(5/6) fig. 3) it is shown that in reality it is located about 177Ã‚Â°W.</t>
  </si>
  <si>
    <t>Collinson Ridge (Fremouw Fm., 85 m above base)</t>
  </si>
  <si>
    <t>Cumulus Hills; Halfmoon Bluff; Sentinel Hill</t>
  </si>
  <si>
    <t>Cumulus Hills, west side of Shackleton Glacier;\r\nIn the primary reference (Colbert &amp; Kitching, 1975) they say that the locality is 175Ã‚Â°30'E, but in Collinson et al. (2006, GSA Bull. 118(5/6) fig. 3) it is shown that in reality it is located about 175Ã‚Â°30'W.</t>
  </si>
  <si>
    <t>KÃƒÂ¶ssen</t>
  </si>
  <si>
    <t>Dilkes and Sues</t>
  </si>
  <si>
    <t>Doswellia site, near Ashland (USNM)</t>
  </si>
  <si>
    <t>Near Ashland, Hanover County, along Richmond, Fredericksberg and Potomac Railway right-of-way, about 1.5 miles (2.4 km) north of Route 54</t>
  </si>
  <si>
    <t>Qianosuchus</t>
  </si>
  <si>
    <t>Panxian</t>
  </si>
  <si>
    <t>Guanling</t>
  </si>
  <si>
    <t>Xinmin, Panxian County (IVPP)</t>
  </si>
  <si>
    <t>Qianosuchus holotype site</t>
  </si>
  <si>
    <t>Near Xinmin, Panxian County. Coordinates based upon Panxian</t>
  </si>
  <si>
    <t>Turfanosuchus</t>
  </si>
  <si>
    <t>Xinjiang</t>
  </si>
  <si>
    <t>Turfan</t>
  </si>
  <si>
    <t>Kelamayi</t>
  </si>
  <si>
    <t>Taoshuyuanzi, Turfan Basin</t>
  </si>
  <si>
    <t>Taoshuyuangou</t>
  </si>
  <si>
    <t>Taoshuyuanzi, 30 km northwest of Turfan Basin</t>
  </si>
  <si>
    <t>Mueller and Parker</t>
  </si>
  <si>
    <t>Carroll and Lindsay</t>
  </si>
  <si>
    <t>Paliguana</t>
  </si>
  <si>
    <t>Lystrosaurus</t>
  </si>
  <si>
    <t>Thrinaxodon Col (Fremouw Formation)</t>
  </si>
  <si>
    <t>Mount Kenyon; Cumulus Hills</t>
  </si>
  <si>
    <t>"The areas investigated lie in the Cumulus Hills, Queen Maud Range, near the junction of the McGregor and Shackleton Glaciers." (Cosgriff et al., 1982);\n" [...] approximately 4 km due south of the southern border of McGregor Glacier [...] on the north flank of Mount Kenyon." (Colbert &amp; Kitching, 1977); DMS coordinates given by Cosgriff et al. (1982), as used here to determine the geographic position of Thrinaxodon Col, are slightly different from those given by Colbert &amp; Kitching (1977) (despite the fact that the latter authors confused E with W in the longitude coordinate)</t>
  </si>
  <si>
    <t>Youngina</t>
  </si>
  <si>
    <t>Flag Canyon, 1 mile NNE Crystal Forest (PFV 191)</t>
  </si>
  <si>
    <t>Trilophosaurus dornorum holotype site</t>
  </si>
  <si>
    <t>Petrified Forest National Park; "approximately 1 mile NNE of Crystal Forest at the base of a long, north-south trending escarpment"</t>
  </si>
  <si>
    <t>PFV 295, near Mountain Lion Mesa, Petrified Forest National Park</t>
  </si>
  <si>
    <t>Pseudopalatus jablonskiae holotype site</t>
  </si>
  <si>
    <t>Daptocephalus Assemblage Zone</t>
  </si>
  <si>
    <t>Olson and Broom</t>
  </si>
  <si>
    <t>Toverwater</t>
  </si>
  <si>
    <t>Towerwater</t>
  </si>
  <si>
    <t>"Toverwater farm a few miles southeast of Murraysburg, South Africa". Polar coordinates are for farm Toverwater, situated about 20 km southeast of Murraysburg, Western Cape District Management area 05 (WCDMA05) of the Central Karoo district municipality.</t>
  </si>
  <si>
    <t>Smith and Evans</t>
  </si>
  <si>
    <t>Eunotosaurus</t>
  </si>
  <si>
    <t>Kareeberg</t>
  </si>
  <si>
    <t>Tapinocephalus</t>
  </si>
  <si>
    <t>Rubidge et al.</t>
  </si>
  <si>
    <t>Alarmkraal</t>
  </si>
  <si>
    <t>" [...] farm Alarmkraal (Cape map coordinates: 31Ã‚Â° 08.097Ã¢Â€Â™ S, 022Ã‚Â° 22.696Ã¢Â€Â™ E)." (Rubidge et al., 1999). The same coordinates are given by Modesto et al. (2001). For further details see map (fig. 2) in Rubidge et al. (1999).</t>
  </si>
  <si>
    <t>Fodonyx</t>
  </si>
  <si>
    <t>Devon</t>
  </si>
  <si>
    <t>Otter Sandstone</t>
  </si>
  <si>
    <t>Smallstones Point, Fodonyx (EXEMS 65/1984)</t>
  </si>
  <si>
    <t>UK National Grid reference SY 096847</t>
  </si>
  <si>
    <t>Sandy Cove, Fodonyx (EXEMS 60/1985.11)</t>
  </si>
  <si>
    <t>UK National Grid reference SY 0987 8545</t>
  </si>
  <si>
    <t>Fodonyx/archosaur specimens, Otter Sst, (EXEMS 60/1985.12, 13, 15, 23, 27, 28)</t>
  </si>
  <si>
    <t>UK National Grid reference SY 1010 8555</t>
  </si>
  <si>
    <t>Fodonyx/archosaur specimens, Otter Sst, (EXEMS 60/1985.37-46, 51)</t>
  </si>
  <si>
    <t>UK National Grid reference SY 1022 8567</t>
  </si>
  <si>
    <t>Fodonyx specimens, Otter Sst, (EXEMS 60/1985.56, 57, 282)</t>
  </si>
  <si>
    <t>UK National Grid reference SY 1032 8587</t>
  </si>
  <si>
    <t>Fodonyx specimens, Otter Sst, (EXEMS 60/1985.66, 67)</t>
  </si>
  <si>
    <t>UK National Grid reference SY 1044 8589</t>
  </si>
  <si>
    <t>Fodonyx specimens, Otter Sst, (EXEMS 60/1985.74)</t>
  </si>
  <si>
    <t>UK National Grid reference SY 1044 8587</t>
  </si>
  <si>
    <t>Green Point, Fodonyx spenceri (EXEMS 60/1985.91)</t>
  </si>
  <si>
    <t>UK National Grid reference SY 1053 8598</t>
  </si>
  <si>
    <t>Fodonyx/archosaur specimens, Otter Sst, (EXEMS 60/1985.92, 165, 177)</t>
  </si>
  <si>
    <t>UK National Grid reference SY 1297 8731</t>
  </si>
  <si>
    <t>Windgate, Fodonyx spenceri, (EXEMS 60/1985.284)</t>
  </si>
  <si>
    <t>UK National Grid reference SY 1066 8639</t>
  </si>
  <si>
    <t>Fodonyx specimens, Otter Sst (EXEMS 60/1985.285)</t>
  </si>
  <si>
    <t>UK National Grid reference SY 1067 8640</t>
  </si>
  <si>
    <t>Fodonyx specimens, Otter Sst (EXEMS 60/1985.290)</t>
  </si>
  <si>
    <t>UK National Grid reference SY 0957 8495</t>
  </si>
  <si>
    <t>Fodonyx (Rhynchosaurus) spenceri holotype site (EXEMS 60/1985.292)</t>
  </si>
  <si>
    <t>UK National Grid reference SY 1060 8639</t>
  </si>
  <si>
    <t>Fodonyx specimens, Otter Sst (EXEMS 60/1985.312)</t>
  </si>
  <si>
    <t>UK National Grid reference SY 1054 8626</t>
  </si>
  <si>
    <t>Fodonyx/archosaur specimens, Otter Sst (EXEMS 7/1986.3, 8)</t>
  </si>
  <si>
    <t>UK National Grid reference SY 1057 8641</t>
  </si>
  <si>
    <t>Fodonyx specimens, Otter Sst (EXEMS 7/1986.4)</t>
  </si>
  <si>
    <t>UK National Grid reference SY 1052 8598</t>
  </si>
  <si>
    <t>Fodonyx/archosaur specimens, Otter Sst (EXEMS 7/1986.5, 7)</t>
  </si>
  <si>
    <t>UK National Grid reference SY 1051 8598</t>
  </si>
  <si>
    <t>Fodonyx specimens, Otter Sst (EXEMS 7/1986.6)</t>
  </si>
  <si>
    <t>UK National Grid reference SY 1053 8608</t>
  </si>
  <si>
    <t>Bentonyx</t>
  </si>
  <si>
    <t>Pennington Point, 20 m east River Sid outfall, Fodonyx skull</t>
  </si>
  <si>
    <t>"Pennington Point, about 20 m east of the River Sid outfall (National Grid reference SY 130873). It was in situ (many fossils have come previously from fallen blocks) at the base of the cliff, and found at a time when much of the beach gravel had been swept away."</t>
  </si>
  <si>
    <t>western end of Salcombe Hill Cliff, Sidmouth</t>
  </si>
  <si>
    <t>Kapes bentoni holotype site</t>
  </si>
  <si>
    <t>western end of Salcombe Hill Cliff, Sidmouth, east Devon, England (NGR: SY 12978733)</t>
  </si>
  <si>
    <t>Lade Foot, below High Peak</t>
  </si>
  <si>
    <t>Lade Foot, below High Peak, east Devon (NGR: SY 106866)</t>
  </si>
  <si>
    <t>Coartaredens</t>
  </si>
  <si>
    <t>Otterton Point, Budleigh Salterton</t>
  </si>
  <si>
    <t xml:space="preserve">Cove on the east side of the Otter River, just north of Otterton Point, Budleigh Salterton </t>
  </si>
  <si>
    <t>Milner et al.</t>
  </si>
  <si>
    <t>Otter Sst Formation, Sidmouth-Ladram Bay</t>
  </si>
  <si>
    <t>General locality for specimens reported from the Otter Sandstone between Sidmouth and Ladram Bay that lack detailed locality information</t>
  </si>
  <si>
    <t>High Peak, Fodonyx spenceri, Otter Sst (BMNH R330)</t>
  </si>
  <si>
    <t>Picket Rock Cove, Fodonyx spenceri, Otter Sst (BMNH R9190)</t>
  </si>
  <si>
    <t>Hants County</t>
  </si>
  <si>
    <t>beach cove east of Noel Head ("Leptopleuron")</t>
  </si>
  <si>
    <t>Stegomus</t>
  </si>
  <si>
    <t>Passaic</t>
  </si>
  <si>
    <t>Neshanic</t>
  </si>
  <si>
    <t>Jepsen</t>
  </si>
  <si>
    <t>Neshanic Station</t>
  </si>
  <si>
    <t xml:space="preserve">Near the top of the hill northwest of the Neshanic River 0.4 miles from its junction with the South Branch of the Raritan River. About 1.25 miles southwest of Neshanic Station. About 1.5 miles east of the Clover Hill School in west Somerset County, New Jersey. </t>
  </si>
  <si>
    <t>Hypsognathus</t>
  </si>
  <si>
    <t>Meriden, Hypsognathus</t>
  </si>
  <si>
    <t>"backyard in Meriden, Connecticut"; coordinates for Meriden used</t>
  </si>
  <si>
    <t>Kings County</t>
  </si>
  <si>
    <t>Blomidon</t>
  </si>
  <si>
    <t>Red Head</t>
  </si>
  <si>
    <t>Paddy's Island, West Medford</t>
  </si>
  <si>
    <t>seacliff southwest of PaddyÃ¢Â€Â™s Island, West Medford, Kings County, Nova Scotia; coordinates based upon Medford</t>
  </si>
  <si>
    <t>Soturnia</t>
  </si>
  <si>
    <t>Cisneros and Schultz</t>
  </si>
  <si>
    <t>Bonaparte and Sues</t>
  </si>
  <si>
    <t>Nesbitt and Stocker</t>
  </si>
  <si>
    <t>Biberon Canyon, Canjilon Creek</t>
  </si>
  <si>
    <t>Biberon CaÃƒÂ±on</t>
  </si>
  <si>
    <t>Biberon Canyon (CaÃƒÂ±on), Canjilon Creek, S of the Canjilon Quarry and near Orphan Mesa</t>
  </si>
  <si>
    <t>Arganaceras</t>
  </si>
  <si>
    <t>Jalil and Janvier</t>
  </si>
  <si>
    <t>Locality XXII, Tikida</t>
  </si>
  <si>
    <t>" [...] recovered from a small basin (100 m across) [...]. This locality, called Tikida, is situated between Argana in the south and Timezgadouine in the north (Lambert coordinates: 146.8 km east, 430.8 km north)." (Jalil &amp; Dutuit, 1996).</t>
  </si>
  <si>
    <t>Australothyris</t>
  </si>
  <si>
    <t>Karoo Hoogland</t>
  </si>
  <si>
    <t>Tapinocephalus Assemblage Zone</t>
  </si>
  <si>
    <t>Beukesplaas</t>
  </si>
  <si>
    <t>Gannakraal 422, near Fraserburg</t>
  </si>
  <si>
    <t>" [...] farm Beukesplaas, Northern Cape Province, Republic of South Africa." (Modesto et al., 2009). " [...] near Fraserburg [...] " (Botha-Brink &amp; Modesto, 2007). Botha-Brink &amp; Modesto (2009, J. Vert. Paleont. 29(2)) add that Beukesplaas is on the farm Gannakraal 442 in the Fraserburg District, which is about 35 km SW from the town of Fraserburg on both sides of Regional Road 356. Note: Karoo Hoogland is the term now used for the former Fraserburg District.</t>
  </si>
  <si>
    <t>Thembelihle</t>
  </si>
  <si>
    <t>? Whitehill</t>
  </si>
  <si>
    <t>Ecca</t>
  </si>
  <si>
    <t>GÃƒÂ¼rich</t>
  </si>
  <si>
    <t>Hopetown, near intersection of Orange River and Cape Town-Kimberley railroad</t>
  </si>
  <si>
    <t>" [...] bei Hopetown in der NÃƒÂ¤he des Kreuzungspunktes des Orangeflusses und der Eisenbahn Kapstadt-Kimberley [at Hopetown near the intersection of Orange River and Cape Town-Kimberley railroad] [...] " (GÃƒÂ¼rich, 1889). This locality is in the Tembelilhe Local Municipality. Polar coordinates are for railroad bridge over Orange River.</t>
  </si>
  <si>
    <t>Brazilosaurus</t>
  </si>
  <si>
    <t>GoiÃƒÂ¡s</t>
  </si>
  <si>
    <t>PortelÃƒÂ¢ndia</t>
  </si>
  <si>
    <t>Irati</t>
  </si>
  <si>
    <t>Assistencia</t>
  </si>
  <si>
    <t>Sedor and Ferigolo</t>
  </si>
  <si>
    <t>METAGO I limestone quarry</t>
  </si>
  <si>
    <t>The METAGO quarries are near the GoiÃƒÂ¡s State Route 194, about 10 km north of the town of PortelÃƒÂ¢ndia (see fig. 1 in Sedor &amp; Ferigolo, 2001).</t>
  </si>
  <si>
    <t>Stereosternum</t>
  </si>
  <si>
    <t>PerolÃƒÂ¢ndia</t>
  </si>
  <si>
    <t>SUCAL limestone quarry</t>
  </si>
  <si>
    <t>The SUCAL quarry is about 5 km NNE of the town of PerolÃƒÂ¢ndia (see fig. 1 in Sedor &amp; Ferigolo, 2001).</t>
  </si>
  <si>
    <t>Broomia</t>
  </si>
  <si>
    <t>Makana</t>
  </si>
  <si>
    <t>Koonap</t>
  </si>
  <si>
    <t>Tapinocephalus Assemblage</t>
  </si>
  <si>
    <t>Cisneros et al.</t>
  </si>
  <si>
    <t>The Grant</t>
  </si>
  <si>
    <t>" [...] farm The Grant (33Ã‚Â°03' S; 26Ã‚Â° 23' E), Grahamstown district, Eastern Cape Province, Republic of South Africa." (Cisneros et al., 2008). The somewhat more exact coordinates are estimated from the map given in fig. 1 (ibid.). The name now applied to the Grahamstown (Albany) District is Cacadu.</t>
  </si>
  <si>
    <t>Hottentotsrivier Farm</t>
  </si>
  <si>
    <t>Hottentots River, Hottentot's River</t>
  </si>
  <si>
    <t>DMS coordinates are for farm Hottentots Rivier, situated about 55 km west of Beaufort West.</t>
  </si>
  <si>
    <t>Beeldhouersfontein</t>
  </si>
  <si>
    <t>"Locality Beeldhouersfontein" (Gow, 1972). No further details are given. There is a farm bearing that name in the eastern part of the former Murraysburg District (now Central Karoo), not notably far away from some other localities listed by Gow in the same paper. Polar coordinates are for farm Beeldhouersfontein, Central Karoo, Western Cape.</t>
  </si>
  <si>
    <t>Katbosch, Graaff-Reinet</t>
  </si>
  <si>
    <t>Katbos</t>
  </si>
  <si>
    <t>"Locality Katbosch, Graff Reinet" (Gow, 1972). This is the site mentioned as "Katbos" by Watson (1957, Phil. Trans. R. Soc. B 240). Polar coordinates are for buildings on the farm Katbosch, situated about 40 km NW of Graaff-Reinet. Note: Camdeboo is the name now used for Graaff-Reinet municipality.</t>
  </si>
  <si>
    <t>Yarasuchus</t>
  </si>
  <si>
    <t>Yerrapalli</t>
  </si>
  <si>
    <t>Sen</t>
  </si>
  <si>
    <t>Bhimaram village</t>
  </si>
  <si>
    <t>Yarasuchus holotype site</t>
  </si>
  <si>
    <t>4 km north northwest of Yerrapalli village</t>
  </si>
  <si>
    <t>Pamelaria</t>
  </si>
  <si>
    <t>Redondavenator</t>
  </si>
  <si>
    <t>Red Peak</t>
  </si>
  <si>
    <t>NMMNH locality 2671</t>
  </si>
  <si>
    <t>Redondavenator holotype site</t>
  </si>
  <si>
    <t>Wellenkalk</t>
  </si>
  <si>
    <t>Gogoliner Schichten</t>
  </si>
  <si>
    <t>Assmann</t>
  </si>
  <si>
    <t>Gogoliner Schichten, Muschelkalk, Chorzow</t>
  </si>
  <si>
    <t>various little quarries in the surroundings of Chorzow</t>
  </si>
  <si>
    <t>ParanÃƒÂ¡</t>
  </si>
  <si>
    <t>SÃƒÂ£o Mateus do Sul</t>
  </si>
  <si>
    <t>Rossmann and Maisch</t>
  </si>
  <si>
    <t>Sao Mateus do Sul</t>
  </si>
  <si>
    <t>? Petrosix quarry, ? PetrobrÃƒÂ¡s Six quarry; ParanÃƒÂ¡ Basin</t>
  </si>
  <si>
    <t>" [...] Sao Mateus do Sul (Steinbruch des Petrobas), Parana, Brasilien." (Rossmann &amp; Maisch, 1999). Note: "Steinbruch des Petrobas" very likely refers to the large Petrosix or PetrobrÃƒÂ¡s/Six quarry about 5 km NW of SÃƒÂ£o Mateus do Sul. Specimens listed to come from SÃƒÂ£o Mateus do Sul in other papers than that of Rossman &amp; Maisch (1999) may also come from that quarry or at least from the immediate vicinity of the town. DMS coordinates are for Petrosix quarry.</t>
  </si>
  <si>
    <t>SÃƒÂ£o Gabriel, R. G. do Sul</t>
  </si>
  <si>
    <t>" [...] Sao Gabriel, Rio Grande do Sul, Brasilien." (Rossmann &amp; Maisch, 1999). No further details are given.</t>
  </si>
  <si>
    <t>Liebrecht and MÃƒÂ¼ller</t>
  </si>
  <si>
    <t>SÃƒÂ£o Paulo</t>
  </si>
  <si>
    <t>RibeirÃƒÂ£o da OnÃƒÂ§a, 1/2 mile upstream from mouth into Rio TietÃƒÂ©</t>
  </si>
  <si>
    <t>Associated with the specimen is a short, hand-written note in which the locality is said to be "Eine halbe Meile oberhalb der MÃƒÂ¼ndung des R. da OnÃƒÂ§a in den TietÃƒÂ© [...] [Half a mile above the confluence of R. da OnÃƒÂ§a and TietÃƒÂ© River]". The label associated with the specimens says that this locality is in the State of SÃƒÂ£o Paulo, Brazil.\r\nNote: There are several rivers named RibeirÃƒÂ£o da OnÃƒÂ§a in the State of SÃƒÂ£o Paulo but there is only one flowing into the Rio TietÃƒÂ©. Additionally, this confluence is in the upper reaches of the TietÃƒÂ© River within the outcrop area of the Passa Dois Group. DMS coordinates are for mouth of RibeirÃƒÂ£o da OnÃƒÂ§a River into the Rio TietÃƒÂ©, about 130 km NW from the City of SÃƒÂ£o Paulo.</t>
  </si>
  <si>
    <t>Irati Formation, SP</t>
  </si>
  <si>
    <t>ParanÃƒÂ¡ Basin of eastern State of SÃƒÂ£o Paulo</t>
  </si>
  <si>
    <t>This collection contains specimens from the Irati Formation (Passa Dois Group) of the Brazilian State of SÃƒÂ£o Paulo for which no precise locality data is available. The relatively narrow outcrop belt of the Passa Dois Group is located in the eastern part of the state, about 150 km NW, W, and SW of the city of SÃƒÂ£o Paulo. Polar coordinates are the same as for PBDB locality 90192 (RibeirÃƒÂ£o da OnÃƒÂ§a) which is halfway between the famous Irati localities of Itapeteninga to the south and Rio Claro to the north.</t>
  </si>
  <si>
    <t>TatuÃƒÂ­</t>
  </si>
  <si>
    <t>Shikama and Ozaki</t>
  </si>
  <si>
    <t>Hanayama Farm, TatuÃƒÂ­</t>
  </si>
  <si>
    <t>" [...] 16 km NW of Tatui City [...] " (Shikama &amp; Ozaki, 1966). Polar coordinates are for TatuÃƒÂ­ City.\r\n</t>
  </si>
  <si>
    <t>Itapetininga</t>
  </si>
  <si>
    <t>Itapeteninga, Itapetininqua; ParanÃƒÂ¡ Basin</t>
  </si>
  <si>
    <t>"Itapetininqua" (Rossmann &amp; Maisch, 1999). Since Itapetininga in the State of SÃƒÂ£o Paulo is a famous mesosaur locality the name as given by Rossmann &amp; Maisch appears to be a misspelling.</t>
  </si>
  <si>
    <t>CearÃƒÂ¡</t>
  </si>
  <si>
    <t>50 km south of Juazeiro do Norte</t>
  </si>
  <si>
    <t>"Irati Formation von Ceara (50 km sÃƒÂ¼dlich von Juazeiro do Norte), NO Brasilien." (Rossmann &amp; Maisch, 1999). It is questionable whether the fossil actually comes from this locality since it is in great distance to the ParanÃƒÂ¡ Basin and the established distribution area of mesosaurs (see, e.g., Oelofsen &amp; Araujo, 1987, S. Afr. J. Sci. 83; Milani &amp; De Wit, 2008, Geol. Soc. London Spec. Publ. 294). The locality description suggests that the site from which the fossil supposedly comes is located in the rather small Araripe Basin at the southern border of the State of CearÃƒÂ¡, which is surrounded by Precambrian or Lower Paleozoic rocks. In this basin apparently exclusively Cretaceous and Jurassic deposits crop out but it is still possible, however unlikely, that small Permian, mesosaur-bearing exposures are present locally at the basin margins (TL).</t>
  </si>
  <si>
    <t>Rio Claro</t>
  </si>
  <si>
    <t>AssistÃƒÂªncia</t>
  </si>
  <si>
    <t>"Arsiteneia", Rio Claro, ParanÃƒÂ¡ Basin</t>
  </si>
  <si>
    <t>"Irati Formation von Arsiteneia, Sao Paulo, Brasilien." (Rossmann &amp; Maisch, 1999).\r\nNote: No town or municipality named "Arsiteneia" could be located in the State of SÃƒÂ£o Paulo. The only locality on Permian outcrop in SÃƒÂ£o Paulo being spelled similarly is AssistÃƒÂªncia in the Rio Claro municipality after which a lithostratigraphic subunit of the Irati Formation is named. Thus, "Arsiteneia" is very likely to be a misspelling for "AssistÃƒÂªncia". DMS coordinates are for village of AssistÃƒÂªncia, about 7 km south of Rio Claro and 150 km NW of SÃƒÂ£o Paulo City.</t>
  </si>
  <si>
    <t>Piracicaba</t>
  </si>
  <si>
    <t>Pirasicaba; ParanÃƒÂ¡ Basin</t>
  </si>
  <si>
    <t>"Irati Formation von Pirasicaba, Sao Paulo, Brasilien." (Rossmann &amp; Maisch, 1999). Nor further details given. Note: The name "Pirasicaba" most likely refers to the city or municipality of Piracicaba in the State of SÃƒÂ£o Paulo, which is on the outcrop of the Permian Passa Dois Group. Polar coordinates are for city of Piracicaba.</t>
  </si>
  <si>
    <t>Irati Formation, PR</t>
  </si>
  <si>
    <t>ParanÃƒÂ¡ Basin of State of ParanÃƒÂ¡</t>
  </si>
  <si>
    <t>This collection contains specimens from the Irati Formation (Passa Dois Group) of the Brazilian State of ParanÃƒÂ¡ for which no precise locality data is available. Polar coordinates are for the city of Irati in the central part of the state.\r\nRossmann (2000) lists several specimens of which he says that they come from 400 km south of SÃƒÂ£o Paulo (City). Assuming that he actually meant southwest of SÃƒÂ£o Paulo (otherwise the locality was at the continental slope of South America) this roughly approximates the geographic position of the town of Irati in the State of ParanÃƒÂ¡. Hence, these specimens are listed here.</t>
  </si>
  <si>
    <t>Prince Albert</t>
  </si>
  <si>
    <t>Seeley</t>
  </si>
  <si>
    <t>Weltevreden (Prince Albert)</t>
  </si>
  <si>
    <t>Welte Vreden; Fraserburg Road, Leeu Gamka</t>
  </si>
  <si>
    <t>"Welte Vreden, near Beaufort West, Cape Colony" (Seeley, 1892). This somewhat vague locality description is rendered more precisely by Cox (1969): " [...] Prince Albert District, about 15 miles south-west of Fraserburg Road." "Fraserburg Road" refers to the town now known as Leeu Gamka. Polar coordinates are for farm Weltevreden, north of National Road 1, SW from Leeu Gamka, Prince Albert Local Municipality (wrong original coordinates were altered accordingly).</t>
  </si>
  <si>
    <t>Pixley ka Seme</t>
  </si>
  <si>
    <t>Whitehill</t>
  </si>
  <si>
    <t>Modesto</t>
  </si>
  <si>
    <t>District of Albania, Griqualand West</t>
  </si>
  <si>
    <t>? Herbert</t>
  </si>
  <si>
    <t>" [...] district of Albania in Griqualand West." (Seeley, 1892). No further details are given.\r\nNote: The area formerly called Albania is located in the northern part of the Pixley ka Seme District Municipality of the Northern Cape Province of South Africa. This probably is the mesosaur locality Broom (1909 in Rogers &amp; Du Toit, An Introduction to the Geology of Cape Colony, 2nd ed., p. 192) refers to as "Herbert".</t>
  </si>
  <si>
    <t>Sillosuchus</t>
  </si>
  <si>
    <t>Alcober and Parrish</t>
  </si>
  <si>
    <t>Cancha de Bochas, southern Ischigualasto</t>
  </si>
  <si>
    <t>Sillosuchus longicervix type</t>
  </si>
  <si>
    <t>southern outcrops of formation within Ischigualasto Provincial Park</t>
  </si>
  <si>
    <t>Erythrosuchus</t>
  </si>
  <si>
    <t>Oorlogsfontein, Aliwal North District</t>
  </si>
  <si>
    <t>Oorlog's Fontein, Oorlogs Fontein 15</t>
  </si>
  <si>
    <t>" [...] Oorlog's Fontein, a few miles to the east of Aliwal North [...] " (Broom, 1906). DMS coordinates are for Farm Oorlogs Fontein 15, about 8 km east from town of Aliwal North, Maletswai Local Municipality, Ukhahlamba District Municipality, Eastern Cape Province.</t>
  </si>
  <si>
    <t>Hantam</t>
  </si>
  <si>
    <t>Calvinia</t>
  </si>
  <si>
    <t>" [...] from near Calvinia." (Broom, 1908). No further details are given.\r\nNote: This locality description very likely refers to the town in the southwestern part of the Northern Cape Province. Polar coordinates are for Calvinia, Hantam Local Municipality, Namakwa District Municipality, Northern Cape Province.</t>
  </si>
  <si>
    <t>Bushmanland, Cape Colony</t>
  </si>
  <si>
    <t>? Nieuwoudtville</t>
  </si>
  <si>
    <t>The name "Bushmanland" probably refers to the region in the north-western part of the former Cape Colony, south of the Orange River, labelled "Great Bushmanland" on historical maps. No further details are given by Broom (1905) except that the specimen was found by a reverend from the town of Nieuwoudtville. Broom (1909 in Rogers &amp; Du Toit, An Introduction to the Geology of Cape Colony, 2nd ed., p. 192/193) states that mesosaurs occur in the "White Band" of "Southern Bushmanland" but lists Calvinia as a separate locality. Hence, the specimen may come from the northern vicinity of Nieuwoudtville. Polar coordinates are for town of Nieuwoudtville.</t>
  </si>
  <si>
    <t>Karl et al.</t>
  </si>
  <si>
    <t>Iraty; ParanÃƒÂ¡ Basin</t>
  </si>
  <si>
    <t>" [...] Irati (former Iraty), ParanÃƒÂ¡, Brazil." (Karl et al., 2007). Polar coordinates are town of Irati.</t>
  </si>
  <si>
    <t>Californosauridae</t>
  </si>
  <si>
    <t>Callawayia</t>
  </si>
  <si>
    <t>Mcgowan</t>
  </si>
  <si>
    <t>Flipper Quarry</t>
  </si>
  <si>
    <t>Peace Reach; East of Indian Head; GSC locality C-176546</t>
  </si>
  <si>
    <t>"from the south shore of Peace Reach, Williston Lake, east of Indian Head... map reference UTM 10VET 203159" (coordinate based on Williston Lake)</t>
  </si>
  <si>
    <t>Idaho</t>
  </si>
  <si>
    <t>Bear Lake</t>
  </si>
  <si>
    <t>Thaynes</t>
  </si>
  <si>
    <t>Massare and Callaway</t>
  </si>
  <si>
    <t>Georgetown-Nounan Road</t>
  </si>
  <si>
    <t>IMNH 79002</t>
  </si>
  <si>
    <t>"T11S, R43E, sect. 10... west of Georgetown... along the Georgetown-Nounan Road, immediately west of the Bear River and Stauffer Creek crossings"</t>
  </si>
  <si>
    <t>Quarry 8 km S Rio Claro and 2 km S AssistÃƒÂªncia District</t>
  </si>
  <si>
    <t>Rio Claro, ParanÃƒÂ¡ Basin</t>
  </si>
  <si>
    <t>" [...] quarry 8 km S Rio Claro and 2 km S AssistÃƒÂªncia District, SÃƒÂ£o Paulo, Brazil." (Karl et al., 2007).</t>
  </si>
  <si>
    <t>Rossmann</t>
  </si>
  <si>
    <t>Irati station</t>
  </si>
  <si>
    <t>type locality of Mesosaurus brasiliensis; Iraty; ParanÃƒÂ¡ Basin</t>
  </si>
  <si>
    <t>DMS coordinates are the same as for &lt;a href="https://paleobiodb.org/cgi-bin/bridge.pl?a=basicCollectionSearch&amp;collection_no=90323"&gt;PBDB collection no. 90323&lt;/a&gt; (town of Irati).</t>
  </si>
  <si>
    <t>RebouÃƒÂ§as</t>
  </si>
  <si>
    <t>"AndrÃƒÂ© RebouÃƒÂ§as station"; Iraty; ParanÃƒÂ¡ Basin</t>
  </si>
  <si>
    <t>Rossmann (2000) states that the localities from which Mac Gregor's specimens of Mesosaurus brasiliensis were recovered are in the states of SÃƒÂ£o Paulo and "Rio Grande". Rossmann (2000) and Karl et al. (2007, Clausthaler Geowiss. 6) refer the locality in question to as "AndrÃƒÂ© RebouÃƒÂ§as station" (probably adapted from the original publication or from the museum collection records) and Karl et al. (2007) say that it is nearby Irati in the state of ParanÃƒÂ¡. There is a town formerly called AntÃƒÂ´nio RebouÃƒÂ§as, named after the engineer who built the local railway station, about 15 km SSW from Irati. Thus, it appears that "AndrÃƒÂ© RebouÃƒÂ§as station" actually refers to that town (today simply referred to as RebouÃƒÂ§as; see http://www.prdagente.pr.gov.br). DMS coordinates are for RebouÃƒÂ§as, State of ParanÃƒÂ¡, Brazil.</t>
  </si>
  <si>
    <t>Ogatsu</t>
  </si>
  <si>
    <t>a "locality" in "Ogatsu, Miyagi" (coordinate based on Ogatsu)</t>
  </si>
  <si>
    <t>Soares</t>
  </si>
  <si>
    <t>SÃƒÂ£o Mateus do Sul, bituminous shale facies</t>
  </si>
  <si>
    <t>" [...] near SÃƒÂ£o Mateus do Sul [...] " (Soares, 2003). Polar coordinates are the same as for PBDB collection no. 90190 (Petrosix quarry).</t>
  </si>
  <si>
    <t>Rio Claro municipality</t>
  </si>
  <si>
    <t>" [...] township of Rio Claro." (Soares, 2003).\r\nPolar coordinates are the same as for PBDB collection no. 90217 (AssistÃƒÂªncia, about 7 km south of Rio Claro and 150 km NW of SÃƒÂ£o Paulo City).</t>
  </si>
  <si>
    <t>Railroad cut S of Punta Grossa</t>
  </si>
  <si>
    <t>Ponta Grossa; Irati; Iraty</t>
  </si>
  <si>
    <t>"Alle OriginalstÃƒÂ¼cke stammen von den permischen Iraty-Schiefern des Eisenbahneinschnittes beim km 109 sÃƒÂ¼dlich von Punta Grossa im brasilianischen Staate Parana [All original specimens come from the Permian Iraty shales of the railroad cut at km 109 south of Punta Grossa in the Brazilian State of Parana]." (von Huene, 1941).\r\nNote: The name "Punta Grossa" probably refers to the city of Ponta Grossa in the western part of the State of ParanÃƒÂ¡, since its location very well coincides with the outcrop of the Passa Dois Group. DMS coordinates are for city of Ponta Grossa.</t>
  </si>
  <si>
    <t>Farm Uitkyk, Calvinia District</t>
  </si>
  <si>
    <t>"Whitehill Formation (Dwyka Stufe) von der Farm Uitkyk, Calvinia District, SÃƒÂ¼dafrika." (Rossmann, 2000). No further details are given.\r\nNote:  There are three farms called Uitkyk in the immediate vicinity of Calvinia. Thus, polar coordinates are for town of Calvinia, Hantam Local Municipality, Namakwa District Municipality, Northern Cape Province.</t>
  </si>
  <si>
    <t>Karas</t>
  </si>
  <si>
    <t>Stromer</t>
  </si>
  <si>
    <t>Kabus</t>
  </si>
  <si>
    <t>Khabus; Hill of the Captain's House; HÃƒÂ¼gel des Hauptmannshauses; Kalahari Basin</t>
  </si>
  <si>
    <t>Fossils come from Khabus, about 30 km north from Keetmanshoop, from outcrop on the hill above the Kabus River on which the house of Captain Brentano-Bernarda of the German colonial troops stands (or stood) (Stromer, 1914).</t>
  </si>
  <si>
    <t>Ganikobes</t>
  </si>
  <si>
    <t>Ganigobes; Kalahari Basin; Karoo</t>
  </si>
  <si>
    <t>"Ganikobes halbwegs zwischen Keetmanshoop und Gibeon [Ganikobes, halfway between Keetmanshoop and Gibeon]" (Stromer, 1914).</t>
  </si>
  <si>
    <t>PY</t>
  </si>
  <si>
    <t>GuairÃƒÂ¡</t>
  </si>
  <si>
    <t>? San Miguel</t>
  </si>
  <si>
    <t>Beder</t>
  </si>
  <si>
    <t>Villarrica</t>
  </si>
  <si>
    <t>Villa Rica; Espinillo; Yhovy, Jhovy; ParanÃƒÂ¡ Basin</t>
  </si>
  <si>
    <t>Beder (1923) reports reptile remains from three different quarries in the immediate vicinity of the town of Villarrica (owned by the seÃƒÂ±ors Gervasio Barretto, Honorio GonzÃƒÂ¡lez, and AndrÃƒÂ©s Battochi, respectively) the exact locality of each being only vaguely described. Furthermore, Beder is convinced that the fossil figured by Frech (1901, Lethaea geognostica part I: Lethaea palaeozoica, vol. 2, issue 3) comes from one of these localities. Later, Filippi AmÃƒÂ¡bile (2001, Bol. Mus. Nac. Hist. Nat. Paraguay 13) reports further findings from two of Beder's localities. Frech's (1901) most precise locality description is restricted to the statement that the fossil comes from "Villa Rica" but the DMS coordinates given by him (25Ã‚Â°50'S, 56Ã‚Â°40'W) do not really coincide with the position of that town (cf. coordinates entered).</t>
  </si>
  <si>
    <t>Plesiosaurus</t>
  </si>
  <si>
    <t>aquatic, depth=surface</t>
  </si>
  <si>
    <t>Moselle</t>
  </si>
  <si>
    <t>Terquem</t>
  </si>
  <si>
    <t>Hettange</t>
  </si>
  <si>
    <t>HÃƒÂ©tange, Hettange-Grande</t>
  </si>
  <si>
    <t>near Hettange (HÃƒÂ©tange), Moselle</t>
  </si>
  <si>
    <t>Pterodactylus</t>
  </si>
  <si>
    <t>Gervais</t>
  </si>
  <si>
    <t>UY</t>
  </si>
  <si>
    <t>Cerro Largo</t>
  </si>
  <si>
    <t>Melo</t>
  </si>
  <si>
    <t>Mangrullo</t>
  </si>
  <si>
    <t>Mones</t>
  </si>
  <si>
    <t>Arroyo de La Mina</t>
  </si>
  <si>
    <t>Locality is in the northeast of Cerro Largo, close to the Brazilian border.</t>
  </si>
  <si>
    <t>Paso Maria Isabel</t>
  </si>
  <si>
    <t>Bourgogne-Franche-ComtÃƒÂ©</t>
  </si>
  <si>
    <t>Doubs</t>
  </si>
  <si>
    <t>Henry</t>
  </si>
  <si>
    <t>Moissey</t>
  </si>
  <si>
    <t>Moissey, near Dole, Doubs Dept., Franche-Comte</t>
  </si>
  <si>
    <t>Simosauridae</t>
  </si>
  <si>
    <t>Simosaurus</t>
  </si>
  <si>
    <t>Megalosaurus</t>
  </si>
  <si>
    <t>Miserey, bed 1</t>
  </si>
  <si>
    <t>Miserey, Doubs Dept., Franche-Comte</t>
  </si>
  <si>
    <t>Poposauridae</t>
  </si>
  <si>
    <t>Heptasuchus</t>
  </si>
  <si>
    <t>Popo Agie</t>
  </si>
  <si>
    <t>Dawley et al.</t>
  </si>
  <si>
    <t>Clark Locality</t>
  </si>
  <si>
    <t>Heptasuchus holotype site</t>
  </si>
  <si>
    <t>Sec. 21, T4ON, R84 W</t>
  </si>
  <si>
    <t>Fremont</t>
  </si>
  <si>
    <t>Lucas et al.</t>
  </si>
  <si>
    <t>Ochre Hill phytosaur, Dubois</t>
  </si>
  <si>
    <t xml:space="preserve">"locality is recorded as south banks of the river by "Ochre Hill", approximately 1 mile southeast of Dubois in Fremont County, Wyoming. Presumably "the river" refers to the Wind River". \r\nCoordinates used are based upon the town of Dubois (source: Google Earth).  </t>
  </si>
  <si>
    <t>Willow Creek rhynchosaur</t>
  </si>
  <si>
    <t>"near Willow Creek, Wyoming in the SW1/4 SW1/4 SW1/4 sec. 10, T41N, R83W, Natrona County". Converted to latitude and longitude using http://www.esg.montana.edu/gl/trs-data.html. As described, this appears to be different from the classic Willow Creek locality in Fremont County, which is south of the town of Lander (see map in Mehl 1928. Denison University Bulletin, Journal of the Scientific Laboratories 23:141-172)</t>
  </si>
  <si>
    <t>Mehl</t>
  </si>
  <si>
    <t>Little Popo Agie River</t>
  </si>
  <si>
    <t>Poposaurus gracilis holotype site</t>
  </si>
  <si>
    <t>"presumably found at a single locality along the Little Popo Agie River, near Lander, Fremont County, Wyoming" (Colbert 1961). Coordinates estimated using Google Earth and map in Mehl (1928. Denison University Bulletin, Journal of the Scientific Laboratories 23:141-172)\r\nA number of different teams have historically collected along the Little Popo Agie River; the collections made by each team are entered separately.</t>
  </si>
  <si>
    <t>Angistorhinus</t>
  </si>
  <si>
    <t>Eaton</t>
  </si>
  <si>
    <t>Sage Creek locality, Univ. Kansas party, limestone layer</t>
  </si>
  <si>
    <t>"southeast corner of section 14, Township 1 North, Range 3 West, Fremont County, Wyoming. It is reached by following U.S. highway 287 northwest 23 miles from Lander, then turning west on the Sage Creek road to a point 11 miles from the highway. The Popo Agie is then on both sides of the road, and the bone bed lies 0.25 to 0.5 mile to the left (southeast) below an escarpment of the Nugget Sandstone"\r\nCoordinates estimated using Google Earth and map in Mehl (1928. Denison University Bulletin, Journal of the Scientific Laboratories 23:141-172)</t>
  </si>
  <si>
    <t>Branson and Mehl</t>
  </si>
  <si>
    <t>Sage Creek locality, Univ. Missouri, 1927</t>
  </si>
  <si>
    <t>Borborophagus holotype site</t>
  </si>
  <si>
    <t>Sage Creek. This locality was later described (By Eaton, 1965. A new Wyoming phytosaur. University of Kansas Paleontological Contributions 2:1-6) as follows: "southeast corner of section 14, Township 1 North, Range 3 West, Fremont County, Wyoming. It is reached by following U.S. highway 287 northwest 23 miles from Lander, then turning west on the Sage Creek road to a point 11 miles from the highway. The Popo Agie is then on both sides of the road". Collections were made in this area by the University of Missouri and then later by the University of Kansas; these independent collections are entered separately.\r\n\r\nCoordinates estimated using Google Earth and map in Mehl (1928. Denison University Bulletin, Journal of the Scientific Laboratories 23:141-172)</t>
  </si>
  <si>
    <t>Dolichobrachium</t>
  </si>
  <si>
    <t>Wind River Popo Agie vertebrates</t>
  </si>
  <si>
    <t xml:space="preserve">Williston (1904) provided no locality data for most of the specimens and taxa described in his paper. As such, this is a locality for Popo Agie specimens collected by Williston and the University of Chicago in 1904 that lack more clearly defined locality data. The coordinates used are taken from Google Earth for "Wind River".     </t>
  </si>
  <si>
    <t>Dimorphodontidae</t>
  </si>
  <si>
    <t>Dimorphodon</t>
  </si>
  <si>
    <t>Aust Cliff, Dimorphodon</t>
  </si>
  <si>
    <t>Hypuronector</t>
  </si>
  <si>
    <t>freshwater,terrestrial</t>
  </si>
  <si>
    <t>Colbert and Olsen</t>
  </si>
  <si>
    <t>Nursey</t>
  </si>
  <si>
    <t>Kings Bluff, Weehawken</t>
  </si>
  <si>
    <t>Yale Quarry</t>
  </si>
  <si>
    <t>Kings Bluff in Weehawken, 30 m south of the western ventilation tunnel for the Lincoln Tunnel on the east face of the Palisades. Coordinates estimated by comparison of aerial photograph (Colbert &amp; Olsen 2001: figure 4) with Google Earth</t>
  </si>
  <si>
    <t>Lull</t>
  </si>
  <si>
    <t>Freeman Clark Quarry, Fair Haven</t>
  </si>
  <si>
    <t>Stegomus arcuatus holotype site</t>
  </si>
  <si>
    <t>Freeman Clark Quarry, near State Street bridge over Quinnipiac River, Fair Haven, within municipality of New Haven</t>
  </si>
  <si>
    <t>Hunterdon</t>
  </si>
  <si>
    <t>Warford</t>
  </si>
  <si>
    <t>Baird</t>
  </si>
  <si>
    <t>Nishisakawick Creek, Everittstown</t>
  </si>
  <si>
    <t>Nishisackawick</t>
  </si>
  <si>
    <t>0.6 mile east-northeast of the center of Everittstown, at the point where Nishisakawick Creek swings close to Route 513.</t>
  </si>
  <si>
    <t>skeletons</t>
  </si>
  <si>
    <t>Baden-WÃƒÂ¼rttenburg</t>
  </si>
  <si>
    <t>Schoch</t>
  </si>
  <si>
    <t>Billert, Kaltental</t>
  </si>
  <si>
    <t>Aetosaurus ferratus holotype site</t>
  </si>
  <si>
    <t>Former sandstone quarry in the Ã¢Â€ÂœBillertÃ¢Â€Â, at the merging of Elsenbach and Nesenbach creeks, Kaltental suburban area southwest of Stuttgart (Baden-WÃƒÂ¼rttemberg, Germany). The site forms part of a residential area today and is no longer accessible. HungerbÃƒÂ¼hler (1998) gives GauÃƒÂŸ-KrÃƒÂ¼ger coordinates of either R 3509800 H 5400825 or R3509760 H 5409760.</t>
  </si>
  <si>
    <t>Heibronn</t>
  </si>
  <si>
    <t>Blankenhorn Castle, Eibensbach, near GÃƒÂ¼glingen</t>
  </si>
  <si>
    <t>Benton &amp; Wild (1994: Unterer Stubensandstein locality 3) give GauÃƒÂŸ-KrÃƒÂ¼ger coordinates of R 3599350 H 5433625, but these appear to be incorrect</t>
  </si>
  <si>
    <t>Heckert and Lucas</t>
  </si>
  <si>
    <t>NMMNH L-501</t>
  </si>
  <si>
    <t>Essex</t>
  </si>
  <si>
    <t>Belleville Quarry</t>
  </si>
  <si>
    <t>north of the city of Belleville</t>
  </si>
  <si>
    <t>Kitchingnathus</t>
  </si>
  <si>
    <t>Amatole</t>
  </si>
  <si>
    <t>Lystrosaurus Assemblage, Procolophon subzone</t>
  </si>
  <si>
    <t>Cisneros</t>
  </si>
  <si>
    <t>Hobbs Hill</t>
  </si>
  <si>
    <t>Windvogelsberg, WindvoÃƒÂ«lberg, Cathcart</t>
  </si>
  <si>
    <t>"Hobbs Hill (Windvogelsberg), west of Cathcart, Eastern Cape Province, South Africa" (Cisneros, 2008).\r\nNote: The Windvogelsberg is a quite large mesa west of Cathcart in the northwestern corner of the Amahlathi Local Municipality of the Amatole District Municipality of the Eastern Cape Province. Polar coordinates are (more or less) centered on that topographic feature.</t>
  </si>
  <si>
    <t>Teratophon</t>
  </si>
  <si>
    <t>Xhariep</t>
  </si>
  <si>
    <t>Cynognathus B Assemblage</t>
  </si>
  <si>
    <t>Lemoenfontein 44, Rouxville District</t>
  </si>
  <si>
    <t>Farm Lemoenfontein, Rouxville District (Gow, 1977; Modesto &amp; Damiani, 2003).\r\nNote: There are at least four farms bearing the name Lemoenfontein in the closer vicinity of Rouxville. According to Cisneros (2008) a specimen of Teratophon spinigenis has been collected "recently" from the Farm Lemoenfontein 44, Cynognathus subzone B. Thus, it is assumed here that "Lemoefontein", the locality in which earlier findings of T. spinigenis were made, actually refers to the farm Lemoenfontein 44, situated about 30 km SW from Rouxville, Mohokare Local Municipality, Xhariep District Municipality (former Rouxville District), Free State, South Africa. Polar coordinates are based upon that place.</t>
  </si>
  <si>
    <t>Thelephon</t>
  </si>
  <si>
    <t>Ukhahlamba</t>
  </si>
  <si>
    <t xml:space="preserve">Cynognathus assemblage, subzone B </t>
  </si>
  <si>
    <t>Winnaarsbaken</t>
  </si>
  <si>
    <t>Winaarsbaken, Winnaars Baken</t>
  </si>
  <si>
    <t>Farm Winnaarsbaken, Burg(h)ersdorp District (Gow, 1977; Modesto &amp; Damiani, 2003).\r\nPolar coordinates are centered on the area occupied by the farm Winnaarsbaken (Winaarsbaken, Winnaars Baken), south of regional road 58 between Burgersdorp and Venterstad; Gariep Local Municipality, Ukhahlamba District Municipality (former Burgersdorp District), Eastern Cape, South Africa.</t>
  </si>
  <si>
    <t>Thelerpeton</t>
  </si>
  <si>
    <t>Hugoskop, Rouxville District</t>
  </si>
  <si>
    <t>Farm Hugoskop, Rouxville District (Gow, 1977; Modesto &amp; Damiani, 2003).\r\nNote: There are at two farms bearing the name Hugoskop in the closer vicinity of Rouxville. Since no further locality details are given by the authors, polar coordinates are for the town of Rouxville, Mohokare Local Municipality, Xhariep District Municipality (former Rouxville District), Free State, South Africa.</t>
  </si>
  <si>
    <t>Theledectes</t>
  </si>
  <si>
    <t>Desojo and Ezcurra</t>
  </si>
  <si>
    <t>Hoyada de Ischiqualasto, lower third</t>
  </si>
  <si>
    <t>Argentinosuchus</t>
  </si>
  <si>
    <t>From the "Hoyada de Ischigualasto"</t>
  </si>
  <si>
    <t>Utah</t>
  </si>
  <si>
    <t>Upheaval Dome</t>
  </si>
  <si>
    <t>Near Upheaval Dome, Canyonlands National Park</t>
  </si>
  <si>
    <t>Big Hollow Wash S</t>
  </si>
  <si>
    <t>UCMP V80003, Camp's "Old A269"</t>
  </si>
  <si>
    <t>Elginia</t>
  </si>
  <si>
    <t>Scotland</t>
  </si>
  <si>
    <t>Moray</t>
  </si>
  <si>
    <t>Cutties Hillock Sandstone</t>
  </si>
  <si>
    <t>Spencer and Lee</t>
  </si>
  <si>
    <t>Cutties Hillock Millstone Quarry</t>
  </si>
  <si>
    <t>Cuttie's Hillock, Cuttieshillock, New Spynie; Elgin</t>
  </si>
  <si>
    <t>"Cutties Hillock Millstone Quarry (NI 185638), near Elgin, Scotland" (Spencer &amp; Lee, 2000).</t>
  </si>
  <si>
    <t>Newton</t>
  </si>
  <si>
    <t>Gow and de Klerk</t>
  </si>
  <si>
    <t>Schrikwaters Poort</t>
  </si>
  <si>
    <t>Schrikwater's Poort</t>
  </si>
  <si>
    <t>" [...] Schrikwaters Poort, which forms part of the larger Bucklands farm in the great Fish River valley [...]. The exact locality was never recorded, but it lies within a 500 metre radius [...] at 33 04' 15"S - 26 43' 40"E." (Gow &amp; de Klerk, 1997).</t>
  </si>
  <si>
    <t>Pentaedrusaurus</t>
  </si>
  <si>
    <t>Mazhen</t>
  </si>
  <si>
    <t>type locality of Pentaedrusaurus ordosianus</t>
  </si>
  <si>
    <t>"Mazhen, Fugu County, Shaanxi Province." (Li, 1989). No further details given. Polar coordinates are for town of Mazhen.</t>
  </si>
  <si>
    <t>Ermaying</t>
  </si>
  <si>
    <t>Zhun ge er qi (Er-Ma-Ying Formation); Ordos Basin, Jungar Qi</t>
  </si>
  <si>
    <t>"Northeastern part of the Shaan-Gan-Ning Basin, in the border region between Inner Mongolia and Shaanxi province." 17.5 km north of Gucheng locality. Approximately 60 km from the town of Fu gu, and less than 30 km southeast of the town of "Jungar Qi" (based on USGS TM map data).\r\nNote: The Shaan-Gan-Ning (or Shaanganning) Basin is more commonly known as Ordos Basin. (TL)</t>
  </si>
  <si>
    <t>Neoprocolophon</t>
  </si>
  <si>
    <t>Yushe</t>
  </si>
  <si>
    <t>Perovkan</t>
  </si>
  <si>
    <t>Ta-Yang-Po, 56175</t>
  </si>
  <si>
    <t>Yushe, Yueshe, YÃƒÂ¼-She, Dayangpo</t>
  </si>
  <si>
    <t>" [...] hill slope called Ta-Yang-Po about one kilometer N. W. of the village Ni-Ho-Chang, some 2.5 kilometers N. W. of the local town Ning-Chiao of the Yueshe District, S. E. Shansi." (Young, 1957). Polar coordinates are from map in Young (1964: fig. 62) = Nihezhang Dayangpo, Yinjiao, Yushe</t>
  </si>
  <si>
    <t>Barasaurus</t>
  </si>
  <si>
    <t>Piveteau</t>
  </si>
  <si>
    <t>Ranohira (Sakamena Fm.)</t>
  </si>
  <si>
    <t>type locality of Barasaurus besairiei; Morondava Basin</t>
  </si>
  <si>
    <t>Fossils come from near the village of Ranohira. Lat long is for Ranohira.</t>
  </si>
  <si>
    <t>Diana</t>
  </si>
  <si>
    <t>Ambilobe</t>
  </si>
  <si>
    <t>Middle Sakamena</t>
  </si>
  <si>
    <t>Couches ÃƒÂ  Poissons et Ammonites</t>
  </si>
  <si>
    <t>Ketchum and Barrett</t>
  </si>
  <si>
    <t>Diego Basin Early Triassic amniotes</t>
  </si>
  <si>
    <t>Collection includes fossils collected from Lower Triassic strata of the relatively small Diego Basin situated at the northern tip of Madagascar. Triassic outcrop is restricted to the southern margin of the basin (see, e.g., de Wit, 2003, Ann. Rev. Earth Planet. Sci. 31). No details on particular localities are given.</t>
  </si>
  <si>
    <t>Hovasaurus</t>
  </si>
  <si>
    <t>Acerosodontosaurus</t>
  </si>
  <si>
    <t>Currie</t>
  </si>
  <si>
    <t>Owenetta</t>
  </si>
  <si>
    <t>Cox</t>
  </si>
  <si>
    <t>Rietfontein</t>
  </si>
  <si>
    <t>" [...] Prince Albert District, about 15 miles south-west of Fraserburg Road." (Cox, 1969). "Fraserburg Road" refers to the town now known as Leeu Gamka. Polar coordinates are centerd on the relatively extensive farm Rietfontein, at National Road 1, SW from Leeu Gamka, Prince Albert Local Municipality</t>
  </si>
  <si>
    <t>Boesmansrivier</t>
  </si>
  <si>
    <t>Bushmans Rivier</t>
  </si>
  <si>
    <t>" [...] farm Boesmansrivier, in the Beaufort West District, about 25 miles north-east of Fraserburg Road." (Cox, 1969). "Fraserburg Road" refers to the town now known as Leeu Gamka. Polar coordinates are for farm Bushmans Rivier (assumed to be identical to Cox's "Boesmansrivier" due to locality data), at National Road 1, about halfway between Beaufort West and Leeu Gamka, Beaufort West Local Municipality.</t>
  </si>
  <si>
    <t>De Bad farm</t>
  </si>
  <si>
    <t>Waikraal River, Waaikraal River</t>
  </si>
  <si>
    <t>" [...] half a mile east of the Waikraal River on the farm De Bad, which lies in the Beaufort West District about 40 miles north-west of Fraserburg Road." (Cox, 1969). Polar coordinates are for a place named "De Bad" on the maps near the confluence of Kafferkraal and Waaikral Rivers, about 40 mi NW of Fraserburg Road (=Leeu Gamka).</t>
  </si>
  <si>
    <t>body,recrystallized,permineralized</t>
  </si>
  <si>
    <t>Candelaria</t>
  </si>
  <si>
    <t>CandelÃƒÂ¡ria</t>
  </si>
  <si>
    <t>Sanga Pinheiros, unknown locality</t>
  </si>
  <si>
    <t>" [...] Sanga Pinheiros (29Ã‚Â°46'19" S, 52Ã‚Â°44'54" W), Candelaria County, Rio Grande do Sul State, Brazil." (Cisneros et al., 2004).  These coordinates are for the Sanga Pinheiros, but Langer et al. (2007) indicate that the type specimen of Candelaria came from an unknown locality in this area</t>
  </si>
  <si>
    <t>Monitor Butte</t>
  </si>
  <si>
    <t>Blue Lizard Mine</t>
  </si>
  <si>
    <t>Red Canyon, near the Blue Lizard Mine, W, T. 37 S., R. 15 E., NE1/4 section 20.</t>
  </si>
  <si>
    <t>Novo Cabrais</t>
  </si>
  <si>
    <t>SÃƒÂ­tio Cortado, RST 287 Highway</t>
  </si>
  <si>
    <t>"Small outcrop (29Ã‚Â°44'55" S, 53Ã‚Â°00'06" W) 166.5 km along RST 287 Highway, Novo Cabrais County, Rio Grande do Sul State." (Cisneros et al., 2004). Original site description from Mattar 87: "along road RS-509 (from CandelÃƒÂ¡ria to Santa Maria), approx. 26 km W of city of CandelÃƒÂ¡ria, close to the Vila Palmeiras locality. Outcrops situated 1.5 km before the main entrance for Vila Cortado, on the left side of the highway, in the direction of Santa Maria."</t>
  </si>
  <si>
    <t>Vancleavea type locality</t>
  </si>
  <si>
    <t xml:space="preserve">"The exact discovery site for the material is uncertain, an unpublished written communication from the discoverer records its general stratigraphic provenance. This horizon is extremely fossiliferous and contains several productive localities that are likely sources of the holotype of Vancleavea. Based on this information, Long and Murry (1995)suggested that the type material came from at or near the Ã¢Â€Â˜Crocodile HillÃ¢Â€Â™ locality (PFV 124), a site first worked by Charles Camp in 1923. Another possibility is the nearby Ã¢Â€Â˜Dying GroundsÃ¢Â€Â™ locality (PFV 122), which is located in the same stratigraphic horizon and represents a productive microvertebrate site". Coordinates are for Crocodile Hill locality. </t>
  </si>
  <si>
    <t>Zuni Well Mound, PFV 215</t>
  </si>
  <si>
    <t>Coordinates based on the nearby "Giving Site, PFV 231"</t>
  </si>
  <si>
    <t>Acallosuchus</t>
  </si>
  <si>
    <t>Phytosaur Basin E (UCMP 7040, PFV 121)</t>
  </si>
  <si>
    <t>Adamana, Phytosaur Basin Buttes</t>
  </si>
  <si>
    <t>Called the "Adamana" site on the UCMP catalogue</t>
  </si>
  <si>
    <t>Saurian Valley (UCMP V82251, PFV 097)</t>
  </si>
  <si>
    <t>Devils Playground area of Petrified Forest National Park</t>
  </si>
  <si>
    <t>Phytosaur Basin W (UCMP V82276, PFV 119)</t>
  </si>
  <si>
    <t>Blue Mesa W area of Petrified Wood National Park</t>
  </si>
  <si>
    <t>Phytosaur Basin (UCMP 7039, PFV 205)</t>
  </si>
  <si>
    <t>Rap Hill (PFV 216)</t>
  </si>
  <si>
    <t>RAP Hill</t>
  </si>
  <si>
    <t>No specific locality details given; coordinates are generalised coordinates for Petrified Forest National Park</t>
  </si>
  <si>
    <t>Polcyn et al.</t>
  </si>
  <si>
    <t>Stinking Springs, SMU Loc. 252</t>
  </si>
  <si>
    <t>Aerial photograph map showing the localities was compared with Google Earth to determine coordinates</t>
  </si>
  <si>
    <t>Stinking Springs SMU 255</t>
  </si>
  <si>
    <t>Stinking Springs SMU 251</t>
  </si>
  <si>
    <t>Stinking Springs SMU 254</t>
  </si>
  <si>
    <t>Stinking Springs SMU 253</t>
  </si>
  <si>
    <t>Koiloskiosaurus</t>
  </si>
  <si>
    <t>Bavaria</t>
  </si>
  <si>
    <t>Coburg</t>
  </si>
  <si>
    <t>Mittelberg bei Coburg</t>
  </si>
  <si>
    <t>" [...] in der NÃƒÂ¤he von Mittelberg bei Koburg [...] " (von Huene, 1911). Polar coordinates are for Mittelberg, situated about 10 km NNW from Coburg.</t>
  </si>
  <si>
    <t>Shihtienfenia</t>
  </si>
  <si>
    <t>Shihtienfeng, Shiqianfeng, Sunjiagou</t>
  </si>
  <si>
    <t>Liulin, Beigou Village, Xuecun Town</t>
  </si>
  <si>
    <t>type locality of Huanghesaurus</t>
  </si>
  <si>
    <t>"Liulin, Shanxi"; about 5 km from the east bank of Yellow River (Huanghe River) (Gao, 1983). Polar coordinates are for town of Liulin, Shanxi. \r\nLi &amp; Liu (2013) referred to this locality as "Beigou Village, Xuecun Town"</t>
  </si>
  <si>
    <t>Blue Hills 2, UCMP 7309</t>
  </si>
  <si>
    <t>Bone Flat</t>
  </si>
  <si>
    <t>Blue Hills 3, UCMP 7310</t>
  </si>
  <si>
    <t xml:space="preserve">Big Hollow Wash N </t>
  </si>
  <si>
    <t>ca. 5 kilometres NW of St Johns, Arizona</t>
  </si>
  <si>
    <t>Picket House Draw</t>
  </si>
  <si>
    <t>Approximately 5 kilometres east of St Johns, Arizona</t>
  </si>
  <si>
    <t>Lee</t>
  </si>
  <si>
    <t>Proelginia permiana</t>
  </si>
  <si>
    <t>Semin Ovrag, PIN 156</t>
  </si>
  <si>
    <t>Semin Ravine, Syomin Ovrag, Semin-Schlucht; Ilinskoe, Il'inskoe, Ilyinskoe, Iljinskoje</t>
  </si>
  <si>
    <t>"Tatarstan, Tetyushinskii District, Semin Ovrag locality" (Kurkin, 2008). Semin Ravine is "opposite" to and 2 km from Klyuchevoy Ravine (see PBDB coll. no. 28855) on the other side of the water divide of Volga and Ulema Rivers, at the southern end of Il'inskoe village (Efremov 1940, Trudy Paleont. Inst. AN SSSR).\r\nPolar coordinates are for Il'inskoe village.</t>
  </si>
  <si>
    <t>Lanthaniscidae</t>
  </si>
  <si>
    <t>Lanthaniscus</t>
  </si>
  <si>
    <t>Leshukonskoe</t>
  </si>
  <si>
    <t>Krasnoshchel'</t>
  </si>
  <si>
    <t>Nisogora, Vashka River, PIN 4543</t>
  </si>
  <si>
    <t>Mezen' Basin; Nyisagora</t>
  </si>
  <si>
    <t>Fossil Garden (UCMP V82252, PFV 098)</t>
  </si>
  <si>
    <t>Saurian Valley N (PF 099)</t>
  </si>
  <si>
    <t>Walker's Site (PF82)</t>
  </si>
  <si>
    <t>Devil's Cauldron</t>
  </si>
  <si>
    <t>Depot Tank NW (UCMP V3923, PF 106)</t>
  </si>
  <si>
    <t>Depot Tank SW (UCMP 7036, PF 107)</t>
  </si>
  <si>
    <t>Depot Tank Area; "approximately 1.6 km north of Lithodendron Wash breaks"</t>
  </si>
  <si>
    <t>Kotlas</t>
  </si>
  <si>
    <t>Salarevo</t>
  </si>
  <si>
    <t>Scutosaurus karpinskii</t>
  </si>
  <si>
    <t>Sokolki locality, PIN 2005</t>
  </si>
  <si>
    <t>Northern Dvina; Little Northern Dvina; Malaya Severnaya Dvina; Kotlas</t>
  </si>
  <si>
    <t>"Arkhangelsk Region, Kotlas District, Malaya Severnaya Dvina River, Sokolki locality." (Kurkin, 1999).\r\nOriginal DMS coordinates entered were 64Ã‚Â°N, 42Ã‚Â°E. New polar coordinates are for Za(o)vrazhe in the southern outskirts of the city of Kotlas (TL).</t>
  </si>
  <si>
    <t>Zavrazhye locality, PIN 2353, 2356</t>
  </si>
  <si>
    <t>Zavrazhe, Zavrazh'e, Zaovrazh'e; Northern Dvina; Little Northern Dvina; Malaya Severnaya Dvina; Kotlas</t>
  </si>
  <si>
    <t>"Arkhangelsk Region, Kotlas District, Malaya Severnaya Dvina River, Zavrazhye locality." (Kurkin, 1999).\r\nOriginal DMS coordinates entered were 64Ã‚Â°N, 42Ã‚Â°E. New coordinates are for Za(o)vrazh'e in the southern outskirts of the city of Kotlas (TL).</t>
  </si>
  <si>
    <t>Tawa</t>
  </si>
  <si>
    <t>Hayden Quarry, Ghost Ranch (site 2)</t>
  </si>
  <si>
    <t>"located in a series of exposures along the drainage of Arroyo Seco, an intermittently flowing tributary of the Rio Chama."\r\n</t>
  </si>
  <si>
    <t>Hayden Quarry, Ghost Ranch (site 4)</t>
  </si>
  <si>
    <t>"is located in a series of exposures along the drainage of\r\nArroyo Seco, an intermittently flowing tributary of the Rio Chama."</t>
  </si>
  <si>
    <t>Vologda</t>
  </si>
  <si>
    <t>Babushkino</t>
  </si>
  <si>
    <t>Obirkovo</t>
  </si>
  <si>
    <t>Staraya Tot'ma River, Sukhona Basin</t>
  </si>
  <si>
    <t>"Russia, Vologda Region, Babushkinskii District, Obirkovo locality"; locality is upon Staraya Tot'ma River (Bulanov &amp; Yashina, 2005).</t>
  </si>
  <si>
    <t>Hypselorhachis</t>
  </si>
  <si>
    <t>Charig</t>
  </si>
  <si>
    <t>U11/2, Ruhuhu Valley</t>
  </si>
  <si>
    <t>Hypselorhachis holotype site</t>
  </si>
  <si>
    <t>Field locality U11/2, Ruhuhu Valley. See map in Cox (1991: fig. 1)</t>
  </si>
  <si>
    <t>Wartburgkreis</t>
  </si>
  <si>
    <t>"Feldschacht zu Kupfersuhl"</t>
  </si>
  <si>
    <t>Kupfer-Suhl; Kupferschiefer, Copper Shale</t>
  </si>
  <si>
    <t>" [...] im sogenannten Feldschachte zu Kupfer-Suhl, 3 Stunden von Eisenach und 1 1/2 Stunden von Salzungen am ThÃƒÂ¼ringer Wald. [in the so called Feldschacht at Kupfer-Suhl, 3 hours from Eisenach and 1 1/2 hours from Salzungen at the Thuringian Forest]" (von Meyer, 1856).\r\nNotes: 3 hours and 1 1/2 hours refer to the walking time. Polar coordinates are for Kupfersuhl, situated 12 km SSW from Eisenach and 8 km NNE from Bad Salzungen (TL).</t>
  </si>
  <si>
    <t>GlÃƒÂ¼cksbrunn/Heidelberg near Schweina</t>
  </si>
  <si>
    <t>Schweina; Altenberg; Kupferschiefer, Copper Shale</t>
  </si>
  <si>
    <t>Von Meyer (1856) reports a specimen comming from "GlÃƒÂ¼cksbrunn, in der Gegend von Altenstein [GlÃƒÂ¼cksbrunn in the vicinity of Altenstein]" and another one coming from the "Kupferschiefer von Heidelberg, bei Schweina am ThÃƒÂ¼ringer Walde [Copper Shale of Heidelberg, near Schweina at the Thuringian Forest]".\r\nNote: Both localities appear to be very close to each other. GlÃƒÂ¼cksbrunn is a tiny village situated about 2 km W from Schweina. Altenstein is the name of a castle/palace, lying not more than 500 m E from the eastern outskirts of Schweina and "Heidelberg" very likely refers to an elevation immediately W of Schweina.</t>
  </si>
  <si>
    <t>Saalkreis</t>
  </si>
  <si>
    <t>Schacht Ernestine, Rothenburg an der Saale</t>
  </si>
  <si>
    <t>Mansfelder Revier; Burg-Oerner Revier; Kupferschiefer, Copper Shale</t>
  </si>
  <si>
    <t>"Rothenburg an der Saale, im Hallischen, und zwar auf dem Burg-Oerner Revier in der Ernestine [Rothenburg upon Saale River, in the vicinity of Halle, namely in the Burg-Oerner mining district in the Ernestine pit]" (von Meyer, 1856).\r\nPolar coordinates are for Rothenburg an der Saale.</t>
  </si>
  <si>
    <t>Richelsdorf mining district</t>
  </si>
  <si>
    <t>Lindenschacht; Kupferschiefer, Copper Shale; Richelsdorfer Revier; Richelsdorfer Gebirge, Richelsdorf Mountains</t>
  </si>
  <si>
    <t>This collection comprises specimens from the Richelsdorf copper-mining district which no exact provenance data exist for. They may come immediately from the mines of the town of Richelsdorf or from mines in the closer vicinity.\r\nDMS coordinates are for town of Richelsdorf.</t>
  </si>
  <si>
    <t>Sphodrosaurus</t>
  </si>
  <si>
    <t>Lancaster</t>
  </si>
  <si>
    <t>Hammer Creek</t>
  </si>
  <si>
    <t>Yellow Hill Road Quarry</t>
  </si>
  <si>
    <t>Bowmansville</t>
  </si>
  <si>
    <t>" [...] to the north side of Yellow Hill Road, about 200 m E of its intersection\r\nwith Oaklyn Road. Latitude and longitude are approximately 40Ã‚Â°11'45"N and 75Ã‚Â°59'50"W. This position is about 1.4 km E of Bowmansville, Lancaster County, Pennsylvania." (Sues et al., 1993). Listed as "2 miles east of Bowmansville" in Bock 1959.</t>
  </si>
  <si>
    <t>Tamboers Fontein</t>
  </si>
  <si>
    <t>Tamboersfontein, Tamboer's Fontein</t>
  </si>
  <si>
    <t>Polar coordinates are for farm Tamboers Fontein, situated about 70 km WSW from town of Beaufort West.</t>
  </si>
  <si>
    <t>Groot Kruidfontein</t>
  </si>
  <si>
    <t>Kruitfontein</t>
  </si>
  <si>
    <t>"Groot Kruidfontein, Prince Albert Division" (Haughton &amp; Boonstra, 1929). Polar coordinates are for place named "Groot Kruidfontein" on the maps, situated about 5 km S of Leeu Gamka (Fraserburg Road).</t>
  </si>
  <si>
    <t>Abrahamskraal, Prince Albert</t>
  </si>
  <si>
    <t>Farm Abrahamskraal</t>
  </si>
  <si>
    <t>"Abrahamskraal, Prince Albert, Western Cape Province, South Africa" (Dilkes &amp; Reisz, 1996); polar coordinates are for farm Abrahams Kraal, about 15 km SSE of Leeu-Gamka</t>
  </si>
  <si>
    <t>Zwarts Siding</t>
  </si>
  <si>
    <t>Zwarts Siding very likely refers to a train station of the railroad between Leeu Gamka (= Fraserburg Road) and Prince Albert Road, on the territory of the Rietfontein farm. Polar coordinates are for Zwarts Siding.</t>
  </si>
  <si>
    <t>Mynhardtskraal</t>
  </si>
  <si>
    <t>Mynhartskraal, Mynhardts Kraal</t>
  </si>
  <si>
    <t>Mynhardtskraal farm, Beaufort West Division</t>
  </si>
  <si>
    <t>Vogelfontein (Prince Albert)</t>
  </si>
  <si>
    <t>VoÃƒÂ«lfontein</t>
  </si>
  <si>
    <t>"Vogelfontein, Prince Albert Division" (Haughton &amp; Boonstra, 1929). Polar coordinates are for place named "Vogelfontein" on the maps, situated about 20 km NW from Leeu Gamka.</t>
  </si>
  <si>
    <t>Leeurivier</t>
  </si>
  <si>
    <t>Leeuw Rivier</t>
  </si>
  <si>
    <t xml:space="preserve">"Leeuw Rivier, Beaufort West Division" (Haughton &amp; Boonstra, 1929). Coordinates are for farm "Leeurivier", about 40 km WSW from town of Beaufort West. </t>
  </si>
  <si>
    <t>Tichvinskia</t>
  </si>
  <si>
    <t>Nagorsk</t>
  </si>
  <si>
    <t>Chudinov and Vjushkov</t>
  </si>
  <si>
    <t>Okunevo (Fedorovka River)</t>
  </si>
  <si>
    <t>Vyatka River Basin</t>
  </si>
  <si>
    <t>Fedorovka River, Nagorsk District, Kirov Region (Chudinov &amp; Vjushkov, 1956; Ivakhnenko, 2008). Spencer &amp; Benton (2000) give "Okunevo, Fedorovka River" as type locality. Polar coordinates are for confluence of Sorduk and Fedorovka Rivers near the village of Okunevo.</t>
  </si>
  <si>
    <t>Depot Tank S (UCMP A258, PF 108)</t>
  </si>
  <si>
    <t>Depot Tank Area; "approximately 2 to 5 km north of red breaks on northwest side of Lithodendron Wash"</t>
  </si>
  <si>
    <t>Depot Tank E (AMNH EHC 1946)</t>
  </si>
  <si>
    <t>Depot Tank Area</t>
  </si>
  <si>
    <t>Little Carrizo Wash (UCMP A267, PF109)</t>
  </si>
  <si>
    <t>Depot Tank Area; "approximately 5 to 6 km north of red breaks across Digger Wash about 3 km west of Lithodendron Wash"</t>
  </si>
  <si>
    <t>Twin Buttes (UCMP 7047)</t>
  </si>
  <si>
    <t>Twin Buttes, 10 km southwest of Adamana</t>
  </si>
  <si>
    <t>Giant Logs (UCMP V82232, PF177)</t>
  </si>
  <si>
    <t>Giant Logs area, southern Petrified Forest National Park</t>
  </si>
  <si>
    <t>Tepees NW (UCMP V82273, PF 111d, 111)</t>
  </si>
  <si>
    <t>Tepees Area of Petrified Forest National Park</t>
  </si>
  <si>
    <t>Annie's Canyon (PF123)</t>
  </si>
  <si>
    <t xml:space="preserve">Blue Mesa W Area of Petrified Forest National Park </t>
  </si>
  <si>
    <t>Tepees E (UCMP V82257, PF118)</t>
  </si>
  <si>
    <t>Tepees NE (UCMP V82248, PF117)</t>
  </si>
  <si>
    <t>Blue Mesa NW (UCMP V82244, PFV 113)</t>
  </si>
  <si>
    <t>Blue Mesa N1 (UCMP V82233, PF115)</t>
  </si>
  <si>
    <t>Blue Mesa N2 (UCMP V82236, PF116)</t>
  </si>
  <si>
    <t>Blue Mesa NE1 (UCMP V8234, PF144)</t>
  </si>
  <si>
    <t>General Blue Forest Area (UCMP 7038)</t>
  </si>
  <si>
    <t>Blue Mesa W Area of Petrified Forest National Park; on a slope above the wash leading to the "Dying Grounds"</t>
  </si>
  <si>
    <t>Blue Mesa NE2 (UCMP V8235, PF143)</t>
  </si>
  <si>
    <t>Lower Billings Gap (UCMP 7042, PF146)</t>
  </si>
  <si>
    <t>Angry Man Flat (PF149)</t>
  </si>
  <si>
    <t>Paulcell 4 (PF150)</t>
  </si>
  <si>
    <t>Billings Gap area of Petrified Forest National Park</t>
  </si>
  <si>
    <t>Paulcell 5 (PF148)</t>
  </si>
  <si>
    <t>Paulcell 6 (PF145)</t>
  </si>
  <si>
    <t>Point of Bluff N (UCMP 7046, PF 157)</t>
  </si>
  <si>
    <t>Point of Bluff S (UCMP 7046A, PF 156)</t>
  </si>
  <si>
    <t>Agate Bridge NE (UCMP V82243, PFV159)</t>
  </si>
  <si>
    <t>King's Throne Area of Petrified Forest National Park</t>
  </si>
  <si>
    <t>Sol'-Iletsk</t>
  </si>
  <si>
    <t>Donguz</t>
  </si>
  <si>
    <t>Berdyanka I (locality 33), PIN 1579</t>
  </si>
  <si>
    <t>"Orenburg region, 3.4 km south of Belyaevsky village, right tributary of the Berdyanka River (drainage basin of left bank of the Ural River)" (Tverdokhlebov et al., 2003). Polar coordiantes are for village of Belyaevka.</t>
  </si>
  <si>
    <t>Dorosuchus</t>
  </si>
  <si>
    <t>vertebrae,limb elements</t>
  </si>
  <si>
    <t>Nikolsk</t>
  </si>
  <si>
    <t>Vakhnevo locality</t>
  </si>
  <si>
    <t>Vachnevo, Vahnevo, Wachnjewo; Sharzhenga River, Sharjenga River, Fluss Scharschenga; Yug River Basin</t>
  </si>
  <si>
    <t>"Bei dem Dorf Wachnjewo, am rechten Ufer des Flusses Scharschenga, eines Nebenflusses des Jug, der in die Suchona flieÃƒÂŸt, die ihrerseits sich in die Dwina ergieÃƒÂŸt; im Bezirk Severo-Dwinsk, in dem seinerzeit die groÃƒÂŸen Amalitzky'schen Grabungen stattfanden [Near the village of Vakhnevo, right bank of the Sharzhenga River, a tributary of Yug River, flowing into the Sukhnona River, which, in turn, has its mouth into the Dvina River; in the Severo-Dvinsk Region, the region in which Amalitzky's excavations took place at that time]." (von Huene, 1940).\r\nSharjenga river, near the village Vachnevo, Kineshma Region, Upper Volga (Efremov, 1949).\r\nRight bank of Sharzhenga River near the village of Vakhnevo, Nikolsk District, Vologda Region (Vjushkov &amp; Chudinov, 1956).\r\nVakhnevo locality in the Yug River basin (Ochev 1978).\r\nDMS coordinates, formerly based on Kineshma (57Ã‚Â°23'23"N 42Ã‚Â°7'39"E), are altered and are based now on village of Vakhnevo (TL).\r\nAdditional note: The present collection originally bore the name &gt;&gt;Sharjenga River near Vachnevo village (Vetlugian Series)&lt;&lt;. Since the locality names are spelled in an uncommon way, the former name of the younger, then redundant PBDB collection no. 37038 is transferred to here.</t>
  </si>
  <si>
    <t>Protorosauridae</t>
  </si>
  <si>
    <t>Microcnemus</t>
  </si>
  <si>
    <t>Totskoe</t>
  </si>
  <si>
    <t>Kzylsaiskaya</t>
  </si>
  <si>
    <t>Markovka II, level 1</t>
  </si>
  <si>
    <t>Locality 102 (Tverdokhlebov et al., 2003); Soroka River</t>
  </si>
  <si>
    <t>"Orenburg Region, 0.4 km west of south outskirts of Markovka village, left bank of Soroka River (left tributary of the Samara River) (Ivakhnenko et al., 1997)." (Tverdokhlebov et al., 2003). \n \nImportant note: This collection originally was named &gt;&gt;Vakhnevo locality&lt;&lt;. All data originally entered have been transferred to PBDB collection 28479.</t>
  </si>
  <si>
    <t>Orenburgia</t>
  </si>
  <si>
    <t>Markovka II, level 2</t>
  </si>
  <si>
    <t>"Orenburg Region, 0.4 km west of south outskirts of Markovka village, left bank of Soroka River (left tributary of the Samara River) (Ivakhnenko et al., 1997)." (Tverdokhlebov et al., 2003).</t>
  </si>
  <si>
    <t>Ochev</t>
  </si>
  <si>
    <t>Kzyl Sai ravine</t>
  </si>
  <si>
    <t>Kzyl Say, Kzyl-Sai, Kyzyl Sai, Kyzyl-Say Gorge</t>
  </si>
  <si>
    <t>Kyzyl Sai ravine, village of Andreevka, Burtinskii District, Orenburg Region (Ochev, 1958).\r\n"Orenburg Region, 0.5Ã¢Â€Â“1 km west of Andreevka village, the Kzyl-Say ravine (drainage basin of left bank of the Ural River). There is a series of fossil-bearing points at the same stratigraphic level (Ivakhnenko et al., 1997)." (Tverdokhlebov et al., 2003).\r\nPolar coordinates are for village of Andreevka.</t>
  </si>
  <si>
    <t>Garjainia</t>
  </si>
  <si>
    <t>Volgograd</t>
  </si>
  <si>
    <t>Ilovlya</t>
  </si>
  <si>
    <t>Lipovskaya</t>
  </si>
  <si>
    <t>Lipovskaya gully (Donskaya Luka)</t>
  </si>
  <si>
    <t>Lipovaya Balka</t>
  </si>
  <si>
    <t>lat long is for the village of Sirotinskaya</t>
  </si>
  <si>
    <t>Agate Bridge NW (UCMP V82249, PF162)</t>
  </si>
  <si>
    <t>Agate Bridge SE (UCMP V82245, PF165)</t>
  </si>
  <si>
    <t>Jasper Forest W (UCMP V82237, PF166)</t>
  </si>
  <si>
    <t>Jasper Forest S (UCMP V82041, PF167)</t>
  </si>
  <si>
    <t>Protome</t>
  </si>
  <si>
    <t>Stocker</t>
  </si>
  <si>
    <t>Battleship W2 (UCMP V82264, PFV 169)</t>
  </si>
  <si>
    <t>Battleship N</t>
  </si>
  <si>
    <t>Battleship W1 (UCMP V82260)</t>
  </si>
  <si>
    <t>Long Logs (UCMP V82042, PF178)</t>
  </si>
  <si>
    <t>Novaya Zemlya</t>
  </si>
  <si>
    <t>Admiralty</t>
  </si>
  <si>
    <t>Cape Nikolai, Admiralty Peninsula, North Island of Novaya Zemlya Archipelago</t>
  </si>
  <si>
    <t>Admiraliteistva Peninsula</t>
  </si>
  <si>
    <t>Novaya Zemlya, North Island, Admiralty Peninsula, Cape Nikolai, east coast, at 400 m from southern end of cape (Ivakhnenko, 1983).</t>
  </si>
  <si>
    <t>Nenetsia</t>
  </si>
  <si>
    <t>Lestanshor</t>
  </si>
  <si>
    <t>Khei-Yaga-1</t>
  </si>
  <si>
    <t>Khei-Yaga River, Hey-Yaga, western flank of Pai-Khoi Mts.</t>
  </si>
  <si>
    <t>Right bank of Khei-Yaga River, 3.5 km above mouth of Lestanshor River (Novikov, 1991). Name of locality is according to Ivakhnenko (2008).</t>
  </si>
  <si>
    <t>Allentown Claypit (MNA)</t>
  </si>
  <si>
    <t>"Allentown"</t>
  </si>
  <si>
    <t>St. Michaels South, MNA 227</t>
  </si>
  <si>
    <t>"2.8 km south and 5.2 km west of St. Michaels"</t>
  </si>
  <si>
    <t>St. Michaels S (UA)</t>
  </si>
  <si>
    <t>"3 km south of St. Michaels"</t>
  </si>
  <si>
    <t>Lupton W</t>
  </si>
  <si>
    <t>13 km west of Lupton</t>
  </si>
  <si>
    <t>Nazlini 1 (UCMP V3205)</t>
  </si>
  <si>
    <t>11 km north of Nazlini Trading Post</t>
  </si>
  <si>
    <t>Nazlini 2 (UCMP V3206)</t>
  </si>
  <si>
    <t>Nazlini 3 (UCMP V5698)</t>
  </si>
  <si>
    <t>"10 km northwest of Nazlini"</t>
  </si>
  <si>
    <t>Lukachukai W (UCMP A270)</t>
  </si>
  <si>
    <t>10 km west of Lukachukai</t>
  </si>
  <si>
    <t>Round Rock 2 (UCMP A272)</t>
  </si>
  <si>
    <t>Machaeroprosopus gregorii holotype</t>
  </si>
  <si>
    <t>10 km southwest of Round Rock Trading Post</t>
  </si>
  <si>
    <t>Round Rock 4A (UCMP V3210)</t>
  </si>
  <si>
    <t>18 km south of Round Rock Trading Post</t>
  </si>
  <si>
    <t>Round Rock 5 (UCMP V6945)</t>
  </si>
  <si>
    <t>Pizhmomezenskoi</t>
  </si>
  <si>
    <t>Mezenskaya Pizhma and Lower Syamzhen'ga</t>
  </si>
  <si>
    <t>Pizhma-Mezenskaya, Pizhmo-Mezen' River; Lower Syamzhenga; Nizhnyaya Syamzhenga-III, Nizhnyaya Syamzhenga-IV, Nizhnyaya Syamzhenga-VIII, Nizhnyaya Syamzhenga-X, Nizhyaya Syamzhenga-XII, Pizhma-I; Mezen' River Basin</t>
  </si>
  <si>
    <t>Actual geographic position of localities (see a.k.a.) is not fully clear.\r\nOriginal locality description for holotype site of Timanophon raridentatus is "right bank of Pizhma Mezenskaya River, about 0.5 km below mouth of Lower Syamzhen'ga River [Nizhnyaya Syamzhen'ga]" (Novikov, 1991).\r\nThe name "Lower Syamzhen'ga" may refer to the lower reaches of the Syamzhen'ga River. This river is located in the east-central part of the Arkhangelsk Region (Pinega District) and is a tributary of the Pinega River. Contrastingly, the Triassic fossil sites of concern are said to be located at the western flank of the Timan Ridge in the drainage basin of the "Pizhma Mezenskaya" (a tributary of the upper reaches of the Mezen' River) which is in the very east of the Arkhangelsk Region (Leshukonskoe District, according to Ivakhnenko, 2008).\r\nThere is no tributary of the Mezenskaya Pizhma River bearing the name "Nizhnyaya Syamzhen'ga" on the maps but there is a tributary named Nishnyaya Syamun'ga. Thus, it is possible that the name "Nizhnyaya Syamzhen'ga" actually refers to the Nizhnyaya Syamun'ga River.\r\nPolar coordinates are for mouth of Nizhnyaya Syamun'ga river into Mezenskaya Pizhma River.</t>
  </si>
  <si>
    <t>Vybor River localities</t>
  </si>
  <si>
    <t>Vybor-II, Vybor-2; Mezen' River Basin</t>
  </si>
  <si>
    <t>Polar coordinates are based on mouth of Vybor River into Mezen' River, southern part of Leshukonskoe District, Arkhangelsk Region.</t>
  </si>
  <si>
    <t>Black Forest (UCMP V82241, PF2)</t>
  </si>
  <si>
    <t>Zuni Well N1 (UCMP V82255, PFV4)</t>
  </si>
  <si>
    <t>Zuni Well N2 (UCMP V82247, PFV3)</t>
  </si>
  <si>
    <t>Zuni Well N3 (UCMP V82266, PFV6)</t>
  </si>
  <si>
    <t>Kachina Point NE1 (UCMP V82253, PFV7)</t>
  </si>
  <si>
    <t>Kachina Point NE Area, northern Petrified Forest National Park</t>
  </si>
  <si>
    <t>Tawa Point N (PFV13)</t>
  </si>
  <si>
    <t>Tawa Point, northern Petrified Forest National Park</t>
  </si>
  <si>
    <t>Zuni Well Road 2 (PFV 31)</t>
  </si>
  <si>
    <t>PF31</t>
  </si>
  <si>
    <t>Zuni Well Road 4 (PFV 33)</t>
  </si>
  <si>
    <t>PF33</t>
  </si>
  <si>
    <t>Dinosaur Hill NW1 (PFV 41)</t>
  </si>
  <si>
    <t>PF41</t>
  </si>
  <si>
    <t>Fossil Cove area. 3 low hills near Lacey Point, in SW portion of N end of PEFO National Park</t>
  </si>
  <si>
    <t>Irmis</t>
  </si>
  <si>
    <t>Petroglyph phytosaur site (PFV 42)</t>
  </si>
  <si>
    <t>PF42</t>
  </si>
  <si>
    <t>Paliguanidae</t>
  </si>
  <si>
    <t>Santaisaurus</t>
  </si>
  <si>
    <t>Changji</t>
  </si>
  <si>
    <t>Jiucaiyuan</t>
  </si>
  <si>
    <t>Cangfanggou</t>
  </si>
  <si>
    <t>Koh</t>
  </si>
  <si>
    <t>Fukang-Jimsar area</t>
  </si>
  <si>
    <t>holotype site of Santaisaurus yuani; Jimusar; Junggar Basin; Shoukou Fukanghsien</t>
  </si>
  <si>
    <t>"Provinz Sinkiang" (Koh, 1940).\r\n"The area of Fukang-Jimusar, Xinjiang" (Li, 1989). Polar coordinates are for city of Santai (Santaizhen).</t>
  </si>
  <si>
    <t>Boot Ridge (PF46)</t>
  </si>
  <si>
    <t>Dead Wash 1 (UCMP V82268, PFV 48)</t>
  </si>
  <si>
    <t>PF48</t>
  </si>
  <si>
    <t>Dead Wash 2 (UCMP V82269, PFV 65)</t>
  </si>
  <si>
    <t>PF65</t>
  </si>
  <si>
    <t>Dead Wash Schilderia Field (PFV 50)</t>
  </si>
  <si>
    <t>PF50</t>
  </si>
  <si>
    <t>Paulcell 2 (PFV 51)</t>
  </si>
  <si>
    <t>PV51</t>
  </si>
  <si>
    <t>AMNH EHC 1946/27 (PFV 53)</t>
  </si>
  <si>
    <t>PV53</t>
  </si>
  <si>
    <t>CWG 1937/13, Billings Gap, (PFV 54)</t>
  </si>
  <si>
    <t>PV54</t>
  </si>
  <si>
    <t>Dry Creek Tank SE (UCMP V82040, PFV 55)</t>
  </si>
  <si>
    <t>PV55, CLC "Billings Gap", UCMP 7043</t>
  </si>
  <si>
    <t>Dry Creek Tank area of Petrified Forest National Park</t>
  </si>
  <si>
    <t>Paulcell Shellbed (PFV 56)</t>
  </si>
  <si>
    <t>PV56</t>
  </si>
  <si>
    <t>Cowboy (UCMP A257, PFV 154)</t>
  </si>
  <si>
    <t>PV154</t>
  </si>
  <si>
    <t>Cowboy area of Petrified Forest National Park</t>
  </si>
  <si>
    <t>Gatesy's Plunge (PFV 60)</t>
  </si>
  <si>
    <t>PV60</t>
  </si>
  <si>
    <t>Gatesy's Plunge area of Petrified Forest National Park</t>
  </si>
  <si>
    <t>Battleship SW (PFV 67)</t>
  </si>
  <si>
    <t>PF67</t>
  </si>
  <si>
    <t>Flattops NW (UCMP V82258, PFV 70)</t>
  </si>
  <si>
    <t>PF70</t>
  </si>
  <si>
    <t>Karen's Point (UCMP V82240, PFV 75)</t>
  </si>
  <si>
    <t>PF75</t>
  </si>
  <si>
    <t>Jim Camp Wash 2 (PFV 83)</t>
  </si>
  <si>
    <t>PF83</t>
  </si>
  <si>
    <t>Jim Camp Wash 4 (PFV 86)</t>
  </si>
  <si>
    <t>PF86</t>
  </si>
  <si>
    <t>Giant Logs N1 (UCMP V82271, PFV 94)</t>
  </si>
  <si>
    <t>PF94</t>
  </si>
  <si>
    <t>Giant Logs N2 (PFV 90)</t>
  </si>
  <si>
    <t>PF90</t>
  </si>
  <si>
    <t>Jim Camp Wash 1 (PFV 88)</t>
  </si>
  <si>
    <t>PF88</t>
  </si>
  <si>
    <t>Rim Tank N (UCMP V82267, PFV 25)</t>
  </si>
  <si>
    <t>PF25</t>
  </si>
  <si>
    <t>Hell Wash (UCMP V82272, PFV 37)</t>
  </si>
  <si>
    <t>PF37</t>
  </si>
  <si>
    <t>Three Witches (PFV 38)</t>
  </si>
  <si>
    <t>PF38</t>
  </si>
  <si>
    <t>Wizard Wash area of Petrified Forest National Park</t>
  </si>
  <si>
    <t>Three Witches E (PFV 39)</t>
  </si>
  <si>
    <t>PF39, Hell Wash</t>
  </si>
  <si>
    <t>Bat Cave (PFV 87)</t>
  </si>
  <si>
    <t>PF87</t>
  </si>
  <si>
    <t>Ramsey Tank Slide (PFV 59)</t>
  </si>
  <si>
    <t>PF59</t>
  </si>
  <si>
    <t>Old One-Eighty E (PFV 95)</t>
  </si>
  <si>
    <t>PF95</t>
  </si>
  <si>
    <t>Old One-Eighty E area, southern Petrified Forest National Park</t>
  </si>
  <si>
    <t>Little Battleship W (PFV 92)</t>
  </si>
  <si>
    <t>PF92</t>
  </si>
  <si>
    <t>Wild Horse Wash (PFV 26)</t>
  </si>
  <si>
    <t>PF26</t>
  </si>
  <si>
    <t>Mud Spring (UCMP 7049)</t>
  </si>
  <si>
    <t>39 km south of Navajo</t>
  </si>
  <si>
    <t>Pravusuchus</t>
  </si>
  <si>
    <t>Gobstopper Hill (PFV 263)</t>
  </si>
  <si>
    <t>Vicinity of "Phytosaur Basin", Petrified Forest National Park</t>
  </si>
  <si>
    <t>Milkshake Quarry, old Highway 180 (PFV 304)</t>
  </si>
  <si>
    <t>Sonsela "Nicrosaurus"</t>
  </si>
  <si>
    <t>"Unnamed mesa west of Jim Camp Wash, Petrified Forest National Park"</t>
  </si>
  <si>
    <t>Mitchell et al.</t>
  </si>
  <si>
    <t>Irmis and Parker</t>
  </si>
  <si>
    <t>MNA 302/26 PFV 34</t>
  </si>
  <si>
    <t>PF34</t>
  </si>
  <si>
    <t>Adamanasuchus</t>
  </si>
  <si>
    <t>Baode</t>
  </si>
  <si>
    <t>Young and Yeh</t>
  </si>
  <si>
    <t>Lishenglen</t>
  </si>
  <si>
    <t>holotype site of Shihtienfenia permica; Pao-TÃƒÂª, Paoteh, Baode</t>
  </si>
  <si>
    <t>" [...] from the vicinity of Lishenglen, Paote N. W. Shansi." (Young &amp; Yeh, 1963). Polar coordinates are for city of Paote (Pao-TÃƒÂª, Baode). \r\n"Ã¢Â€Â˜Upper Permian from the vicinity of Lishenglen, Paote, N.W. Shansi, near the banks of the Huangho (= Yellow) River'. In modern pinyin transliteration of the Chinese characters, these latter names become Baode, Shanxi, and Huanghe. The stratigraphic section, including the find spot of the fossils (Young &amp; Yeh, 1963: fig. 1), extends from Baode to Huayuan, Ã¢Â€Â˜along the south bank of the HuanghoÃ¢Â€Â™. The place name Ã¢Â€Â˜LishenglenÃ¢Â€Â™ is modern Lixianling, 1 km west of Baode town, and Baode is located in Baode County, near Xinzhou City, on the east bank of Huanghe" (Benton 2016)</t>
  </si>
  <si>
    <t>Ward's Bonebed general area</t>
  </si>
  <si>
    <t>area northeast and southeast of Cameron</t>
  </si>
  <si>
    <t>"Ward's Bonebed", 3 miles East of Cameron</t>
  </si>
  <si>
    <t>3 miles east of Cameron; this is the original site of Ward's Bone Bed</t>
  </si>
  <si>
    <t>Rock Crossing, 4 miles north of Cameron</t>
  </si>
  <si>
    <t>"Ward's Bonebed"</t>
  </si>
  <si>
    <t>4 miles north of Cameron</t>
  </si>
  <si>
    <t>25 miles E of Cameron</t>
  </si>
  <si>
    <t>25 miles east of Cameron</t>
  </si>
  <si>
    <t>6 miles SE of Cameron</t>
  </si>
  <si>
    <t>"Ward's Bonebed", Hesperosuchus holotype</t>
  </si>
  <si>
    <t>2 miles east of Tanners Crossing</t>
  </si>
  <si>
    <t>Machaeroprosopus holotype</t>
  </si>
  <si>
    <t>Mehl and Schwartz</t>
  </si>
  <si>
    <t>Acompsosaurus type</t>
  </si>
  <si>
    <t>"roadcut near Pekin"</t>
  </si>
  <si>
    <t>7 miles NE Adamana</t>
  </si>
  <si>
    <t>Pseudopalatus pristinus holotype</t>
  </si>
  <si>
    <t>"Seven miles NE of Adamana"</t>
  </si>
  <si>
    <t>Socorro</t>
  </si>
  <si>
    <t>San Pedro Arroyo</t>
  </si>
  <si>
    <t>NMMNH L-2810, Rio Salado</t>
  </si>
  <si>
    <t>Lipovo village, PIN 3355</t>
  </si>
  <si>
    <t>type locality of Contritosaurus simus; Vetluga River</t>
  </si>
  <si>
    <t>" [...] Gor'kiy oblast, Lipovo village [...]" (Ivakhnenko, 1974). Note: former Gorki region (=oblast) now is called Nizhnii Novgorod region. The locality is upon the Vetluga River according to Spencer &amp; Benton (2000) and is in the Krasnye Baki district according to Ivakhnenko (2008). DMS coordinates are for town of Krasnye Baki.</t>
  </si>
  <si>
    <t>Sarafanikha site</t>
  </si>
  <si>
    <t>Vetluga River</t>
  </si>
  <si>
    <t>" [...] Sarafanikha site in Gor'kiy oblast [...]" (Ivakhnenko, 1974). Note: former Gorki region (=oblast) now is called Nizhnii Novgorod region. The locality is in the Krasnye Baki district according to Ivakhnenko (2008). There are two villages bearing the name Sarafanikha near the other Lower Triassic sites in the Krasnye Baki district: Nizhnyaya Sarafanikha and Verkhnyaya Sarafanikha. N. Sarafanikha is situated just NW of town of Vetluzhskii and V. Sarafanikha is just SE from town of Krasnye Baki (lateral distance about 10 km). Polar coordinates are for town of Krasnye Baki.</t>
  </si>
  <si>
    <t>Cibola</t>
  </si>
  <si>
    <t>NMMNH L-248, Lucero Uplift</t>
  </si>
  <si>
    <t>NMMNH L-249, Lucero Uplift</t>
  </si>
  <si>
    <t>Darovskoi</t>
  </si>
  <si>
    <t>Kasyanovtsy site</t>
  </si>
  <si>
    <t>Kas'yanovtsy site; Vyatka River Basin</t>
  </si>
  <si>
    <t>" [...] Kas'yanovtsy site in Kirov oblast [...]" (Ivakhnenko, 1974). Ivakhnenko (2008) states that the locality is in the Darovskoi district, which is in the NW of Kirov region. There is a small village named Kas'yanovy on the map. It well may be that "Kasyanovtsy site" refers to that place. Polar coordinates are for Kasyanovy village upon Moloma River (tributary of Vjatka River), about 6 km downstream from mouth of Vondanka River.</t>
  </si>
  <si>
    <t>NMMNH L-3108</t>
  </si>
  <si>
    <t>Typothorax antiquum holotype</t>
  </si>
  <si>
    <t xml:space="preserve">UTM zone 13, 421750E, 392320N, NAD 27 </t>
  </si>
  <si>
    <t>San Miguel</t>
  </si>
  <si>
    <t>Garita Creek</t>
  </si>
  <si>
    <t>NMMNH L-410, Garita Creek</t>
  </si>
  <si>
    <t>Sec. 4, T12N, R24E</t>
  </si>
  <si>
    <t>NMMNH L-404, Garita Creek</t>
  </si>
  <si>
    <t>NMMNH L-426, Garita Creek</t>
  </si>
  <si>
    <t>Sec. 24, T13N, R24E</t>
  </si>
  <si>
    <t>NMMNH L-411, Garita Creek</t>
  </si>
  <si>
    <t>NMMNH L-413, Garita Creek</t>
  </si>
  <si>
    <t>NMMNH L-401, Garita Creek</t>
  </si>
  <si>
    <t>NMMNH L-415, Garita Creek</t>
  </si>
  <si>
    <t xml:space="preserve">Sec. 3, T12N, R24E </t>
  </si>
  <si>
    <t>NMMNH L-1178, Lamy</t>
  </si>
  <si>
    <t>Trujillo</t>
  </si>
  <si>
    <t>NMMNH L-505, Barranca Creek</t>
  </si>
  <si>
    <t>NMMNH L-504, Barranca Creek</t>
  </si>
  <si>
    <t>NMMNH L-554, Garita Creek</t>
  </si>
  <si>
    <t>NMMNH L-2731</t>
  </si>
  <si>
    <t>Database</t>
  </si>
  <si>
    <t>NMMNH L-408, Garita Creek</t>
  </si>
  <si>
    <t>NMMNH L-420, Garita Creek</t>
  </si>
  <si>
    <t>NMMNH L-422, Garita Creek</t>
  </si>
  <si>
    <t>Los Esteros</t>
  </si>
  <si>
    <t>NMMNH L-149, Lamy</t>
  </si>
  <si>
    <t>sec. 2, T14N R10E</t>
  </si>
  <si>
    <t>NMMNH L-440, Lamy</t>
  </si>
  <si>
    <t>NMMNH L-1188, Lamy</t>
  </si>
  <si>
    <t>Coelodontognathus</t>
  </si>
  <si>
    <t>Arkhangelskii and Sennikov</t>
  </si>
  <si>
    <t>Arroyo Seco drainage, Orphan Mesa</t>
  </si>
  <si>
    <t>NMMNH L-441</t>
  </si>
  <si>
    <t>limb elements,dermal scales</t>
  </si>
  <si>
    <t>NMMNH L-4211, Apache Canyon</t>
  </si>
  <si>
    <t>Apachesuchus</t>
  </si>
  <si>
    <t>Union</t>
  </si>
  <si>
    <t>Travesser</t>
  </si>
  <si>
    <t>Sloan Canyon phytosaur (UNM 1064)</t>
  </si>
  <si>
    <t>"north side of Sloan Canyon Creek 200 yards downstream from the crossing of US Highway 64, 12 miles west of Kenton, Oklahoma"; NE 1/4 SW 1/4 NE 1/4 sec. 12  T31N R35E</t>
  </si>
  <si>
    <t>Dolabrosaurus</t>
  </si>
  <si>
    <t>Berman and Reisz</t>
  </si>
  <si>
    <t>base of Mesa Prieto</t>
  </si>
  <si>
    <t>Abiquiu Reservoir</t>
  </si>
  <si>
    <t>Originally stated as "NE 1/4 NE 1/4 sec. 30, T24N, R3E"; Renesto et al. (2010) corrected this to UTM zone 13, 358587E, 4016830N. near Abiquiu Reservoir.</t>
  </si>
  <si>
    <t>partial skulls,vertebrae</t>
  </si>
  <si>
    <t>Mata</t>
  </si>
  <si>
    <t>Sanga do Cabral</t>
  </si>
  <si>
    <t>RincÃƒÂ£o dos Weiss</t>
  </si>
  <si>
    <t>Rincao dos Weiss; holotype site of Procolophon brasiliensis</t>
  </si>
  <si>
    <t>Outcrop "along a secondary route that crosses highway BR 287, in the locality of RincÃƒÂ£o dos Weiss, municipality of Mata" (Dias-da-Silva, 2006).\r\nCisneros &amp; Schultz (2002) give 29Ã‚Â°33'27.35"S, 53Ã‚Â°26'56.43"W as polar coordinates for the RincÃƒÂ£o dos Weiss locality. They also say that it is in the Mata municipality of Rio Grande do Sul state. This municipality, however, is situated about 100 km W from the point marked by the lat and long given by Cisneros &amp; Schultz (2002), who apparently confused the polar coordinates of RincÃƒÂ£o dos Weiss with those of the Faxinal do Soturno locality (see PBDB coll. no. 55446).\r\nPolar coordinates of present collection are based on map (fig. 2) in Langer et al. (2007, New Mexico Mus. Nat. Hist. Sci. Bull. 41).</t>
  </si>
  <si>
    <t>Dias-da-Silva et al.</t>
  </si>
  <si>
    <t>limb elements</t>
  </si>
  <si>
    <t>Kudrino village</t>
  </si>
  <si>
    <t>Yug River Basin</t>
  </si>
  <si>
    <t>Kudrino, Nikolsk District, Vologda Region (Sennikov, 2008). Polar coordinates are for village of Kudrino upon Yug River.</t>
  </si>
  <si>
    <t>UNM 1069</t>
  </si>
  <si>
    <t xml:space="preserve">NW 1/4 NW 1/4 SE 1/4 NE 1/4, sec. 33, T32N, R35E </t>
  </si>
  <si>
    <t>Sloan Canyon</t>
  </si>
  <si>
    <t>UNM 1071, Wedding Cake Butte</t>
  </si>
  <si>
    <t>NW 1/4 NW 1/4 NW 1/4 NW 1/4, sec. 1, T31N, R34E</t>
  </si>
  <si>
    <t>Big Cimarron Valley</t>
  </si>
  <si>
    <t>Lavina</t>
  </si>
  <si>
    <t>Campo da Pedra</t>
  </si>
  <si>
    <t>holotype site of Procolophon pricei; Dilermando de Aguiar; CatuÃƒÂ§aba, Catucaba</t>
  </si>
  <si>
    <t>Approximately 15 km south of the city of Dilermando de Aguiar. Railroad cuttings of the unfinished railroad between Dilermando de Aguiar Station and the city of SÃƒÂ£o Gabriel (Lavina, 1983).</t>
  </si>
  <si>
    <t>Episcoposaurus horridus type, Arroyo Seco</t>
  </si>
  <si>
    <t>Orpha Mesa</t>
  </si>
  <si>
    <t>Based on coordinates for nearby collection of Belodon buceros. According to Huene this is from Cerro Blanco, near Gallina</t>
  </si>
  <si>
    <t>Canon del Cobre</t>
  </si>
  <si>
    <t>Caseosaurus</t>
  </si>
  <si>
    <t>Frances Baard</t>
  </si>
  <si>
    <t>Kimberley</t>
  </si>
  <si>
    <t>"Burghersdorp"</t>
  </si>
  <si>
    <t>All specimens of Mesosaurus pleurogaster either come immediately from the town of Kimberley or from the diamond open-cast mines in the immediate vicinity of Kimberley. DMS coordinates are for Kimberley, Frances Baard District Municipality, Northern Cape Province, South Africa.</t>
  </si>
  <si>
    <t>Bergamo</t>
  </si>
  <si>
    <t>Argilliti di Riva di Solto</t>
  </si>
  <si>
    <t>Ponte Giurino, Valle Imagna (MSNB collection)</t>
  </si>
  <si>
    <t>ca. 500 m northwest of the main church of Ponte Giurino, about 15 km northwest of Bergamo</t>
  </si>
  <si>
    <t>Zambelli</t>
  </si>
  <si>
    <t>Cene, Seriana Valley</t>
  </si>
  <si>
    <t>quarry on the slope of Monte Bo, close to the small town of Cene, Seriana Valley, Bergamo. Coordinates are for Cene.</t>
  </si>
  <si>
    <t>Peteinosaurus</t>
  </si>
  <si>
    <t>Renesto</t>
  </si>
  <si>
    <t>Meurthe-et-Moselle</t>
  </si>
  <si>
    <t>Godefroit</t>
  </si>
  <si>
    <t>VarangÃƒÂ©ville</t>
  </si>
  <si>
    <t>Novikov and Orlov</t>
  </si>
  <si>
    <t>Peschanoozerskaya, borehole 23, Kolguev Island</t>
  </si>
  <si>
    <t>Kolguev-2; Kolguyev Island; Pechora Basin</t>
  </si>
  <si>
    <t>Polar coordinates are for Peschanoozerskaya area on the northeastern margin of Kolguev Island.</t>
  </si>
  <si>
    <t>Boreopricea</t>
  </si>
  <si>
    <t>Kolguev Island, borehole 35, 1543.4-1551.4 m</t>
  </si>
  <si>
    <t>Kolguyev Island; Pechora Basin</t>
  </si>
  <si>
    <t>Exact location of borehole not stated in the primary reference or elsewhere. Polar coordinates are the same as for PBDB coll. 94236.</t>
  </si>
  <si>
    <t>Tatarinov</t>
  </si>
  <si>
    <t>Kolguev Island, borehole 141</t>
  </si>
  <si>
    <t>Kolguev-11; Kolguyev Island; Pechora Basin</t>
  </si>
  <si>
    <t>Blomosaurus</t>
  </si>
  <si>
    <t>Varnavino</t>
  </si>
  <si>
    <t>Vokhma</t>
  </si>
  <si>
    <t>Anisimovo village</t>
  </si>
  <si>
    <t>"Kirov Province, Anisimovo village" (Tatarinov, 1978).\r\nAnisimovo locality, Varnavinskii Raion, Nizhegorodskaya Oblast' (Sennikov, 2008). Since the latter locality description appears to be the correct one, polar coordinates of the present collection are based on Anisimovo village upon Vetluga River.</t>
  </si>
  <si>
    <t>cast,mold/impression,concretion</t>
  </si>
  <si>
    <t>partial skulls,vertebrae,limb elements</t>
  </si>
  <si>
    <t>Fernrocks near Tafelberg Station</t>
  </si>
  <si>
    <t>Fern Rocks; ?Trollip siding</t>
  </si>
  <si>
    <t>Broom (1905, Rec. Albany Mus. 1(4)), regarding localities in the Cape Province bearing the name "Tafelberg", states that "To the south of Rosmead Junction there is a railway station of the name, and [...] Procolophon occurs in that neighbourhood, where the very fine series of specimens in the Albany Museum was procured [...]."\r\nPolar coordinates are for Farm Fern Rocks, situated about 19 km ENE from Tafelberg (which is on the railroad between Noupoort and Cradock, about 18 km SE from Rosmead) and about 42 km SE from Middelburg, Inxuba Yethemba Local Municipality, Chris Hani District Municipality, Eastern Cape Province.\r\n\r\nAdditional note: This locality may be identical to the one mentioned as "Trollip siding, near Rasmead" in Carroll and Lindsay (1985).</t>
  </si>
  <si>
    <t>Klein Vogelstruisfontein (Bethulie District)</t>
  </si>
  <si>
    <t>" [...] Kl. Vogelstruisfontein. in the district of Bethulie [...] " (Seeley, 1889). No further deatils are given. Polar coordinates are for farm Klein Vogelstruisfontein, about 25 km NW from town of Bethulie, Kopanong Local Municipality, Xhariep District Municipality, Free State.</t>
  </si>
  <si>
    <t>Meshcheryakovka I</t>
  </si>
  <si>
    <t>Mescheryakovka I; locality 37 (Tverdokhlebov et al., 2003); PIN 4400</t>
  </si>
  <si>
    <t>"Orenburg Region, 0.3 km south of Mescheryakovka village, right bank of the Donguz River (drainage basin of left bank of the Ural River)" (Tverdokhlebov et al., 2003). Polar coordinates are for Meshcheryakovka village.</t>
  </si>
  <si>
    <t>Rinehart et al.</t>
  </si>
  <si>
    <t>Walker's Tank, TMM 41966</t>
  </si>
  <si>
    <t>Trilophosaurus holotype, Red Tank, Walkers Tank</t>
  </si>
  <si>
    <t>near Kalgary</t>
  </si>
  <si>
    <t>MNA 1496, 5 km NE Many Farms</t>
  </si>
  <si>
    <t>Phantomosaurus</t>
  </si>
  <si>
    <t>Unterfranken</t>
  </si>
  <si>
    <t>pulcher/robustus</t>
  </si>
  <si>
    <t>Maisch and Matzke</t>
  </si>
  <si>
    <t>Karlstadt/Main</t>
  </si>
  <si>
    <t>Karlstadt am Main</t>
  </si>
  <si>
    <t>coordinate based on Karlstadt am Main</t>
  </si>
  <si>
    <t>Asilisaurus</t>
  </si>
  <si>
    <t>Litumba Ndyosi (NMT Z34)</t>
  </si>
  <si>
    <t>Asilisaurus holotype</t>
  </si>
  <si>
    <t xml:space="preserve">near the town of Litumba Ndyosi, Ruhuhu Basin; small 6 meter-wide channel fill over a distance of some 10 m. </t>
  </si>
  <si>
    <t>Vallesaurus</t>
  </si>
  <si>
    <t>Renesto and Binelli</t>
  </si>
  <si>
    <t>Z 64/1, Cabora Bassa Basin</t>
  </si>
  <si>
    <t>Dande Communal Lands, Cabora Bassa Basin</t>
  </si>
  <si>
    <t>Z 109/1, Cabora Bassa Basin</t>
  </si>
  <si>
    <t>Locality XI, Alili n'yifis, Alma</t>
  </si>
  <si>
    <t>Gisement XI</t>
  </si>
  <si>
    <t>Near the village of Alma in the north of the Argana Basin, about 50 km NE of Agadir; Lambert coordinates 161.8/456.9. Map shows locality to be close to the settlements of Titrine and Talaint; coordinates based on Talaint</t>
  </si>
  <si>
    <t>Tikisuchus</t>
  </si>
  <si>
    <t>Madhya Pradesh</t>
  </si>
  <si>
    <t>Shadol</t>
  </si>
  <si>
    <t>Tiki</t>
  </si>
  <si>
    <t>Chatterjee and Majumdar</t>
  </si>
  <si>
    <t>Tiki village</t>
  </si>
  <si>
    <t>Tikisuchus holotype</t>
  </si>
  <si>
    <t>1.5 km south of Tiki village</t>
  </si>
  <si>
    <t>Lydekker</t>
  </si>
  <si>
    <t>Palacrodon</t>
  </si>
  <si>
    <t>Evans and van den Heever</t>
  </si>
  <si>
    <t>vertebrae</t>
  </si>
  <si>
    <t>Nesbitt</t>
  </si>
  <si>
    <t>5:00 Quarry and surroundings, Cholla Power Plant</t>
  </si>
  <si>
    <t>MSM 99-84, 98-448, Five O'Clock Quarry</t>
  </si>
  <si>
    <t>Coordinates based upon nearby Cholla Power Plant; at least 10 localities. Nesbitt (2000) referred to a locality at Cholla Power Plant as MSM 98-448; Nesbitt (2005) referred to the 5:00 Quarry at Cholla as MSM 99-84</t>
  </si>
  <si>
    <t>MSM 02-151</t>
  </si>
  <si>
    <t>Near to I-40, mile markers 266-268</t>
  </si>
  <si>
    <t>UCMP V4607, Cameron quarry</t>
  </si>
  <si>
    <t xml:space="preserve">Coordinates based upon town of Cameron in Coconino County </t>
  </si>
  <si>
    <t>Radar Mesa</t>
  </si>
  <si>
    <t>Outcrops at the base of Radar Mesa, north of I-40 west of Winslow</t>
  </si>
  <si>
    <t>skulls,vertebrae</t>
  </si>
  <si>
    <t>Pliosauridae</t>
  </si>
  <si>
    <t>Thalassiodracon</t>
  </si>
  <si>
    <t>White Lias</t>
  </si>
  <si>
    <t>Wright</t>
  </si>
  <si>
    <t>Cree's Quarry, Street (bed 31)</t>
  </si>
  <si>
    <t>U.K. National Grid Reference ST 48 36</t>
  </si>
  <si>
    <t>Huxley</t>
  </si>
  <si>
    <t>Cree's Quarry, Street (bed 30)</t>
  </si>
  <si>
    <t>Cree's Quarry, Street (bed 24)</t>
  </si>
  <si>
    <t>Cree's Quarry, Street (bed 22)</t>
  </si>
  <si>
    <t>Cree's Quarry, Street (bed 14)</t>
  </si>
  <si>
    <t>Cree's Quarry, Street (bed 7)</t>
  </si>
  <si>
    <t>Cree's Quarry, Street (bed 3)</t>
  </si>
  <si>
    <t>Rhomaleosauridae</t>
  </si>
  <si>
    <t>Rhomaleosaurus</t>
  </si>
  <si>
    <t>Greaves and Kershaw's Quarry, Wilmcote (bed 21)</t>
  </si>
  <si>
    <t>at Wilmcote, near Stratford-on-Avon</t>
  </si>
  <si>
    <t>body,cast,mold/impression,trace</t>
  </si>
  <si>
    <t>partial skeletons,footprints</t>
  </si>
  <si>
    <t>Anarosaurus</t>
  </si>
  <si>
    <t>NL</t>
  </si>
  <si>
    <t>Gelderland</t>
  </si>
  <si>
    <t>Vossenveld</t>
  </si>
  <si>
    <t>Lower Wellenkalk layer 9</t>
  </si>
  <si>
    <t>Bickelmann and Sander</t>
  </si>
  <si>
    <t>Steengroeve Winterswijk</t>
  </si>
  <si>
    <t>Winterswijkse Steen- en Kalkgroeve</t>
  </si>
  <si>
    <t>3 large limestone quarries 3 km E of Winterswijk (B.V. Winterswijksche Steen- en Kalk- groeve), near hamlet of Ratum</t>
  </si>
  <si>
    <t>Dactylosaurus</t>
  </si>
  <si>
    <t>Helveticosauridae</t>
  </si>
  <si>
    <t>Eusaurosphargis</t>
  </si>
  <si>
    <t>Sander et al.</t>
  </si>
  <si>
    <t>Amotosaurus</t>
  </si>
  <si>
    <t>Klein et al.</t>
  </si>
  <si>
    <t>Bergamodactylus</t>
  </si>
  <si>
    <t>Sarmatosuchus</t>
  </si>
  <si>
    <t>Berdyanka II (locality 32), PIN 2865</t>
  </si>
  <si>
    <t>"Orenburg region, 3.4 km south of Belyaevsky village, right tributary of the Berdyanka River (drainage basin of left bank of the Ural River)" (Tverdokhlebov et al. 2003)\r\n</t>
  </si>
  <si>
    <t>Vjushkovisaurus</t>
  </si>
  <si>
    <t>Uralosaurus</t>
  </si>
  <si>
    <t>Sol'-Iletskiy</t>
  </si>
  <si>
    <t>Karagachka (locality 34), PIN 2973</t>
  </si>
  <si>
    <t>Karagatschka</t>
  </si>
  <si>
    <t>"Orenburg Region, right bank of the Karagachka River opposite Karagachka village (drainage basin of left bank of the Ural River)" (Tverdokhlebov et al. 2003). Coordinates based upon Karagachka village</t>
  </si>
  <si>
    <t>Donguz I, PIN 952</t>
  </si>
  <si>
    <t>Locality 36; Dongus river; Perovsky settlement;</t>
  </si>
  <si>
    <t>"on the right bank of the Dongus river, (a left tributary of the Ural river) in the region of its upper part, 1 km downstream of the large Perovsky settlement, Sol-Iletzk district, Chkalov region...the Perovsky settlement is located about 30 km E of the Mayatchnaya station, Tashkent railway, and 45-50 km SE of the Chkalov town." (Efremov, 1940).\r\n"Orenburg Region, 1 km NW of Perovka village, right bank of the Donguz River (drainage basin of left bank of the Ural River)" (Tverdokhlebov et al., 2003).\r\n\r\nSchoch &amp; Milner (2000) refer to this site as "Donguz XII" but this appears to be an error \r\n\r\nImportant notes: Original collection name &gt;&gt;Dongus River (Vetluga Horizon)&lt;&lt; ist altered according to official PIN locality name in Tverdokhlebov et al. (2003). This is important since there are some further localities upon the Donguz River which are within stratigraphic levels considerably different from that of the present collection.\r\nState/Province name &gt;&gt;Chkalov Region&lt;&lt; is replaced by the name now used for the former Chkalov Oblast. Polar coordinates (originally 53Ã‚Â°N 55Ã‚Â°E, based on city of Sol'-Iletsk) are rendered more precisely and now are based upon village of Perovka (TL).</t>
  </si>
  <si>
    <t>Bukobay VII, Belyaevsky I</t>
  </si>
  <si>
    <t>Locality 31</t>
  </si>
  <si>
    <t>"6 km ENE of Belyaevsky village, right bank of the Bukobay ravine (drainage basin of left bank of the Ural River)"</t>
  </si>
  <si>
    <t>Dongusuchus</t>
  </si>
  <si>
    <t>Bukobay I</t>
  </si>
  <si>
    <t>Berdyanka River; coordinates estimated using map provided by Tverdokhlebov et al. (2003) for other Bukobay sites</t>
  </si>
  <si>
    <t>Malutinisuchus</t>
  </si>
  <si>
    <t>Bukobay V, Belyaevsky I</t>
  </si>
  <si>
    <t>Locality 30</t>
  </si>
  <si>
    <t>"7.5 km east of Belyaevsky village, right bank of the Bukobay ravine (drainage basin of left bank of the Ural River)"</t>
  </si>
  <si>
    <t>Starokoltaevo III (Locality 10)</t>
  </si>
  <si>
    <t>Koltayevo III</t>
  </si>
  <si>
    <t>"Bashkortostan. 7.5 km NE of Oktyabrsky town, 2 km west Starokoltaevo village, right bank of the Bolshoy Yushatir River (Sakmara drainage basin)"</t>
  </si>
  <si>
    <t>Lotosaurus</t>
  </si>
  <si>
    <t>Hunan</t>
  </si>
  <si>
    <t>Sangzhi</t>
  </si>
  <si>
    <t>Xinlingzhen</t>
  </si>
  <si>
    <t>Badong</t>
  </si>
  <si>
    <t>Zhang</t>
  </si>
  <si>
    <t>Furongqiao, Sangzhi</t>
  </si>
  <si>
    <t>Lotosaurus holotype site</t>
  </si>
  <si>
    <t>Hubei</t>
  </si>
  <si>
    <t>Yuanan</t>
  </si>
  <si>
    <t>Liu and Wang</t>
  </si>
  <si>
    <t>Maopingchang</t>
  </si>
  <si>
    <t>Worcestershire</t>
  </si>
  <si>
    <t>Finstall</t>
  </si>
  <si>
    <t>Hilltop quarries, Wilcox S. Quarry, Griffin's S. Quarry</t>
  </si>
  <si>
    <t>"Three quarries near Hilltop Hospital, on Breakback or Rock Hill (SO 948698)" (Benton &amp; Spencer 1995); "specimens are labelled as having come from Wilcox S. Quarry" (Benton et al. 1994)</t>
  </si>
  <si>
    <t>Benton and Gower</t>
  </si>
  <si>
    <t>skulls,partial skulls</t>
  </si>
  <si>
    <t>Anshun</t>
  </si>
  <si>
    <t>Wayao</t>
  </si>
  <si>
    <t>Falang</t>
  </si>
  <si>
    <t>Maisch et al.</t>
  </si>
  <si>
    <t>Wolonggang</t>
  </si>
  <si>
    <t>Coburgosuchus</t>
  </si>
  <si>
    <t>Burgsandstein</t>
  </si>
  <si>
    <t>Heller</t>
  </si>
  <si>
    <t>Untersiemau, Coburgosuchus holotype</t>
  </si>
  <si>
    <t xml:space="preserve">Quarry at Untersiemau, approximately 7 km south of Coburg, northernmost Bavaria; specimen is from a "small, shallow outcrop at the southeast exit of the village"; coordinates based upon the village. </t>
  </si>
  <si>
    <t>Wusha</t>
  </si>
  <si>
    <t>Zhuganpo</t>
  </si>
  <si>
    <t>Rieppel et al.</t>
  </si>
  <si>
    <t>Nimaigu Village</t>
  </si>
  <si>
    <t>Nimaigu Village, Wusha District, Xingyi City; coordinates based on Xingyi</t>
  </si>
  <si>
    <t>Bernburg</t>
  </si>
  <si>
    <t>WipperbrÃƒÂ¼cke, Parforcehaus</t>
  </si>
  <si>
    <t>Mesorhinus holotype site</t>
  </si>
  <si>
    <t xml:space="preserve">Specimen was found in collections of the University of GÃƒÂ¶ttingen, with the label "Trematosaurus, lower Buntsandstein of Bernburg". Jaekel (1910) claimed to have been able to match the sediment to a horizon at the WipperbrÃƒÂ¼cke/Parforcehaus SW of Bernburg, with the help of local quarry owner Mr Merkel. However, the specimen was destroyed by fire near the end of World War II, and recent workers have questioned the locality data. </t>
  </si>
  <si>
    <t>Chirotheriidae</t>
  </si>
  <si>
    <t>Chirotherium</t>
  </si>
  <si>
    <t>Bamberg</t>
  </si>
  <si>
    <t>Hassberge</t>
  </si>
  <si>
    <t>Blasensandstein</t>
  </si>
  <si>
    <t>Kuhn</t>
  </si>
  <si>
    <t>Ebrach, bed number 9</t>
  </si>
  <si>
    <t>Saurierbank Heim's, Belodonbank NÃƒÂ¶th's, oberer Springer</t>
  </si>
  <si>
    <t xml:space="preserve">"Quarry is located on the hillside south of the village of Ebrach, on the road to Gressingen, 35 m above the valley floor. It is the property of the Ebrach penitentiary." (Kuhn 1932). Coordinates are based upon a series of small lakes between Ebrach and Gressingen that likely represent the infilled quarry. Approximately, 35 km west of Bamberg, Bamberg District, Upper Franconia (Oberfranken), northern Bavaria. </t>
  </si>
  <si>
    <t>Ebrachosuchus</t>
  </si>
  <si>
    <t>Ebrach, bed number 13</t>
  </si>
  <si>
    <t>"Quarry is located on the hillside south of the village of Ebrach, on the road to Gressingen, 35 m above the valley floor. It is the property of the Ebrach penitentiary." (Kuhn 1932). Coordinates are based upon a series of small lakes between Ebrach and Gressingen that likely represent the infilled quarry. Approximately, 35 km west of Bamberg, Bamberg District, Upper Franconia (Oberfranken), northern Bavaria.</t>
  </si>
  <si>
    <t>Ebrach, bed number 5</t>
  </si>
  <si>
    <t>unterer Springer, NÃƒÂ¶th's "Mastodonsaurus"-Bank</t>
  </si>
  <si>
    <t>NÃƒÂ¼rnberger Land</t>
  </si>
  <si>
    <t>RÃƒÂ¶thenbach</t>
  </si>
  <si>
    <t>Railway cutting between Lauf and RÃƒÂ¶thenbach, NE of Nuremberg (NÃƒÂ¼rnberg), middle Franconia, Bavaria</t>
  </si>
  <si>
    <t>Maisch and Kapitzke</t>
  </si>
  <si>
    <t>Watchet, pre-planorbis beds</t>
  </si>
  <si>
    <t>Only geographical data provided is "Watchet"; coordinates based upon the town</t>
  </si>
  <si>
    <t>Styria</t>
  </si>
  <si>
    <t>Dachsteinkalk</t>
  </si>
  <si>
    <t>Buffetaut</t>
  </si>
  <si>
    <t>Totes Gebirge phytosaurs</t>
  </si>
  <si>
    <t>380 m SSE of the mountain HochweiÃƒÂŸ, southern part of the Totes Gebirge mountain range, 7.1 km north of Tauplitz, Liezen district, Styria (Steiermark), central Austria.</t>
  </si>
  <si>
    <t>Dolerosaurus</t>
  </si>
  <si>
    <t>NiederÃƒÂ¶stereich</t>
  </si>
  <si>
    <t>Scheibbs</t>
  </si>
  <si>
    <t>Lunz</t>
  </si>
  <si>
    <t>Opponitzer Limestone</t>
  </si>
  <si>
    <t>Lunz, Lunzer Bergstollen</t>
  </si>
  <si>
    <t>Construction tunnel of the second Vienna water pipeline (Ã¢Â€Â˜Lunzbergstollen der II Wiener WasserleitungÃ¢Â€Â™), Lunz am See, Scheibbs, Lower Austria, Austria, approximately 100 km west of Vienna.</t>
  </si>
  <si>
    <t>Shastasaurus</t>
  </si>
  <si>
    <t>deep subtidal shelf</t>
  </si>
  <si>
    <t>Pardonet</t>
  </si>
  <si>
    <t>Epigondolella postera</t>
  </si>
  <si>
    <t>Nicholls and Manabe</t>
  </si>
  <si>
    <t>Sikanni Chief River</t>
  </si>
  <si>
    <t>"Southwest bank of Sikanni Chief River, northeastern British Columbia, 1.5 km downstream from the mouth of Chicken Creek, 57Ã‚Â° 15.81 N, 123Ã‚Â°00.92 W"</t>
  </si>
  <si>
    <t>Macgowania</t>
  </si>
  <si>
    <t>Bayern (Bavaria)</t>
  </si>
  <si>
    <t>Berchtesgadener Land</t>
  </si>
  <si>
    <t>Lercheck Limestone</t>
  </si>
  <si>
    <t>Hallstatt Facies</t>
  </si>
  <si>
    <t>Sander and Faber</t>
  </si>
  <si>
    <t>DÃƒÂ¼rrnberg mountain</t>
  </si>
  <si>
    <t>"northern Alps near the Austrian city of Salzburg, the exact locality being the DÃƒÂ¼rrnberg Mountain near Hallein about 15 km S of Salzburg, but on German territory."</t>
  </si>
  <si>
    <t>body,cast</t>
  </si>
  <si>
    <t>Schilfsandstein</t>
  </si>
  <si>
    <t>Feuerbacher Heide</t>
  </si>
  <si>
    <t>Feuerbacher Haide</t>
  </si>
  <si>
    <t xml:space="preserve">Collected from "Feuerbacher Heide" (or "Haide") near the village of Feuerbach, now a suburb to the north of Stuttgart. Seems to represent a group of historical quarries; Dyoplax is from the "Leins" quarry. Benton &amp; Wild (1994) give GauÃƒÂŸ-KrÃƒÂ¼ger coordinates of R 3512250Ã¢Â€Â“3512500, H 5406625Ã¢Â€Â“5406775. </t>
  </si>
  <si>
    <t>Nicholls et al.</t>
  </si>
  <si>
    <t>XinpuXiang</t>
  </si>
  <si>
    <t>Guanlin</t>
  </si>
  <si>
    <t>Xinpu Thalattosaur Locality</t>
  </si>
  <si>
    <t>Guanling Area</t>
  </si>
  <si>
    <t>Xinpu, Guanlin County, Anshun area, Guizhou Province, southern China</t>
  </si>
  <si>
    <t>Sanchiaosaurus</t>
  </si>
  <si>
    <t>Chinchungchiao Marine Reptile</t>
  </si>
  <si>
    <t>Chinchungchiao, Sanchiao, in the vicinity of Guiyang, Guizhou Province, China</t>
  </si>
  <si>
    <t>Chinchenia</t>
  </si>
  <si>
    <t>Shangpu, Tsanchichiao</t>
  </si>
  <si>
    <t>Shangpu, Tsanchichiao, 7km west of Qingzhenxian, Guizhou Province, China</t>
  </si>
  <si>
    <t>Kwangsisaurus</t>
  </si>
  <si>
    <t>Guangxi</t>
  </si>
  <si>
    <t>Beisi</t>
  </si>
  <si>
    <t>Fupingtun, Dengliu</t>
  </si>
  <si>
    <t>Fupingtun, Dengliu, Wuming, Guangxi Province, China</t>
  </si>
  <si>
    <t>Hanosaurus</t>
  </si>
  <si>
    <t>Jiangxi</t>
  </si>
  <si>
    <t>Jialingjiang</t>
  </si>
  <si>
    <t>Songshugoulaowan</t>
  </si>
  <si>
    <t>Hupeh</t>
  </si>
  <si>
    <t>Songshugoulaowan, Xunjian Xiang, Nanzhang (Nanchang), Hubei (Hupeh), Jiangxi Province, China</t>
  </si>
  <si>
    <t>Augustasaurus</t>
  </si>
  <si>
    <t>Favret</t>
  </si>
  <si>
    <t>Star Peak</t>
  </si>
  <si>
    <t>Fossil Hill</t>
  </si>
  <si>
    <t>Gymnotoceras rotelliformis</t>
  </si>
  <si>
    <t>Muller Canyon</t>
  </si>
  <si>
    <t>Sec. 12, T25N, R39E, Muller Canyon, Augusta Mountains, southeastern most Pershing County, Nevada, U.S.A</t>
  </si>
  <si>
    <t>Grenzbitumenzone</t>
  </si>
  <si>
    <t>Cava Tre Fontane, Tessin collection, Monte San Giorgio</t>
  </si>
  <si>
    <t>Miodentosaurus</t>
  </si>
  <si>
    <t>Zhao et al.</t>
  </si>
  <si>
    <t>Xilousuchus</t>
  </si>
  <si>
    <t>Wu</t>
  </si>
  <si>
    <t>Hazhen Commune</t>
  </si>
  <si>
    <t>Coordinates estimated based upon Hazhen, NE Shaanxi (see Nesbitt et al. 2011: fig. 1), and taken from Google Earth</t>
  </si>
  <si>
    <t>Ilekskii</t>
  </si>
  <si>
    <t>Rassypnaya locality, PIN 951</t>
  </si>
  <si>
    <t>Vjushkovia type locality</t>
  </si>
  <si>
    <t>Coordinates based on the city of Orenburg</t>
  </si>
  <si>
    <t>Keichousauridae</t>
  </si>
  <si>
    <t>Keichousaurus</t>
  </si>
  <si>
    <t>Langmu, Tachai village, Tingshao of Shingyi Hsien</t>
  </si>
  <si>
    <t>Dazhai, Dingxiao</t>
  </si>
  <si>
    <t>Langmu, Tachai village, Tingshao of Shingyi Hsien, S.W. Keichow</t>
  </si>
  <si>
    <t>Liu and Rieppel</t>
  </si>
  <si>
    <t>Lariosaurus</t>
  </si>
  <si>
    <t>Xingyi</t>
  </si>
  <si>
    <t>Sanjuansaurus</t>
  </si>
  <si>
    <t>Alcober and MartÃƒÂ­nez</t>
  </si>
  <si>
    <t>Herrera de la base, La Gallinita</t>
  </si>
  <si>
    <t>"Herrera de la base" locality, at La Gallinita, 3 km NW of Cancha de Bochas. Ischigualasto Provincial Park, Ischigualasto-Villa UniÃƒÂ³n Basin</t>
  </si>
  <si>
    <t>II</t>
  </si>
  <si>
    <t>Shang</t>
  </si>
  <si>
    <t>Panxian, Guizhou</t>
  </si>
  <si>
    <t>Qianxinan</t>
  </si>
  <si>
    <t>Wusha, Xingyi (IVPP collection)</t>
  </si>
  <si>
    <t>Wusha town, Xingyi city, Guizhou</t>
  </si>
  <si>
    <t>Shang and Li</t>
  </si>
  <si>
    <t>Xinpu Ichthyosaur locality</t>
  </si>
  <si>
    <t>da-Rosa et al.</t>
  </si>
  <si>
    <t>SÃƒÂ­tio Bica SÃƒÂ£o TomÃƒÂ© 3</t>
  </si>
  <si>
    <t>"set of six outcrops adjacent to the state highway RS241 between the cities of SÃƒÂ£o Vicente do Sul and SÃƒÂ£o Francisco de Assis, and 6 km southeast of the latter"; these six outcrops are numbered 1-6 and three of them yield vertebrate material</t>
  </si>
  <si>
    <t>SÃƒÂ­tio Bica SÃƒÂ£o TomÃƒÂ© 4</t>
  </si>
  <si>
    <t>SÃƒÂ­tio Bica SÃƒÂ£o TomÃƒÂ© 5</t>
  </si>
  <si>
    <t>Barberenasuchus</t>
  </si>
  <si>
    <t>Mattar</t>
  </si>
  <si>
    <t>teeth,vertebrae,limb elements</t>
  </si>
  <si>
    <t>lagoonal</t>
  </si>
  <si>
    <t>Trentino</t>
  </si>
  <si>
    <t>Calcare di Recoaro</t>
  </si>
  <si>
    <t>Tetractinella trigonella</t>
  </si>
  <si>
    <t>Dalla Vecchia and Avanzini</t>
  </si>
  <si>
    <t>Leno Torrent, Vallarsa</t>
  </si>
  <si>
    <t>Near the village of Speccheri</t>
  </si>
  <si>
    <t>Raibl</t>
  </si>
  <si>
    <t>Fusea, Tolomezzo</t>
  </si>
  <si>
    <t>Fusea, Tolmezzo, Udine Province, Friuli-Venezia Giulia Region</t>
  </si>
  <si>
    <t>Pistosaurus</t>
  </si>
  <si>
    <t>Trento</t>
  </si>
  <si>
    <t>Marne della Val di Centa</t>
  </si>
  <si>
    <t>KaiserjÃƒÂ¤gerweg</t>
  </si>
  <si>
    <t>KaiserjÃƒÂ¤gerweg, Lochere di Caldonazzo, Valsugana, Trento Province</t>
  </si>
  <si>
    <t>Shonisaurus</t>
  </si>
  <si>
    <t>Belluno</t>
  </si>
  <si>
    <t>Durrenstein</t>
  </si>
  <si>
    <t>Rifugio Dibona</t>
  </si>
  <si>
    <t>Rifugio Dibona, Tofane, Dolomites, Belluno Province, Veneto Region</t>
  </si>
  <si>
    <t>Calcare del Clapsavon</t>
  </si>
  <si>
    <t>Clap di Val</t>
  </si>
  <si>
    <t>Clap di Val, Forni di Sotto, Carnic Alps, Udine Province, Friuli-Venezia Giulia Region</t>
  </si>
  <si>
    <t>Baum-Sanga (excavation 45), ChiniquÃƒÂ¡</t>
  </si>
  <si>
    <t xml:space="preserve">vicinity of ChiniquÃƒÂ¡ (XiniquÃƒÂ¡), W of Santa Maria, Rio Grande do Sul, Parana Basin; Langer et al. (2007) show the locality to be approximately 12-15 km west of Sao Pedro do Sul. "Grabung 45" = excavation 45. </t>
  </si>
  <si>
    <t>Cynodontier-Sanga (excavation 41), ChiniquÃƒÂ¡</t>
  </si>
  <si>
    <t>vicinity of ChiniquÃƒÂ¡ (XiniquÃƒÂ¡), W of Santa Maria, Rio Grande do Sul, Parana Basin. This collection represents material grouped together by Huene as "Grabung 41"</t>
  </si>
  <si>
    <t>Cynodontier-Sanga (excavation 39), ChiniquÃƒÂ¡</t>
  </si>
  <si>
    <t>vicinity of ChiniquÃƒÂ¡ (XiniquÃƒÂ¡), W of Santa Maria, Rio Grande do Sul, Parana Basin. This collection represents material grouped together by Huene as "Grabung 39"</t>
  </si>
  <si>
    <t>Cynodontier-Sanga (Fundgruppe 1049), ChiniquÃƒÂ¡</t>
  </si>
  <si>
    <t>vicinity of ChiniquÃƒÂ¡ (XiniquÃƒÂ¡), W of Santa Maria, Rio Grande do Sul, Parana Basin. This collection represents material grouped together by Huene as "Fundgruppe 1049"</t>
  </si>
  <si>
    <t>Cynodontier-Sanga (Fundgruppe 1063), ChiniquÃƒÂ¡</t>
  </si>
  <si>
    <t>vicinity of ChiniquÃƒÂ¡ (XiniquÃƒÂ¡), W of Santa Maria, Rio Grande do Sul, Parana Basin. This collection represents material grouped together by Huene as "Fundgruppe 1063"</t>
  </si>
  <si>
    <t>Cumnock</t>
  </si>
  <si>
    <t>NCPALEO1906, Moncure</t>
  </si>
  <si>
    <t>on E flank of quarry operation, near Moncure; Sanford sub-basin, Deep River basin</t>
  </si>
  <si>
    <t>Soares et al.</t>
  </si>
  <si>
    <t>Botucarai Hill, BR-287 road</t>
  </si>
  <si>
    <t>CandelÃƒÂ¡ria, BotucaraÃƒÂ­ Hill, Sesmaria do Pinhal</t>
  </si>
  <si>
    <t>Located about 8 km W (listed as 6.5 km in Bonaparte et al. 1999) of CandelÃƒÂ¡ria City, in a roadcut of the route BR-287 (100 m S of road), state of Rio Grande do Sul, Brazil; coordinates stated by Soares et al. (2011)</t>
  </si>
  <si>
    <t>Halazhaisuchus</t>
  </si>
  <si>
    <t>Fugu, Shansi (Shaanxi); Shan-Gan-Ning Basin</t>
  </si>
  <si>
    <t>Yuan'an</t>
  </si>
  <si>
    <t>Third</t>
  </si>
  <si>
    <t>Yingzishan Hill Quarry, Yichang</t>
  </si>
  <si>
    <t>Wangchenkang, N.W. of Yuananhsien, Hupeh Province</t>
  </si>
  <si>
    <t>Barracudasauroides</t>
  </si>
  <si>
    <t>Yangjuan, Hill South(S4), Bed 87</t>
  </si>
  <si>
    <t>South of the village of Yangjuan</t>
  </si>
  <si>
    <t>Yangjuan, Hill South(S4), Bed 85</t>
  </si>
  <si>
    <t>Nicoraella kockeli</t>
  </si>
  <si>
    <t>Yangjuan, Hill South(S4), Bed 84</t>
  </si>
  <si>
    <t>Yangjuan, Hill South(S4), Bed 82</t>
  </si>
  <si>
    <t>Yangjuan, Hill South(S4), Bed 81</t>
  </si>
  <si>
    <t>Yangjuan, Hill South(S4), Bed 79</t>
  </si>
  <si>
    <t>Yangjuan, Hill South(S4), Bed 77</t>
  </si>
  <si>
    <t>Yangjuan, Hill South(S4), Bed 89</t>
  </si>
  <si>
    <t>reef, buildup or bioherm</t>
  </si>
  <si>
    <t>Luning</t>
  </si>
  <si>
    <t>Stanley</t>
  </si>
  <si>
    <t>Pilot Mountains locality MC</t>
  </si>
  <si>
    <t>Unnamed canyon 14.5 km west of Mina</t>
  </si>
  <si>
    <t>Pilot Mountains locality MC unit 14</t>
  </si>
  <si>
    <t>Dunlap Canyon, Pilot Mountains (locality DC)</t>
  </si>
  <si>
    <t>Section measured on the north side of Dunlop Canyon Road in the Pilot Mountains.  Approximately 5.2 km west of locality MC.</t>
  </si>
  <si>
    <t>Shansisuchus</t>
  </si>
  <si>
    <t>upper</t>
  </si>
  <si>
    <t>Peipanching Shihpi 5523, Wuhsiang-YÃƒÂ¼she area</t>
  </si>
  <si>
    <t>Peipangting, Shituo Beipanding, Shibi</t>
  </si>
  <si>
    <t>From the "Wusiang-YÃƒÂ¼she area" according to Young (1963). Coordinates estimated from map provided by Young (1964: fig. 62) = Shituo Beipanding</t>
  </si>
  <si>
    <t>Chungchokou 5534, Wuhsiang-YÃƒÂ¼she area</t>
  </si>
  <si>
    <t>Chung-Chue-kou</t>
  </si>
  <si>
    <t xml:space="preserve">From the "Wusiang-YÃƒÂ¼she area" according to Young (1963). "Chung-Chue-kou N. of Changtsunkou" according to Young (1964). Coordinates estimated from map provided by Young (1964: fig. 62) </t>
  </si>
  <si>
    <t>Niukouho 5535, Lotzeyue, Wuhsiang</t>
  </si>
  <si>
    <t>Niukouyue</t>
  </si>
  <si>
    <t xml:space="preserve">From the "Wusiang-YÃƒÂ¼she area" according to Young (1963), and "north of Lotseyue" according to Young (1964). Coordinates estimated from map provided by Young (1964: fig. 62). </t>
  </si>
  <si>
    <t>partial skulls,postcrania</t>
  </si>
  <si>
    <t>Hsishihwa 56173, Lotzeyue, Wuhsiang</t>
  </si>
  <si>
    <t>Louzeyu</t>
  </si>
  <si>
    <t>From the "Wusiang-YÃƒÂ¼she area" according to Young (1963). Coordinates estimated from map provided by Young (1964: fig. 62) = Wuxiang, Jingle, Ningwu, Xingxian</t>
  </si>
  <si>
    <t>Prolacertoides</t>
  </si>
  <si>
    <t>Lootsbergian</t>
  </si>
  <si>
    <t>Dongxiaolongkou</t>
  </si>
  <si>
    <t>Jimsar</t>
  </si>
  <si>
    <t>Coordinates based upon collection 93419, also from the Jimsar area</t>
  </si>
  <si>
    <t>LÃƒÂ¼ et al.</t>
  </si>
  <si>
    <t>Zhongcun, Chuxiong</t>
  </si>
  <si>
    <t>Tanghai Village</t>
  </si>
  <si>
    <t>Zhongcun town, Lufeng county, Chuxiong region, Yunnan</t>
  </si>
  <si>
    <t>Guchengosuchus</t>
  </si>
  <si>
    <t>Peng</t>
  </si>
  <si>
    <t>Gucheng, Fugu</t>
  </si>
  <si>
    <t>Gucheng, Fugu County, Shaanxi Province; coordinates based upon nearby PBDB locality 100138</t>
  </si>
  <si>
    <t>Youngosuchus</t>
  </si>
  <si>
    <t>Tananwa, 5526, Wuhsiang-YÃƒÂ¼she area</t>
  </si>
  <si>
    <t xml:space="preserve">"Tananwa, S W Tungho tsun" according to Young (1964). Coordinates estimated from map provided by Young (1964: fig. 62) </t>
  </si>
  <si>
    <t>Hsiaotukou, 5674, Wuhsiang-YÃƒÂ¼she area</t>
  </si>
  <si>
    <t xml:space="preserve">"Hsiaotukou, Ningchiao Yueshe" according to Young (1964). Coordinates estimated from map provided by Young (1964: fig. 62) </t>
  </si>
  <si>
    <t>Tsaikou, 56153, Wuhsiang-YÃƒÂ¼she area</t>
  </si>
  <si>
    <t xml:space="preserve">"Tsaikou, S E Touchuekou" according to Young (1964). Coordinates estimated from map provided by Young (1964: fig. 62) </t>
  </si>
  <si>
    <t>Tanankou, 56155, Wuhsiang-YÃƒÂ¼she area</t>
  </si>
  <si>
    <t xml:space="preserve">"Tanankou E. of Liuchiashan" according to Young (1964). Coordinates estimated from map provided by Young (1964: fig. 62) </t>
  </si>
  <si>
    <t>Shihketung, 56159, Wuhsiang-YÃƒÂ¼she area</t>
  </si>
  <si>
    <t xml:space="preserve">"Shihketung, Lotzeyue" according to Young (1964). Coordinates estimated from map provided by Young (1964: fig. 62) </t>
  </si>
  <si>
    <t>Sanchiawa, 56172, Wuhsiang-YÃƒÂ¼she area</t>
  </si>
  <si>
    <t xml:space="preserve">"Shanchiawa, N. Shensitzun" according to Young (1964). Coordinates estimated from map provided by Young (1964: fig. 62) </t>
  </si>
  <si>
    <t>Ningwu</t>
  </si>
  <si>
    <t>Sunchiakou, Nwc E. V., Ehrmayin Ningwu</t>
  </si>
  <si>
    <t>Coordinates based upon the town of Ningwu</t>
  </si>
  <si>
    <t>Hutaikou, 56160, Nwc E. D., Tachang</t>
  </si>
  <si>
    <t>Dachang, Ningwu, Taichang, Hutaigou</t>
  </si>
  <si>
    <t>Coordinates based upon the nearby locality PBDB 101165 = Hutaigou, Dachang, Ningwu, Zhangcungou, Wuxiang</t>
  </si>
  <si>
    <t>Kuanwukou, Chinglo</t>
  </si>
  <si>
    <t>Coordinates based upon the nearby locality PBDB 101165</t>
  </si>
  <si>
    <t>Heiyukou, 60116, Shinghsien</t>
  </si>
  <si>
    <t>Cheng</t>
  </si>
  <si>
    <t>Hejiachuan, Shenmu</t>
  </si>
  <si>
    <t>Fugusuchus</t>
  </si>
  <si>
    <t>Gaoshiya, Fugu</t>
  </si>
  <si>
    <t>Lander</t>
  </si>
  <si>
    <t>Gymnotoceras blakei</t>
  </si>
  <si>
    <t>Leidy</t>
  </si>
  <si>
    <t>Toiyabe Range, northeast of Austin</t>
  </si>
  <si>
    <t>Specimen described as being found near New Pass in Toiyabe Range, but New Pass is west of Austin and not in Toiyabe Range, so coordinates are based on Toiyabe Range, northeast of Austin</t>
  </si>
  <si>
    <t>Batrachotomus</t>
  </si>
  <si>
    <t>estuary/bay</t>
  </si>
  <si>
    <t>Hohenlohekreis</t>
  </si>
  <si>
    <t>Upper Lettenkeuper</t>
  </si>
  <si>
    <t>Gower</t>
  </si>
  <si>
    <t>Kupferzell bonebed</t>
  </si>
  <si>
    <t>Kupferzell-Bauersbach</t>
  </si>
  <si>
    <t xml:space="preserve">"Locality discovered by J. G. Wegele in 1977 after the fossiliferous strata were exposed during construction of the Autobahn between NÃƒÂ¼rnberg and Heilbronn (Bundesautobahn A6, between km 674.5 and 674.8)" (Gower 1999:4-5). Coordinates given by Gower (1999)  </t>
  </si>
  <si>
    <t>SchwÃƒÂ¤bisch Hall</t>
  </si>
  <si>
    <t>Gower and Schoch</t>
  </si>
  <si>
    <t>Vellberg-Eschenau</t>
  </si>
  <si>
    <t>Schumann Quarry</t>
  </si>
  <si>
    <t>"Schumann" quarry, near Vellberg-Eschenau; Coordinates estimated from Google Earth image of quarries close to Vellberg and Eschenau</t>
  </si>
  <si>
    <t>Crailsheim</t>
  </si>
  <si>
    <t xml:space="preserve">Quarry at Crailsheim. Coordinates based upon the town of Crailsheim. </t>
  </si>
  <si>
    <t>Svalbard</t>
  </si>
  <si>
    <t>Spitsbergen</t>
  </si>
  <si>
    <t>Upper Saurian Niveau</t>
  </si>
  <si>
    <t>Botneheia</t>
  </si>
  <si>
    <t>"half way up the slope of Botneheia"</t>
  </si>
  <si>
    <t>Wiche Bukta</t>
  </si>
  <si>
    <t>"Wiche Bukta is located on the east cost of the island of Spitsbergen"</t>
  </si>
  <si>
    <t>Linha FacÃƒÂ£o (upper, approx. 14 m), Candelaria</t>
  </si>
  <si>
    <t>Linha FacÃƒÂ£o (lower, 8-12 m), Candelaria</t>
  </si>
  <si>
    <t>Faixa Nova, 11.5 m</t>
  </si>
  <si>
    <t>"Near Santa Maria City"; coordinates given by Montefeltro et al. (2010)</t>
  </si>
  <si>
    <t>Nye</t>
  </si>
  <si>
    <t>Klamathites macrolobatus</t>
  </si>
  <si>
    <t>Hogler and Hanger</t>
  </si>
  <si>
    <t>West Union Canyon</t>
  </si>
  <si>
    <t>"Berlin-Ichthyosaur State Park, on the western flank of the Shoshone Mountains in Nye County, Nevada. The site, UCMP locality V5342, is located on the north slope of West Union Canyon about 1.5 km above its mouth (Ione quadrangle: 38*52'36"N, 117*35'29"W), and corresponds to the "Quarry 1" described by Camp (1980)."</t>
  </si>
  <si>
    <t>Favret Canyon, Agusta Mountains</t>
  </si>
  <si>
    <t>"Unless noted otherwise, the vertebrate fossils described in this paper were collected from the Fossil Hill Member of the Favret Canyon (Pershing County) in the Augusta Mountains"</t>
  </si>
  <si>
    <t>Southern Tobin Range</t>
  </si>
  <si>
    <t>Eodromaeus</t>
  </si>
  <si>
    <t>Valle de la Luna</t>
  </si>
  <si>
    <t>Martinez et al.</t>
  </si>
  <si>
    <t>Eodromaeus type, Valle de la Luna</t>
  </si>
  <si>
    <t>30Ã‚Â°04'04"S, 67Ã‚Â°56'11"W; Valle de la Luna, southern Ischigualasto Provincial Park, San Juan,</t>
  </si>
  <si>
    <t>MX</t>
  </si>
  <si>
    <t>Sonora</t>
  </si>
  <si>
    <t>El Antimonio</t>
  </si>
  <si>
    <t>Antimonio</t>
  </si>
  <si>
    <t>Tropites dilleri</t>
  </si>
  <si>
    <t>Callaway and Massare</t>
  </si>
  <si>
    <t>northern Sierra del Alamo</t>
  </si>
  <si>
    <t>Mina el Antimonium</t>
  </si>
  <si>
    <t>"El Antimonio district, located at the northern edge of the Sierra del Alamo in the northwestern part of the state of Sonora, Mexico (near 112 degrees, 36 minutes west longitude, and 30 degrees, 45 minutes north latitude), 44 km west of Caborca."</t>
  </si>
  <si>
    <t>Sander and Boucher</t>
  </si>
  <si>
    <t>Favret Canyon East</t>
  </si>
  <si>
    <t>"The exact locality of the find is Favret Canyon (East) in Pershing County, Nevada (NE?, NW4, SE?, sec. 12, T25N, R39W, Cain Mountain 15' quadrangle, 1961 edition)."</t>
  </si>
  <si>
    <t>Cheng et al.</t>
  </si>
  <si>
    <t>Xiaowa Village, Xinpu Township</t>
  </si>
  <si>
    <t>"near Xiaowa Village, Xinpu Township, Guanling County, China"</t>
  </si>
  <si>
    <t>Outcrop F1, Seazza creek valley</t>
  </si>
  <si>
    <t>Seazza creek valley along the road Preone-Valle di Preone at the bridge marked 552 m a.s.l. Outcrop F1</t>
  </si>
  <si>
    <t>Xinminosaurus</t>
  </si>
  <si>
    <t>Jiang et al.</t>
  </si>
  <si>
    <t>Near Yangjuan Village</t>
  </si>
  <si>
    <t>Baden-Wuttemberg</t>
  </si>
  <si>
    <t>Garnberg Quarry</t>
  </si>
  <si>
    <t>"Garnberg Quarry near Kunzelsau, southwestern Germany."</t>
  </si>
  <si>
    <t>Elasmosauridae</t>
  </si>
  <si>
    <t>Alexeyisaurus</t>
  </si>
  <si>
    <t>Nenets</t>
  </si>
  <si>
    <t>Franz Josef Land</t>
  </si>
  <si>
    <t>Wilczek</t>
  </si>
  <si>
    <t>Sennikov and Arkhangelsky</t>
  </si>
  <si>
    <t>Wilczek Land</t>
  </si>
  <si>
    <t>"the island of Wilczek Land (north of Cape Ganza) of Franz Josef Land, at the boundary of a glacier"</t>
  </si>
  <si>
    <t>Nicoraella germanicus</t>
  </si>
  <si>
    <t>Yangjuan Village, Xinmin District</t>
  </si>
  <si>
    <t>'Yangjuan Village, Xinmin District, Panxian County, Guizhou Province, China."</t>
  </si>
  <si>
    <t>Calw</t>
  </si>
  <si>
    <t>Beneckeia buchi</t>
  </si>
  <si>
    <t>Calw-Althengstett</t>
  </si>
  <si>
    <t>Alsace</t>
  </si>
  <si>
    <t>Bas-Rhin</t>
  </si>
  <si>
    <t>Rieppel and Hagdorn</t>
  </si>
  <si>
    <t>Wasselonne</t>
  </si>
  <si>
    <t>"the quarry of the lime factory of Wasselonne" east of Strasbourg</t>
  </si>
  <si>
    <t>Opolskie</t>
  </si>
  <si>
    <t>Gogolin</t>
  </si>
  <si>
    <t>Myophoria vulgaris</t>
  </si>
  <si>
    <t>Krappitz</t>
  </si>
  <si>
    <t>Krapkowice</t>
  </si>
  <si>
    <t>from Krappitz (Krapkowice), Upper Silesia</t>
  </si>
  <si>
    <t>Xinmin area</t>
  </si>
  <si>
    <t>"These specimens were discovered in the Xinmin area of Panxian County, Guizhou Province, south-east China"</t>
  </si>
  <si>
    <t>Psiloceras planorbis</t>
  </si>
  <si>
    <t>Pollard</t>
  </si>
  <si>
    <t>South-east corner of Pinhay Bay</t>
  </si>
  <si>
    <t>National Grid Reference: SY 325907</t>
  </si>
  <si>
    <t>Vega-Phroso</t>
  </si>
  <si>
    <t>Brinkman et al.</t>
  </si>
  <si>
    <t>Wapiti Lake, Locality A</t>
  </si>
  <si>
    <t>"south-east of Wapiti Lake in east-central British Columbia"</t>
  </si>
  <si>
    <t>Gulosaurus</t>
  </si>
  <si>
    <t>Cuthbertson et al.</t>
  </si>
  <si>
    <t>Wapiti Lake, Locality D</t>
  </si>
  <si>
    <t>D cirque</t>
  </si>
  <si>
    <t>"south-east of Wapiti Lake in east-central British Columbia" "east-central British Columbia from the south end of a cirque designated as D locality (54Ã‹Âš 31' 10"N, 120Ã‹Âš 43'19"W)" (Cuthbertson et al. 2013, p. 832) "The specimens were collected along Ganoid Ridge, south east of Wapiti Lake in eastern British Columbia... [at] "B" cirque near Wapiti Lake, British Columbia, 54Ã‹Âš31'10"N, 120Ã‹Âš43'19"W "</t>
  </si>
  <si>
    <t>Rhein-Neckar-Kreis</t>
  </si>
  <si>
    <t>Trochitenkalk</t>
  </si>
  <si>
    <t>Nusslocher Zementbruch</t>
  </si>
  <si>
    <t>NuÃƒÂŸloch</t>
  </si>
  <si>
    <t>one of a few surface mines around Wiesloch, south of Heidelburg</t>
  </si>
  <si>
    <t>Weimarer Land</t>
  </si>
  <si>
    <t>Jena</t>
  </si>
  <si>
    <t>Rieppel and Wernburg</t>
  </si>
  <si>
    <t>Ilm Valley, near Hetschburg</t>
  </si>
  <si>
    <t>Stenaulorhynchus</t>
  </si>
  <si>
    <t>Iringa</t>
  </si>
  <si>
    <t>Njalila, Loc. B11</t>
  </si>
  <si>
    <t>Locality B11 of Stockley (see Stockley 1932. Quart. J. Geol. Soc. Lond. 88:610)</t>
  </si>
  <si>
    <t>Stagonosuchus</t>
  </si>
  <si>
    <t>B29, between Gingama and Tschikonge</t>
  </si>
  <si>
    <t>Between Gingama and Tschikonge (see Stockley 1932. Quart. J. Geol. Soc. Lond. 88:610); specimens collected as float over an area of "less than half an acre"</t>
  </si>
  <si>
    <t>Ruhuhuaria</t>
  </si>
  <si>
    <t>Tsuji et al.</t>
  </si>
  <si>
    <t>Bayreuth</t>
  </si>
  <si>
    <t>Near Bayreuth</t>
  </si>
  <si>
    <t>Sereno and Arcucci</t>
  </si>
  <si>
    <t>Los Chanares locality</t>
  </si>
  <si>
    <t>3 km north branch of the Chanares River and 5 km southwest of the Puerta de Talampaya</t>
  </si>
  <si>
    <t>Desojo and Arcucci</t>
  </si>
  <si>
    <t>Arcucci and Marsicano</t>
  </si>
  <si>
    <t>Agua Escondida</t>
  </si>
  <si>
    <t>Big bend of the Rio Gualo, near Agua Escondida</t>
  </si>
  <si>
    <t>Rio ChaÃƒÂ±ares</t>
  </si>
  <si>
    <t>Chanares</t>
  </si>
  <si>
    <t>partial skeletons,skulls</t>
  </si>
  <si>
    <t>Maluti-A-Phofung</t>
  </si>
  <si>
    <t>Normandien</t>
  </si>
  <si>
    <t>Harrismith</t>
  </si>
  <si>
    <t>Lystrosaurus Assemblage Zone</t>
  </si>
  <si>
    <t>Kitching</t>
  </si>
  <si>
    <t>Harrismith Commonage</t>
  </si>
  <si>
    <t>"Old Brickfield" Donga</t>
  </si>
  <si>
    <t>"Low relief with small, scanty, but very productive exposures in the 'Old Brickfield' donga or gully and in a number of places on the Forestry Department lnad along the base of Platberg. Small exposures also occur next to the Wilge River and on the slopes of Queen's Hill" (Kitching 1977:93). \r\nPolar coordinates are for the town of Harrismith. Maluti-A-Phofung is the name now used for the former Harrismith municipality</t>
  </si>
  <si>
    <t>Prolacerta</t>
  </si>
  <si>
    <t>Modesto and Sues</t>
  </si>
  <si>
    <t>Proterosuchus</t>
  </si>
  <si>
    <t>Aenigmasaurus</t>
  </si>
  <si>
    <t>Farm Fairydale, Bethulie</t>
  </si>
  <si>
    <t>Farm Fairydale, near to Bethulie; coordinates based upon the town of Bethulie</t>
  </si>
  <si>
    <t>Brasinorhynchus</t>
  </si>
  <si>
    <t>Bom Retiro do Sul</t>
  </si>
  <si>
    <t>Schultz et al.</t>
  </si>
  <si>
    <t>Porto Mariante</t>
  </si>
  <si>
    <t>Graphite Peak (Fremouw Fm.)</t>
  </si>
  <si>
    <t>In the primary reference (Colbert &amp; Kitching, 1975) they say that the locality is 172Ã‚Â°30'W. but in Retallack &amp; Krull (1997, Antarctic J. Rev.) and Collinson et al. (2006, GSA Bull. 118(5/6) fig. 3) it is shown that in reality it is located about 172Ã‚Â°30'E.</t>
  </si>
  <si>
    <t>Drakensburg</t>
  </si>
  <si>
    <t>Broom and Robinson</t>
  </si>
  <si>
    <t>Honingkrans, Burgersdorp</t>
  </si>
  <si>
    <t>Heuningkrans</t>
  </si>
  <si>
    <t>"Low relief with small exposures next to the Orange River" (Kitching 1977:93). Coordinates based upon Burgersdorp</t>
  </si>
  <si>
    <t>Big Bank, Harrismith</t>
  </si>
  <si>
    <t>UCMP V36115</t>
  </si>
  <si>
    <t>"Single large exposure in the bank of the stream...one mile east of the town of Harrismith, below the municipality damn" (Kitching 1977:89). Coordinates based upon Harrismith</t>
  </si>
  <si>
    <t>Queen's Hill, Harrismith</t>
  </si>
  <si>
    <t>Queens Hill</t>
  </si>
  <si>
    <t>Coordinates based upon Harrismith</t>
  </si>
  <si>
    <t>Rietport, Dewetsdorp</t>
  </si>
  <si>
    <t>Rietpoort</t>
  </si>
  <si>
    <t>Coordinates based upon Dewetsdorp</t>
  </si>
  <si>
    <t>Hoffman</t>
  </si>
  <si>
    <t>Zeekoeigat, Venterstad</t>
  </si>
  <si>
    <t>Coordinates based upon town of Venterstad</t>
  </si>
  <si>
    <t>8 km west Candelaria, BR 287, Sesmaria do Pinhal 1</t>
  </si>
  <si>
    <t>Outcrop of the Caturrita Formation located 8 kilometers west of Candelaria, in a roadcut on the route (BR 287) to Santa Maria. Coordinates given by Soares et al. (2011)</t>
  </si>
  <si>
    <t>Ornithosuchidae</t>
  </si>
  <si>
    <t>Riojasuchus</t>
  </si>
  <si>
    <t>Quebrada de los Jachaleros, El Salto, San Juan province, Argentina. \r\nCoordinates are estimated based upon location of El Salto in the map in Arcucci et al. (2004)</t>
  </si>
  <si>
    <t>Neoaetosauroides</t>
  </si>
  <si>
    <t>Arcucci et al.</t>
  </si>
  <si>
    <t>Cabecera del rÃƒÂ­o MaÃƒÂ±ero, km 126, Ruta 26</t>
  </si>
  <si>
    <t>Neoaetosauroides holotype; head of the Manero river</t>
  </si>
  <si>
    <t>Cabecera del Rio Manero, km 126 on Ruta Provincial 26 between Villa UnÃƒÂ­on and PatquÃƒÂ­a (Bonaparte 1971; Desojo &amp; Baez 2005, 2007). See map in Desojo &amp; Baez (2005). Erroneously cited as "Quebrada de los Jachaleros" by Arcucci et al. (2004)</t>
  </si>
  <si>
    <t>Hemiprotosuchus</t>
  </si>
  <si>
    <t>Pseudhesperosuchus</t>
  </si>
  <si>
    <t>Palaeochersis</t>
  </si>
  <si>
    <t>Rougier et al.</t>
  </si>
  <si>
    <t>2 km NE of La Esquina</t>
  </si>
  <si>
    <t>Fasolasuchus</t>
  </si>
  <si>
    <t>Lavalle</t>
  </si>
  <si>
    <t>La Esquina, south of Pagancillo</t>
  </si>
  <si>
    <t>Desojo and Baez</t>
  </si>
  <si>
    <t>Provincial Road no. 26, kilometer 142</t>
  </si>
  <si>
    <t>Provincial Road no. 26, kilometer 142. Coordinates based upon PBDB 101991 (nearby collection)</t>
  </si>
  <si>
    <t>Provincial Road no. 26, kilometer 140</t>
  </si>
  <si>
    <t>"vicinity of La Esquina (Provincial Road no. 26, kilometer 140)" (Martinelli &amp; Rougier 2007). "Strata between La Esquina and head of the Los Tarros river" (Desojo &amp; Baez 2005). Coordinates estimated from Google Earth and map in Arcucci et al. (2004)</t>
  </si>
  <si>
    <t>Cabecera del rÃƒÂ­o MaÃƒÂ±ero (upper), km 126, Ruta 26</t>
  </si>
  <si>
    <t>head of the Manero river</t>
  </si>
  <si>
    <t>Cabecera del Rio Manero, km 126 on Ruta Provincial 26 between Villa UnÃƒÂ­on and PatquÃƒÂ­a (Bonaparte 1971; Desojo &amp; Baez 2005, 2007). Specimen collected 60 metres above Neoaetosauroides holotype. See map in Desojo &amp; Baez (2005). Erroneously cited as "Quebrada de los Jachaleros" by Arcucci et al. (2004)</t>
  </si>
  <si>
    <t>Head of Los Tarros river, kilometer 128</t>
  </si>
  <si>
    <t>Head of Los Tarros River, Provincial Road no. 26, kilometer 128. Coordinates estimated from map in Desojo &amp; Baez (2005)</t>
  </si>
  <si>
    <t>Phonodus</t>
  </si>
  <si>
    <t>Noupoort</t>
  </si>
  <si>
    <t>Bergendal Farm</t>
  </si>
  <si>
    <t>Farm Bergendal, Noupoort district; coordinates based upon Noupoort</t>
  </si>
  <si>
    <t>Cynognathus subzone B</t>
  </si>
  <si>
    <t>Brink</t>
  </si>
  <si>
    <t>McKay's Neck, Lady Frere</t>
  </si>
  <si>
    <t xml:space="preserve">"McKays neck on the road to Lady Frere". Coordinates based upon the town of Lady Frere. </t>
  </si>
  <si>
    <t>northwestern Slope Lihandje Mountains/Njalila</t>
  </si>
  <si>
    <t>northwestern Slope Lihandje Mountains/Njalila; estimated from map in Stockley (1932: Q. J. Geol. Soc. 88: 610)</t>
  </si>
  <si>
    <t>Ticinosuchus</t>
  </si>
  <si>
    <t>Krebs</t>
  </si>
  <si>
    <t>Val Porina (Sasso)</t>
  </si>
  <si>
    <t>Valporina; Valle Porina; Monte San Giorgio</t>
  </si>
  <si>
    <t>The Cava (or Miniera) della Val Porina is an abandoned mine in the Porina Valley about 1 km SW of the peak of Mte. S. Giorgio.\r\n</t>
  </si>
  <si>
    <t>Arcucci</t>
  </si>
  <si>
    <t>Sanga am Weg, Fundgruppe 34</t>
  </si>
  <si>
    <t>Weg-Sanga</t>
  </si>
  <si>
    <t>vicinity of ChiniquÃƒÂ¡ (XiniquÃƒÂ¡), W of Santa Maria, Rio Grande do Sul, Parana Basin; Langer et al. (2007) show the ChiniquÃƒÂ¡ localities (including am Weg, Cynodontier, Baum, sÃƒÂ¼dlich des Weges and Cezar Sangas) to be approximately 12-15 km west of Sao Pedro do Sul.</t>
  </si>
  <si>
    <t>Sanga am Weg, Fundgruppe 35</t>
  </si>
  <si>
    <t>Procerosuchus</t>
  </si>
  <si>
    <t>Sanga am Weg, Fundgruppe 37</t>
  </si>
  <si>
    <t>Tuttlingen</t>
  </si>
  <si>
    <t>Mittlerer Stubensandstein</t>
  </si>
  <si>
    <t>HungerbÃƒÂ¼hler</t>
  </si>
  <si>
    <t>Untere MÃƒÂ¼hle, Trossingen</t>
  </si>
  <si>
    <t>Bl. 7917/34 750 54 279</t>
  </si>
  <si>
    <t>Neuhaus, near Aixheim</t>
  </si>
  <si>
    <t>Coordinates based upon the village of Neuhaus, near Aixheim, SW Germany</t>
  </si>
  <si>
    <t>Trossingen-Aixheim area</t>
  </si>
  <si>
    <t>Quarries in the region of the towns of Trossingen and Aixheim, SW Germany</t>
  </si>
  <si>
    <t>Doyle and Sues</t>
  </si>
  <si>
    <t>Little Conewago Creek, Zions View</t>
  </si>
  <si>
    <t>exposures on Little Conewago Creek, Manheim township, NW of York</t>
  </si>
  <si>
    <t>Pachypleurosaurus</t>
  </si>
  <si>
    <t>Como or Varese</t>
  </si>
  <si>
    <t>Calcare di Meride</t>
  </si>
  <si>
    <t>Mateer</t>
  </si>
  <si>
    <t>Vallone Caves near Lake Lugano</t>
  </si>
  <si>
    <t>"the classic locality in the Vallone Caves near Lake Lugano, N. Italy"</t>
  </si>
  <si>
    <t>Lucas</t>
  </si>
  <si>
    <t>Gablenberg, Abelsberg Strasse, Stuttgart</t>
  </si>
  <si>
    <t>Abelsberger StraÃƒÂŸe, Stuttgart-Gaisburg</t>
  </si>
  <si>
    <t xml:space="preserve">Benton &amp; Wild (1994: Lower Stubensandstein locality 19) give GauÃƒÂŸ-KrÃƒÂ¼ger coordinates of R 3515700, H 5402350.  </t>
  </si>
  <si>
    <t>Augustaburiania</t>
  </si>
  <si>
    <t>RÃƒÂ¶t</t>
  </si>
  <si>
    <t>Buntsandstein</t>
  </si>
  <si>
    <t>Portland-Cement-Fabrik, Halle-Nietleben</t>
  </si>
  <si>
    <t>from quarries of the Portland-Cement-Fabrik, Halle-Nietleben</t>
  </si>
  <si>
    <t>Archeopelta</t>
  </si>
  <si>
    <t>SÃƒÂ£o Pedro do Sul</t>
  </si>
  <si>
    <t>Desojo et al.</t>
  </si>
  <si>
    <t>Sanga da Arvore, Baum-Sanga, XiniquÃƒÂ¡</t>
  </si>
  <si>
    <t>Archaeopelta holotype</t>
  </si>
  <si>
    <t xml:space="preserve">vicinity of XiniquÃƒÂ¡, W of Santa Maria, Rio Grande do Sul, Parana Basin; this is the same site as "Baum-Sanga" of von Huene; Langer et al. (2007) show the locality to be approximately 12-15 km west of Sao Pedro do Sul. </t>
  </si>
  <si>
    <t>Faxinalipterus</t>
  </si>
  <si>
    <t>Bonaparte et al.</t>
  </si>
  <si>
    <t>Cargninia</t>
  </si>
  <si>
    <t>GÃƒÂ¶ttingen</t>
  </si>
  <si>
    <t>Arnstadt</t>
  </si>
  <si>
    <t>Middle Keuper</t>
  </si>
  <si>
    <t>Middle Grey Series</t>
  </si>
  <si>
    <t>Kimmig and Arp</t>
  </si>
  <si>
    <t>KrÃƒÂ¤henberg</t>
  </si>
  <si>
    <t>Sediments exposed at KrÃƒÂ¤henberg, 10 km SSW of GÃƒÂ¶ttingen during the construction of the motorway A38, found on SE side of the motorway cutting (topographic map 1:25,000, sheet 4525 Friedland, east 35 61 325, north 57 00 625)</t>
  </si>
  <si>
    <t>Ponte Giurino, phytosaur</t>
  </si>
  <si>
    <t>"close to the village of Ponte Giurino"</t>
  </si>
  <si>
    <t>Renesto and Paganoni</t>
  </si>
  <si>
    <t>Renesto and Lombardo</t>
  </si>
  <si>
    <t>Volcanosuchus</t>
  </si>
  <si>
    <t>Datta et al.</t>
  </si>
  <si>
    <t>4 miles W Tiki village</t>
  </si>
  <si>
    <t>TH</t>
  </si>
  <si>
    <t>Phetchabun</t>
  </si>
  <si>
    <t>Nam Nao</t>
  </si>
  <si>
    <t>Huai Hin Lat</t>
  </si>
  <si>
    <t>de Broin</t>
  </si>
  <si>
    <t>Ban Huai Sanan Sai-Ban Na Pha Song Road</t>
  </si>
  <si>
    <t>Roadcut on the Ban Huai Sanan Sai-Ban Na Pha Song Road, about 1.5 km N of the Chum Phae-Lom Sak Highway, level with the Phu Khadung and Phu Pha Chik Mountains</t>
  </si>
  <si>
    <t>Khon Kaen</t>
  </si>
  <si>
    <t>Ban Sawan Sawan banana farm</t>
  </si>
  <si>
    <t>Ban Loc Mai</t>
  </si>
  <si>
    <t>banana plantation of the Ban Sawan Sawan farm, near Ban Loc Mai, E of the road between Chum Phae and Loei. Coordinates based upon town of Ban Mai &amp; Google Earth</t>
  </si>
  <si>
    <t>Huai Hin Lat creek</t>
  </si>
  <si>
    <t>Type section of the Huai Hin Lat Formation, Chum Phae Loei highway, Huai Hin Lat creek</t>
  </si>
  <si>
    <t>Fuyuan</t>
  </si>
  <si>
    <t>Jiyangshan, Huabi</t>
  </si>
  <si>
    <t>Jiyangshan, near Huabi, Fuyuan County, Yunnan Province. Coordinates based on Huabi</t>
  </si>
  <si>
    <t>Meride</t>
  </si>
  <si>
    <t>Lower Cava Inferiore beds</t>
  </si>
  <si>
    <t>Val Serrata Tanystropheus</t>
  </si>
  <si>
    <t>shown on map as within Val Serrata about half-way between Monte San Giorgio and Meride (coordinate is an average of those for the latter two)</t>
  </si>
  <si>
    <t>Wumengosaurus</t>
  </si>
  <si>
    <t>Wu et al.</t>
  </si>
  <si>
    <t>Jesairosaurus</t>
  </si>
  <si>
    <t>DZ</t>
  </si>
  <si>
    <t>Illizi</t>
  </si>
  <si>
    <t>Lower ZarzaÃƒÂ¯tine</t>
  </si>
  <si>
    <t>ZarzaÃƒÂ¯tine</t>
  </si>
  <si>
    <t>Lower Sandstone</t>
  </si>
  <si>
    <t>Jalil</t>
  </si>
  <si>
    <t>Gour Laoud, locality 5003, base of Lower Sandstones</t>
  </si>
  <si>
    <t>Coordinates for Gour Laoud estimated from map in Jalil et al. (1995: Neues Jarhbuch Mh 173-181)</t>
  </si>
  <si>
    <t>Teraterpetidae</t>
  </si>
  <si>
    <t>Teraterpeton</t>
  </si>
  <si>
    <t>sea cliff below Burntcoat Head Community Park</t>
  </si>
  <si>
    <t>Slump block from sea cliff below Burntcoat Head Community Park, Burntcoat Head, Hants County, Nova Scotia, Canada.</t>
  </si>
  <si>
    <t>northeastern corner, Burntcoat Peninsula</t>
  </si>
  <si>
    <t>collected from a now eroded sea stack on the northeastern corner of the Burntcoat peninsula</t>
  </si>
  <si>
    <t>Wolfville vertebrate assemblage</t>
  </si>
  <si>
    <t xml:space="preserve">This collection summarises the Wolfville vertebrate assemblage from "along the Burntcoat shore." for which specific locality details are not currently available. The coordinates approximately represent the centre of the geographical area (Burntcoat to Evangeline beach) from which previous collections of vertebrates have been made </t>
  </si>
  <si>
    <t>Digby</t>
  </si>
  <si>
    <t>Rossway, St Mary's Bay</t>
  </si>
  <si>
    <t>Coordinates based on Rossway</t>
  </si>
  <si>
    <t>Sikannisuchus</t>
  </si>
  <si>
    <t>"basal limestone"</t>
  </si>
  <si>
    <t>triangularis</t>
  </si>
  <si>
    <t>Locality D, headwaters of Chicken Creek</t>
  </si>
  <si>
    <t>headwaters of Chicken Creek, 32 km northwest of the community of Sikanni Chief; coordinates estimated using Google Earth and map in Nicholls et al. (1998: fig. 1)</t>
  </si>
  <si>
    <t>Metashastasaurus</t>
  </si>
  <si>
    <t>Locality C, headwaters of Chicken Creek</t>
  </si>
  <si>
    <t>Locality B, headwaters of Chicken Creek</t>
  </si>
  <si>
    <t>Locality BC, headwaters of Chicken Creek</t>
  </si>
  <si>
    <t>Decuriasuchus</t>
  </si>
  <si>
    <t>Franca et al.</t>
  </si>
  <si>
    <t>Posto de Gasolina, site A</t>
  </si>
  <si>
    <t>Decuriasuchus site</t>
  </si>
  <si>
    <t>200 m north of RS 348, within the western outskirts of Dona Francisca</t>
  </si>
  <si>
    <t>Posto de Gasolina, site B</t>
  </si>
  <si>
    <t xml:space="preserve">200 m north of RS 348, within the western outskirts of Dona Francisca. </t>
  </si>
  <si>
    <t>Little Popo Agie River, near Lander, Fremont County, Wyoming\r\nCoordinates estimated using Google Earth and map in Mehl (1928. Denison University Bulletin, Journal of the Scientific Laboratories 23:141-172).\r\nA number of different teams have historically collected along the Little Popo Agie River; the collections made by each team are entered separately.</t>
  </si>
  <si>
    <t>Squaw Creek</t>
  </si>
  <si>
    <t>Paleorhinus bransoni type</t>
  </si>
  <si>
    <t>Coordinates estimated using Google Earth and map in Mehl (1928. Denison University Bulletin, Journal of the Scientific Laboratories 23:141-172)</t>
  </si>
  <si>
    <t>Between Squaw and Baldwin Creeks</t>
  </si>
  <si>
    <t>Angistorhinus grandis holotype</t>
  </si>
  <si>
    <t>Bull Lake Creek</t>
  </si>
  <si>
    <t>Koskinonodon princeps type locality</t>
  </si>
  <si>
    <t>Cottonwood Canyon</t>
  </si>
  <si>
    <t>Emmons</t>
  </si>
  <si>
    <t>New Egypt coal mine</t>
  </si>
  <si>
    <t>Anson</t>
  </si>
  <si>
    <t>Anson County, Palaeonornis type</t>
  </si>
  <si>
    <t>Daemonosaurus</t>
  </si>
  <si>
    <t>Dianopachysaurus</t>
  </si>
  <si>
    <t>Luoping</t>
  </si>
  <si>
    <t>Liu et al.</t>
  </si>
  <si>
    <t>Dawazi, upper vertebrate horizon (=Member 2), Luoping County</t>
  </si>
  <si>
    <t>Da'aozi, Daaozi</t>
  </si>
  <si>
    <t>Coordinates given as N24Ã‚Â°46' 46.8''N, 104Ã‚Â°19'40.6''E (quarry 1) in Feldmann et al., 2016</t>
  </si>
  <si>
    <t>Saurosphargidae</t>
  </si>
  <si>
    <t>Sinosaurosphargis</t>
  </si>
  <si>
    <t>Yangmazhai, Luoping County</t>
  </si>
  <si>
    <t>Garfield</t>
  </si>
  <si>
    <t>Gauthier et al.</t>
  </si>
  <si>
    <t>Circle Cliffs Poposaurus</t>
  </si>
  <si>
    <t>Circle Cliffs, Grand StaircaseÃ¢Â€Â“Escalante National Monument. Coordinates based upon Google Earth data for Circle Cliffs</t>
  </si>
  <si>
    <t>Wadi Ramon</t>
  </si>
  <si>
    <t>Specimen found about 100 km south of Beersheba in the area near Wadi Ramon</t>
  </si>
  <si>
    <t>Ctenosauriscus</t>
  </si>
  <si>
    <t>Trendelburg/Karlshafen Beds</t>
  </si>
  <si>
    <t>Bremketal, east of Reinhausen</t>
  </si>
  <si>
    <t>Bremke dell</t>
  </si>
  <si>
    <t>Bremke dell (= Ã¢Â€ÂœBremketalÃ¢Â€Â; probably from one of the former sandstone quarries Ã¢Â€ÂœImmen-BergÃ¢Â€Â and Ã¢Â€ÂœGrosser HauÃ¢Â€Â), east of the village of Reinhausen, approximately 10 km southeast of GÃƒÂ¶ttingen, GÃƒÂ¶ttingen district, Niedersachsen (Lower Saxony), northern Germany (approximate coordinates: 51Ã‚Â°27Ã¢Â€Â™54.44Ã¢Â€Â™Ã¢Â€Â™Ã‚Â N, 10Ã‚Â°00Ã¢Â€Â™39.84Ã¢Â€Â™Ã¢Â€Â™ E) (see Butler et al. 2011)</t>
  </si>
  <si>
    <t>Bolzano</t>
  </si>
  <si>
    <t>Buchsteiner</t>
  </si>
  <si>
    <t>Seceda NE St. Ulrich/Ortisei, below the Pana-Seharte cliff</t>
  </si>
  <si>
    <t>"Fundort: Hangschutt unmittelbar unterhalb der Steilwand nahe der Pana-Seharte am Nordabfall der Seceda NE St. Ulrich/Ortisei (Prov. Bozen, Italien)." Seceda, NE of St. Ulrich/Ortisei in the province of Bolzano; below the Pana-Seharte cliff in a talus slope</t>
  </si>
  <si>
    <t>body,mold/impression,soft parts</t>
  </si>
  <si>
    <t>Cosesaurus</t>
  </si>
  <si>
    <t>ES</t>
  </si>
  <si>
    <t>Tarragona</t>
  </si>
  <si>
    <t>Via et al.</t>
  </si>
  <si>
    <t>Montral-Alcover quarries</t>
  </si>
  <si>
    <t>Quarries opened in the lithographic limestone between the towns of Montral and Alcover</t>
  </si>
  <si>
    <t>Bourgogne</t>
  </si>
  <si>
    <t>SaÃƒÂ´ne-et-Loire</t>
  </si>
  <si>
    <t>Thomasset</t>
  </si>
  <si>
    <t>Mercey, Cheilly, Dheune valley</t>
  </si>
  <si>
    <t>in a communal pasture above the hamlet of Mercey, Cheilly commune, on the left bank of the Dheune River</t>
  </si>
  <si>
    <t>Psiloceras tilmanni</t>
  </si>
  <si>
    <t>Walton, west of Street</t>
  </si>
  <si>
    <t>"collected from Walton, just west of Street"</t>
  </si>
  <si>
    <t>Aragon</t>
  </si>
  <si>
    <t>Huesca</t>
  </si>
  <si>
    <t>Sanz</t>
  </si>
  <si>
    <t>Estada, NE of Barbastro</t>
  </si>
  <si>
    <t>Toroni</t>
  </si>
  <si>
    <t>Ceresiosaurus</t>
  </si>
  <si>
    <t>lower limestone</t>
  </si>
  <si>
    <t>Acqua ferruginosa, Valle Nera</t>
  </si>
  <si>
    <t>West of Meride</t>
  </si>
  <si>
    <t>upper limestone</t>
  </si>
  <si>
    <t>Val Mara</t>
  </si>
  <si>
    <t>Vytshegdosuchus</t>
  </si>
  <si>
    <t>Diandongosaurus</t>
  </si>
  <si>
    <t>Shang et al.</t>
  </si>
  <si>
    <t>Hupehsuchidae</t>
  </si>
  <si>
    <t>Hupehsuchus</t>
  </si>
  <si>
    <t>Nanzhang</t>
  </si>
  <si>
    <t>Carroll and Dong</t>
  </si>
  <si>
    <t>Xunjian, Nanzhang</t>
  </si>
  <si>
    <t>Nanchang, Hupehsuchus type</t>
  </si>
  <si>
    <t>Xunjian Commune, Nanzhang (Nanchang) county</t>
  </si>
  <si>
    <t>body,cast,adpression</t>
  </si>
  <si>
    <t>Galesphyrus</t>
  </si>
  <si>
    <t>Oorlog's Kloof, Calvinia</t>
  </si>
  <si>
    <t>Oorlogskloof</t>
  </si>
  <si>
    <t>Oorlog's Kloof (Oorlogskloof), Calvinia</t>
  </si>
  <si>
    <t>Meerderwyk, Colesberg</t>
  </si>
  <si>
    <t>Meerderyk</t>
  </si>
  <si>
    <t>Meerderwyk (Meerderyk), Colesberg</t>
  </si>
  <si>
    <t>Waldshut</t>
  </si>
  <si>
    <t>Waldhaus brewery</t>
  </si>
  <si>
    <t>Temporary pit created during the building of an extension to the Waldhaus brewery, Waldshut district, Baden-WÃƒÂ¼rttemberg, southwest Germany</t>
  </si>
  <si>
    <t>Tasmaniosaurus</t>
  </si>
  <si>
    <t>Tasmania</t>
  </si>
  <si>
    <t>Hobart</t>
  </si>
  <si>
    <t>Knocklofty</t>
  </si>
  <si>
    <t>Poets Road Siltstone</t>
  </si>
  <si>
    <t>Camp and Banks</t>
  </si>
  <si>
    <t>Crisp &amp; Gunns Quarry, Head of Arthur Street</t>
  </si>
  <si>
    <t>Tasmaniosaurus holotype</t>
  </si>
  <si>
    <t xml:space="preserve">quarry at the head of Arthur Street, West Hobart. Coordinates estimated from Google Earth and map in Camp &amp; Banks (1978:fig. 1). </t>
  </si>
  <si>
    <t>partial skulls</t>
  </si>
  <si>
    <t>Thulborn</t>
  </si>
  <si>
    <t>Duckworth Creek, SW of Bluff, QML 215</t>
  </si>
  <si>
    <t>AAW field locality Q6, QM L215</t>
  </si>
  <si>
    <t>Headwaters of Duckworth Creek, southwest of Bluff</t>
  </si>
  <si>
    <t>Kalisuchus</t>
  </si>
  <si>
    <t>Wheatlands, Tarkastad</t>
  </si>
  <si>
    <t>Proterosuchus holotype</t>
  </si>
  <si>
    <t>Farm Wheatlands, neat Tarkastad. Coordinates based on Tarkastad</t>
  </si>
  <si>
    <t>Lejweleputswa</t>
  </si>
  <si>
    <t>Ezcurra and Butler</t>
  </si>
  <si>
    <t>Kruisvlei 279, east of Winburg</t>
  </si>
  <si>
    <t>Coordinates based upon town of Winburg</t>
  </si>
  <si>
    <t>Broili and SchrÃƒÂ¶der</t>
  </si>
  <si>
    <t>Rietfontein, bank of Caledon River</t>
  </si>
  <si>
    <t>Bank of Caledon river between Bethulie and Aliwal North.</t>
  </si>
  <si>
    <t>Cruickshank</t>
  </si>
  <si>
    <t>Nooitgedacht 68, Bethulie</t>
  </si>
  <si>
    <t>Coordinates based on town of Bethulie</t>
  </si>
  <si>
    <t>Welman</t>
  </si>
  <si>
    <t>Visgat, Conway, Middelburg</t>
  </si>
  <si>
    <t>Coordinates based upon town of Conway</t>
  </si>
  <si>
    <t>Ruygte Valley 321, Middelburg</t>
  </si>
  <si>
    <t>West Bengal</t>
  </si>
  <si>
    <t>Panchet</t>
  </si>
  <si>
    <t>Satsangi</t>
  </si>
  <si>
    <t>Left bank river Damodar</t>
  </si>
  <si>
    <t>Left bank of the river Damodar near the railway bridge about 3/4 mile east of Deoli</t>
  </si>
  <si>
    <t>Hungshanting, Hotung, Jimsar area</t>
  </si>
  <si>
    <t>Jimusar</t>
  </si>
  <si>
    <t>Hungshanting, Hotung, upper part of Shoufangkou, Talungkou, Jimsar/Jimusar (formerly FÃƒÂ¼yuan). Field number 600068\r\nCoordinates based upon collection 93419, also from the Jimsar area.</t>
  </si>
  <si>
    <t>Collilongus</t>
  </si>
  <si>
    <t>BorsukBiaynicka and Sennikov</t>
  </si>
  <si>
    <t>Macroplata</t>
  </si>
  <si>
    <t>Rugby Limestone</t>
  </si>
  <si>
    <t>Schlotheimia angulata</t>
  </si>
  <si>
    <t>Ketchum and Smith</t>
  </si>
  <si>
    <t>Harbury Cement Works, Leamington Spa (owned by Greaves, Bull, and Lakin)</t>
  </si>
  <si>
    <t>Macroplata tenuiceps holotype locality</t>
  </si>
  <si>
    <t>Street (general)</t>
  </si>
  <si>
    <t>general collection, unspecified quarry, Street</t>
  </si>
  <si>
    <t>Storrs and Taylor</t>
  </si>
  <si>
    <t>Eurycleidus</t>
  </si>
  <si>
    <t>Klein and Albers</t>
  </si>
  <si>
    <t>Leicestershire</t>
  </si>
  <si>
    <t>Bottom Floor Limestone</t>
  </si>
  <si>
    <t>Barrow upon Soar</t>
  </si>
  <si>
    <t>Barrow on Soar</t>
  </si>
  <si>
    <t>THe actual pits or quarries from which Lee obtained his material for sale have not been identified in general, in spite of much effort, but it is believed LEICS G221.1851 came from the Village Delft, in the village centre, no backfilled and built over</t>
  </si>
  <si>
    <t>Street-on-the-Fosse (Pylle), ~4 km south of Shepton Mallet</t>
  </si>
  <si>
    <t>Gansurhinus</t>
  </si>
  <si>
    <t>Naobaogou</t>
  </si>
  <si>
    <t>Baotou Captorhinid Site (Naobaogou Fm.)</t>
  </si>
  <si>
    <t>Map in Liu &amp; Abdala (2017)</t>
  </si>
  <si>
    <t>Microleter</t>
  </si>
  <si>
    <t>TR</t>
  </si>
  <si>
    <t>Tarasci</t>
  </si>
  <si>
    <t>Beltan et al.</t>
  </si>
  <si>
    <t>SeydiÃ…ÂŸehir, Kupe Dag</t>
  </si>
  <si>
    <t>Pachystropheus</t>
  </si>
  <si>
    <t>Largocephalosaurus</t>
  </si>
  <si>
    <t>Luoping area, upper member of Guanling Formation limestone (middle Anisian)</t>
  </si>
  <si>
    <t>Taken Google Earth centroid for Luoping</t>
  </si>
  <si>
    <t>Avalonnectes</t>
  </si>
  <si>
    <t>Benson et al.</t>
  </si>
  <si>
    <t>Eoplesiosaurus</t>
  </si>
  <si>
    <t>Bobosaurus</t>
  </si>
  <si>
    <t>deep subtidal ramp</t>
  </si>
  <si>
    <t>Rio del Lago</t>
  </si>
  <si>
    <t>Unnamed tributary of Pontuz Creek, near Gran Colle and Dogna</t>
  </si>
  <si>
    <t>Unnamed tributary of Pontuz Creek, close to the small village of Gran Colle, about 2 km NW of the town of Dogna, Province of Udine, Friuli Venezia Giulia Autonomous Region, north-eastern Italy.</t>
  </si>
  <si>
    <t>Yunguisaurus</t>
  </si>
  <si>
    <t>Near Chajiang, about 10 km NW of Xingyi</t>
  </si>
  <si>
    <t>Sato et al. (2006): Near Huangnihe River, Chajiang, about 10 km NW of Xingyi, Guizhou \r\nSato et al. (2010): From the lower part of the Zhuganpo Formation (Ladinian, late Middle Triassic) near Chajiang, Guizhou Province, at the provincial boundary with Yunnan, China. See Li et al. (2008) for clarification of locality and horizon</t>
  </si>
  <si>
    <t>Sato et al.</t>
  </si>
  <si>
    <t>Western side of Huangnihe RIver, Fuyuan County</t>
  </si>
  <si>
    <t>Used Google Earth centroid for Fuyuan</t>
  </si>
  <si>
    <t>Quarry at the Bindlacher Berg, near Bayreuth</t>
  </si>
  <si>
    <t>'A quarry at the Bindlacher Berg'\r\nUsed Bindlacher Berg Airport from Google Earth\r\n</t>
  </si>
  <si>
    <t>Chromogisaurus</t>
  </si>
  <si>
    <t>Ezcurra</t>
  </si>
  <si>
    <t>Cancha de Bochas, Valle Pintado</t>
  </si>
  <si>
    <t>Chromogisaurus type</t>
  </si>
  <si>
    <t>Cancha de Bochas, Valle Pintado, southern outcrops of Ischigualasto Fm.</t>
  </si>
  <si>
    <t>Nambalia</t>
  </si>
  <si>
    <t>Upper Maleri</t>
  </si>
  <si>
    <t>Novas et al.</t>
  </si>
  <si>
    <t>north of Nambal Village (ISIR 273)</t>
  </si>
  <si>
    <t>PranhitaÃ¢Â€Â“Godavari Basin</t>
  </si>
  <si>
    <t>nort of Nambal village, 79Ã‚Â° 27'E, 19Ã‚Â° 16'N</t>
  </si>
  <si>
    <t>Unaysauridae</t>
  </si>
  <si>
    <t>Jaklapallisaurus</t>
  </si>
  <si>
    <t>3 km north of Jaklapalli village (ISIR 274)</t>
  </si>
  <si>
    <t>Latitude and longitude derived from map in Figure 1. about 3 km N of Jaklapalli village.</t>
  </si>
  <si>
    <t>Feeserpeton</t>
  </si>
  <si>
    <t>MacDougall and Reisz</t>
  </si>
  <si>
    <t>Diandongosuchus</t>
  </si>
  <si>
    <t>Nesbitt and Butler</t>
  </si>
  <si>
    <t>Eifelosaurus</t>
  </si>
  <si>
    <t>Rheinland-Pfalz</t>
  </si>
  <si>
    <t>Vulkaneifel</t>
  </si>
  <si>
    <t>Oberbettingen bei Hillesheim, Eifelosaurus holotype</t>
  </si>
  <si>
    <t xml:space="preserve">Based on coordinates for town of Oberbettingen - no more precise locality details provided. </t>
  </si>
  <si>
    <t>West Pomerania</t>
  </si>
  <si>
    <t>Sawno</t>
  </si>
  <si>
    <t>Lower Buntsandstein</t>
  </si>
  <si>
    <t>RÃƒÂ¼genwalde (Darowo) borehole</t>
  </si>
  <si>
    <t>Collected from a borehole close to the town of Darowo (Polish)/RÃƒÂ¼genwalde (German), in the West Pomerania region of Poland</t>
  </si>
  <si>
    <t>Freudenstadt</t>
  </si>
  <si>
    <t>Violet Horizon 5</t>
  </si>
  <si>
    <t>Fraser and Rieppel</t>
  </si>
  <si>
    <t>Baugrube Kappler, SchillerstraÃƒÂŸe, Pfalzgrafenweiler</t>
  </si>
  <si>
    <t>Ortlam</t>
  </si>
  <si>
    <t>KÃƒÂ¶ssig quarry, Rotfelden</t>
  </si>
  <si>
    <t>Trachelosauridae</t>
  </si>
  <si>
    <t>Trachelosaurus</t>
  </si>
  <si>
    <t>Salzlandkreis</t>
  </si>
  <si>
    <t>Chirotherium Sandstone</t>
  </si>
  <si>
    <t>Broili and Fischer</t>
  </si>
  <si>
    <t>Merkel's Quarry (upper), Bernburg</t>
  </si>
  <si>
    <t>Quarry belonging to a Herr O. Merkel in the region of Bamburg</t>
  </si>
  <si>
    <t>Anton Chico</t>
  </si>
  <si>
    <t>Schoch et al.</t>
  </si>
  <si>
    <t>Anton Chico localities, NM</t>
  </si>
  <si>
    <t xml:space="preserve">The specimens described by these authors were collected at numerous individual localities over a broad area (approx 30 km by 15 km) in San Miguel and Guadalupe counties, near to town of Anton Chico. Unfortunately, published descriptions do not indicate which specimens were collected from which individual localities (nor is this information currently available in the NMMNH online database) and so the entire area is currently entered as a single locality </t>
  </si>
  <si>
    <t>Qianxisaurus</t>
  </si>
  <si>
    <t>Chajiang (near the Huangnihe River), Xingyi</t>
  </si>
  <si>
    <t>The collection record of the specimen shows that it came from the Middle Triassic of Chajiang (near the Huangnihe River), Xingyi, Guizhou Province, China...somewhere between the Geju railway station and Chajiang railway station along the east side of the provincial boundary (the Huangnihe River) between Guizhou and Yunnan</t>
  </si>
  <si>
    <t>Rugarhynchos</t>
  </si>
  <si>
    <t>Sixmile Canyon, near Gallup, NMMNH L-5700</t>
  </si>
  <si>
    <t>"The fossils we describe are from NMMNH locality 5700 and were collected stratigraphically low in the Upper Triassic Bluewater Creek Formation (Chinle Group) in Sixmile Canyon, west-central New Mexico, USA. The locality lies within the Cibola National Forest in McKinley County, and precise locality data are on file at the NMMNH" (Heckert et al. 2012)</t>
  </si>
  <si>
    <t>Eomurruna</t>
  </si>
  <si>
    <t>Hamley et al.</t>
  </si>
  <si>
    <t>Mesodapedon</t>
  </si>
  <si>
    <t>Darapur</t>
  </si>
  <si>
    <t>Near the village Darapur</t>
  </si>
  <si>
    <t>Nyasasaurus</t>
  </si>
  <si>
    <t>Cynognathus Subzone C</t>
  </si>
  <si>
    <t>Parrington locality B36, near Mkongoleko</t>
  </si>
  <si>
    <t>B27, Gingama</t>
  </si>
  <si>
    <t>B27, near Gingama (see Stockley 1932. Quart. J. Geol. Soc. Lond. 88:610)</t>
  </si>
  <si>
    <t>B10, Stockley</t>
  </si>
  <si>
    <t>Locality B10 of Stockley (see Stockley 1932. Quart. J. Geol. Soc. Lond. 88:610)</t>
  </si>
  <si>
    <t>Cynognathus Assemblage Zone Subzone A</t>
  </si>
  <si>
    <t>Hancox</t>
  </si>
  <si>
    <t>Fraaiuitsicht</t>
  </si>
  <si>
    <t>Blezingeria</t>
  </si>
  <si>
    <t>Exter</t>
  </si>
  <si>
    <t>RhÃƒÂ¤t bonebed, Bebenhausen</t>
  </si>
  <si>
    <t>near Bebenhausen, 6 km from TÃƒÂ¼bingen</t>
  </si>
  <si>
    <t>Ludwigsburg</t>
  </si>
  <si>
    <t>Hoheneck</t>
  </si>
  <si>
    <t>Hoheneck near Ludwigsburg</t>
  </si>
  <si>
    <t>Wingate Sandstone</t>
  </si>
  <si>
    <t>Big Indian Rock phytosaur</t>
  </si>
  <si>
    <t>UTM 4224540N, 653900E, zone 12 (SWI14 SWI14 sec. 24, T30S, R24E).</t>
  </si>
  <si>
    <t>Colbert and Mook</t>
  </si>
  <si>
    <t>Protosuchus holotype, Dinosaur Canyon, NE of Cameron</t>
  </si>
  <si>
    <t>11 miles NE of Cameron, near the base of cliffs that rise to form the Ward Terrace. 1 mile to East of Dinosaur Canyon, some 5 or 6 miles up the canyon from the point of its opening into the Little Colorado River</t>
  </si>
  <si>
    <t>UCMP V85012</t>
  </si>
  <si>
    <t>Near holotype locality of Protosuchus, which is located "11 miles NE of Cameron, near the base of cliffs that rise to form the Ward Terrace. 1 mile to East of Dinosaur Canyon, some 5 or 6 miles up the canyon from the point of its opening into the Little Colorado River" (see Colbert &amp; Mook 1951)</t>
  </si>
  <si>
    <t>Batrachopodidae</t>
  </si>
  <si>
    <t>Batrachopus</t>
  </si>
  <si>
    <t>UCMP V84246, Tonahakaad Wash</t>
  </si>
  <si>
    <t>Tonahakaad Wash, fifteen miles southeast of Cameron, Coconino County, Arizona.</t>
  </si>
  <si>
    <t>Yunnanosaurus</t>
  </si>
  <si>
    <t>Storrs</t>
  </si>
  <si>
    <t>Microlestes Quarry, Frome</t>
  </si>
  <si>
    <t>Holwell</t>
  </si>
  <si>
    <t>Holwell Quarry, near Frome.  Ordnance Survey Sheet 183, 1:50,000, National Grid Reference ST 727449. Also listed as "south of the road at ST727450"</t>
  </si>
  <si>
    <t>Albers and Rieppel</t>
  </si>
  <si>
    <t>Baden-WÃƒÂ¼rtteberg</t>
  </si>
  <si>
    <t>Dietersweiler bei Freudenstadt</t>
  </si>
  <si>
    <t xml:space="preserve">Quarry close to Dietersweiler, a part of the town of Freudenstadt </t>
  </si>
  <si>
    <t>Sacrau, near Goglin</t>
  </si>
  <si>
    <t>ZakrzÃƒÂ³w</t>
  </si>
  <si>
    <t>Arlberg</t>
  </si>
  <si>
    <t>Krabachmasse, Trittwangkopf, NNW Stuttgarter HÃƒÂ¼tte, Lechtaler Alpen</t>
  </si>
  <si>
    <t>RÃƒÂ¼dersdorf, near Berlin (Buntsandstein)</t>
  </si>
  <si>
    <t>Rudersdorf</t>
  </si>
  <si>
    <t>Germanosaurus</t>
  </si>
  <si>
    <t>Natrona County</t>
  </si>
  <si>
    <t>3 miles (5 km) northeast of Freeland Junction</t>
  </si>
  <si>
    <t>Along Corral Creek, Milne Ranch, southwest Muddy Mountain</t>
  </si>
  <si>
    <t>sections 27 and 33, T31N, R79W</t>
  </si>
  <si>
    <t>North slope of Muddy Mountain</t>
  </si>
  <si>
    <t>Baden-WÃƒÂ¼rttemburg</t>
  </si>
  <si>
    <t>Neidenfels, near Crailsheim</t>
  </si>
  <si>
    <t xml:space="preserve">Muschelkalk </t>
  </si>
  <si>
    <t>Tiefenbach, near Crailsheim</t>
  </si>
  <si>
    <t>Schmalfelden, near Rothenburg ob der Tauber</t>
  </si>
  <si>
    <t>RÃƒÂ¼blingen, near Kupferzell</t>
  </si>
  <si>
    <t>Kulmbach</t>
  </si>
  <si>
    <t>Ceratites enodis + Ceratites sublaevigatus</t>
  </si>
  <si>
    <t>Hegnabrunn near Kulmbach</t>
  </si>
  <si>
    <t>Grand Est</t>
  </si>
  <si>
    <t>Blainville, LunÃƒÂ©ville</t>
  </si>
  <si>
    <t>Blainville, near LunÃƒÂ©ville, Lorraine</t>
  </si>
  <si>
    <t>Zuffenhausen, Stuttgart</t>
  </si>
  <si>
    <t>Stuttgart-Zuffenhausen</t>
  </si>
  <si>
    <t>nodosus</t>
  </si>
  <si>
    <t>Berlichingen</t>
  </si>
  <si>
    <t>Jagst</t>
  </si>
  <si>
    <t>Lecco</t>
  </si>
  <si>
    <t>Perledo-Varenna</t>
  </si>
  <si>
    <t>Perledo</t>
  </si>
  <si>
    <t>Quarry between Varenna and Regoledo, Perledo (SMF collection)</t>
  </si>
  <si>
    <t>The precise age of these historical fossil collections from Perledo cannot be determined unequivocally today because precise stratigraphic and locality data are lacking. Tintori et al. (1985) noted that most of the historical fossil material appears to have been collected in the surroundings of the village of Perledo.</t>
  </si>
  <si>
    <t>RÃƒÂ¼dersdorf, near Berlin</t>
  </si>
  <si>
    <t>Upper Muschelkalk, Crailsheim, Baden-WÃƒÂ¼rttemberg</t>
  </si>
  <si>
    <t>Discoceratitenschichten</t>
  </si>
  <si>
    <t>Wittighausen</t>
  </si>
  <si>
    <t>Rieppel and Wild</t>
  </si>
  <si>
    <t>Oschenberg, near Laineck</t>
  </si>
  <si>
    <t>Lainecker Berg, Bayreuth</t>
  </si>
  <si>
    <t>Oschenberg, near Laineck, east of Bayreuth</t>
  </si>
  <si>
    <t>HeldenmÃƒÂ¼hle, near Crailsheim (SMNS collection)</t>
  </si>
  <si>
    <t>Heldenmuhle</t>
  </si>
  <si>
    <t>mire/swamp</t>
  </si>
  <si>
    <t>Gundelsheim</t>
  </si>
  <si>
    <t>Helmsheim</t>
  </si>
  <si>
    <t>GroÃƒÂŸenbehringer, near Gotha</t>
  </si>
  <si>
    <t>Grossenbehringer</t>
  </si>
  <si>
    <t>Krahenhiitte quarry, Bad Sulza</t>
  </si>
  <si>
    <t>Krahenhiitte quarry in Bad Suiza, Thuringia, which has produced a number of fairly well-preserved skulls of Nothosaurus (and postcranial remains)</t>
  </si>
  <si>
    <t>Kleinromstedt near Weimar</t>
  </si>
  <si>
    <t>Bettenfeld near Rothenburg</t>
  </si>
  <si>
    <t>Eschenau: Upper Muschelkalk</t>
  </si>
  <si>
    <t>Hegnabrunn near Kulmbach [nodosus biozone; R. Wild collection]</t>
  </si>
  <si>
    <t>spinosus</t>
  </si>
  <si>
    <t>Hegnabrunn near Kulmbach [spinosus biozone; R. Wild collection]</t>
  </si>
  <si>
    <t>enodis-laevigatus</t>
  </si>
  <si>
    <t>Hegnabrunn near Kulmbach [enodis-laevigatus biozones; R. Wild collection]</t>
  </si>
  <si>
    <t>evolutus</t>
  </si>
  <si>
    <t>Hegnabrunn near Kulmbach [evolutus biozone; R. Wild collection]</t>
  </si>
  <si>
    <t>Rugendorf</t>
  </si>
  <si>
    <t>Forstlahm-Herlas</t>
  </si>
  <si>
    <t>HÃƒÂ¶fingen, near Leonberg</t>
  </si>
  <si>
    <t>Hofingen</t>
  </si>
  <si>
    <t>Sattelweiler</t>
  </si>
  <si>
    <t>BG</t>
  </si>
  <si>
    <t>Belogradcik</t>
  </si>
  <si>
    <t>SchaumkalkbÃƒÂ¤nke</t>
  </si>
  <si>
    <t>EsperstÃƒÂ¤dt</t>
  </si>
  <si>
    <t>Esperstedt</t>
  </si>
  <si>
    <t>RÃƒÂ¼dersdorf, near Berlin (Schaumkalk)</t>
  </si>
  <si>
    <t>Karlstadt</t>
  </si>
  <si>
    <t>Orbicularismergel</t>
  </si>
  <si>
    <t>RÃƒÂ¼dersdorf, near Berlin: Orbicularis beds</t>
  </si>
  <si>
    <t>Oberdorla: Schaumkalk [?orbicularis layers], Lower Muschelkalk</t>
  </si>
  <si>
    <t>Erfurt-Drosselberg</t>
  </si>
  <si>
    <t>Am Drosselberg, Erfurt</t>
  </si>
  <si>
    <t>Tiefthal, Erfurt</t>
  </si>
  <si>
    <t>Halle/Saale</t>
  </si>
  <si>
    <t>Maisch</t>
  </si>
  <si>
    <t>Bergenlandkreis</t>
  </si>
  <si>
    <t>Freyburg an der Unstrut</t>
  </si>
  <si>
    <t>Freyburg on the Unstrut River</t>
  </si>
  <si>
    <t>Molsdorf, Arnstadt</t>
  </si>
  <si>
    <t>Weissach</t>
  </si>
  <si>
    <t>Lelm, near Braunschweig</t>
  </si>
  <si>
    <t>Perledo-Vaenna</t>
  </si>
  <si>
    <t>Calcare di Perledo</t>
  </si>
  <si>
    <t>Esino, near Perledo</t>
  </si>
  <si>
    <t>Surroundings of Lecco</t>
  </si>
  <si>
    <t>Kalkschiefer</t>
  </si>
  <si>
    <t>CÃƒÂ  del Frate, ViggiÃƒÂ¹, Monte San Giorgio</t>
  </si>
  <si>
    <t>AmÃƒÂ©lie-les-Bains, eastern Pyrenees</t>
  </si>
  <si>
    <t>Acqua del Ghiffo, near Serpiano, Monte San Giorgio</t>
  </si>
  <si>
    <t>Asteroidea, Muschelkalk, Unterrodach</t>
  </si>
  <si>
    <t>Unterrodach</t>
  </si>
  <si>
    <t>Steinsfurt, near Heidelberg</t>
  </si>
  <si>
    <t>Bayreuth (BMNH fish coll.)</t>
  </si>
  <si>
    <t>MÃƒÂ¼nster: Upper Muschelkalk</t>
  </si>
  <si>
    <t>Lang and Huene</t>
  </si>
  <si>
    <t>Lauchringen</t>
  </si>
  <si>
    <t>BÃƒÂ¶digheim</t>
  </si>
  <si>
    <t>Bindlacher Berg, near Bayreuth (M. Wild collection)</t>
  </si>
  <si>
    <t>Tarnowitz</t>
  </si>
  <si>
    <t>Tarnowskie GÃƒÂ³ry</t>
  </si>
  <si>
    <t>Rybina</t>
  </si>
  <si>
    <t>ThÃƒÂ¼ringen</t>
  </si>
  <si>
    <t>Schaumkalk</t>
  </si>
  <si>
    <t>Asteroidea, Muschelkalk, Sondershausen, ThÃƒÂ¼ringen</t>
  </si>
  <si>
    <t>Sondershausen</t>
  </si>
  <si>
    <t>Henodus</t>
  </si>
  <si>
    <t>Grabfeld</t>
  </si>
  <si>
    <t>Estherienschichten</t>
  </si>
  <si>
    <t>Lustnau Gipskeuper near TÃƒÂ¼bingen</t>
  </si>
  <si>
    <t>Lustnau, near TÃƒÂ¼bingen, southwestern Germany</t>
  </si>
  <si>
    <t>Macroplacus</t>
  </si>
  <si>
    <t>Koessen</t>
  </si>
  <si>
    <t>Hinterstein near Hindelang im AllgÃƒÂ¤u</t>
  </si>
  <si>
    <t>HU</t>
  </si>
  <si>
    <t>Bakony</t>
  </si>
  <si>
    <t>Physiocardia-beds</t>
  </si>
  <si>
    <t>AlsÃƒÂ³ Keuper</t>
  </si>
  <si>
    <t>Jeruzsalemhegy, Physiocardia-beds</t>
  </si>
  <si>
    <t>Jerusalem Hill</t>
  </si>
  <si>
    <t>Thalattoarchon</t>
  </si>
  <si>
    <t>Nevadisculites taylori</t>
  </si>
  <si>
    <t>FrÃƒÂ¶bisch et al.</t>
  </si>
  <si>
    <t>Favret Canyon ichthyosaur 2008</t>
  </si>
  <si>
    <t>Orovenator</t>
  </si>
  <si>
    <t>Zakrszewski</t>
  </si>
  <si>
    <t>SchÃƒÂ¶nbuch bei HÃƒÂ¤fner-Neuhausen</t>
  </si>
  <si>
    <t>Neuenhaus</t>
  </si>
  <si>
    <t>Benton &amp; Wild (1994: collection 25) give GauÃƒÂŸ-KrÃƒÂ¼ger coordinates of R 3514500, H 5388375</t>
  </si>
  <si>
    <t>Proterochersidae</t>
  </si>
  <si>
    <t>Proterochersis</t>
  </si>
  <si>
    <t>Karl and Tichy</t>
  </si>
  <si>
    <t>Murrhardt-Mettelberg, Schlipf &amp; SÃƒÂ¶hne quarry</t>
  </si>
  <si>
    <t>Schlipf &amp; SÃƒÂ¶hne quarry; Benton &amp; Wild (1994: locality 7) give GauÃƒÂŸ-KrÃƒÂ¼ger coordinates of R 3546175, H 5423425 for an occurrence of Proterochersis (GPIT collection) at Mettelberg-Murrhardt. These coordinates are used here</t>
  </si>
  <si>
    <t>Rohracker, vineyard</t>
  </si>
  <si>
    <t>GauÃƒÂŸ-KrÃƒÂ¼ger coordinates (3517000, 5402350) given by Benton &amp; Wild (1994: locality 20)</t>
  </si>
  <si>
    <t>Rudersberg</t>
  </si>
  <si>
    <t>GauÃƒÂŸ-KrÃƒÂ¼ger coordinates (3536200, 5417450) given by Benton &amp; Wild (1994: locality 12)</t>
  </si>
  <si>
    <t>TÃƒÂ¼bingen</t>
  </si>
  <si>
    <t>Olgahain bonebed, Bebenhausen</t>
  </si>
  <si>
    <t xml:space="preserve">Approximately 1.2 km southsoutheast of the Kloster (monastery) Bebenhausen. It is situated to the east of Goldersbach [Rechtswert 3505470, Hochwert 5379700, Topographische Karte 1:25.000 (TK25), 7420 Tuebingen]. Currently, the quarry is part of the Ã¢Â€Â˜Ã¢Â€Â˜Geologischer LehrpfadÃ¢Â€Â™Ã¢Â€Â™ on Kirnberg.\r\n\r\nRhÃƒÂ¤tsandstein locality 10 of Benton &amp; Wild (1994). </t>
  </si>
  <si>
    <t>partial skulls,osteoderms</t>
  </si>
  <si>
    <t>Heilbronn</t>
  </si>
  <si>
    <t>LÃƒÂ¶wenstein, Affaltrach</t>
  </si>
  <si>
    <t>Belodon type locality</t>
  </si>
  <si>
    <t xml:space="preserve">Historical collections of Stubensandstein vertebrates catalogued as "LÃƒÂ¶wenstein", from the area around LÃƒÂ¶wenstein. Coordinates are given for LÃƒÂ¶wenstein, but collections may be from multiple quarries. </t>
  </si>
  <si>
    <t>Sindelfingen-Magstadt, Sandwerk KÃƒÂ¶rner</t>
  </si>
  <si>
    <t>Benton &amp; Wild (1994) give GauÃƒÂŸ-KrÃƒÂ¼ger coordinates of R 3501075, H 5399625 for the quarry, which is NNE of Sindelfingen</t>
  </si>
  <si>
    <t>Benton and Wild</t>
  </si>
  <si>
    <t>Stuttgart-Degerloch, Lower Stubensandstein</t>
  </si>
  <si>
    <t>Benton &amp; Wild (1994) give GauÃƒÂŸ-KrÃƒÂ¼ger coordinates of R 3512000 H 5401750 for this specimen, and state that it was found during the construction of a cellar</t>
  </si>
  <si>
    <t>Kayh</t>
  </si>
  <si>
    <t>Thalattosauridae</t>
  </si>
  <si>
    <t>Concavispina</t>
  </si>
  <si>
    <t>BE</t>
  </si>
  <si>
    <t>Gaume</t>
  </si>
  <si>
    <t>Sables de Mortinsart</t>
  </si>
  <si>
    <t>Duffin et al.</t>
  </si>
  <si>
    <t>HLV-5, Habay-la-Vieille V</t>
  </si>
  <si>
    <t>along the E25/E411 highway between Brussels and Arlon, near the exit nÃ‚Â°29, at the intersection with road N87, Nantimont area, south of Habay-la-Vieille. The map provided by Godefroit (1999) is precise.</t>
  </si>
  <si>
    <t>GrÃƒÂ¨s de Mortinsart</t>
  </si>
  <si>
    <t>S-1, La Sagnette</t>
  </si>
  <si>
    <t>from road cutting for E9 motorway, N of La Sagnette</t>
  </si>
  <si>
    <t>S-3, La Sagnette</t>
  </si>
  <si>
    <t>Schultze and MÃƒÂ¶ller</t>
  </si>
  <si>
    <t>Grebenberg near Angerstein</t>
  </si>
  <si>
    <t>Middle Franconia</t>
  </si>
  <si>
    <t>Dehm</t>
  </si>
  <si>
    <t>BuchenbÃƒÂ¼hl, NÃƒÂ¼rnberg</t>
  </si>
  <si>
    <t>BuchenbÃƒÂ¼hl, near NÃƒÂ¼rnberg</t>
  </si>
  <si>
    <t>Henodontidae</t>
  </si>
  <si>
    <t>Chelyoposuchus</t>
  </si>
  <si>
    <t>Baerecke-Limpricht clay pit, Halberstadt (bed 13)</t>
  </si>
  <si>
    <t>Baerecke-Limpricht birck-clay pit, a little S of Halberstadt</t>
  </si>
  <si>
    <t>Baerecke-Limpricht clay pit, Halberstadt (bed 20)</t>
  </si>
  <si>
    <t>Baerecke-Limpricht clay pit, Halberstadt (bed 27)</t>
  </si>
  <si>
    <t>very poor</t>
  </si>
  <si>
    <t>Scelidosaurus</t>
  </si>
  <si>
    <t>Northern Ireland</t>
  </si>
  <si>
    <t>Antrim</t>
  </si>
  <si>
    <t>Waterloo Mudstone</t>
  </si>
  <si>
    <t>Simms et al.</t>
  </si>
  <si>
    <t>The Gobbins, Islandmagee</t>
  </si>
  <si>
    <t>from among boulders and shingle on the beach at The Gobbins, E coast of Islandmagee; (Grid ref. J485968; 54.799Ã‚Â° N, 5.690Ã‚Â° W)</t>
  </si>
  <si>
    <t>Champagne-Ardennes</t>
  </si>
  <si>
    <t>Haute-Marne</t>
  </si>
  <si>
    <t>GrÃƒÂ¨s de Infralias</t>
  </si>
  <si>
    <t>Sauvage</t>
  </si>
  <si>
    <t>ProvenchÃƒÂ¨res-sur-Meuse</t>
  </si>
  <si>
    <t>Champagne-Ardenne</t>
  </si>
  <si>
    <t>Lapparent</t>
  </si>
  <si>
    <t>Violot</t>
  </si>
  <si>
    <t>found in railway cutting at Violot, along the Culmont-Chalindrey-Gray railway</t>
  </si>
  <si>
    <t>Palaeosaurus</t>
  </si>
  <si>
    <t>Laineck, near Bayreuth, Bavaria (BMNH)</t>
  </si>
  <si>
    <t>Protanystropheus</t>
  </si>
  <si>
    <t>Chorzow</t>
  </si>
  <si>
    <t>Gogolin, Upper Silesia</t>
  </si>
  <si>
    <t>from near Gogolin, Upper Silesia</t>
  </si>
  <si>
    <t>Velocipes</t>
  </si>
  <si>
    <t>Lissauer Breccia</t>
  </si>
  <si>
    <t>Kocury</t>
  </si>
  <si>
    <t>FÃƒÂ¶sterei Kotzuren</t>
  </si>
  <si>
    <t>FÃƒÂ¶sterei Kotzuren (= Kocury), Upper Silesia</t>
  </si>
  <si>
    <t>Ji et al.</t>
  </si>
  <si>
    <t>Oregon</t>
  </si>
  <si>
    <t>Baker</t>
  </si>
  <si>
    <t>Martin Bridge</t>
  </si>
  <si>
    <t>Orr and Katsura</t>
  </si>
  <si>
    <t>Southern Wallowas (estimated, Shastosaurus locality)</t>
  </si>
  <si>
    <t>Details scant, estimated very roughly from map.</t>
  </si>
  <si>
    <t>Temnodontosaurus</t>
  </si>
  <si>
    <t>McGowan</t>
  </si>
  <si>
    <t>Street, Somerset</t>
  </si>
  <si>
    <t>coordinates of village Watchet</t>
  </si>
  <si>
    <t>Leptonectes</t>
  </si>
  <si>
    <t>Lomax and Massare</t>
  </si>
  <si>
    <t>Apaldetti et al.</t>
  </si>
  <si>
    <t>Bystrowisuchus</t>
  </si>
  <si>
    <t>Gaudry</t>
  </si>
  <si>
    <t>Holwell, near Frome, Somerset (BMNH)</t>
  </si>
  <si>
    <t>Pararcus</t>
  </si>
  <si>
    <t>Klein and Scheyer</t>
  </si>
  <si>
    <t>Winterswijk quarry, layer 36</t>
  </si>
  <si>
    <t>concretion,permineralized,replaced with calcite,replaced with pyrite</t>
  </si>
  <si>
    <t>Saltford Shale</t>
  </si>
  <si>
    <t>Smith and Radley</t>
  </si>
  <si>
    <t>Southam Cement Works</t>
  </si>
  <si>
    <t>Marine reptile locality</t>
  </si>
  <si>
    <t>Scythosuchus</t>
  </si>
  <si>
    <t>Cymatosauridae</t>
  </si>
  <si>
    <t>Tanaisosaurus</t>
  </si>
  <si>
    <t>Vritramimosaurus</t>
  </si>
  <si>
    <t>Usinskii</t>
  </si>
  <si>
    <t>Nadkrasnokamenskaya</t>
  </si>
  <si>
    <t>Bolshaya Synya-2</t>
  </si>
  <si>
    <t>Staritskaya</t>
  </si>
  <si>
    <t>Mechet' II (Locality 180)</t>
  </si>
  <si>
    <t>Mechet II</t>
  </si>
  <si>
    <t xml:space="preserve">Tverdokhlebov et al. (2003) describes this locality as "Orenburg Region, 4.1 km WSW of Aldarkino village, Mechet ravine, 6.3 km above its mouth (Blom, 1968; Ivakhnenko et al.,\r\n1997)." However, Novikov and Shishkin (2000) considers this locality to be within the Borskii area of Samara District. \r\nThe assumption has been made that these papers describe the same locality, and given Tverdokhlebov et al. (2003) provides a map indicating the precise locality of this collection, this is the location used. </t>
  </si>
  <si>
    <t>Dinocephalosaurus</t>
  </si>
  <si>
    <t>Fuyuan, S. Santai, Talungkou</t>
  </si>
  <si>
    <t>"Fuyuan, S. Santai, Talungkou, E of the River, Hungshankou"; coordinates based on other PaleoDB localities from the Santai area (e.g. PaleoDB 68023). This is a general locality for historical collections from the "Fuyuan/Santai" area</t>
  </si>
  <si>
    <t>mold/impression,concretion</t>
  </si>
  <si>
    <t>Lasasaurus</t>
  </si>
  <si>
    <t>Falconnet et al.</t>
  </si>
  <si>
    <t>Ambodipo</t>
  </si>
  <si>
    <t>Ambondipo</t>
  </si>
  <si>
    <t>Near the Ambodipo village, near the Mamoro River, East of Ankitokazo, Ambilobe District, Antsiranana Province, Diana Region, North of Madagascar.</t>
  </si>
  <si>
    <t>Toretocnemus</t>
  </si>
  <si>
    <t>Reynoso</t>
  </si>
  <si>
    <t>Howesia</t>
  </si>
  <si>
    <t>Cynognathus Assemblage Zone Subzone B</t>
  </si>
  <si>
    <t>Aliwal North Area, Cynognathus B</t>
  </si>
  <si>
    <t>This collection includes specimens that were collected by Alfred Brown in the early 20th century in the vicinity of Aliwal North, Eastern Cape Province, South Africa. No exact geographic and stratigraphic position is given, but specimens are believed to come from the Cynognathus B level.</t>
  </si>
  <si>
    <t>Asperoris</t>
  </si>
  <si>
    <t>Cynognathus Assemblage Zone Subzone C</t>
  </si>
  <si>
    <t>U9/1, drainage of the Hita River</t>
  </si>
  <si>
    <t>Field locality U9/1, drainage of the Hita River between the Njalila and Hiasi rivers (exact locality not known) in the Ruhuhu basin, Songea district, southwestern Tanzania. Coordinates estimated using Google Earth and text-fig. 1 in Cox (1991)</t>
  </si>
  <si>
    <t>Anhui Province, unknown locality</t>
  </si>
  <si>
    <t>Ichthyosaur locality</t>
  </si>
  <si>
    <t>Contectopalatus</t>
  </si>
  <si>
    <t>Tholodus</t>
  </si>
  <si>
    <t>BA</t>
  </si>
  <si>
    <t>Vares</t>
  </si>
  <si>
    <t>Besanosauridae</t>
  </si>
  <si>
    <t>Besanosaurus</t>
  </si>
  <si>
    <t>Californosaurus</t>
  </si>
  <si>
    <t>California</t>
  </si>
  <si>
    <t>Hosselkus</t>
  </si>
  <si>
    <t>Cow Creek, Shasta County</t>
  </si>
  <si>
    <t>Guanlingsauridae</t>
  </si>
  <si>
    <t>Mikadocephalus</t>
  </si>
  <si>
    <t>Wimaniidae</t>
  </si>
  <si>
    <t>Wimanius</t>
  </si>
  <si>
    <t>Motani</t>
  </si>
  <si>
    <t>Hudsonelpidia</t>
  </si>
  <si>
    <t>Williston Lake</t>
  </si>
  <si>
    <t>Precise locality unknown</t>
  </si>
  <si>
    <t>Chen et al.</t>
  </si>
  <si>
    <t>Burgundy</t>
  </si>
  <si>
    <t>SÃƒÂ¢one-et-Loire</t>
  </si>
  <si>
    <t>Antully bonebed, Autun</t>
  </si>
  <si>
    <t>Antully, in Autun</t>
  </si>
  <si>
    <t>La Coudre, Autun</t>
  </si>
  <si>
    <t>from La Coudre, Autun</t>
  </si>
  <si>
    <t>Actiosaurus</t>
  </si>
  <si>
    <t>Santa Cruz</t>
  </si>
  <si>
    <t>Magallanes</t>
  </si>
  <si>
    <t>Laguna Colorada</t>
  </si>
  <si>
    <t>El Tranquilo</t>
  </si>
  <si>
    <t>Estancia El Tranquilo</t>
  </si>
  <si>
    <t>Estancia El Tranquilo, ca. 400 km NW of Puerto de San JuliÃƒÂ¡n, Magallanes Dpto. Continuous with Estancia Roca Blanca. Fossil outcrops in the area of temporary lakes "Colorada" (or "de la Isla") and "del Toro."</t>
  </si>
  <si>
    <t>body,original aragonite</t>
  </si>
  <si>
    <t>Cassian</t>
  </si>
  <si>
    <t>MÃƒÂ¼nster</t>
  </si>
  <si>
    <t>St. Cassian (Munster coll)</t>
  </si>
  <si>
    <t>Most specimens are likely from the Stuores Wiesen area</t>
  </si>
  <si>
    <t>Jaxtasuchus</t>
  </si>
  <si>
    <t>Schoch and Sues</t>
  </si>
  <si>
    <t>Schneider Quarry, Vellberg-Ummenhofen</t>
  </si>
  <si>
    <t>"Schneider" quarry, near Vellberg-Ummenhofen; Coordinates estimated from Google Earth image of quarries close to Vellberg and Ummenhofen</t>
  </si>
  <si>
    <t>Zwingelhausen</t>
  </si>
  <si>
    <t>Venaticosuchus</t>
  </si>
  <si>
    <t>Damiani et al.</t>
  </si>
  <si>
    <t>Farm Perdelaagte, Heuningkrans 26</t>
  </si>
  <si>
    <t>Farm Perdelaagte, an annexe of the farm Heuningkrans 26, Burgersdorp District, Eastern Cape Province, South Africa. Coordinates based on Heuningkrans 26</t>
  </si>
  <si>
    <t>Thabo Mofutsanyana</t>
  </si>
  <si>
    <t>Driefontein</t>
  </si>
  <si>
    <t>Dreifontein farm</t>
  </si>
  <si>
    <t>Shonisauridae</t>
  </si>
  <si>
    <t>Himalayasaurus</t>
  </si>
  <si>
    <t>Tibet</t>
  </si>
  <si>
    <t>Qulonggongba</t>
  </si>
  <si>
    <t>Chang and Jin</t>
  </si>
  <si>
    <t>Qulonggongba Formation, Nielamu, Xizang</t>
  </si>
  <si>
    <t>Garden Cliff (Bone Bed)</t>
  </si>
  <si>
    <t>Westbury-on-Severn, Golden Cliff</t>
  </si>
  <si>
    <t>Garden Cliff, near Westbury-on-Severn. SO(32)718218. Also called Golden Cliff, Could Clyffe</t>
  </si>
  <si>
    <t>Wainlode Cliff bonebed</t>
  </si>
  <si>
    <t>"Wainlode Cliff on the Severn, between Gloucester and Tewkesbury"; 3 mi WSW of Tewksbury, a natural cliff ca. 400 yds long along River Severn. SO(32) 845257</t>
  </si>
  <si>
    <t>adpression</t>
  </si>
  <si>
    <t>Brockeridge Commons (bed 14)</t>
  </si>
  <si>
    <t>from Brockeridge Common, Tewkesbury</t>
  </si>
  <si>
    <t>Proteosauridae</t>
  </si>
  <si>
    <t>Proteosaurus</t>
  </si>
  <si>
    <t>Binton, Warwickshire (Brodie coll)</t>
  </si>
  <si>
    <t>Bassani</t>
  </si>
  <si>
    <t>Besano (MCSN Milan collection)</t>
  </si>
  <si>
    <t>Amthor</t>
  </si>
  <si>
    <t>ApfelstÃƒÂ¤dtgrundes, southeast of Gotha</t>
  </si>
  <si>
    <t>SA</t>
  </si>
  <si>
    <t>Jilh</t>
  </si>
  <si>
    <t>Vickers-Rich et al.</t>
  </si>
  <si>
    <t>Ar Rubay'iyah</t>
  </si>
  <si>
    <t>Fossils collected from six sites along the escarpment between Ar Rubay'iyah (26 25' N, 44 14' E) and Ash Shamasiyah (27 22' N, 44 16' E), over a distance of 22 km (sites 1 and 3-7 in fig. 1). Site 1 is the most productive; fossils were collectedfor a distance of 700 m along the scarp behind the village of Ar Rubay'iyah. Specimens are not divided by location (although hybodonts come from site 1), so coordinates are based on site 1.</t>
  </si>
  <si>
    <t>Kear et al.</t>
  </si>
  <si>
    <t>Ar Rubay'iyah (2007 coll)</t>
  </si>
  <si>
    <t>Low westward facing escarpment near the town of Ar Rubay-iyah, east of Burayadh</t>
  </si>
  <si>
    <t>Khasm Dalqan</t>
  </si>
  <si>
    <t xml:space="preserve">Section at Khasm Dalqan (N 24Ã‚Â° 14' 42.3" E 45Ã‚Â° 37' 43.4") northeast of Al QuwayÃ¢Â€Â™iyah in central Saudi Arabia. </t>
  </si>
  <si>
    <t>Jushatyria</t>
  </si>
  <si>
    <t>Kalandadze and Sennikov</t>
  </si>
  <si>
    <t>Evans and King</t>
  </si>
  <si>
    <t>Quarrington quarry</t>
  </si>
  <si>
    <t>Ordnance Survey coordinates NZ 329 378, converted to latitude and longitude using http://www.movable-type.co.uk/scripts/latlong-gridref.html</t>
  </si>
  <si>
    <t>Hancock and Howse</t>
  </si>
  <si>
    <t>Eorasaurus</t>
  </si>
  <si>
    <t>Aenigmastropheus</t>
  </si>
  <si>
    <t>Usili</t>
  </si>
  <si>
    <t>Cistecephalus Assemblage Zone</t>
  </si>
  <si>
    <t>Ezcurra et al.</t>
  </si>
  <si>
    <t>B35 of Stockley, Ruanda</t>
  </si>
  <si>
    <t>Ignotosaurus</t>
  </si>
  <si>
    <t>MartÃƒÂ­nez et al.</t>
  </si>
  <si>
    <t>northern edge, Cancha de Bochas</t>
  </si>
  <si>
    <t>northern edge, Cancha de Bochas, Ischigualasto Provincial Park</t>
  </si>
  <si>
    <t>Nectosaurus</t>
  </si>
  <si>
    <t>Shasta</t>
  </si>
  <si>
    <t>Near Brushy Slope camp on the western side of Brock Mountain</t>
  </si>
  <si>
    <t>North Fork of Squaw Creek</t>
  </si>
  <si>
    <t>Thalattosaurus</t>
  </si>
  <si>
    <t>Paralonectes</t>
  </si>
  <si>
    <t>Nicholls and Brinkman</t>
  </si>
  <si>
    <t>Wapiti Lake, locality B</t>
  </si>
  <si>
    <t>B cirque</t>
  </si>
  <si>
    <t>The specimens were collected along Ganoid Ridge, south east of Wapiti Lake in eastern British Columbia... from "B" cirque (localities D and B, Figure 1) near Wapiti Lake, British Columbia, 54031'10"N, 120043'19"W.</t>
  </si>
  <si>
    <t>Wapiti Lake, locality T</t>
  </si>
  <si>
    <t>T cirque</t>
  </si>
  <si>
    <t>Along Ganoid Ridge, south east of Wapiti Lake in eastern British Columbia... 54031'10"N, 120043'19"W</t>
  </si>
  <si>
    <t>Agkistrognathus</t>
  </si>
  <si>
    <t>New Pass (UCMP collection)</t>
  </si>
  <si>
    <t>about 3 miles west of the New Pass Mines</t>
  </si>
  <si>
    <t>Dorset</t>
  </si>
  <si>
    <t>Hawkins</t>
  </si>
  <si>
    <t>near the church, Lyme Regis</t>
  </si>
  <si>
    <t>from near the church at Lyme (Regis)</t>
  </si>
  <si>
    <t>along path, Lyme Regis-Charmouth</t>
  </si>
  <si>
    <t>near crags midway between rivers Lim and Char, along path from Lyme Regis to Charmouth, near a small waterfall</t>
  </si>
  <si>
    <t>Atopodentatus</t>
  </si>
  <si>
    <t>Winterswijk Quarry III</t>
  </si>
  <si>
    <t>Mersch</t>
  </si>
  <si>
    <t>Luxembourg Sandstone</t>
  </si>
  <si>
    <t>Delsate and Ezcurra</t>
  </si>
  <si>
    <t>Feidt Quarry, Reckingerwald</t>
  </si>
  <si>
    <t>Near Brouch (Mersch)</t>
  </si>
  <si>
    <t>Parahupehsuchus</t>
  </si>
  <si>
    <t>Yuan'an, Yichang, (Wuhan Centre of China Geological Survey 2011 )</t>
  </si>
  <si>
    <t>basinal (siliciclastic)</t>
  </si>
  <si>
    <t>Nanlinghu</t>
  </si>
  <si>
    <t>Subcolumbites</t>
  </si>
  <si>
    <t>South Majiashan quarry (Nanlinghu Fm)</t>
  </si>
  <si>
    <t>Southeastern wall of the quarry, at the south end (location and coordinates based on photograph in paper).</t>
  </si>
  <si>
    <t>Templomhegy Dolomite</t>
  </si>
  <si>
    <t>Ã…Âsi et al.</t>
  </si>
  <si>
    <t>VillÃƒÂ¡ny, construction site</t>
  </si>
  <si>
    <t>About 200Ã¢Â€Â“300 meters northwest of the town of VillÃƒÂ¡ny, at an active construction site on Somssich Hill. This locality has two parts. In its northern part, a winery is being built, from which approximately five meters to the west a 30 meter-long, four to five meter-high, approximately northwest to southeast-oriented section is exposed. This section includes the uppermost strata of the Templomhegy Dolomite (dolomite and dolomarl with clay and silt interlayers) similar to the road-cut section. However, the construction site section represents a more complete exposure of the upper part of the formation. During our first field campaign in March 2012, these layers (dipping to south) were also exposed at the base of the winery, a few meters below the surface, but shortly thereafter this exposure became a cellar. Over the southern part a brandy shop will soon be built, but it was possible to study its excavated basement until the end of the year 2012. This basement covers a surface of nearly 25ÃƒÂ—25 meters and is three to four meters deep. Its northwestern and eastern walls also expose the Templomhegy Dolomite.</t>
  </si>
  <si>
    <t>Megapnosaurus</t>
  </si>
  <si>
    <t>Whitmore Point</t>
  </si>
  <si>
    <t>Milner and Lockley</t>
  </si>
  <si>
    <t>Freeman Quarry (lower fish beds), St. George</t>
  </si>
  <si>
    <t>WCSD, Washington County School District, FQ1, SGDS</t>
  </si>
  <si>
    <t>within St. George city limits, on the property of the Washington County School District, just W of Riverside Drive from the original SGDS.</t>
  </si>
  <si>
    <t>Lyman</t>
  </si>
  <si>
    <t>Macfadyen</t>
  </si>
  <si>
    <t>Barnhill Quarry (selenitic shale)</t>
  </si>
  <si>
    <t>Chipping Sodbury</t>
  </si>
  <si>
    <t>ST (31) 725830</t>
  </si>
  <si>
    <t>Kraai River</t>
  </si>
  <si>
    <t>"at the Kraai River", SE of Aliwal North, "on the waggon-track"</t>
  </si>
  <si>
    <t>Aliwal North Area</t>
  </si>
  <si>
    <t>This collection includes specimens that were collected by Alfred Brown in the early 20th century in the vicinity of Aliwal North, Eastern Cape Province, South Africa. No exact geographic and stratigraphic position is given.</t>
  </si>
  <si>
    <t>Nosotti and Rieppel</t>
  </si>
  <si>
    <t>Carnufex</t>
  </si>
  <si>
    <t>Zanno et al.</t>
  </si>
  <si>
    <t>NCPALEO1902 - brick quarry</t>
  </si>
  <si>
    <t>Carnufex carolinensis type</t>
  </si>
  <si>
    <t>The specimen was discovered in a boulder field from an active brick quarry (detailed locality data on file at NCMNS, locality NCPALEO 1902).</t>
  </si>
  <si>
    <t>Eohyosaurus</t>
  </si>
  <si>
    <t>Lemoenfontein 44 - Eohyosaurus</t>
  </si>
  <si>
    <t>Palaeagama</t>
  </si>
  <si>
    <t>Mount Frere</t>
  </si>
  <si>
    <t>Spondylolestes</t>
  </si>
  <si>
    <t>Cacadu</t>
  </si>
  <si>
    <t>Dicynodon</t>
  </si>
  <si>
    <t>Doornkloof (Glen Again)</t>
  </si>
  <si>
    <t>Dornkloof</t>
  </si>
  <si>
    <t>Coordinates for Doornkloof farm</t>
  </si>
  <si>
    <t>Pareiasaurus</t>
  </si>
  <si>
    <t>Klipplaat</t>
  </si>
  <si>
    <t>Pappochelys</t>
  </si>
  <si>
    <t>Saurosternon</t>
  </si>
  <si>
    <t>Dicynodon or Daptocephalus Assemblage Zone</t>
  </si>
  <si>
    <t>Stylkrantz, Sniewe Berg (Dicynodon AZ)</t>
  </si>
  <si>
    <t>Sneeuwberg, Steilkrans, Styl Krantz, Stylkrans</t>
  </si>
  <si>
    <t>Aphelosaurus</t>
  </si>
  <si>
    <t>Languedoc-Roussillon</t>
  </si>
  <si>
    <t>HÃƒÂ©rault</t>
  </si>
  <si>
    <t>Usclas-Saint-Privas</t>
  </si>
  <si>
    <t>Les Tuilieres, Lodeve</t>
  </si>
  <si>
    <t>Les TuiliÃƒÂ¨res, LodÃƒÂ¨ve</t>
  </si>
  <si>
    <t>Tangasaurus</t>
  </si>
  <si>
    <t>Tanga marine reptiles</t>
  </si>
  <si>
    <t>"On the coast, near Tanga". Coordinates for city of Tanga</t>
  </si>
  <si>
    <t>Abyssomedon</t>
  </si>
  <si>
    <t>Botha et al.</t>
  </si>
  <si>
    <t>Vangfontein, annexe of Nooitgedacht 25 farm</t>
  </si>
  <si>
    <t>Coordinates based on Middleburg</t>
  </si>
  <si>
    <t>Pumiliopareia</t>
  </si>
  <si>
    <t>Sondagsriviershoek</t>
  </si>
  <si>
    <t>Zondagsrivier</t>
  </si>
  <si>
    <t>Anthodon</t>
  </si>
  <si>
    <t>Graaff-Reinet</t>
  </si>
  <si>
    <t>Steilkrans, Fort Beaufort</t>
  </si>
  <si>
    <t>Stylkranz, Stylkrans</t>
  </si>
  <si>
    <t>Dunedin</t>
  </si>
  <si>
    <t>Quaggasfontein</t>
  </si>
  <si>
    <t>Dunedin, Beaufort West</t>
  </si>
  <si>
    <t>Cistecephalus</t>
  </si>
  <si>
    <t>B18, below and east of Kingori</t>
  </si>
  <si>
    <t>Nanoparia</t>
  </si>
  <si>
    <t>Oudeberg (Pass and Plateau) - Cistecephalus Assemblage Zone</t>
  </si>
  <si>
    <t>Ouberg</t>
  </si>
  <si>
    <t>Li and Liu</t>
  </si>
  <si>
    <t>Zhongjiania</t>
  </si>
  <si>
    <t>Henan</t>
  </si>
  <si>
    <t>Shangshihezi</t>
  </si>
  <si>
    <t>Huakedaliang, Dayu township, Jiyuan City</t>
  </si>
  <si>
    <t>Locality 63024</t>
  </si>
  <si>
    <t>Huakedaliang, Dayu township, Jiyuan City, Henan Province, China. Coordinates based on Dayu township</t>
  </si>
  <si>
    <t>Graubunden</t>
  </si>
  <si>
    <t>Prosanto</t>
  </si>
  <si>
    <t>Fraser and Furrer</t>
  </si>
  <si>
    <t>Ducanfurgga, Davos</t>
  </si>
  <si>
    <t>Grisons</t>
  </si>
  <si>
    <t>Gletscher Ducan, Davos</t>
  </si>
  <si>
    <t>Fuyuansaurus</t>
  </si>
  <si>
    <t>Xing et al.</t>
  </si>
  <si>
    <t>Dalishu bonebed, Konglongshan</t>
  </si>
  <si>
    <t>Da Li Shu, Kong Long Shan</t>
  </si>
  <si>
    <t>Dalishu bonebed, near Dalishu village, Konglongshan town, Lufeng county, Yunnan</t>
  </si>
  <si>
    <t>Nanchangosaurus</t>
  </si>
  <si>
    <t>Yuan'an, (Wuhan Centre of China Geological Survey 2011 )</t>
  </si>
  <si>
    <t>maxillae,mandibles,postcrania</t>
  </si>
  <si>
    <t>Shahdol</t>
  </si>
  <si>
    <t>Mukherjee and Ray</t>
  </si>
  <si>
    <t>rhynchosaur bonebed, Tiki village</t>
  </si>
  <si>
    <t>Tikhi</t>
  </si>
  <si>
    <t xml:space="preserve">"The fossil locality covers an area of about 250 ÃƒÂ— 217 m2, which was systematically explored and excavated after removing the overburden rock layers, which varied in thickness from 200 mm to about 1 m, and revealed nine isolated pockets/sites of rich megavertebrate accumulation with a cumulative surface area of 125 m2" </t>
  </si>
  <si>
    <t>Tropidostoma Assemblage Zone</t>
  </si>
  <si>
    <t>Leeukloof</t>
  </si>
  <si>
    <t>Leeupoort, Leeuwkloof, ETE Locality 1536</t>
  </si>
  <si>
    <t>An area to the east of Leeukloof homestead and where the farm road passes through a small ravine or kloof is locally known as Leeuport</t>
  </si>
  <si>
    <t>Murraysburg</t>
  </si>
  <si>
    <t>Hoeksplaas (Dicynodon Assemblage Zone)</t>
  </si>
  <si>
    <t>Kleinefontein</t>
  </si>
  <si>
    <t>Oudeberg (Pass and Plateau) - Dicynodon Assemblage Zone</t>
  </si>
  <si>
    <t>Tachiraptor</t>
  </si>
  <si>
    <t>road cut northwest of La Grita</t>
  </si>
  <si>
    <t>Tachiraptor type</t>
  </si>
  <si>
    <t>a secondary road (72Ã‚Â°01Ã¢Â€Â²06.60 W, 08Ã‚Â°09Ã¢Â€Â²03.47 N) next to the north of the type-section and about 4 km northwest of the town of La Grita, JÃƒÂ¡uregui municipality, TÃƒÂ¡chira State</t>
  </si>
  <si>
    <t>Clarazia</t>
  </si>
  <si>
    <t>Val Porina, mineraletto or minerale che si divide, Monte San Giorgio</t>
  </si>
  <si>
    <t>Val Porina Grenzbitumenzone (Rieppel 1987). Location extrapolated from the map given in Stockar et al. 2013 Sedimentology.</t>
  </si>
  <si>
    <t>Hescheleria</t>
  </si>
  <si>
    <t>Val Porina, "minerale ondolatorio", Monte San Giorgio</t>
  </si>
  <si>
    <t>Askeptosaurus</t>
  </si>
  <si>
    <t>MÃƒÂ¼ller</t>
  </si>
  <si>
    <t>Monte San Giorgio (MSNM collection)</t>
  </si>
  <si>
    <t>Dagasuchus</t>
  </si>
  <si>
    <t>Santacruzodon</t>
  </si>
  <si>
    <t>Lacerda et al.</t>
  </si>
  <si>
    <t>Santuario Schoenstatt, Santa Cruz do Sol fauna</t>
  </si>
  <si>
    <t>Schoenstadt</t>
  </si>
  <si>
    <t>Outcrop located in the suburbs of the city of Santa Cruz do Sul</t>
  </si>
  <si>
    <t>Polesinesuchus</t>
  </si>
  <si>
    <t>SÃƒÂ£o JoÃƒÂ£o do PolÃƒÂªsine</t>
  </si>
  <si>
    <t>Roberto-da-Silva et al.</t>
  </si>
  <si>
    <t>Buriol</t>
  </si>
  <si>
    <t>Buriol ravine, SÃƒÂ­tio Buriol; Burial site</t>
  </si>
  <si>
    <t>Buriol ravine (29Ã‚Â°39'30.78"S; 53Ã‚Â°26'08.97"W) (Cabreira et al. 2016)</t>
  </si>
  <si>
    <t>Hukou waterfall</t>
  </si>
  <si>
    <t>SJ</t>
  </si>
  <si>
    <t>Tschermakjfellet</t>
  </si>
  <si>
    <t>Mikadocephalus Middlehook</t>
  </si>
  <si>
    <t>Bender collection GPIT, Monte San Giorgio indet.</t>
  </si>
  <si>
    <t>Dracoraptor</t>
  </si>
  <si>
    <t>Vale of Glamorgan</t>
  </si>
  <si>
    <t>Bull Cliff</t>
  </si>
  <si>
    <t>Psiloceras erugatum</t>
  </si>
  <si>
    <t>Martill et al.</t>
  </si>
  <si>
    <t>Lavernock Point</t>
  </si>
  <si>
    <t xml:space="preserve">"The new specimen was collected from several limestone and mudstone blocks among debris from a small rock fall at the base of the cliff on the east side of Lavernock Point (National Grid reference ST 187681)." </t>
  </si>
  <si>
    <t>Duffin</t>
  </si>
  <si>
    <t>HLV-2, Habay-la-Vieille II</t>
  </si>
  <si>
    <t>Fraserburg</t>
  </si>
  <si>
    <t>Poortjie</t>
  </si>
  <si>
    <t>Pristerognathus Assemblage</t>
  </si>
  <si>
    <t>Kammerer et al.</t>
  </si>
  <si>
    <t>Amandelboom farm</t>
  </si>
  <si>
    <t>Ryers Valley 401</t>
  </si>
  <si>
    <t>South Gloucestershire</t>
  </si>
  <si>
    <t>Woodleaze Quarry, Fissure 1</t>
  </si>
  <si>
    <t>Fissure 1 in Woodleaze Quarry. The lat/long is derived from U.K. National Grid Reference for Woodleaze Quarry (ST 657 886), approx. 400m south of the margin of Tytherington Quarry. Fissure 1 is "more than 100m away" from Woodleaze Fissure 2.</t>
  </si>
  <si>
    <t>Woodleaze Quarry, Fissure 2</t>
  </si>
  <si>
    <t>Fissure 2 in Woodleaze Quarry. The lat/long is derived from U.K. National Grid Reference for Woodleaze Quarry (ST 657 886), approx. 400m south of the margin of Tytherington Quarry. Fissure 2 is "more than 100m away" from Woodleaze Fissure 1.</t>
  </si>
  <si>
    <t>Foffa et al.</t>
  </si>
  <si>
    <t>Bethesda Road Area</t>
  </si>
  <si>
    <t>Bethesda Rd Station</t>
  </si>
  <si>
    <t>Coordinates for "Bethesda Road Area, Graaff-Reinet" situated in the general area between New Bethesda and Graaff-Reinet, as no exact location is given.</t>
  </si>
  <si>
    <t>Houdkonstant (Dicynodon Assemblage Zone)</t>
  </si>
  <si>
    <t>Houd Constant, Katbos, Houdconstant</t>
  </si>
  <si>
    <t>"Locality Houdkonstant, Graaff Reinet".\r\nThere are two farms named Houd Constant next to each other, occupying a relative large area. Polar coordinates are for Regional Road 63 crossing Droe River, about 40 km NW of Graaff-Reinet. Note: Camdeboo is the name now used for the Graaff-Reinet municipality.</t>
  </si>
  <si>
    <t>Sphenotitan</t>
  </si>
  <si>
    <t>Caucete Department</t>
  </si>
  <si>
    <t>Quebrada del Barro</t>
  </si>
  <si>
    <t>Marayes</t>
  </si>
  <si>
    <t>Balde de Leyes (Norian, Quebrada del Barro)</t>
  </si>
  <si>
    <t>Oudeberg</t>
  </si>
  <si>
    <t>Dalham and Upper Dalham</t>
  </si>
  <si>
    <t>Coordinates for the Dalham Farm, near Graaff-Reinet</t>
  </si>
  <si>
    <t>Bloukrans (Prince Albert District)</t>
  </si>
  <si>
    <t>Bloukrantz, Blaaukranz</t>
  </si>
  <si>
    <t>" [...] Bloukrans in the Prince Albert District, Cape Province, South Africa." (Reisz &amp; Dilkes, 1992). Polar coordinates are for farm Bloukrans, about 30 km north of Prince Albert.</t>
  </si>
  <si>
    <t>Locality KA Quarry site</t>
  </si>
  <si>
    <t>"South wall of valley of South Wichita River east of Vera-Gilliland Road"; for details see map on p. 188 in Olson (1948)</t>
  </si>
  <si>
    <t>Locality KD Weathered Boulder site</t>
  </si>
  <si>
    <t>Locality BR (Lower Vale Fm.)</t>
  </si>
  <si>
    <t>For detailed map of area, see Olson (1958)</t>
  </si>
  <si>
    <t>Bethulie Commonage (Lystrosaurus Assemblage Zone)</t>
  </si>
  <si>
    <t>No precise locality data provided; coordinates based on Bethulie</t>
  </si>
  <si>
    <t>Prince Albert Road</t>
  </si>
  <si>
    <t>Coordinates for the Prince Albert Road train station, close to the town of Prince Albert</t>
  </si>
  <si>
    <t>Swaershoek</t>
  </si>
  <si>
    <t>Swagershoek</t>
  </si>
  <si>
    <t>Coordinates for the Swaershoek farm, near Graaff-Reinet</t>
  </si>
  <si>
    <t>Kleinwaterval</t>
  </si>
  <si>
    <t>Klein-Waterval</t>
  </si>
  <si>
    <t>Coordinates for the Kleinwaterval farm, near Prince Albert</t>
  </si>
  <si>
    <t>Browne</t>
  </si>
  <si>
    <t>Aust Cliff bone bed (BMNH coll)</t>
  </si>
  <si>
    <t>Taylor</t>
  </si>
  <si>
    <t>Olson and Mead</t>
  </si>
  <si>
    <t>Taylor County, WPA Site 7</t>
  </si>
  <si>
    <t>B.E.G. 30996; Work Project No. 13107; Sid McAdams Locality</t>
  </si>
  <si>
    <t>"southern part of Taylor County, Texas, in the SW 1/4 of section 436 of the M. P. King survey, on the property of Mr. C.O. Patterson, Route 1, Lawn, Texas... 6 miles southwest of the small town of Lawn" (coordinate based on Lawn).\r\nAccording to Olson &amp; Mead (1982) this locality contains a number of different sub-localities ("sites"), which here at treated as one locality.\r\nAlso located 9 mi. S and 0.25 mi. E of the Ovalo schoolhouse.</t>
  </si>
  <si>
    <t>Blackwood Locality</t>
  </si>
  <si>
    <t>South of Buffalo Gap</t>
  </si>
  <si>
    <t xml:space="preserve">Locaility on the property of Mr. L. A. Blackwood about 3.5km south of Buffalo Gap, Taylor County, Texas.  The locality covers an area that measures about 1.5km north-south and 1km east-west. </t>
  </si>
  <si>
    <t>Veldmansrivier</t>
  </si>
  <si>
    <t>Veldmann Ween</t>
  </si>
  <si>
    <t>Coordinates based on Prince Albert</t>
  </si>
  <si>
    <t>Cartorhynchus</t>
  </si>
  <si>
    <t>Sclerocormus</t>
  </si>
  <si>
    <t>Mesa del Oro</t>
  </si>
  <si>
    <t>Lucero Uplift</t>
  </si>
  <si>
    <t>at Mesa del Oro</t>
  </si>
  <si>
    <t>Sandoval</t>
  </si>
  <si>
    <t>Correo Sandstone</t>
  </si>
  <si>
    <t>Hagan Basin (Correo Sandstone)</t>
  </si>
  <si>
    <t>Cynognathus</t>
  </si>
  <si>
    <t>Lumku Farm, Lady Frere</t>
  </si>
  <si>
    <t>Near the town of Lady Frere</t>
  </si>
  <si>
    <t>NMMNH Loc. 376</t>
  </si>
  <si>
    <t>SE 1/4, sec. 20, T16N, R1E; near San Ysidro</t>
  </si>
  <si>
    <t>Whiteside et al.</t>
  </si>
  <si>
    <t>Gephyrosaurus</t>
  </si>
  <si>
    <t>Szczygielski and Sulej</t>
  </si>
  <si>
    <t>MacDougall et al.</t>
  </si>
  <si>
    <t>Murraysburg Commonage (Cistecephalus Assemblage Zone)</t>
  </si>
  <si>
    <t>Cassina</t>
  </si>
  <si>
    <t>LÃƒÂ³pez-Arbarello et al.</t>
  </si>
  <si>
    <t>Cassina, bed 38</t>
  </si>
  <si>
    <t>New excavation at the type locality, to investigate a surface of about 40 square meters</t>
  </si>
  <si>
    <t>Cassina, bed 37</t>
  </si>
  <si>
    <t>Cassina, bed 36</t>
  </si>
  <si>
    <t>Cassina, bed 34</t>
  </si>
  <si>
    <t>Cassina, bed 29</t>
  </si>
  <si>
    <t>Cassina, bed 24</t>
  </si>
  <si>
    <t>Cassina, bed 18</t>
  </si>
  <si>
    <t>Cassina, bed 9</t>
  </si>
  <si>
    <t>Zuurplaats, Suurplaas, Graaff-Reinet (Dicynodon Assemblage Zone)</t>
  </si>
  <si>
    <t>Zuurplaas, Zuurpoort</t>
  </si>
  <si>
    <t>Coordinates for the Zuurplaats farm, near Graaff-Reinet</t>
  </si>
  <si>
    <t>Karreelaagte, New Bethesda</t>
  </si>
  <si>
    <t>Kareelagte, Kagreeleegte</t>
  </si>
  <si>
    <t>Locality on the Kareelaagte farm, near Bethesda Road station, New Bethesda, Graaff-Reinet district.\r\n\r\nCoordinates for the nearby town of New Bethesda.</t>
  </si>
  <si>
    <t>Griffin and Nesbitt</t>
  </si>
  <si>
    <t>NMT Z90</t>
  </si>
  <si>
    <t>in western part of Ruhuhu Basin</t>
  </si>
  <si>
    <t>NMT Z29</t>
  </si>
  <si>
    <t>NMT Z137</t>
  </si>
  <si>
    <t>in eastern part of Ruhuhu Basin</t>
  </si>
  <si>
    <t>Sutherland</t>
  </si>
  <si>
    <t>Esperance, Sutherland</t>
  </si>
  <si>
    <t>Coordinates for the town of Sutherland, Northern Cape</t>
  </si>
  <si>
    <t>Tweefontein, Bethulie</t>
  </si>
  <si>
    <t>Lucerne 70</t>
  </si>
  <si>
    <t>Wild and Oosterink</t>
  </si>
  <si>
    <t>Reiselfingen, Bonndorf</t>
  </si>
  <si>
    <t>Gevanim</t>
  </si>
  <si>
    <t>Levantina</t>
  </si>
  <si>
    <t>Wadi Ramon, Beneckeia beds</t>
  </si>
  <si>
    <t>Teyujagua</t>
  </si>
  <si>
    <t>Pinheiro et al.</t>
  </si>
  <si>
    <t>Brakfontein 333, Lystrosaurus AZ</t>
  </si>
  <si>
    <t>Wilgeboshrivier 241</t>
  </si>
  <si>
    <t>Heldemoed, Smithfield</t>
  </si>
  <si>
    <t>Gorgetosuchus</t>
  </si>
  <si>
    <t>Coahomasuchus</t>
  </si>
  <si>
    <t>Litorosuchus</t>
  </si>
  <si>
    <t>Stenomyti</t>
  </si>
  <si>
    <t>Colorado</t>
  </si>
  <si>
    <t>Eagle</t>
  </si>
  <si>
    <t>Red siltstone</t>
  </si>
  <si>
    <t>Small and Martz</t>
  </si>
  <si>
    <t>DMNH locality 692, 3.5 km south of Derby Junction</t>
  </si>
  <si>
    <t>Ixalerpeton</t>
  </si>
  <si>
    <t>Cabreira et al.</t>
  </si>
  <si>
    <t>Buriolestes</t>
  </si>
  <si>
    <t>Lecuona et al.</t>
  </si>
  <si>
    <t>Caucete</t>
  </si>
  <si>
    <t>Quebrada del Puma</t>
  </si>
  <si>
    <t>Australochelyidae</t>
  </si>
  <si>
    <t>Waluchelys</t>
  </si>
  <si>
    <t>Sterli et al.</t>
  </si>
  <si>
    <t>"Bone-bed", near El Gigantillo Hill</t>
  </si>
  <si>
    <t>near El Gigantillo Hill</t>
  </si>
  <si>
    <t>Lucianovenator</t>
  </si>
  <si>
    <t>Martinez and Apaldetti</t>
  </si>
  <si>
    <t>Billings Gap area, PFV 355</t>
  </si>
  <si>
    <t>Saurian Valley PVF 224</t>
  </si>
  <si>
    <t>Moyenisauropodidae</t>
  </si>
  <si>
    <t>Anomoepus</t>
  </si>
  <si>
    <t>Dalishu tracksite III</t>
  </si>
  <si>
    <t>DLSIII</t>
  </si>
  <si>
    <t>24Ã‚Â° 56' 30.65"N, 102Ã‚Â° 0' 23.26" E, WGS84. Dalishu area of Lufeng County, within Lufeng Dinosaur National Geological Park, ca. 50 m W of Panguraptor bonebed.</t>
  </si>
  <si>
    <t>Gower et al.</t>
  </si>
  <si>
    <t>Gwarriekop 330</t>
  </si>
  <si>
    <t>Guarriekop, Ghwarriekop</t>
  </si>
  <si>
    <t>Gwarriekop 330 farm</t>
  </si>
  <si>
    <t>Fraauitsicht, Bosrand 12</t>
  </si>
  <si>
    <t>Platkop</t>
  </si>
  <si>
    <t>Paul Roux</t>
  </si>
  <si>
    <t>Cynognathus subzone A</t>
  </si>
  <si>
    <t>Langberg 556</t>
  </si>
  <si>
    <t>Specimens listed as coming from the farm Langberg 556 - it is not clear over how extensive an area specimens were collected.</t>
  </si>
  <si>
    <t>Senekal</t>
  </si>
  <si>
    <t>Bosrand 12 farm; coordinates based upon Senekal</t>
  </si>
  <si>
    <t>Kestell</t>
  </si>
  <si>
    <t>Eerste Geluk 131</t>
  </si>
  <si>
    <t>Eerste Geuluk</t>
  </si>
  <si>
    <t>Farm Eerste Geluk 131; unclear over how broad an area fossils were collected</t>
  </si>
  <si>
    <t>Pseudochampsa</t>
  </si>
  <si>
    <t>Trotteyn et al.</t>
  </si>
  <si>
    <t>Valle Pintado, Hoyada de Ischigualasto</t>
  </si>
  <si>
    <t>Chanaresuchus ischualastensis type</t>
  </si>
  <si>
    <t>Valle Pintado, Hoyada de Ischigualasto,Ischigualasto Provincial Park, San Juan Province</t>
  </si>
  <si>
    <t>Williston and Case</t>
  </si>
  <si>
    <t>Boonstra</t>
  </si>
  <si>
    <t>Drysdall &amp; Kitching locality 4, Upper Luangwa Valley</t>
  </si>
  <si>
    <t>Teleocrater</t>
  </si>
  <si>
    <t>Cynognathus Assemblage Zone</t>
  </si>
  <si>
    <t>B9, west of Mkongoleko</t>
  </si>
  <si>
    <t>"Near the confluence of the Mkongoleko and Rutikira rivers, Ruhuhu Basin, Tanzania. The exact locality is not known but was mapped as locality B9 of Stockley (1932) by F. R. Parrington and recorded as Ã¢Â€Âœ1/2 hours march west village of Mkongoleko. South of river MkongolekoÃ¢Â€Â (field notes of F. R. Parrington, 1933, UMZC)." (Nesbitt et al. in press)</t>
  </si>
  <si>
    <t>Carroll et al.</t>
  </si>
  <si>
    <t>Palisades escarpment, Weehawken</t>
  </si>
  <si>
    <t>at the base of a Palisades escarpment in Weehawken, ca. 1.7 mi. N of Kings Bluff along Boulevard East.</t>
  </si>
  <si>
    <t>Bergen</t>
  </si>
  <si>
    <t>Stockton</t>
  </si>
  <si>
    <t>Ross Dock, Palisades Interstate Park</t>
  </si>
  <si>
    <t>Fort Lee</t>
  </si>
  <si>
    <t>up hill (W) and N along road from Ross Dock, Palisades Park; R bank of Hudson River in Fort Lee, NJ</t>
  </si>
  <si>
    <t>Gorge and River roads, Edgwater</t>
  </si>
  <si>
    <t>near intersection of Gorge and River roads, Edgwater; on W side of River Road opposite the Mobile service station</t>
  </si>
  <si>
    <t>OlmÃƒÂ¼hle, Crailsheim</t>
  </si>
  <si>
    <t>OelmÃƒÂ¼hle</t>
  </si>
  <si>
    <t>from OlmÃƒÂ¼hle ("oil mill"), Crailsheim</t>
  </si>
  <si>
    <t>Mezenskii</t>
  </si>
  <si>
    <t>Peza-1, PIN 3706, Lower Mezen' River</t>
  </si>
  <si>
    <t>One of a series of "localities in the lower reaches of the Mezen' River and its tributaries, the Kimzha (Kimja) and Peza" (Ivakhnenko, 1997), all located in Mezenskii  District. \r\nLat long is for the junction area of the three rivers.</t>
  </si>
  <si>
    <t>Ust'-Peza, PIN 3586, Lower Mezen' River</t>
  </si>
  <si>
    <t>Ust'-Nyafta, PIN 3717, Lower Mezen' River</t>
  </si>
  <si>
    <t>Ust-Nyafta</t>
  </si>
  <si>
    <t>Glyadnaya Shchel'ya, PIN 162, Lower Mezen' River</t>
  </si>
  <si>
    <t>Glyadnaya Shchelya</t>
  </si>
  <si>
    <t>Lanthanolania</t>
  </si>
  <si>
    <t>Modesto and Reisz</t>
  </si>
  <si>
    <t>Koz'mogorodskoe, PIN 4659, Lower Mezen' River</t>
  </si>
  <si>
    <t>Dorogaya Gora, PIN 4660, Lower Mezen' River</t>
  </si>
  <si>
    <t>Z183, Ruhuhu Basin</t>
  </si>
  <si>
    <t>"within 1 km of the mapped position of StockleyÃ¢Â€Â™s (1932) locality B9" (Nesbitt et al. in press)</t>
  </si>
  <si>
    <t>body,original phosphate</t>
  </si>
  <si>
    <t>Zhou et al.</t>
  </si>
  <si>
    <t>Majiashan Quarry</t>
  </si>
  <si>
    <t>Majiashan Quarry of Chaohu, Anhui Province</t>
  </si>
  <si>
    <t>East Cape</t>
  </si>
  <si>
    <t>Middleburg</t>
  </si>
  <si>
    <t>Dawazi Bed 74</t>
  </si>
  <si>
    <t>Permotriturus</t>
  </si>
  <si>
    <t>Apastovo</t>
  </si>
  <si>
    <t>Titanophoneus potens</t>
  </si>
  <si>
    <t>Kamenny Ravine (Ulema River), Isheevo, PIN 157, 2207</t>
  </si>
  <si>
    <t>Kamennyi, Kamenny Valley, Yumrala Ravine, Sviaga River, Sviyaga River, Isheevo, Tartarstan, Kamenny Ovrag</t>
  </si>
  <si>
    <t>"The Yumrala or Kamenny Ravine in the left bank of the Ulema River, a tributary to the Sviaga, 7 km of Isheevo-Nikiforovo Village, Buinski Canton, Tartarian ASSR (Riabinin 1938). "...at the outskirts of the Tyubyak-Tchirkovsky forest...7 km westward of the Isheevo village, and 3 km from Tenikeevo village, Apastov region" (Efremov 1940).\r\nOriginally entered DMS coordinates (54Ã‚Â°57'N, 48Ã‚Â°17'E, based on city of Buinsk) are modified according to the locality description given by Efremov (1940) and mark the eastern outskirts of the forest about 3 km W of Idryas'-Tenikeevo village (TL).</t>
  </si>
  <si>
    <t>Vyaznikovskii</t>
  </si>
  <si>
    <t>Gorokhovets, PIN 4818</t>
  </si>
  <si>
    <t>Klyazma River</t>
  </si>
  <si>
    <t>Polar coordinates are for town of Gorokhovets.</t>
  </si>
  <si>
    <t>Velikoustyugskii</t>
  </si>
  <si>
    <t>Aristovo, PIN 3582 or 2357</t>
  </si>
  <si>
    <t>Sokovka, PIN 5022</t>
  </si>
  <si>
    <t>Pokrovka, PIN 4544, locality 73 of Tverdokhlebov et al. (2005)</t>
  </si>
  <si>
    <t>Orenburg region, quarry on SW outskirts of Pokrovka village on right bank of Chesnokovka River, Samara drainage basin</t>
  </si>
  <si>
    <t>Suchonosaurus</t>
  </si>
  <si>
    <t>Salarevskaya</t>
  </si>
  <si>
    <t>Saila</t>
  </si>
  <si>
    <t>De Franca and Langer</t>
  </si>
  <si>
    <t>Rio Grande</t>
  </si>
  <si>
    <t>Lanthanosuchidae</t>
  </si>
  <si>
    <t>Lanthanosuchus</t>
  </si>
  <si>
    <t>Buzulukskii</t>
  </si>
  <si>
    <t>Malokinelskaya</t>
  </si>
  <si>
    <t>Preobrazhenka, PIN 4645, locality 77 of Tverdokhlebov et al. 2005</t>
  </si>
  <si>
    <t>"Orenburg region, 2.8 km NE of Preobrazhenka village, Vyazovii stream, a right tributary of Konduzla River, Samara drainage basin"</t>
  </si>
  <si>
    <t>Perovka, PIN 2430 (Locality 35)</t>
  </si>
  <si>
    <t>Donguz 12, Donguz XII</t>
  </si>
  <si>
    <t>Vienna</t>
  </si>
  <si>
    <t>KÃƒÂ¶ssener Schichten</t>
  </si>
  <si>
    <t>Cochloceras suessi</t>
  </si>
  <si>
    <t>Zapfe</t>
  </si>
  <si>
    <t>NeumÃƒÂ¼hle quarry</t>
  </si>
  <si>
    <t>Rough estimate based on a map in the paper</t>
  </si>
  <si>
    <t>Leshukonskii</t>
  </si>
  <si>
    <t>Ust'-Vashka, PIN 4541</t>
  </si>
  <si>
    <t>Golubev</t>
  </si>
  <si>
    <t>Leshukonskoe, Vashka River, PIN 4609</t>
  </si>
  <si>
    <t>Mezen' Basin</t>
  </si>
  <si>
    <t>Oukloof</t>
  </si>
  <si>
    <t>Huttenlocker and Smith</t>
  </si>
  <si>
    <t>Good Luck (Matjiesfontein 412), Cistecephalus Assemblage Zone</t>
  </si>
  <si>
    <t>Nicholls</t>
  </si>
  <si>
    <t>UCMP 1013, West end of Bear Cove</t>
  </si>
  <si>
    <t>UCMP 1015, North fork of Squaw Creek</t>
  </si>
  <si>
    <t>Smith Cove (UCMP 1012)</t>
  </si>
  <si>
    <t>Smith Cove, Sec. 11 and 12, T34N, R2W, Mt.D Meridian</t>
  </si>
  <si>
    <t>UCMP 1005, Grassy Point</t>
  </si>
  <si>
    <t>Location of Grassy Point (taken from UCMP database) is unknown, but presumably now submerged under Shasta Lake. Jordan only gives "Shasta County" as the location.</t>
  </si>
  <si>
    <t>Kipfendorf, Coburg</t>
  </si>
  <si>
    <t>Kipfendorf, near Coburg</t>
  </si>
  <si>
    <t>HLV-3, Habay-la-Vieille III</t>
  </si>
  <si>
    <t>Keeble et al.</t>
  </si>
  <si>
    <t>Gillette et al.</t>
  </si>
  <si>
    <t>Alexander Wash, UCMP 7034</t>
  </si>
  <si>
    <t>Lithodendron Wash, Adamana</t>
  </si>
  <si>
    <t>Alexander Wash, tributary of Lithodendron Wash</t>
  </si>
  <si>
    <t>Mandaphon</t>
  </si>
  <si>
    <t>Tsuji</t>
  </si>
  <si>
    <t>Z91</t>
  </si>
  <si>
    <t>Mandaphon type locality</t>
  </si>
  <si>
    <t>Z183</t>
  </si>
  <si>
    <t>Teleocrater quarry</t>
  </si>
  <si>
    <t>Heterodontichnites</t>
  </si>
  <si>
    <t>NMMNH L-1410</t>
  </si>
  <si>
    <t>sec. 10, T14N R10E</t>
  </si>
  <si>
    <t>Lamy Amphibian Quarry, NMMNH Loc. 1176 (bed 7)</t>
  </si>
  <si>
    <t>ETE Locality 1594, NMMNH L-1176</t>
  </si>
  <si>
    <t>SW 1/4, SW 1/4, NE 1/4, NE 1/, sec 29, T12N, R11E. ca. 16 mi. S of Lamy, just E of US Hwy 285.</t>
  </si>
  <si>
    <t>Endennasaurus</t>
  </si>
  <si>
    <t>Shuangbaisaurus</t>
  </si>
  <si>
    <t>Shuangbai</t>
  </si>
  <si>
    <t>Liuna village</t>
  </si>
  <si>
    <t>"Liuna Village, Anlongbao Town, Shuangbai County, Chuxiong Yi Autonomous Prefecture, Yunnan Province. The fossil site is about 100 km south to Lufeng County, where the famous Lufeng dinosaur fauna has been recovered since 1930s.". Coorindates based on the location of Shuangbai.</t>
  </si>
  <si>
    <t>Shringasaurus</t>
  </si>
  <si>
    <t>Hoshangabad</t>
  </si>
  <si>
    <t>Denwa</t>
  </si>
  <si>
    <t>Senqupta et al.</t>
  </si>
  <si>
    <t>Tekapar village</t>
  </si>
  <si>
    <t>Near Tekapar village, Hoshangabad district, Madhya Pradesh, India</t>
  </si>
  <si>
    <t>Sharovipterygidae</t>
  </si>
  <si>
    <t>Ozimek</t>
  </si>
  <si>
    <t>Dzik and Sulej</t>
  </si>
  <si>
    <t>Mandasuchus</t>
  </si>
  <si>
    <t>B5 of Stockley, 11b of Parrington, West of Irundi</t>
  </si>
  <si>
    <t>Locality B5 of Stockley (see Stockley 1932. Quart. J. Geol. Soc. Lond. 88:610)</t>
  </si>
  <si>
    <t>Mkongoleko/ Njalila, Loc. B15/2, Parrington 63</t>
  </si>
  <si>
    <t>B17, between Matamondo and Linyanya, Parrington 77a</t>
  </si>
  <si>
    <t>Megachirella</t>
  </si>
  <si>
    <t>Illyrian</t>
  </si>
  <si>
    <t>Alto Adige</t>
  </si>
  <si>
    <t>Dont</t>
  </si>
  <si>
    <t>Renesto and Posenato</t>
  </si>
  <si>
    <t>Above bed K11, Monte PrÃƒÂ  della Vacca / Kuehwiesenkopf area</t>
  </si>
  <si>
    <t>Plant-rich level, above bed K 11 of BechstÃƒÂ dt &amp; Brandner (1970), Monte PrÃƒÂ  della\r\nVacca / Kuehwiesenkopf area, Braies (Prags), Bolzano(Bozen), Alto Adige</t>
  </si>
  <si>
    <t>Liu and Bever</t>
  </si>
  <si>
    <t>Locality DQS33, Tumd Right Banner</t>
  </si>
  <si>
    <t>Locality DQS33, Tumd Right Banner, Baotou, Nei Mongol, China; Member II, Naobaogou Formation</t>
  </si>
  <si>
    <t>Labidosauriscus</t>
  </si>
  <si>
    <t>Fraxinisaura</t>
  </si>
  <si>
    <t>Avicranium</t>
  </si>
  <si>
    <t>Pritchard and Nesbitt</t>
  </si>
  <si>
    <t>Slaskie</t>
  </si>
  <si>
    <t>Sulej et al.</t>
  </si>
  <si>
    <t>Wozniki clay pit (upper layer)</t>
  </si>
  <si>
    <t>Claypit near town of Wozniki, Upper Silesia</t>
  </si>
  <si>
    <t>Xingxiulong</t>
  </si>
  <si>
    <t>Chuxiong Yi</t>
  </si>
  <si>
    <t>near Sankeshu (Three Trees) Village</t>
  </si>
  <si>
    <t>near Sankeshu (Three Trees) Village, Jinshan Town, Lufeng County, Chuxiong Yi Autonomous Prefecture, Yunnan Province, southwestern China. Coordinates based on the location of Jinshan town.</t>
  </si>
  <si>
    <t>Whiteside and Duffin</t>
  </si>
  <si>
    <t>Howard</t>
  </si>
  <si>
    <t>Iatan</t>
  </si>
  <si>
    <t>Otis Chalk 6</t>
  </si>
  <si>
    <t>Coordinates based upon main Otis Chalk Quarry. See Figure 2 of Lucas et al. (1993)</t>
  </si>
  <si>
    <t>Panguraptor</t>
  </si>
  <si>
    <t>You et al.</t>
  </si>
  <si>
    <t>Nundasuchus</t>
  </si>
  <si>
    <t>locality Z41 (Ndatira / Njalila)</t>
  </si>
  <si>
    <t>Nundasuchus-type locality, Ruhuhu Basin</t>
  </si>
  <si>
    <t>The specimen derives from a fluviolacustrine mudstone-sandstone sequence in the Lifua Member of the Manda beds, between the Ndatira ( = Kiteho of Cox, 1991 Cox, C. B. 1991. The Pangaea dicynodont Rechnisaurus and the comparative biostratigraphy of Triassic dicynodont faunas. Palaeontology 34:767Ã¢Â€Â“784.) and Njalila rivers, Ruhuhu Basin, Tanzania (Fig. 1). The specimen was found at locality Z41, an isolated outcrop approximately 100 m2 in area, with remains of rhynchosaurs (e.g., NMT RB49) and other archosaurs originating from the same slope.</t>
  </si>
  <si>
    <t>Gephyrosauridae</t>
  </si>
  <si>
    <t>Deltadectes</t>
  </si>
  <si>
    <t>SchwÃƒÂ¤rzebuck, Hallau layers d &amp; e</t>
  </si>
  <si>
    <t>outcrop along a path in the forest near SchwÃƒÂ¤rzebuck, 350 m NNW of the locality Hallau-Bratelen</t>
  </si>
  <si>
    <t>Eohupehsuchus</t>
  </si>
  <si>
    <t>YuanÃ¢Â€Â™an</t>
  </si>
  <si>
    <t>Eohupesuchus-type locality</t>
  </si>
  <si>
    <t>Yangping</t>
  </si>
  <si>
    <t>Nothosaurus zhangi-type locality</t>
  </si>
  <si>
    <t>Dawazi, bed 165</t>
  </si>
  <si>
    <t>Copied from anotehr collection</t>
  </si>
  <si>
    <t>Neguev</t>
  </si>
  <si>
    <t>Saharonim</t>
  </si>
  <si>
    <t>Nothosaurus haasi-type locality</t>
  </si>
  <si>
    <t>Nahal Ramon</t>
  </si>
  <si>
    <t>Hohenlohe</t>
  </si>
  <si>
    <t>Meissner</t>
  </si>
  <si>
    <t>nodosus-semipartitus</t>
  </si>
  <si>
    <t>Nothosaurus jagisteus-type locality</t>
  </si>
  <si>
    <t>Quarry of the Schotterwerke Hohenlohe-Bauland</t>
  </si>
  <si>
    <t>Rhaeticosaurus</t>
  </si>
  <si>
    <t>Westphalia</t>
  </si>
  <si>
    <t>Wintrich et al.</t>
  </si>
  <si>
    <t>Rhaeticosaurus-type locality</t>
  </si>
  <si>
    <t>Clay pit #3 of LuÃŒÂˆcking brick company, Bonenburg</t>
  </si>
  <si>
    <t>Dawazisaurus</t>
  </si>
  <si>
    <t>Dawazisaurus-type locality</t>
  </si>
  <si>
    <t>Da'aozi, Daaozi member 2</t>
  </si>
  <si>
    <t>onte San Giorgio</t>
  </si>
  <si>
    <t>Lower Meride Limestone</t>
  </si>
  <si>
    <t>Neusticosaurus peyeri-type locality</t>
  </si>
  <si>
    <t>Acqua del Ghiffo, Cava superior beds</t>
  </si>
  <si>
    <t>Majiashanosaurus</t>
  </si>
  <si>
    <t>Neospathodus anhuinensis</t>
  </si>
  <si>
    <t>Majiashanosaurus-type locality</t>
  </si>
  <si>
    <t>Bed 643, North New Quarry of Majiashan, Liujiawa Village, Chaohu City</t>
  </si>
  <si>
    <t>Primorye</t>
  </si>
  <si>
    <t>Karazin</t>
  </si>
  <si>
    <t>Acrochordiceras kiparisovae</t>
  </si>
  <si>
    <t>Arkhangelsky et al.</t>
  </si>
  <si>
    <t>Inland Karazin Fm site</t>
  </si>
  <si>
    <t>Paris Bay / Ussuri Bay watershed</t>
  </si>
  <si>
    <t>Lat/long provided in Zakharov et al. (2015)</t>
  </si>
  <si>
    <t>lower (unnamed)</t>
  </si>
  <si>
    <t>Kelley et al.</t>
  </si>
  <si>
    <t>Fossil Hill (Lower Prida Fm)</t>
  </si>
  <si>
    <t>"Fossil Hill, on the eastern flank of the Humboldt Range in Pershing County, Nevada"</t>
  </si>
  <si>
    <t>Quarry near Minfeng</t>
  </si>
  <si>
    <t>Eretmorhipis</t>
  </si>
  <si>
    <t>orbicularis</t>
  </si>
  <si>
    <t>Rieppel and Lin</t>
  </si>
  <si>
    <t>Anarosaurus pumilio holotype locality</t>
  </si>
  <si>
    <t>"near Remkersleben, approximately 15 km west of Magdeburg"</t>
  </si>
  <si>
    <t>Silesia</t>
  </si>
  <si>
    <t>Michalkowice quarry</t>
  </si>
  <si>
    <t>"The holotype comes from Michalkowitz, Upper Silesia (now Michal[k]owice, Poland)"; from the quarry near Michalkowitz used to build the Maxgrube</t>
  </si>
  <si>
    <t>Karchowice</t>
  </si>
  <si>
    <t>Nopsca</t>
  </si>
  <si>
    <t>Kamien Slaski, Opole</t>
  </si>
  <si>
    <t>Reef 65</t>
  </si>
  <si>
    <t>Karnten</t>
  </si>
  <si>
    <t>Gailtaler Alps</t>
  </si>
  <si>
    <t>Partnach</t>
  </si>
  <si>
    <t>Kellerberg Quarry</t>
  </si>
  <si>
    <t>Stadelbachgraben</t>
  </si>
  <si>
    <t>"Stadelbachgraben, 2 km west of Toplitsch (Karnten) in the Gailtaler Alps, northern Alps of Austria"</t>
  </si>
  <si>
    <t>Stockar and Renesto</t>
  </si>
  <si>
    <t>Surmik</t>
  </si>
  <si>
    <t>Hemilopas</t>
  </si>
  <si>
    <t>Upper Silesia</t>
  </si>
  <si>
    <t>RogoÃ…Âºnik Quarry</t>
  </si>
  <si>
    <t>"A huge abandoned quarry located in RogoÃ…Âºnik near Wojkowice, Upper Silesia" (Surmik, 2016)</t>
  </si>
  <si>
    <t>Ã…Â»yglin Quarry</t>
  </si>
  <si>
    <t>"Ã…Â»yglin is a hamlet of Miasteczko Ã…ÂšlÃ„Â…skie town, situated at the northern edge of Upper Silesian depression. Several small quarries located there are now intensively explored domestic mining sites." (Surmik, 2016)</t>
  </si>
  <si>
    <t>Gee and Parker</t>
  </si>
  <si>
    <t>Apatopus</t>
  </si>
  <si>
    <t>Klein and Lucas</t>
  </si>
  <si>
    <t>SchÃƒÂ¶nbachsmÃƒÂ¼hle quarry, near Ebelsbach</t>
  </si>
  <si>
    <t>Coordinates based on closest quarry to SchÃƒÂ¶nbach, but there are also several other quarries ~500 m to the east.</t>
  </si>
  <si>
    <t>Hispaniasaurus</t>
  </si>
  <si>
    <t>Cuenca</t>
  </si>
  <si>
    <t>CaÃƒÂ±ete</t>
  </si>
  <si>
    <t>Marquez-Aliaga et al.</t>
  </si>
  <si>
    <t>Villora</t>
  </si>
  <si>
    <t>Hispaniasaurus type locality</t>
  </si>
  <si>
    <t>"...the Villora section (Cuenca Province), [is] located in the Castilian-Valencian Branch of the Iberian Range (Spain). The section outcrops 1 km east to the Villora village at the road CM-2109 at the San MartÃƒÂ­n River." (Marquez-Aliaga et al. 2017)</t>
  </si>
  <si>
    <t>Chun et al.</t>
  </si>
  <si>
    <t>Wangosaurus</t>
  </si>
  <si>
    <t>Ma et al.</t>
  </si>
  <si>
    <t>Eorhynchochelys</t>
  </si>
  <si>
    <t>Baiyuncun of Xinpuxiang</t>
  </si>
  <si>
    <t>Samara</t>
  </si>
  <si>
    <t>Kamennyi Yar</t>
  </si>
  <si>
    <t>Rybinskian</t>
  </si>
  <si>
    <t>Kamennyi Dol gully (upper)</t>
  </si>
  <si>
    <t>"southern marginal area of the village of Usmanka in the Kamennyi Dol gully (Borskii District, Samara Region)" (Novikov 2012)</t>
  </si>
  <si>
    <t>Mechet'</t>
  </si>
  <si>
    <t>Sludkian</t>
  </si>
  <si>
    <t>Mechet' I (lower) (Locality 179)</t>
  </si>
  <si>
    <t>Novaya Tavolzhanka, Mechet I</t>
  </si>
  <si>
    <t>Tverdokhlebov et al. (2003) describes this locality as "Orenburg Region, 3.7 km WSW of Aldarkino village, Mechet ravine, 7.3 km above its mouth (Blom, 1968; Ivakhnenko et al., 1997)." However, Novikov and Shishkin (2000) considers this locality to be within the Borskii area of Samara District.\r\nThe assumption has been made that these papers describe the same locality, and given Tverdokhlebov et al. (2003) provides a map indicating the precise locality of this collection, this is the location used.\r\n</t>
  </si>
  <si>
    <t>Petropavlovskaya</t>
  </si>
  <si>
    <t>Mupartalovo (Locality 4)</t>
  </si>
  <si>
    <t>Muraptalovo</t>
  </si>
  <si>
    <t>"Bashkortostan, 20 km NE of Oktyabrsky town, right bank of the Bolshoy Yushatir River (Sakmara drainage basin)" (Tverdokhlebov et al. 2003)</t>
  </si>
  <si>
    <t>Bakas (Locality 7)</t>
  </si>
  <si>
    <t>"Bashkortostan, 9.8 km NNW of Oktyabrsky town, left bank of the Bolshaya Kuyurgasa River (Sakmara drainage basin)" (Tverdokhlebov et al. 2003)</t>
  </si>
  <si>
    <t>Batik (Locality 14)</t>
  </si>
  <si>
    <t>"Orenburg Region, 11 km SW of Astrakhanovka village, right bank of Chebenka River (Sakmara drainage basin)" (Tverdokhlebov et al. 2003)</t>
  </si>
  <si>
    <t>Sergeevka (Locality 15)</t>
  </si>
  <si>
    <t>"Orenburg Region, 10 km SW of Astrakhanovka village, right tributary of Chebenka River (Sakmara drainage basin)" (Tverdokhlebov et al. 2003)</t>
  </si>
  <si>
    <t>Berezovy I (Locality 16)</t>
  </si>
  <si>
    <t>"Orenburg Region, 3.3 km north of Petropavlovka village, Berezovy stream (Sakmara drainage basin)." (Tverdokhlebov et al. 2003)</t>
  </si>
  <si>
    <t>Berezovy II &amp; III (Localities 17 &amp; 18)</t>
  </si>
  <si>
    <t>"Orenburg Region, 0.6/0.2 km north of Petropavlovka village, Berezovy stream (Sakmara\r\ndrainage basin)." (Tverdokhlebov et al. 2003)</t>
  </si>
  <si>
    <t xml:space="preserve">Andreevka (upper) (Locality 28) </t>
  </si>
  <si>
    <t>"Orenburg Region, upper reaches of Kzyl-Oba River, opposite Andreevka village (drainage basin of left bank of the Ural River)" (Tverdokhlebov et al. 2003)</t>
  </si>
  <si>
    <t>Mescheryakovka II (Donguz IX) (Locality 38)</t>
  </si>
  <si>
    <t>"Orenburg Region, 0.6 km NW of Mescheryakovka village, right bank of the Donguz River (drainage basin of left bank of the Ural River)" (Tverdokhlebov et al. 2003).</t>
  </si>
  <si>
    <t>Kulagino II (Locality 58)</t>
  </si>
  <si>
    <t>"Orenburg Region, 4 km NW of Kulagino village, Kyndelya River drainage basin (right tributary of the Ural River)" (Tverdokhlebov et al. 2003)</t>
  </si>
  <si>
    <t>Myrolyubovka III (Locality 67)</t>
  </si>
  <si>
    <t>"Orenburg Region, near to northern outskirts of Myrolyubovka village, right ravine of the Vetlyanka River (right tributary of the Samara River)" (Tverdokhlebov et al. 2003)</t>
  </si>
  <si>
    <t>Vetlyanka I (Locality 68)</t>
  </si>
  <si>
    <t>"Orenburg Region, 0.65 km NW of Myrolyubovka village, right bank of the Vetlyanka River (right tributary of the Samara River)" (Tverdokhlebov et al. 2003)</t>
  </si>
  <si>
    <t>Pokrovka III (Locality 83)</t>
  </si>
  <si>
    <t>"Orenburg Region, 3 km west of Mikhaylovka-I village, right bank of the Sorochka River (left tributary of the Samara River)" (Tverdokhlebov et al. 2003)</t>
  </si>
  <si>
    <t>Mikhaylovskoe (Locality 84)</t>
  </si>
  <si>
    <t>"Orenburg Region, 3 km SE of Mikhaylovka village, right bank of the Sorochka River (left tributary of the Samara River)" (Tverdokhlebov et al. 2003)</t>
  </si>
  <si>
    <t>Kamenny Yar II (Locality 86)</t>
  </si>
  <si>
    <t>"Orenburg Region, 6.8 km SE of Troyitzkoe village, Kamenny Yar ravine (right tributary of the Sorochka River)" (Tverdoklebov et al. 2003)</t>
  </si>
  <si>
    <t>Kopanskaya</t>
  </si>
  <si>
    <t>Kamenny II (lower) (Locality 104)</t>
  </si>
  <si>
    <t>Strata 1 &amp; 2</t>
  </si>
  <si>
    <t>"Orenburg Region, 0.6 km east of Markovka village, Kamenny ravine (right tributary of Soroka River)." (Tverdokhlebov et al., 2003).</t>
  </si>
  <si>
    <t>Kamenny II (upper) (Locality 104)</t>
  </si>
  <si>
    <t>Stratum 3</t>
  </si>
  <si>
    <t>Kaveshnikovo (Locality 124)</t>
  </si>
  <si>
    <t>"Orenburg Region, 3.6 km west NW of Kaveshnikovo village, upper reaches of Berezoviy ravine (left tributary of the Bolshaya Pogromka River)." (Tverdokhlebov et al. 2003)</t>
  </si>
  <si>
    <t>Monastyrskoe (Locality 127)</t>
  </si>
  <si>
    <t>"Orenburg Region, 6.5 km NE of Buzuluk town, right bank of the Samara River." (Tverdokhlebov et al. 2003)</t>
  </si>
  <si>
    <t>Rodionovka IV (upper) (Locality 149)</t>
  </si>
  <si>
    <t>"Orenburg Region, 3.8 km NNW of Rodionovka village, left unnamed ravine flowing into the Bobrovka River (left tributary of the Buzuluk River)" (Tverdokhlebov et al. 2003)</t>
  </si>
  <si>
    <t>Surykovo I (Locality 160)</t>
  </si>
  <si>
    <t>"Orenburg Region, 2 km west of Surikovo village, left slope of the Elshanka valley." (Tverdokhlebov et al. 2003)</t>
  </si>
  <si>
    <t>Scharschengia</t>
  </si>
  <si>
    <t>Gostevskaya</t>
  </si>
  <si>
    <t>Mechet' I (upper) (Locality 179)</t>
  </si>
  <si>
    <t>Mechet I; Beds 1 &amp; 2</t>
  </si>
  <si>
    <t xml:space="preserve">Tverdokhlebov et al. (2003) describes this locality as "Orenburg Region, 3.7 km WSW \r\nof Aldarkino village, Mechet ravine, 7.3 km above its mouth (Blom, 1968; Ivakhnenko et al., 1997)." However, Novikov and Shishkin (2000) considers this locality to be within the Borskii area of Samara District. \r\nThe assumption has been made that these papers describe the same locality, and given Tverdokhlebov et al. (2003) provides a map indicating the precise locality of this collection, this is the location used. </t>
  </si>
  <si>
    <t>Mechet' IV (Locality 182)</t>
  </si>
  <si>
    <t>Mechet IV</t>
  </si>
  <si>
    <t>"Orenburg Region, Mechet ravine, 0.6 km above its mouth (right tributary of the Tavolzhanka River) (Blom, 1968; Ivakhnenko et al.,1997)." (Tverdokhlebov et al. 2003)</t>
  </si>
  <si>
    <t>Borskii</t>
  </si>
  <si>
    <t>Borshevskoe (Locality 198)</t>
  </si>
  <si>
    <t>"Samara Region, 0.5 km NE of Borshevka village, right bank of the Chapaevka River (Blom, 1968, Ivakhnenko et al., 1997)." (Tverdokhlebov et al. 2003)</t>
  </si>
  <si>
    <t>Goryainovka (Locality 199)</t>
  </si>
  <si>
    <t>"Samara Region, right bank of the Chapaevka River, opposite the western outskirts of Goreynovka village (Ivakhnenko et al., 1997)." (Tverdokhlebov et al. 2003)</t>
  </si>
  <si>
    <t>Yablonovo-Vragskoe (Locality 202)</t>
  </si>
  <si>
    <t>"Samara Region, 3 km NE of Yablonovy Vrag village, right bank of the Chapaevka River (Blom, 1968)." (Tverdokhlebov et al. 2003)</t>
  </si>
  <si>
    <t>Glaurung</t>
  </si>
  <si>
    <t>Boevoi locality</t>
  </si>
  <si>
    <t>Boevoy, Boevoj</t>
  </si>
  <si>
    <t>"Boevoi locality (Orenburg Region, Sol'-Iletskii District)." (Bulanov &amp; Yashina, 2005). Polar coordinates are for Sol'-Iletsk.</t>
  </si>
  <si>
    <t>Babintsevo, PIN 4617</t>
  </si>
  <si>
    <t>Babentzevo, Locality 75 of Tverdokhlebov et al. 2005</t>
  </si>
  <si>
    <t>"Orenburg region, 3.8 km NE of Babentzevo village, right slope of nameless gully, a right tributary of Konduzla River, Samara drainage basin (Ivakhnenko et al., 1997; Minikh and Minikh, 1997; Golubev, 2000)." (Tverdokhlebov et al. 2005)</t>
  </si>
  <si>
    <t>Gejiu</t>
  </si>
  <si>
    <t>"4th"</t>
  </si>
  <si>
    <t>Regoledanus</t>
  </si>
  <si>
    <t>Sun et al.</t>
  </si>
  <si>
    <t>Niubudai village, Banqiao, Luoping</t>
  </si>
  <si>
    <t>Atavus to pulcher</t>
  </si>
  <si>
    <t>Diedrich</t>
  </si>
  <si>
    <t>Bindlacher Berg</t>
  </si>
  <si>
    <t>Scheyer</t>
  </si>
  <si>
    <t>Cain Mountain, USGS Section 14</t>
  </si>
  <si>
    <t>"Augusta Mountains, Pershing County, Nevada (T25N, R39E; Section 14; USGS Cain Moutain 7.5Ã¢Â€Â² quadrangle, 1990 provisional edition, exact locality on file at the FMNH)" (FrÃƒÂ¶bisch et al. 2006)</t>
  </si>
  <si>
    <t>Dianmeisaurus</t>
  </si>
  <si>
    <t>SarÃ„Â±gÃƒÂ¼l</t>
  </si>
  <si>
    <t>Headquarters South</t>
  </si>
  <si>
    <t>MOTT 3898</t>
  </si>
  <si>
    <t>Dyoplax</t>
  </si>
  <si>
    <t>Weser</t>
  </si>
  <si>
    <t>Lehrberg Beds</t>
  </si>
  <si>
    <t>Sonnenberg</t>
  </si>
  <si>
    <t>Sonnenberg, near  Stuttgart; Benton &amp; Wild (1994) give GauÃƒÂŸ-KrÃƒÂ¼ger coordinates of R 3514500-3514700, H 5403175</t>
  </si>
  <si>
    <t>Philippolis</t>
  </si>
  <si>
    <t>Angielczyk and Rubidge</t>
  </si>
  <si>
    <t>Farm Somersfontein</t>
  </si>
  <si>
    <t>Lat/long of farm found online</t>
  </si>
  <si>
    <t>Scheyer et al.</t>
  </si>
  <si>
    <t>Ducanfurgga 4</t>
  </si>
  <si>
    <t>near Davos, Canton GraubÃƒÂ¼nden (Grisons), in the Swiss Alps</t>
  </si>
  <si>
    <t>Grootdriefontein (Cistecephalus Assemblage Zone)</t>
  </si>
  <si>
    <t>"Locality Grootdriefontein, Murraysburg"; polar coordinates are for the farm houses of the farm Groot Driefontein, situated about 15 km North-East of Murraysburg</t>
  </si>
  <si>
    <t>Lu et al.</t>
  </si>
  <si>
    <t>Layer 35, Nimaigu Village, Wusha Township, Xingyi</t>
  </si>
  <si>
    <t>Layer 44f, Nimaigu Village, Wusha Township, Xingyi</t>
  </si>
  <si>
    <t>Layer 30, Nimaigu Village, Wusha Township, Xingyi</t>
  </si>
  <si>
    <t>Layer 37, Nimaigu Village, Wusha Township, Xingyi</t>
  </si>
  <si>
    <t>Layer 46, Nimaigu Village, Wusha Township, Xingyi</t>
  </si>
  <si>
    <t>Layer 50, Nimaigu Village, Wusha Township, Xingyi</t>
  </si>
  <si>
    <t>Layer 53, Nimaigu Village, Wusha Township, Xingyi</t>
  </si>
  <si>
    <t>Layer 45, Nimaigu Village, Wusha Township, Xingyi</t>
  </si>
  <si>
    <t>Yang et al.</t>
  </si>
  <si>
    <t>Potter</t>
  </si>
  <si>
    <t>Rotten Hill locality (SMU Loc. 121)</t>
  </si>
  <si>
    <t>Sierrita de la Cruz Creek, Sierrita de la Cruize</t>
  </si>
  <si>
    <t>in badlands along Sierrita de la Cruz Creek, Ady 7.5' quadrangle</t>
  </si>
  <si>
    <t>Spinosuchus</t>
  </si>
  <si>
    <t>Saller et al.</t>
  </si>
  <si>
    <t>Nordrhein-Westfalen</t>
  </si>
  <si>
    <t>OsnabrÃƒÂ¼ck</t>
  </si>
  <si>
    <t>Basal Upper Terebratula</t>
  </si>
  <si>
    <t>Riesberg, Borgholzhausen</t>
  </si>
  <si>
    <t>"Northern corner of the private house grounding of Family Penner, Riesberg in Borgholzhausen, Middle Teutoburg Forst mountain chain, NW-Germany" (Diedrich, 2014). Location based on street name 'Am Riesberg' in Borgholzhausen.</t>
  </si>
  <si>
    <t>Guadaloupe</t>
  </si>
  <si>
    <t>Santa Rosa area</t>
  </si>
  <si>
    <t>No exact locality details, but known to be "from the Triassic of Guadaloupe County, near Santa Rosa, New Mexico" (Mehl, 1922)</t>
  </si>
  <si>
    <t>HungerbÃƒÂ¼hler et al.</t>
  </si>
  <si>
    <t>TTU VPL 3870</t>
  </si>
  <si>
    <t>Patricia Site</t>
  </si>
  <si>
    <t>"TTU Vertebrate Paleontology Locality 3870 (exact locality data reposited at TTUP), 13 km South of Post, Garza County, Texas." (HungerbÃƒÂ¼hler et al. 2013)</t>
  </si>
  <si>
    <t>Cunningham et al.</t>
  </si>
  <si>
    <t>Quay County</t>
  </si>
  <si>
    <t>NMMNH Loc. 55, Barranca badlands</t>
  </si>
  <si>
    <t>in the Barranca badlands</t>
  </si>
  <si>
    <t>Zhang et al.</t>
  </si>
  <si>
    <t>Chen and Cheng</t>
  </si>
  <si>
    <t>Xindian, Qingshan Pu'an County</t>
  </si>
  <si>
    <t>Xinzhai Village, Luoping</t>
  </si>
  <si>
    <t>"Luoke of Xinzhai Village, Luoping County, Yunnan Province" (Chen and Cheng, 2009)</t>
  </si>
  <si>
    <t>Cistecephalus or Daptocephalus Assemblage Zone</t>
  </si>
  <si>
    <t>Bullberg, Richmond - undifferentiated assemblage zone</t>
  </si>
  <si>
    <t>Coordinates based on Richmond</t>
  </si>
  <si>
    <t>SK</t>
  </si>
  <si>
    <t>BanskÃƒÂ¡ Bystrica</t>
  </si>
  <si>
    <t>Gutenstein</t>
  </si>
  <si>
    <t>Ã„ÂŒerÃ…ÂˆanskÃƒÂ½ et al.</t>
  </si>
  <si>
    <t>Ã…Â tefanovÃƒÂ¡ Cave, DemÃƒÂ¤novskÃƒÂ¡ Dolina Valley</t>
  </si>
  <si>
    <t>Soria</t>
  </si>
  <si>
    <t>Royuela</t>
  </si>
  <si>
    <t>Upper Muschelkalk</t>
  </si>
  <si>
    <t>de Miguel Chaves et al.</t>
  </si>
  <si>
    <t>Fuencaliente de Medinaceli</t>
  </si>
  <si>
    <t>"The vertebrate remains studied here were found in Fuencaliente de Medinaceli (Medinaceli, Soria Province, Castilla y LeÃƒÂ³n; latitude 41Ã‚Âº 8Ã¢Â€Â™ 10Ã¢Â€Â™Ã¢Â€Â™ N, longitude 2Ã‚Âº 27Ã¢Â€Â™ 30Ã¢Â€Â™Ã¢Â€Â™ W), a locality situated in the northwestern region of the Iberian Ranges, near the limit with the Central System." (de Miguel Chaves et al. 2016)</t>
  </si>
  <si>
    <t>Maisch and Lehmann</t>
  </si>
  <si>
    <t>perireef or subreef</t>
  </si>
  <si>
    <t>Strzelce Opolskie</t>
  </si>
  <si>
    <t>Prohungarites/Subcolumbites</t>
  </si>
  <si>
    <t>Mazin and Bucher</t>
  </si>
  <si>
    <t>Humboldt Range area</t>
  </si>
  <si>
    <t>Exact location information inaccessible</t>
  </si>
  <si>
    <t>Carroll and Gaskill</t>
  </si>
  <si>
    <t>Lepidus</t>
  </si>
  <si>
    <t>Nesbitt and Ezcurra</t>
  </si>
  <si>
    <t>Dockum Site 7 General (TMM -41936)</t>
  </si>
  <si>
    <t>HO-7-1-41</t>
  </si>
  <si>
    <t>Dockum Site 7 General (TMM -41936, HO-7-1-41), ca. 8 mi. SE of Big Spring, near Signal Peak</t>
  </si>
  <si>
    <t>GraubÃƒÂ¼nden</t>
  </si>
  <si>
    <t>near BergÃƒÂ¼n</t>
  </si>
  <si>
    <t>"a locality in eastern Switzerland... near BergrÃƒÂ¼n [sp.] in the canton of GraubÃƒÂ¼nden" (Carroll and Gaskill, 1985)</t>
  </si>
  <si>
    <t>Kligman et al.</t>
  </si>
  <si>
    <t>Billings Gap area, PFV 396</t>
  </si>
  <si>
    <t>Glyphoderma</t>
  </si>
  <si>
    <t>Schmitz</t>
  </si>
  <si>
    <t>Saurie Hook, Ice Fjord</t>
  </si>
  <si>
    <t>Aach, near Freudenstadt</t>
  </si>
  <si>
    <t>"Aach near Freudenstadt, Baden-WÃƒÂ¼rttemberg, SW-Germany" (Maisch and Matzke, 2001)</t>
  </si>
  <si>
    <t>Schmitz et al.</t>
  </si>
  <si>
    <t>Surmik et al.</t>
  </si>
  <si>
    <t>Boruszowice</t>
  </si>
  <si>
    <t>Rybna, Tarnowskie GÃƒÂ³ry</t>
  </si>
  <si>
    <t>LaryszÃƒÂ³w, OS, mo2b</t>
  </si>
  <si>
    <t>Pacheco et al.</t>
  </si>
  <si>
    <t>Marchezan, SÃƒÂ£o JoÃƒÂ£o do PolÃƒÂªsine</t>
  </si>
  <si>
    <t>"... the recently found Marchezan site. It crops out in a private farm in the proximity of the Highway RS-149 at km 135 in the municipality of SÃƒÂ£o JoÃƒÂ£o do PolÃƒÂªsine, state of Rio Grande do Sul, Brazil" (Pacheco et al. 2018); Edited to exact coordinates from Pacheco et al. 2019</t>
  </si>
  <si>
    <t>Neenan and Scheyer</t>
  </si>
  <si>
    <t>Schesaplana Mountain</t>
  </si>
  <si>
    <t>Float from Schesaplana Mountain</t>
  </si>
  <si>
    <t>Lombardy</t>
  </si>
  <si>
    <t>Monte Rena, Central Lombardy, Italy</t>
  </si>
  <si>
    <t>Negev</t>
  </si>
  <si>
    <t>Makhtesh Ramon area</t>
  </si>
  <si>
    <t>Makhtech Ramon (HUJ collection)</t>
  </si>
  <si>
    <t>Makhtesh Ramon</t>
  </si>
  <si>
    <t>Makhtesh Ramon is a large anticline 37 km long and 10 km wide, located in the Negev desert about 100 km south of Beer Sheva</t>
  </si>
  <si>
    <t>Aust Cliff bone bed (Leicester Museum)</t>
  </si>
  <si>
    <t>ST 567895</t>
  </si>
  <si>
    <t>Horaffia</t>
  </si>
  <si>
    <t>Klein and Hagdorn</t>
  </si>
  <si>
    <t>Grenzbonebed</t>
  </si>
  <si>
    <t>Feldner Quarry, Satteldorf-Barenhalden</t>
  </si>
  <si>
    <t>Erythrovenator</t>
  </si>
  <si>
    <t>Niemeyer, Agudo</t>
  </si>
  <si>
    <t>"The Niemeyer Site is located on the outskirts of the municipality of Agudo (29Ã‚Â°40Ã¢Â€Â²25Ã¢Â€Â³ S; 53Ã‚Â°14Ã¢Â€Â²4.20Ã¢Â€Â³ W), southern Brazil. The main fossiliferous sectors are exposed around an artiÃ¯Â¬Âcial dam, with an additional isolated section." (Pavanatto et al. 2018)</t>
  </si>
  <si>
    <t>Heteborn Quarry</t>
  </si>
  <si>
    <t>"Historical limestone quarry at Heteborn, Saxony-Anhalt, Middle Germany, Central Europe" (Diedrich 2013)</t>
  </si>
  <si>
    <t>Hosselkus Limestone</t>
  </si>
  <si>
    <t>Shasta County area</t>
  </si>
  <si>
    <t>Locality initially noted as "Shasta Co." (Merriam, 1895). Merriam (1902) refined it to "a large area between Squaw Creek and Pitt River, a few miles north of Winthrop Post Office"</t>
  </si>
  <si>
    <t>Sticky Keep</t>
  </si>
  <si>
    <t>Mazin and Sander</t>
  </si>
  <si>
    <t>Sassendalen</t>
  </si>
  <si>
    <t>Thaisauridae</t>
  </si>
  <si>
    <t>Thaisaurus</t>
  </si>
  <si>
    <t>Khuan Khanun</t>
  </si>
  <si>
    <t>Chaiburi</t>
  </si>
  <si>
    <t>Phukhaothong</t>
  </si>
  <si>
    <t>Khao Thong, Phattalung</t>
  </si>
  <si>
    <t>Merriamosauridae</t>
  </si>
  <si>
    <t>Pessopteryx</t>
  </si>
  <si>
    <t>de Buffrenil and Mazin</t>
  </si>
  <si>
    <t>Heimen Mount</t>
  </si>
  <si>
    <t>Friuli</t>
  </si>
  <si>
    <t>aonoides</t>
  </si>
  <si>
    <t>Lavaz Creek, Dogna</t>
  </si>
  <si>
    <t>"upper Lavaz Creek, 600m above sea level, near the Prerit and Balador localities of the Dogna village, Udine Province, northern part of the Friuli-Venezia Giulia Autonomous Region, NE Italy" (Dalla Vecchia, 2008)</t>
  </si>
  <si>
    <t>Protenodontosaurus</t>
  </si>
  <si>
    <t>Dogna area</t>
  </si>
  <si>
    <t>RO</t>
  </si>
  <si>
    <t>Bihor</t>
  </si>
  <si>
    <t>JurcsÃƒÂ¡k</t>
  </si>
  <si>
    <t>LugaÃˆÂ™u de Sus</t>
  </si>
  <si>
    <t>Sclerostropheus</t>
  </si>
  <si>
    <t>Riva di Solto</t>
  </si>
  <si>
    <t>Canto Alto, Val Brembana</t>
  </si>
  <si>
    <t>Renesto and Stockar</t>
  </si>
  <si>
    <t>Das-Gupta</t>
  </si>
  <si>
    <t>Deoli</t>
  </si>
  <si>
    <t>Coordinates given by Tripathi (1969)</t>
  </si>
  <si>
    <t>Arta Terme</t>
  </si>
  <si>
    <t>Dont / M. Bivera</t>
  </si>
  <si>
    <t>Loofs Creek, Plan CocÃƒÂ©s</t>
  </si>
  <si>
    <t>Rio dai Loofs</t>
  </si>
  <si>
    <t>"a single outcrop near the small village of Plan CocÃƒÂ©s (Piedim, Arta Terme Municipality, Udine Province)" (Dalla Vecchia, 2004)</t>
  </si>
  <si>
    <t>Naugolnykh</t>
  </si>
  <si>
    <t>Wapiti Lake, Locality E</t>
  </si>
  <si>
    <t>Hart Ranges</t>
  </si>
  <si>
    <t>Quasianosteosauridae</t>
  </si>
  <si>
    <t>Quasianosteosaurus</t>
  </si>
  <si>
    <t>33m Above the Fish Horizon, Mt. Viking</t>
  </si>
  <si>
    <t>Isfjordosaurus</t>
  </si>
  <si>
    <t>Isfjord area</t>
  </si>
  <si>
    <t>Locality described as "Isfjord", location chosen based on proximity to other collections from VikinghÃƒÂ¸gda Formation</t>
  </si>
  <si>
    <t>Merriamosaurus</t>
  </si>
  <si>
    <t>Mts. Heimen and Ibsen</t>
  </si>
  <si>
    <t>Specimens come from a mixed collection labelled as being found on Mount Heimen and Mount Ibsen</t>
  </si>
  <si>
    <t>Dimetropus</t>
  </si>
  <si>
    <t>Voigt et al.</t>
  </si>
  <si>
    <t>Ingentia</t>
  </si>
  <si>
    <t>Macrocollum</t>
  </si>
  <si>
    <t>Wachholz site</t>
  </si>
  <si>
    <t>within the limits of Linha das Flores, Municipality of Agudo</t>
  </si>
  <si>
    <t>'Third'</t>
  </si>
  <si>
    <t>Nurgaliev et al.</t>
  </si>
  <si>
    <t>Monastery Ravine, Volga River ('Third' Formation)</t>
  </si>
  <si>
    <t>"The Third Formtion is well exposed in the first right tributary and in the thalweg of the mainstream of the Monastery Ravine. The slopes of the ravine expose only the lower part of the formation" (Nurgaliev et al. 2015)</t>
  </si>
  <si>
    <t>Pectodens</t>
  </si>
  <si>
    <t>Nochelesaurus</t>
  </si>
  <si>
    <t>Boesmanskop, Beaufort West</t>
  </si>
  <si>
    <t>Embrithosaurus</t>
  </si>
  <si>
    <t>Hoogeveld, Lot A</t>
  </si>
  <si>
    <t>Knoflock's Fontein</t>
  </si>
  <si>
    <t>"Hoogeveld Lot A, Prince Albert, South Africa" (Lee 1997)\r\nLocation estimated from map on https://www.weatherhq.co.za/western-cape-hoogeveld</t>
  </si>
  <si>
    <t>Marsh</t>
  </si>
  <si>
    <t>MNA 795, Ward Terrace</t>
  </si>
  <si>
    <t>Ward Terrace on the Navajo Nation, Billingsley Southeast</t>
  </si>
  <si>
    <t>Styracocephalidae</t>
  </si>
  <si>
    <t>Styracocephalus</t>
  </si>
  <si>
    <t>Rubidge and van den Heever</t>
  </si>
  <si>
    <t>Roggekloof, Sutherland</t>
  </si>
  <si>
    <t>Vers Fontein/Jan Willem Fontein</t>
  </si>
  <si>
    <t>type locality of "Pareisaurus bombidens"</t>
  </si>
  <si>
    <t>Locality listed "as Vers Fontein (Varsfontein) in Owen (1876). However, Watson\r\n(1914b) published an extract from the notebook of W.G. Atherstone, who excavated\r\nthe specimen, which stated the fossil was found 'four miles from Jan Willem Fontein'. The two properties are adjacent, hence both localities are probably correct. Both are in the Prince Albert district, South Africa." (Lee, 1997).\r\nPolar coordinates are for point halfway between places named Varschfontein and Jan Willemsfontein on the maps, situated about 15 km SE from Leeu Gamka.</t>
  </si>
  <si>
    <t>Kruisvlei, Beaufort West</t>
  </si>
  <si>
    <t>No location details in Boonstra (1969), but all localities described as being in western South Africa. Guven et al. (2013) describe the farm as "farm Kruisvlei near Merweville Beaufort West", so these coordinates correspond to Merweville.</t>
  </si>
  <si>
    <t>Knoffelfontein</t>
  </si>
  <si>
    <t>Melkbosfontein, Beaufort West</t>
  </si>
  <si>
    <t>Welgemoed, Leeu-Gamka</t>
  </si>
  <si>
    <t>Sewefontein, Prince Albert</t>
  </si>
  <si>
    <t>No precise location details in Boonstra (1969), so the coordinate is based on Prince Albert.</t>
  </si>
  <si>
    <t>Dikbome, Laingsburg</t>
  </si>
  <si>
    <t>No precise location details in Boonstra (1969), so the coordinate is based on Laingsburg.</t>
  </si>
  <si>
    <t>Metamosaurus</t>
  </si>
  <si>
    <t>Clyde</t>
  </si>
  <si>
    <t>Grape Creek</t>
  </si>
  <si>
    <t>Cummins</t>
  </si>
  <si>
    <t>Old Military Crossing, Whiskey Creek, Wichita River</t>
  </si>
  <si>
    <t>Bluffs in an outlier NW of the confluence of Whiskey Creek and the Wichita River, 1 mile ESE of La Paloma Cow Camp and an equal distance NNE of the Wichita River Ford, Franklin Bend Quadrangle, Baylor County</t>
  </si>
  <si>
    <t>Eurhinosaurus</t>
  </si>
  <si>
    <t>Barrow-on-Soar (BMNH collection)</t>
  </si>
  <si>
    <t>Apatosuchus</t>
  </si>
  <si>
    <t>Sues and Schoch</t>
  </si>
  <si>
    <t>Locality VIII, Talaint</t>
  </si>
  <si>
    <t>TalaÃƒÂ¯nt, Talaint, Talainte</t>
  </si>
  <si>
    <t>Lambert coordinates 161/458. Map shows locality to be close to the settlements of Titrine and Talaint (2 km W of latter). 30 metres from locality XVII</t>
  </si>
  <si>
    <t>Antarctanax</t>
  </si>
  <si>
    <t>Peecook et al.</t>
  </si>
  <si>
    <t>Partanosaurus</t>
  </si>
  <si>
    <t>Vorarlberg</t>
  </si>
  <si>
    <t>Bludenz</t>
  </si>
  <si>
    <t>Braz, Klosterthal</t>
  </si>
  <si>
    <t>"found in the vicinity of Braz, Klosterthal" (Rieppel 1996)</t>
  </si>
  <si>
    <t>Doliovertebra</t>
  </si>
  <si>
    <t>Protoichthyosaurus</t>
  </si>
  <si>
    <t>Appleby</t>
  </si>
  <si>
    <t>Coloradisuchus</t>
  </si>
  <si>
    <t>5 km west of La Esquina</t>
  </si>
  <si>
    <t>5 km west of La Esquina locality, near Pagancillo, Ischigualasto-Villa UniÃƒÂ³n basin\r\n\r\nUniversal Transverse Mercator (UTM) coordinates: 19 J 586976, 6695479</t>
  </si>
  <si>
    <t>Odoiporosaurus</t>
  </si>
  <si>
    <t>Rio Vallone, ViggiÃƒÂ¹, Monte San Giorgio</t>
  </si>
  <si>
    <t>Just above the aqueduct track</t>
  </si>
  <si>
    <t>Soumyasaurus</t>
  </si>
  <si>
    <t>Sarigul et al.</t>
  </si>
  <si>
    <t>Leptonectidae</t>
  </si>
  <si>
    <t>Wahlisaurus</t>
  </si>
  <si>
    <t>Scunthorpe Mudstone</t>
  </si>
  <si>
    <t>Barnstone</t>
  </si>
  <si>
    <t>Lomax</t>
  </si>
  <si>
    <t>Wahlisaurus-type locality</t>
  </si>
  <si>
    <t>Normanton Hills, near Normanton on Soar</t>
  </si>
  <si>
    <t>Normanton Hills, near Normanton on Soar, Nottinghamshire, England, UK.</t>
  </si>
  <si>
    <t>Panzhousaurus</t>
  </si>
  <si>
    <t>Lindwurmia</t>
  </si>
  <si>
    <t>Halberstadt</t>
  </si>
  <si>
    <t>Psiloceras johnstoni</t>
  </si>
  <si>
    <t>Vincent and Storrs</t>
  </si>
  <si>
    <t>Lindwurmia-type locality</t>
  </si>
  <si>
    <t>Tongrube clay pit quarry, now built over</t>
  </si>
  <si>
    <t>Google maps coordinates for Halberstadt as I couldn't find anything for the quarry itself</t>
  </si>
  <si>
    <t>Helveticosaurus</t>
  </si>
  <si>
    <t>San Salvatore</t>
  </si>
  <si>
    <t>Nevadites secedensis</t>
  </si>
  <si>
    <t>Renesto and Pieroni</t>
  </si>
  <si>
    <t>SEZ.D, Rasa di Varese</t>
  </si>
  <si>
    <t>Log D (WGS84 coordinates 45Ã‚Â°51'19"N, 8Ã‚Â°48'23"E) - outcrop located in the center of the village.</t>
  </si>
  <si>
    <t>SEZ.I, Rasa di Varese</t>
  </si>
  <si>
    <t>Cunardo</t>
  </si>
  <si>
    <t>Eoprotrachyceras curionii</t>
  </si>
  <si>
    <t>SEZ.H2, Rasa di Varese</t>
  </si>
  <si>
    <t>JO</t>
  </si>
  <si>
    <t>Janoobiah</t>
  </si>
  <si>
    <t>Wadi Ayun Musa</t>
  </si>
  <si>
    <t>Endlich</t>
  </si>
  <si>
    <t>Notatesseraeraptor</t>
  </si>
  <si>
    <t>Zahner and Brinkmann</t>
  </si>
  <si>
    <t>"Gruhalde" clay quarry, Frick (upper saurian level)</t>
  </si>
  <si>
    <t>Clay pit Gruhalde of the Tonwerke Keller AG, Frick</t>
  </si>
  <si>
    <t>clay pit Gruhalde of the Tonwerke Keller AG, Frick, Canton Aargau, Switzerland. Coordinates 2Ã‚Â° 642Ã¢Â€Â™ 960Ã¢Â€Â/1Ã‚Â° 261Ã¢Â€Â™ 963Ã¢Â€Â</t>
  </si>
  <si>
    <t>Nhandumirim</t>
  </si>
  <si>
    <t>Marsola et al.</t>
  </si>
  <si>
    <t>Untere Graue Mergel</t>
  </si>
  <si>
    <t>Hinz et al.</t>
  </si>
  <si>
    <t>Nothosaurus cristatus-type locality</t>
  </si>
  <si>
    <t>Eschenau quarry</t>
  </si>
  <si>
    <t>Hsiou et al.</t>
  </si>
  <si>
    <t>Linha Bernardino</t>
  </si>
  <si>
    <t xml:space="preserve">Coords based on Candelaria muncipality, which is where the authors say the specimen of Clevosaurus comes from. Coords given as "UTM 22J, 324483 E/6717888N, datum WGS 84", converted using an online converter. </t>
  </si>
  <si>
    <t>Pampadromaeus</t>
  </si>
  <si>
    <t>MassetognathusÃ¢Â€Â“Chanaresuchus</t>
  </si>
  <si>
    <t>Campo CÃƒÂ³rdoba Sur</t>
  </si>
  <si>
    <t>Romer Reloaded</t>
  </si>
  <si>
    <t>Campo CoÃŒÂrdoba Sur (Romer Reloaded; 29Ã‚Â° 490 58.9Ã¢Â€ÂS, 67Ã‚Â° 450 00.3Ã¢Â€ÂW), Ischigualasto-Villa UnioÃŒÂn Basin, Talampaya National Park, La Rioja Province, NW Argentina</t>
  </si>
  <si>
    <t>Huang et al.</t>
  </si>
  <si>
    <t>Seazzadactylus</t>
  </si>
  <si>
    <t>Friuli Venezia Giulia</t>
  </si>
  <si>
    <t>Oreone</t>
  </si>
  <si>
    <t>Seazza Brook</t>
  </si>
  <si>
    <t>"According to the discoverer, Mr. Umberto Venier, MFSN 21545 was preserved in a loose boulder in the bed of the Seazza Brook (Preone Municipality, Friuli Venezia Giulia Autonomous Region, NE Italy) at ca. 435 m above the sea level, just upstream of the angle bend in the final tract of the brook before it issues into the Tagliamento River."</t>
  </si>
  <si>
    <t>von WÃƒÂ¶hrmann</t>
  </si>
  <si>
    <t>LÃƒÂ¶densee, Ruhpolding</t>
  </si>
  <si>
    <t>Rauschberg, Ruhpolding</t>
  </si>
  <si>
    <t>Rauschenberg</t>
  </si>
  <si>
    <t>Kienberg, Seehaus, Ruhpolding</t>
  </si>
  <si>
    <t>Aenigmaspina</t>
  </si>
  <si>
    <t>Patrick et al.</t>
  </si>
  <si>
    <t>Gnathovorax</t>
  </si>
  <si>
    <t>Ancistronychus</t>
  </si>
  <si>
    <t>GonÃƒÂ§alves and Sidor</t>
  </si>
  <si>
    <t>Kaye Quarry PFV 410, UWBM C2226</t>
  </si>
  <si>
    <t xml:space="preserve">Petrified Forest National Park only data provided.  May be Apache or Navajo County. </t>
  </si>
  <si>
    <t>Lower Tiki</t>
  </si>
  <si>
    <t>Kumar and Sharma</t>
  </si>
  <si>
    <t>Red mudstone bed near Jora village</t>
  </si>
  <si>
    <t>Coordinates for Jora given in text (N 23Ã‚Â°53.884Ã¢Â€Â™; E 81Ã‚Â°21.019Ã¢Â€Â™), converted into decimal because PBDB wasn't picking up exact location</t>
  </si>
  <si>
    <t>4 km southwest of Tiki Village</t>
  </si>
  <si>
    <t>near Simaudh village</t>
  </si>
  <si>
    <t>4 km SW of Tiki village, southern Rewa Gondwana Basin. Coords from Kumar and Sharma (2019), as they mention a locality near Simaudh village [that is 4km SW of Tiki]; presumably same locality.</t>
  </si>
  <si>
    <t>Vellbergia</t>
  </si>
  <si>
    <t>Sobral et al.</t>
  </si>
  <si>
    <t>Gunakadeit</t>
  </si>
  <si>
    <t>Alaska</t>
  </si>
  <si>
    <t>Hound Island Volcanics</t>
  </si>
  <si>
    <t>Druckenmiller et al.</t>
  </si>
  <si>
    <t>Keku islands</t>
  </si>
  <si>
    <t>Gunakadeit-type locality</t>
  </si>
  <si>
    <t>Lanceirosphenodon</t>
  </si>
  <si>
    <t>de Vivar et al.</t>
  </si>
  <si>
    <t>Elessaurus</t>
  </si>
  <si>
    <t>De-Oliveira et al.</t>
  </si>
  <si>
    <t>Rotelliformis/Meeki</t>
  </si>
  <si>
    <t>Favret Canyon, Augusta Mountains (LACM 8031)</t>
  </si>
  <si>
    <t>C. duelferi-type locality</t>
  </si>
  <si>
    <t>Copied from another collection</t>
  </si>
  <si>
    <t>Huangtutang</t>
  </si>
  <si>
    <t>Huangtutang , Xinpu , Guanling County, Guizhou Province, southwestem\r\nChin</t>
  </si>
  <si>
    <t>Schleitheimia</t>
  </si>
  <si>
    <t>Rauhut et al.</t>
  </si>
  <si>
    <t>Polymorphodon</t>
  </si>
  <si>
    <t>Oryctorhynchus</t>
  </si>
  <si>
    <t>Jenzig, near Jena</t>
  </si>
  <si>
    <t>Hufeisen-Jenzig, Berg-Jenzig</t>
  </si>
  <si>
    <t>XNGM-WS-50-R4 predator with prey bromalite</t>
  </si>
  <si>
    <t>"Xingyi, Guizhou, southwestern China"</t>
  </si>
  <si>
    <t>Lucas and GonzÃƒÂ¡lez-LeÃƒÂ³n</t>
  </si>
  <si>
    <t>El Antimonio Mine, near</t>
  </si>
  <si>
    <t>near the Antimonio Mine, northern part of the Sierra del Alamo</t>
  </si>
  <si>
    <t>Ekeheien et al.</t>
  </si>
  <si>
    <t>Marmierfjellet, Flowerdalen (Grippia niveau bonebed)</t>
  </si>
  <si>
    <t>Flowerdalen on the western slope of Marmierfjellet at an elevation of 387 m (GPS: 78.3052Ã‚Â°N, 16.6012Ã‚Â°E). At least 5 metres were exposed into the slope during the two field seasons and a total of 35 m2  of bonebed was recovered.</t>
  </si>
  <si>
    <t>Callaway and Brinkman</t>
  </si>
  <si>
    <t>Smith</t>
  </si>
  <si>
    <t>Brock Mountain, 3 miles east of Madison's ranch (Juvavites subzone)</t>
  </si>
  <si>
    <t>3 miles east of Madison's ranch and one-half mile north of the trail from Madison's to Brock's ranch on Pit River. Also described as 6 miles northeast of the Bully Hill mine, Shasta County.</t>
  </si>
  <si>
    <t>Feralisaurus</t>
  </si>
  <si>
    <t>Helsby Sandstone</t>
  </si>
  <si>
    <t>Pennington Point</t>
  </si>
  <si>
    <t>Cavicchini et al.</t>
  </si>
  <si>
    <t>Foreshore below Peak Hill</t>
  </si>
  <si>
    <t>Foreshore below Peak Hill, Sidmouth, East Devon, England (National Grid Reference: SY 109865). The specimen was collected at "west-south-west of a beach access at JacobÃ¢Â€Â™s Ladder, Sidmouth, just beneath Peak Hill, after a storm had cleared a foreshore exposure at the top of the Otter Sandstone"</t>
  </si>
  <si>
    <t>Middle</t>
  </si>
  <si>
    <t>Parnes et al.</t>
  </si>
  <si>
    <t>Makhtesh Ramon (Gevanim Fm., middle member)</t>
  </si>
  <si>
    <t>Smilodonterpeton</t>
  </si>
  <si>
    <t>deBraga et al.</t>
  </si>
  <si>
    <t>Marsh et al.</t>
  </si>
  <si>
    <t>Thunderstorm Ridge (PFV 456)</t>
  </si>
  <si>
    <t>PFV 456, Thunderstorm Ridge, in Petrified Forest National Park, Arizona</t>
  </si>
  <si>
    <t>Skybalonyx</t>
  </si>
  <si>
    <t>Rabbit Foot Hills (PFV 302)</t>
  </si>
  <si>
    <t>body,mold/impression,trace</t>
  </si>
  <si>
    <t>Malerisaurus</t>
  </si>
  <si>
    <t>Boren Quarry (MOTT VPL 3869)</t>
  </si>
  <si>
    <t>Neyland Quarry</t>
  </si>
  <si>
    <t>Wannia</t>
  </si>
  <si>
    <t>Red Mud Metoposaur (MOTT 3903)</t>
  </si>
  <si>
    <t>N33Ã‚Â°02Ã¢Â€Â™42Ã¢Â€Â W101Ã‚Â°22Ã¢Â€Â™45Ã¢Â€Â, Middle Creek Quadrangle</t>
  </si>
  <si>
    <t>Headquarters Site (MOTT 3892)</t>
  </si>
  <si>
    <t>In close proximity to other 'Headquarters' sites, including MOTT 3898 (&lt;100 feet apart).</t>
  </si>
  <si>
    <t>Headquarters NW (MOTT 3899)</t>
  </si>
  <si>
    <t>In close proximity to other 'Headquarters' sites, including MOTT 3892 and 3898. Headquarters NW is less than 1 km from these sites.</t>
  </si>
  <si>
    <t>Headquarters N (MOTT 3900)</t>
  </si>
  <si>
    <t>In close proximity to other 'Headquarters' sites, including MOTT 3892 and 3898. Headquarters N is less than 1 km from these sites.</t>
  </si>
  <si>
    <t>Rocker A Oil Field (MOTT 3614)</t>
  </si>
  <si>
    <t>Rocker A Field (MOTT 3614) is another locality collected by Father Neyland which has not been relocated with certainly, although it probably lay a few kilometers east of the Post Quarry at the base of a mesa capped by the Dalby Ranch sandstone, a bit lower stratigraphically than the Post Quarry.</t>
  </si>
  <si>
    <t>Lake Alan Henry-Cedar Hill (MOTT 3890)</t>
  </si>
  <si>
    <t>Justiceburg SE Quadrangle</t>
  </si>
  <si>
    <t>Konietzko-Meier et al.</t>
  </si>
  <si>
    <t>Bonenburg bonebed</t>
  </si>
  <si>
    <t>This is the same clay pit that produced the holotype of Rhaeticosaurus but a different interval.</t>
  </si>
  <si>
    <t>Oryporan</t>
  </si>
  <si>
    <t>Kranosaura</t>
  </si>
  <si>
    <t>Maleri</t>
  </si>
  <si>
    <t>Kranosaura type locality</t>
  </si>
  <si>
    <t>79Ã‚Â°29.5Ã¢Â€Â²E 19Ã‚Â°15Ã¢Â€Â²N; PranhitaÃ¢Â€ÂGodavari Valley, Deccan</t>
  </si>
  <si>
    <t>Vinitasaura</t>
  </si>
  <si>
    <t>Sues and Kligman</t>
  </si>
  <si>
    <t>Kocurypelta</t>
  </si>
  <si>
    <t>CzepiÃ…Â„ski et al.</t>
  </si>
  <si>
    <t>Powellvenator</t>
  </si>
  <si>
    <t>Fraser and Olsen</t>
  </si>
  <si>
    <t>Micromenodon</t>
  </si>
  <si>
    <t>USNM locality 39981</t>
  </si>
  <si>
    <t>Micromenodon-type locality</t>
  </si>
  <si>
    <t>along NE bank of old course of Old Hundred Road (VA 652), 0.1 mi. (0.16 km) E of eastern branch of Tomahawk Creek, near Midlothian, Chesterfield Co., VA. [copied from another collection]</t>
  </si>
  <si>
    <t>Spiekman et al.</t>
  </si>
  <si>
    <t>Monte San Giorgio general</t>
  </si>
  <si>
    <t>The Cava (or Miniera) della Val Porina is an abandoned mine in the Porina Valley about 1 km SW of the peak of Mte. S. Giorgio.\r\nThis collection comprises specimens for which no exact stratigraphic data are reported. [Copied from another collection]</t>
  </si>
  <si>
    <t>Raibliania</t>
  </si>
  <si>
    <t>Fischschiefer</t>
  </si>
  <si>
    <t>Trachyceras aon</t>
  </si>
  <si>
    <t>Cave del Predil (Raibl), Fischschiefer</t>
  </si>
  <si>
    <t>Massospondylus</t>
  </si>
  <si>
    <t>Mashonaland West</t>
  </si>
  <si>
    <t>Sciscio et al.</t>
  </si>
  <si>
    <t>Spurwing Island, Lake Kariba</t>
  </si>
  <si>
    <t>Billings Pool</t>
  </si>
  <si>
    <t>May and Hall</t>
  </si>
  <si>
    <t>Kirby Quarry, OK, Unit 9</t>
  </si>
  <si>
    <t>(OMNH 1220)</t>
  </si>
  <si>
    <t>quarry is in Noble County, north-central Oklahoma; quarry opens into a west-facing road cut with rock exposure extending east into a pasture\r\n(site data are available to qualified investigartors; Museum's Dept. of Vert. Paleontology)</t>
  </si>
  <si>
    <t>Bittencourt et al.</t>
  </si>
  <si>
    <t>Syntomiprosopus</t>
  </si>
  <si>
    <t>Stauromatodon</t>
  </si>
  <si>
    <t>Incertovenator</t>
  </si>
  <si>
    <t>Yanez et al.</t>
  </si>
  <si>
    <t>Hoyada de Ischigualasto, southern outcrops</t>
  </si>
  <si>
    <t>"Southern outcrops of the Ischigualasto Formation at the Hoyada de Ischigualasto locality (Ischigualasto Provincial Park, San Juan Province, NW Argentina)." YÃƒÂ¡ÃƒÂ±ez et al. (2021)</t>
  </si>
  <si>
    <t>Gregory</t>
  </si>
  <si>
    <t>Teratosauridae</t>
  </si>
  <si>
    <t>Cladeiodon</t>
  </si>
  <si>
    <t>Pendraig</t>
  </si>
  <si>
    <t>Hayden Quarry, Ghost Ranch (site 1)</t>
  </si>
  <si>
    <t>"located in a series of exposures along the drainage of Arroyo Seco, an intermittently flowing tributary of the Rio Chama."; "south of US 84 on the west bank of Arroyo Seco"\r\n</t>
  </si>
  <si>
    <t>NMMNH L-526 [PROXY]</t>
  </si>
  <si>
    <t>PLS 90-002</t>
  </si>
  <si>
    <t>east-central New Mexico</t>
  </si>
  <si>
    <t>NMMNH L-1171 [PROXY]</t>
  </si>
  <si>
    <t>DL2</t>
  </si>
  <si>
    <t>near Billings Gap, PFV 445</t>
  </si>
  <si>
    <t>The Doswellia Quarry</t>
  </si>
  <si>
    <t>"The fossil locality is situated in a laterally extensive Ã¢Â€Â˜blueÃ¢Â€Â™ paleosol horizon in the upper part of the Blue Mesa Member, Chinle Formation (Parker and Martz, 2011), near Billings Gap at Petrified Forest National Park, Arizona, U.S.A. (PFV 445, the Doswellia Quarry)" - Parker et al. (2021)</t>
  </si>
  <si>
    <t>Heteropelta</t>
  </si>
  <si>
    <t>Torbiditi dÃ¢Â€Â™Aupa</t>
  </si>
  <si>
    <t>Aupa Valley near Saps village</t>
  </si>
  <si>
    <t>Locality 9</t>
  </si>
  <si>
    <t>Aupa Valley near Saps village, Moggio Udinese municipality, Udine Province, Friuli Venezia Giulia Autonomous Region, Italy.</t>
  </si>
  <si>
    <t>Taytalura</t>
  </si>
  <si>
    <t>Pabst</t>
  </si>
  <si>
    <t>Trossingen - Obere MÃƒÂ¼hle (upper)</t>
  </si>
  <si>
    <t>ETE Locality 1557, Plateosaurus bonebed</t>
  </si>
  <si>
    <t>Regalado FernÃƒÂ¡ndez and Werneburg</t>
  </si>
  <si>
    <t>Mambawakale</t>
  </si>
  <si>
    <t>U15/1, east of the Mkongleko River</t>
  </si>
  <si>
    <t>Field locality U15/1</t>
  </si>
  <si>
    <t xml:space="preserve">Field locality U15/1, east of the Mkongleko River in the Ruhuhu basin, Songea district, southwestern Tanzania. </t>
  </si>
  <si>
    <t>Rowe et al.</t>
  </si>
  <si>
    <t>Procolophonichnium</t>
  </si>
  <si>
    <t>Marchetti et al.</t>
  </si>
  <si>
    <t>Maehary</t>
  </si>
  <si>
    <t>Kellner et al.</t>
  </si>
  <si>
    <t>Raeticodactylidae</t>
  </si>
  <si>
    <t>Yelaphomte</t>
  </si>
  <si>
    <t>Microsphenodon</t>
  </si>
  <si>
    <t>Chambi-Trowell et al.</t>
  </si>
  <si>
    <t>Point 902, Monte San Giorgio, unspecified bed</t>
  </si>
  <si>
    <t>Mirigioli</t>
  </si>
  <si>
    <t>Near the top of Monte San Giorgio, sometimes called "Mirigioli" (coordinates 716 325/085 475)</t>
  </si>
  <si>
    <t>Jaquier et al.</t>
  </si>
  <si>
    <t>partial skeletons,partial skulls</t>
  </si>
  <si>
    <t>S12, 60 km southeast of Arlit</t>
  </si>
  <si>
    <t>Baisesaurus</t>
  </si>
  <si>
    <t>Luolou</t>
  </si>
  <si>
    <t>Ren et al.</t>
  </si>
  <si>
    <t>Longlin</t>
  </si>
  <si>
    <t>northwest margin of the Nanpanjiang Basin in Zhebao Township, Longlin County, Baise City, Guangxi, China</t>
  </si>
  <si>
    <t>Frickberg</t>
  </si>
  <si>
    <t>The new specimen, SMF 09-F2, was found in 2009 in the course of a housing construction project at Frickberg, a hill opposite the famous Plateosaurus-bearing clay pit Gruhalde in the town of Frick, northern Switzerland</t>
  </si>
  <si>
    <t>Gore</t>
  </si>
  <si>
    <t>Bethany Church, Gulf</t>
  </si>
  <si>
    <t>along railroad tracks, near bridge at Bethany Church, Gulf</t>
  </si>
  <si>
    <t>NJ-29 exposures</t>
  </si>
  <si>
    <t>Byram</t>
  </si>
  <si>
    <t>400 m of exposures along NJ-29, 2.1 mi. S of junction with Tumble Falls Road; listed as "Byram" but far from that township</t>
  </si>
  <si>
    <t>Carrs Brook</t>
  </si>
  <si>
    <t>Lower Economy</t>
  </si>
  <si>
    <t>Carrs Brook, along shore W of Ross Creek, near Lower Economy</t>
  </si>
  <si>
    <t>Mbiresaurus</t>
  </si>
  <si>
    <t>Griffin et al.</t>
  </si>
  <si>
    <t>Transect A, Dande Communal Land</t>
  </si>
  <si>
    <t>Mbiresaurus raathi type site</t>
  </si>
  <si>
    <t>Transect B, Dande Communal Land</t>
  </si>
  <si>
    <t>Herrerasaurid site</t>
  </si>
  <si>
    <t>Transect C, Dande Communal Land</t>
  </si>
  <si>
    <t>Aetosaur site</t>
  </si>
  <si>
    <t>Dande Communal Land (northwest of transects)</t>
  </si>
  <si>
    <t>northwest of transects AÃ¢Â€Â“C, Dande Communal Land</t>
  </si>
  <si>
    <t>Gamatavus</t>
  </si>
  <si>
    <t>Dilermando de Aguiar</t>
  </si>
  <si>
    <t>Dinodontosaurus AZ</t>
  </si>
  <si>
    <t>Pretto et al.</t>
  </si>
  <si>
    <t>Picada do Gama site</t>
  </si>
  <si>
    <t>"Specimens were collected in the Picada do Gama site which crops-out at the northern side of the BR 158 federal road (29Ã‚Â°46Ã¢Â€Â²37.60Ã¢Â€Â³S; 54Ã‚Â°06Ã¢Â€Â²00.42Ã¢Â€Â³W), Dilermando de Aguiar Municipality, circa 33 Km southwest of Santa Maria."</t>
  </si>
  <si>
    <t>Tuebingosaurus</t>
  </si>
  <si>
    <t>Amanasaurus</t>
  </si>
  <si>
    <t>Santa Maria Supersequence</t>
  </si>
  <si>
    <t>MÃƒÂ¼ller and Garcia</t>
  </si>
  <si>
    <t>Pivetta site</t>
  </si>
  <si>
    <t>Pivetta site (29Ã‚Â°39Ã¢Â€Â²37Ã¢Â€Â³ S, 53Ã‚Â°25Ã¢Â€Â²51Ã¢Â€Â³ W), between the municipalities of Restinga SÃƒÂªca and SÃƒÂ£o JoÃƒÂ£o do PolÃƒÂªsine, Rio Grande do Sul, Brazil (Fig. 1; MÃƒÂ¼ller &amp; Garcia 2023)</t>
  </si>
  <si>
    <t>Scolotosuchus</t>
  </si>
  <si>
    <t>Prosaurosphargis</t>
  </si>
  <si>
    <t>Wolniewicz et al.</t>
  </si>
  <si>
    <t>Yingzishan quarry</t>
  </si>
  <si>
    <t>Yingzishan quarry, where the new specimen (HFUT YZSB-19-109) was collected, is located on the northern boundary of the Yangtze Platform</t>
  </si>
  <si>
    <t>Venetoraptor</t>
  </si>
  <si>
    <t>Prestes de Bem and MÃƒÂ¼ller</t>
  </si>
  <si>
    <t>Boi da Guampa Torta</t>
  </si>
  <si>
    <t>Rural property (29Ã‚Âº36Ã¢Â€Â™19Ã¢Â€Â™Ã¢Â€Â˜S; 53Ã‚Â°16Ã¢Â€Â™16Ã¢Â€Â™Ã¢Â€Â™ W) in the outskirts of the municipality of Agudo, Rio Grande do Sul, Brazil</t>
  </si>
  <si>
    <t>Holbrook Quarry</t>
  </si>
  <si>
    <t>Winslow, Northwest</t>
  </si>
  <si>
    <t>Chuvasia Republic</t>
  </si>
  <si>
    <t>Sloboda</t>
  </si>
  <si>
    <t>Bakaev and Kogan</t>
  </si>
  <si>
    <t>Povoyska</t>
  </si>
  <si>
    <t>Perm</t>
  </si>
  <si>
    <t>Esin and Bakaev</t>
  </si>
  <si>
    <t>Dozmer, Pechora River</t>
  </si>
  <si>
    <t>Coordinates given as 7km north of Znamenka Village, right bank of Pechora river</t>
  </si>
  <si>
    <t>Sand pit, right bank of Bolshoy Cheremsham, nr Aksakovo</t>
  </si>
  <si>
    <t>Muta</t>
  </si>
  <si>
    <t>Hu et al.</t>
  </si>
  <si>
    <t>Northwest of Muta village, Luxi County</t>
  </si>
  <si>
    <t>The new specimen described here was collected from the Upper Member of the Anisian Guanling Formation in an abandoned quarry that is about one km northwest of Muta village, Luxi County, Yunnan Province.</t>
  </si>
  <si>
    <t>Poldarsa</t>
  </si>
  <si>
    <t>Purtovino</t>
  </si>
  <si>
    <t>Arefiev et al.</t>
  </si>
  <si>
    <t>Nikulino outcrop, bed 47-54</t>
  </si>
  <si>
    <t>Honghesaurus</t>
  </si>
  <si>
    <t>Second</t>
  </si>
  <si>
    <t>Luxi</t>
  </si>
  <si>
    <t>Prosantosaurus</t>
  </si>
  <si>
    <t>Luopingosaurus</t>
  </si>
  <si>
    <t>Ichthyotitan</t>
  </si>
  <si>
    <t>Lomax et al.</t>
  </si>
  <si>
    <t>Blue Anchor Bay, Rhaetian bone bed</t>
  </si>
  <si>
    <t>SK 575173</t>
  </si>
  <si>
    <t>partial skeletons,skulls,postcrania,limb elements,osteoderms</t>
  </si>
  <si>
    <t>Roberto-Da-Silva et al.</t>
  </si>
  <si>
    <t>Posto de Gasolina</t>
  </si>
  <si>
    <t>Prestosuchus chiniquensis site</t>
  </si>
  <si>
    <t>ULBRA-PVT-281 was recovered at the Ã¢Â€Â˜Posto de GasolinaÃ¢Â€Â™ outcrop (21Ã‚Â°37ÃŠÂ¹38ÃŠÂ¹Ã¢Â€Â™S 53Ã‚Â°22ÃŠÂ¹07ÃŠÂ¹Ã¢Â€Â™W), nearby the main access to the municipality of Dona Francisca, central region of Rio Grande do Sul, Brazil</t>
  </si>
  <si>
    <t>Idiosaura</t>
  </si>
  <si>
    <t>Luxy</t>
  </si>
  <si>
    <t>Fang et al.</t>
  </si>
  <si>
    <t>Huale Village, Luxi County</t>
  </si>
  <si>
    <t>Mixosaurus luxiensis type locality</t>
  </si>
  <si>
    <t>HFUT HL-21-08-002 was collected from a quarry about one kilometer southeast of Huale Village, Luxi County, Yunnan Province, China.</t>
  </si>
  <si>
    <t>Benggwigwishingasuchus</t>
  </si>
  <si>
    <t>Frechites occidentalis</t>
  </si>
  <si>
    <t>Smith et al.</t>
  </si>
  <si>
    <t>LACM locality 8057, north slope of Favret Canyon</t>
  </si>
  <si>
    <t>LACM LOC 8057</t>
  </si>
  <si>
    <t>Favret Canyon, Augusta Mountains, Pershing County, Nevada, USA. The type locality, LACM LOC 8057, is near the top of the north slope of Favret Canyon at an altitude of 1911 m</t>
  </si>
  <si>
    <t>Unguinychus</t>
  </si>
  <si>
    <t>Pugh et al.</t>
  </si>
  <si>
    <t>Homestead Site, Garita Creek</t>
  </si>
  <si>
    <t>"The specimens are from an overbank mudstone at the Homestead Site at Garita Creek in the lower portion of the Garita Creek Formation." (Pugh, 2024)</t>
  </si>
  <si>
    <t>Marcianosuchus</t>
  </si>
  <si>
    <t>Garzapelta</t>
  </si>
  <si>
    <t>Reyes et al.</t>
  </si>
  <si>
    <t>N206</t>
  </si>
  <si>
    <t>partial skull</t>
  </si>
  <si>
    <t>individual</t>
  </si>
  <si>
    <t>Archosauromorpha</t>
  </si>
  <si>
    <t>-</t>
  </si>
  <si>
    <t>FSTATE</t>
  </si>
  <si>
    <t>Cynognathus . Cynognathus B subzone</t>
  </si>
  <si>
    <t>SAM-PK-</t>
  </si>
  <si>
    <t>K11831</t>
  </si>
  <si>
    <t>N207</t>
  </si>
  <si>
    <t>Skull and manus</t>
  </si>
  <si>
    <t>K11742</t>
  </si>
  <si>
    <t>N208</t>
  </si>
  <si>
    <t>fragment of dorsal? vertebra</t>
  </si>
  <si>
    <t>ECAPE</t>
  </si>
  <si>
    <t xml:space="preserve">Cynognathus </t>
  </si>
  <si>
    <t>1315</t>
  </si>
  <si>
    <t>N209</t>
  </si>
  <si>
    <t>cf. tíbia</t>
  </si>
  <si>
    <t>930</t>
  </si>
  <si>
    <t>N210</t>
  </si>
  <si>
    <t>skull fragments ans vertebras</t>
  </si>
  <si>
    <t>978</t>
  </si>
  <si>
    <t>N211</t>
  </si>
  <si>
    <t>femur, tibia, rib, humerus, set of articulated and disarticulated vertebrae (about 21 vertebrae), scapula and pubis</t>
  </si>
  <si>
    <t>WCAPE</t>
  </si>
  <si>
    <t>K10025</t>
  </si>
  <si>
    <t>N212</t>
  </si>
  <si>
    <t>maxilla</t>
  </si>
  <si>
    <t>K1098</t>
  </si>
  <si>
    <t>N213</t>
  </si>
  <si>
    <t>skull fragment and postcrania and also a posterior portion of the mandible which could be another taxa</t>
  </si>
  <si>
    <t>-31</t>
  </si>
  <si>
    <t>11330</t>
  </si>
  <si>
    <t>N214</t>
  </si>
  <si>
    <t>cranial bones</t>
  </si>
  <si>
    <t>7684</t>
  </si>
  <si>
    <t>N215</t>
  </si>
  <si>
    <t>postcranium elements (pubis, isquium, metatarsal?, vertebras)</t>
  </si>
  <si>
    <t>3028</t>
  </si>
  <si>
    <t>N358</t>
  </si>
  <si>
    <t>right hindlimb</t>
  </si>
  <si>
    <t>Aliwal North Commonage</t>
  </si>
  <si>
    <t>7701</t>
  </si>
  <si>
    <t>N359</t>
  </si>
  <si>
    <t>5887</t>
  </si>
  <si>
    <t>N360</t>
  </si>
  <si>
    <t>foot</t>
  </si>
  <si>
    <t>6546</t>
  </si>
  <si>
    <t>N361</t>
  </si>
  <si>
    <t>lower jaw and humerus</t>
  </si>
  <si>
    <t>7838</t>
  </si>
  <si>
    <t>N485</t>
  </si>
  <si>
    <t>an individual seprated from the 11753 b and c based on rigth ilium (four distal humerus, 3 isquiums, one isolated vertebrae, 3 articulated vertebrae, proximal radium and ulna, four proximais de femur, três ílios dois direitos e um esquerdo e um coracoide, um humero proximal e um centro isolado)</t>
  </si>
  <si>
    <t>Tanganyika</t>
  </si>
  <si>
    <t>11753a</t>
  </si>
  <si>
    <t>N486</t>
  </si>
  <si>
    <t>an individual seprated from the 11753 a and c based on rigth ilium (four distal humerus, 3 isquiums, one isolated vertebrae, 3 articulated vertebrae, proximal radium and ulna, four proximais de femur, três ílios dois direitos e um esquerdo e um coracoide, um humero proximal e um centro isolado)</t>
  </si>
  <si>
    <t>11753b</t>
  </si>
  <si>
    <t>N487</t>
  </si>
  <si>
    <t>an individual seprated from the 11753 a and b based on rigth ilium (four distal humerus, 3 isquiums, one isolated vertebrae, 3 articulated vertebrae, proximal radium and ulna, four proximais de femur, três ílios dois direitos e um esquerdo e um coracoide, um humero proximal e um centro isolado)</t>
  </si>
  <si>
    <t>11753c</t>
  </si>
  <si>
    <t>N488</t>
  </si>
  <si>
    <t>an individual seprated from the 11753 j, k and l based on femurs (five cervical isolated vertebras, four isolated dorsal, two articulated dorsal vertebra and one isolated caudal vertebra, two distal of humerus, coracoide and two iliums, 3 femurs, skull fragment)</t>
  </si>
  <si>
    <t>11753i</t>
  </si>
  <si>
    <t>N489</t>
  </si>
  <si>
    <t>an individual seprated from the 11753 i, k and l based on femurs (five cervical isolated vertebras, four isolated dorsal, two articulated dorsal vertebra and one isolated caudal vertebra, two distal of humerus, coracoide and two iliums, 3 femurs, skull fragment)</t>
  </si>
  <si>
    <t>11753j</t>
  </si>
  <si>
    <t>N490</t>
  </si>
  <si>
    <t>an individual seprated from the 11753 i, j and l based on femurs (five cervical isolated vertebras, four isolated dorsal, two articulated dorsal vertebra and one isolated caudal vertebra, two distal of humerus, coracoide and two iliums, 3 femurs, skull fragment)</t>
  </si>
  <si>
    <t>11753k</t>
  </si>
  <si>
    <t>N491</t>
  </si>
  <si>
    <t>rigth humerus</t>
  </si>
  <si>
    <t>11753q</t>
  </si>
  <si>
    <t>N492</t>
  </si>
  <si>
    <t>right femur</t>
  </si>
  <si>
    <t>11753v</t>
  </si>
  <si>
    <t>N493</t>
  </si>
  <si>
    <t>distal de humerus</t>
  </si>
  <si>
    <t>11753w</t>
  </si>
  <si>
    <t>N494</t>
  </si>
  <si>
    <t>11753x</t>
  </si>
  <si>
    <t>N495</t>
  </si>
  <si>
    <t>11753z</t>
  </si>
  <si>
    <t>N496</t>
  </si>
  <si>
    <t>rigth dentary</t>
  </si>
  <si>
    <t>N497</t>
  </si>
  <si>
    <t>escapulo coracoide</t>
  </si>
  <si>
    <t>N498</t>
  </si>
  <si>
    <t>úmero de grande porte</t>
  </si>
  <si>
    <t>N499</t>
  </si>
  <si>
    <t>fragmento proximal de umero</t>
  </si>
  <si>
    <t>N500</t>
  </si>
  <si>
    <t>úmero</t>
  </si>
  <si>
    <t>N501</t>
  </si>
  <si>
    <t>dorsal isolated vertebra</t>
  </si>
  <si>
    <t>unknown</t>
  </si>
  <si>
    <t>N502</t>
  </si>
  <si>
    <t>isolated caudal vertebra</t>
  </si>
  <si>
    <t>N542</t>
  </si>
  <si>
    <t>an articulated anterior part of the skeleton preserving the skull in the ventral view and an incomplete cervical vertebral</t>
  </si>
  <si>
    <t>Gracilicollum</t>
  </si>
  <si>
    <t>25.473041</t>
  </si>
  <si>
    <t>104.840656</t>
  </si>
  <si>
    <t>Xinmin</t>
  </si>
  <si>
    <t>Wang et al 2023</t>
  </si>
  <si>
    <t>IVPP V</t>
  </si>
  <si>
    <t>15636</t>
  </si>
  <si>
    <t>N325</t>
  </si>
  <si>
    <t>skull and postcranium, hindlimb elements</t>
  </si>
  <si>
    <t>Kuruxuchampsa</t>
  </si>
  <si>
    <t>Upper Triassic</t>
  </si>
  <si>
    <t>RS</t>
  </si>
  <si>
    <t>Schoenstatt</t>
  </si>
  <si>
    <t>Rosário do Sul</t>
  </si>
  <si>
    <t>Raugust et al 2013. Paes-Neto et al 2023 no prello</t>
  </si>
  <si>
    <t>UFRGS-PV-</t>
  </si>
  <si>
    <t>0877 T</t>
  </si>
  <si>
    <t>N515</t>
  </si>
  <si>
    <t>a skull with an occluded mandible, and a partial postcranium that includes forelimb elements with a partial clavicle, humerus, radius, ulna, and several bones that compose the manus</t>
  </si>
  <si>
    <t>Parareptilia</t>
  </si>
  <si>
    <t>Prcolophonidae</t>
  </si>
  <si>
    <t>Cornualbus</t>
  </si>
  <si>
    <t xml:space="preserve">Hyperodapedon </t>
  </si>
  <si>
    <t>Silva-Neves et al 2024</t>
  </si>
  <si>
    <t>UFSM</t>
  </si>
  <si>
    <t>11607 Holotype</t>
  </si>
  <si>
    <t>N516</t>
  </si>
  <si>
    <t>a partial skeleton including the pre- maxillae_ left maxilla_ frontals_ right postfrontal_ right parietal_ squa- mosals_ quadratojugals_ quadrates_ parabasisphenoid_ both hemiman- dibles_ some cervical_ dorsal_ sacral and cauda</t>
  </si>
  <si>
    <t>Dynamosuchus</t>
  </si>
  <si>
    <t>Várzea do Agudo</t>
  </si>
  <si>
    <t>Exaeretodon</t>
  </si>
  <si>
    <t>Müller et al 2020</t>
  </si>
  <si>
    <t>CAPPA/UFSM</t>
  </si>
  <si>
    <t>0248 (Holotype)</t>
  </si>
  <si>
    <t>N517</t>
  </si>
  <si>
    <t>partial postcranium</t>
  </si>
  <si>
    <t xml:space="preserve">Stagonolepididae </t>
  </si>
  <si>
    <t>Aetobarbakinoides</t>
  </si>
  <si>
    <t>Inhamandá</t>
  </si>
  <si>
    <t>Desojo et al 2012</t>
  </si>
  <si>
    <t>CP.E2</t>
  </si>
  <si>
    <t>CPE2 168</t>
  </si>
  <si>
    <t>N518</t>
  </si>
  <si>
    <t>Right premaxilla, right postorbital, left squamosal, left jugal, right pterygoid, right nasal, both splenials, left surangular, prearticular and angular, odontoid(?), axis, cervical, dorsal and caudal vertebrae, ribs, chevron bones, right scapulacoracoid, left pubis, right tibia, fibula and astragalus, and body osteoderms</t>
  </si>
  <si>
    <t>Rauisuchus</t>
  </si>
  <si>
    <t>Cerrito</t>
  </si>
  <si>
    <t>Huene 1942</t>
  </si>
  <si>
    <t>BSPG</t>
  </si>
  <si>
    <t>AS XXV 60 68_ 72_ 73a_ 74 91_ 92 100_ 105 119_ 121</t>
  </si>
  <si>
    <t>N533</t>
  </si>
  <si>
    <t>fragment of a left maxilla and a left dentary</t>
  </si>
  <si>
    <t>Beesiiwo</t>
  </si>
  <si>
    <t>-106.941211</t>
  </si>
  <si>
    <t>43.73518</t>
  </si>
  <si>
    <t>USA</t>
  </si>
  <si>
    <t>WY</t>
  </si>
  <si>
    <t>Fitch et al 2023</t>
  </si>
  <si>
    <t>USNM</t>
  </si>
  <si>
    <t>494329</t>
  </si>
  <si>
    <t>N540</t>
  </si>
  <si>
    <t>partial left maxilla with four teeth</t>
  </si>
  <si>
    <t>Threordatoth</t>
  </si>
  <si>
    <t>-2.430120</t>
  </si>
  <si>
    <t>51.621580</t>
  </si>
  <si>
    <t>Cromhall</t>
  </si>
  <si>
    <t>Meade et al 2024</t>
  </si>
  <si>
    <t>UMZC</t>
  </si>
  <si>
    <t>2023.122</t>
  </si>
  <si>
    <t>N541</t>
  </si>
  <si>
    <t>a skeleton</t>
  </si>
  <si>
    <t>Leptopleuron</t>
  </si>
  <si>
    <t>-3.3083</t>
  </si>
  <si>
    <t>57.6733</t>
  </si>
  <si>
    <t>Lossiemouth Sandstone</t>
  </si>
  <si>
    <t>Mantell</t>
  </si>
  <si>
    <t>NMS</t>
  </si>
  <si>
    <t>1891.92.528</t>
  </si>
  <si>
    <t>N544</t>
  </si>
  <si>
    <t>isolated left astragalus, femur</t>
  </si>
  <si>
    <t>Ahvaytum</t>
  </si>
  <si>
    <t>43.654365</t>
  </si>
  <si>
    <t>-109.370092</t>
  </si>
  <si>
    <t xml:space="preserve">Lovelace et al </t>
  </si>
  <si>
    <t>UWGM</t>
  </si>
  <si>
    <t>1975. 7549</t>
  </si>
  <si>
    <t>N521</t>
  </si>
  <si>
    <t>Pintosaurus</t>
  </si>
  <si>
    <t>UR</t>
  </si>
  <si>
    <t>Buena Vista</t>
  </si>
  <si>
    <t>Pineiro et al 2003</t>
  </si>
  <si>
    <t>FC-DPV</t>
  </si>
  <si>
    <t>1181</t>
  </si>
  <si>
    <t>N537</t>
  </si>
  <si>
    <t>conjoined mandibular rami, which have been ground down irregularly more posteriorly to expose the tooth rows on each ramus</t>
  </si>
  <si>
    <t>Eureptilia</t>
  </si>
  <si>
    <t>Sumidadectes</t>
  </si>
  <si>
    <t>-99.756065</t>
  </si>
  <si>
    <t>33.977246</t>
  </si>
  <si>
    <t>Foard</t>
  </si>
  <si>
    <t>Choza</t>
  </si>
  <si>
    <t>Upper Clear Fork</t>
  </si>
  <si>
    <t>Jung et al 2024</t>
  </si>
  <si>
    <t>FMNH UR</t>
  </si>
  <si>
    <t>97</t>
  </si>
  <si>
    <t>N30</t>
  </si>
  <si>
    <t>maxila VER na literatura</t>
  </si>
  <si>
    <t>Porto Mariante 2</t>
  </si>
  <si>
    <t>Schultz et al 2016</t>
  </si>
  <si>
    <t>0315 T</t>
  </si>
  <si>
    <t>N35</t>
  </si>
  <si>
    <t>crânio</t>
  </si>
  <si>
    <t>Müller 2021</t>
  </si>
  <si>
    <t>0225</t>
  </si>
  <si>
    <t>N245</t>
  </si>
  <si>
    <t>partial right ilium</t>
  </si>
  <si>
    <t>BR 158 federal road</t>
  </si>
  <si>
    <t>Pretto et al 2022</t>
  </si>
  <si>
    <t>11348a</t>
  </si>
  <si>
    <t>N371</t>
  </si>
  <si>
    <t>a partial skeleton, including a skull with lower jaws, 11 dorsal vertebrae, two sacral vertebrae, a complete pelvic girdle, both femora (lacking the distal portion), partial lef tibia, partial lef fbula, and  lef calcaneum</t>
  </si>
  <si>
    <t>Parvosuchus</t>
  </si>
  <si>
    <t>Müller 2024</t>
  </si>
  <si>
    <t>0412</t>
  </si>
  <si>
    <t>N372</t>
  </si>
  <si>
    <t>Prestosuchidae</t>
  </si>
  <si>
    <t>Raugust &amp; Schultz 2013</t>
  </si>
  <si>
    <t>0629 T</t>
  </si>
  <si>
    <t>N373</t>
  </si>
  <si>
    <t xml:space="preserve">Região occipital e parte do crânio. </t>
  </si>
  <si>
    <t>Pinheiro</t>
  </si>
  <si>
    <t>MCT</t>
  </si>
  <si>
    <t>000377 R</t>
  </si>
  <si>
    <t>N374</t>
  </si>
  <si>
    <t>cranio completo juvenil</t>
  </si>
  <si>
    <t>MCZ</t>
  </si>
  <si>
    <t>4167</t>
  </si>
  <si>
    <t>N375</t>
  </si>
  <si>
    <t>pre maxila e parte anterior da maxila com dentes</t>
  </si>
  <si>
    <t>-30</t>
  </si>
  <si>
    <t>MPDC</t>
  </si>
  <si>
    <t>657-136 (659-138)</t>
  </si>
  <si>
    <t>N513</t>
  </si>
  <si>
    <t>an almost complete and articulated hindlimb</t>
  </si>
  <si>
    <t>Retymaijychampsa</t>
  </si>
  <si>
    <t>Linha Várzea</t>
  </si>
  <si>
    <t>Müller 2025</t>
  </si>
  <si>
    <t>0430</t>
  </si>
  <si>
    <t>N514</t>
  </si>
  <si>
    <t>a tooth fragment and postcranial remains, including a fragment of the axial neural arch, one complete and two partial cervical neural arches, a mid-caudal neural arch, four caudal vertebrae and an isolated caudal neural spine, two partial cervical and two partial dorsal ribs, both articulated ischia, right calcaneum, two metatarsal fragments, and several osteoderms.</t>
  </si>
  <si>
    <t>Schultzsuchus</t>
  </si>
  <si>
    <t>west of Chiniquá</t>
  </si>
  <si>
    <t>Desojo &amp; Rauhut 2024</t>
  </si>
  <si>
    <t>SNSB-BSPG</t>
  </si>
  <si>
    <t>AS XXV 13–24/26–27/43–48</t>
  </si>
  <si>
    <t>N519</t>
  </si>
  <si>
    <t>almost complete skull and lower jaw;  a partial skull lacking the anterior portion of the rostrum;  partial skull with the antorbital region preserved</t>
  </si>
  <si>
    <t>Pinheirochampsa</t>
  </si>
  <si>
    <t>Paes-Neto et al 2023</t>
  </si>
  <si>
    <t>0464 T; 065 T; and 0465 T (probably also a Pinheirochampsa)</t>
  </si>
  <si>
    <t>N520</t>
  </si>
  <si>
    <t>Right femur</t>
  </si>
  <si>
    <t>Gondwanax</t>
  </si>
  <si>
    <t>Muller 2024</t>
  </si>
  <si>
    <t>417</t>
  </si>
  <si>
    <t>N522</t>
  </si>
  <si>
    <t>a partial skeleton, and it is a 3D body fossil</t>
  </si>
  <si>
    <t>Elorhynchus</t>
  </si>
  <si>
    <t>Cordoba</t>
  </si>
  <si>
    <t>Campo de Norte de Cordoba</t>
  </si>
  <si>
    <t>Chañares</t>
  </si>
  <si>
    <t>Agua de la Peña</t>
  </si>
  <si>
    <t>Ezcurra et al 2020</t>
  </si>
  <si>
    <t>CRILAR-Pv</t>
  </si>
  <si>
    <t>496</t>
  </si>
  <si>
    <t>N524</t>
  </si>
  <si>
    <t>a set of postcrania</t>
  </si>
  <si>
    <t>Koilamasuchus</t>
  </si>
  <si>
    <t>Mendoza</t>
  </si>
  <si>
    <t>Agua de los Burros</t>
  </si>
  <si>
    <t>Quebrada de Los Fosiles</t>
  </si>
  <si>
    <t>Ezcurra et al 2010</t>
  </si>
  <si>
    <t>MACN-Pv</t>
  </si>
  <si>
    <t>18119</t>
  </si>
  <si>
    <t>N1</t>
  </si>
  <si>
    <t>almost complete skeleton without armor (Holotype of Polesinesuchus)</t>
  </si>
  <si>
    <t>Non-stagonolepididae aetosaur</t>
  </si>
  <si>
    <t>Roberto-da-Silva et al 2014</t>
  </si>
  <si>
    <t>ULBRA</t>
  </si>
  <si>
    <t>003</t>
  </si>
  <si>
    <t>N2</t>
  </si>
  <si>
    <t>Faixa Nova Area</t>
  </si>
  <si>
    <t>Paes-Neto et al. 2021</t>
  </si>
  <si>
    <t>11070</t>
  </si>
  <si>
    <t>N3</t>
  </si>
  <si>
    <t>1514-T</t>
  </si>
  <si>
    <t>N4</t>
  </si>
  <si>
    <t>Piche</t>
  </si>
  <si>
    <t>MCN-PV</t>
  </si>
  <si>
    <t>2347</t>
  </si>
  <si>
    <t>N9</t>
  </si>
  <si>
    <t>proximal right femur</t>
  </si>
  <si>
    <t>Pivetta</t>
  </si>
  <si>
    <t>Müller &amp; Garcia</t>
  </si>
  <si>
    <t>0374</t>
  </si>
  <si>
    <t>N10</t>
  </si>
  <si>
    <t>distal left femur</t>
  </si>
  <si>
    <t>0375</t>
  </si>
  <si>
    <t>N31</t>
  </si>
  <si>
    <t>Cabreira et al 2016</t>
  </si>
  <si>
    <t>280 (holotype)</t>
  </si>
  <si>
    <t>N32</t>
  </si>
  <si>
    <t>a nearly complete and articulated skeleton</t>
  </si>
  <si>
    <t>0035</t>
  </si>
  <si>
    <t>N33</t>
  </si>
  <si>
    <t>Bloco com pos cranio completo</t>
  </si>
  <si>
    <t>This study</t>
  </si>
  <si>
    <t>0268</t>
  </si>
  <si>
    <t>N34</t>
  </si>
  <si>
    <t>partial and disarticulated skeleton, including right premaxilla and maxilla, one cervical vertebra, two trunk vertebrae, two sacral vertebrae with ribs, three caudal vertebrae, fragmented ribs, right scapula and coracoid, humeri, left ilium, left and right fragmentary pubes, right femur, right tibia, and left astragalus</t>
  </si>
  <si>
    <t>Moro et al 2023</t>
  </si>
  <si>
    <t>0244</t>
  </si>
  <si>
    <t>N38</t>
  </si>
  <si>
    <t>Lepidosauromorpha</t>
  </si>
  <si>
    <t>Eusphenodontia</t>
  </si>
  <si>
    <t>Linha São Luiz</t>
  </si>
  <si>
    <t>Arantes 2011</t>
  </si>
  <si>
    <t>0735 T</t>
  </si>
  <si>
    <t>N39</t>
  </si>
  <si>
    <t>0740 T</t>
  </si>
  <si>
    <t>N40</t>
  </si>
  <si>
    <t>0746 T</t>
  </si>
  <si>
    <t>N41</t>
  </si>
  <si>
    <t>0753 T</t>
  </si>
  <si>
    <t>N42</t>
  </si>
  <si>
    <t>0974 T</t>
  </si>
  <si>
    <t>N43</t>
  </si>
  <si>
    <t>1152 T</t>
  </si>
  <si>
    <t>N44</t>
  </si>
  <si>
    <t>Sesmaria do Pinhal 1</t>
  </si>
  <si>
    <t>MCN-PV-</t>
  </si>
  <si>
    <t>10206</t>
  </si>
  <si>
    <t>N45</t>
  </si>
  <si>
    <t>right and left unarticulated lower jaws (associated to the skull but not articulated)</t>
  </si>
  <si>
    <t>Romo de Vivar &amp; Soares 2015</t>
  </si>
  <si>
    <t>2852</t>
  </si>
  <si>
    <t>N46</t>
  </si>
  <si>
    <t>very small right humerus</t>
  </si>
  <si>
    <t>Los Colorados. La Esquina</t>
  </si>
  <si>
    <t>PVL</t>
  </si>
  <si>
    <t>4822/64? or 26 to 49</t>
  </si>
  <si>
    <t>N246</t>
  </si>
  <si>
    <t>Marchezan</t>
  </si>
  <si>
    <t>Pacheco et al 2019</t>
  </si>
  <si>
    <t>0009</t>
  </si>
  <si>
    <t>N247</t>
  </si>
  <si>
    <t>Articulated hind limb: including distal half of tibia and fibula: astragalus: calc: pair of distal tarals and complete foot plus a distal end of collected posterior tibia</t>
  </si>
  <si>
    <t>Sesmaria do Pinhal 2</t>
  </si>
  <si>
    <t>Langer et al. 2011</t>
  </si>
  <si>
    <t>2356</t>
  </si>
  <si>
    <t>N248</t>
  </si>
  <si>
    <t>Block containing articulated parts and some isolated elements that include the left metacarpal I</t>
  </si>
  <si>
    <t>10112</t>
  </si>
  <si>
    <t>N249</t>
  </si>
  <si>
    <t>000004 V</t>
  </si>
  <si>
    <t>N250</t>
  </si>
  <si>
    <t>000006 V</t>
  </si>
  <si>
    <t>N251</t>
  </si>
  <si>
    <t>mandíbula (a) e cranio (b)</t>
  </si>
  <si>
    <t>000009 R</t>
  </si>
  <si>
    <t>N252</t>
  </si>
  <si>
    <t>Skull</t>
  </si>
  <si>
    <t>000184 R</t>
  </si>
  <si>
    <t>N253</t>
  </si>
  <si>
    <t>Lote grande de miscelânea (maxila direita)</t>
  </si>
  <si>
    <t>000295 R a</t>
  </si>
  <si>
    <t>N254</t>
  </si>
  <si>
    <t>000295 R b</t>
  </si>
  <si>
    <t>N255</t>
  </si>
  <si>
    <t>crânio fragmentado</t>
  </si>
  <si>
    <t>000191 R</t>
  </si>
  <si>
    <t>N256</t>
  </si>
  <si>
    <t>maxila esquerda</t>
  </si>
  <si>
    <t>000187 R</t>
  </si>
  <si>
    <t>N257</t>
  </si>
  <si>
    <t>Fragmento de crânio + vertebra</t>
  </si>
  <si>
    <t>000307 R</t>
  </si>
  <si>
    <t>N258</t>
  </si>
  <si>
    <t>MCT/s_nº 6</t>
  </si>
  <si>
    <t>N259</t>
  </si>
  <si>
    <t>dentario esquerdo juvenil</t>
  </si>
  <si>
    <t>MCT/s_nº 10</t>
  </si>
  <si>
    <t>N260</t>
  </si>
  <si>
    <t>illium e ischium,lado esquerdo e maxila esquerda</t>
  </si>
  <si>
    <t>000061 R</t>
  </si>
  <si>
    <t>N261</t>
  </si>
  <si>
    <t>maxila direita</t>
  </si>
  <si>
    <t>MCT/s_nº 97</t>
  </si>
  <si>
    <t>N262</t>
  </si>
  <si>
    <t>MCT/s_nº 98</t>
  </si>
  <si>
    <t>N263</t>
  </si>
  <si>
    <t>fragmento anterior do dentário esquerdo</t>
  </si>
  <si>
    <t>MCT/s_nº 99</t>
  </si>
  <si>
    <t>N264</t>
  </si>
  <si>
    <t>maxila esquerda e fragmento do crânio</t>
  </si>
  <si>
    <t>MCT/s_nº 110</t>
  </si>
  <si>
    <t>N265</t>
  </si>
  <si>
    <t>fragmentos cranianos + ossos disversos</t>
  </si>
  <si>
    <t>ULVG</t>
  </si>
  <si>
    <t>12258</t>
  </si>
  <si>
    <t>N266</t>
  </si>
  <si>
    <t>rib, tibia, humerus</t>
  </si>
  <si>
    <t>Veiga et al. 2013</t>
  </si>
  <si>
    <t>0247 T</t>
  </si>
  <si>
    <t>N267</t>
  </si>
  <si>
    <t>esqueleto completo exibido preparado em 1937</t>
  </si>
  <si>
    <t>000001 R</t>
  </si>
  <si>
    <t>N268</t>
  </si>
  <si>
    <t>vértebra dorsal média</t>
  </si>
  <si>
    <t>11221a</t>
  </si>
  <si>
    <t>N269</t>
  </si>
  <si>
    <t>11221b</t>
  </si>
  <si>
    <t>N270</t>
  </si>
  <si>
    <t>cranio parcial</t>
  </si>
  <si>
    <t>cff Rafael provável material do MNRJ se sao os mesmo do livro tombo. Alemoa</t>
  </si>
  <si>
    <t>MN</t>
  </si>
  <si>
    <t>0002 V. 0003 V  0005 V</t>
  </si>
  <si>
    <t>N271</t>
  </si>
  <si>
    <t>Pata parcial e esqueleto</t>
  </si>
  <si>
    <t>000304 R</t>
  </si>
  <si>
    <t>N272</t>
  </si>
  <si>
    <t>mandíbula esquerda</t>
  </si>
  <si>
    <t>MCT/s_nº 23</t>
  </si>
  <si>
    <t>N273</t>
  </si>
  <si>
    <t>mandíbula direita</t>
  </si>
  <si>
    <t>MCT/s_nº 24</t>
  </si>
  <si>
    <t>N274</t>
  </si>
  <si>
    <t>MCT/s_nº 25</t>
  </si>
  <si>
    <t>N275</t>
  </si>
  <si>
    <t>MCT/s_nº 26</t>
  </si>
  <si>
    <t>N276</t>
  </si>
  <si>
    <t>MCT/s_nº 27</t>
  </si>
  <si>
    <t>N277</t>
  </si>
  <si>
    <t>mandíbula</t>
  </si>
  <si>
    <t>MCT/s_nº 96</t>
  </si>
  <si>
    <t>N278</t>
  </si>
  <si>
    <t>maxila direita e fragmento de maxila esquerda</t>
  </si>
  <si>
    <t>11035a</t>
  </si>
  <si>
    <t>N279</t>
  </si>
  <si>
    <t>maxila esquerda e direita</t>
  </si>
  <si>
    <t>11035d</t>
  </si>
  <si>
    <t>N280</t>
  </si>
  <si>
    <t>4 vértebras, maxila, várias costelas gastrais</t>
  </si>
  <si>
    <t>Ribeirão</t>
  </si>
  <si>
    <t>11067</t>
  </si>
  <si>
    <t>N281</t>
  </si>
  <si>
    <t>1 maxila direita</t>
  </si>
  <si>
    <t>0044 a</t>
  </si>
  <si>
    <t>N282</t>
  </si>
  <si>
    <t>0044 b</t>
  </si>
  <si>
    <t>N283</t>
  </si>
  <si>
    <t>0044 c</t>
  </si>
  <si>
    <t>N284</t>
  </si>
  <si>
    <t>0044 d</t>
  </si>
  <si>
    <t>N285</t>
  </si>
  <si>
    <t>dentário</t>
  </si>
  <si>
    <t>Vila Kennedy</t>
  </si>
  <si>
    <t>MCP</t>
  </si>
  <si>
    <t>MCP-PUCRS-</t>
  </si>
  <si>
    <t>698</t>
  </si>
  <si>
    <t>N286</t>
  </si>
  <si>
    <t>maxila</t>
  </si>
  <si>
    <t>1393</t>
  </si>
  <si>
    <t>N287</t>
  </si>
  <si>
    <t>vértebra grande</t>
  </si>
  <si>
    <t>Rio Campinas</t>
  </si>
  <si>
    <t>807</t>
  </si>
  <si>
    <t>N288</t>
  </si>
  <si>
    <t>1498</t>
  </si>
  <si>
    <t>N289</t>
  </si>
  <si>
    <t>juvenil skull</t>
  </si>
  <si>
    <t>1583</t>
  </si>
  <si>
    <t>N290</t>
  </si>
  <si>
    <t>maxila, fragm de mandíbula com surangular esquerdo, 7 vertebras, articular esquerdo, dentário (encontrado um fragmento de fêmur do Aetosauroides)</t>
  </si>
  <si>
    <t>3449</t>
  </si>
  <si>
    <t>N291</t>
  </si>
  <si>
    <t>vários fragmentos</t>
  </si>
  <si>
    <t>4605</t>
  </si>
  <si>
    <t>N292</t>
  </si>
  <si>
    <t>dentário direito</t>
  </si>
  <si>
    <t>Arroio do Só</t>
  </si>
  <si>
    <t>859</t>
  </si>
  <si>
    <t>N293</t>
  </si>
  <si>
    <t>maxila e dentário</t>
  </si>
  <si>
    <t>3847</t>
  </si>
  <si>
    <t>N294</t>
  </si>
  <si>
    <t>858</t>
  </si>
  <si>
    <t>N295</t>
  </si>
  <si>
    <t>1381</t>
  </si>
  <si>
    <t>N296</t>
  </si>
  <si>
    <t>crânio quase completo</t>
  </si>
  <si>
    <t>567</t>
  </si>
  <si>
    <t>N297</t>
  </si>
  <si>
    <t>1387</t>
  </si>
  <si>
    <t>N298</t>
  </si>
  <si>
    <t>crânio e mandíbula bem preservado</t>
  </si>
  <si>
    <t>1636</t>
  </si>
  <si>
    <t>N299</t>
  </si>
  <si>
    <t>frag. De crânio mais dentário isoldado e fêmur e vértebras?</t>
  </si>
  <si>
    <t>1638</t>
  </si>
  <si>
    <t>N300</t>
  </si>
  <si>
    <t>frag de cranio e mandibula</t>
  </si>
  <si>
    <t>1634</t>
  </si>
  <si>
    <t>N301</t>
  </si>
  <si>
    <t>cranio fragmentario</t>
  </si>
  <si>
    <t>Sao Jose?</t>
  </si>
  <si>
    <t>1637</t>
  </si>
  <si>
    <t>N302</t>
  </si>
  <si>
    <t>cranio com dentario</t>
  </si>
  <si>
    <t>Sao Jose? (embaixo do cemitério coletado por Price)</t>
  </si>
  <si>
    <t>1635</t>
  </si>
  <si>
    <t>N303</t>
  </si>
  <si>
    <t>humerus e maxila</t>
  </si>
  <si>
    <t>4555</t>
  </si>
  <si>
    <t>N304</t>
  </si>
  <si>
    <t>esqueleto quase completo</t>
  </si>
  <si>
    <t>Cerrito?</t>
  </si>
  <si>
    <t>Benton and Kirkpatrick</t>
  </si>
  <si>
    <t>1664</t>
  </si>
  <si>
    <t>N305</t>
  </si>
  <si>
    <t>Vale do Sol</t>
  </si>
  <si>
    <t>MMACR</t>
  </si>
  <si>
    <t>032 T</t>
  </si>
  <si>
    <t>N306</t>
  </si>
  <si>
    <t>esqueleto quase completo (25 peças)</t>
  </si>
  <si>
    <t>Bittencourt et al 2013</t>
  </si>
  <si>
    <t>017</t>
  </si>
  <si>
    <t>N307</t>
  </si>
  <si>
    <t>327</t>
  </si>
  <si>
    <t>N308</t>
  </si>
  <si>
    <t>osso do cranio indet quadrado jugal? (a), maxila (b) e fragmento de arco neural (c)</t>
  </si>
  <si>
    <t>11672a. b c</t>
  </si>
  <si>
    <t>N309</t>
  </si>
  <si>
    <t>crânio com vértebra, úmero, costelas e dedos, Hyperodapedontinae sem dentes linguais</t>
  </si>
  <si>
    <t>exposiçao</t>
  </si>
  <si>
    <t>MVP.</t>
  </si>
  <si>
    <t>05.2502</t>
  </si>
  <si>
    <t>N310</t>
  </si>
  <si>
    <t>crânio e mandíbula inferior</t>
  </si>
  <si>
    <t>05.2512 e 05.2512.1</t>
  </si>
  <si>
    <t>N311</t>
  </si>
  <si>
    <t>esqueleto completo</t>
  </si>
  <si>
    <t>05.2828</t>
  </si>
  <si>
    <t>N312</t>
  </si>
  <si>
    <t>dentário com dentes linguais e vértebra associada</t>
  </si>
  <si>
    <t>11733</t>
  </si>
  <si>
    <t>N313</t>
  </si>
  <si>
    <t>UFSM 11561 é um fragmento de dentário (que encaixa no UFSM 11562) e o UFSM 11562 contém maxila e fragmento de dentário</t>
  </si>
  <si>
    <t>11561. UFSM 11562</t>
  </si>
  <si>
    <t>N314</t>
  </si>
  <si>
    <t>sem numero</t>
  </si>
  <si>
    <t>N315</t>
  </si>
  <si>
    <t>four anterior and a distal caudal vertebrae, proximal and distal ends of ulnae and radii, proximal third of left fibula, partial right foot including distal tarsal III and IV, proximal and distal ends of metatarsal I and II, two isolate non-terminal phalanges, and an ungual</t>
  </si>
  <si>
    <t>Quebrada Del Barro</t>
  </si>
  <si>
    <t>PVSJ</t>
  </si>
  <si>
    <t>1087</t>
  </si>
  <si>
    <t>N318</t>
  </si>
  <si>
    <t xml:space="preserve">Partially articulated skeleton
including skull roof, braincase, 23 pre-sacral, two sacral, and
nine tail vertebrae, right scapula, left humerus, paired pelvic
girdle, femur, tibia, and fibula </t>
  </si>
  <si>
    <t>059</t>
  </si>
  <si>
    <t>N327</t>
  </si>
  <si>
    <t>4822 ⁄ 65b</t>
  </si>
  <si>
    <t>N328</t>
  </si>
  <si>
    <t>right humerus</t>
  </si>
  <si>
    <t>4822 ⁄ 53</t>
  </si>
  <si>
    <t>N329</t>
  </si>
  <si>
    <t>two fragments of a right humerus (distal and proximal)</t>
  </si>
  <si>
    <t>N330</t>
  </si>
  <si>
    <t>cervicodorsal vertebrae (with eight neural arches are individually identified by the collection numbers (PVL 4822-1 ⁄ 1–4822-1 ⁄ 7 and PVL 4822-1 ⁄ 10), left small scapula (PVL 4822 ⁄ 50, jointed here considering Pol &amp; Powell 2007 "probably belongs to the same individual as the cervicodorsal series (or a similarly-sized specimen)."</t>
  </si>
  <si>
    <t>4822-1 ⁄ 1–25.4822 ⁄ 50</t>
  </si>
  <si>
    <t>N331</t>
  </si>
  <si>
    <t>Right scapula</t>
  </si>
  <si>
    <t>4822 ⁄ 51</t>
  </si>
  <si>
    <t>N332</t>
  </si>
  <si>
    <t>Coracoid</t>
  </si>
  <si>
    <t>4822 ⁄ 52</t>
  </si>
  <si>
    <t>N333</t>
  </si>
  <si>
    <t>Left radius-ulna</t>
  </si>
  <si>
    <t>4822 ⁄ 54-4822/55</t>
  </si>
  <si>
    <t>N334</t>
  </si>
  <si>
    <t>first left metacarpal PVL 4822 ⁄ 56, left manual phalanx I.1 PVL 4822 ⁄ 58, second right metacarpal PVL 4822 ⁄ 57 and left manual digit I (including the ungual PVL 4822 ⁄ 59)</t>
  </si>
  <si>
    <t>4822 ⁄ 56-PVL 4822 ⁄ 59</t>
  </si>
  <si>
    <t>N335</t>
  </si>
  <si>
    <t>Right ilium</t>
  </si>
  <si>
    <t>4822 ⁄ 60</t>
  </si>
  <si>
    <t>N336</t>
  </si>
  <si>
    <t>left and right pubis</t>
  </si>
  <si>
    <t>4822 ⁄ 61–4822 ⁄ 62</t>
  </si>
  <si>
    <t>N337</t>
  </si>
  <si>
    <t>Distal ischia</t>
  </si>
  <si>
    <t>4822 ⁄ 63</t>
  </si>
  <si>
    <t>N338</t>
  </si>
  <si>
    <t>right tibia PVL 4822 ⁄ 66 and left tibia 4822 ⁄ 67</t>
  </si>
  <si>
    <t>4822 ⁄ 66 até 4822 ⁄ 67</t>
  </si>
  <si>
    <t>N339</t>
  </si>
  <si>
    <t>Left astragalus</t>
  </si>
  <si>
    <t>4822 ⁄ 68</t>
  </si>
  <si>
    <t>N340</t>
  </si>
  <si>
    <t>Metatarsal elements. A, metatarsal I (PVL 4822/69), metatarsal II (PVL 4822 ⁄ 70), metatarsal III (PVL 4822 ⁄ 71), proximal and distal ends of metatarsal IV (PVL 4822 ⁄ 72–4822 ⁄ 73) and metatarsal V (PVL 4822 ⁄ 74) in dorsal view. B, detail of reduced metatarsal V PVL 4822 ⁄ 74</t>
  </si>
  <si>
    <t>4822/69-4822/74</t>
  </si>
  <si>
    <t>N341</t>
  </si>
  <si>
    <t>proximal pedal phalanges</t>
  </si>
  <si>
    <t>4822 ⁄ 75–4822 ⁄ 76</t>
  </si>
  <si>
    <t>N342</t>
  </si>
  <si>
    <t>non-terminal phalanx</t>
  </si>
  <si>
    <t>4822 ⁄ 77</t>
  </si>
  <si>
    <t>N343</t>
  </si>
  <si>
    <t>pedal unguals (4822 ⁄ 79 - pedal ungual phalanx II?)</t>
  </si>
  <si>
    <t>4822 ⁄ 78–4822 ⁄ 79</t>
  </si>
  <si>
    <t>N344</t>
  </si>
  <si>
    <t>small right humerus</t>
  </si>
  <si>
    <t>N345</t>
  </si>
  <si>
    <t>a partial skeleton including skull with articulated mandible, lacking both nasals, left prefrontal, middle section of the left maxilla, anterior half of the left lower jaw, supraoccipital, both exoccipitals, ophistotics, laterosphenoids and vomers; atlas-axis articulated with anterior cervical vertebrae (C3-C7); an anterior and a middle caudal vertebra; proximal region of the left scapula, coracoid and humerus; partial blade of the right pubis lacking distal and proximal ends; proximal region of both ischia; partial left pes that includs distal tarsals III and IV, metatarsal III lacking its distal end, complete metatarsals IV and V, first phalanx of digit I, second phalanx of digit II, and second phalanx of digit IV</t>
  </si>
  <si>
    <t>Leyesaurus</t>
  </si>
  <si>
    <t>2 meters below the contact with the Cretaceous unit. Marayes-El Carrizal Basin</t>
  </si>
  <si>
    <t>706</t>
  </si>
  <si>
    <t>N350</t>
  </si>
  <si>
    <t>1 crânio parcial (d)</t>
  </si>
  <si>
    <t>Agudo</t>
  </si>
  <si>
    <t xml:space="preserve">0001d </t>
  </si>
  <si>
    <t>N351</t>
  </si>
  <si>
    <t>partially articulated cranial elements and some disarticulated postcranial bones (some vertebral centra and one scapula)</t>
  </si>
  <si>
    <t>Kellner et al 2022</t>
  </si>
  <si>
    <t>0300</t>
  </si>
  <si>
    <t>N362</t>
  </si>
  <si>
    <t>skull</t>
  </si>
  <si>
    <t>0972 T</t>
  </si>
  <si>
    <t>N363</t>
  </si>
  <si>
    <t>distal portion of L femur</t>
  </si>
  <si>
    <t>Neotheropoda</t>
  </si>
  <si>
    <t>new Neotheropoda</t>
  </si>
  <si>
    <t>Candelária</t>
  </si>
  <si>
    <t>Pinheiro 2016</t>
  </si>
  <si>
    <t>039 T</t>
  </si>
  <si>
    <t>N364</t>
  </si>
  <si>
    <t>new Rhynchocephalia</t>
  </si>
  <si>
    <t>BR-153</t>
  </si>
  <si>
    <t>Romo-de-Vivar-Martínez et al 2019</t>
  </si>
  <si>
    <t>MMACR-PV-</t>
  </si>
  <si>
    <t>051-T</t>
  </si>
  <si>
    <t>N365</t>
  </si>
  <si>
    <t>a partial postcranial skeleton, consisting of three trunk vertebrae, two sacral vertebrae,
seven caudal vertebrae, a chevron, and pelvic and hind limb
bones from the right side of the body, including an ilium, femur,
partial tibia, fibula, metatarsals II and IV, and ungual and nonungual phalanges.</t>
  </si>
  <si>
    <t>Theropoda</t>
  </si>
  <si>
    <t>Marsola et al 2019</t>
  </si>
  <si>
    <t>LPRP/USP</t>
  </si>
  <si>
    <t>LPRP/USP 0651</t>
  </si>
  <si>
    <t>N366</t>
  </si>
  <si>
    <t>a left femur</t>
  </si>
  <si>
    <t>Müller et al 2017</t>
  </si>
  <si>
    <t>0028</t>
  </si>
  <si>
    <t>N482</t>
  </si>
  <si>
    <t>Skeleton including the natural cast of a mandibular ramus having teeth: some disarticulated truncal vertebrae: both sides of the shoulder girdle: right humerus: right side of the pelvic girdle: and most of the right posterior autopodium</t>
  </si>
  <si>
    <t>Langer et al. 1999</t>
  </si>
  <si>
    <t>3845 PV</t>
  </si>
  <si>
    <t>N503</t>
  </si>
  <si>
    <t>Stenoscelida </t>
  </si>
  <si>
    <t>Muller et al 2022</t>
  </si>
  <si>
    <t>0293</t>
  </si>
  <si>
    <t>N507</t>
  </si>
  <si>
    <t>3863</t>
  </si>
  <si>
    <t>N508</t>
  </si>
  <si>
    <t>Partial and disarticulated skull bones excavated in a small area of approximately 1 m including: left premaxilla, left jugal, left quadratojugal, right maxilla, right and left dentaries, left splenial, left surangular, left angular, and left articular. There are some postcranial elements, such as fragmentary vertebrae and indeterminate bones. The cranial material corresponds to a single individual due to the absence of duplicate elements and congruent size among each other based on comparisons with other rhynchosaurs</t>
  </si>
  <si>
    <t>Doering et al 2024</t>
  </si>
  <si>
    <t>0399</t>
  </si>
  <si>
    <t>N511</t>
  </si>
  <si>
    <t>Two vertebral centra, three partial metatarsals, and five pedal phalanges (including two ungual phalanges)</t>
  </si>
  <si>
    <t>Água Negra</t>
  </si>
  <si>
    <t>Müller et al 2023</t>
  </si>
  <si>
    <t>11712</t>
  </si>
  <si>
    <t>N512</t>
  </si>
  <si>
    <t>partial skeleton of a single individual, including cranial and postcranial remains</t>
  </si>
  <si>
    <t xml:space="preserve">CAPPA/UFSM </t>
  </si>
  <si>
    <t>356</t>
  </si>
  <si>
    <t>N525</t>
  </si>
  <si>
    <t>a partial skull (Partial mandibular symphysis lacking anterior end, preserving one tooth (lacking the apex) and three alveoli from the left side, and the roots of three teeth a)</t>
  </si>
  <si>
    <t>Pterosauromorpha</t>
  </si>
  <si>
    <t>Pachagnathus</t>
  </si>
  <si>
    <t>Martínez et al 2022</t>
  </si>
  <si>
    <t>108</t>
  </si>
  <si>
    <t>N534</t>
  </si>
  <si>
    <t>Puercosuchus</t>
  </si>
  <si>
    <t>-109.3586</t>
  </si>
  <si>
    <t>34.5139</t>
  </si>
  <si>
    <t>Marsh et al 2002</t>
  </si>
  <si>
    <t>43914</t>
  </si>
  <si>
    <t>N543</t>
  </si>
  <si>
    <t>a nearly complete antorbital skull, a closely associated osteoderm, and numerous bone fragments</t>
  </si>
  <si>
    <t>Jupijkam</t>
  </si>
  <si>
    <t>-65.474695</t>
  </si>
  <si>
    <t>44.826770</t>
  </si>
  <si>
    <t>CAN</t>
  </si>
  <si>
    <t>Bay of Fundy region</t>
  </si>
  <si>
    <t>White Water</t>
  </si>
  <si>
    <t>Brownstein</t>
  </si>
  <si>
    <t>YPM VPPU</t>
  </si>
  <si>
    <t>7920</t>
  </si>
  <si>
    <t>N376</t>
  </si>
  <si>
    <t>Lower Triassic</t>
  </si>
  <si>
    <t>Rincão dos Weiss</t>
  </si>
  <si>
    <t>1888</t>
  </si>
  <si>
    <t>N377</t>
  </si>
  <si>
    <t>UNIPAMPA</t>
  </si>
  <si>
    <t>0748</t>
  </si>
  <si>
    <t>N378</t>
  </si>
  <si>
    <t>rigth partial skull (large)</t>
  </si>
  <si>
    <t>Dias-da-Silva et al 2017</t>
  </si>
  <si>
    <t>0494 T</t>
  </si>
  <si>
    <t>N379</t>
  </si>
  <si>
    <t>2722</t>
  </si>
  <si>
    <t>N380</t>
  </si>
  <si>
    <t>0055</t>
  </si>
  <si>
    <t>N381</t>
  </si>
  <si>
    <t>0680</t>
  </si>
  <si>
    <t>N382</t>
  </si>
  <si>
    <t>dentary</t>
  </si>
  <si>
    <t>0731</t>
  </si>
  <si>
    <t>N383</t>
  </si>
  <si>
    <t>skull and mandibule</t>
  </si>
  <si>
    <t>0732</t>
  </si>
  <si>
    <t>N384</t>
  </si>
  <si>
    <t>Procolophon c.f. trigoniceps</t>
  </si>
  <si>
    <t>Toroquá</t>
  </si>
  <si>
    <t>0704</t>
  </si>
  <si>
    <t>N385</t>
  </si>
  <si>
    <t>0705</t>
  </si>
  <si>
    <t>N386</t>
  </si>
  <si>
    <t>0706</t>
  </si>
  <si>
    <t>N387</t>
  </si>
  <si>
    <t>0707</t>
  </si>
  <si>
    <t>N388</t>
  </si>
  <si>
    <t>0708</t>
  </si>
  <si>
    <t>N389</t>
  </si>
  <si>
    <t>0710</t>
  </si>
  <si>
    <t>N390</t>
  </si>
  <si>
    <t>0711</t>
  </si>
  <si>
    <t>N391</t>
  </si>
  <si>
    <t>0736</t>
  </si>
  <si>
    <t>N392</t>
  </si>
  <si>
    <t>0747</t>
  </si>
  <si>
    <t>N393</t>
  </si>
  <si>
    <t>0749</t>
  </si>
  <si>
    <t>N526</t>
  </si>
  <si>
    <t>type specimen and 3D body fossil</t>
  </si>
  <si>
    <t>Saurischia</t>
  </si>
  <si>
    <t>Blikanasaurus</t>
  </si>
  <si>
    <t>Blikanan Mountain</t>
  </si>
  <si>
    <t>Stomberg</t>
  </si>
  <si>
    <t>Yates 2008</t>
  </si>
  <si>
    <t>403</t>
  </si>
  <si>
    <t>N532</t>
  </si>
  <si>
    <t>femur, ilium, vertebrae, pubis and metatarsus</t>
  </si>
  <si>
    <t>Meroktenos</t>
  </si>
  <si>
    <t>-29.9333</t>
  </si>
  <si>
    <t xml:space="preserve">27.4 </t>
  </si>
  <si>
    <t>Mafeteng</t>
  </si>
  <si>
    <t>MNHN</t>
  </si>
  <si>
    <t>LES-16</t>
  </si>
  <si>
    <t>N535</t>
  </si>
  <si>
    <t>a nearly complete, semi-articulated skeleton</t>
  </si>
  <si>
    <t>Tramuntanasaurus</t>
  </si>
  <si>
    <t>39.686844</t>
  </si>
  <si>
    <t>2.514965</t>
  </si>
  <si>
    <t>Balearic Islands</t>
  </si>
  <si>
    <t>western Mediterranean</t>
  </si>
  <si>
    <t>Port des Canonge</t>
  </si>
  <si>
    <t>Racó de s'Algar–Pedra de s'As</t>
  </si>
  <si>
    <t>Matamales-Andreu et al 2023</t>
  </si>
  <si>
    <t>DA</t>
  </si>
  <si>
    <t>21/17-01-03</t>
  </si>
  <si>
    <t>N538</t>
  </si>
  <si>
    <t>a mandible (dentary)</t>
  </si>
  <si>
    <t>Kahneria</t>
  </si>
  <si>
    <t>-99.9383</t>
  </si>
  <si>
    <t>33.66</t>
  </si>
  <si>
    <t>San Angelo</t>
  </si>
  <si>
    <t>Pease River</t>
  </si>
  <si>
    <t>Flowerpot Shale</t>
  </si>
  <si>
    <t>618</t>
  </si>
  <si>
    <t>N397</t>
  </si>
  <si>
    <t>pelvic girdle of a juvenile individual</t>
  </si>
  <si>
    <t>Cisneros et al 2021</t>
  </si>
  <si>
    <t>0232 P (paratype)</t>
  </si>
  <si>
    <t>N398</t>
  </si>
  <si>
    <t>0358 P</t>
  </si>
  <si>
    <t>N399</t>
  </si>
  <si>
    <t>scapulocoracoid and a partial rib of a juvenile individual</t>
  </si>
  <si>
    <t>0376 P</t>
  </si>
  <si>
    <t>N400</t>
  </si>
  <si>
    <t>partial skull, right mandible, left humerus, partial left scapulocoracoid, ribs, clavicle, one ungual phalanx, interclavicle, vertebrae and osteoderms</t>
  </si>
  <si>
    <t>Minuano</t>
  </si>
  <si>
    <t>0359 P</t>
  </si>
  <si>
    <t>N401</t>
  </si>
  <si>
    <t>varios ossos para preparar</t>
  </si>
  <si>
    <t>Aceguá</t>
  </si>
  <si>
    <t>ULVG-</t>
  </si>
  <si>
    <t>8675</t>
  </si>
  <si>
    <t>N369</t>
  </si>
  <si>
    <t>Pararetilia</t>
  </si>
  <si>
    <t xml:space="preserve">Cistecephalus </t>
  </si>
  <si>
    <t>12000 (referred by Boonstra 1930 as a Neotype)</t>
  </si>
  <si>
    <t>N370</t>
  </si>
  <si>
    <t>Skull and other isolated elements of postcrania</t>
  </si>
  <si>
    <t xml:space="preserve">Cistecephalus  </t>
  </si>
  <si>
    <t>2337 (Holotype)</t>
  </si>
  <si>
    <t>N539</t>
  </si>
  <si>
    <t>skull with maxillae and lower jaw attached</t>
  </si>
  <si>
    <t>Indosauriscus</t>
  </si>
  <si>
    <t>80.358531</t>
  </si>
  <si>
    <t>18.844196</t>
  </si>
  <si>
    <t>Near the village of Golet</t>
  </si>
  <si>
    <t>Kundaram</t>
  </si>
  <si>
    <t>Reisz et al 2024</t>
  </si>
  <si>
    <t>ISIR</t>
  </si>
  <si>
    <t>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</si>
</sst>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1"/>
      <name val="Calibri"/>
      <family val="2"/>
    </font>
    <font>
      <i/>
      <sz val="11"/>
      <name val="Calibri"/>
      <family val="2"/>
    </font>
    <font>
      <sz val="11"/>
      <color rgb="FF00B050"/>
      <name val="Calibri"/>
      <family val="2"/>
    </font>
    <font>
      <i/>
      <sz val="11"/>
      <color theme="1"/>
      <name val="Calibri"/>
      <family val="2"/>
    </font>
    <font>
      <sz val="11"/>
      <color rgb="FF333333"/>
      <name val="Calibri"/>
      <family val="2"/>
    </font>
    <font>
      <sz val="11"/>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FFFFFF"/>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6" fontId="0" fillId="0" borderId="0" xfId="0" applyNumberFormat="1"/>
    <xf numFmtId="0" fontId="18" fillId="0" borderId="0" xfId="0" applyFont="1"/>
    <xf numFmtId="0" fontId="19" fillId="0" borderId="0" xfId="0" applyFont="1"/>
    <xf numFmtId="0" fontId="20" fillId="0" borderId="0" xfId="0" applyFont="1"/>
    <xf numFmtId="0" fontId="19" fillId="0" borderId="0" xfId="0" applyFont="1" applyAlignment="1">
      <alignment horizontal="right"/>
    </xf>
    <xf numFmtId="49" fontId="19" fillId="0" borderId="0" xfId="0" applyNumberFormat="1" applyFont="1"/>
    <xf numFmtId="0" fontId="20" fillId="33" borderId="0" xfId="0" applyFont="1" applyFill="1"/>
    <xf numFmtId="0" fontId="19" fillId="33" borderId="0" xfId="0" applyFont="1" applyFill="1"/>
    <xf numFmtId="49" fontId="19" fillId="33" borderId="0" xfId="0" applyNumberFormat="1" applyFont="1" applyFill="1"/>
    <xf numFmtId="0" fontId="19" fillId="0" borderId="0" xfId="0" applyFont="1" applyAlignment="1">
      <alignment horizontal="left"/>
    </xf>
    <xf numFmtId="49" fontId="19" fillId="0" borderId="0" xfId="0" applyNumberFormat="1" applyFont="1" applyAlignment="1">
      <alignment horizontal="left"/>
    </xf>
    <xf numFmtId="0" fontId="18" fillId="0" borderId="0" xfId="0" applyFont="1" applyAlignment="1">
      <alignment horizontal="left"/>
    </xf>
    <xf numFmtId="0" fontId="19" fillId="33" borderId="0" xfId="0" applyFont="1" applyFill="1" applyAlignment="1">
      <alignment horizontal="right"/>
    </xf>
    <xf numFmtId="49" fontId="19" fillId="0" borderId="0" xfId="0" applyNumberFormat="1" applyFont="1" applyAlignment="1">
      <alignment horizontal="left" vertical="top"/>
    </xf>
    <xf numFmtId="0" fontId="18" fillId="0" borderId="0" xfId="0" applyFont="1" applyAlignment="1">
      <alignment vertical="center"/>
    </xf>
    <xf numFmtId="0" fontId="19" fillId="0" borderId="0" xfId="0" applyFont="1" applyAlignment="1">
      <alignment vertical="center"/>
    </xf>
    <xf numFmtId="0" fontId="19" fillId="0" borderId="0" xfId="0" applyFont="1" applyAlignment="1">
      <alignment horizontal="left" vertical="center"/>
    </xf>
    <xf numFmtId="49" fontId="19" fillId="0" borderId="0" xfId="0" applyNumberFormat="1" applyFont="1" applyAlignment="1">
      <alignment horizontal="left" vertical="center"/>
    </xf>
    <xf numFmtId="49" fontId="18" fillId="0" borderId="0" xfId="0" applyNumberFormat="1" applyFont="1"/>
    <xf numFmtId="0" fontId="21" fillId="0" borderId="0" xfId="0" applyFont="1" applyAlignment="1">
      <alignment horizontal="left"/>
    </xf>
    <xf numFmtId="0" fontId="20" fillId="0" borderId="0" xfId="0" applyFont="1" applyAlignment="1">
      <alignment vertical="center" wrapText="1"/>
    </xf>
    <xf numFmtId="0" fontId="19" fillId="0" borderId="0" xfId="0" applyFont="1" applyAlignment="1">
      <alignment horizontal="left" vertical="top"/>
    </xf>
    <xf numFmtId="0" fontId="18" fillId="0" borderId="0" xfId="0" applyFont="1" applyAlignment="1">
      <alignment vertical="top"/>
    </xf>
    <xf numFmtId="49" fontId="20" fillId="0" borderId="0" xfId="0" applyNumberFormat="1" applyFont="1" applyAlignment="1">
      <alignment horizontal="left"/>
    </xf>
    <xf numFmtId="0" fontId="22" fillId="0" borderId="0" xfId="0" applyFont="1"/>
    <xf numFmtId="0" fontId="23"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44DF-9B6A-460B-8892-AE8C4128598C}">
  <dimension ref="A1:BB3988"/>
  <sheetViews>
    <sheetView tabSelected="1" topLeftCell="A914" workbookViewId="0">
      <selection activeCell="U988" sqref="U988"/>
    </sheetView>
  </sheetViews>
  <sheetFormatPr defaultRowHeight="14.6" x14ac:dyDescent="0.4"/>
  <sheetData>
    <row r="1" spans="1:54"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x14ac:dyDescent="0.4">
      <c r="A2">
        <v>146084</v>
      </c>
      <c r="D2" t="s">
        <v>54</v>
      </c>
      <c r="E2" t="s">
        <v>55</v>
      </c>
      <c r="G2">
        <v>1</v>
      </c>
      <c r="H2" t="s">
        <v>56</v>
      </c>
      <c r="I2" t="s">
        <v>57</v>
      </c>
      <c r="K2" t="s">
        <v>58</v>
      </c>
      <c r="L2" t="s">
        <v>59</v>
      </c>
      <c r="M2" t="s">
        <v>60</v>
      </c>
      <c r="N2" t="s">
        <v>61</v>
      </c>
      <c r="P2" t="s">
        <v>62</v>
      </c>
      <c r="R2" t="s">
        <v>63</v>
      </c>
      <c r="S2" t="s">
        <v>64</v>
      </c>
      <c r="T2">
        <v>227</v>
      </c>
      <c r="U2">
        <v>208.5</v>
      </c>
      <c r="V2">
        <f>(T2+U2)/2</f>
        <v>217.75</v>
      </c>
      <c r="W2">
        <f>T2-U2</f>
        <v>18.5</v>
      </c>
      <c r="X2">
        <v>-74.018608</v>
      </c>
      <c r="Y2">
        <v>40.811942999999999</v>
      </c>
      <c r="Z2" t="s">
        <v>65</v>
      </c>
      <c r="AA2" t="s">
        <v>66</v>
      </c>
      <c r="AB2" t="s">
        <v>67</v>
      </c>
      <c r="AC2" t="s">
        <v>68</v>
      </c>
      <c r="AD2" t="s">
        <v>69</v>
      </c>
      <c r="AE2" t="s">
        <v>70</v>
      </c>
      <c r="AF2" t="s">
        <v>71</v>
      </c>
      <c r="AH2" t="s">
        <v>72</v>
      </c>
      <c r="AI2" t="s">
        <v>73</v>
      </c>
      <c r="AJ2">
        <v>1966</v>
      </c>
      <c r="AK2" t="s">
        <v>74</v>
      </c>
      <c r="AM2" t="s">
        <v>75</v>
      </c>
      <c r="AN2" t="s">
        <v>76</v>
      </c>
      <c r="AO2" t="s">
        <v>77</v>
      </c>
      <c r="AP2" t="s">
        <v>78</v>
      </c>
      <c r="AQ2" t="s">
        <v>79</v>
      </c>
      <c r="AR2" t="s">
        <v>80</v>
      </c>
      <c r="AS2">
        <v>101</v>
      </c>
      <c r="AT2" t="s">
        <v>81</v>
      </c>
      <c r="AU2">
        <v>-8.5500000000000007</v>
      </c>
      <c r="AV2">
        <v>14.34</v>
      </c>
      <c r="AW2" t="s">
        <v>82</v>
      </c>
      <c r="AX2">
        <v>101</v>
      </c>
      <c r="AY2" t="s">
        <v>81</v>
      </c>
      <c r="AZ2">
        <v>-19.510000000000002</v>
      </c>
      <c r="BA2">
        <v>15.43</v>
      </c>
      <c r="BB2" t="s">
        <v>83</v>
      </c>
    </row>
    <row r="3" spans="1:54" x14ac:dyDescent="0.4">
      <c r="A3">
        <v>146085</v>
      </c>
      <c r="D3" t="s">
        <v>54</v>
      </c>
      <c r="E3" t="s">
        <v>55</v>
      </c>
      <c r="G3">
        <v>1</v>
      </c>
      <c r="H3" t="s">
        <v>84</v>
      </c>
      <c r="I3" t="s">
        <v>57</v>
      </c>
      <c r="K3" t="s">
        <v>85</v>
      </c>
      <c r="L3" t="s">
        <v>86</v>
      </c>
      <c r="M3" t="s">
        <v>60</v>
      </c>
      <c r="O3" t="s">
        <v>87</v>
      </c>
      <c r="P3" t="s">
        <v>62</v>
      </c>
      <c r="R3" t="s">
        <v>63</v>
      </c>
      <c r="S3" t="s">
        <v>64</v>
      </c>
      <c r="T3">
        <v>227</v>
      </c>
      <c r="U3">
        <v>208.5</v>
      </c>
      <c r="V3">
        <f t="shared" ref="V3:V66" si="0">(T3+U3)/2</f>
        <v>217.75</v>
      </c>
      <c r="W3">
        <f t="shared" ref="W3:W66" si="1">T3-U3</f>
        <v>18.5</v>
      </c>
      <c r="X3">
        <v>-74.018608</v>
      </c>
      <c r="Y3">
        <v>40.811942999999999</v>
      </c>
      <c r="Z3" t="s">
        <v>65</v>
      </c>
      <c r="AA3" t="s">
        <v>66</v>
      </c>
      <c r="AB3" t="s">
        <v>67</v>
      </c>
      <c r="AC3" t="s">
        <v>68</v>
      </c>
      <c r="AD3" t="s">
        <v>69</v>
      </c>
      <c r="AE3" t="s">
        <v>70</v>
      </c>
      <c r="AF3" t="s">
        <v>71</v>
      </c>
      <c r="AH3" t="s">
        <v>72</v>
      </c>
      <c r="AI3" t="s">
        <v>73</v>
      </c>
      <c r="AJ3">
        <v>1965</v>
      </c>
      <c r="AK3" t="s">
        <v>74</v>
      </c>
      <c r="AM3" t="s">
        <v>75</v>
      </c>
      <c r="AN3" t="s">
        <v>76</v>
      </c>
      <c r="AO3" t="s">
        <v>77</v>
      </c>
      <c r="AP3" t="s">
        <v>78</v>
      </c>
      <c r="AQ3" t="s">
        <v>79</v>
      </c>
      <c r="AR3" t="s">
        <v>80</v>
      </c>
      <c r="AS3">
        <v>101</v>
      </c>
      <c r="AT3" t="s">
        <v>81</v>
      </c>
      <c r="AU3">
        <v>-8.5500000000000007</v>
      </c>
      <c r="AV3">
        <v>14.34</v>
      </c>
      <c r="AW3" t="s">
        <v>82</v>
      </c>
      <c r="AX3">
        <v>101</v>
      </c>
      <c r="AY3" t="s">
        <v>81</v>
      </c>
      <c r="AZ3">
        <v>-19.510000000000002</v>
      </c>
      <c r="BA3">
        <v>15.43</v>
      </c>
      <c r="BB3" t="s">
        <v>83</v>
      </c>
    </row>
    <row r="4" spans="1:54" x14ac:dyDescent="0.4">
      <c r="A4">
        <v>149845</v>
      </c>
      <c r="D4" t="s">
        <v>167</v>
      </c>
      <c r="E4" t="s">
        <v>55</v>
      </c>
      <c r="G4">
        <v>7</v>
      </c>
      <c r="H4" t="s">
        <v>84</v>
      </c>
      <c r="I4" t="s">
        <v>57</v>
      </c>
      <c r="K4" t="s">
        <v>168</v>
      </c>
      <c r="L4" t="s">
        <v>169</v>
      </c>
      <c r="M4" t="s">
        <v>60</v>
      </c>
      <c r="O4" t="s">
        <v>170</v>
      </c>
      <c r="P4" t="s">
        <v>62</v>
      </c>
      <c r="R4" t="s">
        <v>63</v>
      </c>
      <c r="S4" t="s">
        <v>64</v>
      </c>
      <c r="T4">
        <v>227</v>
      </c>
      <c r="U4">
        <v>208.5</v>
      </c>
      <c r="V4">
        <f t="shared" si="0"/>
        <v>217.75</v>
      </c>
      <c r="W4">
        <f t="shared" si="1"/>
        <v>18.5</v>
      </c>
      <c r="X4">
        <v>-101.163887</v>
      </c>
      <c r="Y4">
        <v>33.433886999999999</v>
      </c>
      <c r="Z4" t="s">
        <v>171</v>
      </c>
      <c r="AA4" t="s">
        <v>66</v>
      </c>
      <c r="AB4" t="s">
        <v>125</v>
      </c>
      <c r="AC4" t="s">
        <v>172</v>
      </c>
      <c r="AD4" t="s">
        <v>173</v>
      </c>
      <c r="AE4" t="s">
        <v>174</v>
      </c>
      <c r="AH4" t="s">
        <v>72</v>
      </c>
      <c r="AI4" t="s">
        <v>175</v>
      </c>
      <c r="AJ4">
        <v>2004</v>
      </c>
      <c r="AK4" t="s">
        <v>176</v>
      </c>
      <c r="AM4" t="s">
        <v>177</v>
      </c>
      <c r="AN4" t="s">
        <v>76</v>
      </c>
      <c r="AO4" t="s">
        <v>77</v>
      </c>
      <c r="AP4" t="s">
        <v>78</v>
      </c>
      <c r="AQ4" t="s">
        <v>178</v>
      </c>
      <c r="AR4" t="s">
        <v>80</v>
      </c>
      <c r="AS4">
        <v>101</v>
      </c>
      <c r="AT4" t="s">
        <v>81</v>
      </c>
      <c r="AU4">
        <v>-30.75</v>
      </c>
      <c r="AV4">
        <v>7.72</v>
      </c>
      <c r="AW4" t="s">
        <v>82</v>
      </c>
      <c r="AX4">
        <v>101</v>
      </c>
      <c r="AY4" t="s">
        <v>81</v>
      </c>
      <c r="AZ4">
        <v>-41.5</v>
      </c>
      <c r="BA4">
        <v>8</v>
      </c>
      <c r="BB4" t="s">
        <v>83</v>
      </c>
    </row>
    <row r="5" spans="1:54" x14ac:dyDescent="0.4">
      <c r="A5">
        <v>149917</v>
      </c>
      <c r="D5" t="s">
        <v>54</v>
      </c>
      <c r="E5" t="s">
        <v>55</v>
      </c>
      <c r="G5">
        <v>1</v>
      </c>
      <c r="H5" t="s">
        <v>56</v>
      </c>
      <c r="I5" t="s">
        <v>57</v>
      </c>
      <c r="K5" t="s">
        <v>196</v>
      </c>
      <c r="L5" t="s">
        <v>197</v>
      </c>
      <c r="M5" t="s">
        <v>60</v>
      </c>
      <c r="O5" t="s">
        <v>87</v>
      </c>
      <c r="P5" t="s">
        <v>62</v>
      </c>
      <c r="R5" t="s">
        <v>63</v>
      </c>
      <c r="S5" t="s">
        <v>64</v>
      </c>
      <c r="T5">
        <v>227</v>
      </c>
      <c r="U5">
        <v>208.5</v>
      </c>
      <c r="V5">
        <f t="shared" si="0"/>
        <v>217.75</v>
      </c>
      <c r="W5">
        <f t="shared" si="1"/>
        <v>18.5</v>
      </c>
      <c r="X5">
        <v>-101.31500200000001</v>
      </c>
      <c r="Y5">
        <v>33.521388999999999</v>
      </c>
      <c r="Z5" t="s">
        <v>198</v>
      </c>
      <c r="AA5" t="s">
        <v>66</v>
      </c>
      <c r="AB5" t="s">
        <v>125</v>
      </c>
      <c r="AC5" t="s">
        <v>199</v>
      </c>
      <c r="AD5" t="s">
        <v>200</v>
      </c>
      <c r="AE5" t="s">
        <v>201</v>
      </c>
      <c r="AH5" t="s">
        <v>72</v>
      </c>
      <c r="AI5" t="s">
        <v>202</v>
      </c>
      <c r="AJ5">
        <v>1985</v>
      </c>
      <c r="AK5" t="s">
        <v>203</v>
      </c>
      <c r="AM5" t="s">
        <v>204</v>
      </c>
      <c r="AN5" t="s">
        <v>76</v>
      </c>
      <c r="AO5" t="s">
        <v>77</v>
      </c>
      <c r="AP5" t="s">
        <v>115</v>
      </c>
      <c r="AQ5" t="s">
        <v>205</v>
      </c>
      <c r="AR5" t="s">
        <v>80</v>
      </c>
      <c r="AS5">
        <v>101</v>
      </c>
      <c r="AT5" t="s">
        <v>81</v>
      </c>
      <c r="AU5">
        <v>-30.86</v>
      </c>
      <c r="AV5">
        <v>7.83</v>
      </c>
      <c r="AW5" t="s">
        <v>82</v>
      </c>
      <c r="AX5">
        <v>101</v>
      </c>
      <c r="AY5" t="s">
        <v>81</v>
      </c>
      <c r="AZ5">
        <v>-41.61</v>
      </c>
      <c r="BA5">
        <v>8.1</v>
      </c>
      <c r="BB5" t="s">
        <v>83</v>
      </c>
    </row>
    <row r="6" spans="1:54" x14ac:dyDescent="0.4">
      <c r="A6">
        <v>149917</v>
      </c>
      <c r="D6" t="s">
        <v>54</v>
      </c>
      <c r="E6" t="s">
        <v>55</v>
      </c>
      <c r="G6">
        <v>1</v>
      </c>
      <c r="H6" t="s">
        <v>56</v>
      </c>
      <c r="I6" t="s">
        <v>57</v>
      </c>
      <c r="K6" t="s">
        <v>196</v>
      </c>
      <c r="L6" t="s">
        <v>197</v>
      </c>
      <c r="M6" t="s">
        <v>60</v>
      </c>
      <c r="O6" t="s">
        <v>87</v>
      </c>
      <c r="P6" t="s">
        <v>62</v>
      </c>
      <c r="R6" t="s">
        <v>63</v>
      </c>
      <c r="S6" t="s">
        <v>64</v>
      </c>
      <c r="T6">
        <v>227</v>
      </c>
      <c r="U6">
        <v>208.5</v>
      </c>
      <c r="V6">
        <f t="shared" si="0"/>
        <v>217.75</v>
      </c>
      <c r="W6">
        <f t="shared" si="1"/>
        <v>18.5</v>
      </c>
      <c r="X6">
        <v>-101.31500200000001</v>
      </c>
      <c r="Y6">
        <v>33.521388999999999</v>
      </c>
      <c r="Z6" t="s">
        <v>198</v>
      </c>
      <c r="AA6" t="s">
        <v>66</v>
      </c>
      <c r="AB6" t="s">
        <v>125</v>
      </c>
      <c r="AC6" t="s">
        <v>199</v>
      </c>
      <c r="AD6" t="s">
        <v>200</v>
      </c>
      <c r="AE6" t="s">
        <v>201</v>
      </c>
      <c r="AH6" t="s">
        <v>72</v>
      </c>
      <c r="AI6" t="s">
        <v>202</v>
      </c>
      <c r="AJ6">
        <v>1985</v>
      </c>
      <c r="AK6" t="s">
        <v>203</v>
      </c>
      <c r="AM6" t="s">
        <v>204</v>
      </c>
      <c r="AN6" t="s">
        <v>76</v>
      </c>
      <c r="AO6" t="s">
        <v>77</v>
      </c>
      <c r="AP6" t="s">
        <v>115</v>
      </c>
      <c r="AQ6" t="s">
        <v>205</v>
      </c>
      <c r="AR6" t="s">
        <v>80</v>
      </c>
      <c r="AS6">
        <v>101</v>
      </c>
      <c r="AT6" t="s">
        <v>81</v>
      </c>
      <c r="AU6">
        <v>-30.86</v>
      </c>
      <c r="AV6">
        <v>7.83</v>
      </c>
      <c r="AW6" t="s">
        <v>82</v>
      </c>
      <c r="AX6">
        <v>101</v>
      </c>
      <c r="AY6" t="s">
        <v>81</v>
      </c>
      <c r="AZ6">
        <v>-41.61</v>
      </c>
      <c r="BA6">
        <v>8.1</v>
      </c>
      <c r="BB6" t="s">
        <v>83</v>
      </c>
    </row>
    <row r="7" spans="1:54" x14ac:dyDescent="0.4">
      <c r="A7">
        <v>149918</v>
      </c>
      <c r="D7" t="s">
        <v>54</v>
      </c>
      <c r="E7" t="s">
        <v>55</v>
      </c>
      <c r="G7">
        <v>24</v>
      </c>
      <c r="H7" t="s">
        <v>84</v>
      </c>
      <c r="I7" t="s">
        <v>57</v>
      </c>
      <c r="K7" t="s">
        <v>206</v>
      </c>
      <c r="L7" t="s">
        <v>207</v>
      </c>
      <c r="M7" t="s">
        <v>60</v>
      </c>
      <c r="O7" t="s">
        <v>170</v>
      </c>
      <c r="P7" t="s">
        <v>62</v>
      </c>
      <c r="R7" t="s">
        <v>63</v>
      </c>
      <c r="S7" t="s">
        <v>64</v>
      </c>
      <c r="T7">
        <v>227</v>
      </c>
      <c r="U7">
        <v>208.5</v>
      </c>
      <c r="V7">
        <f t="shared" si="0"/>
        <v>217.75</v>
      </c>
      <c r="W7">
        <f t="shared" si="1"/>
        <v>18.5</v>
      </c>
      <c r="X7">
        <v>-101.31500200000001</v>
      </c>
      <c r="Y7">
        <v>33.521388999999999</v>
      </c>
      <c r="Z7" t="s">
        <v>198</v>
      </c>
      <c r="AA7" t="s">
        <v>66</v>
      </c>
      <c r="AB7" t="s">
        <v>125</v>
      </c>
      <c r="AC7" t="s">
        <v>199</v>
      </c>
      <c r="AD7" t="s">
        <v>200</v>
      </c>
      <c r="AE7" t="s">
        <v>201</v>
      </c>
      <c r="AH7" t="s">
        <v>72</v>
      </c>
      <c r="AI7" t="s">
        <v>208</v>
      </c>
      <c r="AJ7">
        <v>2005</v>
      </c>
      <c r="AK7" t="s">
        <v>203</v>
      </c>
      <c r="AM7" t="s">
        <v>204</v>
      </c>
      <c r="AN7" t="s">
        <v>76</v>
      </c>
      <c r="AO7" t="s">
        <v>77</v>
      </c>
      <c r="AP7" t="s">
        <v>115</v>
      </c>
      <c r="AQ7" t="s">
        <v>205</v>
      </c>
      <c r="AR7" t="s">
        <v>80</v>
      </c>
      <c r="AS7">
        <v>101</v>
      </c>
      <c r="AT7" t="s">
        <v>81</v>
      </c>
      <c r="AU7">
        <v>-30.86</v>
      </c>
      <c r="AV7">
        <v>7.83</v>
      </c>
      <c r="AW7" t="s">
        <v>82</v>
      </c>
      <c r="AX7">
        <v>101</v>
      </c>
      <c r="AY7" t="s">
        <v>81</v>
      </c>
      <c r="AZ7">
        <v>-41.61</v>
      </c>
      <c r="BA7">
        <v>8.1</v>
      </c>
      <c r="BB7" t="s">
        <v>83</v>
      </c>
    </row>
    <row r="8" spans="1:54" x14ac:dyDescent="0.4">
      <c r="A8">
        <v>149919</v>
      </c>
      <c r="D8" t="s">
        <v>54</v>
      </c>
      <c r="E8" t="s">
        <v>55</v>
      </c>
      <c r="G8">
        <v>1</v>
      </c>
      <c r="H8" t="s">
        <v>84</v>
      </c>
      <c r="I8" t="s">
        <v>57</v>
      </c>
      <c r="K8" t="s">
        <v>168</v>
      </c>
      <c r="L8" t="s">
        <v>169</v>
      </c>
      <c r="M8" t="s">
        <v>60</v>
      </c>
      <c r="O8" t="s">
        <v>170</v>
      </c>
      <c r="P8" t="s">
        <v>62</v>
      </c>
      <c r="R8" t="s">
        <v>63</v>
      </c>
      <c r="S8" t="s">
        <v>64</v>
      </c>
      <c r="T8">
        <v>227</v>
      </c>
      <c r="U8">
        <v>208.5</v>
      </c>
      <c r="V8">
        <f t="shared" si="0"/>
        <v>217.75</v>
      </c>
      <c r="W8">
        <f t="shared" si="1"/>
        <v>18.5</v>
      </c>
      <c r="X8">
        <v>-101.31500200000001</v>
      </c>
      <c r="Y8">
        <v>33.521388999999999</v>
      </c>
      <c r="Z8" t="s">
        <v>198</v>
      </c>
      <c r="AA8" t="s">
        <v>66</v>
      </c>
      <c r="AB8" t="s">
        <v>125</v>
      </c>
      <c r="AC8" t="s">
        <v>199</v>
      </c>
      <c r="AD8" t="s">
        <v>200</v>
      </c>
      <c r="AE8" t="s">
        <v>201</v>
      </c>
      <c r="AH8" t="s">
        <v>72</v>
      </c>
      <c r="AI8" t="s">
        <v>209</v>
      </c>
      <c r="AJ8">
        <v>2013</v>
      </c>
      <c r="AK8" t="s">
        <v>203</v>
      </c>
      <c r="AM8" t="s">
        <v>204</v>
      </c>
      <c r="AN8" t="s">
        <v>76</v>
      </c>
      <c r="AO8" t="s">
        <v>77</v>
      </c>
      <c r="AP8" t="s">
        <v>115</v>
      </c>
      <c r="AQ8" t="s">
        <v>205</v>
      </c>
      <c r="AR8" t="s">
        <v>80</v>
      </c>
      <c r="AS8">
        <v>101</v>
      </c>
      <c r="AT8" t="s">
        <v>81</v>
      </c>
      <c r="AU8">
        <v>-30.86</v>
      </c>
      <c r="AV8">
        <v>7.83</v>
      </c>
      <c r="AW8" t="s">
        <v>82</v>
      </c>
      <c r="AX8">
        <v>101</v>
      </c>
      <c r="AY8" t="s">
        <v>81</v>
      </c>
      <c r="AZ8">
        <v>-41.61</v>
      </c>
      <c r="BA8">
        <v>8.1</v>
      </c>
      <c r="BB8" t="s">
        <v>83</v>
      </c>
    </row>
    <row r="9" spans="1:54" x14ac:dyDescent="0.4">
      <c r="A9">
        <v>149988</v>
      </c>
      <c r="D9" t="s">
        <v>54</v>
      </c>
      <c r="E9" t="s">
        <v>55</v>
      </c>
      <c r="G9">
        <v>1</v>
      </c>
      <c r="H9" t="s">
        <v>56</v>
      </c>
      <c r="I9" t="s">
        <v>57</v>
      </c>
      <c r="K9" t="s">
        <v>141</v>
      </c>
      <c r="L9" t="s">
        <v>210</v>
      </c>
      <c r="M9" t="s">
        <v>60</v>
      </c>
      <c r="P9" t="s">
        <v>62</v>
      </c>
      <c r="R9" t="s">
        <v>63</v>
      </c>
      <c r="S9" t="s">
        <v>64</v>
      </c>
      <c r="T9">
        <v>227</v>
      </c>
      <c r="U9">
        <v>208.5</v>
      </c>
      <c r="V9">
        <f t="shared" si="0"/>
        <v>217.75</v>
      </c>
      <c r="W9">
        <f t="shared" si="1"/>
        <v>18.5</v>
      </c>
      <c r="X9">
        <v>8.9783329999999992</v>
      </c>
      <c r="Y9">
        <v>49.023609</v>
      </c>
      <c r="Z9" t="s">
        <v>124</v>
      </c>
      <c r="AA9" t="s">
        <v>211</v>
      </c>
      <c r="AB9" t="s">
        <v>212</v>
      </c>
      <c r="AC9" t="s">
        <v>213</v>
      </c>
      <c r="AD9" t="s">
        <v>214</v>
      </c>
      <c r="AE9" t="s">
        <v>215</v>
      </c>
      <c r="AF9" t="s">
        <v>216</v>
      </c>
      <c r="AH9" t="s">
        <v>72</v>
      </c>
      <c r="AI9" t="s">
        <v>217</v>
      </c>
      <c r="AJ9">
        <v>2003</v>
      </c>
      <c r="AK9" t="s">
        <v>218</v>
      </c>
      <c r="AM9" t="s">
        <v>219</v>
      </c>
      <c r="AN9" t="s">
        <v>76</v>
      </c>
      <c r="AO9" t="s">
        <v>77</v>
      </c>
      <c r="AP9" t="s">
        <v>115</v>
      </c>
      <c r="AQ9" t="s">
        <v>220</v>
      </c>
      <c r="AR9" t="s">
        <v>80</v>
      </c>
      <c r="AS9">
        <v>305</v>
      </c>
      <c r="AT9" t="s">
        <v>81</v>
      </c>
      <c r="AU9">
        <v>21.02</v>
      </c>
      <c r="AV9">
        <v>30.26</v>
      </c>
      <c r="AW9" t="s">
        <v>82</v>
      </c>
      <c r="AX9">
        <v>305</v>
      </c>
      <c r="AY9" t="s">
        <v>81</v>
      </c>
      <c r="AZ9">
        <v>9.8699999999999992</v>
      </c>
      <c r="BA9">
        <v>32.17</v>
      </c>
      <c r="BB9" t="s">
        <v>83</v>
      </c>
    </row>
    <row r="10" spans="1:54" x14ac:dyDescent="0.4">
      <c r="A10">
        <v>220070</v>
      </c>
      <c r="D10" t="s">
        <v>54</v>
      </c>
      <c r="E10" t="s">
        <v>55</v>
      </c>
      <c r="I10" t="s">
        <v>57</v>
      </c>
      <c r="K10" t="s">
        <v>244</v>
      </c>
      <c r="L10" t="s">
        <v>245</v>
      </c>
      <c r="M10" t="s">
        <v>60</v>
      </c>
      <c r="O10" t="s">
        <v>170</v>
      </c>
      <c r="P10" t="s">
        <v>62</v>
      </c>
      <c r="R10" t="s">
        <v>63</v>
      </c>
      <c r="S10" t="s">
        <v>64</v>
      </c>
      <c r="T10">
        <v>227</v>
      </c>
      <c r="U10">
        <v>208.5</v>
      </c>
      <c r="V10">
        <f t="shared" si="0"/>
        <v>217.75</v>
      </c>
      <c r="W10">
        <f t="shared" si="1"/>
        <v>18.5</v>
      </c>
      <c r="X10">
        <v>8.016667</v>
      </c>
      <c r="Y10">
        <v>47.5</v>
      </c>
      <c r="Z10" t="s">
        <v>198</v>
      </c>
      <c r="AA10" t="s">
        <v>226</v>
      </c>
      <c r="AB10" t="s">
        <v>246</v>
      </c>
      <c r="AD10" t="s">
        <v>247</v>
      </c>
      <c r="AE10" t="s">
        <v>215</v>
      </c>
      <c r="AF10" t="s">
        <v>248</v>
      </c>
      <c r="AH10" t="s">
        <v>72</v>
      </c>
      <c r="AI10" t="s">
        <v>249</v>
      </c>
      <c r="AJ10">
        <v>2020</v>
      </c>
      <c r="AK10" t="s">
        <v>250</v>
      </c>
      <c r="AM10" t="s">
        <v>251</v>
      </c>
      <c r="AN10" t="s">
        <v>114</v>
      </c>
      <c r="AO10">
        <v>4</v>
      </c>
      <c r="AP10" t="s">
        <v>78</v>
      </c>
      <c r="AQ10" t="s">
        <v>252</v>
      </c>
      <c r="AR10" t="s">
        <v>80</v>
      </c>
      <c r="AS10">
        <v>305</v>
      </c>
      <c r="AT10" t="s">
        <v>81</v>
      </c>
      <c r="AU10">
        <v>21.05</v>
      </c>
      <c r="AV10">
        <v>28.61</v>
      </c>
      <c r="AW10" t="s">
        <v>82</v>
      </c>
      <c r="AX10">
        <v>305</v>
      </c>
      <c r="AY10" t="s">
        <v>81</v>
      </c>
      <c r="AZ10">
        <v>9.9499999999999993</v>
      </c>
      <c r="BA10">
        <v>30.51</v>
      </c>
      <c r="BB10" t="s">
        <v>83</v>
      </c>
    </row>
    <row r="11" spans="1:54" x14ac:dyDescent="0.4">
      <c r="A11">
        <v>220071</v>
      </c>
      <c r="D11" t="s">
        <v>54</v>
      </c>
      <c r="E11" t="s">
        <v>55</v>
      </c>
      <c r="I11" t="s">
        <v>57</v>
      </c>
      <c r="K11" t="s">
        <v>206</v>
      </c>
      <c r="L11" t="s">
        <v>253</v>
      </c>
      <c r="M11" t="s">
        <v>60</v>
      </c>
      <c r="O11" t="s">
        <v>170</v>
      </c>
      <c r="P11" t="s">
        <v>62</v>
      </c>
      <c r="R11" t="s">
        <v>63</v>
      </c>
      <c r="S11" t="s">
        <v>64</v>
      </c>
      <c r="T11">
        <v>227</v>
      </c>
      <c r="U11">
        <v>208.5</v>
      </c>
      <c r="V11">
        <f t="shared" si="0"/>
        <v>217.75</v>
      </c>
      <c r="W11">
        <f t="shared" si="1"/>
        <v>18.5</v>
      </c>
      <c r="X11">
        <v>8.016667</v>
      </c>
      <c r="Y11">
        <v>47.5</v>
      </c>
      <c r="Z11" t="s">
        <v>198</v>
      </c>
      <c r="AA11" t="s">
        <v>226</v>
      </c>
      <c r="AB11" t="s">
        <v>246</v>
      </c>
      <c r="AD11" t="s">
        <v>247</v>
      </c>
      <c r="AE11" t="s">
        <v>215</v>
      </c>
      <c r="AF11" t="s">
        <v>248</v>
      </c>
      <c r="AH11" t="s">
        <v>11</v>
      </c>
      <c r="AI11" t="s">
        <v>228</v>
      </c>
      <c r="AJ11">
        <v>1992</v>
      </c>
      <c r="AK11" t="s">
        <v>250</v>
      </c>
      <c r="AM11" t="s">
        <v>251</v>
      </c>
      <c r="AN11" t="s">
        <v>114</v>
      </c>
      <c r="AO11">
        <v>4</v>
      </c>
      <c r="AP11" t="s">
        <v>78</v>
      </c>
      <c r="AQ11" t="s">
        <v>252</v>
      </c>
      <c r="AR11" t="s">
        <v>80</v>
      </c>
      <c r="AS11">
        <v>305</v>
      </c>
      <c r="AT11" t="s">
        <v>81</v>
      </c>
      <c r="AU11">
        <v>21.05</v>
      </c>
      <c r="AV11">
        <v>28.61</v>
      </c>
      <c r="AW11" t="s">
        <v>82</v>
      </c>
      <c r="AX11">
        <v>305</v>
      </c>
      <c r="AY11" t="s">
        <v>81</v>
      </c>
      <c r="AZ11">
        <v>9.9499999999999993</v>
      </c>
      <c r="BA11">
        <v>30.51</v>
      </c>
      <c r="BB11" t="s">
        <v>83</v>
      </c>
    </row>
    <row r="12" spans="1:54" x14ac:dyDescent="0.4">
      <c r="A12">
        <v>220072</v>
      </c>
      <c r="D12" t="s">
        <v>54</v>
      </c>
      <c r="E12" t="s">
        <v>55</v>
      </c>
      <c r="I12" t="s">
        <v>57</v>
      </c>
      <c r="K12" t="s">
        <v>141</v>
      </c>
      <c r="L12" t="s">
        <v>254</v>
      </c>
      <c r="M12" t="s">
        <v>60</v>
      </c>
      <c r="O12" t="s">
        <v>87</v>
      </c>
      <c r="P12" t="s">
        <v>62</v>
      </c>
      <c r="R12" t="s">
        <v>63</v>
      </c>
      <c r="S12" t="s">
        <v>64</v>
      </c>
      <c r="T12">
        <v>227</v>
      </c>
      <c r="U12">
        <v>208.5</v>
      </c>
      <c r="V12">
        <f t="shared" si="0"/>
        <v>217.75</v>
      </c>
      <c r="W12">
        <f t="shared" si="1"/>
        <v>18.5</v>
      </c>
      <c r="X12">
        <v>8.016667</v>
      </c>
      <c r="Y12">
        <v>47.5</v>
      </c>
      <c r="Z12" t="s">
        <v>198</v>
      </c>
      <c r="AA12" t="s">
        <v>226</v>
      </c>
      <c r="AB12" t="s">
        <v>246</v>
      </c>
      <c r="AD12" t="s">
        <v>247</v>
      </c>
      <c r="AE12" t="s">
        <v>215</v>
      </c>
      <c r="AF12" t="s">
        <v>248</v>
      </c>
      <c r="AH12" t="s">
        <v>11</v>
      </c>
      <c r="AI12" t="s">
        <v>228</v>
      </c>
      <c r="AJ12">
        <v>1992</v>
      </c>
      <c r="AK12" t="s">
        <v>250</v>
      </c>
      <c r="AM12" t="s">
        <v>251</v>
      </c>
      <c r="AN12" t="s">
        <v>114</v>
      </c>
      <c r="AO12">
        <v>4</v>
      </c>
      <c r="AP12" t="s">
        <v>78</v>
      </c>
      <c r="AQ12" t="s">
        <v>252</v>
      </c>
      <c r="AR12" t="s">
        <v>80</v>
      </c>
      <c r="AS12">
        <v>305</v>
      </c>
      <c r="AT12" t="s">
        <v>81</v>
      </c>
      <c r="AU12">
        <v>21.05</v>
      </c>
      <c r="AV12">
        <v>28.61</v>
      </c>
      <c r="AW12" t="s">
        <v>82</v>
      </c>
      <c r="AX12">
        <v>305</v>
      </c>
      <c r="AY12" t="s">
        <v>81</v>
      </c>
      <c r="AZ12">
        <v>9.9499999999999993</v>
      </c>
      <c r="BA12">
        <v>30.51</v>
      </c>
      <c r="BB12" t="s">
        <v>83</v>
      </c>
    </row>
    <row r="13" spans="1:54" x14ac:dyDescent="0.4">
      <c r="A13">
        <v>220073</v>
      </c>
      <c r="D13" t="s">
        <v>54</v>
      </c>
      <c r="E13" t="s">
        <v>55</v>
      </c>
      <c r="I13" t="s">
        <v>57</v>
      </c>
      <c r="K13" t="s">
        <v>141</v>
      </c>
      <c r="L13" t="s">
        <v>255</v>
      </c>
      <c r="M13" t="s">
        <v>60</v>
      </c>
      <c r="N13" t="s">
        <v>256</v>
      </c>
      <c r="O13" t="s">
        <v>87</v>
      </c>
      <c r="P13" t="s">
        <v>62</v>
      </c>
      <c r="R13" t="s">
        <v>63</v>
      </c>
      <c r="S13" t="s">
        <v>64</v>
      </c>
      <c r="T13">
        <v>227</v>
      </c>
      <c r="U13">
        <v>208.5</v>
      </c>
      <c r="V13">
        <f t="shared" si="0"/>
        <v>217.75</v>
      </c>
      <c r="W13">
        <f t="shared" si="1"/>
        <v>18.5</v>
      </c>
      <c r="X13">
        <v>8.016667</v>
      </c>
      <c r="Y13">
        <v>47.5</v>
      </c>
      <c r="Z13" t="s">
        <v>198</v>
      </c>
      <c r="AA13" t="s">
        <v>226</v>
      </c>
      <c r="AB13" t="s">
        <v>246</v>
      </c>
      <c r="AD13" t="s">
        <v>247</v>
      </c>
      <c r="AE13" t="s">
        <v>215</v>
      </c>
      <c r="AF13" t="s">
        <v>248</v>
      </c>
      <c r="AH13" t="s">
        <v>11</v>
      </c>
      <c r="AI13" t="s">
        <v>257</v>
      </c>
      <c r="AJ13">
        <v>2003</v>
      </c>
      <c r="AK13" t="s">
        <v>250</v>
      </c>
      <c r="AM13" t="s">
        <v>251</v>
      </c>
      <c r="AN13" t="s">
        <v>114</v>
      </c>
      <c r="AO13">
        <v>4</v>
      </c>
      <c r="AP13" t="s">
        <v>78</v>
      </c>
      <c r="AQ13" t="s">
        <v>252</v>
      </c>
      <c r="AR13" t="s">
        <v>80</v>
      </c>
      <c r="AS13">
        <v>305</v>
      </c>
      <c r="AT13" t="s">
        <v>81</v>
      </c>
      <c r="AU13">
        <v>21.05</v>
      </c>
      <c r="AV13">
        <v>28.61</v>
      </c>
      <c r="AW13" t="s">
        <v>82</v>
      </c>
      <c r="AX13">
        <v>305</v>
      </c>
      <c r="AY13" t="s">
        <v>81</v>
      </c>
      <c r="AZ13">
        <v>9.9499999999999993</v>
      </c>
      <c r="BA13">
        <v>30.51</v>
      </c>
      <c r="BB13" t="s">
        <v>83</v>
      </c>
    </row>
    <row r="14" spans="1:54" x14ac:dyDescent="0.4">
      <c r="A14">
        <v>220082</v>
      </c>
      <c r="D14" t="s">
        <v>54</v>
      </c>
      <c r="E14" t="s">
        <v>55</v>
      </c>
      <c r="F14" t="s">
        <v>258</v>
      </c>
      <c r="G14">
        <v>1</v>
      </c>
      <c r="H14" t="s">
        <v>56</v>
      </c>
      <c r="I14" t="s">
        <v>57</v>
      </c>
      <c r="K14" t="s">
        <v>244</v>
      </c>
      <c r="L14" t="s">
        <v>245</v>
      </c>
      <c r="M14" t="s">
        <v>60</v>
      </c>
      <c r="O14" t="s">
        <v>170</v>
      </c>
      <c r="P14" t="s">
        <v>62</v>
      </c>
      <c r="R14" t="s">
        <v>63</v>
      </c>
      <c r="S14" t="s">
        <v>64</v>
      </c>
      <c r="T14">
        <v>227</v>
      </c>
      <c r="U14">
        <v>208.5</v>
      </c>
      <c r="V14">
        <f t="shared" si="0"/>
        <v>217.75</v>
      </c>
      <c r="W14">
        <f t="shared" si="1"/>
        <v>18.5</v>
      </c>
      <c r="X14">
        <v>8.65</v>
      </c>
      <c r="Y14">
        <v>48.066668999999997</v>
      </c>
      <c r="Z14" t="s">
        <v>198</v>
      </c>
      <c r="AA14" t="s">
        <v>211</v>
      </c>
      <c r="AB14" t="s">
        <v>212</v>
      </c>
      <c r="AC14" t="s">
        <v>259</v>
      </c>
      <c r="AD14" t="s">
        <v>214</v>
      </c>
      <c r="AE14" t="s">
        <v>215</v>
      </c>
      <c r="AH14" t="s">
        <v>72</v>
      </c>
      <c r="AI14" t="s">
        <v>260</v>
      </c>
      <c r="AJ14">
        <v>1913</v>
      </c>
      <c r="AK14" t="s">
        <v>261</v>
      </c>
      <c r="AM14" t="s">
        <v>262</v>
      </c>
      <c r="AN14" t="s">
        <v>114</v>
      </c>
      <c r="AO14">
        <v>5</v>
      </c>
      <c r="AP14" t="s">
        <v>78</v>
      </c>
      <c r="AQ14" t="s">
        <v>263</v>
      </c>
      <c r="AR14" t="s">
        <v>80</v>
      </c>
      <c r="AS14">
        <v>305</v>
      </c>
      <c r="AT14" t="s">
        <v>81</v>
      </c>
      <c r="AU14">
        <v>21.24</v>
      </c>
      <c r="AV14">
        <v>29.29</v>
      </c>
      <c r="AW14" t="s">
        <v>82</v>
      </c>
      <c r="AX14">
        <v>305</v>
      </c>
      <c r="AY14" t="s">
        <v>81</v>
      </c>
      <c r="AZ14">
        <v>10.119999999999999</v>
      </c>
      <c r="BA14">
        <v>31.21</v>
      </c>
      <c r="BB14" t="s">
        <v>83</v>
      </c>
    </row>
    <row r="15" spans="1:54" x14ac:dyDescent="0.4">
      <c r="A15">
        <v>220082</v>
      </c>
      <c r="D15" t="s">
        <v>54</v>
      </c>
      <c r="E15" t="s">
        <v>55</v>
      </c>
      <c r="F15" t="s">
        <v>258</v>
      </c>
      <c r="G15">
        <v>1</v>
      </c>
      <c r="H15" t="s">
        <v>56</v>
      </c>
      <c r="I15" t="s">
        <v>57</v>
      </c>
      <c r="K15" t="s">
        <v>244</v>
      </c>
      <c r="L15" t="s">
        <v>245</v>
      </c>
      <c r="M15" t="s">
        <v>60</v>
      </c>
      <c r="O15" t="s">
        <v>170</v>
      </c>
      <c r="P15" t="s">
        <v>62</v>
      </c>
      <c r="R15" t="s">
        <v>63</v>
      </c>
      <c r="S15" t="s">
        <v>64</v>
      </c>
      <c r="T15">
        <v>227</v>
      </c>
      <c r="U15">
        <v>208.5</v>
      </c>
      <c r="V15">
        <f t="shared" si="0"/>
        <v>217.75</v>
      </c>
      <c r="W15">
        <f t="shared" si="1"/>
        <v>18.5</v>
      </c>
      <c r="X15">
        <v>8.65</v>
      </c>
      <c r="Y15">
        <v>48.066668999999997</v>
      </c>
      <c r="Z15" t="s">
        <v>198</v>
      </c>
      <c r="AA15" t="s">
        <v>211</v>
      </c>
      <c r="AB15" t="s">
        <v>212</v>
      </c>
      <c r="AC15" t="s">
        <v>259</v>
      </c>
      <c r="AD15" t="s">
        <v>214</v>
      </c>
      <c r="AE15" t="s">
        <v>215</v>
      </c>
      <c r="AH15" t="s">
        <v>72</v>
      </c>
      <c r="AI15" t="s">
        <v>260</v>
      </c>
      <c r="AJ15">
        <v>1913</v>
      </c>
      <c r="AK15" t="s">
        <v>261</v>
      </c>
      <c r="AM15" t="s">
        <v>262</v>
      </c>
      <c r="AN15" t="s">
        <v>114</v>
      </c>
      <c r="AO15">
        <v>5</v>
      </c>
      <c r="AP15" t="s">
        <v>78</v>
      </c>
      <c r="AQ15" t="s">
        <v>263</v>
      </c>
      <c r="AR15" t="s">
        <v>80</v>
      </c>
      <c r="AS15">
        <v>305</v>
      </c>
      <c r="AT15" t="s">
        <v>81</v>
      </c>
      <c r="AU15">
        <v>21.24</v>
      </c>
      <c r="AV15">
        <v>29.29</v>
      </c>
      <c r="AW15" t="s">
        <v>82</v>
      </c>
      <c r="AX15">
        <v>305</v>
      </c>
      <c r="AY15" t="s">
        <v>81</v>
      </c>
      <c r="AZ15">
        <v>10.119999999999999</v>
      </c>
      <c r="BA15">
        <v>31.21</v>
      </c>
      <c r="BB15" t="s">
        <v>83</v>
      </c>
    </row>
    <row r="16" spans="1:54" x14ac:dyDescent="0.4">
      <c r="A16">
        <v>220083</v>
      </c>
      <c r="D16" t="s">
        <v>54</v>
      </c>
      <c r="E16" t="s">
        <v>55</v>
      </c>
      <c r="F16" t="s">
        <v>258</v>
      </c>
      <c r="G16">
        <v>1</v>
      </c>
      <c r="H16" t="s">
        <v>56</v>
      </c>
      <c r="I16" t="s">
        <v>57</v>
      </c>
      <c r="K16" t="s">
        <v>141</v>
      </c>
      <c r="L16" t="s">
        <v>264</v>
      </c>
      <c r="M16" t="s">
        <v>60</v>
      </c>
      <c r="P16" t="s">
        <v>62</v>
      </c>
      <c r="R16" t="s">
        <v>63</v>
      </c>
      <c r="S16" t="s">
        <v>64</v>
      </c>
      <c r="T16">
        <v>227</v>
      </c>
      <c r="U16">
        <v>208.5</v>
      </c>
      <c r="V16">
        <f t="shared" si="0"/>
        <v>217.75</v>
      </c>
      <c r="W16">
        <f t="shared" si="1"/>
        <v>18.5</v>
      </c>
      <c r="X16">
        <v>8.65</v>
      </c>
      <c r="Y16">
        <v>48.066668999999997</v>
      </c>
      <c r="Z16" t="s">
        <v>198</v>
      </c>
      <c r="AA16" t="s">
        <v>211</v>
      </c>
      <c r="AB16" t="s">
        <v>212</v>
      </c>
      <c r="AC16" t="s">
        <v>259</v>
      </c>
      <c r="AD16" t="s">
        <v>214</v>
      </c>
      <c r="AE16" t="s">
        <v>215</v>
      </c>
      <c r="AH16" t="s">
        <v>72</v>
      </c>
      <c r="AI16" t="s">
        <v>265</v>
      </c>
      <c r="AJ16">
        <v>1983</v>
      </c>
      <c r="AK16" t="s">
        <v>261</v>
      </c>
      <c r="AM16" t="s">
        <v>262</v>
      </c>
      <c r="AN16" t="s">
        <v>114</v>
      </c>
      <c r="AO16">
        <v>5</v>
      </c>
      <c r="AP16" t="s">
        <v>78</v>
      </c>
      <c r="AQ16" t="s">
        <v>263</v>
      </c>
      <c r="AR16" t="s">
        <v>80</v>
      </c>
      <c r="AS16">
        <v>305</v>
      </c>
      <c r="AT16" t="s">
        <v>81</v>
      </c>
      <c r="AU16">
        <v>21.24</v>
      </c>
      <c r="AV16">
        <v>29.29</v>
      </c>
      <c r="AW16" t="s">
        <v>82</v>
      </c>
      <c r="AX16">
        <v>305</v>
      </c>
      <c r="AY16" t="s">
        <v>81</v>
      </c>
      <c r="AZ16">
        <v>10.119999999999999</v>
      </c>
      <c r="BA16">
        <v>31.21</v>
      </c>
      <c r="BB16" t="s">
        <v>83</v>
      </c>
    </row>
    <row r="17" spans="1:54" x14ac:dyDescent="0.4">
      <c r="A17">
        <v>220083</v>
      </c>
      <c r="D17" t="s">
        <v>54</v>
      </c>
      <c r="E17" t="s">
        <v>55</v>
      </c>
      <c r="F17" t="s">
        <v>258</v>
      </c>
      <c r="G17">
        <v>1</v>
      </c>
      <c r="H17" t="s">
        <v>56</v>
      </c>
      <c r="I17" t="s">
        <v>57</v>
      </c>
      <c r="K17" t="s">
        <v>141</v>
      </c>
      <c r="L17" t="s">
        <v>264</v>
      </c>
      <c r="M17" t="s">
        <v>60</v>
      </c>
      <c r="P17" t="s">
        <v>62</v>
      </c>
      <c r="R17" t="s">
        <v>63</v>
      </c>
      <c r="S17" t="s">
        <v>64</v>
      </c>
      <c r="T17">
        <v>227</v>
      </c>
      <c r="U17">
        <v>208.5</v>
      </c>
      <c r="V17">
        <f t="shared" si="0"/>
        <v>217.75</v>
      </c>
      <c r="W17">
        <f t="shared" si="1"/>
        <v>18.5</v>
      </c>
      <c r="X17">
        <v>8.65</v>
      </c>
      <c r="Y17">
        <v>48.066668999999997</v>
      </c>
      <c r="Z17" t="s">
        <v>198</v>
      </c>
      <c r="AA17" t="s">
        <v>211</v>
      </c>
      <c r="AB17" t="s">
        <v>212</v>
      </c>
      <c r="AC17" t="s">
        <v>259</v>
      </c>
      <c r="AD17" t="s">
        <v>214</v>
      </c>
      <c r="AE17" t="s">
        <v>215</v>
      </c>
      <c r="AH17" t="s">
        <v>72</v>
      </c>
      <c r="AI17" t="s">
        <v>265</v>
      </c>
      <c r="AJ17">
        <v>1983</v>
      </c>
      <c r="AK17" t="s">
        <v>261</v>
      </c>
      <c r="AM17" t="s">
        <v>262</v>
      </c>
      <c r="AN17" t="s">
        <v>114</v>
      </c>
      <c r="AO17">
        <v>5</v>
      </c>
      <c r="AP17" t="s">
        <v>78</v>
      </c>
      <c r="AQ17" t="s">
        <v>263</v>
      </c>
      <c r="AR17" t="s">
        <v>80</v>
      </c>
      <c r="AS17">
        <v>305</v>
      </c>
      <c r="AT17" t="s">
        <v>81</v>
      </c>
      <c r="AU17">
        <v>21.24</v>
      </c>
      <c r="AV17">
        <v>29.29</v>
      </c>
      <c r="AW17" t="s">
        <v>82</v>
      </c>
      <c r="AX17">
        <v>305</v>
      </c>
      <c r="AY17" t="s">
        <v>81</v>
      </c>
      <c r="AZ17">
        <v>10.119999999999999</v>
      </c>
      <c r="BA17">
        <v>31.21</v>
      </c>
      <c r="BB17" t="s">
        <v>83</v>
      </c>
    </row>
    <row r="18" spans="1:54" x14ac:dyDescent="0.4">
      <c r="A18">
        <v>220083</v>
      </c>
      <c r="D18" t="s">
        <v>54</v>
      </c>
      <c r="E18" t="s">
        <v>55</v>
      </c>
      <c r="F18" t="s">
        <v>258</v>
      </c>
      <c r="G18">
        <v>1</v>
      </c>
      <c r="H18" t="s">
        <v>56</v>
      </c>
      <c r="I18" t="s">
        <v>57</v>
      </c>
      <c r="K18" t="s">
        <v>141</v>
      </c>
      <c r="L18" t="s">
        <v>264</v>
      </c>
      <c r="M18" t="s">
        <v>60</v>
      </c>
      <c r="P18" t="s">
        <v>62</v>
      </c>
      <c r="R18" t="s">
        <v>63</v>
      </c>
      <c r="S18" t="s">
        <v>64</v>
      </c>
      <c r="T18">
        <v>227</v>
      </c>
      <c r="U18">
        <v>208.5</v>
      </c>
      <c r="V18">
        <f t="shared" si="0"/>
        <v>217.75</v>
      </c>
      <c r="W18">
        <f t="shared" si="1"/>
        <v>18.5</v>
      </c>
      <c r="X18">
        <v>8.65</v>
      </c>
      <c r="Y18">
        <v>48.066668999999997</v>
      </c>
      <c r="Z18" t="s">
        <v>198</v>
      </c>
      <c r="AA18" t="s">
        <v>211</v>
      </c>
      <c r="AB18" t="s">
        <v>212</v>
      </c>
      <c r="AC18" t="s">
        <v>259</v>
      </c>
      <c r="AD18" t="s">
        <v>214</v>
      </c>
      <c r="AE18" t="s">
        <v>215</v>
      </c>
      <c r="AH18" t="s">
        <v>72</v>
      </c>
      <c r="AI18" t="s">
        <v>265</v>
      </c>
      <c r="AJ18">
        <v>1983</v>
      </c>
      <c r="AK18" t="s">
        <v>261</v>
      </c>
      <c r="AM18" t="s">
        <v>262</v>
      </c>
      <c r="AN18" t="s">
        <v>114</v>
      </c>
      <c r="AO18">
        <v>5</v>
      </c>
      <c r="AP18" t="s">
        <v>78</v>
      </c>
      <c r="AQ18" t="s">
        <v>263</v>
      </c>
      <c r="AR18" t="s">
        <v>80</v>
      </c>
      <c r="AS18">
        <v>305</v>
      </c>
      <c r="AT18" t="s">
        <v>81</v>
      </c>
      <c r="AU18">
        <v>21.24</v>
      </c>
      <c r="AV18">
        <v>29.29</v>
      </c>
      <c r="AW18" t="s">
        <v>82</v>
      </c>
      <c r="AX18">
        <v>305</v>
      </c>
      <c r="AY18" t="s">
        <v>81</v>
      </c>
      <c r="AZ18">
        <v>10.119999999999999</v>
      </c>
      <c r="BA18">
        <v>31.21</v>
      </c>
      <c r="BB18" t="s">
        <v>83</v>
      </c>
    </row>
    <row r="19" spans="1:54" x14ac:dyDescent="0.4">
      <c r="A19">
        <v>220084</v>
      </c>
      <c r="D19" t="s">
        <v>54</v>
      </c>
      <c r="E19" t="s">
        <v>55</v>
      </c>
      <c r="F19" t="s">
        <v>258</v>
      </c>
      <c r="G19">
        <v>1</v>
      </c>
      <c r="H19" t="s">
        <v>84</v>
      </c>
      <c r="I19" t="s">
        <v>57</v>
      </c>
      <c r="K19" t="s">
        <v>141</v>
      </c>
      <c r="L19" t="s">
        <v>255</v>
      </c>
      <c r="M19" t="s">
        <v>60</v>
      </c>
      <c r="N19" t="s">
        <v>256</v>
      </c>
      <c r="O19" t="s">
        <v>87</v>
      </c>
      <c r="P19" t="s">
        <v>62</v>
      </c>
      <c r="R19" t="s">
        <v>63</v>
      </c>
      <c r="S19" t="s">
        <v>64</v>
      </c>
      <c r="T19">
        <v>227</v>
      </c>
      <c r="U19">
        <v>208.5</v>
      </c>
      <c r="V19">
        <f t="shared" si="0"/>
        <v>217.75</v>
      </c>
      <c r="W19">
        <f t="shared" si="1"/>
        <v>18.5</v>
      </c>
      <c r="X19">
        <v>8.65</v>
      </c>
      <c r="Y19">
        <v>48.066668999999997</v>
      </c>
      <c r="Z19" t="s">
        <v>198</v>
      </c>
      <c r="AA19" t="s">
        <v>211</v>
      </c>
      <c r="AB19" t="s">
        <v>212</v>
      </c>
      <c r="AC19" t="s">
        <v>259</v>
      </c>
      <c r="AD19" t="s">
        <v>214</v>
      </c>
      <c r="AE19" t="s">
        <v>215</v>
      </c>
      <c r="AH19" t="s">
        <v>11</v>
      </c>
      <c r="AI19" t="s">
        <v>228</v>
      </c>
      <c r="AJ19">
        <v>1992</v>
      </c>
      <c r="AK19" t="s">
        <v>261</v>
      </c>
      <c r="AM19" t="s">
        <v>262</v>
      </c>
      <c r="AN19" t="s">
        <v>114</v>
      </c>
      <c r="AO19">
        <v>5</v>
      </c>
      <c r="AP19" t="s">
        <v>78</v>
      </c>
      <c r="AQ19" t="s">
        <v>263</v>
      </c>
      <c r="AR19" t="s">
        <v>80</v>
      </c>
      <c r="AS19">
        <v>305</v>
      </c>
      <c r="AT19" t="s">
        <v>81</v>
      </c>
      <c r="AU19">
        <v>21.24</v>
      </c>
      <c r="AV19">
        <v>29.29</v>
      </c>
      <c r="AW19" t="s">
        <v>82</v>
      </c>
      <c r="AX19">
        <v>305</v>
      </c>
      <c r="AY19" t="s">
        <v>81</v>
      </c>
      <c r="AZ19">
        <v>10.119999999999999</v>
      </c>
      <c r="BA19">
        <v>31.21</v>
      </c>
      <c r="BB19" t="s">
        <v>83</v>
      </c>
    </row>
    <row r="20" spans="1:54" x14ac:dyDescent="0.4">
      <c r="A20">
        <v>283819</v>
      </c>
      <c r="D20" t="s">
        <v>54</v>
      </c>
      <c r="E20" t="s">
        <v>55</v>
      </c>
      <c r="F20" t="s">
        <v>343</v>
      </c>
      <c r="G20">
        <v>1</v>
      </c>
      <c r="H20" t="s">
        <v>56</v>
      </c>
      <c r="I20" t="s">
        <v>57</v>
      </c>
      <c r="K20" t="s">
        <v>141</v>
      </c>
      <c r="L20" t="s">
        <v>344</v>
      </c>
      <c r="M20" t="s">
        <v>223</v>
      </c>
      <c r="N20" t="s">
        <v>61</v>
      </c>
      <c r="O20" t="s">
        <v>345</v>
      </c>
      <c r="P20" t="s">
        <v>62</v>
      </c>
      <c r="R20" t="s">
        <v>63</v>
      </c>
      <c r="S20" t="s">
        <v>64</v>
      </c>
      <c r="T20">
        <v>227</v>
      </c>
      <c r="U20">
        <v>208.5</v>
      </c>
      <c r="V20">
        <f t="shared" si="0"/>
        <v>217.75</v>
      </c>
      <c r="W20">
        <f t="shared" si="1"/>
        <v>18.5</v>
      </c>
      <c r="X20">
        <v>-22.555554999999998</v>
      </c>
      <c r="Y20">
        <v>71.371391000000003</v>
      </c>
      <c r="Z20" t="s">
        <v>346</v>
      </c>
      <c r="AA20" t="s">
        <v>347</v>
      </c>
      <c r="AB20" t="s">
        <v>348</v>
      </c>
      <c r="AD20" t="s">
        <v>349</v>
      </c>
      <c r="AE20" t="s">
        <v>350</v>
      </c>
      <c r="AF20" t="s">
        <v>351</v>
      </c>
      <c r="AH20" t="s">
        <v>72</v>
      </c>
      <c r="AI20" t="s">
        <v>352</v>
      </c>
      <c r="AJ20">
        <v>2001</v>
      </c>
      <c r="AK20" t="s">
        <v>353</v>
      </c>
      <c r="AM20" t="s">
        <v>354</v>
      </c>
      <c r="AN20" t="s">
        <v>76</v>
      </c>
      <c r="AO20" t="s">
        <v>77</v>
      </c>
      <c r="AP20" t="s">
        <v>78</v>
      </c>
      <c r="AQ20" t="s">
        <v>355</v>
      </c>
      <c r="AR20" t="s">
        <v>80</v>
      </c>
      <c r="AS20">
        <v>102</v>
      </c>
      <c r="AT20" t="s">
        <v>81</v>
      </c>
      <c r="AU20">
        <v>9.48</v>
      </c>
      <c r="AV20">
        <v>43.91</v>
      </c>
      <c r="AW20" t="s">
        <v>82</v>
      </c>
      <c r="AX20">
        <v>102</v>
      </c>
      <c r="AY20" t="s">
        <v>81</v>
      </c>
      <c r="AZ20">
        <v>-2.48</v>
      </c>
      <c r="BA20">
        <v>45.54</v>
      </c>
      <c r="BB20" t="s">
        <v>83</v>
      </c>
    </row>
    <row r="21" spans="1:54" x14ac:dyDescent="0.4">
      <c r="A21">
        <v>283826</v>
      </c>
      <c r="D21" t="s">
        <v>54</v>
      </c>
      <c r="E21" t="s">
        <v>154</v>
      </c>
      <c r="G21">
        <v>1</v>
      </c>
      <c r="H21" t="s">
        <v>56</v>
      </c>
      <c r="I21" t="s">
        <v>57</v>
      </c>
      <c r="K21" t="s">
        <v>206</v>
      </c>
      <c r="L21" t="s">
        <v>253</v>
      </c>
      <c r="M21" t="s">
        <v>60</v>
      </c>
      <c r="O21" t="s">
        <v>170</v>
      </c>
      <c r="P21" t="s">
        <v>62</v>
      </c>
      <c r="R21" t="s">
        <v>63</v>
      </c>
      <c r="S21" t="s">
        <v>64</v>
      </c>
      <c r="T21">
        <v>227</v>
      </c>
      <c r="U21">
        <v>208.5</v>
      </c>
      <c r="V21">
        <f t="shared" si="0"/>
        <v>217.75</v>
      </c>
      <c r="W21">
        <f t="shared" si="1"/>
        <v>18.5</v>
      </c>
      <c r="X21">
        <v>-23.513888999999999</v>
      </c>
      <c r="Y21">
        <v>71.827499000000003</v>
      </c>
      <c r="Z21" t="s">
        <v>361</v>
      </c>
      <c r="AA21" t="s">
        <v>347</v>
      </c>
      <c r="AD21" t="s">
        <v>351</v>
      </c>
      <c r="AE21" t="s">
        <v>349</v>
      </c>
      <c r="AH21" t="s">
        <v>72</v>
      </c>
      <c r="AI21" t="s">
        <v>352</v>
      </c>
      <c r="AJ21">
        <v>1994</v>
      </c>
      <c r="AK21" t="s">
        <v>362</v>
      </c>
      <c r="AM21" t="s">
        <v>363</v>
      </c>
      <c r="AN21" t="s">
        <v>76</v>
      </c>
      <c r="AO21" t="s">
        <v>77</v>
      </c>
      <c r="AP21" t="s">
        <v>359</v>
      </c>
      <c r="AQ21" t="s">
        <v>364</v>
      </c>
      <c r="AR21" t="s">
        <v>80</v>
      </c>
      <c r="AS21">
        <v>102</v>
      </c>
      <c r="AT21" t="s">
        <v>81</v>
      </c>
      <c r="AU21">
        <v>8.81</v>
      </c>
      <c r="AV21">
        <v>44.18</v>
      </c>
      <c r="AW21" t="s">
        <v>82</v>
      </c>
      <c r="AX21">
        <v>102</v>
      </c>
      <c r="AY21" t="s">
        <v>81</v>
      </c>
      <c r="AZ21">
        <v>-3.18</v>
      </c>
      <c r="BA21">
        <v>45.79</v>
      </c>
      <c r="BB21" t="s">
        <v>83</v>
      </c>
    </row>
    <row r="22" spans="1:54" x14ac:dyDescent="0.4">
      <c r="A22">
        <v>283826</v>
      </c>
      <c r="D22" t="s">
        <v>54</v>
      </c>
      <c r="E22" t="s">
        <v>154</v>
      </c>
      <c r="G22">
        <v>1</v>
      </c>
      <c r="H22" t="s">
        <v>56</v>
      </c>
      <c r="I22" t="s">
        <v>57</v>
      </c>
      <c r="K22" t="s">
        <v>206</v>
      </c>
      <c r="L22" t="s">
        <v>253</v>
      </c>
      <c r="M22" t="s">
        <v>60</v>
      </c>
      <c r="O22" t="s">
        <v>170</v>
      </c>
      <c r="P22" t="s">
        <v>62</v>
      </c>
      <c r="R22" t="s">
        <v>63</v>
      </c>
      <c r="S22" t="s">
        <v>64</v>
      </c>
      <c r="T22">
        <v>227</v>
      </c>
      <c r="U22">
        <v>208.5</v>
      </c>
      <c r="V22">
        <f t="shared" si="0"/>
        <v>217.75</v>
      </c>
      <c r="W22">
        <f t="shared" si="1"/>
        <v>18.5</v>
      </c>
      <c r="X22">
        <v>-23.513888999999999</v>
      </c>
      <c r="Y22">
        <v>71.827499000000003</v>
      </c>
      <c r="Z22" t="s">
        <v>361</v>
      </c>
      <c r="AA22" t="s">
        <v>347</v>
      </c>
      <c r="AD22" t="s">
        <v>351</v>
      </c>
      <c r="AE22" t="s">
        <v>349</v>
      </c>
      <c r="AH22" t="s">
        <v>72</v>
      </c>
      <c r="AI22" t="s">
        <v>352</v>
      </c>
      <c r="AJ22">
        <v>1994</v>
      </c>
      <c r="AK22" t="s">
        <v>362</v>
      </c>
      <c r="AM22" t="s">
        <v>363</v>
      </c>
      <c r="AN22" t="s">
        <v>76</v>
      </c>
      <c r="AO22" t="s">
        <v>77</v>
      </c>
      <c r="AP22" t="s">
        <v>359</v>
      </c>
      <c r="AQ22" t="s">
        <v>364</v>
      </c>
      <c r="AR22" t="s">
        <v>80</v>
      </c>
      <c r="AS22">
        <v>102</v>
      </c>
      <c r="AT22" t="s">
        <v>81</v>
      </c>
      <c r="AU22">
        <v>8.81</v>
      </c>
      <c r="AV22">
        <v>44.18</v>
      </c>
      <c r="AW22" t="s">
        <v>82</v>
      </c>
      <c r="AX22">
        <v>102</v>
      </c>
      <c r="AY22" t="s">
        <v>81</v>
      </c>
      <c r="AZ22">
        <v>-3.18</v>
      </c>
      <c r="BA22">
        <v>45.79</v>
      </c>
      <c r="BB22" t="s">
        <v>83</v>
      </c>
    </row>
    <row r="23" spans="1:54" x14ac:dyDescent="0.4">
      <c r="A23">
        <v>283828</v>
      </c>
      <c r="D23" t="s">
        <v>54</v>
      </c>
      <c r="E23" t="s">
        <v>154</v>
      </c>
      <c r="I23" t="s">
        <v>57</v>
      </c>
      <c r="K23" t="s">
        <v>244</v>
      </c>
      <c r="L23" t="s">
        <v>245</v>
      </c>
      <c r="M23" t="s">
        <v>60</v>
      </c>
      <c r="O23" t="s">
        <v>170</v>
      </c>
      <c r="P23" t="s">
        <v>62</v>
      </c>
      <c r="R23" t="s">
        <v>63</v>
      </c>
      <c r="S23" t="s">
        <v>64</v>
      </c>
      <c r="T23">
        <v>227</v>
      </c>
      <c r="U23">
        <v>208.5</v>
      </c>
      <c r="V23">
        <f t="shared" si="0"/>
        <v>217.75</v>
      </c>
      <c r="W23">
        <f t="shared" si="1"/>
        <v>18.5</v>
      </c>
      <c r="X23">
        <v>-23.513888999999999</v>
      </c>
      <c r="Y23">
        <v>71.827499000000003</v>
      </c>
      <c r="Z23" t="s">
        <v>361</v>
      </c>
      <c r="AA23" t="s">
        <v>347</v>
      </c>
      <c r="AD23" t="s">
        <v>351</v>
      </c>
      <c r="AE23" t="s">
        <v>349</v>
      </c>
      <c r="AH23" t="s">
        <v>72</v>
      </c>
      <c r="AI23" t="s">
        <v>365</v>
      </c>
      <c r="AJ23">
        <v>2001</v>
      </c>
      <c r="AK23" t="s">
        <v>362</v>
      </c>
      <c r="AM23" t="s">
        <v>363</v>
      </c>
      <c r="AN23" t="s">
        <v>76</v>
      </c>
      <c r="AO23" t="s">
        <v>77</v>
      </c>
      <c r="AP23" t="s">
        <v>359</v>
      </c>
      <c r="AQ23" t="s">
        <v>364</v>
      </c>
      <c r="AR23" t="s">
        <v>80</v>
      </c>
      <c r="AS23">
        <v>102</v>
      </c>
      <c r="AT23" t="s">
        <v>81</v>
      </c>
      <c r="AU23">
        <v>8.81</v>
      </c>
      <c r="AV23">
        <v>44.18</v>
      </c>
      <c r="AW23" t="s">
        <v>82</v>
      </c>
      <c r="AX23">
        <v>102</v>
      </c>
      <c r="AY23" t="s">
        <v>81</v>
      </c>
      <c r="AZ23">
        <v>-3.18</v>
      </c>
      <c r="BA23">
        <v>45.79</v>
      </c>
      <c r="BB23" t="s">
        <v>83</v>
      </c>
    </row>
    <row r="24" spans="1:54" x14ac:dyDescent="0.4">
      <c r="A24">
        <v>283860</v>
      </c>
      <c r="D24" t="s">
        <v>54</v>
      </c>
      <c r="G24">
        <v>1</v>
      </c>
      <c r="H24" t="s">
        <v>56</v>
      </c>
      <c r="I24" t="s">
        <v>57</v>
      </c>
      <c r="K24" t="s">
        <v>244</v>
      </c>
      <c r="L24" t="s">
        <v>366</v>
      </c>
      <c r="M24" t="s">
        <v>60</v>
      </c>
      <c r="P24" t="s">
        <v>62</v>
      </c>
      <c r="R24" t="s">
        <v>63</v>
      </c>
      <c r="S24" t="s">
        <v>64</v>
      </c>
      <c r="T24">
        <v>227</v>
      </c>
      <c r="U24">
        <v>208.5</v>
      </c>
      <c r="V24">
        <f t="shared" si="0"/>
        <v>217.75</v>
      </c>
      <c r="W24">
        <f t="shared" si="1"/>
        <v>18.5</v>
      </c>
      <c r="X24">
        <v>-22.568611000000001</v>
      </c>
      <c r="Y24">
        <v>71.383613999999994</v>
      </c>
      <c r="Z24" t="s">
        <v>65</v>
      </c>
      <c r="AA24" t="s">
        <v>347</v>
      </c>
      <c r="AD24" t="s">
        <v>367</v>
      </c>
      <c r="AE24" t="s">
        <v>349</v>
      </c>
      <c r="AH24" t="s">
        <v>72</v>
      </c>
      <c r="AI24" t="s">
        <v>368</v>
      </c>
      <c r="AJ24">
        <v>2021</v>
      </c>
      <c r="AK24" t="s">
        <v>369</v>
      </c>
      <c r="AM24" t="s">
        <v>370</v>
      </c>
      <c r="AN24" t="s">
        <v>76</v>
      </c>
      <c r="AO24" t="s">
        <v>77</v>
      </c>
      <c r="AP24" t="s">
        <v>115</v>
      </c>
      <c r="AQ24" t="s">
        <v>371</v>
      </c>
      <c r="AR24" t="s">
        <v>80</v>
      </c>
      <c r="AS24">
        <v>102</v>
      </c>
      <c r="AT24" t="s">
        <v>81</v>
      </c>
      <c r="AU24">
        <v>9.4700000000000006</v>
      </c>
      <c r="AV24">
        <v>43.92</v>
      </c>
      <c r="AW24" t="s">
        <v>82</v>
      </c>
      <c r="AX24">
        <v>102</v>
      </c>
      <c r="AY24" t="s">
        <v>81</v>
      </c>
      <c r="AZ24">
        <v>-2.5</v>
      </c>
      <c r="BA24">
        <v>45.55</v>
      </c>
      <c r="BB24" t="s">
        <v>83</v>
      </c>
    </row>
    <row r="25" spans="1:54" x14ac:dyDescent="0.4">
      <c r="A25">
        <v>360364</v>
      </c>
      <c r="D25" t="s">
        <v>54</v>
      </c>
      <c r="E25" t="s">
        <v>55</v>
      </c>
      <c r="G25">
        <v>1</v>
      </c>
      <c r="H25" t="s">
        <v>56</v>
      </c>
      <c r="I25" t="s">
        <v>57</v>
      </c>
      <c r="K25" t="s">
        <v>141</v>
      </c>
      <c r="L25" t="s">
        <v>550</v>
      </c>
      <c r="M25" t="s">
        <v>60</v>
      </c>
      <c r="N25" t="s">
        <v>256</v>
      </c>
      <c r="O25" t="s">
        <v>87</v>
      </c>
      <c r="P25" t="s">
        <v>62</v>
      </c>
      <c r="R25" t="s">
        <v>63</v>
      </c>
      <c r="S25" t="s">
        <v>64</v>
      </c>
      <c r="T25">
        <v>227</v>
      </c>
      <c r="U25">
        <v>208.5</v>
      </c>
      <c r="V25">
        <f t="shared" si="0"/>
        <v>217.75</v>
      </c>
      <c r="W25">
        <f t="shared" si="1"/>
        <v>18.5</v>
      </c>
      <c r="X25">
        <v>-68.066665999999998</v>
      </c>
      <c r="Y25">
        <v>-29.85</v>
      </c>
      <c r="Z25" t="s">
        <v>184</v>
      </c>
      <c r="AA25" t="s">
        <v>185</v>
      </c>
      <c r="AB25" t="s">
        <v>186</v>
      </c>
      <c r="AD25" t="s">
        <v>551</v>
      </c>
      <c r="AE25" t="s">
        <v>188</v>
      </c>
      <c r="AH25" t="s">
        <v>72</v>
      </c>
      <c r="AI25" t="s">
        <v>552</v>
      </c>
      <c r="AJ25">
        <v>2003</v>
      </c>
      <c r="AK25" t="s">
        <v>553</v>
      </c>
      <c r="AM25" t="s">
        <v>554</v>
      </c>
      <c r="AN25" t="s">
        <v>192</v>
      </c>
      <c r="AO25" t="s">
        <v>77</v>
      </c>
      <c r="AP25" t="s">
        <v>115</v>
      </c>
      <c r="AQ25" t="s">
        <v>555</v>
      </c>
      <c r="AR25" t="s">
        <v>80</v>
      </c>
      <c r="AS25">
        <v>291</v>
      </c>
      <c r="AT25" t="s">
        <v>81</v>
      </c>
      <c r="AU25">
        <v>-22.76</v>
      </c>
      <c r="AV25">
        <v>-39.67</v>
      </c>
      <c r="AW25" t="s">
        <v>82</v>
      </c>
      <c r="AX25">
        <v>291</v>
      </c>
      <c r="AY25" t="s">
        <v>81</v>
      </c>
      <c r="AZ25">
        <v>-31.44</v>
      </c>
      <c r="BA25">
        <v>-39.06</v>
      </c>
      <c r="BB25" t="s">
        <v>83</v>
      </c>
    </row>
    <row r="26" spans="1:54" x14ac:dyDescent="0.4">
      <c r="A26">
        <v>385301</v>
      </c>
      <c r="D26" t="s">
        <v>54</v>
      </c>
      <c r="G26">
        <v>1</v>
      </c>
      <c r="H26" t="s">
        <v>56</v>
      </c>
      <c r="I26" t="s">
        <v>57</v>
      </c>
      <c r="K26" t="s">
        <v>141</v>
      </c>
      <c r="L26" t="s">
        <v>616</v>
      </c>
      <c r="M26" t="s">
        <v>60</v>
      </c>
      <c r="P26" t="s">
        <v>62</v>
      </c>
      <c r="R26" t="s">
        <v>63</v>
      </c>
      <c r="S26" t="s">
        <v>64</v>
      </c>
      <c r="T26">
        <v>227</v>
      </c>
      <c r="U26">
        <v>208.5</v>
      </c>
      <c r="V26">
        <f t="shared" si="0"/>
        <v>217.75</v>
      </c>
      <c r="W26">
        <f t="shared" si="1"/>
        <v>18.5</v>
      </c>
      <c r="X26">
        <v>27.383329</v>
      </c>
      <c r="Y26">
        <v>-30.6</v>
      </c>
      <c r="Z26" t="s">
        <v>124</v>
      </c>
      <c r="AA26" t="s">
        <v>106</v>
      </c>
      <c r="AB26" t="s">
        <v>107</v>
      </c>
      <c r="AC26" t="s">
        <v>617</v>
      </c>
      <c r="AD26" t="s">
        <v>618</v>
      </c>
      <c r="AE26" t="s">
        <v>619</v>
      </c>
      <c r="AF26" t="s">
        <v>620</v>
      </c>
      <c r="AH26" t="s">
        <v>72</v>
      </c>
      <c r="AI26" t="s">
        <v>621</v>
      </c>
      <c r="AJ26">
        <v>1924</v>
      </c>
      <c r="AK26" t="s">
        <v>622</v>
      </c>
      <c r="AM26" t="s">
        <v>623</v>
      </c>
      <c r="AN26" t="s">
        <v>114</v>
      </c>
      <c r="AO26">
        <v>1</v>
      </c>
      <c r="AP26" t="s">
        <v>115</v>
      </c>
      <c r="AQ26" t="s">
        <v>624</v>
      </c>
      <c r="AR26" t="s">
        <v>80</v>
      </c>
      <c r="AS26">
        <v>701</v>
      </c>
      <c r="AT26" t="s">
        <v>81</v>
      </c>
      <c r="AU26">
        <v>7.01</v>
      </c>
      <c r="AV26">
        <v>-52.7</v>
      </c>
      <c r="AW26" t="s">
        <v>82</v>
      </c>
      <c r="AX26">
        <v>701</v>
      </c>
      <c r="AY26" t="s">
        <v>81</v>
      </c>
      <c r="AZ26">
        <v>-1.45</v>
      </c>
      <c r="BA26">
        <v>-51.1</v>
      </c>
      <c r="BB26" t="s">
        <v>83</v>
      </c>
    </row>
    <row r="27" spans="1:54" x14ac:dyDescent="0.4">
      <c r="A27">
        <v>385607</v>
      </c>
      <c r="D27" t="s">
        <v>54</v>
      </c>
      <c r="E27" t="s">
        <v>55</v>
      </c>
      <c r="G27">
        <v>1</v>
      </c>
      <c r="H27" t="s">
        <v>56</v>
      </c>
      <c r="I27" t="s">
        <v>57</v>
      </c>
      <c r="K27" t="s">
        <v>244</v>
      </c>
      <c r="L27" t="s">
        <v>625</v>
      </c>
      <c r="M27" t="s">
        <v>60</v>
      </c>
      <c r="P27" t="s">
        <v>62</v>
      </c>
      <c r="R27" t="s">
        <v>63</v>
      </c>
      <c r="S27" t="s">
        <v>64</v>
      </c>
      <c r="T27">
        <v>227</v>
      </c>
      <c r="U27">
        <v>208.5</v>
      </c>
      <c r="V27">
        <f t="shared" si="0"/>
        <v>217.75</v>
      </c>
      <c r="W27">
        <f t="shared" si="1"/>
        <v>18.5</v>
      </c>
      <c r="X27">
        <v>27.416699999999999</v>
      </c>
      <c r="Y27">
        <v>-30.533300000000001</v>
      </c>
      <c r="Z27" t="s">
        <v>124</v>
      </c>
      <c r="AA27" t="s">
        <v>106</v>
      </c>
      <c r="AB27" t="s">
        <v>107</v>
      </c>
      <c r="AC27" t="s">
        <v>617</v>
      </c>
      <c r="AD27" t="s">
        <v>618</v>
      </c>
      <c r="AE27" t="s">
        <v>619</v>
      </c>
      <c r="AF27" t="s">
        <v>620</v>
      </c>
      <c r="AH27" t="s">
        <v>72</v>
      </c>
      <c r="AI27" t="s">
        <v>621</v>
      </c>
      <c r="AJ27">
        <v>1924</v>
      </c>
      <c r="AK27" t="s">
        <v>626</v>
      </c>
      <c r="AM27" t="s">
        <v>627</v>
      </c>
      <c r="AN27" t="s">
        <v>114</v>
      </c>
      <c r="AO27">
        <v>4</v>
      </c>
      <c r="AP27" t="s">
        <v>115</v>
      </c>
      <c r="AQ27" t="s">
        <v>628</v>
      </c>
      <c r="AR27" t="s">
        <v>80</v>
      </c>
      <c r="AS27">
        <v>701</v>
      </c>
      <c r="AT27" t="s">
        <v>81</v>
      </c>
      <c r="AU27">
        <v>7.1</v>
      </c>
      <c r="AV27">
        <v>-52.66</v>
      </c>
      <c r="AW27" t="s">
        <v>82</v>
      </c>
      <c r="AX27">
        <v>701</v>
      </c>
      <c r="AY27" t="s">
        <v>81</v>
      </c>
      <c r="AZ27">
        <v>-1.36</v>
      </c>
      <c r="BA27">
        <v>-51.05</v>
      </c>
      <c r="BB27" t="s">
        <v>83</v>
      </c>
    </row>
    <row r="28" spans="1:54" x14ac:dyDescent="0.4">
      <c r="A28">
        <v>385607</v>
      </c>
      <c r="D28" t="s">
        <v>54</v>
      </c>
      <c r="E28" t="s">
        <v>55</v>
      </c>
      <c r="G28">
        <v>1</v>
      </c>
      <c r="H28" t="s">
        <v>56</v>
      </c>
      <c r="I28" t="s">
        <v>57</v>
      </c>
      <c r="K28" t="s">
        <v>244</v>
      </c>
      <c r="L28" t="s">
        <v>625</v>
      </c>
      <c r="M28" t="s">
        <v>60</v>
      </c>
      <c r="P28" t="s">
        <v>62</v>
      </c>
      <c r="R28" t="s">
        <v>63</v>
      </c>
      <c r="S28" t="s">
        <v>64</v>
      </c>
      <c r="T28">
        <v>227</v>
      </c>
      <c r="U28">
        <v>208.5</v>
      </c>
      <c r="V28">
        <f t="shared" si="0"/>
        <v>217.75</v>
      </c>
      <c r="W28">
        <f t="shared" si="1"/>
        <v>18.5</v>
      </c>
      <c r="X28">
        <v>27.416699999999999</v>
      </c>
      <c r="Y28">
        <v>-30.533300000000001</v>
      </c>
      <c r="Z28" t="s">
        <v>124</v>
      </c>
      <c r="AA28" t="s">
        <v>106</v>
      </c>
      <c r="AB28" t="s">
        <v>107</v>
      </c>
      <c r="AC28" t="s">
        <v>617</v>
      </c>
      <c r="AD28" t="s">
        <v>618</v>
      </c>
      <c r="AE28" t="s">
        <v>619</v>
      </c>
      <c r="AF28" t="s">
        <v>620</v>
      </c>
      <c r="AH28" t="s">
        <v>72</v>
      </c>
      <c r="AI28" t="s">
        <v>621</v>
      </c>
      <c r="AJ28">
        <v>1924</v>
      </c>
      <c r="AK28" t="s">
        <v>626</v>
      </c>
      <c r="AM28" t="s">
        <v>627</v>
      </c>
      <c r="AN28" t="s">
        <v>114</v>
      </c>
      <c r="AO28">
        <v>4</v>
      </c>
      <c r="AP28" t="s">
        <v>115</v>
      </c>
      <c r="AQ28" t="s">
        <v>628</v>
      </c>
      <c r="AR28" t="s">
        <v>80</v>
      </c>
      <c r="AS28">
        <v>701</v>
      </c>
      <c r="AT28" t="s">
        <v>81</v>
      </c>
      <c r="AU28">
        <v>7.1</v>
      </c>
      <c r="AV28">
        <v>-52.66</v>
      </c>
      <c r="AW28" t="s">
        <v>82</v>
      </c>
      <c r="AX28">
        <v>701</v>
      </c>
      <c r="AY28" t="s">
        <v>81</v>
      </c>
      <c r="AZ28">
        <v>-1.36</v>
      </c>
      <c r="BA28">
        <v>-51.05</v>
      </c>
      <c r="BB28" t="s">
        <v>83</v>
      </c>
    </row>
    <row r="29" spans="1:54" x14ac:dyDescent="0.4">
      <c r="A29">
        <v>385607</v>
      </c>
      <c r="D29" t="s">
        <v>54</v>
      </c>
      <c r="E29" t="s">
        <v>55</v>
      </c>
      <c r="G29">
        <v>1</v>
      </c>
      <c r="H29" t="s">
        <v>56</v>
      </c>
      <c r="I29" t="s">
        <v>57</v>
      </c>
      <c r="K29" t="s">
        <v>244</v>
      </c>
      <c r="L29" t="s">
        <v>625</v>
      </c>
      <c r="M29" t="s">
        <v>60</v>
      </c>
      <c r="P29" t="s">
        <v>62</v>
      </c>
      <c r="R29" t="s">
        <v>63</v>
      </c>
      <c r="S29" t="s">
        <v>64</v>
      </c>
      <c r="T29">
        <v>227</v>
      </c>
      <c r="U29">
        <v>208.5</v>
      </c>
      <c r="V29">
        <f t="shared" si="0"/>
        <v>217.75</v>
      </c>
      <c r="W29">
        <f t="shared" si="1"/>
        <v>18.5</v>
      </c>
      <c r="X29">
        <v>27.416699999999999</v>
      </c>
      <c r="Y29">
        <v>-30.533300000000001</v>
      </c>
      <c r="Z29" t="s">
        <v>124</v>
      </c>
      <c r="AA29" t="s">
        <v>106</v>
      </c>
      <c r="AB29" t="s">
        <v>107</v>
      </c>
      <c r="AC29" t="s">
        <v>617</v>
      </c>
      <c r="AD29" t="s">
        <v>618</v>
      </c>
      <c r="AE29" t="s">
        <v>619</v>
      </c>
      <c r="AF29" t="s">
        <v>620</v>
      </c>
      <c r="AH29" t="s">
        <v>72</v>
      </c>
      <c r="AI29" t="s">
        <v>621</v>
      </c>
      <c r="AJ29">
        <v>1924</v>
      </c>
      <c r="AK29" t="s">
        <v>626</v>
      </c>
      <c r="AM29" t="s">
        <v>627</v>
      </c>
      <c r="AN29" t="s">
        <v>114</v>
      </c>
      <c r="AO29">
        <v>4</v>
      </c>
      <c r="AP29" t="s">
        <v>115</v>
      </c>
      <c r="AQ29" t="s">
        <v>628</v>
      </c>
      <c r="AR29" t="s">
        <v>80</v>
      </c>
      <c r="AS29">
        <v>701</v>
      </c>
      <c r="AT29" t="s">
        <v>81</v>
      </c>
      <c r="AU29">
        <v>7.1</v>
      </c>
      <c r="AV29">
        <v>-52.66</v>
      </c>
      <c r="AW29" t="s">
        <v>82</v>
      </c>
      <c r="AX29">
        <v>701</v>
      </c>
      <c r="AY29" t="s">
        <v>81</v>
      </c>
      <c r="AZ29">
        <v>-1.36</v>
      </c>
      <c r="BA29">
        <v>-51.05</v>
      </c>
      <c r="BB29" t="s">
        <v>83</v>
      </c>
    </row>
    <row r="30" spans="1:54" x14ac:dyDescent="0.4">
      <c r="A30">
        <v>385607</v>
      </c>
      <c r="D30" t="s">
        <v>54</v>
      </c>
      <c r="E30" t="s">
        <v>55</v>
      </c>
      <c r="G30">
        <v>1</v>
      </c>
      <c r="H30" t="s">
        <v>56</v>
      </c>
      <c r="I30" t="s">
        <v>57</v>
      </c>
      <c r="K30" t="s">
        <v>244</v>
      </c>
      <c r="L30" t="s">
        <v>625</v>
      </c>
      <c r="M30" t="s">
        <v>60</v>
      </c>
      <c r="P30" t="s">
        <v>62</v>
      </c>
      <c r="R30" t="s">
        <v>63</v>
      </c>
      <c r="S30" t="s">
        <v>64</v>
      </c>
      <c r="T30">
        <v>227</v>
      </c>
      <c r="U30">
        <v>208.5</v>
      </c>
      <c r="V30">
        <f t="shared" si="0"/>
        <v>217.75</v>
      </c>
      <c r="W30">
        <f t="shared" si="1"/>
        <v>18.5</v>
      </c>
      <c r="X30">
        <v>27.416699999999999</v>
      </c>
      <c r="Y30">
        <v>-30.533300000000001</v>
      </c>
      <c r="Z30" t="s">
        <v>124</v>
      </c>
      <c r="AA30" t="s">
        <v>106</v>
      </c>
      <c r="AB30" t="s">
        <v>107</v>
      </c>
      <c r="AC30" t="s">
        <v>617</v>
      </c>
      <c r="AD30" t="s">
        <v>618</v>
      </c>
      <c r="AE30" t="s">
        <v>619</v>
      </c>
      <c r="AF30" t="s">
        <v>620</v>
      </c>
      <c r="AH30" t="s">
        <v>72</v>
      </c>
      <c r="AI30" t="s">
        <v>621</v>
      </c>
      <c r="AJ30">
        <v>1924</v>
      </c>
      <c r="AK30" t="s">
        <v>626</v>
      </c>
      <c r="AM30" t="s">
        <v>627</v>
      </c>
      <c r="AN30" t="s">
        <v>114</v>
      </c>
      <c r="AO30">
        <v>4</v>
      </c>
      <c r="AP30" t="s">
        <v>115</v>
      </c>
      <c r="AQ30" t="s">
        <v>628</v>
      </c>
      <c r="AR30" t="s">
        <v>80</v>
      </c>
      <c r="AS30">
        <v>701</v>
      </c>
      <c r="AT30" t="s">
        <v>81</v>
      </c>
      <c r="AU30">
        <v>7.1</v>
      </c>
      <c r="AV30">
        <v>-52.66</v>
      </c>
      <c r="AW30" t="s">
        <v>82</v>
      </c>
      <c r="AX30">
        <v>701</v>
      </c>
      <c r="AY30" t="s">
        <v>81</v>
      </c>
      <c r="AZ30">
        <v>-1.36</v>
      </c>
      <c r="BA30">
        <v>-51.05</v>
      </c>
      <c r="BB30" t="s">
        <v>83</v>
      </c>
    </row>
    <row r="31" spans="1:54" x14ac:dyDescent="0.4">
      <c r="A31">
        <v>404182</v>
      </c>
      <c r="D31" t="s">
        <v>54</v>
      </c>
      <c r="I31" t="s">
        <v>57</v>
      </c>
      <c r="K31" t="s">
        <v>141</v>
      </c>
      <c r="L31" t="s">
        <v>592</v>
      </c>
      <c r="M31" t="s">
        <v>223</v>
      </c>
      <c r="P31" t="s">
        <v>62</v>
      </c>
      <c r="R31" t="s">
        <v>63</v>
      </c>
      <c r="S31" t="s">
        <v>64</v>
      </c>
      <c r="T31">
        <v>227</v>
      </c>
      <c r="U31">
        <v>208.5</v>
      </c>
      <c r="V31">
        <f t="shared" si="0"/>
        <v>217.75</v>
      </c>
      <c r="W31">
        <f t="shared" si="1"/>
        <v>18.5</v>
      </c>
      <c r="X31">
        <v>16.283332999999999</v>
      </c>
      <c r="Y31">
        <v>48.083331999999999</v>
      </c>
      <c r="Z31" t="s">
        <v>520</v>
      </c>
      <c r="AA31" t="s">
        <v>712</v>
      </c>
      <c r="AB31" t="s">
        <v>713</v>
      </c>
      <c r="AD31" t="s">
        <v>714</v>
      </c>
      <c r="AH31" t="s">
        <v>11</v>
      </c>
      <c r="AI31" t="s">
        <v>715</v>
      </c>
      <c r="AJ31">
        <v>1935</v>
      </c>
      <c r="AK31" t="s">
        <v>716</v>
      </c>
      <c r="AM31" t="s">
        <v>717</v>
      </c>
      <c r="AN31" t="s">
        <v>114</v>
      </c>
      <c r="AO31" t="s">
        <v>77</v>
      </c>
      <c r="AP31" t="s">
        <v>78</v>
      </c>
      <c r="AQ31" t="s">
        <v>718</v>
      </c>
      <c r="AR31" t="s">
        <v>80</v>
      </c>
      <c r="AS31">
        <v>305</v>
      </c>
      <c r="AT31" t="s">
        <v>81</v>
      </c>
      <c r="AU31">
        <v>26.57</v>
      </c>
      <c r="AV31">
        <v>31.48</v>
      </c>
      <c r="AW31" t="s">
        <v>82</v>
      </c>
      <c r="AX31">
        <v>307</v>
      </c>
      <c r="AY31" t="s">
        <v>81</v>
      </c>
      <c r="AZ31">
        <v>19.03</v>
      </c>
      <c r="BA31">
        <v>25.11</v>
      </c>
      <c r="BB31" t="s">
        <v>83</v>
      </c>
    </row>
    <row r="32" spans="1:54" x14ac:dyDescent="0.4">
      <c r="A32">
        <v>406864</v>
      </c>
      <c r="D32" t="s">
        <v>167</v>
      </c>
      <c r="E32" t="s">
        <v>154</v>
      </c>
      <c r="G32">
        <v>620</v>
      </c>
      <c r="H32" t="s">
        <v>84</v>
      </c>
      <c r="I32" t="s">
        <v>57</v>
      </c>
      <c r="K32" t="s">
        <v>206</v>
      </c>
      <c r="L32" t="s">
        <v>207</v>
      </c>
      <c r="M32" t="s">
        <v>60</v>
      </c>
      <c r="O32" t="s">
        <v>170</v>
      </c>
      <c r="P32" t="s">
        <v>62</v>
      </c>
      <c r="R32" t="s">
        <v>63</v>
      </c>
      <c r="S32" t="s">
        <v>64</v>
      </c>
      <c r="T32">
        <v>227</v>
      </c>
      <c r="U32">
        <v>208.5</v>
      </c>
      <c r="V32">
        <f t="shared" si="0"/>
        <v>217.75</v>
      </c>
      <c r="W32">
        <f t="shared" si="1"/>
        <v>18.5</v>
      </c>
      <c r="X32">
        <v>-109.462486</v>
      </c>
      <c r="Y32">
        <v>34.437420000000003</v>
      </c>
      <c r="Z32" t="s">
        <v>734</v>
      </c>
      <c r="AA32" t="s">
        <v>66</v>
      </c>
      <c r="AB32" t="s">
        <v>583</v>
      </c>
      <c r="AC32" t="s">
        <v>735</v>
      </c>
      <c r="AD32" t="s">
        <v>174</v>
      </c>
      <c r="AF32" t="s">
        <v>736</v>
      </c>
      <c r="AH32" t="s">
        <v>72</v>
      </c>
      <c r="AI32" t="s">
        <v>208</v>
      </c>
      <c r="AJ32">
        <v>2008</v>
      </c>
      <c r="AK32" t="s">
        <v>737</v>
      </c>
      <c r="AN32" t="s">
        <v>76</v>
      </c>
      <c r="AO32">
        <v>8</v>
      </c>
      <c r="AP32" t="s">
        <v>78</v>
      </c>
      <c r="AQ32" t="s">
        <v>738</v>
      </c>
      <c r="AR32" t="s">
        <v>80</v>
      </c>
      <c r="AS32">
        <v>101</v>
      </c>
      <c r="AT32" t="s">
        <v>81</v>
      </c>
      <c r="AU32">
        <v>-37.44</v>
      </c>
      <c r="AV32">
        <v>9.8800000000000008</v>
      </c>
      <c r="AW32" t="s">
        <v>82</v>
      </c>
      <c r="AX32">
        <v>133</v>
      </c>
      <c r="AY32" t="s">
        <v>81</v>
      </c>
      <c r="AZ32">
        <v>-52.23</v>
      </c>
      <c r="BA32">
        <v>9.9499999999999993</v>
      </c>
      <c r="BB32" t="s">
        <v>83</v>
      </c>
    </row>
    <row r="33" spans="1:54" x14ac:dyDescent="0.4">
      <c r="A33">
        <v>406867</v>
      </c>
      <c r="D33" t="s">
        <v>167</v>
      </c>
      <c r="E33" t="s">
        <v>154</v>
      </c>
      <c r="G33">
        <v>3</v>
      </c>
      <c r="H33" t="s">
        <v>84</v>
      </c>
      <c r="I33" t="s">
        <v>57</v>
      </c>
      <c r="K33" t="s">
        <v>85</v>
      </c>
      <c r="L33" t="s">
        <v>739</v>
      </c>
      <c r="M33" t="s">
        <v>60</v>
      </c>
      <c r="O33" t="s">
        <v>87</v>
      </c>
      <c r="P33" t="s">
        <v>62</v>
      </c>
      <c r="R33" t="s">
        <v>63</v>
      </c>
      <c r="S33" t="s">
        <v>64</v>
      </c>
      <c r="T33">
        <v>227</v>
      </c>
      <c r="U33">
        <v>208.5</v>
      </c>
      <c r="V33">
        <f t="shared" si="0"/>
        <v>217.75</v>
      </c>
      <c r="W33">
        <f t="shared" si="1"/>
        <v>18.5</v>
      </c>
      <c r="X33">
        <v>-109.462486</v>
      </c>
      <c r="Y33">
        <v>34.437420000000003</v>
      </c>
      <c r="Z33" t="s">
        <v>734</v>
      </c>
      <c r="AA33" t="s">
        <v>66</v>
      </c>
      <c r="AB33" t="s">
        <v>583</v>
      </c>
      <c r="AC33" t="s">
        <v>735</v>
      </c>
      <c r="AD33" t="s">
        <v>174</v>
      </c>
      <c r="AF33" t="s">
        <v>736</v>
      </c>
      <c r="AH33" t="s">
        <v>72</v>
      </c>
      <c r="AI33" t="s">
        <v>740</v>
      </c>
      <c r="AJ33">
        <v>1995</v>
      </c>
      <c r="AK33" t="s">
        <v>737</v>
      </c>
      <c r="AN33" t="s">
        <v>76</v>
      </c>
      <c r="AO33">
        <v>8</v>
      </c>
      <c r="AP33" t="s">
        <v>78</v>
      </c>
      <c r="AQ33" t="s">
        <v>738</v>
      </c>
      <c r="AR33" t="s">
        <v>80</v>
      </c>
      <c r="AS33">
        <v>101</v>
      </c>
      <c r="AT33" t="s">
        <v>81</v>
      </c>
      <c r="AU33">
        <v>-37.44</v>
      </c>
      <c r="AV33">
        <v>9.8800000000000008</v>
      </c>
      <c r="AW33" t="s">
        <v>82</v>
      </c>
      <c r="AX33">
        <v>133</v>
      </c>
      <c r="AY33" t="s">
        <v>81</v>
      </c>
      <c r="AZ33">
        <v>-52.23</v>
      </c>
      <c r="BA33">
        <v>9.9499999999999993</v>
      </c>
      <c r="BB33" t="s">
        <v>83</v>
      </c>
    </row>
    <row r="34" spans="1:54" x14ac:dyDescent="0.4">
      <c r="A34">
        <v>406869</v>
      </c>
      <c r="D34" t="s">
        <v>167</v>
      </c>
      <c r="E34" t="s">
        <v>154</v>
      </c>
      <c r="I34" t="s">
        <v>57</v>
      </c>
      <c r="K34" t="s">
        <v>196</v>
      </c>
      <c r="L34" t="s">
        <v>197</v>
      </c>
      <c r="M34" t="s">
        <v>60</v>
      </c>
      <c r="O34" t="s">
        <v>87</v>
      </c>
      <c r="P34" t="s">
        <v>62</v>
      </c>
      <c r="R34" t="s">
        <v>63</v>
      </c>
      <c r="S34" t="s">
        <v>64</v>
      </c>
      <c r="T34">
        <v>227</v>
      </c>
      <c r="U34">
        <v>208.5</v>
      </c>
      <c r="V34">
        <f t="shared" si="0"/>
        <v>217.75</v>
      </c>
      <c r="W34">
        <f t="shared" si="1"/>
        <v>18.5</v>
      </c>
      <c r="X34">
        <v>-109.462486</v>
      </c>
      <c r="Y34">
        <v>34.437420000000003</v>
      </c>
      <c r="Z34" t="s">
        <v>734</v>
      </c>
      <c r="AA34" t="s">
        <v>66</v>
      </c>
      <c r="AB34" t="s">
        <v>583</v>
      </c>
      <c r="AC34" t="s">
        <v>735</v>
      </c>
      <c r="AD34" t="s">
        <v>174</v>
      </c>
      <c r="AF34" t="s">
        <v>736</v>
      </c>
      <c r="AH34" t="s">
        <v>72</v>
      </c>
      <c r="AI34" t="s">
        <v>740</v>
      </c>
      <c r="AJ34">
        <v>1995</v>
      </c>
      <c r="AK34" t="s">
        <v>737</v>
      </c>
      <c r="AN34" t="s">
        <v>76</v>
      </c>
      <c r="AO34">
        <v>8</v>
      </c>
      <c r="AP34" t="s">
        <v>78</v>
      </c>
      <c r="AQ34" t="s">
        <v>738</v>
      </c>
      <c r="AR34" t="s">
        <v>80</v>
      </c>
      <c r="AS34">
        <v>101</v>
      </c>
      <c r="AT34" t="s">
        <v>81</v>
      </c>
      <c r="AU34">
        <v>-37.44</v>
      </c>
      <c r="AV34">
        <v>9.8800000000000008</v>
      </c>
      <c r="AW34" t="s">
        <v>82</v>
      </c>
      <c r="AX34">
        <v>133</v>
      </c>
      <c r="AY34" t="s">
        <v>81</v>
      </c>
      <c r="AZ34">
        <v>-52.23</v>
      </c>
      <c r="BA34">
        <v>9.9499999999999993</v>
      </c>
      <c r="BB34" t="s">
        <v>83</v>
      </c>
    </row>
    <row r="35" spans="1:54" x14ac:dyDescent="0.4">
      <c r="A35">
        <v>406872</v>
      </c>
      <c r="D35" t="s">
        <v>167</v>
      </c>
      <c r="E35" t="s">
        <v>154</v>
      </c>
      <c r="G35">
        <v>1</v>
      </c>
      <c r="H35" t="s">
        <v>84</v>
      </c>
      <c r="I35" t="s">
        <v>57</v>
      </c>
      <c r="K35" t="s">
        <v>741</v>
      </c>
      <c r="L35" t="s">
        <v>742</v>
      </c>
      <c r="M35" t="s">
        <v>60</v>
      </c>
      <c r="N35" t="s">
        <v>256</v>
      </c>
      <c r="O35" t="s">
        <v>87</v>
      </c>
      <c r="P35" t="s">
        <v>62</v>
      </c>
      <c r="R35" t="s">
        <v>63</v>
      </c>
      <c r="S35" t="s">
        <v>64</v>
      </c>
      <c r="T35">
        <v>227</v>
      </c>
      <c r="U35">
        <v>208.5</v>
      </c>
      <c r="V35">
        <f t="shared" si="0"/>
        <v>217.75</v>
      </c>
      <c r="W35">
        <f t="shared" si="1"/>
        <v>18.5</v>
      </c>
      <c r="X35">
        <v>-109.462486</v>
      </c>
      <c r="Y35">
        <v>34.437420000000003</v>
      </c>
      <c r="Z35" t="s">
        <v>734</v>
      </c>
      <c r="AA35" t="s">
        <v>66</v>
      </c>
      <c r="AB35" t="s">
        <v>583</v>
      </c>
      <c r="AC35" t="s">
        <v>735</v>
      </c>
      <c r="AD35" t="s">
        <v>174</v>
      </c>
      <c r="AF35" t="s">
        <v>736</v>
      </c>
      <c r="AH35" t="s">
        <v>72</v>
      </c>
      <c r="AI35" t="s">
        <v>743</v>
      </c>
      <c r="AJ35">
        <v>1998</v>
      </c>
      <c r="AK35" t="s">
        <v>737</v>
      </c>
      <c r="AN35" t="s">
        <v>76</v>
      </c>
      <c r="AO35">
        <v>8</v>
      </c>
      <c r="AP35" t="s">
        <v>78</v>
      </c>
      <c r="AQ35" t="s">
        <v>738</v>
      </c>
      <c r="AR35" t="s">
        <v>80</v>
      </c>
      <c r="AS35">
        <v>101</v>
      </c>
      <c r="AT35" t="s">
        <v>81</v>
      </c>
      <c r="AU35">
        <v>-37.44</v>
      </c>
      <c r="AV35">
        <v>9.8800000000000008</v>
      </c>
      <c r="AW35" t="s">
        <v>82</v>
      </c>
      <c r="AX35">
        <v>133</v>
      </c>
      <c r="AY35" t="s">
        <v>81</v>
      </c>
      <c r="AZ35">
        <v>-52.23</v>
      </c>
      <c r="BA35">
        <v>9.9499999999999993</v>
      </c>
      <c r="BB35" t="s">
        <v>83</v>
      </c>
    </row>
    <row r="36" spans="1:54" x14ac:dyDescent="0.4">
      <c r="A36">
        <v>406876</v>
      </c>
      <c r="D36" t="s">
        <v>167</v>
      </c>
      <c r="E36" t="s">
        <v>154</v>
      </c>
      <c r="G36">
        <v>485</v>
      </c>
      <c r="H36" t="s">
        <v>84</v>
      </c>
      <c r="I36" t="s">
        <v>57</v>
      </c>
      <c r="K36" t="s">
        <v>206</v>
      </c>
      <c r="L36" t="s">
        <v>744</v>
      </c>
      <c r="M36" t="s">
        <v>60</v>
      </c>
      <c r="O36" t="s">
        <v>170</v>
      </c>
      <c r="P36" t="s">
        <v>62</v>
      </c>
      <c r="R36" t="s">
        <v>63</v>
      </c>
      <c r="S36" t="s">
        <v>64</v>
      </c>
      <c r="T36">
        <v>227</v>
      </c>
      <c r="U36">
        <v>208.5</v>
      </c>
      <c r="V36">
        <f t="shared" si="0"/>
        <v>217.75</v>
      </c>
      <c r="W36">
        <f t="shared" si="1"/>
        <v>18.5</v>
      </c>
      <c r="X36">
        <v>-109.462486</v>
      </c>
      <c r="Y36">
        <v>34.437420000000003</v>
      </c>
      <c r="Z36" t="s">
        <v>734</v>
      </c>
      <c r="AA36" t="s">
        <v>66</v>
      </c>
      <c r="AB36" t="s">
        <v>583</v>
      </c>
      <c r="AC36" t="s">
        <v>735</v>
      </c>
      <c r="AD36" t="s">
        <v>174</v>
      </c>
      <c r="AF36" t="s">
        <v>736</v>
      </c>
      <c r="AH36" t="s">
        <v>72</v>
      </c>
      <c r="AI36" t="s">
        <v>740</v>
      </c>
      <c r="AJ36">
        <v>1995</v>
      </c>
      <c r="AK36" t="s">
        <v>737</v>
      </c>
      <c r="AN36" t="s">
        <v>76</v>
      </c>
      <c r="AO36">
        <v>8</v>
      </c>
      <c r="AP36" t="s">
        <v>78</v>
      </c>
      <c r="AQ36" t="s">
        <v>738</v>
      </c>
      <c r="AR36" t="s">
        <v>80</v>
      </c>
      <c r="AS36">
        <v>101</v>
      </c>
      <c r="AT36" t="s">
        <v>81</v>
      </c>
      <c r="AU36">
        <v>-37.44</v>
      </c>
      <c r="AV36">
        <v>9.8800000000000008</v>
      </c>
      <c r="AW36" t="s">
        <v>82</v>
      </c>
      <c r="AX36">
        <v>133</v>
      </c>
      <c r="AY36" t="s">
        <v>81</v>
      </c>
      <c r="AZ36">
        <v>-52.23</v>
      </c>
      <c r="BA36">
        <v>9.9499999999999993</v>
      </c>
      <c r="BB36" t="s">
        <v>83</v>
      </c>
    </row>
    <row r="37" spans="1:54" x14ac:dyDescent="0.4">
      <c r="A37">
        <v>407766</v>
      </c>
      <c r="D37" t="s">
        <v>745</v>
      </c>
      <c r="E37" t="s">
        <v>310</v>
      </c>
      <c r="G37">
        <v>1</v>
      </c>
      <c r="H37" t="s">
        <v>84</v>
      </c>
      <c r="I37" t="s">
        <v>57</v>
      </c>
      <c r="K37" t="s">
        <v>746</v>
      </c>
      <c r="L37" t="s">
        <v>747</v>
      </c>
      <c r="M37" t="s">
        <v>60</v>
      </c>
      <c r="P37" t="s">
        <v>62</v>
      </c>
      <c r="R37" t="s">
        <v>63</v>
      </c>
      <c r="S37" t="s">
        <v>64</v>
      </c>
      <c r="T37">
        <v>227</v>
      </c>
      <c r="U37">
        <v>208.5</v>
      </c>
      <c r="V37">
        <f t="shared" si="0"/>
        <v>217.75</v>
      </c>
      <c r="W37">
        <f t="shared" si="1"/>
        <v>18.5</v>
      </c>
      <c r="X37">
        <v>-109.462166</v>
      </c>
      <c r="Y37">
        <v>34.437237000000003</v>
      </c>
      <c r="Z37" t="s">
        <v>748</v>
      </c>
      <c r="AA37" t="s">
        <v>66</v>
      </c>
      <c r="AB37" t="s">
        <v>583</v>
      </c>
      <c r="AC37" t="s">
        <v>735</v>
      </c>
      <c r="AD37" t="s">
        <v>174</v>
      </c>
      <c r="AF37" t="s">
        <v>749</v>
      </c>
      <c r="AH37" t="s">
        <v>11</v>
      </c>
      <c r="AI37" t="s">
        <v>750</v>
      </c>
      <c r="AJ37">
        <v>1980</v>
      </c>
      <c r="AK37" t="s">
        <v>751</v>
      </c>
      <c r="AN37" t="s">
        <v>76</v>
      </c>
      <c r="AO37">
        <v>8</v>
      </c>
      <c r="AP37" t="s">
        <v>78</v>
      </c>
      <c r="AQ37" t="s">
        <v>752</v>
      </c>
      <c r="AR37" t="s">
        <v>80</v>
      </c>
      <c r="AS37">
        <v>101</v>
      </c>
      <c r="AT37" t="s">
        <v>81</v>
      </c>
      <c r="AU37">
        <v>-37.44</v>
      </c>
      <c r="AV37">
        <v>9.8800000000000008</v>
      </c>
      <c r="AW37" t="s">
        <v>82</v>
      </c>
      <c r="AX37">
        <v>133</v>
      </c>
      <c r="AY37" t="s">
        <v>81</v>
      </c>
      <c r="AZ37">
        <v>-52.23</v>
      </c>
      <c r="BA37">
        <v>9.9499999999999993</v>
      </c>
      <c r="BB37" t="s">
        <v>83</v>
      </c>
    </row>
    <row r="38" spans="1:54" x14ac:dyDescent="0.4">
      <c r="A38">
        <v>407767</v>
      </c>
      <c r="D38" t="s">
        <v>745</v>
      </c>
      <c r="E38" t="s">
        <v>310</v>
      </c>
      <c r="G38">
        <v>1</v>
      </c>
      <c r="H38" t="s">
        <v>56</v>
      </c>
      <c r="I38" t="s">
        <v>57</v>
      </c>
      <c r="K38" t="s">
        <v>85</v>
      </c>
      <c r="L38" t="s">
        <v>739</v>
      </c>
      <c r="M38" t="s">
        <v>60</v>
      </c>
      <c r="O38" t="s">
        <v>87</v>
      </c>
      <c r="P38" t="s">
        <v>62</v>
      </c>
      <c r="R38" t="s">
        <v>63</v>
      </c>
      <c r="S38" t="s">
        <v>64</v>
      </c>
      <c r="T38">
        <v>227</v>
      </c>
      <c r="U38">
        <v>208.5</v>
      </c>
      <c r="V38">
        <f t="shared" si="0"/>
        <v>217.75</v>
      </c>
      <c r="W38">
        <f t="shared" si="1"/>
        <v>18.5</v>
      </c>
      <c r="X38">
        <v>-109.462166</v>
      </c>
      <c r="Y38">
        <v>34.437237000000003</v>
      </c>
      <c r="Z38" t="s">
        <v>748</v>
      </c>
      <c r="AA38" t="s">
        <v>66</v>
      </c>
      <c r="AB38" t="s">
        <v>583</v>
      </c>
      <c r="AC38" t="s">
        <v>735</v>
      </c>
      <c r="AD38" t="s">
        <v>174</v>
      </c>
      <c r="AF38" t="s">
        <v>749</v>
      </c>
      <c r="AH38" t="s">
        <v>72</v>
      </c>
      <c r="AI38" t="s">
        <v>740</v>
      </c>
      <c r="AJ38">
        <v>1995</v>
      </c>
      <c r="AK38" t="s">
        <v>751</v>
      </c>
      <c r="AN38" t="s">
        <v>76</v>
      </c>
      <c r="AO38">
        <v>8</v>
      </c>
      <c r="AP38" t="s">
        <v>78</v>
      </c>
      <c r="AQ38" t="s">
        <v>752</v>
      </c>
      <c r="AR38" t="s">
        <v>80</v>
      </c>
      <c r="AS38">
        <v>101</v>
      </c>
      <c r="AT38" t="s">
        <v>81</v>
      </c>
      <c r="AU38">
        <v>-37.44</v>
      </c>
      <c r="AV38">
        <v>9.8800000000000008</v>
      </c>
      <c r="AW38" t="s">
        <v>82</v>
      </c>
      <c r="AX38">
        <v>133</v>
      </c>
      <c r="AY38" t="s">
        <v>81</v>
      </c>
      <c r="AZ38">
        <v>-52.23</v>
      </c>
      <c r="BA38">
        <v>9.9499999999999993</v>
      </c>
      <c r="BB38" t="s">
        <v>83</v>
      </c>
    </row>
    <row r="39" spans="1:54" x14ac:dyDescent="0.4">
      <c r="A39">
        <v>407768</v>
      </c>
      <c r="D39" t="s">
        <v>745</v>
      </c>
      <c r="E39" t="s">
        <v>310</v>
      </c>
      <c r="I39" t="s">
        <v>57</v>
      </c>
      <c r="K39" t="s">
        <v>85</v>
      </c>
      <c r="L39" t="s">
        <v>753</v>
      </c>
      <c r="M39" t="s">
        <v>60</v>
      </c>
      <c r="O39" t="s">
        <v>87</v>
      </c>
      <c r="P39" t="s">
        <v>62</v>
      </c>
      <c r="R39" t="s">
        <v>63</v>
      </c>
      <c r="S39" t="s">
        <v>64</v>
      </c>
      <c r="T39">
        <v>227</v>
      </c>
      <c r="U39">
        <v>208.5</v>
      </c>
      <c r="V39">
        <f t="shared" si="0"/>
        <v>217.75</v>
      </c>
      <c r="W39">
        <f t="shared" si="1"/>
        <v>18.5</v>
      </c>
      <c r="X39">
        <v>-109.462166</v>
      </c>
      <c r="Y39">
        <v>34.437237000000003</v>
      </c>
      <c r="Z39" t="s">
        <v>748</v>
      </c>
      <c r="AA39" t="s">
        <v>66</v>
      </c>
      <c r="AB39" t="s">
        <v>583</v>
      </c>
      <c r="AC39" t="s">
        <v>735</v>
      </c>
      <c r="AD39" t="s">
        <v>174</v>
      </c>
      <c r="AF39" t="s">
        <v>749</v>
      </c>
      <c r="AH39" t="s">
        <v>11</v>
      </c>
      <c r="AI39" t="s">
        <v>740</v>
      </c>
      <c r="AJ39">
        <v>1995</v>
      </c>
      <c r="AK39" t="s">
        <v>751</v>
      </c>
      <c r="AN39" t="s">
        <v>76</v>
      </c>
      <c r="AO39">
        <v>8</v>
      </c>
      <c r="AP39" t="s">
        <v>78</v>
      </c>
      <c r="AQ39" t="s">
        <v>752</v>
      </c>
      <c r="AR39" t="s">
        <v>80</v>
      </c>
      <c r="AS39">
        <v>101</v>
      </c>
      <c r="AT39" t="s">
        <v>81</v>
      </c>
      <c r="AU39">
        <v>-37.44</v>
      </c>
      <c r="AV39">
        <v>9.8800000000000008</v>
      </c>
      <c r="AW39" t="s">
        <v>82</v>
      </c>
      <c r="AX39">
        <v>133</v>
      </c>
      <c r="AY39" t="s">
        <v>81</v>
      </c>
      <c r="AZ39">
        <v>-52.23</v>
      </c>
      <c r="BA39">
        <v>9.9499999999999993</v>
      </c>
      <c r="BB39" t="s">
        <v>83</v>
      </c>
    </row>
    <row r="40" spans="1:54" x14ac:dyDescent="0.4">
      <c r="A40">
        <v>407776</v>
      </c>
      <c r="D40" t="s">
        <v>745</v>
      </c>
      <c r="E40" t="s">
        <v>310</v>
      </c>
      <c r="G40">
        <v>5</v>
      </c>
      <c r="H40" t="s">
        <v>84</v>
      </c>
      <c r="I40" t="s">
        <v>57</v>
      </c>
      <c r="K40" t="s">
        <v>206</v>
      </c>
      <c r="L40" t="s">
        <v>754</v>
      </c>
      <c r="M40" t="s">
        <v>60</v>
      </c>
      <c r="O40" t="s">
        <v>170</v>
      </c>
      <c r="P40" t="s">
        <v>62</v>
      </c>
      <c r="R40" t="s">
        <v>63</v>
      </c>
      <c r="S40" t="s">
        <v>64</v>
      </c>
      <c r="T40">
        <v>227</v>
      </c>
      <c r="U40">
        <v>208.5</v>
      </c>
      <c r="V40">
        <f t="shared" si="0"/>
        <v>217.75</v>
      </c>
      <c r="W40">
        <f t="shared" si="1"/>
        <v>18.5</v>
      </c>
      <c r="X40">
        <v>-109.462166</v>
      </c>
      <c r="Y40">
        <v>34.437237000000003</v>
      </c>
      <c r="Z40" t="s">
        <v>748</v>
      </c>
      <c r="AA40" t="s">
        <v>66</v>
      </c>
      <c r="AB40" t="s">
        <v>583</v>
      </c>
      <c r="AC40" t="s">
        <v>735</v>
      </c>
      <c r="AD40" t="s">
        <v>174</v>
      </c>
      <c r="AF40" t="s">
        <v>749</v>
      </c>
      <c r="AH40" t="s">
        <v>72</v>
      </c>
      <c r="AI40" t="s">
        <v>740</v>
      </c>
      <c r="AJ40">
        <v>1995</v>
      </c>
      <c r="AK40" t="s">
        <v>751</v>
      </c>
      <c r="AN40" t="s">
        <v>76</v>
      </c>
      <c r="AO40">
        <v>8</v>
      </c>
      <c r="AP40" t="s">
        <v>78</v>
      </c>
      <c r="AQ40" t="s">
        <v>752</v>
      </c>
      <c r="AR40" t="s">
        <v>80</v>
      </c>
      <c r="AS40">
        <v>101</v>
      </c>
      <c r="AT40" t="s">
        <v>81</v>
      </c>
      <c r="AU40">
        <v>-37.44</v>
      </c>
      <c r="AV40">
        <v>9.8800000000000008</v>
      </c>
      <c r="AW40" t="s">
        <v>82</v>
      </c>
      <c r="AX40">
        <v>133</v>
      </c>
      <c r="AY40" t="s">
        <v>81</v>
      </c>
      <c r="AZ40">
        <v>-52.23</v>
      </c>
      <c r="BA40">
        <v>9.9499999999999993</v>
      </c>
      <c r="BB40" t="s">
        <v>83</v>
      </c>
    </row>
    <row r="41" spans="1:54" x14ac:dyDescent="0.4">
      <c r="A41">
        <v>423245</v>
      </c>
      <c r="D41" t="s">
        <v>745</v>
      </c>
      <c r="E41" t="s">
        <v>310</v>
      </c>
      <c r="G41">
        <v>3</v>
      </c>
      <c r="H41" t="s">
        <v>84</v>
      </c>
      <c r="I41" t="s">
        <v>57</v>
      </c>
      <c r="K41" t="s">
        <v>141</v>
      </c>
      <c r="L41" t="s">
        <v>766</v>
      </c>
      <c r="M41" t="s">
        <v>60</v>
      </c>
      <c r="O41" t="s">
        <v>87</v>
      </c>
      <c r="P41" t="s">
        <v>62</v>
      </c>
      <c r="R41" t="s">
        <v>63</v>
      </c>
      <c r="S41" t="s">
        <v>64</v>
      </c>
      <c r="T41">
        <v>227</v>
      </c>
      <c r="U41">
        <v>208.5</v>
      </c>
      <c r="V41">
        <f t="shared" si="0"/>
        <v>217.75</v>
      </c>
      <c r="W41">
        <f t="shared" si="1"/>
        <v>18.5</v>
      </c>
      <c r="X41">
        <v>-109.462166</v>
      </c>
      <c r="Y41">
        <v>34.437237000000003</v>
      </c>
      <c r="Z41" t="s">
        <v>748</v>
      </c>
      <c r="AA41" t="s">
        <v>66</v>
      </c>
      <c r="AB41" t="s">
        <v>583</v>
      </c>
      <c r="AC41" t="s">
        <v>735</v>
      </c>
      <c r="AD41" t="s">
        <v>174</v>
      </c>
      <c r="AF41" t="s">
        <v>749</v>
      </c>
      <c r="AH41" t="s">
        <v>72</v>
      </c>
      <c r="AI41" t="s">
        <v>750</v>
      </c>
      <c r="AJ41">
        <v>1980</v>
      </c>
      <c r="AK41" t="s">
        <v>751</v>
      </c>
      <c r="AN41" t="s">
        <v>76</v>
      </c>
      <c r="AO41">
        <v>8</v>
      </c>
      <c r="AP41" t="s">
        <v>78</v>
      </c>
      <c r="AQ41" t="s">
        <v>752</v>
      </c>
      <c r="AR41" t="s">
        <v>80</v>
      </c>
      <c r="AS41">
        <v>101</v>
      </c>
      <c r="AT41" t="s">
        <v>81</v>
      </c>
      <c r="AU41">
        <v>-37.44</v>
      </c>
      <c r="AV41">
        <v>9.8800000000000008</v>
      </c>
      <c r="AW41" t="s">
        <v>82</v>
      </c>
      <c r="AX41">
        <v>133</v>
      </c>
      <c r="AY41" t="s">
        <v>81</v>
      </c>
      <c r="AZ41">
        <v>-52.23</v>
      </c>
      <c r="BA41">
        <v>9.9499999999999993</v>
      </c>
      <c r="BB41" t="s">
        <v>83</v>
      </c>
    </row>
    <row r="42" spans="1:54" x14ac:dyDescent="0.4">
      <c r="A42">
        <v>423280</v>
      </c>
      <c r="D42" t="s">
        <v>167</v>
      </c>
      <c r="E42" t="s">
        <v>154</v>
      </c>
      <c r="G42">
        <v>1</v>
      </c>
      <c r="H42" t="s">
        <v>84</v>
      </c>
      <c r="I42" t="s">
        <v>57</v>
      </c>
      <c r="K42" t="s">
        <v>767</v>
      </c>
      <c r="L42" t="s">
        <v>768</v>
      </c>
      <c r="M42" t="s">
        <v>60</v>
      </c>
      <c r="N42" t="s">
        <v>119</v>
      </c>
      <c r="O42" t="s">
        <v>87</v>
      </c>
      <c r="P42" t="s">
        <v>62</v>
      </c>
      <c r="R42" t="s">
        <v>63</v>
      </c>
      <c r="S42" t="s">
        <v>64</v>
      </c>
      <c r="T42">
        <v>227</v>
      </c>
      <c r="U42">
        <v>208.5</v>
      </c>
      <c r="V42">
        <f t="shared" si="0"/>
        <v>217.75</v>
      </c>
      <c r="W42">
        <f t="shared" si="1"/>
        <v>18.5</v>
      </c>
      <c r="X42">
        <v>-109.462486</v>
      </c>
      <c r="Y42">
        <v>34.437420000000003</v>
      </c>
      <c r="Z42" t="s">
        <v>734</v>
      </c>
      <c r="AA42" t="s">
        <v>66</v>
      </c>
      <c r="AB42" t="s">
        <v>583</v>
      </c>
      <c r="AC42" t="s">
        <v>735</v>
      </c>
      <c r="AD42" t="s">
        <v>174</v>
      </c>
      <c r="AF42" t="s">
        <v>736</v>
      </c>
      <c r="AH42" t="s">
        <v>72</v>
      </c>
      <c r="AI42" t="s">
        <v>740</v>
      </c>
      <c r="AJ42">
        <v>1995</v>
      </c>
      <c r="AK42" t="s">
        <v>737</v>
      </c>
      <c r="AN42" t="s">
        <v>76</v>
      </c>
      <c r="AO42">
        <v>8</v>
      </c>
      <c r="AP42" t="s">
        <v>78</v>
      </c>
      <c r="AQ42" t="s">
        <v>738</v>
      </c>
      <c r="AR42" t="s">
        <v>80</v>
      </c>
      <c r="AS42">
        <v>101</v>
      </c>
      <c r="AT42" t="s">
        <v>81</v>
      </c>
      <c r="AU42">
        <v>-37.44</v>
      </c>
      <c r="AV42">
        <v>9.8800000000000008</v>
      </c>
      <c r="AW42" t="s">
        <v>82</v>
      </c>
      <c r="AX42">
        <v>133</v>
      </c>
      <c r="AY42" t="s">
        <v>81</v>
      </c>
      <c r="AZ42">
        <v>-52.23</v>
      </c>
      <c r="BA42">
        <v>9.9499999999999993</v>
      </c>
      <c r="BB42" t="s">
        <v>83</v>
      </c>
    </row>
    <row r="43" spans="1:54" x14ac:dyDescent="0.4">
      <c r="A43">
        <v>423281</v>
      </c>
      <c r="D43" t="s">
        <v>167</v>
      </c>
      <c r="E43" t="s">
        <v>154</v>
      </c>
      <c r="G43">
        <v>29</v>
      </c>
      <c r="H43" t="s">
        <v>84</v>
      </c>
      <c r="I43" t="s">
        <v>57</v>
      </c>
      <c r="K43" t="s">
        <v>141</v>
      </c>
      <c r="L43" t="s">
        <v>766</v>
      </c>
      <c r="M43" t="s">
        <v>60</v>
      </c>
      <c r="O43" t="s">
        <v>87</v>
      </c>
      <c r="P43" t="s">
        <v>62</v>
      </c>
      <c r="R43" t="s">
        <v>63</v>
      </c>
      <c r="S43" t="s">
        <v>64</v>
      </c>
      <c r="T43">
        <v>227</v>
      </c>
      <c r="U43">
        <v>208.5</v>
      </c>
      <c r="V43">
        <f t="shared" si="0"/>
        <v>217.75</v>
      </c>
      <c r="W43">
        <f t="shared" si="1"/>
        <v>18.5</v>
      </c>
      <c r="X43">
        <v>-109.462486</v>
      </c>
      <c r="Y43">
        <v>34.437420000000003</v>
      </c>
      <c r="Z43" t="s">
        <v>734</v>
      </c>
      <c r="AA43" t="s">
        <v>66</v>
      </c>
      <c r="AB43" t="s">
        <v>583</v>
      </c>
      <c r="AC43" t="s">
        <v>735</v>
      </c>
      <c r="AD43" t="s">
        <v>174</v>
      </c>
      <c r="AF43" t="s">
        <v>736</v>
      </c>
      <c r="AH43" t="s">
        <v>72</v>
      </c>
      <c r="AI43" t="s">
        <v>740</v>
      </c>
      <c r="AJ43">
        <v>1995</v>
      </c>
      <c r="AK43" t="s">
        <v>737</v>
      </c>
      <c r="AN43" t="s">
        <v>76</v>
      </c>
      <c r="AO43">
        <v>8</v>
      </c>
      <c r="AP43" t="s">
        <v>78</v>
      </c>
      <c r="AQ43" t="s">
        <v>738</v>
      </c>
      <c r="AR43" t="s">
        <v>80</v>
      </c>
      <c r="AS43">
        <v>101</v>
      </c>
      <c r="AT43" t="s">
        <v>81</v>
      </c>
      <c r="AU43">
        <v>-37.44</v>
      </c>
      <c r="AV43">
        <v>9.8800000000000008</v>
      </c>
      <c r="AW43" t="s">
        <v>82</v>
      </c>
      <c r="AX43">
        <v>133</v>
      </c>
      <c r="AY43" t="s">
        <v>81</v>
      </c>
      <c r="AZ43">
        <v>-52.23</v>
      </c>
      <c r="BA43">
        <v>9.9499999999999993</v>
      </c>
      <c r="BB43" t="s">
        <v>83</v>
      </c>
    </row>
    <row r="44" spans="1:54" x14ac:dyDescent="0.4">
      <c r="A44">
        <v>423285</v>
      </c>
      <c r="D44" t="s">
        <v>167</v>
      </c>
      <c r="E44" t="s">
        <v>154</v>
      </c>
      <c r="G44">
        <v>6</v>
      </c>
      <c r="H44" t="s">
        <v>84</v>
      </c>
      <c r="I44" t="s">
        <v>57</v>
      </c>
      <c r="K44" t="s">
        <v>168</v>
      </c>
      <c r="L44" t="s">
        <v>169</v>
      </c>
      <c r="M44" t="s">
        <v>60</v>
      </c>
      <c r="O44" t="s">
        <v>170</v>
      </c>
      <c r="P44" t="s">
        <v>62</v>
      </c>
      <c r="R44" t="s">
        <v>63</v>
      </c>
      <c r="S44" t="s">
        <v>64</v>
      </c>
      <c r="T44">
        <v>227</v>
      </c>
      <c r="U44">
        <v>208.5</v>
      </c>
      <c r="V44">
        <f t="shared" si="0"/>
        <v>217.75</v>
      </c>
      <c r="W44">
        <f t="shared" si="1"/>
        <v>18.5</v>
      </c>
      <c r="X44">
        <v>-109.462486</v>
      </c>
      <c r="Y44">
        <v>34.437420000000003</v>
      </c>
      <c r="Z44" t="s">
        <v>734</v>
      </c>
      <c r="AA44" t="s">
        <v>66</v>
      </c>
      <c r="AB44" t="s">
        <v>583</v>
      </c>
      <c r="AC44" t="s">
        <v>735</v>
      </c>
      <c r="AD44" t="s">
        <v>174</v>
      </c>
      <c r="AF44" t="s">
        <v>736</v>
      </c>
      <c r="AH44" t="s">
        <v>72</v>
      </c>
      <c r="AI44" t="s">
        <v>769</v>
      </c>
      <c r="AJ44">
        <v>1987</v>
      </c>
      <c r="AK44" t="s">
        <v>737</v>
      </c>
      <c r="AN44" t="s">
        <v>76</v>
      </c>
      <c r="AO44">
        <v>8</v>
      </c>
      <c r="AP44" t="s">
        <v>78</v>
      </c>
      <c r="AQ44" t="s">
        <v>738</v>
      </c>
      <c r="AR44" t="s">
        <v>80</v>
      </c>
      <c r="AS44">
        <v>101</v>
      </c>
      <c r="AT44" t="s">
        <v>81</v>
      </c>
      <c r="AU44">
        <v>-37.44</v>
      </c>
      <c r="AV44">
        <v>9.8800000000000008</v>
      </c>
      <c r="AW44" t="s">
        <v>82</v>
      </c>
      <c r="AX44">
        <v>133</v>
      </c>
      <c r="AY44" t="s">
        <v>81</v>
      </c>
      <c r="AZ44">
        <v>-52.23</v>
      </c>
      <c r="BA44">
        <v>9.9499999999999993</v>
      </c>
      <c r="BB44" t="s">
        <v>83</v>
      </c>
    </row>
    <row r="45" spans="1:54" x14ac:dyDescent="0.4">
      <c r="A45">
        <v>423286</v>
      </c>
      <c r="D45" t="s">
        <v>167</v>
      </c>
      <c r="E45" t="s">
        <v>154</v>
      </c>
      <c r="G45">
        <v>11</v>
      </c>
      <c r="H45" t="s">
        <v>84</v>
      </c>
      <c r="I45" t="s">
        <v>57</v>
      </c>
      <c r="K45" t="s">
        <v>168</v>
      </c>
      <c r="L45" t="s">
        <v>169</v>
      </c>
      <c r="M45" t="s">
        <v>60</v>
      </c>
      <c r="O45" t="s">
        <v>170</v>
      </c>
      <c r="P45" t="s">
        <v>62</v>
      </c>
      <c r="R45" t="s">
        <v>63</v>
      </c>
      <c r="S45" t="s">
        <v>64</v>
      </c>
      <c r="T45">
        <v>227</v>
      </c>
      <c r="U45">
        <v>208.5</v>
      </c>
      <c r="V45">
        <f t="shared" si="0"/>
        <v>217.75</v>
      </c>
      <c r="W45">
        <f t="shared" si="1"/>
        <v>18.5</v>
      </c>
      <c r="X45">
        <v>-109.462486</v>
      </c>
      <c r="Y45">
        <v>34.437420000000003</v>
      </c>
      <c r="Z45" t="s">
        <v>734</v>
      </c>
      <c r="AA45" t="s">
        <v>66</v>
      </c>
      <c r="AB45" t="s">
        <v>583</v>
      </c>
      <c r="AC45" t="s">
        <v>735</v>
      </c>
      <c r="AD45" t="s">
        <v>174</v>
      </c>
      <c r="AF45" t="s">
        <v>736</v>
      </c>
      <c r="AH45" t="s">
        <v>11</v>
      </c>
      <c r="AI45" t="s">
        <v>740</v>
      </c>
      <c r="AJ45">
        <v>1995</v>
      </c>
      <c r="AK45" t="s">
        <v>737</v>
      </c>
      <c r="AN45" t="s">
        <v>76</v>
      </c>
      <c r="AO45">
        <v>8</v>
      </c>
      <c r="AP45" t="s">
        <v>78</v>
      </c>
      <c r="AQ45" t="s">
        <v>738</v>
      </c>
      <c r="AR45" t="s">
        <v>80</v>
      </c>
      <c r="AS45">
        <v>101</v>
      </c>
      <c r="AT45" t="s">
        <v>81</v>
      </c>
      <c r="AU45">
        <v>-37.44</v>
      </c>
      <c r="AV45">
        <v>9.8800000000000008</v>
      </c>
      <c r="AW45" t="s">
        <v>82</v>
      </c>
      <c r="AX45">
        <v>133</v>
      </c>
      <c r="AY45" t="s">
        <v>81</v>
      </c>
      <c r="AZ45">
        <v>-52.23</v>
      </c>
      <c r="BA45">
        <v>9.9499999999999993</v>
      </c>
      <c r="BB45" t="s">
        <v>83</v>
      </c>
    </row>
    <row r="46" spans="1:54" x14ac:dyDescent="0.4">
      <c r="A46">
        <v>423288</v>
      </c>
      <c r="D46" t="s">
        <v>167</v>
      </c>
      <c r="E46" t="s">
        <v>154</v>
      </c>
      <c r="G46">
        <v>1</v>
      </c>
      <c r="H46" t="s">
        <v>84</v>
      </c>
      <c r="I46" t="s">
        <v>57</v>
      </c>
      <c r="K46" t="s">
        <v>746</v>
      </c>
      <c r="L46" t="s">
        <v>747</v>
      </c>
      <c r="M46" t="s">
        <v>60</v>
      </c>
      <c r="P46" t="s">
        <v>62</v>
      </c>
      <c r="R46" t="s">
        <v>63</v>
      </c>
      <c r="S46" t="s">
        <v>64</v>
      </c>
      <c r="T46">
        <v>227</v>
      </c>
      <c r="U46">
        <v>208.5</v>
      </c>
      <c r="V46">
        <f t="shared" si="0"/>
        <v>217.75</v>
      </c>
      <c r="W46">
        <f t="shared" si="1"/>
        <v>18.5</v>
      </c>
      <c r="X46">
        <v>-109.462486</v>
      </c>
      <c r="Y46">
        <v>34.437420000000003</v>
      </c>
      <c r="Z46" t="s">
        <v>734</v>
      </c>
      <c r="AA46" t="s">
        <v>66</v>
      </c>
      <c r="AB46" t="s">
        <v>583</v>
      </c>
      <c r="AC46" t="s">
        <v>735</v>
      </c>
      <c r="AD46" t="s">
        <v>174</v>
      </c>
      <c r="AF46" t="s">
        <v>736</v>
      </c>
      <c r="AH46" t="s">
        <v>11</v>
      </c>
      <c r="AI46" t="s">
        <v>770</v>
      </c>
      <c r="AJ46">
        <v>1994</v>
      </c>
      <c r="AK46" t="s">
        <v>737</v>
      </c>
      <c r="AN46" t="s">
        <v>76</v>
      </c>
      <c r="AO46">
        <v>8</v>
      </c>
      <c r="AP46" t="s">
        <v>78</v>
      </c>
      <c r="AQ46" t="s">
        <v>738</v>
      </c>
      <c r="AR46" t="s">
        <v>80</v>
      </c>
      <c r="AS46">
        <v>101</v>
      </c>
      <c r="AT46" t="s">
        <v>81</v>
      </c>
      <c r="AU46">
        <v>-37.44</v>
      </c>
      <c r="AV46">
        <v>9.8800000000000008</v>
      </c>
      <c r="AW46" t="s">
        <v>82</v>
      </c>
      <c r="AX46">
        <v>133</v>
      </c>
      <c r="AY46" t="s">
        <v>81</v>
      </c>
      <c r="AZ46">
        <v>-52.23</v>
      </c>
      <c r="BA46">
        <v>9.9499999999999993</v>
      </c>
      <c r="BB46" t="s">
        <v>83</v>
      </c>
    </row>
    <row r="47" spans="1:54" x14ac:dyDescent="0.4">
      <c r="A47">
        <v>461293</v>
      </c>
      <c r="D47" t="s">
        <v>54</v>
      </c>
      <c r="E47" t="s">
        <v>55</v>
      </c>
      <c r="G47">
        <v>1</v>
      </c>
      <c r="H47" t="s">
        <v>56</v>
      </c>
      <c r="I47" t="s">
        <v>57</v>
      </c>
      <c r="K47" t="s">
        <v>244</v>
      </c>
      <c r="L47" t="s">
        <v>782</v>
      </c>
      <c r="M47" t="s">
        <v>60</v>
      </c>
      <c r="P47" t="s">
        <v>62</v>
      </c>
      <c r="R47" t="s">
        <v>63</v>
      </c>
      <c r="S47" t="s">
        <v>64</v>
      </c>
      <c r="T47">
        <v>227</v>
      </c>
      <c r="U47">
        <v>208.5</v>
      </c>
      <c r="V47">
        <f t="shared" si="0"/>
        <v>217.75</v>
      </c>
      <c r="W47">
        <f t="shared" si="1"/>
        <v>18.5</v>
      </c>
      <c r="X47">
        <v>-53.856945000000003</v>
      </c>
      <c r="Y47">
        <v>-29.601389000000001</v>
      </c>
      <c r="Z47" t="s">
        <v>124</v>
      </c>
      <c r="AA47" t="s">
        <v>783</v>
      </c>
      <c r="AB47" t="s">
        <v>784</v>
      </c>
      <c r="AD47" t="s">
        <v>785</v>
      </c>
      <c r="AE47" t="s">
        <v>786</v>
      </c>
      <c r="AG47" t="s">
        <v>787</v>
      </c>
      <c r="AH47" t="s">
        <v>72</v>
      </c>
      <c r="AI47" t="s">
        <v>788</v>
      </c>
      <c r="AJ47">
        <v>2004</v>
      </c>
      <c r="AK47" t="s">
        <v>789</v>
      </c>
      <c r="AM47" t="s">
        <v>790</v>
      </c>
      <c r="AN47" t="s">
        <v>76</v>
      </c>
      <c r="AO47" t="s">
        <v>77</v>
      </c>
      <c r="AP47" t="s">
        <v>115</v>
      </c>
      <c r="AQ47" t="s">
        <v>791</v>
      </c>
      <c r="AR47" t="s">
        <v>80</v>
      </c>
      <c r="AS47">
        <v>201</v>
      </c>
      <c r="AT47" t="s">
        <v>81</v>
      </c>
      <c r="AU47">
        <v>-7.3</v>
      </c>
      <c r="AV47">
        <v>-38.64</v>
      </c>
      <c r="AW47" t="s">
        <v>82</v>
      </c>
      <c r="AX47">
        <v>202</v>
      </c>
      <c r="AY47" t="s">
        <v>81</v>
      </c>
      <c r="AZ47">
        <v>-16.03</v>
      </c>
      <c r="BA47">
        <v>-37.11</v>
      </c>
      <c r="BB47" t="s">
        <v>83</v>
      </c>
    </row>
    <row r="48" spans="1:54" x14ac:dyDescent="0.4">
      <c r="A48">
        <v>475078</v>
      </c>
      <c r="D48" t="s">
        <v>54</v>
      </c>
      <c r="E48" t="s">
        <v>55</v>
      </c>
      <c r="F48" t="s">
        <v>844</v>
      </c>
      <c r="G48">
        <v>5</v>
      </c>
      <c r="H48" t="s">
        <v>84</v>
      </c>
      <c r="I48" t="s">
        <v>57</v>
      </c>
      <c r="K48" t="s">
        <v>85</v>
      </c>
      <c r="L48" t="s">
        <v>845</v>
      </c>
      <c r="M48" t="s">
        <v>60</v>
      </c>
      <c r="O48" t="s">
        <v>87</v>
      </c>
      <c r="P48" t="s">
        <v>62</v>
      </c>
      <c r="R48" t="s">
        <v>63</v>
      </c>
      <c r="S48" t="s">
        <v>64</v>
      </c>
      <c r="T48">
        <v>227</v>
      </c>
      <c r="U48">
        <v>208.5</v>
      </c>
      <c r="V48">
        <f t="shared" si="0"/>
        <v>217.75</v>
      </c>
      <c r="W48">
        <f t="shared" si="1"/>
        <v>18.5</v>
      </c>
      <c r="X48">
        <v>-106.466667</v>
      </c>
      <c r="Y48">
        <v>36.316665999999998</v>
      </c>
      <c r="Z48" t="s">
        <v>198</v>
      </c>
      <c r="AA48" t="s">
        <v>66</v>
      </c>
      <c r="AB48" t="s">
        <v>846</v>
      </c>
      <c r="AC48" t="s">
        <v>847</v>
      </c>
      <c r="AD48" t="s">
        <v>174</v>
      </c>
      <c r="AF48" t="s">
        <v>749</v>
      </c>
      <c r="AH48" t="s">
        <v>72</v>
      </c>
      <c r="AI48" t="s">
        <v>740</v>
      </c>
      <c r="AJ48">
        <v>1995</v>
      </c>
      <c r="AK48" t="s">
        <v>848</v>
      </c>
      <c r="AN48" t="s">
        <v>849</v>
      </c>
      <c r="AO48" t="s">
        <v>160</v>
      </c>
      <c r="AP48" t="s">
        <v>78</v>
      </c>
      <c r="AQ48" t="s">
        <v>850</v>
      </c>
      <c r="AR48" t="s">
        <v>80</v>
      </c>
      <c r="AS48">
        <v>101</v>
      </c>
      <c r="AT48" t="s">
        <v>81</v>
      </c>
      <c r="AU48">
        <v>-34.64</v>
      </c>
      <c r="AV48">
        <v>11.26</v>
      </c>
      <c r="AW48" t="s">
        <v>82</v>
      </c>
      <c r="AX48">
        <v>133</v>
      </c>
      <c r="AY48" t="s">
        <v>81</v>
      </c>
      <c r="AZ48">
        <v>-49.47</v>
      </c>
      <c r="BA48">
        <v>11.41</v>
      </c>
      <c r="BB48" t="s">
        <v>83</v>
      </c>
    </row>
    <row r="49" spans="1:54" x14ac:dyDescent="0.4">
      <c r="A49">
        <v>475079</v>
      </c>
      <c r="D49" t="s">
        <v>54</v>
      </c>
      <c r="E49" t="s">
        <v>55</v>
      </c>
      <c r="F49" t="s">
        <v>844</v>
      </c>
      <c r="G49">
        <v>6</v>
      </c>
      <c r="H49" t="s">
        <v>84</v>
      </c>
      <c r="I49" t="s">
        <v>57</v>
      </c>
      <c r="K49" t="s">
        <v>85</v>
      </c>
      <c r="L49" t="s">
        <v>845</v>
      </c>
      <c r="M49" t="s">
        <v>60</v>
      </c>
      <c r="O49" t="s">
        <v>87</v>
      </c>
      <c r="P49" t="s">
        <v>62</v>
      </c>
      <c r="R49" t="s">
        <v>63</v>
      </c>
      <c r="S49" t="s">
        <v>64</v>
      </c>
      <c r="T49">
        <v>227</v>
      </c>
      <c r="U49">
        <v>208.5</v>
      </c>
      <c r="V49">
        <f t="shared" si="0"/>
        <v>217.75</v>
      </c>
      <c r="W49">
        <f t="shared" si="1"/>
        <v>18.5</v>
      </c>
      <c r="X49">
        <v>-106.466667</v>
      </c>
      <c r="Y49">
        <v>36.316665999999998</v>
      </c>
      <c r="Z49" t="s">
        <v>198</v>
      </c>
      <c r="AA49" t="s">
        <v>66</v>
      </c>
      <c r="AB49" t="s">
        <v>846</v>
      </c>
      <c r="AC49" t="s">
        <v>847</v>
      </c>
      <c r="AD49" t="s">
        <v>174</v>
      </c>
      <c r="AF49" t="s">
        <v>749</v>
      </c>
      <c r="AH49" t="s">
        <v>72</v>
      </c>
      <c r="AI49" t="s">
        <v>740</v>
      </c>
      <c r="AJ49">
        <v>1995</v>
      </c>
      <c r="AK49" t="s">
        <v>848</v>
      </c>
      <c r="AN49" t="s">
        <v>849</v>
      </c>
      <c r="AO49" t="s">
        <v>160</v>
      </c>
      <c r="AP49" t="s">
        <v>78</v>
      </c>
      <c r="AQ49" t="s">
        <v>850</v>
      </c>
      <c r="AR49" t="s">
        <v>80</v>
      </c>
      <c r="AS49">
        <v>101</v>
      </c>
      <c r="AT49" t="s">
        <v>81</v>
      </c>
      <c r="AU49">
        <v>-34.64</v>
      </c>
      <c r="AV49">
        <v>11.26</v>
      </c>
      <c r="AW49" t="s">
        <v>82</v>
      </c>
      <c r="AX49">
        <v>133</v>
      </c>
      <c r="AY49" t="s">
        <v>81</v>
      </c>
      <c r="AZ49">
        <v>-49.47</v>
      </c>
      <c r="BA49">
        <v>11.41</v>
      </c>
      <c r="BB49" t="s">
        <v>83</v>
      </c>
    </row>
    <row r="50" spans="1:54" x14ac:dyDescent="0.4">
      <c r="A50">
        <v>475081</v>
      </c>
      <c r="D50" t="s">
        <v>54</v>
      </c>
      <c r="E50" t="s">
        <v>55</v>
      </c>
      <c r="F50" t="s">
        <v>844</v>
      </c>
      <c r="G50">
        <v>4</v>
      </c>
      <c r="H50" t="s">
        <v>84</v>
      </c>
      <c r="I50" t="s">
        <v>57</v>
      </c>
      <c r="K50" t="s">
        <v>206</v>
      </c>
      <c r="L50" t="s">
        <v>851</v>
      </c>
      <c r="M50" t="s">
        <v>60</v>
      </c>
      <c r="O50" t="s">
        <v>170</v>
      </c>
      <c r="P50" t="s">
        <v>62</v>
      </c>
      <c r="R50" t="s">
        <v>63</v>
      </c>
      <c r="S50" t="s">
        <v>64</v>
      </c>
      <c r="T50">
        <v>227</v>
      </c>
      <c r="U50">
        <v>208.5</v>
      </c>
      <c r="V50">
        <f t="shared" si="0"/>
        <v>217.75</v>
      </c>
      <c r="W50">
        <f t="shared" si="1"/>
        <v>18.5</v>
      </c>
      <c r="X50">
        <v>-106.466667</v>
      </c>
      <c r="Y50">
        <v>36.316665999999998</v>
      </c>
      <c r="Z50" t="s">
        <v>198</v>
      </c>
      <c r="AA50" t="s">
        <v>66</v>
      </c>
      <c r="AB50" t="s">
        <v>846</v>
      </c>
      <c r="AC50" t="s">
        <v>847</v>
      </c>
      <c r="AD50" t="s">
        <v>174</v>
      </c>
      <c r="AF50" t="s">
        <v>749</v>
      </c>
      <c r="AH50" t="s">
        <v>72</v>
      </c>
      <c r="AI50" t="s">
        <v>852</v>
      </c>
      <c r="AJ50">
        <v>2003</v>
      </c>
      <c r="AK50" t="s">
        <v>848</v>
      </c>
      <c r="AN50" t="s">
        <v>849</v>
      </c>
      <c r="AO50" t="s">
        <v>160</v>
      </c>
      <c r="AP50" t="s">
        <v>78</v>
      </c>
      <c r="AQ50" t="s">
        <v>850</v>
      </c>
      <c r="AR50" t="s">
        <v>80</v>
      </c>
      <c r="AS50">
        <v>101</v>
      </c>
      <c r="AT50" t="s">
        <v>81</v>
      </c>
      <c r="AU50">
        <v>-34.64</v>
      </c>
      <c r="AV50">
        <v>11.26</v>
      </c>
      <c r="AW50" t="s">
        <v>82</v>
      </c>
      <c r="AX50">
        <v>133</v>
      </c>
      <c r="AY50" t="s">
        <v>81</v>
      </c>
      <c r="AZ50">
        <v>-49.47</v>
      </c>
      <c r="BA50">
        <v>11.41</v>
      </c>
      <c r="BB50" t="s">
        <v>83</v>
      </c>
    </row>
    <row r="51" spans="1:54" x14ac:dyDescent="0.4">
      <c r="A51">
        <v>479381</v>
      </c>
      <c r="D51" t="s">
        <v>54</v>
      </c>
      <c r="E51" t="s">
        <v>55</v>
      </c>
      <c r="G51">
        <v>3</v>
      </c>
      <c r="H51" t="s">
        <v>84</v>
      </c>
      <c r="I51" t="s">
        <v>57</v>
      </c>
      <c r="K51" t="s">
        <v>196</v>
      </c>
      <c r="L51" t="s">
        <v>862</v>
      </c>
      <c r="M51" t="s">
        <v>60</v>
      </c>
      <c r="O51" t="s">
        <v>87</v>
      </c>
      <c r="P51" t="s">
        <v>62</v>
      </c>
      <c r="R51" t="s">
        <v>63</v>
      </c>
      <c r="S51" t="s">
        <v>64</v>
      </c>
      <c r="T51">
        <v>227</v>
      </c>
      <c r="U51">
        <v>208.5</v>
      </c>
      <c r="V51">
        <f t="shared" si="0"/>
        <v>217.75</v>
      </c>
      <c r="W51">
        <f t="shared" si="1"/>
        <v>18.5</v>
      </c>
      <c r="X51">
        <v>9.1427779999999998</v>
      </c>
      <c r="Y51">
        <v>48.760554999999997</v>
      </c>
      <c r="Z51" t="s">
        <v>184</v>
      </c>
      <c r="AA51" t="s">
        <v>211</v>
      </c>
      <c r="AB51" t="s">
        <v>863</v>
      </c>
      <c r="AC51" t="s">
        <v>213</v>
      </c>
      <c r="AD51" t="s">
        <v>214</v>
      </c>
      <c r="AE51" t="s">
        <v>215</v>
      </c>
      <c r="AF51" t="s">
        <v>864</v>
      </c>
      <c r="AH51" t="s">
        <v>72</v>
      </c>
      <c r="AI51" t="s">
        <v>865</v>
      </c>
      <c r="AJ51">
        <v>1861</v>
      </c>
      <c r="AK51" t="s">
        <v>866</v>
      </c>
      <c r="AN51" t="s">
        <v>114</v>
      </c>
      <c r="AO51" t="s">
        <v>77</v>
      </c>
      <c r="AP51" t="s">
        <v>78</v>
      </c>
      <c r="AQ51" t="s">
        <v>867</v>
      </c>
      <c r="AR51" t="s">
        <v>80</v>
      </c>
      <c r="AS51">
        <v>305</v>
      </c>
      <c r="AT51" t="s">
        <v>81</v>
      </c>
      <c r="AU51">
        <v>21.26</v>
      </c>
      <c r="AV51">
        <v>30.06</v>
      </c>
      <c r="AW51" t="s">
        <v>82</v>
      </c>
      <c r="AX51">
        <v>305</v>
      </c>
      <c r="AY51" t="s">
        <v>81</v>
      </c>
      <c r="AZ51">
        <v>10.119999999999999</v>
      </c>
      <c r="BA51">
        <v>31.98</v>
      </c>
      <c r="BB51" t="s">
        <v>83</v>
      </c>
    </row>
    <row r="52" spans="1:54" x14ac:dyDescent="0.4">
      <c r="A52">
        <v>479563</v>
      </c>
      <c r="D52" t="s">
        <v>54</v>
      </c>
      <c r="E52" t="s">
        <v>297</v>
      </c>
      <c r="I52" t="s">
        <v>57</v>
      </c>
      <c r="K52" t="s">
        <v>244</v>
      </c>
      <c r="L52" t="s">
        <v>245</v>
      </c>
      <c r="M52" t="s">
        <v>60</v>
      </c>
      <c r="O52" t="s">
        <v>170</v>
      </c>
      <c r="P52" t="s">
        <v>62</v>
      </c>
      <c r="R52" t="s">
        <v>63</v>
      </c>
      <c r="S52" t="s">
        <v>64</v>
      </c>
      <c r="T52">
        <v>227</v>
      </c>
      <c r="U52">
        <v>208.5</v>
      </c>
      <c r="V52">
        <f t="shared" si="0"/>
        <v>217.75</v>
      </c>
      <c r="W52">
        <f t="shared" si="1"/>
        <v>18.5</v>
      </c>
      <c r="X52">
        <v>8.4869439999999994</v>
      </c>
      <c r="Y52">
        <v>47.741669000000002</v>
      </c>
      <c r="Z52" t="s">
        <v>124</v>
      </c>
      <c r="AA52" t="s">
        <v>226</v>
      </c>
      <c r="AB52" t="s">
        <v>877</v>
      </c>
      <c r="AD52" t="s">
        <v>247</v>
      </c>
      <c r="AF52" t="s">
        <v>248</v>
      </c>
      <c r="AH52" t="s">
        <v>11</v>
      </c>
      <c r="AI52" t="s">
        <v>365</v>
      </c>
      <c r="AJ52">
        <v>1986</v>
      </c>
      <c r="AK52" t="s">
        <v>878</v>
      </c>
      <c r="AM52" t="s">
        <v>879</v>
      </c>
      <c r="AN52" t="s">
        <v>76</v>
      </c>
      <c r="AO52" t="s">
        <v>77</v>
      </c>
      <c r="AP52" t="s">
        <v>115</v>
      </c>
      <c r="AQ52" t="s">
        <v>880</v>
      </c>
      <c r="AR52" t="s">
        <v>80</v>
      </c>
      <c r="AS52">
        <v>305</v>
      </c>
      <c r="AT52" t="s">
        <v>81</v>
      </c>
      <c r="AU52">
        <v>21.27</v>
      </c>
      <c r="AV52">
        <v>28.95</v>
      </c>
      <c r="AW52" t="s">
        <v>82</v>
      </c>
      <c r="AX52">
        <v>305</v>
      </c>
      <c r="AY52" t="s">
        <v>81</v>
      </c>
      <c r="AZ52">
        <v>10.16</v>
      </c>
      <c r="BA52">
        <v>30.87</v>
      </c>
      <c r="BB52" t="s">
        <v>83</v>
      </c>
    </row>
    <row r="53" spans="1:54" x14ac:dyDescent="0.4">
      <c r="A53">
        <v>483859</v>
      </c>
      <c r="D53" t="s">
        <v>54</v>
      </c>
      <c r="G53">
        <v>1</v>
      </c>
      <c r="H53" t="s">
        <v>421</v>
      </c>
      <c r="I53" t="s">
        <v>57</v>
      </c>
      <c r="K53" t="s">
        <v>206</v>
      </c>
      <c r="L53" t="s">
        <v>851</v>
      </c>
      <c r="M53" t="s">
        <v>60</v>
      </c>
      <c r="O53" t="s">
        <v>170</v>
      </c>
      <c r="P53" t="s">
        <v>62</v>
      </c>
      <c r="R53" t="s">
        <v>63</v>
      </c>
      <c r="S53" t="s">
        <v>64</v>
      </c>
      <c r="T53">
        <v>227</v>
      </c>
      <c r="U53">
        <v>208.5</v>
      </c>
      <c r="V53">
        <f t="shared" si="0"/>
        <v>217.75</v>
      </c>
      <c r="W53">
        <f t="shared" si="1"/>
        <v>18.5</v>
      </c>
      <c r="X53">
        <v>-109.82971999999999</v>
      </c>
      <c r="Y53">
        <v>35.046112000000001</v>
      </c>
      <c r="Z53" t="s">
        <v>124</v>
      </c>
      <c r="AA53" t="s">
        <v>66</v>
      </c>
      <c r="AB53" t="s">
        <v>583</v>
      </c>
      <c r="AC53" t="s">
        <v>735</v>
      </c>
      <c r="AD53" t="s">
        <v>174</v>
      </c>
      <c r="AF53" t="s">
        <v>749</v>
      </c>
      <c r="AH53" t="s">
        <v>72</v>
      </c>
      <c r="AI53" t="s">
        <v>881</v>
      </c>
      <c r="AJ53">
        <v>1989</v>
      </c>
      <c r="AK53" t="s">
        <v>882</v>
      </c>
      <c r="AM53" t="s">
        <v>883</v>
      </c>
      <c r="AN53" t="s">
        <v>76</v>
      </c>
      <c r="AO53" t="s">
        <v>77</v>
      </c>
      <c r="AP53" t="s">
        <v>78</v>
      </c>
      <c r="AQ53" t="s">
        <v>884</v>
      </c>
      <c r="AR53" t="s">
        <v>80</v>
      </c>
      <c r="AS53">
        <v>101</v>
      </c>
      <c r="AT53" t="s">
        <v>81</v>
      </c>
      <c r="AU53">
        <v>-37.619999999999997</v>
      </c>
      <c r="AV53">
        <v>10.54</v>
      </c>
      <c r="AW53" t="s">
        <v>82</v>
      </c>
      <c r="AX53">
        <v>133</v>
      </c>
      <c r="AY53" t="s">
        <v>81</v>
      </c>
      <c r="AZ53">
        <v>-52.42</v>
      </c>
      <c r="BA53">
        <v>10.61</v>
      </c>
      <c r="BB53" t="s">
        <v>83</v>
      </c>
    </row>
    <row r="54" spans="1:54" x14ac:dyDescent="0.4">
      <c r="A54">
        <v>483884</v>
      </c>
      <c r="D54" t="s">
        <v>54</v>
      </c>
      <c r="E54" t="s">
        <v>55</v>
      </c>
      <c r="G54">
        <v>2</v>
      </c>
      <c r="H54" t="s">
        <v>84</v>
      </c>
      <c r="I54" t="s">
        <v>57</v>
      </c>
      <c r="K54" t="s">
        <v>168</v>
      </c>
      <c r="L54" t="s">
        <v>169</v>
      </c>
      <c r="M54" t="s">
        <v>60</v>
      </c>
      <c r="O54" t="s">
        <v>170</v>
      </c>
      <c r="P54" t="s">
        <v>62</v>
      </c>
      <c r="R54" t="s">
        <v>63</v>
      </c>
      <c r="S54" t="s">
        <v>64</v>
      </c>
      <c r="T54">
        <v>227</v>
      </c>
      <c r="U54">
        <v>208.5</v>
      </c>
      <c r="V54">
        <f t="shared" si="0"/>
        <v>217.75</v>
      </c>
      <c r="W54">
        <f t="shared" si="1"/>
        <v>18.5</v>
      </c>
      <c r="X54">
        <v>-101.168892</v>
      </c>
      <c r="Y54">
        <v>33.449165000000001</v>
      </c>
      <c r="Z54" t="s">
        <v>582</v>
      </c>
      <c r="AA54" t="s">
        <v>66</v>
      </c>
      <c r="AB54" t="s">
        <v>125</v>
      </c>
      <c r="AC54" t="s">
        <v>172</v>
      </c>
      <c r="AD54" t="s">
        <v>173</v>
      </c>
      <c r="AE54" t="s">
        <v>201</v>
      </c>
      <c r="AH54" t="s">
        <v>72</v>
      </c>
      <c r="AI54" t="s">
        <v>175</v>
      </c>
      <c r="AJ54">
        <v>2004</v>
      </c>
      <c r="AK54" t="s">
        <v>891</v>
      </c>
      <c r="AM54" t="s">
        <v>892</v>
      </c>
      <c r="AN54" t="s">
        <v>76</v>
      </c>
      <c r="AO54" t="s">
        <v>77</v>
      </c>
      <c r="AP54" t="s">
        <v>78</v>
      </c>
      <c r="AQ54" t="s">
        <v>893</v>
      </c>
      <c r="AR54" t="s">
        <v>80</v>
      </c>
      <c r="AS54">
        <v>101</v>
      </c>
      <c r="AT54" t="s">
        <v>81</v>
      </c>
      <c r="AU54">
        <v>-30.75</v>
      </c>
      <c r="AV54">
        <v>7.74</v>
      </c>
      <c r="AW54" t="s">
        <v>82</v>
      </c>
      <c r="AX54">
        <v>101</v>
      </c>
      <c r="AY54" t="s">
        <v>81</v>
      </c>
      <c r="AZ54">
        <v>-41.5</v>
      </c>
      <c r="BA54">
        <v>8.01</v>
      </c>
      <c r="BB54" t="s">
        <v>83</v>
      </c>
    </row>
    <row r="55" spans="1:54" x14ac:dyDescent="0.4">
      <c r="A55">
        <v>484673</v>
      </c>
      <c r="D55" t="s">
        <v>904</v>
      </c>
      <c r="G55">
        <v>32</v>
      </c>
      <c r="H55" t="s">
        <v>421</v>
      </c>
      <c r="I55" t="s">
        <v>57</v>
      </c>
      <c r="K55" t="s">
        <v>141</v>
      </c>
      <c r="L55" t="s">
        <v>905</v>
      </c>
      <c r="M55" t="s">
        <v>60</v>
      </c>
      <c r="O55" t="s">
        <v>170</v>
      </c>
      <c r="P55" t="s">
        <v>62</v>
      </c>
      <c r="R55" t="s">
        <v>63</v>
      </c>
      <c r="S55" t="s">
        <v>64</v>
      </c>
      <c r="T55">
        <v>227</v>
      </c>
      <c r="U55">
        <v>208.5</v>
      </c>
      <c r="V55">
        <f t="shared" si="0"/>
        <v>217.75</v>
      </c>
      <c r="W55">
        <f t="shared" si="1"/>
        <v>18.5</v>
      </c>
      <c r="X55">
        <v>-103.379997</v>
      </c>
      <c r="Y55">
        <v>35.365276000000001</v>
      </c>
      <c r="Z55" t="s">
        <v>582</v>
      </c>
      <c r="AA55" t="s">
        <v>66</v>
      </c>
      <c r="AB55" t="s">
        <v>846</v>
      </c>
      <c r="AC55" t="s">
        <v>906</v>
      </c>
      <c r="AD55" t="s">
        <v>907</v>
      </c>
      <c r="AE55" t="s">
        <v>201</v>
      </c>
      <c r="AH55" t="s">
        <v>72</v>
      </c>
      <c r="AI55" t="s">
        <v>908</v>
      </c>
      <c r="AJ55">
        <v>1989</v>
      </c>
      <c r="AK55" t="s">
        <v>909</v>
      </c>
      <c r="AN55" t="s">
        <v>76</v>
      </c>
      <c r="AO55" t="s">
        <v>77</v>
      </c>
      <c r="AP55" t="s">
        <v>78</v>
      </c>
      <c r="AQ55" t="s">
        <v>910</v>
      </c>
      <c r="AR55" t="s">
        <v>80</v>
      </c>
      <c r="AS55">
        <v>101</v>
      </c>
      <c r="AT55" t="s">
        <v>81</v>
      </c>
      <c r="AU55">
        <v>-32.29</v>
      </c>
      <c r="AV55">
        <v>9.9</v>
      </c>
      <c r="AW55" t="s">
        <v>82</v>
      </c>
      <c r="AX55">
        <v>101</v>
      </c>
      <c r="AY55" t="s">
        <v>81</v>
      </c>
      <c r="AZ55">
        <v>-43.13</v>
      </c>
      <c r="BA55">
        <v>10.11</v>
      </c>
      <c r="BB55" t="s">
        <v>83</v>
      </c>
    </row>
    <row r="56" spans="1:54" x14ac:dyDescent="0.4">
      <c r="A56">
        <v>484986</v>
      </c>
      <c r="D56" t="s">
        <v>54</v>
      </c>
      <c r="G56">
        <v>1</v>
      </c>
      <c r="H56" t="s">
        <v>56</v>
      </c>
      <c r="I56" t="s">
        <v>57</v>
      </c>
      <c r="K56" t="s">
        <v>141</v>
      </c>
      <c r="L56" t="s">
        <v>911</v>
      </c>
      <c r="M56" t="s">
        <v>60</v>
      </c>
      <c r="N56" t="s">
        <v>256</v>
      </c>
      <c r="O56" t="s">
        <v>87</v>
      </c>
      <c r="P56" t="s">
        <v>62</v>
      </c>
      <c r="R56" t="s">
        <v>63</v>
      </c>
      <c r="S56" t="s">
        <v>64</v>
      </c>
      <c r="T56">
        <v>227</v>
      </c>
      <c r="U56">
        <v>208.5</v>
      </c>
      <c r="V56">
        <f t="shared" si="0"/>
        <v>217.75</v>
      </c>
      <c r="W56">
        <f t="shared" si="1"/>
        <v>18.5</v>
      </c>
      <c r="X56">
        <v>-109.79444100000001</v>
      </c>
      <c r="Y56">
        <v>35.087502000000001</v>
      </c>
      <c r="Z56" t="s">
        <v>582</v>
      </c>
      <c r="AA56" t="s">
        <v>66</v>
      </c>
      <c r="AB56" t="s">
        <v>583</v>
      </c>
      <c r="AC56" t="s">
        <v>735</v>
      </c>
      <c r="AD56" t="s">
        <v>174</v>
      </c>
      <c r="AF56" t="s">
        <v>749</v>
      </c>
      <c r="AH56" t="s">
        <v>72</v>
      </c>
      <c r="AI56" t="s">
        <v>740</v>
      </c>
      <c r="AJ56">
        <v>1995</v>
      </c>
      <c r="AK56" t="s">
        <v>912</v>
      </c>
      <c r="AM56" t="s">
        <v>913</v>
      </c>
      <c r="AN56" t="s">
        <v>114</v>
      </c>
      <c r="AO56" t="s">
        <v>77</v>
      </c>
      <c r="AP56" t="s">
        <v>115</v>
      </c>
      <c r="AQ56" t="s">
        <v>914</v>
      </c>
      <c r="AR56" t="s">
        <v>80</v>
      </c>
      <c r="AS56">
        <v>101</v>
      </c>
      <c r="AT56" t="s">
        <v>81</v>
      </c>
      <c r="AU56">
        <v>-37.58</v>
      </c>
      <c r="AV56">
        <v>10.57</v>
      </c>
      <c r="AW56" t="s">
        <v>82</v>
      </c>
      <c r="AX56">
        <v>133</v>
      </c>
      <c r="AY56" t="s">
        <v>81</v>
      </c>
      <c r="AZ56">
        <v>-52.39</v>
      </c>
      <c r="BA56">
        <v>10.64</v>
      </c>
      <c r="BB56" t="s">
        <v>83</v>
      </c>
    </row>
    <row r="57" spans="1:54" x14ac:dyDescent="0.4">
      <c r="A57">
        <v>484986</v>
      </c>
      <c r="D57" t="s">
        <v>54</v>
      </c>
      <c r="G57">
        <v>1</v>
      </c>
      <c r="H57" t="s">
        <v>56</v>
      </c>
      <c r="I57" t="s">
        <v>57</v>
      </c>
      <c r="K57" t="s">
        <v>141</v>
      </c>
      <c r="L57" t="s">
        <v>911</v>
      </c>
      <c r="M57" t="s">
        <v>60</v>
      </c>
      <c r="N57" t="s">
        <v>256</v>
      </c>
      <c r="O57" t="s">
        <v>87</v>
      </c>
      <c r="P57" t="s">
        <v>62</v>
      </c>
      <c r="R57" t="s">
        <v>63</v>
      </c>
      <c r="S57" t="s">
        <v>64</v>
      </c>
      <c r="T57">
        <v>227</v>
      </c>
      <c r="U57">
        <v>208.5</v>
      </c>
      <c r="V57">
        <f t="shared" si="0"/>
        <v>217.75</v>
      </c>
      <c r="W57">
        <f t="shared" si="1"/>
        <v>18.5</v>
      </c>
      <c r="X57">
        <v>-109.79444100000001</v>
      </c>
      <c r="Y57">
        <v>35.087502000000001</v>
      </c>
      <c r="Z57" t="s">
        <v>582</v>
      </c>
      <c r="AA57" t="s">
        <v>66</v>
      </c>
      <c r="AB57" t="s">
        <v>583</v>
      </c>
      <c r="AC57" t="s">
        <v>735</v>
      </c>
      <c r="AD57" t="s">
        <v>174</v>
      </c>
      <c r="AF57" t="s">
        <v>749</v>
      </c>
      <c r="AH57" t="s">
        <v>72</v>
      </c>
      <c r="AI57" t="s">
        <v>740</v>
      </c>
      <c r="AJ57">
        <v>1995</v>
      </c>
      <c r="AK57" t="s">
        <v>912</v>
      </c>
      <c r="AM57" t="s">
        <v>913</v>
      </c>
      <c r="AN57" t="s">
        <v>114</v>
      </c>
      <c r="AO57" t="s">
        <v>77</v>
      </c>
      <c r="AP57" t="s">
        <v>115</v>
      </c>
      <c r="AQ57" t="s">
        <v>914</v>
      </c>
      <c r="AR57" t="s">
        <v>80</v>
      </c>
      <c r="AS57">
        <v>101</v>
      </c>
      <c r="AT57" t="s">
        <v>81</v>
      </c>
      <c r="AU57">
        <v>-37.58</v>
      </c>
      <c r="AV57">
        <v>10.57</v>
      </c>
      <c r="AW57" t="s">
        <v>82</v>
      </c>
      <c r="AX57">
        <v>133</v>
      </c>
      <c r="AY57" t="s">
        <v>81</v>
      </c>
      <c r="AZ57">
        <v>-52.39</v>
      </c>
      <c r="BA57">
        <v>10.64</v>
      </c>
      <c r="BB57" t="s">
        <v>83</v>
      </c>
    </row>
    <row r="58" spans="1:54" x14ac:dyDescent="0.4">
      <c r="A58">
        <v>484987</v>
      </c>
      <c r="D58" t="s">
        <v>54</v>
      </c>
      <c r="G58">
        <v>1</v>
      </c>
      <c r="H58" t="s">
        <v>56</v>
      </c>
      <c r="I58" t="s">
        <v>57</v>
      </c>
      <c r="K58" t="s">
        <v>767</v>
      </c>
      <c r="L58" t="s">
        <v>768</v>
      </c>
      <c r="M58" t="s">
        <v>60</v>
      </c>
      <c r="N58" t="s">
        <v>119</v>
      </c>
      <c r="O58" t="s">
        <v>87</v>
      </c>
      <c r="P58" t="s">
        <v>62</v>
      </c>
      <c r="R58" t="s">
        <v>63</v>
      </c>
      <c r="S58" t="s">
        <v>64</v>
      </c>
      <c r="T58">
        <v>227</v>
      </c>
      <c r="U58">
        <v>208.5</v>
      </c>
      <c r="V58">
        <f t="shared" si="0"/>
        <v>217.75</v>
      </c>
      <c r="W58">
        <f t="shared" si="1"/>
        <v>18.5</v>
      </c>
      <c r="X58">
        <v>-109.79444100000001</v>
      </c>
      <c r="Y58">
        <v>35.087502000000001</v>
      </c>
      <c r="Z58" t="s">
        <v>582</v>
      </c>
      <c r="AA58" t="s">
        <v>66</v>
      </c>
      <c r="AB58" t="s">
        <v>583</v>
      </c>
      <c r="AC58" t="s">
        <v>735</v>
      </c>
      <c r="AD58" t="s">
        <v>174</v>
      </c>
      <c r="AF58" t="s">
        <v>749</v>
      </c>
      <c r="AH58" t="s">
        <v>11</v>
      </c>
      <c r="AI58" t="s">
        <v>915</v>
      </c>
      <c r="AJ58">
        <v>2011</v>
      </c>
      <c r="AK58" t="s">
        <v>912</v>
      </c>
      <c r="AM58" t="s">
        <v>913</v>
      </c>
      <c r="AN58" t="s">
        <v>114</v>
      </c>
      <c r="AO58" t="s">
        <v>77</v>
      </c>
      <c r="AP58" t="s">
        <v>115</v>
      </c>
      <c r="AQ58" t="s">
        <v>914</v>
      </c>
      <c r="AR58" t="s">
        <v>80</v>
      </c>
      <c r="AS58">
        <v>101</v>
      </c>
      <c r="AT58" t="s">
        <v>81</v>
      </c>
      <c r="AU58">
        <v>-37.58</v>
      </c>
      <c r="AV58">
        <v>10.57</v>
      </c>
      <c r="AW58" t="s">
        <v>82</v>
      </c>
      <c r="AX58">
        <v>133</v>
      </c>
      <c r="AY58" t="s">
        <v>81</v>
      </c>
      <c r="AZ58">
        <v>-52.39</v>
      </c>
      <c r="BA58">
        <v>10.64</v>
      </c>
      <c r="BB58" t="s">
        <v>83</v>
      </c>
    </row>
    <row r="59" spans="1:54" x14ac:dyDescent="0.4">
      <c r="A59">
        <v>486103</v>
      </c>
      <c r="D59" t="s">
        <v>54</v>
      </c>
      <c r="E59" t="s">
        <v>152</v>
      </c>
      <c r="G59">
        <v>6</v>
      </c>
      <c r="H59" t="s">
        <v>84</v>
      </c>
      <c r="I59" t="s">
        <v>57</v>
      </c>
      <c r="K59" t="s">
        <v>244</v>
      </c>
      <c r="L59" t="s">
        <v>245</v>
      </c>
      <c r="M59" t="s">
        <v>60</v>
      </c>
      <c r="O59" t="s">
        <v>170</v>
      </c>
      <c r="P59" t="s">
        <v>62</v>
      </c>
      <c r="R59" t="s">
        <v>63</v>
      </c>
      <c r="S59" t="s">
        <v>64</v>
      </c>
      <c r="T59">
        <v>227</v>
      </c>
      <c r="U59">
        <v>208.5</v>
      </c>
      <c r="V59">
        <f t="shared" si="0"/>
        <v>217.75</v>
      </c>
      <c r="W59">
        <f t="shared" si="1"/>
        <v>18.5</v>
      </c>
      <c r="X59">
        <v>5.766667</v>
      </c>
      <c r="Y59">
        <v>46.900002000000001</v>
      </c>
      <c r="Z59" t="s">
        <v>124</v>
      </c>
      <c r="AA59" t="s">
        <v>521</v>
      </c>
      <c r="AB59" t="s">
        <v>916</v>
      </c>
      <c r="AC59" t="s">
        <v>917</v>
      </c>
      <c r="AD59" t="s">
        <v>918</v>
      </c>
      <c r="AH59" t="s">
        <v>72</v>
      </c>
      <c r="AI59" t="s">
        <v>365</v>
      </c>
      <c r="AJ59">
        <v>2001</v>
      </c>
      <c r="AK59" t="s">
        <v>919</v>
      </c>
      <c r="AM59" t="s">
        <v>920</v>
      </c>
      <c r="AN59" t="s">
        <v>341</v>
      </c>
      <c r="AO59" t="s">
        <v>160</v>
      </c>
      <c r="AP59" t="s">
        <v>115</v>
      </c>
      <c r="AQ59" t="s">
        <v>921</v>
      </c>
      <c r="AR59" t="s">
        <v>80</v>
      </c>
      <c r="AS59">
        <v>305</v>
      </c>
      <c r="AT59" t="s">
        <v>81</v>
      </c>
      <c r="AU59">
        <v>19.72</v>
      </c>
      <c r="AV59">
        <v>27.46</v>
      </c>
      <c r="AW59" t="s">
        <v>82</v>
      </c>
      <c r="AX59">
        <v>305</v>
      </c>
      <c r="AY59" t="s">
        <v>81</v>
      </c>
      <c r="AZ59">
        <v>8.6199999999999992</v>
      </c>
      <c r="BA59">
        <v>29.34</v>
      </c>
      <c r="BB59" t="s">
        <v>83</v>
      </c>
    </row>
    <row r="60" spans="1:54" x14ac:dyDescent="0.4">
      <c r="A60">
        <v>486104</v>
      </c>
      <c r="D60" t="s">
        <v>54</v>
      </c>
      <c r="E60" t="s">
        <v>152</v>
      </c>
      <c r="G60">
        <v>10</v>
      </c>
      <c r="H60" t="s">
        <v>84</v>
      </c>
      <c r="I60" t="s">
        <v>57</v>
      </c>
      <c r="K60" t="s">
        <v>244</v>
      </c>
      <c r="L60" t="s">
        <v>245</v>
      </c>
      <c r="M60" t="s">
        <v>60</v>
      </c>
      <c r="O60" t="s">
        <v>170</v>
      </c>
      <c r="P60" t="s">
        <v>62</v>
      </c>
      <c r="R60" t="s">
        <v>63</v>
      </c>
      <c r="S60" t="s">
        <v>64</v>
      </c>
      <c r="T60">
        <v>227</v>
      </c>
      <c r="U60">
        <v>208.5</v>
      </c>
      <c r="V60">
        <f t="shared" si="0"/>
        <v>217.75</v>
      </c>
      <c r="W60">
        <f t="shared" si="1"/>
        <v>18.5</v>
      </c>
      <c r="X60">
        <v>5.6597980000000003</v>
      </c>
      <c r="Y60">
        <v>46.842579000000001</v>
      </c>
      <c r="Z60" t="s">
        <v>124</v>
      </c>
      <c r="AA60" t="s">
        <v>521</v>
      </c>
      <c r="AB60" t="s">
        <v>916</v>
      </c>
      <c r="AC60" t="s">
        <v>917</v>
      </c>
      <c r="AD60" t="s">
        <v>918</v>
      </c>
      <c r="AH60" t="s">
        <v>72</v>
      </c>
      <c r="AI60" t="s">
        <v>365</v>
      </c>
      <c r="AJ60">
        <v>2001</v>
      </c>
      <c r="AK60" t="s">
        <v>922</v>
      </c>
      <c r="AM60" t="s">
        <v>923</v>
      </c>
      <c r="AN60" t="s">
        <v>341</v>
      </c>
      <c r="AO60">
        <v>5</v>
      </c>
      <c r="AP60" t="s">
        <v>115</v>
      </c>
      <c r="AQ60" t="s">
        <v>924</v>
      </c>
      <c r="AR60" t="s">
        <v>80</v>
      </c>
      <c r="AS60">
        <v>305</v>
      </c>
      <c r="AT60" t="s">
        <v>81</v>
      </c>
      <c r="AU60">
        <v>19.66</v>
      </c>
      <c r="AV60">
        <v>27.38</v>
      </c>
      <c r="AW60" t="s">
        <v>82</v>
      </c>
      <c r="AX60">
        <v>305</v>
      </c>
      <c r="AY60" t="s">
        <v>81</v>
      </c>
      <c r="AZ60">
        <v>8.57</v>
      </c>
      <c r="BA60">
        <v>29.26</v>
      </c>
      <c r="BB60" t="s">
        <v>83</v>
      </c>
    </row>
    <row r="61" spans="1:54" x14ac:dyDescent="0.4">
      <c r="A61">
        <v>486145</v>
      </c>
      <c r="D61" t="s">
        <v>54</v>
      </c>
      <c r="I61" t="s">
        <v>57</v>
      </c>
      <c r="K61" t="s">
        <v>244</v>
      </c>
      <c r="L61" t="s">
        <v>245</v>
      </c>
      <c r="M61" t="s">
        <v>60</v>
      </c>
      <c r="O61" t="s">
        <v>170</v>
      </c>
      <c r="P61" t="s">
        <v>62</v>
      </c>
      <c r="R61" t="s">
        <v>63</v>
      </c>
      <c r="S61" t="s">
        <v>64</v>
      </c>
      <c r="T61">
        <v>227</v>
      </c>
      <c r="U61">
        <v>208.5</v>
      </c>
      <c r="V61">
        <f t="shared" si="0"/>
        <v>217.75</v>
      </c>
      <c r="W61">
        <f t="shared" si="1"/>
        <v>18.5</v>
      </c>
      <c r="X61">
        <v>5.55</v>
      </c>
      <c r="Y61">
        <v>46.666671999999998</v>
      </c>
      <c r="Z61" t="s">
        <v>520</v>
      </c>
      <c r="AA61" t="s">
        <v>521</v>
      </c>
      <c r="AB61" t="s">
        <v>916</v>
      </c>
      <c r="AC61" t="s">
        <v>917</v>
      </c>
      <c r="AD61" t="s">
        <v>932</v>
      </c>
      <c r="AH61" t="s">
        <v>11</v>
      </c>
      <c r="AI61" t="s">
        <v>365</v>
      </c>
      <c r="AJ61">
        <v>1998</v>
      </c>
      <c r="AK61" t="s">
        <v>933</v>
      </c>
      <c r="AM61" t="s">
        <v>934</v>
      </c>
      <c r="AN61" t="s">
        <v>114</v>
      </c>
      <c r="AO61">
        <v>5</v>
      </c>
      <c r="AP61" t="s">
        <v>115</v>
      </c>
      <c r="AQ61" t="s">
        <v>935</v>
      </c>
      <c r="AR61" t="s">
        <v>80</v>
      </c>
      <c r="AS61">
        <v>305</v>
      </c>
      <c r="AT61" t="s">
        <v>81</v>
      </c>
      <c r="AU61">
        <v>19.66</v>
      </c>
      <c r="AV61">
        <v>27.19</v>
      </c>
      <c r="AW61" t="s">
        <v>82</v>
      </c>
      <c r="AX61">
        <v>305</v>
      </c>
      <c r="AY61" t="s">
        <v>81</v>
      </c>
      <c r="AZ61">
        <v>8.57</v>
      </c>
      <c r="BA61">
        <v>29.07</v>
      </c>
      <c r="BB61" t="s">
        <v>83</v>
      </c>
    </row>
    <row r="62" spans="1:54" x14ac:dyDescent="0.4">
      <c r="A62">
        <v>486146</v>
      </c>
      <c r="D62" t="s">
        <v>54</v>
      </c>
      <c r="G62">
        <v>1</v>
      </c>
      <c r="H62" t="s">
        <v>84</v>
      </c>
      <c r="I62" t="s">
        <v>57</v>
      </c>
      <c r="K62" t="s">
        <v>141</v>
      </c>
      <c r="L62" t="s">
        <v>871</v>
      </c>
      <c r="M62" t="s">
        <v>60</v>
      </c>
      <c r="N62" t="s">
        <v>119</v>
      </c>
      <c r="O62" t="s">
        <v>170</v>
      </c>
      <c r="P62" t="s">
        <v>62</v>
      </c>
      <c r="R62" t="s">
        <v>63</v>
      </c>
      <c r="S62" t="s">
        <v>64</v>
      </c>
      <c r="T62">
        <v>227</v>
      </c>
      <c r="U62">
        <v>208.5</v>
      </c>
      <c r="V62">
        <f t="shared" si="0"/>
        <v>217.75</v>
      </c>
      <c r="W62">
        <f t="shared" si="1"/>
        <v>18.5</v>
      </c>
      <c r="X62">
        <v>5.55</v>
      </c>
      <c r="Y62">
        <v>46.666671999999998</v>
      </c>
      <c r="Z62" t="s">
        <v>520</v>
      </c>
      <c r="AA62" t="s">
        <v>521</v>
      </c>
      <c r="AB62" t="s">
        <v>916</v>
      </c>
      <c r="AC62" t="s">
        <v>917</v>
      </c>
      <c r="AD62" t="s">
        <v>932</v>
      </c>
      <c r="AH62" t="s">
        <v>72</v>
      </c>
      <c r="AI62" t="s">
        <v>365</v>
      </c>
      <c r="AJ62">
        <v>1998</v>
      </c>
      <c r="AK62" t="s">
        <v>933</v>
      </c>
      <c r="AM62" t="s">
        <v>934</v>
      </c>
      <c r="AN62" t="s">
        <v>114</v>
      </c>
      <c r="AO62">
        <v>5</v>
      </c>
      <c r="AP62" t="s">
        <v>115</v>
      </c>
      <c r="AQ62" t="s">
        <v>935</v>
      </c>
      <c r="AR62" t="s">
        <v>80</v>
      </c>
      <c r="AS62">
        <v>305</v>
      </c>
      <c r="AT62" t="s">
        <v>81</v>
      </c>
      <c r="AU62">
        <v>19.66</v>
      </c>
      <c r="AV62">
        <v>27.19</v>
      </c>
      <c r="AW62" t="s">
        <v>82</v>
      </c>
      <c r="AX62">
        <v>305</v>
      </c>
      <c r="AY62" t="s">
        <v>81</v>
      </c>
      <c r="AZ62">
        <v>8.57</v>
      </c>
      <c r="BA62">
        <v>29.07</v>
      </c>
      <c r="BB62" t="s">
        <v>83</v>
      </c>
    </row>
    <row r="63" spans="1:54" x14ac:dyDescent="0.4">
      <c r="A63">
        <v>486393</v>
      </c>
      <c r="D63" t="s">
        <v>54</v>
      </c>
      <c r="E63" t="s">
        <v>152</v>
      </c>
      <c r="G63">
        <v>11</v>
      </c>
      <c r="H63" t="s">
        <v>84</v>
      </c>
      <c r="I63" t="s">
        <v>57</v>
      </c>
      <c r="K63" t="s">
        <v>244</v>
      </c>
      <c r="L63" t="s">
        <v>245</v>
      </c>
      <c r="M63" t="s">
        <v>60</v>
      </c>
      <c r="O63" t="s">
        <v>170</v>
      </c>
      <c r="P63" t="s">
        <v>62</v>
      </c>
      <c r="R63" t="s">
        <v>63</v>
      </c>
      <c r="S63" t="s">
        <v>64</v>
      </c>
      <c r="T63">
        <v>227</v>
      </c>
      <c r="U63">
        <v>208.5</v>
      </c>
      <c r="V63">
        <f t="shared" si="0"/>
        <v>217.75</v>
      </c>
      <c r="W63">
        <f t="shared" si="1"/>
        <v>18.5</v>
      </c>
      <c r="X63">
        <v>11.132999999999999</v>
      </c>
      <c r="Y63">
        <v>49.516601999999999</v>
      </c>
      <c r="Z63" t="s">
        <v>124</v>
      </c>
      <c r="AA63" t="s">
        <v>211</v>
      </c>
      <c r="AB63" t="s">
        <v>953</v>
      </c>
      <c r="AD63" t="s">
        <v>267</v>
      </c>
      <c r="AE63" t="s">
        <v>215</v>
      </c>
      <c r="AF63" t="s">
        <v>954</v>
      </c>
      <c r="AH63" t="s">
        <v>72</v>
      </c>
      <c r="AI63" t="s">
        <v>865</v>
      </c>
      <c r="AJ63">
        <v>1837</v>
      </c>
      <c r="AK63" t="s">
        <v>955</v>
      </c>
      <c r="AM63" t="s">
        <v>956</v>
      </c>
      <c r="AN63" t="s">
        <v>114</v>
      </c>
      <c r="AO63">
        <v>4</v>
      </c>
      <c r="AP63" t="s">
        <v>115</v>
      </c>
      <c r="AQ63" t="s">
        <v>957</v>
      </c>
      <c r="AR63" t="s">
        <v>80</v>
      </c>
      <c r="AS63">
        <v>305</v>
      </c>
      <c r="AT63" t="s">
        <v>81</v>
      </c>
      <c r="AU63">
        <v>22.27</v>
      </c>
      <c r="AV63">
        <v>31.29</v>
      </c>
      <c r="AW63" t="s">
        <v>82</v>
      </c>
      <c r="AX63">
        <v>305</v>
      </c>
      <c r="AY63" t="s">
        <v>81</v>
      </c>
      <c r="AZ63">
        <v>11.12</v>
      </c>
      <c r="BA63">
        <v>33.22</v>
      </c>
      <c r="BB63" t="s">
        <v>83</v>
      </c>
    </row>
    <row r="64" spans="1:54" x14ac:dyDescent="0.4">
      <c r="A64">
        <v>486395</v>
      </c>
      <c r="D64" t="s">
        <v>54</v>
      </c>
      <c r="E64" t="s">
        <v>152</v>
      </c>
      <c r="G64">
        <v>1</v>
      </c>
      <c r="H64" t="s">
        <v>84</v>
      </c>
      <c r="I64" t="s">
        <v>57</v>
      </c>
      <c r="K64" t="s">
        <v>141</v>
      </c>
      <c r="L64" t="s">
        <v>255</v>
      </c>
      <c r="M64" t="s">
        <v>60</v>
      </c>
      <c r="N64" t="s">
        <v>256</v>
      </c>
      <c r="O64" t="s">
        <v>87</v>
      </c>
      <c r="P64" t="s">
        <v>62</v>
      </c>
      <c r="R64" t="s">
        <v>63</v>
      </c>
      <c r="S64" t="s">
        <v>64</v>
      </c>
      <c r="T64">
        <v>227</v>
      </c>
      <c r="U64">
        <v>208.5</v>
      </c>
      <c r="V64">
        <f t="shared" si="0"/>
        <v>217.75</v>
      </c>
      <c r="W64">
        <f t="shared" si="1"/>
        <v>18.5</v>
      </c>
      <c r="X64">
        <v>11.132999999999999</v>
      </c>
      <c r="Y64">
        <v>49.516601999999999</v>
      </c>
      <c r="Z64" t="s">
        <v>124</v>
      </c>
      <c r="AA64" t="s">
        <v>211</v>
      </c>
      <c r="AB64" t="s">
        <v>953</v>
      </c>
      <c r="AD64" t="s">
        <v>267</v>
      </c>
      <c r="AE64" t="s">
        <v>215</v>
      </c>
      <c r="AF64" t="s">
        <v>954</v>
      </c>
      <c r="AH64" t="s">
        <v>11</v>
      </c>
      <c r="AI64" t="s">
        <v>958</v>
      </c>
      <c r="AJ64">
        <v>2003</v>
      </c>
      <c r="AK64" t="s">
        <v>955</v>
      </c>
      <c r="AM64" t="s">
        <v>956</v>
      </c>
      <c r="AN64" t="s">
        <v>114</v>
      </c>
      <c r="AO64">
        <v>4</v>
      </c>
      <c r="AP64" t="s">
        <v>115</v>
      </c>
      <c r="AQ64" t="s">
        <v>957</v>
      </c>
      <c r="AR64" t="s">
        <v>80</v>
      </c>
      <c r="AS64">
        <v>305</v>
      </c>
      <c r="AT64" t="s">
        <v>81</v>
      </c>
      <c r="AU64">
        <v>22.27</v>
      </c>
      <c r="AV64">
        <v>31.29</v>
      </c>
      <c r="AW64" t="s">
        <v>82</v>
      </c>
      <c r="AX64">
        <v>305</v>
      </c>
      <c r="AY64" t="s">
        <v>81</v>
      </c>
      <c r="AZ64">
        <v>11.12</v>
      </c>
      <c r="BA64">
        <v>33.22</v>
      </c>
      <c r="BB64" t="s">
        <v>83</v>
      </c>
    </row>
    <row r="65" spans="1:54" x14ac:dyDescent="0.4">
      <c r="A65">
        <v>486405</v>
      </c>
      <c r="D65" t="s">
        <v>54</v>
      </c>
      <c r="E65" t="s">
        <v>297</v>
      </c>
      <c r="G65">
        <v>1</v>
      </c>
      <c r="H65" t="s">
        <v>56</v>
      </c>
      <c r="I65" t="s">
        <v>57</v>
      </c>
      <c r="K65" t="s">
        <v>244</v>
      </c>
      <c r="L65" t="s">
        <v>245</v>
      </c>
      <c r="M65" t="s">
        <v>60</v>
      </c>
      <c r="O65" t="s">
        <v>170</v>
      </c>
      <c r="P65" t="s">
        <v>62</v>
      </c>
      <c r="R65" t="s">
        <v>63</v>
      </c>
      <c r="S65" t="s">
        <v>64</v>
      </c>
      <c r="T65">
        <v>227</v>
      </c>
      <c r="U65">
        <v>208.5</v>
      </c>
      <c r="V65">
        <f t="shared" si="0"/>
        <v>217.75</v>
      </c>
      <c r="W65">
        <f t="shared" si="1"/>
        <v>18.5</v>
      </c>
      <c r="X65">
        <v>9.1666670000000003</v>
      </c>
      <c r="Y65">
        <v>48.75</v>
      </c>
      <c r="Z65" t="s">
        <v>969</v>
      </c>
      <c r="AA65" t="s">
        <v>211</v>
      </c>
      <c r="AB65" t="s">
        <v>212</v>
      </c>
      <c r="AD65" t="s">
        <v>267</v>
      </c>
      <c r="AE65" t="s">
        <v>215</v>
      </c>
      <c r="AF65" t="s">
        <v>268</v>
      </c>
      <c r="AH65" t="s">
        <v>11</v>
      </c>
      <c r="AI65" t="s">
        <v>693</v>
      </c>
      <c r="AJ65">
        <v>1905</v>
      </c>
      <c r="AK65" t="s">
        <v>970</v>
      </c>
      <c r="AN65" t="s">
        <v>114</v>
      </c>
      <c r="AO65">
        <v>2</v>
      </c>
      <c r="AP65" t="s">
        <v>115</v>
      </c>
      <c r="AQ65" t="s">
        <v>971</v>
      </c>
      <c r="AR65" t="s">
        <v>80</v>
      </c>
      <c r="AS65">
        <v>305</v>
      </c>
      <c r="AT65" t="s">
        <v>81</v>
      </c>
      <c r="AU65">
        <v>21.28</v>
      </c>
      <c r="AV65">
        <v>30.06</v>
      </c>
      <c r="AW65" t="s">
        <v>82</v>
      </c>
      <c r="AX65">
        <v>305</v>
      </c>
      <c r="AY65" t="s">
        <v>81</v>
      </c>
      <c r="AZ65">
        <v>10.14</v>
      </c>
      <c r="BA65">
        <v>31.97</v>
      </c>
      <c r="BB65" t="s">
        <v>83</v>
      </c>
    </row>
    <row r="66" spans="1:54" x14ac:dyDescent="0.4">
      <c r="A66">
        <v>486408</v>
      </c>
      <c r="D66" t="s">
        <v>54</v>
      </c>
      <c r="E66" t="s">
        <v>297</v>
      </c>
      <c r="G66">
        <v>1</v>
      </c>
      <c r="H66" t="s">
        <v>56</v>
      </c>
      <c r="I66" t="s">
        <v>57</v>
      </c>
      <c r="K66" t="s">
        <v>141</v>
      </c>
      <c r="L66" t="s">
        <v>871</v>
      </c>
      <c r="M66" t="s">
        <v>60</v>
      </c>
      <c r="N66" t="s">
        <v>119</v>
      </c>
      <c r="O66" t="s">
        <v>170</v>
      </c>
      <c r="P66" t="s">
        <v>62</v>
      </c>
      <c r="R66" t="s">
        <v>63</v>
      </c>
      <c r="S66" t="s">
        <v>64</v>
      </c>
      <c r="T66">
        <v>227</v>
      </c>
      <c r="U66">
        <v>208.5</v>
      </c>
      <c r="V66">
        <f t="shared" si="0"/>
        <v>217.75</v>
      </c>
      <c r="W66">
        <f t="shared" si="1"/>
        <v>18.5</v>
      </c>
      <c r="X66">
        <v>9.1666670000000003</v>
      </c>
      <c r="Y66">
        <v>48.75</v>
      </c>
      <c r="Z66" t="s">
        <v>969</v>
      </c>
      <c r="AA66" t="s">
        <v>211</v>
      </c>
      <c r="AB66" t="s">
        <v>212</v>
      </c>
      <c r="AD66" t="s">
        <v>267</v>
      </c>
      <c r="AE66" t="s">
        <v>215</v>
      </c>
      <c r="AF66" t="s">
        <v>268</v>
      </c>
      <c r="AH66" t="s">
        <v>72</v>
      </c>
      <c r="AI66" t="s">
        <v>693</v>
      </c>
      <c r="AJ66">
        <v>1905</v>
      </c>
      <c r="AK66" t="s">
        <v>974</v>
      </c>
      <c r="AN66" t="s">
        <v>114</v>
      </c>
      <c r="AO66">
        <v>2</v>
      </c>
      <c r="AP66" t="s">
        <v>115</v>
      </c>
      <c r="AQ66" t="s">
        <v>975</v>
      </c>
      <c r="AR66" t="s">
        <v>80</v>
      </c>
      <c r="AS66">
        <v>305</v>
      </c>
      <c r="AT66" t="s">
        <v>81</v>
      </c>
      <c r="AU66">
        <v>21.28</v>
      </c>
      <c r="AV66">
        <v>30.06</v>
      </c>
      <c r="AW66" t="s">
        <v>82</v>
      </c>
      <c r="AX66">
        <v>305</v>
      </c>
      <c r="AY66" t="s">
        <v>81</v>
      </c>
      <c r="AZ66">
        <v>10.14</v>
      </c>
      <c r="BA66">
        <v>31.97</v>
      </c>
      <c r="BB66" t="s">
        <v>83</v>
      </c>
    </row>
    <row r="67" spans="1:54" x14ac:dyDescent="0.4">
      <c r="A67">
        <v>486412</v>
      </c>
      <c r="D67" t="s">
        <v>54</v>
      </c>
      <c r="E67" t="s">
        <v>55</v>
      </c>
      <c r="G67">
        <v>1</v>
      </c>
      <c r="H67" t="s">
        <v>56</v>
      </c>
      <c r="I67" t="s">
        <v>57</v>
      </c>
      <c r="K67" t="s">
        <v>244</v>
      </c>
      <c r="L67" t="s">
        <v>976</v>
      </c>
      <c r="M67" t="s">
        <v>60</v>
      </c>
      <c r="P67" t="s">
        <v>62</v>
      </c>
      <c r="R67" t="s">
        <v>63</v>
      </c>
      <c r="S67" t="s">
        <v>64</v>
      </c>
      <c r="T67">
        <v>227</v>
      </c>
      <c r="U67">
        <v>208.5</v>
      </c>
      <c r="V67">
        <f t="shared" ref="V67:V130" si="2">(T67+U67)/2</f>
        <v>217.75</v>
      </c>
      <c r="W67">
        <f t="shared" ref="W67:W130" si="3">T67-U67</f>
        <v>18.5</v>
      </c>
      <c r="X67">
        <v>10.55</v>
      </c>
      <c r="Y67">
        <v>50.383301000000003</v>
      </c>
      <c r="Z67" t="s">
        <v>124</v>
      </c>
      <c r="AA67" t="s">
        <v>211</v>
      </c>
      <c r="AB67" t="s">
        <v>977</v>
      </c>
      <c r="AD67" t="s">
        <v>267</v>
      </c>
      <c r="AE67" t="s">
        <v>215</v>
      </c>
      <c r="AF67" t="s">
        <v>268</v>
      </c>
      <c r="AH67" t="s">
        <v>72</v>
      </c>
      <c r="AI67" t="s">
        <v>365</v>
      </c>
      <c r="AJ67">
        <v>2001</v>
      </c>
      <c r="AK67" t="s">
        <v>978</v>
      </c>
      <c r="AM67" t="s">
        <v>979</v>
      </c>
      <c r="AN67" t="s">
        <v>114</v>
      </c>
      <c r="AO67">
        <v>4</v>
      </c>
      <c r="AP67" t="s">
        <v>115</v>
      </c>
      <c r="AQ67" t="s">
        <v>980</v>
      </c>
      <c r="AR67" t="s">
        <v>80</v>
      </c>
      <c r="AS67">
        <v>305</v>
      </c>
      <c r="AT67" t="s">
        <v>81</v>
      </c>
      <c r="AU67">
        <v>21.44</v>
      </c>
      <c r="AV67">
        <v>31.92</v>
      </c>
      <c r="AW67" t="s">
        <v>82</v>
      </c>
      <c r="AX67">
        <v>305</v>
      </c>
      <c r="AY67" t="s">
        <v>81</v>
      </c>
      <c r="AZ67">
        <v>10.25</v>
      </c>
      <c r="BA67">
        <v>33.83</v>
      </c>
      <c r="BB67" t="s">
        <v>83</v>
      </c>
    </row>
    <row r="68" spans="1:54" x14ac:dyDescent="0.4">
      <c r="A68">
        <v>486412</v>
      </c>
      <c r="D68" t="s">
        <v>54</v>
      </c>
      <c r="E68" t="s">
        <v>55</v>
      </c>
      <c r="G68">
        <v>1</v>
      </c>
      <c r="H68" t="s">
        <v>56</v>
      </c>
      <c r="I68" t="s">
        <v>57</v>
      </c>
      <c r="K68" t="s">
        <v>244</v>
      </c>
      <c r="L68" t="s">
        <v>976</v>
      </c>
      <c r="M68" t="s">
        <v>60</v>
      </c>
      <c r="P68" t="s">
        <v>62</v>
      </c>
      <c r="R68" t="s">
        <v>63</v>
      </c>
      <c r="S68" t="s">
        <v>64</v>
      </c>
      <c r="T68">
        <v>227</v>
      </c>
      <c r="U68">
        <v>208.5</v>
      </c>
      <c r="V68">
        <f t="shared" si="2"/>
        <v>217.75</v>
      </c>
      <c r="W68">
        <f t="shared" si="3"/>
        <v>18.5</v>
      </c>
      <c r="X68">
        <v>10.55</v>
      </c>
      <c r="Y68">
        <v>50.383301000000003</v>
      </c>
      <c r="Z68" t="s">
        <v>124</v>
      </c>
      <c r="AA68" t="s">
        <v>211</v>
      </c>
      <c r="AB68" t="s">
        <v>977</v>
      </c>
      <c r="AD68" t="s">
        <v>267</v>
      </c>
      <c r="AE68" t="s">
        <v>215</v>
      </c>
      <c r="AF68" t="s">
        <v>268</v>
      </c>
      <c r="AH68" t="s">
        <v>72</v>
      </c>
      <c r="AI68" t="s">
        <v>365</v>
      </c>
      <c r="AJ68">
        <v>2001</v>
      </c>
      <c r="AK68" t="s">
        <v>978</v>
      </c>
      <c r="AM68" t="s">
        <v>979</v>
      </c>
      <c r="AN68" t="s">
        <v>114</v>
      </c>
      <c r="AO68">
        <v>4</v>
      </c>
      <c r="AP68" t="s">
        <v>115</v>
      </c>
      <c r="AQ68" t="s">
        <v>980</v>
      </c>
      <c r="AR68" t="s">
        <v>80</v>
      </c>
      <c r="AS68">
        <v>305</v>
      </c>
      <c r="AT68" t="s">
        <v>81</v>
      </c>
      <c r="AU68">
        <v>21.44</v>
      </c>
      <c r="AV68">
        <v>31.92</v>
      </c>
      <c r="AW68" t="s">
        <v>82</v>
      </c>
      <c r="AX68">
        <v>305</v>
      </c>
      <c r="AY68" t="s">
        <v>81</v>
      </c>
      <c r="AZ68">
        <v>10.25</v>
      </c>
      <c r="BA68">
        <v>33.83</v>
      </c>
      <c r="BB68" t="s">
        <v>83</v>
      </c>
    </row>
    <row r="69" spans="1:54" x14ac:dyDescent="0.4">
      <c r="A69">
        <v>486413</v>
      </c>
      <c r="D69" t="s">
        <v>54</v>
      </c>
      <c r="E69" t="s">
        <v>55</v>
      </c>
      <c r="G69">
        <v>1</v>
      </c>
      <c r="H69" t="s">
        <v>56</v>
      </c>
      <c r="I69" t="s">
        <v>57</v>
      </c>
      <c r="K69" t="s">
        <v>141</v>
      </c>
      <c r="L69" t="s">
        <v>255</v>
      </c>
      <c r="M69" t="s">
        <v>60</v>
      </c>
      <c r="N69" t="s">
        <v>256</v>
      </c>
      <c r="O69" t="s">
        <v>87</v>
      </c>
      <c r="P69" t="s">
        <v>62</v>
      </c>
      <c r="R69" t="s">
        <v>63</v>
      </c>
      <c r="S69" t="s">
        <v>64</v>
      </c>
      <c r="T69">
        <v>227</v>
      </c>
      <c r="U69">
        <v>208.5</v>
      </c>
      <c r="V69">
        <f t="shared" si="2"/>
        <v>217.75</v>
      </c>
      <c r="W69">
        <f t="shared" si="3"/>
        <v>18.5</v>
      </c>
      <c r="X69">
        <v>10.55</v>
      </c>
      <c r="Y69">
        <v>50.383301000000003</v>
      </c>
      <c r="Z69" t="s">
        <v>124</v>
      </c>
      <c r="AA69" t="s">
        <v>211</v>
      </c>
      <c r="AB69" t="s">
        <v>977</v>
      </c>
      <c r="AD69" t="s">
        <v>267</v>
      </c>
      <c r="AE69" t="s">
        <v>215</v>
      </c>
      <c r="AF69" t="s">
        <v>268</v>
      </c>
      <c r="AH69" t="s">
        <v>72</v>
      </c>
      <c r="AI69" t="s">
        <v>693</v>
      </c>
      <c r="AJ69">
        <v>1934</v>
      </c>
      <c r="AK69" t="s">
        <v>978</v>
      </c>
      <c r="AM69" t="s">
        <v>979</v>
      </c>
      <c r="AN69" t="s">
        <v>114</v>
      </c>
      <c r="AO69">
        <v>4</v>
      </c>
      <c r="AP69" t="s">
        <v>115</v>
      </c>
      <c r="AQ69" t="s">
        <v>980</v>
      </c>
      <c r="AR69" t="s">
        <v>80</v>
      </c>
      <c r="AS69">
        <v>305</v>
      </c>
      <c r="AT69" t="s">
        <v>81</v>
      </c>
      <c r="AU69">
        <v>21.44</v>
      </c>
      <c r="AV69">
        <v>31.92</v>
      </c>
      <c r="AW69" t="s">
        <v>82</v>
      </c>
      <c r="AX69">
        <v>305</v>
      </c>
      <c r="AY69" t="s">
        <v>81</v>
      </c>
      <c r="AZ69">
        <v>10.25</v>
      </c>
      <c r="BA69">
        <v>33.83</v>
      </c>
      <c r="BB69" t="s">
        <v>83</v>
      </c>
    </row>
    <row r="70" spans="1:54" x14ac:dyDescent="0.4">
      <c r="A70">
        <v>486413</v>
      </c>
      <c r="D70" t="s">
        <v>54</v>
      </c>
      <c r="E70" t="s">
        <v>55</v>
      </c>
      <c r="G70">
        <v>1</v>
      </c>
      <c r="H70" t="s">
        <v>56</v>
      </c>
      <c r="I70" t="s">
        <v>57</v>
      </c>
      <c r="K70" t="s">
        <v>141</v>
      </c>
      <c r="L70" t="s">
        <v>255</v>
      </c>
      <c r="M70" t="s">
        <v>60</v>
      </c>
      <c r="N70" t="s">
        <v>256</v>
      </c>
      <c r="O70" t="s">
        <v>87</v>
      </c>
      <c r="P70" t="s">
        <v>62</v>
      </c>
      <c r="R70" t="s">
        <v>63</v>
      </c>
      <c r="S70" t="s">
        <v>64</v>
      </c>
      <c r="T70">
        <v>227</v>
      </c>
      <c r="U70">
        <v>208.5</v>
      </c>
      <c r="V70">
        <f t="shared" si="2"/>
        <v>217.75</v>
      </c>
      <c r="W70">
        <f t="shared" si="3"/>
        <v>18.5</v>
      </c>
      <c r="X70">
        <v>10.55</v>
      </c>
      <c r="Y70">
        <v>50.383301000000003</v>
      </c>
      <c r="Z70" t="s">
        <v>124</v>
      </c>
      <c r="AA70" t="s">
        <v>211</v>
      </c>
      <c r="AB70" t="s">
        <v>977</v>
      </c>
      <c r="AD70" t="s">
        <v>267</v>
      </c>
      <c r="AE70" t="s">
        <v>215</v>
      </c>
      <c r="AF70" t="s">
        <v>268</v>
      </c>
      <c r="AH70" t="s">
        <v>72</v>
      </c>
      <c r="AI70" t="s">
        <v>693</v>
      </c>
      <c r="AJ70">
        <v>1934</v>
      </c>
      <c r="AK70" t="s">
        <v>978</v>
      </c>
      <c r="AM70" t="s">
        <v>979</v>
      </c>
      <c r="AN70" t="s">
        <v>114</v>
      </c>
      <c r="AO70">
        <v>4</v>
      </c>
      <c r="AP70" t="s">
        <v>115</v>
      </c>
      <c r="AQ70" t="s">
        <v>980</v>
      </c>
      <c r="AR70" t="s">
        <v>80</v>
      </c>
      <c r="AS70">
        <v>305</v>
      </c>
      <c r="AT70" t="s">
        <v>81</v>
      </c>
      <c r="AU70">
        <v>21.44</v>
      </c>
      <c r="AV70">
        <v>31.92</v>
      </c>
      <c r="AW70" t="s">
        <v>82</v>
      </c>
      <c r="AX70">
        <v>305</v>
      </c>
      <c r="AY70" t="s">
        <v>81</v>
      </c>
      <c r="AZ70">
        <v>10.25</v>
      </c>
      <c r="BA70">
        <v>33.83</v>
      </c>
      <c r="BB70" t="s">
        <v>83</v>
      </c>
    </row>
    <row r="71" spans="1:54" x14ac:dyDescent="0.4">
      <c r="A71">
        <v>490747</v>
      </c>
      <c r="D71" t="s">
        <v>54</v>
      </c>
      <c r="E71" t="s">
        <v>152</v>
      </c>
      <c r="G71">
        <v>1</v>
      </c>
      <c r="H71" t="s">
        <v>56</v>
      </c>
      <c r="I71" t="s">
        <v>57</v>
      </c>
      <c r="K71" t="s">
        <v>141</v>
      </c>
      <c r="L71" t="s">
        <v>981</v>
      </c>
      <c r="M71" t="s">
        <v>60</v>
      </c>
      <c r="N71" t="s">
        <v>256</v>
      </c>
      <c r="O71" t="s">
        <v>87</v>
      </c>
      <c r="P71" t="s">
        <v>62</v>
      </c>
      <c r="R71" t="s">
        <v>63</v>
      </c>
      <c r="S71" t="s">
        <v>64</v>
      </c>
      <c r="T71">
        <v>227</v>
      </c>
      <c r="U71">
        <v>208.5</v>
      </c>
      <c r="V71">
        <f t="shared" si="2"/>
        <v>217.75</v>
      </c>
      <c r="W71">
        <f t="shared" si="3"/>
        <v>18.5</v>
      </c>
      <c r="X71">
        <v>-103.379997</v>
      </c>
      <c r="Y71">
        <v>35.365276000000001</v>
      </c>
      <c r="Z71" t="s">
        <v>124</v>
      </c>
      <c r="AA71" t="s">
        <v>66</v>
      </c>
      <c r="AB71" t="s">
        <v>846</v>
      </c>
      <c r="AC71" t="s">
        <v>906</v>
      </c>
      <c r="AD71" t="s">
        <v>907</v>
      </c>
      <c r="AE71" t="s">
        <v>201</v>
      </c>
      <c r="AH71" t="s">
        <v>72</v>
      </c>
      <c r="AI71" t="s">
        <v>982</v>
      </c>
      <c r="AJ71">
        <v>1997</v>
      </c>
      <c r="AK71" t="s">
        <v>983</v>
      </c>
      <c r="AN71" t="s">
        <v>192</v>
      </c>
      <c r="AO71" t="s">
        <v>77</v>
      </c>
      <c r="AP71" t="s">
        <v>78</v>
      </c>
      <c r="AQ71" t="s">
        <v>984</v>
      </c>
      <c r="AR71" t="s">
        <v>80</v>
      </c>
      <c r="AS71">
        <v>101</v>
      </c>
      <c r="AT71" t="s">
        <v>81</v>
      </c>
      <c r="AU71">
        <v>-32.29</v>
      </c>
      <c r="AV71">
        <v>9.9</v>
      </c>
      <c r="AW71" t="s">
        <v>82</v>
      </c>
      <c r="AX71">
        <v>101</v>
      </c>
      <c r="AY71" t="s">
        <v>81</v>
      </c>
      <c r="AZ71">
        <v>-43.13</v>
      </c>
      <c r="BA71">
        <v>10.11</v>
      </c>
      <c r="BB71" t="s">
        <v>83</v>
      </c>
    </row>
    <row r="72" spans="1:54" x14ac:dyDescent="0.4">
      <c r="A72">
        <v>490749</v>
      </c>
      <c r="D72" t="s">
        <v>54</v>
      </c>
      <c r="E72" t="s">
        <v>152</v>
      </c>
      <c r="G72">
        <v>2</v>
      </c>
      <c r="H72" t="s">
        <v>84</v>
      </c>
      <c r="I72" t="s">
        <v>57</v>
      </c>
      <c r="K72" t="s">
        <v>85</v>
      </c>
      <c r="L72" t="s">
        <v>845</v>
      </c>
      <c r="M72" t="s">
        <v>60</v>
      </c>
      <c r="O72" t="s">
        <v>87</v>
      </c>
      <c r="P72" t="s">
        <v>62</v>
      </c>
      <c r="R72" t="s">
        <v>63</v>
      </c>
      <c r="S72" t="s">
        <v>64</v>
      </c>
      <c r="T72">
        <v>227</v>
      </c>
      <c r="U72">
        <v>208.5</v>
      </c>
      <c r="V72">
        <f t="shared" si="2"/>
        <v>217.75</v>
      </c>
      <c r="W72">
        <f t="shared" si="3"/>
        <v>18.5</v>
      </c>
      <c r="X72">
        <v>-103.379997</v>
      </c>
      <c r="Y72">
        <v>35.365276000000001</v>
      </c>
      <c r="Z72" t="s">
        <v>124</v>
      </c>
      <c r="AA72" t="s">
        <v>66</v>
      </c>
      <c r="AB72" t="s">
        <v>846</v>
      </c>
      <c r="AC72" t="s">
        <v>906</v>
      </c>
      <c r="AD72" t="s">
        <v>907</v>
      </c>
      <c r="AE72" t="s">
        <v>201</v>
      </c>
      <c r="AH72" t="s">
        <v>11</v>
      </c>
      <c r="AI72" t="s">
        <v>982</v>
      </c>
      <c r="AJ72">
        <v>1997</v>
      </c>
      <c r="AK72" t="s">
        <v>983</v>
      </c>
      <c r="AN72" t="s">
        <v>192</v>
      </c>
      <c r="AO72" t="s">
        <v>77</v>
      </c>
      <c r="AP72" t="s">
        <v>78</v>
      </c>
      <c r="AQ72" t="s">
        <v>984</v>
      </c>
      <c r="AR72" t="s">
        <v>80</v>
      </c>
      <c r="AS72">
        <v>101</v>
      </c>
      <c r="AT72" t="s">
        <v>81</v>
      </c>
      <c r="AU72">
        <v>-32.29</v>
      </c>
      <c r="AV72">
        <v>9.9</v>
      </c>
      <c r="AW72" t="s">
        <v>82</v>
      </c>
      <c r="AX72">
        <v>101</v>
      </c>
      <c r="AY72" t="s">
        <v>81</v>
      </c>
      <c r="AZ72">
        <v>-43.13</v>
      </c>
      <c r="BA72">
        <v>10.11</v>
      </c>
      <c r="BB72" t="s">
        <v>83</v>
      </c>
    </row>
    <row r="73" spans="1:54" x14ac:dyDescent="0.4">
      <c r="A73">
        <v>490750</v>
      </c>
      <c r="D73" t="s">
        <v>54</v>
      </c>
      <c r="E73" t="s">
        <v>152</v>
      </c>
      <c r="I73" t="s">
        <v>57</v>
      </c>
      <c r="K73" t="s">
        <v>85</v>
      </c>
      <c r="L73" t="s">
        <v>86</v>
      </c>
      <c r="M73" t="s">
        <v>60</v>
      </c>
      <c r="O73" t="s">
        <v>87</v>
      </c>
      <c r="P73" t="s">
        <v>62</v>
      </c>
      <c r="R73" t="s">
        <v>63</v>
      </c>
      <c r="S73" t="s">
        <v>64</v>
      </c>
      <c r="T73">
        <v>227</v>
      </c>
      <c r="U73">
        <v>208.5</v>
      </c>
      <c r="V73">
        <f t="shared" si="2"/>
        <v>217.75</v>
      </c>
      <c r="W73">
        <f t="shared" si="3"/>
        <v>18.5</v>
      </c>
      <c r="X73">
        <v>-103.379997</v>
      </c>
      <c r="Y73">
        <v>35.365276000000001</v>
      </c>
      <c r="Z73" t="s">
        <v>124</v>
      </c>
      <c r="AA73" t="s">
        <v>66</v>
      </c>
      <c r="AB73" t="s">
        <v>846</v>
      </c>
      <c r="AC73" t="s">
        <v>906</v>
      </c>
      <c r="AD73" t="s">
        <v>907</v>
      </c>
      <c r="AE73" t="s">
        <v>201</v>
      </c>
      <c r="AH73" t="s">
        <v>11</v>
      </c>
      <c r="AI73" t="s">
        <v>985</v>
      </c>
      <c r="AJ73">
        <v>1985</v>
      </c>
      <c r="AK73" t="s">
        <v>983</v>
      </c>
      <c r="AN73" t="s">
        <v>192</v>
      </c>
      <c r="AO73" t="s">
        <v>77</v>
      </c>
      <c r="AP73" t="s">
        <v>78</v>
      </c>
      <c r="AQ73" t="s">
        <v>984</v>
      </c>
      <c r="AR73" t="s">
        <v>80</v>
      </c>
      <c r="AS73">
        <v>101</v>
      </c>
      <c r="AT73" t="s">
        <v>81</v>
      </c>
      <c r="AU73">
        <v>-32.29</v>
      </c>
      <c r="AV73">
        <v>9.9</v>
      </c>
      <c r="AW73" t="s">
        <v>82</v>
      </c>
      <c r="AX73">
        <v>101</v>
      </c>
      <c r="AY73" t="s">
        <v>81</v>
      </c>
      <c r="AZ73">
        <v>-43.13</v>
      </c>
      <c r="BA73">
        <v>10.11</v>
      </c>
      <c r="BB73" t="s">
        <v>83</v>
      </c>
    </row>
    <row r="74" spans="1:54" x14ac:dyDescent="0.4">
      <c r="A74">
        <v>490751</v>
      </c>
      <c r="D74" t="s">
        <v>54</v>
      </c>
      <c r="E74" t="s">
        <v>152</v>
      </c>
      <c r="G74">
        <v>1</v>
      </c>
      <c r="H74" t="s">
        <v>84</v>
      </c>
      <c r="I74" t="s">
        <v>57</v>
      </c>
      <c r="K74" t="s">
        <v>206</v>
      </c>
      <c r="L74" t="s">
        <v>986</v>
      </c>
      <c r="M74" t="s">
        <v>60</v>
      </c>
      <c r="O74" t="s">
        <v>170</v>
      </c>
      <c r="P74" t="s">
        <v>62</v>
      </c>
      <c r="R74" t="s">
        <v>63</v>
      </c>
      <c r="S74" t="s">
        <v>64</v>
      </c>
      <c r="T74">
        <v>227</v>
      </c>
      <c r="U74">
        <v>208.5</v>
      </c>
      <c r="V74">
        <f t="shared" si="2"/>
        <v>217.75</v>
      </c>
      <c r="W74">
        <f t="shared" si="3"/>
        <v>18.5</v>
      </c>
      <c r="X74">
        <v>-103.379997</v>
      </c>
      <c r="Y74">
        <v>35.365276000000001</v>
      </c>
      <c r="Z74" t="s">
        <v>124</v>
      </c>
      <c r="AA74" t="s">
        <v>66</v>
      </c>
      <c r="AB74" t="s">
        <v>846</v>
      </c>
      <c r="AC74" t="s">
        <v>906</v>
      </c>
      <c r="AD74" t="s">
        <v>907</v>
      </c>
      <c r="AE74" t="s">
        <v>201</v>
      </c>
      <c r="AH74" t="s">
        <v>72</v>
      </c>
      <c r="AI74" t="s">
        <v>852</v>
      </c>
      <c r="AJ74">
        <v>2002</v>
      </c>
      <c r="AK74" t="s">
        <v>983</v>
      </c>
      <c r="AN74" t="s">
        <v>192</v>
      </c>
      <c r="AO74" t="s">
        <v>77</v>
      </c>
      <c r="AP74" t="s">
        <v>78</v>
      </c>
      <c r="AQ74" t="s">
        <v>984</v>
      </c>
      <c r="AR74" t="s">
        <v>80</v>
      </c>
      <c r="AS74">
        <v>101</v>
      </c>
      <c r="AT74" t="s">
        <v>81</v>
      </c>
      <c r="AU74">
        <v>-32.29</v>
      </c>
      <c r="AV74">
        <v>9.9</v>
      </c>
      <c r="AW74" t="s">
        <v>82</v>
      </c>
      <c r="AX74">
        <v>101</v>
      </c>
      <c r="AY74" t="s">
        <v>81</v>
      </c>
      <c r="AZ74">
        <v>-43.13</v>
      </c>
      <c r="BA74">
        <v>10.11</v>
      </c>
      <c r="BB74" t="s">
        <v>83</v>
      </c>
    </row>
    <row r="75" spans="1:54" x14ac:dyDescent="0.4">
      <c r="A75">
        <v>490752</v>
      </c>
      <c r="D75" t="s">
        <v>54</v>
      </c>
      <c r="E75" t="s">
        <v>152</v>
      </c>
      <c r="G75">
        <v>1</v>
      </c>
      <c r="H75" t="s">
        <v>56</v>
      </c>
      <c r="I75" t="s">
        <v>57</v>
      </c>
      <c r="K75" t="s">
        <v>767</v>
      </c>
      <c r="L75" t="s">
        <v>768</v>
      </c>
      <c r="M75" t="s">
        <v>60</v>
      </c>
      <c r="N75" t="s">
        <v>119</v>
      </c>
      <c r="O75" t="s">
        <v>87</v>
      </c>
      <c r="P75" t="s">
        <v>62</v>
      </c>
      <c r="R75" t="s">
        <v>63</v>
      </c>
      <c r="S75" t="s">
        <v>64</v>
      </c>
      <c r="T75">
        <v>227</v>
      </c>
      <c r="U75">
        <v>208.5</v>
      </c>
      <c r="V75">
        <f t="shared" si="2"/>
        <v>217.75</v>
      </c>
      <c r="W75">
        <f t="shared" si="3"/>
        <v>18.5</v>
      </c>
      <c r="X75">
        <v>-103.379997</v>
      </c>
      <c r="Y75">
        <v>35.365276000000001</v>
      </c>
      <c r="Z75" t="s">
        <v>124</v>
      </c>
      <c r="AA75" t="s">
        <v>66</v>
      </c>
      <c r="AB75" t="s">
        <v>846</v>
      </c>
      <c r="AC75" t="s">
        <v>906</v>
      </c>
      <c r="AD75" t="s">
        <v>907</v>
      </c>
      <c r="AE75" t="s">
        <v>201</v>
      </c>
      <c r="AH75" t="s">
        <v>72</v>
      </c>
      <c r="AI75" t="s">
        <v>982</v>
      </c>
      <c r="AJ75">
        <v>1997</v>
      </c>
      <c r="AK75" t="s">
        <v>983</v>
      </c>
      <c r="AN75" t="s">
        <v>192</v>
      </c>
      <c r="AO75" t="s">
        <v>77</v>
      </c>
      <c r="AP75" t="s">
        <v>78</v>
      </c>
      <c r="AQ75" t="s">
        <v>984</v>
      </c>
      <c r="AR75" t="s">
        <v>80</v>
      </c>
      <c r="AS75">
        <v>101</v>
      </c>
      <c r="AT75" t="s">
        <v>81</v>
      </c>
      <c r="AU75">
        <v>-32.29</v>
      </c>
      <c r="AV75">
        <v>9.9</v>
      </c>
      <c r="AW75" t="s">
        <v>82</v>
      </c>
      <c r="AX75">
        <v>101</v>
      </c>
      <c r="AY75" t="s">
        <v>81</v>
      </c>
      <c r="AZ75">
        <v>-43.13</v>
      </c>
      <c r="BA75">
        <v>10.11</v>
      </c>
      <c r="BB75" t="s">
        <v>83</v>
      </c>
    </row>
    <row r="76" spans="1:54" x14ac:dyDescent="0.4">
      <c r="A76">
        <v>490754</v>
      </c>
      <c r="D76" t="s">
        <v>54</v>
      </c>
      <c r="E76" t="s">
        <v>152</v>
      </c>
      <c r="G76">
        <v>1</v>
      </c>
      <c r="H76" t="s">
        <v>84</v>
      </c>
      <c r="I76" t="s">
        <v>57</v>
      </c>
      <c r="K76" t="s">
        <v>767</v>
      </c>
      <c r="L76" t="s">
        <v>768</v>
      </c>
      <c r="M76" t="s">
        <v>60</v>
      </c>
      <c r="N76" t="s">
        <v>119</v>
      </c>
      <c r="O76" t="s">
        <v>87</v>
      </c>
      <c r="P76" t="s">
        <v>62</v>
      </c>
      <c r="R76" t="s">
        <v>63</v>
      </c>
      <c r="S76" t="s">
        <v>64</v>
      </c>
      <c r="T76">
        <v>227</v>
      </c>
      <c r="U76">
        <v>208.5</v>
      </c>
      <c r="V76">
        <f t="shared" si="2"/>
        <v>217.75</v>
      </c>
      <c r="W76">
        <f t="shared" si="3"/>
        <v>18.5</v>
      </c>
      <c r="X76">
        <v>-103.379997</v>
      </c>
      <c r="Y76">
        <v>35.365276000000001</v>
      </c>
      <c r="Z76" t="s">
        <v>124</v>
      </c>
      <c r="AA76" t="s">
        <v>66</v>
      </c>
      <c r="AB76" t="s">
        <v>846</v>
      </c>
      <c r="AC76" t="s">
        <v>906</v>
      </c>
      <c r="AD76" t="s">
        <v>907</v>
      </c>
      <c r="AE76" t="s">
        <v>201</v>
      </c>
      <c r="AH76" t="s">
        <v>11</v>
      </c>
      <c r="AI76" t="s">
        <v>982</v>
      </c>
      <c r="AJ76">
        <v>1997</v>
      </c>
      <c r="AK76" t="s">
        <v>983</v>
      </c>
      <c r="AN76" t="s">
        <v>192</v>
      </c>
      <c r="AO76" t="s">
        <v>77</v>
      </c>
      <c r="AP76" t="s">
        <v>78</v>
      </c>
      <c r="AQ76" t="s">
        <v>984</v>
      </c>
      <c r="AR76" t="s">
        <v>80</v>
      </c>
      <c r="AS76">
        <v>101</v>
      </c>
      <c r="AT76" t="s">
        <v>81</v>
      </c>
      <c r="AU76">
        <v>-32.29</v>
      </c>
      <c r="AV76">
        <v>9.9</v>
      </c>
      <c r="AW76" t="s">
        <v>82</v>
      </c>
      <c r="AX76">
        <v>101</v>
      </c>
      <c r="AY76" t="s">
        <v>81</v>
      </c>
      <c r="AZ76">
        <v>-43.13</v>
      </c>
      <c r="BA76">
        <v>10.11</v>
      </c>
      <c r="BB76" t="s">
        <v>83</v>
      </c>
    </row>
    <row r="77" spans="1:54" x14ac:dyDescent="0.4">
      <c r="A77">
        <v>490757</v>
      </c>
      <c r="D77" t="s">
        <v>54</v>
      </c>
      <c r="E77" t="s">
        <v>152</v>
      </c>
      <c r="G77">
        <v>4</v>
      </c>
      <c r="H77" t="s">
        <v>84</v>
      </c>
      <c r="I77" t="s">
        <v>57</v>
      </c>
      <c r="K77" t="s">
        <v>206</v>
      </c>
      <c r="L77" t="s">
        <v>851</v>
      </c>
      <c r="M77" t="s">
        <v>60</v>
      </c>
      <c r="O77" t="s">
        <v>170</v>
      </c>
      <c r="P77" t="s">
        <v>62</v>
      </c>
      <c r="R77" t="s">
        <v>63</v>
      </c>
      <c r="S77" t="s">
        <v>64</v>
      </c>
      <c r="T77">
        <v>227</v>
      </c>
      <c r="U77">
        <v>208.5</v>
      </c>
      <c r="V77">
        <f t="shared" si="2"/>
        <v>217.75</v>
      </c>
      <c r="W77">
        <f t="shared" si="3"/>
        <v>18.5</v>
      </c>
      <c r="X77">
        <v>-109.833298</v>
      </c>
      <c r="Y77">
        <v>35.033298000000002</v>
      </c>
      <c r="Z77" t="s">
        <v>582</v>
      </c>
      <c r="AA77" t="s">
        <v>66</v>
      </c>
      <c r="AB77" t="s">
        <v>583</v>
      </c>
      <c r="AC77" t="s">
        <v>735</v>
      </c>
      <c r="AD77" t="s">
        <v>174</v>
      </c>
      <c r="AF77" t="s">
        <v>749</v>
      </c>
      <c r="AH77" t="s">
        <v>72</v>
      </c>
      <c r="AI77" t="s">
        <v>740</v>
      </c>
      <c r="AJ77">
        <v>1995</v>
      </c>
      <c r="AK77" t="s">
        <v>987</v>
      </c>
      <c r="AM77" t="s">
        <v>988</v>
      </c>
      <c r="AN77" t="s">
        <v>849</v>
      </c>
      <c r="AO77">
        <v>4</v>
      </c>
      <c r="AP77" t="s">
        <v>78</v>
      </c>
      <c r="AQ77" t="s">
        <v>989</v>
      </c>
      <c r="AR77" t="s">
        <v>80</v>
      </c>
      <c r="AS77">
        <v>101</v>
      </c>
      <c r="AT77" t="s">
        <v>81</v>
      </c>
      <c r="AU77">
        <v>-37.619999999999997</v>
      </c>
      <c r="AV77">
        <v>10.53</v>
      </c>
      <c r="AW77" t="s">
        <v>82</v>
      </c>
      <c r="AX77">
        <v>133</v>
      </c>
      <c r="AY77" t="s">
        <v>81</v>
      </c>
      <c r="AZ77">
        <v>-52.43</v>
      </c>
      <c r="BA77">
        <v>10.59</v>
      </c>
      <c r="BB77" t="s">
        <v>83</v>
      </c>
    </row>
    <row r="78" spans="1:54" x14ac:dyDescent="0.4">
      <c r="A78">
        <v>490758</v>
      </c>
      <c r="D78" t="s">
        <v>54</v>
      </c>
      <c r="E78" t="s">
        <v>152</v>
      </c>
      <c r="G78">
        <v>1</v>
      </c>
      <c r="H78" t="s">
        <v>84</v>
      </c>
      <c r="I78" t="s">
        <v>57</v>
      </c>
      <c r="K78" t="s">
        <v>141</v>
      </c>
      <c r="L78" t="s">
        <v>990</v>
      </c>
      <c r="M78" t="s">
        <v>60</v>
      </c>
      <c r="O78" t="s">
        <v>87</v>
      </c>
      <c r="P78" t="s">
        <v>62</v>
      </c>
      <c r="R78" t="s">
        <v>63</v>
      </c>
      <c r="S78" t="s">
        <v>64</v>
      </c>
      <c r="T78">
        <v>227</v>
      </c>
      <c r="U78">
        <v>208.5</v>
      </c>
      <c r="V78">
        <f t="shared" si="2"/>
        <v>217.75</v>
      </c>
      <c r="W78">
        <f t="shared" si="3"/>
        <v>18.5</v>
      </c>
      <c r="X78">
        <v>-109.833298</v>
      </c>
      <c r="Y78">
        <v>35.033298000000002</v>
      </c>
      <c r="Z78" t="s">
        <v>582</v>
      </c>
      <c r="AA78" t="s">
        <v>66</v>
      </c>
      <c r="AB78" t="s">
        <v>583</v>
      </c>
      <c r="AC78" t="s">
        <v>735</v>
      </c>
      <c r="AD78" t="s">
        <v>174</v>
      </c>
      <c r="AF78" t="s">
        <v>749</v>
      </c>
      <c r="AH78" t="s">
        <v>11</v>
      </c>
      <c r="AI78" t="s">
        <v>915</v>
      </c>
      <c r="AJ78">
        <v>2011</v>
      </c>
      <c r="AK78" t="s">
        <v>987</v>
      </c>
      <c r="AM78" t="s">
        <v>988</v>
      </c>
      <c r="AN78" t="s">
        <v>849</v>
      </c>
      <c r="AO78">
        <v>4</v>
      </c>
      <c r="AP78" t="s">
        <v>78</v>
      </c>
      <c r="AQ78" t="s">
        <v>989</v>
      </c>
      <c r="AR78" t="s">
        <v>80</v>
      </c>
      <c r="AS78">
        <v>101</v>
      </c>
      <c r="AT78" t="s">
        <v>81</v>
      </c>
      <c r="AU78">
        <v>-37.619999999999997</v>
      </c>
      <c r="AV78">
        <v>10.53</v>
      </c>
      <c r="AW78" t="s">
        <v>82</v>
      </c>
      <c r="AX78">
        <v>133</v>
      </c>
      <c r="AY78" t="s">
        <v>81</v>
      </c>
      <c r="AZ78">
        <v>-52.43</v>
      </c>
      <c r="BA78">
        <v>10.59</v>
      </c>
      <c r="BB78" t="s">
        <v>83</v>
      </c>
    </row>
    <row r="79" spans="1:54" x14ac:dyDescent="0.4">
      <c r="A79">
        <v>490763</v>
      </c>
      <c r="D79" t="s">
        <v>54</v>
      </c>
      <c r="E79" t="s">
        <v>152</v>
      </c>
      <c r="G79">
        <v>4</v>
      </c>
      <c r="H79" t="s">
        <v>84</v>
      </c>
      <c r="I79" t="s">
        <v>57</v>
      </c>
      <c r="K79" t="s">
        <v>85</v>
      </c>
      <c r="L79" t="s">
        <v>845</v>
      </c>
      <c r="M79" t="s">
        <v>60</v>
      </c>
      <c r="O79" t="s">
        <v>87</v>
      </c>
      <c r="P79" t="s">
        <v>62</v>
      </c>
      <c r="R79" t="s">
        <v>63</v>
      </c>
      <c r="S79" t="s">
        <v>64</v>
      </c>
      <c r="T79">
        <v>227</v>
      </c>
      <c r="U79">
        <v>208.5</v>
      </c>
      <c r="V79">
        <f t="shared" si="2"/>
        <v>217.75</v>
      </c>
      <c r="W79">
        <f t="shared" si="3"/>
        <v>18.5</v>
      </c>
      <c r="X79">
        <v>-109.833298</v>
      </c>
      <c r="Y79">
        <v>35.033298000000002</v>
      </c>
      <c r="Z79" t="s">
        <v>582</v>
      </c>
      <c r="AA79" t="s">
        <v>66</v>
      </c>
      <c r="AB79" t="s">
        <v>583</v>
      </c>
      <c r="AC79" t="s">
        <v>735</v>
      </c>
      <c r="AD79" t="s">
        <v>174</v>
      </c>
      <c r="AF79" t="s">
        <v>749</v>
      </c>
      <c r="AH79" t="s">
        <v>11</v>
      </c>
      <c r="AI79" t="s">
        <v>915</v>
      </c>
      <c r="AJ79">
        <v>2011</v>
      </c>
      <c r="AK79" t="s">
        <v>987</v>
      </c>
      <c r="AM79" t="s">
        <v>988</v>
      </c>
      <c r="AN79" t="s">
        <v>849</v>
      </c>
      <c r="AO79">
        <v>4</v>
      </c>
      <c r="AP79" t="s">
        <v>78</v>
      </c>
      <c r="AQ79" t="s">
        <v>989</v>
      </c>
      <c r="AR79" t="s">
        <v>80</v>
      </c>
      <c r="AS79">
        <v>101</v>
      </c>
      <c r="AT79" t="s">
        <v>81</v>
      </c>
      <c r="AU79">
        <v>-37.619999999999997</v>
      </c>
      <c r="AV79">
        <v>10.53</v>
      </c>
      <c r="AW79" t="s">
        <v>82</v>
      </c>
      <c r="AX79">
        <v>133</v>
      </c>
      <c r="AY79" t="s">
        <v>81</v>
      </c>
      <c r="AZ79">
        <v>-52.43</v>
      </c>
      <c r="BA79">
        <v>10.59</v>
      </c>
      <c r="BB79" t="s">
        <v>83</v>
      </c>
    </row>
    <row r="80" spans="1:54" x14ac:dyDescent="0.4">
      <c r="A80">
        <v>490769</v>
      </c>
      <c r="D80" t="s">
        <v>54</v>
      </c>
      <c r="E80" t="s">
        <v>152</v>
      </c>
      <c r="G80">
        <v>3</v>
      </c>
      <c r="H80" t="s">
        <v>421</v>
      </c>
      <c r="I80" t="s">
        <v>57</v>
      </c>
      <c r="K80" t="s">
        <v>141</v>
      </c>
      <c r="L80" t="s">
        <v>905</v>
      </c>
      <c r="M80" t="s">
        <v>60</v>
      </c>
      <c r="O80" t="s">
        <v>170</v>
      </c>
      <c r="P80" t="s">
        <v>62</v>
      </c>
      <c r="R80" t="s">
        <v>63</v>
      </c>
      <c r="S80" t="s">
        <v>64</v>
      </c>
      <c r="T80">
        <v>227</v>
      </c>
      <c r="U80">
        <v>208.5</v>
      </c>
      <c r="V80">
        <f t="shared" si="2"/>
        <v>217.75</v>
      </c>
      <c r="W80">
        <f t="shared" si="3"/>
        <v>18.5</v>
      </c>
      <c r="X80">
        <v>-109.833298</v>
      </c>
      <c r="Y80">
        <v>35.033298000000002</v>
      </c>
      <c r="Z80" t="s">
        <v>582</v>
      </c>
      <c r="AA80" t="s">
        <v>66</v>
      </c>
      <c r="AB80" t="s">
        <v>583</v>
      </c>
      <c r="AC80" t="s">
        <v>735</v>
      </c>
      <c r="AD80" t="s">
        <v>174</v>
      </c>
      <c r="AF80" t="s">
        <v>749</v>
      </c>
      <c r="AH80" t="s">
        <v>72</v>
      </c>
      <c r="AI80" t="s">
        <v>991</v>
      </c>
      <c r="AJ80">
        <v>1990</v>
      </c>
      <c r="AK80" t="s">
        <v>987</v>
      </c>
      <c r="AM80" t="s">
        <v>988</v>
      </c>
      <c r="AN80" t="s">
        <v>849</v>
      </c>
      <c r="AO80">
        <v>4</v>
      </c>
      <c r="AP80" t="s">
        <v>78</v>
      </c>
      <c r="AQ80" t="s">
        <v>989</v>
      </c>
      <c r="AR80" t="s">
        <v>80</v>
      </c>
      <c r="AS80">
        <v>101</v>
      </c>
      <c r="AT80" t="s">
        <v>81</v>
      </c>
      <c r="AU80">
        <v>-37.619999999999997</v>
      </c>
      <c r="AV80">
        <v>10.53</v>
      </c>
      <c r="AW80" t="s">
        <v>82</v>
      </c>
      <c r="AX80">
        <v>133</v>
      </c>
      <c r="AY80" t="s">
        <v>81</v>
      </c>
      <c r="AZ80">
        <v>-52.43</v>
      </c>
      <c r="BA80">
        <v>10.59</v>
      </c>
      <c r="BB80" t="s">
        <v>83</v>
      </c>
    </row>
    <row r="81" spans="1:54" x14ac:dyDescent="0.4">
      <c r="A81">
        <v>504257</v>
      </c>
      <c r="D81" t="s">
        <v>54</v>
      </c>
      <c r="E81" t="s">
        <v>152</v>
      </c>
      <c r="I81" t="s">
        <v>57</v>
      </c>
      <c r="K81" t="s">
        <v>1029</v>
      </c>
      <c r="L81" t="s">
        <v>1030</v>
      </c>
      <c r="M81" t="s">
        <v>60</v>
      </c>
      <c r="N81" t="s">
        <v>61</v>
      </c>
      <c r="O81" t="s">
        <v>345</v>
      </c>
      <c r="P81" t="s">
        <v>62</v>
      </c>
      <c r="R81" t="s">
        <v>63</v>
      </c>
      <c r="S81" t="s">
        <v>64</v>
      </c>
      <c r="T81">
        <v>227</v>
      </c>
      <c r="U81">
        <v>208.5</v>
      </c>
      <c r="V81">
        <f t="shared" si="2"/>
        <v>217.75</v>
      </c>
      <c r="W81">
        <f t="shared" si="3"/>
        <v>18.5</v>
      </c>
      <c r="X81">
        <v>8.4519439999999992</v>
      </c>
      <c r="Y81">
        <v>47.706111999999997</v>
      </c>
      <c r="Z81" t="s">
        <v>520</v>
      </c>
      <c r="AA81" t="s">
        <v>226</v>
      </c>
      <c r="AB81" t="s">
        <v>877</v>
      </c>
      <c r="AD81" t="s">
        <v>247</v>
      </c>
      <c r="AF81" t="s">
        <v>248</v>
      </c>
      <c r="AH81" t="s">
        <v>11</v>
      </c>
      <c r="AI81" t="s">
        <v>1031</v>
      </c>
      <c r="AJ81">
        <v>1980</v>
      </c>
      <c r="AK81" t="s">
        <v>1032</v>
      </c>
      <c r="AM81" t="s">
        <v>1033</v>
      </c>
      <c r="AN81" t="s">
        <v>76</v>
      </c>
      <c r="AO81" t="s">
        <v>77</v>
      </c>
      <c r="AP81" t="s">
        <v>115</v>
      </c>
      <c r="AQ81" t="s">
        <v>1034</v>
      </c>
      <c r="AR81" t="s">
        <v>80</v>
      </c>
      <c r="AS81">
        <v>305</v>
      </c>
      <c r="AT81" t="s">
        <v>81</v>
      </c>
      <c r="AU81">
        <v>21.26</v>
      </c>
      <c r="AV81">
        <v>28.91</v>
      </c>
      <c r="AW81" t="s">
        <v>82</v>
      </c>
      <c r="AX81">
        <v>305</v>
      </c>
      <c r="AY81" t="s">
        <v>81</v>
      </c>
      <c r="AZ81">
        <v>10.16</v>
      </c>
      <c r="BA81">
        <v>30.83</v>
      </c>
      <c r="BB81" t="s">
        <v>83</v>
      </c>
    </row>
    <row r="82" spans="1:54" x14ac:dyDescent="0.4">
      <c r="A82">
        <v>513572</v>
      </c>
      <c r="D82" t="s">
        <v>54</v>
      </c>
      <c r="E82" t="s">
        <v>55</v>
      </c>
      <c r="G82">
        <v>1</v>
      </c>
      <c r="H82" t="s">
        <v>56</v>
      </c>
      <c r="I82" t="s">
        <v>57</v>
      </c>
      <c r="K82" t="s">
        <v>992</v>
      </c>
      <c r="L82" t="s">
        <v>1050</v>
      </c>
      <c r="M82" t="s">
        <v>60</v>
      </c>
      <c r="P82" t="s">
        <v>62</v>
      </c>
      <c r="R82" t="s">
        <v>63</v>
      </c>
      <c r="S82" t="s">
        <v>64</v>
      </c>
      <c r="T82">
        <v>227</v>
      </c>
      <c r="U82">
        <v>208.5</v>
      </c>
      <c r="V82">
        <f t="shared" si="2"/>
        <v>217.75</v>
      </c>
      <c r="W82">
        <f t="shared" si="3"/>
        <v>18.5</v>
      </c>
      <c r="X82">
        <v>-68.216667000000001</v>
      </c>
      <c r="Y82">
        <v>-29.733333999999999</v>
      </c>
      <c r="Z82" t="s">
        <v>184</v>
      </c>
      <c r="AA82" t="s">
        <v>185</v>
      </c>
      <c r="AB82" t="s">
        <v>186</v>
      </c>
      <c r="AC82" t="s">
        <v>327</v>
      </c>
      <c r="AD82" t="s">
        <v>551</v>
      </c>
      <c r="AE82" t="s">
        <v>188</v>
      </c>
      <c r="AH82" t="s">
        <v>72</v>
      </c>
      <c r="AI82" t="s">
        <v>1051</v>
      </c>
      <c r="AJ82">
        <v>1978</v>
      </c>
      <c r="AK82" t="s">
        <v>1052</v>
      </c>
      <c r="AM82" t="s">
        <v>1053</v>
      </c>
      <c r="AN82" t="s">
        <v>114</v>
      </c>
      <c r="AO82" t="s">
        <v>160</v>
      </c>
      <c r="AP82" t="s">
        <v>115</v>
      </c>
      <c r="AQ82" t="s">
        <v>1054</v>
      </c>
      <c r="AR82" t="s">
        <v>80</v>
      </c>
      <c r="AS82">
        <v>291</v>
      </c>
      <c r="AT82" t="s">
        <v>81</v>
      </c>
      <c r="AU82">
        <v>-22.96</v>
      </c>
      <c r="AV82">
        <v>-39.58</v>
      </c>
      <c r="AW82" t="s">
        <v>82</v>
      </c>
      <c r="AX82">
        <v>291</v>
      </c>
      <c r="AY82" t="s">
        <v>81</v>
      </c>
      <c r="AZ82">
        <v>-31.63</v>
      </c>
      <c r="BA82">
        <v>-38.97</v>
      </c>
      <c r="BB82" t="s">
        <v>83</v>
      </c>
    </row>
    <row r="83" spans="1:54" x14ac:dyDescent="0.4">
      <c r="A83">
        <v>513603</v>
      </c>
      <c r="D83" t="s">
        <v>54</v>
      </c>
      <c r="E83" t="s">
        <v>55</v>
      </c>
      <c r="G83">
        <v>1</v>
      </c>
      <c r="H83" t="s">
        <v>56</v>
      </c>
      <c r="I83" t="s">
        <v>57</v>
      </c>
      <c r="K83" t="s">
        <v>1055</v>
      </c>
      <c r="L83" t="s">
        <v>1056</v>
      </c>
      <c r="M83" t="s">
        <v>60</v>
      </c>
      <c r="P83" t="s">
        <v>62</v>
      </c>
      <c r="R83" t="s">
        <v>63</v>
      </c>
      <c r="S83" t="s">
        <v>64</v>
      </c>
      <c r="T83">
        <v>227</v>
      </c>
      <c r="U83">
        <v>208.5</v>
      </c>
      <c r="V83">
        <f t="shared" si="2"/>
        <v>217.75</v>
      </c>
      <c r="W83">
        <f t="shared" si="3"/>
        <v>18.5</v>
      </c>
      <c r="X83">
        <v>-67.933327000000006</v>
      </c>
      <c r="Y83">
        <v>-29.783501000000001</v>
      </c>
      <c r="Z83" t="s">
        <v>184</v>
      </c>
      <c r="AA83" t="s">
        <v>185</v>
      </c>
      <c r="AB83" t="s">
        <v>186</v>
      </c>
      <c r="AC83" t="s">
        <v>327</v>
      </c>
      <c r="AD83" t="s">
        <v>551</v>
      </c>
      <c r="AE83" t="s">
        <v>188</v>
      </c>
      <c r="AH83" t="s">
        <v>72</v>
      </c>
      <c r="AI83" t="s">
        <v>1051</v>
      </c>
      <c r="AJ83">
        <v>1969</v>
      </c>
      <c r="AK83" t="s">
        <v>1057</v>
      </c>
      <c r="AM83" t="s">
        <v>1058</v>
      </c>
      <c r="AN83" t="s">
        <v>114</v>
      </c>
      <c r="AO83">
        <v>4</v>
      </c>
      <c r="AP83" t="s">
        <v>359</v>
      </c>
      <c r="AQ83" t="s">
        <v>1059</v>
      </c>
      <c r="AR83" t="s">
        <v>80</v>
      </c>
      <c r="AS83">
        <v>291</v>
      </c>
      <c r="AT83" t="s">
        <v>81</v>
      </c>
      <c r="AU83">
        <v>-22.63</v>
      </c>
      <c r="AV83">
        <v>-39.590000000000003</v>
      </c>
      <c r="AW83" t="s">
        <v>82</v>
      </c>
      <c r="AX83">
        <v>291</v>
      </c>
      <c r="AY83" t="s">
        <v>81</v>
      </c>
      <c r="AZ83">
        <v>-31.31</v>
      </c>
      <c r="BA83">
        <v>-38.97</v>
      </c>
      <c r="BB83" t="s">
        <v>83</v>
      </c>
    </row>
    <row r="84" spans="1:54" x14ac:dyDescent="0.4">
      <c r="A84">
        <v>517573</v>
      </c>
      <c r="D84" t="s">
        <v>54</v>
      </c>
      <c r="E84" t="s">
        <v>297</v>
      </c>
      <c r="I84" t="s">
        <v>57</v>
      </c>
      <c r="K84" t="s">
        <v>741</v>
      </c>
      <c r="L84" t="s">
        <v>854</v>
      </c>
      <c r="M84" t="s">
        <v>60</v>
      </c>
      <c r="N84" t="s">
        <v>256</v>
      </c>
      <c r="O84" t="s">
        <v>87</v>
      </c>
      <c r="P84" t="s">
        <v>62</v>
      </c>
      <c r="R84" t="s">
        <v>63</v>
      </c>
      <c r="S84" t="s">
        <v>64</v>
      </c>
      <c r="T84">
        <v>227</v>
      </c>
      <c r="U84">
        <v>208.5</v>
      </c>
      <c r="V84">
        <f t="shared" si="2"/>
        <v>217.75</v>
      </c>
      <c r="W84">
        <f t="shared" si="3"/>
        <v>18.5</v>
      </c>
      <c r="X84">
        <v>-106.339478</v>
      </c>
      <c r="Y84">
        <v>36.205295999999997</v>
      </c>
      <c r="Z84" t="s">
        <v>124</v>
      </c>
      <c r="AA84" t="s">
        <v>66</v>
      </c>
      <c r="AB84" t="s">
        <v>846</v>
      </c>
      <c r="AC84" t="s">
        <v>847</v>
      </c>
      <c r="AD84" t="s">
        <v>174</v>
      </c>
      <c r="AH84" t="s">
        <v>72</v>
      </c>
      <c r="AI84" t="s">
        <v>461</v>
      </c>
      <c r="AJ84">
        <v>1887</v>
      </c>
      <c r="AK84" t="s">
        <v>1065</v>
      </c>
      <c r="AM84" t="s">
        <v>1066</v>
      </c>
      <c r="AN84" t="s">
        <v>114</v>
      </c>
      <c r="AO84">
        <v>7</v>
      </c>
      <c r="AP84" t="s">
        <v>359</v>
      </c>
      <c r="AQ84" t="s">
        <v>1067</v>
      </c>
      <c r="AR84" t="s">
        <v>80</v>
      </c>
      <c r="AS84">
        <v>101</v>
      </c>
      <c r="AT84" t="s">
        <v>81</v>
      </c>
      <c r="AU84">
        <v>-34.56</v>
      </c>
      <c r="AV84">
        <v>11.13</v>
      </c>
      <c r="AW84" t="s">
        <v>82</v>
      </c>
      <c r="AX84">
        <v>133</v>
      </c>
      <c r="AY84" t="s">
        <v>81</v>
      </c>
      <c r="AZ84">
        <v>-49.38</v>
      </c>
      <c r="BA84">
        <v>11.29</v>
      </c>
      <c r="BB84" t="s">
        <v>83</v>
      </c>
    </row>
    <row r="85" spans="1:54" x14ac:dyDescent="0.4">
      <c r="A85">
        <v>517577</v>
      </c>
      <c r="D85" t="s">
        <v>54</v>
      </c>
      <c r="E85" t="s">
        <v>152</v>
      </c>
      <c r="I85" t="s">
        <v>57</v>
      </c>
      <c r="K85" t="s">
        <v>141</v>
      </c>
      <c r="L85" t="s">
        <v>905</v>
      </c>
      <c r="M85" t="s">
        <v>60</v>
      </c>
      <c r="O85" t="s">
        <v>170</v>
      </c>
      <c r="P85" t="s">
        <v>62</v>
      </c>
      <c r="R85" t="s">
        <v>63</v>
      </c>
      <c r="S85" t="s">
        <v>64</v>
      </c>
      <c r="T85">
        <v>227</v>
      </c>
      <c r="U85">
        <v>208.5</v>
      </c>
      <c r="V85">
        <f t="shared" si="2"/>
        <v>217.75</v>
      </c>
      <c r="W85">
        <f t="shared" si="3"/>
        <v>18.5</v>
      </c>
      <c r="X85">
        <v>-109.833298</v>
      </c>
      <c r="Y85">
        <v>35.033298000000002</v>
      </c>
      <c r="Z85" t="s">
        <v>582</v>
      </c>
      <c r="AA85" t="s">
        <v>66</v>
      </c>
      <c r="AB85" t="s">
        <v>583</v>
      </c>
      <c r="AC85" t="s">
        <v>735</v>
      </c>
      <c r="AD85" t="s">
        <v>174</v>
      </c>
      <c r="AF85" t="s">
        <v>749</v>
      </c>
      <c r="AH85" t="s">
        <v>11</v>
      </c>
      <c r="AI85" t="s">
        <v>908</v>
      </c>
      <c r="AJ85">
        <v>1998</v>
      </c>
      <c r="AK85" t="s">
        <v>987</v>
      </c>
      <c r="AM85" t="s">
        <v>988</v>
      </c>
      <c r="AN85" t="s">
        <v>849</v>
      </c>
      <c r="AO85">
        <v>4</v>
      </c>
      <c r="AP85" t="s">
        <v>78</v>
      </c>
      <c r="AQ85" t="s">
        <v>989</v>
      </c>
      <c r="AR85" t="s">
        <v>80</v>
      </c>
      <c r="AS85">
        <v>101</v>
      </c>
      <c r="AT85" t="s">
        <v>81</v>
      </c>
      <c r="AU85">
        <v>-37.619999999999997</v>
      </c>
      <c r="AV85">
        <v>10.53</v>
      </c>
      <c r="AW85" t="s">
        <v>82</v>
      </c>
      <c r="AX85">
        <v>133</v>
      </c>
      <c r="AY85" t="s">
        <v>81</v>
      </c>
      <c r="AZ85">
        <v>-52.43</v>
      </c>
      <c r="BA85">
        <v>10.59</v>
      </c>
      <c r="BB85" t="s">
        <v>83</v>
      </c>
    </row>
    <row r="86" spans="1:54" x14ac:dyDescent="0.4">
      <c r="A86">
        <v>517578</v>
      </c>
      <c r="D86" t="s">
        <v>54</v>
      </c>
      <c r="G86">
        <v>1</v>
      </c>
      <c r="H86" t="s">
        <v>421</v>
      </c>
      <c r="I86" t="s">
        <v>57</v>
      </c>
      <c r="K86" t="s">
        <v>206</v>
      </c>
      <c r="L86" t="s">
        <v>851</v>
      </c>
      <c r="M86" t="s">
        <v>60</v>
      </c>
      <c r="O86" t="s">
        <v>170</v>
      </c>
      <c r="P86" t="s">
        <v>62</v>
      </c>
      <c r="R86" t="s">
        <v>63</v>
      </c>
      <c r="S86" t="s">
        <v>64</v>
      </c>
      <c r="T86">
        <v>227</v>
      </c>
      <c r="U86">
        <v>208.5</v>
      </c>
      <c r="V86">
        <f t="shared" si="2"/>
        <v>217.75</v>
      </c>
      <c r="W86">
        <f t="shared" si="3"/>
        <v>18.5</v>
      </c>
      <c r="X86">
        <v>-109.79444100000001</v>
      </c>
      <c r="Y86">
        <v>35.087502000000001</v>
      </c>
      <c r="Z86" t="s">
        <v>582</v>
      </c>
      <c r="AA86" t="s">
        <v>66</v>
      </c>
      <c r="AB86" t="s">
        <v>583</v>
      </c>
      <c r="AC86" t="s">
        <v>735</v>
      </c>
      <c r="AD86" t="s">
        <v>174</v>
      </c>
      <c r="AF86" t="s">
        <v>749</v>
      </c>
      <c r="AH86" t="s">
        <v>72</v>
      </c>
      <c r="AI86" t="s">
        <v>740</v>
      </c>
      <c r="AJ86">
        <v>1995</v>
      </c>
      <c r="AK86" t="s">
        <v>912</v>
      </c>
      <c r="AM86" t="s">
        <v>913</v>
      </c>
      <c r="AN86" t="s">
        <v>114</v>
      </c>
      <c r="AO86" t="s">
        <v>77</v>
      </c>
      <c r="AP86" t="s">
        <v>115</v>
      </c>
      <c r="AQ86" t="s">
        <v>914</v>
      </c>
      <c r="AR86" t="s">
        <v>80</v>
      </c>
      <c r="AS86">
        <v>101</v>
      </c>
      <c r="AT86" t="s">
        <v>81</v>
      </c>
      <c r="AU86">
        <v>-37.58</v>
      </c>
      <c r="AV86">
        <v>10.57</v>
      </c>
      <c r="AW86" t="s">
        <v>82</v>
      </c>
      <c r="AX86">
        <v>133</v>
      </c>
      <c r="AY86" t="s">
        <v>81</v>
      </c>
      <c r="AZ86">
        <v>-52.39</v>
      </c>
      <c r="BA86">
        <v>10.64</v>
      </c>
      <c r="BB86" t="s">
        <v>83</v>
      </c>
    </row>
    <row r="87" spans="1:54" x14ac:dyDescent="0.4">
      <c r="A87">
        <v>517585</v>
      </c>
      <c r="D87" t="s">
        <v>54</v>
      </c>
      <c r="G87">
        <v>1</v>
      </c>
      <c r="H87" t="s">
        <v>56</v>
      </c>
      <c r="I87" t="s">
        <v>57</v>
      </c>
      <c r="K87" t="s">
        <v>85</v>
      </c>
      <c r="L87" t="s">
        <v>739</v>
      </c>
      <c r="M87" t="s">
        <v>60</v>
      </c>
      <c r="O87" t="s">
        <v>87</v>
      </c>
      <c r="P87" t="s">
        <v>62</v>
      </c>
      <c r="R87" t="s">
        <v>63</v>
      </c>
      <c r="S87" t="s">
        <v>64</v>
      </c>
      <c r="T87">
        <v>227</v>
      </c>
      <c r="U87">
        <v>208.5</v>
      </c>
      <c r="V87">
        <f t="shared" si="2"/>
        <v>217.75</v>
      </c>
      <c r="W87">
        <f t="shared" si="3"/>
        <v>18.5</v>
      </c>
      <c r="X87">
        <v>-109.316704</v>
      </c>
      <c r="Y87">
        <v>34.533298000000002</v>
      </c>
      <c r="Z87" t="s">
        <v>124</v>
      </c>
      <c r="AA87" t="s">
        <v>66</v>
      </c>
      <c r="AB87" t="s">
        <v>583</v>
      </c>
      <c r="AC87" t="s">
        <v>735</v>
      </c>
      <c r="AD87" t="s">
        <v>174</v>
      </c>
      <c r="AF87" t="s">
        <v>1068</v>
      </c>
      <c r="AH87" t="s">
        <v>72</v>
      </c>
      <c r="AI87" t="s">
        <v>1069</v>
      </c>
      <c r="AJ87">
        <v>1930</v>
      </c>
      <c r="AK87" t="s">
        <v>1070</v>
      </c>
      <c r="AM87" t="s">
        <v>1071</v>
      </c>
      <c r="AN87" t="s">
        <v>849</v>
      </c>
      <c r="AO87">
        <v>4</v>
      </c>
      <c r="AP87" t="s">
        <v>78</v>
      </c>
      <c r="AQ87" t="s">
        <v>1072</v>
      </c>
      <c r="AR87" t="s">
        <v>80</v>
      </c>
      <c r="AS87">
        <v>101</v>
      </c>
      <c r="AT87" t="s">
        <v>81</v>
      </c>
      <c r="AU87">
        <v>-37.299999999999997</v>
      </c>
      <c r="AV87">
        <v>9.9499999999999993</v>
      </c>
      <c r="AW87" t="s">
        <v>82</v>
      </c>
      <c r="AX87">
        <v>133</v>
      </c>
      <c r="AY87" t="s">
        <v>81</v>
      </c>
      <c r="AZ87">
        <v>-52.09</v>
      </c>
      <c r="BA87">
        <v>10.029999999999999</v>
      </c>
      <c r="BB87" t="s">
        <v>83</v>
      </c>
    </row>
    <row r="88" spans="1:54" x14ac:dyDescent="0.4">
      <c r="A88">
        <v>517592</v>
      </c>
      <c r="D88" t="s">
        <v>54</v>
      </c>
      <c r="G88">
        <v>12</v>
      </c>
      <c r="H88" t="s">
        <v>84</v>
      </c>
      <c r="I88" t="s">
        <v>57</v>
      </c>
      <c r="K88" t="s">
        <v>141</v>
      </c>
      <c r="L88" t="s">
        <v>1073</v>
      </c>
      <c r="M88" t="s">
        <v>60</v>
      </c>
      <c r="N88" t="s">
        <v>326</v>
      </c>
      <c r="O88" t="s">
        <v>170</v>
      </c>
      <c r="P88" t="s">
        <v>62</v>
      </c>
      <c r="R88" t="s">
        <v>63</v>
      </c>
      <c r="S88" t="s">
        <v>64</v>
      </c>
      <c r="T88">
        <v>227</v>
      </c>
      <c r="U88">
        <v>208.5</v>
      </c>
      <c r="V88">
        <f t="shared" si="2"/>
        <v>217.75</v>
      </c>
      <c r="W88">
        <f t="shared" si="3"/>
        <v>18.5</v>
      </c>
      <c r="X88">
        <v>-109.316704</v>
      </c>
      <c r="Y88">
        <v>34.533298000000002</v>
      </c>
      <c r="Z88" t="s">
        <v>124</v>
      </c>
      <c r="AA88" t="s">
        <v>66</v>
      </c>
      <c r="AB88" t="s">
        <v>583</v>
      </c>
      <c r="AC88" t="s">
        <v>735</v>
      </c>
      <c r="AD88" t="s">
        <v>174</v>
      </c>
      <c r="AF88" t="s">
        <v>1068</v>
      </c>
      <c r="AH88" t="s">
        <v>72</v>
      </c>
      <c r="AI88" t="s">
        <v>175</v>
      </c>
      <c r="AJ88">
        <v>2002</v>
      </c>
      <c r="AK88" t="s">
        <v>1070</v>
      </c>
      <c r="AM88" t="s">
        <v>1071</v>
      </c>
      <c r="AN88" t="s">
        <v>849</v>
      </c>
      <c r="AO88">
        <v>4</v>
      </c>
      <c r="AP88" t="s">
        <v>78</v>
      </c>
      <c r="AQ88" t="s">
        <v>1072</v>
      </c>
      <c r="AR88" t="s">
        <v>80</v>
      </c>
      <c r="AS88">
        <v>101</v>
      </c>
      <c r="AT88" t="s">
        <v>81</v>
      </c>
      <c r="AU88">
        <v>-37.299999999999997</v>
      </c>
      <c r="AV88">
        <v>9.9499999999999993</v>
      </c>
      <c r="AW88" t="s">
        <v>82</v>
      </c>
      <c r="AX88">
        <v>133</v>
      </c>
      <c r="AY88" t="s">
        <v>81</v>
      </c>
      <c r="AZ88">
        <v>-52.09</v>
      </c>
      <c r="BA88">
        <v>10.029999999999999</v>
      </c>
      <c r="BB88" t="s">
        <v>83</v>
      </c>
    </row>
    <row r="89" spans="1:54" x14ac:dyDescent="0.4">
      <c r="A89">
        <v>517595</v>
      </c>
      <c r="D89" t="s">
        <v>54</v>
      </c>
      <c r="G89">
        <v>23</v>
      </c>
      <c r="H89" t="s">
        <v>84</v>
      </c>
      <c r="I89" t="s">
        <v>57</v>
      </c>
      <c r="K89" t="s">
        <v>206</v>
      </c>
      <c r="L89" t="s">
        <v>744</v>
      </c>
      <c r="M89" t="s">
        <v>60</v>
      </c>
      <c r="O89" t="s">
        <v>170</v>
      </c>
      <c r="P89" t="s">
        <v>62</v>
      </c>
      <c r="R89" t="s">
        <v>63</v>
      </c>
      <c r="S89" t="s">
        <v>64</v>
      </c>
      <c r="T89">
        <v>227</v>
      </c>
      <c r="U89">
        <v>208.5</v>
      </c>
      <c r="V89">
        <f t="shared" si="2"/>
        <v>217.75</v>
      </c>
      <c r="W89">
        <f t="shared" si="3"/>
        <v>18.5</v>
      </c>
      <c r="X89">
        <v>-109.800003</v>
      </c>
      <c r="Y89">
        <v>34.866698999999997</v>
      </c>
      <c r="Z89" t="s">
        <v>124</v>
      </c>
      <c r="AA89" t="s">
        <v>66</v>
      </c>
      <c r="AB89" t="s">
        <v>583</v>
      </c>
      <c r="AC89" t="s">
        <v>735</v>
      </c>
      <c r="AD89" t="s">
        <v>174</v>
      </c>
      <c r="AF89" t="s">
        <v>749</v>
      </c>
      <c r="AH89" t="s">
        <v>72</v>
      </c>
      <c r="AI89" t="s">
        <v>740</v>
      </c>
      <c r="AJ89">
        <v>1995</v>
      </c>
      <c r="AK89" t="s">
        <v>1074</v>
      </c>
      <c r="AM89" t="s">
        <v>1075</v>
      </c>
      <c r="AN89" t="s">
        <v>849</v>
      </c>
      <c r="AO89">
        <v>4</v>
      </c>
      <c r="AP89" t="s">
        <v>115</v>
      </c>
      <c r="AR89" t="s">
        <v>80</v>
      </c>
      <c r="AS89">
        <v>101</v>
      </c>
      <c r="AT89" t="s">
        <v>81</v>
      </c>
      <c r="AU89">
        <v>-37.630000000000003</v>
      </c>
      <c r="AV89">
        <v>10.36</v>
      </c>
      <c r="AW89" t="s">
        <v>82</v>
      </c>
      <c r="AX89">
        <v>133</v>
      </c>
      <c r="AY89" t="s">
        <v>81</v>
      </c>
      <c r="AZ89">
        <v>-52.43</v>
      </c>
      <c r="BA89">
        <v>10.42</v>
      </c>
      <c r="BB89" t="s">
        <v>83</v>
      </c>
    </row>
    <row r="90" spans="1:54" x14ac:dyDescent="0.4">
      <c r="A90">
        <v>517597</v>
      </c>
      <c r="D90" t="s">
        <v>54</v>
      </c>
      <c r="G90">
        <v>2</v>
      </c>
      <c r="H90" t="s">
        <v>84</v>
      </c>
      <c r="I90" t="s">
        <v>57</v>
      </c>
      <c r="K90" t="s">
        <v>85</v>
      </c>
      <c r="L90" t="s">
        <v>1076</v>
      </c>
      <c r="M90" t="s">
        <v>60</v>
      </c>
      <c r="O90" t="s">
        <v>87</v>
      </c>
      <c r="P90" t="s">
        <v>62</v>
      </c>
      <c r="R90" t="s">
        <v>63</v>
      </c>
      <c r="S90" t="s">
        <v>64</v>
      </c>
      <c r="T90">
        <v>227</v>
      </c>
      <c r="U90">
        <v>208.5</v>
      </c>
      <c r="V90">
        <f t="shared" si="2"/>
        <v>217.75</v>
      </c>
      <c r="W90">
        <f t="shared" si="3"/>
        <v>18.5</v>
      </c>
      <c r="X90">
        <v>-109.800003</v>
      </c>
      <c r="Y90">
        <v>34.866698999999997</v>
      </c>
      <c r="Z90" t="s">
        <v>124</v>
      </c>
      <c r="AA90" t="s">
        <v>66</v>
      </c>
      <c r="AB90" t="s">
        <v>583</v>
      </c>
      <c r="AC90" t="s">
        <v>735</v>
      </c>
      <c r="AD90" t="s">
        <v>174</v>
      </c>
      <c r="AF90" t="s">
        <v>749</v>
      </c>
      <c r="AH90" t="s">
        <v>11</v>
      </c>
      <c r="AI90" t="s">
        <v>740</v>
      </c>
      <c r="AJ90">
        <v>1995</v>
      </c>
      <c r="AK90" t="s">
        <v>1074</v>
      </c>
      <c r="AM90" t="s">
        <v>1075</v>
      </c>
      <c r="AN90" t="s">
        <v>849</v>
      </c>
      <c r="AO90">
        <v>4</v>
      </c>
      <c r="AP90" t="s">
        <v>115</v>
      </c>
      <c r="AR90" t="s">
        <v>80</v>
      </c>
      <c r="AS90">
        <v>101</v>
      </c>
      <c r="AT90" t="s">
        <v>81</v>
      </c>
      <c r="AU90">
        <v>-37.630000000000003</v>
      </c>
      <c r="AV90">
        <v>10.36</v>
      </c>
      <c r="AW90" t="s">
        <v>82</v>
      </c>
      <c r="AX90">
        <v>133</v>
      </c>
      <c r="AY90" t="s">
        <v>81</v>
      </c>
      <c r="AZ90">
        <v>-52.43</v>
      </c>
      <c r="BA90">
        <v>10.42</v>
      </c>
      <c r="BB90" t="s">
        <v>83</v>
      </c>
    </row>
    <row r="91" spans="1:54" x14ac:dyDescent="0.4">
      <c r="A91">
        <v>517601</v>
      </c>
      <c r="D91" t="s">
        <v>54</v>
      </c>
      <c r="G91">
        <v>1</v>
      </c>
      <c r="H91" t="s">
        <v>84</v>
      </c>
      <c r="I91" t="s">
        <v>57</v>
      </c>
      <c r="K91" t="s">
        <v>206</v>
      </c>
      <c r="L91" t="s">
        <v>1077</v>
      </c>
      <c r="M91" t="s">
        <v>60</v>
      </c>
      <c r="O91" t="s">
        <v>170</v>
      </c>
      <c r="P91" t="s">
        <v>62</v>
      </c>
      <c r="R91" t="s">
        <v>63</v>
      </c>
      <c r="S91" t="s">
        <v>64</v>
      </c>
      <c r="T91">
        <v>227</v>
      </c>
      <c r="U91">
        <v>208.5</v>
      </c>
      <c r="V91">
        <f t="shared" si="2"/>
        <v>217.75</v>
      </c>
      <c r="W91">
        <f t="shared" si="3"/>
        <v>18.5</v>
      </c>
      <c r="X91">
        <v>-109.800003</v>
      </c>
      <c r="Y91">
        <v>34.866669000000002</v>
      </c>
      <c r="Z91" t="s">
        <v>198</v>
      </c>
      <c r="AA91" t="s">
        <v>66</v>
      </c>
      <c r="AB91" t="s">
        <v>583</v>
      </c>
      <c r="AC91" t="s">
        <v>735</v>
      </c>
      <c r="AD91" t="s">
        <v>174</v>
      </c>
      <c r="AF91" t="s">
        <v>1078</v>
      </c>
      <c r="AG91" t="s">
        <v>1079</v>
      </c>
      <c r="AH91" t="s">
        <v>72</v>
      </c>
      <c r="AI91" t="s">
        <v>208</v>
      </c>
      <c r="AJ91">
        <v>2016</v>
      </c>
      <c r="AK91" t="s">
        <v>1080</v>
      </c>
      <c r="AM91" t="s">
        <v>1081</v>
      </c>
      <c r="AN91" t="s">
        <v>192</v>
      </c>
      <c r="AO91" t="s">
        <v>160</v>
      </c>
      <c r="AP91" t="s">
        <v>78</v>
      </c>
      <c r="AQ91" t="s">
        <v>1082</v>
      </c>
      <c r="AR91" t="s">
        <v>80</v>
      </c>
      <c r="AS91">
        <v>101</v>
      </c>
      <c r="AT91" t="s">
        <v>81</v>
      </c>
      <c r="AU91">
        <v>-37.630000000000003</v>
      </c>
      <c r="AV91">
        <v>10.36</v>
      </c>
      <c r="AW91" t="s">
        <v>82</v>
      </c>
      <c r="AX91">
        <v>133</v>
      </c>
      <c r="AY91" t="s">
        <v>81</v>
      </c>
      <c r="AZ91">
        <v>-52.43</v>
      </c>
      <c r="BA91">
        <v>10.42</v>
      </c>
      <c r="BB91" t="s">
        <v>83</v>
      </c>
    </row>
    <row r="92" spans="1:54" x14ac:dyDescent="0.4">
      <c r="A92">
        <v>517603</v>
      </c>
      <c r="D92" t="s">
        <v>54</v>
      </c>
      <c r="G92">
        <v>1</v>
      </c>
      <c r="H92" t="s">
        <v>84</v>
      </c>
      <c r="I92" t="s">
        <v>57</v>
      </c>
      <c r="K92" t="s">
        <v>85</v>
      </c>
      <c r="L92" t="s">
        <v>1076</v>
      </c>
      <c r="M92" t="s">
        <v>60</v>
      </c>
      <c r="O92" t="s">
        <v>87</v>
      </c>
      <c r="P92" t="s">
        <v>62</v>
      </c>
      <c r="R92" t="s">
        <v>63</v>
      </c>
      <c r="S92" t="s">
        <v>64</v>
      </c>
      <c r="T92">
        <v>227</v>
      </c>
      <c r="U92">
        <v>208.5</v>
      </c>
      <c r="V92">
        <f t="shared" si="2"/>
        <v>217.75</v>
      </c>
      <c r="W92">
        <f t="shared" si="3"/>
        <v>18.5</v>
      </c>
      <c r="X92">
        <v>-109.800003</v>
      </c>
      <c r="Y92">
        <v>34.866669000000002</v>
      </c>
      <c r="Z92" t="s">
        <v>198</v>
      </c>
      <c r="AA92" t="s">
        <v>66</v>
      </c>
      <c r="AB92" t="s">
        <v>583</v>
      </c>
      <c r="AC92" t="s">
        <v>735</v>
      </c>
      <c r="AD92" t="s">
        <v>174</v>
      </c>
      <c r="AF92" t="s">
        <v>1078</v>
      </c>
      <c r="AG92" t="s">
        <v>1079</v>
      </c>
      <c r="AH92" t="s">
        <v>11</v>
      </c>
      <c r="AI92" t="s">
        <v>740</v>
      </c>
      <c r="AJ92">
        <v>1995</v>
      </c>
      <c r="AK92" t="s">
        <v>1080</v>
      </c>
      <c r="AM92" t="s">
        <v>1081</v>
      </c>
      <c r="AN92" t="s">
        <v>192</v>
      </c>
      <c r="AO92" t="s">
        <v>160</v>
      </c>
      <c r="AP92" t="s">
        <v>78</v>
      </c>
      <c r="AQ92" t="s">
        <v>1082</v>
      </c>
      <c r="AR92" t="s">
        <v>80</v>
      </c>
      <c r="AS92">
        <v>101</v>
      </c>
      <c r="AT92" t="s">
        <v>81</v>
      </c>
      <c r="AU92">
        <v>-37.630000000000003</v>
      </c>
      <c r="AV92">
        <v>10.36</v>
      </c>
      <c r="AW92" t="s">
        <v>82</v>
      </c>
      <c r="AX92">
        <v>133</v>
      </c>
      <c r="AY92" t="s">
        <v>81</v>
      </c>
      <c r="AZ92">
        <v>-52.43</v>
      </c>
      <c r="BA92">
        <v>10.42</v>
      </c>
      <c r="BB92" t="s">
        <v>83</v>
      </c>
    </row>
    <row r="93" spans="1:54" x14ac:dyDescent="0.4">
      <c r="A93">
        <v>517609</v>
      </c>
      <c r="D93" t="s">
        <v>54</v>
      </c>
      <c r="G93">
        <v>1</v>
      </c>
      <c r="H93" t="s">
        <v>421</v>
      </c>
      <c r="I93" t="s">
        <v>57</v>
      </c>
      <c r="K93" t="s">
        <v>206</v>
      </c>
      <c r="L93" t="s">
        <v>754</v>
      </c>
      <c r="M93" t="s">
        <v>60</v>
      </c>
      <c r="O93" t="s">
        <v>170</v>
      </c>
      <c r="P93" t="s">
        <v>62</v>
      </c>
      <c r="R93" t="s">
        <v>63</v>
      </c>
      <c r="S93" t="s">
        <v>64</v>
      </c>
      <c r="T93">
        <v>227</v>
      </c>
      <c r="U93">
        <v>208.5</v>
      </c>
      <c r="V93">
        <f t="shared" si="2"/>
        <v>217.75</v>
      </c>
      <c r="W93">
        <f t="shared" si="3"/>
        <v>18.5</v>
      </c>
      <c r="X93">
        <v>-110.550003</v>
      </c>
      <c r="Y93">
        <v>35.116669000000002</v>
      </c>
      <c r="Z93" t="s">
        <v>124</v>
      </c>
      <c r="AA93" t="s">
        <v>66</v>
      </c>
      <c r="AB93" t="s">
        <v>583</v>
      </c>
      <c r="AC93" t="s">
        <v>584</v>
      </c>
      <c r="AD93" t="s">
        <v>174</v>
      </c>
      <c r="AF93" t="s">
        <v>749</v>
      </c>
      <c r="AH93" t="s">
        <v>72</v>
      </c>
      <c r="AI93" t="s">
        <v>740</v>
      </c>
      <c r="AJ93">
        <v>1995</v>
      </c>
      <c r="AK93" t="s">
        <v>1083</v>
      </c>
      <c r="AM93" t="s">
        <v>1084</v>
      </c>
      <c r="AN93" t="s">
        <v>192</v>
      </c>
      <c r="AO93" t="s">
        <v>160</v>
      </c>
      <c r="AQ93" t="s">
        <v>1085</v>
      </c>
      <c r="AR93" t="s">
        <v>80</v>
      </c>
      <c r="AS93">
        <v>101</v>
      </c>
      <c r="AT93" t="s">
        <v>81</v>
      </c>
      <c r="AU93">
        <v>-38.19</v>
      </c>
      <c r="AV93">
        <v>10.73</v>
      </c>
      <c r="AW93" t="s">
        <v>82</v>
      </c>
      <c r="AX93">
        <v>133</v>
      </c>
      <c r="AY93" t="s">
        <v>81</v>
      </c>
      <c r="AZ93">
        <v>-53</v>
      </c>
      <c r="BA93">
        <v>10.78</v>
      </c>
      <c r="BB93" t="s">
        <v>83</v>
      </c>
    </row>
    <row r="94" spans="1:54" x14ac:dyDescent="0.4">
      <c r="A94">
        <v>517610</v>
      </c>
      <c r="D94" t="s">
        <v>54</v>
      </c>
      <c r="I94" t="s">
        <v>57</v>
      </c>
      <c r="K94" t="s">
        <v>85</v>
      </c>
      <c r="L94" t="s">
        <v>1076</v>
      </c>
      <c r="M94" t="s">
        <v>60</v>
      </c>
      <c r="O94" t="s">
        <v>87</v>
      </c>
      <c r="P94" t="s">
        <v>62</v>
      </c>
      <c r="R94" t="s">
        <v>63</v>
      </c>
      <c r="S94" t="s">
        <v>64</v>
      </c>
      <c r="T94">
        <v>227</v>
      </c>
      <c r="U94">
        <v>208.5</v>
      </c>
      <c r="V94">
        <f t="shared" si="2"/>
        <v>217.75</v>
      </c>
      <c r="W94">
        <f t="shared" si="3"/>
        <v>18.5</v>
      </c>
      <c r="X94">
        <v>-110.550003</v>
      </c>
      <c r="Y94">
        <v>35.116669000000002</v>
      </c>
      <c r="Z94" t="s">
        <v>124</v>
      </c>
      <c r="AA94" t="s">
        <v>66</v>
      </c>
      <c r="AB94" t="s">
        <v>583</v>
      </c>
      <c r="AC94" t="s">
        <v>584</v>
      </c>
      <c r="AD94" t="s">
        <v>174</v>
      </c>
      <c r="AF94" t="s">
        <v>749</v>
      </c>
      <c r="AH94" t="s">
        <v>11</v>
      </c>
      <c r="AI94" t="s">
        <v>740</v>
      </c>
      <c r="AJ94">
        <v>1995</v>
      </c>
      <c r="AK94" t="s">
        <v>1083</v>
      </c>
      <c r="AM94" t="s">
        <v>1084</v>
      </c>
      <c r="AN94" t="s">
        <v>192</v>
      </c>
      <c r="AO94" t="s">
        <v>160</v>
      </c>
      <c r="AQ94" t="s">
        <v>1085</v>
      </c>
      <c r="AR94" t="s">
        <v>80</v>
      </c>
      <c r="AS94">
        <v>101</v>
      </c>
      <c r="AT94" t="s">
        <v>81</v>
      </c>
      <c r="AU94">
        <v>-38.19</v>
      </c>
      <c r="AV94">
        <v>10.73</v>
      </c>
      <c r="AW94" t="s">
        <v>82</v>
      </c>
      <c r="AX94">
        <v>133</v>
      </c>
      <c r="AY94" t="s">
        <v>81</v>
      </c>
      <c r="AZ94">
        <v>-53</v>
      </c>
      <c r="BA94">
        <v>10.78</v>
      </c>
      <c r="BB94" t="s">
        <v>83</v>
      </c>
    </row>
    <row r="95" spans="1:54" x14ac:dyDescent="0.4">
      <c r="A95">
        <v>517611</v>
      </c>
      <c r="D95" t="s">
        <v>54</v>
      </c>
      <c r="I95" t="s">
        <v>57</v>
      </c>
      <c r="K95" t="s">
        <v>141</v>
      </c>
      <c r="L95" t="s">
        <v>905</v>
      </c>
      <c r="M95" t="s">
        <v>60</v>
      </c>
      <c r="O95" t="s">
        <v>170</v>
      </c>
      <c r="P95" t="s">
        <v>62</v>
      </c>
      <c r="R95" t="s">
        <v>63</v>
      </c>
      <c r="S95" t="s">
        <v>64</v>
      </c>
      <c r="T95">
        <v>227</v>
      </c>
      <c r="U95">
        <v>208.5</v>
      </c>
      <c r="V95">
        <f t="shared" si="2"/>
        <v>217.75</v>
      </c>
      <c r="W95">
        <f t="shared" si="3"/>
        <v>18.5</v>
      </c>
      <c r="X95">
        <v>-110.550003</v>
      </c>
      <c r="Y95">
        <v>35.116669000000002</v>
      </c>
      <c r="Z95" t="s">
        <v>124</v>
      </c>
      <c r="AA95" t="s">
        <v>66</v>
      </c>
      <c r="AB95" t="s">
        <v>583</v>
      </c>
      <c r="AC95" t="s">
        <v>584</v>
      </c>
      <c r="AD95" t="s">
        <v>174</v>
      </c>
      <c r="AF95" t="s">
        <v>749</v>
      </c>
      <c r="AH95" t="s">
        <v>11</v>
      </c>
      <c r="AI95" t="s">
        <v>208</v>
      </c>
      <c r="AJ95">
        <v>2005</v>
      </c>
      <c r="AK95" t="s">
        <v>1083</v>
      </c>
      <c r="AM95" t="s">
        <v>1084</v>
      </c>
      <c r="AN95" t="s">
        <v>192</v>
      </c>
      <c r="AO95" t="s">
        <v>160</v>
      </c>
      <c r="AQ95" t="s">
        <v>1085</v>
      </c>
      <c r="AR95" t="s">
        <v>80</v>
      </c>
      <c r="AS95">
        <v>101</v>
      </c>
      <c r="AT95" t="s">
        <v>81</v>
      </c>
      <c r="AU95">
        <v>-38.19</v>
      </c>
      <c r="AV95">
        <v>10.73</v>
      </c>
      <c r="AW95" t="s">
        <v>82</v>
      </c>
      <c r="AX95">
        <v>133</v>
      </c>
      <c r="AY95" t="s">
        <v>81</v>
      </c>
      <c r="AZ95">
        <v>-53</v>
      </c>
      <c r="BA95">
        <v>10.78</v>
      </c>
      <c r="BB95" t="s">
        <v>83</v>
      </c>
    </row>
    <row r="96" spans="1:54" x14ac:dyDescent="0.4">
      <c r="A96">
        <v>517612</v>
      </c>
      <c r="D96" t="s">
        <v>54</v>
      </c>
      <c r="G96">
        <v>1</v>
      </c>
      <c r="H96" t="s">
        <v>84</v>
      </c>
      <c r="I96" t="s">
        <v>57</v>
      </c>
      <c r="K96" t="s">
        <v>206</v>
      </c>
      <c r="L96" t="s">
        <v>851</v>
      </c>
      <c r="M96" t="s">
        <v>60</v>
      </c>
      <c r="O96" t="s">
        <v>170</v>
      </c>
      <c r="P96" t="s">
        <v>62</v>
      </c>
      <c r="R96" t="s">
        <v>63</v>
      </c>
      <c r="S96" t="s">
        <v>64</v>
      </c>
      <c r="T96">
        <v>227</v>
      </c>
      <c r="U96">
        <v>208.5</v>
      </c>
      <c r="V96">
        <f t="shared" si="2"/>
        <v>217.75</v>
      </c>
      <c r="W96">
        <f t="shared" si="3"/>
        <v>18.5</v>
      </c>
      <c r="X96">
        <v>-105.75</v>
      </c>
      <c r="Y96">
        <v>35.166668000000001</v>
      </c>
      <c r="Z96" t="s">
        <v>124</v>
      </c>
      <c r="AA96" t="s">
        <v>66</v>
      </c>
      <c r="AB96" t="s">
        <v>846</v>
      </c>
      <c r="AC96" t="s">
        <v>1086</v>
      </c>
      <c r="AD96" t="s">
        <v>1087</v>
      </c>
      <c r="AF96" t="s">
        <v>1088</v>
      </c>
      <c r="AH96" t="s">
        <v>72</v>
      </c>
      <c r="AI96" t="s">
        <v>740</v>
      </c>
      <c r="AJ96">
        <v>1995</v>
      </c>
      <c r="AK96" t="s">
        <v>1089</v>
      </c>
      <c r="AN96" t="s">
        <v>114</v>
      </c>
      <c r="AO96" t="s">
        <v>160</v>
      </c>
      <c r="AP96" t="s">
        <v>115</v>
      </c>
      <c r="AQ96" t="s">
        <v>1090</v>
      </c>
      <c r="AR96" t="s">
        <v>80</v>
      </c>
      <c r="AS96">
        <v>101</v>
      </c>
      <c r="AT96" t="s">
        <v>81</v>
      </c>
      <c r="AU96">
        <v>-34.26</v>
      </c>
      <c r="AV96">
        <v>10.029999999999999</v>
      </c>
      <c r="AW96" t="s">
        <v>82</v>
      </c>
      <c r="AX96">
        <v>101</v>
      </c>
      <c r="AY96" t="s">
        <v>81</v>
      </c>
      <c r="AZ96">
        <v>-45.1</v>
      </c>
      <c r="BA96">
        <v>10.16</v>
      </c>
      <c r="BB96" t="s">
        <v>83</v>
      </c>
    </row>
    <row r="97" spans="1:54" x14ac:dyDescent="0.4">
      <c r="A97">
        <v>517613</v>
      </c>
      <c r="D97" t="s">
        <v>54</v>
      </c>
      <c r="I97" t="s">
        <v>57</v>
      </c>
      <c r="K97" t="s">
        <v>206</v>
      </c>
      <c r="L97" t="s">
        <v>1091</v>
      </c>
      <c r="M97" t="s">
        <v>60</v>
      </c>
      <c r="O97" t="s">
        <v>170</v>
      </c>
      <c r="P97" t="s">
        <v>62</v>
      </c>
      <c r="R97" t="s">
        <v>63</v>
      </c>
      <c r="S97" t="s">
        <v>64</v>
      </c>
      <c r="T97">
        <v>227</v>
      </c>
      <c r="U97">
        <v>208.5</v>
      </c>
      <c r="V97">
        <f t="shared" si="2"/>
        <v>217.75</v>
      </c>
      <c r="W97">
        <f t="shared" si="3"/>
        <v>18.5</v>
      </c>
      <c r="X97">
        <v>-105.75</v>
      </c>
      <c r="Y97">
        <v>35.166668000000001</v>
      </c>
      <c r="Z97" t="s">
        <v>124</v>
      </c>
      <c r="AA97" t="s">
        <v>66</v>
      </c>
      <c r="AB97" t="s">
        <v>846</v>
      </c>
      <c r="AC97" t="s">
        <v>1086</v>
      </c>
      <c r="AD97" t="s">
        <v>1087</v>
      </c>
      <c r="AF97" t="s">
        <v>1088</v>
      </c>
      <c r="AH97" t="s">
        <v>11</v>
      </c>
      <c r="AI97" t="s">
        <v>740</v>
      </c>
      <c r="AJ97">
        <v>1995</v>
      </c>
      <c r="AK97" t="s">
        <v>1089</v>
      </c>
      <c r="AN97" t="s">
        <v>114</v>
      </c>
      <c r="AO97" t="s">
        <v>160</v>
      </c>
      <c r="AP97" t="s">
        <v>115</v>
      </c>
      <c r="AQ97" t="s">
        <v>1090</v>
      </c>
      <c r="AR97" t="s">
        <v>80</v>
      </c>
      <c r="AS97">
        <v>101</v>
      </c>
      <c r="AT97" t="s">
        <v>81</v>
      </c>
      <c r="AU97">
        <v>-34.26</v>
      </c>
      <c r="AV97">
        <v>10.029999999999999</v>
      </c>
      <c r="AW97" t="s">
        <v>82</v>
      </c>
      <c r="AX97">
        <v>101</v>
      </c>
      <c r="AY97" t="s">
        <v>81</v>
      </c>
      <c r="AZ97">
        <v>-45.1</v>
      </c>
      <c r="BA97">
        <v>10.16</v>
      </c>
      <c r="BB97" t="s">
        <v>83</v>
      </c>
    </row>
    <row r="98" spans="1:54" x14ac:dyDescent="0.4">
      <c r="A98">
        <v>517621</v>
      </c>
      <c r="D98" t="s">
        <v>54</v>
      </c>
      <c r="E98" t="s">
        <v>297</v>
      </c>
      <c r="I98" t="s">
        <v>57</v>
      </c>
      <c r="K98" t="s">
        <v>741</v>
      </c>
      <c r="L98" t="s">
        <v>854</v>
      </c>
      <c r="M98" t="s">
        <v>60</v>
      </c>
      <c r="N98" t="s">
        <v>256</v>
      </c>
      <c r="O98" t="s">
        <v>87</v>
      </c>
      <c r="P98" t="s">
        <v>62</v>
      </c>
      <c r="R98" t="s">
        <v>63</v>
      </c>
      <c r="S98" t="s">
        <v>64</v>
      </c>
      <c r="T98">
        <v>227</v>
      </c>
      <c r="U98">
        <v>208.5</v>
      </c>
      <c r="V98">
        <f t="shared" si="2"/>
        <v>217.75</v>
      </c>
      <c r="W98">
        <f t="shared" si="3"/>
        <v>18.5</v>
      </c>
      <c r="X98">
        <v>-106.339478</v>
      </c>
      <c r="Y98">
        <v>36.205295999999997</v>
      </c>
      <c r="Z98" t="s">
        <v>124</v>
      </c>
      <c r="AA98" t="s">
        <v>66</v>
      </c>
      <c r="AB98" t="s">
        <v>846</v>
      </c>
      <c r="AC98" t="s">
        <v>847</v>
      </c>
      <c r="AD98" t="s">
        <v>174</v>
      </c>
      <c r="AH98" t="s">
        <v>72</v>
      </c>
      <c r="AI98" t="s">
        <v>461</v>
      </c>
      <c r="AJ98">
        <v>1887</v>
      </c>
      <c r="AK98" t="s">
        <v>1065</v>
      </c>
      <c r="AM98" t="s">
        <v>1066</v>
      </c>
      <c r="AN98" t="s">
        <v>114</v>
      </c>
      <c r="AO98">
        <v>7</v>
      </c>
      <c r="AP98" t="s">
        <v>359</v>
      </c>
      <c r="AQ98" t="s">
        <v>1067</v>
      </c>
      <c r="AR98" t="s">
        <v>80</v>
      </c>
      <c r="AS98">
        <v>101</v>
      </c>
      <c r="AT98" t="s">
        <v>81</v>
      </c>
      <c r="AU98">
        <v>-34.56</v>
      </c>
      <c r="AV98">
        <v>11.13</v>
      </c>
      <c r="AW98" t="s">
        <v>82</v>
      </c>
      <c r="AX98">
        <v>133</v>
      </c>
      <c r="AY98" t="s">
        <v>81</v>
      </c>
      <c r="AZ98">
        <v>-49.38</v>
      </c>
      <c r="BA98">
        <v>11.29</v>
      </c>
      <c r="BB98" t="s">
        <v>83</v>
      </c>
    </row>
    <row r="99" spans="1:54" x14ac:dyDescent="0.4">
      <c r="A99">
        <v>517622</v>
      </c>
      <c r="D99" t="s">
        <v>54</v>
      </c>
      <c r="E99" t="s">
        <v>297</v>
      </c>
      <c r="I99" t="s">
        <v>57</v>
      </c>
      <c r="K99" t="s">
        <v>741</v>
      </c>
      <c r="L99" t="s">
        <v>854</v>
      </c>
      <c r="M99" t="s">
        <v>60</v>
      </c>
      <c r="N99" t="s">
        <v>256</v>
      </c>
      <c r="O99" t="s">
        <v>87</v>
      </c>
      <c r="P99" t="s">
        <v>62</v>
      </c>
      <c r="R99" t="s">
        <v>63</v>
      </c>
      <c r="S99" t="s">
        <v>64</v>
      </c>
      <c r="T99">
        <v>227</v>
      </c>
      <c r="U99">
        <v>208.5</v>
      </c>
      <c r="V99">
        <f t="shared" si="2"/>
        <v>217.75</v>
      </c>
      <c r="W99">
        <f t="shared" si="3"/>
        <v>18.5</v>
      </c>
      <c r="X99">
        <v>-106.339478</v>
      </c>
      <c r="Y99">
        <v>36.205295999999997</v>
      </c>
      <c r="Z99" t="s">
        <v>124</v>
      </c>
      <c r="AA99" t="s">
        <v>66</v>
      </c>
      <c r="AB99" t="s">
        <v>846</v>
      </c>
      <c r="AC99" t="s">
        <v>847</v>
      </c>
      <c r="AD99" t="s">
        <v>174</v>
      </c>
      <c r="AH99" t="s">
        <v>72</v>
      </c>
      <c r="AI99" t="s">
        <v>461</v>
      </c>
      <c r="AJ99">
        <v>1887</v>
      </c>
      <c r="AK99" t="s">
        <v>1065</v>
      </c>
      <c r="AM99" t="s">
        <v>1066</v>
      </c>
      <c r="AN99" t="s">
        <v>114</v>
      </c>
      <c r="AO99">
        <v>7</v>
      </c>
      <c r="AP99" t="s">
        <v>359</v>
      </c>
      <c r="AQ99" t="s">
        <v>1067</v>
      </c>
      <c r="AR99" t="s">
        <v>80</v>
      </c>
      <c r="AS99">
        <v>101</v>
      </c>
      <c r="AT99" t="s">
        <v>81</v>
      </c>
      <c r="AU99">
        <v>-34.56</v>
      </c>
      <c r="AV99">
        <v>11.13</v>
      </c>
      <c r="AW99" t="s">
        <v>82</v>
      </c>
      <c r="AX99">
        <v>133</v>
      </c>
      <c r="AY99" t="s">
        <v>81</v>
      </c>
      <c r="AZ99">
        <v>-49.38</v>
      </c>
      <c r="BA99">
        <v>11.29</v>
      </c>
      <c r="BB99" t="s">
        <v>83</v>
      </c>
    </row>
    <row r="100" spans="1:54" x14ac:dyDescent="0.4">
      <c r="A100">
        <v>521669</v>
      </c>
      <c r="D100" t="s">
        <v>54</v>
      </c>
      <c r="E100" t="s">
        <v>55</v>
      </c>
      <c r="G100">
        <v>1</v>
      </c>
      <c r="H100" t="s">
        <v>56</v>
      </c>
      <c r="I100" t="s">
        <v>57</v>
      </c>
      <c r="K100" t="s">
        <v>141</v>
      </c>
      <c r="L100" t="s">
        <v>905</v>
      </c>
      <c r="M100" t="s">
        <v>60</v>
      </c>
      <c r="O100" t="s">
        <v>170</v>
      </c>
      <c r="P100" t="s">
        <v>62</v>
      </c>
      <c r="R100" t="s">
        <v>63</v>
      </c>
      <c r="S100" t="s">
        <v>64</v>
      </c>
      <c r="T100">
        <v>227</v>
      </c>
      <c r="U100">
        <v>208.5</v>
      </c>
      <c r="V100">
        <f t="shared" si="2"/>
        <v>217.75</v>
      </c>
      <c r="W100">
        <f t="shared" si="3"/>
        <v>18.5</v>
      </c>
      <c r="X100">
        <v>-109.802223</v>
      </c>
      <c r="Y100">
        <v>35.063889000000003</v>
      </c>
      <c r="Z100" t="s">
        <v>198</v>
      </c>
      <c r="AA100" t="s">
        <v>66</v>
      </c>
      <c r="AB100" t="s">
        <v>583</v>
      </c>
      <c r="AD100" t="s">
        <v>174</v>
      </c>
      <c r="AF100" t="s">
        <v>749</v>
      </c>
      <c r="AH100" t="s">
        <v>72</v>
      </c>
      <c r="AI100" t="s">
        <v>1120</v>
      </c>
      <c r="AJ100">
        <v>2005</v>
      </c>
      <c r="AK100" t="s">
        <v>1121</v>
      </c>
      <c r="AN100" t="s">
        <v>114</v>
      </c>
      <c r="AO100" t="s">
        <v>77</v>
      </c>
      <c r="AP100" t="s">
        <v>115</v>
      </c>
      <c r="AQ100" t="s">
        <v>1122</v>
      </c>
      <c r="AR100" t="s">
        <v>80</v>
      </c>
      <c r="AS100">
        <v>101</v>
      </c>
      <c r="AT100" t="s">
        <v>81</v>
      </c>
      <c r="AU100">
        <v>-37.590000000000003</v>
      </c>
      <c r="AV100">
        <v>10.55</v>
      </c>
      <c r="AW100" t="s">
        <v>82</v>
      </c>
      <c r="AX100">
        <v>133</v>
      </c>
      <c r="AY100" t="s">
        <v>81</v>
      </c>
      <c r="AZ100">
        <v>-52.4</v>
      </c>
      <c r="BA100">
        <v>10.62</v>
      </c>
      <c r="BB100" t="s">
        <v>83</v>
      </c>
    </row>
    <row r="101" spans="1:54" x14ac:dyDescent="0.4">
      <c r="A101">
        <v>521669</v>
      </c>
      <c r="D101" t="s">
        <v>54</v>
      </c>
      <c r="E101" t="s">
        <v>55</v>
      </c>
      <c r="G101">
        <v>1</v>
      </c>
      <c r="H101" t="s">
        <v>56</v>
      </c>
      <c r="I101" t="s">
        <v>57</v>
      </c>
      <c r="K101" t="s">
        <v>141</v>
      </c>
      <c r="L101" t="s">
        <v>905</v>
      </c>
      <c r="M101" t="s">
        <v>60</v>
      </c>
      <c r="O101" t="s">
        <v>170</v>
      </c>
      <c r="P101" t="s">
        <v>62</v>
      </c>
      <c r="R101" t="s">
        <v>63</v>
      </c>
      <c r="S101" t="s">
        <v>64</v>
      </c>
      <c r="T101">
        <v>227</v>
      </c>
      <c r="U101">
        <v>208.5</v>
      </c>
      <c r="V101">
        <f t="shared" si="2"/>
        <v>217.75</v>
      </c>
      <c r="W101">
        <f t="shared" si="3"/>
        <v>18.5</v>
      </c>
      <c r="X101">
        <v>-109.802223</v>
      </c>
      <c r="Y101">
        <v>35.063889000000003</v>
      </c>
      <c r="Z101" t="s">
        <v>198</v>
      </c>
      <c r="AA101" t="s">
        <v>66</v>
      </c>
      <c r="AB101" t="s">
        <v>583</v>
      </c>
      <c r="AD101" t="s">
        <v>174</v>
      </c>
      <c r="AF101" t="s">
        <v>749</v>
      </c>
      <c r="AH101" t="s">
        <v>72</v>
      </c>
      <c r="AI101" t="s">
        <v>1120</v>
      </c>
      <c r="AJ101">
        <v>2005</v>
      </c>
      <c r="AK101" t="s">
        <v>1121</v>
      </c>
      <c r="AN101" t="s">
        <v>114</v>
      </c>
      <c r="AO101" t="s">
        <v>77</v>
      </c>
      <c r="AP101" t="s">
        <v>115</v>
      </c>
      <c r="AQ101" t="s">
        <v>1122</v>
      </c>
      <c r="AR101" t="s">
        <v>80</v>
      </c>
      <c r="AS101">
        <v>101</v>
      </c>
      <c r="AT101" t="s">
        <v>81</v>
      </c>
      <c r="AU101">
        <v>-37.590000000000003</v>
      </c>
      <c r="AV101">
        <v>10.55</v>
      </c>
      <c r="AW101" t="s">
        <v>82</v>
      </c>
      <c r="AX101">
        <v>133</v>
      </c>
      <c r="AY101" t="s">
        <v>81</v>
      </c>
      <c r="AZ101">
        <v>-52.4</v>
      </c>
      <c r="BA101">
        <v>10.62</v>
      </c>
      <c r="BB101" t="s">
        <v>83</v>
      </c>
    </row>
    <row r="102" spans="1:54" x14ac:dyDescent="0.4">
      <c r="A102">
        <v>521669</v>
      </c>
      <c r="D102" t="s">
        <v>54</v>
      </c>
      <c r="E102" t="s">
        <v>55</v>
      </c>
      <c r="G102">
        <v>1</v>
      </c>
      <c r="H102" t="s">
        <v>56</v>
      </c>
      <c r="I102" t="s">
        <v>57</v>
      </c>
      <c r="K102" t="s">
        <v>141</v>
      </c>
      <c r="L102" t="s">
        <v>905</v>
      </c>
      <c r="M102" t="s">
        <v>60</v>
      </c>
      <c r="O102" t="s">
        <v>170</v>
      </c>
      <c r="P102" t="s">
        <v>62</v>
      </c>
      <c r="R102" t="s">
        <v>63</v>
      </c>
      <c r="S102" t="s">
        <v>64</v>
      </c>
      <c r="T102">
        <v>227</v>
      </c>
      <c r="U102">
        <v>208.5</v>
      </c>
      <c r="V102">
        <f t="shared" si="2"/>
        <v>217.75</v>
      </c>
      <c r="W102">
        <f t="shared" si="3"/>
        <v>18.5</v>
      </c>
      <c r="X102">
        <v>-109.802223</v>
      </c>
      <c r="Y102">
        <v>35.063889000000003</v>
      </c>
      <c r="Z102" t="s">
        <v>198</v>
      </c>
      <c r="AA102" t="s">
        <v>66</v>
      </c>
      <c r="AB102" t="s">
        <v>583</v>
      </c>
      <c r="AD102" t="s">
        <v>174</v>
      </c>
      <c r="AF102" t="s">
        <v>749</v>
      </c>
      <c r="AH102" t="s">
        <v>72</v>
      </c>
      <c r="AI102" t="s">
        <v>1120</v>
      </c>
      <c r="AJ102">
        <v>2005</v>
      </c>
      <c r="AK102" t="s">
        <v>1121</v>
      </c>
      <c r="AN102" t="s">
        <v>114</v>
      </c>
      <c r="AO102" t="s">
        <v>77</v>
      </c>
      <c r="AP102" t="s">
        <v>115</v>
      </c>
      <c r="AQ102" t="s">
        <v>1122</v>
      </c>
      <c r="AR102" t="s">
        <v>80</v>
      </c>
      <c r="AS102">
        <v>101</v>
      </c>
      <c r="AT102" t="s">
        <v>81</v>
      </c>
      <c r="AU102">
        <v>-37.590000000000003</v>
      </c>
      <c r="AV102">
        <v>10.55</v>
      </c>
      <c r="AW102" t="s">
        <v>82</v>
      </c>
      <c r="AX102">
        <v>133</v>
      </c>
      <c r="AY102" t="s">
        <v>81</v>
      </c>
      <c r="AZ102">
        <v>-52.4</v>
      </c>
      <c r="BA102">
        <v>10.62</v>
      </c>
      <c r="BB102" t="s">
        <v>83</v>
      </c>
    </row>
    <row r="103" spans="1:54" x14ac:dyDescent="0.4">
      <c r="A103">
        <v>521669</v>
      </c>
      <c r="D103" t="s">
        <v>54</v>
      </c>
      <c r="E103" t="s">
        <v>55</v>
      </c>
      <c r="G103">
        <v>1</v>
      </c>
      <c r="H103" t="s">
        <v>56</v>
      </c>
      <c r="I103" t="s">
        <v>57</v>
      </c>
      <c r="K103" t="s">
        <v>141</v>
      </c>
      <c r="L103" t="s">
        <v>905</v>
      </c>
      <c r="M103" t="s">
        <v>60</v>
      </c>
      <c r="O103" t="s">
        <v>170</v>
      </c>
      <c r="P103" t="s">
        <v>62</v>
      </c>
      <c r="R103" t="s">
        <v>63</v>
      </c>
      <c r="S103" t="s">
        <v>64</v>
      </c>
      <c r="T103">
        <v>227</v>
      </c>
      <c r="U103">
        <v>208.5</v>
      </c>
      <c r="V103">
        <f t="shared" si="2"/>
        <v>217.75</v>
      </c>
      <c r="W103">
        <f t="shared" si="3"/>
        <v>18.5</v>
      </c>
      <c r="X103">
        <v>-109.802223</v>
      </c>
      <c r="Y103">
        <v>35.063889000000003</v>
      </c>
      <c r="Z103" t="s">
        <v>198</v>
      </c>
      <c r="AA103" t="s">
        <v>66</v>
      </c>
      <c r="AB103" t="s">
        <v>583</v>
      </c>
      <c r="AD103" t="s">
        <v>174</v>
      </c>
      <c r="AF103" t="s">
        <v>749</v>
      </c>
      <c r="AH103" t="s">
        <v>72</v>
      </c>
      <c r="AI103" t="s">
        <v>1120</v>
      </c>
      <c r="AJ103">
        <v>2005</v>
      </c>
      <c r="AK103" t="s">
        <v>1121</v>
      </c>
      <c r="AN103" t="s">
        <v>114</v>
      </c>
      <c r="AO103" t="s">
        <v>77</v>
      </c>
      <c r="AP103" t="s">
        <v>115</v>
      </c>
      <c r="AQ103" t="s">
        <v>1122</v>
      </c>
      <c r="AR103" t="s">
        <v>80</v>
      </c>
      <c r="AS103">
        <v>101</v>
      </c>
      <c r="AT103" t="s">
        <v>81</v>
      </c>
      <c r="AU103">
        <v>-37.590000000000003</v>
      </c>
      <c r="AV103">
        <v>10.55</v>
      </c>
      <c r="AW103" t="s">
        <v>82</v>
      </c>
      <c r="AX103">
        <v>133</v>
      </c>
      <c r="AY103" t="s">
        <v>81</v>
      </c>
      <c r="AZ103">
        <v>-52.4</v>
      </c>
      <c r="BA103">
        <v>10.62</v>
      </c>
      <c r="BB103" t="s">
        <v>83</v>
      </c>
    </row>
    <row r="104" spans="1:54" x14ac:dyDescent="0.4">
      <c r="A104">
        <v>521669</v>
      </c>
      <c r="D104" t="s">
        <v>54</v>
      </c>
      <c r="E104" t="s">
        <v>55</v>
      </c>
      <c r="G104">
        <v>1</v>
      </c>
      <c r="H104" t="s">
        <v>56</v>
      </c>
      <c r="I104" t="s">
        <v>57</v>
      </c>
      <c r="K104" t="s">
        <v>141</v>
      </c>
      <c r="L104" t="s">
        <v>905</v>
      </c>
      <c r="M104" t="s">
        <v>60</v>
      </c>
      <c r="O104" t="s">
        <v>170</v>
      </c>
      <c r="P104" t="s">
        <v>62</v>
      </c>
      <c r="R104" t="s">
        <v>63</v>
      </c>
      <c r="S104" t="s">
        <v>64</v>
      </c>
      <c r="T104">
        <v>227</v>
      </c>
      <c r="U104">
        <v>208.5</v>
      </c>
      <c r="V104">
        <f t="shared" si="2"/>
        <v>217.75</v>
      </c>
      <c r="W104">
        <f t="shared" si="3"/>
        <v>18.5</v>
      </c>
      <c r="X104">
        <v>-109.802223</v>
      </c>
      <c r="Y104">
        <v>35.063889000000003</v>
      </c>
      <c r="Z104" t="s">
        <v>198</v>
      </c>
      <c r="AA104" t="s">
        <v>66</v>
      </c>
      <c r="AB104" t="s">
        <v>583</v>
      </c>
      <c r="AD104" t="s">
        <v>174</v>
      </c>
      <c r="AF104" t="s">
        <v>749</v>
      </c>
      <c r="AH104" t="s">
        <v>72</v>
      </c>
      <c r="AI104" t="s">
        <v>1120</v>
      </c>
      <c r="AJ104">
        <v>2005</v>
      </c>
      <c r="AK104" t="s">
        <v>1121</v>
      </c>
      <c r="AN104" t="s">
        <v>114</v>
      </c>
      <c r="AO104" t="s">
        <v>77</v>
      </c>
      <c r="AP104" t="s">
        <v>115</v>
      </c>
      <c r="AQ104" t="s">
        <v>1122</v>
      </c>
      <c r="AR104" t="s">
        <v>80</v>
      </c>
      <c r="AS104">
        <v>101</v>
      </c>
      <c r="AT104" t="s">
        <v>81</v>
      </c>
      <c r="AU104">
        <v>-37.590000000000003</v>
      </c>
      <c r="AV104">
        <v>10.55</v>
      </c>
      <c r="AW104" t="s">
        <v>82</v>
      </c>
      <c r="AX104">
        <v>133</v>
      </c>
      <c r="AY104" t="s">
        <v>81</v>
      </c>
      <c r="AZ104">
        <v>-52.4</v>
      </c>
      <c r="BA104">
        <v>10.62</v>
      </c>
      <c r="BB104" t="s">
        <v>83</v>
      </c>
    </row>
    <row r="105" spans="1:54" x14ac:dyDescent="0.4">
      <c r="A105">
        <v>521669</v>
      </c>
      <c r="D105" t="s">
        <v>54</v>
      </c>
      <c r="E105" t="s">
        <v>55</v>
      </c>
      <c r="G105">
        <v>1</v>
      </c>
      <c r="H105" t="s">
        <v>56</v>
      </c>
      <c r="I105" t="s">
        <v>57</v>
      </c>
      <c r="K105" t="s">
        <v>141</v>
      </c>
      <c r="L105" t="s">
        <v>905</v>
      </c>
      <c r="M105" t="s">
        <v>60</v>
      </c>
      <c r="O105" t="s">
        <v>170</v>
      </c>
      <c r="P105" t="s">
        <v>62</v>
      </c>
      <c r="R105" t="s">
        <v>63</v>
      </c>
      <c r="S105" t="s">
        <v>64</v>
      </c>
      <c r="T105">
        <v>227</v>
      </c>
      <c r="U105">
        <v>208.5</v>
      </c>
      <c r="V105">
        <f t="shared" si="2"/>
        <v>217.75</v>
      </c>
      <c r="W105">
        <f t="shared" si="3"/>
        <v>18.5</v>
      </c>
      <c r="X105">
        <v>-109.802223</v>
      </c>
      <c r="Y105">
        <v>35.063889000000003</v>
      </c>
      <c r="Z105" t="s">
        <v>198</v>
      </c>
      <c r="AA105" t="s">
        <v>66</v>
      </c>
      <c r="AB105" t="s">
        <v>583</v>
      </c>
      <c r="AD105" t="s">
        <v>174</v>
      </c>
      <c r="AF105" t="s">
        <v>749</v>
      </c>
      <c r="AH105" t="s">
        <v>72</v>
      </c>
      <c r="AI105" t="s">
        <v>1120</v>
      </c>
      <c r="AJ105">
        <v>2005</v>
      </c>
      <c r="AK105" t="s">
        <v>1121</v>
      </c>
      <c r="AN105" t="s">
        <v>114</v>
      </c>
      <c r="AO105" t="s">
        <v>77</v>
      </c>
      <c r="AP105" t="s">
        <v>115</v>
      </c>
      <c r="AQ105" t="s">
        <v>1122</v>
      </c>
      <c r="AR105" t="s">
        <v>80</v>
      </c>
      <c r="AS105">
        <v>101</v>
      </c>
      <c r="AT105" t="s">
        <v>81</v>
      </c>
      <c r="AU105">
        <v>-37.590000000000003</v>
      </c>
      <c r="AV105">
        <v>10.55</v>
      </c>
      <c r="AW105" t="s">
        <v>82</v>
      </c>
      <c r="AX105">
        <v>133</v>
      </c>
      <c r="AY105" t="s">
        <v>81</v>
      </c>
      <c r="AZ105">
        <v>-52.4</v>
      </c>
      <c r="BA105">
        <v>10.62</v>
      </c>
      <c r="BB105" t="s">
        <v>83</v>
      </c>
    </row>
    <row r="106" spans="1:54" x14ac:dyDescent="0.4">
      <c r="A106">
        <v>521670</v>
      </c>
      <c r="D106" t="s">
        <v>54</v>
      </c>
      <c r="E106" t="s">
        <v>55</v>
      </c>
      <c r="I106" t="s">
        <v>57</v>
      </c>
      <c r="K106" t="s">
        <v>767</v>
      </c>
      <c r="L106" t="s">
        <v>768</v>
      </c>
      <c r="M106" t="s">
        <v>60</v>
      </c>
      <c r="N106" t="s">
        <v>119</v>
      </c>
      <c r="O106" t="s">
        <v>87</v>
      </c>
      <c r="P106" t="s">
        <v>62</v>
      </c>
      <c r="R106" t="s">
        <v>63</v>
      </c>
      <c r="S106" t="s">
        <v>64</v>
      </c>
      <c r="T106">
        <v>227</v>
      </c>
      <c r="U106">
        <v>208.5</v>
      </c>
      <c r="V106">
        <f t="shared" si="2"/>
        <v>217.75</v>
      </c>
      <c r="W106">
        <f t="shared" si="3"/>
        <v>18.5</v>
      </c>
      <c r="X106">
        <v>-109.802223</v>
      </c>
      <c r="Y106">
        <v>35.063889000000003</v>
      </c>
      <c r="Z106" t="s">
        <v>198</v>
      </c>
      <c r="AA106" t="s">
        <v>66</v>
      </c>
      <c r="AB106" t="s">
        <v>583</v>
      </c>
      <c r="AD106" t="s">
        <v>174</v>
      </c>
      <c r="AF106" t="s">
        <v>749</v>
      </c>
      <c r="AH106" t="s">
        <v>11</v>
      </c>
      <c r="AI106" t="s">
        <v>1123</v>
      </c>
      <c r="AJ106">
        <v>2005</v>
      </c>
      <c r="AK106" t="s">
        <v>1121</v>
      </c>
      <c r="AN106" t="s">
        <v>114</v>
      </c>
      <c r="AO106" t="s">
        <v>77</v>
      </c>
      <c r="AP106" t="s">
        <v>115</v>
      </c>
      <c r="AQ106" t="s">
        <v>1122</v>
      </c>
      <c r="AR106" t="s">
        <v>80</v>
      </c>
      <c r="AS106">
        <v>101</v>
      </c>
      <c r="AT106" t="s">
        <v>81</v>
      </c>
      <c r="AU106">
        <v>-37.590000000000003</v>
      </c>
      <c r="AV106">
        <v>10.55</v>
      </c>
      <c r="AW106" t="s">
        <v>82</v>
      </c>
      <c r="AX106">
        <v>133</v>
      </c>
      <c r="AY106" t="s">
        <v>81</v>
      </c>
      <c r="AZ106">
        <v>-52.4</v>
      </c>
      <c r="BA106">
        <v>10.62</v>
      </c>
      <c r="BB106" t="s">
        <v>83</v>
      </c>
    </row>
    <row r="107" spans="1:54" x14ac:dyDescent="0.4">
      <c r="A107">
        <v>528637</v>
      </c>
      <c r="D107" t="s">
        <v>54</v>
      </c>
      <c r="G107">
        <v>1</v>
      </c>
      <c r="H107" t="s">
        <v>84</v>
      </c>
      <c r="I107" t="s">
        <v>57</v>
      </c>
      <c r="K107" t="s">
        <v>741</v>
      </c>
      <c r="L107" t="s">
        <v>854</v>
      </c>
      <c r="M107" t="s">
        <v>60</v>
      </c>
      <c r="N107" t="s">
        <v>256</v>
      </c>
      <c r="O107" t="s">
        <v>87</v>
      </c>
      <c r="P107" t="s">
        <v>62</v>
      </c>
      <c r="R107" t="s">
        <v>63</v>
      </c>
      <c r="S107" t="s">
        <v>64</v>
      </c>
      <c r="T107">
        <v>227</v>
      </c>
      <c r="U107">
        <v>208.5</v>
      </c>
      <c r="V107">
        <f t="shared" si="2"/>
        <v>217.75</v>
      </c>
      <c r="W107">
        <f t="shared" si="3"/>
        <v>18.5</v>
      </c>
      <c r="X107">
        <v>-106.446297</v>
      </c>
      <c r="Y107">
        <v>36.313000000000002</v>
      </c>
      <c r="Z107" t="s">
        <v>124</v>
      </c>
      <c r="AA107" t="s">
        <v>66</v>
      </c>
      <c r="AB107" t="s">
        <v>846</v>
      </c>
      <c r="AC107" t="s">
        <v>847</v>
      </c>
      <c r="AD107" t="s">
        <v>749</v>
      </c>
      <c r="AE107" t="s">
        <v>174</v>
      </c>
      <c r="AF107" t="s">
        <v>1135</v>
      </c>
      <c r="AH107" t="s">
        <v>11</v>
      </c>
      <c r="AI107" t="s">
        <v>1136</v>
      </c>
      <c r="AJ107">
        <v>1996</v>
      </c>
      <c r="AK107" t="s">
        <v>1137</v>
      </c>
      <c r="AN107" t="s">
        <v>76</v>
      </c>
      <c r="AO107">
        <v>4</v>
      </c>
      <c r="AP107" t="s">
        <v>115</v>
      </c>
      <c r="AQ107" t="s">
        <v>1138</v>
      </c>
      <c r="AR107" t="s">
        <v>80</v>
      </c>
      <c r="AS107">
        <v>101</v>
      </c>
      <c r="AT107" t="s">
        <v>81</v>
      </c>
      <c r="AU107">
        <v>-34.619999999999997</v>
      </c>
      <c r="AV107">
        <v>11.25</v>
      </c>
      <c r="AW107" t="s">
        <v>82</v>
      </c>
      <c r="AX107">
        <v>133</v>
      </c>
      <c r="AY107" t="s">
        <v>81</v>
      </c>
      <c r="AZ107">
        <v>-49.45</v>
      </c>
      <c r="BA107">
        <v>11.41</v>
      </c>
      <c r="BB107" t="s">
        <v>83</v>
      </c>
    </row>
    <row r="108" spans="1:54" x14ac:dyDescent="0.4">
      <c r="A108">
        <v>528638</v>
      </c>
      <c r="D108" t="s">
        <v>54</v>
      </c>
      <c r="G108">
        <v>1</v>
      </c>
      <c r="H108" t="s">
        <v>84</v>
      </c>
      <c r="I108" t="s">
        <v>57</v>
      </c>
      <c r="K108" t="s">
        <v>180</v>
      </c>
      <c r="L108" t="s">
        <v>1139</v>
      </c>
      <c r="M108" t="s">
        <v>60</v>
      </c>
      <c r="N108" t="s">
        <v>119</v>
      </c>
      <c r="P108" t="s">
        <v>62</v>
      </c>
      <c r="R108" t="s">
        <v>63</v>
      </c>
      <c r="S108" t="s">
        <v>64</v>
      </c>
      <c r="T108">
        <v>227</v>
      </c>
      <c r="U108">
        <v>208.5</v>
      </c>
      <c r="V108">
        <f t="shared" si="2"/>
        <v>217.75</v>
      </c>
      <c r="W108">
        <f t="shared" si="3"/>
        <v>18.5</v>
      </c>
      <c r="X108">
        <v>-106.446297</v>
      </c>
      <c r="Y108">
        <v>36.313000000000002</v>
      </c>
      <c r="Z108" t="s">
        <v>124</v>
      </c>
      <c r="AA108" t="s">
        <v>66</v>
      </c>
      <c r="AB108" t="s">
        <v>846</v>
      </c>
      <c r="AC108" t="s">
        <v>847</v>
      </c>
      <c r="AD108" t="s">
        <v>174</v>
      </c>
      <c r="AF108" t="s">
        <v>749</v>
      </c>
      <c r="AH108" t="s">
        <v>72</v>
      </c>
      <c r="AI108" t="s">
        <v>1140</v>
      </c>
      <c r="AJ108">
        <v>1999</v>
      </c>
      <c r="AK108" t="s">
        <v>1141</v>
      </c>
      <c r="AM108" t="s">
        <v>1142</v>
      </c>
      <c r="AN108" t="s">
        <v>76</v>
      </c>
      <c r="AO108">
        <v>4</v>
      </c>
      <c r="AP108" t="s">
        <v>115</v>
      </c>
      <c r="AQ108" t="s">
        <v>1138</v>
      </c>
      <c r="AR108" t="s">
        <v>80</v>
      </c>
      <c r="AS108">
        <v>101</v>
      </c>
      <c r="AT108" t="s">
        <v>81</v>
      </c>
      <c r="AU108">
        <v>-34.619999999999997</v>
      </c>
      <c r="AV108">
        <v>11.25</v>
      </c>
      <c r="AW108" t="s">
        <v>82</v>
      </c>
      <c r="AX108">
        <v>133</v>
      </c>
      <c r="AY108" t="s">
        <v>81</v>
      </c>
      <c r="AZ108">
        <v>-49.45</v>
      </c>
      <c r="BA108">
        <v>11.41</v>
      </c>
      <c r="BB108" t="s">
        <v>83</v>
      </c>
    </row>
    <row r="109" spans="1:54" x14ac:dyDescent="0.4">
      <c r="A109">
        <v>528639</v>
      </c>
      <c r="D109" t="s">
        <v>54</v>
      </c>
      <c r="G109">
        <v>1</v>
      </c>
      <c r="H109" t="s">
        <v>84</v>
      </c>
      <c r="I109" t="s">
        <v>57</v>
      </c>
      <c r="K109" t="s">
        <v>741</v>
      </c>
      <c r="L109" t="s">
        <v>854</v>
      </c>
      <c r="M109" t="s">
        <v>60</v>
      </c>
      <c r="N109" t="s">
        <v>256</v>
      </c>
      <c r="O109" t="s">
        <v>87</v>
      </c>
      <c r="P109" t="s">
        <v>62</v>
      </c>
      <c r="R109" t="s">
        <v>63</v>
      </c>
      <c r="S109" t="s">
        <v>64</v>
      </c>
      <c r="T109">
        <v>227</v>
      </c>
      <c r="U109">
        <v>208.5</v>
      </c>
      <c r="V109">
        <f t="shared" si="2"/>
        <v>217.75</v>
      </c>
      <c r="W109">
        <f t="shared" si="3"/>
        <v>18.5</v>
      </c>
      <c r="X109">
        <v>-106.446297</v>
      </c>
      <c r="Y109">
        <v>36.313000000000002</v>
      </c>
      <c r="Z109" t="s">
        <v>124</v>
      </c>
      <c r="AA109" t="s">
        <v>66</v>
      </c>
      <c r="AB109" t="s">
        <v>846</v>
      </c>
      <c r="AC109" t="s">
        <v>847</v>
      </c>
      <c r="AD109" t="s">
        <v>749</v>
      </c>
      <c r="AE109" t="s">
        <v>174</v>
      </c>
      <c r="AF109" t="s">
        <v>1135</v>
      </c>
      <c r="AH109" t="s">
        <v>11</v>
      </c>
      <c r="AI109" t="s">
        <v>1136</v>
      </c>
      <c r="AJ109">
        <v>1996</v>
      </c>
      <c r="AK109" t="s">
        <v>1143</v>
      </c>
      <c r="AN109" t="s">
        <v>76</v>
      </c>
      <c r="AO109">
        <v>4</v>
      </c>
      <c r="AP109" t="s">
        <v>115</v>
      </c>
      <c r="AQ109" t="s">
        <v>1138</v>
      </c>
      <c r="AR109" t="s">
        <v>80</v>
      </c>
      <c r="AS109">
        <v>101</v>
      </c>
      <c r="AT109" t="s">
        <v>81</v>
      </c>
      <c r="AU109">
        <v>-34.619999999999997</v>
      </c>
      <c r="AV109">
        <v>11.25</v>
      </c>
      <c r="AW109" t="s">
        <v>82</v>
      </c>
      <c r="AX109">
        <v>133</v>
      </c>
      <c r="AY109" t="s">
        <v>81</v>
      </c>
      <c r="AZ109">
        <v>-49.45</v>
      </c>
      <c r="BA109">
        <v>11.41</v>
      </c>
      <c r="BB109" t="s">
        <v>83</v>
      </c>
    </row>
    <row r="110" spans="1:54" x14ac:dyDescent="0.4">
      <c r="A110">
        <v>528640</v>
      </c>
      <c r="D110" t="s">
        <v>54</v>
      </c>
      <c r="G110">
        <v>2</v>
      </c>
      <c r="H110" t="s">
        <v>84</v>
      </c>
      <c r="I110" t="s">
        <v>57</v>
      </c>
      <c r="K110" t="s">
        <v>741</v>
      </c>
      <c r="L110" t="s">
        <v>854</v>
      </c>
      <c r="M110" t="s">
        <v>60</v>
      </c>
      <c r="N110" t="s">
        <v>256</v>
      </c>
      <c r="O110" t="s">
        <v>87</v>
      </c>
      <c r="P110" t="s">
        <v>62</v>
      </c>
      <c r="R110" t="s">
        <v>63</v>
      </c>
      <c r="S110" t="s">
        <v>64</v>
      </c>
      <c r="T110">
        <v>227</v>
      </c>
      <c r="U110">
        <v>208.5</v>
      </c>
      <c r="V110">
        <f t="shared" si="2"/>
        <v>217.75</v>
      </c>
      <c r="W110">
        <f t="shared" si="3"/>
        <v>18.5</v>
      </c>
      <c r="X110">
        <v>-106.446297</v>
      </c>
      <c r="Y110">
        <v>36.313000000000002</v>
      </c>
      <c r="Z110" t="s">
        <v>124</v>
      </c>
      <c r="AA110" t="s">
        <v>66</v>
      </c>
      <c r="AB110" t="s">
        <v>846</v>
      </c>
      <c r="AC110" t="s">
        <v>847</v>
      </c>
      <c r="AD110" t="s">
        <v>749</v>
      </c>
      <c r="AE110" t="s">
        <v>174</v>
      </c>
      <c r="AF110" t="s">
        <v>1135</v>
      </c>
      <c r="AH110" t="s">
        <v>11</v>
      </c>
      <c r="AI110" t="s">
        <v>1136</v>
      </c>
      <c r="AJ110">
        <v>1996</v>
      </c>
      <c r="AK110" t="s">
        <v>1144</v>
      </c>
      <c r="AN110" t="s">
        <v>76</v>
      </c>
      <c r="AO110">
        <v>4</v>
      </c>
      <c r="AP110" t="s">
        <v>115</v>
      </c>
      <c r="AQ110" t="s">
        <v>1138</v>
      </c>
      <c r="AR110" t="s">
        <v>80</v>
      </c>
      <c r="AS110">
        <v>101</v>
      </c>
      <c r="AT110" t="s">
        <v>81</v>
      </c>
      <c r="AU110">
        <v>-34.619999999999997</v>
      </c>
      <c r="AV110">
        <v>11.25</v>
      </c>
      <c r="AW110" t="s">
        <v>82</v>
      </c>
      <c r="AX110">
        <v>133</v>
      </c>
      <c r="AY110" t="s">
        <v>81</v>
      </c>
      <c r="AZ110">
        <v>-49.45</v>
      </c>
      <c r="BA110">
        <v>11.41</v>
      </c>
      <c r="BB110" t="s">
        <v>83</v>
      </c>
    </row>
    <row r="111" spans="1:54" x14ac:dyDescent="0.4">
      <c r="A111">
        <v>528641</v>
      </c>
      <c r="D111" t="s">
        <v>54</v>
      </c>
      <c r="G111">
        <v>3</v>
      </c>
      <c r="H111" t="s">
        <v>421</v>
      </c>
      <c r="I111" t="s">
        <v>57</v>
      </c>
      <c r="K111" t="s">
        <v>741</v>
      </c>
      <c r="L111" t="s">
        <v>854</v>
      </c>
      <c r="M111" t="s">
        <v>60</v>
      </c>
      <c r="N111" t="s">
        <v>256</v>
      </c>
      <c r="O111" t="s">
        <v>87</v>
      </c>
      <c r="P111" t="s">
        <v>62</v>
      </c>
      <c r="R111" t="s">
        <v>63</v>
      </c>
      <c r="S111" t="s">
        <v>64</v>
      </c>
      <c r="T111">
        <v>227</v>
      </c>
      <c r="U111">
        <v>208.5</v>
      </c>
      <c r="V111">
        <f t="shared" si="2"/>
        <v>217.75</v>
      </c>
      <c r="W111">
        <f t="shared" si="3"/>
        <v>18.5</v>
      </c>
      <c r="X111">
        <v>-106.446297</v>
      </c>
      <c r="Y111">
        <v>36.313000000000002</v>
      </c>
      <c r="Z111" t="s">
        <v>124</v>
      </c>
      <c r="AA111" t="s">
        <v>66</v>
      </c>
      <c r="AB111" t="s">
        <v>846</v>
      </c>
      <c r="AC111" t="s">
        <v>847</v>
      </c>
      <c r="AD111" t="s">
        <v>749</v>
      </c>
      <c r="AE111" t="s">
        <v>174</v>
      </c>
      <c r="AF111" t="s">
        <v>1135</v>
      </c>
      <c r="AH111" t="s">
        <v>11</v>
      </c>
      <c r="AI111" t="s">
        <v>1136</v>
      </c>
      <c r="AJ111">
        <v>1996</v>
      </c>
      <c r="AK111" t="s">
        <v>1145</v>
      </c>
      <c r="AN111" t="s">
        <v>76</v>
      </c>
      <c r="AO111">
        <v>4</v>
      </c>
      <c r="AP111" t="s">
        <v>115</v>
      </c>
      <c r="AQ111" t="s">
        <v>1138</v>
      </c>
      <c r="AR111" t="s">
        <v>80</v>
      </c>
      <c r="AS111">
        <v>101</v>
      </c>
      <c r="AT111" t="s">
        <v>81</v>
      </c>
      <c r="AU111">
        <v>-34.619999999999997</v>
      </c>
      <c r="AV111">
        <v>11.25</v>
      </c>
      <c r="AW111" t="s">
        <v>82</v>
      </c>
      <c r="AX111">
        <v>133</v>
      </c>
      <c r="AY111" t="s">
        <v>81</v>
      </c>
      <c r="AZ111">
        <v>-49.45</v>
      </c>
      <c r="BA111">
        <v>11.41</v>
      </c>
      <c r="BB111" t="s">
        <v>83</v>
      </c>
    </row>
    <row r="112" spans="1:54" x14ac:dyDescent="0.4">
      <c r="A112">
        <v>528642</v>
      </c>
      <c r="D112" t="s">
        <v>54</v>
      </c>
      <c r="G112">
        <v>1</v>
      </c>
      <c r="H112" t="s">
        <v>84</v>
      </c>
      <c r="I112" t="s">
        <v>57</v>
      </c>
      <c r="K112" t="s">
        <v>741</v>
      </c>
      <c r="L112" t="s">
        <v>854</v>
      </c>
      <c r="M112" t="s">
        <v>60</v>
      </c>
      <c r="N112" t="s">
        <v>256</v>
      </c>
      <c r="O112" t="s">
        <v>87</v>
      </c>
      <c r="P112" t="s">
        <v>62</v>
      </c>
      <c r="R112" t="s">
        <v>63</v>
      </c>
      <c r="S112" t="s">
        <v>64</v>
      </c>
      <c r="T112">
        <v>227</v>
      </c>
      <c r="U112">
        <v>208.5</v>
      </c>
      <c r="V112">
        <f t="shared" si="2"/>
        <v>217.75</v>
      </c>
      <c r="W112">
        <f t="shared" si="3"/>
        <v>18.5</v>
      </c>
      <c r="X112">
        <v>-106.446297</v>
      </c>
      <c r="Y112">
        <v>36.313000000000002</v>
      </c>
      <c r="Z112" t="s">
        <v>124</v>
      </c>
      <c r="AA112" t="s">
        <v>66</v>
      </c>
      <c r="AB112" t="s">
        <v>846</v>
      </c>
      <c r="AC112" t="s">
        <v>847</v>
      </c>
      <c r="AD112" t="s">
        <v>749</v>
      </c>
      <c r="AE112" t="s">
        <v>174</v>
      </c>
      <c r="AF112" t="s">
        <v>1135</v>
      </c>
      <c r="AH112" t="s">
        <v>11</v>
      </c>
      <c r="AI112" t="s">
        <v>1136</v>
      </c>
      <c r="AJ112">
        <v>1996</v>
      </c>
      <c r="AK112" t="s">
        <v>1146</v>
      </c>
      <c r="AN112" t="s">
        <v>76</v>
      </c>
      <c r="AO112">
        <v>4</v>
      </c>
      <c r="AP112" t="s">
        <v>115</v>
      </c>
      <c r="AQ112" t="s">
        <v>1138</v>
      </c>
      <c r="AR112" t="s">
        <v>80</v>
      </c>
      <c r="AS112">
        <v>101</v>
      </c>
      <c r="AT112" t="s">
        <v>81</v>
      </c>
      <c r="AU112">
        <v>-34.619999999999997</v>
      </c>
      <c r="AV112">
        <v>11.25</v>
      </c>
      <c r="AW112" t="s">
        <v>82</v>
      </c>
      <c r="AX112">
        <v>133</v>
      </c>
      <c r="AY112" t="s">
        <v>81</v>
      </c>
      <c r="AZ112">
        <v>-49.45</v>
      </c>
      <c r="BA112">
        <v>11.41</v>
      </c>
      <c r="BB112" t="s">
        <v>83</v>
      </c>
    </row>
    <row r="113" spans="1:54" x14ac:dyDescent="0.4">
      <c r="A113">
        <v>528643</v>
      </c>
      <c r="D113" t="s">
        <v>54</v>
      </c>
      <c r="G113">
        <v>4</v>
      </c>
      <c r="H113" t="s">
        <v>421</v>
      </c>
      <c r="I113" t="s">
        <v>57</v>
      </c>
      <c r="K113" t="s">
        <v>741</v>
      </c>
      <c r="L113" t="s">
        <v>854</v>
      </c>
      <c r="M113" t="s">
        <v>60</v>
      </c>
      <c r="N113" t="s">
        <v>256</v>
      </c>
      <c r="O113" t="s">
        <v>87</v>
      </c>
      <c r="P113" t="s">
        <v>62</v>
      </c>
      <c r="R113" t="s">
        <v>63</v>
      </c>
      <c r="S113" t="s">
        <v>64</v>
      </c>
      <c r="T113">
        <v>227</v>
      </c>
      <c r="U113">
        <v>208.5</v>
      </c>
      <c r="V113">
        <f t="shared" si="2"/>
        <v>217.75</v>
      </c>
      <c r="W113">
        <f t="shared" si="3"/>
        <v>18.5</v>
      </c>
      <c r="X113">
        <v>-106.446297</v>
      </c>
      <c r="Y113">
        <v>36.313000000000002</v>
      </c>
      <c r="Z113" t="s">
        <v>124</v>
      </c>
      <c r="AA113" t="s">
        <v>66</v>
      </c>
      <c r="AB113" t="s">
        <v>846</v>
      </c>
      <c r="AC113" t="s">
        <v>847</v>
      </c>
      <c r="AD113" t="s">
        <v>749</v>
      </c>
      <c r="AE113" t="s">
        <v>174</v>
      </c>
      <c r="AF113" t="s">
        <v>1135</v>
      </c>
      <c r="AH113" t="s">
        <v>11</v>
      </c>
      <c r="AI113" t="s">
        <v>1136</v>
      </c>
      <c r="AJ113">
        <v>1996</v>
      </c>
      <c r="AK113" t="s">
        <v>1147</v>
      </c>
      <c r="AN113" t="s">
        <v>76</v>
      </c>
      <c r="AO113">
        <v>4</v>
      </c>
      <c r="AP113" t="s">
        <v>115</v>
      </c>
      <c r="AQ113" t="s">
        <v>1138</v>
      </c>
      <c r="AR113" t="s">
        <v>80</v>
      </c>
      <c r="AS113">
        <v>101</v>
      </c>
      <c r="AT113" t="s">
        <v>81</v>
      </c>
      <c r="AU113">
        <v>-34.619999999999997</v>
      </c>
      <c r="AV113">
        <v>11.25</v>
      </c>
      <c r="AW113" t="s">
        <v>82</v>
      </c>
      <c r="AX113">
        <v>133</v>
      </c>
      <c r="AY113" t="s">
        <v>81</v>
      </c>
      <c r="AZ113">
        <v>-49.45</v>
      </c>
      <c r="BA113">
        <v>11.41</v>
      </c>
      <c r="BB113" t="s">
        <v>83</v>
      </c>
    </row>
    <row r="114" spans="1:54" x14ac:dyDescent="0.4">
      <c r="A114">
        <v>528644</v>
      </c>
      <c r="D114" t="s">
        <v>54</v>
      </c>
      <c r="G114">
        <v>1</v>
      </c>
      <c r="H114" t="s">
        <v>84</v>
      </c>
      <c r="I114" t="s">
        <v>57</v>
      </c>
      <c r="K114" t="s">
        <v>741</v>
      </c>
      <c r="L114" t="s">
        <v>854</v>
      </c>
      <c r="M114" t="s">
        <v>60</v>
      </c>
      <c r="N114" t="s">
        <v>256</v>
      </c>
      <c r="O114" t="s">
        <v>87</v>
      </c>
      <c r="P114" t="s">
        <v>62</v>
      </c>
      <c r="R114" t="s">
        <v>63</v>
      </c>
      <c r="S114" t="s">
        <v>64</v>
      </c>
      <c r="T114">
        <v>227</v>
      </c>
      <c r="U114">
        <v>208.5</v>
      </c>
      <c r="V114">
        <f t="shared" si="2"/>
        <v>217.75</v>
      </c>
      <c r="W114">
        <f t="shared" si="3"/>
        <v>18.5</v>
      </c>
      <c r="X114">
        <v>-106.446297</v>
      </c>
      <c r="Y114">
        <v>36.313000000000002</v>
      </c>
      <c r="Z114" t="s">
        <v>124</v>
      </c>
      <c r="AA114" t="s">
        <v>66</v>
      </c>
      <c r="AB114" t="s">
        <v>846</v>
      </c>
      <c r="AC114" t="s">
        <v>847</v>
      </c>
      <c r="AD114" t="s">
        <v>749</v>
      </c>
      <c r="AE114" t="s">
        <v>174</v>
      </c>
      <c r="AF114" t="s">
        <v>1135</v>
      </c>
      <c r="AH114" t="s">
        <v>11</v>
      </c>
      <c r="AI114" t="s">
        <v>1136</v>
      </c>
      <c r="AJ114">
        <v>1996</v>
      </c>
      <c r="AK114" t="s">
        <v>1148</v>
      </c>
      <c r="AN114" t="s">
        <v>76</v>
      </c>
      <c r="AO114">
        <v>4</v>
      </c>
      <c r="AP114" t="s">
        <v>115</v>
      </c>
      <c r="AQ114" t="s">
        <v>1138</v>
      </c>
      <c r="AR114" t="s">
        <v>80</v>
      </c>
      <c r="AS114">
        <v>101</v>
      </c>
      <c r="AT114" t="s">
        <v>81</v>
      </c>
      <c r="AU114">
        <v>-34.619999999999997</v>
      </c>
      <c r="AV114">
        <v>11.25</v>
      </c>
      <c r="AW114" t="s">
        <v>82</v>
      </c>
      <c r="AX114">
        <v>133</v>
      </c>
      <c r="AY114" t="s">
        <v>81</v>
      </c>
      <c r="AZ114">
        <v>-49.45</v>
      </c>
      <c r="BA114">
        <v>11.41</v>
      </c>
      <c r="BB114" t="s">
        <v>83</v>
      </c>
    </row>
    <row r="115" spans="1:54" x14ac:dyDescent="0.4">
      <c r="A115">
        <v>528645</v>
      </c>
      <c r="D115" t="s">
        <v>54</v>
      </c>
      <c r="G115">
        <v>1</v>
      </c>
      <c r="H115" t="s">
        <v>84</v>
      </c>
      <c r="I115" t="s">
        <v>57</v>
      </c>
      <c r="K115" t="s">
        <v>741</v>
      </c>
      <c r="L115" t="s">
        <v>854</v>
      </c>
      <c r="M115" t="s">
        <v>60</v>
      </c>
      <c r="N115" t="s">
        <v>256</v>
      </c>
      <c r="O115" t="s">
        <v>87</v>
      </c>
      <c r="P115" t="s">
        <v>62</v>
      </c>
      <c r="R115" t="s">
        <v>63</v>
      </c>
      <c r="S115" t="s">
        <v>64</v>
      </c>
      <c r="T115">
        <v>227</v>
      </c>
      <c r="U115">
        <v>208.5</v>
      </c>
      <c r="V115">
        <f t="shared" si="2"/>
        <v>217.75</v>
      </c>
      <c r="W115">
        <f t="shared" si="3"/>
        <v>18.5</v>
      </c>
      <c r="X115">
        <v>-106.446297</v>
      </c>
      <c r="Y115">
        <v>36.313000000000002</v>
      </c>
      <c r="Z115" t="s">
        <v>124</v>
      </c>
      <c r="AA115" t="s">
        <v>66</v>
      </c>
      <c r="AB115" t="s">
        <v>846</v>
      </c>
      <c r="AC115" t="s">
        <v>847</v>
      </c>
      <c r="AD115" t="s">
        <v>749</v>
      </c>
      <c r="AE115" t="s">
        <v>174</v>
      </c>
      <c r="AF115" t="s">
        <v>1135</v>
      </c>
      <c r="AH115" t="s">
        <v>11</v>
      </c>
      <c r="AI115" t="s">
        <v>1136</v>
      </c>
      <c r="AJ115">
        <v>1996</v>
      </c>
      <c r="AK115" t="s">
        <v>1149</v>
      </c>
      <c r="AN115" t="s">
        <v>76</v>
      </c>
      <c r="AO115">
        <v>4</v>
      </c>
      <c r="AP115" t="s">
        <v>115</v>
      </c>
      <c r="AQ115" t="s">
        <v>1138</v>
      </c>
      <c r="AR115" t="s">
        <v>80</v>
      </c>
      <c r="AS115">
        <v>101</v>
      </c>
      <c r="AT115" t="s">
        <v>81</v>
      </c>
      <c r="AU115">
        <v>-34.619999999999997</v>
      </c>
      <c r="AV115">
        <v>11.25</v>
      </c>
      <c r="AW115" t="s">
        <v>82</v>
      </c>
      <c r="AX115">
        <v>133</v>
      </c>
      <c r="AY115" t="s">
        <v>81</v>
      </c>
      <c r="AZ115">
        <v>-49.45</v>
      </c>
      <c r="BA115">
        <v>11.41</v>
      </c>
      <c r="BB115" t="s">
        <v>83</v>
      </c>
    </row>
    <row r="116" spans="1:54" x14ac:dyDescent="0.4">
      <c r="A116">
        <v>530454</v>
      </c>
      <c r="D116" t="s">
        <v>54</v>
      </c>
      <c r="E116" t="s">
        <v>297</v>
      </c>
      <c r="I116" t="s">
        <v>57</v>
      </c>
      <c r="K116" t="s">
        <v>741</v>
      </c>
      <c r="L116" t="s">
        <v>854</v>
      </c>
      <c r="M116" t="s">
        <v>60</v>
      </c>
      <c r="N116" t="s">
        <v>256</v>
      </c>
      <c r="O116" t="s">
        <v>87</v>
      </c>
      <c r="P116" t="s">
        <v>62</v>
      </c>
      <c r="R116" t="s">
        <v>63</v>
      </c>
      <c r="S116" t="s">
        <v>64</v>
      </c>
      <c r="T116">
        <v>227</v>
      </c>
      <c r="U116">
        <v>208.5</v>
      </c>
      <c r="V116">
        <f t="shared" si="2"/>
        <v>217.75</v>
      </c>
      <c r="W116">
        <f t="shared" si="3"/>
        <v>18.5</v>
      </c>
      <c r="X116">
        <v>-106.339478</v>
      </c>
      <c r="Y116">
        <v>36.205295999999997</v>
      </c>
      <c r="Z116" t="s">
        <v>124</v>
      </c>
      <c r="AA116" t="s">
        <v>66</v>
      </c>
      <c r="AB116" t="s">
        <v>846</v>
      </c>
      <c r="AC116" t="s">
        <v>847</v>
      </c>
      <c r="AD116" t="s">
        <v>174</v>
      </c>
      <c r="AF116" t="s">
        <v>749</v>
      </c>
      <c r="AH116" t="s">
        <v>72</v>
      </c>
      <c r="AI116" t="s">
        <v>1136</v>
      </c>
      <c r="AJ116">
        <v>1996</v>
      </c>
      <c r="AK116" t="s">
        <v>1150</v>
      </c>
      <c r="AM116" t="s">
        <v>1066</v>
      </c>
      <c r="AN116" t="s">
        <v>114</v>
      </c>
      <c r="AO116">
        <v>7</v>
      </c>
      <c r="AP116" t="s">
        <v>115</v>
      </c>
      <c r="AQ116" t="s">
        <v>1067</v>
      </c>
      <c r="AR116" t="s">
        <v>80</v>
      </c>
      <c r="AS116">
        <v>101</v>
      </c>
      <c r="AT116" t="s">
        <v>81</v>
      </c>
      <c r="AU116">
        <v>-34.56</v>
      </c>
      <c r="AV116">
        <v>11.13</v>
      </c>
      <c r="AW116" t="s">
        <v>82</v>
      </c>
      <c r="AX116">
        <v>133</v>
      </c>
      <c r="AY116" t="s">
        <v>81</v>
      </c>
      <c r="AZ116">
        <v>-49.38</v>
      </c>
      <c r="BA116">
        <v>11.29</v>
      </c>
      <c r="BB116" t="s">
        <v>83</v>
      </c>
    </row>
    <row r="117" spans="1:54" x14ac:dyDescent="0.4">
      <c r="A117">
        <v>530455</v>
      </c>
      <c r="D117" t="s">
        <v>54</v>
      </c>
      <c r="E117" t="s">
        <v>297</v>
      </c>
      <c r="I117" t="s">
        <v>57</v>
      </c>
      <c r="K117" t="s">
        <v>741</v>
      </c>
      <c r="L117" t="s">
        <v>854</v>
      </c>
      <c r="M117" t="s">
        <v>60</v>
      </c>
      <c r="N117" t="s">
        <v>256</v>
      </c>
      <c r="O117" t="s">
        <v>87</v>
      </c>
      <c r="P117" t="s">
        <v>62</v>
      </c>
      <c r="R117" t="s">
        <v>63</v>
      </c>
      <c r="S117" t="s">
        <v>64</v>
      </c>
      <c r="T117">
        <v>227</v>
      </c>
      <c r="U117">
        <v>208.5</v>
      </c>
      <c r="V117">
        <f t="shared" si="2"/>
        <v>217.75</v>
      </c>
      <c r="W117">
        <f t="shared" si="3"/>
        <v>18.5</v>
      </c>
      <c r="X117">
        <v>-106.87449599999999</v>
      </c>
      <c r="Y117">
        <v>36.339297999999999</v>
      </c>
      <c r="Z117" t="s">
        <v>124</v>
      </c>
      <c r="AA117" t="s">
        <v>66</v>
      </c>
      <c r="AB117" t="s">
        <v>846</v>
      </c>
      <c r="AC117" t="s">
        <v>847</v>
      </c>
      <c r="AD117" t="s">
        <v>174</v>
      </c>
      <c r="AF117" t="s">
        <v>749</v>
      </c>
      <c r="AH117" t="s">
        <v>72</v>
      </c>
      <c r="AI117" t="s">
        <v>1136</v>
      </c>
      <c r="AJ117">
        <v>1996</v>
      </c>
      <c r="AK117" t="s">
        <v>1151</v>
      </c>
      <c r="AM117" t="s">
        <v>1066</v>
      </c>
      <c r="AN117" t="s">
        <v>76</v>
      </c>
      <c r="AO117">
        <v>4</v>
      </c>
      <c r="AP117" t="s">
        <v>78</v>
      </c>
      <c r="AQ117" t="s">
        <v>1152</v>
      </c>
      <c r="AR117" t="s">
        <v>80</v>
      </c>
      <c r="AS117">
        <v>101</v>
      </c>
      <c r="AT117" t="s">
        <v>81</v>
      </c>
      <c r="AU117">
        <v>-34.97</v>
      </c>
      <c r="AV117">
        <v>11.34</v>
      </c>
      <c r="AW117" t="s">
        <v>82</v>
      </c>
      <c r="AX117">
        <v>133</v>
      </c>
      <c r="AY117" t="s">
        <v>81</v>
      </c>
      <c r="AZ117">
        <v>-49.8</v>
      </c>
      <c r="BA117">
        <v>11.49</v>
      </c>
      <c r="BB117" t="s">
        <v>83</v>
      </c>
    </row>
    <row r="118" spans="1:54" x14ac:dyDescent="0.4">
      <c r="A118">
        <v>536062</v>
      </c>
      <c r="D118" t="s">
        <v>54</v>
      </c>
      <c r="E118" t="s">
        <v>55</v>
      </c>
      <c r="G118">
        <v>34</v>
      </c>
      <c r="H118" t="s">
        <v>84</v>
      </c>
      <c r="I118" t="s">
        <v>57</v>
      </c>
      <c r="K118" t="s">
        <v>180</v>
      </c>
      <c r="L118" t="s">
        <v>1172</v>
      </c>
      <c r="M118" t="s">
        <v>60</v>
      </c>
      <c r="N118" t="s">
        <v>119</v>
      </c>
      <c r="P118" t="s">
        <v>62</v>
      </c>
      <c r="R118" t="s">
        <v>63</v>
      </c>
      <c r="S118" t="s">
        <v>64</v>
      </c>
      <c r="T118">
        <v>227</v>
      </c>
      <c r="U118">
        <v>208.5</v>
      </c>
      <c r="V118">
        <f t="shared" si="2"/>
        <v>217.75</v>
      </c>
      <c r="W118">
        <f t="shared" si="3"/>
        <v>18.5</v>
      </c>
      <c r="X118">
        <v>-53.233333999999999</v>
      </c>
      <c r="Y118">
        <v>-29.633333</v>
      </c>
      <c r="Z118" t="s">
        <v>124</v>
      </c>
      <c r="AA118" t="s">
        <v>783</v>
      </c>
      <c r="AB118" t="s">
        <v>784</v>
      </c>
      <c r="AD118" t="s">
        <v>785</v>
      </c>
      <c r="AE118" t="s">
        <v>786</v>
      </c>
      <c r="AG118" t="s">
        <v>1173</v>
      </c>
      <c r="AH118" t="s">
        <v>72</v>
      </c>
      <c r="AI118" t="s">
        <v>1174</v>
      </c>
      <c r="AJ118">
        <v>2007</v>
      </c>
      <c r="AK118" t="s">
        <v>1175</v>
      </c>
      <c r="AN118" t="s">
        <v>114</v>
      </c>
      <c r="AO118" t="s">
        <v>160</v>
      </c>
      <c r="AP118" t="s">
        <v>78</v>
      </c>
      <c r="AQ118" t="s">
        <v>1176</v>
      </c>
      <c r="AR118" t="s">
        <v>80</v>
      </c>
      <c r="AS118">
        <v>201</v>
      </c>
      <c r="AT118" t="s">
        <v>81</v>
      </c>
      <c r="AU118">
        <v>-6.61</v>
      </c>
      <c r="AV118">
        <v>-38.57</v>
      </c>
      <c r="AW118" t="s">
        <v>82</v>
      </c>
      <c r="AX118">
        <v>202</v>
      </c>
      <c r="AY118" t="s">
        <v>81</v>
      </c>
      <c r="AZ118">
        <v>-15.37</v>
      </c>
      <c r="BA118">
        <v>-37</v>
      </c>
      <c r="BB118" t="s">
        <v>83</v>
      </c>
    </row>
    <row r="119" spans="1:54" x14ac:dyDescent="0.4">
      <c r="A119">
        <v>536068</v>
      </c>
      <c r="D119" t="s">
        <v>54</v>
      </c>
      <c r="G119">
        <v>1</v>
      </c>
      <c r="H119" t="s">
        <v>56</v>
      </c>
      <c r="I119" t="s">
        <v>57</v>
      </c>
      <c r="K119" t="s">
        <v>306</v>
      </c>
      <c r="L119" t="s">
        <v>1177</v>
      </c>
      <c r="M119" t="s">
        <v>60</v>
      </c>
      <c r="P119" t="s">
        <v>62</v>
      </c>
      <c r="R119" t="s">
        <v>63</v>
      </c>
      <c r="S119" t="s">
        <v>64</v>
      </c>
      <c r="T119">
        <v>227</v>
      </c>
      <c r="U119">
        <v>208.5</v>
      </c>
      <c r="V119">
        <f t="shared" si="2"/>
        <v>217.75</v>
      </c>
      <c r="W119">
        <f t="shared" si="3"/>
        <v>18.5</v>
      </c>
      <c r="X119">
        <v>-53.446666999999998</v>
      </c>
      <c r="Y119">
        <v>-29.5625</v>
      </c>
      <c r="Z119" t="s">
        <v>105</v>
      </c>
      <c r="AA119" t="s">
        <v>783</v>
      </c>
      <c r="AB119" t="s">
        <v>784</v>
      </c>
      <c r="AC119" t="s">
        <v>1178</v>
      </c>
      <c r="AD119" t="s">
        <v>785</v>
      </c>
      <c r="AE119" t="s">
        <v>786</v>
      </c>
      <c r="AG119" t="s">
        <v>787</v>
      </c>
      <c r="AH119" t="s">
        <v>72</v>
      </c>
      <c r="AI119" t="s">
        <v>1179</v>
      </c>
      <c r="AJ119">
        <v>2005</v>
      </c>
      <c r="AK119" t="s">
        <v>1180</v>
      </c>
      <c r="AN119" t="s">
        <v>76</v>
      </c>
      <c r="AO119" t="s">
        <v>77</v>
      </c>
      <c r="AP119" t="s">
        <v>78</v>
      </c>
      <c r="AQ119" t="s">
        <v>1181</v>
      </c>
      <c r="AR119" t="s">
        <v>80</v>
      </c>
      <c r="AS119">
        <v>201</v>
      </c>
      <c r="AT119" t="s">
        <v>81</v>
      </c>
      <c r="AU119">
        <v>-6.86</v>
      </c>
      <c r="AV119">
        <v>-38.53</v>
      </c>
      <c r="AW119" t="s">
        <v>82</v>
      </c>
      <c r="AX119">
        <v>202</v>
      </c>
      <c r="AY119" t="s">
        <v>81</v>
      </c>
      <c r="AZ119">
        <v>-15.62</v>
      </c>
      <c r="BA119">
        <v>-36.979999999999997</v>
      </c>
      <c r="BB119" t="s">
        <v>83</v>
      </c>
    </row>
    <row r="120" spans="1:54" x14ac:dyDescent="0.4">
      <c r="A120">
        <v>536068</v>
      </c>
      <c r="D120" t="s">
        <v>54</v>
      </c>
      <c r="G120">
        <v>1</v>
      </c>
      <c r="H120" t="s">
        <v>56</v>
      </c>
      <c r="I120" t="s">
        <v>57</v>
      </c>
      <c r="K120" t="s">
        <v>306</v>
      </c>
      <c r="L120" t="s">
        <v>1177</v>
      </c>
      <c r="M120" t="s">
        <v>60</v>
      </c>
      <c r="P120" t="s">
        <v>62</v>
      </c>
      <c r="R120" t="s">
        <v>63</v>
      </c>
      <c r="S120" t="s">
        <v>64</v>
      </c>
      <c r="T120">
        <v>227</v>
      </c>
      <c r="U120">
        <v>208.5</v>
      </c>
      <c r="V120">
        <f t="shared" si="2"/>
        <v>217.75</v>
      </c>
      <c r="W120">
        <f t="shared" si="3"/>
        <v>18.5</v>
      </c>
      <c r="X120">
        <v>-53.446666999999998</v>
      </c>
      <c r="Y120">
        <v>-29.5625</v>
      </c>
      <c r="Z120" t="s">
        <v>105</v>
      </c>
      <c r="AA120" t="s">
        <v>783</v>
      </c>
      <c r="AB120" t="s">
        <v>784</v>
      </c>
      <c r="AC120" t="s">
        <v>1178</v>
      </c>
      <c r="AD120" t="s">
        <v>785</v>
      </c>
      <c r="AE120" t="s">
        <v>786</v>
      </c>
      <c r="AG120" t="s">
        <v>787</v>
      </c>
      <c r="AH120" t="s">
        <v>72</v>
      </c>
      <c r="AI120" t="s">
        <v>1179</v>
      </c>
      <c r="AJ120">
        <v>2005</v>
      </c>
      <c r="AK120" t="s">
        <v>1180</v>
      </c>
      <c r="AN120" t="s">
        <v>76</v>
      </c>
      <c r="AO120" t="s">
        <v>77</v>
      </c>
      <c r="AP120" t="s">
        <v>78</v>
      </c>
      <c r="AQ120" t="s">
        <v>1181</v>
      </c>
      <c r="AR120" t="s">
        <v>80</v>
      </c>
      <c r="AS120">
        <v>201</v>
      </c>
      <c r="AT120" t="s">
        <v>81</v>
      </c>
      <c r="AU120">
        <v>-6.86</v>
      </c>
      <c r="AV120">
        <v>-38.53</v>
      </c>
      <c r="AW120" t="s">
        <v>82</v>
      </c>
      <c r="AX120">
        <v>202</v>
      </c>
      <c r="AY120" t="s">
        <v>81</v>
      </c>
      <c r="AZ120">
        <v>-15.62</v>
      </c>
      <c r="BA120">
        <v>-36.979999999999997</v>
      </c>
      <c r="BB120" t="s">
        <v>83</v>
      </c>
    </row>
    <row r="121" spans="1:54" x14ac:dyDescent="0.4">
      <c r="A121">
        <v>536430</v>
      </c>
      <c r="D121" t="s">
        <v>1182</v>
      </c>
      <c r="E121" t="s">
        <v>154</v>
      </c>
      <c r="G121">
        <v>1</v>
      </c>
      <c r="H121" t="s">
        <v>84</v>
      </c>
      <c r="I121" t="s">
        <v>57</v>
      </c>
      <c r="K121" t="s">
        <v>1183</v>
      </c>
      <c r="L121" t="s">
        <v>1184</v>
      </c>
      <c r="M121" t="s">
        <v>60</v>
      </c>
      <c r="N121" t="s">
        <v>256</v>
      </c>
      <c r="O121" t="s">
        <v>87</v>
      </c>
      <c r="P121" t="s">
        <v>62</v>
      </c>
      <c r="R121" t="s">
        <v>63</v>
      </c>
      <c r="S121" t="s">
        <v>64</v>
      </c>
      <c r="T121">
        <v>227</v>
      </c>
      <c r="U121">
        <v>208.5</v>
      </c>
      <c r="V121">
        <f t="shared" si="2"/>
        <v>217.75</v>
      </c>
      <c r="W121">
        <f t="shared" si="3"/>
        <v>18.5</v>
      </c>
      <c r="X121">
        <v>-79.668998999999999</v>
      </c>
      <c r="Y121">
        <v>36.540900999999998</v>
      </c>
      <c r="Z121" t="s">
        <v>346</v>
      </c>
      <c r="AA121" t="s">
        <v>66</v>
      </c>
      <c r="AB121" t="s">
        <v>816</v>
      </c>
      <c r="AC121" t="s">
        <v>1185</v>
      </c>
      <c r="AD121" t="s">
        <v>1186</v>
      </c>
      <c r="AE121" t="s">
        <v>1187</v>
      </c>
      <c r="AF121" t="s">
        <v>1188</v>
      </c>
      <c r="AH121" t="s">
        <v>72</v>
      </c>
      <c r="AI121" t="s">
        <v>1189</v>
      </c>
      <c r="AJ121">
        <v>1989</v>
      </c>
      <c r="AK121" t="s">
        <v>1190</v>
      </c>
      <c r="AM121" t="s">
        <v>1191</v>
      </c>
      <c r="AN121" t="s">
        <v>114</v>
      </c>
      <c r="AO121">
        <v>4</v>
      </c>
      <c r="AP121" t="s">
        <v>115</v>
      </c>
      <c r="AQ121" t="s">
        <v>1192</v>
      </c>
      <c r="AR121" t="s">
        <v>80</v>
      </c>
      <c r="AS121">
        <v>109</v>
      </c>
      <c r="AT121" t="s">
        <v>81</v>
      </c>
      <c r="AU121">
        <v>-12.82</v>
      </c>
      <c r="AV121">
        <v>9.85</v>
      </c>
      <c r="AW121" t="s">
        <v>82</v>
      </c>
      <c r="AX121">
        <v>109</v>
      </c>
      <c r="AY121" t="s">
        <v>81</v>
      </c>
      <c r="AZ121">
        <v>-23.63</v>
      </c>
      <c r="BA121">
        <v>10.79</v>
      </c>
      <c r="BB121" t="s">
        <v>83</v>
      </c>
    </row>
    <row r="122" spans="1:54" x14ac:dyDescent="0.4">
      <c r="A122">
        <v>538678</v>
      </c>
      <c r="D122" t="s">
        <v>54</v>
      </c>
      <c r="E122" t="s">
        <v>55</v>
      </c>
      <c r="G122">
        <v>1</v>
      </c>
      <c r="H122" t="s">
        <v>56</v>
      </c>
      <c r="I122" t="s">
        <v>57</v>
      </c>
      <c r="K122" t="s">
        <v>141</v>
      </c>
      <c r="L122" t="s">
        <v>1193</v>
      </c>
      <c r="M122" t="s">
        <v>60</v>
      </c>
      <c r="P122" t="s">
        <v>62</v>
      </c>
      <c r="R122" t="s">
        <v>63</v>
      </c>
      <c r="S122" t="s">
        <v>64</v>
      </c>
      <c r="T122">
        <v>227</v>
      </c>
      <c r="U122">
        <v>208.5</v>
      </c>
      <c r="V122">
        <f t="shared" si="2"/>
        <v>217.75</v>
      </c>
      <c r="W122">
        <f t="shared" si="3"/>
        <v>18.5</v>
      </c>
      <c r="X122">
        <v>27.516701000000001</v>
      </c>
      <c r="Y122">
        <v>-30.216699999999999</v>
      </c>
      <c r="Z122" t="s">
        <v>356</v>
      </c>
      <c r="AA122" t="s">
        <v>1194</v>
      </c>
      <c r="AB122" t="s">
        <v>1195</v>
      </c>
      <c r="AD122" t="s">
        <v>618</v>
      </c>
      <c r="AE122" t="s">
        <v>619</v>
      </c>
      <c r="AF122" t="s">
        <v>620</v>
      </c>
      <c r="AH122" t="s">
        <v>72</v>
      </c>
      <c r="AI122" t="s">
        <v>1196</v>
      </c>
      <c r="AJ122">
        <v>2020</v>
      </c>
      <c r="AK122" t="s">
        <v>1197</v>
      </c>
      <c r="AM122" t="s">
        <v>1198</v>
      </c>
      <c r="AN122" t="s">
        <v>114</v>
      </c>
      <c r="AO122">
        <v>4</v>
      </c>
      <c r="AP122" t="s">
        <v>115</v>
      </c>
      <c r="AQ122" t="s">
        <v>1199</v>
      </c>
      <c r="AR122" t="s">
        <v>80</v>
      </c>
      <c r="AS122">
        <v>701</v>
      </c>
      <c r="AT122" t="s">
        <v>81</v>
      </c>
      <c r="AU122">
        <v>9.24</v>
      </c>
      <c r="AV122">
        <v>-51.87</v>
      </c>
      <c r="AW122" t="s">
        <v>82</v>
      </c>
      <c r="AX122">
        <v>701</v>
      </c>
      <c r="AY122" t="s">
        <v>81</v>
      </c>
      <c r="AZ122">
        <v>-0.31</v>
      </c>
      <c r="BA122">
        <v>-49.5</v>
      </c>
      <c r="BB122" t="s">
        <v>83</v>
      </c>
    </row>
    <row r="123" spans="1:54" x14ac:dyDescent="0.4">
      <c r="A123">
        <v>538678</v>
      </c>
      <c r="D123" t="s">
        <v>54</v>
      </c>
      <c r="E123" t="s">
        <v>55</v>
      </c>
      <c r="G123">
        <v>1</v>
      </c>
      <c r="H123" t="s">
        <v>56</v>
      </c>
      <c r="I123" t="s">
        <v>57</v>
      </c>
      <c r="K123" t="s">
        <v>141</v>
      </c>
      <c r="L123" t="s">
        <v>1193</v>
      </c>
      <c r="M123" t="s">
        <v>60</v>
      </c>
      <c r="P123" t="s">
        <v>62</v>
      </c>
      <c r="R123" t="s">
        <v>63</v>
      </c>
      <c r="S123" t="s">
        <v>64</v>
      </c>
      <c r="T123">
        <v>227</v>
      </c>
      <c r="U123">
        <v>208.5</v>
      </c>
      <c r="V123">
        <f t="shared" si="2"/>
        <v>217.75</v>
      </c>
      <c r="W123">
        <f t="shared" si="3"/>
        <v>18.5</v>
      </c>
      <c r="X123">
        <v>27.516701000000001</v>
      </c>
      <c r="Y123">
        <v>-30.216699999999999</v>
      </c>
      <c r="Z123" t="s">
        <v>356</v>
      </c>
      <c r="AA123" t="s">
        <v>1194</v>
      </c>
      <c r="AB123" t="s">
        <v>1195</v>
      </c>
      <c r="AD123" t="s">
        <v>618</v>
      </c>
      <c r="AE123" t="s">
        <v>619</v>
      </c>
      <c r="AF123" t="s">
        <v>620</v>
      </c>
      <c r="AH123" t="s">
        <v>72</v>
      </c>
      <c r="AI123" t="s">
        <v>1196</v>
      </c>
      <c r="AJ123">
        <v>2020</v>
      </c>
      <c r="AK123" t="s">
        <v>1197</v>
      </c>
      <c r="AM123" t="s">
        <v>1198</v>
      </c>
      <c r="AN123" t="s">
        <v>114</v>
      </c>
      <c r="AO123">
        <v>4</v>
      </c>
      <c r="AP123" t="s">
        <v>115</v>
      </c>
      <c r="AQ123" t="s">
        <v>1199</v>
      </c>
      <c r="AR123" t="s">
        <v>80</v>
      </c>
      <c r="AS123">
        <v>701</v>
      </c>
      <c r="AT123" t="s">
        <v>81</v>
      </c>
      <c r="AU123">
        <v>9.24</v>
      </c>
      <c r="AV123">
        <v>-51.87</v>
      </c>
      <c r="AW123" t="s">
        <v>82</v>
      </c>
      <c r="AX123">
        <v>701</v>
      </c>
      <c r="AY123" t="s">
        <v>81</v>
      </c>
      <c r="AZ123">
        <v>-0.31</v>
      </c>
      <c r="BA123">
        <v>-49.5</v>
      </c>
      <c r="BB123" t="s">
        <v>83</v>
      </c>
    </row>
    <row r="124" spans="1:54" x14ac:dyDescent="0.4">
      <c r="A124">
        <v>538678</v>
      </c>
      <c r="D124" t="s">
        <v>54</v>
      </c>
      <c r="E124" t="s">
        <v>55</v>
      </c>
      <c r="G124">
        <v>1</v>
      </c>
      <c r="H124" t="s">
        <v>56</v>
      </c>
      <c r="I124" t="s">
        <v>57</v>
      </c>
      <c r="K124" t="s">
        <v>141</v>
      </c>
      <c r="L124" t="s">
        <v>1193</v>
      </c>
      <c r="M124" t="s">
        <v>60</v>
      </c>
      <c r="P124" t="s">
        <v>62</v>
      </c>
      <c r="R124" t="s">
        <v>63</v>
      </c>
      <c r="S124" t="s">
        <v>64</v>
      </c>
      <c r="T124">
        <v>227</v>
      </c>
      <c r="U124">
        <v>208.5</v>
      </c>
      <c r="V124">
        <f t="shared" si="2"/>
        <v>217.75</v>
      </c>
      <c r="W124">
        <f t="shared" si="3"/>
        <v>18.5</v>
      </c>
      <c r="X124">
        <v>27.516701000000001</v>
      </c>
      <c r="Y124">
        <v>-30.216699999999999</v>
      </c>
      <c r="Z124" t="s">
        <v>356</v>
      </c>
      <c r="AA124" t="s">
        <v>1194</v>
      </c>
      <c r="AB124" t="s">
        <v>1195</v>
      </c>
      <c r="AD124" t="s">
        <v>618</v>
      </c>
      <c r="AE124" t="s">
        <v>619</v>
      </c>
      <c r="AF124" t="s">
        <v>620</v>
      </c>
      <c r="AH124" t="s">
        <v>72</v>
      </c>
      <c r="AI124" t="s">
        <v>1196</v>
      </c>
      <c r="AJ124">
        <v>2020</v>
      </c>
      <c r="AK124" t="s">
        <v>1197</v>
      </c>
      <c r="AM124" t="s">
        <v>1198</v>
      </c>
      <c r="AN124" t="s">
        <v>114</v>
      </c>
      <c r="AO124">
        <v>4</v>
      </c>
      <c r="AP124" t="s">
        <v>115</v>
      </c>
      <c r="AQ124" t="s">
        <v>1199</v>
      </c>
      <c r="AR124" t="s">
        <v>80</v>
      </c>
      <c r="AS124">
        <v>701</v>
      </c>
      <c r="AT124" t="s">
        <v>81</v>
      </c>
      <c r="AU124">
        <v>9.24</v>
      </c>
      <c r="AV124">
        <v>-51.87</v>
      </c>
      <c r="AW124" t="s">
        <v>82</v>
      </c>
      <c r="AX124">
        <v>701</v>
      </c>
      <c r="AY124" t="s">
        <v>81</v>
      </c>
      <c r="AZ124">
        <v>-0.31</v>
      </c>
      <c r="BA124">
        <v>-49.5</v>
      </c>
      <c r="BB124" t="s">
        <v>83</v>
      </c>
    </row>
    <row r="125" spans="1:54" x14ac:dyDescent="0.4">
      <c r="A125">
        <v>538678</v>
      </c>
      <c r="D125" t="s">
        <v>54</v>
      </c>
      <c r="E125" t="s">
        <v>55</v>
      </c>
      <c r="G125">
        <v>1</v>
      </c>
      <c r="H125" t="s">
        <v>56</v>
      </c>
      <c r="I125" t="s">
        <v>57</v>
      </c>
      <c r="K125" t="s">
        <v>141</v>
      </c>
      <c r="L125" t="s">
        <v>1193</v>
      </c>
      <c r="M125" t="s">
        <v>60</v>
      </c>
      <c r="P125" t="s">
        <v>62</v>
      </c>
      <c r="R125" t="s">
        <v>63</v>
      </c>
      <c r="S125" t="s">
        <v>64</v>
      </c>
      <c r="T125">
        <v>227</v>
      </c>
      <c r="U125">
        <v>208.5</v>
      </c>
      <c r="V125">
        <f t="shared" si="2"/>
        <v>217.75</v>
      </c>
      <c r="W125">
        <f t="shared" si="3"/>
        <v>18.5</v>
      </c>
      <c r="X125">
        <v>27.516701000000001</v>
      </c>
      <c r="Y125">
        <v>-30.216699999999999</v>
      </c>
      <c r="Z125" t="s">
        <v>356</v>
      </c>
      <c r="AA125" t="s">
        <v>1194</v>
      </c>
      <c r="AB125" t="s">
        <v>1195</v>
      </c>
      <c r="AD125" t="s">
        <v>618</v>
      </c>
      <c r="AE125" t="s">
        <v>619</v>
      </c>
      <c r="AF125" t="s">
        <v>620</v>
      </c>
      <c r="AH125" t="s">
        <v>72</v>
      </c>
      <c r="AI125" t="s">
        <v>1196</v>
      </c>
      <c r="AJ125">
        <v>2020</v>
      </c>
      <c r="AK125" t="s">
        <v>1197</v>
      </c>
      <c r="AM125" t="s">
        <v>1198</v>
      </c>
      <c r="AN125" t="s">
        <v>114</v>
      </c>
      <c r="AO125">
        <v>4</v>
      </c>
      <c r="AP125" t="s">
        <v>115</v>
      </c>
      <c r="AQ125" t="s">
        <v>1199</v>
      </c>
      <c r="AR125" t="s">
        <v>80</v>
      </c>
      <c r="AS125">
        <v>701</v>
      </c>
      <c r="AT125" t="s">
        <v>81</v>
      </c>
      <c r="AU125">
        <v>9.24</v>
      </c>
      <c r="AV125">
        <v>-51.87</v>
      </c>
      <c r="AW125" t="s">
        <v>82</v>
      </c>
      <c r="AX125">
        <v>701</v>
      </c>
      <c r="AY125" t="s">
        <v>81</v>
      </c>
      <c r="AZ125">
        <v>-0.31</v>
      </c>
      <c r="BA125">
        <v>-49.5</v>
      </c>
      <c r="BB125" t="s">
        <v>83</v>
      </c>
    </row>
    <row r="126" spans="1:54" x14ac:dyDescent="0.4">
      <c r="A126">
        <v>538678</v>
      </c>
      <c r="D126" t="s">
        <v>54</v>
      </c>
      <c r="E126" t="s">
        <v>55</v>
      </c>
      <c r="G126">
        <v>1</v>
      </c>
      <c r="H126" t="s">
        <v>56</v>
      </c>
      <c r="I126" t="s">
        <v>57</v>
      </c>
      <c r="K126" t="s">
        <v>141</v>
      </c>
      <c r="L126" t="s">
        <v>1193</v>
      </c>
      <c r="M126" t="s">
        <v>60</v>
      </c>
      <c r="P126" t="s">
        <v>62</v>
      </c>
      <c r="R126" t="s">
        <v>63</v>
      </c>
      <c r="S126" t="s">
        <v>64</v>
      </c>
      <c r="T126">
        <v>227</v>
      </c>
      <c r="U126">
        <v>208.5</v>
      </c>
      <c r="V126">
        <f t="shared" si="2"/>
        <v>217.75</v>
      </c>
      <c r="W126">
        <f t="shared" si="3"/>
        <v>18.5</v>
      </c>
      <c r="X126">
        <v>27.516701000000001</v>
      </c>
      <c r="Y126">
        <v>-30.216699999999999</v>
      </c>
      <c r="Z126" t="s">
        <v>356</v>
      </c>
      <c r="AA126" t="s">
        <v>1194</v>
      </c>
      <c r="AB126" t="s">
        <v>1195</v>
      </c>
      <c r="AD126" t="s">
        <v>618</v>
      </c>
      <c r="AE126" t="s">
        <v>619</v>
      </c>
      <c r="AF126" t="s">
        <v>620</v>
      </c>
      <c r="AH126" t="s">
        <v>72</v>
      </c>
      <c r="AI126" t="s">
        <v>1196</v>
      </c>
      <c r="AJ126">
        <v>2020</v>
      </c>
      <c r="AK126" t="s">
        <v>1197</v>
      </c>
      <c r="AM126" t="s">
        <v>1198</v>
      </c>
      <c r="AN126" t="s">
        <v>114</v>
      </c>
      <c r="AO126">
        <v>4</v>
      </c>
      <c r="AP126" t="s">
        <v>115</v>
      </c>
      <c r="AQ126" t="s">
        <v>1199</v>
      </c>
      <c r="AR126" t="s">
        <v>80</v>
      </c>
      <c r="AS126">
        <v>701</v>
      </c>
      <c r="AT126" t="s">
        <v>81</v>
      </c>
      <c r="AU126">
        <v>9.24</v>
      </c>
      <c r="AV126">
        <v>-51.87</v>
      </c>
      <c r="AW126" t="s">
        <v>82</v>
      </c>
      <c r="AX126">
        <v>701</v>
      </c>
      <c r="AY126" t="s">
        <v>81</v>
      </c>
      <c r="AZ126">
        <v>-0.31</v>
      </c>
      <c r="BA126">
        <v>-49.5</v>
      </c>
      <c r="BB126" t="s">
        <v>83</v>
      </c>
    </row>
    <row r="127" spans="1:54" x14ac:dyDescent="0.4">
      <c r="A127">
        <v>538678</v>
      </c>
      <c r="D127" t="s">
        <v>54</v>
      </c>
      <c r="E127" t="s">
        <v>55</v>
      </c>
      <c r="G127">
        <v>1</v>
      </c>
      <c r="H127" t="s">
        <v>56</v>
      </c>
      <c r="I127" t="s">
        <v>57</v>
      </c>
      <c r="K127" t="s">
        <v>141</v>
      </c>
      <c r="L127" t="s">
        <v>1193</v>
      </c>
      <c r="M127" t="s">
        <v>60</v>
      </c>
      <c r="P127" t="s">
        <v>62</v>
      </c>
      <c r="R127" t="s">
        <v>63</v>
      </c>
      <c r="S127" t="s">
        <v>64</v>
      </c>
      <c r="T127">
        <v>227</v>
      </c>
      <c r="U127">
        <v>208.5</v>
      </c>
      <c r="V127">
        <f t="shared" si="2"/>
        <v>217.75</v>
      </c>
      <c r="W127">
        <f t="shared" si="3"/>
        <v>18.5</v>
      </c>
      <c r="X127">
        <v>27.516701000000001</v>
      </c>
      <c r="Y127">
        <v>-30.216699999999999</v>
      </c>
      <c r="Z127" t="s">
        <v>356</v>
      </c>
      <c r="AA127" t="s">
        <v>1194</v>
      </c>
      <c r="AB127" t="s">
        <v>1195</v>
      </c>
      <c r="AD127" t="s">
        <v>618</v>
      </c>
      <c r="AE127" t="s">
        <v>619</v>
      </c>
      <c r="AF127" t="s">
        <v>620</v>
      </c>
      <c r="AH127" t="s">
        <v>72</v>
      </c>
      <c r="AI127" t="s">
        <v>1196</v>
      </c>
      <c r="AJ127">
        <v>2020</v>
      </c>
      <c r="AK127" t="s">
        <v>1197</v>
      </c>
      <c r="AM127" t="s">
        <v>1198</v>
      </c>
      <c r="AN127" t="s">
        <v>114</v>
      </c>
      <c r="AO127">
        <v>4</v>
      </c>
      <c r="AP127" t="s">
        <v>115</v>
      </c>
      <c r="AQ127" t="s">
        <v>1199</v>
      </c>
      <c r="AR127" t="s">
        <v>80</v>
      </c>
      <c r="AS127">
        <v>701</v>
      </c>
      <c r="AT127" t="s">
        <v>81</v>
      </c>
      <c r="AU127">
        <v>9.24</v>
      </c>
      <c r="AV127">
        <v>-51.87</v>
      </c>
      <c r="AW127" t="s">
        <v>82</v>
      </c>
      <c r="AX127">
        <v>701</v>
      </c>
      <c r="AY127" t="s">
        <v>81</v>
      </c>
      <c r="AZ127">
        <v>-0.31</v>
      </c>
      <c r="BA127">
        <v>-49.5</v>
      </c>
      <c r="BB127" t="s">
        <v>83</v>
      </c>
    </row>
    <row r="128" spans="1:54" x14ac:dyDescent="0.4">
      <c r="A128">
        <v>538678</v>
      </c>
      <c r="D128" t="s">
        <v>54</v>
      </c>
      <c r="E128" t="s">
        <v>55</v>
      </c>
      <c r="G128">
        <v>1</v>
      </c>
      <c r="H128" t="s">
        <v>56</v>
      </c>
      <c r="I128" t="s">
        <v>57</v>
      </c>
      <c r="K128" t="s">
        <v>141</v>
      </c>
      <c r="L128" t="s">
        <v>1193</v>
      </c>
      <c r="M128" t="s">
        <v>60</v>
      </c>
      <c r="P128" t="s">
        <v>62</v>
      </c>
      <c r="R128" t="s">
        <v>63</v>
      </c>
      <c r="S128" t="s">
        <v>64</v>
      </c>
      <c r="T128">
        <v>227</v>
      </c>
      <c r="U128">
        <v>208.5</v>
      </c>
      <c r="V128">
        <f t="shared" si="2"/>
        <v>217.75</v>
      </c>
      <c r="W128">
        <f t="shared" si="3"/>
        <v>18.5</v>
      </c>
      <c r="X128">
        <v>27.516701000000001</v>
      </c>
      <c r="Y128">
        <v>-30.216699999999999</v>
      </c>
      <c r="Z128" t="s">
        <v>356</v>
      </c>
      <c r="AA128" t="s">
        <v>1194</v>
      </c>
      <c r="AB128" t="s">
        <v>1195</v>
      </c>
      <c r="AD128" t="s">
        <v>618</v>
      </c>
      <c r="AE128" t="s">
        <v>619</v>
      </c>
      <c r="AF128" t="s">
        <v>620</v>
      </c>
      <c r="AH128" t="s">
        <v>72</v>
      </c>
      <c r="AI128" t="s">
        <v>1196</v>
      </c>
      <c r="AJ128">
        <v>2020</v>
      </c>
      <c r="AK128" t="s">
        <v>1197</v>
      </c>
      <c r="AM128" t="s">
        <v>1198</v>
      </c>
      <c r="AN128" t="s">
        <v>114</v>
      </c>
      <c r="AO128">
        <v>4</v>
      </c>
      <c r="AP128" t="s">
        <v>115</v>
      </c>
      <c r="AQ128" t="s">
        <v>1199</v>
      </c>
      <c r="AR128" t="s">
        <v>80</v>
      </c>
      <c r="AS128">
        <v>701</v>
      </c>
      <c r="AT128" t="s">
        <v>81</v>
      </c>
      <c r="AU128">
        <v>9.24</v>
      </c>
      <c r="AV128">
        <v>-51.87</v>
      </c>
      <c r="AW128" t="s">
        <v>82</v>
      </c>
      <c r="AX128">
        <v>701</v>
      </c>
      <c r="AY128" t="s">
        <v>81</v>
      </c>
      <c r="AZ128">
        <v>-0.31</v>
      </c>
      <c r="BA128">
        <v>-49.5</v>
      </c>
      <c r="BB128" t="s">
        <v>83</v>
      </c>
    </row>
    <row r="129" spans="1:54" x14ac:dyDescent="0.4">
      <c r="A129">
        <v>539206</v>
      </c>
      <c r="D129" t="s">
        <v>54</v>
      </c>
      <c r="G129">
        <v>1</v>
      </c>
      <c r="H129" t="s">
        <v>56</v>
      </c>
      <c r="I129" t="s">
        <v>57</v>
      </c>
      <c r="K129" t="s">
        <v>1214</v>
      </c>
      <c r="L129" t="s">
        <v>1215</v>
      </c>
      <c r="M129" t="s">
        <v>60</v>
      </c>
      <c r="N129" t="s">
        <v>326</v>
      </c>
      <c r="O129" t="s">
        <v>170</v>
      </c>
      <c r="P129" t="s">
        <v>62</v>
      </c>
      <c r="R129" t="s">
        <v>63</v>
      </c>
      <c r="S129" t="s">
        <v>64</v>
      </c>
      <c r="T129">
        <v>227</v>
      </c>
      <c r="U129">
        <v>208.5</v>
      </c>
      <c r="V129">
        <f t="shared" si="2"/>
        <v>217.75</v>
      </c>
      <c r="W129">
        <f t="shared" si="3"/>
        <v>18.5</v>
      </c>
      <c r="X129">
        <v>-66.083297999999999</v>
      </c>
      <c r="Y129">
        <v>-30.416699999999999</v>
      </c>
      <c r="Z129" t="s">
        <v>184</v>
      </c>
      <c r="AA129" t="s">
        <v>185</v>
      </c>
      <c r="AB129" t="s">
        <v>186</v>
      </c>
      <c r="AC129" t="s">
        <v>1216</v>
      </c>
      <c r="AD129" t="s">
        <v>551</v>
      </c>
      <c r="AE129" t="s">
        <v>188</v>
      </c>
      <c r="AG129" t="s">
        <v>1217</v>
      </c>
      <c r="AH129" t="s">
        <v>72</v>
      </c>
      <c r="AI129" t="s">
        <v>1051</v>
      </c>
      <c r="AJ129">
        <v>1999</v>
      </c>
      <c r="AK129" t="s">
        <v>1218</v>
      </c>
      <c r="AM129" t="s">
        <v>1219</v>
      </c>
      <c r="AN129" t="s">
        <v>114</v>
      </c>
      <c r="AO129">
        <v>4</v>
      </c>
      <c r="AP129" t="s">
        <v>115</v>
      </c>
      <c r="AQ129" t="s">
        <v>1220</v>
      </c>
      <c r="AR129" t="s">
        <v>80</v>
      </c>
      <c r="AS129">
        <v>291</v>
      </c>
      <c r="AT129" t="s">
        <v>81</v>
      </c>
      <c r="AU129">
        <v>-20.43</v>
      </c>
      <c r="AV129">
        <v>-39.92</v>
      </c>
      <c r="AW129" t="s">
        <v>82</v>
      </c>
      <c r="AX129">
        <v>202</v>
      </c>
      <c r="AY129" t="s">
        <v>81</v>
      </c>
      <c r="AZ129">
        <v>-28.96</v>
      </c>
      <c r="BA129">
        <v>-40.5</v>
      </c>
      <c r="BB129" t="s">
        <v>83</v>
      </c>
    </row>
    <row r="130" spans="1:54" x14ac:dyDescent="0.4">
      <c r="A130">
        <v>539206</v>
      </c>
      <c r="D130" t="s">
        <v>54</v>
      </c>
      <c r="G130">
        <v>1</v>
      </c>
      <c r="H130" t="s">
        <v>56</v>
      </c>
      <c r="I130" t="s">
        <v>57</v>
      </c>
      <c r="K130" t="s">
        <v>1214</v>
      </c>
      <c r="L130" t="s">
        <v>1215</v>
      </c>
      <c r="M130" t="s">
        <v>60</v>
      </c>
      <c r="N130" t="s">
        <v>326</v>
      </c>
      <c r="O130" t="s">
        <v>170</v>
      </c>
      <c r="P130" t="s">
        <v>62</v>
      </c>
      <c r="R130" t="s">
        <v>63</v>
      </c>
      <c r="S130" t="s">
        <v>64</v>
      </c>
      <c r="T130">
        <v>227</v>
      </c>
      <c r="U130">
        <v>208.5</v>
      </c>
      <c r="V130">
        <f t="shared" si="2"/>
        <v>217.75</v>
      </c>
      <c r="W130">
        <f t="shared" si="3"/>
        <v>18.5</v>
      </c>
      <c r="X130">
        <v>-66.083297999999999</v>
      </c>
      <c r="Y130">
        <v>-30.416699999999999</v>
      </c>
      <c r="Z130" t="s">
        <v>184</v>
      </c>
      <c r="AA130" t="s">
        <v>185</v>
      </c>
      <c r="AB130" t="s">
        <v>186</v>
      </c>
      <c r="AC130" t="s">
        <v>1216</v>
      </c>
      <c r="AD130" t="s">
        <v>551</v>
      </c>
      <c r="AE130" t="s">
        <v>188</v>
      </c>
      <c r="AG130" t="s">
        <v>1217</v>
      </c>
      <c r="AH130" t="s">
        <v>72</v>
      </c>
      <c r="AI130" t="s">
        <v>1051</v>
      </c>
      <c r="AJ130">
        <v>1999</v>
      </c>
      <c r="AK130" t="s">
        <v>1218</v>
      </c>
      <c r="AM130" t="s">
        <v>1219</v>
      </c>
      <c r="AN130" t="s">
        <v>114</v>
      </c>
      <c r="AO130">
        <v>4</v>
      </c>
      <c r="AP130" t="s">
        <v>115</v>
      </c>
      <c r="AQ130" t="s">
        <v>1220</v>
      </c>
      <c r="AR130" t="s">
        <v>80</v>
      </c>
      <c r="AS130">
        <v>291</v>
      </c>
      <c r="AT130" t="s">
        <v>81</v>
      </c>
      <c r="AU130">
        <v>-20.43</v>
      </c>
      <c r="AV130">
        <v>-39.92</v>
      </c>
      <c r="AW130" t="s">
        <v>82</v>
      </c>
      <c r="AX130">
        <v>202</v>
      </c>
      <c r="AY130" t="s">
        <v>81</v>
      </c>
      <c r="AZ130">
        <v>-28.96</v>
      </c>
      <c r="BA130">
        <v>-40.5</v>
      </c>
      <c r="BB130" t="s">
        <v>83</v>
      </c>
    </row>
    <row r="131" spans="1:54" x14ac:dyDescent="0.4">
      <c r="A131">
        <v>539206</v>
      </c>
      <c r="D131" t="s">
        <v>54</v>
      </c>
      <c r="G131">
        <v>1</v>
      </c>
      <c r="H131" t="s">
        <v>56</v>
      </c>
      <c r="I131" t="s">
        <v>57</v>
      </c>
      <c r="K131" t="s">
        <v>1214</v>
      </c>
      <c r="L131" t="s">
        <v>1215</v>
      </c>
      <c r="M131" t="s">
        <v>60</v>
      </c>
      <c r="N131" t="s">
        <v>326</v>
      </c>
      <c r="O131" t="s">
        <v>170</v>
      </c>
      <c r="P131" t="s">
        <v>62</v>
      </c>
      <c r="R131" t="s">
        <v>63</v>
      </c>
      <c r="S131" t="s">
        <v>64</v>
      </c>
      <c r="T131">
        <v>227</v>
      </c>
      <c r="U131">
        <v>208.5</v>
      </c>
      <c r="V131">
        <f t="shared" ref="V131:V194" si="4">(T131+U131)/2</f>
        <v>217.75</v>
      </c>
      <c r="W131">
        <f t="shared" ref="W131:W194" si="5">T131-U131</f>
        <v>18.5</v>
      </c>
      <c r="X131">
        <v>-66.083297999999999</v>
      </c>
      <c r="Y131">
        <v>-30.416699999999999</v>
      </c>
      <c r="Z131" t="s">
        <v>184</v>
      </c>
      <c r="AA131" t="s">
        <v>185</v>
      </c>
      <c r="AB131" t="s">
        <v>186</v>
      </c>
      <c r="AC131" t="s">
        <v>1216</v>
      </c>
      <c r="AD131" t="s">
        <v>551</v>
      </c>
      <c r="AE131" t="s">
        <v>188</v>
      </c>
      <c r="AG131" t="s">
        <v>1217</v>
      </c>
      <c r="AH131" t="s">
        <v>72</v>
      </c>
      <c r="AI131" t="s">
        <v>1051</v>
      </c>
      <c r="AJ131">
        <v>1999</v>
      </c>
      <c r="AK131" t="s">
        <v>1218</v>
      </c>
      <c r="AM131" t="s">
        <v>1219</v>
      </c>
      <c r="AN131" t="s">
        <v>114</v>
      </c>
      <c r="AO131">
        <v>4</v>
      </c>
      <c r="AP131" t="s">
        <v>115</v>
      </c>
      <c r="AQ131" t="s">
        <v>1220</v>
      </c>
      <c r="AR131" t="s">
        <v>80</v>
      </c>
      <c r="AS131">
        <v>291</v>
      </c>
      <c r="AT131" t="s">
        <v>81</v>
      </c>
      <c r="AU131">
        <v>-20.43</v>
      </c>
      <c r="AV131">
        <v>-39.92</v>
      </c>
      <c r="AW131" t="s">
        <v>82</v>
      </c>
      <c r="AX131">
        <v>202</v>
      </c>
      <c r="AY131" t="s">
        <v>81</v>
      </c>
      <c r="AZ131">
        <v>-28.96</v>
      </c>
      <c r="BA131">
        <v>-40.5</v>
      </c>
      <c r="BB131" t="s">
        <v>83</v>
      </c>
    </row>
    <row r="132" spans="1:54" x14ac:dyDescent="0.4">
      <c r="A132">
        <v>545159</v>
      </c>
      <c r="D132" t="s">
        <v>167</v>
      </c>
      <c r="E132" t="s">
        <v>55</v>
      </c>
      <c r="G132">
        <v>5</v>
      </c>
      <c r="H132" t="s">
        <v>84</v>
      </c>
      <c r="I132" t="s">
        <v>57</v>
      </c>
      <c r="K132" t="s">
        <v>141</v>
      </c>
      <c r="L132" t="s">
        <v>1230</v>
      </c>
      <c r="M132" t="s">
        <v>60</v>
      </c>
      <c r="P132" t="s">
        <v>62</v>
      </c>
      <c r="R132" t="s">
        <v>63</v>
      </c>
      <c r="S132" t="s">
        <v>64</v>
      </c>
      <c r="T132">
        <v>227</v>
      </c>
      <c r="U132">
        <v>208.5</v>
      </c>
      <c r="V132">
        <f t="shared" si="4"/>
        <v>217.75</v>
      </c>
      <c r="W132">
        <f t="shared" si="5"/>
        <v>18.5</v>
      </c>
      <c r="X132">
        <v>-101.163887</v>
      </c>
      <c r="Y132">
        <v>33.433886999999999</v>
      </c>
      <c r="Z132" t="s">
        <v>171</v>
      </c>
      <c r="AA132" t="s">
        <v>66</v>
      </c>
      <c r="AB132" t="s">
        <v>125</v>
      </c>
      <c r="AC132" t="s">
        <v>172</v>
      </c>
      <c r="AD132" t="s">
        <v>173</v>
      </c>
      <c r="AE132" t="s">
        <v>174</v>
      </c>
      <c r="AH132" t="s">
        <v>72</v>
      </c>
      <c r="AI132" t="s">
        <v>779</v>
      </c>
      <c r="AJ132">
        <v>1994</v>
      </c>
      <c r="AK132" t="s">
        <v>176</v>
      </c>
      <c r="AM132" t="s">
        <v>177</v>
      </c>
      <c r="AN132" t="s">
        <v>76</v>
      </c>
      <c r="AO132" t="s">
        <v>77</v>
      </c>
      <c r="AP132" t="s">
        <v>78</v>
      </c>
      <c r="AQ132" t="s">
        <v>178</v>
      </c>
      <c r="AR132" t="s">
        <v>80</v>
      </c>
      <c r="AS132">
        <v>101</v>
      </c>
      <c r="AT132" t="s">
        <v>81</v>
      </c>
      <c r="AU132">
        <v>-30.75</v>
      </c>
      <c r="AV132">
        <v>7.72</v>
      </c>
      <c r="AW132" t="s">
        <v>82</v>
      </c>
      <c r="AX132">
        <v>101</v>
      </c>
      <c r="AY132" t="s">
        <v>81</v>
      </c>
      <c r="AZ132">
        <v>-41.5</v>
      </c>
      <c r="BA132">
        <v>8</v>
      </c>
      <c r="BB132" t="s">
        <v>83</v>
      </c>
    </row>
    <row r="133" spans="1:54" x14ac:dyDescent="0.4">
      <c r="A133">
        <v>545160</v>
      </c>
      <c r="D133" t="s">
        <v>167</v>
      </c>
      <c r="E133" t="s">
        <v>154</v>
      </c>
      <c r="G133">
        <v>5</v>
      </c>
      <c r="H133" t="s">
        <v>84</v>
      </c>
      <c r="I133" t="s">
        <v>57</v>
      </c>
      <c r="K133" t="s">
        <v>141</v>
      </c>
      <c r="L133" t="s">
        <v>1230</v>
      </c>
      <c r="M133" t="s">
        <v>60</v>
      </c>
      <c r="P133" t="s">
        <v>62</v>
      </c>
      <c r="R133" t="s">
        <v>63</v>
      </c>
      <c r="S133" t="s">
        <v>64</v>
      </c>
      <c r="T133">
        <v>227</v>
      </c>
      <c r="U133">
        <v>208.5</v>
      </c>
      <c r="V133">
        <f t="shared" si="4"/>
        <v>217.75</v>
      </c>
      <c r="W133">
        <f t="shared" si="5"/>
        <v>18.5</v>
      </c>
      <c r="X133">
        <v>-109.462486</v>
      </c>
      <c r="Y133">
        <v>34.437420000000003</v>
      </c>
      <c r="Z133" t="s">
        <v>734</v>
      </c>
      <c r="AA133" t="s">
        <v>66</v>
      </c>
      <c r="AB133" t="s">
        <v>583</v>
      </c>
      <c r="AC133" t="s">
        <v>735</v>
      </c>
      <c r="AD133" t="s">
        <v>174</v>
      </c>
      <c r="AF133" t="s">
        <v>736</v>
      </c>
      <c r="AH133" t="s">
        <v>72</v>
      </c>
      <c r="AI133" t="s">
        <v>779</v>
      </c>
      <c r="AJ133">
        <v>1994</v>
      </c>
      <c r="AK133" t="s">
        <v>737</v>
      </c>
      <c r="AN133" t="s">
        <v>76</v>
      </c>
      <c r="AO133">
        <v>8</v>
      </c>
      <c r="AP133" t="s">
        <v>78</v>
      </c>
      <c r="AQ133" t="s">
        <v>738</v>
      </c>
      <c r="AR133" t="s">
        <v>80</v>
      </c>
      <c r="AS133">
        <v>101</v>
      </c>
      <c r="AT133" t="s">
        <v>81</v>
      </c>
      <c r="AU133">
        <v>-37.44</v>
      </c>
      <c r="AV133">
        <v>9.8800000000000008</v>
      </c>
      <c r="AW133" t="s">
        <v>82</v>
      </c>
      <c r="AX133">
        <v>133</v>
      </c>
      <c r="AY133" t="s">
        <v>81</v>
      </c>
      <c r="AZ133">
        <v>-52.23</v>
      </c>
      <c r="BA133">
        <v>9.9499999999999993</v>
      </c>
      <c r="BB133" t="s">
        <v>83</v>
      </c>
    </row>
    <row r="134" spans="1:54" x14ac:dyDescent="0.4">
      <c r="A134">
        <v>545161</v>
      </c>
      <c r="D134" t="s">
        <v>54</v>
      </c>
      <c r="G134">
        <v>1</v>
      </c>
      <c r="H134" t="s">
        <v>84</v>
      </c>
      <c r="I134" t="s">
        <v>57</v>
      </c>
      <c r="K134" t="s">
        <v>141</v>
      </c>
      <c r="L134" t="s">
        <v>1231</v>
      </c>
      <c r="M134" t="s">
        <v>60</v>
      </c>
      <c r="P134" t="s">
        <v>62</v>
      </c>
      <c r="R134" t="s">
        <v>63</v>
      </c>
      <c r="S134" t="s">
        <v>64</v>
      </c>
      <c r="T134">
        <v>227</v>
      </c>
      <c r="U134">
        <v>208.5</v>
      </c>
      <c r="V134">
        <f t="shared" si="4"/>
        <v>217.75</v>
      </c>
      <c r="W134">
        <f t="shared" si="5"/>
        <v>18.5</v>
      </c>
      <c r="X134">
        <v>-104.150558</v>
      </c>
      <c r="Y134">
        <v>34.979168000000001</v>
      </c>
      <c r="Z134" t="s">
        <v>886</v>
      </c>
      <c r="AA134" t="s">
        <v>66</v>
      </c>
      <c r="AB134" t="s">
        <v>846</v>
      </c>
      <c r="AC134" t="s">
        <v>1232</v>
      </c>
      <c r="AD134" t="s">
        <v>907</v>
      </c>
      <c r="AE134" t="s">
        <v>201</v>
      </c>
      <c r="AH134" t="s">
        <v>72</v>
      </c>
      <c r="AI134" t="s">
        <v>779</v>
      </c>
      <c r="AJ134">
        <v>1994</v>
      </c>
      <c r="AK134" t="s">
        <v>1233</v>
      </c>
      <c r="AM134" t="s">
        <v>1234</v>
      </c>
      <c r="AN134" t="s">
        <v>76</v>
      </c>
      <c r="AO134" t="s">
        <v>77</v>
      </c>
      <c r="AP134" t="s">
        <v>115</v>
      </c>
      <c r="AQ134" t="s">
        <v>1235</v>
      </c>
      <c r="AR134" t="s">
        <v>80</v>
      </c>
      <c r="AS134">
        <v>101</v>
      </c>
      <c r="AT134" t="s">
        <v>81</v>
      </c>
      <c r="AU134">
        <v>-32.99</v>
      </c>
      <c r="AV134">
        <v>9.6199999999999992</v>
      </c>
      <c r="AW134" t="s">
        <v>82</v>
      </c>
      <c r="AX134">
        <v>101</v>
      </c>
      <c r="AY134" t="s">
        <v>81</v>
      </c>
      <c r="AZ134">
        <v>-43.81</v>
      </c>
      <c r="BA134">
        <v>9.81</v>
      </c>
      <c r="BB134" t="s">
        <v>83</v>
      </c>
    </row>
    <row r="135" spans="1:54" x14ac:dyDescent="0.4">
      <c r="A135">
        <v>557168</v>
      </c>
      <c r="D135" t="s">
        <v>54</v>
      </c>
      <c r="G135">
        <v>3</v>
      </c>
      <c r="H135" t="s">
        <v>84</v>
      </c>
      <c r="I135" t="s">
        <v>57</v>
      </c>
      <c r="K135" t="s">
        <v>196</v>
      </c>
      <c r="L135" t="s">
        <v>197</v>
      </c>
      <c r="M135" t="s">
        <v>60</v>
      </c>
      <c r="O135" t="s">
        <v>87</v>
      </c>
      <c r="P135" t="s">
        <v>62</v>
      </c>
      <c r="R135" t="s">
        <v>63</v>
      </c>
      <c r="S135" t="s">
        <v>64</v>
      </c>
      <c r="T135">
        <v>227</v>
      </c>
      <c r="U135">
        <v>208.5</v>
      </c>
      <c r="V135">
        <f t="shared" si="4"/>
        <v>217.75</v>
      </c>
      <c r="W135">
        <f t="shared" si="5"/>
        <v>18.5</v>
      </c>
      <c r="X135">
        <v>-109.79361</v>
      </c>
      <c r="Y135">
        <v>34.891666000000001</v>
      </c>
      <c r="Z135" t="s">
        <v>124</v>
      </c>
      <c r="AA135" t="s">
        <v>66</v>
      </c>
      <c r="AB135" t="s">
        <v>583</v>
      </c>
      <c r="AC135" t="s">
        <v>735</v>
      </c>
      <c r="AD135" t="s">
        <v>174</v>
      </c>
      <c r="AF135" t="s">
        <v>1068</v>
      </c>
      <c r="AH135" t="s">
        <v>72</v>
      </c>
      <c r="AI135" t="s">
        <v>740</v>
      </c>
      <c r="AJ135">
        <v>1995</v>
      </c>
      <c r="AK135" t="s">
        <v>1236</v>
      </c>
      <c r="AM135" t="s">
        <v>1237</v>
      </c>
      <c r="AN135" t="s">
        <v>192</v>
      </c>
      <c r="AO135" t="s">
        <v>77</v>
      </c>
      <c r="AR135" t="s">
        <v>80</v>
      </c>
      <c r="AS135">
        <v>101</v>
      </c>
      <c r="AT135" t="s">
        <v>81</v>
      </c>
      <c r="AU135">
        <v>-37.619999999999997</v>
      </c>
      <c r="AV135">
        <v>10.38</v>
      </c>
      <c r="AW135" t="s">
        <v>82</v>
      </c>
      <c r="AX135">
        <v>133</v>
      </c>
      <c r="AY135" t="s">
        <v>81</v>
      </c>
      <c r="AZ135">
        <v>-52.42</v>
      </c>
      <c r="BA135">
        <v>10.45</v>
      </c>
      <c r="BB135" t="s">
        <v>83</v>
      </c>
    </row>
    <row r="136" spans="1:54" x14ac:dyDescent="0.4">
      <c r="A136">
        <v>557171</v>
      </c>
      <c r="D136" t="s">
        <v>54</v>
      </c>
      <c r="E136" t="s">
        <v>55</v>
      </c>
      <c r="G136">
        <v>3</v>
      </c>
      <c r="H136" t="s">
        <v>84</v>
      </c>
      <c r="I136" t="s">
        <v>57</v>
      </c>
      <c r="K136" t="s">
        <v>323</v>
      </c>
      <c r="L136" t="s">
        <v>1124</v>
      </c>
      <c r="M136" t="s">
        <v>1125</v>
      </c>
      <c r="N136" t="s">
        <v>1126</v>
      </c>
      <c r="O136" t="s">
        <v>87</v>
      </c>
      <c r="P136" t="s">
        <v>62</v>
      </c>
      <c r="R136" t="s">
        <v>63</v>
      </c>
      <c r="S136" t="s">
        <v>64</v>
      </c>
      <c r="T136">
        <v>227</v>
      </c>
      <c r="U136">
        <v>208.5</v>
      </c>
      <c r="V136">
        <f t="shared" si="4"/>
        <v>217.75</v>
      </c>
      <c r="W136">
        <f t="shared" si="5"/>
        <v>18.5</v>
      </c>
      <c r="X136">
        <v>-109.83409899999999</v>
      </c>
      <c r="Y136">
        <v>35.110900999999998</v>
      </c>
      <c r="Z136" t="s">
        <v>582</v>
      </c>
      <c r="AA136" t="s">
        <v>66</v>
      </c>
      <c r="AB136" t="s">
        <v>583</v>
      </c>
      <c r="AC136" t="s">
        <v>735</v>
      </c>
      <c r="AD136" t="s">
        <v>174</v>
      </c>
      <c r="AF136" t="s">
        <v>749</v>
      </c>
      <c r="AH136" t="s">
        <v>72</v>
      </c>
      <c r="AI136" t="s">
        <v>1127</v>
      </c>
      <c r="AJ136">
        <v>2009</v>
      </c>
      <c r="AK136" t="s">
        <v>1238</v>
      </c>
      <c r="AM136" t="s">
        <v>1239</v>
      </c>
      <c r="AN136" t="s">
        <v>114</v>
      </c>
      <c r="AO136">
        <v>4</v>
      </c>
      <c r="AP136" t="s">
        <v>115</v>
      </c>
      <c r="AQ136" t="s">
        <v>1240</v>
      </c>
      <c r="AR136" t="s">
        <v>80</v>
      </c>
      <c r="AS136">
        <v>101</v>
      </c>
      <c r="AT136" t="s">
        <v>81</v>
      </c>
      <c r="AU136">
        <v>-37.61</v>
      </c>
      <c r="AV136">
        <v>10.6</v>
      </c>
      <c r="AW136" t="s">
        <v>82</v>
      </c>
      <c r="AX136">
        <v>133</v>
      </c>
      <c r="AY136" t="s">
        <v>81</v>
      </c>
      <c r="AZ136">
        <v>-52.42</v>
      </c>
      <c r="BA136">
        <v>10.67</v>
      </c>
      <c r="BB136" t="s">
        <v>83</v>
      </c>
    </row>
    <row r="137" spans="1:54" x14ac:dyDescent="0.4">
      <c r="A137">
        <v>557172</v>
      </c>
      <c r="D137" t="s">
        <v>54</v>
      </c>
      <c r="E137" t="s">
        <v>55</v>
      </c>
      <c r="G137">
        <v>1</v>
      </c>
      <c r="H137" t="s">
        <v>56</v>
      </c>
      <c r="I137" t="s">
        <v>57</v>
      </c>
      <c r="K137" t="s">
        <v>206</v>
      </c>
      <c r="L137" t="s">
        <v>851</v>
      </c>
      <c r="M137" t="s">
        <v>60</v>
      </c>
      <c r="O137" t="s">
        <v>170</v>
      </c>
      <c r="P137" t="s">
        <v>62</v>
      </c>
      <c r="R137" t="s">
        <v>63</v>
      </c>
      <c r="S137" t="s">
        <v>64</v>
      </c>
      <c r="T137">
        <v>227</v>
      </c>
      <c r="U137">
        <v>208.5</v>
      </c>
      <c r="V137">
        <f t="shared" si="4"/>
        <v>217.75</v>
      </c>
      <c r="W137">
        <f t="shared" si="5"/>
        <v>18.5</v>
      </c>
      <c r="X137">
        <v>-109.83409899999999</v>
      </c>
      <c r="Y137">
        <v>35.110900999999998</v>
      </c>
      <c r="Z137" t="s">
        <v>582</v>
      </c>
      <c r="AA137" t="s">
        <v>66</v>
      </c>
      <c r="AB137" t="s">
        <v>583</v>
      </c>
      <c r="AC137" t="s">
        <v>735</v>
      </c>
      <c r="AD137" t="s">
        <v>174</v>
      </c>
      <c r="AF137" t="s">
        <v>749</v>
      </c>
      <c r="AH137" t="s">
        <v>72</v>
      </c>
      <c r="AI137" t="s">
        <v>1123</v>
      </c>
      <c r="AJ137">
        <v>2005</v>
      </c>
      <c r="AK137" t="s">
        <v>1238</v>
      </c>
      <c r="AM137" t="s">
        <v>1239</v>
      </c>
      <c r="AN137" t="s">
        <v>114</v>
      </c>
      <c r="AO137">
        <v>4</v>
      </c>
      <c r="AP137" t="s">
        <v>115</v>
      </c>
      <c r="AQ137" t="s">
        <v>1240</v>
      </c>
      <c r="AR137" t="s">
        <v>80</v>
      </c>
      <c r="AS137">
        <v>101</v>
      </c>
      <c r="AT137" t="s">
        <v>81</v>
      </c>
      <c r="AU137">
        <v>-37.61</v>
      </c>
      <c r="AV137">
        <v>10.6</v>
      </c>
      <c r="AW137" t="s">
        <v>82</v>
      </c>
      <c r="AX137">
        <v>133</v>
      </c>
      <c r="AY137" t="s">
        <v>81</v>
      </c>
      <c r="AZ137">
        <v>-52.42</v>
      </c>
      <c r="BA137">
        <v>10.67</v>
      </c>
      <c r="BB137" t="s">
        <v>83</v>
      </c>
    </row>
    <row r="138" spans="1:54" x14ac:dyDescent="0.4">
      <c r="A138">
        <v>557172</v>
      </c>
      <c r="D138" t="s">
        <v>54</v>
      </c>
      <c r="E138" t="s">
        <v>55</v>
      </c>
      <c r="G138">
        <v>1</v>
      </c>
      <c r="H138" t="s">
        <v>56</v>
      </c>
      <c r="I138" t="s">
        <v>57</v>
      </c>
      <c r="K138" t="s">
        <v>206</v>
      </c>
      <c r="L138" t="s">
        <v>851</v>
      </c>
      <c r="M138" t="s">
        <v>60</v>
      </c>
      <c r="O138" t="s">
        <v>170</v>
      </c>
      <c r="P138" t="s">
        <v>62</v>
      </c>
      <c r="R138" t="s">
        <v>63</v>
      </c>
      <c r="S138" t="s">
        <v>64</v>
      </c>
      <c r="T138">
        <v>227</v>
      </c>
      <c r="U138">
        <v>208.5</v>
      </c>
      <c r="V138">
        <f t="shared" si="4"/>
        <v>217.75</v>
      </c>
      <c r="W138">
        <f t="shared" si="5"/>
        <v>18.5</v>
      </c>
      <c r="X138">
        <v>-109.83409899999999</v>
      </c>
      <c r="Y138">
        <v>35.110900999999998</v>
      </c>
      <c r="Z138" t="s">
        <v>582</v>
      </c>
      <c r="AA138" t="s">
        <v>66</v>
      </c>
      <c r="AB138" t="s">
        <v>583</v>
      </c>
      <c r="AC138" t="s">
        <v>735</v>
      </c>
      <c r="AD138" t="s">
        <v>174</v>
      </c>
      <c r="AF138" t="s">
        <v>749</v>
      </c>
      <c r="AH138" t="s">
        <v>72</v>
      </c>
      <c r="AI138" t="s">
        <v>1123</v>
      </c>
      <c r="AJ138">
        <v>2005</v>
      </c>
      <c r="AK138" t="s">
        <v>1238</v>
      </c>
      <c r="AM138" t="s">
        <v>1239</v>
      </c>
      <c r="AN138" t="s">
        <v>114</v>
      </c>
      <c r="AO138">
        <v>4</v>
      </c>
      <c r="AP138" t="s">
        <v>115</v>
      </c>
      <c r="AQ138" t="s">
        <v>1240</v>
      </c>
      <c r="AR138" t="s">
        <v>80</v>
      </c>
      <c r="AS138">
        <v>101</v>
      </c>
      <c r="AT138" t="s">
        <v>81</v>
      </c>
      <c r="AU138">
        <v>-37.61</v>
      </c>
      <c r="AV138">
        <v>10.6</v>
      </c>
      <c r="AW138" t="s">
        <v>82</v>
      </c>
      <c r="AX138">
        <v>133</v>
      </c>
      <c r="AY138" t="s">
        <v>81</v>
      </c>
      <c r="AZ138">
        <v>-52.42</v>
      </c>
      <c r="BA138">
        <v>10.67</v>
      </c>
      <c r="BB138" t="s">
        <v>83</v>
      </c>
    </row>
    <row r="139" spans="1:54" x14ac:dyDescent="0.4">
      <c r="A139">
        <v>557172</v>
      </c>
      <c r="D139" t="s">
        <v>54</v>
      </c>
      <c r="E139" t="s">
        <v>55</v>
      </c>
      <c r="G139">
        <v>1</v>
      </c>
      <c r="H139" t="s">
        <v>56</v>
      </c>
      <c r="I139" t="s">
        <v>57</v>
      </c>
      <c r="K139" t="s">
        <v>206</v>
      </c>
      <c r="L139" t="s">
        <v>851</v>
      </c>
      <c r="M139" t="s">
        <v>60</v>
      </c>
      <c r="O139" t="s">
        <v>170</v>
      </c>
      <c r="P139" t="s">
        <v>62</v>
      </c>
      <c r="R139" t="s">
        <v>63</v>
      </c>
      <c r="S139" t="s">
        <v>64</v>
      </c>
      <c r="T139">
        <v>227</v>
      </c>
      <c r="U139">
        <v>208.5</v>
      </c>
      <c r="V139">
        <f t="shared" si="4"/>
        <v>217.75</v>
      </c>
      <c r="W139">
        <f t="shared" si="5"/>
        <v>18.5</v>
      </c>
      <c r="X139">
        <v>-109.83409899999999</v>
      </c>
      <c r="Y139">
        <v>35.110900999999998</v>
      </c>
      <c r="Z139" t="s">
        <v>582</v>
      </c>
      <c r="AA139" t="s">
        <v>66</v>
      </c>
      <c r="AB139" t="s">
        <v>583</v>
      </c>
      <c r="AC139" t="s">
        <v>735</v>
      </c>
      <c r="AD139" t="s">
        <v>174</v>
      </c>
      <c r="AF139" t="s">
        <v>749</v>
      </c>
      <c r="AH139" t="s">
        <v>72</v>
      </c>
      <c r="AI139" t="s">
        <v>1123</v>
      </c>
      <c r="AJ139">
        <v>2005</v>
      </c>
      <c r="AK139" t="s">
        <v>1238</v>
      </c>
      <c r="AM139" t="s">
        <v>1239</v>
      </c>
      <c r="AN139" t="s">
        <v>114</v>
      </c>
      <c r="AO139">
        <v>4</v>
      </c>
      <c r="AP139" t="s">
        <v>115</v>
      </c>
      <c r="AQ139" t="s">
        <v>1240</v>
      </c>
      <c r="AR139" t="s">
        <v>80</v>
      </c>
      <c r="AS139">
        <v>101</v>
      </c>
      <c r="AT139" t="s">
        <v>81</v>
      </c>
      <c r="AU139">
        <v>-37.61</v>
      </c>
      <c r="AV139">
        <v>10.6</v>
      </c>
      <c r="AW139" t="s">
        <v>82</v>
      </c>
      <c r="AX139">
        <v>133</v>
      </c>
      <c r="AY139" t="s">
        <v>81</v>
      </c>
      <c r="AZ139">
        <v>-52.42</v>
      </c>
      <c r="BA139">
        <v>10.67</v>
      </c>
      <c r="BB139" t="s">
        <v>83</v>
      </c>
    </row>
    <row r="140" spans="1:54" x14ac:dyDescent="0.4">
      <c r="A140">
        <v>557173</v>
      </c>
      <c r="D140" t="s">
        <v>54</v>
      </c>
      <c r="E140" t="s">
        <v>55</v>
      </c>
      <c r="G140">
        <v>2</v>
      </c>
      <c r="H140" t="s">
        <v>84</v>
      </c>
      <c r="I140" t="s">
        <v>57</v>
      </c>
      <c r="K140" t="s">
        <v>196</v>
      </c>
      <c r="L140" t="s">
        <v>197</v>
      </c>
      <c r="M140" t="s">
        <v>60</v>
      </c>
      <c r="O140" t="s">
        <v>87</v>
      </c>
      <c r="P140" t="s">
        <v>62</v>
      </c>
      <c r="R140" t="s">
        <v>63</v>
      </c>
      <c r="S140" t="s">
        <v>64</v>
      </c>
      <c r="T140">
        <v>227</v>
      </c>
      <c r="U140">
        <v>208.5</v>
      </c>
      <c r="V140">
        <f t="shared" si="4"/>
        <v>217.75</v>
      </c>
      <c r="W140">
        <f t="shared" si="5"/>
        <v>18.5</v>
      </c>
      <c r="X140">
        <v>-109.83409899999999</v>
      </c>
      <c r="Y140">
        <v>35.110900999999998</v>
      </c>
      <c r="Z140" t="s">
        <v>582</v>
      </c>
      <c r="AA140" t="s">
        <v>66</v>
      </c>
      <c r="AB140" t="s">
        <v>583</v>
      </c>
      <c r="AC140" t="s">
        <v>735</v>
      </c>
      <c r="AD140" t="s">
        <v>174</v>
      </c>
      <c r="AF140" t="s">
        <v>749</v>
      </c>
      <c r="AH140" t="s">
        <v>11</v>
      </c>
      <c r="AI140" t="s">
        <v>1123</v>
      </c>
      <c r="AJ140">
        <v>2005</v>
      </c>
      <c r="AK140" t="s">
        <v>1238</v>
      </c>
      <c r="AM140" t="s">
        <v>1239</v>
      </c>
      <c r="AN140" t="s">
        <v>114</v>
      </c>
      <c r="AO140">
        <v>4</v>
      </c>
      <c r="AP140" t="s">
        <v>115</v>
      </c>
      <c r="AQ140" t="s">
        <v>1240</v>
      </c>
      <c r="AR140" t="s">
        <v>80</v>
      </c>
      <c r="AS140">
        <v>101</v>
      </c>
      <c r="AT140" t="s">
        <v>81</v>
      </c>
      <c r="AU140">
        <v>-37.61</v>
      </c>
      <c r="AV140">
        <v>10.6</v>
      </c>
      <c r="AW140" t="s">
        <v>82</v>
      </c>
      <c r="AX140">
        <v>133</v>
      </c>
      <c r="AY140" t="s">
        <v>81</v>
      </c>
      <c r="AZ140">
        <v>-52.42</v>
      </c>
      <c r="BA140">
        <v>10.67</v>
      </c>
      <c r="BB140" t="s">
        <v>83</v>
      </c>
    </row>
    <row r="141" spans="1:54" x14ac:dyDescent="0.4">
      <c r="A141">
        <v>557174</v>
      </c>
      <c r="D141" t="s">
        <v>54</v>
      </c>
      <c r="E141" t="s">
        <v>55</v>
      </c>
      <c r="I141" t="s">
        <v>57</v>
      </c>
      <c r="K141" t="s">
        <v>767</v>
      </c>
      <c r="L141" t="s">
        <v>768</v>
      </c>
      <c r="M141" t="s">
        <v>60</v>
      </c>
      <c r="N141" t="s">
        <v>119</v>
      </c>
      <c r="O141" t="s">
        <v>87</v>
      </c>
      <c r="P141" t="s">
        <v>62</v>
      </c>
      <c r="R141" t="s">
        <v>63</v>
      </c>
      <c r="S141" t="s">
        <v>64</v>
      </c>
      <c r="T141">
        <v>227</v>
      </c>
      <c r="U141">
        <v>208.5</v>
      </c>
      <c r="V141">
        <f t="shared" si="4"/>
        <v>217.75</v>
      </c>
      <c r="W141">
        <f t="shared" si="5"/>
        <v>18.5</v>
      </c>
      <c r="X141">
        <v>-109.83409899999999</v>
      </c>
      <c r="Y141">
        <v>35.110900999999998</v>
      </c>
      <c r="Z141" t="s">
        <v>582</v>
      </c>
      <c r="AA141" t="s">
        <v>66</v>
      </c>
      <c r="AB141" t="s">
        <v>583</v>
      </c>
      <c r="AC141" t="s">
        <v>735</v>
      </c>
      <c r="AD141" t="s">
        <v>174</v>
      </c>
      <c r="AF141" t="s">
        <v>749</v>
      </c>
      <c r="AH141" t="s">
        <v>11</v>
      </c>
      <c r="AI141" t="s">
        <v>1123</v>
      </c>
      <c r="AJ141">
        <v>2005</v>
      </c>
      <c r="AK141" t="s">
        <v>1238</v>
      </c>
      <c r="AM141" t="s">
        <v>1239</v>
      </c>
      <c r="AN141" t="s">
        <v>114</v>
      </c>
      <c r="AO141">
        <v>4</v>
      </c>
      <c r="AP141" t="s">
        <v>115</v>
      </c>
      <c r="AQ141" t="s">
        <v>1240</v>
      </c>
      <c r="AR141" t="s">
        <v>80</v>
      </c>
      <c r="AS141">
        <v>101</v>
      </c>
      <c r="AT141" t="s">
        <v>81</v>
      </c>
      <c r="AU141">
        <v>-37.61</v>
      </c>
      <c r="AV141">
        <v>10.6</v>
      </c>
      <c r="AW141" t="s">
        <v>82</v>
      </c>
      <c r="AX141">
        <v>133</v>
      </c>
      <c r="AY141" t="s">
        <v>81</v>
      </c>
      <c r="AZ141">
        <v>-52.42</v>
      </c>
      <c r="BA141">
        <v>10.67</v>
      </c>
      <c r="BB141" t="s">
        <v>83</v>
      </c>
    </row>
    <row r="142" spans="1:54" x14ac:dyDescent="0.4">
      <c r="A142">
        <v>557175</v>
      </c>
      <c r="D142" t="s">
        <v>54</v>
      </c>
      <c r="E142" t="s">
        <v>55</v>
      </c>
      <c r="I142" t="s">
        <v>57</v>
      </c>
      <c r="K142" t="s">
        <v>141</v>
      </c>
      <c r="L142" t="s">
        <v>905</v>
      </c>
      <c r="M142" t="s">
        <v>60</v>
      </c>
      <c r="O142" t="s">
        <v>170</v>
      </c>
      <c r="P142" t="s">
        <v>62</v>
      </c>
      <c r="R142" t="s">
        <v>63</v>
      </c>
      <c r="S142" t="s">
        <v>64</v>
      </c>
      <c r="T142">
        <v>227</v>
      </c>
      <c r="U142">
        <v>208.5</v>
      </c>
      <c r="V142">
        <f t="shared" si="4"/>
        <v>217.75</v>
      </c>
      <c r="W142">
        <f t="shared" si="5"/>
        <v>18.5</v>
      </c>
      <c r="X142">
        <v>-109.83409899999999</v>
      </c>
      <c r="Y142">
        <v>35.110900999999998</v>
      </c>
      <c r="Z142" t="s">
        <v>582</v>
      </c>
      <c r="AA142" t="s">
        <v>66</v>
      </c>
      <c r="AB142" t="s">
        <v>583</v>
      </c>
      <c r="AC142" t="s">
        <v>735</v>
      </c>
      <c r="AD142" t="s">
        <v>174</v>
      </c>
      <c r="AF142" t="s">
        <v>749</v>
      </c>
      <c r="AH142" t="s">
        <v>72</v>
      </c>
      <c r="AI142" t="s">
        <v>1123</v>
      </c>
      <c r="AJ142">
        <v>2005</v>
      </c>
      <c r="AK142" t="s">
        <v>1238</v>
      </c>
      <c r="AM142" t="s">
        <v>1239</v>
      </c>
      <c r="AN142" t="s">
        <v>114</v>
      </c>
      <c r="AO142">
        <v>4</v>
      </c>
      <c r="AP142" t="s">
        <v>115</v>
      </c>
      <c r="AQ142" t="s">
        <v>1240</v>
      </c>
      <c r="AR142" t="s">
        <v>80</v>
      </c>
      <c r="AS142">
        <v>101</v>
      </c>
      <c r="AT142" t="s">
        <v>81</v>
      </c>
      <c r="AU142">
        <v>-37.61</v>
      </c>
      <c r="AV142">
        <v>10.6</v>
      </c>
      <c r="AW142" t="s">
        <v>82</v>
      </c>
      <c r="AX142">
        <v>133</v>
      </c>
      <c r="AY142" t="s">
        <v>81</v>
      </c>
      <c r="AZ142">
        <v>-52.42</v>
      </c>
      <c r="BA142">
        <v>10.67</v>
      </c>
      <c r="BB142" t="s">
        <v>83</v>
      </c>
    </row>
    <row r="143" spans="1:54" x14ac:dyDescent="0.4">
      <c r="A143">
        <v>557177</v>
      </c>
      <c r="D143" t="s">
        <v>54</v>
      </c>
      <c r="E143" t="s">
        <v>55</v>
      </c>
      <c r="G143">
        <v>1</v>
      </c>
      <c r="H143" t="s">
        <v>56</v>
      </c>
      <c r="I143" t="s">
        <v>57</v>
      </c>
      <c r="K143" t="s">
        <v>741</v>
      </c>
      <c r="L143" t="s">
        <v>854</v>
      </c>
      <c r="M143" t="s">
        <v>60</v>
      </c>
      <c r="N143" t="s">
        <v>256</v>
      </c>
      <c r="O143" t="s">
        <v>87</v>
      </c>
      <c r="P143" t="s">
        <v>62</v>
      </c>
      <c r="R143" t="s">
        <v>63</v>
      </c>
      <c r="S143" t="s">
        <v>64</v>
      </c>
      <c r="T143">
        <v>227</v>
      </c>
      <c r="U143">
        <v>208.5</v>
      </c>
      <c r="V143">
        <f t="shared" si="4"/>
        <v>217.75</v>
      </c>
      <c r="W143">
        <f t="shared" si="5"/>
        <v>18.5</v>
      </c>
      <c r="X143">
        <v>-109.83409899999999</v>
      </c>
      <c r="Y143">
        <v>35.110900999999998</v>
      </c>
      <c r="Z143" t="s">
        <v>582</v>
      </c>
      <c r="AA143" t="s">
        <v>66</v>
      </c>
      <c r="AB143" t="s">
        <v>583</v>
      </c>
      <c r="AC143" t="s">
        <v>735</v>
      </c>
      <c r="AD143" t="s">
        <v>174</v>
      </c>
      <c r="AF143" t="s">
        <v>749</v>
      </c>
      <c r="AH143" t="s">
        <v>11</v>
      </c>
      <c r="AI143" t="s">
        <v>1123</v>
      </c>
      <c r="AJ143">
        <v>2005</v>
      </c>
      <c r="AK143" t="s">
        <v>1238</v>
      </c>
      <c r="AM143" t="s">
        <v>1239</v>
      </c>
      <c r="AN143" t="s">
        <v>114</v>
      </c>
      <c r="AO143">
        <v>4</v>
      </c>
      <c r="AP143" t="s">
        <v>115</v>
      </c>
      <c r="AQ143" t="s">
        <v>1240</v>
      </c>
      <c r="AR143" t="s">
        <v>80</v>
      </c>
      <c r="AS143">
        <v>101</v>
      </c>
      <c r="AT143" t="s">
        <v>81</v>
      </c>
      <c r="AU143">
        <v>-37.61</v>
      </c>
      <c r="AV143">
        <v>10.6</v>
      </c>
      <c r="AW143" t="s">
        <v>82</v>
      </c>
      <c r="AX143">
        <v>133</v>
      </c>
      <c r="AY143" t="s">
        <v>81</v>
      </c>
      <c r="AZ143">
        <v>-52.42</v>
      </c>
      <c r="BA143">
        <v>10.67</v>
      </c>
      <c r="BB143" t="s">
        <v>83</v>
      </c>
    </row>
    <row r="144" spans="1:54" x14ac:dyDescent="0.4">
      <c r="A144">
        <v>557177</v>
      </c>
      <c r="D144" t="s">
        <v>54</v>
      </c>
      <c r="E144" t="s">
        <v>55</v>
      </c>
      <c r="G144">
        <v>1</v>
      </c>
      <c r="H144" t="s">
        <v>56</v>
      </c>
      <c r="I144" t="s">
        <v>57</v>
      </c>
      <c r="K144" t="s">
        <v>741</v>
      </c>
      <c r="L144" t="s">
        <v>854</v>
      </c>
      <c r="M144" t="s">
        <v>60</v>
      </c>
      <c r="N144" t="s">
        <v>256</v>
      </c>
      <c r="O144" t="s">
        <v>87</v>
      </c>
      <c r="P144" t="s">
        <v>62</v>
      </c>
      <c r="R144" t="s">
        <v>63</v>
      </c>
      <c r="S144" t="s">
        <v>64</v>
      </c>
      <c r="T144">
        <v>227</v>
      </c>
      <c r="U144">
        <v>208.5</v>
      </c>
      <c r="V144">
        <f t="shared" si="4"/>
        <v>217.75</v>
      </c>
      <c r="W144">
        <f t="shared" si="5"/>
        <v>18.5</v>
      </c>
      <c r="X144">
        <v>-109.83409899999999</v>
      </c>
      <c r="Y144">
        <v>35.110900999999998</v>
      </c>
      <c r="Z144" t="s">
        <v>582</v>
      </c>
      <c r="AA144" t="s">
        <v>66</v>
      </c>
      <c r="AB144" t="s">
        <v>583</v>
      </c>
      <c r="AC144" t="s">
        <v>735</v>
      </c>
      <c r="AD144" t="s">
        <v>174</v>
      </c>
      <c r="AF144" t="s">
        <v>749</v>
      </c>
      <c r="AH144" t="s">
        <v>11</v>
      </c>
      <c r="AI144" t="s">
        <v>1123</v>
      </c>
      <c r="AJ144">
        <v>2005</v>
      </c>
      <c r="AK144" t="s">
        <v>1238</v>
      </c>
      <c r="AM144" t="s">
        <v>1239</v>
      </c>
      <c r="AN144" t="s">
        <v>114</v>
      </c>
      <c r="AO144">
        <v>4</v>
      </c>
      <c r="AP144" t="s">
        <v>115</v>
      </c>
      <c r="AQ144" t="s">
        <v>1240</v>
      </c>
      <c r="AR144" t="s">
        <v>80</v>
      </c>
      <c r="AS144">
        <v>101</v>
      </c>
      <c r="AT144" t="s">
        <v>81</v>
      </c>
      <c r="AU144">
        <v>-37.61</v>
      </c>
      <c r="AV144">
        <v>10.6</v>
      </c>
      <c r="AW144" t="s">
        <v>82</v>
      </c>
      <c r="AX144">
        <v>133</v>
      </c>
      <c r="AY144" t="s">
        <v>81</v>
      </c>
      <c r="AZ144">
        <v>-52.42</v>
      </c>
      <c r="BA144">
        <v>10.67</v>
      </c>
      <c r="BB144" t="s">
        <v>83</v>
      </c>
    </row>
    <row r="145" spans="1:54" x14ac:dyDescent="0.4">
      <c r="A145">
        <v>557177</v>
      </c>
      <c r="D145" t="s">
        <v>54</v>
      </c>
      <c r="E145" t="s">
        <v>55</v>
      </c>
      <c r="G145">
        <v>1</v>
      </c>
      <c r="H145" t="s">
        <v>56</v>
      </c>
      <c r="I145" t="s">
        <v>57</v>
      </c>
      <c r="K145" t="s">
        <v>741</v>
      </c>
      <c r="L145" t="s">
        <v>854</v>
      </c>
      <c r="M145" t="s">
        <v>60</v>
      </c>
      <c r="N145" t="s">
        <v>256</v>
      </c>
      <c r="O145" t="s">
        <v>87</v>
      </c>
      <c r="P145" t="s">
        <v>62</v>
      </c>
      <c r="R145" t="s">
        <v>63</v>
      </c>
      <c r="S145" t="s">
        <v>64</v>
      </c>
      <c r="T145">
        <v>227</v>
      </c>
      <c r="U145">
        <v>208.5</v>
      </c>
      <c r="V145">
        <f t="shared" si="4"/>
        <v>217.75</v>
      </c>
      <c r="W145">
        <f t="shared" si="5"/>
        <v>18.5</v>
      </c>
      <c r="X145">
        <v>-109.83409899999999</v>
      </c>
      <c r="Y145">
        <v>35.110900999999998</v>
      </c>
      <c r="Z145" t="s">
        <v>582</v>
      </c>
      <c r="AA145" t="s">
        <v>66</v>
      </c>
      <c r="AB145" t="s">
        <v>583</v>
      </c>
      <c r="AC145" t="s">
        <v>735</v>
      </c>
      <c r="AD145" t="s">
        <v>174</v>
      </c>
      <c r="AF145" t="s">
        <v>749</v>
      </c>
      <c r="AH145" t="s">
        <v>11</v>
      </c>
      <c r="AI145" t="s">
        <v>1123</v>
      </c>
      <c r="AJ145">
        <v>2005</v>
      </c>
      <c r="AK145" t="s">
        <v>1238</v>
      </c>
      <c r="AM145" t="s">
        <v>1239</v>
      </c>
      <c r="AN145" t="s">
        <v>114</v>
      </c>
      <c r="AO145">
        <v>4</v>
      </c>
      <c r="AP145" t="s">
        <v>115</v>
      </c>
      <c r="AQ145" t="s">
        <v>1240</v>
      </c>
      <c r="AR145" t="s">
        <v>80</v>
      </c>
      <c r="AS145">
        <v>101</v>
      </c>
      <c r="AT145" t="s">
        <v>81</v>
      </c>
      <c r="AU145">
        <v>-37.61</v>
      </c>
      <c r="AV145">
        <v>10.6</v>
      </c>
      <c r="AW145" t="s">
        <v>82</v>
      </c>
      <c r="AX145">
        <v>133</v>
      </c>
      <c r="AY145" t="s">
        <v>81</v>
      </c>
      <c r="AZ145">
        <v>-52.42</v>
      </c>
      <c r="BA145">
        <v>10.67</v>
      </c>
      <c r="BB145" t="s">
        <v>83</v>
      </c>
    </row>
    <row r="146" spans="1:54" x14ac:dyDescent="0.4">
      <c r="A146">
        <v>557177</v>
      </c>
      <c r="D146" t="s">
        <v>54</v>
      </c>
      <c r="E146" t="s">
        <v>55</v>
      </c>
      <c r="G146">
        <v>1</v>
      </c>
      <c r="H146" t="s">
        <v>56</v>
      </c>
      <c r="I146" t="s">
        <v>57</v>
      </c>
      <c r="K146" t="s">
        <v>741</v>
      </c>
      <c r="L146" t="s">
        <v>854</v>
      </c>
      <c r="M146" t="s">
        <v>60</v>
      </c>
      <c r="N146" t="s">
        <v>256</v>
      </c>
      <c r="O146" t="s">
        <v>87</v>
      </c>
      <c r="P146" t="s">
        <v>62</v>
      </c>
      <c r="R146" t="s">
        <v>63</v>
      </c>
      <c r="S146" t="s">
        <v>64</v>
      </c>
      <c r="T146">
        <v>227</v>
      </c>
      <c r="U146">
        <v>208.5</v>
      </c>
      <c r="V146">
        <f t="shared" si="4"/>
        <v>217.75</v>
      </c>
      <c r="W146">
        <f t="shared" si="5"/>
        <v>18.5</v>
      </c>
      <c r="X146">
        <v>-109.83409899999999</v>
      </c>
      <c r="Y146">
        <v>35.110900999999998</v>
      </c>
      <c r="Z146" t="s">
        <v>582</v>
      </c>
      <c r="AA146" t="s">
        <v>66</v>
      </c>
      <c r="AB146" t="s">
        <v>583</v>
      </c>
      <c r="AC146" t="s">
        <v>735</v>
      </c>
      <c r="AD146" t="s">
        <v>174</v>
      </c>
      <c r="AF146" t="s">
        <v>749</v>
      </c>
      <c r="AH146" t="s">
        <v>11</v>
      </c>
      <c r="AI146" t="s">
        <v>1123</v>
      </c>
      <c r="AJ146">
        <v>2005</v>
      </c>
      <c r="AK146" t="s">
        <v>1238</v>
      </c>
      <c r="AM146" t="s">
        <v>1239</v>
      </c>
      <c r="AN146" t="s">
        <v>114</v>
      </c>
      <c r="AO146">
        <v>4</v>
      </c>
      <c r="AP146" t="s">
        <v>115</v>
      </c>
      <c r="AQ146" t="s">
        <v>1240</v>
      </c>
      <c r="AR146" t="s">
        <v>80</v>
      </c>
      <c r="AS146">
        <v>101</v>
      </c>
      <c r="AT146" t="s">
        <v>81</v>
      </c>
      <c r="AU146">
        <v>-37.61</v>
      </c>
      <c r="AV146">
        <v>10.6</v>
      </c>
      <c r="AW146" t="s">
        <v>82</v>
      </c>
      <c r="AX146">
        <v>133</v>
      </c>
      <c r="AY146" t="s">
        <v>81</v>
      </c>
      <c r="AZ146">
        <v>-52.42</v>
      </c>
      <c r="BA146">
        <v>10.67</v>
      </c>
      <c r="BB146" t="s">
        <v>83</v>
      </c>
    </row>
    <row r="147" spans="1:54" x14ac:dyDescent="0.4">
      <c r="A147">
        <v>557182</v>
      </c>
      <c r="D147" t="s">
        <v>54</v>
      </c>
      <c r="G147">
        <v>1</v>
      </c>
      <c r="H147" t="s">
        <v>421</v>
      </c>
      <c r="I147" t="s">
        <v>57</v>
      </c>
      <c r="K147" t="s">
        <v>196</v>
      </c>
      <c r="L147" t="s">
        <v>197</v>
      </c>
      <c r="M147" t="s">
        <v>60</v>
      </c>
      <c r="O147" t="s">
        <v>87</v>
      </c>
      <c r="P147" t="s">
        <v>62</v>
      </c>
      <c r="R147" t="s">
        <v>63</v>
      </c>
      <c r="S147" t="s">
        <v>64</v>
      </c>
      <c r="T147">
        <v>227</v>
      </c>
      <c r="U147">
        <v>208.5</v>
      </c>
      <c r="V147">
        <f t="shared" si="4"/>
        <v>217.75</v>
      </c>
      <c r="W147">
        <f t="shared" si="5"/>
        <v>18.5</v>
      </c>
      <c r="X147">
        <v>-109.807503</v>
      </c>
      <c r="Y147">
        <v>35.125</v>
      </c>
      <c r="Z147" t="s">
        <v>124</v>
      </c>
      <c r="AA147" t="s">
        <v>66</v>
      </c>
      <c r="AB147" t="s">
        <v>583</v>
      </c>
      <c r="AC147" t="s">
        <v>735</v>
      </c>
      <c r="AD147" t="s">
        <v>174</v>
      </c>
      <c r="AF147" t="s">
        <v>1078</v>
      </c>
      <c r="AH147" t="s">
        <v>11</v>
      </c>
      <c r="AI147" t="s">
        <v>1123</v>
      </c>
      <c r="AJ147">
        <v>2005</v>
      </c>
      <c r="AK147" t="s">
        <v>1241</v>
      </c>
      <c r="AM147" t="s">
        <v>1242</v>
      </c>
      <c r="AN147" t="s">
        <v>114</v>
      </c>
      <c r="AO147" t="s">
        <v>77</v>
      </c>
      <c r="AR147" t="s">
        <v>80</v>
      </c>
      <c r="AS147">
        <v>101</v>
      </c>
      <c r="AT147" t="s">
        <v>81</v>
      </c>
      <c r="AU147">
        <v>-37.58</v>
      </c>
      <c r="AV147">
        <v>10.61</v>
      </c>
      <c r="AW147" t="s">
        <v>82</v>
      </c>
      <c r="AX147">
        <v>133</v>
      </c>
      <c r="AY147" t="s">
        <v>81</v>
      </c>
      <c r="AZ147">
        <v>-52.39</v>
      </c>
      <c r="BA147">
        <v>10.68</v>
      </c>
      <c r="BB147" t="s">
        <v>83</v>
      </c>
    </row>
    <row r="148" spans="1:54" x14ac:dyDescent="0.4">
      <c r="A148">
        <v>559094</v>
      </c>
      <c r="D148" t="s">
        <v>54</v>
      </c>
      <c r="I148" t="s">
        <v>57</v>
      </c>
      <c r="K148" t="s">
        <v>741</v>
      </c>
      <c r="L148" t="s">
        <v>854</v>
      </c>
      <c r="M148" t="s">
        <v>60</v>
      </c>
      <c r="N148" t="s">
        <v>256</v>
      </c>
      <c r="O148" t="s">
        <v>87</v>
      </c>
      <c r="P148" t="s">
        <v>62</v>
      </c>
      <c r="R148" t="s">
        <v>63</v>
      </c>
      <c r="S148" t="s">
        <v>64</v>
      </c>
      <c r="T148">
        <v>227</v>
      </c>
      <c r="U148">
        <v>208.5</v>
      </c>
      <c r="V148">
        <f t="shared" si="4"/>
        <v>217.75</v>
      </c>
      <c r="W148">
        <f t="shared" si="5"/>
        <v>18.5</v>
      </c>
      <c r="X148">
        <v>-106.473099</v>
      </c>
      <c r="Y148">
        <v>36.331699</v>
      </c>
      <c r="Z148" t="s">
        <v>124</v>
      </c>
      <c r="AA148" t="s">
        <v>66</v>
      </c>
      <c r="AB148" t="s">
        <v>846</v>
      </c>
      <c r="AC148" t="s">
        <v>847</v>
      </c>
      <c r="AD148" t="s">
        <v>174</v>
      </c>
      <c r="AF148" t="s">
        <v>749</v>
      </c>
      <c r="AH148" t="s">
        <v>11</v>
      </c>
      <c r="AI148" t="s">
        <v>73</v>
      </c>
      <c r="AJ148">
        <v>1989</v>
      </c>
      <c r="AK148" t="s">
        <v>1260</v>
      </c>
      <c r="AN148" t="s">
        <v>114</v>
      </c>
      <c r="AO148">
        <v>4</v>
      </c>
      <c r="AP148" t="s">
        <v>115</v>
      </c>
      <c r="AQ148" t="s">
        <v>1261</v>
      </c>
      <c r="AR148" t="s">
        <v>80</v>
      </c>
      <c r="AS148">
        <v>101</v>
      </c>
      <c r="AT148" t="s">
        <v>81</v>
      </c>
      <c r="AU148">
        <v>-34.64</v>
      </c>
      <c r="AV148">
        <v>11.28</v>
      </c>
      <c r="AW148" t="s">
        <v>82</v>
      </c>
      <c r="AX148">
        <v>133</v>
      </c>
      <c r="AY148" t="s">
        <v>81</v>
      </c>
      <c r="AZ148">
        <v>-49.47</v>
      </c>
      <c r="BA148">
        <v>11.43</v>
      </c>
      <c r="BB148" t="s">
        <v>83</v>
      </c>
    </row>
    <row r="149" spans="1:54" x14ac:dyDescent="0.4">
      <c r="A149">
        <v>559095</v>
      </c>
      <c r="D149" t="s">
        <v>54</v>
      </c>
      <c r="I149" t="s">
        <v>57</v>
      </c>
      <c r="K149" t="s">
        <v>168</v>
      </c>
      <c r="L149" t="s">
        <v>169</v>
      </c>
      <c r="M149" t="s">
        <v>60</v>
      </c>
      <c r="O149" t="s">
        <v>170</v>
      </c>
      <c r="P149" t="s">
        <v>62</v>
      </c>
      <c r="R149" t="s">
        <v>63</v>
      </c>
      <c r="S149" t="s">
        <v>64</v>
      </c>
      <c r="T149">
        <v>227</v>
      </c>
      <c r="U149">
        <v>208.5</v>
      </c>
      <c r="V149">
        <f t="shared" si="4"/>
        <v>217.75</v>
      </c>
      <c r="W149">
        <f t="shared" si="5"/>
        <v>18.5</v>
      </c>
      <c r="X149">
        <v>-109.806389</v>
      </c>
      <c r="Y149">
        <v>35.088054999999997</v>
      </c>
      <c r="Z149" t="s">
        <v>124</v>
      </c>
      <c r="AA149" t="s">
        <v>66</v>
      </c>
      <c r="AB149" t="s">
        <v>583</v>
      </c>
      <c r="AD149" t="s">
        <v>174</v>
      </c>
      <c r="AF149" t="s">
        <v>749</v>
      </c>
      <c r="AH149" t="s">
        <v>11</v>
      </c>
      <c r="AI149" t="s">
        <v>743</v>
      </c>
      <c r="AJ149">
        <v>1998</v>
      </c>
      <c r="AK149" t="s">
        <v>1262</v>
      </c>
      <c r="AN149" t="s">
        <v>114</v>
      </c>
      <c r="AO149" t="s">
        <v>77</v>
      </c>
      <c r="AP149" t="s">
        <v>115</v>
      </c>
      <c r="AR149" t="s">
        <v>80</v>
      </c>
      <c r="AS149">
        <v>101</v>
      </c>
      <c r="AT149" t="s">
        <v>81</v>
      </c>
      <c r="AU149">
        <v>-37.590000000000003</v>
      </c>
      <c r="AV149">
        <v>10.57</v>
      </c>
      <c r="AW149" t="s">
        <v>82</v>
      </c>
      <c r="AX149">
        <v>133</v>
      </c>
      <c r="AY149" t="s">
        <v>81</v>
      </c>
      <c r="AZ149">
        <v>-52.4</v>
      </c>
      <c r="BA149">
        <v>10.64</v>
      </c>
      <c r="BB149" t="s">
        <v>83</v>
      </c>
    </row>
    <row r="150" spans="1:54" x14ac:dyDescent="0.4">
      <c r="A150">
        <v>561802</v>
      </c>
      <c r="D150" t="s">
        <v>54</v>
      </c>
      <c r="E150" t="s">
        <v>55</v>
      </c>
      <c r="G150">
        <v>1</v>
      </c>
      <c r="H150" t="s">
        <v>84</v>
      </c>
      <c r="I150" t="s">
        <v>57</v>
      </c>
      <c r="K150" t="s">
        <v>1055</v>
      </c>
      <c r="L150" t="s">
        <v>1056</v>
      </c>
      <c r="M150" t="s">
        <v>60</v>
      </c>
      <c r="P150" t="s">
        <v>62</v>
      </c>
      <c r="R150" t="s">
        <v>63</v>
      </c>
      <c r="S150" t="s">
        <v>64</v>
      </c>
      <c r="T150">
        <v>227</v>
      </c>
      <c r="U150">
        <v>208.5</v>
      </c>
      <c r="V150">
        <f t="shared" si="4"/>
        <v>217.75</v>
      </c>
      <c r="W150">
        <f t="shared" si="5"/>
        <v>18.5</v>
      </c>
      <c r="X150">
        <v>-68.112999000000002</v>
      </c>
      <c r="Y150">
        <v>-30</v>
      </c>
      <c r="Z150" t="s">
        <v>184</v>
      </c>
      <c r="AA150" t="s">
        <v>185</v>
      </c>
      <c r="AB150" t="s">
        <v>186</v>
      </c>
      <c r="AD150" t="s">
        <v>551</v>
      </c>
      <c r="AE150" t="s">
        <v>188</v>
      </c>
      <c r="AH150" t="s">
        <v>72</v>
      </c>
      <c r="AI150" t="s">
        <v>1265</v>
      </c>
      <c r="AJ150">
        <v>1995</v>
      </c>
      <c r="AK150" t="s">
        <v>1266</v>
      </c>
      <c r="AN150" t="s">
        <v>192</v>
      </c>
      <c r="AO150" t="s">
        <v>657</v>
      </c>
      <c r="AP150" t="s">
        <v>115</v>
      </c>
      <c r="AQ150" t="s">
        <v>1267</v>
      </c>
      <c r="AR150" t="s">
        <v>80</v>
      </c>
      <c r="AS150">
        <v>291</v>
      </c>
      <c r="AT150" t="s">
        <v>81</v>
      </c>
      <c r="AU150">
        <v>-22.78</v>
      </c>
      <c r="AV150">
        <v>-39.83</v>
      </c>
      <c r="AW150" t="s">
        <v>82</v>
      </c>
      <c r="AX150">
        <v>291</v>
      </c>
      <c r="AY150" t="s">
        <v>81</v>
      </c>
      <c r="AZ150">
        <v>-31.45</v>
      </c>
      <c r="BA150">
        <v>-39.21</v>
      </c>
      <c r="BB150" t="s">
        <v>83</v>
      </c>
    </row>
    <row r="151" spans="1:54" x14ac:dyDescent="0.4">
      <c r="A151">
        <v>562834</v>
      </c>
      <c r="D151" t="s">
        <v>54</v>
      </c>
      <c r="E151" t="s">
        <v>55</v>
      </c>
      <c r="G151">
        <v>1</v>
      </c>
      <c r="H151" t="s">
        <v>56</v>
      </c>
      <c r="I151" t="s">
        <v>57</v>
      </c>
      <c r="K151" t="s">
        <v>180</v>
      </c>
      <c r="L151" t="s">
        <v>1288</v>
      </c>
      <c r="M151" t="s">
        <v>60</v>
      </c>
      <c r="N151" t="s">
        <v>119</v>
      </c>
      <c r="P151" t="s">
        <v>62</v>
      </c>
      <c r="R151" t="s">
        <v>63</v>
      </c>
      <c r="S151" t="s">
        <v>64</v>
      </c>
      <c r="T151">
        <v>227</v>
      </c>
      <c r="U151">
        <v>208.5</v>
      </c>
      <c r="V151">
        <f t="shared" si="4"/>
        <v>217.75</v>
      </c>
      <c r="W151">
        <f t="shared" si="5"/>
        <v>18.5</v>
      </c>
      <c r="X151">
        <v>-101.31500200000001</v>
      </c>
      <c r="Y151">
        <v>33.521388999999999</v>
      </c>
      <c r="Z151" t="s">
        <v>198</v>
      </c>
      <c r="AA151" t="s">
        <v>66</v>
      </c>
      <c r="AB151" t="s">
        <v>125</v>
      </c>
      <c r="AC151" t="s">
        <v>199</v>
      </c>
      <c r="AD151" t="s">
        <v>200</v>
      </c>
      <c r="AE151" t="s">
        <v>201</v>
      </c>
      <c r="AH151" t="s">
        <v>72</v>
      </c>
      <c r="AI151" t="s">
        <v>202</v>
      </c>
      <c r="AJ151">
        <v>1984</v>
      </c>
      <c r="AK151" t="s">
        <v>203</v>
      </c>
      <c r="AM151" t="s">
        <v>204</v>
      </c>
      <c r="AN151" t="s">
        <v>76</v>
      </c>
      <c r="AO151" t="s">
        <v>77</v>
      </c>
      <c r="AP151" t="s">
        <v>115</v>
      </c>
      <c r="AQ151" t="s">
        <v>205</v>
      </c>
      <c r="AR151" t="s">
        <v>80</v>
      </c>
      <c r="AS151">
        <v>101</v>
      </c>
      <c r="AT151" t="s">
        <v>81</v>
      </c>
      <c r="AU151">
        <v>-30.86</v>
      </c>
      <c r="AV151">
        <v>7.83</v>
      </c>
      <c r="AW151" t="s">
        <v>82</v>
      </c>
      <c r="AX151">
        <v>101</v>
      </c>
      <c r="AY151" t="s">
        <v>81</v>
      </c>
      <c r="AZ151">
        <v>-41.61</v>
      </c>
      <c r="BA151">
        <v>8.1</v>
      </c>
      <c r="BB151" t="s">
        <v>83</v>
      </c>
    </row>
    <row r="152" spans="1:54" x14ac:dyDescent="0.4">
      <c r="A152">
        <v>562835</v>
      </c>
      <c r="D152" t="s">
        <v>54</v>
      </c>
      <c r="E152" t="s">
        <v>55</v>
      </c>
      <c r="G152">
        <v>1</v>
      </c>
      <c r="H152" t="s">
        <v>56</v>
      </c>
      <c r="I152" t="s">
        <v>57</v>
      </c>
      <c r="K152" t="s">
        <v>206</v>
      </c>
      <c r="L152" t="s">
        <v>851</v>
      </c>
      <c r="M152" t="s">
        <v>60</v>
      </c>
      <c r="O152" t="s">
        <v>170</v>
      </c>
      <c r="P152" t="s">
        <v>62</v>
      </c>
      <c r="R152" t="s">
        <v>63</v>
      </c>
      <c r="S152" t="s">
        <v>64</v>
      </c>
      <c r="T152">
        <v>227</v>
      </c>
      <c r="U152">
        <v>208.5</v>
      </c>
      <c r="V152">
        <f t="shared" si="4"/>
        <v>217.75</v>
      </c>
      <c r="W152">
        <f t="shared" si="5"/>
        <v>18.5</v>
      </c>
      <c r="X152">
        <v>-101.31500200000001</v>
      </c>
      <c r="Y152">
        <v>33.521388999999999</v>
      </c>
      <c r="Z152" t="s">
        <v>198</v>
      </c>
      <c r="AA152" t="s">
        <v>66</v>
      </c>
      <c r="AB152" t="s">
        <v>125</v>
      </c>
      <c r="AC152" t="s">
        <v>199</v>
      </c>
      <c r="AD152" t="s">
        <v>200</v>
      </c>
      <c r="AE152" t="s">
        <v>201</v>
      </c>
      <c r="AH152" t="s">
        <v>11</v>
      </c>
      <c r="AI152" t="s">
        <v>1289</v>
      </c>
      <c r="AJ152">
        <v>2008</v>
      </c>
      <c r="AK152" t="s">
        <v>203</v>
      </c>
      <c r="AM152" t="s">
        <v>204</v>
      </c>
      <c r="AN152" t="s">
        <v>76</v>
      </c>
      <c r="AO152" t="s">
        <v>77</v>
      </c>
      <c r="AP152" t="s">
        <v>115</v>
      </c>
      <c r="AQ152" t="s">
        <v>205</v>
      </c>
      <c r="AR152" t="s">
        <v>80</v>
      </c>
      <c r="AS152">
        <v>101</v>
      </c>
      <c r="AT152" t="s">
        <v>81</v>
      </c>
      <c r="AU152">
        <v>-30.86</v>
      </c>
      <c r="AV152">
        <v>7.83</v>
      </c>
      <c r="AW152" t="s">
        <v>82</v>
      </c>
      <c r="AX152">
        <v>101</v>
      </c>
      <c r="AY152" t="s">
        <v>81</v>
      </c>
      <c r="AZ152">
        <v>-41.61</v>
      </c>
      <c r="BA152">
        <v>8.1</v>
      </c>
      <c r="BB152" t="s">
        <v>83</v>
      </c>
    </row>
    <row r="153" spans="1:54" x14ac:dyDescent="0.4">
      <c r="A153">
        <v>562836</v>
      </c>
      <c r="D153" t="s">
        <v>54</v>
      </c>
      <c r="E153" t="s">
        <v>55</v>
      </c>
      <c r="G153">
        <v>1</v>
      </c>
      <c r="H153" t="s">
        <v>56</v>
      </c>
      <c r="I153" t="s">
        <v>57</v>
      </c>
      <c r="K153" t="s">
        <v>141</v>
      </c>
      <c r="L153" t="s">
        <v>1290</v>
      </c>
      <c r="M153" t="s">
        <v>60</v>
      </c>
      <c r="N153" t="s">
        <v>256</v>
      </c>
      <c r="O153" t="s">
        <v>87</v>
      </c>
      <c r="P153" t="s">
        <v>62</v>
      </c>
      <c r="R153" t="s">
        <v>63</v>
      </c>
      <c r="S153" t="s">
        <v>64</v>
      </c>
      <c r="T153">
        <v>227</v>
      </c>
      <c r="U153">
        <v>208.5</v>
      </c>
      <c r="V153">
        <f t="shared" si="4"/>
        <v>217.75</v>
      </c>
      <c r="W153">
        <f t="shared" si="5"/>
        <v>18.5</v>
      </c>
      <c r="X153">
        <v>-101.31500200000001</v>
      </c>
      <c r="Y153">
        <v>33.521388999999999</v>
      </c>
      <c r="Z153" t="s">
        <v>198</v>
      </c>
      <c r="AA153" t="s">
        <v>66</v>
      </c>
      <c r="AB153" t="s">
        <v>125</v>
      </c>
      <c r="AC153" t="s">
        <v>199</v>
      </c>
      <c r="AD153" t="s">
        <v>200</v>
      </c>
      <c r="AE153" t="s">
        <v>201</v>
      </c>
      <c r="AH153" t="s">
        <v>72</v>
      </c>
      <c r="AI153" t="s">
        <v>202</v>
      </c>
      <c r="AJ153">
        <v>1991</v>
      </c>
      <c r="AK153" t="s">
        <v>203</v>
      </c>
      <c r="AM153" t="s">
        <v>204</v>
      </c>
      <c r="AN153" t="s">
        <v>76</v>
      </c>
      <c r="AO153" t="s">
        <v>77</v>
      </c>
      <c r="AP153" t="s">
        <v>115</v>
      </c>
      <c r="AQ153" t="s">
        <v>205</v>
      </c>
      <c r="AR153" t="s">
        <v>80</v>
      </c>
      <c r="AS153">
        <v>101</v>
      </c>
      <c r="AT153" t="s">
        <v>81</v>
      </c>
      <c r="AU153">
        <v>-30.86</v>
      </c>
      <c r="AV153">
        <v>7.83</v>
      </c>
      <c r="AW153" t="s">
        <v>82</v>
      </c>
      <c r="AX153">
        <v>101</v>
      </c>
      <c r="AY153" t="s">
        <v>81</v>
      </c>
      <c r="AZ153">
        <v>-41.61</v>
      </c>
      <c r="BA153">
        <v>8.1</v>
      </c>
      <c r="BB153" t="s">
        <v>83</v>
      </c>
    </row>
    <row r="154" spans="1:54" x14ac:dyDescent="0.4">
      <c r="A154">
        <v>562836</v>
      </c>
      <c r="D154" t="s">
        <v>54</v>
      </c>
      <c r="E154" t="s">
        <v>55</v>
      </c>
      <c r="G154">
        <v>1</v>
      </c>
      <c r="H154" t="s">
        <v>56</v>
      </c>
      <c r="I154" t="s">
        <v>57</v>
      </c>
      <c r="K154" t="s">
        <v>141</v>
      </c>
      <c r="L154" t="s">
        <v>1290</v>
      </c>
      <c r="M154" t="s">
        <v>60</v>
      </c>
      <c r="N154" t="s">
        <v>256</v>
      </c>
      <c r="O154" t="s">
        <v>87</v>
      </c>
      <c r="P154" t="s">
        <v>62</v>
      </c>
      <c r="R154" t="s">
        <v>63</v>
      </c>
      <c r="S154" t="s">
        <v>64</v>
      </c>
      <c r="T154">
        <v>227</v>
      </c>
      <c r="U154">
        <v>208.5</v>
      </c>
      <c r="V154">
        <f t="shared" si="4"/>
        <v>217.75</v>
      </c>
      <c r="W154">
        <f t="shared" si="5"/>
        <v>18.5</v>
      </c>
      <c r="X154">
        <v>-101.31500200000001</v>
      </c>
      <c r="Y154">
        <v>33.521388999999999</v>
      </c>
      <c r="Z154" t="s">
        <v>198</v>
      </c>
      <c r="AA154" t="s">
        <v>66</v>
      </c>
      <c r="AB154" t="s">
        <v>125</v>
      </c>
      <c r="AC154" t="s">
        <v>199</v>
      </c>
      <c r="AD154" t="s">
        <v>200</v>
      </c>
      <c r="AE154" t="s">
        <v>201</v>
      </c>
      <c r="AH154" t="s">
        <v>72</v>
      </c>
      <c r="AI154" t="s">
        <v>202</v>
      </c>
      <c r="AJ154">
        <v>1991</v>
      </c>
      <c r="AK154" t="s">
        <v>203</v>
      </c>
      <c r="AM154" t="s">
        <v>204</v>
      </c>
      <c r="AN154" t="s">
        <v>76</v>
      </c>
      <c r="AO154" t="s">
        <v>77</v>
      </c>
      <c r="AP154" t="s">
        <v>115</v>
      </c>
      <c r="AQ154" t="s">
        <v>205</v>
      </c>
      <c r="AR154" t="s">
        <v>80</v>
      </c>
      <c r="AS154">
        <v>101</v>
      </c>
      <c r="AT154" t="s">
        <v>81</v>
      </c>
      <c r="AU154">
        <v>-30.86</v>
      </c>
      <c r="AV154">
        <v>7.83</v>
      </c>
      <c r="AW154" t="s">
        <v>82</v>
      </c>
      <c r="AX154">
        <v>101</v>
      </c>
      <c r="AY154" t="s">
        <v>81</v>
      </c>
      <c r="AZ154">
        <v>-41.61</v>
      </c>
      <c r="BA154">
        <v>8.1</v>
      </c>
      <c r="BB154" t="s">
        <v>83</v>
      </c>
    </row>
    <row r="155" spans="1:54" x14ac:dyDescent="0.4">
      <c r="A155">
        <v>562836</v>
      </c>
      <c r="D155" t="s">
        <v>54</v>
      </c>
      <c r="E155" t="s">
        <v>55</v>
      </c>
      <c r="G155">
        <v>1</v>
      </c>
      <c r="H155" t="s">
        <v>56</v>
      </c>
      <c r="I155" t="s">
        <v>57</v>
      </c>
      <c r="K155" t="s">
        <v>141</v>
      </c>
      <c r="L155" t="s">
        <v>1290</v>
      </c>
      <c r="M155" t="s">
        <v>60</v>
      </c>
      <c r="N155" t="s">
        <v>256</v>
      </c>
      <c r="O155" t="s">
        <v>87</v>
      </c>
      <c r="P155" t="s">
        <v>62</v>
      </c>
      <c r="R155" t="s">
        <v>63</v>
      </c>
      <c r="S155" t="s">
        <v>64</v>
      </c>
      <c r="T155">
        <v>227</v>
      </c>
      <c r="U155">
        <v>208.5</v>
      </c>
      <c r="V155">
        <f t="shared" si="4"/>
        <v>217.75</v>
      </c>
      <c r="W155">
        <f t="shared" si="5"/>
        <v>18.5</v>
      </c>
      <c r="X155">
        <v>-101.31500200000001</v>
      </c>
      <c r="Y155">
        <v>33.521388999999999</v>
      </c>
      <c r="Z155" t="s">
        <v>198</v>
      </c>
      <c r="AA155" t="s">
        <v>66</v>
      </c>
      <c r="AB155" t="s">
        <v>125</v>
      </c>
      <c r="AC155" t="s">
        <v>199</v>
      </c>
      <c r="AD155" t="s">
        <v>200</v>
      </c>
      <c r="AE155" t="s">
        <v>201</v>
      </c>
      <c r="AH155" t="s">
        <v>72</v>
      </c>
      <c r="AI155" t="s">
        <v>202</v>
      </c>
      <c r="AJ155">
        <v>1991</v>
      </c>
      <c r="AK155" t="s">
        <v>203</v>
      </c>
      <c r="AM155" t="s">
        <v>204</v>
      </c>
      <c r="AN155" t="s">
        <v>76</v>
      </c>
      <c r="AO155" t="s">
        <v>77</v>
      </c>
      <c r="AP155" t="s">
        <v>115</v>
      </c>
      <c r="AQ155" t="s">
        <v>205</v>
      </c>
      <c r="AR155" t="s">
        <v>80</v>
      </c>
      <c r="AS155">
        <v>101</v>
      </c>
      <c r="AT155" t="s">
        <v>81</v>
      </c>
      <c r="AU155">
        <v>-30.86</v>
      </c>
      <c r="AV155">
        <v>7.83</v>
      </c>
      <c r="AW155" t="s">
        <v>82</v>
      </c>
      <c r="AX155">
        <v>101</v>
      </c>
      <c r="AY155" t="s">
        <v>81</v>
      </c>
      <c r="AZ155">
        <v>-41.61</v>
      </c>
      <c r="BA155">
        <v>8.1</v>
      </c>
      <c r="BB155" t="s">
        <v>83</v>
      </c>
    </row>
    <row r="156" spans="1:54" x14ac:dyDescent="0.4">
      <c r="A156">
        <v>562837</v>
      </c>
      <c r="D156" t="s">
        <v>54</v>
      </c>
      <c r="E156" t="s">
        <v>55</v>
      </c>
      <c r="G156">
        <v>20</v>
      </c>
      <c r="H156" t="s">
        <v>84</v>
      </c>
      <c r="I156" t="s">
        <v>57</v>
      </c>
      <c r="K156" t="s">
        <v>206</v>
      </c>
      <c r="L156" t="s">
        <v>1091</v>
      </c>
      <c r="M156" t="s">
        <v>60</v>
      </c>
      <c r="O156" t="s">
        <v>170</v>
      </c>
      <c r="P156" t="s">
        <v>62</v>
      </c>
      <c r="R156" t="s">
        <v>63</v>
      </c>
      <c r="S156" t="s">
        <v>64</v>
      </c>
      <c r="T156">
        <v>227</v>
      </c>
      <c r="U156">
        <v>208.5</v>
      </c>
      <c r="V156">
        <f t="shared" si="4"/>
        <v>217.75</v>
      </c>
      <c r="W156">
        <f t="shared" si="5"/>
        <v>18.5</v>
      </c>
      <c r="X156">
        <v>-101.31500200000001</v>
      </c>
      <c r="Y156">
        <v>33.521388999999999</v>
      </c>
      <c r="Z156" t="s">
        <v>198</v>
      </c>
      <c r="AA156" t="s">
        <v>66</v>
      </c>
      <c r="AB156" t="s">
        <v>125</v>
      </c>
      <c r="AC156" t="s">
        <v>199</v>
      </c>
      <c r="AD156" t="s">
        <v>200</v>
      </c>
      <c r="AE156" t="s">
        <v>201</v>
      </c>
      <c r="AH156" t="s">
        <v>11</v>
      </c>
      <c r="AI156" t="s">
        <v>1291</v>
      </c>
      <c r="AJ156">
        <v>1989</v>
      </c>
      <c r="AK156" t="s">
        <v>203</v>
      </c>
      <c r="AM156" t="s">
        <v>204</v>
      </c>
      <c r="AN156" t="s">
        <v>76</v>
      </c>
      <c r="AO156" t="s">
        <v>77</v>
      </c>
      <c r="AP156" t="s">
        <v>115</v>
      </c>
      <c r="AQ156" t="s">
        <v>205</v>
      </c>
      <c r="AR156" t="s">
        <v>80</v>
      </c>
      <c r="AS156">
        <v>101</v>
      </c>
      <c r="AT156" t="s">
        <v>81</v>
      </c>
      <c r="AU156">
        <v>-30.86</v>
      </c>
      <c r="AV156">
        <v>7.83</v>
      </c>
      <c r="AW156" t="s">
        <v>82</v>
      </c>
      <c r="AX156">
        <v>101</v>
      </c>
      <c r="AY156" t="s">
        <v>81</v>
      </c>
      <c r="AZ156">
        <v>-41.61</v>
      </c>
      <c r="BA156">
        <v>8.1</v>
      </c>
      <c r="BB156" t="s">
        <v>83</v>
      </c>
    </row>
    <row r="157" spans="1:54" x14ac:dyDescent="0.4">
      <c r="A157">
        <v>562843</v>
      </c>
      <c r="D157" t="s">
        <v>54</v>
      </c>
      <c r="G157">
        <v>4</v>
      </c>
      <c r="H157" t="s">
        <v>84</v>
      </c>
      <c r="I157" t="s">
        <v>57</v>
      </c>
      <c r="K157" t="s">
        <v>206</v>
      </c>
      <c r="L157" t="s">
        <v>851</v>
      </c>
      <c r="M157" t="s">
        <v>60</v>
      </c>
      <c r="O157" t="s">
        <v>170</v>
      </c>
      <c r="P157" t="s">
        <v>62</v>
      </c>
      <c r="R157" t="s">
        <v>63</v>
      </c>
      <c r="S157" t="s">
        <v>64</v>
      </c>
      <c r="T157">
        <v>227</v>
      </c>
      <c r="U157">
        <v>208.5</v>
      </c>
      <c r="V157">
        <f t="shared" si="4"/>
        <v>217.75</v>
      </c>
      <c r="W157">
        <f t="shared" si="5"/>
        <v>18.5</v>
      </c>
      <c r="X157">
        <v>-109.82222</v>
      </c>
      <c r="Y157">
        <v>34.830554999999997</v>
      </c>
      <c r="Z157" t="s">
        <v>124</v>
      </c>
      <c r="AA157" t="s">
        <v>66</v>
      </c>
      <c r="AB157" t="s">
        <v>583</v>
      </c>
      <c r="AC157" t="s">
        <v>735</v>
      </c>
      <c r="AD157" t="s">
        <v>174</v>
      </c>
      <c r="AF157" t="s">
        <v>749</v>
      </c>
      <c r="AH157" t="s">
        <v>72</v>
      </c>
      <c r="AI157" t="s">
        <v>740</v>
      </c>
      <c r="AJ157">
        <v>1995</v>
      </c>
      <c r="AK157" t="s">
        <v>1292</v>
      </c>
      <c r="AM157" t="s">
        <v>1293</v>
      </c>
      <c r="AN157" t="s">
        <v>114</v>
      </c>
      <c r="AO157" t="s">
        <v>77</v>
      </c>
      <c r="AR157" t="s">
        <v>80</v>
      </c>
      <c r="AS157">
        <v>101</v>
      </c>
      <c r="AT157" t="s">
        <v>81</v>
      </c>
      <c r="AU157">
        <v>-37.659999999999997</v>
      </c>
      <c r="AV157">
        <v>10.33</v>
      </c>
      <c r="AW157" t="s">
        <v>82</v>
      </c>
      <c r="AX157">
        <v>133</v>
      </c>
      <c r="AY157" t="s">
        <v>81</v>
      </c>
      <c r="AZ157">
        <v>-52.46</v>
      </c>
      <c r="BA157">
        <v>10.39</v>
      </c>
      <c r="BB157" t="s">
        <v>83</v>
      </c>
    </row>
    <row r="158" spans="1:54" x14ac:dyDescent="0.4">
      <c r="A158">
        <v>562846</v>
      </c>
      <c r="D158" t="s">
        <v>54</v>
      </c>
      <c r="G158">
        <v>3</v>
      </c>
      <c r="H158" t="s">
        <v>84</v>
      </c>
      <c r="I158" t="s">
        <v>57</v>
      </c>
      <c r="K158" t="s">
        <v>206</v>
      </c>
      <c r="L158" t="s">
        <v>744</v>
      </c>
      <c r="M158" t="s">
        <v>60</v>
      </c>
      <c r="O158" t="s">
        <v>170</v>
      </c>
      <c r="P158" t="s">
        <v>62</v>
      </c>
      <c r="R158" t="s">
        <v>63</v>
      </c>
      <c r="S158" t="s">
        <v>64</v>
      </c>
      <c r="T158">
        <v>227</v>
      </c>
      <c r="U158">
        <v>208.5</v>
      </c>
      <c r="V158">
        <f t="shared" si="4"/>
        <v>217.75</v>
      </c>
      <c r="W158">
        <f t="shared" si="5"/>
        <v>18.5</v>
      </c>
      <c r="X158">
        <v>-109.79361</v>
      </c>
      <c r="Y158">
        <v>34.891666000000001</v>
      </c>
      <c r="Z158" t="s">
        <v>124</v>
      </c>
      <c r="AA158" t="s">
        <v>66</v>
      </c>
      <c r="AB158" t="s">
        <v>583</v>
      </c>
      <c r="AC158" t="s">
        <v>735</v>
      </c>
      <c r="AD158" t="s">
        <v>174</v>
      </c>
      <c r="AF158" t="s">
        <v>1068</v>
      </c>
      <c r="AH158" t="s">
        <v>72</v>
      </c>
      <c r="AI158" t="s">
        <v>740</v>
      </c>
      <c r="AJ158">
        <v>1995</v>
      </c>
      <c r="AK158" t="s">
        <v>1236</v>
      </c>
      <c r="AM158" t="s">
        <v>1237</v>
      </c>
      <c r="AN158" t="s">
        <v>192</v>
      </c>
      <c r="AO158" t="s">
        <v>77</v>
      </c>
      <c r="AR158" t="s">
        <v>80</v>
      </c>
      <c r="AS158">
        <v>101</v>
      </c>
      <c r="AT158" t="s">
        <v>81</v>
      </c>
      <c r="AU158">
        <v>-37.619999999999997</v>
      </c>
      <c r="AV158">
        <v>10.38</v>
      </c>
      <c r="AW158" t="s">
        <v>82</v>
      </c>
      <c r="AX158">
        <v>133</v>
      </c>
      <c r="AY158" t="s">
        <v>81</v>
      </c>
      <c r="AZ158">
        <v>-52.42</v>
      </c>
      <c r="BA158">
        <v>10.45</v>
      </c>
      <c r="BB158" t="s">
        <v>83</v>
      </c>
    </row>
    <row r="159" spans="1:54" x14ac:dyDescent="0.4">
      <c r="A159">
        <v>562847</v>
      </c>
      <c r="D159" t="s">
        <v>54</v>
      </c>
      <c r="G159">
        <v>1</v>
      </c>
      <c r="H159" t="s">
        <v>84</v>
      </c>
      <c r="I159" t="s">
        <v>57</v>
      </c>
      <c r="K159" t="s">
        <v>85</v>
      </c>
      <c r="L159" t="s">
        <v>1076</v>
      </c>
      <c r="M159" t="s">
        <v>60</v>
      </c>
      <c r="O159" t="s">
        <v>87</v>
      </c>
      <c r="P159" t="s">
        <v>62</v>
      </c>
      <c r="R159" t="s">
        <v>63</v>
      </c>
      <c r="S159" t="s">
        <v>64</v>
      </c>
      <c r="T159">
        <v>227</v>
      </c>
      <c r="U159">
        <v>208.5</v>
      </c>
      <c r="V159">
        <f t="shared" si="4"/>
        <v>217.75</v>
      </c>
      <c r="W159">
        <f t="shared" si="5"/>
        <v>18.5</v>
      </c>
      <c r="X159">
        <v>-109.79361</v>
      </c>
      <c r="Y159">
        <v>34.891666000000001</v>
      </c>
      <c r="Z159" t="s">
        <v>124</v>
      </c>
      <c r="AA159" t="s">
        <v>66</v>
      </c>
      <c r="AB159" t="s">
        <v>583</v>
      </c>
      <c r="AC159" t="s">
        <v>735</v>
      </c>
      <c r="AD159" t="s">
        <v>174</v>
      </c>
      <c r="AF159" t="s">
        <v>1068</v>
      </c>
      <c r="AH159" t="s">
        <v>11</v>
      </c>
      <c r="AI159" t="s">
        <v>740</v>
      </c>
      <c r="AJ159">
        <v>1995</v>
      </c>
      <c r="AK159" t="s">
        <v>1236</v>
      </c>
      <c r="AM159" t="s">
        <v>1237</v>
      </c>
      <c r="AN159" t="s">
        <v>192</v>
      </c>
      <c r="AO159" t="s">
        <v>77</v>
      </c>
      <c r="AR159" t="s">
        <v>80</v>
      </c>
      <c r="AS159">
        <v>101</v>
      </c>
      <c r="AT159" t="s">
        <v>81</v>
      </c>
      <c r="AU159">
        <v>-37.619999999999997</v>
      </c>
      <c r="AV159">
        <v>10.38</v>
      </c>
      <c r="AW159" t="s">
        <v>82</v>
      </c>
      <c r="AX159">
        <v>133</v>
      </c>
      <c r="AY159" t="s">
        <v>81</v>
      </c>
      <c r="AZ159">
        <v>-52.42</v>
      </c>
      <c r="BA159">
        <v>10.45</v>
      </c>
      <c r="BB159" t="s">
        <v>83</v>
      </c>
    </row>
    <row r="160" spans="1:54" x14ac:dyDescent="0.4">
      <c r="A160">
        <v>566949</v>
      </c>
      <c r="D160" t="s">
        <v>54</v>
      </c>
      <c r="E160" t="s">
        <v>152</v>
      </c>
      <c r="G160">
        <v>2</v>
      </c>
      <c r="H160" t="s">
        <v>421</v>
      </c>
      <c r="I160" t="s">
        <v>57</v>
      </c>
      <c r="K160" t="s">
        <v>141</v>
      </c>
      <c r="L160" t="s">
        <v>905</v>
      </c>
      <c r="M160" t="s">
        <v>60</v>
      </c>
      <c r="O160" t="s">
        <v>170</v>
      </c>
      <c r="P160" t="s">
        <v>62</v>
      </c>
      <c r="R160" t="s">
        <v>63</v>
      </c>
      <c r="S160" t="s">
        <v>64</v>
      </c>
      <c r="T160">
        <v>227</v>
      </c>
      <c r="U160">
        <v>208.5</v>
      </c>
      <c r="V160">
        <f t="shared" si="4"/>
        <v>217.75</v>
      </c>
      <c r="W160">
        <f t="shared" si="5"/>
        <v>18.5</v>
      </c>
      <c r="X160">
        <v>-76.728333000000006</v>
      </c>
      <c r="Y160">
        <v>40.021667000000001</v>
      </c>
      <c r="Z160" t="s">
        <v>124</v>
      </c>
      <c r="AA160" t="s">
        <v>66</v>
      </c>
      <c r="AB160" t="s">
        <v>1294</v>
      </c>
      <c r="AC160" t="s">
        <v>1295</v>
      </c>
      <c r="AD160" t="s">
        <v>1296</v>
      </c>
      <c r="AE160" t="s">
        <v>70</v>
      </c>
      <c r="AH160" t="s">
        <v>11</v>
      </c>
      <c r="AI160" t="s">
        <v>461</v>
      </c>
      <c r="AJ160">
        <v>1878</v>
      </c>
      <c r="AK160" t="s">
        <v>1297</v>
      </c>
      <c r="AM160" t="s">
        <v>1298</v>
      </c>
      <c r="AN160" t="s">
        <v>114</v>
      </c>
      <c r="AO160" t="s">
        <v>77</v>
      </c>
      <c r="AP160" t="s">
        <v>115</v>
      </c>
      <c r="AQ160" t="s">
        <v>1299</v>
      </c>
      <c r="AR160" t="s">
        <v>80</v>
      </c>
      <c r="AS160">
        <v>101</v>
      </c>
      <c r="AT160" t="s">
        <v>81</v>
      </c>
      <c r="AU160">
        <v>-10.62</v>
      </c>
      <c r="AV160">
        <v>13.42</v>
      </c>
      <c r="AW160" t="s">
        <v>82</v>
      </c>
      <c r="AX160">
        <v>101</v>
      </c>
      <c r="AY160" t="s">
        <v>81</v>
      </c>
      <c r="AZ160">
        <v>-21.55</v>
      </c>
      <c r="BA160">
        <v>14.44</v>
      </c>
      <c r="BB160" t="s">
        <v>83</v>
      </c>
    </row>
    <row r="161" spans="1:54" x14ac:dyDescent="0.4">
      <c r="A161">
        <v>572546</v>
      </c>
      <c r="D161" t="s">
        <v>54</v>
      </c>
      <c r="G161">
        <v>3</v>
      </c>
      <c r="H161" t="s">
        <v>84</v>
      </c>
      <c r="I161" t="s">
        <v>57</v>
      </c>
      <c r="K161" t="s">
        <v>168</v>
      </c>
      <c r="L161" t="s">
        <v>169</v>
      </c>
      <c r="M161" t="s">
        <v>60</v>
      </c>
      <c r="O161" t="s">
        <v>170</v>
      </c>
      <c r="P161" t="s">
        <v>62</v>
      </c>
      <c r="R161" t="s">
        <v>63</v>
      </c>
      <c r="S161" t="s">
        <v>64</v>
      </c>
      <c r="T161">
        <v>227</v>
      </c>
      <c r="U161">
        <v>208.5</v>
      </c>
      <c r="V161">
        <f t="shared" si="4"/>
        <v>217.75</v>
      </c>
      <c r="W161">
        <f t="shared" si="5"/>
        <v>18.5</v>
      </c>
      <c r="X161">
        <v>-109.765282</v>
      </c>
      <c r="Y161">
        <v>34.943333000000003</v>
      </c>
      <c r="Z161" t="s">
        <v>582</v>
      </c>
      <c r="AA161" t="s">
        <v>66</v>
      </c>
      <c r="AB161" t="s">
        <v>583</v>
      </c>
      <c r="AC161" t="s">
        <v>735</v>
      </c>
      <c r="AD161" t="s">
        <v>174</v>
      </c>
      <c r="AF161" t="s">
        <v>1068</v>
      </c>
      <c r="AH161" t="s">
        <v>72</v>
      </c>
      <c r="AI161" t="s">
        <v>769</v>
      </c>
      <c r="AJ161">
        <v>1989</v>
      </c>
      <c r="AK161" t="s">
        <v>1300</v>
      </c>
      <c r="AM161" t="s">
        <v>1301</v>
      </c>
      <c r="AN161" t="s">
        <v>76</v>
      </c>
      <c r="AO161" t="s">
        <v>77</v>
      </c>
      <c r="AP161" t="s">
        <v>78</v>
      </c>
      <c r="AQ161" t="s">
        <v>1302</v>
      </c>
      <c r="AR161" t="s">
        <v>80</v>
      </c>
      <c r="AS161">
        <v>101</v>
      </c>
      <c r="AT161" t="s">
        <v>81</v>
      </c>
      <c r="AU161">
        <v>-37.590000000000003</v>
      </c>
      <c r="AV161">
        <v>10.43</v>
      </c>
      <c r="AW161" t="s">
        <v>82</v>
      </c>
      <c r="AX161">
        <v>133</v>
      </c>
      <c r="AY161" t="s">
        <v>81</v>
      </c>
      <c r="AZ161">
        <v>-52.39</v>
      </c>
      <c r="BA161">
        <v>10.49</v>
      </c>
      <c r="BB161" t="s">
        <v>83</v>
      </c>
    </row>
    <row r="162" spans="1:54" x14ac:dyDescent="0.4">
      <c r="A162">
        <v>572551</v>
      </c>
      <c r="D162" t="s">
        <v>54</v>
      </c>
      <c r="I162" t="s">
        <v>57</v>
      </c>
      <c r="K162" t="s">
        <v>85</v>
      </c>
      <c r="L162" t="s">
        <v>1076</v>
      </c>
      <c r="M162" t="s">
        <v>60</v>
      </c>
      <c r="O162" t="s">
        <v>87</v>
      </c>
      <c r="P162" t="s">
        <v>62</v>
      </c>
      <c r="R162" t="s">
        <v>63</v>
      </c>
      <c r="S162" t="s">
        <v>64</v>
      </c>
      <c r="T162">
        <v>227</v>
      </c>
      <c r="U162">
        <v>208.5</v>
      </c>
      <c r="V162">
        <f t="shared" si="4"/>
        <v>217.75</v>
      </c>
      <c r="W162">
        <f t="shared" si="5"/>
        <v>18.5</v>
      </c>
      <c r="X162">
        <v>-109.765282</v>
      </c>
      <c r="Y162">
        <v>34.943333000000003</v>
      </c>
      <c r="Z162" t="s">
        <v>582</v>
      </c>
      <c r="AA162" t="s">
        <v>66</v>
      </c>
      <c r="AB162" t="s">
        <v>583</v>
      </c>
      <c r="AC162" t="s">
        <v>735</v>
      </c>
      <c r="AD162" t="s">
        <v>174</v>
      </c>
      <c r="AF162" t="s">
        <v>1068</v>
      </c>
      <c r="AH162" t="s">
        <v>11</v>
      </c>
      <c r="AI162" t="s">
        <v>740</v>
      </c>
      <c r="AJ162">
        <v>1995</v>
      </c>
      <c r="AK162" t="s">
        <v>1300</v>
      </c>
      <c r="AM162" t="s">
        <v>1301</v>
      </c>
      <c r="AN162" t="s">
        <v>76</v>
      </c>
      <c r="AO162" t="s">
        <v>77</v>
      </c>
      <c r="AP162" t="s">
        <v>78</v>
      </c>
      <c r="AQ162" t="s">
        <v>1302</v>
      </c>
      <c r="AR162" t="s">
        <v>80</v>
      </c>
      <c r="AS162">
        <v>101</v>
      </c>
      <c r="AT162" t="s">
        <v>81</v>
      </c>
      <c r="AU162">
        <v>-37.590000000000003</v>
      </c>
      <c r="AV162">
        <v>10.43</v>
      </c>
      <c r="AW162" t="s">
        <v>82</v>
      </c>
      <c r="AX162">
        <v>133</v>
      </c>
      <c r="AY162" t="s">
        <v>81</v>
      </c>
      <c r="AZ162">
        <v>-52.39</v>
      </c>
      <c r="BA162">
        <v>10.49</v>
      </c>
      <c r="BB162" t="s">
        <v>83</v>
      </c>
    </row>
    <row r="163" spans="1:54" x14ac:dyDescent="0.4">
      <c r="A163">
        <v>572552</v>
      </c>
      <c r="D163" t="s">
        <v>54</v>
      </c>
      <c r="G163">
        <v>1</v>
      </c>
      <c r="H163" t="s">
        <v>84</v>
      </c>
      <c r="I163" t="s">
        <v>57</v>
      </c>
      <c r="K163" t="s">
        <v>141</v>
      </c>
      <c r="L163" t="s">
        <v>1303</v>
      </c>
      <c r="M163" t="s">
        <v>60</v>
      </c>
      <c r="P163" t="s">
        <v>62</v>
      </c>
      <c r="R163" t="s">
        <v>63</v>
      </c>
      <c r="S163" t="s">
        <v>64</v>
      </c>
      <c r="T163">
        <v>227</v>
      </c>
      <c r="U163">
        <v>208.5</v>
      </c>
      <c r="V163">
        <f t="shared" si="4"/>
        <v>217.75</v>
      </c>
      <c r="W163">
        <f t="shared" si="5"/>
        <v>18.5</v>
      </c>
      <c r="X163">
        <v>-109.765282</v>
      </c>
      <c r="Y163">
        <v>34.943333000000003</v>
      </c>
      <c r="Z163" t="s">
        <v>582</v>
      </c>
      <c r="AA163" t="s">
        <v>66</v>
      </c>
      <c r="AB163" t="s">
        <v>583</v>
      </c>
      <c r="AC163" t="s">
        <v>735</v>
      </c>
      <c r="AD163" t="s">
        <v>174</v>
      </c>
      <c r="AF163" t="s">
        <v>1068</v>
      </c>
      <c r="AH163" t="s">
        <v>72</v>
      </c>
      <c r="AI163" t="s">
        <v>175</v>
      </c>
      <c r="AJ163">
        <v>2004</v>
      </c>
      <c r="AK163" t="s">
        <v>1300</v>
      </c>
      <c r="AM163" t="s">
        <v>1301</v>
      </c>
      <c r="AN163" t="s">
        <v>76</v>
      </c>
      <c r="AO163" t="s">
        <v>77</v>
      </c>
      <c r="AP163" t="s">
        <v>78</v>
      </c>
      <c r="AQ163" t="s">
        <v>1302</v>
      </c>
      <c r="AR163" t="s">
        <v>80</v>
      </c>
      <c r="AS163">
        <v>101</v>
      </c>
      <c r="AT163" t="s">
        <v>81</v>
      </c>
      <c r="AU163">
        <v>-37.590000000000003</v>
      </c>
      <c r="AV163">
        <v>10.43</v>
      </c>
      <c r="AW163" t="s">
        <v>82</v>
      </c>
      <c r="AX163">
        <v>133</v>
      </c>
      <c r="AY163" t="s">
        <v>81</v>
      </c>
      <c r="AZ163">
        <v>-52.39</v>
      </c>
      <c r="BA163">
        <v>10.49</v>
      </c>
      <c r="BB163" t="s">
        <v>83</v>
      </c>
    </row>
    <row r="164" spans="1:54" x14ac:dyDescent="0.4">
      <c r="A164">
        <v>572553</v>
      </c>
      <c r="D164" t="s">
        <v>54</v>
      </c>
      <c r="G164">
        <v>1</v>
      </c>
      <c r="H164" t="s">
        <v>84</v>
      </c>
      <c r="I164" t="s">
        <v>57</v>
      </c>
      <c r="K164" t="s">
        <v>141</v>
      </c>
      <c r="L164" t="s">
        <v>1303</v>
      </c>
      <c r="M164" t="s">
        <v>60</v>
      </c>
      <c r="P164" t="s">
        <v>62</v>
      </c>
      <c r="R164" t="s">
        <v>63</v>
      </c>
      <c r="S164" t="s">
        <v>64</v>
      </c>
      <c r="T164">
        <v>227</v>
      </c>
      <c r="U164">
        <v>208.5</v>
      </c>
      <c r="V164">
        <f t="shared" si="4"/>
        <v>217.75</v>
      </c>
      <c r="W164">
        <f t="shared" si="5"/>
        <v>18.5</v>
      </c>
      <c r="X164">
        <v>-109.765282</v>
      </c>
      <c r="Y164">
        <v>34.943333000000003</v>
      </c>
      <c r="Z164" t="s">
        <v>582</v>
      </c>
      <c r="AA164" t="s">
        <v>66</v>
      </c>
      <c r="AB164" t="s">
        <v>583</v>
      </c>
      <c r="AC164" t="s">
        <v>735</v>
      </c>
      <c r="AD164" t="s">
        <v>174</v>
      </c>
      <c r="AF164" t="s">
        <v>1068</v>
      </c>
      <c r="AH164" t="s">
        <v>11</v>
      </c>
      <c r="AI164" t="s">
        <v>175</v>
      </c>
      <c r="AJ164">
        <v>2004</v>
      </c>
      <c r="AK164" t="s">
        <v>1300</v>
      </c>
      <c r="AM164" t="s">
        <v>1301</v>
      </c>
      <c r="AN164" t="s">
        <v>76</v>
      </c>
      <c r="AO164" t="s">
        <v>77</v>
      </c>
      <c r="AP164" t="s">
        <v>78</v>
      </c>
      <c r="AQ164" t="s">
        <v>1302</v>
      </c>
      <c r="AR164" t="s">
        <v>80</v>
      </c>
      <c r="AS164">
        <v>101</v>
      </c>
      <c r="AT164" t="s">
        <v>81</v>
      </c>
      <c r="AU164">
        <v>-37.590000000000003</v>
      </c>
      <c r="AV164">
        <v>10.43</v>
      </c>
      <c r="AW164" t="s">
        <v>82</v>
      </c>
      <c r="AX164">
        <v>133</v>
      </c>
      <c r="AY164" t="s">
        <v>81</v>
      </c>
      <c r="AZ164">
        <v>-52.39</v>
      </c>
      <c r="BA164">
        <v>10.49</v>
      </c>
      <c r="BB164" t="s">
        <v>83</v>
      </c>
    </row>
    <row r="165" spans="1:54" x14ac:dyDescent="0.4">
      <c r="A165">
        <v>572562</v>
      </c>
      <c r="D165" t="s">
        <v>54</v>
      </c>
      <c r="E165" t="s">
        <v>55</v>
      </c>
      <c r="G165">
        <v>1</v>
      </c>
      <c r="H165" t="s">
        <v>84</v>
      </c>
      <c r="I165" t="s">
        <v>57</v>
      </c>
      <c r="K165" t="s">
        <v>85</v>
      </c>
      <c r="L165" t="s">
        <v>86</v>
      </c>
      <c r="M165" t="s">
        <v>60</v>
      </c>
      <c r="O165" t="s">
        <v>87</v>
      </c>
      <c r="P165" t="s">
        <v>62</v>
      </c>
      <c r="R165" t="s">
        <v>63</v>
      </c>
      <c r="S165" t="s">
        <v>64</v>
      </c>
      <c r="T165">
        <v>227</v>
      </c>
      <c r="U165">
        <v>208.5</v>
      </c>
      <c r="V165">
        <f t="shared" si="4"/>
        <v>217.75</v>
      </c>
      <c r="W165">
        <f t="shared" si="5"/>
        <v>18.5</v>
      </c>
      <c r="X165">
        <v>-109.35861199999999</v>
      </c>
      <c r="Y165">
        <v>34.513888999999999</v>
      </c>
      <c r="Z165" t="s">
        <v>886</v>
      </c>
      <c r="AA165" t="s">
        <v>66</v>
      </c>
      <c r="AB165" t="s">
        <v>583</v>
      </c>
      <c r="AD165" t="s">
        <v>174</v>
      </c>
      <c r="AF165" t="s">
        <v>1068</v>
      </c>
      <c r="AH165" t="s">
        <v>11</v>
      </c>
      <c r="AI165" t="s">
        <v>175</v>
      </c>
      <c r="AJ165">
        <v>2004</v>
      </c>
      <c r="AK165" t="s">
        <v>1304</v>
      </c>
      <c r="AM165" t="s">
        <v>1305</v>
      </c>
      <c r="AN165" t="s">
        <v>192</v>
      </c>
      <c r="AO165" t="s">
        <v>77</v>
      </c>
      <c r="AP165" t="s">
        <v>115</v>
      </c>
      <c r="AQ165" t="s">
        <v>1306</v>
      </c>
      <c r="AR165" t="s">
        <v>80</v>
      </c>
      <c r="AS165">
        <v>101</v>
      </c>
      <c r="AT165" t="s">
        <v>81</v>
      </c>
      <c r="AU165">
        <v>-37.340000000000003</v>
      </c>
      <c r="AV165">
        <v>9.94</v>
      </c>
      <c r="AW165" t="s">
        <v>82</v>
      </c>
      <c r="AX165">
        <v>133</v>
      </c>
      <c r="AY165" t="s">
        <v>81</v>
      </c>
      <c r="AZ165">
        <v>-52.13</v>
      </c>
      <c r="BA165">
        <v>10.01</v>
      </c>
      <c r="BB165" t="s">
        <v>83</v>
      </c>
    </row>
    <row r="166" spans="1:54" x14ac:dyDescent="0.4">
      <c r="A166">
        <v>572567</v>
      </c>
      <c r="D166" t="s">
        <v>54</v>
      </c>
      <c r="E166" t="s">
        <v>55</v>
      </c>
      <c r="I166" t="s">
        <v>57</v>
      </c>
      <c r="K166" t="s">
        <v>141</v>
      </c>
      <c r="L166" t="s">
        <v>766</v>
      </c>
      <c r="M166" t="s">
        <v>60</v>
      </c>
      <c r="O166" t="s">
        <v>87</v>
      </c>
      <c r="P166" t="s">
        <v>62</v>
      </c>
      <c r="R166" t="s">
        <v>63</v>
      </c>
      <c r="S166" t="s">
        <v>64</v>
      </c>
      <c r="T166">
        <v>227</v>
      </c>
      <c r="U166">
        <v>208.5</v>
      </c>
      <c r="V166">
        <f t="shared" si="4"/>
        <v>217.75</v>
      </c>
      <c r="W166">
        <f t="shared" si="5"/>
        <v>18.5</v>
      </c>
      <c r="X166">
        <v>-109.35861199999999</v>
      </c>
      <c r="Y166">
        <v>34.513888999999999</v>
      </c>
      <c r="Z166" t="s">
        <v>886</v>
      </c>
      <c r="AA166" t="s">
        <v>66</v>
      </c>
      <c r="AB166" t="s">
        <v>583</v>
      </c>
      <c r="AD166" t="s">
        <v>174</v>
      </c>
      <c r="AF166" t="s">
        <v>1068</v>
      </c>
      <c r="AH166" t="s">
        <v>72</v>
      </c>
      <c r="AI166" t="s">
        <v>175</v>
      </c>
      <c r="AJ166">
        <v>2004</v>
      </c>
      <c r="AK166" t="s">
        <v>1304</v>
      </c>
      <c r="AM166" t="s">
        <v>1305</v>
      </c>
      <c r="AN166" t="s">
        <v>192</v>
      </c>
      <c r="AO166" t="s">
        <v>77</v>
      </c>
      <c r="AP166" t="s">
        <v>115</v>
      </c>
      <c r="AQ166" t="s">
        <v>1306</v>
      </c>
      <c r="AR166" t="s">
        <v>80</v>
      </c>
      <c r="AS166">
        <v>101</v>
      </c>
      <c r="AT166" t="s">
        <v>81</v>
      </c>
      <c r="AU166">
        <v>-37.340000000000003</v>
      </c>
      <c r="AV166">
        <v>9.94</v>
      </c>
      <c r="AW166" t="s">
        <v>82</v>
      </c>
      <c r="AX166">
        <v>133</v>
      </c>
      <c r="AY166" t="s">
        <v>81</v>
      </c>
      <c r="AZ166">
        <v>-52.13</v>
      </c>
      <c r="BA166">
        <v>10.01</v>
      </c>
      <c r="BB166" t="s">
        <v>83</v>
      </c>
    </row>
    <row r="167" spans="1:54" x14ac:dyDescent="0.4">
      <c r="A167">
        <v>572571</v>
      </c>
      <c r="D167" t="s">
        <v>54</v>
      </c>
      <c r="E167" t="s">
        <v>55</v>
      </c>
      <c r="I167" t="s">
        <v>57</v>
      </c>
      <c r="K167" t="s">
        <v>206</v>
      </c>
      <c r="L167" t="s">
        <v>207</v>
      </c>
      <c r="M167" t="s">
        <v>60</v>
      </c>
      <c r="O167" t="s">
        <v>170</v>
      </c>
      <c r="P167" t="s">
        <v>62</v>
      </c>
      <c r="R167" t="s">
        <v>63</v>
      </c>
      <c r="S167" t="s">
        <v>64</v>
      </c>
      <c r="T167">
        <v>227</v>
      </c>
      <c r="U167">
        <v>208.5</v>
      </c>
      <c r="V167">
        <f t="shared" si="4"/>
        <v>217.75</v>
      </c>
      <c r="W167">
        <f t="shared" si="5"/>
        <v>18.5</v>
      </c>
      <c r="X167">
        <v>-109.35861199999999</v>
      </c>
      <c r="Y167">
        <v>34.513888999999999</v>
      </c>
      <c r="Z167" t="s">
        <v>886</v>
      </c>
      <c r="AA167" t="s">
        <v>66</v>
      </c>
      <c r="AB167" t="s">
        <v>583</v>
      </c>
      <c r="AD167" t="s">
        <v>174</v>
      </c>
      <c r="AF167" t="s">
        <v>1068</v>
      </c>
      <c r="AH167" t="s">
        <v>11</v>
      </c>
      <c r="AI167" t="s">
        <v>175</v>
      </c>
      <c r="AJ167">
        <v>2004</v>
      </c>
      <c r="AK167" t="s">
        <v>1304</v>
      </c>
      <c r="AM167" t="s">
        <v>1305</v>
      </c>
      <c r="AN167" t="s">
        <v>192</v>
      </c>
      <c r="AO167" t="s">
        <v>77</v>
      </c>
      <c r="AP167" t="s">
        <v>115</v>
      </c>
      <c r="AQ167" t="s">
        <v>1306</v>
      </c>
      <c r="AR167" t="s">
        <v>80</v>
      </c>
      <c r="AS167">
        <v>101</v>
      </c>
      <c r="AT167" t="s">
        <v>81</v>
      </c>
      <c r="AU167">
        <v>-37.340000000000003</v>
      </c>
      <c r="AV167">
        <v>9.94</v>
      </c>
      <c r="AW167" t="s">
        <v>82</v>
      </c>
      <c r="AX167">
        <v>133</v>
      </c>
      <c r="AY167" t="s">
        <v>81</v>
      </c>
      <c r="AZ167">
        <v>-52.13</v>
      </c>
      <c r="BA167">
        <v>10.01</v>
      </c>
      <c r="BB167" t="s">
        <v>83</v>
      </c>
    </row>
    <row r="168" spans="1:54" x14ac:dyDescent="0.4">
      <c r="A168">
        <v>572572</v>
      </c>
      <c r="D168" t="s">
        <v>54</v>
      </c>
      <c r="E168" t="s">
        <v>55</v>
      </c>
      <c r="I168" t="s">
        <v>57</v>
      </c>
      <c r="K168" t="s">
        <v>206</v>
      </c>
      <c r="L168" t="s">
        <v>1307</v>
      </c>
      <c r="M168" t="s">
        <v>60</v>
      </c>
      <c r="O168" t="s">
        <v>170</v>
      </c>
      <c r="P168" t="s">
        <v>62</v>
      </c>
      <c r="R168" t="s">
        <v>63</v>
      </c>
      <c r="S168" t="s">
        <v>64</v>
      </c>
      <c r="T168">
        <v>227</v>
      </c>
      <c r="U168">
        <v>208.5</v>
      </c>
      <c r="V168">
        <f t="shared" si="4"/>
        <v>217.75</v>
      </c>
      <c r="W168">
        <f t="shared" si="5"/>
        <v>18.5</v>
      </c>
      <c r="X168">
        <v>-109.35861199999999</v>
      </c>
      <c r="Y168">
        <v>34.513888999999999</v>
      </c>
      <c r="Z168" t="s">
        <v>886</v>
      </c>
      <c r="AA168" t="s">
        <v>66</v>
      </c>
      <c r="AB168" t="s">
        <v>583</v>
      </c>
      <c r="AD168" t="s">
        <v>174</v>
      </c>
      <c r="AF168" t="s">
        <v>1068</v>
      </c>
      <c r="AH168" t="s">
        <v>11</v>
      </c>
      <c r="AI168" t="s">
        <v>175</v>
      </c>
      <c r="AJ168">
        <v>2004</v>
      </c>
      <c r="AK168" t="s">
        <v>1304</v>
      </c>
      <c r="AM168" t="s">
        <v>1305</v>
      </c>
      <c r="AN168" t="s">
        <v>192</v>
      </c>
      <c r="AO168" t="s">
        <v>77</v>
      </c>
      <c r="AP168" t="s">
        <v>115</v>
      </c>
      <c r="AQ168" t="s">
        <v>1306</v>
      </c>
      <c r="AR168" t="s">
        <v>80</v>
      </c>
      <c r="AS168">
        <v>101</v>
      </c>
      <c r="AT168" t="s">
        <v>81</v>
      </c>
      <c r="AU168">
        <v>-37.340000000000003</v>
      </c>
      <c r="AV168">
        <v>9.94</v>
      </c>
      <c r="AW168" t="s">
        <v>82</v>
      </c>
      <c r="AX168">
        <v>133</v>
      </c>
      <c r="AY168" t="s">
        <v>81</v>
      </c>
      <c r="AZ168">
        <v>-52.13</v>
      </c>
      <c r="BA168">
        <v>10.01</v>
      </c>
      <c r="BB168" t="s">
        <v>83</v>
      </c>
    </row>
    <row r="169" spans="1:54" x14ac:dyDescent="0.4">
      <c r="A169">
        <v>572586</v>
      </c>
      <c r="D169" t="s">
        <v>54</v>
      </c>
      <c r="G169">
        <v>3</v>
      </c>
      <c r="H169" t="s">
        <v>84</v>
      </c>
      <c r="I169" t="s">
        <v>57</v>
      </c>
      <c r="K169" t="s">
        <v>168</v>
      </c>
      <c r="L169" t="s">
        <v>169</v>
      </c>
      <c r="M169" t="s">
        <v>60</v>
      </c>
      <c r="O169" t="s">
        <v>170</v>
      </c>
      <c r="P169" t="s">
        <v>62</v>
      </c>
      <c r="R169" t="s">
        <v>63</v>
      </c>
      <c r="S169" t="s">
        <v>64</v>
      </c>
      <c r="T169">
        <v>227</v>
      </c>
      <c r="U169">
        <v>208.5</v>
      </c>
      <c r="V169">
        <f t="shared" si="4"/>
        <v>217.75</v>
      </c>
      <c r="W169">
        <f t="shared" si="5"/>
        <v>18.5</v>
      </c>
      <c r="X169">
        <v>-108.48722100000001</v>
      </c>
      <c r="Y169">
        <v>35.424168000000002</v>
      </c>
      <c r="Z169" t="s">
        <v>748</v>
      </c>
      <c r="AA169" t="s">
        <v>66</v>
      </c>
      <c r="AB169" t="s">
        <v>846</v>
      </c>
      <c r="AC169" t="s">
        <v>1308</v>
      </c>
      <c r="AD169" t="s">
        <v>1309</v>
      </c>
      <c r="AE169" t="s">
        <v>174</v>
      </c>
      <c r="AH169" t="s">
        <v>72</v>
      </c>
      <c r="AI169" t="s">
        <v>1129</v>
      </c>
      <c r="AJ169">
        <v>2006</v>
      </c>
      <c r="AK169" t="s">
        <v>1310</v>
      </c>
      <c r="AM169" t="s">
        <v>1311</v>
      </c>
      <c r="AN169" t="s">
        <v>114</v>
      </c>
      <c r="AO169" t="s">
        <v>77</v>
      </c>
      <c r="AP169" t="s">
        <v>115</v>
      </c>
      <c r="AQ169" t="s">
        <v>1312</v>
      </c>
      <c r="AR169" t="s">
        <v>80</v>
      </c>
      <c r="AS169">
        <v>101</v>
      </c>
      <c r="AT169" t="s">
        <v>81</v>
      </c>
      <c r="AU169">
        <v>-36.450000000000003</v>
      </c>
      <c r="AV169">
        <v>10.69</v>
      </c>
      <c r="AW169" t="s">
        <v>82</v>
      </c>
      <c r="AX169">
        <v>133</v>
      </c>
      <c r="AY169" t="s">
        <v>81</v>
      </c>
      <c r="AZ169">
        <v>-51.26</v>
      </c>
      <c r="BA169">
        <v>10.79</v>
      </c>
      <c r="BB169" t="s">
        <v>83</v>
      </c>
    </row>
    <row r="170" spans="1:54" x14ac:dyDescent="0.4">
      <c r="A170">
        <v>572593</v>
      </c>
      <c r="D170" t="s">
        <v>54</v>
      </c>
      <c r="G170">
        <v>1</v>
      </c>
      <c r="H170" t="s">
        <v>84</v>
      </c>
      <c r="I170" t="s">
        <v>57</v>
      </c>
      <c r="K170" t="s">
        <v>141</v>
      </c>
      <c r="L170" t="s">
        <v>1303</v>
      </c>
      <c r="M170" t="s">
        <v>60</v>
      </c>
      <c r="P170" t="s">
        <v>62</v>
      </c>
      <c r="R170" t="s">
        <v>63</v>
      </c>
      <c r="S170" t="s">
        <v>64</v>
      </c>
      <c r="T170">
        <v>227</v>
      </c>
      <c r="U170">
        <v>208.5</v>
      </c>
      <c r="V170">
        <f t="shared" si="4"/>
        <v>217.75</v>
      </c>
      <c r="W170">
        <f t="shared" si="5"/>
        <v>18.5</v>
      </c>
      <c r="X170">
        <v>-108.48722100000001</v>
      </c>
      <c r="Y170">
        <v>35.424168000000002</v>
      </c>
      <c r="Z170" t="s">
        <v>748</v>
      </c>
      <c r="AA170" t="s">
        <v>66</v>
      </c>
      <c r="AB170" t="s">
        <v>846</v>
      </c>
      <c r="AC170" t="s">
        <v>1308</v>
      </c>
      <c r="AD170" t="s">
        <v>1309</v>
      </c>
      <c r="AE170" t="s">
        <v>174</v>
      </c>
      <c r="AH170" t="s">
        <v>72</v>
      </c>
      <c r="AI170" t="s">
        <v>175</v>
      </c>
      <c r="AJ170">
        <v>2004</v>
      </c>
      <c r="AK170" t="s">
        <v>1310</v>
      </c>
      <c r="AM170" t="s">
        <v>1311</v>
      </c>
      <c r="AN170" t="s">
        <v>114</v>
      </c>
      <c r="AO170" t="s">
        <v>77</v>
      </c>
      <c r="AP170" t="s">
        <v>115</v>
      </c>
      <c r="AQ170" t="s">
        <v>1312</v>
      </c>
      <c r="AR170" t="s">
        <v>80</v>
      </c>
      <c r="AS170">
        <v>101</v>
      </c>
      <c r="AT170" t="s">
        <v>81</v>
      </c>
      <c r="AU170">
        <v>-36.450000000000003</v>
      </c>
      <c r="AV170">
        <v>10.69</v>
      </c>
      <c r="AW170" t="s">
        <v>82</v>
      </c>
      <c r="AX170">
        <v>133</v>
      </c>
      <c r="AY170" t="s">
        <v>81</v>
      </c>
      <c r="AZ170">
        <v>-51.26</v>
      </c>
      <c r="BA170">
        <v>10.79</v>
      </c>
      <c r="BB170" t="s">
        <v>83</v>
      </c>
    </row>
    <row r="171" spans="1:54" x14ac:dyDescent="0.4">
      <c r="A171">
        <v>572595</v>
      </c>
      <c r="D171" t="s">
        <v>54</v>
      </c>
      <c r="G171">
        <v>2</v>
      </c>
      <c r="H171" t="s">
        <v>84</v>
      </c>
      <c r="I171" t="s">
        <v>57</v>
      </c>
      <c r="K171" t="s">
        <v>141</v>
      </c>
      <c r="L171" t="s">
        <v>1303</v>
      </c>
      <c r="M171" t="s">
        <v>60</v>
      </c>
      <c r="P171" t="s">
        <v>62</v>
      </c>
      <c r="R171" t="s">
        <v>63</v>
      </c>
      <c r="S171" t="s">
        <v>64</v>
      </c>
      <c r="T171">
        <v>227</v>
      </c>
      <c r="U171">
        <v>208.5</v>
      </c>
      <c r="V171">
        <f t="shared" si="4"/>
        <v>217.75</v>
      </c>
      <c r="W171">
        <f t="shared" si="5"/>
        <v>18.5</v>
      </c>
      <c r="X171">
        <v>-108.48722100000001</v>
      </c>
      <c r="Y171">
        <v>35.424168000000002</v>
      </c>
      <c r="Z171" t="s">
        <v>748</v>
      </c>
      <c r="AA171" t="s">
        <v>66</v>
      </c>
      <c r="AB171" t="s">
        <v>846</v>
      </c>
      <c r="AC171" t="s">
        <v>1308</v>
      </c>
      <c r="AD171" t="s">
        <v>1309</v>
      </c>
      <c r="AE171" t="s">
        <v>174</v>
      </c>
      <c r="AH171" t="s">
        <v>72</v>
      </c>
      <c r="AI171" t="s">
        <v>175</v>
      </c>
      <c r="AJ171">
        <v>2004</v>
      </c>
      <c r="AK171" t="s">
        <v>1310</v>
      </c>
      <c r="AM171" t="s">
        <v>1311</v>
      </c>
      <c r="AN171" t="s">
        <v>114</v>
      </c>
      <c r="AO171" t="s">
        <v>77</v>
      </c>
      <c r="AP171" t="s">
        <v>115</v>
      </c>
      <c r="AQ171" t="s">
        <v>1312</v>
      </c>
      <c r="AR171" t="s">
        <v>80</v>
      </c>
      <c r="AS171">
        <v>101</v>
      </c>
      <c r="AT171" t="s">
        <v>81</v>
      </c>
      <c r="AU171">
        <v>-36.450000000000003</v>
      </c>
      <c r="AV171">
        <v>10.69</v>
      </c>
      <c r="AW171" t="s">
        <v>82</v>
      </c>
      <c r="AX171">
        <v>133</v>
      </c>
      <c r="AY171" t="s">
        <v>81</v>
      </c>
      <c r="AZ171">
        <v>-51.26</v>
      </c>
      <c r="BA171">
        <v>10.79</v>
      </c>
      <c r="BB171" t="s">
        <v>83</v>
      </c>
    </row>
    <row r="172" spans="1:54" x14ac:dyDescent="0.4">
      <c r="A172">
        <v>572614</v>
      </c>
      <c r="D172" t="s">
        <v>167</v>
      </c>
      <c r="E172" t="s">
        <v>55</v>
      </c>
      <c r="G172">
        <v>1</v>
      </c>
      <c r="H172" t="s">
        <v>84</v>
      </c>
      <c r="I172" t="s">
        <v>57</v>
      </c>
      <c r="K172" t="s">
        <v>141</v>
      </c>
      <c r="L172" t="s">
        <v>142</v>
      </c>
      <c r="M172" t="s">
        <v>60</v>
      </c>
      <c r="P172" t="s">
        <v>62</v>
      </c>
      <c r="R172" t="s">
        <v>63</v>
      </c>
      <c r="S172" t="s">
        <v>64</v>
      </c>
      <c r="T172">
        <v>227</v>
      </c>
      <c r="U172">
        <v>208.5</v>
      </c>
      <c r="V172">
        <f t="shared" si="4"/>
        <v>217.75</v>
      </c>
      <c r="W172">
        <f t="shared" si="5"/>
        <v>18.5</v>
      </c>
      <c r="X172">
        <v>-101.163887</v>
      </c>
      <c r="Y172">
        <v>33.433886999999999</v>
      </c>
      <c r="Z172" t="s">
        <v>171</v>
      </c>
      <c r="AA172" t="s">
        <v>66</v>
      </c>
      <c r="AB172" t="s">
        <v>125</v>
      </c>
      <c r="AC172" t="s">
        <v>172</v>
      </c>
      <c r="AD172" t="s">
        <v>173</v>
      </c>
      <c r="AE172" t="s">
        <v>174</v>
      </c>
      <c r="AH172" t="s">
        <v>11</v>
      </c>
      <c r="AI172" t="s">
        <v>175</v>
      </c>
      <c r="AJ172">
        <v>2004</v>
      </c>
      <c r="AK172" t="s">
        <v>176</v>
      </c>
      <c r="AM172" t="s">
        <v>177</v>
      </c>
      <c r="AN172" t="s">
        <v>76</v>
      </c>
      <c r="AO172" t="s">
        <v>77</v>
      </c>
      <c r="AP172" t="s">
        <v>78</v>
      </c>
      <c r="AQ172" t="s">
        <v>178</v>
      </c>
      <c r="AR172" t="s">
        <v>80</v>
      </c>
      <c r="AS172">
        <v>101</v>
      </c>
      <c r="AT172" t="s">
        <v>81</v>
      </c>
      <c r="AU172">
        <v>-30.75</v>
      </c>
      <c r="AV172">
        <v>7.72</v>
      </c>
      <c r="AW172" t="s">
        <v>82</v>
      </c>
      <c r="AX172">
        <v>101</v>
      </c>
      <c r="AY172" t="s">
        <v>81</v>
      </c>
      <c r="AZ172">
        <v>-41.5</v>
      </c>
      <c r="BA172">
        <v>8</v>
      </c>
      <c r="BB172" t="s">
        <v>83</v>
      </c>
    </row>
    <row r="173" spans="1:54" x14ac:dyDescent="0.4">
      <c r="A173">
        <v>572615</v>
      </c>
      <c r="D173" t="s">
        <v>167</v>
      </c>
      <c r="E173" t="s">
        <v>55</v>
      </c>
      <c r="G173">
        <v>2</v>
      </c>
      <c r="H173" t="s">
        <v>84</v>
      </c>
      <c r="I173" t="s">
        <v>57</v>
      </c>
      <c r="K173" t="s">
        <v>141</v>
      </c>
      <c r="L173" t="s">
        <v>148</v>
      </c>
      <c r="M173" t="s">
        <v>60</v>
      </c>
      <c r="P173" t="s">
        <v>62</v>
      </c>
      <c r="R173" t="s">
        <v>63</v>
      </c>
      <c r="S173" t="s">
        <v>64</v>
      </c>
      <c r="T173">
        <v>227</v>
      </c>
      <c r="U173">
        <v>208.5</v>
      </c>
      <c r="V173">
        <f t="shared" si="4"/>
        <v>217.75</v>
      </c>
      <c r="W173">
        <f t="shared" si="5"/>
        <v>18.5</v>
      </c>
      <c r="X173">
        <v>-101.163887</v>
      </c>
      <c r="Y173">
        <v>33.433886999999999</v>
      </c>
      <c r="Z173" t="s">
        <v>171</v>
      </c>
      <c r="AA173" t="s">
        <v>66</v>
      </c>
      <c r="AB173" t="s">
        <v>125</v>
      </c>
      <c r="AC173" t="s">
        <v>172</v>
      </c>
      <c r="AD173" t="s">
        <v>173</v>
      </c>
      <c r="AE173" t="s">
        <v>174</v>
      </c>
      <c r="AH173" t="s">
        <v>72</v>
      </c>
      <c r="AI173" t="s">
        <v>175</v>
      </c>
      <c r="AJ173">
        <v>2004</v>
      </c>
      <c r="AK173" t="s">
        <v>176</v>
      </c>
      <c r="AM173" t="s">
        <v>177</v>
      </c>
      <c r="AN173" t="s">
        <v>76</v>
      </c>
      <c r="AO173" t="s">
        <v>77</v>
      </c>
      <c r="AP173" t="s">
        <v>78</v>
      </c>
      <c r="AQ173" t="s">
        <v>178</v>
      </c>
      <c r="AR173" t="s">
        <v>80</v>
      </c>
      <c r="AS173">
        <v>101</v>
      </c>
      <c r="AT173" t="s">
        <v>81</v>
      </c>
      <c r="AU173">
        <v>-30.75</v>
      </c>
      <c r="AV173">
        <v>7.72</v>
      </c>
      <c r="AW173" t="s">
        <v>82</v>
      </c>
      <c r="AX173">
        <v>101</v>
      </c>
      <c r="AY173" t="s">
        <v>81</v>
      </c>
      <c r="AZ173">
        <v>-41.5</v>
      </c>
      <c r="BA173">
        <v>8</v>
      </c>
      <c r="BB173" t="s">
        <v>83</v>
      </c>
    </row>
    <row r="174" spans="1:54" x14ac:dyDescent="0.4">
      <c r="A174">
        <v>572616</v>
      </c>
      <c r="D174" t="s">
        <v>167</v>
      </c>
      <c r="E174" t="s">
        <v>55</v>
      </c>
      <c r="G174">
        <v>1</v>
      </c>
      <c r="H174" t="s">
        <v>84</v>
      </c>
      <c r="I174" t="s">
        <v>57</v>
      </c>
      <c r="K174" t="s">
        <v>149</v>
      </c>
      <c r="L174" t="s">
        <v>1313</v>
      </c>
      <c r="M174" t="s">
        <v>60</v>
      </c>
      <c r="P174" t="s">
        <v>62</v>
      </c>
      <c r="R174" t="s">
        <v>63</v>
      </c>
      <c r="S174" t="s">
        <v>64</v>
      </c>
      <c r="T174">
        <v>227</v>
      </c>
      <c r="U174">
        <v>208.5</v>
      </c>
      <c r="V174">
        <f t="shared" si="4"/>
        <v>217.75</v>
      </c>
      <c r="W174">
        <f t="shared" si="5"/>
        <v>18.5</v>
      </c>
      <c r="X174">
        <v>-101.163887</v>
      </c>
      <c r="Y174">
        <v>33.433886999999999</v>
      </c>
      <c r="Z174" t="s">
        <v>171</v>
      </c>
      <c r="AA174" t="s">
        <v>66</v>
      </c>
      <c r="AB174" t="s">
        <v>125</v>
      </c>
      <c r="AC174" t="s">
        <v>172</v>
      </c>
      <c r="AD174" t="s">
        <v>173</v>
      </c>
      <c r="AE174" t="s">
        <v>174</v>
      </c>
      <c r="AH174" t="s">
        <v>72</v>
      </c>
      <c r="AI174" t="s">
        <v>175</v>
      </c>
      <c r="AJ174">
        <v>2004</v>
      </c>
      <c r="AK174" t="s">
        <v>176</v>
      </c>
      <c r="AM174" t="s">
        <v>177</v>
      </c>
      <c r="AN174" t="s">
        <v>76</v>
      </c>
      <c r="AO174" t="s">
        <v>77</v>
      </c>
      <c r="AP174" t="s">
        <v>78</v>
      </c>
      <c r="AQ174" t="s">
        <v>178</v>
      </c>
      <c r="AR174" t="s">
        <v>80</v>
      </c>
      <c r="AS174">
        <v>101</v>
      </c>
      <c r="AT174" t="s">
        <v>81</v>
      </c>
      <c r="AU174">
        <v>-30.75</v>
      </c>
      <c r="AV174">
        <v>7.72</v>
      </c>
      <c r="AW174" t="s">
        <v>82</v>
      </c>
      <c r="AX174">
        <v>101</v>
      </c>
      <c r="AY174" t="s">
        <v>81</v>
      </c>
      <c r="AZ174">
        <v>-41.5</v>
      </c>
      <c r="BA174">
        <v>8</v>
      </c>
      <c r="BB174" t="s">
        <v>83</v>
      </c>
    </row>
    <row r="175" spans="1:54" x14ac:dyDescent="0.4">
      <c r="A175">
        <v>572619</v>
      </c>
      <c r="D175" t="s">
        <v>167</v>
      </c>
      <c r="E175" t="s">
        <v>55</v>
      </c>
      <c r="G175">
        <v>2</v>
      </c>
      <c r="H175" t="s">
        <v>84</v>
      </c>
      <c r="I175" t="s">
        <v>57</v>
      </c>
      <c r="K175" t="s">
        <v>168</v>
      </c>
      <c r="L175" t="s">
        <v>169</v>
      </c>
      <c r="M175" t="s">
        <v>60</v>
      </c>
      <c r="O175" t="s">
        <v>170</v>
      </c>
      <c r="P175" t="s">
        <v>62</v>
      </c>
      <c r="R175" t="s">
        <v>63</v>
      </c>
      <c r="S175" t="s">
        <v>64</v>
      </c>
      <c r="T175">
        <v>227</v>
      </c>
      <c r="U175">
        <v>208.5</v>
      </c>
      <c r="V175">
        <f t="shared" si="4"/>
        <v>217.75</v>
      </c>
      <c r="W175">
        <f t="shared" si="5"/>
        <v>18.5</v>
      </c>
      <c r="X175">
        <v>-101.163887</v>
      </c>
      <c r="Y175">
        <v>33.433886999999999</v>
      </c>
      <c r="Z175" t="s">
        <v>171</v>
      </c>
      <c r="AA175" t="s">
        <v>66</v>
      </c>
      <c r="AB175" t="s">
        <v>125</v>
      </c>
      <c r="AC175" t="s">
        <v>172</v>
      </c>
      <c r="AD175" t="s">
        <v>173</v>
      </c>
      <c r="AE175" t="s">
        <v>174</v>
      </c>
      <c r="AH175" t="s">
        <v>72</v>
      </c>
      <c r="AI175" t="s">
        <v>1129</v>
      </c>
      <c r="AJ175">
        <v>2006</v>
      </c>
      <c r="AK175" t="s">
        <v>176</v>
      </c>
      <c r="AM175" t="s">
        <v>177</v>
      </c>
      <c r="AN175" t="s">
        <v>76</v>
      </c>
      <c r="AO175" t="s">
        <v>77</v>
      </c>
      <c r="AP175" t="s">
        <v>78</v>
      </c>
      <c r="AQ175" t="s">
        <v>178</v>
      </c>
      <c r="AR175" t="s">
        <v>80</v>
      </c>
      <c r="AS175">
        <v>101</v>
      </c>
      <c r="AT175" t="s">
        <v>81</v>
      </c>
      <c r="AU175">
        <v>-30.75</v>
      </c>
      <c r="AV175">
        <v>7.72</v>
      </c>
      <c r="AW175" t="s">
        <v>82</v>
      </c>
      <c r="AX175">
        <v>101</v>
      </c>
      <c r="AY175" t="s">
        <v>81</v>
      </c>
      <c r="AZ175">
        <v>-41.5</v>
      </c>
      <c r="BA175">
        <v>8</v>
      </c>
      <c r="BB175" t="s">
        <v>83</v>
      </c>
    </row>
    <row r="176" spans="1:54" x14ac:dyDescent="0.4">
      <c r="A176">
        <v>572632</v>
      </c>
      <c r="D176" t="s">
        <v>167</v>
      </c>
      <c r="E176" t="s">
        <v>55</v>
      </c>
      <c r="G176">
        <v>1</v>
      </c>
      <c r="H176" t="s">
        <v>84</v>
      </c>
      <c r="I176" t="s">
        <v>57</v>
      </c>
      <c r="K176" t="s">
        <v>141</v>
      </c>
      <c r="L176" t="s">
        <v>1314</v>
      </c>
      <c r="M176" t="s">
        <v>60</v>
      </c>
      <c r="P176" t="s">
        <v>62</v>
      </c>
      <c r="R176" t="s">
        <v>63</v>
      </c>
      <c r="S176" t="s">
        <v>64</v>
      </c>
      <c r="T176">
        <v>227</v>
      </c>
      <c r="U176">
        <v>208.5</v>
      </c>
      <c r="V176">
        <f t="shared" si="4"/>
        <v>217.75</v>
      </c>
      <c r="W176">
        <f t="shared" si="5"/>
        <v>18.5</v>
      </c>
      <c r="X176">
        <v>-101.163887</v>
      </c>
      <c r="Y176">
        <v>33.433886999999999</v>
      </c>
      <c r="Z176" t="s">
        <v>171</v>
      </c>
      <c r="AA176" t="s">
        <v>66</v>
      </c>
      <c r="AB176" t="s">
        <v>125</v>
      </c>
      <c r="AC176" t="s">
        <v>172</v>
      </c>
      <c r="AD176" t="s">
        <v>173</v>
      </c>
      <c r="AE176" t="s">
        <v>174</v>
      </c>
      <c r="AH176" t="s">
        <v>72</v>
      </c>
      <c r="AI176" t="s">
        <v>175</v>
      </c>
      <c r="AJ176">
        <v>2004</v>
      </c>
      <c r="AK176" t="s">
        <v>176</v>
      </c>
      <c r="AM176" t="s">
        <v>177</v>
      </c>
      <c r="AN176" t="s">
        <v>76</v>
      </c>
      <c r="AO176" t="s">
        <v>77</v>
      </c>
      <c r="AP176" t="s">
        <v>78</v>
      </c>
      <c r="AQ176" t="s">
        <v>178</v>
      </c>
      <c r="AR176" t="s">
        <v>80</v>
      </c>
      <c r="AS176">
        <v>101</v>
      </c>
      <c r="AT176" t="s">
        <v>81</v>
      </c>
      <c r="AU176">
        <v>-30.75</v>
      </c>
      <c r="AV176">
        <v>7.72</v>
      </c>
      <c r="AW176" t="s">
        <v>82</v>
      </c>
      <c r="AX176">
        <v>101</v>
      </c>
      <c r="AY176" t="s">
        <v>81</v>
      </c>
      <c r="AZ176">
        <v>-41.5</v>
      </c>
      <c r="BA176">
        <v>8</v>
      </c>
      <c r="BB176" t="s">
        <v>83</v>
      </c>
    </row>
    <row r="177" spans="1:54" x14ac:dyDescent="0.4">
      <c r="A177">
        <v>572633</v>
      </c>
      <c r="D177" t="s">
        <v>167</v>
      </c>
      <c r="E177" t="s">
        <v>55</v>
      </c>
      <c r="G177">
        <v>11</v>
      </c>
      <c r="H177" t="s">
        <v>84</v>
      </c>
      <c r="I177" t="s">
        <v>57</v>
      </c>
      <c r="K177" t="s">
        <v>141</v>
      </c>
      <c r="L177" t="s">
        <v>1303</v>
      </c>
      <c r="M177" t="s">
        <v>60</v>
      </c>
      <c r="P177" t="s">
        <v>62</v>
      </c>
      <c r="R177" t="s">
        <v>63</v>
      </c>
      <c r="S177" t="s">
        <v>64</v>
      </c>
      <c r="T177">
        <v>227</v>
      </c>
      <c r="U177">
        <v>208.5</v>
      </c>
      <c r="V177">
        <f t="shared" si="4"/>
        <v>217.75</v>
      </c>
      <c r="W177">
        <f t="shared" si="5"/>
        <v>18.5</v>
      </c>
      <c r="X177">
        <v>-101.163887</v>
      </c>
      <c r="Y177">
        <v>33.433886999999999</v>
      </c>
      <c r="Z177" t="s">
        <v>171</v>
      </c>
      <c r="AA177" t="s">
        <v>66</v>
      </c>
      <c r="AB177" t="s">
        <v>125</v>
      </c>
      <c r="AC177" t="s">
        <v>172</v>
      </c>
      <c r="AD177" t="s">
        <v>173</v>
      </c>
      <c r="AE177" t="s">
        <v>174</v>
      </c>
      <c r="AH177" t="s">
        <v>72</v>
      </c>
      <c r="AI177" t="s">
        <v>175</v>
      </c>
      <c r="AJ177">
        <v>2004</v>
      </c>
      <c r="AK177" t="s">
        <v>176</v>
      </c>
      <c r="AM177" t="s">
        <v>177</v>
      </c>
      <c r="AN177" t="s">
        <v>76</v>
      </c>
      <c r="AO177" t="s">
        <v>77</v>
      </c>
      <c r="AP177" t="s">
        <v>78</v>
      </c>
      <c r="AQ177" t="s">
        <v>178</v>
      </c>
      <c r="AR177" t="s">
        <v>80</v>
      </c>
      <c r="AS177">
        <v>101</v>
      </c>
      <c r="AT177" t="s">
        <v>81</v>
      </c>
      <c r="AU177">
        <v>-30.75</v>
      </c>
      <c r="AV177">
        <v>7.72</v>
      </c>
      <c r="AW177" t="s">
        <v>82</v>
      </c>
      <c r="AX177">
        <v>101</v>
      </c>
      <c r="AY177" t="s">
        <v>81</v>
      </c>
      <c r="AZ177">
        <v>-41.5</v>
      </c>
      <c r="BA177">
        <v>8</v>
      </c>
      <c r="BB177" t="s">
        <v>83</v>
      </c>
    </row>
    <row r="178" spans="1:54" x14ac:dyDescent="0.4">
      <c r="A178">
        <v>572634</v>
      </c>
      <c r="D178" t="s">
        <v>167</v>
      </c>
      <c r="E178" t="s">
        <v>55</v>
      </c>
      <c r="G178">
        <v>1</v>
      </c>
      <c r="H178" t="s">
        <v>84</v>
      </c>
      <c r="I178" t="s">
        <v>57</v>
      </c>
      <c r="K178" t="s">
        <v>141</v>
      </c>
      <c r="L178" t="s">
        <v>905</v>
      </c>
      <c r="M178" t="s">
        <v>60</v>
      </c>
      <c r="O178" t="s">
        <v>170</v>
      </c>
      <c r="P178" t="s">
        <v>62</v>
      </c>
      <c r="R178" t="s">
        <v>63</v>
      </c>
      <c r="S178" t="s">
        <v>64</v>
      </c>
      <c r="T178">
        <v>227</v>
      </c>
      <c r="U178">
        <v>208.5</v>
      </c>
      <c r="V178">
        <f t="shared" si="4"/>
        <v>217.75</v>
      </c>
      <c r="W178">
        <f t="shared" si="5"/>
        <v>18.5</v>
      </c>
      <c r="X178">
        <v>-101.163887</v>
      </c>
      <c r="Y178">
        <v>33.433886999999999</v>
      </c>
      <c r="Z178" t="s">
        <v>171</v>
      </c>
      <c r="AA178" t="s">
        <v>66</v>
      </c>
      <c r="AB178" t="s">
        <v>125</v>
      </c>
      <c r="AC178" t="s">
        <v>172</v>
      </c>
      <c r="AD178" t="s">
        <v>173</v>
      </c>
      <c r="AE178" t="s">
        <v>174</v>
      </c>
      <c r="AH178" t="s">
        <v>11</v>
      </c>
      <c r="AI178" t="s">
        <v>175</v>
      </c>
      <c r="AJ178">
        <v>2004</v>
      </c>
      <c r="AK178" t="s">
        <v>176</v>
      </c>
      <c r="AM178" t="s">
        <v>177</v>
      </c>
      <c r="AN178" t="s">
        <v>76</v>
      </c>
      <c r="AO178" t="s">
        <v>77</v>
      </c>
      <c r="AP178" t="s">
        <v>78</v>
      </c>
      <c r="AQ178" t="s">
        <v>178</v>
      </c>
      <c r="AR178" t="s">
        <v>80</v>
      </c>
      <c r="AS178">
        <v>101</v>
      </c>
      <c r="AT178" t="s">
        <v>81</v>
      </c>
      <c r="AU178">
        <v>-30.75</v>
      </c>
      <c r="AV178">
        <v>7.72</v>
      </c>
      <c r="AW178" t="s">
        <v>82</v>
      </c>
      <c r="AX178">
        <v>101</v>
      </c>
      <c r="AY178" t="s">
        <v>81</v>
      </c>
      <c r="AZ178">
        <v>-41.5</v>
      </c>
      <c r="BA178">
        <v>8</v>
      </c>
      <c r="BB178" t="s">
        <v>83</v>
      </c>
    </row>
    <row r="179" spans="1:54" x14ac:dyDescent="0.4">
      <c r="A179">
        <v>572650</v>
      </c>
      <c r="D179" t="s">
        <v>54</v>
      </c>
      <c r="E179" t="s">
        <v>55</v>
      </c>
      <c r="G179">
        <v>1</v>
      </c>
      <c r="H179" t="s">
        <v>84</v>
      </c>
      <c r="I179" t="s">
        <v>57</v>
      </c>
      <c r="K179" t="s">
        <v>149</v>
      </c>
      <c r="L179" t="s">
        <v>1315</v>
      </c>
      <c r="M179" t="s">
        <v>60</v>
      </c>
      <c r="P179" t="s">
        <v>62</v>
      </c>
      <c r="R179" t="s">
        <v>63</v>
      </c>
      <c r="S179" t="s">
        <v>64</v>
      </c>
      <c r="T179">
        <v>227</v>
      </c>
      <c r="U179">
        <v>208.5</v>
      </c>
      <c r="V179">
        <f t="shared" si="4"/>
        <v>217.75</v>
      </c>
      <c r="W179">
        <f t="shared" si="5"/>
        <v>18.5</v>
      </c>
      <c r="X179">
        <v>-101.168892</v>
      </c>
      <c r="Y179">
        <v>33.449165000000001</v>
      </c>
      <c r="Z179" t="s">
        <v>582</v>
      </c>
      <c r="AA179" t="s">
        <v>66</v>
      </c>
      <c r="AB179" t="s">
        <v>125</v>
      </c>
      <c r="AC179" t="s">
        <v>172</v>
      </c>
      <c r="AD179" t="s">
        <v>173</v>
      </c>
      <c r="AE179" t="s">
        <v>201</v>
      </c>
      <c r="AH179" t="s">
        <v>72</v>
      </c>
      <c r="AI179" t="s">
        <v>175</v>
      </c>
      <c r="AJ179">
        <v>2004</v>
      </c>
      <c r="AK179" t="s">
        <v>891</v>
      </c>
      <c r="AM179" t="s">
        <v>892</v>
      </c>
      <c r="AN179" t="s">
        <v>76</v>
      </c>
      <c r="AO179" t="s">
        <v>77</v>
      </c>
      <c r="AP179" t="s">
        <v>78</v>
      </c>
      <c r="AQ179" t="s">
        <v>893</v>
      </c>
      <c r="AR179" t="s">
        <v>80</v>
      </c>
      <c r="AS179">
        <v>101</v>
      </c>
      <c r="AT179" t="s">
        <v>81</v>
      </c>
      <c r="AU179">
        <v>-30.75</v>
      </c>
      <c r="AV179">
        <v>7.74</v>
      </c>
      <c r="AW179" t="s">
        <v>82</v>
      </c>
      <c r="AX179">
        <v>101</v>
      </c>
      <c r="AY179" t="s">
        <v>81</v>
      </c>
      <c r="AZ179">
        <v>-41.5</v>
      </c>
      <c r="BA179">
        <v>8.01</v>
      </c>
      <c r="BB179" t="s">
        <v>83</v>
      </c>
    </row>
    <row r="180" spans="1:54" x14ac:dyDescent="0.4">
      <c r="A180">
        <v>572651</v>
      </c>
      <c r="D180" t="s">
        <v>54</v>
      </c>
      <c r="E180" t="s">
        <v>55</v>
      </c>
      <c r="G180">
        <v>2</v>
      </c>
      <c r="H180" t="s">
        <v>84</v>
      </c>
      <c r="I180" t="s">
        <v>57</v>
      </c>
      <c r="K180" t="s">
        <v>168</v>
      </c>
      <c r="L180" t="s">
        <v>169</v>
      </c>
      <c r="M180" t="s">
        <v>60</v>
      </c>
      <c r="O180" t="s">
        <v>170</v>
      </c>
      <c r="P180" t="s">
        <v>62</v>
      </c>
      <c r="R180" t="s">
        <v>63</v>
      </c>
      <c r="S180" t="s">
        <v>64</v>
      </c>
      <c r="T180">
        <v>227</v>
      </c>
      <c r="U180">
        <v>208.5</v>
      </c>
      <c r="V180">
        <f t="shared" si="4"/>
        <v>217.75</v>
      </c>
      <c r="W180">
        <f t="shared" si="5"/>
        <v>18.5</v>
      </c>
      <c r="X180">
        <v>-101.168892</v>
      </c>
      <c r="Y180">
        <v>33.449165000000001</v>
      </c>
      <c r="Z180" t="s">
        <v>582</v>
      </c>
      <c r="AA180" t="s">
        <v>66</v>
      </c>
      <c r="AB180" t="s">
        <v>125</v>
      </c>
      <c r="AC180" t="s">
        <v>172</v>
      </c>
      <c r="AD180" t="s">
        <v>173</v>
      </c>
      <c r="AE180" t="s">
        <v>201</v>
      </c>
      <c r="AH180" t="s">
        <v>11</v>
      </c>
      <c r="AI180" t="s">
        <v>175</v>
      </c>
      <c r="AJ180">
        <v>2004</v>
      </c>
      <c r="AK180" t="s">
        <v>891</v>
      </c>
      <c r="AM180" t="s">
        <v>892</v>
      </c>
      <c r="AN180" t="s">
        <v>76</v>
      </c>
      <c r="AO180" t="s">
        <v>77</v>
      </c>
      <c r="AP180" t="s">
        <v>78</v>
      </c>
      <c r="AQ180" t="s">
        <v>893</v>
      </c>
      <c r="AR180" t="s">
        <v>80</v>
      </c>
      <c r="AS180">
        <v>101</v>
      </c>
      <c r="AT180" t="s">
        <v>81</v>
      </c>
      <c r="AU180">
        <v>-30.75</v>
      </c>
      <c r="AV180">
        <v>7.74</v>
      </c>
      <c r="AW180" t="s">
        <v>82</v>
      </c>
      <c r="AX180">
        <v>101</v>
      </c>
      <c r="AY180" t="s">
        <v>81</v>
      </c>
      <c r="AZ180">
        <v>-41.5</v>
      </c>
      <c r="BA180">
        <v>8.01</v>
      </c>
      <c r="BB180" t="s">
        <v>83</v>
      </c>
    </row>
    <row r="181" spans="1:54" x14ac:dyDescent="0.4">
      <c r="A181">
        <v>572673</v>
      </c>
      <c r="D181" t="s">
        <v>54</v>
      </c>
      <c r="E181" t="s">
        <v>55</v>
      </c>
      <c r="G181">
        <v>7</v>
      </c>
      <c r="H181" t="s">
        <v>84</v>
      </c>
      <c r="I181" t="s">
        <v>57</v>
      </c>
      <c r="K181" t="s">
        <v>141</v>
      </c>
      <c r="L181" t="s">
        <v>1314</v>
      </c>
      <c r="M181" t="s">
        <v>60</v>
      </c>
      <c r="P181" t="s">
        <v>62</v>
      </c>
      <c r="R181" t="s">
        <v>63</v>
      </c>
      <c r="S181" t="s">
        <v>64</v>
      </c>
      <c r="T181">
        <v>227</v>
      </c>
      <c r="U181">
        <v>208.5</v>
      </c>
      <c r="V181">
        <f t="shared" si="4"/>
        <v>217.75</v>
      </c>
      <c r="W181">
        <f t="shared" si="5"/>
        <v>18.5</v>
      </c>
      <c r="X181">
        <v>-101.168892</v>
      </c>
      <c r="Y181">
        <v>33.449165000000001</v>
      </c>
      <c r="Z181" t="s">
        <v>582</v>
      </c>
      <c r="AA181" t="s">
        <v>66</v>
      </c>
      <c r="AB181" t="s">
        <v>125</v>
      </c>
      <c r="AC181" t="s">
        <v>172</v>
      </c>
      <c r="AD181" t="s">
        <v>173</v>
      </c>
      <c r="AE181" t="s">
        <v>201</v>
      </c>
      <c r="AH181" t="s">
        <v>72</v>
      </c>
      <c r="AI181" t="s">
        <v>175</v>
      </c>
      <c r="AJ181">
        <v>2004</v>
      </c>
      <c r="AK181" t="s">
        <v>891</v>
      </c>
      <c r="AM181" t="s">
        <v>892</v>
      </c>
      <c r="AN181" t="s">
        <v>76</v>
      </c>
      <c r="AO181" t="s">
        <v>77</v>
      </c>
      <c r="AP181" t="s">
        <v>78</v>
      </c>
      <c r="AQ181" t="s">
        <v>893</v>
      </c>
      <c r="AR181" t="s">
        <v>80</v>
      </c>
      <c r="AS181">
        <v>101</v>
      </c>
      <c r="AT181" t="s">
        <v>81</v>
      </c>
      <c r="AU181">
        <v>-30.75</v>
      </c>
      <c r="AV181">
        <v>7.74</v>
      </c>
      <c r="AW181" t="s">
        <v>82</v>
      </c>
      <c r="AX181">
        <v>101</v>
      </c>
      <c r="AY181" t="s">
        <v>81</v>
      </c>
      <c r="AZ181">
        <v>-41.5</v>
      </c>
      <c r="BA181">
        <v>8.01</v>
      </c>
      <c r="BB181" t="s">
        <v>83</v>
      </c>
    </row>
    <row r="182" spans="1:54" x14ac:dyDescent="0.4">
      <c r="A182">
        <v>572674</v>
      </c>
      <c r="D182" t="s">
        <v>54</v>
      </c>
      <c r="E182" t="s">
        <v>55</v>
      </c>
      <c r="G182">
        <v>3</v>
      </c>
      <c r="H182" t="s">
        <v>84</v>
      </c>
      <c r="I182" t="s">
        <v>57</v>
      </c>
      <c r="K182" t="s">
        <v>141</v>
      </c>
      <c r="L182" t="s">
        <v>1314</v>
      </c>
      <c r="M182" t="s">
        <v>60</v>
      </c>
      <c r="P182" t="s">
        <v>62</v>
      </c>
      <c r="R182" t="s">
        <v>63</v>
      </c>
      <c r="S182" t="s">
        <v>64</v>
      </c>
      <c r="T182">
        <v>227</v>
      </c>
      <c r="U182">
        <v>208.5</v>
      </c>
      <c r="V182">
        <f t="shared" si="4"/>
        <v>217.75</v>
      </c>
      <c r="W182">
        <f t="shared" si="5"/>
        <v>18.5</v>
      </c>
      <c r="X182">
        <v>-101.168892</v>
      </c>
      <c r="Y182">
        <v>33.449165000000001</v>
      </c>
      <c r="Z182" t="s">
        <v>582</v>
      </c>
      <c r="AA182" t="s">
        <v>66</v>
      </c>
      <c r="AB182" t="s">
        <v>125</v>
      </c>
      <c r="AC182" t="s">
        <v>172</v>
      </c>
      <c r="AD182" t="s">
        <v>173</v>
      </c>
      <c r="AE182" t="s">
        <v>201</v>
      </c>
      <c r="AH182" t="s">
        <v>72</v>
      </c>
      <c r="AI182" t="s">
        <v>175</v>
      </c>
      <c r="AJ182">
        <v>2004</v>
      </c>
      <c r="AK182" t="s">
        <v>891</v>
      </c>
      <c r="AM182" t="s">
        <v>892</v>
      </c>
      <c r="AN182" t="s">
        <v>76</v>
      </c>
      <c r="AO182" t="s">
        <v>77</v>
      </c>
      <c r="AP182" t="s">
        <v>78</v>
      </c>
      <c r="AQ182" t="s">
        <v>893</v>
      </c>
      <c r="AR182" t="s">
        <v>80</v>
      </c>
      <c r="AS182">
        <v>101</v>
      </c>
      <c r="AT182" t="s">
        <v>81</v>
      </c>
      <c r="AU182">
        <v>-30.75</v>
      </c>
      <c r="AV182">
        <v>7.74</v>
      </c>
      <c r="AW182" t="s">
        <v>82</v>
      </c>
      <c r="AX182">
        <v>101</v>
      </c>
      <c r="AY182" t="s">
        <v>81</v>
      </c>
      <c r="AZ182">
        <v>-41.5</v>
      </c>
      <c r="BA182">
        <v>8.01</v>
      </c>
      <c r="BB182" t="s">
        <v>83</v>
      </c>
    </row>
    <row r="183" spans="1:54" x14ac:dyDescent="0.4">
      <c r="A183">
        <v>572675</v>
      </c>
      <c r="D183" t="s">
        <v>54</v>
      </c>
      <c r="E183" t="s">
        <v>55</v>
      </c>
      <c r="G183">
        <v>6</v>
      </c>
      <c r="H183" t="s">
        <v>84</v>
      </c>
      <c r="I183" t="s">
        <v>57</v>
      </c>
      <c r="K183" t="s">
        <v>141</v>
      </c>
      <c r="L183" t="s">
        <v>1303</v>
      </c>
      <c r="M183" t="s">
        <v>60</v>
      </c>
      <c r="P183" t="s">
        <v>62</v>
      </c>
      <c r="R183" t="s">
        <v>63</v>
      </c>
      <c r="S183" t="s">
        <v>64</v>
      </c>
      <c r="T183">
        <v>227</v>
      </c>
      <c r="U183">
        <v>208.5</v>
      </c>
      <c r="V183">
        <f t="shared" si="4"/>
        <v>217.75</v>
      </c>
      <c r="W183">
        <f t="shared" si="5"/>
        <v>18.5</v>
      </c>
      <c r="X183">
        <v>-101.168892</v>
      </c>
      <c r="Y183">
        <v>33.449165000000001</v>
      </c>
      <c r="Z183" t="s">
        <v>582</v>
      </c>
      <c r="AA183" t="s">
        <v>66</v>
      </c>
      <c r="AB183" t="s">
        <v>125</v>
      </c>
      <c r="AC183" t="s">
        <v>172</v>
      </c>
      <c r="AD183" t="s">
        <v>173</v>
      </c>
      <c r="AE183" t="s">
        <v>201</v>
      </c>
      <c r="AH183" t="s">
        <v>72</v>
      </c>
      <c r="AI183" t="s">
        <v>175</v>
      </c>
      <c r="AJ183">
        <v>2004</v>
      </c>
      <c r="AK183" t="s">
        <v>891</v>
      </c>
      <c r="AM183" t="s">
        <v>892</v>
      </c>
      <c r="AN183" t="s">
        <v>76</v>
      </c>
      <c r="AO183" t="s">
        <v>77</v>
      </c>
      <c r="AP183" t="s">
        <v>78</v>
      </c>
      <c r="AQ183" t="s">
        <v>893</v>
      </c>
      <c r="AR183" t="s">
        <v>80</v>
      </c>
      <c r="AS183">
        <v>101</v>
      </c>
      <c r="AT183" t="s">
        <v>81</v>
      </c>
      <c r="AU183">
        <v>-30.75</v>
      </c>
      <c r="AV183">
        <v>7.74</v>
      </c>
      <c r="AW183" t="s">
        <v>82</v>
      </c>
      <c r="AX183">
        <v>101</v>
      </c>
      <c r="AY183" t="s">
        <v>81</v>
      </c>
      <c r="AZ183">
        <v>-41.5</v>
      </c>
      <c r="BA183">
        <v>8.01</v>
      </c>
      <c r="BB183" t="s">
        <v>83</v>
      </c>
    </row>
    <row r="184" spans="1:54" x14ac:dyDescent="0.4">
      <c r="A184">
        <v>572676</v>
      </c>
      <c r="D184" t="s">
        <v>54</v>
      </c>
      <c r="E184" t="s">
        <v>55</v>
      </c>
      <c r="G184">
        <v>1</v>
      </c>
      <c r="H184" t="s">
        <v>84</v>
      </c>
      <c r="I184" t="s">
        <v>57</v>
      </c>
      <c r="K184" t="s">
        <v>141</v>
      </c>
      <c r="L184" t="s">
        <v>1303</v>
      </c>
      <c r="M184" t="s">
        <v>60</v>
      </c>
      <c r="P184" t="s">
        <v>62</v>
      </c>
      <c r="R184" t="s">
        <v>63</v>
      </c>
      <c r="S184" t="s">
        <v>64</v>
      </c>
      <c r="T184">
        <v>227</v>
      </c>
      <c r="U184">
        <v>208.5</v>
      </c>
      <c r="V184">
        <f t="shared" si="4"/>
        <v>217.75</v>
      </c>
      <c r="W184">
        <f t="shared" si="5"/>
        <v>18.5</v>
      </c>
      <c r="X184">
        <v>-101.168892</v>
      </c>
      <c r="Y184">
        <v>33.449165000000001</v>
      </c>
      <c r="Z184" t="s">
        <v>582</v>
      </c>
      <c r="AA184" t="s">
        <v>66</v>
      </c>
      <c r="AB184" t="s">
        <v>125</v>
      </c>
      <c r="AC184" t="s">
        <v>172</v>
      </c>
      <c r="AD184" t="s">
        <v>173</v>
      </c>
      <c r="AE184" t="s">
        <v>201</v>
      </c>
      <c r="AH184" t="s">
        <v>72</v>
      </c>
      <c r="AI184" t="s">
        <v>175</v>
      </c>
      <c r="AJ184">
        <v>2004</v>
      </c>
      <c r="AK184" t="s">
        <v>891</v>
      </c>
      <c r="AM184" t="s">
        <v>892</v>
      </c>
      <c r="AN184" t="s">
        <v>76</v>
      </c>
      <c r="AO184" t="s">
        <v>77</v>
      </c>
      <c r="AP184" t="s">
        <v>78</v>
      </c>
      <c r="AQ184" t="s">
        <v>893</v>
      </c>
      <c r="AR184" t="s">
        <v>80</v>
      </c>
      <c r="AS184">
        <v>101</v>
      </c>
      <c r="AT184" t="s">
        <v>81</v>
      </c>
      <c r="AU184">
        <v>-30.75</v>
      </c>
      <c r="AV184">
        <v>7.74</v>
      </c>
      <c r="AW184" t="s">
        <v>82</v>
      </c>
      <c r="AX184">
        <v>101</v>
      </c>
      <c r="AY184" t="s">
        <v>81</v>
      </c>
      <c r="AZ184">
        <v>-41.5</v>
      </c>
      <c r="BA184">
        <v>8.01</v>
      </c>
      <c r="BB184" t="s">
        <v>83</v>
      </c>
    </row>
    <row r="185" spans="1:54" x14ac:dyDescent="0.4">
      <c r="A185">
        <v>572677</v>
      </c>
      <c r="D185" t="s">
        <v>54</v>
      </c>
      <c r="E185" t="s">
        <v>55</v>
      </c>
      <c r="G185">
        <v>1</v>
      </c>
      <c r="H185" t="s">
        <v>84</v>
      </c>
      <c r="I185" t="s">
        <v>57</v>
      </c>
      <c r="K185" t="s">
        <v>141</v>
      </c>
      <c r="L185" t="s">
        <v>905</v>
      </c>
      <c r="M185" t="s">
        <v>60</v>
      </c>
      <c r="O185" t="s">
        <v>170</v>
      </c>
      <c r="P185" t="s">
        <v>62</v>
      </c>
      <c r="R185" t="s">
        <v>63</v>
      </c>
      <c r="S185" t="s">
        <v>64</v>
      </c>
      <c r="T185">
        <v>227</v>
      </c>
      <c r="U185">
        <v>208.5</v>
      </c>
      <c r="V185">
        <f t="shared" si="4"/>
        <v>217.75</v>
      </c>
      <c r="W185">
        <f t="shared" si="5"/>
        <v>18.5</v>
      </c>
      <c r="X185">
        <v>-101.168892</v>
      </c>
      <c r="Y185">
        <v>33.449165000000001</v>
      </c>
      <c r="Z185" t="s">
        <v>582</v>
      </c>
      <c r="AA185" t="s">
        <v>66</v>
      </c>
      <c r="AB185" t="s">
        <v>125</v>
      </c>
      <c r="AC185" t="s">
        <v>172</v>
      </c>
      <c r="AD185" t="s">
        <v>173</v>
      </c>
      <c r="AE185" t="s">
        <v>201</v>
      </c>
      <c r="AH185" t="s">
        <v>11</v>
      </c>
      <c r="AI185" t="s">
        <v>175</v>
      </c>
      <c r="AJ185">
        <v>2004</v>
      </c>
      <c r="AK185" t="s">
        <v>891</v>
      </c>
      <c r="AM185" t="s">
        <v>892</v>
      </c>
      <c r="AN185" t="s">
        <v>76</v>
      </c>
      <c r="AO185" t="s">
        <v>77</v>
      </c>
      <c r="AP185" t="s">
        <v>78</v>
      </c>
      <c r="AQ185" t="s">
        <v>893</v>
      </c>
      <c r="AR185" t="s">
        <v>80</v>
      </c>
      <c r="AS185">
        <v>101</v>
      </c>
      <c r="AT185" t="s">
        <v>81</v>
      </c>
      <c r="AU185">
        <v>-30.75</v>
      </c>
      <c r="AV185">
        <v>7.74</v>
      </c>
      <c r="AW185" t="s">
        <v>82</v>
      </c>
      <c r="AX185">
        <v>101</v>
      </c>
      <c r="AY185" t="s">
        <v>81</v>
      </c>
      <c r="AZ185">
        <v>-41.5</v>
      </c>
      <c r="BA185">
        <v>8.01</v>
      </c>
      <c r="BB185" t="s">
        <v>83</v>
      </c>
    </row>
    <row r="186" spans="1:54" x14ac:dyDescent="0.4">
      <c r="A186">
        <v>572678</v>
      </c>
      <c r="D186" t="s">
        <v>54</v>
      </c>
      <c r="E186" t="s">
        <v>55</v>
      </c>
      <c r="G186">
        <v>1</v>
      </c>
      <c r="H186" t="s">
        <v>84</v>
      </c>
      <c r="I186" t="s">
        <v>57</v>
      </c>
      <c r="K186" t="s">
        <v>141</v>
      </c>
      <c r="L186" t="s">
        <v>1230</v>
      </c>
      <c r="M186" t="s">
        <v>60</v>
      </c>
      <c r="P186" t="s">
        <v>62</v>
      </c>
      <c r="R186" t="s">
        <v>63</v>
      </c>
      <c r="S186" t="s">
        <v>64</v>
      </c>
      <c r="T186">
        <v>227</v>
      </c>
      <c r="U186">
        <v>208.5</v>
      </c>
      <c r="V186">
        <f t="shared" si="4"/>
        <v>217.75</v>
      </c>
      <c r="W186">
        <f t="shared" si="5"/>
        <v>18.5</v>
      </c>
      <c r="X186">
        <v>-101.168892</v>
      </c>
      <c r="Y186">
        <v>33.449165000000001</v>
      </c>
      <c r="Z186" t="s">
        <v>582</v>
      </c>
      <c r="AA186" t="s">
        <v>66</v>
      </c>
      <c r="AB186" t="s">
        <v>125</v>
      </c>
      <c r="AC186" t="s">
        <v>172</v>
      </c>
      <c r="AD186" t="s">
        <v>173</v>
      </c>
      <c r="AE186" t="s">
        <v>201</v>
      </c>
      <c r="AH186" t="s">
        <v>11</v>
      </c>
      <c r="AI186" t="s">
        <v>175</v>
      </c>
      <c r="AJ186">
        <v>2004</v>
      </c>
      <c r="AK186" t="s">
        <v>891</v>
      </c>
      <c r="AM186" t="s">
        <v>892</v>
      </c>
      <c r="AN186" t="s">
        <v>76</v>
      </c>
      <c r="AO186" t="s">
        <v>77</v>
      </c>
      <c r="AP186" t="s">
        <v>78</v>
      </c>
      <c r="AQ186" t="s">
        <v>893</v>
      </c>
      <c r="AR186" t="s">
        <v>80</v>
      </c>
      <c r="AS186">
        <v>101</v>
      </c>
      <c r="AT186" t="s">
        <v>81</v>
      </c>
      <c r="AU186">
        <v>-30.75</v>
      </c>
      <c r="AV186">
        <v>7.74</v>
      </c>
      <c r="AW186" t="s">
        <v>82</v>
      </c>
      <c r="AX186">
        <v>101</v>
      </c>
      <c r="AY186" t="s">
        <v>81</v>
      </c>
      <c r="AZ186">
        <v>-41.5</v>
      </c>
      <c r="BA186">
        <v>8.01</v>
      </c>
      <c r="BB186" t="s">
        <v>83</v>
      </c>
    </row>
    <row r="187" spans="1:54" x14ac:dyDescent="0.4">
      <c r="A187">
        <v>589407</v>
      </c>
      <c r="D187" t="s">
        <v>54</v>
      </c>
      <c r="I187" t="s">
        <v>57</v>
      </c>
      <c r="K187" t="s">
        <v>141</v>
      </c>
      <c r="L187" t="s">
        <v>905</v>
      </c>
      <c r="M187" t="s">
        <v>60</v>
      </c>
      <c r="O187" t="s">
        <v>170</v>
      </c>
      <c r="P187" t="s">
        <v>62</v>
      </c>
      <c r="R187" t="s">
        <v>63</v>
      </c>
      <c r="S187" t="s">
        <v>64</v>
      </c>
      <c r="T187">
        <v>227</v>
      </c>
      <c r="U187">
        <v>208.5</v>
      </c>
      <c r="V187">
        <f t="shared" si="4"/>
        <v>217.75</v>
      </c>
      <c r="W187">
        <f t="shared" si="5"/>
        <v>18.5</v>
      </c>
      <c r="X187">
        <v>-109.807503</v>
      </c>
      <c r="Y187">
        <v>35.125</v>
      </c>
      <c r="Z187" t="s">
        <v>582</v>
      </c>
      <c r="AA187" t="s">
        <v>66</v>
      </c>
      <c r="AB187" t="s">
        <v>583</v>
      </c>
      <c r="AC187" t="s">
        <v>735</v>
      </c>
      <c r="AD187" t="s">
        <v>174</v>
      </c>
      <c r="AF187" t="s">
        <v>749</v>
      </c>
      <c r="AH187" t="s">
        <v>72</v>
      </c>
      <c r="AI187" t="s">
        <v>1335</v>
      </c>
      <c r="AJ187">
        <v>1999</v>
      </c>
      <c r="AK187" t="s">
        <v>1336</v>
      </c>
      <c r="AN187" t="s">
        <v>114</v>
      </c>
      <c r="AO187" t="s">
        <v>77</v>
      </c>
      <c r="AP187" t="s">
        <v>115</v>
      </c>
      <c r="AR187" t="s">
        <v>80</v>
      </c>
      <c r="AS187">
        <v>101</v>
      </c>
      <c r="AT187" t="s">
        <v>81</v>
      </c>
      <c r="AU187">
        <v>-37.58</v>
      </c>
      <c r="AV187">
        <v>10.61</v>
      </c>
      <c r="AW187" t="s">
        <v>82</v>
      </c>
      <c r="AX187">
        <v>133</v>
      </c>
      <c r="AY187" t="s">
        <v>81</v>
      </c>
      <c r="AZ187">
        <v>-52.39</v>
      </c>
      <c r="BA187">
        <v>10.68</v>
      </c>
      <c r="BB187" t="s">
        <v>83</v>
      </c>
    </row>
    <row r="188" spans="1:54" x14ac:dyDescent="0.4">
      <c r="A188">
        <v>590148</v>
      </c>
      <c r="D188" t="s">
        <v>54</v>
      </c>
      <c r="E188" t="s">
        <v>55</v>
      </c>
      <c r="G188">
        <v>9</v>
      </c>
      <c r="H188" t="s">
        <v>84</v>
      </c>
      <c r="I188" t="s">
        <v>57</v>
      </c>
      <c r="K188" t="s">
        <v>741</v>
      </c>
      <c r="L188" t="s">
        <v>854</v>
      </c>
      <c r="M188" t="s">
        <v>60</v>
      </c>
      <c r="N188" t="s">
        <v>256</v>
      </c>
      <c r="O188" t="s">
        <v>87</v>
      </c>
      <c r="P188" t="s">
        <v>62</v>
      </c>
      <c r="R188" t="s">
        <v>63</v>
      </c>
      <c r="S188" t="s">
        <v>64</v>
      </c>
      <c r="T188">
        <v>227</v>
      </c>
      <c r="U188">
        <v>208.5</v>
      </c>
      <c r="V188">
        <f t="shared" si="4"/>
        <v>217.75</v>
      </c>
      <c r="W188">
        <f t="shared" si="5"/>
        <v>18.5</v>
      </c>
      <c r="X188">
        <v>-106.47305299999999</v>
      </c>
      <c r="Y188">
        <v>36.331668999999998</v>
      </c>
      <c r="Z188" t="s">
        <v>886</v>
      </c>
      <c r="AA188" t="s">
        <v>66</v>
      </c>
      <c r="AB188" t="s">
        <v>846</v>
      </c>
      <c r="AC188" t="s">
        <v>847</v>
      </c>
      <c r="AD188" t="s">
        <v>174</v>
      </c>
      <c r="AF188" t="s">
        <v>749</v>
      </c>
      <c r="AH188" t="s">
        <v>11</v>
      </c>
      <c r="AI188" t="s">
        <v>1127</v>
      </c>
      <c r="AJ188">
        <v>2007</v>
      </c>
      <c r="AK188" t="s">
        <v>1337</v>
      </c>
      <c r="AN188" t="s">
        <v>114</v>
      </c>
      <c r="AO188" t="s">
        <v>77</v>
      </c>
      <c r="AP188" t="s">
        <v>115</v>
      </c>
      <c r="AQ188" t="s">
        <v>1338</v>
      </c>
      <c r="AR188" t="s">
        <v>80</v>
      </c>
      <c r="AS188">
        <v>101</v>
      </c>
      <c r="AT188" t="s">
        <v>81</v>
      </c>
      <c r="AU188">
        <v>-35.119999999999997</v>
      </c>
      <c r="AV188">
        <v>10.64</v>
      </c>
      <c r="AW188" t="s">
        <v>82</v>
      </c>
      <c r="AX188">
        <v>133</v>
      </c>
      <c r="AY188" t="s">
        <v>81</v>
      </c>
      <c r="AZ188">
        <v>-50.08</v>
      </c>
      <c r="BA188">
        <v>12.01</v>
      </c>
      <c r="BB188" t="s">
        <v>83</v>
      </c>
    </row>
    <row r="189" spans="1:54" x14ac:dyDescent="0.4">
      <c r="A189">
        <v>590150</v>
      </c>
      <c r="D189" t="s">
        <v>54</v>
      </c>
      <c r="E189" t="s">
        <v>55</v>
      </c>
      <c r="G189">
        <v>1</v>
      </c>
      <c r="H189" t="s">
        <v>56</v>
      </c>
      <c r="I189" t="s">
        <v>57</v>
      </c>
      <c r="K189" t="s">
        <v>85</v>
      </c>
      <c r="L189" t="s">
        <v>845</v>
      </c>
      <c r="M189" t="s">
        <v>60</v>
      </c>
      <c r="O189" t="s">
        <v>87</v>
      </c>
      <c r="P189" t="s">
        <v>62</v>
      </c>
      <c r="Q189" t="s">
        <v>1339</v>
      </c>
      <c r="R189" t="s">
        <v>63</v>
      </c>
      <c r="S189" t="s">
        <v>64</v>
      </c>
      <c r="T189">
        <v>227</v>
      </c>
      <c r="U189">
        <v>208.5</v>
      </c>
      <c r="V189">
        <f t="shared" si="4"/>
        <v>217.75</v>
      </c>
      <c r="W189">
        <f t="shared" si="5"/>
        <v>18.5</v>
      </c>
      <c r="X189">
        <v>-106.47305299999999</v>
      </c>
      <c r="Y189">
        <v>36.331668999999998</v>
      </c>
      <c r="Z189" t="s">
        <v>886</v>
      </c>
      <c r="AA189" t="s">
        <v>66</v>
      </c>
      <c r="AB189" t="s">
        <v>846</v>
      </c>
      <c r="AC189" t="s">
        <v>847</v>
      </c>
      <c r="AD189" t="s">
        <v>174</v>
      </c>
      <c r="AF189" t="s">
        <v>749</v>
      </c>
      <c r="AH189" t="s">
        <v>72</v>
      </c>
      <c r="AI189" t="s">
        <v>1340</v>
      </c>
      <c r="AJ189">
        <v>2003</v>
      </c>
      <c r="AK189" t="s">
        <v>1337</v>
      </c>
      <c r="AN189" t="s">
        <v>114</v>
      </c>
      <c r="AO189" t="s">
        <v>77</v>
      </c>
      <c r="AP189" t="s">
        <v>115</v>
      </c>
      <c r="AQ189" t="s">
        <v>1338</v>
      </c>
      <c r="AR189" t="s">
        <v>80</v>
      </c>
      <c r="AS189">
        <v>101</v>
      </c>
      <c r="AT189" t="s">
        <v>81</v>
      </c>
      <c r="AU189">
        <v>-35.119999999999997</v>
      </c>
      <c r="AV189">
        <v>10.64</v>
      </c>
      <c r="AW189" t="s">
        <v>82</v>
      </c>
      <c r="AX189">
        <v>133</v>
      </c>
      <c r="AY189" t="s">
        <v>81</v>
      </c>
      <c r="AZ189">
        <v>-50.08</v>
      </c>
      <c r="BA189">
        <v>12.01</v>
      </c>
      <c r="BB189" t="s">
        <v>83</v>
      </c>
    </row>
    <row r="190" spans="1:54" x14ac:dyDescent="0.4">
      <c r="A190">
        <v>590150</v>
      </c>
      <c r="D190" t="s">
        <v>54</v>
      </c>
      <c r="E190" t="s">
        <v>55</v>
      </c>
      <c r="G190">
        <v>1</v>
      </c>
      <c r="H190" t="s">
        <v>56</v>
      </c>
      <c r="I190" t="s">
        <v>57</v>
      </c>
      <c r="K190" t="s">
        <v>85</v>
      </c>
      <c r="L190" t="s">
        <v>845</v>
      </c>
      <c r="M190" t="s">
        <v>60</v>
      </c>
      <c r="O190" t="s">
        <v>87</v>
      </c>
      <c r="P190" t="s">
        <v>62</v>
      </c>
      <c r="Q190" t="s">
        <v>1339</v>
      </c>
      <c r="R190" t="s">
        <v>63</v>
      </c>
      <c r="S190" t="s">
        <v>64</v>
      </c>
      <c r="T190">
        <v>227</v>
      </c>
      <c r="U190">
        <v>208.5</v>
      </c>
      <c r="V190">
        <f t="shared" si="4"/>
        <v>217.75</v>
      </c>
      <c r="W190">
        <f t="shared" si="5"/>
        <v>18.5</v>
      </c>
      <c r="X190">
        <v>-106.47305299999999</v>
      </c>
      <c r="Y190">
        <v>36.331668999999998</v>
      </c>
      <c r="Z190" t="s">
        <v>886</v>
      </c>
      <c r="AA190" t="s">
        <v>66</v>
      </c>
      <c r="AB190" t="s">
        <v>846</v>
      </c>
      <c r="AC190" t="s">
        <v>847</v>
      </c>
      <c r="AD190" t="s">
        <v>174</v>
      </c>
      <c r="AF190" t="s">
        <v>749</v>
      </c>
      <c r="AH190" t="s">
        <v>72</v>
      </c>
      <c r="AI190" t="s">
        <v>1340</v>
      </c>
      <c r="AJ190">
        <v>2003</v>
      </c>
      <c r="AK190" t="s">
        <v>1337</v>
      </c>
      <c r="AN190" t="s">
        <v>114</v>
      </c>
      <c r="AO190" t="s">
        <v>77</v>
      </c>
      <c r="AP190" t="s">
        <v>115</v>
      </c>
      <c r="AQ190" t="s">
        <v>1338</v>
      </c>
      <c r="AR190" t="s">
        <v>80</v>
      </c>
      <c r="AS190">
        <v>101</v>
      </c>
      <c r="AT190" t="s">
        <v>81</v>
      </c>
      <c r="AU190">
        <v>-35.119999999999997</v>
      </c>
      <c r="AV190">
        <v>10.64</v>
      </c>
      <c r="AW190" t="s">
        <v>82</v>
      </c>
      <c r="AX190">
        <v>133</v>
      </c>
      <c r="AY190" t="s">
        <v>81</v>
      </c>
      <c r="AZ190">
        <v>-50.08</v>
      </c>
      <c r="BA190">
        <v>12.01</v>
      </c>
      <c r="BB190" t="s">
        <v>83</v>
      </c>
    </row>
    <row r="191" spans="1:54" x14ac:dyDescent="0.4">
      <c r="A191">
        <v>590150</v>
      </c>
      <c r="D191" t="s">
        <v>54</v>
      </c>
      <c r="E191" t="s">
        <v>55</v>
      </c>
      <c r="G191">
        <v>1</v>
      </c>
      <c r="H191" t="s">
        <v>56</v>
      </c>
      <c r="I191" t="s">
        <v>57</v>
      </c>
      <c r="K191" t="s">
        <v>85</v>
      </c>
      <c r="L191" t="s">
        <v>845</v>
      </c>
      <c r="M191" t="s">
        <v>60</v>
      </c>
      <c r="O191" t="s">
        <v>87</v>
      </c>
      <c r="P191" t="s">
        <v>62</v>
      </c>
      <c r="Q191" t="s">
        <v>1339</v>
      </c>
      <c r="R191" t="s">
        <v>63</v>
      </c>
      <c r="S191" t="s">
        <v>64</v>
      </c>
      <c r="T191">
        <v>227</v>
      </c>
      <c r="U191">
        <v>208.5</v>
      </c>
      <c r="V191">
        <f t="shared" si="4"/>
        <v>217.75</v>
      </c>
      <c r="W191">
        <f t="shared" si="5"/>
        <v>18.5</v>
      </c>
      <c r="X191">
        <v>-106.47305299999999</v>
      </c>
      <c r="Y191">
        <v>36.331668999999998</v>
      </c>
      <c r="Z191" t="s">
        <v>886</v>
      </c>
      <c r="AA191" t="s">
        <v>66</v>
      </c>
      <c r="AB191" t="s">
        <v>846</v>
      </c>
      <c r="AC191" t="s">
        <v>847</v>
      </c>
      <c r="AD191" t="s">
        <v>174</v>
      </c>
      <c r="AF191" t="s">
        <v>749</v>
      </c>
      <c r="AH191" t="s">
        <v>72</v>
      </c>
      <c r="AI191" t="s">
        <v>1340</v>
      </c>
      <c r="AJ191">
        <v>2003</v>
      </c>
      <c r="AK191" t="s">
        <v>1337</v>
      </c>
      <c r="AN191" t="s">
        <v>114</v>
      </c>
      <c r="AO191" t="s">
        <v>77</v>
      </c>
      <c r="AP191" t="s">
        <v>115</v>
      </c>
      <c r="AQ191" t="s">
        <v>1338</v>
      </c>
      <c r="AR191" t="s">
        <v>80</v>
      </c>
      <c r="AS191">
        <v>101</v>
      </c>
      <c r="AT191" t="s">
        <v>81</v>
      </c>
      <c r="AU191">
        <v>-35.119999999999997</v>
      </c>
      <c r="AV191">
        <v>10.64</v>
      </c>
      <c r="AW191" t="s">
        <v>82</v>
      </c>
      <c r="AX191">
        <v>133</v>
      </c>
      <c r="AY191" t="s">
        <v>81</v>
      </c>
      <c r="AZ191">
        <v>-50.08</v>
      </c>
      <c r="BA191">
        <v>12.01</v>
      </c>
      <c r="BB191" t="s">
        <v>83</v>
      </c>
    </row>
    <row r="192" spans="1:54" x14ac:dyDescent="0.4">
      <c r="A192">
        <v>590150</v>
      </c>
      <c r="D192" t="s">
        <v>54</v>
      </c>
      <c r="E192" t="s">
        <v>55</v>
      </c>
      <c r="G192">
        <v>1</v>
      </c>
      <c r="H192" t="s">
        <v>56</v>
      </c>
      <c r="I192" t="s">
        <v>57</v>
      </c>
      <c r="K192" t="s">
        <v>85</v>
      </c>
      <c r="L192" t="s">
        <v>845</v>
      </c>
      <c r="M192" t="s">
        <v>60</v>
      </c>
      <c r="O192" t="s">
        <v>87</v>
      </c>
      <c r="P192" t="s">
        <v>62</v>
      </c>
      <c r="Q192" t="s">
        <v>1339</v>
      </c>
      <c r="R192" t="s">
        <v>63</v>
      </c>
      <c r="S192" t="s">
        <v>64</v>
      </c>
      <c r="T192">
        <v>227</v>
      </c>
      <c r="U192">
        <v>208.5</v>
      </c>
      <c r="V192">
        <f t="shared" si="4"/>
        <v>217.75</v>
      </c>
      <c r="W192">
        <f t="shared" si="5"/>
        <v>18.5</v>
      </c>
      <c r="X192">
        <v>-106.47305299999999</v>
      </c>
      <c r="Y192">
        <v>36.331668999999998</v>
      </c>
      <c r="Z192" t="s">
        <v>886</v>
      </c>
      <c r="AA192" t="s">
        <v>66</v>
      </c>
      <c r="AB192" t="s">
        <v>846</v>
      </c>
      <c r="AC192" t="s">
        <v>847</v>
      </c>
      <c r="AD192" t="s">
        <v>174</v>
      </c>
      <c r="AF192" t="s">
        <v>749</v>
      </c>
      <c r="AH192" t="s">
        <v>72</v>
      </c>
      <c r="AI192" t="s">
        <v>1340</v>
      </c>
      <c r="AJ192">
        <v>2003</v>
      </c>
      <c r="AK192" t="s">
        <v>1337</v>
      </c>
      <c r="AN192" t="s">
        <v>114</v>
      </c>
      <c r="AO192" t="s">
        <v>77</v>
      </c>
      <c r="AP192" t="s">
        <v>115</v>
      </c>
      <c r="AQ192" t="s">
        <v>1338</v>
      </c>
      <c r="AR192" t="s">
        <v>80</v>
      </c>
      <c r="AS192">
        <v>101</v>
      </c>
      <c r="AT192" t="s">
        <v>81</v>
      </c>
      <c r="AU192">
        <v>-35.119999999999997</v>
      </c>
      <c r="AV192">
        <v>10.64</v>
      </c>
      <c r="AW192" t="s">
        <v>82</v>
      </c>
      <c r="AX192">
        <v>133</v>
      </c>
      <c r="AY192" t="s">
        <v>81</v>
      </c>
      <c r="AZ192">
        <v>-50.08</v>
      </c>
      <c r="BA192">
        <v>12.01</v>
      </c>
      <c r="BB192" t="s">
        <v>83</v>
      </c>
    </row>
    <row r="193" spans="1:54" x14ac:dyDescent="0.4">
      <c r="A193">
        <v>590150</v>
      </c>
      <c r="D193" t="s">
        <v>54</v>
      </c>
      <c r="E193" t="s">
        <v>55</v>
      </c>
      <c r="G193">
        <v>1</v>
      </c>
      <c r="H193" t="s">
        <v>56</v>
      </c>
      <c r="I193" t="s">
        <v>57</v>
      </c>
      <c r="K193" t="s">
        <v>85</v>
      </c>
      <c r="L193" t="s">
        <v>845</v>
      </c>
      <c r="M193" t="s">
        <v>60</v>
      </c>
      <c r="O193" t="s">
        <v>87</v>
      </c>
      <c r="P193" t="s">
        <v>62</v>
      </c>
      <c r="Q193" t="s">
        <v>1339</v>
      </c>
      <c r="R193" t="s">
        <v>63</v>
      </c>
      <c r="S193" t="s">
        <v>64</v>
      </c>
      <c r="T193">
        <v>227</v>
      </c>
      <c r="U193">
        <v>208.5</v>
      </c>
      <c r="V193">
        <f t="shared" si="4"/>
        <v>217.75</v>
      </c>
      <c r="W193">
        <f t="shared" si="5"/>
        <v>18.5</v>
      </c>
      <c r="X193">
        <v>-106.47305299999999</v>
      </c>
      <c r="Y193">
        <v>36.331668999999998</v>
      </c>
      <c r="Z193" t="s">
        <v>886</v>
      </c>
      <c r="AA193" t="s">
        <v>66</v>
      </c>
      <c r="AB193" t="s">
        <v>846</v>
      </c>
      <c r="AC193" t="s">
        <v>847</v>
      </c>
      <c r="AD193" t="s">
        <v>174</v>
      </c>
      <c r="AF193" t="s">
        <v>749</v>
      </c>
      <c r="AH193" t="s">
        <v>72</v>
      </c>
      <c r="AI193" t="s">
        <v>1340</v>
      </c>
      <c r="AJ193">
        <v>2003</v>
      </c>
      <c r="AK193" t="s">
        <v>1337</v>
      </c>
      <c r="AN193" t="s">
        <v>114</v>
      </c>
      <c r="AO193" t="s">
        <v>77</v>
      </c>
      <c r="AP193" t="s">
        <v>115</v>
      </c>
      <c r="AQ193" t="s">
        <v>1338</v>
      </c>
      <c r="AR193" t="s">
        <v>80</v>
      </c>
      <c r="AS193">
        <v>101</v>
      </c>
      <c r="AT193" t="s">
        <v>81</v>
      </c>
      <c r="AU193">
        <v>-35.119999999999997</v>
      </c>
      <c r="AV193">
        <v>10.64</v>
      </c>
      <c r="AW193" t="s">
        <v>82</v>
      </c>
      <c r="AX193">
        <v>133</v>
      </c>
      <c r="AY193" t="s">
        <v>81</v>
      </c>
      <c r="AZ193">
        <v>-50.08</v>
      </c>
      <c r="BA193">
        <v>12.01</v>
      </c>
      <c r="BB193" t="s">
        <v>83</v>
      </c>
    </row>
    <row r="194" spans="1:54" x14ac:dyDescent="0.4">
      <c r="A194">
        <v>590150</v>
      </c>
      <c r="D194" t="s">
        <v>54</v>
      </c>
      <c r="E194" t="s">
        <v>55</v>
      </c>
      <c r="G194">
        <v>1</v>
      </c>
      <c r="H194" t="s">
        <v>56</v>
      </c>
      <c r="I194" t="s">
        <v>57</v>
      </c>
      <c r="K194" t="s">
        <v>85</v>
      </c>
      <c r="L194" t="s">
        <v>845</v>
      </c>
      <c r="M194" t="s">
        <v>60</v>
      </c>
      <c r="O194" t="s">
        <v>87</v>
      </c>
      <c r="P194" t="s">
        <v>62</v>
      </c>
      <c r="Q194" t="s">
        <v>1339</v>
      </c>
      <c r="R194" t="s">
        <v>63</v>
      </c>
      <c r="S194" t="s">
        <v>64</v>
      </c>
      <c r="T194">
        <v>227</v>
      </c>
      <c r="U194">
        <v>208.5</v>
      </c>
      <c r="V194">
        <f t="shared" si="4"/>
        <v>217.75</v>
      </c>
      <c r="W194">
        <f t="shared" si="5"/>
        <v>18.5</v>
      </c>
      <c r="X194">
        <v>-106.47305299999999</v>
      </c>
      <c r="Y194">
        <v>36.331668999999998</v>
      </c>
      <c r="Z194" t="s">
        <v>886</v>
      </c>
      <c r="AA194" t="s">
        <v>66</v>
      </c>
      <c r="AB194" t="s">
        <v>846</v>
      </c>
      <c r="AC194" t="s">
        <v>847</v>
      </c>
      <c r="AD194" t="s">
        <v>174</v>
      </c>
      <c r="AF194" t="s">
        <v>749</v>
      </c>
      <c r="AH194" t="s">
        <v>72</v>
      </c>
      <c r="AI194" t="s">
        <v>1340</v>
      </c>
      <c r="AJ194">
        <v>2003</v>
      </c>
      <c r="AK194" t="s">
        <v>1337</v>
      </c>
      <c r="AN194" t="s">
        <v>114</v>
      </c>
      <c r="AO194" t="s">
        <v>77</v>
      </c>
      <c r="AP194" t="s">
        <v>115</v>
      </c>
      <c r="AQ194" t="s">
        <v>1338</v>
      </c>
      <c r="AR194" t="s">
        <v>80</v>
      </c>
      <c r="AS194">
        <v>101</v>
      </c>
      <c r="AT194" t="s">
        <v>81</v>
      </c>
      <c r="AU194">
        <v>-35.119999999999997</v>
      </c>
      <c r="AV194">
        <v>10.64</v>
      </c>
      <c r="AW194" t="s">
        <v>82</v>
      </c>
      <c r="AX194">
        <v>133</v>
      </c>
      <c r="AY194" t="s">
        <v>81</v>
      </c>
      <c r="AZ194">
        <v>-50.08</v>
      </c>
      <c r="BA194">
        <v>12.01</v>
      </c>
      <c r="BB194" t="s">
        <v>83</v>
      </c>
    </row>
    <row r="195" spans="1:54" x14ac:dyDescent="0.4">
      <c r="A195">
        <v>590150</v>
      </c>
      <c r="D195" t="s">
        <v>54</v>
      </c>
      <c r="E195" t="s">
        <v>55</v>
      </c>
      <c r="G195">
        <v>1</v>
      </c>
      <c r="H195" t="s">
        <v>56</v>
      </c>
      <c r="I195" t="s">
        <v>57</v>
      </c>
      <c r="K195" t="s">
        <v>85</v>
      </c>
      <c r="L195" t="s">
        <v>845</v>
      </c>
      <c r="M195" t="s">
        <v>60</v>
      </c>
      <c r="O195" t="s">
        <v>87</v>
      </c>
      <c r="P195" t="s">
        <v>62</v>
      </c>
      <c r="Q195" t="s">
        <v>1339</v>
      </c>
      <c r="R195" t="s">
        <v>63</v>
      </c>
      <c r="S195" t="s">
        <v>64</v>
      </c>
      <c r="T195">
        <v>227</v>
      </c>
      <c r="U195">
        <v>208.5</v>
      </c>
      <c r="V195">
        <f t="shared" ref="V195:V258" si="6">(T195+U195)/2</f>
        <v>217.75</v>
      </c>
      <c r="W195">
        <f t="shared" ref="W195:W258" si="7">T195-U195</f>
        <v>18.5</v>
      </c>
      <c r="X195">
        <v>-106.47305299999999</v>
      </c>
      <c r="Y195">
        <v>36.331668999999998</v>
      </c>
      <c r="Z195" t="s">
        <v>886</v>
      </c>
      <c r="AA195" t="s">
        <v>66</v>
      </c>
      <c r="AB195" t="s">
        <v>846</v>
      </c>
      <c r="AC195" t="s">
        <v>847</v>
      </c>
      <c r="AD195" t="s">
        <v>174</v>
      </c>
      <c r="AF195" t="s">
        <v>749</v>
      </c>
      <c r="AH195" t="s">
        <v>72</v>
      </c>
      <c r="AI195" t="s">
        <v>1340</v>
      </c>
      <c r="AJ195">
        <v>2003</v>
      </c>
      <c r="AK195" t="s">
        <v>1337</v>
      </c>
      <c r="AN195" t="s">
        <v>114</v>
      </c>
      <c r="AO195" t="s">
        <v>77</v>
      </c>
      <c r="AP195" t="s">
        <v>115</v>
      </c>
      <c r="AQ195" t="s">
        <v>1338</v>
      </c>
      <c r="AR195" t="s">
        <v>80</v>
      </c>
      <c r="AS195">
        <v>101</v>
      </c>
      <c r="AT195" t="s">
        <v>81</v>
      </c>
      <c r="AU195">
        <v>-35.119999999999997</v>
      </c>
      <c r="AV195">
        <v>10.64</v>
      </c>
      <c r="AW195" t="s">
        <v>82</v>
      </c>
      <c r="AX195">
        <v>133</v>
      </c>
      <c r="AY195" t="s">
        <v>81</v>
      </c>
      <c r="AZ195">
        <v>-50.08</v>
      </c>
      <c r="BA195">
        <v>12.01</v>
      </c>
      <c r="BB195" t="s">
        <v>83</v>
      </c>
    </row>
    <row r="196" spans="1:54" x14ac:dyDescent="0.4">
      <c r="A196">
        <v>590150</v>
      </c>
      <c r="D196" t="s">
        <v>54</v>
      </c>
      <c r="E196" t="s">
        <v>55</v>
      </c>
      <c r="G196">
        <v>1</v>
      </c>
      <c r="H196" t="s">
        <v>56</v>
      </c>
      <c r="I196" t="s">
        <v>57</v>
      </c>
      <c r="K196" t="s">
        <v>85</v>
      </c>
      <c r="L196" t="s">
        <v>845</v>
      </c>
      <c r="M196" t="s">
        <v>60</v>
      </c>
      <c r="O196" t="s">
        <v>87</v>
      </c>
      <c r="P196" t="s">
        <v>62</v>
      </c>
      <c r="Q196" t="s">
        <v>1339</v>
      </c>
      <c r="R196" t="s">
        <v>63</v>
      </c>
      <c r="S196" t="s">
        <v>64</v>
      </c>
      <c r="T196">
        <v>227</v>
      </c>
      <c r="U196">
        <v>208.5</v>
      </c>
      <c r="V196">
        <f t="shared" si="6"/>
        <v>217.75</v>
      </c>
      <c r="W196">
        <f t="shared" si="7"/>
        <v>18.5</v>
      </c>
      <c r="X196">
        <v>-106.47305299999999</v>
      </c>
      <c r="Y196">
        <v>36.331668999999998</v>
      </c>
      <c r="Z196" t="s">
        <v>886</v>
      </c>
      <c r="AA196" t="s">
        <v>66</v>
      </c>
      <c r="AB196" t="s">
        <v>846</v>
      </c>
      <c r="AC196" t="s">
        <v>847</v>
      </c>
      <c r="AD196" t="s">
        <v>174</v>
      </c>
      <c r="AF196" t="s">
        <v>749</v>
      </c>
      <c r="AH196" t="s">
        <v>72</v>
      </c>
      <c r="AI196" t="s">
        <v>1340</v>
      </c>
      <c r="AJ196">
        <v>2003</v>
      </c>
      <c r="AK196" t="s">
        <v>1337</v>
      </c>
      <c r="AN196" t="s">
        <v>114</v>
      </c>
      <c r="AO196" t="s">
        <v>77</v>
      </c>
      <c r="AP196" t="s">
        <v>115</v>
      </c>
      <c r="AQ196" t="s">
        <v>1338</v>
      </c>
      <c r="AR196" t="s">
        <v>80</v>
      </c>
      <c r="AS196">
        <v>101</v>
      </c>
      <c r="AT196" t="s">
        <v>81</v>
      </c>
      <c r="AU196">
        <v>-35.119999999999997</v>
      </c>
      <c r="AV196">
        <v>10.64</v>
      </c>
      <c r="AW196" t="s">
        <v>82</v>
      </c>
      <c r="AX196">
        <v>133</v>
      </c>
      <c r="AY196" t="s">
        <v>81</v>
      </c>
      <c r="AZ196">
        <v>-50.08</v>
      </c>
      <c r="BA196">
        <v>12.01</v>
      </c>
      <c r="BB196" t="s">
        <v>83</v>
      </c>
    </row>
    <row r="197" spans="1:54" x14ac:dyDescent="0.4">
      <c r="A197">
        <v>590150</v>
      </c>
      <c r="D197" t="s">
        <v>54</v>
      </c>
      <c r="E197" t="s">
        <v>55</v>
      </c>
      <c r="G197">
        <v>1</v>
      </c>
      <c r="H197" t="s">
        <v>56</v>
      </c>
      <c r="I197" t="s">
        <v>57</v>
      </c>
      <c r="K197" t="s">
        <v>85</v>
      </c>
      <c r="L197" t="s">
        <v>845</v>
      </c>
      <c r="M197" t="s">
        <v>60</v>
      </c>
      <c r="O197" t="s">
        <v>87</v>
      </c>
      <c r="P197" t="s">
        <v>62</v>
      </c>
      <c r="Q197" t="s">
        <v>1339</v>
      </c>
      <c r="R197" t="s">
        <v>63</v>
      </c>
      <c r="S197" t="s">
        <v>64</v>
      </c>
      <c r="T197">
        <v>227</v>
      </c>
      <c r="U197">
        <v>208.5</v>
      </c>
      <c r="V197">
        <f t="shared" si="6"/>
        <v>217.75</v>
      </c>
      <c r="W197">
        <f t="shared" si="7"/>
        <v>18.5</v>
      </c>
      <c r="X197">
        <v>-106.47305299999999</v>
      </c>
      <c r="Y197">
        <v>36.331668999999998</v>
      </c>
      <c r="Z197" t="s">
        <v>886</v>
      </c>
      <c r="AA197" t="s">
        <v>66</v>
      </c>
      <c r="AB197" t="s">
        <v>846</v>
      </c>
      <c r="AC197" t="s">
        <v>847</v>
      </c>
      <c r="AD197" t="s">
        <v>174</v>
      </c>
      <c r="AF197" t="s">
        <v>749</v>
      </c>
      <c r="AH197" t="s">
        <v>72</v>
      </c>
      <c r="AI197" t="s">
        <v>1340</v>
      </c>
      <c r="AJ197">
        <v>2003</v>
      </c>
      <c r="AK197" t="s">
        <v>1337</v>
      </c>
      <c r="AN197" t="s">
        <v>114</v>
      </c>
      <c r="AO197" t="s">
        <v>77</v>
      </c>
      <c r="AP197" t="s">
        <v>115</v>
      </c>
      <c r="AQ197" t="s">
        <v>1338</v>
      </c>
      <c r="AR197" t="s">
        <v>80</v>
      </c>
      <c r="AS197">
        <v>101</v>
      </c>
      <c r="AT197" t="s">
        <v>81</v>
      </c>
      <c r="AU197">
        <v>-35.119999999999997</v>
      </c>
      <c r="AV197">
        <v>10.64</v>
      </c>
      <c r="AW197" t="s">
        <v>82</v>
      </c>
      <c r="AX197">
        <v>133</v>
      </c>
      <c r="AY197" t="s">
        <v>81</v>
      </c>
      <c r="AZ197">
        <v>-50.08</v>
      </c>
      <c r="BA197">
        <v>12.01</v>
      </c>
      <c r="BB197" t="s">
        <v>83</v>
      </c>
    </row>
    <row r="198" spans="1:54" x14ac:dyDescent="0.4">
      <c r="A198">
        <v>590150</v>
      </c>
      <c r="D198" t="s">
        <v>54</v>
      </c>
      <c r="E198" t="s">
        <v>55</v>
      </c>
      <c r="G198">
        <v>1</v>
      </c>
      <c r="H198" t="s">
        <v>56</v>
      </c>
      <c r="I198" t="s">
        <v>57</v>
      </c>
      <c r="K198" t="s">
        <v>85</v>
      </c>
      <c r="L198" t="s">
        <v>845</v>
      </c>
      <c r="M198" t="s">
        <v>60</v>
      </c>
      <c r="O198" t="s">
        <v>87</v>
      </c>
      <c r="P198" t="s">
        <v>62</v>
      </c>
      <c r="Q198" t="s">
        <v>1339</v>
      </c>
      <c r="R198" t="s">
        <v>63</v>
      </c>
      <c r="S198" t="s">
        <v>64</v>
      </c>
      <c r="T198">
        <v>227</v>
      </c>
      <c r="U198">
        <v>208.5</v>
      </c>
      <c r="V198">
        <f t="shared" si="6"/>
        <v>217.75</v>
      </c>
      <c r="W198">
        <f t="shared" si="7"/>
        <v>18.5</v>
      </c>
      <c r="X198">
        <v>-106.47305299999999</v>
      </c>
      <c r="Y198">
        <v>36.331668999999998</v>
      </c>
      <c r="Z198" t="s">
        <v>886</v>
      </c>
      <c r="AA198" t="s">
        <v>66</v>
      </c>
      <c r="AB198" t="s">
        <v>846</v>
      </c>
      <c r="AC198" t="s">
        <v>847</v>
      </c>
      <c r="AD198" t="s">
        <v>174</v>
      </c>
      <c r="AF198" t="s">
        <v>749</v>
      </c>
      <c r="AH198" t="s">
        <v>72</v>
      </c>
      <c r="AI198" t="s">
        <v>1340</v>
      </c>
      <c r="AJ198">
        <v>2003</v>
      </c>
      <c r="AK198" t="s">
        <v>1337</v>
      </c>
      <c r="AN198" t="s">
        <v>114</v>
      </c>
      <c r="AO198" t="s">
        <v>77</v>
      </c>
      <c r="AP198" t="s">
        <v>115</v>
      </c>
      <c r="AQ198" t="s">
        <v>1338</v>
      </c>
      <c r="AR198" t="s">
        <v>80</v>
      </c>
      <c r="AS198">
        <v>101</v>
      </c>
      <c r="AT198" t="s">
        <v>81</v>
      </c>
      <c r="AU198">
        <v>-35.119999999999997</v>
      </c>
      <c r="AV198">
        <v>10.64</v>
      </c>
      <c r="AW198" t="s">
        <v>82</v>
      </c>
      <c r="AX198">
        <v>133</v>
      </c>
      <c r="AY198" t="s">
        <v>81</v>
      </c>
      <c r="AZ198">
        <v>-50.08</v>
      </c>
      <c r="BA198">
        <v>12.01</v>
      </c>
      <c r="BB198" t="s">
        <v>83</v>
      </c>
    </row>
    <row r="199" spans="1:54" x14ac:dyDescent="0.4">
      <c r="A199">
        <v>590150</v>
      </c>
      <c r="D199" t="s">
        <v>54</v>
      </c>
      <c r="E199" t="s">
        <v>55</v>
      </c>
      <c r="G199">
        <v>1</v>
      </c>
      <c r="H199" t="s">
        <v>56</v>
      </c>
      <c r="I199" t="s">
        <v>57</v>
      </c>
      <c r="K199" t="s">
        <v>85</v>
      </c>
      <c r="L199" t="s">
        <v>845</v>
      </c>
      <c r="M199" t="s">
        <v>60</v>
      </c>
      <c r="O199" t="s">
        <v>87</v>
      </c>
      <c r="P199" t="s">
        <v>62</v>
      </c>
      <c r="Q199" t="s">
        <v>1339</v>
      </c>
      <c r="R199" t="s">
        <v>63</v>
      </c>
      <c r="S199" t="s">
        <v>64</v>
      </c>
      <c r="T199">
        <v>227</v>
      </c>
      <c r="U199">
        <v>208.5</v>
      </c>
      <c r="V199">
        <f t="shared" si="6"/>
        <v>217.75</v>
      </c>
      <c r="W199">
        <f t="shared" si="7"/>
        <v>18.5</v>
      </c>
      <c r="X199">
        <v>-106.47305299999999</v>
      </c>
      <c r="Y199">
        <v>36.331668999999998</v>
      </c>
      <c r="Z199" t="s">
        <v>886</v>
      </c>
      <c r="AA199" t="s">
        <v>66</v>
      </c>
      <c r="AB199" t="s">
        <v>846</v>
      </c>
      <c r="AC199" t="s">
        <v>847</v>
      </c>
      <c r="AD199" t="s">
        <v>174</v>
      </c>
      <c r="AF199" t="s">
        <v>749</v>
      </c>
      <c r="AH199" t="s">
        <v>72</v>
      </c>
      <c r="AI199" t="s">
        <v>1340</v>
      </c>
      <c r="AJ199">
        <v>2003</v>
      </c>
      <c r="AK199" t="s">
        <v>1337</v>
      </c>
      <c r="AN199" t="s">
        <v>114</v>
      </c>
      <c r="AO199" t="s">
        <v>77</v>
      </c>
      <c r="AP199" t="s">
        <v>115</v>
      </c>
      <c r="AQ199" t="s">
        <v>1338</v>
      </c>
      <c r="AR199" t="s">
        <v>80</v>
      </c>
      <c r="AS199">
        <v>101</v>
      </c>
      <c r="AT199" t="s">
        <v>81</v>
      </c>
      <c r="AU199">
        <v>-35.119999999999997</v>
      </c>
      <c r="AV199">
        <v>10.64</v>
      </c>
      <c r="AW199" t="s">
        <v>82</v>
      </c>
      <c r="AX199">
        <v>133</v>
      </c>
      <c r="AY199" t="s">
        <v>81</v>
      </c>
      <c r="AZ199">
        <v>-50.08</v>
      </c>
      <c r="BA199">
        <v>12.01</v>
      </c>
      <c r="BB199" t="s">
        <v>83</v>
      </c>
    </row>
    <row r="200" spans="1:54" x14ac:dyDescent="0.4">
      <c r="A200">
        <v>590151</v>
      </c>
      <c r="D200" t="s">
        <v>54</v>
      </c>
      <c r="E200" t="s">
        <v>55</v>
      </c>
      <c r="G200">
        <v>32</v>
      </c>
      <c r="H200" t="s">
        <v>84</v>
      </c>
      <c r="I200" t="s">
        <v>57</v>
      </c>
      <c r="K200" t="s">
        <v>206</v>
      </c>
      <c r="L200" t="s">
        <v>986</v>
      </c>
      <c r="M200" t="s">
        <v>60</v>
      </c>
      <c r="O200" t="s">
        <v>170</v>
      </c>
      <c r="P200" t="s">
        <v>62</v>
      </c>
      <c r="Q200" t="s">
        <v>1339</v>
      </c>
      <c r="R200" t="s">
        <v>63</v>
      </c>
      <c r="S200" t="s">
        <v>64</v>
      </c>
      <c r="T200">
        <v>227</v>
      </c>
      <c r="U200">
        <v>208.5</v>
      </c>
      <c r="V200">
        <f t="shared" si="6"/>
        <v>217.75</v>
      </c>
      <c r="W200">
        <f t="shared" si="7"/>
        <v>18.5</v>
      </c>
      <c r="X200">
        <v>-106.47305299999999</v>
      </c>
      <c r="Y200">
        <v>36.331668999999998</v>
      </c>
      <c r="Z200" t="s">
        <v>886</v>
      </c>
      <c r="AA200" t="s">
        <v>66</v>
      </c>
      <c r="AB200" t="s">
        <v>846</v>
      </c>
      <c r="AC200" t="s">
        <v>847</v>
      </c>
      <c r="AD200" t="s">
        <v>174</v>
      </c>
      <c r="AF200" t="s">
        <v>749</v>
      </c>
      <c r="AH200" t="s">
        <v>72</v>
      </c>
      <c r="AI200" t="s">
        <v>1129</v>
      </c>
      <c r="AJ200">
        <v>2000</v>
      </c>
      <c r="AK200" t="s">
        <v>1337</v>
      </c>
      <c r="AN200" t="s">
        <v>114</v>
      </c>
      <c r="AO200" t="s">
        <v>77</v>
      </c>
      <c r="AP200" t="s">
        <v>115</v>
      </c>
      <c r="AQ200" t="s">
        <v>1338</v>
      </c>
      <c r="AR200" t="s">
        <v>80</v>
      </c>
      <c r="AS200">
        <v>101</v>
      </c>
      <c r="AT200" t="s">
        <v>81</v>
      </c>
      <c r="AU200">
        <v>-35.119999999999997</v>
      </c>
      <c r="AV200">
        <v>10.64</v>
      </c>
      <c r="AW200" t="s">
        <v>82</v>
      </c>
      <c r="AX200">
        <v>133</v>
      </c>
      <c r="AY200" t="s">
        <v>81</v>
      </c>
      <c r="AZ200">
        <v>-50.08</v>
      </c>
      <c r="BA200">
        <v>12.01</v>
      </c>
      <c r="BB200" t="s">
        <v>83</v>
      </c>
    </row>
    <row r="201" spans="1:54" x14ac:dyDescent="0.4">
      <c r="A201">
        <v>590152</v>
      </c>
      <c r="D201" t="s">
        <v>54</v>
      </c>
      <c r="E201" t="s">
        <v>55</v>
      </c>
      <c r="I201" t="s">
        <v>57</v>
      </c>
      <c r="K201" t="s">
        <v>206</v>
      </c>
      <c r="L201" t="s">
        <v>851</v>
      </c>
      <c r="M201" t="s">
        <v>60</v>
      </c>
      <c r="O201" t="s">
        <v>170</v>
      </c>
      <c r="P201" t="s">
        <v>62</v>
      </c>
      <c r="Q201" t="s">
        <v>1339</v>
      </c>
      <c r="R201" t="s">
        <v>63</v>
      </c>
      <c r="S201" t="s">
        <v>64</v>
      </c>
      <c r="T201">
        <v>227</v>
      </c>
      <c r="U201">
        <v>208.5</v>
      </c>
      <c r="V201">
        <f t="shared" si="6"/>
        <v>217.75</v>
      </c>
      <c r="W201">
        <f t="shared" si="7"/>
        <v>18.5</v>
      </c>
      <c r="X201">
        <v>-106.47305299999999</v>
      </c>
      <c r="Y201">
        <v>36.331668999999998</v>
      </c>
      <c r="Z201" t="s">
        <v>886</v>
      </c>
      <c r="AA201" t="s">
        <v>66</v>
      </c>
      <c r="AB201" t="s">
        <v>846</v>
      </c>
      <c r="AC201" t="s">
        <v>847</v>
      </c>
      <c r="AD201" t="s">
        <v>174</v>
      </c>
      <c r="AF201" t="s">
        <v>749</v>
      </c>
      <c r="AH201" t="s">
        <v>72</v>
      </c>
      <c r="AI201" t="s">
        <v>1340</v>
      </c>
      <c r="AJ201">
        <v>2003</v>
      </c>
      <c r="AK201" t="s">
        <v>1337</v>
      </c>
      <c r="AN201" t="s">
        <v>114</v>
      </c>
      <c r="AO201" t="s">
        <v>77</v>
      </c>
      <c r="AP201" t="s">
        <v>115</v>
      </c>
      <c r="AQ201" t="s">
        <v>1338</v>
      </c>
      <c r="AR201" t="s">
        <v>80</v>
      </c>
      <c r="AS201">
        <v>101</v>
      </c>
      <c r="AT201" t="s">
        <v>81</v>
      </c>
      <c r="AU201">
        <v>-35.119999999999997</v>
      </c>
      <c r="AV201">
        <v>10.64</v>
      </c>
      <c r="AW201" t="s">
        <v>82</v>
      </c>
      <c r="AX201">
        <v>133</v>
      </c>
      <c r="AY201" t="s">
        <v>81</v>
      </c>
      <c r="AZ201">
        <v>-50.08</v>
      </c>
      <c r="BA201">
        <v>12.01</v>
      </c>
      <c r="BB201" t="s">
        <v>83</v>
      </c>
    </row>
    <row r="202" spans="1:54" x14ac:dyDescent="0.4">
      <c r="A202">
        <v>593107</v>
      </c>
      <c r="D202" t="s">
        <v>54</v>
      </c>
      <c r="E202" t="s">
        <v>55</v>
      </c>
      <c r="G202">
        <v>1</v>
      </c>
      <c r="H202" t="s">
        <v>84</v>
      </c>
      <c r="I202" t="s">
        <v>57</v>
      </c>
      <c r="K202" t="s">
        <v>1341</v>
      </c>
      <c r="L202" t="s">
        <v>1342</v>
      </c>
      <c r="M202" t="s">
        <v>60</v>
      </c>
      <c r="O202" t="s">
        <v>87</v>
      </c>
      <c r="P202" t="s">
        <v>62</v>
      </c>
      <c r="R202" t="s">
        <v>63</v>
      </c>
      <c r="S202" t="s">
        <v>64</v>
      </c>
      <c r="T202">
        <v>227</v>
      </c>
      <c r="U202">
        <v>208.5</v>
      </c>
      <c r="V202">
        <f t="shared" si="6"/>
        <v>217.75</v>
      </c>
      <c r="W202">
        <f t="shared" si="7"/>
        <v>18.5</v>
      </c>
      <c r="X202">
        <v>-72.907775999999998</v>
      </c>
      <c r="Y202">
        <v>41.558886999999999</v>
      </c>
      <c r="Z202" t="s">
        <v>105</v>
      </c>
      <c r="AA202" t="s">
        <v>66</v>
      </c>
      <c r="AB202" t="s">
        <v>855</v>
      </c>
      <c r="AC202" t="s">
        <v>856</v>
      </c>
      <c r="AD202" t="s">
        <v>856</v>
      </c>
      <c r="AE202" t="s">
        <v>70</v>
      </c>
      <c r="AH202" t="s">
        <v>11</v>
      </c>
      <c r="AI202" t="s">
        <v>1343</v>
      </c>
      <c r="AJ202">
        <v>2005</v>
      </c>
      <c r="AK202" t="s">
        <v>1344</v>
      </c>
      <c r="AN202" t="s">
        <v>76</v>
      </c>
      <c r="AO202" t="s">
        <v>77</v>
      </c>
      <c r="AP202" t="s">
        <v>115</v>
      </c>
      <c r="AQ202" t="s">
        <v>1345</v>
      </c>
      <c r="AR202" t="s">
        <v>80</v>
      </c>
      <c r="AS202">
        <v>101</v>
      </c>
      <c r="AT202" t="s">
        <v>81</v>
      </c>
      <c r="AU202">
        <v>-7.75</v>
      </c>
      <c r="AV202">
        <v>15.15</v>
      </c>
      <c r="AW202" t="s">
        <v>82</v>
      </c>
      <c r="AX202">
        <v>101</v>
      </c>
      <c r="AY202" t="s">
        <v>81</v>
      </c>
      <c r="AZ202">
        <v>-18.73</v>
      </c>
      <c r="BA202">
        <v>16.27</v>
      </c>
      <c r="BB202" t="s">
        <v>83</v>
      </c>
    </row>
    <row r="203" spans="1:54" x14ac:dyDescent="0.4">
      <c r="A203">
        <v>627521</v>
      </c>
      <c r="D203" t="s">
        <v>54</v>
      </c>
      <c r="E203" t="s">
        <v>55</v>
      </c>
      <c r="G203">
        <v>16</v>
      </c>
      <c r="H203" t="s">
        <v>84</v>
      </c>
      <c r="I203" t="s">
        <v>57</v>
      </c>
      <c r="K203" t="s">
        <v>767</v>
      </c>
      <c r="L203" t="s">
        <v>768</v>
      </c>
      <c r="M203" t="s">
        <v>60</v>
      </c>
      <c r="N203" t="s">
        <v>119</v>
      </c>
      <c r="O203" t="s">
        <v>87</v>
      </c>
      <c r="P203" t="s">
        <v>62</v>
      </c>
      <c r="R203" t="s">
        <v>63</v>
      </c>
      <c r="S203" t="s">
        <v>64</v>
      </c>
      <c r="T203">
        <v>227</v>
      </c>
      <c r="U203">
        <v>208.5</v>
      </c>
      <c r="V203">
        <f t="shared" si="6"/>
        <v>217.75</v>
      </c>
      <c r="W203">
        <f t="shared" si="7"/>
        <v>18.5</v>
      </c>
      <c r="X203">
        <v>-101.31500200000001</v>
      </c>
      <c r="Y203">
        <v>33.521388999999999</v>
      </c>
      <c r="Z203" t="s">
        <v>198</v>
      </c>
      <c r="AA203" t="s">
        <v>66</v>
      </c>
      <c r="AB203" t="s">
        <v>125</v>
      </c>
      <c r="AC203" t="s">
        <v>199</v>
      </c>
      <c r="AD203" t="s">
        <v>200</v>
      </c>
      <c r="AE203" t="s">
        <v>201</v>
      </c>
      <c r="AH203" t="s">
        <v>72</v>
      </c>
      <c r="AI203" t="s">
        <v>202</v>
      </c>
      <c r="AJ203">
        <v>1993</v>
      </c>
      <c r="AK203" t="s">
        <v>203</v>
      </c>
      <c r="AM203" t="s">
        <v>204</v>
      </c>
      <c r="AN203" t="s">
        <v>76</v>
      </c>
      <c r="AO203" t="s">
        <v>77</v>
      </c>
      <c r="AP203" t="s">
        <v>115</v>
      </c>
      <c r="AQ203" t="s">
        <v>205</v>
      </c>
      <c r="AR203" t="s">
        <v>80</v>
      </c>
      <c r="AS203">
        <v>101</v>
      </c>
      <c r="AT203" t="s">
        <v>81</v>
      </c>
      <c r="AU203">
        <v>-30.86</v>
      </c>
      <c r="AV203">
        <v>7.83</v>
      </c>
      <c r="AW203" t="s">
        <v>82</v>
      </c>
      <c r="AX203">
        <v>101</v>
      </c>
      <c r="AY203" t="s">
        <v>81</v>
      </c>
      <c r="AZ203">
        <v>-41.61</v>
      </c>
      <c r="BA203">
        <v>8.1</v>
      </c>
      <c r="BB203" t="s">
        <v>83</v>
      </c>
    </row>
    <row r="204" spans="1:54" x14ac:dyDescent="0.4">
      <c r="A204">
        <v>627729</v>
      </c>
      <c r="D204" t="s">
        <v>54</v>
      </c>
      <c r="E204" t="s">
        <v>55</v>
      </c>
      <c r="G204">
        <v>1</v>
      </c>
      <c r="H204" t="s">
        <v>84</v>
      </c>
      <c r="I204" t="s">
        <v>57</v>
      </c>
      <c r="K204" t="s">
        <v>767</v>
      </c>
      <c r="L204" t="s">
        <v>768</v>
      </c>
      <c r="M204" t="s">
        <v>60</v>
      </c>
      <c r="N204" t="s">
        <v>119</v>
      </c>
      <c r="O204" t="s">
        <v>87</v>
      </c>
      <c r="P204" t="s">
        <v>62</v>
      </c>
      <c r="R204" t="s">
        <v>63</v>
      </c>
      <c r="S204" t="s">
        <v>64</v>
      </c>
      <c r="T204">
        <v>227</v>
      </c>
      <c r="U204">
        <v>208.5</v>
      </c>
      <c r="V204">
        <f t="shared" si="6"/>
        <v>217.75</v>
      </c>
      <c r="W204">
        <f t="shared" si="7"/>
        <v>18.5</v>
      </c>
      <c r="X204">
        <v>-101.31500200000001</v>
      </c>
      <c r="Y204">
        <v>33.521388999999999</v>
      </c>
      <c r="Z204" t="s">
        <v>198</v>
      </c>
      <c r="AA204" t="s">
        <v>66</v>
      </c>
      <c r="AB204" t="s">
        <v>125</v>
      </c>
      <c r="AC204" t="s">
        <v>199</v>
      </c>
      <c r="AD204" t="s">
        <v>200</v>
      </c>
      <c r="AE204" t="s">
        <v>201</v>
      </c>
      <c r="AH204" t="s">
        <v>72</v>
      </c>
      <c r="AI204" t="s">
        <v>740</v>
      </c>
      <c r="AJ204">
        <v>1995</v>
      </c>
      <c r="AK204" t="s">
        <v>203</v>
      </c>
      <c r="AM204" t="s">
        <v>204</v>
      </c>
      <c r="AN204" t="s">
        <v>76</v>
      </c>
      <c r="AO204" t="s">
        <v>77</v>
      </c>
      <c r="AP204" t="s">
        <v>115</v>
      </c>
      <c r="AQ204" t="s">
        <v>205</v>
      </c>
      <c r="AR204" t="s">
        <v>80</v>
      </c>
      <c r="AS204">
        <v>101</v>
      </c>
      <c r="AT204" t="s">
        <v>81</v>
      </c>
      <c r="AU204">
        <v>-30.86</v>
      </c>
      <c r="AV204">
        <v>7.83</v>
      </c>
      <c r="AW204" t="s">
        <v>82</v>
      </c>
      <c r="AX204">
        <v>101</v>
      </c>
      <c r="AY204" t="s">
        <v>81</v>
      </c>
      <c r="AZ204">
        <v>-41.61</v>
      </c>
      <c r="BA204">
        <v>8.1</v>
      </c>
      <c r="BB204" t="s">
        <v>83</v>
      </c>
    </row>
    <row r="205" spans="1:54" x14ac:dyDescent="0.4">
      <c r="A205">
        <v>627731</v>
      </c>
      <c r="D205" t="s">
        <v>54</v>
      </c>
      <c r="E205" t="s">
        <v>55</v>
      </c>
      <c r="G205">
        <v>1</v>
      </c>
      <c r="H205" t="s">
        <v>56</v>
      </c>
      <c r="I205" t="s">
        <v>57</v>
      </c>
      <c r="K205" t="s">
        <v>741</v>
      </c>
      <c r="L205" t="s">
        <v>854</v>
      </c>
      <c r="M205" t="s">
        <v>60</v>
      </c>
      <c r="N205" t="s">
        <v>256</v>
      </c>
      <c r="O205" t="s">
        <v>87</v>
      </c>
      <c r="P205" t="s">
        <v>62</v>
      </c>
      <c r="R205" t="s">
        <v>63</v>
      </c>
      <c r="S205" t="s">
        <v>64</v>
      </c>
      <c r="T205">
        <v>227</v>
      </c>
      <c r="U205">
        <v>208.5</v>
      </c>
      <c r="V205">
        <f t="shared" si="6"/>
        <v>217.75</v>
      </c>
      <c r="W205">
        <f t="shared" si="7"/>
        <v>18.5</v>
      </c>
      <c r="X205">
        <v>-101.352081</v>
      </c>
      <c r="Y205">
        <v>33.012535</v>
      </c>
      <c r="Z205" t="s">
        <v>124</v>
      </c>
      <c r="AA205" t="s">
        <v>66</v>
      </c>
      <c r="AB205" t="s">
        <v>125</v>
      </c>
      <c r="AC205" t="s">
        <v>199</v>
      </c>
      <c r="AD205" t="s">
        <v>200</v>
      </c>
      <c r="AE205" t="s">
        <v>201</v>
      </c>
      <c r="AH205" t="s">
        <v>11</v>
      </c>
      <c r="AI205" t="s">
        <v>1383</v>
      </c>
      <c r="AJ205">
        <v>2005</v>
      </c>
      <c r="AK205" t="s">
        <v>1384</v>
      </c>
      <c r="AN205" t="s">
        <v>192</v>
      </c>
      <c r="AO205">
        <v>6</v>
      </c>
      <c r="AP205" t="s">
        <v>78</v>
      </c>
      <c r="AQ205" t="s">
        <v>1385</v>
      </c>
      <c r="AR205" t="s">
        <v>80</v>
      </c>
      <c r="AS205">
        <v>101</v>
      </c>
      <c r="AT205" t="s">
        <v>81</v>
      </c>
      <c r="AU205">
        <v>-30.97</v>
      </c>
      <c r="AV205">
        <v>7.33</v>
      </c>
      <c r="AW205" t="s">
        <v>82</v>
      </c>
      <c r="AX205">
        <v>101</v>
      </c>
      <c r="AY205" t="s">
        <v>81</v>
      </c>
      <c r="AZ205">
        <v>-41.7</v>
      </c>
      <c r="BA205">
        <v>7.59</v>
      </c>
      <c r="BB205" t="s">
        <v>83</v>
      </c>
    </row>
    <row r="206" spans="1:54" x14ac:dyDescent="0.4">
      <c r="A206">
        <v>632302</v>
      </c>
      <c r="D206" t="s">
        <v>54</v>
      </c>
      <c r="E206" t="s">
        <v>55</v>
      </c>
      <c r="G206">
        <v>2</v>
      </c>
      <c r="H206" t="s">
        <v>84</v>
      </c>
      <c r="I206" t="s">
        <v>57</v>
      </c>
      <c r="K206" t="s">
        <v>244</v>
      </c>
      <c r="L206" t="s">
        <v>245</v>
      </c>
      <c r="M206" t="s">
        <v>60</v>
      </c>
      <c r="O206" t="s">
        <v>170</v>
      </c>
      <c r="P206" t="s">
        <v>62</v>
      </c>
      <c r="R206" t="s">
        <v>63</v>
      </c>
      <c r="S206" t="s">
        <v>64</v>
      </c>
      <c r="T206">
        <v>227</v>
      </c>
      <c r="U206">
        <v>208.5</v>
      </c>
      <c r="V206">
        <f t="shared" si="6"/>
        <v>217.75</v>
      </c>
      <c r="W206">
        <f t="shared" si="7"/>
        <v>18.5</v>
      </c>
      <c r="X206">
        <v>9.1427779999999998</v>
      </c>
      <c r="Y206">
        <v>48.760554999999997</v>
      </c>
      <c r="Z206" t="s">
        <v>184</v>
      </c>
      <c r="AA206" t="s">
        <v>211</v>
      </c>
      <c r="AB206" t="s">
        <v>863</v>
      </c>
      <c r="AC206" t="s">
        <v>213</v>
      </c>
      <c r="AD206" t="s">
        <v>214</v>
      </c>
      <c r="AE206" t="s">
        <v>215</v>
      </c>
      <c r="AF206" t="s">
        <v>864</v>
      </c>
      <c r="AH206" t="s">
        <v>72</v>
      </c>
      <c r="AI206" t="s">
        <v>365</v>
      </c>
      <c r="AJ206">
        <v>1985</v>
      </c>
      <c r="AK206" t="s">
        <v>866</v>
      </c>
      <c r="AN206" t="s">
        <v>114</v>
      </c>
      <c r="AO206" t="s">
        <v>77</v>
      </c>
      <c r="AP206" t="s">
        <v>78</v>
      </c>
      <c r="AQ206" t="s">
        <v>867</v>
      </c>
      <c r="AR206" t="s">
        <v>80</v>
      </c>
      <c r="AS206">
        <v>305</v>
      </c>
      <c r="AT206" t="s">
        <v>81</v>
      </c>
      <c r="AU206">
        <v>21.26</v>
      </c>
      <c r="AV206">
        <v>30.06</v>
      </c>
      <c r="AW206" t="s">
        <v>82</v>
      </c>
      <c r="AX206">
        <v>305</v>
      </c>
      <c r="AY206" t="s">
        <v>81</v>
      </c>
      <c r="AZ206">
        <v>10.119999999999999</v>
      </c>
      <c r="BA206">
        <v>31.98</v>
      </c>
      <c r="BB206" t="s">
        <v>83</v>
      </c>
    </row>
    <row r="207" spans="1:54" x14ac:dyDescent="0.4">
      <c r="A207">
        <v>632303</v>
      </c>
      <c r="D207" t="s">
        <v>54</v>
      </c>
      <c r="G207">
        <v>3</v>
      </c>
      <c r="H207" t="s">
        <v>84</v>
      </c>
      <c r="I207" t="s">
        <v>57</v>
      </c>
      <c r="K207" t="s">
        <v>244</v>
      </c>
      <c r="L207" t="s">
        <v>245</v>
      </c>
      <c r="M207" t="s">
        <v>60</v>
      </c>
      <c r="O207" t="s">
        <v>170</v>
      </c>
      <c r="P207" t="s">
        <v>62</v>
      </c>
      <c r="R207" t="s">
        <v>63</v>
      </c>
      <c r="S207" t="s">
        <v>64</v>
      </c>
      <c r="T207">
        <v>227</v>
      </c>
      <c r="U207">
        <v>208.5</v>
      </c>
      <c r="V207">
        <f t="shared" si="6"/>
        <v>217.75</v>
      </c>
      <c r="W207">
        <f t="shared" si="7"/>
        <v>18.5</v>
      </c>
      <c r="X207">
        <v>8.6825390000000002</v>
      </c>
      <c r="Y207">
        <v>48.102707000000002</v>
      </c>
      <c r="Z207" t="s">
        <v>184</v>
      </c>
      <c r="AA207" t="s">
        <v>211</v>
      </c>
      <c r="AB207" t="s">
        <v>863</v>
      </c>
      <c r="AD207" t="s">
        <v>214</v>
      </c>
      <c r="AE207" t="s">
        <v>215</v>
      </c>
      <c r="AH207" t="s">
        <v>72</v>
      </c>
      <c r="AI207" t="s">
        <v>217</v>
      </c>
      <c r="AJ207">
        <v>2003</v>
      </c>
      <c r="AK207" t="s">
        <v>1412</v>
      </c>
      <c r="AN207" t="s">
        <v>114</v>
      </c>
      <c r="AO207">
        <v>6</v>
      </c>
      <c r="AP207" t="s">
        <v>115</v>
      </c>
      <c r="AQ207" t="s">
        <v>1413</v>
      </c>
      <c r="AR207" t="s">
        <v>80</v>
      </c>
      <c r="AS207">
        <v>305</v>
      </c>
      <c r="AT207" t="s">
        <v>81</v>
      </c>
      <c r="AU207">
        <v>21.24</v>
      </c>
      <c r="AV207">
        <v>29.34</v>
      </c>
      <c r="AW207" t="s">
        <v>82</v>
      </c>
      <c r="AX207">
        <v>305</v>
      </c>
      <c r="AY207" t="s">
        <v>81</v>
      </c>
      <c r="AZ207">
        <v>10.119999999999999</v>
      </c>
      <c r="BA207">
        <v>31.25</v>
      </c>
      <c r="BB207" t="s">
        <v>83</v>
      </c>
    </row>
    <row r="208" spans="1:54" x14ac:dyDescent="0.4">
      <c r="A208">
        <v>632304</v>
      </c>
      <c r="D208" t="s">
        <v>54</v>
      </c>
      <c r="E208" t="s">
        <v>55</v>
      </c>
      <c r="G208">
        <v>1</v>
      </c>
      <c r="H208" t="s">
        <v>84</v>
      </c>
      <c r="I208" t="s">
        <v>57</v>
      </c>
      <c r="K208" t="s">
        <v>244</v>
      </c>
      <c r="L208" t="s">
        <v>245</v>
      </c>
      <c r="M208" t="s">
        <v>60</v>
      </c>
      <c r="O208" t="s">
        <v>170</v>
      </c>
      <c r="P208" t="s">
        <v>62</v>
      </c>
      <c r="R208" t="s">
        <v>63</v>
      </c>
      <c r="S208" t="s">
        <v>64</v>
      </c>
      <c r="T208">
        <v>227</v>
      </c>
      <c r="U208">
        <v>208.5</v>
      </c>
      <c r="V208">
        <f t="shared" si="6"/>
        <v>217.75</v>
      </c>
      <c r="W208">
        <f t="shared" si="7"/>
        <v>18.5</v>
      </c>
      <c r="X208">
        <v>9.1427779999999998</v>
      </c>
      <c r="Y208">
        <v>48.760554999999997</v>
      </c>
      <c r="Z208" t="s">
        <v>184</v>
      </c>
      <c r="AA208" t="s">
        <v>211</v>
      </c>
      <c r="AB208" t="s">
        <v>863</v>
      </c>
      <c r="AC208" t="s">
        <v>213</v>
      </c>
      <c r="AD208" t="s">
        <v>214</v>
      </c>
      <c r="AE208" t="s">
        <v>215</v>
      </c>
      <c r="AF208" t="s">
        <v>864</v>
      </c>
      <c r="AH208" t="s">
        <v>72</v>
      </c>
      <c r="AI208" t="s">
        <v>693</v>
      </c>
      <c r="AJ208">
        <v>1905</v>
      </c>
      <c r="AK208" t="s">
        <v>866</v>
      </c>
      <c r="AN208" t="s">
        <v>114</v>
      </c>
      <c r="AO208" t="s">
        <v>77</v>
      </c>
      <c r="AP208" t="s">
        <v>78</v>
      </c>
      <c r="AQ208" t="s">
        <v>867</v>
      </c>
      <c r="AR208" t="s">
        <v>80</v>
      </c>
      <c r="AS208">
        <v>305</v>
      </c>
      <c r="AT208" t="s">
        <v>81</v>
      </c>
      <c r="AU208">
        <v>21.26</v>
      </c>
      <c r="AV208">
        <v>30.06</v>
      </c>
      <c r="AW208" t="s">
        <v>82</v>
      </c>
      <c r="AX208">
        <v>305</v>
      </c>
      <c r="AY208" t="s">
        <v>81</v>
      </c>
      <c r="AZ208">
        <v>10.119999999999999</v>
      </c>
      <c r="BA208">
        <v>31.98</v>
      </c>
      <c r="BB208" t="s">
        <v>83</v>
      </c>
    </row>
    <row r="209" spans="1:54" x14ac:dyDescent="0.4">
      <c r="A209">
        <v>668537</v>
      </c>
      <c r="D209" t="s">
        <v>54</v>
      </c>
      <c r="I209" t="s">
        <v>57</v>
      </c>
      <c r="K209" t="s">
        <v>840</v>
      </c>
      <c r="L209" t="s">
        <v>1437</v>
      </c>
      <c r="M209" t="s">
        <v>60</v>
      </c>
      <c r="O209" t="s">
        <v>170</v>
      </c>
      <c r="P209" t="s">
        <v>62</v>
      </c>
      <c r="R209" t="s">
        <v>63</v>
      </c>
      <c r="S209" t="s">
        <v>64</v>
      </c>
      <c r="T209">
        <v>227</v>
      </c>
      <c r="U209">
        <v>208.5</v>
      </c>
      <c r="V209">
        <f t="shared" si="6"/>
        <v>217.75</v>
      </c>
      <c r="W209">
        <f t="shared" si="7"/>
        <v>18.5</v>
      </c>
      <c r="X209">
        <v>-53.774166000000001</v>
      </c>
      <c r="Y209">
        <v>-29.697779000000001</v>
      </c>
      <c r="Z209" t="s">
        <v>124</v>
      </c>
      <c r="AA209" t="s">
        <v>783</v>
      </c>
      <c r="AB209" t="s">
        <v>784</v>
      </c>
      <c r="AD209" t="s">
        <v>785</v>
      </c>
      <c r="AE209" t="s">
        <v>786</v>
      </c>
      <c r="AH209" t="s">
        <v>72</v>
      </c>
      <c r="AI209" t="s">
        <v>1438</v>
      </c>
      <c r="AJ209">
        <v>2010</v>
      </c>
      <c r="AK209" t="s">
        <v>1439</v>
      </c>
      <c r="AM209" t="s">
        <v>1440</v>
      </c>
      <c r="AN209" t="s">
        <v>76</v>
      </c>
      <c r="AO209" t="s">
        <v>77</v>
      </c>
      <c r="AP209" t="s">
        <v>115</v>
      </c>
      <c r="AQ209" t="s">
        <v>1441</v>
      </c>
      <c r="AR209" t="s">
        <v>80</v>
      </c>
      <c r="AS209">
        <v>201</v>
      </c>
      <c r="AT209" t="s">
        <v>81</v>
      </c>
      <c r="AU209">
        <v>-7.18</v>
      </c>
      <c r="AV209">
        <v>-38.72</v>
      </c>
      <c r="AW209" t="s">
        <v>82</v>
      </c>
      <c r="AX209">
        <v>202</v>
      </c>
      <c r="AY209" t="s">
        <v>81</v>
      </c>
      <c r="AZ209">
        <v>-15.92</v>
      </c>
      <c r="BA209">
        <v>-37.19</v>
      </c>
      <c r="BB209" t="s">
        <v>83</v>
      </c>
    </row>
    <row r="210" spans="1:54" x14ac:dyDescent="0.4">
      <c r="A210">
        <v>690297</v>
      </c>
      <c r="D210" t="s">
        <v>54</v>
      </c>
      <c r="E210" t="s">
        <v>55</v>
      </c>
      <c r="G210">
        <v>1</v>
      </c>
      <c r="H210" t="s">
        <v>84</v>
      </c>
      <c r="I210" t="s">
        <v>57</v>
      </c>
      <c r="K210" t="s">
        <v>194</v>
      </c>
      <c r="L210" t="s">
        <v>1445</v>
      </c>
      <c r="M210" t="s">
        <v>60</v>
      </c>
      <c r="P210" t="s">
        <v>62</v>
      </c>
      <c r="R210" t="s">
        <v>63</v>
      </c>
      <c r="S210" t="s">
        <v>64</v>
      </c>
      <c r="T210">
        <v>227</v>
      </c>
      <c r="U210">
        <v>208.5</v>
      </c>
      <c r="V210">
        <f t="shared" si="6"/>
        <v>217.75</v>
      </c>
      <c r="W210">
        <f t="shared" si="7"/>
        <v>18.5</v>
      </c>
      <c r="X210">
        <v>-106.47305299999999</v>
      </c>
      <c r="Y210">
        <v>36.331668999999998</v>
      </c>
      <c r="Z210" t="s">
        <v>886</v>
      </c>
      <c r="AA210" t="s">
        <v>66</v>
      </c>
      <c r="AB210" t="s">
        <v>846</v>
      </c>
      <c r="AC210" t="s">
        <v>847</v>
      </c>
      <c r="AD210" t="s">
        <v>174</v>
      </c>
      <c r="AF210" t="s">
        <v>749</v>
      </c>
      <c r="AH210" t="s">
        <v>72</v>
      </c>
      <c r="AI210" t="s">
        <v>1446</v>
      </c>
      <c r="AJ210">
        <v>2007</v>
      </c>
      <c r="AK210" t="s">
        <v>1337</v>
      </c>
      <c r="AN210" t="s">
        <v>114</v>
      </c>
      <c r="AO210" t="s">
        <v>77</v>
      </c>
      <c r="AP210" t="s">
        <v>115</v>
      </c>
      <c r="AQ210" t="s">
        <v>1338</v>
      </c>
      <c r="AR210" t="s">
        <v>80</v>
      </c>
      <c r="AS210">
        <v>101</v>
      </c>
      <c r="AT210" t="s">
        <v>81</v>
      </c>
      <c r="AU210">
        <v>-35.119999999999997</v>
      </c>
      <c r="AV210">
        <v>10.64</v>
      </c>
      <c r="AW210" t="s">
        <v>82</v>
      </c>
      <c r="AX210">
        <v>133</v>
      </c>
      <c r="AY210" t="s">
        <v>81</v>
      </c>
      <c r="AZ210">
        <v>-50.08</v>
      </c>
      <c r="BA210">
        <v>12.01</v>
      </c>
      <c r="BB210" t="s">
        <v>83</v>
      </c>
    </row>
    <row r="211" spans="1:54" x14ac:dyDescent="0.4">
      <c r="A211">
        <v>690298</v>
      </c>
      <c r="D211" t="s">
        <v>54</v>
      </c>
      <c r="E211" t="s">
        <v>55</v>
      </c>
      <c r="G211">
        <v>9</v>
      </c>
      <c r="H211" t="s">
        <v>84</v>
      </c>
      <c r="I211" t="s">
        <v>57</v>
      </c>
      <c r="K211" t="s">
        <v>194</v>
      </c>
      <c r="L211" t="s">
        <v>1445</v>
      </c>
      <c r="M211" t="s">
        <v>60</v>
      </c>
      <c r="P211" t="s">
        <v>62</v>
      </c>
      <c r="R211" t="s">
        <v>63</v>
      </c>
      <c r="S211" t="s">
        <v>64</v>
      </c>
      <c r="T211">
        <v>227</v>
      </c>
      <c r="U211">
        <v>208.5</v>
      </c>
      <c r="V211">
        <f t="shared" si="6"/>
        <v>217.75</v>
      </c>
      <c r="W211">
        <f t="shared" si="7"/>
        <v>18.5</v>
      </c>
      <c r="X211">
        <v>-106.47506</v>
      </c>
      <c r="Y211">
        <v>36.323849000000003</v>
      </c>
      <c r="Z211" t="s">
        <v>1447</v>
      </c>
      <c r="AA211" t="s">
        <v>66</v>
      </c>
      <c r="AB211" t="s">
        <v>846</v>
      </c>
      <c r="AC211" t="s">
        <v>847</v>
      </c>
      <c r="AD211" t="s">
        <v>174</v>
      </c>
      <c r="AF211" t="s">
        <v>749</v>
      </c>
      <c r="AH211" t="s">
        <v>72</v>
      </c>
      <c r="AI211" t="s">
        <v>1446</v>
      </c>
      <c r="AJ211">
        <v>2007</v>
      </c>
      <c r="AK211" t="s">
        <v>1448</v>
      </c>
      <c r="AN211" t="s">
        <v>114</v>
      </c>
      <c r="AO211">
        <v>6</v>
      </c>
      <c r="AP211" t="s">
        <v>78</v>
      </c>
      <c r="AQ211" t="s">
        <v>1449</v>
      </c>
      <c r="AR211" t="s">
        <v>80</v>
      </c>
      <c r="AS211">
        <v>101</v>
      </c>
      <c r="AT211" t="s">
        <v>81</v>
      </c>
      <c r="AU211">
        <v>-34.65</v>
      </c>
      <c r="AV211">
        <v>11.27</v>
      </c>
      <c r="AW211" t="s">
        <v>82</v>
      </c>
      <c r="AX211">
        <v>133</v>
      </c>
      <c r="AY211" t="s">
        <v>81</v>
      </c>
      <c r="AZ211">
        <v>-49.47</v>
      </c>
      <c r="BA211">
        <v>11.42</v>
      </c>
      <c r="BB211" t="s">
        <v>83</v>
      </c>
    </row>
    <row r="212" spans="1:54" x14ac:dyDescent="0.4">
      <c r="A212">
        <v>690300</v>
      </c>
      <c r="D212" t="s">
        <v>54</v>
      </c>
      <c r="E212" t="s">
        <v>55</v>
      </c>
      <c r="I212" t="s">
        <v>57</v>
      </c>
      <c r="K212" t="s">
        <v>206</v>
      </c>
      <c r="L212" t="s">
        <v>851</v>
      </c>
      <c r="M212" t="s">
        <v>60</v>
      </c>
      <c r="O212" t="s">
        <v>170</v>
      </c>
      <c r="P212" t="s">
        <v>62</v>
      </c>
      <c r="R212" t="s">
        <v>63</v>
      </c>
      <c r="S212" t="s">
        <v>64</v>
      </c>
      <c r="T212">
        <v>227</v>
      </c>
      <c r="U212">
        <v>208.5</v>
      </c>
      <c r="V212">
        <f t="shared" si="6"/>
        <v>217.75</v>
      </c>
      <c r="W212">
        <f t="shared" si="7"/>
        <v>18.5</v>
      </c>
      <c r="X212">
        <v>-106.47506</v>
      </c>
      <c r="Y212">
        <v>36.323849000000003</v>
      </c>
      <c r="Z212" t="s">
        <v>1447</v>
      </c>
      <c r="AA212" t="s">
        <v>66</v>
      </c>
      <c r="AB212" t="s">
        <v>846</v>
      </c>
      <c r="AC212" t="s">
        <v>847</v>
      </c>
      <c r="AD212" t="s">
        <v>174</v>
      </c>
      <c r="AF212" t="s">
        <v>749</v>
      </c>
      <c r="AH212" t="s">
        <v>72</v>
      </c>
      <c r="AI212" t="s">
        <v>1446</v>
      </c>
      <c r="AJ212">
        <v>2007</v>
      </c>
      <c r="AK212" t="s">
        <v>1448</v>
      </c>
      <c r="AN212" t="s">
        <v>114</v>
      </c>
      <c r="AO212">
        <v>6</v>
      </c>
      <c r="AP212" t="s">
        <v>78</v>
      </c>
      <c r="AQ212" t="s">
        <v>1449</v>
      </c>
      <c r="AR212" t="s">
        <v>80</v>
      </c>
      <c r="AS212">
        <v>101</v>
      </c>
      <c r="AT212" t="s">
        <v>81</v>
      </c>
      <c r="AU212">
        <v>-34.65</v>
      </c>
      <c r="AV212">
        <v>11.27</v>
      </c>
      <c r="AW212" t="s">
        <v>82</v>
      </c>
      <c r="AX212">
        <v>133</v>
      </c>
      <c r="AY212" t="s">
        <v>81</v>
      </c>
      <c r="AZ212">
        <v>-49.47</v>
      </c>
      <c r="BA212">
        <v>11.42</v>
      </c>
      <c r="BB212" t="s">
        <v>83</v>
      </c>
    </row>
    <row r="213" spans="1:54" x14ac:dyDescent="0.4">
      <c r="A213">
        <v>690301</v>
      </c>
      <c r="D213" t="s">
        <v>54</v>
      </c>
      <c r="E213" t="s">
        <v>55</v>
      </c>
      <c r="I213" t="s">
        <v>57</v>
      </c>
      <c r="K213" t="s">
        <v>206</v>
      </c>
      <c r="L213" t="s">
        <v>986</v>
      </c>
      <c r="M213" t="s">
        <v>60</v>
      </c>
      <c r="O213" t="s">
        <v>170</v>
      </c>
      <c r="P213" t="s">
        <v>62</v>
      </c>
      <c r="R213" t="s">
        <v>63</v>
      </c>
      <c r="S213" t="s">
        <v>64</v>
      </c>
      <c r="T213">
        <v>227</v>
      </c>
      <c r="U213">
        <v>208.5</v>
      </c>
      <c r="V213">
        <f t="shared" si="6"/>
        <v>217.75</v>
      </c>
      <c r="W213">
        <f t="shared" si="7"/>
        <v>18.5</v>
      </c>
      <c r="X213">
        <v>-106.47506</v>
      </c>
      <c r="Y213">
        <v>36.323849000000003</v>
      </c>
      <c r="Z213" t="s">
        <v>1447</v>
      </c>
      <c r="AA213" t="s">
        <v>66</v>
      </c>
      <c r="AB213" t="s">
        <v>846</v>
      </c>
      <c r="AC213" t="s">
        <v>847</v>
      </c>
      <c r="AD213" t="s">
        <v>174</v>
      </c>
      <c r="AF213" t="s">
        <v>749</v>
      </c>
      <c r="AH213" t="s">
        <v>72</v>
      </c>
      <c r="AI213" t="s">
        <v>1446</v>
      </c>
      <c r="AJ213">
        <v>2007</v>
      </c>
      <c r="AK213" t="s">
        <v>1448</v>
      </c>
      <c r="AN213" t="s">
        <v>114</v>
      </c>
      <c r="AO213">
        <v>6</v>
      </c>
      <c r="AP213" t="s">
        <v>78</v>
      </c>
      <c r="AQ213" t="s">
        <v>1449</v>
      </c>
      <c r="AR213" t="s">
        <v>80</v>
      </c>
      <c r="AS213">
        <v>101</v>
      </c>
      <c r="AT213" t="s">
        <v>81</v>
      </c>
      <c r="AU213">
        <v>-34.65</v>
      </c>
      <c r="AV213">
        <v>11.27</v>
      </c>
      <c r="AW213" t="s">
        <v>82</v>
      </c>
      <c r="AX213">
        <v>133</v>
      </c>
      <c r="AY213" t="s">
        <v>81</v>
      </c>
      <c r="AZ213">
        <v>-49.47</v>
      </c>
      <c r="BA213">
        <v>11.42</v>
      </c>
      <c r="BB213" t="s">
        <v>83</v>
      </c>
    </row>
    <row r="214" spans="1:54" x14ac:dyDescent="0.4">
      <c r="A214">
        <v>690302</v>
      </c>
      <c r="D214" t="s">
        <v>54</v>
      </c>
      <c r="E214" t="s">
        <v>55</v>
      </c>
      <c r="G214">
        <v>2</v>
      </c>
      <c r="H214" t="s">
        <v>84</v>
      </c>
      <c r="I214" t="s">
        <v>57</v>
      </c>
      <c r="K214" t="s">
        <v>196</v>
      </c>
      <c r="L214" t="s">
        <v>1450</v>
      </c>
      <c r="M214" t="s">
        <v>60</v>
      </c>
      <c r="O214" t="s">
        <v>87</v>
      </c>
      <c r="P214" t="s">
        <v>62</v>
      </c>
      <c r="R214" t="s">
        <v>63</v>
      </c>
      <c r="S214" t="s">
        <v>64</v>
      </c>
      <c r="T214">
        <v>227</v>
      </c>
      <c r="U214">
        <v>208.5</v>
      </c>
      <c r="V214">
        <f t="shared" si="6"/>
        <v>217.75</v>
      </c>
      <c r="W214">
        <f t="shared" si="7"/>
        <v>18.5</v>
      </c>
      <c r="X214">
        <v>-106.47506</v>
      </c>
      <c r="Y214">
        <v>36.323849000000003</v>
      </c>
      <c r="Z214" t="s">
        <v>1447</v>
      </c>
      <c r="AA214" t="s">
        <v>66</v>
      </c>
      <c r="AB214" t="s">
        <v>846</v>
      </c>
      <c r="AC214" t="s">
        <v>847</v>
      </c>
      <c r="AD214" t="s">
        <v>174</v>
      </c>
      <c r="AF214" t="s">
        <v>749</v>
      </c>
      <c r="AH214" t="s">
        <v>72</v>
      </c>
      <c r="AI214" t="s">
        <v>1451</v>
      </c>
      <c r="AJ214">
        <v>2016</v>
      </c>
      <c r="AK214" t="s">
        <v>1448</v>
      </c>
      <c r="AN214" t="s">
        <v>114</v>
      </c>
      <c r="AO214">
        <v>6</v>
      </c>
      <c r="AP214" t="s">
        <v>78</v>
      </c>
      <c r="AQ214" t="s">
        <v>1449</v>
      </c>
      <c r="AR214" t="s">
        <v>80</v>
      </c>
      <c r="AS214">
        <v>101</v>
      </c>
      <c r="AT214" t="s">
        <v>81</v>
      </c>
      <c r="AU214">
        <v>-34.65</v>
      </c>
      <c r="AV214">
        <v>11.27</v>
      </c>
      <c r="AW214" t="s">
        <v>82</v>
      </c>
      <c r="AX214">
        <v>133</v>
      </c>
      <c r="AY214" t="s">
        <v>81</v>
      </c>
      <c r="AZ214">
        <v>-49.47</v>
      </c>
      <c r="BA214">
        <v>11.42</v>
      </c>
      <c r="BB214" t="s">
        <v>83</v>
      </c>
    </row>
    <row r="215" spans="1:54" x14ac:dyDescent="0.4">
      <c r="A215">
        <v>705331</v>
      </c>
      <c r="D215" t="s">
        <v>54</v>
      </c>
      <c r="E215" t="s">
        <v>152</v>
      </c>
      <c r="G215">
        <v>3</v>
      </c>
      <c r="H215" t="s">
        <v>84</v>
      </c>
      <c r="I215" t="s">
        <v>57</v>
      </c>
      <c r="K215" t="s">
        <v>206</v>
      </c>
      <c r="L215" t="s">
        <v>207</v>
      </c>
      <c r="M215" t="s">
        <v>60</v>
      </c>
      <c r="O215" t="s">
        <v>170</v>
      </c>
      <c r="P215" t="s">
        <v>62</v>
      </c>
      <c r="R215" t="s">
        <v>63</v>
      </c>
      <c r="S215" t="s">
        <v>64</v>
      </c>
      <c r="T215">
        <v>227</v>
      </c>
      <c r="U215">
        <v>208.5</v>
      </c>
      <c r="V215">
        <f t="shared" si="6"/>
        <v>217.75</v>
      </c>
      <c r="W215">
        <f t="shared" si="7"/>
        <v>18.5</v>
      </c>
      <c r="X215">
        <v>-108.565529</v>
      </c>
      <c r="Y215">
        <v>35.432738999999998</v>
      </c>
      <c r="Z215" t="s">
        <v>124</v>
      </c>
      <c r="AA215" t="s">
        <v>66</v>
      </c>
      <c r="AB215" t="s">
        <v>846</v>
      </c>
      <c r="AC215" t="s">
        <v>1308</v>
      </c>
      <c r="AD215" t="s">
        <v>1309</v>
      </c>
      <c r="AE215" t="s">
        <v>174</v>
      </c>
      <c r="AH215" t="s">
        <v>11</v>
      </c>
      <c r="AI215" t="s">
        <v>175</v>
      </c>
      <c r="AJ215">
        <v>1997</v>
      </c>
      <c r="AK215" t="s">
        <v>1491</v>
      </c>
      <c r="AN215" t="s">
        <v>192</v>
      </c>
      <c r="AO215">
        <v>5</v>
      </c>
      <c r="AP215" t="s">
        <v>115</v>
      </c>
      <c r="AQ215" t="s">
        <v>1492</v>
      </c>
      <c r="AR215" t="s">
        <v>80</v>
      </c>
      <c r="AS215">
        <v>101</v>
      </c>
      <c r="AT215" t="s">
        <v>81</v>
      </c>
      <c r="AU215">
        <v>-36.51</v>
      </c>
      <c r="AV215">
        <v>10.71</v>
      </c>
      <c r="AW215" t="s">
        <v>82</v>
      </c>
      <c r="AX215">
        <v>133</v>
      </c>
      <c r="AY215" t="s">
        <v>81</v>
      </c>
      <c r="AZ215">
        <v>-51.32</v>
      </c>
      <c r="BA215">
        <v>10.81</v>
      </c>
      <c r="BB215" t="s">
        <v>83</v>
      </c>
    </row>
    <row r="216" spans="1:54" x14ac:dyDescent="0.4">
      <c r="A216">
        <v>705332</v>
      </c>
      <c r="D216" t="s">
        <v>54</v>
      </c>
      <c r="E216" t="s">
        <v>152</v>
      </c>
      <c r="G216">
        <v>2</v>
      </c>
      <c r="H216" t="s">
        <v>84</v>
      </c>
      <c r="I216" t="s">
        <v>57</v>
      </c>
      <c r="K216" t="s">
        <v>206</v>
      </c>
      <c r="L216" t="s">
        <v>207</v>
      </c>
      <c r="M216" t="s">
        <v>60</v>
      </c>
      <c r="O216" t="s">
        <v>170</v>
      </c>
      <c r="P216" t="s">
        <v>62</v>
      </c>
      <c r="R216" t="s">
        <v>63</v>
      </c>
      <c r="S216" t="s">
        <v>64</v>
      </c>
      <c r="T216">
        <v>227</v>
      </c>
      <c r="U216">
        <v>208.5</v>
      </c>
      <c r="V216">
        <f t="shared" si="6"/>
        <v>217.75</v>
      </c>
      <c r="W216">
        <f t="shared" si="7"/>
        <v>18.5</v>
      </c>
      <c r="X216">
        <v>-108.565529</v>
      </c>
      <c r="Y216">
        <v>35.432738999999998</v>
      </c>
      <c r="Z216" t="s">
        <v>124</v>
      </c>
      <c r="AA216" t="s">
        <v>66</v>
      </c>
      <c r="AB216" t="s">
        <v>846</v>
      </c>
      <c r="AC216" t="s">
        <v>1308</v>
      </c>
      <c r="AD216" t="s">
        <v>1309</v>
      </c>
      <c r="AE216" t="s">
        <v>174</v>
      </c>
      <c r="AH216" t="s">
        <v>11</v>
      </c>
      <c r="AI216" t="s">
        <v>175</v>
      </c>
      <c r="AJ216">
        <v>1997</v>
      </c>
      <c r="AK216" t="s">
        <v>1491</v>
      </c>
      <c r="AN216" t="s">
        <v>192</v>
      </c>
      <c r="AO216">
        <v>5</v>
      </c>
      <c r="AP216" t="s">
        <v>115</v>
      </c>
      <c r="AQ216" t="s">
        <v>1492</v>
      </c>
      <c r="AR216" t="s">
        <v>80</v>
      </c>
      <c r="AS216">
        <v>101</v>
      </c>
      <c r="AT216" t="s">
        <v>81</v>
      </c>
      <c r="AU216">
        <v>-36.51</v>
      </c>
      <c r="AV216">
        <v>10.71</v>
      </c>
      <c r="AW216" t="s">
        <v>82</v>
      </c>
      <c r="AX216">
        <v>133</v>
      </c>
      <c r="AY216" t="s">
        <v>81</v>
      </c>
      <c r="AZ216">
        <v>-51.32</v>
      </c>
      <c r="BA216">
        <v>10.81</v>
      </c>
      <c r="BB216" t="s">
        <v>83</v>
      </c>
    </row>
    <row r="217" spans="1:54" x14ac:dyDescent="0.4">
      <c r="A217">
        <v>705341</v>
      </c>
      <c r="D217" t="s">
        <v>54</v>
      </c>
      <c r="E217" t="s">
        <v>152</v>
      </c>
      <c r="G217">
        <v>5</v>
      </c>
      <c r="H217" t="s">
        <v>84</v>
      </c>
      <c r="I217" t="s">
        <v>57</v>
      </c>
      <c r="K217" t="s">
        <v>206</v>
      </c>
      <c r="L217" t="s">
        <v>1307</v>
      </c>
      <c r="M217" t="s">
        <v>60</v>
      </c>
      <c r="O217" t="s">
        <v>170</v>
      </c>
      <c r="P217" t="s">
        <v>62</v>
      </c>
      <c r="R217" t="s">
        <v>63</v>
      </c>
      <c r="S217" t="s">
        <v>64</v>
      </c>
      <c r="T217">
        <v>227</v>
      </c>
      <c r="U217">
        <v>208.5</v>
      </c>
      <c r="V217">
        <f t="shared" si="6"/>
        <v>217.75</v>
      </c>
      <c r="W217">
        <f t="shared" si="7"/>
        <v>18.5</v>
      </c>
      <c r="X217">
        <v>-108.565529</v>
      </c>
      <c r="Y217">
        <v>35.432738999999998</v>
      </c>
      <c r="Z217" t="s">
        <v>124</v>
      </c>
      <c r="AA217" t="s">
        <v>66</v>
      </c>
      <c r="AB217" t="s">
        <v>846</v>
      </c>
      <c r="AC217" t="s">
        <v>1308</v>
      </c>
      <c r="AD217" t="s">
        <v>1309</v>
      </c>
      <c r="AE217" t="s">
        <v>174</v>
      </c>
      <c r="AH217" t="s">
        <v>11</v>
      </c>
      <c r="AI217" t="s">
        <v>175</v>
      </c>
      <c r="AJ217">
        <v>1997</v>
      </c>
      <c r="AK217" t="s">
        <v>1491</v>
      </c>
      <c r="AN217" t="s">
        <v>192</v>
      </c>
      <c r="AO217">
        <v>5</v>
      </c>
      <c r="AP217" t="s">
        <v>115</v>
      </c>
      <c r="AQ217" t="s">
        <v>1492</v>
      </c>
      <c r="AR217" t="s">
        <v>80</v>
      </c>
      <c r="AS217">
        <v>101</v>
      </c>
      <c r="AT217" t="s">
        <v>81</v>
      </c>
      <c r="AU217">
        <v>-36.51</v>
      </c>
      <c r="AV217">
        <v>10.71</v>
      </c>
      <c r="AW217" t="s">
        <v>82</v>
      </c>
      <c r="AX217">
        <v>133</v>
      </c>
      <c r="AY217" t="s">
        <v>81</v>
      </c>
      <c r="AZ217">
        <v>-51.32</v>
      </c>
      <c r="BA217">
        <v>10.81</v>
      </c>
      <c r="BB217" t="s">
        <v>83</v>
      </c>
    </row>
    <row r="218" spans="1:54" x14ac:dyDescent="0.4">
      <c r="A218">
        <v>705346</v>
      </c>
      <c r="D218" t="s">
        <v>54</v>
      </c>
      <c r="G218">
        <v>1</v>
      </c>
      <c r="H218" t="s">
        <v>84</v>
      </c>
      <c r="I218" t="s">
        <v>57</v>
      </c>
      <c r="K218" t="s">
        <v>206</v>
      </c>
      <c r="L218" t="s">
        <v>1493</v>
      </c>
      <c r="M218" t="s">
        <v>60</v>
      </c>
      <c r="O218" t="s">
        <v>170</v>
      </c>
      <c r="P218" t="s">
        <v>62</v>
      </c>
      <c r="R218" t="s">
        <v>63</v>
      </c>
      <c r="S218" t="s">
        <v>64</v>
      </c>
      <c r="T218">
        <v>227</v>
      </c>
      <c r="U218">
        <v>208.5</v>
      </c>
      <c r="V218">
        <f t="shared" si="6"/>
        <v>217.75</v>
      </c>
      <c r="W218">
        <f t="shared" si="7"/>
        <v>18.5</v>
      </c>
      <c r="X218">
        <v>-108.499611</v>
      </c>
      <c r="Y218">
        <v>35.443012000000003</v>
      </c>
      <c r="Z218" t="s">
        <v>124</v>
      </c>
      <c r="AA218" t="s">
        <v>66</v>
      </c>
      <c r="AB218" t="s">
        <v>846</v>
      </c>
      <c r="AC218" t="s">
        <v>1308</v>
      </c>
      <c r="AD218" t="s">
        <v>1309</v>
      </c>
      <c r="AE218" t="s">
        <v>174</v>
      </c>
      <c r="AH218" t="s">
        <v>72</v>
      </c>
      <c r="AI218" t="s">
        <v>1129</v>
      </c>
      <c r="AJ218">
        <v>2007</v>
      </c>
      <c r="AK218" t="s">
        <v>1494</v>
      </c>
      <c r="AN218" t="s">
        <v>192</v>
      </c>
      <c r="AO218">
        <v>6</v>
      </c>
      <c r="AP218" t="s">
        <v>115</v>
      </c>
      <c r="AQ218" t="s">
        <v>1495</v>
      </c>
      <c r="AR218" t="s">
        <v>80</v>
      </c>
      <c r="AS218">
        <v>101</v>
      </c>
      <c r="AT218" t="s">
        <v>81</v>
      </c>
      <c r="AU218">
        <v>-36.450000000000003</v>
      </c>
      <c r="AV218">
        <v>10.71</v>
      </c>
      <c r="AW218" t="s">
        <v>82</v>
      </c>
      <c r="AX218">
        <v>133</v>
      </c>
      <c r="AY218" t="s">
        <v>81</v>
      </c>
      <c r="AZ218">
        <v>-51.27</v>
      </c>
      <c r="BA218">
        <v>10.81</v>
      </c>
      <c r="BB218" t="s">
        <v>83</v>
      </c>
    </row>
    <row r="219" spans="1:54" x14ac:dyDescent="0.4">
      <c r="A219">
        <v>705367</v>
      </c>
      <c r="D219" t="s">
        <v>54</v>
      </c>
      <c r="G219">
        <v>2</v>
      </c>
      <c r="H219" t="s">
        <v>84</v>
      </c>
      <c r="I219" t="s">
        <v>57</v>
      </c>
      <c r="K219" t="s">
        <v>206</v>
      </c>
      <c r="L219" t="s">
        <v>1307</v>
      </c>
      <c r="M219" t="s">
        <v>60</v>
      </c>
      <c r="O219" t="s">
        <v>170</v>
      </c>
      <c r="P219" t="s">
        <v>62</v>
      </c>
      <c r="R219" t="s">
        <v>63</v>
      </c>
      <c r="S219" t="s">
        <v>64</v>
      </c>
      <c r="T219">
        <v>227</v>
      </c>
      <c r="U219">
        <v>208.5</v>
      </c>
      <c r="V219">
        <f t="shared" si="6"/>
        <v>217.75</v>
      </c>
      <c r="W219">
        <f t="shared" si="7"/>
        <v>18.5</v>
      </c>
      <c r="X219">
        <v>-108.46729999999999</v>
      </c>
      <c r="Y219">
        <v>35.413696000000002</v>
      </c>
      <c r="Z219" t="s">
        <v>124</v>
      </c>
      <c r="AA219" t="s">
        <v>66</v>
      </c>
      <c r="AB219" t="s">
        <v>846</v>
      </c>
      <c r="AC219" t="s">
        <v>1308</v>
      </c>
      <c r="AD219" t="s">
        <v>1309</v>
      </c>
      <c r="AE219" t="s">
        <v>174</v>
      </c>
      <c r="AH219" t="s">
        <v>11</v>
      </c>
      <c r="AI219" t="s">
        <v>175</v>
      </c>
      <c r="AJ219">
        <v>1997</v>
      </c>
      <c r="AK219" t="s">
        <v>1496</v>
      </c>
      <c r="AN219" t="s">
        <v>76</v>
      </c>
      <c r="AO219">
        <v>6</v>
      </c>
      <c r="AP219" t="s">
        <v>115</v>
      </c>
      <c r="AQ219" t="s">
        <v>1497</v>
      </c>
      <c r="AR219" t="s">
        <v>80</v>
      </c>
      <c r="AS219">
        <v>101</v>
      </c>
      <c r="AT219" t="s">
        <v>81</v>
      </c>
      <c r="AU219">
        <v>-36.43</v>
      </c>
      <c r="AV219">
        <v>10.68</v>
      </c>
      <c r="AW219" t="s">
        <v>82</v>
      </c>
      <c r="AX219">
        <v>133</v>
      </c>
      <c r="AY219" t="s">
        <v>81</v>
      </c>
      <c r="AZ219">
        <v>-51.25</v>
      </c>
      <c r="BA219">
        <v>10.78</v>
      </c>
      <c r="BB219" t="s">
        <v>83</v>
      </c>
    </row>
    <row r="220" spans="1:54" x14ac:dyDescent="0.4">
      <c r="A220">
        <v>705954</v>
      </c>
      <c r="D220" t="s">
        <v>54</v>
      </c>
      <c r="E220" t="s">
        <v>152</v>
      </c>
      <c r="F220" t="s">
        <v>1283</v>
      </c>
      <c r="G220">
        <v>70</v>
      </c>
      <c r="H220" t="s">
        <v>1498</v>
      </c>
      <c r="I220" t="s">
        <v>57</v>
      </c>
      <c r="K220" t="s">
        <v>244</v>
      </c>
      <c r="L220" t="s">
        <v>245</v>
      </c>
      <c r="M220" t="s">
        <v>60</v>
      </c>
      <c r="O220" t="s">
        <v>170</v>
      </c>
      <c r="P220" t="s">
        <v>62</v>
      </c>
      <c r="R220" t="s">
        <v>63</v>
      </c>
      <c r="S220" t="s">
        <v>64</v>
      </c>
      <c r="T220">
        <v>227</v>
      </c>
      <c r="U220">
        <v>208.5</v>
      </c>
      <c r="V220">
        <f t="shared" si="6"/>
        <v>217.75</v>
      </c>
      <c r="W220">
        <f t="shared" si="7"/>
        <v>18.5</v>
      </c>
      <c r="X220">
        <v>10.978889000000001</v>
      </c>
      <c r="Y220">
        <v>49.063057000000001</v>
      </c>
      <c r="Z220" t="s">
        <v>346</v>
      </c>
      <c r="AA220" t="s">
        <v>211</v>
      </c>
      <c r="AB220" t="s">
        <v>953</v>
      </c>
      <c r="AC220" t="s">
        <v>1499</v>
      </c>
      <c r="AD220" t="s">
        <v>267</v>
      </c>
      <c r="AE220" t="s">
        <v>215</v>
      </c>
      <c r="AF220" t="s">
        <v>954</v>
      </c>
      <c r="AH220" t="s">
        <v>72</v>
      </c>
      <c r="AI220" t="s">
        <v>958</v>
      </c>
      <c r="AJ220">
        <v>2003</v>
      </c>
      <c r="AK220" t="s">
        <v>1500</v>
      </c>
      <c r="AN220" t="s">
        <v>192</v>
      </c>
      <c r="AO220" t="s">
        <v>77</v>
      </c>
      <c r="AP220" t="s">
        <v>115</v>
      </c>
      <c r="AQ220" t="s">
        <v>1501</v>
      </c>
      <c r="AR220" t="s">
        <v>80</v>
      </c>
      <c r="AS220">
        <v>305</v>
      </c>
      <c r="AT220" t="s">
        <v>81</v>
      </c>
      <c r="AU220">
        <v>22.38</v>
      </c>
      <c r="AV220">
        <v>30.84</v>
      </c>
      <c r="AW220" t="s">
        <v>82</v>
      </c>
      <c r="AX220">
        <v>305</v>
      </c>
      <c r="AY220" t="s">
        <v>81</v>
      </c>
      <c r="AZ220">
        <v>11.25</v>
      </c>
      <c r="BA220">
        <v>32.770000000000003</v>
      </c>
      <c r="BB220" t="s">
        <v>83</v>
      </c>
    </row>
    <row r="221" spans="1:54" x14ac:dyDescent="0.4">
      <c r="A221">
        <v>735410</v>
      </c>
      <c r="D221" t="s">
        <v>1182</v>
      </c>
      <c r="E221" t="s">
        <v>154</v>
      </c>
      <c r="G221">
        <v>99</v>
      </c>
      <c r="H221" t="s">
        <v>84</v>
      </c>
      <c r="I221" t="s">
        <v>57</v>
      </c>
      <c r="K221" t="s">
        <v>746</v>
      </c>
      <c r="L221" t="s">
        <v>747</v>
      </c>
      <c r="M221" t="s">
        <v>60</v>
      </c>
      <c r="P221" t="s">
        <v>62</v>
      </c>
      <c r="R221" t="s">
        <v>63</v>
      </c>
      <c r="S221" t="s">
        <v>64</v>
      </c>
      <c r="T221">
        <v>227</v>
      </c>
      <c r="U221">
        <v>208.5</v>
      </c>
      <c r="V221">
        <f t="shared" si="6"/>
        <v>217.75</v>
      </c>
      <c r="W221">
        <f t="shared" si="7"/>
        <v>18.5</v>
      </c>
      <c r="X221">
        <v>-79.668998999999999</v>
      </c>
      <c r="Y221">
        <v>36.540900999999998</v>
      </c>
      <c r="Z221" t="s">
        <v>346</v>
      </c>
      <c r="AA221" t="s">
        <v>66</v>
      </c>
      <c r="AB221" t="s">
        <v>816</v>
      </c>
      <c r="AC221" t="s">
        <v>1185</v>
      </c>
      <c r="AD221" t="s">
        <v>1186</v>
      </c>
      <c r="AE221" t="s">
        <v>1187</v>
      </c>
      <c r="AF221" t="s">
        <v>1188</v>
      </c>
      <c r="AH221" t="s">
        <v>72</v>
      </c>
      <c r="AI221" t="s">
        <v>1343</v>
      </c>
      <c r="AJ221">
        <v>1979</v>
      </c>
      <c r="AK221" t="s">
        <v>1190</v>
      </c>
      <c r="AM221" t="s">
        <v>1191</v>
      </c>
      <c r="AN221" t="s">
        <v>114</v>
      </c>
      <c r="AO221">
        <v>4</v>
      </c>
      <c r="AP221" t="s">
        <v>115</v>
      </c>
      <c r="AQ221" t="s">
        <v>1192</v>
      </c>
      <c r="AR221" t="s">
        <v>80</v>
      </c>
      <c r="AS221">
        <v>109</v>
      </c>
      <c r="AT221" t="s">
        <v>81</v>
      </c>
      <c r="AU221">
        <v>-12.82</v>
      </c>
      <c r="AV221">
        <v>9.85</v>
      </c>
      <c r="AW221" t="s">
        <v>82</v>
      </c>
      <c r="AX221">
        <v>109</v>
      </c>
      <c r="AY221" t="s">
        <v>81</v>
      </c>
      <c r="AZ221">
        <v>-23.63</v>
      </c>
      <c r="BA221">
        <v>10.79</v>
      </c>
      <c r="BB221" t="s">
        <v>83</v>
      </c>
    </row>
    <row r="222" spans="1:54" x14ac:dyDescent="0.4">
      <c r="A222">
        <v>738863</v>
      </c>
      <c r="D222" t="s">
        <v>54</v>
      </c>
      <c r="E222" t="s">
        <v>152</v>
      </c>
      <c r="G222">
        <v>1</v>
      </c>
      <c r="H222" t="s">
        <v>56</v>
      </c>
      <c r="I222" t="s">
        <v>57</v>
      </c>
      <c r="K222" t="s">
        <v>141</v>
      </c>
      <c r="L222" t="s">
        <v>1548</v>
      </c>
      <c r="M222" t="s">
        <v>60</v>
      </c>
      <c r="P222" t="s">
        <v>62</v>
      </c>
      <c r="R222" t="s">
        <v>63</v>
      </c>
      <c r="S222" t="s">
        <v>64</v>
      </c>
      <c r="T222">
        <v>227</v>
      </c>
      <c r="U222">
        <v>208.5</v>
      </c>
      <c r="V222">
        <f t="shared" si="6"/>
        <v>217.75</v>
      </c>
      <c r="W222">
        <f t="shared" si="7"/>
        <v>18.5</v>
      </c>
      <c r="X222">
        <v>-72.751472000000007</v>
      </c>
      <c r="Y222">
        <v>41.532688</v>
      </c>
      <c r="Z222" t="s">
        <v>124</v>
      </c>
      <c r="AA222" t="s">
        <v>66</v>
      </c>
      <c r="AB222" t="s">
        <v>855</v>
      </c>
      <c r="AC222" t="s">
        <v>856</v>
      </c>
      <c r="AD222" t="s">
        <v>856</v>
      </c>
      <c r="AE222" t="s">
        <v>70</v>
      </c>
      <c r="AH222" t="s">
        <v>72</v>
      </c>
      <c r="AI222" t="s">
        <v>1549</v>
      </c>
      <c r="AJ222">
        <v>2018</v>
      </c>
      <c r="AK222" t="s">
        <v>1550</v>
      </c>
      <c r="AN222" t="s">
        <v>114</v>
      </c>
      <c r="AO222">
        <v>6</v>
      </c>
      <c r="AP222" t="s">
        <v>115</v>
      </c>
      <c r="AQ222" t="s">
        <v>1551</v>
      </c>
      <c r="AR222" t="s">
        <v>80</v>
      </c>
      <c r="AS222">
        <v>101</v>
      </c>
      <c r="AT222" t="s">
        <v>81</v>
      </c>
      <c r="AU222">
        <v>-7.62</v>
      </c>
      <c r="AV222">
        <v>15.14</v>
      </c>
      <c r="AW222" t="s">
        <v>82</v>
      </c>
      <c r="AX222">
        <v>101</v>
      </c>
      <c r="AY222" t="s">
        <v>81</v>
      </c>
      <c r="AZ222">
        <v>-18.61</v>
      </c>
      <c r="BA222">
        <v>16.260000000000002</v>
      </c>
      <c r="BB222" t="s">
        <v>83</v>
      </c>
    </row>
    <row r="223" spans="1:54" x14ac:dyDescent="0.4">
      <c r="A223">
        <v>745263</v>
      </c>
      <c r="D223" t="s">
        <v>54</v>
      </c>
      <c r="G223">
        <v>1</v>
      </c>
      <c r="H223" t="s">
        <v>56</v>
      </c>
      <c r="I223" t="s">
        <v>57</v>
      </c>
      <c r="K223" t="s">
        <v>100</v>
      </c>
      <c r="L223" t="s">
        <v>1582</v>
      </c>
      <c r="M223" t="s">
        <v>60</v>
      </c>
      <c r="P223" t="s">
        <v>62</v>
      </c>
      <c r="R223" t="s">
        <v>63</v>
      </c>
      <c r="S223" t="s">
        <v>64</v>
      </c>
      <c r="T223">
        <v>227</v>
      </c>
      <c r="U223">
        <v>208.5</v>
      </c>
      <c r="V223">
        <f t="shared" si="6"/>
        <v>217.75</v>
      </c>
      <c r="W223">
        <f t="shared" si="7"/>
        <v>18.5</v>
      </c>
      <c r="X223">
        <v>-101.354164</v>
      </c>
      <c r="Y223">
        <v>33.179169000000002</v>
      </c>
      <c r="Z223" t="s">
        <v>124</v>
      </c>
      <c r="AA223" t="s">
        <v>66</v>
      </c>
      <c r="AB223" t="s">
        <v>125</v>
      </c>
      <c r="AC223" t="s">
        <v>199</v>
      </c>
      <c r="AD223" t="s">
        <v>200</v>
      </c>
      <c r="AE223" t="s">
        <v>201</v>
      </c>
      <c r="AH223" t="s">
        <v>72</v>
      </c>
      <c r="AI223" t="s">
        <v>1291</v>
      </c>
      <c r="AJ223">
        <v>1997</v>
      </c>
      <c r="AK223" t="s">
        <v>1583</v>
      </c>
      <c r="AN223" t="s">
        <v>76</v>
      </c>
      <c r="AO223" t="s">
        <v>77</v>
      </c>
      <c r="AP223" t="s">
        <v>636</v>
      </c>
      <c r="AQ223" t="s">
        <v>1584</v>
      </c>
      <c r="AR223" t="s">
        <v>80</v>
      </c>
      <c r="AS223">
        <v>101</v>
      </c>
      <c r="AT223" t="s">
        <v>81</v>
      </c>
      <c r="AU223">
        <v>-30.95</v>
      </c>
      <c r="AV223">
        <v>7.49</v>
      </c>
      <c r="AW223" t="s">
        <v>82</v>
      </c>
      <c r="AX223">
        <v>101</v>
      </c>
      <c r="AY223" t="s">
        <v>81</v>
      </c>
      <c r="AZ223">
        <v>-41.68</v>
      </c>
      <c r="BA223">
        <v>7.76</v>
      </c>
      <c r="BB223" t="s">
        <v>83</v>
      </c>
    </row>
    <row r="224" spans="1:54" x14ac:dyDescent="0.4">
      <c r="A224">
        <v>755503</v>
      </c>
      <c r="D224" t="s">
        <v>167</v>
      </c>
      <c r="E224" t="s">
        <v>55</v>
      </c>
      <c r="G224">
        <v>3</v>
      </c>
      <c r="H224" t="s">
        <v>84</v>
      </c>
      <c r="I224" t="s">
        <v>57</v>
      </c>
      <c r="K224" t="s">
        <v>141</v>
      </c>
      <c r="L224" t="s">
        <v>1303</v>
      </c>
      <c r="M224" t="s">
        <v>60</v>
      </c>
      <c r="P224" t="s">
        <v>62</v>
      </c>
      <c r="R224" t="s">
        <v>63</v>
      </c>
      <c r="S224" t="s">
        <v>64</v>
      </c>
      <c r="T224">
        <v>227</v>
      </c>
      <c r="U224">
        <v>208.5</v>
      </c>
      <c r="V224">
        <f t="shared" si="6"/>
        <v>217.75</v>
      </c>
      <c r="W224">
        <f t="shared" si="7"/>
        <v>18.5</v>
      </c>
      <c r="X224">
        <v>-101.163887</v>
      </c>
      <c r="Y224">
        <v>33.433886999999999</v>
      </c>
      <c r="Z224" t="s">
        <v>171</v>
      </c>
      <c r="AA224" t="s">
        <v>66</v>
      </c>
      <c r="AB224" t="s">
        <v>125</v>
      </c>
      <c r="AC224" t="s">
        <v>172</v>
      </c>
      <c r="AD224" t="s">
        <v>173</v>
      </c>
      <c r="AE224" t="s">
        <v>174</v>
      </c>
      <c r="AH224" t="s">
        <v>72</v>
      </c>
      <c r="AI224" t="s">
        <v>175</v>
      </c>
      <c r="AJ224">
        <v>2004</v>
      </c>
      <c r="AK224" t="s">
        <v>176</v>
      </c>
      <c r="AM224" t="s">
        <v>177</v>
      </c>
      <c r="AN224" t="s">
        <v>76</v>
      </c>
      <c r="AO224" t="s">
        <v>77</v>
      </c>
      <c r="AP224" t="s">
        <v>78</v>
      </c>
      <c r="AQ224" t="s">
        <v>178</v>
      </c>
      <c r="AR224" t="s">
        <v>80</v>
      </c>
      <c r="AS224">
        <v>101</v>
      </c>
      <c r="AT224" t="s">
        <v>81</v>
      </c>
      <c r="AU224">
        <v>-30.75</v>
      </c>
      <c r="AV224">
        <v>7.72</v>
      </c>
      <c r="AW224" t="s">
        <v>82</v>
      </c>
      <c r="AX224">
        <v>101</v>
      </c>
      <c r="AY224" t="s">
        <v>81</v>
      </c>
      <c r="AZ224">
        <v>-41.5</v>
      </c>
      <c r="BA224">
        <v>8</v>
      </c>
      <c r="BB224" t="s">
        <v>83</v>
      </c>
    </row>
    <row r="225" spans="1:54" x14ac:dyDescent="0.4">
      <c r="A225">
        <v>755823</v>
      </c>
      <c r="D225" t="s">
        <v>54</v>
      </c>
      <c r="G225">
        <v>1</v>
      </c>
      <c r="H225" t="s">
        <v>56</v>
      </c>
      <c r="I225" t="s">
        <v>57</v>
      </c>
      <c r="K225" t="s">
        <v>206</v>
      </c>
      <c r="L225" t="s">
        <v>851</v>
      </c>
      <c r="M225" t="s">
        <v>60</v>
      </c>
      <c r="O225" t="s">
        <v>170</v>
      </c>
      <c r="P225" t="s">
        <v>62</v>
      </c>
      <c r="R225" t="s">
        <v>63</v>
      </c>
      <c r="S225" t="s">
        <v>64</v>
      </c>
      <c r="T225">
        <v>227</v>
      </c>
      <c r="U225">
        <v>208.5</v>
      </c>
      <c r="V225">
        <f t="shared" si="6"/>
        <v>217.75</v>
      </c>
      <c r="W225">
        <f t="shared" si="7"/>
        <v>18.5</v>
      </c>
      <c r="X225">
        <v>-106.81405599999999</v>
      </c>
      <c r="Y225">
        <v>36.264758999999998</v>
      </c>
      <c r="Z225" t="s">
        <v>124</v>
      </c>
      <c r="AA225" t="s">
        <v>66</v>
      </c>
      <c r="AB225" t="s">
        <v>846</v>
      </c>
      <c r="AC225" t="s">
        <v>847</v>
      </c>
      <c r="AD225" t="s">
        <v>174</v>
      </c>
      <c r="AF225" t="s">
        <v>749</v>
      </c>
      <c r="AH225" t="s">
        <v>72</v>
      </c>
      <c r="AI225" t="s">
        <v>461</v>
      </c>
      <c r="AJ225">
        <v>1875</v>
      </c>
      <c r="AK225" t="s">
        <v>1670</v>
      </c>
      <c r="AM225" t="s">
        <v>1671</v>
      </c>
      <c r="AN225" t="s">
        <v>76</v>
      </c>
      <c r="AO225">
        <v>5</v>
      </c>
      <c r="AP225" t="s">
        <v>115</v>
      </c>
      <c r="AQ225" t="s">
        <v>1672</v>
      </c>
      <c r="AR225" t="s">
        <v>80</v>
      </c>
      <c r="AS225">
        <v>101</v>
      </c>
      <c r="AT225" t="s">
        <v>81</v>
      </c>
      <c r="AU225">
        <v>-34.93</v>
      </c>
      <c r="AV225">
        <v>11.26</v>
      </c>
      <c r="AW225" t="s">
        <v>82</v>
      </c>
      <c r="AX225">
        <v>133</v>
      </c>
      <c r="AY225" t="s">
        <v>81</v>
      </c>
      <c r="AZ225">
        <v>-49.76</v>
      </c>
      <c r="BA225">
        <v>11.41</v>
      </c>
      <c r="BB225" t="s">
        <v>83</v>
      </c>
    </row>
    <row r="226" spans="1:54" x14ac:dyDescent="0.4">
      <c r="A226">
        <v>755824</v>
      </c>
      <c r="D226" t="s">
        <v>54</v>
      </c>
      <c r="I226" t="s">
        <v>57</v>
      </c>
      <c r="K226" t="s">
        <v>85</v>
      </c>
      <c r="L226" t="s">
        <v>845</v>
      </c>
      <c r="M226" t="s">
        <v>60</v>
      </c>
      <c r="O226" t="s">
        <v>87</v>
      </c>
      <c r="P226" t="s">
        <v>62</v>
      </c>
      <c r="R226" t="s">
        <v>63</v>
      </c>
      <c r="S226" t="s">
        <v>64</v>
      </c>
      <c r="T226">
        <v>227</v>
      </c>
      <c r="U226">
        <v>208.5</v>
      </c>
      <c r="V226">
        <f t="shared" si="6"/>
        <v>217.75</v>
      </c>
      <c r="W226">
        <f t="shared" si="7"/>
        <v>18.5</v>
      </c>
      <c r="X226">
        <v>-106.6241</v>
      </c>
      <c r="Y226">
        <v>36.211799999999997</v>
      </c>
      <c r="Z226" t="s">
        <v>124</v>
      </c>
      <c r="AA226" t="s">
        <v>66</v>
      </c>
      <c r="AB226" t="s">
        <v>846</v>
      </c>
      <c r="AC226" t="s">
        <v>847</v>
      </c>
      <c r="AD226" t="s">
        <v>749</v>
      </c>
      <c r="AE226" t="s">
        <v>174</v>
      </c>
      <c r="AF226" t="s">
        <v>1673</v>
      </c>
      <c r="AH226" t="s">
        <v>72</v>
      </c>
      <c r="AI226" t="s">
        <v>852</v>
      </c>
      <c r="AJ226">
        <v>2005</v>
      </c>
      <c r="AK226" t="s">
        <v>1674</v>
      </c>
      <c r="AN226" t="s">
        <v>76</v>
      </c>
      <c r="AO226">
        <v>4</v>
      </c>
      <c r="AP226" t="s">
        <v>359</v>
      </c>
      <c r="AQ226" t="s">
        <v>1675</v>
      </c>
      <c r="AR226" t="s">
        <v>80</v>
      </c>
      <c r="AS226">
        <v>101</v>
      </c>
      <c r="AT226" t="s">
        <v>81</v>
      </c>
      <c r="AU226">
        <v>-34.79</v>
      </c>
      <c r="AV226">
        <v>11.18</v>
      </c>
      <c r="AW226" t="s">
        <v>82</v>
      </c>
      <c r="AX226">
        <v>133</v>
      </c>
      <c r="AY226" t="s">
        <v>81</v>
      </c>
      <c r="AZ226">
        <v>-49.61</v>
      </c>
      <c r="BA226">
        <v>11.33</v>
      </c>
      <c r="BB226" t="s">
        <v>83</v>
      </c>
    </row>
    <row r="227" spans="1:54" x14ac:dyDescent="0.4">
      <c r="A227">
        <v>755825</v>
      </c>
      <c r="D227" t="s">
        <v>54</v>
      </c>
      <c r="I227" t="s">
        <v>57</v>
      </c>
      <c r="K227" t="s">
        <v>206</v>
      </c>
      <c r="L227" t="s">
        <v>851</v>
      </c>
      <c r="M227" t="s">
        <v>60</v>
      </c>
      <c r="O227" t="s">
        <v>170</v>
      </c>
      <c r="P227" t="s">
        <v>62</v>
      </c>
      <c r="R227" t="s">
        <v>63</v>
      </c>
      <c r="S227" t="s">
        <v>64</v>
      </c>
      <c r="T227">
        <v>227</v>
      </c>
      <c r="U227">
        <v>208.5</v>
      </c>
      <c r="V227">
        <f t="shared" si="6"/>
        <v>217.75</v>
      </c>
      <c r="W227">
        <f t="shared" si="7"/>
        <v>18.5</v>
      </c>
      <c r="X227">
        <v>-106.6241</v>
      </c>
      <c r="Y227">
        <v>36.211799999999997</v>
      </c>
      <c r="Z227" t="s">
        <v>124</v>
      </c>
      <c r="AA227" t="s">
        <v>66</v>
      </c>
      <c r="AB227" t="s">
        <v>846</v>
      </c>
      <c r="AC227" t="s">
        <v>847</v>
      </c>
      <c r="AD227" t="s">
        <v>749</v>
      </c>
      <c r="AE227" t="s">
        <v>174</v>
      </c>
      <c r="AF227" t="s">
        <v>1673</v>
      </c>
      <c r="AH227" t="s">
        <v>72</v>
      </c>
      <c r="AI227" t="s">
        <v>1129</v>
      </c>
      <c r="AJ227">
        <v>2005</v>
      </c>
      <c r="AK227" t="s">
        <v>1674</v>
      </c>
      <c r="AN227" t="s">
        <v>76</v>
      </c>
      <c r="AO227">
        <v>4</v>
      </c>
      <c r="AP227" t="s">
        <v>359</v>
      </c>
      <c r="AQ227" t="s">
        <v>1675</v>
      </c>
      <c r="AR227" t="s">
        <v>80</v>
      </c>
      <c r="AS227">
        <v>101</v>
      </c>
      <c r="AT227" t="s">
        <v>81</v>
      </c>
      <c r="AU227">
        <v>-34.79</v>
      </c>
      <c r="AV227">
        <v>11.18</v>
      </c>
      <c r="AW227" t="s">
        <v>82</v>
      </c>
      <c r="AX227">
        <v>133</v>
      </c>
      <c r="AY227" t="s">
        <v>81</v>
      </c>
      <c r="AZ227">
        <v>-49.61</v>
      </c>
      <c r="BA227">
        <v>11.33</v>
      </c>
      <c r="BB227" t="s">
        <v>83</v>
      </c>
    </row>
    <row r="228" spans="1:54" x14ac:dyDescent="0.4">
      <c r="A228">
        <v>778905</v>
      </c>
      <c r="D228" t="s">
        <v>904</v>
      </c>
      <c r="G228">
        <v>18</v>
      </c>
      <c r="H228" t="s">
        <v>84</v>
      </c>
      <c r="I228" t="s">
        <v>57</v>
      </c>
      <c r="K228" t="s">
        <v>206</v>
      </c>
      <c r="L228" t="s">
        <v>851</v>
      </c>
      <c r="M228" t="s">
        <v>60</v>
      </c>
      <c r="O228" t="s">
        <v>170</v>
      </c>
      <c r="P228" t="s">
        <v>62</v>
      </c>
      <c r="R228" t="s">
        <v>63</v>
      </c>
      <c r="S228" t="s">
        <v>64</v>
      </c>
      <c r="T228">
        <v>227</v>
      </c>
      <c r="U228">
        <v>208.5</v>
      </c>
      <c r="V228">
        <f t="shared" si="6"/>
        <v>217.75</v>
      </c>
      <c r="W228">
        <f t="shared" si="7"/>
        <v>18.5</v>
      </c>
      <c r="X228">
        <v>-103.379997</v>
      </c>
      <c r="Y228">
        <v>35.365276000000001</v>
      </c>
      <c r="Z228" t="s">
        <v>582</v>
      </c>
      <c r="AA228" t="s">
        <v>66</v>
      </c>
      <c r="AB228" t="s">
        <v>846</v>
      </c>
      <c r="AC228" t="s">
        <v>906</v>
      </c>
      <c r="AD228" t="s">
        <v>907</v>
      </c>
      <c r="AE228" t="s">
        <v>201</v>
      </c>
      <c r="AH228" t="s">
        <v>72</v>
      </c>
      <c r="AI228" t="s">
        <v>908</v>
      </c>
      <c r="AJ228">
        <v>2001</v>
      </c>
      <c r="AK228" t="s">
        <v>909</v>
      </c>
      <c r="AN228" t="s">
        <v>76</v>
      </c>
      <c r="AO228" t="s">
        <v>77</v>
      </c>
      <c r="AP228" t="s">
        <v>78</v>
      </c>
      <c r="AQ228" t="s">
        <v>910</v>
      </c>
      <c r="AR228" t="s">
        <v>80</v>
      </c>
      <c r="AS228">
        <v>101</v>
      </c>
      <c r="AT228" t="s">
        <v>81</v>
      </c>
      <c r="AU228">
        <v>-32.29</v>
      </c>
      <c r="AV228">
        <v>9.9</v>
      </c>
      <c r="AW228" t="s">
        <v>82</v>
      </c>
      <c r="AX228">
        <v>101</v>
      </c>
      <c r="AY228" t="s">
        <v>81</v>
      </c>
      <c r="AZ228">
        <v>-43.13</v>
      </c>
      <c r="BA228">
        <v>10.11</v>
      </c>
      <c r="BB228" t="s">
        <v>83</v>
      </c>
    </row>
    <row r="229" spans="1:54" x14ac:dyDescent="0.4">
      <c r="A229">
        <v>778927</v>
      </c>
      <c r="D229" t="s">
        <v>54</v>
      </c>
      <c r="I229" t="s">
        <v>57</v>
      </c>
      <c r="K229" t="s">
        <v>741</v>
      </c>
      <c r="L229" t="s">
        <v>854</v>
      </c>
      <c r="M229" t="s">
        <v>60</v>
      </c>
      <c r="N229" t="s">
        <v>256</v>
      </c>
      <c r="O229" t="s">
        <v>87</v>
      </c>
      <c r="P229" t="s">
        <v>62</v>
      </c>
      <c r="R229" t="s">
        <v>63</v>
      </c>
      <c r="S229" t="s">
        <v>64</v>
      </c>
      <c r="T229">
        <v>227</v>
      </c>
      <c r="U229">
        <v>208.5</v>
      </c>
      <c r="V229">
        <f t="shared" si="6"/>
        <v>217.75</v>
      </c>
      <c r="W229">
        <f t="shared" si="7"/>
        <v>18.5</v>
      </c>
      <c r="X229">
        <v>-104.150558</v>
      </c>
      <c r="Y229">
        <v>34.979168000000001</v>
      </c>
      <c r="Z229" t="s">
        <v>886</v>
      </c>
      <c r="AA229" t="s">
        <v>66</v>
      </c>
      <c r="AB229" t="s">
        <v>846</v>
      </c>
      <c r="AC229" t="s">
        <v>1232</v>
      </c>
      <c r="AD229" t="s">
        <v>907</v>
      </c>
      <c r="AE229" t="s">
        <v>201</v>
      </c>
      <c r="AH229" t="s">
        <v>11</v>
      </c>
      <c r="AI229" t="s">
        <v>1710</v>
      </c>
      <c r="AJ229">
        <v>1986</v>
      </c>
      <c r="AK229" t="s">
        <v>1233</v>
      </c>
      <c r="AM229" t="s">
        <v>1234</v>
      </c>
      <c r="AN229" t="s">
        <v>76</v>
      </c>
      <c r="AO229" t="s">
        <v>77</v>
      </c>
      <c r="AP229" t="s">
        <v>115</v>
      </c>
      <c r="AQ229" t="s">
        <v>1235</v>
      </c>
      <c r="AR229" t="s">
        <v>80</v>
      </c>
      <c r="AS229">
        <v>101</v>
      </c>
      <c r="AT229" t="s">
        <v>81</v>
      </c>
      <c r="AU229">
        <v>-32.99</v>
      </c>
      <c r="AV229">
        <v>9.6199999999999992</v>
      </c>
      <c r="AW229" t="s">
        <v>82</v>
      </c>
      <c r="AX229">
        <v>101</v>
      </c>
      <c r="AY229" t="s">
        <v>81</v>
      </c>
      <c r="AZ229">
        <v>-43.81</v>
      </c>
      <c r="BA229">
        <v>9.81</v>
      </c>
      <c r="BB229" t="s">
        <v>83</v>
      </c>
    </row>
    <row r="230" spans="1:54" x14ac:dyDescent="0.4">
      <c r="A230">
        <v>778940</v>
      </c>
      <c r="D230" t="s">
        <v>54</v>
      </c>
      <c r="G230">
        <v>1</v>
      </c>
      <c r="H230" t="s">
        <v>56</v>
      </c>
      <c r="I230" t="s">
        <v>57</v>
      </c>
      <c r="K230" t="s">
        <v>85</v>
      </c>
      <c r="L230" t="s">
        <v>845</v>
      </c>
      <c r="M230" t="s">
        <v>60</v>
      </c>
      <c r="O230" t="s">
        <v>87</v>
      </c>
      <c r="P230" t="s">
        <v>62</v>
      </c>
      <c r="R230" t="s">
        <v>63</v>
      </c>
      <c r="S230" t="s">
        <v>64</v>
      </c>
      <c r="T230">
        <v>227</v>
      </c>
      <c r="U230">
        <v>208.5</v>
      </c>
      <c r="V230">
        <f t="shared" si="6"/>
        <v>217.75</v>
      </c>
      <c r="W230">
        <f t="shared" si="7"/>
        <v>18.5</v>
      </c>
      <c r="X230">
        <v>-103.332497</v>
      </c>
      <c r="Y230">
        <v>34.978332999999999</v>
      </c>
      <c r="Z230" t="s">
        <v>198</v>
      </c>
      <c r="AA230" t="s">
        <v>66</v>
      </c>
      <c r="AB230" t="s">
        <v>846</v>
      </c>
      <c r="AC230" t="s">
        <v>906</v>
      </c>
      <c r="AD230" t="s">
        <v>1711</v>
      </c>
      <c r="AE230" t="s">
        <v>174</v>
      </c>
      <c r="AF230" t="s">
        <v>1712</v>
      </c>
      <c r="AH230" t="s">
        <v>72</v>
      </c>
      <c r="AI230" t="s">
        <v>779</v>
      </c>
      <c r="AJ230">
        <v>1993</v>
      </c>
      <c r="AK230" t="s">
        <v>1713</v>
      </c>
      <c r="AM230" t="s">
        <v>1714</v>
      </c>
      <c r="AN230" t="s">
        <v>76</v>
      </c>
      <c r="AO230" t="s">
        <v>77</v>
      </c>
      <c r="AP230" t="s">
        <v>78</v>
      </c>
      <c r="AQ230" t="s">
        <v>1715</v>
      </c>
      <c r="AR230" t="s">
        <v>80</v>
      </c>
      <c r="AS230">
        <v>101</v>
      </c>
      <c r="AT230" t="s">
        <v>81</v>
      </c>
      <c r="AU230">
        <v>-32.32</v>
      </c>
      <c r="AV230">
        <v>9.52</v>
      </c>
      <c r="AW230" t="s">
        <v>82</v>
      </c>
      <c r="AX230">
        <v>101</v>
      </c>
      <c r="AY230" t="s">
        <v>81</v>
      </c>
      <c r="AZ230">
        <v>-43.13</v>
      </c>
      <c r="BA230">
        <v>9.73</v>
      </c>
      <c r="BB230" t="s">
        <v>83</v>
      </c>
    </row>
    <row r="231" spans="1:54" x14ac:dyDescent="0.4">
      <c r="A231">
        <v>778944</v>
      </c>
      <c r="D231" t="s">
        <v>54</v>
      </c>
      <c r="I231" t="s">
        <v>57</v>
      </c>
      <c r="K231" t="s">
        <v>85</v>
      </c>
      <c r="L231" t="s">
        <v>845</v>
      </c>
      <c r="M231" t="s">
        <v>60</v>
      </c>
      <c r="O231" t="s">
        <v>87</v>
      </c>
      <c r="P231" t="s">
        <v>62</v>
      </c>
      <c r="R231" t="s">
        <v>63</v>
      </c>
      <c r="S231" t="s">
        <v>64</v>
      </c>
      <c r="T231">
        <v>227</v>
      </c>
      <c r="U231">
        <v>208.5</v>
      </c>
      <c r="V231">
        <f t="shared" si="6"/>
        <v>217.75</v>
      </c>
      <c r="W231">
        <f t="shared" si="7"/>
        <v>18.5</v>
      </c>
      <c r="X231">
        <v>-103.433334</v>
      </c>
      <c r="Y231">
        <v>34.943610999999997</v>
      </c>
      <c r="Z231" t="s">
        <v>886</v>
      </c>
      <c r="AA231" t="s">
        <v>66</v>
      </c>
      <c r="AB231" t="s">
        <v>846</v>
      </c>
      <c r="AC231" t="s">
        <v>906</v>
      </c>
      <c r="AD231" t="s">
        <v>1711</v>
      </c>
      <c r="AE231" t="s">
        <v>174</v>
      </c>
      <c r="AF231" t="s">
        <v>1712</v>
      </c>
      <c r="AH231" t="s">
        <v>72</v>
      </c>
      <c r="AI231" t="s">
        <v>1716</v>
      </c>
      <c r="AJ231">
        <v>2012</v>
      </c>
      <c r="AK231" t="s">
        <v>1717</v>
      </c>
      <c r="AM231" t="s">
        <v>1718</v>
      </c>
      <c r="AN231" t="s">
        <v>76</v>
      </c>
      <c r="AO231" t="s">
        <v>77</v>
      </c>
      <c r="AP231" t="s">
        <v>78</v>
      </c>
      <c r="AQ231" t="s">
        <v>1719</v>
      </c>
      <c r="AR231" t="s">
        <v>80</v>
      </c>
      <c r="AS231">
        <v>101</v>
      </c>
      <c r="AT231" t="s">
        <v>81</v>
      </c>
      <c r="AU231">
        <v>-32.4</v>
      </c>
      <c r="AV231">
        <v>9.49</v>
      </c>
      <c r="AW231" t="s">
        <v>82</v>
      </c>
      <c r="AX231">
        <v>101</v>
      </c>
      <c r="AY231" t="s">
        <v>81</v>
      </c>
      <c r="AZ231">
        <v>-43.22</v>
      </c>
      <c r="BA231">
        <v>9.6999999999999993</v>
      </c>
      <c r="BB231" t="s">
        <v>83</v>
      </c>
    </row>
    <row r="232" spans="1:54" x14ac:dyDescent="0.4">
      <c r="A232">
        <v>778949</v>
      </c>
      <c r="D232" t="s">
        <v>54</v>
      </c>
      <c r="G232">
        <v>19</v>
      </c>
      <c r="H232" t="s">
        <v>84</v>
      </c>
      <c r="I232" t="s">
        <v>57</v>
      </c>
      <c r="K232" t="s">
        <v>206</v>
      </c>
      <c r="L232" t="s">
        <v>1720</v>
      </c>
      <c r="M232" t="s">
        <v>60</v>
      </c>
      <c r="O232" t="s">
        <v>170</v>
      </c>
      <c r="P232" t="s">
        <v>62</v>
      </c>
      <c r="R232" t="s">
        <v>63</v>
      </c>
      <c r="S232" t="s">
        <v>64</v>
      </c>
      <c r="T232">
        <v>227</v>
      </c>
      <c r="U232">
        <v>208.5</v>
      </c>
      <c r="V232">
        <f t="shared" si="6"/>
        <v>217.75</v>
      </c>
      <c r="W232">
        <f t="shared" si="7"/>
        <v>18.5</v>
      </c>
      <c r="X232">
        <v>-103.433334</v>
      </c>
      <c r="Y232">
        <v>34.943610999999997</v>
      </c>
      <c r="Z232" t="s">
        <v>886</v>
      </c>
      <c r="AA232" t="s">
        <v>66</v>
      </c>
      <c r="AB232" t="s">
        <v>846</v>
      </c>
      <c r="AC232" t="s">
        <v>906</v>
      </c>
      <c r="AD232" t="s">
        <v>1711</v>
      </c>
      <c r="AE232" t="s">
        <v>174</v>
      </c>
      <c r="AF232" t="s">
        <v>1712</v>
      </c>
      <c r="AH232" t="s">
        <v>72</v>
      </c>
      <c r="AI232" t="s">
        <v>779</v>
      </c>
      <c r="AJ232">
        <v>1991</v>
      </c>
      <c r="AK232" t="s">
        <v>1717</v>
      </c>
      <c r="AM232" t="s">
        <v>1718</v>
      </c>
      <c r="AN232" t="s">
        <v>76</v>
      </c>
      <c r="AO232" t="s">
        <v>77</v>
      </c>
      <c r="AP232" t="s">
        <v>78</v>
      </c>
      <c r="AQ232" t="s">
        <v>1719</v>
      </c>
      <c r="AR232" t="s">
        <v>80</v>
      </c>
      <c r="AS232">
        <v>101</v>
      </c>
      <c r="AT232" t="s">
        <v>81</v>
      </c>
      <c r="AU232">
        <v>-32.4</v>
      </c>
      <c r="AV232">
        <v>9.49</v>
      </c>
      <c r="AW232" t="s">
        <v>82</v>
      </c>
      <c r="AX232">
        <v>101</v>
      </c>
      <c r="AY232" t="s">
        <v>81</v>
      </c>
      <c r="AZ232">
        <v>-43.22</v>
      </c>
      <c r="BA232">
        <v>9.6999999999999993</v>
      </c>
      <c r="BB232" t="s">
        <v>83</v>
      </c>
    </row>
    <row r="233" spans="1:54" x14ac:dyDescent="0.4">
      <c r="A233">
        <v>780614</v>
      </c>
      <c r="D233" t="s">
        <v>54</v>
      </c>
      <c r="G233">
        <v>1</v>
      </c>
      <c r="H233" t="s">
        <v>84</v>
      </c>
      <c r="I233" t="s">
        <v>57</v>
      </c>
      <c r="K233" t="s">
        <v>206</v>
      </c>
      <c r="L233" t="s">
        <v>851</v>
      </c>
      <c r="M233" t="s">
        <v>60</v>
      </c>
      <c r="O233" t="s">
        <v>170</v>
      </c>
      <c r="P233" t="s">
        <v>62</v>
      </c>
      <c r="R233" t="s">
        <v>63</v>
      </c>
      <c r="S233" t="s">
        <v>64</v>
      </c>
      <c r="T233">
        <v>227</v>
      </c>
      <c r="U233">
        <v>208.5</v>
      </c>
      <c r="V233">
        <f t="shared" si="6"/>
        <v>217.75</v>
      </c>
      <c r="W233">
        <f t="shared" si="7"/>
        <v>18.5</v>
      </c>
      <c r="X233">
        <v>-111.24722300000001</v>
      </c>
      <c r="Y233">
        <v>35.841667000000001</v>
      </c>
      <c r="Z233" t="s">
        <v>432</v>
      </c>
      <c r="AA233" t="s">
        <v>66</v>
      </c>
      <c r="AB233" t="s">
        <v>583</v>
      </c>
      <c r="AC233" t="s">
        <v>807</v>
      </c>
      <c r="AD233" t="s">
        <v>174</v>
      </c>
      <c r="AF233" t="s">
        <v>1724</v>
      </c>
      <c r="AH233" t="s">
        <v>72</v>
      </c>
      <c r="AI233" t="s">
        <v>1725</v>
      </c>
      <c r="AJ233">
        <v>1991</v>
      </c>
      <c r="AK233" t="s">
        <v>1726</v>
      </c>
      <c r="AN233" t="s">
        <v>192</v>
      </c>
      <c r="AO233" t="s">
        <v>77</v>
      </c>
      <c r="AP233" t="s">
        <v>115</v>
      </c>
      <c r="AQ233" t="s">
        <v>1727</v>
      </c>
      <c r="AR233" t="s">
        <v>80</v>
      </c>
      <c r="AS233">
        <v>101</v>
      </c>
      <c r="AT233" t="s">
        <v>81</v>
      </c>
      <c r="AU233">
        <v>-38.6</v>
      </c>
      <c r="AV233">
        <v>11.56</v>
      </c>
      <c r="AW233" t="s">
        <v>82</v>
      </c>
      <c r="AX233">
        <v>133</v>
      </c>
      <c r="AY233" t="s">
        <v>81</v>
      </c>
      <c r="AZ233">
        <v>-53.44</v>
      </c>
      <c r="BA233">
        <v>11.6</v>
      </c>
      <c r="BB233" t="s">
        <v>83</v>
      </c>
    </row>
    <row r="234" spans="1:54" x14ac:dyDescent="0.4">
      <c r="A234">
        <v>780615</v>
      </c>
      <c r="D234" t="s">
        <v>54</v>
      </c>
      <c r="I234" t="s">
        <v>57</v>
      </c>
      <c r="K234" t="s">
        <v>85</v>
      </c>
      <c r="L234" t="s">
        <v>845</v>
      </c>
      <c r="M234" t="s">
        <v>60</v>
      </c>
      <c r="O234" t="s">
        <v>87</v>
      </c>
      <c r="P234" t="s">
        <v>62</v>
      </c>
      <c r="R234" t="s">
        <v>63</v>
      </c>
      <c r="S234" t="s">
        <v>64</v>
      </c>
      <c r="T234">
        <v>227</v>
      </c>
      <c r="U234">
        <v>208.5</v>
      </c>
      <c r="V234">
        <f t="shared" si="6"/>
        <v>217.75</v>
      </c>
      <c r="W234">
        <f t="shared" si="7"/>
        <v>18.5</v>
      </c>
      <c r="X234">
        <v>-111.24722300000001</v>
      </c>
      <c r="Y234">
        <v>35.841667000000001</v>
      </c>
      <c r="Z234" t="s">
        <v>432</v>
      </c>
      <c r="AA234" t="s">
        <v>66</v>
      </c>
      <c r="AB234" t="s">
        <v>583</v>
      </c>
      <c r="AC234" t="s">
        <v>807</v>
      </c>
      <c r="AD234" t="s">
        <v>174</v>
      </c>
      <c r="AF234" t="s">
        <v>1724</v>
      </c>
      <c r="AH234" t="s">
        <v>72</v>
      </c>
      <c r="AI234" t="s">
        <v>1728</v>
      </c>
      <c r="AJ234">
        <v>2007</v>
      </c>
      <c r="AK234" t="s">
        <v>1726</v>
      </c>
      <c r="AN234" t="s">
        <v>192</v>
      </c>
      <c r="AO234" t="s">
        <v>77</v>
      </c>
      <c r="AP234" t="s">
        <v>115</v>
      </c>
      <c r="AQ234" t="s">
        <v>1727</v>
      </c>
      <c r="AR234" t="s">
        <v>80</v>
      </c>
      <c r="AS234">
        <v>101</v>
      </c>
      <c r="AT234" t="s">
        <v>81</v>
      </c>
      <c r="AU234">
        <v>-38.6</v>
      </c>
      <c r="AV234">
        <v>11.56</v>
      </c>
      <c r="AW234" t="s">
        <v>82</v>
      </c>
      <c r="AX234">
        <v>133</v>
      </c>
      <c r="AY234" t="s">
        <v>81</v>
      </c>
      <c r="AZ234">
        <v>-53.44</v>
      </c>
      <c r="BA234">
        <v>11.6</v>
      </c>
      <c r="BB234" t="s">
        <v>83</v>
      </c>
    </row>
    <row r="235" spans="1:54" x14ac:dyDescent="0.4">
      <c r="A235">
        <v>780616</v>
      </c>
      <c r="D235" t="s">
        <v>54</v>
      </c>
      <c r="I235" t="s">
        <v>57</v>
      </c>
      <c r="K235" t="s">
        <v>85</v>
      </c>
      <c r="L235" t="s">
        <v>845</v>
      </c>
      <c r="M235" t="s">
        <v>60</v>
      </c>
      <c r="O235" t="s">
        <v>87</v>
      </c>
      <c r="P235" t="s">
        <v>62</v>
      </c>
      <c r="R235" t="s">
        <v>63</v>
      </c>
      <c r="S235" t="s">
        <v>64</v>
      </c>
      <c r="T235">
        <v>227</v>
      </c>
      <c r="U235">
        <v>208.5</v>
      </c>
      <c r="V235">
        <f t="shared" si="6"/>
        <v>217.75</v>
      </c>
      <c r="W235">
        <f t="shared" si="7"/>
        <v>18.5</v>
      </c>
      <c r="X235">
        <v>-111.24722300000001</v>
      </c>
      <c r="Y235">
        <v>35.841667000000001</v>
      </c>
      <c r="Z235" t="s">
        <v>432</v>
      </c>
      <c r="AA235" t="s">
        <v>66</v>
      </c>
      <c r="AB235" t="s">
        <v>583</v>
      </c>
      <c r="AC235" t="s">
        <v>807</v>
      </c>
      <c r="AD235" t="s">
        <v>174</v>
      </c>
      <c r="AF235" t="s">
        <v>1724</v>
      </c>
      <c r="AH235" t="s">
        <v>72</v>
      </c>
      <c r="AI235" t="s">
        <v>1728</v>
      </c>
      <c r="AJ235">
        <v>2007</v>
      </c>
      <c r="AK235" t="s">
        <v>1726</v>
      </c>
      <c r="AN235" t="s">
        <v>192</v>
      </c>
      <c r="AO235" t="s">
        <v>77</v>
      </c>
      <c r="AP235" t="s">
        <v>115</v>
      </c>
      <c r="AQ235" t="s">
        <v>1727</v>
      </c>
      <c r="AR235" t="s">
        <v>80</v>
      </c>
      <c r="AS235">
        <v>101</v>
      </c>
      <c r="AT235" t="s">
        <v>81</v>
      </c>
      <c r="AU235">
        <v>-38.6</v>
      </c>
      <c r="AV235">
        <v>11.56</v>
      </c>
      <c r="AW235" t="s">
        <v>82</v>
      </c>
      <c r="AX235">
        <v>133</v>
      </c>
      <c r="AY235" t="s">
        <v>81</v>
      </c>
      <c r="AZ235">
        <v>-53.44</v>
      </c>
      <c r="BA235">
        <v>11.6</v>
      </c>
      <c r="BB235" t="s">
        <v>83</v>
      </c>
    </row>
    <row r="236" spans="1:54" x14ac:dyDescent="0.4">
      <c r="A236">
        <v>780672</v>
      </c>
      <c r="D236" t="s">
        <v>54</v>
      </c>
      <c r="G236">
        <v>8</v>
      </c>
      <c r="H236" t="s">
        <v>421</v>
      </c>
      <c r="I236" t="s">
        <v>57</v>
      </c>
      <c r="K236" t="s">
        <v>196</v>
      </c>
      <c r="L236" t="s">
        <v>197</v>
      </c>
      <c r="M236" t="s">
        <v>60</v>
      </c>
      <c r="O236" t="s">
        <v>87</v>
      </c>
      <c r="P236" t="s">
        <v>62</v>
      </c>
      <c r="R236" t="s">
        <v>63</v>
      </c>
      <c r="S236" t="s">
        <v>64</v>
      </c>
      <c r="T236">
        <v>227</v>
      </c>
      <c r="U236">
        <v>208.5</v>
      </c>
      <c r="V236">
        <f t="shared" si="6"/>
        <v>217.75</v>
      </c>
      <c r="W236">
        <f t="shared" si="7"/>
        <v>18.5</v>
      </c>
      <c r="X236">
        <v>-111.116669</v>
      </c>
      <c r="Y236">
        <v>35.650002000000001</v>
      </c>
      <c r="Z236" t="s">
        <v>356</v>
      </c>
      <c r="AA236" t="s">
        <v>66</v>
      </c>
      <c r="AB236" t="s">
        <v>583</v>
      </c>
      <c r="AC236" t="s">
        <v>807</v>
      </c>
      <c r="AD236" t="s">
        <v>174</v>
      </c>
      <c r="AF236" t="s">
        <v>1724</v>
      </c>
      <c r="AH236" t="s">
        <v>11</v>
      </c>
      <c r="AI236" t="s">
        <v>1725</v>
      </c>
      <c r="AJ236">
        <v>1991</v>
      </c>
      <c r="AK236" t="s">
        <v>1742</v>
      </c>
      <c r="AM236" t="s">
        <v>1738</v>
      </c>
      <c r="AN236" t="s">
        <v>192</v>
      </c>
      <c r="AO236" t="s">
        <v>160</v>
      </c>
      <c r="AP236" t="s">
        <v>115</v>
      </c>
      <c r="AQ236" t="s">
        <v>1743</v>
      </c>
      <c r="AR236" t="s">
        <v>80</v>
      </c>
      <c r="AS236">
        <v>101</v>
      </c>
      <c r="AT236" t="s">
        <v>81</v>
      </c>
      <c r="AU236">
        <v>-38.54</v>
      </c>
      <c r="AV236">
        <v>11.35</v>
      </c>
      <c r="AW236" t="s">
        <v>82</v>
      </c>
      <c r="AX236">
        <v>133</v>
      </c>
      <c r="AY236" t="s">
        <v>81</v>
      </c>
      <c r="AZ236">
        <v>-53.37</v>
      </c>
      <c r="BA236">
        <v>11.39</v>
      </c>
      <c r="BB236" t="s">
        <v>83</v>
      </c>
    </row>
    <row r="237" spans="1:54" x14ac:dyDescent="0.4">
      <c r="A237">
        <v>780673</v>
      </c>
      <c r="D237" t="s">
        <v>54</v>
      </c>
      <c r="I237" t="s">
        <v>57</v>
      </c>
      <c r="K237" t="s">
        <v>767</v>
      </c>
      <c r="L237" t="s">
        <v>768</v>
      </c>
      <c r="M237" t="s">
        <v>60</v>
      </c>
      <c r="N237" t="s">
        <v>119</v>
      </c>
      <c r="O237" t="s">
        <v>87</v>
      </c>
      <c r="P237" t="s">
        <v>62</v>
      </c>
      <c r="R237" t="s">
        <v>63</v>
      </c>
      <c r="S237" t="s">
        <v>64</v>
      </c>
      <c r="T237">
        <v>227</v>
      </c>
      <c r="U237">
        <v>208.5</v>
      </c>
      <c r="V237">
        <f t="shared" si="6"/>
        <v>217.75</v>
      </c>
      <c r="W237">
        <f t="shared" si="7"/>
        <v>18.5</v>
      </c>
      <c r="X237">
        <v>-111.116669</v>
      </c>
      <c r="Y237">
        <v>35.650002000000001</v>
      </c>
      <c r="Z237" t="s">
        <v>356</v>
      </c>
      <c r="AA237" t="s">
        <v>66</v>
      </c>
      <c r="AB237" t="s">
        <v>583</v>
      </c>
      <c r="AC237" t="s">
        <v>807</v>
      </c>
      <c r="AD237" t="s">
        <v>174</v>
      </c>
      <c r="AF237" t="s">
        <v>1724</v>
      </c>
      <c r="AH237" t="s">
        <v>11</v>
      </c>
      <c r="AI237" t="s">
        <v>1725</v>
      </c>
      <c r="AJ237">
        <v>1993</v>
      </c>
      <c r="AK237" t="s">
        <v>1742</v>
      </c>
      <c r="AM237" t="s">
        <v>1738</v>
      </c>
      <c r="AN237" t="s">
        <v>192</v>
      </c>
      <c r="AO237" t="s">
        <v>160</v>
      </c>
      <c r="AP237" t="s">
        <v>115</v>
      </c>
      <c r="AQ237" t="s">
        <v>1743</v>
      </c>
      <c r="AR237" t="s">
        <v>80</v>
      </c>
      <c r="AS237">
        <v>101</v>
      </c>
      <c r="AT237" t="s">
        <v>81</v>
      </c>
      <c r="AU237">
        <v>-38.54</v>
      </c>
      <c r="AV237">
        <v>11.35</v>
      </c>
      <c r="AW237" t="s">
        <v>82</v>
      </c>
      <c r="AX237">
        <v>133</v>
      </c>
      <c r="AY237" t="s">
        <v>81</v>
      </c>
      <c r="AZ237">
        <v>-53.37</v>
      </c>
      <c r="BA237">
        <v>11.39</v>
      </c>
      <c r="BB237" t="s">
        <v>83</v>
      </c>
    </row>
    <row r="238" spans="1:54" x14ac:dyDescent="0.4">
      <c r="A238">
        <v>780674</v>
      </c>
      <c r="D238" t="s">
        <v>54</v>
      </c>
      <c r="G238">
        <v>33</v>
      </c>
      <c r="H238" t="s">
        <v>421</v>
      </c>
      <c r="I238" t="s">
        <v>57</v>
      </c>
      <c r="K238" t="s">
        <v>206</v>
      </c>
      <c r="L238" t="s">
        <v>851</v>
      </c>
      <c r="M238" t="s">
        <v>60</v>
      </c>
      <c r="O238" t="s">
        <v>170</v>
      </c>
      <c r="P238" t="s">
        <v>62</v>
      </c>
      <c r="R238" t="s">
        <v>63</v>
      </c>
      <c r="S238" t="s">
        <v>64</v>
      </c>
      <c r="T238">
        <v>227</v>
      </c>
      <c r="U238">
        <v>208.5</v>
      </c>
      <c r="V238">
        <f t="shared" si="6"/>
        <v>217.75</v>
      </c>
      <c r="W238">
        <f t="shared" si="7"/>
        <v>18.5</v>
      </c>
      <c r="X238">
        <v>-111.116669</v>
      </c>
      <c r="Y238">
        <v>35.650002000000001</v>
      </c>
      <c r="Z238" t="s">
        <v>356</v>
      </c>
      <c r="AA238" t="s">
        <v>66</v>
      </c>
      <c r="AB238" t="s">
        <v>583</v>
      </c>
      <c r="AC238" t="s">
        <v>807</v>
      </c>
      <c r="AD238" t="s">
        <v>174</v>
      </c>
      <c r="AF238" t="s">
        <v>1724</v>
      </c>
      <c r="AH238" t="s">
        <v>72</v>
      </c>
      <c r="AI238" t="s">
        <v>1725</v>
      </c>
      <c r="AJ238">
        <v>1991</v>
      </c>
      <c r="AK238" t="s">
        <v>1742</v>
      </c>
      <c r="AM238" t="s">
        <v>1738</v>
      </c>
      <c r="AN238" t="s">
        <v>192</v>
      </c>
      <c r="AO238" t="s">
        <v>160</v>
      </c>
      <c r="AP238" t="s">
        <v>115</v>
      </c>
      <c r="AQ238" t="s">
        <v>1743</v>
      </c>
      <c r="AR238" t="s">
        <v>80</v>
      </c>
      <c r="AS238">
        <v>101</v>
      </c>
      <c r="AT238" t="s">
        <v>81</v>
      </c>
      <c r="AU238">
        <v>-38.54</v>
      </c>
      <c r="AV238">
        <v>11.35</v>
      </c>
      <c r="AW238" t="s">
        <v>82</v>
      </c>
      <c r="AX238">
        <v>133</v>
      </c>
      <c r="AY238" t="s">
        <v>81</v>
      </c>
      <c r="AZ238">
        <v>-53.37</v>
      </c>
      <c r="BA238">
        <v>11.39</v>
      </c>
      <c r="BB238" t="s">
        <v>83</v>
      </c>
    </row>
    <row r="239" spans="1:54" x14ac:dyDescent="0.4">
      <c r="A239">
        <v>780675</v>
      </c>
      <c r="D239" t="s">
        <v>54</v>
      </c>
      <c r="G239">
        <v>1</v>
      </c>
      <c r="H239" t="s">
        <v>56</v>
      </c>
      <c r="I239" t="s">
        <v>57</v>
      </c>
      <c r="K239" t="s">
        <v>85</v>
      </c>
      <c r="L239" t="s">
        <v>845</v>
      </c>
      <c r="M239" t="s">
        <v>60</v>
      </c>
      <c r="O239" t="s">
        <v>87</v>
      </c>
      <c r="P239" t="s">
        <v>62</v>
      </c>
      <c r="R239" t="s">
        <v>63</v>
      </c>
      <c r="S239" t="s">
        <v>64</v>
      </c>
      <c r="T239">
        <v>227</v>
      </c>
      <c r="U239">
        <v>208.5</v>
      </c>
      <c r="V239">
        <f t="shared" si="6"/>
        <v>217.75</v>
      </c>
      <c r="W239">
        <f t="shared" si="7"/>
        <v>18.5</v>
      </c>
      <c r="X239">
        <v>-111.116669</v>
      </c>
      <c r="Y239">
        <v>35.650002000000001</v>
      </c>
      <c r="Z239" t="s">
        <v>356</v>
      </c>
      <c r="AA239" t="s">
        <v>66</v>
      </c>
      <c r="AB239" t="s">
        <v>583</v>
      </c>
      <c r="AC239" t="s">
        <v>807</v>
      </c>
      <c r="AD239" t="s">
        <v>174</v>
      </c>
      <c r="AF239" t="s">
        <v>1724</v>
      </c>
      <c r="AH239" t="s">
        <v>72</v>
      </c>
      <c r="AI239" t="s">
        <v>1728</v>
      </c>
      <c r="AJ239">
        <v>2007</v>
      </c>
      <c r="AK239" t="s">
        <v>1742</v>
      </c>
      <c r="AM239" t="s">
        <v>1738</v>
      </c>
      <c r="AN239" t="s">
        <v>192</v>
      </c>
      <c r="AO239" t="s">
        <v>160</v>
      </c>
      <c r="AP239" t="s">
        <v>115</v>
      </c>
      <c r="AQ239" t="s">
        <v>1743</v>
      </c>
      <c r="AR239" t="s">
        <v>80</v>
      </c>
      <c r="AS239">
        <v>101</v>
      </c>
      <c r="AT239" t="s">
        <v>81</v>
      </c>
      <c r="AU239">
        <v>-38.54</v>
      </c>
      <c r="AV239">
        <v>11.35</v>
      </c>
      <c r="AW239" t="s">
        <v>82</v>
      </c>
      <c r="AX239">
        <v>133</v>
      </c>
      <c r="AY239" t="s">
        <v>81</v>
      </c>
      <c r="AZ239">
        <v>-53.37</v>
      </c>
      <c r="BA239">
        <v>11.39</v>
      </c>
      <c r="BB239" t="s">
        <v>83</v>
      </c>
    </row>
    <row r="240" spans="1:54" x14ac:dyDescent="0.4">
      <c r="A240">
        <v>780675</v>
      </c>
      <c r="D240" t="s">
        <v>54</v>
      </c>
      <c r="G240">
        <v>1</v>
      </c>
      <c r="H240" t="s">
        <v>56</v>
      </c>
      <c r="I240" t="s">
        <v>57</v>
      </c>
      <c r="K240" t="s">
        <v>85</v>
      </c>
      <c r="L240" t="s">
        <v>845</v>
      </c>
      <c r="M240" t="s">
        <v>60</v>
      </c>
      <c r="O240" t="s">
        <v>87</v>
      </c>
      <c r="P240" t="s">
        <v>62</v>
      </c>
      <c r="R240" t="s">
        <v>63</v>
      </c>
      <c r="S240" t="s">
        <v>64</v>
      </c>
      <c r="T240">
        <v>227</v>
      </c>
      <c r="U240">
        <v>208.5</v>
      </c>
      <c r="V240">
        <f t="shared" si="6"/>
        <v>217.75</v>
      </c>
      <c r="W240">
        <f t="shared" si="7"/>
        <v>18.5</v>
      </c>
      <c r="X240">
        <v>-111.116669</v>
      </c>
      <c r="Y240">
        <v>35.650002000000001</v>
      </c>
      <c r="Z240" t="s">
        <v>356</v>
      </c>
      <c r="AA240" t="s">
        <v>66</v>
      </c>
      <c r="AB240" t="s">
        <v>583</v>
      </c>
      <c r="AC240" t="s">
        <v>807</v>
      </c>
      <c r="AD240" t="s">
        <v>174</v>
      </c>
      <c r="AF240" t="s">
        <v>1724</v>
      </c>
      <c r="AH240" t="s">
        <v>72</v>
      </c>
      <c r="AI240" t="s">
        <v>1728</v>
      </c>
      <c r="AJ240">
        <v>2007</v>
      </c>
      <c r="AK240" t="s">
        <v>1742</v>
      </c>
      <c r="AM240" t="s">
        <v>1738</v>
      </c>
      <c r="AN240" t="s">
        <v>192</v>
      </c>
      <c r="AO240" t="s">
        <v>160</v>
      </c>
      <c r="AP240" t="s">
        <v>115</v>
      </c>
      <c r="AQ240" t="s">
        <v>1743</v>
      </c>
      <c r="AR240" t="s">
        <v>80</v>
      </c>
      <c r="AS240">
        <v>101</v>
      </c>
      <c r="AT240" t="s">
        <v>81</v>
      </c>
      <c r="AU240">
        <v>-38.54</v>
      </c>
      <c r="AV240">
        <v>11.35</v>
      </c>
      <c r="AW240" t="s">
        <v>82</v>
      </c>
      <c r="AX240">
        <v>133</v>
      </c>
      <c r="AY240" t="s">
        <v>81</v>
      </c>
      <c r="AZ240">
        <v>-53.37</v>
      </c>
      <c r="BA240">
        <v>11.39</v>
      </c>
      <c r="BB240" t="s">
        <v>83</v>
      </c>
    </row>
    <row r="241" spans="1:54" x14ac:dyDescent="0.4">
      <c r="A241">
        <v>780676</v>
      </c>
      <c r="D241" t="s">
        <v>54</v>
      </c>
      <c r="G241">
        <v>26</v>
      </c>
      <c r="H241" t="s">
        <v>421</v>
      </c>
      <c r="I241" t="s">
        <v>57</v>
      </c>
      <c r="K241" t="s">
        <v>85</v>
      </c>
      <c r="L241" t="s">
        <v>845</v>
      </c>
      <c r="M241" t="s">
        <v>60</v>
      </c>
      <c r="O241" t="s">
        <v>87</v>
      </c>
      <c r="P241" t="s">
        <v>62</v>
      </c>
      <c r="R241" t="s">
        <v>63</v>
      </c>
      <c r="S241" t="s">
        <v>64</v>
      </c>
      <c r="T241">
        <v>227</v>
      </c>
      <c r="U241">
        <v>208.5</v>
      </c>
      <c r="V241">
        <f t="shared" si="6"/>
        <v>217.75</v>
      </c>
      <c r="W241">
        <f t="shared" si="7"/>
        <v>18.5</v>
      </c>
      <c r="X241">
        <v>-111.116669</v>
      </c>
      <c r="Y241">
        <v>35.650002000000001</v>
      </c>
      <c r="Z241" t="s">
        <v>356</v>
      </c>
      <c r="AA241" t="s">
        <v>66</v>
      </c>
      <c r="AB241" t="s">
        <v>583</v>
      </c>
      <c r="AC241" t="s">
        <v>807</v>
      </c>
      <c r="AD241" t="s">
        <v>174</v>
      </c>
      <c r="AF241" t="s">
        <v>1724</v>
      </c>
      <c r="AH241" t="s">
        <v>72</v>
      </c>
      <c r="AI241" t="s">
        <v>1728</v>
      </c>
      <c r="AJ241">
        <v>2007</v>
      </c>
      <c r="AK241" t="s">
        <v>1742</v>
      </c>
      <c r="AM241" t="s">
        <v>1738</v>
      </c>
      <c r="AN241" t="s">
        <v>192</v>
      </c>
      <c r="AO241" t="s">
        <v>160</v>
      </c>
      <c r="AP241" t="s">
        <v>115</v>
      </c>
      <c r="AQ241" t="s">
        <v>1743</v>
      </c>
      <c r="AR241" t="s">
        <v>80</v>
      </c>
      <c r="AS241">
        <v>101</v>
      </c>
      <c r="AT241" t="s">
        <v>81</v>
      </c>
      <c r="AU241">
        <v>-38.54</v>
      </c>
      <c r="AV241">
        <v>11.35</v>
      </c>
      <c r="AW241" t="s">
        <v>82</v>
      </c>
      <c r="AX241">
        <v>133</v>
      </c>
      <c r="AY241" t="s">
        <v>81</v>
      </c>
      <c r="AZ241">
        <v>-53.37</v>
      </c>
      <c r="BA241">
        <v>11.39</v>
      </c>
      <c r="BB241" t="s">
        <v>83</v>
      </c>
    </row>
    <row r="242" spans="1:54" x14ac:dyDescent="0.4">
      <c r="A242">
        <v>782162</v>
      </c>
      <c r="D242" t="s">
        <v>54</v>
      </c>
      <c r="G242">
        <v>1</v>
      </c>
      <c r="H242" t="s">
        <v>56</v>
      </c>
      <c r="I242" t="s">
        <v>57</v>
      </c>
      <c r="K242" t="s">
        <v>85</v>
      </c>
      <c r="L242" t="s">
        <v>739</v>
      </c>
      <c r="M242" t="s">
        <v>60</v>
      </c>
      <c r="O242" t="s">
        <v>87</v>
      </c>
      <c r="P242" t="s">
        <v>62</v>
      </c>
      <c r="R242" t="s">
        <v>63</v>
      </c>
      <c r="S242" t="s">
        <v>64</v>
      </c>
      <c r="T242">
        <v>227</v>
      </c>
      <c r="U242">
        <v>208.5</v>
      </c>
      <c r="V242">
        <f t="shared" si="6"/>
        <v>217.75</v>
      </c>
      <c r="W242">
        <f t="shared" si="7"/>
        <v>18.5</v>
      </c>
      <c r="X242">
        <v>-109.763885</v>
      </c>
      <c r="Y242">
        <v>34.946666999999998</v>
      </c>
      <c r="Z242" t="s">
        <v>124</v>
      </c>
      <c r="AA242" t="s">
        <v>66</v>
      </c>
      <c r="AB242" t="s">
        <v>583</v>
      </c>
      <c r="AC242" t="s">
        <v>584</v>
      </c>
      <c r="AD242" t="s">
        <v>174</v>
      </c>
      <c r="AF242" t="s">
        <v>1068</v>
      </c>
      <c r="AH242" t="s">
        <v>72</v>
      </c>
      <c r="AI242" t="s">
        <v>881</v>
      </c>
      <c r="AJ242">
        <v>1989</v>
      </c>
      <c r="AK242" t="s">
        <v>1744</v>
      </c>
      <c r="AM242" t="s">
        <v>1745</v>
      </c>
      <c r="AN242" t="s">
        <v>76</v>
      </c>
      <c r="AO242" t="s">
        <v>77</v>
      </c>
      <c r="AP242" t="s">
        <v>115</v>
      </c>
      <c r="AQ242" t="s">
        <v>1746</v>
      </c>
      <c r="AR242" t="s">
        <v>80</v>
      </c>
      <c r="AS242">
        <v>101</v>
      </c>
      <c r="AT242" t="s">
        <v>81</v>
      </c>
      <c r="AU242">
        <v>-37.590000000000003</v>
      </c>
      <c r="AV242">
        <v>10.43</v>
      </c>
      <c r="AW242" t="s">
        <v>82</v>
      </c>
      <c r="AX242">
        <v>133</v>
      </c>
      <c r="AY242" t="s">
        <v>81</v>
      </c>
      <c r="AZ242">
        <v>-52.39</v>
      </c>
      <c r="BA242">
        <v>10.5</v>
      </c>
      <c r="BB242" t="s">
        <v>83</v>
      </c>
    </row>
    <row r="243" spans="1:54" x14ac:dyDescent="0.4">
      <c r="A243">
        <v>782162</v>
      </c>
      <c r="D243" t="s">
        <v>54</v>
      </c>
      <c r="G243">
        <v>1</v>
      </c>
      <c r="H243" t="s">
        <v>56</v>
      </c>
      <c r="I243" t="s">
        <v>57</v>
      </c>
      <c r="K243" t="s">
        <v>85</v>
      </c>
      <c r="L243" t="s">
        <v>739</v>
      </c>
      <c r="M243" t="s">
        <v>60</v>
      </c>
      <c r="O243" t="s">
        <v>87</v>
      </c>
      <c r="P243" t="s">
        <v>62</v>
      </c>
      <c r="R243" t="s">
        <v>63</v>
      </c>
      <c r="S243" t="s">
        <v>64</v>
      </c>
      <c r="T243">
        <v>227</v>
      </c>
      <c r="U243">
        <v>208.5</v>
      </c>
      <c r="V243">
        <f t="shared" si="6"/>
        <v>217.75</v>
      </c>
      <c r="W243">
        <f t="shared" si="7"/>
        <v>18.5</v>
      </c>
      <c r="X243">
        <v>-109.763885</v>
      </c>
      <c r="Y243">
        <v>34.946666999999998</v>
      </c>
      <c r="Z243" t="s">
        <v>124</v>
      </c>
      <c r="AA243" t="s">
        <v>66</v>
      </c>
      <c r="AB243" t="s">
        <v>583</v>
      </c>
      <c r="AC243" t="s">
        <v>584</v>
      </c>
      <c r="AD243" t="s">
        <v>174</v>
      </c>
      <c r="AF243" t="s">
        <v>1068</v>
      </c>
      <c r="AH243" t="s">
        <v>72</v>
      </c>
      <c r="AI243" t="s">
        <v>881</v>
      </c>
      <c r="AJ243">
        <v>1989</v>
      </c>
      <c r="AK243" t="s">
        <v>1744</v>
      </c>
      <c r="AM243" t="s">
        <v>1745</v>
      </c>
      <c r="AN243" t="s">
        <v>76</v>
      </c>
      <c r="AO243" t="s">
        <v>77</v>
      </c>
      <c r="AP243" t="s">
        <v>115</v>
      </c>
      <c r="AQ243" t="s">
        <v>1746</v>
      </c>
      <c r="AR243" t="s">
        <v>80</v>
      </c>
      <c r="AS243">
        <v>101</v>
      </c>
      <c r="AT243" t="s">
        <v>81</v>
      </c>
      <c r="AU243">
        <v>-37.590000000000003</v>
      </c>
      <c r="AV243">
        <v>10.43</v>
      </c>
      <c r="AW243" t="s">
        <v>82</v>
      </c>
      <c r="AX243">
        <v>133</v>
      </c>
      <c r="AY243" t="s">
        <v>81</v>
      </c>
      <c r="AZ243">
        <v>-52.39</v>
      </c>
      <c r="BA243">
        <v>10.5</v>
      </c>
      <c r="BB243" t="s">
        <v>83</v>
      </c>
    </row>
    <row r="244" spans="1:54" x14ac:dyDescent="0.4">
      <c r="A244">
        <v>782162</v>
      </c>
      <c r="D244" t="s">
        <v>54</v>
      </c>
      <c r="G244">
        <v>1</v>
      </c>
      <c r="H244" t="s">
        <v>56</v>
      </c>
      <c r="I244" t="s">
        <v>57</v>
      </c>
      <c r="K244" t="s">
        <v>85</v>
      </c>
      <c r="L244" t="s">
        <v>739</v>
      </c>
      <c r="M244" t="s">
        <v>60</v>
      </c>
      <c r="O244" t="s">
        <v>87</v>
      </c>
      <c r="P244" t="s">
        <v>62</v>
      </c>
      <c r="R244" t="s">
        <v>63</v>
      </c>
      <c r="S244" t="s">
        <v>64</v>
      </c>
      <c r="T244">
        <v>227</v>
      </c>
      <c r="U244">
        <v>208.5</v>
      </c>
      <c r="V244">
        <f t="shared" si="6"/>
        <v>217.75</v>
      </c>
      <c r="W244">
        <f t="shared" si="7"/>
        <v>18.5</v>
      </c>
      <c r="X244">
        <v>-109.763885</v>
      </c>
      <c r="Y244">
        <v>34.946666999999998</v>
      </c>
      <c r="Z244" t="s">
        <v>124</v>
      </c>
      <c r="AA244" t="s">
        <v>66</v>
      </c>
      <c r="AB244" t="s">
        <v>583</v>
      </c>
      <c r="AC244" t="s">
        <v>584</v>
      </c>
      <c r="AD244" t="s">
        <v>174</v>
      </c>
      <c r="AF244" t="s">
        <v>1068</v>
      </c>
      <c r="AH244" t="s">
        <v>72</v>
      </c>
      <c r="AI244" t="s">
        <v>881</v>
      </c>
      <c r="AJ244">
        <v>1989</v>
      </c>
      <c r="AK244" t="s">
        <v>1744</v>
      </c>
      <c r="AM244" t="s">
        <v>1745</v>
      </c>
      <c r="AN244" t="s">
        <v>76</v>
      </c>
      <c r="AO244" t="s">
        <v>77</v>
      </c>
      <c r="AP244" t="s">
        <v>115</v>
      </c>
      <c r="AQ244" t="s">
        <v>1746</v>
      </c>
      <c r="AR244" t="s">
        <v>80</v>
      </c>
      <c r="AS244">
        <v>101</v>
      </c>
      <c r="AT244" t="s">
        <v>81</v>
      </c>
      <c r="AU244">
        <v>-37.590000000000003</v>
      </c>
      <c r="AV244">
        <v>10.43</v>
      </c>
      <c r="AW244" t="s">
        <v>82</v>
      </c>
      <c r="AX244">
        <v>133</v>
      </c>
      <c r="AY244" t="s">
        <v>81</v>
      </c>
      <c r="AZ244">
        <v>-52.39</v>
      </c>
      <c r="BA244">
        <v>10.5</v>
      </c>
      <c r="BB244" t="s">
        <v>83</v>
      </c>
    </row>
    <row r="245" spans="1:54" x14ac:dyDescent="0.4">
      <c r="A245">
        <v>782166</v>
      </c>
      <c r="D245" t="s">
        <v>54</v>
      </c>
      <c r="G245">
        <v>1</v>
      </c>
      <c r="H245" t="s">
        <v>84</v>
      </c>
      <c r="I245" t="s">
        <v>57</v>
      </c>
      <c r="K245" t="s">
        <v>206</v>
      </c>
      <c r="L245" t="s">
        <v>744</v>
      </c>
      <c r="M245" t="s">
        <v>60</v>
      </c>
      <c r="O245" t="s">
        <v>170</v>
      </c>
      <c r="P245" t="s">
        <v>62</v>
      </c>
      <c r="R245" t="s">
        <v>63</v>
      </c>
      <c r="S245" t="s">
        <v>64</v>
      </c>
      <c r="T245">
        <v>227</v>
      </c>
      <c r="U245">
        <v>208.5</v>
      </c>
      <c r="V245">
        <f t="shared" si="6"/>
        <v>217.75</v>
      </c>
      <c r="W245">
        <f t="shared" si="7"/>
        <v>18.5</v>
      </c>
      <c r="X245">
        <v>-109.763885</v>
      </c>
      <c r="Y245">
        <v>34.946666999999998</v>
      </c>
      <c r="Z245" t="s">
        <v>124</v>
      </c>
      <c r="AA245" t="s">
        <v>66</v>
      </c>
      <c r="AB245" t="s">
        <v>583</v>
      </c>
      <c r="AC245" t="s">
        <v>584</v>
      </c>
      <c r="AD245" t="s">
        <v>174</v>
      </c>
      <c r="AF245" t="s">
        <v>1068</v>
      </c>
      <c r="AH245" t="s">
        <v>72</v>
      </c>
      <c r="AI245" t="s">
        <v>881</v>
      </c>
      <c r="AJ245">
        <v>1989</v>
      </c>
      <c r="AK245" t="s">
        <v>1744</v>
      </c>
      <c r="AM245" t="s">
        <v>1745</v>
      </c>
      <c r="AN245" t="s">
        <v>76</v>
      </c>
      <c r="AO245" t="s">
        <v>77</v>
      </c>
      <c r="AP245" t="s">
        <v>115</v>
      </c>
      <c r="AQ245" t="s">
        <v>1746</v>
      </c>
      <c r="AR245" t="s">
        <v>80</v>
      </c>
      <c r="AS245">
        <v>101</v>
      </c>
      <c r="AT245" t="s">
        <v>81</v>
      </c>
      <c r="AU245">
        <v>-37.590000000000003</v>
      </c>
      <c r="AV245">
        <v>10.43</v>
      </c>
      <c r="AW245" t="s">
        <v>82</v>
      </c>
      <c r="AX245">
        <v>133</v>
      </c>
      <c r="AY245" t="s">
        <v>81</v>
      </c>
      <c r="AZ245">
        <v>-52.39</v>
      </c>
      <c r="BA245">
        <v>10.5</v>
      </c>
      <c r="BB245" t="s">
        <v>83</v>
      </c>
    </row>
    <row r="246" spans="1:54" x14ac:dyDescent="0.4">
      <c r="A246">
        <v>782168</v>
      </c>
      <c r="D246" t="s">
        <v>54</v>
      </c>
      <c r="I246" t="s">
        <v>57</v>
      </c>
      <c r="K246" t="s">
        <v>85</v>
      </c>
      <c r="L246" t="s">
        <v>86</v>
      </c>
      <c r="M246" t="s">
        <v>60</v>
      </c>
      <c r="O246" t="s">
        <v>87</v>
      </c>
      <c r="P246" t="s">
        <v>62</v>
      </c>
      <c r="R246" t="s">
        <v>63</v>
      </c>
      <c r="S246" t="s">
        <v>64</v>
      </c>
      <c r="T246">
        <v>227</v>
      </c>
      <c r="U246">
        <v>208.5</v>
      </c>
      <c r="V246">
        <f t="shared" si="6"/>
        <v>217.75</v>
      </c>
      <c r="W246">
        <f t="shared" si="7"/>
        <v>18.5</v>
      </c>
      <c r="X246">
        <v>-109.783058</v>
      </c>
      <c r="Y246">
        <v>34.863608999999997</v>
      </c>
      <c r="Z246" t="s">
        <v>105</v>
      </c>
      <c r="AA246" t="s">
        <v>66</v>
      </c>
      <c r="AB246" t="s">
        <v>583</v>
      </c>
      <c r="AC246" t="s">
        <v>584</v>
      </c>
      <c r="AD246" t="s">
        <v>174</v>
      </c>
      <c r="AF246" t="s">
        <v>1078</v>
      </c>
      <c r="AH246" t="s">
        <v>11</v>
      </c>
      <c r="AI246" t="s">
        <v>881</v>
      </c>
      <c r="AJ246">
        <v>1989</v>
      </c>
      <c r="AK246" t="s">
        <v>1747</v>
      </c>
      <c r="AM246" t="s">
        <v>1748</v>
      </c>
      <c r="AN246" t="s">
        <v>76</v>
      </c>
      <c r="AO246" t="s">
        <v>77</v>
      </c>
      <c r="AP246" t="s">
        <v>115</v>
      </c>
      <c r="AQ246" t="s">
        <v>1749</v>
      </c>
      <c r="AR246" t="s">
        <v>80</v>
      </c>
      <c r="AS246">
        <v>101</v>
      </c>
      <c r="AT246" t="s">
        <v>81</v>
      </c>
      <c r="AU246">
        <v>-37.619999999999997</v>
      </c>
      <c r="AV246">
        <v>10.35</v>
      </c>
      <c r="AW246" t="s">
        <v>82</v>
      </c>
      <c r="AX246">
        <v>133</v>
      </c>
      <c r="AY246" t="s">
        <v>81</v>
      </c>
      <c r="AZ246">
        <v>-52.42</v>
      </c>
      <c r="BA246">
        <v>10.42</v>
      </c>
      <c r="BB246" t="s">
        <v>83</v>
      </c>
    </row>
    <row r="247" spans="1:54" x14ac:dyDescent="0.4">
      <c r="A247">
        <v>782169</v>
      </c>
      <c r="D247" t="s">
        <v>54</v>
      </c>
      <c r="G247">
        <v>1</v>
      </c>
      <c r="H247" t="s">
        <v>56</v>
      </c>
      <c r="I247" t="s">
        <v>57</v>
      </c>
      <c r="K247" t="s">
        <v>206</v>
      </c>
      <c r="L247" t="s">
        <v>1091</v>
      </c>
      <c r="M247" t="s">
        <v>60</v>
      </c>
      <c r="O247" t="s">
        <v>170</v>
      </c>
      <c r="P247" t="s">
        <v>62</v>
      </c>
      <c r="R247" t="s">
        <v>63</v>
      </c>
      <c r="S247" t="s">
        <v>64</v>
      </c>
      <c r="T247">
        <v>227</v>
      </c>
      <c r="U247">
        <v>208.5</v>
      </c>
      <c r="V247">
        <f t="shared" si="6"/>
        <v>217.75</v>
      </c>
      <c r="W247">
        <f t="shared" si="7"/>
        <v>18.5</v>
      </c>
      <c r="X247">
        <v>-109.783058</v>
      </c>
      <c r="Y247">
        <v>34.863608999999997</v>
      </c>
      <c r="Z247" t="s">
        <v>105</v>
      </c>
      <c r="AA247" t="s">
        <v>66</v>
      </c>
      <c r="AB247" t="s">
        <v>583</v>
      </c>
      <c r="AC247" t="s">
        <v>584</v>
      </c>
      <c r="AD247" t="s">
        <v>174</v>
      </c>
      <c r="AF247" t="s">
        <v>1078</v>
      </c>
      <c r="AH247" t="s">
        <v>11</v>
      </c>
      <c r="AI247" t="s">
        <v>208</v>
      </c>
      <c r="AJ247">
        <v>2016</v>
      </c>
      <c r="AK247" t="s">
        <v>1747</v>
      </c>
      <c r="AM247" t="s">
        <v>1748</v>
      </c>
      <c r="AN247" t="s">
        <v>76</v>
      </c>
      <c r="AO247" t="s">
        <v>77</v>
      </c>
      <c r="AP247" t="s">
        <v>115</v>
      </c>
      <c r="AQ247" t="s">
        <v>1749</v>
      </c>
      <c r="AR247" t="s">
        <v>80</v>
      </c>
      <c r="AS247">
        <v>101</v>
      </c>
      <c r="AT247" t="s">
        <v>81</v>
      </c>
      <c r="AU247">
        <v>-37.619999999999997</v>
      </c>
      <c r="AV247">
        <v>10.35</v>
      </c>
      <c r="AW247" t="s">
        <v>82</v>
      </c>
      <c r="AX247">
        <v>133</v>
      </c>
      <c r="AY247" t="s">
        <v>81</v>
      </c>
      <c r="AZ247">
        <v>-52.42</v>
      </c>
      <c r="BA247">
        <v>10.42</v>
      </c>
      <c r="BB247" t="s">
        <v>83</v>
      </c>
    </row>
    <row r="248" spans="1:54" x14ac:dyDescent="0.4">
      <c r="A248">
        <v>782173</v>
      </c>
      <c r="D248" t="s">
        <v>1750</v>
      </c>
      <c r="I248" t="s">
        <v>57</v>
      </c>
      <c r="K248" t="s">
        <v>85</v>
      </c>
      <c r="L248" t="s">
        <v>86</v>
      </c>
      <c r="M248" t="s">
        <v>60</v>
      </c>
      <c r="O248" t="s">
        <v>87</v>
      </c>
      <c r="P248" t="s">
        <v>62</v>
      </c>
      <c r="R248" t="s">
        <v>63</v>
      </c>
      <c r="S248" t="s">
        <v>64</v>
      </c>
      <c r="T248">
        <v>227</v>
      </c>
      <c r="U248">
        <v>208.5</v>
      </c>
      <c r="V248">
        <f t="shared" si="6"/>
        <v>217.75</v>
      </c>
      <c r="W248">
        <f t="shared" si="7"/>
        <v>18.5</v>
      </c>
      <c r="X248">
        <v>-109.813332</v>
      </c>
      <c r="Y248">
        <v>34.830554999999997</v>
      </c>
      <c r="Z248" t="s">
        <v>124</v>
      </c>
      <c r="AA248" t="s">
        <v>66</v>
      </c>
      <c r="AB248" t="s">
        <v>583</v>
      </c>
      <c r="AC248" t="s">
        <v>584</v>
      </c>
      <c r="AD248" t="s">
        <v>174</v>
      </c>
      <c r="AF248" t="s">
        <v>749</v>
      </c>
      <c r="AH248" t="s">
        <v>11</v>
      </c>
      <c r="AI248" t="s">
        <v>881</v>
      </c>
      <c r="AJ248">
        <v>1989</v>
      </c>
      <c r="AK248" t="s">
        <v>1751</v>
      </c>
      <c r="AM248" t="s">
        <v>1748</v>
      </c>
      <c r="AN248" t="s">
        <v>76</v>
      </c>
      <c r="AO248" t="s">
        <v>77</v>
      </c>
      <c r="AP248" t="s">
        <v>115</v>
      </c>
      <c r="AQ248" t="s">
        <v>1752</v>
      </c>
      <c r="AR248" t="s">
        <v>80</v>
      </c>
      <c r="AS248">
        <v>101</v>
      </c>
      <c r="AT248" t="s">
        <v>81</v>
      </c>
      <c r="AU248">
        <v>-37.65</v>
      </c>
      <c r="AV248">
        <v>10.32</v>
      </c>
      <c r="AW248" t="s">
        <v>82</v>
      </c>
      <c r="AX248">
        <v>133</v>
      </c>
      <c r="AY248" t="s">
        <v>81</v>
      </c>
      <c r="AZ248">
        <v>-52.45</v>
      </c>
      <c r="BA248">
        <v>10.39</v>
      </c>
      <c r="BB248" t="s">
        <v>83</v>
      </c>
    </row>
    <row r="249" spans="1:54" x14ac:dyDescent="0.4">
      <c r="A249">
        <v>782174</v>
      </c>
      <c r="D249" t="s">
        <v>1750</v>
      </c>
      <c r="I249" t="s">
        <v>57</v>
      </c>
      <c r="K249" t="s">
        <v>206</v>
      </c>
      <c r="L249" t="s">
        <v>851</v>
      </c>
      <c r="M249" t="s">
        <v>60</v>
      </c>
      <c r="O249" t="s">
        <v>170</v>
      </c>
      <c r="P249" t="s">
        <v>62</v>
      </c>
      <c r="R249" t="s">
        <v>63</v>
      </c>
      <c r="S249" t="s">
        <v>64</v>
      </c>
      <c r="T249">
        <v>227</v>
      </c>
      <c r="U249">
        <v>208.5</v>
      </c>
      <c r="V249">
        <f t="shared" si="6"/>
        <v>217.75</v>
      </c>
      <c r="W249">
        <f t="shared" si="7"/>
        <v>18.5</v>
      </c>
      <c r="X249">
        <v>-109.813332</v>
      </c>
      <c r="Y249">
        <v>34.830554999999997</v>
      </c>
      <c r="Z249" t="s">
        <v>124</v>
      </c>
      <c r="AA249" t="s">
        <v>66</v>
      </c>
      <c r="AB249" t="s">
        <v>583</v>
      </c>
      <c r="AC249" t="s">
        <v>584</v>
      </c>
      <c r="AD249" t="s">
        <v>174</v>
      </c>
      <c r="AF249" t="s">
        <v>749</v>
      </c>
      <c r="AH249" t="s">
        <v>72</v>
      </c>
      <c r="AI249" t="s">
        <v>881</v>
      </c>
      <c r="AJ249">
        <v>1989</v>
      </c>
      <c r="AK249" t="s">
        <v>1751</v>
      </c>
      <c r="AM249" t="s">
        <v>1748</v>
      </c>
      <c r="AN249" t="s">
        <v>76</v>
      </c>
      <c r="AO249" t="s">
        <v>77</v>
      </c>
      <c r="AP249" t="s">
        <v>115</v>
      </c>
      <c r="AQ249" t="s">
        <v>1752</v>
      </c>
      <c r="AR249" t="s">
        <v>80</v>
      </c>
      <c r="AS249">
        <v>101</v>
      </c>
      <c r="AT249" t="s">
        <v>81</v>
      </c>
      <c r="AU249">
        <v>-37.65</v>
      </c>
      <c r="AV249">
        <v>10.32</v>
      </c>
      <c r="AW249" t="s">
        <v>82</v>
      </c>
      <c r="AX249">
        <v>133</v>
      </c>
      <c r="AY249" t="s">
        <v>81</v>
      </c>
      <c r="AZ249">
        <v>-52.45</v>
      </c>
      <c r="BA249">
        <v>10.39</v>
      </c>
      <c r="BB249" t="s">
        <v>83</v>
      </c>
    </row>
    <row r="250" spans="1:54" x14ac:dyDescent="0.4">
      <c r="A250">
        <v>782175</v>
      </c>
      <c r="D250" t="s">
        <v>1750</v>
      </c>
      <c r="I250" t="s">
        <v>57</v>
      </c>
      <c r="K250" t="s">
        <v>206</v>
      </c>
      <c r="L250" t="s">
        <v>1091</v>
      </c>
      <c r="M250" t="s">
        <v>60</v>
      </c>
      <c r="O250" t="s">
        <v>170</v>
      </c>
      <c r="P250" t="s">
        <v>62</v>
      </c>
      <c r="R250" t="s">
        <v>63</v>
      </c>
      <c r="S250" t="s">
        <v>64</v>
      </c>
      <c r="T250">
        <v>227</v>
      </c>
      <c r="U250">
        <v>208.5</v>
      </c>
      <c r="V250">
        <f t="shared" si="6"/>
        <v>217.75</v>
      </c>
      <c r="W250">
        <f t="shared" si="7"/>
        <v>18.5</v>
      </c>
      <c r="X250">
        <v>-109.813332</v>
      </c>
      <c r="Y250">
        <v>34.830554999999997</v>
      </c>
      <c r="Z250" t="s">
        <v>124</v>
      </c>
      <c r="AA250" t="s">
        <v>66</v>
      </c>
      <c r="AB250" t="s">
        <v>583</v>
      </c>
      <c r="AC250" t="s">
        <v>584</v>
      </c>
      <c r="AD250" t="s">
        <v>174</v>
      </c>
      <c r="AF250" t="s">
        <v>749</v>
      </c>
      <c r="AH250" t="s">
        <v>11</v>
      </c>
      <c r="AI250" t="s">
        <v>881</v>
      </c>
      <c r="AJ250">
        <v>1989</v>
      </c>
      <c r="AK250" t="s">
        <v>1751</v>
      </c>
      <c r="AM250" t="s">
        <v>1748</v>
      </c>
      <c r="AN250" t="s">
        <v>76</v>
      </c>
      <c r="AO250" t="s">
        <v>77</v>
      </c>
      <c r="AP250" t="s">
        <v>115</v>
      </c>
      <c r="AQ250" t="s">
        <v>1752</v>
      </c>
      <c r="AR250" t="s">
        <v>80</v>
      </c>
      <c r="AS250">
        <v>101</v>
      </c>
      <c r="AT250" t="s">
        <v>81</v>
      </c>
      <c r="AU250">
        <v>-37.65</v>
      </c>
      <c r="AV250">
        <v>10.32</v>
      </c>
      <c r="AW250" t="s">
        <v>82</v>
      </c>
      <c r="AX250">
        <v>133</v>
      </c>
      <c r="AY250" t="s">
        <v>81</v>
      </c>
      <c r="AZ250">
        <v>-52.45</v>
      </c>
      <c r="BA250">
        <v>10.39</v>
      </c>
      <c r="BB250" t="s">
        <v>83</v>
      </c>
    </row>
    <row r="251" spans="1:54" x14ac:dyDescent="0.4">
      <c r="A251">
        <v>782179</v>
      </c>
      <c r="D251" t="s">
        <v>179</v>
      </c>
      <c r="I251" t="s">
        <v>57</v>
      </c>
      <c r="K251" t="s">
        <v>85</v>
      </c>
      <c r="L251" t="s">
        <v>86</v>
      </c>
      <c r="M251" t="s">
        <v>60</v>
      </c>
      <c r="O251" t="s">
        <v>87</v>
      </c>
      <c r="P251" t="s">
        <v>62</v>
      </c>
      <c r="R251" t="s">
        <v>63</v>
      </c>
      <c r="S251" t="s">
        <v>64</v>
      </c>
      <c r="T251">
        <v>227</v>
      </c>
      <c r="U251">
        <v>208.5</v>
      </c>
      <c r="V251">
        <f t="shared" si="6"/>
        <v>217.75</v>
      </c>
      <c r="W251">
        <f t="shared" si="7"/>
        <v>18.5</v>
      </c>
      <c r="X251">
        <v>-109.80806</v>
      </c>
      <c r="Y251">
        <v>34.884723999999999</v>
      </c>
      <c r="Z251" t="s">
        <v>124</v>
      </c>
      <c r="AA251" t="s">
        <v>66</v>
      </c>
      <c r="AB251" t="s">
        <v>583</v>
      </c>
      <c r="AC251" t="s">
        <v>584</v>
      </c>
      <c r="AD251" t="s">
        <v>174</v>
      </c>
      <c r="AH251" t="s">
        <v>11</v>
      </c>
      <c r="AI251" t="s">
        <v>881</v>
      </c>
      <c r="AJ251">
        <v>1989</v>
      </c>
      <c r="AK251" t="s">
        <v>1753</v>
      </c>
      <c r="AN251" t="s">
        <v>76</v>
      </c>
      <c r="AO251" t="s">
        <v>77</v>
      </c>
      <c r="AP251" t="s">
        <v>115</v>
      </c>
      <c r="AQ251" t="s">
        <v>1754</v>
      </c>
      <c r="AR251" t="s">
        <v>80</v>
      </c>
      <c r="AS251">
        <v>101</v>
      </c>
      <c r="AT251" t="s">
        <v>81</v>
      </c>
      <c r="AU251">
        <v>-37.630000000000003</v>
      </c>
      <c r="AV251">
        <v>10.38</v>
      </c>
      <c r="AW251" t="s">
        <v>82</v>
      </c>
      <c r="AX251">
        <v>133</v>
      </c>
      <c r="AY251" t="s">
        <v>81</v>
      </c>
      <c r="AZ251">
        <v>-52.44</v>
      </c>
      <c r="BA251">
        <v>10.44</v>
      </c>
      <c r="BB251" t="s">
        <v>83</v>
      </c>
    </row>
    <row r="252" spans="1:54" x14ac:dyDescent="0.4">
      <c r="A252">
        <v>782180</v>
      </c>
      <c r="D252" t="s">
        <v>179</v>
      </c>
      <c r="I252" t="s">
        <v>57</v>
      </c>
      <c r="K252" t="s">
        <v>206</v>
      </c>
      <c r="L252" t="s">
        <v>744</v>
      </c>
      <c r="M252" t="s">
        <v>60</v>
      </c>
      <c r="O252" t="s">
        <v>170</v>
      </c>
      <c r="P252" t="s">
        <v>62</v>
      </c>
      <c r="R252" t="s">
        <v>63</v>
      </c>
      <c r="S252" t="s">
        <v>64</v>
      </c>
      <c r="T252">
        <v>227</v>
      </c>
      <c r="U252">
        <v>208.5</v>
      </c>
      <c r="V252">
        <f t="shared" si="6"/>
        <v>217.75</v>
      </c>
      <c r="W252">
        <f t="shared" si="7"/>
        <v>18.5</v>
      </c>
      <c r="X252">
        <v>-109.80806</v>
      </c>
      <c r="Y252">
        <v>34.884723999999999</v>
      </c>
      <c r="Z252" t="s">
        <v>124</v>
      </c>
      <c r="AA252" t="s">
        <v>66</v>
      </c>
      <c r="AB252" t="s">
        <v>583</v>
      </c>
      <c r="AC252" t="s">
        <v>584</v>
      </c>
      <c r="AD252" t="s">
        <v>174</v>
      </c>
      <c r="AH252" t="s">
        <v>72</v>
      </c>
      <c r="AI252" t="s">
        <v>881</v>
      </c>
      <c r="AJ252">
        <v>1989</v>
      </c>
      <c r="AK252" t="s">
        <v>1753</v>
      </c>
      <c r="AN252" t="s">
        <v>76</v>
      </c>
      <c r="AO252" t="s">
        <v>77</v>
      </c>
      <c r="AP252" t="s">
        <v>115</v>
      </c>
      <c r="AQ252" t="s">
        <v>1754</v>
      </c>
      <c r="AR252" t="s">
        <v>80</v>
      </c>
      <c r="AS252">
        <v>101</v>
      </c>
      <c r="AT252" t="s">
        <v>81</v>
      </c>
      <c r="AU252">
        <v>-37.630000000000003</v>
      </c>
      <c r="AV252">
        <v>10.38</v>
      </c>
      <c r="AW252" t="s">
        <v>82</v>
      </c>
      <c r="AX252">
        <v>133</v>
      </c>
      <c r="AY252" t="s">
        <v>81</v>
      </c>
      <c r="AZ252">
        <v>-52.44</v>
      </c>
      <c r="BA252">
        <v>10.44</v>
      </c>
      <c r="BB252" t="s">
        <v>83</v>
      </c>
    </row>
    <row r="253" spans="1:54" x14ac:dyDescent="0.4">
      <c r="A253">
        <v>782187</v>
      </c>
      <c r="D253" t="s">
        <v>54</v>
      </c>
      <c r="I253" t="s">
        <v>57</v>
      </c>
      <c r="K253" t="s">
        <v>168</v>
      </c>
      <c r="L253" t="s">
        <v>169</v>
      </c>
      <c r="M253" t="s">
        <v>60</v>
      </c>
      <c r="O253" t="s">
        <v>170</v>
      </c>
      <c r="P253" t="s">
        <v>62</v>
      </c>
      <c r="R253" t="s">
        <v>63</v>
      </c>
      <c r="S253" t="s">
        <v>64</v>
      </c>
      <c r="T253">
        <v>227</v>
      </c>
      <c r="U253">
        <v>208.5</v>
      </c>
      <c r="V253">
        <f t="shared" si="6"/>
        <v>217.75</v>
      </c>
      <c r="W253">
        <f t="shared" si="7"/>
        <v>18.5</v>
      </c>
      <c r="X253">
        <v>-101.70417</v>
      </c>
      <c r="Y253">
        <v>34.955002</v>
      </c>
      <c r="Z253" t="s">
        <v>969</v>
      </c>
      <c r="AA253" t="s">
        <v>66</v>
      </c>
      <c r="AB253" t="s">
        <v>125</v>
      </c>
      <c r="AC253" t="s">
        <v>777</v>
      </c>
      <c r="AD253" t="s">
        <v>173</v>
      </c>
      <c r="AE253" t="s">
        <v>201</v>
      </c>
      <c r="AH253" t="s">
        <v>72</v>
      </c>
      <c r="AI253" t="s">
        <v>769</v>
      </c>
      <c r="AJ253">
        <v>1989</v>
      </c>
      <c r="AK253" t="s">
        <v>1755</v>
      </c>
      <c r="AM253" t="s">
        <v>1756</v>
      </c>
      <c r="AN253" t="s">
        <v>76</v>
      </c>
      <c r="AO253" t="s">
        <v>77</v>
      </c>
      <c r="AP253" t="s">
        <v>78</v>
      </c>
      <c r="AQ253" t="s">
        <v>1757</v>
      </c>
      <c r="AR253" t="s">
        <v>80</v>
      </c>
      <c r="AS253">
        <v>101</v>
      </c>
      <c r="AT253" t="s">
        <v>81</v>
      </c>
      <c r="AU253">
        <v>-30.98</v>
      </c>
      <c r="AV253">
        <v>9.2899999999999991</v>
      </c>
      <c r="AW253" t="s">
        <v>82</v>
      </c>
      <c r="AX253">
        <v>101</v>
      </c>
      <c r="AY253" t="s">
        <v>81</v>
      </c>
      <c r="AZ253">
        <v>-41.79</v>
      </c>
      <c r="BA253">
        <v>9.56</v>
      </c>
      <c r="BB253" t="s">
        <v>83</v>
      </c>
    </row>
    <row r="254" spans="1:54" x14ac:dyDescent="0.4">
      <c r="A254">
        <v>782188</v>
      </c>
      <c r="D254" t="s">
        <v>54</v>
      </c>
      <c r="I254" t="s">
        <v>57</v>
      </c>
      <c r="K254" t="s">
        <v>85</v>
      </c>
      <c r="L254" t="s">
        <v>86</v>
      </c>
      <c r="M254" t="s">
        <v>60</v>
      </c>
      <c r="O254" t="s">
        <v>87</v>
      </c>
      <c r="P254" t="s">
        <v>62</v>
      </c>
      <c r="R254" t="s">
        <v>63</v>
      </c>
      <c r="S254" t="s">
        <v>64</v>
      </c>
      <c r="T254">
        <v>227</v>
      </c>
      <c r="U254">
        <v>208.5</v>
      </c>
      <c r="V254">
        <f t="shared" si="6"/>
        <v>217.75</v>
      </c>
      <c r="W254">
        <f t="shared" si="7"/>
        <v>18.5</v>
      </c>
      <c r="X254">
        <v>-101.70417</v>
      </c>
      <c r="Y254">
        <v>34.955002</v>
      </c>
      <c r="Z254" t="s">
        <v>969</v>
      </c>
      <c r="AA254" t="s">
        <v>66</v>
      </c>
      <c r="AB254" t="s">
        <v>125</v>
      </c>
      <c r="AC254" t="s">
        <v>777</v>
      </c>
      <c r="AD254" t="s">
        <v>173</v>
      </c>
      <c r="AE254" t="s">
        <v>201</v>
      </c>
      <c r="AH254" t="s">
        <v>11</v>
      </c>
      <c r="AI254" t="s">
        <v>769</v>
      </c>
      <c r="AJ254">
        <v>1989</v>
      </c>
      <c r="AK254" t="s">
        <v>1755</v>
      </c>
      <c r="AM254" t="s">
        <v>1756</v>
      </c>
      <c r="AN254" t="s">
        <v>76</v>
      </c>
      <c r="AO254" t="s">
        <v>77</v>
      </c>
      <c r="AP254" t="s">
        <v>78</v>
      </c>
      <c r="AQ254" t="s">
        <v>1757</v>
      </c>
      <c r="AR254" t="s">
        <v>80</v>
      </c>
      <c r="AS254">
        <v>101</v>
      </c>
      <c r="AT254" t="s">
        <v>81</v>
      </c>
      <c r="AU254">
        <v>-30.98</v>
      </c>
      <c r="AV254">
        <v>9.2899999999999991</v>
      </c>
      <c r="AW254" t="s">
        <v>82</v>
      </c>
      <c r="AX254">
        <v>101</v>
      </c>
      <c r="AY254" t="s">
        <v>81</v>
      </c>
      <c r="AZ254">
        <v>-41.79</v>
      </c>
      <c r="BA254">
        <v>9.56</v>
      </c>
      <c r="BB254" t="s">
        <v>83</v>
      </c>
    </row>
    <row r="255" spans="1:54" x14ac:dyDescent="0.4">
      <c r="A255">
        <v>782208</v>
      </c>
      <c r="D255" t="s">
        <v>54</v>
      </c>
      <c r="I255" t="s">
        <v>57</v>
      </c>
      <c r="K255" t="s">
        <v>85</v>
      </c>
      <c r="L255" t="s">
        <v>845</v>
      </c>
      <c r="M255" t="s">
        <v>60</v>
      </c>
      <c r="O255" t="s">
        <v>87</v>
      </c>
      <c r="P255" t="s">
        <v>62</v>
      </c>
      <c r="R255" t="s">
        <v>63</v>
      </c>
      <c r="S255" t="s">
        <v>64</v>
      </c>
      <c r="T255">
        <v>227</v>
      </c>
      <c r="U255">
        <v>208.5</v>
      </c>
      <c r="V255">
        <f t="shared" si="6"/>
        <v>217.75</v>
      </c>
      <c r="W255">
        <f t="shared" si="7"/>
        <v>18.5</v>
      </c>
      <c r="X255">
        <v>-103.458611</v>
      </c>
      <c r="Y255">
        <v>34.974445000000003</v>
      </c>
      <c r="Z255" t="s">
        <v>124</v>
      </c>
      <c r="AA255" t="s">
        <v>66</v>
      </c>
      <c r="AB255" t="s">
        <v>846</v>
      </c>
      <c r="AC255" t="s">
        <v>906</v>
      </c>
      <c r="AD255" t="s">
        <v>1711</v>
      </c>
      <c r="AE255" t="s">
        <v>174</v>
      </c>
      <c r="AH255" t="s">
        <v>11</v>
      </c>
      <c r="AI255" t="s">
        <v>779</v>
      </c>
      <c r="AJ255">
        <v>1993</v>
      </c>
      <c r="AK255" t="s">
        <v>1758</v>
      </c>
      <c r="AM255" t="s">
        <v>1759</v>
      </c>
      <c r="AN255" t="s">
        <v>76</v>
      </c>
      <c r="AO255" t="s">
        <v>77</v>
      </c>
      <c r="AP255" t="s">
        <v>78</v>
      </c>
      <c r="AQ255" t="s">
        <v>1760</v>
      </c>
      <c r="AR255" t="s">
        <v>80</v>
      </c>
      <c r="AS255">
        <v>101</v>
      </c>
      <c r="AT255" t="s">
        <v>81</v>
      </c>
      <c r="AU255">
        <v>-32.42</v>
      </c>
      <c r="AV255">
        <v>9.5299999999999994</v>
      </c>
      <c r="AW255" t="s">
        <v>82</v>
      </c>
      <c r="AX255">
        <v>101</v>
      </c>
      <c r="AY255" t="s">
        <v>81</v>
      </c>
      <c r="AZ255">
        <v>-43.24</v>
      </c>
      <c r="BA255">
        <v>9.73</v>
      </c>
      <c r="BB255" t="s">
        <v>83</v>
      </c>
    </row>
    <row r="256" spans="1:54" x14ac:dyDescent="0.4">
      <c r="A256">
        <v>782209</v>
      </c>
      <c r="D256" t="s">
        <v>54</v>
      </c>
      <c r="I256" t="s">
        <v>57</v>
      </c>
      <c r="K256" t="s">
        <v>206</v>
      </c>
      <c r="L256" t="s">
        <v>1720</v>
      </c>
      <c r="M256" t="s">
        <v>60</v>
      </c>
      <c r="O256" t="s">
        <v>170</v>
      </c>
      <c r="P256" t="s">
        <v>62</v>
      </c>
      <c r="R256" t="s">
        <v>63</v>
      </c>
      <c r="S256" t="s">
        <v>64</v>
      </c>
      <c r="T256">
        <v>227</v>
      </c>
      <c r="U256">
        <v>208.5</v>
      </c>
      <c r="V256">
        <f t="shared" si="6"/>
        <v>217.75</v>
      </c>
      <c r="W256">
        <f t="shared" si="7"/>
        <v>18.5</v>
      </c>
      <c r="X256">
        <v>-103.458611</v>
      </c>
      <c r="Y256">
        <v>34.974445000000003</v>
      </c>
      <c r="Z256" t="s">
        <v>124</v>
      </c>
      <c r="AA256" t="s">
        <v>66</v>
      </c>
      <c r="AB256" t="s">
        <v>846</v>
      </c>
      <c r="AC256" t="s">
        <v>906</v>
      </c>
      <c r="AD256" t="s">
        <v>1711</v>
      </c>
      <c r="AE256" t="s">
        <v>174</v>
      </c>
      <c r="AH256" t="s">
        <v>11</v>
      </c>
      <c r="AI256" t="s">
        <v>779</v>
      </c>
      <c r="AJ256">
        <v>1993</v>
      </c>
      <c r="AK256" t="s">
        <v>1758</v>
      </c>
      <c r="AM256" t="s">
        <v>1759</v>
      </c>
      <c r="AN256" t="s">
        <v>76</v>
      </c>
      <c r="AO256" t="s">
        <v>77</v>
      </c>
      <c r="AP256" t="s">
        <v>78</v>
      </c>
      <c r="AQ256" t="s">
        <v>1760</v>
      </c>
      <c r="AR256" t="s">
        <v>80</v>
      </c>
      <c r="AS256">
        <v>101</v>
      </c>
      <c r="AT256" t="s">
        <v>81</v>
      </c>
      <c r="AU256">
        <v>-32.42</v>
      </c>
      <c r="AV256">
        <v>9.5299999999999994</v>
      </c>
      <c r="AW256" t="s">
        <v>82</v>
      </c>
      <c r="AX256">
        <v>101</v>
      </c>
      <c r="AY256" t="s">
        <v>81</v>
      </c>
      <c r="AZ256">
        <v>-43.24</v>
      </c>
      <c r="BA256">
        <v>9.73</v>
      </c>
      <c r="BB256" t="s">
        <v>83</v>
      </c>
    </row>
    <row r="257" spans="1:54" x14ac:dyDescent="0.4">
      <c r="A257">
        <v>785830</v>
      </c>
      <c r="D257" t="s">
        <v>904</v>
      </c>
      <c r="G257">
        <v>1</v>
      </c>
      <c r="H257" t="s">
        <v>84</v>
      </c>
      <c r="I257" t="s">
        <v>57</v>
      </c>
      <c r="K257" t="s">
        <v>141</v>
      </c>
      <c r="L257" t="s">
        <v>264</v>
      </c>
      <c r="M257" t="s">
        <v>60</v>
      </c>
      <c r="P257" t="s">
        <v>62</v>
      </c>
      <c r="R257" t="s">
        <v>63</v>
      </c>
      <c r="S257" t="s">
        <v>64</v>
      </c>
      <c r="T257">
        <v>227</v>
      </c>
      <c r="U257">
        <v>208.5</v>
      </c>
      <c r="V257">
        <f t="shared" si="6"/>
        <v>217.75</v>
      </c>
      <c r="W257">
        <f t="shared" si="7"/>
        <v>18.5</v>
      </c>
      <c r="X257">
        <v>-103.379997</v>
      </c>
      <c r="Y257">
        <v>35.365276000000001</v>
      </c>
      <c r="Z257" t="s">
        <v>582</v>
      </c>
      <c r="AA257" t="s">
        <v>66</v>
      </c>
      <c r="AB257" t="s">
        <v>846</v>
      </c>
      <c r="AC257" t="s">
        <v>906</v>
      </c>
      <c r="AD257" t="s">
        <v>907</v>
      </c>
      <c r="AE257" t="s">
        <v>201</v>
      </c>
      <c r="AH257" t="s">
        <v>72</v>
      </c>
      <c r="AI257" t="s">
        <v>1761</v>
      </c>
      <c r="AJ257">
        <v>2009</v>
      </c>
      <c r="AK257" t="s">
        <v>909</v>
      </c>
      <c r="AN257" t="s">
        <v>76</v>
      </c>
      <c r="AO257" t="s">
        <v>77</v>
      </c>
      <c r="AP257" t="s">
        <v>78</v>
      </c>
      <c r="AQ257" t="s">
        <v>910</v>
      </c>
      <c r="AR257" t="s">
        <v>80</v>
      </c>
      <c r="AS257">
        <v>101</v>
      </c>
      <c r="AT257" t="s">
        <v>81</v>
      </c>
      <c r="AU257">
        <v>-32.29</v>
      </c>
      <c r="AV257">
        <v>9.9</v>
      </c>
      <c r="AW257" t="s">
        <v>82</v>
      </c>
      <c r="AX257">
        <v>101</v>
      </c>
      <c r="AY257" t="s">
        <v>81</v>
      </c>
      <c r="AZ257">
        <v>-43.13</v>
      </c>
      <c r="BA257">
        <v>10.11</v>
      </c>
      <c r="BB257" t="s">
        <v>83</v>
      </c>
    </row>
    <row r="258" spans="1:54" x14ac:dyDescent="0.4">
      <c r="A258">
        <v>806718</v>
      </c>
      <c r="D258" t="s">
        <v>54</v>
      </c>
      <c r="E258" t="s">
        <v>55</v>
      </c>
      <c r="G258">
        <v>1</v>
      </c>
      <c r="H258" t="s">
        <v>84</v>
      </c>
      <c r="I258" t="s">
        <v>57</v>
      </c>
      <c r="K258" t="s">
        <v>168</v>
      </c>
      <c r="L258" t="s">
        <v>169</v>
      </c>
      <c r="M258" t="s">
        <v>60</v>
      </c>
      <c r="O258" t="s">
        <v>170</v>
      </c>
      <c r="P258" t="s">
        <v>62</v>
      </c>
      <c r="R258" t="s">
        <v>63</v>
      </c>
      <c r="S258" t="s">
        <v>64</v>
      </c>
      <c r="T258">
        <v>227</v>
      </c>
      <c r="U258">
        <v>208.5</v>
      </c>
      <c r="V258">
        <f t="shared" si="6"/>
        <v>217.75</v>
      </c>
      <c r="W258">
        <f t="shared" si="7"/>
        <v>18.5</v>
      </c>
      <c r="X258">
        <v>-101.31500200000001</v>
      </c>
      <c r="Y258">
        <v>33.521388999999999</v>
      </c>
      <c r="Z258" t="s">
        <v>198</v>
      </c>
      <c r="AA258" t="s">
        <v>66</v>
      </c>
      <c r="AB258" t="s">
        <v>125</v>
      </c>
      <c r="AC258" t="s">
        <v>199</v>
      </c>
      <c r="AD258" t="s">
        <v>200</v>
      </c>
      <c r="AE258" t="s">
        <v>201</v>
      </c>
      <c r="AH258" t="s">
        <v>11</v>
      </c>
      <c r="AI258" t="s">
        <v>1289</v>
      </c>
      <c r="AJ258">
        <v>2008</v>
      </c>
      <c r="AK258" t="s">
        <v>203</v>
      </c>
      <c r="AM258" t="s">
        <v>204</v>
      </c>
      <c r="AN258" t="s">
        <v>76</v>
      </c>
      <c r="AO258" t="s">
        <v>77</v>
      </c>
      <c r="AP258" t="s">
        <v>115</v>
      </c>
      <c r="AQ258" t="s">
        <v>205</v>
      </c>
      <c r="AR258" t="s">
        <v>80</v>
      </c>
      <c r="AS258">
        <v>101</v>
      </c>
      <c r="AT258" t="s">
        <v>81</v>
      </c>
      <c r="AU258">
        <v>-30.86</v>
      </c>
      <c r="AV258">
        <v>7.83</v>
      </c>
      <c r="AW258" t="s">
        <v>82</v>
      </c>
      <c r="AX258">
        <v>101</v>
      </c>
      <c r="AY258" t="s">
        <v>81</v>
      </c>
      <c r="AZ258">
        <v>-41.61</v>
      </c>
      <c r="BA258">
        <v>8.1</v>
      </c>
      <c r="BB258" t="s">
        <v>83</v>
      </c>
    </row>
    <row r="259" spans="1:54" x14ac:dyDescent="0.4">
      <c r="A259">
        <v>806719</v>
      </c>
      <c r="D259" t="s">
        <v>54</v>
      </c>
      <c r="E259" t="s">
        <v>55</v>
      </c>
      <c r="G259">
        <v>1</v>
      </c>
      <c r="H259" t="s">
        <v>84</v>
      </c>
      <c r="I259" t="s">
        <v>57</v>
      </c>
      <c r="K259" t="s">
        <v>168</v>
      </c>
      <c r="L259" t="s">
        <v>169</v>
      </c>
      <c r="M259" t="s">
        <v>60</v>
      </c>
      <c r="O259" t="s">
        <v>170</v>
      </c>
      <c r="P259" t="s">
        <v>62</v>
      </c>
      <c r="R259" t="s">
        <v>63</v>
      </c>
      <c r="S259" t="s">
        <v>64</v>
      </c>
      <c r="T259">
        <v>227</v>
      </c>
      <c r="U259">
        <v>208.5</v>
      </c>
      <c r="V259">
        <f t="shared" ref="V259:V322" si="8">(T259+U259)/2</f>
        <v>217.75</v>
      </c>
      <c r="W259">
        <f t="shared" ref="W259:W322" si="9">T259-U259</f>
        <v>18.5</v>
      </c>
      <c r="X259">
        <v>-101.31500200000001</v>
      </c>
      <c r="Y259">
        <v>33.521388999999999</v>
      </c>
      <c r="Z259" t="s">
        <v>198</v>
      </c>
      <c r="AA259" t="s">
        <v>66</v>
      </c>
      <c r="AB259" t="s">
        <v>125</v>
      </c>
      <c r="AC259" t="s">
        <v>199</v>
      </c>
      <c r="AD259" t="s">
        <v>200</v>
      </c>
      <c r="AE259" t="s">
        <v>201</v>
      </c>
      <c r="AH259" t="s">
        <v>72</v>
      </c>
      <c r="AI259" t="s">
        <v>2172</v>
      </c>
      <c r="AJ259">
        <v>2006</v>
      </c>
      <c r="AK259" t="s">
        <v>203</v>
      </c>
      <c r="AM259" t="s">
        <v>204</v>
      </c>
      <c r="AN259" t="s">
        <v>76</v>
      </c>
      <c r="AO259" t="s">
        <v>77</v>
      </c>
      <c r="AP259" t="s">
        <v>115</v>
      </c>
      <c r="AQ259" t="s">
        <v>205</v>
      </c>
      <c r="AR259" t="s">
        <v>80</v>
      </c>
      <c r="AS259">
        <v>101</v>
      </c>
      <c r="AT259" t="s">
        <v>81</v>
      </c>
      <c r="AU259">
        <v>-30.86</v>
      </c>
      <c r="AV259">
        <v>7.83</v>
      </c>
      <c r="AW259" t="s">
        <v>82</v>
      </c>
      <c r="AX259">
        <v>101</v>
      </c>
      <c r="AY259" t="s">
        <v>81</v>
      </c>
      <c r="AZ259">
        <v>-41.61</v>
      </c>
      <c r="BA259">
        <v>8.1</v>
      </c>
      <c r="BB259" t="s">
        <v>83</v>
      </c>
    </row>
    <row r="260" spans="1:54" x14ac:dyDescent="0.4">
      <c r="A260">
        <v>806720</v>
      </c>
      <c r="D260" t="s">
        <v>54</v>
      </c>
      <c r="E260" t="s">
        <v>55</v>
      </c>
      <c r="G260">
        <v>1</v>
      </c>
      <c r="H260" t="s">
        <v>84</v>
      </c>
      <c r="I260" t="s">
        <v>57</v>
      </c>
      <c r="K260" t="s">
        <v>168</v>
      </c>
      <c r="L260" t="s">
        <v>169</v>
      </c>
      <c r="M260" t="s">
        <v>60</v>
      </c>
      <c r="O260" t="s">
        <v>170</v>
      </c>
      <c r="P260" t="s">
        <v>62</v>
      </c>
      <c r="R260" t="s">
        <v>63</v>
      </c>
      <c r="S260" t="s">
        <v>64</v>
      </c>
      <c r="T260">
        <v>227</v>
      </c>
      <c r="U260">
        <v>208.5</v>
      </c>
      <c r="V260">
        <f t="shared" si="8"/>
        <v>217.75</v>
      </c>
      <c r="W260">
        <f t="shared" si="9"/>
        <v>18.5</v>
      </c>
      <c r="X260">
        <v>-101.31500200000001</v>
      </c>
      <c r="Y260">
        <v>33.521388999999999</v>
      </c>
      <c r="Z260" t="s">
        <v>198</v>
      </c>
      <c r="AA260" t="s">
        <v>66</v>
      </c>
      <c r="AB260" t="s">
        <v>125</v>
      </c>
      <c r="AC260" t="s">
        <v>199</v>
      </c>
      <c r="AD260" t="s">
        <v>200</v>
      </c>
      <c r="AE260" t="s">
        <v>201</v>
      </c>
      <c r="AH260" t="s">
        <v>11</v>
      </c>
      <c r="AI260" t="s">
        <v>1289</v>
      </c>
      <c r="AJ260">
        <v>2008</v>
      </c>
      <c r="AK260" t="s">
        <v>203</v>
      </c>
      <c r="AM260" t="s">
        <v>204</v>
      </c>
      <c r="AN260" t="s">
        <v>76</v>
      </c>
      <c r="AO260" t="s">
        <v>77</v>
      </c>
      <c r="AP260" t="s">
        <v>115</v>
      </c>
      <c r="AQ260" t="s">
        <v>205</v>
      </c>
      <c r="AR260" t="s">
        <v>80</v>
      </c>
      <c r="AS260">
        <v>101</v>
      </c>
      <c r="AT260" t="s">
        <v>81</v>
      </c>
      <c r="AU260">
        <v>-30.86</v>
      </c>
      <c r="AV260">
        <v>7.83</v>
      </c>
      <c r="AW260" t="s">
        <v>82</v>
      </c>
      <c r="AX260">
        <v>101</v>
      </c>
      <c r="AY260" t="s">
        <v>81</v>
      </c>
      <c r="AZ260">
        <v>-41.61</v>
      </c>
      <c r="BA260">
        <v>8.1</v>
      </c>
      <c r="BB260" t="s">
        <v>83</v>
      </c>
    </row>
    <row r="261" spans="1:54" x14ac:dyDescent="0.4">
      <c r="A261">
        <v>806721</v>
      </c>
      <c r="D261" t="s">
        <v>54</v>
      </c>
      <c r="E261" t="s">
        <v>55</v>
      </c>
      <c r="G261">
        <v>1</v>
      </c>
      <c r="H261" t="s">
        <v>56</v>
      </c>
      <c r="I261" t="s">
        <v>57</v>
      </c>
      <c r="K261" t="s">
        <v>85</v>
      </c>
      <c r="L261" t="s">
        <v>1076</v>
      </c>
      <c r="M261" t="s">
        <v>60</v>
      </c>
      <c r="O261" t="s">
        <v>87</v>
      </c>
      <c r="P261" t="s">
        <v>62</v>
      </c>
      <c r="R261" t="s">
        <v>63</v>
      </c>
      <c r="S261" t="s">
        <v>64</v>
      </c>
      <c r="T261">
        <v>227</v>
      </c>
      <c r="U261">
        <v>208.5</v>
      </c>
      <c r="V261">
        <f t="shared" si="8"/>
        <v>217.75</v>
      </c>
      <c r="W261">
        <f t="shared" si="9"/>
        <v>18.5</v>
      </c>
      <c r="X261">
        <v>-101.31500200000001</v>
      </c>
      <c r="Y261">
        <v>33.521388999999999</v>
      </c>
      <c r="Z261" t="s">
        <v>198</v>
      </c>
      <c r="AA261" t="s">
        <v>66</v>
      </c>
      <c r="AB261" t="s">
        <v>125</v>
      </c>
      <c r="AC261" t="s">
        <v>199</v>
      </c>
      <c r="AD261" t="s">
        <v>200</v>
      </c>
      <c r="AE261" t="s">
        <v>201</v>
      </c>
      <c r="AH261" t="s">
        <v>11</v>
      </c>
      <c r="AI261" t="s">
        <v>209</v>
      </c>
      <c r="AJ261">
        <v>2013</v>
      </c>
      <c r="AK261" t="s">
        <v>203</v>
      </c>
      <c r="AM261" t="s">
        <v>204</v>
      </c>
      <c r="AN261" t="s">
        <v>76</v>
      </c>
      <c r="AO261" t="s">
        <v>77</v>
      </c>
      <c r="AP261" t="s">
        <v>115</v>
      </c>
      <c r="AQ261" t="s">
        <v>205</v>
      </c>
      <c r="AR261" t="s">
        <v>80</v>
      </c>
      <c r="AS261">
        <v>101</v>
      </c>
      <c r="AT261" t="s">
        <v>81</v>
      </c>
      <c r="AU261">
        <v>-30.86</v>
      </c>
      <c r="AV261">
        <v>7.83</v>
      </c>
      <c r="AW261" t="s">
        <v>82</v>
      </c>
      <c r="AX261">
        <v>101</v>
      </c>
      <c r="AY261" t="s">
        <v>81</v>
      </c>
      <c r="AZ261">
        <v>-41.61</v>
      </c>
      <c r="BA261">
        <v>8.1</v>
      </c>
      <c r="BB261" t="s">
        <v>83</v>
      </c>
    </row>
    <row r="262" spans="1:54" x14ac:dyDescent="0.4">
      <c r="A262">
        <v>807815</v>
      </c>
      <c r="D262" t="s">
        <v>54</v>
      </c>
      <c r="E262" t="s">
        <v>152</v>
      </c>
      <c r="G262">
        <v>1</v>
      </c>
      <c r="H262" t="s">
        <v>56</v>
      </c>
      <c r="I262" t="s">
        <v>57</v>
      </c>
      <c r="K262" t="s">
        <v>168</v>
      </c>
      <c r="L262" t="s">
        <v>169</v>
      </c>
      <c r="M262" t="s">
        <v>60</v>
      </c>
      <c r="O262" t="s">
        <v>170</v>
      </c>
      <c r="P262" t="s">
        <v>62</v>
      </c>
      <c r="R262" t="s">
        <v>63</v>
      </c>
      <c r="S262" t="s">
        <v>64</v>
      </c>
      <c r="T262">
        <v>227</v>
      </c>
      <c r="U262">
        <v>208.5</v>
      </c>
      <c r="V262">
        <f t="shared" si="8"/>
        <v>217.75</v>
      </c>
      <c r="W262">
        <f t="shared" si="9"/>
        <v>18.5</v>
      </c>
      <c r="X262">
        <v>-109.781944</v>
      </c>
      <c r="Y262">
        <v>34.876389000000003</v>
      </c>
      <c r="Z262" t="s">
        <v>124</v>
      </c>
      <c r="AA262" t="s">
        <v>66</v>
      </c>
      <c r="AB262" t="s">
        <v>583</v>
      </c>
      <c r="AD262" t="s">
        <v>174</v>
      </c>
      <c r="AF262" t="s">
        <v>1078</v>
      </c>
      <c r="AH262" t="s">
        <v>72</v>
      </c>
      <c r="AI262" t="s">
        <v>2172</v>
      </c>
      <c r="AJ262">
        <v>2006</v>
      </c>
      <c r="AK262" t="s">
        <v>2180</v>
      </c>
      <c r="AM262" t="s">
        <v>2181</v>
      </c>
      <c r="AN262" t="s">
        <v>192</v>
      </c>
      <c r="AO262" t="s">
        <v>77</v>
      </c>
      <c r="AP262" t="s">
        <v>115</v>
      </c>
      <c r="AQ262" t="s">
        <v>2182</v>
      </c>
      <c r="AR262" t="s">
        <v>80</v>
      </c>
      <c r="AS262">
        <v>101</v>
      </c>
      <c r="AT262" t="s">
        <v>81</v>
      </c>
      <c r="AU262">
        <v>-37.61</v>
      </c>
      <c r="AV262">
        <v>10.36</v>
      </c>
      <c r="AW262" t="s">
        <v>82</v>
      </c>
      <c r="AX262">
        <v>133</v>
      </c>
      <c r="AY262" t="s">
        <v>81</v>
      </c>
      <c r="AZ262">
        <v>-52.42</v>
      </c>
      <c r="BA262">
        <v>10.43</v>
      </c>
      <c r="BB262" t="s">
        <v>83</v>
      </c>
    </row>
    <row r="263" spans="1:54" x14ac:dyDescent="0.4">
      <c r="A263">
        <v>807923</v>
      </c>
      <c r="D263" t="s">
        <v>54</v>
      </c>
      <c r="E263" t="s">
        <v>55</v>
      </c>
      <c r="G263">
        <v>1</v>
      </c>
      <c r="H263" t="s">
        <v>56</v>
      </c>
      <c r="I263" t="s">
        <v>57</v>
      </c>
      <c r="K263" t="s">
        <v>85</v>
      </c>
      <c r="L263" t="s">
        <v>845</v>
      </c>
      <c r="M263" t="s">
        <v>60</v>
      </c>
      <c r="O263" t="s">
        <v>87</v>
      </c>
      <c r="P263" t="s">
        <v>62</v>
      </c>
      <c r="R263" t="s">
        <v>63</v>
      </c>
      <c r="S263" t="s">
        <v>64</v>
      </c>
      <c r="T263">
        <v>227</v>
      </c>
      <c r="U263">
        <v>208.5</v>
      </c>
      <c r="V263">
        <f t="shared" si="8"/>
        <v>217.75</v>
      </c>
      <c r="W263">
        <f t="shared" si="9"/>
        <v>18.5</v>
      </c>
      <c r="X263">
        <v>-109.82527899999999</v>
      </c>
      <c r="Y263">
        <v>34.856945000000003</v>
      </c>
      <c r="Z263" t="s">
        <v>124</v>
      </c>
      <c r="AA263" t="s">
        <v>66</v>
      </c>
      <c r="AB263" t="s">
        <v>583</v>
      </c>
      <c r="AD263" t="s">
        <v>174</v>
      </c>
      <c r="AF263" t="s">
        <v>1078</v>
      </c>
      <c r="AH263" t="s">
        <v>72</v>
      </c>
      <c r="AI263" t="s">
        <v>1123</v>
      </c>
      <c r="AJ263">
        <v>2006</v>
      </c>
      <c r="AK263" t="s">
        <v>2183</v>
      </c>
      <c r="AM263" t="s">
        <v>2184</v>
      </c>
      <c r="AN263" t="s">
        <v>192</v>
      </c>
      <c r="AO263" t="s">
        <v>77</v>
      </c>
      <c r="AP263" t="s">
        <v>115</v>
      </c>
      <c r="AR263" t="s">
        <v>80</v>
      </c>
      <c r="AS263">
        <v>101</v>
      </c>
      <c r="AT263" t="s">
        <v>81</v>
      </c>
      <c r="AU263">
        <v>-37.65</v>
      </c>
      <c r="AV263">
        <v>10.35</v>
      </c>
      <c r="AW263" t="s">
        <v>82</v>
      </c>
      <c r="AX263">
        <v>133</v>
      </c>
      <c r="AY263" t="s">
        <v>81</v>
      </c>
      <c r="AZ263">
        <v>-52.45</v>
      </c>
      <c r="BA263">
        <v>10.42</v>
      </c>
      <c r="BB263" t="s">
        <v>83</v>
      </c>
    </row>
    <row r="264" spans="1:54" x14ac:dyDescent="0.4">
      <c r="A264">
        <v>811765</v>
      </c>
      <c r="D264" t="s">
        <v>54</v>
      </c>
      <c r="E264" t="s">
        <v>152</v>
      </c>
      <c r="G264">
        <v>1</v>
      </c>
      <c r="H264" t="s">
        <v>56</v>
      </c>
      <c r="I264" t="s">
        <v>57</v>
      </c>
      <c r="K264" t="s">
        <v>206</v>
      </c>
      <c r="L264" t="s">
        <v>2254</v>
      </c>
      <c r="M264" t="s">
        <v>60</v>
      </c>
      <c r="O264" t="s">
        <v>170</v>
      </c>
      <c r="P264" t="s">
        <v>62</v>
      </c>
      <c r="R264" t="s">
        <v>63</v>
      </c>
      <c r="S264" t="s">
        <v>64</v>
      </c>
      <c r="T264">
        <v>227</v>
      </c>
      <c r="U264">
        <v>208.5</v>
      </c>
      <c r="V264">
        <f t="shared" si="8"/>
        <v>217.75</v>
      </c>
      <c r="W264">
        <f t="shared" si="9"/>
        <v>18.5</v>
      </c>
      <c r="X264">
        <v>-74.75</v>
      </c>
      <c r="Y264">
        <v>40.491669000000002</v>
      </c>
      <c r="Z264" t="s">
        <v>124</v>
      </c>
      <c r="AA264" t="s">
        <v>66</v>
      </c>
      <c r="AB264" t="s">
        <v>67</v>
      </c>
      <c r="AC264" t="s">
        <v>93</v>
      </c>
      <c r="AD264" t="s">
        <v>2255</v>
      </c>
      <c r="AE264" t="s">
        <v>70</v>
      </c>
      <c r="AF264" t="s">
        <v>2256</v>
      </c>
      <c r="AH264" t="s">
        <v>72</v>
      </c>
      <c r="AI264" t="s">
        <v>2257</v>
      </c>
      <c r="AJ264">
        <v>1948</v>
      </c>
      <c r="AK264" t="s">
        <v>2258</v>
      </c>
      <c r="AN264" t="s">
        <v>114</v>
      </c>
      <c r="AO264" t="s">
        <v>77</v>
      </c>
      <c r="AP264" t="s">
        <v>115</v>
      </c>
      <c r="AQ264" t="s">
        <v>2259</v>
      </c>
      <c r="AR264" t="s">
        <v>80</v>
      </c>
      <c r="AS264">
        <v>101</v>
      </c>
      <c r="AT264" t="s">
        <v>81</v>
      </c>
      <c r="AU264">
        <v>-9.09</v>
      </c>
      <c r="AV264">
        <v>13.98</v>
      </c>
      <c r="AW264" t="s">
        <v>82</v>
      </c>
      <c r="AX264">
        <v>101</v>
      </c>
      <c r="AY264" t="s">
        <v>81</v>
      </c>
      <c r="AZ264">
        <v>-20.04</v>
      </c>
      <c r="BA264">
        <v>15.05</v>
      </c>
      <c r="BB264" t="s">
        <v>83</v>
      </c>
    </row>
    <row r="265" spans="1:54" x14ac:dyDescent="0.4">
      <c r="A265">
        <v>811785</v>
      </c>
      <c r="D265" t="s">
        <v>54</v>
      </c>
      <c r="E265" t="s">
        <v>55</v>
      </c>
      <c r="G265">
        <v>1</v>
      </c>
      <c r="H265" t="s">
        <v>56</v>
      </c>
      <c r="I265" t="s">
        <v>57</v>
      </c>
      <c r="K265" t="s">
        <v>100</v>
      </c>
      <c r="L265" t="s">
        <v>2260</v>
      </c>
      <c r="M265" t="s">
        <v>60</v>
      </c>
      <c r="P265" t="s">
        <v>62</v>
      </c>
      <c r="R265" t="s">
        <v>63</v>
      </c>
      <c r="S265" t="s">
        <v>64</v>
      </c>
      <c r="T265">
        <v>227</v>
      </c>
      <c r="U265">
        <v>208.5</v>
      </c>
      <c r="V265">
        <f t="shared" si="8"/>
        <v>217.75</v>
      </c>
      <c r="W265">
        <f t="shared" si="9"/>
        <v>18.5</v>
      </c>
      <c r="X265">
        <v>-64.360000999999997</v>
      </c>
      <c r="Y265">
        <v>45.181109999999997</v>
      </c>
      <c r="Z265" t="s">
        <v>124</v>
      </c>
      <c r="AA265" t="s">
        <v>1456</v>
      </c>
      <c r="AB265" t="s">
        <v>1457</v>
      </c>
      <c r="AC265" t="s">
        <v>2263</v>
      </c>
      <c r="AD265" t="s">
        <v>2264</v>
      </c>
      <c r="AE265" t="s">
        <v>70</v>
      </c>
      <c r="AF265" t="s">
        <v>2265</v>
      </c>
      <c r="AH265" t="s">
        <v>72</v>
      </c>
      <c r="AI265" t="s">
        <v>730</v>
      </c>
      <c r="AJ265">
        <v>2000</v>
      </c>
      <c r="AK265" t="s">
        <v>2266</v>
      </c>
      <c r="AN265" t="s">
        <v>114</v>
      </c>
      <c r="AO265" t="s">
        <v>77</v>
      </c>
      <c r="AP265" t="s">
        <v>115</v>
      </c>
      <c r="AQ265" t="s">
        <v>2267</v>
      </c>
      <c r="AR265" t="s">
        <v>80</v>
      </c>
      <c r="AS265">
        <v>108</v>
      </c>
      <c r="AT265" t="s">
        <v>81</v>
      </c>
      <c r="AU265">
        <v>-1.75</v>
      </c>
      <c r="AV265">
        <v>19.489999999999998</v>
      </c>
      <c r="AW265" t="s">
        <v>82</v>
      </c>
      <c r="AX265">
        <v>108</v>
      </c>
      <c r="AY265" t="s">
        <v>81</v>
      </c>
      <c r="AZ265">
        <v>-12.85</v>
      </c>
      <c r="BA265">
        <v>20.8</v>
      </c>
      <c r="BB265" t="s">
        <v>83</v>
      </c>
    </row>
    <row r="266" spans="1:54" x14ac:dyDescent="0.4">
      <c r="A266">
        <v>811795</v>
      </c>
      <c r="D266" t="s">
        <v>54</v>
      </c>
      <c r="G266">
        <v>1</v>
      </c>
      <c r="H266" t="s">
        <v>56</v>
      </c>
      <c r="I266" t="s">
        <v>57</v>
      </c>
      <c r="K266" t="s">
        <v>100</v>
      </c>
      <c r="L266" t="s">
        <v>2268</v>
      </c>
      <c r="M266" t="s">
        <v>60</v>
      </c>
      <c r="P266" t="s">
        <v>62</v>
      </c>
      <c r="R266" t="s">
        <v>63</v>
      </c>
      <c r="S266" t="s">
        <v>64</v>
      </c>
      <c r="T266">
        <v>227</v>
      </c>
      <c r="U266">
        <v>208.5</v>
      </c>
      <c r="V266">
        <f t="shared" si="8"/>
        <v>217.75</v>
      </c>
      <c r="W266">
        <f t="shared" si="9"/>
        <v>18.5</v>
      </c>
      <c r="X266">
        <v>-53.446666999999998</v>
      </c>
      <c r="Y266">
        <v>-29.5625</v>
      </c>
      <c r="Z266" t="s">
        <v>105</v>
      </c>
      <c r="AA266" t="s">
        <v>783</v>
      </c>
      <c r="AB266" t="s">
        <v>784</v>
      </c>
      <c r="AC266" t="s">
        <v>1178</v>
      </c>
      <c r="AD266" t="s">
        <v>785</v>
      </c>
      <c r="AE266" t="s">
        <v>786</v>
      </c>
      <c r="AG266" t="s">
        <v>787</v>
      </c>
      <c r="AH266" t="s">
        <v>72</v>
      </c>
      <c r="AI266" t="s">
        <v>2269</v>
      </c>
      <c r="AJ266">
        <v>2003</v>
      </c>
      <c r="AK266" t="s">
        <v>1180</v>
      </c>
      <c r="AN266" t="s">
        <v>76</v>
      </c>
      <c r="AO266" t="s">
        <v>77</v>
      </c>
      <c r="AP266" t="s">
        <v>78</v>
      </c>
      <c r="AQ266" t="s">
        <v>1181</v>
      </c>
      <c r="AR266" t="s">
        <v>80</v>
      </c>
      <c r="AS266">
        <v>201</v>
      </c>
      <c r="AT266" t="s">
        <v>81</v>
      </c>
      <c r="AU266">
        <v>-6.86</v>
      </c>
      <c r="AV266">
        <v>-38.53</v>
      </c>
      <c r="AW266" t="s">
        <v>82</v>
      </c>
      <c r="AX266">
        <v>202</v>
      </c>
      <c r="AY266" t="s">
        <v>81</v>
      </c>
      <c r="AZ266">
        <v>-15.62</v>
      </c>
      <c r="BA266">
        <v>-36.979999999999997</v>
      </c>
      <c r="BB266" t="s">
        <v>83</v>
      </c>
    </row>
    <row r="267" spans="1:54" x14ac:dyDescent="0.4">
      <c r="A267">
        <v>811795</v>
      </c>
      <c r="D267" t="s">
        <v>54</v>
      </c>
      <c r="G267">
        <v>1</v>
      </c>
      <c r="H267" t="s">
        <v>56</v>
      </c>
      <c r="I267" t="s">
        <v>57</v>
      </c>
      <c r="K267" t="s">
        <v>100</v>
      </c>
      <c r="L267" t="s">
        <v>2268</v>
      </c>
      <c r="M267" t="s">
        <v>60</v>
      </c>
      <c r="P267" t="s">
        <v>62</v>
      </c>
      <c r="R267" t="s">
        <v>63</v>
      </c>
      <c r="S267" t="s">
        <v>64</v>
      </c>
      <c r="T267">
        <v>227</v>
      </c>
      <c r="U267">
        <v>208.5</v>
      </c>
      <c r="V267">
        <f t="shared" si="8"/>
        <v>217.75</v>
      </c>
      <c r="W267">
        <f t="shared" si="9"/>
        <v>18.5</v>
      </c>
      <c r="X267">
        <v>-53.446666999999998</v>
      </c>
      <c r="Y267">
        <v>-29.5625</v>
      </c>
      <c r="Z267" t="s">
        <v>105</v>
      </c>
      <c r="AA267" t="s">
        <v>783</v>
      </c>
      <c r="AB267" t="s">
        <v>784</v>
      </c>
      <c r="AC267" t="s">
        <v>1178</v>
      </c>
      <c r="AD267" t="s">
        <v>785</v>
      </c>
      <c r="AE267" t="s">
        <v>786</v>
      </c>
      <c r="AG267" t="s">
        <v>787</v>
      </c>
      <c r="AH267" t="s">
        <v>72</v>
      </c>
      <c r="AI267" t="s">
        <v>2269</v>
      </c>
      <c r="AJ267">
        <v>2003</v>
      </c>
      <c r="AK267" t="s">
        <v>1180</v>
      </c>
      <c r="AN267" t="s">
        <v>76</v>
      </c>
      <c r="AO267" t="s">
        <v>77</v>
      </c>
      <c r="AP267" t="s">
        <v>78</v>
      </c>
      <c r="AQ267" t="s">
        <v>1181</v>
      </c>
      <c r="AR267" t="s">
        <v>80</v>
      </c>
      <c r="AS267">
        <v>201</v>
      </c>
      <c r="AT267" t="s">
        <v>81</v>
      </c>
      <c r="AU267">
        <v>-6.86</v>
      </c>
      <c r="AV267">
        <v>-38.53</v>
      </c>
      <c r="AW267" t="s">
        <v>82</v>
      </c>
      <c r="AX267">
        <v>202</v>
      </c>
      <c r="AY267" t="s">
        <v>81</v>
      </c>
      <c r="AZ267">
        <v>-15.62</v>
      </c>
      <c r="BA267">
        <v>-36.979999999999997</v>
      </c>
      <c r="BB267" t="s">
        <v>83</v>
      </c>
    </row>
    <row r="268" spans="1:54" x14ac:dyDescent="0.4">
      <c r="A268">
        <v>811795</v>
      </c>
      <c r="D268" t="s">
        <v>54</v>
      </c>
      <c r="G268">
        <v>1</v>
      </c>
      <c r="H268" t="s">
        <v>56</v>
      </c>
      <c r="I268" t="s">
        <v>57</v>
      </c>
      <c r="K268" t="s">
        <v>100</v>
      </c>
      <c r="L268" t="s">
        <v>2268</v>
      </c>
      <c r="M268" t="s">
        <v>60</v>
      </c>
      <c r="P268" t="s">
        <v>62</v>
      </c>
      <c r="R268" t="s">
        <v>63</v>
      </c>
      <c r="S268" t="s">
        <v>64</v>
      </c>
      <c r="T268">
        <v>227</v>
      </c>
      <c r="U268">
        <v>208.5</v>
      </c>
      <c r="V268">
        <f t="shared" si="8"/>
        <v>217.75</v>
      </c>
      <c r="W268">
        <f t="shared" si="9"/>
        <v>18.5</v>
      </c>
      <c r="X268">
        <v>-53.446666999999998</v>
      </c>
      <c r="Y268">
        <v>-29.5625</v>
      </c>
      <c r="Z268" t="s">
        <v>105</v>
      </c>
      <c r="AA268" t="s">
        <v>783</v>
      </c>
      <c r="AB268" t="s">
        <v>784</v>
      </c>
      <c r="AC268" t="s">
        <v>1178</v>
      </c>
      <c r="AD268" t="s">
        <v>785</v>
      </c>
      <c r="AE268" t="s">
        <v>786</v>
      </c>
      <c r="AG268" t="s">
        <v>787</v>
      </c>
      <c r="AH268" t="s">
        <v>72</v>
      </c>
      <c r="AI268" t="s">
        <v>2269</v>
      </c>
      <c r="AJ268">
        <v>2003</v>
      </c>
      <c r="AK268" t="s">
        <v>1180</v>
      </c>
      <c r="AN268" t="s">
        <v>76</v>
      </c>
      <c r="AO268" t="s">
        <v>77</v>
      </c>
      <c r="AP268" t="s">
        <v>78</v>
      </c>
      <c r="AQ268" t="s">
        <v>1181</v>
      </c>
      <c r="AR268" t="s">
        <v>80</v>
      </c>
      <c r="AS268">
        <v>201</v>
      </c>
      <c r="AT268" t="s">
        <v>81</v>
      </c>
      <c r="AU268">
        <v>-6.86</v>
      </c>
      <c r="AV268">
        <v>-38.53</v>
      </c>
      <c r="AW268" t="s">
        <v>82</v>
      </c>
      <c r="AX268">
        <v>202</v>
      </c>
      <c r="AY268" t="s">
        <v>81</v>
      </c>
      <c r="AZ268">
        <v>-15.62</v>
      </c>
      <c r="BA268">
        <v>-36.979999999999997</v>
      </c>
      <c r="BB268" t="s">
        <v>83</v>
      </c>
    </row>
    <row r="269" spans="1:54" x14ac:dyDescent="0.4">
      <c r="A269">
        <v>811801</v>
      </c>
      <c r="D269" t="s">
        <v>54</v>
      </c>
      <c r="G269">
        <v>1</v>
      </c>
      <c r="H269" t="s">
        <v>56</v>
      </c>
      <c r="I269" t="s">
        <v>57</v>
      </c>
      <c r="K269" t="s">
        <v>132</v>
      </c>
      <c r="L269" t="s">
        <v>133</v>
      </c>
      <c r="M269" t="s">
        <v>60</v>
      </c>
      <c r="N269" t="s">
        <v>119</v>
      </c>
      <c r="O269" t="s">
        <v>134</v>
      </c>
      <c r="P269" t="s">
        <v>62</v>
      </c>
      <c r="R269" t="s">
        <v>63</v>
      </c>
      <c r="S269" t="s">
        <v>64</v>
      </c>
      <c r="T269">
        <v>227</v>
      </c>
      <c r="U269">
        <v>208.5</v>
      </c>
      <c r="V269">
        <f t="shared" si="8"/>
        <v>217.75</v>
      </c>
      <c r="W269">
        <f t="shared" si="9"/>
        <v>18.5</v>
      </c>
      <c r="X269">
        <v>-53.446666999999998</v>
      </c>
      <c r="Y269">
        <v>-29.5625</v>
      </c>
      <c r="Z269" t="s">
        <v>105</v>
      </c>
      <c r="AA269" t="s">
        <v>783</v>
      </c>
      <c r="AB269" t="s">
        <v>784</v>
      </c>
      <c r="AC269" t="s">
        <v>1178</v>
      </c>
      <c r="AD269" t="s">
        <v>785</v>
      </c>
      <c r="AE269" t="s">
        <v>786</v>
      </c>
      <c r="AG269" t="s">
        <v>787</v>
      </c>
      <c r="AH269" t="s">
        <v>72</v>
      </c>
      <c r="AI269" t="s">
        <v>2270</v>
      </c>
      <c r="AJ269">
        <v>2006</v>
      </c>
      <c r="AK269" t="s">
        <v>1180</v>
      </c>
      <c r="AN269" t="s">
        <v>76</v>
      </c>
      <c r="AO269" t="s">
        <v>77</v>
      </c>
      <c r="AP269" t="s">
        <v>78</v>
      </c>
      <c r="AQ269" t="s">
        <v>1181</v>
      </c>
      <c r="AR269" t="s">
        <v>80</v>
      </c>
      <c r="AS269">
        <v>201</v>
      </c>
      <c r="AT269" t="s">
        <v>81</v>
      </c>
      <c r="AU269">
        <v>-6.86</v>
      </c>
      <c r="AV269">
        <v>-38.53</v>
      </c>
      <c r="AW269" t="s">
        <v>82</v>
      </c>
      <c r="AX269">
        <v>202</v>
      </c>
      <c r="AY269" t="s">
        <v>81</v>
      </c>
      <c r="AZ269">
        <v>-15.62</v>
      </c>
      <c r="BA269">
        <v>-36.979999999999997</v>
      </c>
      <c r="BB269" t="s">
        <v>83</v>
      </c>
    </row>
    <row r="270" spans="1:54" x14ac:dyDescent="0.4">
      <c r="A270">
        <v>811801</v>
      </c>
      <c r="D270" t="s">
        <v>54</v>
      </c>
      <c r="G270">
        <v>1</v>
      </c>
      <c r="H270" t="s">
        <v>56</v>
      </c>
      <c r="I270" t="s">
        <v>57</v>
      </c>
      <c r="K270" t="s">
        <v>132</v>
      </c>
      <c r="L270" t="s">
        <v>133</v>
      </c>
      <c r="M270" t="s">
        <v>60</v>
      </c>
      <c r="N270" t="s">
        <v>119</v>
      </c>
      <c r="O270" t="s">
        <v>134</v>
      </c>
      <c r="P270" t="s">
        <v>62</v>
      </c>
      <c r="R270" t="s">
        <v>63</v>
      </c>
      <c r="S270" t="s">
        <v>64</v>
      </c>
      <c r="T270">
        <v>227</v>
      </c>
      <c r="U270">
        <v>208.5</v>
      </c>
      <c r="V270">
        <f t="shared" si="8"/>
        <v>217.75</v>
      </c>
      <c r="W270">
        <f t="shared" si="9"/>
        <v>18.5</v>
      </c>
      <c r="X270">
        <v>-53.446666999999998</v>
      </c>
      <c r="Y270">
        <v>-29.5625</v>
      </c>
      <c r="Z270" t="s">
        <v>105</v>
      </c>
      <c r="AA270" t="s">
        <v>783</v>
      </c>
      <c r="AB270" t="s">
        <v>784</v>
      </c>
      <c r="AC270" t="s">
        <v>1178</v>
      </c>
      <c r="AD270" t="s">
        <v>785</v>
      </c>
      <c r="AE270" t="s">
        <v>786</v>
      </c>
      <c r="AG270" t="s">
        <v>787</v>
      </c>
      <c r="AH270" t="s">
        <v>72</v>
      </c>
      <c r="AI270" t="s">
        <v>2270</v>
      </c>
      <c r="AJ270">
        <v>2006</v>
      </c>
      <c r="AK270" t="s">
        <v>1180</v>
      </c>
      <c r="AN270" t="s">
        <v>76</v>
      </c>
      <c r="AO270" t="s">
        <v>77</v>
      </c>
      <c r="AP270" t="s">
        <v>78</v>
      </c>
      <c r="AQ270" t="s">
        <v>1181</v>
      </c>
      <c r="AR270" t="s">
        <v>80</v>
      </c>
      <c r="AS270">
        <v>201</v>
      </c>
      <c r="AT270" t="s">
        <v>81</v>
      </c>
      <c r="AU270">
        <v>-6.86</v>
      </c>
      <c r="AV270">
        <v>-38.53</v>
      </c>
      <c r="AW270" t="s">
        <v>82</v>
      </c>
      <c r="AX270">
        <v>202</v>
      </c>
      <c r="AY270" t="s">
        <v>81</v>
      </c>
      <c r="AZ270">
        <v>-15.62</v>
      </c>
      <c r="BA270">
        <v>-36.979999999999997</v>
      </c>
      <c r="BB270" t="s">
        <v>83</v>
      </c>
    </row>
    <row r="271" spans="1:54" x14ac:dyDescent="0.4">
      <c r="A271">
        <v>811801</v>
      </c>
      <c r="D271" t="s">
        <v>54</v>
      </c>
      <c r="G271">
        <v>1</v>
      </c>
      <c r="H271" t="s">
        <v>56</v>
      </c>
      <c r="I271" t="s">
        <v>57</v>
      </c>
      <c r="K271" t="s">
        <v>132</v>
      </c>
      <c r="L271" t="s">
        <v>133</v>
      </c>
      <c r="M271" t="s">
        <v>60</v>
      </c>
      <c r="N271" t="s">
        <v>119</v>
      </c>
      <c r="O271" t="s">
        <v>134</v>
      </c>
      <c r="P271" t="s">
        <v>62</v>
      </c>
      <c r="R271" t="s">
        <v>63</v>
      </c>
      <c r="S271" t="s">
        <v>64</v>
      </c>
      <c r="T271">
        <v>227</v>
      </c>
      <c r="U271">
        <v>208.5</v>
      </c>
      <c r="V271">
        <f t="shared" si="8"/>
        <v>217.75</v>
      </c>
      <c r="W271">
        <f t="shared" si="9"/>
        <v>18.5</v>
      </c>
      <c r="X271">
        <v>-53.446666999999998</v>
      </c>
      <c r="Y271">
        <v>-29.5625</v>
      </c>
      <c r="Z271" t="s">
        <v>105</v>
      </c>
      <c r="AA271" t="s">
        <v>783</v>
      </c>
      <c r="AB271" t="s">
        <v>784</v>
      </c>
      <c r="AC271" t="s">
        <v>1178</v>
      </c>
      <c r="AD271" t="s">
        <v>785</v>
      </c>
      <c r="AE271" t="s">
        <v>786</v>
      </c>
      <c r="AG271" t="s">
        <v>787</v>
      </c>
      <c r="AH271" t="s">
        <v>72</v>
      </c>
      <c r="AI271" t="s">
        <v>2270</v>
      </c>
      <c r="AJ271">
        <v>2006</v>
      </c>
      <c r="AK271" t="s">
        <v>1180</v>
      </c>
      <c r="AN271" t="s">
        <v>76</v>
      </c>
      <c r="AO271" t="s">
        <v>77</v>
      </c>
      <c r="AP271" t="s">
        <v>78</v>
      </c>
      <c r="AQ271" t="s">
        <v>1181</v>
      </c>
      <c r="AR271" t="s">
        <v>80</v>
      </c>
      <c r="AS271">
        <v>201</v>
      </c>
      <c r="AT271" t="s">
        <v>81</v>
      </c>
      <c r="AU271">
        <v>-6.86</v>
      </c>
      <c r="AV271">
        <v>-38.53</v>
      </c>
      <c r="AW271" t="s">
        <v>82</v>
      </c>
      <c r="AX271">
        <v>202</v>
      </c>
      <c r="AY271" t="s">
        <v>81</v>
      </c>
      <c r="AZ271">
        <v>-15.62</v>
      </c>
      <c r="BA271">
        <v>-36.979999999999997</v>
      </c>
      <c r="BB271" t="s">
        <v>83</v>
      </c>
    </row>
    <row r="272" spans="1:54" x14ac:dyDescent="0.4">
      <c r="A272">
        <v>811801</v>
      </c>
      <c r="D272" t="s">
        <v>54</v>
      </c>
      <c r="G272">
        <v>1</v>
      </c>
      <c r="H272" t="s">
        <v>56</v>
      </c>
      <c r="I272" t="s">
        <v>57</v>
      </c>
      <c r="K272" t="s">
        <v>132</v>
      </c>
      <c r="L272" t="s">
        <v>133</v>
      </c>
      <c r="M272" t="s">
        <v>60</v>
      </c>
      <c r="N272" t="s">
        <v>119</v>
      </c>
      <c r="O272" t="s">
        <v>134</v>
      </c>
      <c r="P272" t="s">
        <v>62</v>
      </c>
      <c r="R272" t="s">
        <v>63</v>
      </c>
      <c r="S272" t="s">
        <v>64</v>
      </c>
      <c r="T272">
        <v>227</v>
      </c>
      <c r="U272">
        <v>208.5</v>
      </c>
      <c r="V272">
        <f t="shared" si="8"/>
        <v>217.75</v>
      </c>
      <c r="W272">
        <f t="shared" si="9"/>
        <v>18.5</v>
      </c>
      <c r="X272">
        <v>-53.446666999999998</v>
      </c>
      <c r="Y272">
        <v>-29.5625</v>
      </c>
      <c r="Z272" t="s">
        <v>105</v>
      </c>
      <c r="AA272" t="s">
        <v>783</v>
      </c>
      <c r="AB272" t="s">
        <v>784</v>
      </c>
      <c r="AC272" t="s">
        <v>1178</v>
      </c>
      <c r="AD272" t="s">
        <v>785</v>
      </c>
      <c r="AE272" t="s">
        <v>786</v>
      </c>
      <c r="AG272" t="s">
        <v>787</v>
      </c>
      <c r="AH272" t="s">
        <v>72</v>
      </c>
      <c r="AI272" t="s">
        <v>2270</v>
      </c>
      <c r="AJ272">
        <v>2006</v>
      </c>
      <c r="AK272" t="s">
        <v>1180</v>
      </c>
      <c r="AN272" t="s">
        <v>76</v>
      </c>
      <c r="AO272" t="s">
        <v>77</v>
      </c>
      <c r="AP272" t="s">
        <v>78</v>
      </c>
      <c r="AQ272" t="s">
        <v>1181</v>
      </c>
      <c r="AR272" t="s">
        <v>80</v>
      </c>
      <c r="AS272">
        <v>201</v>
      </c>
      <c r="AT272" t="s">
        <v>81</v>
      </c>
      <c r="AU272">
        <v>-6.86</v>
      </c>
      <c r="AV272">
        <v>-38.53</v>
      </c>
      <c r="AW272" t="s">
        <v>82</v>
      </c>
      <c r="AX272">
        <v>202</v>
      </c>
      <c r="AY272" t="s">
        <v>81</v>
      </c>
      <c r="AZ272">
        <v>-15.62</v>
      </c>
      <c r="BA272">
        <v>-36.979999999999997</v>
      </c>
      <c r="BB272" t="s">
        <v>83</v>
      </c>
    </row>
    <row r="273" spans="1:54" x14ac:dyDescent="0.4">
      <c r="A273">
        <v>811801</v>
      </c>
      <c r="D273" t="s">
        <v>54</v>
      </c>
      <c r="G273">
        <v>1</v>
      </c>
      <c r="H273" t="s">
        <v>56</v>
      </c>
      <c r="I273" t="s">
        <v>57</v>
      </c>
      <c r="K273" t="s">
        <v>132</v>
      </c>
      <c r="L273" t="s">
        <v>133</v>
      </c>
      <c r="M273" t="s">
        <v>60</v>
      </c>
      <c r="N273" t="s">
        <v>119</v>
      </c>
      <c r="O273" t="s">
        <v>134</v>
      </c>
      <c r="P273" t="s">
        <v>62</v>
      </c>
      <c r="R273" t="s">
        <v>63</v>
      </c>
      <c r="S273" t="s">
        <v>64</v>
      </c>
      <c r="T273">
        <v>227</v>
      </c>
      <c r="U273">
        <v>208.5</v>
      </c>
      <c r="V273">
        <f t="shared" si="8"/>
        <v>217.75</v>
      </c>
      <c r="W273">
        <f t="shared" si="9"/>
        <v>18.5</v>
      </c>
      <c r="X273">
        <v>-53.446666999999998</v>
      </c>
      <c r="Y273">
        <v>-29.5625</v>
      </c>
      <c r="Z273" t="s">
        <v>105</v>
      </c>
      <c r="AA273" t="s">
        <v>783</v>
      </c>
      <c r="AB273" t="s">
        <v>784</v>
      </c>
      <c r="AC273" t="s">
        <v>1178</v>
      </c>
      <c r="AD273" t="s">
        <v>785</v>
      </c>
      <c r="AE273" t="s">
        <v>786</v>
      </c>
      <c r="AG273" t="s">
        <v>787</v>
      </c>
      <c r="AH273" t="s">
        <v>72</v>
      </c>
      <c r="AI273" t="s">
        <v>2270</v>
      </c>
      <c r="AJ273">
        <v>2006</v>
      </c>
      <c r="AK273" t="s">
        <v>1180</v>
      </c>
      <c r="AN273" t="s">
        <v>76</v>
      </c>
      <c r="AO273" t="s">
        <v>77</v>
      </c>
      <c r="AP273" t="s">
        <v>78</v>
      </c>
      <c r="AQ273" t="s">
        <v>1181</v>
      </c>
      <c r="AR273" t="s">
        <v>80</v>
      </c>
      <c r="AS273">
        <v>201</v>
      </c>
      <c r="AT273" t="s">
        <v>81</v>
      </c>
      <c r="AU273">
        <v>-6.86</v>
      </c>
      <c r="AV273">
        <v>-38.53</v>
      </c>
      <c r="AW273" t="s">
        <v>82</v>
      </c>
      <c r="AX273">
        <v>202</v>
      </c>
      <c r="AY273" t="s">
        <v>81</v>
      </c>
      <c r="AZ273">
        <v>-15.62</v>
      </c>
      <c r="BA273">
        <v>-36.979999999999997</v>
      </c>
      <c r="BB273" t="s">
        <v>83</v>
      </c>
    </row>
    <row r="274" spans="1:54" x14ac:dyDescent="0.4">
      <c r="A274">
        <v>811801</v>
      </c>
      <c r="D274" t="s">
        <v>54</v>
      </c>
      <c r="G274">
        <v>1</v>
      </c>
      <c r="H274" t="s">
        <v>56</v>
      </c>
      <c r="I274" t="s">
        <v>57</v>
      </c>
      <c r="K274" t="s">
        <v>132</v>
      </c>
      <c r="L274" t="s">
        <v>133</v>
      </c>
      <c r="M274" t="s">
        <v>60</v>
      </c>
      <c r="N274" t="s">
        <v>119</v>
      </c>
      <c r="O274" t="s">
        <v>134</v>
      </c>
      <c r="P274" t="s">
        <v>62</v>
      </c>
      <c r="R274" t="s">
        <v>63</v>
      </c>
      <c r="S274" t="s">
        <v>64</v>
      </c>
      <c r="T274">
        <v>227</v>
      </c>
      <c r="U274">
        <v>208.5</v>
      </c>
      <c r="V274">
        <f t="shared" si="8"/>
        <v>217.75</v>
      </c>
      <c r="W274">
        <f t="shared" si="9"/>
        <v>18.5</v>
      </c>
      <c r="X274">
        <v>-53.446666999999998</v>
      </c>
      <c r="Y274">
        <v>-29.5625</v>
      </c>
      <c r="Z274" t="s">
        <v>105</v>
      </c>
      <c r="AA274" t="s">
        <v>783</v>
      </c>
      <c r="AB274" t="s">
        <v>784</v>
      </c>
      <c r="AC274" t="s">
        <v>1178</v>
      </c>
      <c r="AD274" t="s">
        <v>785</v>
      </c>
      <c r="AE274" t="s">
        <v>786</v>
      </c>
      <c r="AG274" t="s">
        <v>787</v>
      </c>
      <c r="AH274" t="s">
        <v>72</v>
      </c>
      <c r="AI274" t="s">
        <v>2270</v>
      </c>
      <c r="AJ274">
        <v>2006</v>
      </c>
      <c r="AK274" t="s">
        <v>1180</v>
      </c>
      <c r="AN274" t="s">
        <v>76</v>
      </c>
      <c r="AO274" t="s">
        <v>77</v>
      </c>
      <c r="AP274" t="s">
        <v>78</v>
      </c>
      <c r="AQ274" t="s">
        <v>1181</v>
      </c>
      <c r="AR274" t="s">
        <v>80</v>
      </c>
      <c r="AS274">
        <v>201</v>
      </c>
      <c r="AT274" t="s">
        <v>81</v>
      </c>
      <c r="AU274">
        <v>-6.86</v>
      </c>
      <c r="AV274">
        <v>-38.53</v>
      </c>
      <c r="AW274" t="s">
        <v>82</v>
      </c>
      <c r="AX274">
        <v>202</v>
      </c>
      <c r="AY274" t="s">
        <v>81</v>
      </c>
      <c r="AZ274">
        <v>-15.62</v>
      </c>
      <c r="BA274">
        <v>-36.979999999999997</v>
      </c>
      <c r="BB274" t="s">
        <v>83</v>
      </c>
    </row>
    <row r="275" spans="1:54" x14ac:dyDescent="0.4">
      <c r="A275">
        <v>811801</v>
      </c>
      <c r="D275" t="s">
        <v>54</v>
      </c>
      <c r="G275">
        <v>1</v>
      </c>
      <c r="H275" t="s">
        <v>56</v>
      </c>
      <c r="I275" t="s">
        <v>57</v>
      </c>
      <c r="K275" t="s">
        <v>132</v>
      </c>
      <c r="L275" t="s">
        <v>133</v>
      </c>
      <c r="M275" t="s">
        <v>60</v>
      </c>
      <c r="N275" t="s">
        <v>119</v>
      </c>
      <c r="O275" t="s">
        <v>134</v>
      </c>
      <c r="P275" t="s">
        <v>62</v>
      </c>
      <c r="R275" t="s">
        <v>63</v>
      </c>
      <c r="S275" t="s">
        <v>64</v>
      </c>
      <c r="T275">
        <v>227</v>
      </c>
      <c r="U275">
        <v>208.5</v>
      </c>
      <c r="V275">
        <f t="shared" si="8"/>
        <v>217.75</v>
      </c>
      <c r="W275">
        <f t="shared" si="9"/>
        <v>18.5</v>
      </c>
      <c r="X275">
        <v>-53.446666999999998</v>
      </c>
      <c r="Y275">
        <v>-29.5625</v>
      </c>
      <c r="Z275" t="s">
        <v>105</v>
      </c>
      <c r="AA275" t="s">
        <v>783</v>
      </c>
      <c r="AB275" t="s">
        <v>784</v>
      </c>
      <c r="AC275" t="s">
        <v>1178</v>
      </c>
      <c r="AD275" t="s">
        <v>785</v>
      </c>
      <c r="AE275" t="s">
        <v>786</v>
      </c>
      <c r="AG275" t="s">
        <v>787</v>
      </c>
      <c r="AH275" t="s">
        <v>72</v>
      </c>
      <c r="AI275" t="s">
        <v>2270</v>
      </c>
      <c r="AJ275">
        <v>2006</v>
      </c>
      <c r="AK275" t="s">
        <v>1180</v>
      </c>
      <c r="AN275" t="s">
        <v>76</v>
      </c>
      <c r="AO275" t="s">
        <v>77</v>
      </c>
      <c r="AP275" t="s">
        <v>78</v>
      </c>
      <c r="AQ275" t="s">
        <v>1181</v>
      </c>
      <c r="AR275" t="s">
        <v>80</v>
      </c>
      <c r="AS275">
        <v>201</v>
      </c>
      <c r="AT275" t="s">
        <v>81</v>
      </c>
      <c r="AU275">
        <v>-6.86</v>
      </c>
      <c r="AV275">
        <v>-38.53</v>
      </c>
      <c r="AW275" t="s">
        <v>82</v>
      </c>
      <c r="AX275">
        <v>202</v>
      </c>
      <c r="AY275" t="s">
        <v>81</v>
      </c>
      <c r="AZ275">
        <v>-15.62</v>
      </c>
      <c r="BA275">
        <v>-36.979999999999997</v>
      </c>
      <c r="BB275" t="s">
        <v>83</v>
      </c>
    </row>
    <row r="276" spans="1:54" x14ac:dyDescent="0.4">
      <c r="A276">
        <v>811801</v>
      </c>
      <c r="D276" t="s">
        <v>54</v>
      </c>
      <c r="G276">
        <v>1</v>
      </c>
      <c r="H276" t="s">
        <v>56</v>
      </c>
      <c r="I276" t="s">
        <v>57</v>
      </c>
      <c r="K276" t="s">
        <v>132</v>
      </c>
      <c r="L276" t="s">
        <v>133</v>
      </c>
      <c r="M276" t="s">
        <v>60</v>
      </c>
      <c r="N276" t="s">
        <v>119</v>
      </c>
      <c r="O276" t="s">
        <v>134</v>
      </c>
      <c r="P276" t="s">
        <v>62</v>
      </c>
      <c r="R276" t="s">
        <v>63</v>
      </c>
      <c r="S276" t="s">
        <v>64</v>
      </c>
      <c r="T276">
        <v>227</v>
      </c>
      <c r="U276">
        <v>208.5</v>
      </c>
      <c r="V276">
        <f t="shared" si="8"/>
        <v>217.75</v>
      </c>
      <c r="W276">
        <f t="shared" si="9"/>
        <v>18.5</v>
      </c>
      <c r="X276">
        <v>-53.446666999999998</v>
      </c>
      <c r="Y276">
        <v>-29.5625</v>
      </c>
      <c r="Z276" t="s">
        <v>105</v>
      </c>
      <c r="AA276" t="s">
        <v>783</v>
      </c>
      <c r="AB276" t="s">
        <v>784</v>
      </c>
      <c r="AC276" t="s">
        <v>1178</v>
      </c>
      <c r="AD276" t="s">
        <v>785</v>
      </c>
      <c r="AE276" t="s">
        <v>786</v>
      </c>
      <c r="AG276" t="s">
        <v>787</v>
      </c>
      <c r="AH276" t="s">
        <v>72</v>
      </c>
      <c r="AI276" t="s">
        <v>2270</v>
      </c>
      <c r="AJ276">
        <v>2006</v>
      </c>
      <c r="AK276" t="s">
        <v>1180</v>
      </c>
      <c r="AN276" t="s">
        <v>76</v>
      </c>
      <c r="AO276" t="s">
        <v>77</v>
      </c>
      <c r="AP276" t="s">
        <v>78</v>
      </c>
      <c r="AQ276" t="s">
        <v>1181</v>
      </c>
      <c r="AR276" t="s">
        <v>80</v>
      </c>
      <c r="AS276">
        <v>201</v>
      </c>
      <c r="AT276" t="s">
        <v>81</v>
      </c>
      <c r="AU276">
        <v>-6.86</v>
      </c>
      <c r="AV276">
        <v>-38.53</v>
      </c>
      <c r="AW276" t="s">
        <v>82</v>
      </c>
      <c r="AX276">
        <v>202</v>
      </c>
      <c r="AY276" t="s">
        <v>81</v>
      </c>
      <c r="AZ276">
        <v>-15.62</v>
      </c>
      <c r="BA276">
        <v>-36.979999999999997</v>
      </c>
      <c r="BB276" t="s">
        <v>83</v>
      </c>
    </row>
    <row r="277" spans="1:54" x14ac:dyDescent="0.4">
      <c r="A277">
        <v>811801</v>
      </c>
      <c r="D277" t="s">
        <v>54</v>
      </c>
      <c r="G277">
        <v>1</v>
      </c>
      <c r="H277" t="s">
        <v>56</v>
      </c>
      <c r="I277" t="s">
        <v>57</v>
      </c>
      <c r="K277" t="s">
        <v>132</v>
      </c>
      <c r="L277" t="s">
        <v>133</v>
      </c>
      <c r="M277" t="s">
        <v>60</v>
      </c>
      <c r="N277" t="s">
        <v>119</v>
      </c>
      <c r="O277" t="s">
        <v>134</v>
      </c>
      <c r="P277" t="s">
        <v>62</v>
      </c>
      <c r="R277" t="s">
        <v>63</v>
      </c>
      <c r="S277" t="s">
        <v>64</v>
      </c>
      <c r="T277">
        <v>227</v>
      </c>
      <c r="U277">
        <v>208.5</v>
      </c>
      <c r="V277">
        <f t="shared" si="8"/>
        <v>217.75</v>
      </c>
      <c r="W277">
        <f t="shared" si="9"/>
        <v>18.5</v>
      </c>
      <c r="X277">
        <v>-53.446666999999998</v>
      </c>
      <c r="Y277">
        <v>-29.5625</v>
      </c>
      <c r="Z277" t="s">
        <v>105</v>
      </c>
      <c r="AA277" t="s">
        <v>783</v>
      </c>
      <c r="AB277" t="s">
        <v>784</v>
      </c>
      <c r="AC277" t="s">
        <v>1178</v>
      </c>
      <c r="AD277" t="s">
        <v>785</v>
      </c>
      <c r="AE277" t="s">
        <v>786</v>
      </c>
      <c r="AG277" t="s">
        <v>787</v>
      </c>
      <c r="AH277" t="s">
        <v>72</v>
      </c>
      <c r="AI277" t="s">
        <v>2270</v>
      </c>
      <c r="AJ277">
        <v>2006</v>
      </c>
      <c r="AK277" t="s">
        <v>1180</v>
      </c>
      <c r="AN277" t="s">
        <v>76</v>
      </c>
      <c r="AO277" t="s">
        <v>77</v>
      </c>
      <c r="AP277" t="s">
        <v>78</v>
      </c>
      <c r="AQ277" t="s">
        <v>1181</v>
      </c>
      <c r="AR277" t="s">
        <v>80</v>
      </c>
      <c r="AS277">
        <v>201</v>
      </c>
      <c r="AT277" t="s">
        <v>81</v>
      </c>
      <c r="AU277">
        <v>-6.86</v>
      </c>
      <c r="AV277">
        <v>-38.53</v>
      </c>
      <c r="AW277" t="s">
        <v>82</v>
      </c>
      <c r="AX277">
        <v>202</v>
      </c>
      <c r="AY277" t="s">
        <v>81</v>
      </c>
      <c r="AZ277">
        <v>-15.62</v>
      </c>
      <c r="BA277">
        <v>-36.979999999999997</v>
      </c>
      <c r="BB277" t="s">
        <v>83</v>
      </c>
    </row>
    <row r="278" spans="1:54" x14ac:dyDescent="0.4">
      <c r="A278">
        <v>811801</v>
      </c>
      <c r="D278" t="s">
        <v>54</v>
      </c>
      <c r="G278">
        <v>1</v>
      </c>
      <c r="H278" t="s">
        <v>56</v>
      </c>
      <c r="I278" t="s">
        <v>57</v>
      </c>
      <c r="K278" t="s">
        <v>132</v>
      </c>
      <c r="L278" t="s">
        <v>133</v>
      </c>
      <c r="M278" t="s">
        <v>60</v>
      </c>
      <c r="N278" t="s">
        <v>119</v>
      </c>
      <c r="O278" t="s">
        <v>134</v>
      </c>
      <c r="P278" t="s">
        <v>62</v>
      </c>
      <c r="R278" t="s">
        <v>63</v>
      </c>
      <c r="S278" t="s">
        <v>64</v>
      </c>
      <c r="T278">
        <v>227</v>
      </c>
      <c r="U278">
        <v>208.5</v>
      </c>
      <c r="V278">
        <f t="shared" si="8"/>
        <v>217.75</v>
      </c>
      <c r="W278">
        <f t="shared" si="9"/>
        <v>18.5</v>
      </c>
      <c r="X278">
        <v>-53.446666999999998</v>
      </c>
      <c r="Y278">
        <v>-29.5625</v>
      </c>
      <c r="Z278" t="s">
        <v>105</v>
      </c>
      <c r="AA278" t="s">
        <v>783</v>
      </c>
      <c r="AB278" t="s">
        <v>784</v>
      </c>
      <c r="AC278" t="s">
        <v>1178</v>
      </c>
      <c r="AD278" t="s">
        <v>785</v>
      </c>
      <c r="AE278" t="s">
        <v>786</v>
      </c>
      <c r="AG278" t="s">
        <v>787</v>
      </c>
      <c r="AH278" t="s">
        <v>72</v>
      </c>
      <c r="AI278" t="s">
        <v>2270</v>
      </c>
      <c r="AJ278">
        <v>2006</v>
      </c>
      <c r="AK278" t="s">
        <v>1180</v>
      </c>
      <c r="AN278" t="s">
        <v>76</v>
      </c>
      <c r="AO278" t="s">
        <v>77</v>
      </c>
      <c r="AP278" t="s">
        <v>78</v>
      </c>
      <c r="AQ278" t="s">
        <v>1181</v>
      </c>
      <c r="AR278" t="s">
        <v>80</v>
      </c>
      <c r="AS278">
        <v>201</v>
      </c>
      <c r="AT278" t="s">
        <v>81</v>
      </c>
      <c r="AU278">
        <v>-6.86</v>
      </c>
      <c r="AV278">
        <v>-38.53</v>
      </c>
      <c r="AW278" t="s">
        <v>82</v>
      </c>
      <c r="AX278">
        <v>202</v>
      </c>
      <c r="AY278" t="s">
        <v>81</v>
      </c>
      <c r="AZ278">
        <v>-15.62</v>
      </c>
      <c r="BA278">
        <v>-36.979999999999997</v>
      </c>
      <c r="BB278" t="s">
        <v>83</v>
      </c>
    </row>
    <row r="279" spans="1:54" x14ac:dyDescent="0.4">
      <c r="A279">
        <v>811801</v>
      </c>
      <c r="D279" t="s">
        <v>54</v>
      </c>
      <c r="G279">
        <v>1</v>
      </c>
      <c r="H279" t="s">
        <v>56</v>
      </c>
      <c r="I279" t="s">
        <v>57</v>
      </c>
      <c r="K279" t="s">
        <v>132</v>
      </c>
      <c r="L279" t="s">
        <v>133</v>
      </c>
      <c r="M279" t="s">
        <v>60</v>
      </c>
      <c r="N279" t="s">
        <v>119</v>
      </c>
      <c r="O279" t="s">
        <v>134</v>
      </c>
      <c r="P279" t="s">
        <v>62</v>
      </c>
      <c r="R279" t="s">
        <v>63</v>
      </c>
      <c r="S279" t="s">
        <v>64</v>
      </c>
      <c r="T279">
        <v>227</v>
      </c>
      <c r="U279">
        <v>208.5</v>
      </c>
      <c r="V279">
        <f t="shared" si="8"/>
        <v>217.75</v>
      </c>
      <c r="W279">
        <f t="shared" si="9"/>
        <v>18.5</v>
      </c>
      <c r="X279">
        <v>-53.446666999999998</v>
      </c>
      <c r="Y279">
        <v>-29.5625</v>
      </c>
      <c r="Z279" t="s">
        <v>105</v>
      </c>
      <c r="AA279" t="s">
        <v>783</v>
      </c>
      <c r="AB279" t="s">
        <v>784</v>
      </c>
      <c r="AC279" t="s">
        <v>1178</v>
      </c>
      <c r="AD279" t="s">
        <v>785</v>
      </c>
      <c r="AE279" t="s">
        <v>786</v>
      </c>
      <c r="AG279" t="s">
        <v>787</v>
      </c>
      <c r="AH279" t="s">
        <v>72</v>
      </c>
      <c r="AI279" t="s">
        <v>2270</v>
      </c>
      <c r="AJ279">
        <v>2006</v>
      </c>
      <c r="AK279" t="s">
        <v>1180</v>
      </c>
      <c r="AN279" t="s">
        <v>76</v>
      </c>
      <c r="AO279" t="s">
        <v>77</v>
      </c>
      <c r="AP279" t="s">
        <v>78</v>
      </c>
      <c r="AQ279" t="s">
        <v>1181</v>
      </c>
      <c r="AR279" t="s">
        <v>80</v>
      </c>
      <c r="AS279">
        <v>201</v>
      </c>
      <c r="AT279" t="s">
        <v>81</v>
      </c>
      <c r="AU279">
        <v>-6.86</v>
      </c>
      <c r="AV279">
        <v>-38.53</v>
      </c>
      <c r="AW279" t="s">
        <v>82</v>
      </c>
      <c r="AX279">
        <v>202</v>
      </c>
      <c r="AY279" t="s">
        <v>81</v>
      </c>
      <c r="AZ279">
        <v>-15.62</v>
      </c>
      <c r="BA279">
        <v>-36.979999999999997</v>
      </c>
      <c r="BB279" t="s">
        <v>83</v>
      </c>
    </row>
    <row r="280" spans="1:54" x14ac:dyDescent="0.4">
      <c r="A280">
        <v>811801</v>
      </c>
      <c r="D280" t="s">
        <v>54</v>
      </c>
      <c r="G280">
        <v>1</v>
      </c>
      <c r="H280" t="s">
        <v>56</v>
      </c>
      <c r="I280" t="s">
        <v>57</v>
      </c>
      <c r="K280" t="s">
        <v>132</v>
      </c>
      <c r="L280" t="s">
        <v>133</v>
      </c>
      <c r="M280" t="s">
        <v>60</v>
      </c>
      <c r="N280" t="s">
        <v>119</v>
      </c>
      <c r="O280" t="s">
        <v>134</v>
      </c>
      <c r="P280" t="s">
        <v>62</v>
      </c>
      <c r="R280" t="s">
        <v>63</v>
      </c>
      <c r="S280" t="s">
        <v>64</v>
      </c>
      <c r="T280">
        <v>227</v>
      </c>
      <c r="U280">
        <v>208.5</v>
      </c>
      <c r="V280">
        <f t="shared" si="8"/>
        <v>217.75</v>
      </c>
      <c r="W280">
        <f t="shared" si="9"/>
        <v>18.5</v>
      </c>
      <c r="X280">
        <v>-53.446666999999998</v>
      </c>
      <c r="Y280">
        <v>-29.5625</v>
      </c>
      <c r="Z280" t="s">
        <v>105</v>
      </c>
      <c r="AA280" t="s">
        <v>783</v>
      </c>
      <c r="AB280" t="s">
        <v>784</v>
      </c>
      <c r="AC280" t="s">
        <v>1178</v>
      </c>
      <c r="AD280" t="s">
        <v>785</v>
      </c>
      <c r="AE280" t="s">
        <v>786</v>
      </c>
      <c r="AG280" t="s">
        <v>787</v>
      </c>
      <c r="AH280" t="s">
        <v>72</v>
      </c>
      <c r="AI280" t="s">
        <v>2270</v>
      </c>
      <c r="AJ280">
        <v>2006</v>
      </c>
      <c r="AK280" t="s">
        <v>1180</v>
      </c>
      <c r="AN280" t="s">
        <v>76</v>
      </c>
      <c r="AO280" t="s">
        <v>77</v>
      </c>
      <c r="AP280" t="s">
        <v>78</v>
      </c>
      <c r="AQ280" t="s">
        <v>1181</v>
      </c>
      <c r="AR280" t="s">
        <v>80</v>
      </c>
      <c r="AS280">
        <v>201</v>
      </c>
      <c r="AT280" t="s">
        <v>81</v>
      </c>
      <c r="AU280">
        <v>-6.86</v>
      </c>
      <c r="AV280">
        <v>-38.53</v>
      </c>
      <c r="AW280" t="s">
        <v>82</v>
      </c>
      <c r="AX280">
        <v>202</v>
      </c>
      <c r="AY280" t="s">
        <v>81</v>
      </c>
      <c r="AZ280">
        <v>-15.62</v>
      </c>
      <c r="BA280">
        <v>-36.979999999999997</v>
      </c>
      <c r="BB280" t="s">
        <v>83</v>
      </c>
    </row>
    <row r="281" spans="1:54" x14ac:dyDescent="0.4">
      <c r="A281">
        <v>811801</v>
      </c>
      <c r="D281" t="s">
        <v>54</v>
      </c>
      <c r="G281">
        <v>1</v>
      </c>
      <c r="H281" t="s">
        <v>56</v>
      </c>
      <c r="I281" t="s">
        <v>57</v>
      </c>
      <c r="K281" t="s">
        <v>132</v>
      </c>
      <c r="L281" t="s">
        <v>133</v>
      </c>
      <c r="M281" t="s">
        <v>60</v>
      </c>
      <c r="N281" t="s">
        <v>119</v>
      </c>
      <c r="O281" t="s">
        <v>134</v>
      </c>
      <c r="P281" t="s">
        <v>62</v>
      </c>
      <c r="R281" t="s">
        <v>63</v>
      </c>
      <c r="S281" t="s">
        <v>64</v>
      </c>
      <c r="T281">
        <v>227</v>
      </c>
      <c r="U281">
        <v>208.5</v>
      </c>
      <c r="V281">
        <f t="shared" si="8"/>
        <v>217.75</v>
      </c>
      <c r="W281">
        <f t="shared" si="9"/>
        <v>18.5</v>
      </c>
      <c r="X281">
        <v>-53.446666999999998</v>
      </c>
      <c r="Y281">
        <v>-29.5625</v>
      </c>
      <c r="Z281" t="s">
        <v>105</v>
      </c>
      <c r="AA281" t="s">
        <v>783</v>
      </c>
      <c r="AB281" t="s">
        <v>784</v>
      </c>
      <c r="AC281" t="s">
        <v>1178</v>
      </c>
      <c r="AD281" t="s">
        <v>785</v>
      </c>
      <c r="AE281" t="s">
        <v>786</v>
      </c>
      <c r="AG281" t="s">
        <v>787</v>
      </c>
      <c r="AH281" t="s">
        <v>72</v>
      </c>
      <c r="AI281" t="s">
        <v>2270</v>
      </c>
      <c r="AJ281">
        <v>2006</v>
      </c>
      <c r="AK281" t="s">
        <v>1180</v>
      </c>
      <c r="AN281" t="s">
        <v>76</v>
      </c>
      <c r="AO281" t="s">
        <v>77</v>
      </c>
      <c r="AP281" t="s">
        <v>78</v>
      </c>
      <c r="AQ281" t="s">
        <v>1181</v>
      </c>
      <c r="AR281" t="s">
        <v>80</v>
      </c>
      <c r="AS281">
        <v>201</v>
      </c>
      <c r="AT281" t="s">
        <v>81</v>
      </c>
      <c r="AU281">
        <v>-6.86</v>
      </c>
      <c r="AV281">
        <v>-38.53</v>
      </c>
      <c r="AW281" t="s">
        <v>82</v>
      </c>
      <c r="AX281">
        <v>202</v>
      </c>
      <c r="AY281" t="s">
        <v>81</v>
      </c>
      <c r="AZ281">
        <v>-15.62</v>
      </c>
      <c r="BA281">
        <v>-36.979999999999997</v>
      </c>
      <c r="BB281" t="s">
        <v>83</v>
      </c>
    </row>
    <row r="282" spans="1:54" x14ac:dyDescent="0.4">
      <c r="A282">
        <v>811801</v>
      </c>
      <c r="D282" t="s">
        <v>54</v>
      </c>
      <c r="G282">
        <v>1</v>
      </c>
      <c r="H282" t="s">
        <v>56</v>
      </c>
      <c r="I282" t="s">
        <v>57</v>
      </c>
      <c r="K282" t="s">
        <v>132</v>
      </c>
      <c r="L282" t="s">
        <v>133</v>
      </c>
      <c r="M282" t="s">
        <v>60</v>
      </c>
      <c r="N282" t="s">
        <v>119</v>
      </c>
      <c r="O282" t="s">
        <v>134</v>
      </c>
      <c r="P282" t="s">
        <v>62</v>
      </c>
      <c r="R282" t="s">
        <v>63</v>
      </c>
      <c r="S282" t="s">
        <v>64</v>
      </c>
      <c r="T282">
        <v>227</v>
      </c>
      <c r="U282">
        <v>208.5</v>
      </c>
      <c r="V282">
        <f t="shared" si="8"/>
        <v>217.75</v>
      </c>
      <c r="W282">
        <f t="shared" si="9"/>
        <v>18.5</v>
      </c>
      <c r="X282">
        <v>-53.446666999999998</v>
      </c>
      <c r="Y282">
        <v>-29.5625</v>
      </c>
      <c r="Z282" t="s">
        <v>105</v>
      </c>
      <c r="AA282" t="s">
        <v>783</v>
      </c>
      <c r="AB282" t="s">
        <v>784</v>
      </c>
      <c r="AC282" t="s">
        <v>1178</v>
      </c>
      <c r="AD282" t="s">
        <v>785</v>
      </c>
      <c r="AE282" t="s">
        <v>786</v>
      </c>
      <c r="AG282" t="s">
        <v>787</v>
      </c>
      <c r="AH282" t="s">
        <v>72</v>
      </c>
      <c r="AI282" t="s">
        <v>2270</v>
      </c>
      <c r="AJ282">
        <v>2006</v>
      </c>
      <c r="AK282" t="s">
        <v>1180</v>
      </c>
      <c r="AN282" t="s">
        <v>76</v>
      </c>
      <c r="AO282" t="s">
        <v>77</v>
      </c>
      <c r="AP282" t="s">
        <v>78</v>
      </c>
      <c r="AQ282" t="s">
        <v>1181</v>
      </c>
      <c r="AR282" t="s">
        <v>80</v>
      </c>
      <c r="AS282">
        <v>201</v>
      </c>
      <c r="AT282" t="s">
        <v>81</v>
      </c>
      <c r="AU282">
        <v>-6.86</v>
      </c>
      <c r="AV282">
        <v>-38.53</v>
      </c>
      <c r="AW282" t="s">
        <v>82</v>
      </c>
      <c r="AX282">
        <v>202</v>
      </c>
      <c r="AY282" t="s">
        <v>81</v>
      </c>
      <c r="AZ282">
        <v>-15.62</v>
      </c>
      <c r="BA282">
        <v>-36.979999999999997</v>
      </c>
      <c r="BB282" t="s">
        <v>83</v>
      </c>
    </row>
    <row r="283" spans="1:54" x14ac:dyDescent="0.4">
      <c r="A283">
        <v>811801</v>
      </c>
      <c r="D283" t="s">
        <v>54</v>
      </c>
      <c r="G283">
        <v>1</v>
      </c>
      <c r="H283" t="s">
        <v>56</v>
      </c>
      <c r="I283" t="s">
        <v>57</v>
      </c>
      <c r="K283" t="s">
        <v>132</v>
      </c>
      <c r="L283" t="s">
        <v>133</v>
      </c>
      <c r="M283" t="s">
        <v>60</v>
      </c>
      <c r="N283" t="s">
        <v>119</v>
      </c>
      <c r="O283" t="s">
        <v>134</v>
      </c>
      <c r="P283" t="s">
        <v>62</v>
      </c>
      <c r="R283" t="s">
        <v>63</v>
      </c>
      <c r="S283" t="s">
        <v>64</v>
      </c>
      <c r="T283">
        <v>227</v>
      </c>
      <c r="U283">
        <v>208.5</v>
      </c>
      <c r="V283">
        <f t="shared" si="8"/>
        <v>217.75</v>
      </c>
      <c r="W283">
        <f t="shared" si="9"/>
        <v>18.5</v>
      </c>
      <c r="X283">
        <v>-53.446666999999998</v>
      </c>
      <c r="Y283">
        <v>-29.5625</v>
      </c>
      <c r="Z283" t="s">
        <v>105</v>
      </c>
      <c r="AA283" t="s">
        <v>783</v>
      </c>
      <c r="AB283" t="s">
        <v>784</v>
      </c>
      <c r="AC283" t="s">
        <v>1178</v>
      </c>
      <c r="AD283" t="s">
        <v>785</v>
      </c>
      <c r="AE283" t="s">
        <v>786</v>
      </c>
      <c r="AG283" t="s">
        <v>787</v>
      </c>
      <c r="AH283" t="s">
        <v>72</v>
      </c>
      <c r="AI283" t="s">
        <v>2270</v>
      </c>
      <c r="AJ283">
        <v>2006</v>
      </c>
      <c r="AK283" t="s">
        <v>1180</v>
      </c>
      <c r="AN283" t="s">
        <v>76</v>
      </c>
      <c r="AO283" t="s">
        <v>77</v>
      </c>
      <c r="AP283" t="s">
        <v>78</v>
      </c>
      <c r="AQ283" t="s">
        <v>1181</v>
      </c>
      <c r="AR283" t="s">
        <v>80</v>
      </c>
      <c r="AS283">
        <v>201</v>
      </c>
      <c r="AT283" t="s">
        <v>81</v>
      </c>
      <c r="AU283">
        <v>-6.86</v>
      </c>
      <c r="AV283">
        <v>-38.53</v>
      </c>
      <c r="AW283" t="s">
        <v>82</v>
      </c>
      <c r="AX283">
        <v>202</v>
      </c>
      <c r="AY283" t="s">
        <v>81</v>
      </c>
      <c r="AZ283">
        <v>-15.62</v>
      </c>
      <c r="BA283">
        <v>-36.979999999999997</v>
      </c>
      <c r="BB283" t="s">
        <v>83</v>
      </c>
    </row>
    <row r="284" spans="1:54" x14ac:dyDescent="0.4">
      <c r="A284">
        <v>811801</v>
      </c>
      <c r="D284" t="s">
        <v>54</v>
      </c>
      <c r="G284">
        <v>1</v>
      </c>
      <c r="H284" t="s">
        <v>56</v>
      </c>
      <c r="I284" t="s">
        <v>57</v>
      </c>
      <c r="K284" t="s">
        <v>132</v>
      </c>
      <c r="L284" t="s">
        <v>133</v>
      </c>
      <c r="M284" t="s">
        <v>60</v>
      </c>
      <c r="N284" t="s">
        <v>119</v>
      </c>
      <c r="O284" t="s">
        <v>134</v>
      </c>
      <c r="P284" t="s">
        <v>62</v>
      </c>
      <c r="R284" t="s">
        <v>63</v>
      </c>
      <c r="S284" t="s">
        <v>64</v>
      </c>
      <c r="T284">
        <v>227</v>
      </c>
      <c r="U284">
        <v>208.5</v>
      </c>
      <c r="V284">
        <f t="shared" si="8"/>
        <v>217.75</v>
      </c>
      <c r="W284">
        <f t="shared" si="9"/>
        <v>18.5</v>
      </c>
      <c r="X284">
        <v>-53.446666999999998</v>
      </c>
      <c r="Y284">
        <v>-29.5625</v>
      </c>
      <c r="Z284" t="s">
        <v>105</v>
      </c>
      <c r="AA284" t="s">
        <v>783</v>
      </c>
      <c r="AB284" t="s">
        <v>784</v>
      </c>
      <c r="AC284" t="s">
        <v>1178</v>
      </c>
      <c r="AD284" t="s">
        <v>785</v>
      </c>
      <c r="AE284" t="s">
        <v>786</v>
      </c>
      <c r="AG284" t="s">
        <v>787</v>
      </c>
      <c r="AH284" t="s">
        <v>72</v>
      </c>
      <c r="AI284" t="s">
        <v>2270</v>
      </c>
      <c r="AJ284">
        <v>2006</v>
      </c>
      <c r="AK284" t="s">
        <v>1180</v>
      </c>
      <c r="AN284" t="s">
        <v>76</v>
      </c>
      <c r="AO284" t="s">
        <v>77</v>
      </c>
      <c r="AP284" t="s">
        <v>78</v>
      </c>
      <c r="AQ284" t="s">
        <v>1181</v>
      </c>
      <c r="AR284" t="s">
        <v>80</v>
      </c>
      <c r="AS284">
        <v>201</v>
      </c>
      <c r="AT284" t="s">
        <v>81</v>
      </c>
      <c r="AU284">
        <v>-6.86</v>
      </c>
      <c r="AV284">
        <v>-38.53</v>
      </c>
      <c r="AW284" t="s">
        <v>82</v>
      </c>
      <c r="AX284">
        <v>202</v>
      </c>
      <c r="AY284" t="s">
        <v>81</v>
      </c>
      <c r="AZ284">
        <v>-15.62</v>
      </c>
      <c r="BA284">
        <v>-36.979999999999997</v>
      </c>
      <c r="BB284" t="s">
        <v>83</v>
      </c>
    </row>
    <row r="285" spans="1:54" x14ac:dyDescent="0.4">
      <c r="A285">
        <v>812265</v>
      </c>
      <c r="D285" t="s">
        <v>54</v>
      </c>
      <c r="E285" t="s">
        <v>55</v>
      </c>
      <c r="F285" t="s">
        <v>844</v>
      </c>
      <c r="G285">
        <v>1</v>
      </c>
      <c r="H285" t="s">
        <v>84</v>
      </c>
      <c r="I285" t="s">
        <v>57</v>
      </c>
      <c r="K285" t="s">
        <v>323</v>
      </c>
      <c r="L285" t="s">
        <v>1124</v>
      </c>
      <c r="M285" t="s">
        <v>1125</v>
      </c>
      <c r="N285" t="s">
        <v>1126</v>
      </c>
      <c r="O285" t="s">
        <v>87</v>
      </c>
      <c r="P285" t="s">
        <v>62</v>
      </c>
      <c r="R285" t="s">
        <v>63</v>
      </c>
      <c r="S285" t="s">
        <v>64</v>
      </c>
      <c r="T285">
        <v>227</v>
      </c>
      <c r="U285">
        <v>208.5</v>
      </c>
      <c r="V285">
        <f t="shared" si="8"/>
        <v>217.75</v>
      </c>
      <c r="W285">
        <f t="shared" si="9"/>
        <v>18.5</v>
      </c>
      <c r="X285">
        <v>-106.466667</v>
      </c>
      <c r="Y285">
        <v>36.316665999999998</v>
      </c>
      <c r="Z285" t="s">
        <v>198</v>
      </c>
      <c r="AA285" t="s">
        <v>66</v>
      </c>
      <c r="AB285" t="s">
        <v>846</v>
      </c>
      <c r="AC285" t="s">
        <v>847</v>
      </c>
      <c r="AD285" t="s">
        <v>174</v>
      </c>
      <c r="AF285" t="s">
        <v>749</v>
      </c>
      <c r="AH285" t="s">
        <v>72</v>
      </c>
      <c r="AI285" t="s">
        <v>1127</v>
      </c>
      <c r="AJ285">
        <v>2009</v>
      </c>
      <c r="AK285" t="s">
        <v>848</v>
      </c>
      <c r="AN285" t="s">
        <v>849</v>
      </c>
      <c r="AO285" t="s">
        <v>160</v>
      </c>
      <c r="AP285" t="s">
        <v>78</v>
      </c>
      <c r="AQ285" t="s">
        <v>850</v>
      </c>
      <c r="AR285" t="s">
        <v>80</v>
      </c>
      <c r="AS285">
        <v>101</v>
      </c>
      <c r="AT285" t="s">
        <v>81</v>
      </c>
      <c r="AU285">
        <v>-34.64</v>
      </c>
      <c r="AV285">
        <v>11.26</v>
      </c>
      <c r="AW285" t="s">
        <v>82</v>
      </c>
      <c r="AX285">
        <v>133</v>
      </c>
      <c r="AY285" t="s">
        <v>81</v>
      </c>
      <c r="AZ285">
        <v>-49.47</v>
      </c>
      <c r="BA285">
        <v>11.41</v>
      </c>
      <c r="BB285" t="s">
        <v>83</v>
      </c>
    </row>
    <row r="286" spans="1:54" x14ac:dyDescent="0.4">
      <c r="A286">
        <v>812267</v>
      </c>
      <c r="D286" t="s">
        <v>54</v>
      </c>
      <c r="E286" t="s">
        <v>310</v>
      </c>
      <c r="G286">
        <v>2</v>
      </c>
      <c r="H286" t="s">
        <v>84</v>
      </c>
      <c r="I286" t="s">
        <v>57</v>
      </c>
      <c r="K286" t="s">
        <v>206</v>
      </c>
      <c r="L286" t="s">
        <v>851</v>
      </c>
      <c r="M286" t="s">
        <v>60</v>
      </c>
      <c r="O286" t="s">
        <v>170</v>
      </c>
      <c r="P286" t="s">
        <v>62</v>
      </c>
      <c r="R286" t="s">
        <v>63</v>
      </c>
      <c r="S286" t="s">
        <v>64</v>
      </c>
      <c r="T286">
        <v>227</v>
      </c>
      <c r="U286">
        <v>208.5</v>
      </c>
      <c r="V286">
        <f t="shared" si="8"/>
        <v>217.75</v>
      </c>
      <c r="W286">
        <f t="shared" si="9"/>
        <v>18.5</v>
      </c>
      <c r="X286">
        <v>-106.495003</v>
      </c>
      <c r="Y286">
        <v>36.398609</v>
      </c>
      <c r="Z286" t="s">
        <v>124</v>
      </c>
      <c r="AA286" t="s">
        <v>66</v>
      </c>
      <c r="AB286" t="s">
        <v>846</v>
      </c>
      <c r="AC286" t="s">
        <v>847</v>
      </c>
      <c r="AD286" t="s">
        <v>174</v>
      </c>
      <c r="AF286" t="s">
        <v>749</v>
      </c>
      <c r="AH286" t="s">
        <v>11</v>
      </c>
      <c r="AI286" t="s">
        <v>2271</v>
      </c>
      <c r="AJ286">
        <v>2008</v>
      </c>
      <c r="AK286" t="s">
        <v>2272</v>
      </c>
      <c r="AM286" t="s">
        <v>2273</v>
      </c>
      <c r="AN286" t="s">
        <v>114</v>
      </c>
      <c r="AO286" t="s">
        <v>77</v>
      </c>
      <c r="AP286" t="s">
        <v>115</v>
      </c>
      <c r="AQ286" t="s">
        <v>2274</v>
      </c>
      <c r="AR286" t="s">
        <v>80</v>
      </c>
      <c r="AS286">
        <v>101</v>
      </c>
      <c r="AT286" t="s">
        <v>81</v>
      </c>
      <c r="AU286">
        <v>-34.65</v>
      </c>
      <c r="AV286">
        <v>11.35</v>
      </c>
      <c r="AW286" t="s">
        <v>82</v>
      </c>
      <c r="AX286">
        <v>133</v>
      </c>
      <c r="AY286" t="s">
        <v>81</v>
      </c>
      <c r="AZ286">
        <v>-49.48</v>
      </c>
      <c r="BA286">
        <v>11.5</v>
      </c>
      <c r="BB286" t="s">
        <v>83</v>
      </c>
    </row>
    <row r="287" spans="1:54" x14ac:dyDescent="0.4">
      <c r="A287">
        <v>818285</v>
      </c>
      <c r="D287" t="s">
        <v>54</v>
      </c>
      <c r="G287">
        <v>1</v>
      </c>
      <c r="H287" t="s">
        <v>56</v>
      </c>
      <c r="I287" t="s">
        <v>57</v>
      </c>
      <c r="K287" t="s">
        <v>141</v>
      </c>
      <c r="L287" t="s">
        <v>2325</v>
      </c>
      <c r="M287" t="s">
        <v>60</v>
      </c>
      <c r="O287" t="s">
        <v>87</v>
      </c>
      <c r="P287" t="s">
        <v>62</v>
      </c>
      <c r="R287" t="s">
        <v>63</v>
      </c>
      <c r="S287" t="s">
        <v>64</v>
      </c>
      <c r="T287">
        <v>227</v>
      </c>
      <c r="U287">
        <v>208.5</v>
      </c>
      <c r="V287">
        <f t="shared" si="8"/>
        <v>217.75</v>
      </c>
      <c r="W287">
        <f t="shared" si="9"/>
        <v>18.5</v>
      </c>
      <c r="X287">
        <v>-103.633331</v>
      </c>
      <c r="Y287">
        <v>35.066665999999998</v>
      </c>
      <c r="Z287" t="s">
        <v>346</v>
      </c>
      <c r="AA287" t="s">
        <v>66</v>
      </c>
      <c r="AB287" t="s">
        <v>846</v>
      </c>
      <c r="AC287" t="s">
        <v>906</v>
      </c>
      <c r="AD287" t="s">
        <v>1711</v>
      </c>
      <c r="AE287" t="s">
        <v>174</v>
      </c>
      <c r="AF287" t="s">
        <v>2326</v>
      </c>
      <c r="AH287" t="s">
        <v>72</v>
      </c>
      <c r="AI287" t="s">
        <v>1127</v>
      </c>
      <c r="AJ287">
        <v>2005</v>
      </c>
      <c r="AK287" t="s">
        <v>2327</v>
      </c>
      <c r="AM287" t="s">
        <v>2328</v>
      </c>
      <c r="AN287" t="s">
        <v>192</v>
      </c>
      <c r="AO287" t="s">
        <v>160</v>
      </c>
      <c r="AP287" t="s">
        <v>115</v>
      </c>
      <c r="AR287" t="s">
        <v>80</v>
      </c>
      <c r="AS287">
        <v>101</v>
      </c>
      <c r="AT287" t="s">
        <v>81</v>
      </c>
      <c r="AU287">
        <v>-32.549999999999997</v>
      </c>
      <c r="AV287">
        <v>9.64</v>
      </c>
      <c r="AW287" t="s">
        <v>82</v>
      </c>
      <c r="AX287">
        <v>101</v>
      </c>
      <c r="AY287" t="s">
        <v>81</v>
      </c>
      <c r="AZ287">
        <v>-43.37</v>
      </c>
      <c r="BA287">
        <v>9.84</v>
      </c>
      <c r="BB287" t="s">
        <v>83</v>
      </c>
    </row>
    <row r="288" spans="1:54" x14ac:dyDescent="0.4">
      <c r="A288">
        <v>819353</v>
      </c>
      <c r="D288" t="s">
        <v>54</v>
      </c>
      <c r="E288" t="s">
        <v>297</v>
      </c>
      <c r="G288">
        <v>3</v>
      </c>
      <c r="H288" t="s">
        <v>84</v>
      </c>
      <c r="I288" t="s">
        <v>57</v>
      </c>
      <c r="K288" t="s">
        <v>194</v>
      </c>
      <c r="L288" t="s">
        <v>1445</v>
      </c>
      <c r="M288" t="s">
        <v>60</v>
      </c>
      <c r="P288" t="s">
        <v>62</v>
      </c>
      <c r="R288" t="s">
        <v>63</v>
      </c>
      <c r="S288" t="s">
        <v>64</v>
      </c>
      <c r="T288">
        <v>227</v>
      </c>
      <c r="U288">
        <v>208.5</v>
      </c>
      <c r="V288">
        <f t="shared" si="8"/>
        <v>217.75</v>
      </c>
      <c r="W288">
        <f t="shared" si="9"/>
        <v>18.5</v>
      </c>
      <c r="X288">
        <v>-106.339478</v>
      </c>
      <c r="Y288">
        <v>36.205295999999997</v>
      </c>
      <c r="Z288" t="s">
        <v>124</v>
      </c>
      <c r="AA288" t="s">
        <v>66</v>
      </c>
      <c r="AB288" t="s">
        <v>846</v>
      </c>
      <c r="AC288" t="s">
        <v>847</v>
      </c>
      <c r="AD288" t="s">
        <v>174</v>
      </c>
      <c r="AH288" t="s">
        <v>72</v>
      </c>
      <c r="AI288" t="s">
        <v>1127</v>
      </c>
      <c r="AJ288">
        <v>2009</v>
      </c>
      <c r="AK288" t="s">
        <v>1065</v>
      </c>
      <c r="AM288" t="s">
        <v>1066</v>
      </c>
      <c r="AN288" t="s">
        <v>114</v>
      </c>
      <c r="AO288">
        <v>7</v>
      </c>
      <c r="AP288" t="s">
        <v>359</v>
      </c>
      <c r="AQ288" t="s">
        <v>1067</v>
      </c>
      <c r="AR288" t="s">
        <v>80</v>
      </c>
      <c r="AS288">
        <v>101</v>
      </c>
      <c r="AT288" t="s">
        <v>81</v>
      </c>
      <c r="AU288">
        <v>-34.56</v>
      </c>
      <c r="AV288">
        <v>11.13</v>
      </c>
      <c r="AW288" t="s">
        <v>82</v>
      </c>
      <c r="AX288">
        <v>133</v>
      </c>
      <c r="AY288" t="s">
        <v>81</v>
      </c>
      <c r="AZ288">
        <v>-49.38</v>
      </c>
      <c r="BA288">
        <v>11.29</v>
      </c>
      <c r="BB288" t="s">
        <v>83</v>
      </c>
    </row>
    <row r="289" spans="1:54" x14ac:dyDescent="0.4">
      <c r="A289">
        <v>819354</v>
      </c>
      <c r="D289" t="s">
        <v>167</v>
      </c>
      <c r="E289" t="s">
        <v>154</v>
      </c>
      <c r="G289">
        <v>1</v>
      </c>
      <c r="H289" t="s">
        <v>84</v>
      </c>
      <c r="I289" t="s">
        <v>57</v>
      </c>
      <c r="K289" t="s">
        <v>194</v>
      </c>
      <c r="L289" t="s">
        <v>1445</v>
      </c>
      <c r="M289" t="s">
        <v>60</v>
      </c>
      <c r="P289" t="s">
        <v>62</v>
      </c>
      <c r="R289" t="s">
        <v>63</v>
      </c>
      <c r="S289" t="s">
        <v>64</v>
      </c>
      <c r="T289">
        <v>227</v>
      </c>
      <c r="U289">
        <v>208.5</v>
      </c>
      <c r="V289">
        <f t="shared" si="8"/>
        <v>217.75</v>
      </c>
      <c r="W289">
        <f t="shared" si="9"/>
        <v>18.5</v>
      </c>
      <c r="X289">
        <v>-109.462486</v>
      </c>
      <c r="Y289">
        <v>34.437420000000003</v>
      </c>
      <c r="Z289" t="s">
        <v>734</v>
      </c>
      <c r="AA289" t="s">
        <v>66</v>
      </c>
      <c r="AB289" t="s">
        <v>583</v>
      </c>
      <c r="AC289" t="s">
        <v>735</v>
      </c>
      <c r="AD289" t="s">
        <v>174</v>
      </c>
      <c r="AF289" t="s">
        <v>736</v>
      </c>
      <c r="AH289" t="s">
        <v>72</v>
      </c>
      <c r="AI289" t="s">
        <v>1127</v>
      </c>
      <c r="AJ289">
        <v>2009</v>
      </c>
      <c r="AK289" t="s">
        <v>737</v>
      </c>
      <c r="AN289" t="s">
        <v>76</v>
      </c>
      <c r="AO289">
        <v>8</v>
      </c>
      <c r="AP289" t="s">
        <v>78</v>
      </c>
      <c r="AQ289" t="s">
        <v>738</v>
      </c>
      <c r="AR289" t="s">
        <v>80</v>
      </c>
      <c r="AS289">
        <v>101</v>
      </c>
      <c r="AT289" t="s">
        <v>81</v>
      </c>
      <c r="AU289">
        <v>-37.44</v>
      </c>
      <c r="AV289">
        <v>9.8800000000000008</v>
      </c>
      <c r="AW289" t="s">
        <v>82</v>
      </c>
      <c r="AX289">
        <v>133</v>
      </c>
      <c r="AY289" t="s">
        <v>81</v>
      </c>
      <c r="AZ289">
        <v>-52.23</v>
      </c>
      <c r="BA289">
        <v>9.9499999999999993</v>
      </c>
      <c r="BB289" t="s">
        <v>83</v>
      </c>
    </row>
    <row r="290" spans="1:54" x14ac:dyDescent="0.4">
      <c r="A290">
        <v>820942</v>
      </c>
      <c r="D290" t="s">
        <v>54</v>
      </c>
      <c r="I290" t="s">
        <v>57</v>
      </c>
      <c r="K290" t="s">
        <v>2398</v>
      </c>
      <c r="L290" t="s">
        <v>2399</v>
      </c>
      <c r="M290" t="s">
        <v>223</v>
      </c>
      <c r="N290" t="s">
        <v>234</v>
      </c>
      <c r="O290" t="s">
        <v>87</v>
      </c>
      <c r="P290" t="s">
        <v>62</v>
      </c>
      <c r="R290" t="s">
        <v>63</v>
      </c>
      <c r="S290" t="s">
        <v>64</v>
      </c>
      <c r="T290">
        <v>227</v>
      </c>
      <c r="U290">
        <v>208.5</v>
      </c>
      <c r="V290">
        <f t="shared" si="8"/>
        <v>217.75</v>
      </c>
      <c r="W290">
        <f t="shared" si="9"/>
        <v>18.5</v>
      </c>
      <c r="X290">
        <v>-123</v>
      </c>
      <c r="Y290">
        <v>56.083331999999999</v>
      </c>
      <c r="Z290" t="s">
        <v>520</v>
      </c>
      <c r="AA290" t="s">
        <v>1456</v>
      </c>
      <c r="AB290" t="s">
        <v>1858</v>
      </c>
      <c r="AH290" t="s">
        <v>72</v>
      </c>
      <c r="AI290" t="s">
        <v>2400</v>
      </c>
      <c r="AJ290">
        <v>1994</v>
      </c>
      <c r="AK290" t="s">
        <v>2401</v>
      </c>
      <c r="AM290" t="s">
        <v>2402</v>
      </c>
      <c r="AN290" t="s">
        <v>114</v>
      </c>
      <c r="AO290" t="s">
        <v>160</v>
      </c>
      <c r="AP290" t="s">
        <v>115</v>
      </c>
      <c r="AQ290" t="s">
        <v>2403</v>
      </c>
      <c r="AR290" t="s">
        <v>80</v>
      </c>
      <c r="AS290">
        <v>101</v>
      </c>
      <c r="AT290" t="s">
        <v>81</v>
      </c>
      <c r="AU290">
        <v>-41.02</v>
      </c>
      <c r="AV290">
        <v>33.200000000000003</v>
      </c>
      <c r="AW290" t="s">
        <v>82</v>
      </c>
      <c r="AX290">
        <v>124</v>
      </c>
      <c r="AY290" t="s">
        <v>81</v>
      </c>
      <c r="AZ290">
        <v>-56.6</v>
      </c>
      <c r="BA290">
        <v>33.159999999999997</v>
      </c>
      <c r="BB290" t="s">
        <v>83</v>
      </c>
    </row>
    <row r="291" spans="1:54" x14ac:dyDescent="0.4">
      <c r="A291">
        <v>830855</v>
      </c>
      <c r="D291" t="s">
        <v>54</v>
      </c>
      <c r="E291" t="s">
        <v>55</v>
      </c>
      <c r="G291">
        <v>8</v>
      </c>
      <c r="H291" t="s">
        <v>84</v>
      </c>
      <c r="I291" t="s">
        <v>57</v>
      </c>
      <c r="K291" t="s">
        <v>141</v>
      </c>
      <c r="L291" t="s">
        <v>2506</v>
      </c>
      <c r="M291" t="s">
        <v>2507</v>
      </c>
      <c r="N291" t="s">
        <v>1126</v>
      </c>
      <c r="P291" t="s">
        <v>62</v>
      </c>
      <c r="R291" t="s">
        <v>63</v>
      </c>
      <c r="S291" t="s">
        <v>64</v>
      </c>
      <c r="T291">
        <v>227</v>
      </c>
      <c r="U291">
        <v>208.5</v>
      </c>
      <c r="V291">
        <f t="shared" si="8"/>
        <v>217.75</v>
      </c>
      <c r="W291">
        <f t="shared" si="9"/>
        <v>18.5</v>
      </c>
      <c r="X291">
        <v>-74.018608</v>
      </c>
      <c r="Y291">
        <v>40.811942999999999</v>
      </c>
      <c r="Z291" t="s">
        <v>65</v>
      </c>
      <c r="AA291" t="s">
        <v>66</v>
      </c>
      <c r="AB291" t="s">
        <v>67</v>
      </c>
      <c r="AC291" t="s">
        <v>68</v>
      </c>
      <c r="AD291" t="s">
        <v>69</v>
      </c>
      <c r="AE291" t="s">
        <v>70</v>
      </c>
      <c r="AF291" t="s">
        <v>71</v>
      </c>
      <c r="AH291" t="s">
        <v>72</v>
      </c>
      <c r="AI291" t="s">
        <v>2508</v>
      </c>
      <c r="AJ291">
        <v>2001</v>
      </c>
      <c r="AK291" t="s">
        <v>74</v>
      </c>
      <c r="AM291" t="s">
        <v>75</v>
      </c>
      <c r="AN291" t="s">
        <v>76</v>
      </c>
      <c r="AO291" t="s">
        <v>77</v>
      </c>
      <c r="AP291" t="s">
        <v>78</v>
      </c>
      <c r="AQ291" t="s">
        <v>79</v>
      </c>
      <c r="AR291" t="s">
        <v>80</v>
      </c>
      <c r="AS291">
        <v>101</v>
      </c>
      <c r="AT291" t="s">
        <v>81</v>
      </c>
      <c r="AU291">
        <v>-8.5500000000000007</v>
      </c>
      <c r="AV291">
        <v>14.34</v>
      </c>
      <c r="AW291" t="s">
        <v>82</v>
      </c>
      <c r="AX291">
        <v>101</v>
      </c>
      <c r="AY291" t="s">
        <v>81</v>
      </c>
      <c r="AZ291">
        <v>-19.510000000000002</v>
      </c>
      <c r="BA291">
        <v>15.43</v>
      </c>
      <c r="BB291" t="s">
        <v>83</v>
      </c>
    </row>
    <row r="292" spans="1:54" x14ac:dyDescent="0.4">
      <c r="A292">
        <v>830859</v>
      </c>
      <c r="D292" t="s">
        <v>853</v>
      </c>
      <c r="E292" t="s">
        <v>55</v>
      </c>
      <c r="G292">
        <v>300</v>
      </c>
      <c r="H292" t="s">
        <v>84</v>
      </c>
      <c r="I292" t="s">
        <v>57</v>
      </c>
      <c r="K292" t="s">
        <v>141</v>
      </c>
      <c r="L292" t="s">
        <v>2506</v>
      </c>
      <c r="M292" t="s">
        <v>2507</v>
      </c>
      <c r="N292" t="s">
        <v>1126</v>
      </c>
      <c r="P292" t="s">
        <v>62</v>
      </c>
      <c r="R292" t="s">
        <v>63</v>
      </c>
      <c r="S292" t="s">
        <v>64</v>
      </c>
      <c r="T292">
        <v>227</v>
      </c>
      <c r="U292">
        <v>208.5</v>
      </c>
      <c r="V292">
        <f t="shared" si="8"/>
        <v>217.75</v>
      </c>
      <c r="W292">
        <f t="shared" si="9"/>
        <v>18.5</v>
      </c>
      <c r="X292">
        <v>-74.019997000000004</v>
      </c>
      <c r="Y292">
        <v>40.765835000000003</v>
      </c>
      <c r="Z292" t="s">
        <v>65</v>
      </c>
      <c r="AA292" t="s">
        <v>66</v>
      </c>
      <c r="AB292" t="s">
        <v>67</v>
      </c>
      <c r="AC292" t="s">
        <v>68</v>
      </c>
      <c r="AD292" t="s">
        <v>69</v>
      </c>
      <c r="AE292" t="s">
        <v>70</v>
      </c>
      <c r="AF292" t="s">
        <v>2509</v>
      </c>
      <c r="AH292" t="s">
        <v>72</v>
      </c>
      <c r="AI292" t="s">
        <v>2508</v>
      </c>
      <c r="AJ292">
        <v>2001</v>
      </c>
      <c r="AK292" t="s">
        <v>2510</v>
      </c>
      <c r="AM292" t="s">
        <v>2511</v>
      </c>
      <c r="AN292" t="s">
        <v>192</v>
      </c>
      <c r="AO292" t="s">
        <v>77</v>
      </c>
      <c r="AP292" t="s">
        <v>78</v>
      </c>
      <c r="AQ292" t="s">
        <v>2512</v>
      </c>
      <c r="AR292" t="s">
        <v>80</v>
      </c>
      <c r="AS292">
        <v>101</v>
      </c>
      <c r="AT292" t="s">
        <v>81</v>
      </c>
      <c r="AU292">
        <v>-8.5399999999999991</v>
      </c>
      <c r="AV292">
        <v>14.3</v>
      </c>
      <c r="AW292" t="s">
        <v>82</v>
      </c>
      <c r="AX292">
        <v>101</v>
      </c>
      <c r="AY292" t="s">
        <v>81</v>
      </c>
      <c r="AZ292">
        <v>-19.5</v>
      </c>
      <c r="BA292">
        <v>15.38</v>
      </c>
      <c r="BB292" t="s">
        <v>83</v>
      </c>
    </row>
    <row r="293" spans="1:54" x14ac:dyDescent="0.4">
      <c r="A293">
        <v>830860</v>
      </c>
      <c r="D293" t="s">
        <v>853</v>
      </c>
      <c r="E293" t="s">
        <v>55</v>
      </c>
      <c r="I293" t="s">
        <v>57</v>
      </c>
      <c r="K293" t="s">
        <v>746</v>
      </c>
      <c r="L293" t="s">
        <v>747</v>
      </c>
      <c r="M293" t="s">
        <v>60</v>
      </c>
      <c r="P293" t="s">
        <v>62</v>
      </c>
      <c r="R293" t="s">
        <v>63</v>
      </c>
      <c r="S293" t="s">
        <v>64</v>
      </c>
      <c r="T293">
        <v>227</v>
      </c>
      <c r="U293">
        <v>208.5</v>
      </c>
      <c r="V293">
        <f t="shared" si="8"/>
        <v>217.75</v>
      </c>
      <c r="W293">
        <f t="shared" si="9"/>
        <v>18.5</v>
      </c>
      <c r="X293">
        <v>-74.019997000000004</v>
      </c>
      <c r="Y293">
        <v>40.765835000000003</v>
      </c>
      <c r="Z293" t="s">
        <v>65</v>
      </c>
      <c r="AA293" t="s">
        <v>66</v>
      </c>
      <c r="AB293" t="s">
        <v>67</v>
      </c>
      <c r="AC293" t="s">
        <v>68</v>
      </c>
      <c r="AD293" t="s">
        <v>69</v>
      </c>
      <c r="AE293" t="s">
        <v>70</v>
      </c>
      <c r="AF293" t="s">
        <v>2509</v>
      </c>
      <c r="AH293" t="s">
        <v>72</v>
      </c>
      <c r="AI293" t="s">
        <v>1343</v>
      </c>
      <c r="AJ293">
        <v>1980</v>
      </c>
      <c r="AK293" t="s">
        <v>2510</v>
      </c>
      <c r="AM293" t="s">
        <v>2511</v>
      </c>
      <c r="AN293" t="s">
        <v>192</v>
      </c>
      <c r="AO293" t="s">
        <v>77</v>
      </c>
      <c r="AP293" t="s">
        <v>78</v>
      </c>
      <c r="AQ293" t="s">
        <v>2512</v>
      </c>
      <c r="AR293" t="s">
        <v>80</v>
      </c>
      <c r="AS293">
        <v>101</v>
      </c>
      <c r="AT293" t="s">
        <v>81</v>
      </c>
      <c r="AU293">
        <v>-8.5399999999999991</v>
      </c>
      <c r="AV293">
        <v>14.3</v>
      </c>
      <c r="AW293" t="s">
        <v>82</v>
      </c>
      <c r="AX293">
        <v>101</v>
      </c>
      <c r="AY293" t="s">
        <v>81</v>
      </c>
      <c r="AZ293">
        <v>-19.5</v>
      </c>
      <c r="BA293">
        <v>15.38</v>
      </c>
      <c r="BB293" t="s">
        <v>83</v>
      </c>
    </row>
    <row r="294" spans="1:54" x14ac:dyDescent="0.4">
      <c r="A294">
        <v>831030</v>
      </c>
      <c r="D294" t="s">
        <v>54</v>
      </c>
      <c r="E294" t="s">
        <v>55</v>
      </c>
      <c r="I294" t="s">
        <v>57</v>
      </c>
      <c r="K294" t="s">
        <v>746</v>
      </c>
      <c r="L294" t="s">
        <v>747</v>
      </c>
      <c r="M294" t="s">
        <v>60</v>
      </c>
      <c r="P294" t="s">
        <v>62</v>
      </c>
      <c r="R294" t="s">
        <v>63</v>
      </c>
      <c r="S294" t="s">
        <v>64</v>
      </c>
      <c r="T294">
        <v>227</v>
      </c>
      <c r="U294">
        <v>208.5</v>
      </c>
      <c r="V294">
        <f t="shared" si="8"/>
        <v>217.75</v>
      </c>
      <c r="W294">
        <f t="shared" si="9"/>
        <v>18.5</v>
      </c>
      <c r="X294">
        <v>-74.018608</v>
      </c>
      <c r="Y294">
        <v>40.811942999999999</v>
      </c>
      <c r="Z294" t="s">
        <v>65</v>
      </c>
      <c r="AA294" t="s">
        <v>66</v>
      </c>
      <c r="AB294" t="s">
        <v>67</v>
      </c>
      <c r="AC294" t="s">
        <v>68</v>
      </c>
      <c r="AD294" t="s">
        <v>69</v>
      </c>
      <c r="AE294" t="s">
        <v>70</v>
      </c>
      <c r="AF294" t="s">
        <v>71</v>
      </c>
      <c r="AH294" t="s">
        <v>72</v>
      </c>
      <c r="AI294" t="s">
        <v>2508</v>
      </c>
      <c r="AJ294">
        <v>2001</v>
      </c>
      <c r="AK294" t="s">
        <v>74</v>
      </c>
      <c r="AM294" t="s">
        <v>75</v>
      </c>
      <c r="AN294" t="s">
        <v>76</v>
      </c>
      <c r="AO294" t="s">
        <v>77</v>
      </c>
      <c r="AP294" t="s">
        <v>78</v>
      </c>
      <c r="AQ294" t="s">
        <v>79</v>
      </c>
      <c r="AR294" t="s">
        <v>80</v>
      </c>
      <c r="AS294">
        <v>101</v>
      </c>
      <c r="AT294" t="s">
        <v>81</v>
      </c>
      <c r="AU294">
        <v>-8.5500000000000007</v>
      </c>
      <c r="AV294">
        <v>14.34</v>
      </c>
      <c r="AW294" t="s">
        <v>82</v>
      </c>
      <c r="AX294">
        <v>101</v>
      </c>
      <c r="AY294" t="s">
        <v>81</v>
      </c>
      <c r="AZ294">
        <v>-19.510000000000002</v>
      </c>
      <c r="BA294">
        <v>15.43</v>
      </c>
      <c r="BB294" t="s">
        <v>83</v>
      </c>
    </row>
    <row r="295" spans="1:54" x14ac:dyDescent="0.4">
      <c r="A295">
        <v>832006</v>
      </c>
      <c r="D295" t="s">
        <v>1795</v>
      </c>
      <c r="E295" t="s">
        <v>297</v>
      </c>
      <c r="G295">
        <v>1</v>
      </c>
      <c r="H295" t="s">
        <v>56</v>
      </c>
      <c r="I295" t="s">
        <v>57</v>
      </c>
      <c r="K295" t="s">
        <v>206</v>
      </c>
      <c r="L295" t="s">
        <v>2254</v>
      </c>
      <c r="M295" t="s">
        <v>60</v>
      </c>
      <c r="O295" t="s">
        <v>170</v>
      </c>
      <c r="P295" t="s">
        <v>62</v>
      </c>
      <c r="R295" t="s">
        <v>63</v>
      </c>
      <c r="S295" t="s">
        <v>64</v>
      </c>
      <c r="T295">
        <v>227</v>
      </c>
      <c r="U295">
        <v>208.5</v>
      </c>
      <c r="V295">
        <f t="shared" si="8"/>
        <v>217.75</v>
      </c>
      <c r="W295">
        <f t="shared" si="9"/>
        <v>18.5</v>
      </c>
      <c r="X295">
        <v>-75.063889000000003</v>
      </c>
      <c r="Y295">
        <v>40.523055999999997</v>
      </c>
      <c r="Z295" t="s">
        <v>124</v>
      </c>
      <c r="AA295" t="s">
        <v>66</v>
      </c>
      <c r="AB295" t="s">
        <v>67</v>
      </c>
      <c r="AC295" t="s">
        <v>2517</v>
      </c>
      <c r="AD295" t="s">
        <v>2255</v>
      </c>
      <c r="AE295" t="s">
        <v>70</v>
      </c>
      <c r="AF295" t="s">
        <v>2518</v>
      </c>
      <c r="AH295" t="s">
        <v>72</v>
      </c>
      <c r="AI295" t="s">
        <v>2519</v>
      </c>
      <c r="AJ295">
        <v>1986</v>
      </c>
      <c r="AK295" t="s">
        <v>2520</v>
      </c>
      <c r="AM295" t="s">
        <v>2521</v>
      </c>
      <c r="AN295" t="s">
        <v>114</v>
      </c>
      <c r="AO295" t="s">
        <v>77</v>
      </c>
      <c r="AP295" t="s">
        <v>115</v>
      </c>
      <c r="AQ295" t="s">
        <v>2522</v>
      </c>
      <c r="AR295" t="s">
        <v>80</v>
      </c>
      <c r="AS295">
        <v>101</v>
      </c>
      <c r="AT295" t="s">
        <v>81</v>
      </c>
      <c r="AU295">
        <v>-9.34</v>
      </c>
      <c r="AV295">
        <v>14</v>
      </c>
      <c r="AW295" t="s">
        <v>82</v>
      </c>
      <c r="AX295">
        <v>101</v>
      </c>
      <c r="AY295" t="s">
        <v>81</v>
      </c>
      <c r="AZ295">
        <v>-20.29</v>
      </c>
      <c r="BA295">
        <v>15.06</v>
      </c>
      <c r="BB295" t="s">
        <v>83</v>
      </c>
    </row>
    <row r="296" spans="1:54" x14ac:dyDescent="0.4">
      <c r="A296">
        <v>832046</v>
      </c>
      <c r="D296" t="s">
        <v>54</v>
      </c>
      <c r="E296" t="s">
        <v>55</v>
      </c>
      <c r="F296" t="s">
        <v>2523</v>
      </c>
      <c r="G296">
        <v>1</v>
      </c>
      <c r="H296" t="s">
        <v>56</v>
      </c>
      <c r="I296" t="s">
        <v>57</v>
      </c>
      <c r="K296" t="s">
        <v>206</v>
      </c>
      <c r="L296" t="s">
        <v>253</v>
      </c>
      <c r="M296" t="s">
        <v>60</v>
      </c>
      <c r="O296" t="s">
        <v>170</v>
      </c>
      <c r="P296" t="s">
        <v>62</v>
      </c>
      <c r="R296" t="s">
        <v>63</v>
      </c>
      <c r="S296" t="s">
        <v>64</v>
      </c>
      <c r="T296">
        <v>227</v>
      </c>
      <c r="U296">
        <v>208.5</v>
      </c>
      <c r="V296">
        <f t="shared" si="8"/>
        <v>217.75</v>
      </c>
      <c r="W296">
        <f t="shared" si="9"/>
        <v>18.5</v>
      </c>
      <c r="X296">
        <v>9.1319440000000007</v>
      </c>
      <c r="Y296">
        <v>48.744446000000003</v>
      </c>
      <c r="Z296" t="s">
        <v>124</v>
      </c>
      <c r="AA296" t="s">
        <v>211</v>
      </c>
      <c r="AB296" t="s">
        <v>2524</v>
      </c>
      <c r="AC296" t="s">
        <v>213</v>
      </c>
      <c r="AD296" t="s">
        <v>214</v>
      </c>
      <c r="AE296" t="s">
        <v>215</v>
      </c>
      <c r="AF296" t="s">
        <v>216</v>
      </c>
      <c r="AH296" t="s">
        <v>72</v>
      </c>
      <c r="AI296" t="s">
        <v>2525</v>
      </c>
      <c r="AJ296">
        <v>2007</v>
      </c>
      <c r="AK296" t="s">
        <v>2526</v>
      </c>
      <c r="AM296" t="s">
        <v>2527</v>
      </c>
      <c r="AN296" t="s">
        <v>114</v>
      </c>
      <c r="AO296" t="s">
        <v>77</v>
      </c>
      <c r="AP296" t="s">
        <v>115</v>
      </c>
      <c r="AQ296" t="s">
        <v>2528</v>
      </c>
      <c r="AR296" t="s">
        <v>80</v>
      </c>
      <c r="AS296">
        <v>305</v>
      </c>
      <c r="AT296" t="s">
        <v>81</v>
      </c>
      <c r="AU296">
        <v>21.26</v>
      </c>
      <c r="AV296">
        <v>30.04</v>
      </c>
      <c r="AW296" t="s">
        <v>82</v>
      </c>
      <c r="AX296">
        <v>305</v>
      </c>
      <c r="AY296" t="s">
        <v>81</v>
      </c>
      <c r="AZ296">
        <v>10.119999999999999</v>
      </c>
      <c r="BA296">
        <v>31.96</v>
      </c>
      <c r="BB296" t="s">
        <v>83</v>
      </c>
    </row>
    <row r="297" spans="1:54" x14ac:dyDescent="0.4">
      <c r="A297">
        <v>832046</v>
      </c>
      <c r="D297" t="s">
        <v>54</v>
      </c>
      <c r="E297" t="s">
        <v>55</v>
      </c>
      <c r="F297" t="s">
        <v>2523</v>
      </c>
      <c r="G297">
        <v>1</v>
      </c>
      <c r="H297" t="s">
        <v>56</v>
      </c>
      <c r="I297" t="s">
        <v>57</v>
      </c>
      <c r="K297" t="s">
        <v>206</v>
      </c>
      <c r="L297" t="s">
        <v>253</v>
      </c>
      <c r="M297" t="s">
        <v>60</v>
      </c>
      <c r="O297" t="s">
        <v>170</v>
      </c>
      <c r="P297" t="s">
        <v>62</v>
      </c>
      <c r="R297" t="s">
        <v>63</v>
      </c>
      <c r="S297" t="s">
        <v>64</v>
      </c>
      <c r="T297">
        <v>227</v>
      </c>
      <c r="U297">
        <v>208.5</v>
      </c>
      <c r="V297">
        <f t="shared" si="8"/>
        <v>217.75</v>
      </c>
      <c r="W297">
        <f t="shared" si="9"/>
        <v>18.5</v>
      </c>
      <c r="X297">
        <v>9.1319440000000007</v>
      </c>
      <c r="Y297">
        <v>48.744446000000003</v>
      </c>
      <c r="Z297" t="s">
        <v>124</v>
      </c>
      <c r="AA297" t="s">
        <v>211</v>
      </c>
      <c r="AB297" t="s">
        <v>2524</v>
      </c>
      <c r="AC297" t="s">
        <v>213</v>
      </c>
      <c r="AD297" t="s">
        <v>214</v>
      </c>
      <c r="AE297" t="s">
        <v>215</v>
      </c>
      <c r="AF297" t="s">
        <v>216</v>
      </c>
      <c r="AH297" t="s">
        <v>72</v>
      </c>
      <c r="AI297" t="s">
        <v>2525</v>
      </c>
      <c r="AJ297">
        <v>2007</v>
      </c>
      <c r="AK297" t="s">
        <v>2526</v>
      </c>
      <c r="AM297" t="s">
        <v>2527</v>
      </c>
      <c r="AN297" t="s">
        <v>114</v>
      </c>
      <c r="AO297" t="s">
        <v>77</v>
      </c>
      <c r="AP297" t="s">
        <v>115</v>
      </c>
      <c r="AQ297" t="s">
        <v>2528</v>
      </c>
      <c r="AR297" t="s">
        <v>80</v>
      </c>
      <c r="AS297">
        <v>305</v>
      </c>
      <c r="AT297" t="s">
        <v>81</v>
      </c>
      <c r="AU297">
        <v>21.26</v>
      </c>
      <c r="AV297">
        <v>30.04</v>
      </c>
      <c r="AW297" t="s">
        <v>82</v>
      </c>
      <c r="AX297">
        <v>305</v>
      </c>
      <c r="AY297" t="s">
        <v>81</v>
      </c>
      <c r="AZ297">
        <v>10.119999999999999</v>
      </c>
      <c r="BA297">
        <v>31.96</v>
      </c>
      <c r="BB297" t="s">
        <v>83</v>
      </c>
    </row>
    <row r="298" spans="1:54" x14ac:dyDescent="0.4">
      <c r="A298">
        <v>832046</v>
      </c>
      <c r="D298" t="s">
        <v>54</v>
      </c>
      <c r="E298" t="s">
        <v>55</v>
      </c>
      <c r="F298" t="s">
        <v>2523</v>
      </c>
      <c r="G298">
        <v>1</v>
      </c>
      <c r="H298" t="s">
        <v>56</v>
      </c>
      <c r="I298" t="s">
        <v>57</v>
      </c>
      <c r="K298" t="s">
        <v>206</v>
      </c>
      <c r="L298" t="s">
        <v>253</v>
      </c>
      <c r="M298" t="s">
        <v>60</v>
      </c>
      <c r="O298" t="s">
        <v>170</v>
      </c>
      <c r="P298" t="s">
        <v>62</v>
      </c>
      <c r="R298" t="s">
        <v>63</v>
      </c>
      <c r="S298" t="s">
        <v>64</v>
      </c>
      <c r="T298">
        <v>227</v>
      </c>
      <c r="U298">
        <v>208.5</v>
      </c>
      <c r="V298">
        <f t="shared" si="8"/>
        <v>217.75</v>
      </c>
      <c r="W298">
        <f t="shared" si="9"/>
        <v>18.5</v>
      </c>
      <c r="X298">
        <v>9.1319440000000007</v>
      </c>
      <c r="Y298">
        <v>48.744446000000003</v>
      </c>
      <c r="Z298" t="s">
        <v>124</v>
      </c>
      <c r="AA298" t="s">
        <v>211</v>
      </c>
      <c r="AB298" t="s">
        <v>2524</v>
      </c>
      <c r="AC298" t="s">
        <v>213</v>
      </c>
      <c r="AD298" t="s">
        <v>214</v>
      </c>
      <c r="AE298" t="s">
        <v>215</v>
      </c>
      <c r="AF298" t="s">
        <v>216</v>
      </c>
      <c r="AH298" t="s">
        <v>72</v>
      </c>
      <c r="AI298" t="s">
        <v>2525</v>
      </c>
      <c r="AJ298">
        <v>2007</v>
      </c>
      <c r="AK298" t="s">
        <v>2526</v>
      </c>
      <c r="AM298" t="s">
        <v>2527</v>
      </c>
      <c r="AN298" t="s">
        <v>114</v>
      </c>
      <c r="AO298" t="s">
        <v>77</v>
      </c>
      <c r="AP298" t="s">
        <v>115</v>
      </c>
      <c r="AQ298" t="s">
        <v>2528</v>
      </c>
      <c r="AR298" t="s">
        <v>80</v>
      </c>
      <c r="AS298">
        <v>305</v>
      </c>
      <c r="AT298" t="s">
        <v>81</v>
      </c>
      <c r="AU298">
        <v>21.26</v>
      </c>
      <c r="AV298">
        <v>30.04</v>
      </c>
      <c r="AW298" t="s">
        <v>82</v>
      </c>
      <c r="AX298">
        <v>305</v>
      </c>
      <c r="AY298" t="s">
        <v>81</v>
      </c>
      <c r="AZ298">
        <v>10.119999999999999</v>
      </c>
      <c r="BA298">
        <v>31.96</v>
      </c>
      <c r="BB298" t="s">
        <v>83</v>
      </c>
    </row>
    <row r="299" spans="1:54" x14ac:dyDescent="0.4">
      <c r="A299">
        <v>832046</v>
      </c>
      <c r="D299" t="s">
        <v>54</v>
      </c>
      <c r="E299" t="s">
        <v>55</v>
      </c>
      <c r="F299" t="s">
        <v>2523</v>
      </c>
      <c r="G299">
        <v>1</v>
      </c>
      <c r="H299" t="s">
        <v>56</v>
      </c>
      <c r="I299" t="s">
        <v>57</v>
      </c>
      <c r="K299" t="s">
        <v>206</v>
      </c>
      <c r="L299" t="s">
        <v>253</v>
      </c>
      <c r="M299" t="s">
        <v>60</v>
      </c>
      <c r="O299" t="s">
        <v>170</v>
      </c>
      <c r="P299" t="s">
        <v>62</v>
      </c>
      <c r="R299" t="s">
        <v>63</v>
      </c>
      <c r="S299" t="s">
        <v>64</v>
      </c>
      <c r="T299">
        <v>227</v>
      </c>
      <c r="U299">
        <v>208.5</v>
      </c>
      <c r="V299">
        <f t="shared" si="8"/>
        <v>217.75</v>
      </c>
      <c r="W299">
        <f t="shared" si="9"/>
        <v>18.5</v>
      </c>
      <c r="X299">
        <v>9.1319440000000007</v>
      </c>
      <c r="Y299">
        <v>48.744446000000003</v>
      </c>
      <c r="Z299" t="s">
        <v>124</v>
      </c>
      <c r="AA299" t="s">
        <v>211</v>
      </c>
      <c r="AB299" t="s">
        <v>2524</v>
      </c>
      <c r="AC299" t="s">
        <v>213</v>
      </c>
      <c r="AD299" t="s">
        <v>214</v>
      </c>
      <c r="AE299" t="s">
        <v>215</v>
      </c>
      <c r="AF299" t="s">
        <v>216</v>
      </c>
      <c r="AH299" t="s">
        <v>72</v>
      </c>
      <c r="AI299" t="s">
        <v>2525</v>
      </c>
      <c r="AJ299">
        <v>2007</v>
      </c>
      <c r="AK299" t="s">
        <v>2526</v>
      </c>
      <c r="AM299" t="s">
        <v>2527</v>
      </c>
      <c r="AN299" t="s">
        <v>114</v>
      </c>
      <c r="AO299" t="s">
        <v>77</v>
      </c>
      <c r="AP299" t="s">
        <v>115</v>
      </c>
      <c r="AQ299" t="s">
        <v>2528</v>
      </c>
      <c r="AR299" t="s">
        <v>80</v>
      </c>
      <c r="AS299">
        <v>305</v>
      </c>
      <c r="AT299" t="s">
        <v>81</v>
      </c>
      <c r="AU299">
        <v>21.26</v>
      </c>
      <c r="AV299">
        <v>30.04</v>
      </c>
      <c r="AW299" t="s">
        <v>82</v>
      </c>
      <c r="AX299">
        <v>305</v>
      </c>
      <c r="AY299" t="s">
        <v>81</v>
      </c>
      <c r="AZ299">
        <v>10.119999999999999</v>
      </c>
      <c r="BA299">
        <v>31.96</v>
      </c>
      <c r="BB299" t="s">
        <v>83</v>
      </c>
    </row>
    <row r="300" spans="1:54" x14ac:dyDescent="0.4">
      <c r="A300">
        <v>832046</v>
      </c>
      <c r="D300" t="s">
        <v>54</v>
      </c>
      <c r="E300" t="s">
        <v>55</v>
      </c>
      <c r="F300" t="s">
        <v>2523</v>
      </c>
      <c r="G300">
        <v>1</v>
      </c>
      <c r="H300" t="s">
        <v>56</v>
      </c>
      <c r="I300" t="s">
        <v>57</v>
      </c>
      <c r="K300" t="s">
        <v>206</v>
      </c>
      <c r="L300" t="s">
        <v>253</v>
      </c>
      <c r="M300" t="s">
        <v>60</v>
      </c>
      <c r="O300" t="s">
        <v>170</v>
      </c>
      <c r="P300" t="s">
        <v>62</v>
      </c>
      <c r="R300" t="s">
        <v>63</v>
      </c>
      <c r="S300" t="s">
        <v>64</v>
      </c>
      <c r="T300">
        <v>227</v>
      </c>
      <c r="U300">
        <v>208.5</v>
      </c>
      <c r="V300">
        <f t="shared" si="8"/>
        <v>217.75</v>
      </c>
      <c r="W300">
        <f t="shared" si="9"/>
        <v>18.5</v>
      </c>
      <c r="X300">
        <v>9.1319440000000007</v>
      </c>
      <c r="Y300">
        <v>48.744446000000003</v>
      </c>
      <c r="Z300" t="s">
        <v>124</v>
      </c>
      <c r="AA300" t="s">
        <v>211</v>
      </c>
      <c r="AB300" t="s">
        <v>2524</v>
      </c>
      <c r="AC300" t="s">
        <v>213</v>
      </c>
      <c r="AD300" t="s">
        <v>214</v>
      </c>
      <c r="AE300" t="s">
        <v>215</v>
      </c>
      <c r="AF300" t="s">
        <v>216</v>
      </c>
      <c r="AH300" t="s">
        <v>72</v>
      </c>
      <c r="AI300" t="s">
        <v>2525</v>
      </c>
      <c r="AJ300">
        <v>2007</v>
      </c>
      <c r="AK300" t="s">
        <v>2526</v>
      </c>
      <c r="AM300" t="s">
        <v>2527</v>
      </c>
      <c r="AN300" t="s">
        <v>114</v>
      </c>
      <c r="AO300" t="s">
        <v>77</v>
      </c>
      <c r="AP300" t="s">
        <v>115</v>
      </c>
      <c r="AQ300" t="s">
        <v>2528</v>
      </c>
      <c r="AR300" t="s">
        <v>80</v>
      </c>
      <c r="AS300">
        <v>305</v>
      </c>
      <c r="AT300" t="s">
        <v>81</v>
      </c>
      <c r="AU300">
        <v>21.26</v>
      </c>
      <c r="AV300">
        <v>30.04</v>
      </c>
      <c r="AW300" t="s">
        <v>82</v>
      </c>
      <c r="AX300">
        <v>305</v>
      </c>
      <c r="AY300" t="s">
        <v>81</v>
      </c>
      <c r="AZ300">
        <v>10.119999999999999</v>
      </c>
      <c r="BA300">
        <v>31.96</v>
      </c>
      <c r="BB300" t="s">
        <v>83</v>
      </c>
    </row>
    <row r="301" spans="1:54" x14ac:dyDescent="0.4">
      <c r="A301">
        <v>832046</v>
      </c>
      <c r="D301" t="s">
        <v>54</v>
      </c>
      <c r="E301" t="s">
        <v>55</v>
      </c>
      <c r="F301" t="s">
        <v>2523</v>
      </c>
      <c r="G301">
        <v>1</v>
      </c>
      <c r="H301" t="s">
        <v>56</v>
      </c>
      <c r="I301" t="s">
        <v>57</v>
      </c>
      <c r="K301" t="s">
        <v>206</v>
      </c>
      <c r="L301" t="s">
        <v>253</v>
      </c>
      <c r="M301" t="s">
        <v>60</v>
      </c>
      <c r="O301" t="s">
        <v>170</v>
      </c>
      <c r="P301" t="s">
        <v>62</v>
      </c>
      <c r="R301" t="s">
        <v>63</v>
      </c>
      <c r="S301" t="s">
        <v>64</v>
      </c>
      <c r="T301">
        <v>227</v>
      </c>
      <c r="U301">
        <v>208.5</v>
      </c>
      <c r="V301">
        <f t="shared" si="8"/>
        <v>217.75</v>
      </c>
      <c r="W301">
        <f t="shared" si="9"/>
        <v>18.5</v>
      </c>
      <c r="X301">
        <v>9.1319440000000007</v>
      </c>
      <c r="Y301">
        <v>48.744446000000003</v>
      </c>
      <c r="Z301" t="s">
        <v>124</v>
      </c>
      <c r="AA301" t="s">
        <v>211</v>
      </c>
      <c r="AB301" t="s">
        <v>2524</v>
      </c>
      <c r="AC301" t="s">
        <v>213</v>
      </c>
      <c r="AD301" t="s">
        <v>214</v>
      </c>
      <c r="AE301" t="s">
        <v>215</v>
      </c>
      <c r="AF301" t="s">
        <v>216</v>
      </c>
      <c r="AH301" t="s">
        <v>72</v>
      </c>
      <c r="AI301" t="s">
        <v>2525</v>
      </c>
      <c r="AJ301">
        <v>2007</v>
      </c>
      <c r="AK301" t="s">
        <v>2526</v>
      </c>
      <c r="AM301" t="s">
        <v>2527</v>
      </c>
      <c r="AN301" t="s">
        <v>114</v>
      </c>
      <c r="AO301" t="s">
        <v>77</v>
      </c>
      <c r="AP301" t="s">
        <v>115</v>
      </c>
      <c r="AQ301" t="s">
        <v>2528</v>
      </c>
      <c r="AR301" t="s">
        <v>80</v>
      </c>
      <c r="AS301">
        <v>305</v>
      </c>
      <c r="AT301" t="s">
        <v>81</v>
      </c>
      <c r="AU301">
        <v>21.26</v>
      </c>
      <c r="AV301">
        <v>30.04</v>
      </c>
      <c r="AW301" t="s">
        <v>82</v>
      </c>
      <c r="AX301">
        <v>305</v>
      </c>
      <c r="AY301" t="s">
        <v>81</v>
      </c>
      <c r="AZ301">
        <v>10.119999999999999</v>
      </c>
      <c r="BA301">
        <v>31.96</v>
      </c>
      <c r="BB301" t="s">
        <v>83</v>
      </c>
    </row>
    <row r="302" spans="1:54" x14ac:dyDescent="0.4">
      <c r="A302">
        <v>832046</v>
      </c>
      <c r="D302" t="s">
        <v>54</v>
      </c>
      <c r="E302" t="s">
        <v>55</v>
      </c>
      <c r="F302" t="s">
        <v>2523</v>
      </c>
      <c r="G302">
        <v>1</v>
      </c>
      <c r="H302" t="s">
        <v>56</v>
      </c>
      <c r="I302" t="s">
        <v>57</v>
      </c>
      <c r="K302" t="s">
        <v>206</v>
      </c>
      <c r="L302" t="s">
        <v>253</v>
      </c>
      <c r="M302" t="s">
        <v>60</v>
      </c>
      <c r="O302" t="s">
        <v>170</v>
      </c>
      <c r="P302" t="s">
        <v>62</v>
      </c>
      <c r="R302" t="s">
        <v>63</v>
      </c>
      <c r="S302" t="s">
        <v>64</v>
      </c>
      <c r="T302">
        <v>227</v>
      </c>
      <c r="U302">
        <v>208.5</v>
      </c>
      <c r="V302">
        <f t="shared" si="8"/>
        <v>217.75</v>
      </c>
      <c r="W302">
        <f t="shared" si="9"/>
        <v>18.5</v>
      </c>
      <c r="X302">
        <v>9.1319440000000007</v>
      </c>
      <c r="Y302">
        <v>48.744446000000003</v>
      </c>
      <c r="Z302" t="s">
        <v>124</v>
      </c>
      <c r="AA302" t="s">
        <v>211</v>
      </c>
      <c r="AB302" t="s">
        <v>2524</v>
      </c>
      <c r="AC302" t="s">
        <v>213</v>
      </c>
      <c r="AD302" t="s">
        <v>214</v>
      </c>
      <c r="AE302" t="s">
        <v>215</v>
      </c>
      <c r="AF302" t="s">
        <v>216</v>
      </c>
      <c r="AH302" t="s">
        <v>72</v>
      </c>
      <c r="AI302" t="s">
        <v>2525</v>
      </c>
      <c r="AJ302">
        <v>2007</v>
      </c>
      <c r="AK302" t="s">
        <v>2526</v>
      </c>
      <c r="AM302" t="s">
        <v>2527</v>
      </c>
      <c r="AN302" t="s">
        <v>114</v>
      </c>
      <c r="AO302" t="s">
        <v>77</v>
      </c>
      <c r="AP302" t="s">
        <v>115</v>
      </c>
      <c r="AQ302" t="s">
        <v>2528</v>
      </c>
      <c r="AR302" t="s">
        <v>80</v>
      </c>
      <c r="AS302">
        <v>305</v>
      </c>
      <c r="AT302" t="s">
        <v>81</v>
      </c>
      <c r="AU302">
        <v>21.26</v>
      </c>
      <c r="AV302">
        <v>30.04</v>
      </c>
      <c r="AW302" t="s">
        <v>82</v>
      </c>
      <c r="AX302">
        <v>305</v>
      </c>
      <c r="AY302" t="s">
        <v>81</v>
      </c>
      <c r="AZ302">
        <v>10.119999999999999</v>
      </c>
      <c r="BA302">
        <v>31.96</v>
      </c>
      <c r="BB302" t="s">
        <v>83</v>
      </c>
    </row>
    <row r="303" spans="1:54" x14ac:dyDescent="0.4">
      <c r="A303">
        <v>832046</v>
      </c>
      <c r="D303" t="s">
        <v>54</v>
      </c>
      <c r="E303" t="s">
        <v>55</v>
      </c>
      <c r="F303" t="s">
        <v>2523</v>
      </c>
      <c r="G303">
        <v>1</v>
      </c>
      <c r="H303" t="s">
        <v>56</v>
      </c>
      <c r="I303" t="s">
        <v>57</v>
      </c>
      <c r="K303" t="s">
        <v>206</v>
      </c>
      <c r="L303" t="s">
        <v>253</v>
      </c>
      <c r="M303" t="s">
        <v>60</v>
      </c>
      <c r="O303" t="s">
        <v>170</v>
      </c>
      <c r="P303" t="s">
        <v>62</v>
      </c>
      <c r="R303" t="s">
        <v>63</v>
      </c>
      <c r="S303" t="s">
        <v>64</v>
      </c>
      <c r="T303">
        <v>227</v>
      </c>
      <c r="U303">
        <v>208.5</v>
      </c>
      <c r="V303">
        <f t="shared" si="8"/>
        <v>217.75</v>
      </c>
      <c r="W303">
        <f t="shared" si="9"/>
        <v>18.5</v>
      </c>
      <c r="X303">
        <v>9.1319440000000007</v>
      </c>
      <c r="Y303">
        <v>48.744446000000003</v>
      </c>
      <c r="Z303" t="s">
        <v>124</v>
      </c>
      <c r="AA303" t="s">
        <v>211</v>
      </c>
      <c r="AB303" t="s">
        <v>2524</v>
      </c>
      <c r="AC303" t="s">
        <v>213</v>
      </c>
      <c r="AD303" t="s">
        <v>214</v>
      </c>
      <c r="AE303" t="s">
        <v>215</v>
      </c>
      <c r="AF303" t="s">
        <v>216</v>
      </c>
      <c r="AH303" t="s">
        <v>72</v>
      </c>
      <c r="AI303" t="s">
        <v>2525</v>
      </c>
      <c r="AJ303">
        <v>2007</v>
      </c>
      <c r="AK303" t="s">
        <v>2526</v>
      </c>
      <c r="AM303" t="s">
        <v>2527</v>
      </c>
      <c r="AN303" t="s">
        <v>114</v>
      </c>
      <c r="AO303" t="s">
        <v>77</v>
      </c>
      <c r="AP303" t="s">
        <v>115</v>
      </c>
      <c r="AQ303" t="s">
        <v>2528</v>
      </c>
      <c r="AR303" t="s">
        <v>80</v>
      </c>
      <c r="AS303">
        <v>305</v>
      </c>
      <c r="AT303" t="s">
        <v>81</v>
      </c>
      <c r="AU303">
        <v>21.26</v>
      </c>
      <c r="AV303">
        <v>30.04</v>
      </c>
      <c r="AW303" t="s">
        <v>82</v>
      </c>
      <c r="AX303">
        <v>305</v>
      </c>
      <c r="AY303" t="s">
        <v>81</v>
      </c>
      <c r="AZ303">
        <v>10.119999999999999</v>
      </c>
      <c r="BA303">
        <v>31.96</v>
      </c>
      <c r="BB303" t="s">
        <v>83</v>
      </c>
    </row>
    <row r="304" spans="1:54" x14ac:dyDescent="0.4">
      <c r="A304">
        <v>832046</v>
      </c>
      <c r="D304" t="s">
        <v>54</v>
      </c>
      <c r="E304" t="s">
        <v>55</v>
      </c>
      <c r="F304" t="s">
        <v>2523</v>
      </c>
      <c r="G304">
        <v>1</v>
      </c>
      <c r="H304" t="s">
        <v>56</v>
      </c>
      <c r="I304" t="s">
        <v>57</v>
      </c>
      <c r="K304" t="s">
        <v>206</v>
      </c>
      <c r="L304" t="s">
        <v>253</v>
      </c>
      <c r="M304" t="s">
        <v>60</v>
      </c>
      <c r="O304" t="s">
        <v>170</v>
      </c>
      <c r="P304" t="s">
        <v>62</v>
      </c>
      <c r="R304" t="s">
        <v>63</v>
      </c>
      <c r="S304" t="s">
        <v>64</v>
      </c>
      <c r="T304">
        <v>227</v>
      </c>
      <c r="U304">
        <v>208.5</v>
      </c>
      <c r="V304">
        <f t="shared" si="8"/>
        <v>217.75</v>
      </c>
      <c r="W304">
        <f t="shared" si="9"/>
        <v>18.5</v>
      </c>
      <c r="X304">
        <v>9.1319440000000007</v>
      </c>
      <c r="Y304">
        <v>48.744446000000003</v>
      </c>
      <c r="Z304" t="s">
        <v>124</v>
      </c>
      <c r="AA304" t="s">
        <v>211</v>
      </c>
      <c r="AB304" t="s">
        <v>2524</v>
      </c>
      <c r="AC304" t="s">
        <v>213</v>
      </c>
      <c r="AD304" t="s">
        <v>214</v>
      </c>
      <c r="AE304" t="s">
        <v>215</v>
      </c>
      <c r="AF304" t="s">
        <v>216</v>
      </c>
      <c r="AH304" t="s">
        <v>72</v>
      </c>
      <c r="AI304" t="s">
        <v>2525</v>
      </c>
      <c r="AJ304">
        <v>2007</v>
      </c>
      <c r="AK304" t="s">
        <v>2526</v>
      </c>
      <c r="AM304" t="s">
        <v>2527</v>
      </c>
      <c r="AN304" t="s">
        <v>114</v>
      </c>
      <c r="AO304" t="s">
        <v>77</v>
      </c>
      <c r="AP304" t="s">
        <v>115</v>
      </c>
      <c r="AQ304" t="s">
        <v>2528</v>
      </c>
      <c r="AR304" t="s">
        <v>80</v>
      </c>
      <c r="AS304">
        <v>305</v>
      </c>
      <c r="AT304" t="s">
        <v>81</v>
      </c>
      <c r="AU304">
        <v>21.26</v>
      </c>
      <c r="AV304">
        <v>30.04</v>
      </c>
      <c r="AW304" t="s">
        <v>82</v>
      </c>
      <c r="AX304">
        <v>305</v>
      </c>
      <c r="AY304" t="s">
        <v>81</v>
      </c>
      <c r="AZ304">
        <v>10.119999999999999</v>
      </c>
      <c r="BA304">
        <v>31.96</v>
      </c>
      <c r="BB304" t="s">
        <v>83</v>
      </c>
    </row>
    <row r="305" spans="1:54" x14ac:dyDescent="0.4">
      <c r="A305">
        <v>832046</v>
      </c>
      <c r="D305" t="s">
        <v>54</v>
      </c>
      <c r="E305" t="s">
        <v>55</v>
      </c>
      <c r="F305" t="s">
        <v>2523</v>
      </c>
      <c r="G305">
        <v>1</v>
      </c>
      <c r="H305" t="s">
        <v>56</v>
      </c>
      <c r="I305" t="s">
        <v>57</v>
      </c>
      <c r="K305" t="s">
        <v>206</v>
      </c>
      <c r="L305" t="s">
        <v>253</v>
      </c>
      <c r="M305" t="s">
        <v>60</v>
      </c>
      <c r="O305" t="s">
        <v>170</v>
      </c>
      <c r="P305" t="s">
        <v>62</v>
      </c>
      <c r="R305" t="s">
        <v>63</v>
      </c>
      <c r="S305" t="s">
        <v>64</v>
      </c>
      <c r="T305">
        <v>227</v>
      </c>
      <c r="U305">
        <v>208.5</v>
      </c>
      <c r="V305">
        <f t="shared" si="8"/>
        <v>217.75</v>
      </c>
      <c r="W305">
        <f t="shared" si="9"/>
        <v>18.5</v>
      </c>
      <c r="X305">
        <v>9.1319440000000007</v>
      </c>
      <c r="Y305">
        <v>48.744446000000003</v>
      </c>
      <c r="Z305" t="s">
        <v>124</v>
      </c>
      <c r="AA305" t="s">
        <v>211</v>
      </c>
      <c r="AB305" t="s">
        <v>2524</v>
      </c>
      <c r="AC305" t="s">
        <v>213</v>
      </c>
      <c r="AD305" t="s">
        <v>214</v>
      </c>
      <c r="AE305" t="s">
        <v>215</v>
      </c>
      <c r="AF305" t="s">
        <v>216</v>
      </c>
      <c r="AH305" t="s">
        <v>72</v>
      </c>
      <c r="AI305" t="s">
        <v>2525</v>
      </c>
      <c r="AJ305">
        <v>2007</v>
      </c>
      <c r="AK305" t="s">
        <v>2526</v>
      </c>
      <c r="AM305" t="s">
        <v>2527</v>
      </c>
      <c r="AN305" t="s">
        <v>114</v>
      </c>
      <c r="AO305" t="s">
        <v>77</v>
      </c>
      <c r="AP305" t="s">
        <v>115</v>
      </c>
      <c r="AQ305" t="s">
        <v>2528</v>
      </c>
      <c r="AR305" t="s">
        <v>80</v>
      </c>
      <c r="AS305">
        <v>305</v>
      </c>
      <c r="AT305" t="s">
        <v>81</v>
      </c>
      <c r="AU305">
        <v>21.26</v>
      </c>
      <c r="AV305">
        <v>30.04</v>
      </c>
      <c r="AW305" t="s">
        <v>82</v>
      </c>
      <c r="AX305">
        <v>305</v>
      </c>
      <c r="AY305" t="s">
        <v>81</v>
      </c>
      <c r="AZ305">
        <v>10.119999999999999</v>
      </c>
      <c r="BA305">
        <v>31.96</v>
      </c>
      <c r="BB305" t="s">
        <v>83</v>
      </c>
    </row>
    <row r="306" spans="1:54" x14ac:dyDescent="0.4">
      <c r="A306">
        <v>832046</v>
      </c>
      <c r="D306" t="s">
        <v>54</v>
      </c>
      <c r="E306" t="s">
        <v>55</v>
      </c>
      <c r="F306" t="s">
        <v>2523</v>
      </c>
      <c r="G306">
        <v>1</v>
      </c>
      <c r="H306" t="s">
        <v>56</v>
      </c>
      <c r="I306" t="s">
        <v>57</v>
      </c>
      <c r="K306" t="s">
        <v>206</v>
      </c>
      <c r="L306" t="s">
        <v>253</v>
      </c>
      <c r="M306" t="s">
        <v>60</v>
      </c>
      <c r="O306" t="s">
        <v>170</v>
      </c>
      <c r="P306" t="s">
        <v>62</v>
      </c>
      <c r="R306" t="s">
        <v>63</v>
      </c>
      <c r="S306" t="s">
        <v>64</v>
      </c>
      <c r="T306">
        <v>227</v>
      </c>
      <c r="U306">
        <v>208.5</v>
      </c>
      <c r="V306">
        <f t="shared" si="8"/>
        <v>217.75</v>
      </c>
      <c r="W306">
        <f t="shared" si="9"/>
        <v>18.5</v>
      </c>
      <c r="X306">
        <v>9.1319440000000007</v>
      </c>
      <c r="Y306">
        <v>48.744446000000003</v>
      </c>
      <c r="Z306" t="s">
        <v>124</v>
      </c>
      <c r="AA306" t="s">
        <v>211</v>
      </c>
      <c r="AB306" t="s">
        <v>2524</v>
      </c>
      <c r="AC306" t="s">
        <v>213</v>
      </c>
      <c r="AD306" t="s">
        <v>214</v>
      </c>
      <c r="AE306" t="s">
        <v>215</v>
      </c>
      <c r="AF306" t="s">
        <v>216</v>
      </c>
      <c r="AH306" t="s">
        <v>72</v>
      </c>
      <c r="AI306" t="s">
        <v>2525</v>
      </c>
      <c r="AJ306">
        <v>2007</v>
      </c>
      <c r="AK306" t="s">
        <v>2526</v>
      </c>
      <c r="AM306" t="s">
        <v>2527</v>
      </c>
      <c r="AN306" t="s">
        <v>114</v>
      </c>
      <c r="AO306" t="s">
        <v>77</v>
      </c>
      <c r="AP306" t="s">
        <v>115</v>
      </c>
      <c r="AQ306" t="s">
        <v>2528</v>
      </c>
      <c r="AR306" t="s">
        <v>80</v>
      </c>
      <c r="AS306">
        <v>305</v>
      </c>
      <c r="AT306" t="s">
        <v>81</v>
      </c>
      <c r="AU306">
        <v>21.26</v>
      </c>
      <c r="AV306">
        <v>30.04</v>
      </c>
      <c r="AW306" t="s">
        <v>82</v>
      </c>
      <c r="AX306">
        <v>305</v>
      </c>
      <c r="AY306" t="s">
        <v>81</v>
      </c>
      <c r="AZ306">
        <v>10.119999999999999</v>
      </c>
      <c r="BA306">
        <v>31.96</v>
      </c>
      <c r="BB306" t="s">
        <v>83</v>
      </c>
    </row>
    <row r="307" spans="1:54" x14ac:dyDescent="0.4">
      <c r="A307">
        <v>832046</v>
      </c>
      <c r="D307" t="s">
        <v>54</v>
      </c>
      <c r="E307" t="s">
        <v>55</v>
      </c>
      <c r="F307" t="s">
        <v>2523</v>
      </c>
      <c r="G307">
        <v>1</v>
      </c>
      <c r="H307" t="s">
        <v>56</v>
      </c>
      <c r="I307" t="s">
        <v>57</v>
      </c>
      <c r="K307" t="s">
        <v>206</v>
      </c>
      <c r="L307" t="s">
        <v>253</v>
      </c>
      <c r="M307" t="s">
        <v>60</v>
      </c>
      <c r="O307" t="s">
        <v>170</v>
      </c>
      <c r="P307" t="s">
        <v>62</v>
      </c>
      <c r="R307" t="s">
        <v>63</v>
      </c>
      <c r="S307" t="s">
        <v>64</v>
      </c>
      <c r="T307">
        <v>227</v>
      </c>
      <c r="U307">
        <v>208.5</v>
      </c>
      <c r="V307">
        <f t="shared" si="8"/>
        <v>217.75</v>
      </c>
      <c r="W307">
        <f t="shared" si="9"/>
        <v>18.5</v>
      </c>
      <c r="X307">
        <v>9.1319440000000007</v>
      </c>
      <c r="Y307">
        <v>48.744446000000003</v>
      </c>
      <c r="Z307" t="s">
        <v>124</v>
      </c>
      <c r="AA307" t="s">
        <v>211</v>
      </c>
      <c r="AB307" t="s">
        <v>2524</v>
      </c>
      <c r="AC307" t="s">
        <v>213</v>
      </c>
      <c r="AD307" t="s">
        <v>214</v>
      </c>
      <c r="AE307" t="s">
        <v>215</v>
      </c>
      <c r="AF307" t="s">
        <v>216</v>
      </c>
      <c r="AH307" t="s">
        <v>72</v>
      </c>
      <c r="AI307" t="s">
        <v>2525</v>
      </c>
      <c r="AJ307">
        <v>2007</v>
      </c>
      <c r="AK307" t="s">
        <v>2526</v>
      </c>
      <c r="AM307" t="s">
        <v>2527</v>
      </c>
      <c r="AN307" t="s">
        <v>114</v>
      </c>
      <c r="AO307" t="s">
        <v>77</v>
      </c>
      <c r="AP307" t="s">
        <v>115</v>
      </c>
      <c r="AQ307" t="s">
        <v>2528</v>
      </c>
      <c r="AR307" t="s">
        <v>80</v>
      </c>
      <c r="AS307">
        <v>305</v>
      </c>
      <c r="AT307" t="s">
        <v>81</v>
      </c>
      <c r="AU307">
        <v>21.26</v>
      </c>
      <c r="AV307">
        <v>30.04</v>
      </c>
      <c r="AW307" t="s">
        <v>82</v>
      </c>
      <c r="AX307">
        <v>305</v>
      </c>
      <c r="AY307" t="s">
        <v>81</v>
      </c>
      <c r="AZ307">
        <v>10.119999999999999</v>
      </c>
      <c r="BA307">
        <v>31.96</v>
      </c>
      <c r="BB307" t="s">
        <v>83</v>
      </c>
    </row>
    <row r="308" spans="1:54" x14ac:dyDescent="0.4">
      <c r="A308">
        <v>832046</v>
      </c>
      <c r="D308" t="s">
        <v>54</v>
      </c>
      <c r="E308" t="s">
        <v>55</v>
      </c>
      <c r="F308" t="s">
        <v>2523</v>
      </c>
      <c r="G308">
        <v>1</v>
      </c>
      <c r="H308" t="s">
        <v>56</v>
      </c>
      <c r="I308" t="s">
        <v>57</v>
      </c>
      <c r="K308" t="s">
        <v>206</v>
      </c>
      <c r="L308" t="s">
        <v>253</v>
      </c>
      <c r="M308" t="s">
        <v>60</v>
      </c>
      <c r="O308" t="s">
        <v>170</v>
      </c>
      <c r="P308" t="s">
        <v>62</v>
      </c>
      <c r="R308" t="s">
        <v>63</v>
      </c>
      <c r="S308" t="s">
        <v>64</v>
      </c>
      <c r="T308">
        <v>227</v>
      </c>
      <c r="U308">
        <v>208.5</v>
      </c>
      <c r="V308">
        <f t="shared" si="8"/>
        <v>217.75</v>
      </c>
      <c r="W308">
        <f t="shared" si="9"/>
        <v>18.5</v>
      </c>
      <c r="X308">
        <v>9.1319440000000007</v>
      </c>
      <c r="Y308">
        <v>48.744446000000003</v>
      </c>
      <c r="Z308" t="s">
        <v>124</v>
      </c>
      <c r="AA308" t="s">
        <v>211</v>
      </c>
      <c r="AB308" t="s">
        <v>2524</v>
      </c>
      <c r="AC308" t="s">
        <v>213</v>
      </c>
      <c r="AD308" t="s">
        <v>214</v>
      </c>
      <c r="AE308" t="s">
        <v>215</v>
      </c>
      <c r="AF308" t="s">
        <v>216</v>
      </c>
      <c r="AH308" t="s">
        <v>72</v>
      </c>
      <c r="AI308" t="s">
        <v>2525</v>
      </c>
      <c r="AJ308">
        <v>2007</v>
      </c>
      <c r="AK308" t="s">
        <v>2526</v>
      </c>
      <c r="AM308" t="s">
        <v>2527</v>
      </c>
      <c r="AN308" t="s">
        <v>114</v>
      </c>
      <c r="AO308" t="s">
        <v>77</v>
      </c>
      <c r="AP308" t="s">
        <v>115</v>
      </c>
      <c r="AQ308" t="s">
        <v>2528</v>
      </c>
      <c r="AR308" t="s">
        <v>80</v>
      </c>
      <c r="AS308">
        <v>305</v>
      </c>
      <c r="AT308" t="s">
        <v>81</v>
      </c>
      <c r="AU308">
        <v>21.26</v>
      </c>
      <c r="AV308">
        <v>30.04</v>
      </c>
      <c r="AW308" t="s">
        <v>82</v>
      </c>
      <c r="AX308">
        <v>305</v>
      </c>
      <c r="AY308" t="s">
        <v>81</v>
      </c>
      <c r="AZ308">
        <v>10.119999999999999</v>
      </c>
      <c r="BA308">
        <v>31.96</v>
      </c>
      <c r="BB308" t="s">
        <v>83</v>
      </c>
    </row>
    <row r="309" spans="1:54" x14ac:dyDescent="0.4">
      <c r="A309">
        <v>832046</v>
      </c>
      <c r="D309" t="s">
        <v>54</v>
      </c>
      <c r="E309" t="s">
        <v>55</v>
      </c>
      <c r="F309" t="s">
        <v>2523</v>
      </c>
      <c r="G309">
        <v>1</v>
      </c>
      <c r="H309" t="s">
        <v>56</v>
      </c>
      <c r="I309" t="s">
        <v>57</v>
      </c>
      <c r="K309" t="s">
        <v>206</v>
      </c>
      <c r="L309" t="s">
        <v>253</v>
      </c>
      <c r="M309" t="s">
        <v>60</v>
      </c>
      <c r="O309" t="s">
        <v>170</v>
      </c>
      <c r="P309" t="s">
        <v>62</v>
      </c>
      <c r="R309" t="s">
        <v>63</v>
      </c>
      <c r="S309" t="s">
        <v>64</v>
      </c>
      <c r="T309">
        <v>227</v>
      </c>
      <c r="U309">
        <v>208.5</v>
      </c>
      <c r="V309">
        <f t="shared" si="8"/>
        <v>217.75</v>
      </c>
      <c r="W309">
        <f t="shared" si="9"/>
        <v>18.5</v>
      </c>
      <c r="X309">
        <v>9.1319440000000007</v>
      </c>
      <c r="Y309">
        <v>48.744446000000003</v>
      </c>
      <c r="Z309" t="s">
        <v>124</v>
      </c>
      <c r="AA309" t="s">
        <v>211</v>
      </c>
      <c r="AB309" t="s">
        <v>2524</v>
      </c>
      <c r="AC309" t="s">
        <v>213</v>
      </c>
      <c r="AD309" t="s">
        <v>214</v>
      </c>
      <c r="AE309" t="s">
        <v>215</v>
      </c>
      <c r="AF309" t="s">
        <v>216</v>
      </c>
      <c r="AH309" t="s">
        <v>72</v>
      </c>
      <c r="AI309" t="s">
        <v>2525</v>
      </c>
      <c r="AJ309">
        <v>2007</v>
      </c>
      <c r="AK309" t="s">
        <v>2526</v>
      </c>
      <c r="AM309" t="s">
        <v>2527</v>
      </c>
      <c r="AN309" t="s">
        <v>114</v>
      </c>
      <c r="AO309" t="s">
        <v>77</v>
      </c>
      <c r="AP309" t="s">
        <v>115</v>
      </c>
      <c r="AQ309" t="s">
        <v>2528</v>
      </c>
      <c r="AR309" t="s">
        <v>80</v>
      </c>
      <c r="AS309">
        <v>305</v>
      </c>
      <c r="AT309" t="s">
        <v>81</v>
      </c>
      <c r="AU309">
        <v>21.26</v>
      </c>
      <c r="AV309">
        <v>30.04</v>
      </c>
      <c r="AW309" t="s">
        <v>82</v>
      </c>
      <c r="AX309">
        <v>305</v>
      </c>
      <c r="AY309" t="s">
        <v>81</v>
      </c>
      <c r="AZ309">
        <v>10.119999999999999</v>
      </c>
      <c r="BA309">
        <v>31.96</v>
      </c>
      <c r="BB309" t="s">
        <v>83</v>
      </c>
    </row>
    <row r="310" spans="1:54" x14ac:dyDescent="0.4">
      <c r="A310">
        <v>832046</v>
      </c>
      <c r="D310" t="s">
        <v>54</v>
      </c>
      <c r="E310" t="s">
        <v>55</v>
      </c>
      <c r="F310" t="s">
        <v>2523</v>
      </c>
      <c r="G310">
        <v>1</v>
      </c>
      <c r="H310" t="s">
        <v>56</v>
      </c>
      <c r="I310" t="s">
        <v>57</v>
      </c>
      <c r="K310" t="s">
        <v>206</v>
      </c>
      <c r="L310" t="s">
        <v>253</v>
      </c>
      <c r="M310" t="s">
        <v>60</v>
      </c>
      <c r="O310" t="s">
        <v>170</v>
      </c>
      <c r="P310" t="s">
        <v>62</v>
      </c>
      <c r="R310" t="s">
        <v>63</v>
      </c>
      <c r="S310" t="s">
        <v>64</v>
      </c>
      <c r="T310">
        <v>227</v>
      </c>
      <c r="U310">
        <v>208.5</v>
      </c>
      <c r="V310">
        <f t="shared" si="8"/>
        <v>217.75</v>
      </c>
      <c r="W310">
        <f t="shared" si="9"/>
        <v>18.5</v>
      </c>
      <c r="X310">
        <v>9.1319440000000007</v>
      </c>
      <c r="Y310">
        <v>48.744446000000003</v>
      </c>
      <c r="Z310" t="s">
        <v>124</v>
      </c>
      <c r="AA310" t="s">
        <v>211</v>
      </c>
      <c r="AB310" t="s">
        <v>2524</v>
      </c>
      <c r="AC310" t="s">
        <v>213</v>
      </c>
      <c r="AD310" t="s">
        <v>214</v>
      </c>
      <c r="AE310" t="s">
        <v>215</v>
      </c>
      <c r="AF310" t="s">
        <v>216</v>
      </c>
      <c r="AH310" t="s">
        <v>72</v>
      </c>
      <c r="AI310" t="s">
        <v>2525</v>
      </c>
      <c r="AJ310">
        <v>2007</v>
      </c>
      <c r="AK310" t="s">
        <v>2526</v>
      </c>
      <c r="AM310" t="s">
        <v>2527</v>
      </c>
      <c r="AN310" t="s">
        <v>114</v>
      </c>
      <c r="AO310" t="s">
        <v>77</v>
      </c>
      <c r="AP310" t="s">
        <v>115</v>
      </c>
      <c r="AQ310" t="s">
        <v>2528</v>
      </c>
      <c r="AR310" t="s">
        <v>80</v>
      </c>
      <c r="AS310">
        <v>305</v>
      </c>
      <c r="AT310" t="s">
        <v>81</v>
      </c>
      <c r="AU310">
        <v>21.26</v>
      </c>
      <c r="AV310">
        <v>30.04</v>
      </c>
      <c r="AW310" t="s">
        <v>82</v>
      </c>
      <c r="AX310">
        <v>305</v>
      </c>
      <c r="AY310" t="s">
        <v>81</v>
      </c>
      <c r="AZ310">
        <v>10.119999999999999</v>
      </c>
      <c r="BA310">
        <v>31.96</v>
      </c>
      <c r="BB310" t="s">
        <v>83</v>
      </c>
    </row>
    <row r="311" spans="1:54" x14ac:dyDescent="0.4">
      <c r="A311">
        <v>832046</v>
      </c>
      <c r="D311" t="s">
        <v>54</v>
      </c>
      <c r="E311" t="s">
        <v>55</v>
      </c>
      <c r="F311" t="s">
        <v>2523</v>
      </c>
      <c r="G311">
        <v>1</v>
      </c>
      <c r="H311" t="s">
        <v>56</v>
      </c>
      <c r="I311" t="s">
        <v>57</v>
      </c>
      <c r="K311" t="s">
        <v>206</v>
      </c>
      <c r="L311" t="s">
        <v>253</v>
      </c>
      <c r="M311" t="s">
        <v>60</v>
      </c>
      <c r="O311" t="s">
        <v>170</v>
      </c>
      <c r="P311" t="s">
        <v>62</v>
      </c>
      <c r="R311" t="s">
        <v>63</v>
      </c>
      <c r="S311" t="s">
        <v>64</v>
      </c>
      <c r="T311">
        <v>227</v>
      </c>
      <c r="U311">
        <v>208.5</v>
      </c>
      <c r="V311">
        <f t="shared" si="8"/>
        <v>217.75</v>
      </c>
      <c r="W311">
        <f t="shared" si="9"/>
        <v>18.5</v>
      </c>
      <c r="X311">
        <v>9.1319440000000007</v>
      </c>
      <c r="Y311">
        <v>48.744446000000003</v>
      </c>
      <c r="Z311" t="s">
        <v>124</v>
      </c>
      <c r="AA311" t="s">
        <v>211</v>
      </c>
      <c r="AB311" t="s">
        <v>2524</v>
      </c>
      <c r="AC311" t="s">
        <v>213</v>
      </c>
      <c r="AD311" t="s">
        <v>214</v>
      </c>
      <c r="AE311" t="s">
        <v>215</v>
      </c>
      <c r="AF311" t="s">
        <v>216</v>
      </c>
      <c r="AH311" t="s">
        <v>72</v>
      </c>
      <c r="AI311" t="s">
        <v>2525</v>
      </c>
      <c r="AJ311">
        <v>2007</v>
      </c>
      <c r="AK311" t="s">
        <v>2526</v>
      </c>
      <c r="AM311" t="s">
        <v>2527</v>
      </c>
      <c r="AN311" t="s">
        <v>114</v>
      </c>
      <c r="AO311" t="s">
        <v>77</v>
      </c>
      <c r="AP311" t="s">
        <v>115</v>
      </c>
      <c r="AQ311" t="s">
        <v>2528</v>
      </c>
      <c r="AR311" t="s">
        <v>80</v>
      </c>
      <c r="AS311">
        <v>305</v>
      </c>
      <c r="AT311" t="s">
        <v>81</v>
      </c>
      <c r="AU311">
        <v>21.26</v>
      </c>
      <c r="AV311">
        <v>30.04</v>
      </c>
      <c r="AW311" t="s">
        <v>82</v>
      </c>
      <c r="AX311">
        <v>305</v>
      </c>
      <c r="AY311" t="s">
        <v>81</v>
      </c>
      <c r="AZ311">
        <v>10.119999999999999</v>
      </c>
      <c r="BA311">
        <v>31.96</v>
      </c>
      <c r="BB311" t="s">
        <v>83</v>
      </c>
    </row>
    <row r="312" spans="1:54" x14ac:dyDescent="0.4">
      <c r="A312">
        <v>832046</v>
      </c>
      <c r="D312" t="s">
        <v>54</v>
      </c>
      <c r="E312" t="s">
        <v>55</v>
      </c>
      <c r="F312" t="s">
        <v>2523</v>
      </c>
      <c r="G312">
        <v>1</v>
      </c>
      <c r="H312" t="s">
        <v>56</v>
      </c>
      <c r="I312" t="s">
        <v>57</v>
      </c>
      <c r="K312" t="s">
        <v>206</v>
      </c>
      <c r="L312" t="s">
        <v>253</v>
      </c>
      <c r="M312" t="s">
        <v>60</v>
      </c>
      <c r="O312" t="s">
        <v>170</v>
      </c>
      <c r="P312" t="s">
        <v>62</v>
      </c>
      <c r="R312" t="s">
        <v>63</v>
      </c>
      <c r="S312" t="s">
        <v>64</v>
      </c>
      <c r="T312">
        <v>227</v>
      </c>
      <c r="U312">
        <v>208.5</v>
      </c>
      <c r="V312">
        <f t="shared" si="8"/>
        <v>217.75</v>
      </c>
      <c r="W312">
        <f t="shared" si="9"/>
        <v>18.5</v>
      </c>
      <c r="X312">
        <v>9.1319440000000007</v>
      </c>
      <c r="Y312">
        <v>48.744446000000003</v>
      </c>
      <c r="Z312" t="s">
        <v>124</v>
      </c>
      <c r="AA312" t="s">
        <v>211</v>
      </c>
      <c r="AB312" t="s">
        <v>2524</v>
      </c>
      <c r="AC312" t="s">
        <v>213</v>
      </c>
      <c r="AD312" t="s">
        <v>214</v>
      </c>
      <c r="AE312" t="s">
        <v>215</v>
      </c>
      <c r="AF312" t="s">
        <v>216</v>
      </c>
      <c r="AH312" t="s">
        <v>72</v>
      </c>
      <c r="AI312" t="s">
        <v>2525</v>
      </c>
      <c r="AJ312">
        <v>2007</v>
      </c>
      <c r="AK312" t="s">
        <v>2526</v>
      </c>
      <c r="AM312" t="s">
        <v>2527</v>
      </c>
      <c r="AN312" t="s">
        <v>114</v>
      </c>
      <c r="AO312" t="s">
        <v>77</v>
      </c>
      <c r="AP312" t="s">
        <v>115</v>
      </c>
      <c r="AQ312" t="s">
        <v>2528</v>
      </c>
      <c r="AR312" t="s">
        <v>80</v>
      </c>
      <c r="AS312">
        <v>305</v>
      </c>
      <c r="AT312" t="s">
        <v>81</v>
      </c>
      <c r="AU312">
        <v>21.26</v>
      </c>
      <c r="AV312">
        <v>30.04</v>
      </c>
      <c r="AW312" t="s">
        <v>82</v>
      </c>
      <c r="AX312">
        <v>305</v>
      </c>
      <c r="AY312" t="s">
        <v>81</v>
      </c>
      <c r="AZ312">
        <v>10.119999999999999</v>
      </c>
      <c r="BA312">
        <v>31.96</v>
      </c>
      <c r="BB312" t="s">
        <v>83</v>
      </c>
    </row>
    <row r="313" spans="1:54" x14ac:dyDescent="0.4">
      <c r="A313">
        <v>832046</v>
      </c>
      <c r="D313" t="s">
        <v>54</v>
      </c>
      <c r="E313" t="s">
        <v>55</v>
      </c>
      <c r="F313" t="s">
        <v>2523</v>
      </c>
      <c r="G313">
        <v>1</v>
      </c>
      <c r="H313" t="s">
        <v>56</v>
      </c>
      <c r="I313" t="s">
        <v>57</v>
      </c>
      <c r="K313" t="s">
        <v>206</v>
      </c>
      <c r="L313" t="s">
        <v>253</v>
      </c>
      <c r="M313" t="s">
        <v>60</v>
      </c>
      <c r="O313" t="s">
        <v>170</v>
      </c>
      <c r="P313" t="s">
        <v>62</v>
      </c>
      <c r="R313" t="s">
        <v>63</v>
      </c>
      <c r="S313" t="s">
        <v>64</v>
      </c>
      <c r="T313">
        <v>227</v>
      </c>
      <c r="U313">
        <v>208.5</v>
      </c>
      <c r="V313">
        <f t="shared" si="8"/>
        <v>217.75</v>
      </c>
      <c r="W313">
        <f t="shared" si="9"/>
        <v>18.5</v>
      </c>
      <c r="X313">
        <v>9.1319440000000007</v>
      </c>
      <c r="Y313">
        <v>48.744446000000003</v>
      </c>
      <c r="Z313" t="s">
        <v>124</v>
      </c>
      <c r="AA313" t="s">
        <v>211</v>
      </c>
      <c r="AB313" t="s">
        <v>2524</v>
      </c>
      <c r="AC313" t="s">
        <v>213</v>
      </c>
      <c r="AD313" t="s">
        <v>214</v>
      </c>
      <c r="AE313" t="s">
        <v>215</v>
      </c>
      <c r="AF313" t="s">
        <v>216</v>
      </c>
      <c r="AH313" t="s">
        <v>72</v>
      </c>
      <c r="AI313" t="s">
        <v>2525</v>
      </c>
      <c r="AJ313">
        <v>2007</v>
      </c>
      <c r="AK313" t="s">
        <v>2526</v>
      </c>
      <c r="AM313" t="s">
        <v>2527</v>
      </c>
      <c r="AN313" t="s">
        <v>114</v>
      </c>
      <c r="AO313" t="s">
        <v>77</v>
      </c>
      <c r="AP313" t="s">
        <v>115</v>
      </c>
      <c r="AQ313" t="s">
        <v>2528</v>
      </c>
      <c r="AR313" t="s">
        <v>80</v>
      </c>
      <c r="AS313">
        <v>305</v>
      </c>
      <c r="AT313" t="s">
        <v>81</v>
      </c>
      <c r="AU313">
        <v>21.26</v>
      </c>
      <c r="AV313">
        <v>30.04</v>
      </c>
      <c r="AW313" t="s">
        <v>82</v>
      </c>
      <c r="AX313">
        <v>305</v>
      </c>
      <c r="AY313" t="s">
        <v>81</v>
      </c>
      <c r="AZ313">
        <v>10.119999999999999</v>
      </c>
      <c r="BA313">
        <v>31.96</v>
      </c>
      <c r="BB313" t="s">
        <v>83</v>
      </c>
    </row>
    <row r="314" spans="1:54" x14ac:dyDescent="0.4">
      <c r="A314">
        <v>832046</v>
      </c>
      <c r="D314" t="s">
        <v>54</v>
      </c>
      <c r="E314" t="s">
        <v>55</v>
      </c>
      <c r="F314" t="s">
        <v>2523</v>
      </c>
      <c r="G314">
        <v>1</v>
      </c>
      <c r="H314" t="s">
        <v>56</v>
      </c>
      <c r="I314" t="s">
        <v>57</v>
      </c>
      <c r="K314" t="s">
        <v>206</v>
      </c>
      <c r="L314" t="s">
        <v>253</v>
      </c>
      <c r="M314" t="s">
        <v>60</v>
      </c>
      <c r="O314" t="s">
        <v>170</v>
      </c>
      <c r="P314" t="s">
        <v>62</v>
      </c>
      <c r="R314" t="s">
        <v>63</v>
      </c>
      <c r="S314" t="s">
        <v>64</v>
      </c>
      <c r="T314">
        <v>227</v>
      </c>
      <c r="U314">
        <v>208.5</v>
      </c>
      <c r="V314">
        <f t="shared" si="8"/>
        <v>217.75</v>
      </c>
      <c r="W314">
        <f t="shared" si="9"/>
        <v>18.5</v>
      </c>
      <c r="X314">
        <v>9.1319440000000007</v>
      </c>
      <c r="Y314">
        <v>48.744446000000003</v>
      </c>
      <c r="Z314" t="s">
        <v>124</v>
      </c>
      <c r="AA314" t="s">
        <v>211</v>
      </c>
      <c r="AB314" t="s">
        <v>2524</v>
      </c>
      <c r="AC314" t="s">
        <v>213</v>
      </c>
      <c r="AD314" t="s">
        <v>214</v>
      </c>
      <c r="AE314" t="s">
        <v>215</v>
      </c>
      <c r="AF314" t="s">
        <v>216</v>
      </c>
      <c r="AH314" t="s">
        <v>72</v>
      </c>
      <c r="AI314" t="s">
        <v>2525</v>
      </c>
      <c r="AJ314">
        <v>2007</v>
      </c>
      <c r="AK314" t="s">
        <v>2526</v>
      </c>
      <c r="AM314" t="s">
        <v>2527</v>
      </c>
      <c r="AN314" t="s">
        <v>114</v>
      </c>
      <c r="AO314" t="s">
        <v>77</v>
      </c>
      <c r="AP314" t="s">
        <v>115</v>
      </c>
      <c r="AQ314" t="s">
        <v>2528</v>
      </c>
      <c r="AR314" t="s">
        <v>80</v>
      </c>
      <c r="AS314">
        <v>305</v>
      </c>
      <c r="AT314" t="s">
        <v>81</v>
      </c>
      <c r="AU314">
        <v>21.26</v>
      </c>
      <c r="AV314">
        <v>30.04</v>
      </c>
      <c r="AW314" t="s">
        <v>82</v>
      </c>
      <c r="AX314">
        <v>305</v>
      </c>
      <c r="AY314" t="s">
        <v>81</v>
      </c>
      <c r="AZ314">
        <v>10.119999999999999</v>
      </c>
      <c r="BA314">
        <v>31.96</v>
      </c>
      <c r="BB314" t="s">
        <v>83</v>
      </c>
    </row>
    <row r="315" spans="1:54" x14ac:dyDescent="0.4">
      <c r="A315">
        <v>832046</v>
      </c>
      <c r="D315" t="s">
        <v>54</v>
      </c>
      <c r="E315" t="s">
        <v>55</v>
      </c>
      <c r="F315" t="s">
        <v>2523</v>
      </c>
      <c r="G315">
        <v>1</v>
      </c>
      <c r="H315" t="s">
        <v>56</v>
      </c>
      <c r="I315" t="s">
        <v>57</v>
      </c>
      <c r="K315" t="s">
        <v>206</v>
      </c>
      <c r="L315" t="s">
        <v>253</v>
      </c>
      <c r="M315" t="s">
        <v>60</v>
      </c>
      <c r="O315" t="s">
        <v>170</v>
      </c>
      <c r="P315" t="s">
        <v>62</v>
      </c>
      <c r="R315" t="s">
        <v>63</v>
      </c>
      <c r="S315" t="s">
        <v>64</v>
      </c>
      <c r="T315">
        <v>227</v>
      </c>
      <c r="U315">
        <v>208.5</v>
      </c>
      <c r="V315">
        <f t="shared" si="8"/>
        <v>217.75</v>
      </c>
      <c r="W315">
        <f t="shared" si="9"/>
        <v>18.5</v>
      </c>
      <c r="X315">
        <v>9.1319440000000007</v>
      </c>
      <c r="Y315">
        <v>48.744446000000003</v>
      </c>
      <c r="Z315" t="s">
        <v>124</v>
      </c>
      <c r="AA315" t="s">
        <v>211</v>
      </c>
      <c r="AB315" t="s">
        <v>2524</v>
      </c>
      <c r="AC315" t="s">
        <v>213</v>
      </c>
      <c r="AD315" t="s">
        <v>214</v>
      </c>
      <c r="AE315" t="s">
        <v>215</v>
      </c>
      <c r="AF315" t="s">
        <v>216</v>
      </c>
      <c r="AH315" t="s">
        <v>72</v>
      </c>
      <c r="AI315" t="s">
        <v>2525</v>
      </c>
      <c r="AJ315">
        <v>2007</v>
      </c>
      <c r="AK315" t="s">
        <v>2526</v>
      </c>
      <c r="AM315" t="s">
        <v>2527</v>
      </c>
      <c r="AN315" t="s">
        <v>114</v>
      </c>
      <c r="AO315" t="s">
        <v>77</v>
      </c>
      <c r="AP315" t="s">
        <v>115</v>
      </c>
      <c r="AQ315" t="s">
        <v>2528</v>
      </c>
      <c r="AR315" t="s">
        <v>80</v>
      </c>
      <c r="AS315">
        <v>305</v>
      </c>
      <c r="AT315" t="s">
        <v>81</v>
      </c>
      <c r="AU315">
        <v>21.26</v>
      </c>
      <c r="AV315">
        <v>30.04</v>
      </c>
      <c r="AW315" t="s">
        <v>82</v>
      </c>
      <c r="AX315">
        <v>305</v>
      </c>
      <c r="AY315" t="s">
        <v>81</v>
      </c>
      <c r="AZ315">
        <v>10.119999999999999</v>
      </c>
      <c r="BA315">
        <v>31.96</v>
      </c>
      <c r="BB315" t="s">
        <v>83</v>
      </c>
    </row>
    <row r="316" spans="1:54" x14ac:dyDescent="0.4">
      <c r="A316">
        <v>832046</v>
      </c>
      <c r="D316" t="s">
        <v>54</v>
      </c>
      <c r="E316" t="s">
        <v>55</v>
      </c>
      <c r="F316" t="s">
        <v>2523</v>
      </c>
      <c r="G316">
        <v>1</v>
      </c>
      <c r="H316" t="s">
        <v>56</v>
      </c>
      <c r="I316" t="s">
        <v>57</v>
      </c>
      <c r="K316" t="s">
        <v>206</v>
      </c>
      <c r="L316" t="s">
        <v>253</v>
      </c>
      <c r="M316" t="s">
        <v>60</v>
      </c>
      <c r="O316" t="s">
        <v>170</v>
      </c>
      <c r="P316" t="s">
        <v>62</v>
      </c>
      <c r="R316" t="s">
        <v>63</v>
      </c>
      <c r="S316" t="s">
        <v>64</v>
      </c>
      <c r="T316">
        <v>227</v>
      </c>
      <c r="U316">
        <v>208.5</v>
      </c>
      <c r="V316">
        <f t="shared" si="8"/>
        <v>217.75</v>
      </c>
      <c r="W316">
        <f t="shared" si="9"/>
        <v>18.5</v>
      </c>
      <c r="X316">
        <v>9.1319440000000007</v>
      </c>
      <c r="Y316">
        <v>48.744446000000003</v>
      </c>
      <c r="Z316" t="s">
        <v>124</v>
      </c>
      <c r="AA316" t="s">
        <v>211</v>
      </c>
      <c r="AB316" t="s">
        <v>2524</v>
      </c>
      <c r="AC316" t="s">
        <v>213</v>
      </c>
      <c r="AD316" t="s">
        <v>214</v>
      </c>
      <c r="AE316" t="s">
        <v>215</v>
      </c>
      <c r="AF316" t="s">
        <v>216</v>
      </c>
      <c r="AH316" t="s">
        <v>72</v>
      </c>
      <c r="AI316" t="s">
        <v>2525</v>
      </c>
      <c r="AJ316">
        <v>2007</v>
      </c>
      <c r="AK316" t="s">
        <v>2526</v>
      </c>
      <c r="AM316" t="s">
        <v>2527</v>
      </c>
      <c r="AN316" t="s">
        <v>114</v>
      </c>
      <c r="AO316" t="s">
        <v>77</v>
      </c>
      <c r="AP316" t="s">
        <v>115</v>
      </c>
      <c r="AQ316" t="s">
        <v>2528</v>
      </c>
      <c r="AR316" t="s">
        <v>80</v>
      </c>
      <c r="AS316">
        <v>305</v>
      </c>
      <c r="AT316" t="s">
        <v>81</v>
      </c>
      <c r="AU316">
        <v>21.26</v>
      </c>
      <c r="AV316">
        <v>30.04</v>
      </c>
      <c r="AW316" t="s">
        <v>82</v>
      </c>
      <c r="AX316">
        <v>305</v>
      </c>
      <c r="AY316" t="s">
        <v>81</v>
      </c>
      <c r="AZ316">
        <v>10.119999999999999</v>
      </c>
      <c r="BA316">
        <v>31.96</v>
      </c>
      <c r="BB316" t="s">
        <v>83</v>
      </c>
    </row>
    <row r="317" spans="1:54" x14ac:dyDescent="0.4">
      <c r="A317">
        <v>832046</v>
      </c>
      <c r="D317" t="s">
        <v>54</v>
      </c>
      <c r="E317" t="s">
        <v>55</v>
      </c>
      <c r="F317" t="s">
        <v>2523</v>
      </c>
      <c r="G317">
        <v>1</v>
      </c>
      <c r="H317" t="s">
        <v>56</v>
      </c>
      <c r="I317" t="s">
        <v>57</v>
      </c>
      <c r="K317" t="s">
        <v>206</v>
      </c>
      <c r="L317" t="s">
        <v>253</v>
      </c>
      <c r="M317" t="s">
        <v>60</v>
      </c>
      <c r="O317" t="s">
        <v>170</v>
      </c>
      <c r="P317" t="s">
        <v>62</v>
      </c>
      <c r="R317" t="s">
        <v>63</v>
      </c>
      <c r="S317" t="s">
        <v>64</v>
      </c>
      <c r="T317">
        <v>227</v>
      </c>
      <c r="U317">
        <v>208.5</v>
      </c>
      <c r="V317">
        <f t="shared" si="8"/>
        <v>217.75</v>
      </c>
      <c r="W317">
        <f t="shared" si="9"/>
        <v>18.5</v>
      </c>
      <c r="X317">
        <v>9.1319440000000007</v>
      </c>
      <c r="Y317">
        <v>48.744446000000003</v>
      </c>
      <c r="Z317" t="s">
        <v>124</v>
      </c>
      <c r="AA317" t="s">
        <v>211</v>
      </c>
      <c r="AB317" t="s">
        <v>2524</v>
      </c>
      <c r="AC317" t="s">
        <v>213</v>
      </c>
      <c r="AD317" t="s">
        <v>214</v>
      </c>
      <c r="AE317" t="s">
        <v>215</v>
      </c>
      <c r="AF317" t="s">
        <v>216</v>
      </c>
      <c r="AH317" t="s">
        <v>72</v>
      </c>
      <c r="AI317" t="s">
        <v>2525</v>
      </c>
      <c r="AJ317">
        <v>2007</v>
      </c>
      <c r="AK317" t="s">
        <v>2526</v>
      </c>
      <c r="AM317" t="s">
        <v>2527</v>
      </c>
      <c r="AN317" t="s">
        <v>114</v>
      </c>
      <c r="AO317" t="s">
        <v>77</v>
      </c>
      <c r="AP317" t="s">
        <v>115</v>
      </c>
      <c r="AQ317" t="s">
        <v>2528</v>
      </c>
      <c r="AR317" t="s">
        <v>80</v>
      </c>
      <c r="AS317">
        <v>305</v>
      </c>
      <c r="AT317" t="s">
        <v>81</v>
      </c>
      <c r="AU317">
        <v>21.26</v>
      </c>
      <c r="AV317">
        <v>30.04</v>
      </c>
      <c r="AW317" t="s">
        <v>82</v>
      </c>
      <c r="AX317">
        <v>305</v>
      </c>
      <c r="AY317" t="s">
        <v>81</v>
      </c>
      <c r="AZ317">
        <v>10.119999999999999</v>
      </c>
      <c r="BA317">
        <v>31.96</v>
      </c>
      <c r="BB317" t="s">
        <v>83</v>
      </c>
    </row>
    <row r="318" spans="1:54" x14ac:dyDescent="0.4">
      <c r="A318">
        <v>832046</v>
      </c>
      <c r="D318" t="s">
        <v>54</v>
      </c>
      <c r="E318" t="s">
        <v>55</v>
      </c>
      <c r="F318" t="s">
        <v>2523</v>
      </c>
      <c r="G318">
        <v>1</v>
      </c>
      <c r="H318" t="s">
        <v>56</v>
      </c>
      <c r="I318" t="s">
        <v>57</v>
      </c>
      <c r="K318" t="s">
        <v>206</v>
      </c>
      <c r="L318" t="s">
        <v>253</v>
      </c>
      <c r="M318" t="s">
        <v>60</v>
      </c>
      <c r="O318" t="s">
        <v>170</v>
      </c>
      <c r="P318" t="s">
        <v>62</v>
      </c>
      <c r="R318" t="s">
        <v>63</v>
      </c>
      <c r="S318" t="s">
        <v>64</v>
      </c>
      <c r="T318">
        <v>227</v>
      </c>
      <c r="U318">
        <v>208.5</v>
      </c>
      <c r="V318">
        <f t="shared" si="8"/>
        <v>217.75</v>
      </c>
      <c r="W318">
        <f t="shared" si="9"/>
        <v>18.5</v>
      </c>
      <c r="X318">
        <v>9.1319440000000007</v>
      </c>
      <c r="Y318">
        <v>48.744446000000003</v>
      </c>
      <c r="Z318" t="s">
        <v>124</v>
      </c>
      <c r="AA318" t="s">
        <v>211</v>
      </c>
      <c r="AB318" t="s">
        <v>2524</v>
      </c>
      <c r="AC318" t="s">
        <v>213</v>
      </c>
      <c r="AD318" t="s">
        <v>214</v>
      </c>
      <c r="AE318" t="s">
        <v>215</v>
      </c>
      <c r="AF318" t="s">
        <v>216</v>
      </c>
      <c r="AH318" t="s">
        <v>72</v>
      </c>
      <c r="AI318" t="s">
        <v>2525</v>
      </c>
      <c r="AJ318">
        <v>2007</v>
      </c>
      <c r="AK318" t="s">
        <v>2526</v>
      </c>
      <c r="AM318" t="s">
        <v>2527</v>
      </c>
      <c r="AN318" t="s">
        <v>114</v>
      </c>
      <c r="AO318" t="s">
        <v>77</v>
      </c>
      <c r="AP318" t="s">
        <v>115</v>
      </c>
      <c r="AQ318" t="s">
        <v>2528</v>
      </c>
      <c r="AR318" t="s">
        <v>80</v>
      </c>
      <c r="AS318">
        <v>305</v>
      </c>
      <c r="AT318" t="s">
        <v>81</v>
      </c>
      <c r="AU318">
        <v>21.26</v>
      </c>
      <c r="AV318">
        <v>30.04</v>
      </c>
      <c r="AW318" t="s">
        <v>82</v>
      </c>
      <c r="AX318">
        <v>305</v>
      </c>
      <c r="AY318" t="s">
        <v>81</v>
      </c>
      <c r="AZ318">
        <v>10.119999999999999</v>
      </c>
      <c r="BA318">
        <v>31.96</v>
      </c>
      <c r="BB318" t="s">
        <v>83</v>
      </c>
    </row>
    <row r="319" spans="1:54" x14ac:dyDescent="0.4">
      <c r="A319">
        <v>832046</v>
      </c>
      <c r="D319" t="s">
        <v>54</v>
      </c>
      <c r="E319" t="s">
        <v>55</v>
      </c>
      <c r="F319" t="s">
        <v>2523</v>
      </c>
      <c r="G319">
        <v>1</v>
      </c>
      <c r="H319" t="s">
        <v>56</v>
      </c>
      <c r="I319" t="s">
        <v>57</v>
      </c>
      <c r="K319" t="s">
        <v>206</v>
      </c>
      <c r="L319" t="s">
        <v>253</v>
      </c>
      <c r="M319" t="s">
        <v>60</v>
      </c>
      <c r="O319" t="s">
        <v>170</v>
      </c>
      <c r="P319" t="s">
        <v>62</v>
      </c>
      <c r="R319" t="s">
        <v>63</v>
      </c>
      <c r="S319" t="s">
        <v>64</v>
      </c>
      <c r="T319">
        <v>227</v>
      </c>
      <c r="U319">
        <v>208.5</v>
      </c>
      <c r="V319">
        <f t="shared" si="8"/>
        <v>217.75</v>
      </c>
      <c r="W319">
        <f t="shared" si="9"/>
        <v>18.5</v>
      </c>
      <c r="X319">
        <v>9.1319440000000007</v>
      </c>
      <c r="Y319">
        <v>48.744446000000003</v>
      </c>
      <c r="Z319" t="s">
        <v>124</v>
      </c>
      <c r="AA319" t="s">
        <v>211</v>
      </c>
      <c r="AB319" t="s">
        <v>2524</v>
      </c>
      <c r="AC319" t="s">
        <v>213</v>
      </c>
      <c r="AD319" t="s">
        <v>214</v>
      </c>
      <c r="AE319" t="s">
        <v>215</v>
      </c>
      <c r="AF319" t="s">
        <v>216</v>
      </c>
      <c r="AH319" t="s">
        <v>72</v>
      </c>
      <c r="AI319" t="s">
        <v>2525</v>
      </c>
      <c r="AJ319">
        <v>2007</v>
      </c>
      <c r="AK319" t="s">
        <v>2526</v>
      </c>
      <c r="AM319" t="s">
        <v>2527</v>
      </c>
      <c r="AN319" t="s">
        <v>114</v>
      </c>
      <c r="AO319" t="s">
        <v>77</v>
      </c>
      <c r="AP319" t="s">
        <v>115</v>
      </c>
      <c r="AQ319" t="s">
        <v>2528</v>
      </c>
      <c r="AR319" t="s">
        <v>80</v>
      </c>
      <c r="AS319">
        <v>305</v>
      </c>
      <c r="AT319" t="s">
        <v>81</v>
      </c>
      <c r="AU319">
        <v>21.26</v>
      </c>
      <c r="AV319">
        <v>30.04</v>
      </c>
      <c r="AW319" t="s">
        <v>82</v>
      </c>
      <c r="AX319">
        <v>305</v>
      </c>
      <c r="AY319" t="s">
        <v>81</v>
      </c>
      <c r="AZ319">
        <v>10.119999999999999</v>
      </c>
      <c r="BA319">
        <v>31.96</v>
      </c>
      <c r="BB319" t="s">
        <v>83</v>
      </c>
    </row>
    <row r="320" spans="1:54" x14ac:dyDescent="0.4">
      <c r="A320">
        <v>832047</v>
      </c>
      <c r="D320" t="s">
        <v>54</v>
      </c>
      <c r="E320" t="s">
        <v>55</v>
      </c>
      <c r="G320">
        <v>1</v>
      </c>
      <c r="H320" t="s">
        <v>56</v>
      </c>
      <c r="I320" t="s">
        <v>57</v>
      </c>
      <c r="K320" t="s">
        <v>206</v>
      </c>
      <c r="L320" t="s">
        <v>253</v>
      </c>
      <c r="M320" t="s">
        <v>60</v>
      </c>
      <c r="O320" t="s">
        <v>170</v>
      </c>
      <c r="P320" t="s">
        <v>62</v>
      </c>
      <c r="R320" t="s">
        <v>63</v>
      </c>
      <c r="S320" t="s">
        <v>64</v>
      </c>
      <c r="T320">
        <v>227</v>
      </c>
      <c r="U320">
        <v>208.5</v>
      </c>
      <c r="V320">
        <f t="shared" si="8"/>
        <v>217.75</v>
      </c>
      <c r="W320">
        <f t="shared" si="9"/>
        <v>18.5</v>
      </c>
      <c r="X320">
        <v>9</v>
      </c>
      <c r="Y320">
        <v>49.047221999999998</v>
      </c>
      <c r="Z320" t="s">
        <v>124</v>
      </c>
      <c r="AA320" t="s">
        <v>211</v>
      </c>
      <c r="AB320" t="s">
        <v>2524</v>
      </c>
      <c r="AC320" t="s">
        <v>2529</v>
      </c>
      <c r="AD320" t="s">
        <v>214</v>
      </c>
      <c r="AE320" t="s">
        <v>215</v>
      </c>
      <c r="AF320" t="s">
        <v>216</v>
      </c>
      <c r="AH320" t="s">
        <v>72</v>
      </c>
      <c r="AI320" t="s">
        <v>2525</v>
      </c>
      <c r="AJ320">
        <v>2007</v>
      </c>
      <c r="AK320" t="s">
        <v>2530</v>
      </c>
      <c r="AN320" t="s">
        <v>114</v>
      </c>
      <c r="AO320" t="s">
        <v>77</v>
      </c>
      <c r="AP320" t="s">
        <v>115</v>
      </c>
      <c r="AQ320" t="s">
        <v>2531</v>
      </c>
      <c r="AR320" t="s">
        <v>80</v>
      </c>
      <c r="AS320">
        <v>305</v>
      </c>
      <c r="AT320" t="s">
        <v>81</v>
      </c>
      <c r="AU320">
        <v>21.02</v>
      </c>
      <c r="AV320">
        <v>30.28</v>
      </c>
      <c r="AW320" t="s">
        <v>82</v>
      </c>
      <c r="AX320">
        <v>305</v>
      </c>
      <c r="AY320" t="s">
        <v>81</v>
      </c>
      <c r="AZ320">
        <v>9.8699999999999992</v>
      </c>
      <c r="BA320">
        <v>32.19</v>
      </c>
      <c r="BB320" t="s">
        <v>83</v>
      </c>
    </row>
    <row r="321" spans="1:54" x14ac:dyDescent="0.4">
      <c r="A321">
        <v>832116</v>
      </c>
      <c r="D321" t="s">
        <v>904</v>
      </c>
      <c r="G321">
        <v>1</v>
      </c>
      <c r="H321" t="s">
        <v>56</v>
      </c>
      <c r="I321" t="s">
        <v>57</v>
      </c>
      <c r="K321" t="s">
        <v>85</v>
      </c>
      <c r="L321" t="s">
        <v>86</v>
      </c>
      <c r="M321" t="s">
        <v>60</v>
      </c>
      <c r="O321" t="s">
        <v>87</v>
      </c>
      <c r="P321" t="s">
        <v>62</v>
      </c>
      <c r="R321" t="s">
        <v>63</v>
      </c>
      <c r="S321" t="s">
        <v>64</v>
      </c>
      <c r="T321">
        <v>227</v>
      </c>
      <c r="U321">
        <v>208.5</v>
      </c>
      <c r="V321">
        <f t="shared" si="8"/>
        <v>217.75</v>
      </c>
      <c r="W321">
        <f t="shared" si="9"/>
        <v>18.5</v>
      </c>
      <c r="X321">
        <v>-74.150002000000001</v>
      </c>
      <c r="Y321">
        <v>40.793610000000001</v>
      </c>
      <c r="Z321" t="s">
        <v>124</v>
      </c>
      <c r="AA321" t="s">
        <v>66</v>
      </c>
      <c r="AB321" t="s">
        <v>67</v>
      </c>
      <c r="AC321" t="s">
        <v>2534</v>
      </c>
      <c r="AD321" t="s">
        <v>2255</v>
      </c>
      <c r="AE321" t="s">
        <v>70</v>
      </c>
      <c r="AH321" t="s">
        <v>11</v>
      </c>
      <c r="AI321" t="s">
        <v>2519</v>
      </c>
      <c r="AJ321">
        <v>1986</v>
      </c>
      <c r="AK321" t="s">
        <v>2535</v>
      </c>
      <c r="AN321" t="s">
        <v>114</v>
      </c>
      <c r="AO321" t="s">
        <v>77</v>
      </c>
      <c r="AP321" t="s">
        <v>78</v>
      </c>
      <c r="AQ321" t="s">
        <v>2536</v>
      </c>
      <c r="AR321" t="s">
        <v>80</v>
      </c>
      <c r="AS321">
        <v>101</v>
      </c>
      <c r="AT321" t="s">
        <v>81</v>
      </c>
      <c r="AU321">
        <v>-8.65</v>
      </c>
      <c r="AV321">
        <v>14.32</v>
      </c>
      <c r="AW321" t="s">
        <v>82</v>
      </c>
      <c r="AX321">
        <v>101</v>
      </c>
      <c r="AY321" t="s">
        <v>81</v>
      </c>
      <c r="AZ321">
        <v>-19.61</v>
      </c>
      <c r="BA321">
        <v>15.4</v>
      </c>
      <c r="BB321" t="s">
        <v>83</v>
      </c>
    </row>
    <row r="322" spans="1:54" x14ac:dyDescent="0.4">
      <c r="A322">
        <v>832687</v>
      </c>
      <c r="D322" t="s">
        <v>54</v>
      </c>
      <c r="G322">
        <v>1</v>
      </c>
      <c r="H322" t="s">
        <v>56</v>
      </c>
      <c r="I322" t="s">
        <v>57</v>
      </c>
      <c r="K322" t="s">
        <v>206</v>
      </c>
      <c r="L322" t="s">
        <v>1307</v>
      </c>
      <c r="M322" t="s">
        <v>60</v>
      </c>
      <c r="O322" t="s">
        <v>170</v>
      </c>
      <c r="P322" t="s">
        <v>62</v>
      </c>
      <c r="R322" t="s">
        <v>63</v>
      </c>
      <c r="S322" t="s">
        <v>64</v>
      </c>
      <c r="T322">
        <v>227</v>
      </c>
      <c r="U322">
        <v>208.5</v>
      </c>
      <c r="V322">
        <f t="shared" si="8"/>
        <v>217.75</v>
      </c>
      <c r="W322">
        <f t="shared" si="9"/>
        <v>18.5</v>
      </c>
      <c r="X322">
        <v>-109.93027499999999</v>
      </c>
      <c r="Y322">
        <v>38.4375</v>
      </c>
      <c r="Z322" t="s">
        <v>105</v>
      </c>
      <c r="AA322" t="s">
        <v>66</v>
      </c>
      <c r="AB322" t="s">
        <v>2563</v>
      </c>
      <c r="AC322" t="s">
        <v>285</v>
      </c>
      <c r="AD322" t="s">
        <v>174</v>
      </c>
      <c r="AF322" t="s">
        <v>1068</v>
      </c>
      <c r="AH322" t="s">
        <v>11</v>
      </c>
      <c r="AI322" t="s">
        <v>1129</v>
      </c>
      <c r="AJ322">
        <v>1999</v>
      </c>
      <c r="AK322" t="s">
        <v>2564</v>
      </c>
      <c r="AN322" t="s">
        <v>114</v>
      </c>
      <c r="AO322" t="s">
        <v>77</v>
      </c>
      <c r="AP322" t="s">
        <v>115</v>
      </c>
      <c r="AQ322" t="s">
        <v>2565</v>
      </c>
      <c r="AR322" t="s">
        <v>80</v>
      </c>
      <c r="AS322">
        <v>101</v>
      </c>
      <c r="AT322" t="s">
        <v>81</v>
      </c>
      <c r="AU322">
        <v>-36.99</v>
      </c>
      <c r="AV322">
        <v>13.87</v>
      </c>
      <c r="AW322" t="s">
        <v>82</v>
      </c>
      <c r="AX322">
        <v>133</v>
      </c>
      <c r="AY322" t="s">
        <v>81</v>
      </c>
      <c r="AZ322">
        <v>-51.89</v>
      </c>
      <c r="BA322">
        <v>13.96</v>
      </c>
      <c r="BB322" t="s">
        <v>83</v>
      </c>
    </row>
    <row r="323" spans="1:54" x14ac:dyDescent="0.4">
      <c r="A323">
        <v>832689</v>
      </c>
      <c r="D323" t="s">
        <v>167</v>
      </c>
      <c r="E323" t="s">
        <v>154</v>
      </c>
      <c r="G323">
        <v>9</v>
      </c>
      <c r="H323" t="s">
        <v>84</v>
      </c>
      <c r="I323" t="s">
        <v>57</v>
      </c>
      <c r="K323" t="s">
        <v>206</v>
      </c>
      <c r="L323" t="s">
        <v>754</v>
      </c>
      <c r="M323" t="s">
        <v>60</v>
      </c>
      <c r="O323" t="s">
        <v>170</v>
      </c>
      <c r="P323" t="s">
        <v>62</v>
      </c>
      <c r="R323" t="s">
        <v>63</v>
      </c>
      <c r="S323" t="s">
        <v>64</v>
      </c>
      <c r="T323">
        <v>227</v>
      </c>
      <c r="U323">
        <v>208.5</v>
      </c>
      <c r="V323">
        <f t="shared" ref="V323:V386" si="10">(T323+U323)/2</f>
        <v>217.75</v>
      </c>
      <c r="W323">
        <f t="shared" ref="W323:W386" si="11">T323-U323</f>
        <v>18.5</v>
      </c>
      <c r="X323">
        <v>-109.462486</v>
      </c>
      <c r="Y323">
        <v>34.437420000000003</v>
      </c>
      <c r="Z323" t="s">
        <v>734</v>
      </c>
      <c r="AA323" t="s">
        <v>66</v>
      </c>
      <c r="AB323" t="s">
        <v>583</v>
      </c>
      <c r="AC323" t="s">
        <v>735</v>
      </c>
      <c r="AD323" t="s">
        <v>174</v>
      </c>
      <c r="AF323" t="s">
        <v>736</v>
      </c>
      <c r="AH323" t="s">
        <v>72</v>
      </c>
      <c r="AI323" t="s">
        <v>740</v>
      </c>
      <c r="AJ323">
        <v>1995</v>
      </c>
      <c r="AK323" t="s">
        <v>737</v>
      </c>
      <c r="AN323" t="s">
        <v>76</v>
      </c>
      <c r="AO323">
        <v>8</v>
      </c>
      <c r="AP323" t="s">
        <v>78</v>
      </c>
      <c r="AQ323" t="s">
        <v>738</v>
      </c>
      <c r="AR323" t="s">
        <v>80</v>
      </c>
      <c r="AS323">
        <v>101</v>
      </c>
      <c r="AT323" t="s">
        <v>81</v>
      </c>
      <c r="AU323">
        <v>-37.44</v>
      </c>
      <c r="AV323">
        <v>9.8800000000000008</v>
      </c>
      <c r="AW323" t="s">
        <v>82</v>
      </c>
      <c r="AX323">
        <v>133</v>
      </c>
      <c r="AY323" t="s">
        <v>81</v>
      </c>
      <c r="AZ323">
        <v>-52.23</v>
      </c>
      <c r="BA323">
        <v>9.9499999999999993</v>
      </c>
      <c r="BB323" t="s">
        <v>83</v>
      </c>
    </row>
    <row r="324" spans="1:54" x14ac:dyDescent="0.4">
      <c r="A324">
        <v>832690</v>
      </c>
      <c r="D324" t="s">
        <v>745</v>
      </c>
      <c r="E324" t="s">
        <v>310</v>
      </c>
      <c r="G324">
        <v>16</v>
      </c>
      <c r="H324" t="s">
        <v>84</v>
      </c>
      <c r="I324" t="s">
        <v>57</v>
      </c>
      <c r="K324" t="s">
        <v>206</v>
      </c>
      <c r="L324" t="s">
        <v>744</v>
      </c>
      <c r="M324" t="s">
        <v>60</v>
      </c>
      <c r="O324" t="s">
        <v>170</v>
      </c>
      <c r="P324" t="s">
        <v>62</v>
      </c>
      <c r="R324" t="s">
        <v>63</v>
      </c>
      <c r="S324" t="s">
        <v>64</v>
      </c>
      <c r="T324">
        <v>227</v>
      </c>
      <c r="U324">
        <v>208.5</v>
      </c>
      <c r="V324">
        <f t="shared" si="10"/>
        <v>217.75</v>
      </c>
      <c r="W324">
        <f t="shared" si="11"/>
        <v>18.5</v>
      </c>
      <c r="X324">
        <v>-109.462166</v>
      </c>
      <c r="Y324">
        <v>34.437237000000003</v>
      </c>
      <c r="Z324" t="s">
        <v>748</v>
      </c>
      <c r="AA324" t="s">
        <v>66</v>
      </c>
      <c r="AB324" t="s">
        <v>583</v>
      </c>
      <c r="AC324" t="s">
        <v>735</v>
      </c>
      <c r="AD324" t="s">
        <v>174</v>
      </c>
      <c r="AF324" t="s">
        <v>749</v>
      </c>
      <c r="AH324" t="s">
        <v>72</v>
      </c>
      <c r="AI324" t="s">
        <v>740</v>
      </c>
      <c r="AJ324">
        <v>1995</v>
      </c>
      <c r="AK324" t="s">
        <v>751</v>
      </c>
      <c r="AN324" t="s">
        <v>76</v>
      </c>
      <c r="AO324">
        <v>8</v>
      </c>
      <c r="AP324" t="s">
        <v>78</v>
      </c>
      <c r="AQ324" t="s">
        <v>752</v>
      </c>
      <c r="AR324" t="s">
        <v>80</v>
      </c>
      <c r="AS324">
        <v>101</v>
      </c>
      <c r="AT324" t="s">
        <v>81</v>
      </c>
      <c r="AU324">
        <v>-37.44</v>
      </c>
      <c r="AV324">
        <v>9.8800000000000008</v>
      </c>
      <c r="AW324" t="s">
        <v>82</v>
      </c>
      <c r="AX324">
        <v>133</v>
      </c>
      <c r="AY324" t="s">
        <v>81</v>
      </c>
      <c r="AZ324">
        <v>-52.23</v>
      </c>
      <c r="BA324">
        <v>9.9499999999999993</v>
      </c>
      <c r="BB324" t="s">
        <v>83</v>
      </c>
    </row>
    <row r="325" spans="1:54" x14ac:dyDescent="0.4">
      <c r="A325">
        <v>832691</v>
      </c>
      <c r="D325" t="s">
        <v>54</v>
      </c>
      <c r="I325" t="s">
        <v>57</v>
      </c>
      <c r="K325" t="s">
        <v>206</v>
      </c>
      <c r="L325" t="s">
        <v>744</v>
      </c>
      <c r="M325" t="s">
        <v>60</v>
      </c>
      <c r="O325" t="s">
        <v>170</v>
      </c>
      <c r="P325" t="s">
        <v>62</v>
      </c>
      <c r="R325" t="s">
        <v>63</v>
      </c>
      <c r="S325" t="s">
        <v>64</v>
      </c>
      <c r="T325">
        <v>227</v>
      </c>
      <c r="U325">
        <v>208.5</v>
      </c>
      <c r="V325">
        <f t="shared" si="10"/>
        <v>217.75</v>
      </c>
      <c r="W325">
        <f t="shared" si="11"/>
        <v>18.5</v>
      </c>
      <c r="X325">
        <v>-109.366669</v>
      </c>
      <c r="Y325">
        <v>35.383330999999998</v>
      </c>
      <c r="Z325" t="s">
        <v>124</v>
      </c>
      <c r="AA325" t="s">
        <v>66</v>
      </c>
      <c r="AB325" t="s">
        <v>583</v>
      </c>
      <c r="AC325" t="s">
        <v>735</v>
      </c>
      <c r="AD325" t="s">
        <v>174</v>
      </c>
      <c r="AF325" t="s">
        <v>749</v>
      </c>
      <c r="AH325" t="s">
        <v>72</v>
      </c>
      <c r="AI325" t="s">
        <v>740</v>
      </c>
      <c r="AJ325">
        <v>1995</v>
      </c>
      <c r="AK325" t="s">
        <v>2566</v>
      </c>
      <c r="AM325" t="s">
        <v>2567</v>
      </c>
      <c r="AN325" t="s">
        <v>192</v>
      </c>
      <c r="AO325" t="s">
        <v>160</v>
      </c>
      <c r="AR325" t="s">
        <v>80</v>
      </c>
      <c r="AS325">
        <v>101</v>
      </c>
      <c r="AT325" t="s">
        <v>81</v>
      </c>
      <c r="AU325">
        <v>-37.17</v>
      </c>
      <c r="AV325">
        <v>10.79</v>
      </c>
      <c r="AW325" t="s">
        <v>82</v>
      </c>
      <c r="AX325">
        <v>133</v>
      </c>
      <c r="AY325" t="s">
        <v>81</v>
      </c>
      <c r="AZ325">
        <v>-51.99</v>
      </c>
      <c r="BA325">
        <v>10.87</v>
      </c>
      <c r="BB325" t="s">
        <v>83</v>
      </c>
    </row>
    <row r="326" spans="1:54" x14ac:dyDescent="0.4">
      <c r="A326">
        <v>832694</v>
      </c>
      <c r="D326" t="s">
        <v>54</v>
      </c>
      <c r="G326">
        <v>1</v>
      </c>
      <c r="H326" t="s">
        <v>84</v>
      </c>
      <c r="I326" t="s">
        <v>57</v>
      </c>
      <c r="K326" t="s">
        <v>196</v>
      </c>
      <c r="L326" t="s">
        <v>197</v>
      </c>
      <c r="M326" t="s">
        <v>60</v>
      </c>
      <c r="O326" t="s">
        <v>87</v>
      </c>
      <c r="P326" t="s">
        <v>62</v>
      </c>
      <c r="R326" t="s">
        <v>63</v>
      </c>
      <c r="S326" t="s">
        <v>64</v>
      </c>
      <c r="T326">
        <v>227</v>
      </c>
      <c r="U326">
        <v>208.5</v>
      </c>
      <c r="V326">
        <f t="shared" si="10"/>
        <v>217.75</v>
      </c>
      <c r="W326">
        <f t="shared" si="11"/>
        <v>18.5</v>
      </c>
      <c r="X326">
        <v>-109.366669</v>
      </c>
      <c r="Y326">
        <v>35.383330999999998</v>
      </c>
      <c r="Z326" t="s">
        <v>124</v>
      </c>
      <c r="AA326" t="s">
        <v>66</v>
      </c>
      <c r="AB326" t="s">
        <v>583</v>
      </c>
      <c r="AC326" t="s">
        <v>735</v>
      </c>
      <c r="AD326" t="s">
        <v>174</v>
      </c>
      <c r="AF326" t="s">
        <v>749</v>
      </c>
      <c r="AH326" t="s">
        <v>72</v>
      </c>
      <c r="AI326" t="s">
        <v>740</v>
      </c>
      <c r="AJ326">
        <v>1995</v>
      </c>
      <c r="AK326" t="s">
        <v>2566</v>
      </c>
      <c r="AM326" t="s">
        <v>2567</v>
      </c>
      <c r="AN326" t="s">
        <v>192</v>
      </c>
      <c r="AO326" t="s">
        <v>160</v>
      </c>
      <c r="AR326" t="s">
        <v>80</v>
      </c>
      <c r="AS326">
        <v>101</v>
      </c>
      <c r="AT326" t="s">
        <v>81</v>
      </c>
      <c r="AU326">
        <v>-37.17</v>
      </c>
      <c r="AV326">
        <v>10.79</v>
      </c>
      <c r="AW326" t="s">
        <v>82</v>
      </c>
      <c r="AX326">
        <v>133</v>
      </c>
      <c r="AY326" t="s">
        <v>81</v>
      </c>
      <c r="AZ326">
        <v>-51.99</v>
      </c>
      <c r="BA326">
        <v>10.87</v>
      </c>
      <c r="BB326" t="s">
        <v>83</v>
      </c>
    </row>
    <row r="327" spans="1:54" x14ac:dyDescent="0.4">
      <c r="A327">
        <v>832696</v>
      </c>
      <c r="D327" t="s">
        <v>54</v>
      </c>
      <c r="G327">
        <v>2</v>
      </c>
      <c r="H327" t="s">
        <v>84</v>
      </c>
      <c r="I327" t="s">
        <v>57</v>
      </c>
      <c r="K327" t="s">
        <v>85</v>
      </c>
      <c r="L327" t="s">
        <v>739</v>
      </c>
      <c r="M327" t="s">
        <v>60</v>
      </c>
      <c r="O327" t="s">
        <v>87</v>
      </c>
      <c r="P327" t="s">
        <v>62</v>
      </c>
      <c r="R327" t="s">
        <v>63</v>
      </c>
      <c r="S327" t="s">
        <v>64</v>
      </c>
      <c r="T327">
        <v>227</v>
      </c>
      <c r="U327">
        <v>208.5</v>
      </c>
      <c r="V327">
        <f t="shared" si="10"/>
        <v>217.75</v>
      </c>
      <c r="W327">
        <f t="shared" si="11"/>
        <v>18.5</v>
      </c>
      <c r="X327">
        <v>-109.366669</v>
      </c>
      <c r="Y327">
        <v>35.383330999999998</v>
      </c>
      <c r="Z327" t="s">
        <v>124</v>
      </c>
      <c r="AA327" t="s">
        <v>66</v>
      </c>
      <c r="AB327" t="s">
        <v>583</v>
      </c>
      <c r="AC327" t="s">
        <v>735</v>
      </c>
      <c r="AD327" t="s">
        <v>174</v>
      </c>
      <c r="AF327" t="s">
        <v>749</v>
      </c>
      <c r="AH327" t="s">
        <v>72</v>
      </c>
      <c r="AI327" t="s">
        <v>740</v>
      </c>
      <c r="AJ327">
        <v>1995</v>
      </c>
      <c r="AK327" t="s">
        <v>2566</v>
      </c>
      <c r="AM327" t="s">
        <v>2567</v>
      </c>
      <c r="AN327" t="s">
        <v>192</v>
      </c>
      <c r="AO327" t="s">
        <v>160</v>
      </c>
      <c r="AR327" t="s">
        <v>80</v>
      </c>
      <c r="AS327">
        <v>101</v>
      </c>
      <c r="AT327" t="s">
        <v>81</v>
      </c>
      <c r="AU327">
        <v>-37.17</v>
      </c>
      <c r="AV327">
        <v>10.79</v>
      </c>
      <c r="AW327" t="s">
        <v>82</v>
      </c>
      <c r="AX327">
        <v>133</v>
      </c>
      <c r="AY327" t="s">
        <v>81</v>
      </c>
      <c r="AZ327">
        <v>-51.99</v>
      </c>
      <c r="BA327">
        <v>10.87</v>
      </c>
      <c r="BB327" t="s">
        <v>83</v>
      </c>
    </row>
    <row r="328" spans="1:54" x14ac:dyDescent="0.4">
      <c r="A328">
        <v>837001</v>
      </c>
      <c r="D328" t="s">
        <v>167</v>
      </c>
      <c r="E328" t="s">
        <v>154</v>
      </c>
      <c r="G328">
        <v>3</v>
      </c>
      <c r="H328" t="s">
        <v>84</v>
      </c>
      <c r="I328" t="s">
        <v>57</v>
      </c>
      <c r="K328" t="s">
        <v>323</v>
      </c>
      <c r="L328" t="s">
        <v>1124</v>
      </c>
      <c r="M328" t="s">
        <v>1125</v>
      </c>
      <c r="N328" t="s">
        <v>1126</v>
      </c>
      <c r="O328" t="s">
        <v>87</v>
      </c>
      <c r="P328" t="s">
        <v>62</v>
      </c>
      <c r="R328" t="s">
        <v>63</v>
      </c>
      <c r="S328" t="s">
        <v>64</v>
      </c>
      <c r="T328">
        <v>227</v>
      </c>
      <c r="U328">
        <v>208.5</v>
      </c>
      <c r="V328">
        <f t="shared" si="10"/>
        <v>217.75</v>
      </c>
      <c r="W328">
        <f t="shared" si="11"/>
        <v>18.5</v>
      </c>
      <c r="X328">
        <v>-109.462486</v>
      </c>
      <c r="Y328">
        <v>34.437420000000003</v>
      </c>
      <c r="Z328" t="s">
        <v>734</v>
      </c>
      <c r="AA328" t="s">
        <v>66</v>
      </c>
      <c r="AB328" t="s">
        <v>583</v>
      </c>
      <c r="AC328" t="s">
        <v>735</v>
      </c>
      <c r="AD328" t="s">
        <v>174</v>
      </c>
      <c r="AF328" t="s">
        <v>736</v>
      </c>
      <c r="AH328" t="s">
        <v>72</v>
      </c>
      <c r="AI328" t="s">
        <v>1127</v>
      </c>
      <c r="AJ328">
        <v>2009</v>
      </c>
      <c r="AK328" t="s">
        <v>737</v>
      </c>
      <c r="AN328" t="s">
        <v>76</v>
      </c>
      <c r="AO328">
        <v>8</v>
      </c>
      <c r="AP328" t="s">
        <v>78</v>
      </c>
      <c r="AQ328" t="s">
        <v>738</v>
      </c>
      <c r="AR328" t="s">
        <v>80</v>
      </c>
      <c r="AS328">
        <v>101</v>
      </c>
      <c r="AT328" t="s">
        <v>81</v>
      </c>
      <c r="AU328">
        <v>-37.44</v>
      </c>
      <c r="AV328">
        <v>9.8800000000000008</v>
      </c>
      <c r="AW328" t="s">
        <v>82</v>
      </c>
      <c r="AX328">
        <v>133</v>
      </c>
      <c r="AY328" t="s">
        <v>81</v>
      </c>
      <c r="AZ328">
        <v>-52.23</v>
      </c>
      <c r="BA328">
        <v>9.9499999999999993</v>
      </c>
      <c r="BB328" t="s">
        <v>83</v>
      </c>
    </row>
    <row r="329" spans="1:54" x14ac:dyDescent="0.4">
      <c r="A329">
        <v>837004</v>
      </c>
      <c r="D329" t="s">
        <v>54</v>
      </c>
      <c r="E329" t="s">
        <v>55</v>
      </c>
      <c r="G329">
        <v>1</v>
      </c>
      <c r="H329" t="s">
        <v>84</v>
      </c>
      <c r="I329" t="s">
        <v>57</v>
      </c>
      <c r="K329" t="s">
        <v>323</v>
      </c>
      <c r="L329" t="s">
        <v>1423</v>
      </c>
      <c r="M329" t="s">
        <v>60</v>
      </c>
      <c r="P329" t="s">
        <v>62</v>
      </c>
      <c r="R329" t="s">
        <v>63</v>
      </c>
      <c r="S329" t="s">
        <v>64</v>
      </c>
      <c r="T329">
        <v>227</v>
      </c>
      <c r="U329">
        <v>208.5</v>
      </c>
      <c r="V329">
        <f t="shared" si="10"/>
        <v>217.75</v>
      </c>
      <c r="W329">
        <f t="shared" si="11"/>
        <v>18.5</v>
      </c>
      <c r="X329">
        <v>-110.282501</v>
      </c>
      <c r="Y329">
        <v>37.559165999999998</v>
      </c>
      <c r="Z329" t="s">
        <v>124</v>
      </c>
      <c r="AA329" t="s">
        <v>66</v>
      </c>
      <c r="AB329" t="s">
        <v>2563</v>
      </c>
      <c r="AC329" t="s">
        <v>285</v>
      </c>
      <c r="AD329" t="s">
        <v>174</v>
      </c>
      <c r="AF329" t="s">
        <v>2624</v>
      </c>
      <c r="AH329" t="s">
        <v>11</v>
      </c>
      <c r="AI329" t="s">
        <v>1129</v>
      </c>
      <c r="AJ329">
        <v>2007</v>
      </c>
      <c r="AK329" t="s">
        <v>2625</v>
      </c>
      <c r="AN329" t="s">
        <v>76</v>
      </c>
      <c r="AO329" t="s">
        <v>77</v>
      </c>
      <c r="AP329" t="s">
        <v>115</v>
      </c>
      <c r="AQ329" t="s">
        <v>2626</v>
      </c>
      <c r="AR329" t="s">
        <v>80</v>
      </c>
      <c r="AS329">
        <v>101</v>
      </c>
      <c r="AT329" t="s">
        <v>81</v>
      </c>
      <c r="AU329">
        <v>-37.450000000000003</v>
      </c>
      <c r="AV329">
        <v>13.07</v>
      </c>
      <c r="AW329" t="s">
        <v>82</v>
      </c>
      <c r="AX329">
        <v>133</v>
      </c>
      <c r="AY329" t="s">
        <v>81</v>
      </c>
      <c r="AZ329">
        <v>-52.34</v>
      </c>
      <c r="BA329">
        <v>13.14</v>
      </c>
      <c r="BB329" t="s">
        <v>83</v>
      </c>
    </row>
    <row r="330" spans="1:54" x14ac:dyDescent="0.4">
      <c r="A330">
        <v>837005</v>
      </c>
      <c r="D330" t="s">
        <v>54</v>
      </c>
      <c r="E330" t="s">
        <v>55</v>
      </c>
      <c r="G330">
        <v>1</v>
      </c>
      <c r="H330" t="s">
        <v>84</v>
      </c>
      <c r="I330" t="s">
        <v>57</v>
      </c>
      <c r="K330" t="s">
        <v>323</v>
      </c>
      <c r="L330" t="s">
        <v>1124</v>
      </c>
      <c r="M330" t="s">
        <v>1125</v>
      </c>
      <c r="N330" t="s">
        <v>1126</v>
      </c>
      <c r="O330" t="s">
        <v>87</v>
      </c>
      <c r="P330" t="s">
        <v>62</v>
      </c>
      <c r="R330" t="s">
        <v>63</v>
      </c>
      <c r="S330" t="s">
        <v>64</v>
      </c>
      <c r="T330">
        <v>227</v>
      </c>
      <c r="U330">
        <v>208.5</v>
      </c>
      <c r="V330">
        <f t="shared" si="10"/>
        <v>217.75</v>
      </c>
      <c r="W330">
        <f t="shared" si="11"/>
        <v>18.5</v>
      </c>
      <c r="X330">
        <v>-110.282501</v>
      </c>
      <c r="Y330">
        <v>37.559165999999998</v>
      </c>
      <c r="Z330" t="s">
        <v>124</v>
      </c>
      <c r="AA330" t="s">
        <v>66</v>
      </c>
      <c r="AB330" t="s">
        <v>2563</v>
      </c>
      <c r="AC330" t="s">
        <v>285</v>
      </c>
      <c r="AD330" t="s">
        <v>174</v>
      </c>
      <c r="AF330" t="s">
        <v>2624</v>
      </c>
      <c r="AH330" t="s">
        <v>72</v>
      </c>
      <c r="AI330" t="s">
        <v>1127</v>
      </c>
      <c r="AJ330">
        <v>2009</v>
      </c>
      <c r="AK330" t="s">
        <v>2625</v>
      </c>
      <c r="AN330" t="s">
        <v>76</v>
      </c>
      <c r="AO330" t="s">
        <v>77</v>
      </c>
      <c r="AP330" t="s">
        <v>115</v>
      </c>
      <c r="AQ330" t="s">
        <v>2626</v>
      </c>
      <c r="AR330" t="s">
        <v>80</v>
      </c>
      <c r="AS330">
        <v>101</v>
      </c>
      <c r="AT330" t="s">
        <v>81</v>
      </c>
      <c r="AU330">
        <v>-37.450000000000003</v>
      </c>
      <c r="AV330">
        <v>13.07</v>
      </c>
      <c r="AW330" t="s">
        <v>82</v>
      </c>
      <c r="AX330">
        <v>133</v>
      </c>
      <c r="AY330" t="s">
        <v>81</v>
      </c>
      <c r="AZ330">
        <v>-52.34</v>
      </c>
      <c r="BA330">
        <v>13.14</v>
      </c>
      <c r="BB330" t="s">
        <v>83</v>
      </c>
    </row>
    <row r="331" spans="1:54" x14ac:dyDescent="0.4">
      <c r="A331">
        <v>837007</v>
      </c>
      <c r="D331" t="s">
        <v>54</v>
      </c>
      <c r="G331">
        <v>1</v>
      </c>
      <c r="H331" t="s">
        <v>56</v>
      </c>
      <c r="I331" t="s">
        <v>57</v>
      </c>
      <c r="K331" t="s">
        <v>323</v>
      </c>
      <c r="L331" t="s">
        <v>1124</v>
      </c>
      <c r="M331" t="s">
        <v>1125</v>
      </c>
      <c r="N331" t="s">
        <v>1126</v>
      </c>
      <c r="O331" t="s">
        <v>87</v>
      </c>
      <c r="P331" t="s">
        <v>62</v>
      </c>
      <c r="R331" t="s">
        <v>63</v>
      </c>
      <c r="S331" t="s">
        <v>64</v>
      </c>
      <c r="T331">
        <v>227</v>
      </c>
      <c r="U331">
        <v>208.5</v>
      </c>
      <c r="V331">
        <f t="shared" si="10"/>
        <v>217.75</v>
      </c>
      <c r="W331">
        <f t="shared" si="11"/>
        <v>18.5</v>
      </c>
      <c r="X331">
        <v>-109.763885</v>
      </c>
      <c r="Y331">
        <v>34.946666999999998</v>
      </c>
      <c r="Z331" t="s">
        <v>124</v>
      </c>
      <c r="AA331" t="s">
        <v>66</v>
      </c>
      <c r="AB331" t="s">
        <v>583</v>
      </c>
      <c r="AC331" t="s">
        <v>584</v>
      </c>
      <c r="AD331" t="s">
        <v>174</v>
      </c>
      <c r="AF331" t="s">
        <v>1068</v>
      </c>
      <c r="AH331" t="s">
        <v>72</v>
      </c>
      <c r="AI331" t="s">
        <v>740</v>
      </c>
      <c r="AJ331">
        <v>1995</v>
      </c>
      <c r="AK331" t="s">
        <v>2630</v>
      </c>
      <c r="AN331" t="s">
        <v>114</v>
      </c>
      <c r="AO331" t="s">
        <v>77</v>
      </c>
      <c r="AP331" t="s">
        <v>115</v>
      </c>
      <c r="AQ331" t="s">
        <v>2631</v>
      </c>
      <c r="AR331" t="s">
        <v>80</v>
      </c>
      <c r="AS331">
        <v>101</v>
      </c>
      <c r="AT331" t="s">
        <v>81</v>
      </c>
      <c r="AU331">
        <v>-37.590000000000003</v>
      </c>
      <c r="AV331">
        <v>10.43</v>
      </c>
      <c r="AW331" t="s">
        <v>82</v>
      </c>
      <c r="AX331">
        <v>133</v>
      </c>
      <c r="AY331" t="s">
        <v>81</v>
      </c>
      <c r="AZ331">
        <v>-52.39</v>
      </c>
      <c r="BA331">
        <v>10.5</v>
      </c>
      <c r="BB331" t="s">
        <v>83</v>
      </c>
    </row>
    <row r="332" spans="1:54" x14ac:dyDescent="0.4">
      <c r="A332">
        <v>837008</v>
      </c>
      <c r="D332" t="s">
        <v>54</v>
      </c>
      <c r="G332">
        <v>1</v>
      </c>
      <c r="H332" t="s">
        <v>84</v>
      </c>
      <c r="I332" t="s">
        <v>57</v>
      </c>
      <c r="K332" t="s">
        <v>323</v>
      </c>
      <c r="L332" t="s">
        <v>1124</v>
      </c>
      <c r="M332" t="s">
        <v>1125</v>
      </c>
      <c r="N332" t="s">
        <v>1126</v>
      </c>
      <c r="O332" t="s">
        <v>87</v>
      </c>
      <c r="P332" t="s">
        <v>62</v>
      </c>
      <c r="R332" t="s">
        <v>63</v>
      </c>
      <c r="S332" t="s">
        <v>64</v>
      </c>
      <c r="T332">
        <v>227</v>
      </c>
      <c r="U332">
        <v>208.5</v>
      </c>
      <c r="V332">
        <f t="shared" si="10"/>
        <v>217.75</v>
      </c>
      <c r="W332">
        <f t="shared" si="11"/>
        <v>18.5</v>
      </c>
      <c r="X332">
        <v>-109.765282</v>
      </c>
      <c r="Y332">
        <v>34.943333000000003</v>
      </c>
      <c r="Z332" t="s">
        <v>582</v>
      </c>
      <c r="AA332" t="s">
        <v>66</v>
      </c>
      <c r="AB332" t="s">
        <v>583</v>
      </c>
      <c r="AC332" t="s">
        <v>735</v>
      </c>
      <c r="AD332" t="s">
        <v>174</v>
      </c>
      <c r="AF332" t="s">
        <v>1068</v>
      </c>
      <c r="AH332" t="s">
        <v>72</v>
      </c>
      <c r="AI332" t="s">
        <v>1127</v>
      </c>
      <c r="AJ332">
        <v>2009</v>
      </c>
      <c r="AK332" t="s">
        <v>1300</v>
      </c>
      <c r="AM332" t="s">
        <v>1301</v>
      </c>
      <c r="AN332" t="s">
        <v>76</v>
      </c>
      <c r="AO332" t="s">
        <v>77</v>
      </c>
      <c r="AP332" t="s">
        <v>78</v>
      </c>
      <c r="AQ332" t="s">
        <v>1302</v>
      </c>
      <c r="AR332" t="s">
        <v>80</v>
      </c>
      <c r="AS332">
        <v>101</v>
      </c>
      <c r="AT332" t="s">
        <v>81</v>
      </c>
      <c r="AU332">
        <v>-37.590000000000003</v>
      </c>
      <c r="AV332">
        <v>10.43</v>
      </c>
      <c r="AW332" t="s">
        <v>82</v>
      </c>
      <c r="AX332">
        <v>133</v>
      </c>
      <c r="AY332" t="s">
        <v>81</v>
      </c>
      <c r="AZ332">
        <v>-52.39</v>
      </c>
      <c r="BA332">
        <v>10.49</v>
      </c>
      <c r="BB332" t="s">
        <v>83</v>
      </c>
    </row>
    <row r="333" spans="1:54" x14ac:dyDescent="0.4">
      <c r="A333">
        <v>837009</v>
      </c>
      <c r="D333" t="s">
        <v>54</v>
      </c>
      <c r="G333">
        <v>1</v>
      </c>
      <c r="H333" t="s">
        <v>84</v>
      </c>
      <c r="I333" t="s">
        <v>57</v>
      </c>
      <c r="K333" t="s">
        <v>323</v>
      </c>
      <c r="L333" t="s">
        <v>1124</v>
      </c>
      <c r="M333" t="s">
        <v>1125</v>
      </c>
      <c r="N333" t="s">
        <v>1126</v>
      </c>
      <c r="O333" t="s">
        <v>87</v>
      </c>
      <c r="P333" t="s">
        <v>62</v>
      </c>
      <c r="R333" t="s">
        <v>63</v>
      </c>
      <c r="S333" t="s">
        <v>64</v>
      </c>
      <c r="T333">
        <v>227</v>
      </c>
      <c r="U333">
        <v>208.5</v>
      </c>
      <c r="V333">
        <f t="shared" si="10"/>
        <v>217.75</v>
      </c>
      <c r="W333">
        <f t="shared" si="11"/>
        <v>18.5</v>
      </c>
      <c r="X333">
        <v>-109.763885</v>
      </c>
      <c r="Y333">
        <v>34.946666999999998</v>
      </c>
      <c r="Z333" t="s">
        <v>124</v>
      </c>
      <c r="AA333" t="s">
        <v>66</v>
      </c>
      <c r="AB333" t="s">
        <v>583</v>
      </c>
      <c r="AC333" t="s">
        <v>584</v>
      </c>
      <c r="AD333" t="s">
        <v>174</v>
      </c>
      <c r="AF333" t="s">
        <v>1068</v>
      </c>
      <c r="AH333" t="s">
        <v>72</v>
      </c>
      <c r="AI333" t="s">
        <v>1127</v>
      </c>
      <c r="AJ333">
        <v>2009</v>
      </c>
      <c r="AK333" t="s">
        <v>1744</v>
      </c>
      <c r="AM333" t="s">
        <v>1745</v>
      </c>
      <c r="AN333" t="s">
        <v>76</v>
      </c>
      <c r="AO333" t="s">
        <v>77</v>
      </c>
      <c r="AP333" t="s">
        <v>115</v>
      </c>
      <c r="AQ333" t="s">
        <v>1746</v>
      </c>
      <c r="AR333" t="s">
        <v>80</v>
      </c>
      <c r="AS333">
        <v>101</v>
      </c>
      <c r="AT333" t="s">
        <v>81</v>
      </c>
      <c r="AU333">
        <v>-37.590000000000003</v>
      </c>
      <c r="AV333">
        <v>10.43</v>
      </c>
      <c r="AW333" t="s">
        <v>82</v>
      </c>
      <c r="AX333">
        <v>133</v>
      </c>
      <c r="AY333" t="s">
        <v>81</v>
      </c>
      <c r="AZ333">
        <v>-52.39</v>
      </c>
      <c r="BA333">
        <v>10.5</v>
      </c>
      <c r="BB333" t="s">
        <v>83</v>
      </c>
    </row>
    <row r="334" spans="1:54" x14ac:dyDescent="0.4">
      <c r="A334">
        <v>837011</v>
      </c>
      <c r="D334" t="s">
        <v>54</v>
      </c>
      <c r="E334" t="s">
        <v>152</v>
      </c>
      <c r="G334">
        <v>5</v>
      </c>
      <c r="H334" t="s">
        <v>84</v>
      </c>
      <c r="I334" t="s">
        <v>57</v>
      </c>
      <c r="K334" t="s">
        <v>323</v>
      </c>
      <c r="L334" t="s">
        <v>1124</v>
      </c>
      <c r="M334" t="s">
        <v>1125</v>
      </c>
      <c r="N334" t="s">
        <v>1126</v>
      </c>
      <c r="O334" t="s">
        <v>87</v>
      </c>
      <c r="P334" t="s">
        <v>62</v>
      </c>
      <c r="R334" t="s">
        <v>63</v>
      </c>
      <c r="S334" t="s">
        <v>64</v>
      </c>
      <c r="T334">
        <v>227</v>
      </c>
      <c r="U334">
        <v>208.5</v>
      </c>
      <c r="V334">
        <f t="shared" si="10"/>
        <v>217.75</v>
      </c>
      <c r="W334">
        <f t="shared" si="11"/>
        <v>18.5</v>
      </c>
      <c r="X334">
        <v>-109.833298</v>
      </c>
      <c r="Y334">
        <v>35.033298000000002</v>
      </c>
      <c r="Z334" t="s">
        <v>582</v>
      </c>
      <c r="AA334" t="s">
        <v>66</v>
      </c>
      <c r="AB334" t="s">
        <v>583</v>
      </c>
      <c r="AC334" t="s">
        <v>735</v>
      </c>
      <c r="AD334" t="s">
        <v>174</v>
      </c>
      <c r="AF334" t="s">
        <v>749</v>
      </c>
      <c r="AH334" t="s">
        <v>72</v>
      </c>
      <c r="AI334" t="s">
        <v>1127</v>
      </c>
      <c r="AJ334">
        <v>2009</v>
      </c>
      <c r="AK334" t="s">
        <v>987</v>
      </c>
      <c r="AM334" t="s">
        <v>988</v>
      </c>
      <c r="AN334" t="s">
        <v>849</v>
      </c>
      <c r="AO334">
        <v>4</v>
      </c>
      <c r="AP334" t="s">
        <v>78</v>
      </c>
      <c r="AQ334" t="s">
        <v>989</v>
      </c>
      <c r="AR334" t="s">
        <v>80</v>
      </c>
      <c r="AS334">
        <v>101</v>
      </c>
      <c r="AT334" t="s">
        <v>81</v>
      </c>
      <c r="AU334">
        <v>-37.619999999999997</v>
      </c>
      <c r="AV334">
        <v>10.53</v>
      </c>
      <c r="AW334" t="s">
        <v>82</v>
      </c>
      <c r="AX334">
        <v>133</v>
      </c>
      <c r="AY334" t="s">
        <v>81</v>
      </c>
      <c r="AZ334">
        <v>-52.43</v>
      </c>
      <c r="BA334">
        <v>10.59</v>
      </c>
      <c r="BB334" t="s">
        <v>83</v>
      </c>
    </row>
    <row r="335" spans="1:54" x14ac:dyDescent="0.4">
      <c r="A335">
        <v>837012</v>
      </c>
      <c r="D335" t="s">
        <v>54</v>
      </c>
      <c r="E335" t="s">
        <v>55</v>
      </c>
      <c r="G335">
        <v>2</v>
      </c>
      <c r="H335" t="s">
        <v>84</v>
      </c>
      <c r="I335" t="s">
        <v>57</v>
      </c>
      <c r="K335" t="s">
        <v>323</v>
      </c>
      <c r="L335" t="s">
        <v>1124</v>
      </c>
      <c r="M335" t="s">
        <v>1125</v>
      </c>
      <c r="N335" t="s">
        <v>1126</v>
      </c>
      <c r="O335" t="s">
        <v>87</v>
      </c>
      <c r="P335" t="s">
        <v>62</v>
      </c>
      <c r="R335" t="s">
        <v>63</v>
      </c>
      <c r="S335" t="s">
        <v>64</v>
      </c>
      <c r="T335">
        <v>227</v>
      </c>
      <c r="U335">
        <v>208.5</v>
      </c>
      <c r="V335">
        <f t="shared" si="10"/>
        <v>217.75</v>
      </c>
      <c r="W335">
        <f t="shared" si="11"/>
        <v>18.5</v>
      </c>
      <c r="X335">
        <v>-109.83409899999999</v>
      </c>
      <c r="Y335">
        <v>35.110900999999998</v>
      </c>
      <c r="Z335" t="s">
        <v>582</v>
      </c>
      <c r="AA335" t="s">
        <v>66</v>
      </c>
      <c r="AB335" t="s">
        <v>583</v>
      </c>
      <c r="AC335" t="s">
        <v>735</v>
      </c>
      <c r="AD335" t="s">
        <v>174</v>
      </c>
      <c r="AF335" t="s">
        <v>749</v>
      </c>
      <c r="AH335" t="s">
        <v>72</v>
      </c>
      <c r="AI335" t="s">
        <v>1127</v>
      </c>
      <c r="AJ335">
        <v>2009</v>
      </c>
      <c r="AK335" t="s">
        <v>2632</v>
      </c>
      <c r="AM335" t="s">
        <v>1239</v>
      </c>
      <c r="AN335" t="s">
        <v>114</v>
      </c>
      <c r="AO335">
        <v>4</v>
      </c>
      <c r="AQ335" t="s">
        <v>2633</v>
      </c>
      <c r="AR335" t="s">
        <v>80</v>
      </c>
      <c r="AS335">
        <v>101</v>
      </c>
      <c r="AT335" t="s">
        <v>81</v>
      </c>
      <c r="AU335">
        <v>-37.61</v>
      </c>
      <c r="AV335">
        <v>10.6</v>
      </c>
      <c r="AW335" t="s">
        <v>82</v>
      </c>
      <c r="AX335">
        <v>133</v>
      </c>
      <c r="AY335" t="s">
        <v>81</v>
      </c>
      <c r="AZ335">
        <v>-52.42</v>
      </c>
      <c r="BA335">
        <v>10.67</v>
      </c>
      <c r="BB335" t="s">
        <v>83</v>
      </c>
    </row>
    <row r="336" spans="1:54" x14ac:dyDescent="0.4">
      <c r="A336">
        <v>837057</v>
      </c>
      <c r="D336" t="s">
        <v>54</v>
      </c>
      <c r="G336">
        <v>1</v>
      </c>
      <c r="H336" t="s">
        <v>56</v>
      </c>
      <c r="I336" t="s">
        <v>57</v>
      </c>
      <c r="K336" t="s">
        <v>141</v>
      </c>
      <c r="L336" t="s">
        <v>2634</v>
      </c>
      <c r="M336" t="s">
        <v>60</v>
      </c>
      <c r="P336" t="s">
        <v>62</v>
      </c>
      <c r="R336" t="s">
        <v>63</v>
      </c>
      <c r="S336" t="s">
        <v>64</v>
      </c>
      <c r="T336">
        <v>227</v>
      </c>
      <c r="U336">
        <v>208.5</v>
      </c>
      <c r="V336">
        <f t="shared" si="10"/>
        <v>217.75</v>
      </c>
      <c r="W336">
        <f t="shared" si="11"/>
        <v>18.5</v>
      </c>
      <c r="X336">
        <v>-109.763885</v>
      </c>
      <c r="Y336">
        <v>34.946666999999998</v>
      </c>
      <c r="Z336" t="s">
        <v>124</v>
      </c>
      <c r="AA336" t="s">
        <v>66</v>
      </c>
      <c r="AB336" t="s">
        <v>583</v>
      </c>
      <c r="AC336" t="s">
        <v>584</v>
      </c>
      <c r="AD336" t="s">
        <v>174</v>
      </c>
      <c r="AF336" t="s">
        <v>1068</v>
      </c>
      <c r="AH336" t="s">
        <v>72</v>
      </c>
      <c r="AI336" t="s">
        <v>740</v>
      </c>
      <c r="AJ336">
        <v>1995</v>
      </c>
      <c r="AK336" t="s">
        <v>1744</v>
      </c>
      <c r="AM336" t="s">
        <v>1745</v>
      </c>
      <c r="AN336" t="s">
        <v>76</v>
      </c>
      <c r="AO336" t="s">
        <v>77</v>
      </c>
      <c r="AP336" t="s">
        <v>115</v>
      </c>
      <c r="AQ336" t="s">
        <v>1746</v>
      </c>
      <c r="AR336" t="s">
        <v>80</v>
      </c>
      <c r="AS336">
        <v>101</v>
      </c>
      <c r="AT336" t="s">
        <v>81</v>
      </c>
      <c r="AU336">
        <v>-37.590000000000003</v>
      </c>
      <c r="AV336">
        <v>10.43</v>
      </c>
      <c r="AW336" t="s">
        <v>82</v>
      </c>
      <c r="AX336">
        <v>133</v>
      </c>
      <c r="AY336" t="s">
        <v>81</v>
      </c>
      <c r="AZ336">
        <v>-52.39</v>
      </c>
      <c r="BA336">
        <v>10.5</v>
      </c>
      <c r="BB336" t="s">
        <v>83</v>
      </c>
    </row>
    <row r="337" spans="1:54" x14ac:dyDescent="0.4">
      <c r="A337">
        <v>837086</v>
      </c>
      <c r="D337" t="s">
        <v>54</v>
      </c>
      <c r="G337">
        <v>1</v>
      </c>
      <c r="H337" t="s">
        <v>56</v>
      </c>
      <c r="I337" t="s">
        <v>57</v>
      </c>
      <c r="K337" t="s">
        <v>85</v>
      </c>
      <c r="L337" t="s">
        <v>739</v>
      </c>
      <c r="M337" t="s">
        <v>60</v>
      </c>
      <c r="O337" t="s">
        <v>87</v>
      </c>
      <c r="P337" t="s">
        <v>62</v>
      </c>
      <c r="R337" t="s">
        <v>63</v>
      </c>
      <c r="S337" t="s">
        <v>64</v>
      </c>
      <c r="T337">
        <v>227</v>
      </c>
      <c r="U337">
        <v>208.5</v>
      </c>
      <c r="V337">
        <f t="shared" si="10"/>
        <v>217.75</v>
      </c>
      <c r="W337">
        <f t="shared" si="11"/>
        <v>18.5</v>
      </c>
      <c r="X337">
        <v>-109.75</v>
      </c>
      <c r="Y337">
        <v>34.933334000000002</v>
      </c>
      <c r="Z337" t="s">
        <v>124</v>
      </c>
      <c r="AA337" t="s">
        <v>66</v>
      </c>
      <c r="AB337" t="s">
        <v>583</v>
      </c>
      <c r="AC337" t="s">
        <v>735</v>
      </c>
      <c r="AD337" t="s">
        <v>174</v>
      </c>
      <c r="AF337" t="s">
        <v>1078</v>
      </c>
      <c r="AH337" t="s">
        <v>72</v>
      </c>
      <c r="AI337" t="s">
        <v>740</v>
      </c>
      <c r="AJ337">
        <v>1995</v>
      </c>
      <c r="AK337" t="s">
        <v>2635</v>
      </c>
      <c r="AM337" t="s">
        <v>2636</v>
      </c>
      <c r="AN337" t="s">
        <v>192</v>
      </c>
      <c r="AO337" t="s">
        <v>160</v>
      </c>
      <c r="AP337" t="s">
        <v>115</v>
      </c>
      <c r="AQ337" t="s">
        <v>2637</v>
      </c>
      <c r="AR337" t="s">
        <v>80</v>
      </c>
      <c r="AS337">
        <v>101</v>
      </c>
      <c r="AT337" t="s">
        <v>81</v>
      </c>
      <c r="AU337">
        <v>-37.58</v>
      </c>
      <c r="AV337">
        <v>10.41</v>
      </c>
      <c r="AW337" t="s">
        <v>82</v>
      </c>
      <c r="AX337">
        <v>133</v>
      </c>
      <c r="AY337" t="s">
        <v>81</v>
      </c>
      <c r="AZ337">
        <v>-52.38</v>
      </c>
      <c r="BA337">
        <v>10.48</v>
      </c>
      <c r="BB337" t="s">
        <v>83</v>
      </c>
    </row>
    <row r="338" spans="1:54" x14ac:dyDescent="0.4">
      <c r="A338">
        <v>837088</v>
      </c>
      <c r="D338" t="s">
        <v>54</v>
      </c>
      <c r="G338">
        <v>1</v>
      </c>
      <c r="H338" t="s">
        <v>56</v>
      </c>
      <c r="I338" t="s">
        <v>57</v>
      </c>
      <c r="K338" t="s">
        <v>85</v>
      </c>
      <c r="L338" t="s">
        <v>1076</v>
      </c>
      <c r="M338" t="s">
        <v>60</v>
      </c>
      <c r="O338" t="s">
        <v>87</v>
      </c>
      <c r="P338" t="s">
        <v>62</v>
      </c>
      <c r="R338" t="s">
        <v>63</v>
      </c>
      <c r="S338" t="s">
        <v>64</v>
      </c>
      <c r="T338">
        <v>227</v>
      </c>
      <c r="U338">
        <v>208.5</v>
      </c>
      <c r="V338">
        <f t="shared" si="10"/>
        <v>217.75</v>
      </c>
      <c r="W338">
        <f t="shared" si="11"/>
        <v>18.5</v>
      </c>
      <c r="X338">
        <v>-109.75</v>
      </c>
      <c r="Y338">
        <v>34.933334000000002</v>
      </c>
      <c r="Z338" t="s">
        <v>124</v>
      </c>
      <c r="AA338" t="s">
        <v>66</v>
      </c>
      <c r="AB338" t="s">
        <v>583</v>
      </c>
      <c r="AC338" t="s">
        <v>735</v>
      </c>
      <c r="AD338" t="s">
        <v>174</v>
      </c>
      <c r="AF338" t="s">
        <v>1078</v>
      </c>
      <c r="AH338" t="s">
        <v>11</v>
      </c>
      <c r="AI338" t="s">
        <v>740</v>
      </c>
      <c r="AJ338">
        <v>1995</v>
      </c>
      <c r="AK338" t="s">
        <v>2635</v>
      </c>
      <c r="AM338" t="s">
        <v>2636</v>
      </c>
      <c r="AN338" t="s">
        <v>192</v>
      </c>
      <c r="AO338" t="s">
        <v>160</v>
      </c>
      <c r="AP338" t="s">
        <v>115</v>
      </c>
      <c r="AQ338" t="s">
        <v>2637</v>
      </c>
      <c r="AR338" t="s">
        <v>80</v>
      </c>
      <c r="AS338">
        <v>101</v>
      </c>
      <c r="AT338" t="s">
        <v>81</v>
      </c>
      <c r="AU338">
        <v>-37.58</v>
      </c>
      <c r="AV338">
        <v>10.41</v>
      </c>
      <c r="AW338" t="s">
        <v>82</v>
      </c>
      <c r="AX338">
        <v>133</v>
      </c>
      <c r="AY338" t="s">
        <v>81</v>
      </c>
      <c r="AZ338">
        <v>-52.38</v>
      </c>
      <c r="BA338">
        <v>10.48</v>
      </c>
      <c r="BB338" t="s">
        <v>83</v>
      </c>
    </row>
    <row r="339" spans="1:54" x14ac:dyDescent="0.4">
      <c r="A339">
        <v>837089</v>
      </c>
      <c r="D339" t="s">
        <v>54</v>
      </c>
      <c r="G339">
        <v>1</v>
      </c>
      <c r="H339" t="s">
        <v>421</v>
      </c>
      <c r="I339" t="s">
        <v>57</v>
      </c>
      <c r="K339" t="s">
        <v>323</v>
      </c>
      <c r="L339" t="s">
        <v>1124</v>
      </c>
      <c r="M339" t="s">
        <v>1125</v>
      </c>
      <c r="N339" t="s">
        <v>1126</v>
      </c>
      <c r="O339" t="s">
        <v>87</v>
      </c>
      <c r="P339" t="s">
        <v>62</v>
      </c>
      <c r="R339" t="s">
        <v>63</v>
      </c>
      <c r="S339" t="s">
        <v>64</v>
      </c>
      <c r="T339">
        <v>227</v>
      </c>
      <c r="U339">
        <v>208.5</v>
      </c>
      <c r="V339">
        <f t="shared" si="10"/>
        <v>217.75</v>
      </c>
      <c r="W339">
        <f t="shared" si="11"/>
        <v>18.5</v>
      </c>
      <c r="X339">
        <v>-109.75</v>
      </c>
      <c r="Y339">
        <v>34.933334000000002</v>
      </c>
      <c r="Z339" t="s">
        <v>124</v>
      </c>
      <c r="AA339" t="s">
        <v>66</v>
      </c>
      <c r="AB339" t="s">
        <v>583</v>
      </c>
      <c r="AC339" t="s">
        <v>735</v>
      </c>
      <c r="AD339" t="s">
        <v>174</v>
      </c>
      <c r="AF339" t="s">
        <v>1078</v>
      </c>
      <c r="AH339" t="s">
        <v>72</v>
      </c>
      <c r="AI339" t="s">
        <v>740</v>
      </c>
      <c r="AJ339">
        <v>1995</v>
      </c>
      <c r="AK339" t="s">
        <v>2635</v>
      </c>
      <c r="AM339" t="s">
        <v>2636</v>
      </c>
      <c r="AN339" t="s">
        <v>192</v>
      </c>
      <c r="AO339" t="s">
        <v>160</v>
      </c>
      <c r="AP339" t="s">
        <v>115</v>
      </c>
      <c r="AQ339" t="s">
        <v>2637</v>
      </c>
      <c r="AR339" t="s">
        <v>80</v>
      </c>
      <c r="AS339">
        <v>101</v>
      </c>
      <c r="AT339" t="s">
        <v>81</v>
      </c>
      <c r="AU339">
        <v>-37.58</v>
      </c>
      <c r="AV339">
        <v>10.41</v>
      </c>
      <c r="AW339" t="s">
        <v>82</v>
      </c>
      <c r="AX339">
        <v>133</v>
      </c>
      <c r="AY339" t="s">
        <v>81</v>
      </c>
      <c r="AZ339">
        <v>-52.38</v>
      </c>
      <c r="BA339">
        <v>10.48</v>
      </c>
      <c r="BB339" t="s">
        <v>83</v>
      </c>
    </row>
    <row r="340" spans="1:54" x14ac:dyDescent="0.4">
      <c r="A340">
        <v>837168</v>
      </c>
      <c r="D340" t="s">
        <v>54</v>
      </c>
      <c r="G340">
        <v>2</v>
      </c>
      <c r="H340" t="s">
        <v>84</v>
      </c>
      <c r="I340" t="s">
        <v>57</v>
      </c>
      <c r="K340" t="s">
        <v>206</v>
      </c>
      <c r="L340" t="s">
        <v>744</v>
      </c>
      <c r="M340" t="s">
        <v>60</v>
      </c>
      <c r="O340" t="s">
        <v>170</v>
      </c>
      <c r="P340" t="s">
        <v>62</v>
      </c>
      <c r="R340" t="s">
        <v>63</v>
      </c>
      <c r="S340" t="s">
        <v>64</v>
      </c>
      <c r="T340">
        <v>227</v>
      </c>
      <c r="U340">
        <v>208.5</v>
      </c>
      <c r="V340">
        <f t="shared" si="10"/>
        <v>217.75</v>
      </c>
      <c r="W340">
        <f t="shared" si="11"/>
        <v>18.5</v>
      </c>
      <c r="X340">
        <v>-109.849998</v>
      </c>
      <c r="Y340">
        <v>35.033332999999999</v>
      </c>
      <c r="Z340" t="s">
        <v>124</v>
      </c>
      <c r="AA340" t="s">
        <v>66</v>
      </c>
      <c r="AB340" t="s">
        <v>583</v>
      </c>
      <c r="AC340" t="s">
        <v>584</v>
      </c>
      <c r="AD340" t="s">
        <v>174</v>
      </c>
      <c r="AF340" t="s">
        <v>1078</v>
      </c>
      <c r="AH340" t="s">
        <v>72</v>
      </c>
      <c r="AI340" t="s">
        <v>740</v>
      </c>
      <c r="AJ340">
        <v>1995</v>
      </c>
      <c r="AK340" t="s">
        <v>2638</v>
      </c>
      <c r="AN340" t="s">
        <v>114</v>
      </c>
      <c r="AO340" t="s">
        <v>160</v>
      </c>
      <c r="AQ340" t="s">
        <v>2639</v>
      </c>
      <c r="AR340" t="s">
        <v>80</v>
      </c>
      <c r="AS340">
        <v>101</v>
      </c>
      <c r="AT340" t="s">
        <v>81</v>
      </c>
      <c r="AU340">
        <v>-37.64</v>
      </c>
      <c r="AV340">
        <v>10.53</v>
      </c>
      <c r="AW340" t="s">
        <v>82</v>
      </c>
      <c r="AX340">
        <v>133</v>
      </c>
      <c r="AY340" t="s">
        <v>81</v>
      </c>
      <c r="AZ340">
        <v>-52.44</v>
      </c>
      <c r="BA340">
        <v>10.6</v>
      </c>
      <c r="BB340" t="s">
        <v>83</v>
      </c>
    </row>
    <row r="341" spans="1:54" x14ac:dyDescent="0.4">
      <c r="A341">
        <v>837171</v>
      </c>
      <c r="D341" t="s">
        <v>54</v>
      </c>
      <c r="G341">
        <v>1</v>
      </c>
      <c r="H341" t="s">
        <v>84</v>
      </c>
      <c r="I341" t="s">
        <v>57</v>
      </c>
      <c r="K341" t="s">
        <v>323</v>
      </c>
      <c r="L341" t="s">
        <v>1124</v>
      </c>
      <c r="M341" t="s">
        <v>1125</v>
      </c>
      <c r="N341" t="s">
        <v>1126</v>
      </c>
      <c r="O341" t="s">
        <v>87</v>
      </c>
      <c r="P341" t="s">
        <v>62</v>
      </c>
      <c r="R341" t="s">
        <v>63</v>
      </c>
      <c r="S341" t="s">
        <v>64</v>
      </c>
      <c r="T341">
        <v>227</v>
      </c>
      <c r="U341">
        <v>208.5</v>
      </c>
      <c r="V341">
        <f t="shared" si="10"/>
        <v>217.75</v>
      </c>
      <c r="W341">
        <f t="shared" si="11"/>
        <v>18.5</v>
      </c>
      <c r="X341">
        <v>-109.849998</v>
      </c>
      <c r="Y341">
        <v>35.033332999999999</v>
      </c>
      <c r="Z341" t="s">
        <v>124</v>
      </c>
      <c r="AA341" t="s">
        <v>66</v>
      </c>
      <c r="AB341" t="s">
        <v>583</v>
      </c>
      <c r="AC341" t="s">
        <v>584</v>
      </c>
      <c r="AD341" t="s">
        <v>174</v>
      </c>
      <c r="AF341" t="s">
        <v>1078</v>
      </c>
      <c r="AH341" t="s">
        <v>72</v>
      </c>
      <c r="AI341" t="s">
        <v>740</v>
      </c>
      <c r="AJ341">
        <v>1995</v>
      </c>
      <c r="AK341" t="s">
        <v>2638</v>
      </c>
      <c r="AN341" t="s">
        <v>114</v>
      </c>
      <c r="AO341" t="s">
        <v>160</v>
      </c>
      <c r="AQ341" t="s">
        <v>2639</v>
      </c>
      <c r="AR341" t="s">
        <v>80</v>
      </c>
      <c r="AS341">
        <v>101</v>
      </c>
      <c r="AT341" t="s">
        <v>81</v>
      </c>
      <c r="AU341">
        <v>-37.64</v>
      </c>
      <c r="AV341">
        <v>10.53</v>
      </c>
      <c r="AW341" t="s">
        <v>82</v>
      </c>
      <c r="AX341">
        <v>133</v>
      </c>
      <c r="AY341" t="s">
        <v>81</v>
      </c>
      <c r="AZ341">
        <v>-52.44</v>
      </c>
      <c r="BA341">
        <v>10.6</v>
      </c>
      <c r="BB341" t="s">
        <v>83</v>
      </c>
    </row>
    <row r="342" spans="1:54" x14ac:dyDescent="0.4">
      <c r="A342">
        <v>837181</v>
      </c>
      <c r="D342" t="s">
        <v>54</v>
      </c>
      <c r="G342">
        <v>1</v>
      </c>
      <c r="H342" t="s">
        <v>421</v>
      </c>
      <c r="I342" t="s">
        <v>57</v>
      </c>
      <c r="K342" t="s">
        <v>206</v>
      </c>
      <c r="L342" t="s">
        <v>744</v>
      </c>
      <c r="M342" t="s">
        <v>60</v>
      </c>
      <c r="O342" t="s">
        <v>170</v>
      </c>
      <c r="P342" t="s">
        <v>62</v>
      </c>
      <c r="R342" t="s">
        <v>63</v>
      </c>
      <c r="S342" t="s">
        <v>64</v>
      </c>
      <c r="T342">
        <v>227</v>
      </c>
      <c r="U342">
        <v>208.5</v>
      </c>
      <c r="V342">
        <f t="shared" si="10"/>
        <v>217.75</v>
      </c>
      <c r="W342">
        <f t="shared" si="11"/>
        <v>18.5</v>
      </c>
      <c r="X342">
        <v>-109.75</v>
      </c>
      <c r="Y342">
        <v>34.933334000000002</v>
      </c>
      <c r="Z342" t="s">
        <v>124</v>
      </c>
      <c r="AA342" t="s">
        <v>66</v>
      </c>
      <c r="AB342" t="s">
        <v>583</v>
      </c>
      <c r="AC342" t="s">
        <v>735</v>
      </c>
      <c r="AD342" t="s">
        <v>174</v>
      </c>
      <c r="AF342" t="s">
        <v>1078</v>
      </c>
      <c r="AH342" t="s">
        <v>72</v>
      </c>
      <c r="AI342" t="s">
        <v>740</v>
      </c>
      <c r="AJ342">
        <v>1995</v>
      </c>
      <c r="AK342" t="s">
        <v>2635</v>
      </c>
      <c r="AM342" t="s">
        <v>2636</v>
      </c>
      <c r="AN342" t="s">
        <v>192</v>
      </c>
      <c r="AO342" t="s">
        <v>160</v>
      </c>
      <c r="AP342" t="s">
        <v>115</v>
      </c>
      <c r="AQ342" t="s">
        <v>2637</v>
      </c>
      <c r="AR342" t="s">
        <v>80</v>
      </c>
      <c r="AS342">
        <v>101</v>
      </c>
      <c r="AT342" t="s">
        <v>81</v>
      </c>
      <c r="AU342">
        <v>-37.58</v>
      </c>
      <c r="AV342">
        <v>10.41</v>
      </c>
      <c r="AW342" t="s">
        <v>82</v>
      </c>
      <c r="AX342">
        <v>133</v>
      </c>
      <c r="AY342" t="s">
        <v>81</v>
      </c>
      <c r="AZ342">
        <v>-52.38</v>
      </c>
      <c r="BA342">
        <v>10.48</v>
      </c>
      <c r="BB342" t="s">
        <v>83</v>
      </c>
    </row>
    <row r="343" spans="1:54" x14ac:dyDescent="0.4">
      <c r="A343">
        <v>837182</v>
      </c>
      <c r="D343" t="s">
        <v>54</v>
      </c>
      <c r="G343">
        <v>1</v>
      </c>
      <c r="H343" t="s">
        <v>84</v>
      </c>
      <c r="I343" t="s">
        <v>57</v>
      </c>
      <c r="K343" t="s">
        <v>206</v>
      </c>
      <c r="L343" t="s">
        <v>744</v>
      </c>
      <c r="M343" t="s">
        <v>60</v>
      </c>
      <c r="O343" t="s">
        <v>170</v>
      </c>
      <c r="P343" t="s">
        <v>62</v>
      </c>
      <c r="R343" t="s">
        <v>63</v>
      </c>
      <c r="S343" t="s">
        <v>64</v>
      </c>
      <c r="T343">
        <v>227</v>
      </c>
      <c r="U343">
        <v>208.5</v>
      </c>
      <c r="V343">
        <f t="shared" si="10"/>
        <v>217.75</v>
      </c>
      <c r="W343">
        <f t="shared" si="11"/>
        <v>18.5</v>
      </c>
      <c r="X343">
        <v>-109.75</v>
      </c>
      <c r="Y343">
        <v>34.933334000000002</v>
      </c>
      <c r="Z343" t="s">
        <v>124</v>
      </c>
      <c r="AA343" t="s">
        <v>66</v>
      </c>
      <c r="AB343" t="s">
        <v>583</v>
      </c>
      <c r="AC343" t="s">
        <v>735</v>
      </c>
      <c r="AD343" t="s">
        <v>174</v>
      </c>
      <c r="AF343" t="s">
        <v>1068</v>
      </c>
      <c r="AH343" t="s">
        <v>72</v>
      </c>
      <c r="AI343" t="s">
        <v>740</v>
      </c>
      <c r="AJ343">
        <v>1995</v>
      </c>
      <c r="AK343" t="s">
        <v>2640</v>
      </c>
      <c r="AN343" t="s">
        <v>192</v>
      </c>
      <c r="AO343" t="s">
        <v>160</v>
      </c>
      <c r="AP343" t="s">
        <v>115</v>
      </c>
      <c r="AQ343" t="s">
        <v>2641</v>
      </c>
      <c r="AR343" t="s">
        <v>80</v>
      </c>
      <c r="AS343">
        <v>101</v>
      </c>
      <c r="AT343" t="s">
        <v>81</v>
      </c>
      <c r="AU343">
        <v>-37.58</v>
      </c>
      <c r="AV343">
        <v>10.41</v>
      </c>
      <c r="AW343" t="s">
        <v>82</v>
      </c>
      <c r="AX343">
        <v>133</v>
      </c>
      <c r="AY343" t="s">
        <v>81</v>
      </c>
      <c r="AZ343">
        <v>-52.38</v>
      </c>
      <c r="BA343">
        <v>10.48</v>
      </c>
      <c r="BB343" t="s">
        <v>83</v>
      </c>
    </row>
    <row r="344" spans="1:54" x14ac:dyDescent="0.4">
      <c r="A344">
        <v>837213</v>
      </c>
      <c r="D344" t="s">
        <v>54</v>
      </c>
      <c r="G344">
        <v>1</v>
      </c>
      <c r="H344" t="s">
        <v>84</v>
      </c>
      <c r="I344" t="s">
        <v>57</v>
      </c>
      <c r="K344" t="s">
        <v>85</v>
      </c>
      <c r="L344" t="s">
        <v>1076</v>
      </c>
      <c r="M344" t="s">
        <v>60</v>
      </c>
      <c r="O344" t="s">
        <v>87</v>
      </c>
      <c r="P344" t="s">
        <v>62</v>
      </c>
      <c r="R344" t="s">
        <v>63</v>
      </c>
      <c r="S344" t="s">
        <v>64</v>
      </c>
      <c r="T344">
        <v>227</v>
      </c>
      <c r="U344">
        <v>208.5</v>
      </c>
      <c r="V344">
        <f t="shared" si="10"/>
        <v>217.75</v>
      </c>
      <c r="W344">
        <f t="shared" si="11"/>
        <v>18.5</v>
      </c>
      <c r="X344">
        <v>-109.75</v>
      </c>
      <c r="Y344">
        <v>34.933334000000002</v>
      </c>
      <c r="Z344" t="s">
        <v>124</v>
      </c>
      <c r="AA344" t="s">
        <v>66</v>
      </c>
      <c r="AB344" t="s">
        <v>583</v>
      </c>
      <c r="AC344" t="s">
        <v>735</v>
      </c>
      <c r="AD344" t="s">
        <v>174</v>
      </c>
      <c r="AF344" t="s">
        <v>1068</v>
      </c>
      <c r="AH344" t="s">
        <v>11</v>
      </c>
      <c r="AI344" t="s">
        <v>740</v>
      </c>
      <c r="AJ344">
        <v>1995</v>
      </c>
      <c r="AK344" t="s">
        <v>2642</v>
      </c>
      <c r="AN344" t="s">
        <v>192</v>
      </c>
      <c r="AO344" t="s">
        <v>160</v>
      </c>
      <c r="AP344" t="s">
        <v>115</v>
      </c>
      <c r="AQ344" t="s">
        <v>2641</v>
      </c>
      <c r="AR344" t="s">
        <v>80</v>
      </c>
      <c r="AS344">
        <v>101</v>
      </c>
      <c r="AT344" t="s">
        <v>81</v>
      </c>
      <c r="AU344">
        <v>-37.58</v>
      </c>
      <c r="AV344">
        <v>10.41</v>
      </c>
      <c r="AW344" t="s">
        <v>82</v>
      </c>
      <c r="AX344">
        <v>133</v>
      </c>
      <c r="AY344" t="s">
        <v>81</v>
      </c>
      <c r="AZ344">
        <v>-52.38</v>
      </c>
      <c r="BA344">
        <v>10.48</v>
      </c>
      <c r="BB344" t="s">
        <v>83</v>
      </c>
    </row>
    <row r="345" spans="1:54" x14ac:dyDescent="0.4">
      <c r="A345">
        <v>837214</v>
      </c>
      <c r="D345" t="s">
        <v>54</v>
      </c>
      <c r="G345">
        <v>1</v>
      </c>
      <c r="H345" t="s">
        <v>84</v>
      </c>
      <c r="I345" t="s">
        <v>57</v>
      </c>
      <c r="K345" t="s">
        <v>196</v>
      </c>
      <c r="L345" t="s">
        <v>197</v>
      </c>
      <c r="M345" t="s">
        <v>60</v>
      </c>
      <c r="O345" t="s">
        <v>87</v>
      </c>
      <c r="P345" t="s">
        <v>62</v>
      </c>
      <c r="R345" t="s">
        <v>63</v>
      </c>
      <c r="S345" t="s">
        <v>64</v>
      </c>
      <c r="T345">
        <v>227</v>
      </c>
      <c r="U345">
        <v>208.5</v>
      </c>
      <c r="V345">
        <f t="shared" si="10"/>
        <v>217.75</v>
      </c>
      <c r="W345">
        <f t="shared" si="11"/>
        <v>18.5</v>
      </c>
      <c r="X345">
        <v>-109.75</v>
      </c>
      <c r="Y345">
        <v>34.933334000000002</v>
      </c>
      <c r="Z345" t="s">
        <v>124</v>
      </c>
      <c r="AA345" t="s">
        <v>66</v>
      </c>
      <c r="AB345" t="s">
        <v>583</v>
      </c>
      <c r="AC345" t="s">
        <v>735</v>
      </c>
      <c r="AD345" t="s">
        <v>174</v>
      </c>
      <c r="AF345" t="s">
        <v>1068</v>
      </c>
      <c r="AH345" t="s">
        <v>72</v>
      </c>
      <c r="AI345" t="s">
        <v>740</v>
      </c>
      <c r="AJ345">
        <v>1995</v>
      </c>
      <c r="AK345" t="s">
        <v>2642</v>
      </c>
      <c r="AN345" t="s">
        <v>192</v>
      </c>
      <c r="AO345" t="s">
        <v>160</v>
      </c>
      <c r="AP345" t="s">
        <v>115</v>
      </c>
      <c r="AQ345" t="s">
        <v>2641</v>
      </c>
      <c r="AR345" t="s">
        <v>80</v>
      </c>
      <c r="AS345">
        <v>101</v>
      </c>
      <c r="AT345" t="s">
        <v>81</v>
      </c>
      <c r="AU345">
        <v>-37.58</v>
      </c>
      <c r="AV345">
        <v>10.41</v>
      </c>
      <c r="AW345" t="s">
        <v>82</v>
      </c>
      <c r="AX345">
        <v>133</v>
      </c>
      <c r="AY345" t="s">
        <v>81</v>
      </c>
      <c r="AZ345">
        <v>-52.38</v>
      </c>
      <c r="BA345">
        <v>10.48</v>
      </c>
      <c r="BB345" t="s">
        <v>83</v>
      </c>
    </row>
    <row r="346" spans="1:54" x14ac:dyDescent="0.4">
      <c r="A346">
        <v>837226</v>
      </c>
      <c r="D346" t="s">
        <v>54</v>
      </c>
      <c r="G346">
        <v>2</v>
      </c>
      <c r="H346" t="s">
        <v>84</v>
      </c>
      <c r="I346" t="s">
        <v>57</v>
      </c>
      <c r="K346" t="s">
        <v>323</v>
      </c>
      <c r="L346" t="s">
        <v>1124</v>
      </c>
      <c r="M346" t="s">
        <v>1125</v>
      </c>
      <c r="N346" t="s">
        <v>1126</v>
      </c>
      <c r="O346" t="s">
        <v>87</v>
      </c>
      <c r="P346" t="s">
        <v>62</v>
      </c>
      <c r="R346" t="s">
        <v>63</v>
      </c>
      <c r="S346" t="s">
        <v>64</v>
      </c>
      <c r="T346">
        <v>227</v>
      </c>
      <c r="U346">
        <v>208.5</v>
      </c>
      <c r="V346">
        <f t="shared" si="10"/>
        <v>217.75</v>
      </c>
      <c r="W346">
        <f t="shared" si="11"/>
        <v>18.5</v>
      </c>
      <c r="X346">
        <v>-109.833336</v>
      </c>
      <c r="Y346">
        <v>34.833331999999999</v>
      </c>
      <c r="Z346" t="s">
        <v>582</v>
      </c>
      <c r="AA346" t="s">
        <v>66</v>
      </c>
      <c r="AB346" t="s">
        <v>583</v>
      </c>
      <c r="AD346" t="s">
        <v>174</v>
      </c>
      <c r="AF346" t="s">
        <v>749</v>
      </c>
      <c r="AH346" t="s">
        <v>72</v>
      </c>
      <c r="AI346" t="s">
        <v>1127</v>
      </c>
      <c r="AJ346">
        <v>2009</v>
      </c>
      <c r="AK346" t="s">
        <v>2643</v>
      </c>
      <c r="AM346" t="s">
        <v>2644</v>
      </c>
      <c r="AN346" t="s">
        <v>114</v>
      </c>
      <c r="AO346" t="s">
        <v>160</v>
      </c>
      <c r="AQ346" t="s">
        <v>2645</v>
      </c>
      <c r="AR346" t="s">
        <v>80</v>
      </c>
      <c r="AS346">
        <v>101</v>
      </c>
      <c r="AT346" t="s">
        <v>81</v>
      </c>
      <c r="AU346">
        <v>-37.67</v>
      </c>
      <c r="AV346">
        <v>10.33</v>
      </c>
      <c r="AW346" t="s">
        <v>82</v>
      </c>
      <c r="AX346">
        <v>133</v>
      </c>
      <c r="AY346" t="s">
        <v>81</v>
      </c>
      <c r="AZ346">
        <v>-52.47</v>
      </c>
      <c r="BA346">
        <v>10.4</v>
      </c>
      <c r="BB346" t="s">
        <v>83</v>
      </c>
    </row>
    <row r="347" spans="1:54" x14ac:dyDescent="0.4">
      <c r="A347">
        <v>837361</v>
      </c>
      <c r="D347" t="s">
        <v>54</v>
      </c>
      <c r="E347" t="s">
        <v>55</v>
      </c>
      <c r="I347" t="s">
        <v>57</v>
      </c>
      <c r="K347" t="s">
        <v>168</v>
      </c>
      <c r="L347" t="s">
        <v>169</v>
      </c>
      <c r="M347" t="s">
        <v>60</v>
      </c>
      <c r="O347" t="s">
        <v>170</v>
      </c>
      <c r="P347" t="s">
        <v>62</v>
      </c>
      <c r="R347" t="s">
        <v>63</v>
      </c>
      <c r="S347" t="s">
        <v>64</v>
      </c>
      <c r="T347">
        <v>227</v>
      </c>
      <c r="U347">
        <v>208.5</v>
      </c>
      <c r="V347">
        <f t="shared" si="10"/>
        <v>217.75</v>
      </c>
      <c r="W347">
        <f t="shared" si="11"/>
        <v>18.5</v>
      </c>
      <c r="X347">
        <v>-109.57944500000001</v>
      </c>
      <c r="Y347">
        <v>34.681109999999997</v>
      </c>
      <c r="Z347" t="s">
        <v>184</v>
      </c>
      <c r="AA347" t="s">
        <v>66</v>
      </c>
      <c r="AB347" t="s">
        <v>583</v>
      </c>
      <c r="AC347" t="s">
        <v>735</v>
      </c>
      <c r="AD347" t="s">
        <v>174</v>
      </c>
      <c r="AF347" t="s">
        <v>1068</v>
      </c>
      <c r="AH347" t="s">
        <v>72</v>
      </c>
      <c r="AI347" t="s">
        <v>2646</v>
      </c>
      <c r="AJ347">
        <v>2002</v>
      </c>
      <c r="AK347" t="s">
        <v>2647</v>
      </c>
      <c r="AN347" t="s">
        <v>192</v>
      </c>
      <c r="AO347" t="s">
        <v>77</v>
      </c>
      <c r="AP347" t="s">
        <v>115</v>
      </c>
      <c r="AQ347" t="s">
        <v>2648</v>
      </c>
      <c r="AR347" t="s">
        <v>80</v>
      </c>
      <c r="AS347">
        <v>101</v>
      </c>
      <c r="AT347" t="s">
        <v>81</v>
      </c>
      <c r="AU347">
        <v>-37.49</v>
      </c>
      <c r="AV347">
        <v>10.14</v>
      </c>
      <c r="AW347" t="s">
        <v>82</v>
      </c>
      <c r="AX347">
        <v>133</v>
      </c>
      <c r="AY347" t="s">
        <v>81</v>
      </c>
      <c r="AZ347">
        <v>-52.28</v>
      </c>
      <c r="BA347">
        <v>10.210000000000001</v>
      </c>
      <c r="BB347" t="s">
        <v>83</v>
      </c>
    </row>
    <row r="348" spans="1:54" x14ac:dyDescent="0.4">
      <c r="A348">
        <v>837363</v>
      </c>
      <c r="D348" t="s">
        <v>54</v>
      </c>
      <c r="E348" t="s">
        <v>55</v>
      </c>
      <c r="I348" t="s">
        <v>57</v>
      </c>
      <c r="K348" t="s">
        <v>206</v>
      </c>
      <c r="L348" t="s">
        <v>744</v>
      </c>
      <c r="M348" t="s">
        <v>60</v>
      </c>
      <c r="O348" t="s">
        <v>170</v>
      </c>
      <c r="P348" t="s">
        <v>62</v>
      </c>
      <c r="R348" t="s">
        <v>63</v>
      </c>
      <c r="S348" t="s">
        <v>64</v>
      </c>
      <c r="T348">
        <v>227</v>
      </c>
      <c r="U348">
        <v>208.5</v>
      </c>
      <c r="V348">
        <f t="shared" si="10"/>
        <v>217.75</v>
      </c>
      <c r="W348">
        <f t="shared" si="11"/>
        <v>18.5</v>
      </c>
      <c r="X348">
        <v>-109.57944500000001</v>
      </c>
      <c r="Y348">
        <v>34.681109999999997</v>
      </c>
      <c r="Z348" t="s">
        <v>184</v>
      </c>
      <c r="AA348" t="s">
        <v>66</v>
      </c>
      <c r="AB348" t="s">
        <v>583</v>
      </c>
      <c r="AC348" t="s">
        <v>735</v>
      </c>
      <c r="AD348" t="s">
        <v>174</v>
      </c>
      <c r="AF348" t="s">
        <v>1068</v>
      </c>
      <c r="AH348" t="s">
        <v>72</v>
      </c>
      <c r="AI348" t="s">
        <v>2646</v>
      </c>
      <c r="AJ348">
        <v>2002</v>
      </c>
      <c r="AK348" t="s">
        <v>2647</v>
      </c>
      <c r="AN348" t="s">
        <v>192</v>
      </c>
      <c r="AO348" t="s">
        <v>77</v>
      </c>
      <c r="AP348" t="s">
        <v>115</v>
      </c>
      <c r="AQ348" t="s">
        <v>2648</v>
      </c>
      <c r="AR348" t="s">
        <v>80</v>
      </c>
      <c r="AS348">
        <v>101</v>
      </c>
      <c r="AT348" t="s">
        <v>81</v>
      </c>
      <c r="AU348">
        <v>-37.49</v>
      </c>
      <c r="AV348">
        <v>10.14</v>
      </c>
      <c r="AW348" t="s">
        <v>82</v>
      </c>
      <c r="AX348">
        <v>133</v>
      </c>
      <c r="AY348" t="s">
        <v>81</v>
      </c>
      <c r="AZ348">
        <v>-52.28</v>
      </c>
      <c r="BA348">
        <v>10.210000000000001</v>
      </c>
      <c r="BB348" t="s">
        <v>83</v>
      </c>
    </row>
    <row r="349" spans="1:54" x14ac:dyDescent="0.4">
      <c r="A349">
        <v>837364</v>
      </c>
      <c r="D349" t="s">
        <v>54</v>
      </c>
      <c r="E349" t="s">
        <v>55</v>
      </c>
      <c r="I349" t="s">
        <v>57</v>
      </c>
      <c r="K349" t="s">
        <v>206</v>
      </c>
      <c r="L349" t="s">
        <v>754</v>
      </c>
      <c r="M349" t="s">
        <v>60</v>
      </c>
      <c r="O349" t="s">
        <v>170</v>
      </c>
      <c r="P349" t="s">
        <v>62</v>
      </c>
      <c r="R349" t="s">
        <v>63</v>
      </c>
      <c r="S349" t="s">
        <v>64</v>
      </c>
      <c r="T349">
        <v>227</v>
      </c>
      <c r="U349">
        <v>208.5</v>
      </c>
      <c r="V349">
        <f t="shared" si="10"/>
        <v>217.75</v>
      </c>
      <c r="W349">
        <f t="shared" si="11"/>
        <v>18.5</v>
      </c>
      <c r="X349">
        <v>-109.57944500000001</v>
      </c>
      <c r="Y349">
        <v>34.681109999999997</v>
      </c>
      <c r="Z349" t="s">
        <v>184</v>
      </c>
      <c r="AA349" t="s">
        <v>66</v>
      </c>
      <c r="AB349" t="s">
        <v>583</v>
      </c>
      <c r="AC349" t="s">
        <v>735</v>
      </c>
      <c r="AD349" t="s">
        <v>174</v>
      </c>
      <c r="AF349" t="s">
        <v>1068</v>
      </c>
      <c r="AH349" t="s">
        <v>72</v>
      </c>
      <c r="AI349" t="s">
        <v>2646</v>
      </c>
      <c r="AJ349">
        <v>2002</v>
      </c>
      <c r="AK349" t="s">
        <v>2647</v>
      </c>
      <c r="AN349" t="s">
        <v>192</v>
      </c>
      <c r="AO349" t="s">
        <v>77</v>
      </c>
      <c r="AP349" t="s">
        <v>115</v>
      </c>
      <c r="AQ349" t="s">
        <v>2648</v>
      </c>
      <c r="AR349" t="s">
        <v>80</v>
      </c>
      <c r="AS349">
        <v>101</v>
      </c>
      <c r="AT349" t="s">
        <v>81</v>
      </c>
      <c r="AU349">
        <v>-37.49</v>
      </c>
      <c r="AV349">
        <v>10.14</v>
      </c>
      <c r="AW349" t="s">
        <v>82</v>
      </c>
      <c r="AX349">
        <v>133</v>
      </c>
      <c r="AY349" t="s">
        <v>81</v>
      </c>
      <c r="AZ349">
        <v>-52.28</v>
      </c>
      <c r="BA349">
        <v>10.210000000000001</v>
      </c>
      <c r="BB349" t="s">
        <v>83</v>
      </c>
    </row>
    <row r="350" spans="1:54" x14ac:dyDescent="0.4">
      <c r="A350">
        <v>837367</v>
      </c>
      <c r="D350" t="s">
        <v>54</v>
      </c>
      <c r="E350" t="s">
        <v>55</v>
      </c>
      <c r="I350" t="s">
        <v>57</v>
      </c>
      <c r="K350" t="s">
        <v>141</v>
      </c>
      <c r="L350" t="s">
        <v>990</v>
      </c>
      <c r="M350" t="s">
        <v>60</v>
      </c>
      <c r="O350" t="s">
        <v>87</v>
      </c>
      <c r="P350" t="s">
        <v>62</v>
      </c>
      <c r="R350" t="s">
        <v>63</v>
      </c>
      <c r="S350" t="s">
        <v>64</v>
      </c>
      <c r="T350">
        <v>227</v>
      </c>
      <c r="U350">
        <v>208.5</v>
      </c>
      <c r="V350">
        <f t="shared" si="10"/>
        <v>217.75</v>
      </c>
      <c r="W350">
        <f t="shared" si="11"/>
        <v>18.5</v>
      </c>
      <c r="X350">
        <v>-109.57944500000001</v>
      </c>
      <c r="Y350">
        <v>34.681109999999997</v>
      </c>
      <c r="Z350" t="s">
        <v>184</v>
      </c>
      <c r="AA350" t="s">
        <v>66</v>
      </c>
      <c r="AB350" t="s">
        <v>583</v>
      </c>
      <c r="AC350" t="s">
        <v>735</v>
      </c>
      <c r="AD350" t="s">
        <v>174</v>
      </c>
      <c r="AF350" t="s">
        <v>1068</v>
      </c>
      <c r="AH350" t="s">
        <v>72</v>
      </c>
      <c r="AI350" t="s">
        <v>1129</v>
      </c>
      <c r="AJ350">
        <v>2005</v>
      </c>
      <c r="AK350" t="s">
        <v>2647</v>
      </c>
      <c r="AN350" t="s">
        <v>192</v>
      </c>
      <c r="AO350" t="s">
        <v>77</v>
      </c>
      <c r="AP350" t="s">
        <v>115</v>
      </c>
      <c r="AQ350" t="s">
        <v>2648</v>
      </c>
      <c r="AR350" t="s">
        <v>80</v>
      </c>
      <c r="AS350">
        <v>101</v>
      </c>
      <c r="AT350" t="s">
        <v>81</v>
      </c>
      <c r="AU350">
        <v>-37.49</v>
      </c>
      <c r="AV350">
        <v>10.14</v>
      </c>
      <c r="AW350" t="s">
        <v>82</v>
      </c>
      <c r="AX350">
        <v>133</v>
      </c>
      <c r="AY350" t="s">
        <v>81</v>
      </c>
      <c r="AZ350">
        <v>-52.28</v>
      </c>
      <c r="BA350">
        <v>10.210000000000001</v>
      </c>
      <c r="BB350" t="s">
        <v>83</v>
      </c>
    </row>
    <row r="351" spans="1:54" x14ac:dyDescent="0.4">
      <c r="A351">
        <v>837368</v>
      </c>
      <c r="D351" t="s">
        <v>54</v>
      </c>
      <c r="E351" t="s">
        <v>55</v>
      </c>
      <c r="I351" t="s">
        <v>57</v>
      </c>
      <c r="K351" t="s">
        <v>141</v>
      </c>
      <c r="L351" t="s">
        <v>905</v>
      </c>
      <c r="M351" t="s">
        <v>60</v>
      </c>
      <c r="O351" t="s">
        <v>170</v>
      </c>
      <c r="P351" t="s">
        <v>62</v>
      </c>
      <c r="R351" t="s">
        <v>63</v>
      </c>
      <c r="S351" t="s">
        <v>64</v>
      </c>
      <c r="T351">
        <v>227</v>
      </c>
      <c r="U351">
        <v>208.5</v>
      </c>
      <c r="V351">
        <f t="shared" si="10"/>
        <v>217.75</v>
      </c>
      <c r="W351">
        <f t="shared" si="11"/>
        <v>18.5</v>
      </c>
      <c r="X351">
        <v>-109.57944500000001</v>
      </c>
      <c r="Y351">
        <v>34.681109999999997</v>
      </c>
      <c r="Z351" t="s">
        <v>184</v>
      </c>
      <c r="AA351" t="s">
        <v>66</v>
      </c>
      <c r="AB351" t="s">
        <v>583</v>
      </c>
      <c r="AC351" t="s">
        <v>735</v>
      </c>
      <c r="AD351" t="s">
        <v>174</v>
      </c>
      <c r="AF351" t="s">
        <v>1068</v>
      </c>
      <c r="AH351" t="s">
        <v>72</v>
      </c>
      <c r="AI351" t="s">
        <v>1129</v>
      </c>
      <c r="AJ351">
        <v>2005</v>
      </c>
      <c r="AK351" t="s">
        <v>2647</v>
      </c>
      <c r="AN351" t="s">
        <v>192</v>
      </c>
      <c r="AO351" t="s">
        <v>77</v>
      </c>
      <c r="AP351" t="s">
        <v>115</v>
      </c>
      <c r="AQ351" t="s">
        <v>2648</v>
      </c>
      <c r="AR351" t="s">
        <v>80</v>
      </c>
      <c r="AS351">
        <v>101</v>
      </c>
      <c r="AT351" t="s">
        <v>81</v>
      </c>
      <c r="AU351">
        <v>-37.49</v>
      </c>
      <c r="AV351">
        <v>10.14</v>
      </c>
      <c r="AW351" t="s">
        <v>82</v>
      </c>
      <c r="AX351">
        <v>133</v>
      </c>
      <c r="AY351" t="s">
        <v>81</v>
      </c>
      <c r="AZ351">
        <v>-52.28</v>
      </c>
      <c r="BA351">
        <v>10.210000000000001</v>
      </c>
      <c r="BB351" t="s">
        <v>83</v>
      </c>
    </row>
    <row r="352" spans="1:54" x14ac:dyDescent="0.4">
      <c r="A352">
        <v>837372</v>
      </c>
      <c r="D352" t="s">
        <v>54</v>
      </c>
      <c r="E352" t="s">
        <v>55</v>
      </c>
      <c r="I352" t="s">
        <v>57</v>
      </c>
      <c r="K352" t="s">
        <v>323</v>
      </c>
      <c r="L352" t="s">
        <v>1124</v>
      </c>
      <c r="M352" t="s">
        <v>1125</v>
      </c>
      <c r="N352" t="s">
        <v>1126</v>
      </c>
      <c r="O352" t="s">
        <v>87</v>
      </c>
      <c r="P352" t="s">
        <v>62</v>
      </c>
      <c r="R352" t="s">
        <v>63</v>
      </c>
      <c r="S352" t="s">
        <v>64</v>
      </c>
      <c r="T352">
        <v>227</v>
      </c>
      <c r="U352">
        <v>208.5</v>
      </c>
      <c r="V352">
        <f t="shared" si="10"/>
        <v>217.75</v>
      </c>
      <c r="W352">
        <f t="shared" si="11"/>
        <v>18.5</v>
      </c>
      <c r="X352">
        <v>-109.57944500000001</v>
      </c>
      <c r="Y352">
        <v>34.681109999999997</v>
      </c>
      <c r="Z352" t="s">
        <v>184</v>
      </c>
      <c r="AA352" t="s">
        <v>66</v>
      </c>
      <c r="AB352" t="s">
        <v>583</v>
      </c>
      <c r="AC352" t="s">
        <v>735</v>
      </c>
      <c r="AD352" t="s">
        <v>174</v>
      </c>
      <c r="AF352" t="s">
        <v>1068</v>
      </c>
      <c r="AH352" t="s">
        <v>72</v>
      </c>
      <c r="AI352" t="s">
        <v>743</v>
      </c>
      <c r="AJ352">
        <v>2002</v>
      </c>
      <c r="AK352" t="s">
        <v>2647</v>
      </c>
      <c r="AN352" t="s">
        <v>192</v>
      </c>
      <c r="AO352" t="s">
        <v>77</v>
      </c>
      <c r="AP352" t="s">
        <v>115</v>
      </c>
      <c r="AQ352" t="s">
        <v>2648</v>
      </c>
      <c r="AR352" t="s">
        <v>80</v>
      </c>
      <c r="AS352">
        <v>101</v>
      </c>
      <c r="AT352" t="s">
        <v>81</v>
      </c>
      <c r="AU352">
        <v>-37.49</v>
      </c>
      <c r="AV352">
        <v>10.14</v>
      </c>
      <c r="AW352" t="s">
        <v>82</v>
      </c>
      <c r="AX352">
        <v>133</v>
      </c>
      <c r="AY352" t="s">
        <v>81</v>
      </c>
      <c r="AZ352">
        <v>-52.28</v>
      </c>
      <c r="BA352">
        <v>10.210000000000001</v>
      </c>
      <c r="BB352" t="s">
        <v>83</v>
      </c>
    </row>
    <row r="353" spans="1:54" x14ac:dyDescent="0.4">
      <c r="A353">
        <v>837380</v>
      </c>
      <c r="D353" t="s">
        <v>54</v>
      </c>
      <c r="E353" t="s">
        <v>152</v>
      </c>
      <c r="G353">
        <v>1</v>
      </c>
      <c r="H353" t="s">
        <v>56</v>
      </c>
      <c r="I353" t="s">
        <v>57</v>
      </c>
      <c r="K353" t="s">
        <v>85</v>
      </c>
      <c r="L353" t="s">
        <v>739</v>
      </c>
      <c r="M353" t="s">
        <v>60</v>
      </c>
      <c r="O353" t="s">
        <v>87</v>
      </c>
      <c r="P353" t="s">
        <v>62</v>
      </c>
      <c r="R353" t="s">
        <v>63</v>
      </c>
      <c r="S353" t="s">
        <v>64</v>
      </c>
      <c r="T353">
        <v>227</v>
      </c>
      <c r="U353">
        <v>208.5</v>
      </c>
      <c r="V353">
        <f t="shared" si="10"/>
        <v>217.75</v>
      </c>
      <c r="W353">
        <f t="shared" si="11"/>
        <v>18.5</v>
      </c>
      <c r="X353">
        <v>-109.57833100000001</v>
      </c>
      <c r="Y353">
        <v>34.674720999999998</v>
      </c>
      <c r="Z353" t="s">
        <v>124</v>
      </c>
      <c r="AA353" t="s">
        <v>66</v>
      </c>
      <c r="AB353" t="s">
        <v>583</v>
      </c>
      <c r="AC353" t="s">
        <v>735</v>
      </c>
      <c r="AD353" t="s">
        <v>174</v>
      </c>
      <c r="AF353" t="s">
        <v>1068</v>
      </c>
      <c r="AH353" t="s">
        <v>11</v>
      </c>
      <c r="AI353" t="s">
        <v>2646</v>
      </c>
      <c r="AJ353">
        <v>2002</v>
      </c>
      <c r="AK353" t="s">
        <v>2649</v>
      </c>
      <c r="AN353" t="s">
        <v>192</v>
      </c>
      <c r="AO353" t="s">
        <v>77</v>
      </c>
      <c r="AP353" t="s">
        <v>115</v>
      </c>
      <c r="AQ353" t="s">
        <v>2648</v>
      </c>
      <c r="AR353" t="s">
        <v>80</v>
      </c>
      <c r="AS353">
        <v>101</v>
      </c>
      <c r="AT353" t="s">
        <v>81</v>
      </c>
      <c r="AU353">
        <v>-37.49</v>
      </c>
      <c r="AV353">
        <v>10.130000000000001</v>
      </c>
      <c r="AW353" t="s">
        <v>82</v>
      </c>
      <c r="AX353">
        <v>133</v>
      </c>
      <c r="AY353" t="s">
        <v>81</v>
      </c>
      <c r="AZ353">
        <v>-52.28</v>
      </c>
      <c r="BA353">
        <v>10.199999999999999</v>
      </c>
      <c r="BB353" t="s">
        <v>83</v>
      </c>
    </row>
    <row r="354" spans="1:54" x14ac:dyDescent="0.4">
      <c r="A354">
        <v>837381</v>
      </c>
      <c r="D354" t="s">
        <v>54</v>
      </c>
      <c r="G354">
        <v>1</v>
      </c>
      <c r="H354" t="s">
        <v>56</v>
      </c>
      <c r="I354" t="s">
        <v>57</v>
      </c>
      <c r="K354" t="s">
        <v>85</v>
      </c>
      <c r="L354" t="s">
        <v>1076</v>
      </c>
      <c r="M354" t="s">
        <v>60</v>
      </c>
      <c r="O354" t="s">
        <v>87</v>
      </c>
      <c r="P354" t="s">
        <v>62</v>
      </c>
      <c r="R354" t="s">
        <v>63</v>
      </c>
      <c r="S354" t="s">
        <v>64</v>
      </c>
      <c r="T354">
        <v>227</v>
      </c>
      <c r="U354">
        <v>208.5</v>
      </c>
      <c r="V354">
        <f t="shared" si="10"/>
        <v>217.75</v>
      </c>
      <c r="W354">
        <f t="shared" si="11"/>
        <v>18.5</v>
      </c>
      <c r="X354">
        <v>-109.587502</v>
      </c>
      <c r="Y354">
        <v>34.678333000000002</v>
      </c>
      <c r="Z354" t="s">
        <v>124</v>
      </c>
      <c r="AA354" t="s">
        <v>66</v>
      </c>
      <c r="AB354" t="s">
        <v>583</v>
      </c>
      <c r="AC354" t="s">
        <v>735</v>
      </c>
      <c r="AD354" t="s">
        <v>174</v>
      </c>
      <c r="AF354" t="s">
        <v>1068</v>
      </c>
      <c r="AH354" t="s">
        <v>11</v>
      </c>
      <c r="AI354" t="s">
        <v>2646</v>
      </c>
      <c r="AJ354">
        <v>2002</v>
      </c>
      <c r="AK354" t="s">
        <v>2650</v>
      </c>
      <c r="AN354" t="s">
        <v>192</v>
      </c>
      <c r="AO354" t="s">
        <v>77</v>
      </c>
      <c r="AP354" t="s">
        <v>115</v>
      </c>
      <c r="AQ354" t="s">
        <v>2648</v>
      </c>
      <c r="AR354" t="s">
        <v>80</v>
      </c>
      <c r="AS354">
        <v>101</v>
      </c>
      <c r="AT354" t="s">
        <v>81</v>
      </c>
      <c r="AU354">
        <v>-37.5</v>
      </c>
      <c r="AV354">
        <v>10.14</v>
      </c>
      <c r="AW354" t="s">
        <v>82</v>
      </c>
      <c r="AX354">
        <v>133</v>
      </c>
      <c r="AY354" t="s">
        <v>81</v>
      </c>
      <c r="AZ354">
        <v>-52.29</v>
      </c>
      <c r="BA354">
        <v>10.210000000000001</v>
      </c>
      <c r="BB354" t="s">
        <v>83</v>
      </c>
    </row>
    <row r="355" spans="1:54" x14ac:dyDescent="0.4">
      <c r="A355">
        <v>837391</v>
      </c>
      <c r="D355" t="s">
        <v>54</v>
      </c>
      <c r="G355">
        <v>1</v>
      </c>
      <c r="H355" t="s">
        <v>56</v>
      </c>
      <c r="I355" t="s">
        <v>57</v>
      </c>
      <c r="K355" t="s">
        <v>85</v>
      </c>
      <c r="L355" t="s">
        <v>845</v>
      </c>
      <c r="M355" t="s">
        <v>60</v>
      </c>
      <c r="O355" t="s">
        <v>87</v>
      </c>
      <c r="P355" t="s">
        <v>62</v>
      </c>
      <c r="R355" t="s">
        <v>63</v>
      </c>
      <c r="S355" t="s">
        <v>64</v>
      </c>
      <c r="T355">
        <v>227</v>
      </c>
      <c r="U355">
        <v>208.5</v>
      </c>
      <c r="V355">
        <f t="shared" si="10"/>
        <v>217.75</v>
      </c>
      <c r="W355">
        <f t="shared" si="11"/>
        <v>18.5</v>
      </c>
      <c r="X355">
        <v>-109.583885</v>
      </c>
      <c r="Y355">
        <v>34.699444</v>
      </c>
      <c r="Z355" t="s">
        <v>124</v>
      </c>
      <c r="AA355" t="s">
        <v>66</v>
      </c>
      <c r="AB355" t="s">
        <v>583</v>
      </c>
      <c r="AC355" t="s">
        <v>735</v>
      </c>
      <c r="AD355" t="s">
        <v>174</v>
      </c>
      <c r="AF355" t="s">
        <v>1078</v>
      </c>
      <c r="AH355" t="s">
        <v>11</v>
      </c>
      <c r="AI355" t="s">
        <v>2646</v>
      </c>
      <c r="AJ355">
        <v>2002</v>
      </c>
      <c r="AK355" t="s">
        <v>2651</v>
      </c>
      <c r="AN355" t="s">
        <v>192</v>
      </c>
      <c r="AO355" t="s">
        <v>77</v>
      </c>
      <c r="AP355" t="s">
        <v>115</v>
      </c>
      <c r="AQ355" t="s">
        <v>2648</v>
      </c>
      <c r="AR355" t="s">
        <v>80</v>
      </c>
      <c r="AS355">
        <v>101</v>
      </c>
      <c r="AT355" t="s">
        <v>81</v>
      </c>
      <c r="AU355">
        <v>-37.49</v>
      </c>
      <c r="AV355">
        <v>10.16</v>
      </c>
      <c r="AW355" t="s">
        <v>82</v>
      </c>
      <c r="AX355">
        <v>133</v>
      </c>
      <c r="AY355" t="s">
        <v>81</v>
      </c>
      <c r="AZ355">
        <v>-52.28</v>
      </c>
      <c r="BA355">
        <v>10.23</v>
      </c>
      <c r="BB355" t="s">
        <v>83</v>
      </c>
    </row>
    <row r="356" spans="1:54" x14ac:dyDescent="0.4">
      <c r="A356">
        <v>837398</v>
      </c>
      <c r="D356" t="s">
        <v>54</v>
      </c>
      <c r="I356" t="s">
        <v>57</v>
      </c>
      <c r="K356" t="s">
        <v>323</v>
      </c>
      <c r="L356" t="s">
        <v>1124</v>
      </c>
      <c r="M356" t="s">
        <v>1125</v>
      </c>
      <c r="N356" t="s">
        <v>1126</v>
      </c>
      <c r="O356" t="s">
        <v>87</v>
      </c>
      <c r="P356" t="s">
        <v>62</v>
      </c>
      <c r="R356" t="s">
        <v>63</v>
      </c>
      <c r="S356" t="s">
        <v>64</v>
      </c>
      <c r="T356">
        <v>227</v>
      </c>
      <c r="U356">
        <v>208.5</v>
      </c>
      <c r="V356">
        <f t="shared" si="10"/>
        <v>217.75</v>
      </c>
      <c r="W356">
        <f t="shared" si="11"/>
        <v>18.5</v>
      </c>
      <c r="X356">
        <v>-109.573334</v>
      </c>
      <c r="Y356">
        <v>34.678612000000001</v>
      </c>
      <c r="Z356" t="s">
        <v>124</v>
      </c>
      <c r="AA356" t="s">
        <v>66</v>
      </c>
      <c r="AB356" t="s">
        <v>583</v>
      </c>
      <c r="AC356" t="s">
        <v>735</v>
      </c>
      <c r="AD356" t="s">
        <v>174</v>
      </c>
      <c r="AF356" t="s">
        <v>1068</v>
      </c>
      <c r="AH356" t="s">
        <v>72</v>
      </c>
      <c r="AI356" t="s">
        <v>1127</v>
      </c>
      <c r="AJ356">
        <v>2009</v>
      </c>
      <c r="AK356" t="s">
        <v>2652</v>
      </c>
      <c r="AN356" t="s">
        <v>192</v>
      </c>
      <c r="AO356" t="s">
        <v>77</v>
      </c>
      <c r="AP356" t="s">
        <v>115</v>
      </c>
      <c r="AQ356" t="s">
        <v>2648</v>
      </c>
      <c r="AR356" t="s">
        <v>80</v>
      </c>
      <c r="AS356">
        <v>101</v>
      </c>
      <c r="AT356" t="s">
        <v>81</v>
      </c>
      <c r="AU356">
        <v>-37.479999999999997</v>
      </c>
      <c r="AV356">
        <v>10.14</v>
      </c>
      <c r="AW356" t="s">
        <v>82</v>
      </c>
      <c r="AX356">
        <v>133</v>
      </c>
      <c r="AY356" t="s">
        <v>81</v>
      </c>
      <c r="AZ356">
        <v>-52.28</v>
      </c>
      <c r="BA356">
        <v>10.210000000000001</v>
      </c>
      <c r="BB356" t="s">
        <v>83</v>
      </c>
    </row>
    <row r="357" spans="1:54" x14ac:dyDescent="0.4">
      <c r="A357">
        <v>837546</v>
      </c>
      <c r="D357" t="s">
        <v>745</v>
      </c>
      <c r="E357" t="s">
        <v>310</v>
      </c>
      <c r="G357">
        <v>1</v>
      </c>
      <c r="H357" t="s">
        <v>421</v>
      </c>
      <c r="I357" t="s">
        <v>57</v>
      </c>
      <c r="K357" t="s">
        <v>141</v>
      </c>
      <c r="L357" t="s">
        <v>990</v>
      </c>
      <c r="M357" t="s">
        <v>60</v>
      </c>
      <c r="O357" t="s">
        <v>87</v>
      </c>
      <c r="P357" t="s">
        <v>62</v>
      </c>
      <c r="R357" t="s">
        <v>63</v>
      </c>
      <c r="S357" t="s">
        <v>64</v>
      </c>
      <c r="T357">
        <v>227</v>
      </c>
      <c r="U357">
        <v>208.5</v>
      </c>
      <c r="V357">
        <f t="shared" si="10"/>
        <v>217.75</v>
      </c>
      <c r="W357">
        <f t="shared" si="11"/>
        <v>18.5</v>
      </c>
      <c r="X357">
        <v>-109.462166</v>
      </c>
      <c r="Y357">
        <v>34.437237000000003</v>
      </c>
      <c r="Z357" t="s">
        <v>748</v>
      </c>
      <c r="AA357" t="s">
        <v>66</v>
      </c>
      <c r="AB357" t="s">
        <v>583</v>
      </c>
      <c r="AC357" t="s">
        <v>735</v>
      </c>
      <c r="AD357" t="s">
        <v>174</v>
      </c>
      <c r="AF357" t="s">
        <v>749</v>
      </c>
      <c r="AH357" t="s">
        <v>72</v>
      </c>
      <c r="AI357" t="s">
        <v>750</v>
      </c>
      <c r="AJ357">
        <v>1980</v>
      </c>
      <c r="AK357" t="s">
        <v>751</v>
      </c>
      <c r="AN357" t="s">
        <v>76</v>
      </c>
      <c r="AO357">
        <v>8</v>
      </c>
      <c r="AP357" t="s">
        <v>78</v>
      </c>
      <c r="AQ357" t="s">
        <v>752</v>
      </c>
      <c r="AR357" t="s">
        <v>80</v>
      </c>
      <c r="AS357">
        <v>101</v>
      </c>
      <c r="AT357" t="s">
        <v>81</v>
      </c>
      <c r="AU357">
        <v>-37.44</v>
      </c>
      <c r="AV357">
        <v>9.8800000000000008</v>
      </c>
      <c r="AW357" t="s">
        <v>82</v>
      </c>
      <c r="AX357">
        <v>133</v>
      </c>
      <c r="AY357" t="s">
        <v>81</v>
      </c>
      <c r="AZ357">
        <v>-52.23</v>
      </c>
      <c r="BA357">
        <v>9.9499999999999993</v>
      </c>
      <c r="BB357" t="s">
        <v>83</v>
      </c>
    </row>
    <row r="358" spans="1:54" x14ac:dyDescent="0.4">
      <c r="A358">
        <v>837547</v>
      </c>
      <c r="D358" t="s">
        <v>745</v>
      </c>
      <c r="E358" t="s">
        <v>310</v>
      </c>
      <c r="G358">
        <v>1</v>
      </c>
      <c r="H358" t="s">
        <v>421</v>
      </c>
      <c r="I358" t="s">
        <v>57</v>
      </c>
      <c r="K358" t="s">
        <v>196</v>
      </c>
      <c r="L358" t="s">
        <v>197</v>
      </c>
      <c r="M358" t="s">
        <v>60</v>
      </c>
      <c r="O358" t="s">
        <v>87</v>
      </c>
      <c r="P358" t="s">
        <v>62</v>
      </c>
      <c r="R358" t="s">
        <v>63</v>
      </c>
      <c r="S358" t="s">
        <v>64</v>
      </c>
      <c r="T358">
        <v>227</v>
      </c>
      <c r="U358">
        <v>208.5</v>
      </c>
      <c r="V358">
        <f t="shared" si="10"/>
        <v>217.75</v>
      </c>
      <c r="W358">
        <f t="shared" si="11"/>
        <v>18.5</v>
      </c>
      <c r="X358">
        <v>-109.462166</v>
      </c>
      <c r="Y358">
        <v>34.437237000000003</v>
      </c>
      <c r="Z358" t="s">
        <v>748</v>
      </c>
      <c r="AA358" t="s">
        <v>66</v>
      </c>
      <c r="AB358" t="s">
        <v>583</v>
      </c>
      <c r="AC358" t="s">
        <v>735</v>
      </c>
      <c r="AD358" t="s">
        <v>174</v>
      </c>
      <c r="AF358" t="s">
        <v>749</v>
      </c>
      <c r="AH358" t="s">
        <v>72</v>
      </c>
      <c r="AI358" t="s">
        <v>740</v>
      </c>
      <c r="AJ358">
        <v>1995</v>
      </c>
      <c r="AK358" t="s">
        <v>751</v>
      </c>
      <c r="AN358" t="s">
        <v>76</v>
      </c>
      <c r="AO358">
        <v>8</v>
      </c>
      <c r="AP358" t="s">
        <v>78</v>
      </c>
      <c r="AQ358" t="s">
        <v>752</v>
      </c>
      <c r="AR358" t="s">
        <v>80</v>
      </c>
      <c r="AS358">
        <v>101</v>
      </c>
      <c r="AT358" t="s">
        <v>81</v>
      </c>
      <c r="AU358">
        <v>-37.44</v>
      </c>
      <c r="AV358">
        <v>9.8800000000000008</v>
      </c>
      <c r="AW358" t="s">
        <v>82</v>
      </c>
      <c r="AX358">
        <v>133</v>
      </c>
      <c r="AY358" t="s">
        <v>81</v>
      </c>
      <c r="AZ358">
        <v>-52.23</v>
      </c>
      <c r="BA358">
        <v>9.9499999999999993</v>
      </c>
      <c r="BB358" t="s">
        <v>83</v>
      </c>
    </row>
    <row r="359" spans="1:54" x14ac:dyDescent="0.4">
      <c r="A359">
        <v>837548</v>
      </c>
      <c r="D359" t="s">
        <v>745</v>
      </c>
      <c r="E359" t="s">
        <v>310</v>
      </c>
      <c r="G359">
        <v>38</v>
      </c>
      <c r="H359" t="s">
        <v>84</v>
      </c>
      <c r="I359" t="s">
        <v>57</v>
      </c>
      <c r="K359" t="s">
        <v>85</v>
      </c>
      <c r="L359" t="s">
        <v>1076</v>
      </c>
      <c r="M359" t="s">
        <v>60</v>
      </c>
      <c r="O359" t="s">
        <v>87</v>
      </c>
      <c r="P359" t="s">
        <v>62</v>
      </c>
      <c r="R359" t="s">
        <v>63</v>
      </c>
      <c r="S359" t="s">
        <v>64</v>
      </c>
      <c r="T359">
        <v>227</v>
      </c>
      <c r="U359">
        <v>208.5</v>
      </c>
      <c r="V359">
        <f t="shared" si="10"/>
        <v>217.75</v>
      </c>
      <c r="W359">
        <f t="shared" si="11"/>
        <v>18.5</v>
      </c>
      <c r="X359">
        <v>-109.462166</v>
      </c>
      <c r="Y359">
        <v>34.437237000000003</v>
      </c>
      <c r="Z359" t="s">
        <v>748</v>
      </c>
      <c r="AA359" t="s">
        <v>66</v>
      </c>
      <c r="AB359" t="s">
        <v>583</v>
      </c>
      <c r="AC359" t="s">
        <v>735</v>
      </c>
      <c r="AD359" t="s">
        <v>174</v>
      </c>
      <c r="AF359" t="s">
        <v>749</v>
      </c>
      <c r="AH359" t="s">
        <v>11</v>
      </c>
      <c r="AI359" t="s">
        <v>740</v>
      </c>
      <c r="AJ359">
        <v>1995</v>
      </c>
      <c r="AK359" t="s">
        <v>751</v>
      </c>
      <c r="AN359" t="s">
        <v>76</v>
      </c>
      <c r="AO359">
        <v>8</v>
      </c>
      <c r="AP359" t="s">
        <v>78</v>
      </c>
      <c r="AQ359" t="s">
        <v>752</v>
      </c>
      <c r="AR359" t="s">
        <v>80</v>
      </c>
      <c r="AS359">
        <v>101</v>
      </c>
      <c r="AT359" t="s">
        <v>81</v>
      </c>
      <c r="AU359">
        <v>-37.44</v>
      </c>
      <c r="AV359">
        <v>9.8800000000000008</v>
      </c>
      <c r="AW359" t="s">
        <v>82</v>
      </c>
      <c r="AX359">
        <v>133</v>
      </c>
      <c r="AY359" t="s">
        <v>81</v>
      </c>
      <c r="AZ359">
        <v>-52.23</v>
      </c>
      <c r="BA359">
        <v>9.9499999999999993</v>
      </c>
      <c r="BB359" t="s">
        <v>83</v>
      </c>
    </row>
    <row r="360" spans="1:54" x14ac:dyDescent="0.4">
      <c r="A360">
        <v>837550</v>
      </c>
      <c r="D360" t="s">
        <v>54</v>
      </c>
      <c r="G360">
        <v>1</v>
      </c>
      <c r="H360" t="s">
        <v>56</v>
      </c>
      <c r="I360" t="s">
        <v>57</v>
      </c>
      <c r="K360" t="s">
        <v>85</v>
      </c>
      <c r="L360" t="s">
        <v>1076</v>
      </c>
      <c r="M360" t="s">
        <v>60</v>
      </c>
      <c r="O360" t="s">
        <v>87</v>
      </c>
      <c r="P360" t="s">
        <v>62</v>
      </c>
      <c r="R360" t="s">
        <v>63</v>
      </c>
      <c r="S360" t="s">
        <v>64</v>
      </c>
      <c r="T360">
        <v>227</v>
      </c>
      <c r="U360">
        <v>208.5</v>
      </c>
      <c r="V360">
        <f t="shared" si="10"/>
        <v>217.75</v>
      </c>
      <c r="W360">
        <f t="shared" si="11"/>
        <v>18.5</v>
      </c>
      <c r="X360">
        <v>-109.316704</v>
      </c>
      <c r="Y360">
        <v>34.533298000000002</v>
      </c>
      <c r="Z360" t="s">
        <v>124</v>
      </c>
      <c r="AA360" t="s">
        <v>66</v>
      </c>
      <c r="AB360" t="s">
        <v>583</v>
      </c>
      <c r="AC360" t="s">
        <v>735</v>
      </c>
      <c r="AD360" t="s">
        <v>174</v>
      </c>
      <c r="AF360" t="s">
        <v>1068</v>
      </c>
      <c r="AH360" t="s">
        <v>11</v>
      </c>
      <c r="AI360" t="s">
        <v>740</v>
      </c>
      <c r="AJ360">
        <v>1995</v>
      </c>
      <c r="AK360" t="s">
        <v>1070</v>
      </c>
      <c r="AM360" t="s">
        <v>1071</v>
      </c>
      <c r="AN360" t="s">
        <v>849</v>
      </c>
      <c r="AO360">
        <v>4</v>
      </c>
      <c r="AP360" t="s">
        <v>78</v>
      </c>
      <c r="AQ360" t="s">
        <v>1072</v>
      </c>
      <c r="AR360" t="s">
        <v>80</v>
      </c>
      <c r="AS360">
        <v>101</v>
      </c>
      <c r="AT360" t="s">
        <v>81</v>
      </c>
      <c r="AU360">
        <v>-37.299999999999997</v>
      </c>
      <c r="AV360">
        <v>9.9499999999999993</v>
      </c>
      <c r="AW360" t="s">
        <v>82</v>
      </c>
      <c r="AX360">
        <v>133</v>
      </c>
      <c r="AY360" t="s">
        <v>81</v>
      </c>
      <c r="AZ360">
        <v>-52.09</v>
      </c>
      <c r="BA360">
        <v>10.029999999999999</v>
      </c>
      <c r="BB360" t="s">
        <v>83</v>
      </c>
    </row>
    <row r="361" spans="1:54" x14ac:dyDescent="0.4">
      <c r="A361">
        <v>837550</v>
      </c>
      <c r="D361" t="s">
        <v>54</v>
      </c>
      <c r="G361">
        <v>1</v>
      </c>
      <c r="H361" t="s">
        <v>56</v>
      </c>
      <c r="I361" t="s">
        <v>57</v>
      </c>
      <c r="K361" t="s">
        <v>85</v>
      </c>
      <c r="L361" t="s">
        <v>1076</v>
      </c>
      <c r="M361" t="s">
        <v>60</v>
      </c>
      <c r="O361" t="s">
        <v>87</v>
      </c>
      <c r="P361" t="s">
        <v>62</v>
      </c>
      <c r="R361" t="s">
        <v>63</v>
      </c>
      <c r="S361" t="s">
        <v>64</v>
      </c>
      <c r="T361">
        <v>227</v>
      </c>
      <c r="U361">
        <v>208.5</v>
      </c>
      <c r="V361">
        <f t="shared" si="10"/>
        <v>217.75</v>
      </c>
      <c r="W361">
        <f t="shared" si="11"/>
        <v>18.5</v>
      </c>
      <c r="X361">
        <v>-109.316704</v>
      </c>
      <c r="Y361">
        <v>34.533298000000002</v>
      </c>
      <c r="Z361" t="s">
        <v>124</v>
      </c>
      <c r="AA361" t="s">
        <v>66</v>
      </c>
      <c r="AB361" t="s">
        <v>583</v>
      </c>
      <c r="AC361" t="s">
        <v>735</v>
      </c>
      <c r="AD361" t="s">
        <v>174</v>
      </c>
      <c r="AF361" t="s">
        <v>1068</v>
      </c>
      <c r="AH361" t="s">
        <v>11</v>
      </c>
      <c r="AI361" t="s">
        <v>740</v>
      </c>
      <c r="AJ361">
        <v>1995</v>
      </c>
      <c r="AK361" t="s">
        <v>1070</v>
      </c>
      <c r="AM361" t="s">
        <v>1071</v>
      </c>
      <c r="AN361" t="s">
        <v>849</v>
      </c>
      <c r="AO361">
        <v>4</v>
      </c>
      <c r="AP361" t="s">
        <v>78</v>
      </c>
      <c r="AQ361" t="s">
        <v>1072</v>
      </c>
      <c r="AR361" t="s">
        <v>80</v>
      </c>
      <c r="AS361">
        <v>101</v>
      </c>
      <c r="AT361" t="s">
        <v>81</v>
      </c>
      <c r="AU361">
        <v>-37.299999999999997</v>
      </c>
      <c r="AV361">
        <v>9.9499999999999993</v>
      </c>
      <c r="AW361" t="s">
        <v>82</v>
      </c>
      <c r="AX361">
        <v>133</v>
      </c>
      <c r="AY361" t="s">
        <v>81</v>
      </c>
      <c r="AZ361">
        <v>-52.09</v>
      </c>
      <c r="BA361">
        <v>10.029999999999999</v>
      </c>
      <c r="BB361" t="s">
        <v>83</v>
      </c>
    </row>
    <row r="362" spans="1:54" x14ac:dyDescent="0.4">
      <c r="A362">
        <v>837550</v>
      </c>
      <c r="D362" t="s">
        <v>54</v>
      </c>
      <c r="G362">
        <v>1</v>
      </c>
      <c r="H362" t="s">
        <v>56</v>
      </c>
      <c r="I362" t="s">
        <v>57</v>
      </c>
      <c r="K362" t="s">
        <v>85</v>
      </c>
      <c r="L362" t="s">
        <v>1076</v>
      </c>
      <c r="M362" t="s">
        <v>60</v>
      </c>
      <c r="O362" t="s">
        <v>87</v>
      </c>
      <c r="P362" t="s">
        <v>62</v>
      </c>
      <c r="R362" t="s">
        <v>63</v>
      </c>
      <c r="S362" t="s">
        <v>64</v>
      </c>
      <c r="T362">
        <v>227</v>
      </c>
      <c r="U362">
        <v>208.5</v>
      </c>
      <c r="V362">
        <f t="shared" si="10"/>
        <v>217.75</v>
      </c>
      <c r="W362">
        <f t="shared" si="11"/>
        <v>18.5</v>
      </c>
      <c r="X362">
        <v>-109.316704</v>
      </c>
      <c r="Y362">
        <v>34.533298000000002</v>
      </c>
      <c r="Z362" t="s">
        <v>124</v>
      </c>
      <c r="AA362" t="s">
        <v>66</v>
      </c>
      <c r="AB362" t="s">
        <v>583</v>
      </c>
      <c r="AC362" t="s">
        <v>735</v>
      </c>
      <c r="AD362" t="s">
        <v>174</v>
      </c>
      <c r="AF362" t="s">
        <v>1068</v>
      </c>
      <c r="AH362" t="s">
        <v>11</v>
      </c>
      <c r="AI362" t="s">
        <v>740</v>
      </c>
      <c r="AJ362">
        <v>1995</v>
      </c>
      <c r="AK362" t="s">
        <v>1070</v>
      </c>
      <c r="AM362" t="s">
        <v>1071</v>
      </c>
      <c r="AN362" t="s">
        <v>849</v>
      </c>
      <c r="AO362">
        <v>4</v>
      </c>
      <c r="AP362" t="s">
        <v>78</v>
      </c>
      <c r="AQ362" t="s">
        <v>1072</v>
      </c>
      <c r="AR362" t="s">
        <v>80</v>
      </c>
      <c r="AS362">
        <v>101</v>
      </c>
      <c r="AT362" t="s">
        <v>81</v>
      </c>
      <c r="AU362">
        <v>-37.299999999999997</v>
      </c>
      <c r="AV362">
        <v>9.9499999999999993</v>
      </c>
      <c r="AW362" t="s">
        <v>82</v>
      </c>
      <c r="AX362">
        <v>133</v>
      </c>
      <c r="AY362" t="s">
        <v>81</v>
      </c>
      <c r="AZ362">
        <v>-52.09</v>
      </c>
      <c r="BA362">
        <v>10.029999999999999</v>
      </c>
      <c r="BB362" t="s">
        <v>83</v>
      </c>
    </row>
    <row r="363" spans="1:54" x14ac:dyDescent="0.4">
      <c r="A363">
        <v>837551</v>
      </c>
      <c r="D363" t="s">
        <v>54</v>
      </c>
      <c r="G363">
        <v>45</v>
      </c>
      <c r="H363" t="s">
        <v>421</v>
      </c>
      <c r="I363" t="s">
        <v>57</v>
      </c>
      <c r="K363" t="s">
        <v>206</v>
      </c>
      <c r="L363" t="s">
        <v>754</v>
      </c>
      <c r="M363" t="s">
        <v>60</v>
      </c>
      <c r="O363" t="s">
        <v>170</v>
      </c>
      <c r="P363" t="s">
        <v>62</v>
      </c>
      <c r="R363" t="s">
        <v>63</v>
      </c>
      <c r="S363" t="s">
        <v>64</v>
      </c>
      <c r="T363">
        <v>227</v>
      </c>
      <c r="U363">
        <v>208.5</v>
      </c>
      <c r="V363">
        <f t="shared" si="10"/>
        <v>217.75</v>
      </c>
      <c r="W363">
        <f t="shared" si="11"/>
        <v>18.5</v>
      </c>
      <c r="X363">
        <v>-109.316704</v>
      </c>
      <c r="Y363">
        <v>34.533298000000002</v>
      </c>
      <c r="Z363" t="s">
        <v>124</v>
      </c>
      <c r="AA363" t="s">
        <v>66</v>
      </c>
      <c r="AB363" t="s">
        <v>583</v>
      </c>
      <c r="AC363" t="s">
        <v>735</v>
      </c>
      <c r="AD363" t="s">
        <v>174</v>
      </c>
      <c r="AF363" t="s">
        <v>1068</v>
      </c>
      <c r="AH363" t="s">
        <v>72</v>
      </c>
      <c r="AI363" t="s">
        <v>740</v>
      </c>
      <c r="AJ363">
        <v>1995</v>
      </c>
      <c r="AK363" t="s">
        <v>1070</v>
      </c>
      <c r="AM363" t="s">
        <v>1071</v>
      </c>
      <c r="AN363" t="s">
        <v>849</v>
      </c>
      <c r="AO363">
        <v>4</v>
      </c>
      <c r="AP363" t="s">
        <v>78</v>
      </c>
      <c r="AQ363" t="s">
        <v>1072</v>
      </c>
      <c r="AR363" t="s">
        <v>80</v>
      </c>
      <c r="AS363">
        <v>101</v>
      </c>
      <c r="AT363" t="s">
        <v>81</v>
      </c>
      <c r="AU363">
        <v>-37.299999999999997</v>
      </c>
      <c r="AV363">
        <v>9.9499999999999993</v>
      </c>
      <c r="AW363" t="s">
        <v>82</v>
      </c>
      <c r="AX363">
        <v>133</v>
      </c>
      <c r="AY363" t="s">
        <v>81</v>
      </c>
      <c r="AZ363">
        <v>-52.09</v>
      </c>
      <c r="BA363">
        <v>10.029999999999999</v>
      </c>
      <c r="BB363" t="s">
        <v>83</v>
      </c>
    </row>
    <row r="364" spans="1:54" x14ac:dyDescent="0.4">
      <c r="A364">
        <v>837552</v>
      </c>
      <c r="D364" t="s">
        <v>54</v>
      </c>
      <c r="G364">
        <v>1</v>
      </c>
      <c r="H364" t="s">
        <v>56</v>
      </c>
      <c r="I364" t="s">
        <v>57</v>
      </c>
      <c r="K364" t="s">
        <v>206</v>
      </c>
      <c r="L364" t="s">
        <v>744</v>
      </c>
      <c r="M364" t="s">
        <v>60</v>
      </c>
      <c r="O364" t="s">
        <v>170</v>
      </c>
      <c r="P364" t="s">
        <v>62</v>
      </c>
      <c r="R364" t="s">
        <v>63</v>
      </c>
      <c r="S364" t="s">
        <v>64</v>
      </c>
      <c r="T364">
        <v>227</v>
      </c>
      <c r="U364">
        <v>208.5</v>
      </c>
      <c r="V364">
        <f t="shared" si="10"/>
        <v>217.75</v>
      </c>
      <c r="W364">
        <f t="shared" si="11"/>
        <v>18.5</v>
      </c>
      <c r="X364">
        <v>-109.316704</v>
      </c>
      <c r="Y364">
        <v>34.533298000000002</v>
      </c>
      <c r="Z364" t="s">
        <v>124</v>
      </c>
      <c r="AA364" t="s">
        <v>66</v>
      </c>
      <c r="AB364" t="s">
        <v>583</v>
      </c>
      <c r="AC364" t="s">
        <v>735</v>
      </c>
      <c r="AD364" t="s">
        <v>174</v>
      </c>
      <c r="AF364" t="s">
        <v>1068</v>
      </c>
      <c r="AH364" t="s">
        <v>72</v>
      </c>
      <c r="AI364" t="s">
        <v>740</v>
      </c>
      <c r="AJ364">
        <v>1995</v>
      </c>
      <c r="AK364" t="s">
        <v>1070</v>
      </c>
      <c r="AM364" t="s">
        <v>1071</v>
      </c>
      <c r="AN364" t="s">
        <v>849</v>
      </c>
      <c r="AO364">
        <v>4</v>
      </c>
      <c r="AP364" t="s">
        <v>78</v>
      </c>
      <c r="AQ364" t="s">
        <v>1072</v>
      </c>
      <c r="AR364" t="s">
        <v>80</v>
      </c>
      <c r="AS364">
        <v>101</v>
      </c>
      <c r="AT364" t="s">
        <v>81</v>
      </c>
      <c r="AU364">
        <v>-37.299999999999997</v>
      </c>
      <c r="AV364">
        <v>9.9499999999999993</v>
      </c>
      <c r="AW364" t="s">
        <v>82</v>
      </c>
      <c r="AX364">
        <v>133</v>
      </c>
      <c r="AY364" t="s">
        <v>81</v>
      </c>
      <c r="AZ364">
        <v>-52.09</v>
      </c>
      <c r="BA364">
        <v>10.029999999999999</v>
      </c>
      <c r="BB364" t="s">
        <v>83</v>
      </c>
    </row>
    <row r="365" spans="1:54" x14ac:dyDescent="0.4">
      <c r="A365">
        <v>837552</v>
      </c>
      <c r="D365" t="s">
        <v>54</v>
      </c>
      <c r="G365">
        <v>1</v>
      </c>
      <c r="H365" t="s">
        <v>56</v>
      </c>
      <c r="I365" t="s">
        <v>57</v>
      </c>
      <c r="K365" t="s">
        <v>206</v>
      </c>
      <c r="L365" t="s">
        <v>744</v>
      </c>
      <c r="M365" t="s">
        <v>60</v>
      </c>
      <c r="O365" t="s">
        <v>170</v>
      </c>
      <c r="P365" t="s">
        <v>62</v>
      </c>
      <c r="R365" t="s">
        <v>63</v>
      </c>
      <c r="S365" t="s">
        <v>64</v>
      </c>
      <c r="T365">
        <v>227</v>
      </c>
      <c r="U365">
        <v>208.5</v>
      </c>
      <c r="V365">
        <f t="shared" si="10"/>
        <v>217.75</v>
      </c>
      <c r="W365">
        <f t="shared" si="11"/>
        <v>18.5</v>
      </c>
      <c r="X365">
        <v>-109.316704</v>
      </c>
      <c r="Y365">
        <v>34.533298000000002</v>
      </c>
      <c r="Z365" t="s">
        <v>124</v>
      </c>
      <c r="AA365" t="s">
        <v>66</v>
      </c>
      <c r="AB365" t="s">
        <v>583</v>
      </c>
      <c r="AC365" t="s">
        <v>735</v>
      </c>
      <c r="AD365" t="s">
        <v>174</v>
      </c>
      <c r="AF365" t="s">
        <v>1068</v>
      </c>
      <c r="AH365" t="s">
        <v>72</v>
      </c>
      <c r="AI365" t="s">
        <v>740</v>
      </c>
      <c r="AJ365">
        <v>1995</v>
      </c>
      <c r="AK365" t="s">
        <v>1070</v>
      </c>
      <c r="AM365" t="s">
        <v>1071</v>
      </c>
      <c r="AN365" t="s">
        <v>849</v>
      </c>
      <c r="AO365">
        <v>4</v>
      </c>
      <c r="AP365" t="s">
        <v>78</v>
      </c>
      <c r="AQ365" t="s">
        <v>1072</v>
      </c>
      <c r="AR365" t="s">
        <v>80</v>
      </c>
      <c r="AS365">
        <v>101</v>
      </c>
      <c r="AT365" t="s">
        <v>81</v>
      </c>
      <c r="AU365">
        <v>-37.299999999999997</v>
      </c>
      <c r="AV365">
        <v>9.9499999999999993</v>
      </c>
      <c r="AW365" t="s">
        <v>82</v>
      </c>
      <c r="AX365">
        <v>133</v>
      </c>
      <c r="AY365" t="s">
        <v>81</v>
      </c>
      <c r="AZ365">
        <v>-52.09</v>
      </c>
      <c r="BA365">
        <v>10.029999999999999</v>
      </c>
      <c r="BB365" t="s">
        <v>83</v>
      </c>
    </row>
    <row r="366" spans="1:54" x14ac:dyDescent="0.4">
      <c r="A366">
        <v>837556</v>
      </c>
      <c r="D366" t="s">
        <v>54</v>
      </c>
      <c r="G366">
        <v>1</v>
      </c>
      <c r="H366" t="s">
        <v>84</v>
      </c>
      <c r="I366" t="s">
        <v>57</v>
      </c>
      <c r="K366" t="s">
        <v>85</v>
      </c>
      <c r="L366" t="s">
        <v>1076</v>
      </c>
      <c r="M366" t="s">
        <v>60</v>
      </c>
      <c r="O366" t="s">
        <v>87</v>
      </c>
      <c r="P366" t="s">
        <v>62</v>
      </c>
      <c r="R366" t="s">
        <v>63</v>
      </c>
      <c r="S366" t="s">
        <v>64</v>
      </c>
      <c r="T366">
        <v>227</v>
      </c>
      <c r="U366">
        <v>208.5</v>
      </c>
      <c r="V366">
        <f t="shared" si="10"/>
        <v>217.75</v>
      </c>
      <c r="W366">
        <f t="shared" si="11"/>
        <v>18.5</v>
      </c>
      <c r="X366">
        <v>-109.316704</v>
      </c>
      <c r="Y366">
        <v>34.533298000000002</v>
      </c>
      <c r="Z366" t="s">
        <v>124</v>
      </c>
      <c r="AA366" t="s">
        <v>66</v>
      </c>
      <c r="AB366" t="s">
        <v>583</v>
      </c>
      <c r="AC366" t="s">
        <v>735</v>
      </c>
      <c r="AD366" t="s">
        <v>174</v>
      </c>
      <c r="AF366" t="s">
        <v>1068</v>
      </c>
      <c r="AH366" t="s">
        <v>11</v>
      </c>
      <c r="AI366" t="s">
        <v>740</v>
      </c>
      <c r="AJ366">
        <v>1995</v>
      </c>
      <c r="AK366" t="s">
        <v>2663</v>
      </c>
      <c r="AM366" t="s">
        <v>2664</v>
      </c>
      <c r="AN366" t="s">
        <v>849</v>
      </c>
      <c r="AO366">
        <v>4</v>
      </c>
      <c r="AP366" t="s">
        <v>115</v>
      </c>
      <c r="AR366" t="s">
        <v>80</v>
      </c>
      <c r="AS366">
        <v>101</v>
      </c>
      <c r="AT366" t="s">
        <v>81</v>
      </c>
      <c r="AU366">
        <v>-37.299999999999997</v>
      </c>
      <c r="AV366">
        <v>9.9499999999999993</v>
      </c>
      <c r="AW366" t="s">
        <v>82</v>
      </c>
      <c r="AX366">
        <v>133</v>
      </c>
      <c r="AY366" t="s">
        <v>81</v>
      </c>
      <c r="AZ366">
        <v>-52.09</v>
      </c>
      <c r="BA366">
        <v>10.029999999999999</v>
      </c>
      <c r="BB366" t="s">
        <v>83</v>
      </c>
    </row>
    <row r="367" spans="1:54" x14ac:dyDescent="0.4">
      <c r="A367">
        <v>837558</v>
      </c>
      <c r="D367" t="s">
        <v>54</v>
      </c>
      <c r="G367">
        <v>1</v>
      </c>
      <c r="H367" t="s">
        <v>421</v>
      </c>
      <c r="I367" t="s">
        <v>57</v>
      </c>
      <c r="K367" t="s">
        <v>85</v>
      </c>
      <c r="L367" t="s">
        <v>739</v>
      </c>
      <c r="M367" t="s">
        <v>60</v>
      </c>
      <c r="O367" t="s">
        <v>87</v>
      </c>
      <c r="P367" t="s">
        <v>62</v>
      </c>
      <c r="R367" t="s">
        <v>63</v>
      </c>
      <c r="S367" t="s">
        <v>64</v>
      </c>
      <c r="T367">
        <v>227</v>
      </c>
      <c r="U367">
        <v>208.5</v>
      </c>
      <c r="V367">
        <f t="shared" si="10"/>
        <v>217.75</v>
      </c>
      <c r="W367">
        <f t="shared" si="11"/>
        <v>18.5</v>
      </c>
      <c r="X367">
        <v>-109.316704</v>
      </c>
      <c r="Y367">
        <v>34.533298000000002</v>
      </c>
      <c r="Z367" t="s">
        <v>124</v>
      </c>
      <c r="AA367" t="s">
        <v>66</v>
      </c>
      <c r="AB367" t="s">
        <v>583</v>
      </c>
      <c r="AC367" t="s">
        <v>735</v>
      </c>
      <c r="AD367" t="s">
        <v>174</v>
      </c>
      <c r="AF367" t="s">
        <v>1068</v>
      </c>
      <c r="AH367" t="s">
        <v>72</v>
      </c>
      <c r="AI367" t="s">
        <v>1069</v>
      </c>
      <c r="AJ367">
        <v>1930</v>
      </c>
      <c r="AK367" t="s">
        <v>2665</v>
      </c>
      <c r="AN367" t="s">
        <v>849</v>
      </c>
      <c r="AO367">
        <v>4</v>
      </c>
      <c r="AP367" t="s">
        <v>115</v>
      </c>
      <c r="AR367" t="s">
        <v>80</v>
      </c>
      <c r="AS367">
        <v>101</v>
      </c>
      <c r="AT367" t="s">
        <v>81</v>
      </c>
      <c r="AU367">
        <v>-37.299999999999997</v>
      </c>
      <c r="AV367">
        <v>9.9499999999999993</v>
      </c>
      <c r="AW367" t="s">
        <v>82</v>
      </c>
      <c r="AX367">
        <v>133</v>
      </c>
      <c r="AY367" t="s">
        <v>81</v>
      </c>
      <c r="AZ367">
        <v>-52.09</v>
      </c>
      <c r="BA367">
        <v>10.029999999999999</v>
      </c>
      <c r="BB367" t="s">
        <v>83</v>
      </c>
    </row>
    <row r="368" spans="1:54" x14ac:dyDescent="0.4">
      <c r="A368">
        <v>837559</v>
      </c>
      <c r="D368" t="s">
        <v>54</v>
      </c>
      <c r="G368">
        <v>1</v>
      </c>
      <c r="H368" t="s">
        <v>421</v>
      </c>
      <c r="I368" t="s">
        <v>57</v>
      </c>
      <c r="K368" t="s">
        <v>141</v>
      </c>
      <c r="L368" t="s">
        <v>766</v>
      </c>
      <c r="M368" t="s">
        <v>60</v>
      </c>
      <c r="O368" t="s">
        <v>87</v>
      </c>
      <c r="P368" t="s">
        <v>62</v>
      </c>
      <c r="R368" t="s">
        <v>63</v>
      </c>
      <c r="S368" t="s">
        <v>64</v>
      </c>
      <c r="T368">
        <v>227</v>
      </c>
      <c r="U368">
        <v>208.5</v>
      </c>
      <c r="V368">
        <f t="shared" si="10"/>
        <v>217.75</v>
      </c>
      <c r="W368">
        <f t="shared" si="11"/>
        <v>18.5</v>
      </c>
      <c r="X368">
        <v>-109.316704</v>
      </c>
      <c r="Y368">
        <v>34.533298000000002</v>
      </c>
      <c r="Z368" t="s">
        <v>124</v>
      </c>
      <c r="AA368" t="s">
        <v>66</v>
      </c>
      <c r="AB368" t="s">
        <v>583</v>
      </c>
      <c r="AC368" t="s">
        <v>735</v>
      </c>
      <c r="AD368" t="s">
        <v>174</v>
      </c>
      <c r="AF368" t="s">
        <v>1068</v>
      </c>
      <c r="AH368" t="s">
        <v>72</v>
      </c>
      <c r="AI368" t="s">
        <v>740</v>
      </c>
      <c r="AJ368">
        <v>1995</v>
      </c>
      <c r="AK368" t="s">
        <v>2665</v>
      </c>
      <c r="AN368" t="s">
        <v>849</v>
      </c>
      <c r="AO368">
        <v>4</v>
      </c>
      <c r="AP368" t="s">
        <v>115</v>
      </c>
      <c r="AR368" t="s">
        <v>80</v>
      </c>
      <c r="AS368">
        <v>101</v>
      </c>
      <c r="AT368" t="s">
        <v>81</v>
      </c>
      <c r="AU368">
        <v>-37.299999999999997</v>
      </c>
      <c r="AV368">
        <v>9.9499999999999993</v>
      </c>
      <c r="AW368" t="s">
        <v>82</v>
      </c>
      <c r="AX368">
        <v>133</v>
      </c>
      <c r="AY368" t="s">
        <v>81</v>
      </c>
      <c r="AZ368">
        <v>-52.09</v>
      </c>
      <c r="BA368">
        <v>10.029999999999999</v>
      </c>
      <c r="BB368" t="s">
        <v>83</v>
      </c>
    </row>
    <row r="369" spans="1:54" x14ac:dyDescent="0.4">
      <c r="A369">
        <v>837562</v>
      </c>
      <c r="D369" t="s">
        <v>54</v>
      </c>
      <c r="G369">
        <v>1</v>
      </c>
      <c r="H369" t="s">
        <v>84</v>
      </c>
      <c r="I369" t="s">
        <v>57</v>
      </c>
      <c r="K369" t="s">
        <v>206</v>
      </c>
      <c r="L369" t="s">
        <v>744</v>
      </c>
      <c r="M369" t="s">
        <v>60</v>
      </c>
      <c r="O369" t="s">
        <v>170</v>
      </c>
      <c r="P369" t="s">
        <v>62</v>
      </c>
      <c r="R369" t="s">
        <v>63</v>
      </c>
      <c r="S369" t="s">
        <v>64</v>
      </c>
      <c r="T369">
        <v>227</v>
      </c>
      <c r="U369">
        <v>208.5</v>
      </c>
      <c r="V369">
        <f t="shared" si="10"/>
        <v>217.75</v>
      </c>
      <c r="W369">
        <f t="shared" si="11"/>
        <v>18.5</v>
      </c>
      <c r="X369">
        <v>-109.400002</v>
      </c>
      <c r="Y369">
        <v>35.383330999999998</v>
      </c>
      <c r="Z369" t="s">
        <v>124</v>
      </c>
      <c r="AA369" t="s">
        <v>66</v>
      </c>
      <c r="AB369" t="s">
        <v>583</v>
      </c>
      <c r="AC369" t="s">
        <v>735</v>
      </c>
      <c r="AD369" t="s">
        <v>174</v>
      </c>
      <c r="AF369" t="s">
        <v>749</v>
      </c>
      <c r="AH369" t="s">
        <v>72</v>
      </c>
      <c r="AI369" t="s">
        <v>740</v>
      </c>
      <c r="AJ369">
        <v>1995</v>
      </c>
      <c r="AK369" t="s">
        <v>2666</v>
      </c>
      <c r="AN369" t="s">
        <v>192</v>
      </c>
      <c r="AO369" t="s">
        <v>160</v>
      </c>
      <c r="AQ369" t="s">
        <v>2667</v>
      </c>
      <c r="AR369" t="s">
        <v>80</v>
      </c>
      <c r="AS369">
        <v>101</v>
      </c>
      <c r="AT369" t="s">
        <v>81</v>
      </c>
      <c r="AU369">
        <v>-37.200000000000003</v>
      </c>
      <c r="AV369">
        <v>10.8</v>
      </c>
      <c r="AW369" t="s">
        <v>82</v>
      </c>
      <c r="AX369">
        <v>133</v>
      </c>
      <c r="AY369" t="s">
        <v>81</v>
      </c>
      <c r="AZ369">
        <v>-52.01</v>
      </c>
      <c r="BA369">
        <v>10.88</v>
      </c>
      <c r="BB369" t="s">
        <v>83</v>
      </c>
    </row>
    <row r="370" spans="1:54" x14ac:dyDescent="0.4">
      <c r="A370">
        <v>837563</v>
      </c>
      <c r="D370" t="s">
        <v>54</v>
      </c>
      <c r="G370">
        <v>2</v>
      </c>
      <c r="H370" t="s">
        <v>84</v>
      </c>
      <c r="I370" t="s">
        <v>57</v>
      </c>
      <c r="K370" t="s">
        <v>85</v>
      </c>
      <c r="L370" t="s">
        <v>1076</v>
      </c>
      <c r="M370" t="s">
        <v>60</v>
      </c>
      <c r="O370" t="s">
        <v>87</v>
      </c>
      <c r="P370" t="s">
        <v>62</v>
      </c>
      <c r="R370" t="s">
        <v>63</v>
      </c>
      <c r="S370" t="s">
        <v>64</v>
      </c>
      <c r="T370">
        <v>227</v>
      </c>
      <c r="U370">
        <v>208.5</v>
      </c>
      <c r="V370">
        <f t="shared" si="10"/>
        <v>217.75</v>
      </c>
      <c r="W370">
        <f t="shared" si="11"/>
        <v>18.5</v>
      </c>
      <c r="X370">
        <v>-109.400002</v>
      </c>
      <c r="Y370">
        <v>35.383330999999998</v>
      </c>
      <c r="Z370" t="s">
        <v>124</v>
      </c>
      <c r="AA370" t="s">
        <v>66</v>
      </c>
      <c r="AB370" t="s">
        <v>583</v>
      </c>
      <c r="AC370" t="s">
        <v>735</v>
      </c>
      <c r="AD370" t="s">
        <v>174</v>
      </c>
      <c r="AF370" t="s">
        <v>749</v>
      </c>
      <c r="AH370" t="s">
        <v>11</v>
      </c>
      <c r="AI370" t="s">
        <v>740</v>
      </c>
      <c r="AJ370">
        <v>1995</v>
      </c>
      <c r="AK370" t="s">
        <v>2666</v>
      </c>
      <c r="AN370" t="s">
        <v>192</v>
      </c>
      <c r="AO370" t="s">
        <v>160</v>
      </c>
      <c r="AQ370" t="s">
        <v>2667</v>
      </c>
      <c r="AR370" t="s">
        <v>80</v>
      </c>
      <c r="AS370">
        <v>101</v>
      </c>
      <c r="AT370" t="s">
        <v>81</v>
      </c>
      <c r="AU370">
        <v>-37.200000000000003</v>
      </c>
      <c r="AV370">
        <v>10.8</v>
      </c>
      <c r="AW370" t="s">
        <v>82</v>
      </c>
      <c r="AX370">
        <v>133</v>
      </c>
      <c r="AY370" t="s">
        <v>81</v>
      </c>
      <c r="AZ370">
        <v>-52.01</v>
      </c>
      <c r="BA370">
        <v>10.88</v>
      </c>
      <c r="BB370" t="s">
        <v>83</v>
      </c>
    </row>
    <row r="371" spans="1:54" x14ac:dyDescent="0.4">
      <c r="A371">
        <v>837565</v>
      </c>
      <c r="D371" t="s">
        <v>54</v>
      </c>
      <c r="G371">
        <v>1</v>
      </c>
      <c r="H371" t="s">
        <v>56</v>
      </c>
      <c r="I371" t="s">
        <v>57</v>
      </c>
      <c r="K371" t="s">
        <v>85</v>
      </c>
      <c r="L371" t="s">
        <v>1076</v>
      </c>
      <c r="M371" t="s">
        <v>60</v>
      </c>
      <c r="O371" t="s">
        <v>87</v>
      </c>
      <c r="P371" t="s">
        <v>62</v>
      </c>
      <c r="R371" t="s">
        <v>63</v>
      </c>
      <c r="S371" t="s">
        <v>64</v>
      </c>
      <c r="T371">
        <v>227</v>
      </c>
      <c r="U371">
        <v>208.5</v>
      </c>
      <c r="V371">
        <f t="shared" si="10"/>
        <v>217.75</v>
      </c>
      <c r="W371">
        <f t="shared" si="11"/>
        <v>18.5</v>
      </c>
      <c r="X371">
        <v>-109.333336</v>
      </c>
      <c r="Y371">
        <v>34.5</v>
      </c>
      <c r="Z371" t="s">
        <v>124</v>
      </c>
      <c r="AA371" t="s">
        <v>66</v>
      </c>
      <c r="AB371" t="s">
        <v>583</v>
      </c>
      <c r="AC371" t="s">
        <v>735</v>
      </c>
      <c r="AD371" t="s">
        <v>174</v>
      </c>
      <c r="AF371" t="s">
        <v>749</v>
      </c>
      <c r="AH371" t="s">
        <v>11</v>
      </c>
      <c r="AI371" t="s">
        <v>740</v>
      </c>
      <c r="AJ371">
        <v>1995</v>
      </c>
      <c r="AK371" t="s">
        <v>2668</v>
      </c>
      <c r="AN371" t="s">
        <v>192</v>
      </c>
      <c r="AO371" t="s">
        <v>160</v>
      </c>
      <c r="AQ371" t="s">
        <v>2669</v>
      </c>
      <c r="AR371" t="s">
        <v>80</v>
      </c>
      <c r="AS371">
        <v>101</v>
      </c>
      <c r="AT371" t="s">
        <v>81</v>
      </c>
      <c r="AU371">
        <v>-37.32</v>
      </c>
      <c r="AV371">
        <v>9.92</v>
      </c>
      <c r="AW371" t="s">
        <v>82</v>
      </c>
      <c r="AX371">
        <v>133</v>
      </c>
      <c r="AY371" t="s">
        <v>81</v>
      </c>
      <c r="AZ371">
        <v>-52.11</v>
      </c>
      <c r="BA371">
        <v>10</v>
      </c>
      <c r="BB371" t="s">
        <v>83</v>
      </c>
    </row>
    <row r="372" spans="1:54" x14ac:dyDescent="0.4">
      <c r="A372">
        <v>837593</v>
      </c>
      <c r="D372" t="s">
        <v>54</v>
      </c>
      <c r="G372">
        <v>1</v>
      </c>
      <c r="H372" t="s">
        <v>421</v>
      </c>
      <c r="I372" t="s">
        <v>57</v>
      </c>
      <c r="K372" t="s">
        <v>206</v>
      </c>
      <c r="L372" t="s">
        <v>744</v>
      </c>
      <c r="M372" t="s">
        <v>60</v>
      </c>
      <c r="O372" t="s">
        <v>170</v>
      </c>
      <c r="P372" t="s">
        <v>62</v>
      </c>
      <c r="R372" t="s">
        <v>63</v>
      </c>
      <c r="S372" t="s">
        <v>64</v>
      </c>
      <c r="T372">
        <v>227</v>
      </c>
      <c r="U372">
        <v>208.5</v>
      </c>
      <c r="V372">
        <f t="shared" si="10"/>
        <v>217.75</v>
      </c>
      <c r="W372">
        <f t="shared" si="11"/>
        <v>18.5</v>
      </c>
      <c r="X372">
        <v>-109.849998</v>
      </c>
      <c r="Y372">
        <v>35.033332999999999</v>
      </c>
      <c r="Z372" t="s">
        <v>124</v>
      </c>
      <c r="AA372" t="s">
        <v>66</v>
      </c>
      <c r="AB372" t="s">
        <v>583</v>
      </c>
      <c r="AC372" t="s">
        <v>584</v>
      </c>
      <c r="AD372" t="s">
        <v>174</v>
      </c>
      <c r="AF372" t="s">
        <v>1078</v>
      </c>
      <c r="AH372" t="s">
        <v>72</v>
      </c>
      <c r="AI372" t="s">
        <v>740</v>
      </c>
      <c r="AJ372">
        <v>1995</v>
      </c>
      <c r="AK372" t="s">
        <v>2681</v>
      </c>
      <c r="AN372" t="s">
        <v>114</v>
      </c>
      <c r="AO372" t="s">
        <v>160</v>
      </c>
      <c r="AQ372" t="s">
        <v>2639</v>
      </c>
      <c r="AR372" t="s">
        <v>80</v>
      </c>
      <c r="AS372">
        <v>101</v>
      </c>
      <c r="AT372" t="s">
        <v>81</v>
      </c>
      <c r="AU372">
        <v>-37.64</v>
      </c>
      <c r="AV372">
        <v>10.53</v>
      </c>
      <c r="AW372" t="s">
        <v>82</v>
      </c>
      <c r="AX372">
        <v>133</v>
      </c>
      <c r="AY372" t="s">
        <v>81</v>
      </c>
      <c r="AZ372">
        <v>-52.44</v>
      </c>
      <c r="BA372">
        <v>10.6</v>
      </c>
      <c r="BB372" t="s">
        <v>83</v>
      </c>
    </row>
    <row r="373" spans="1:54" x14ac:dyDescent="0.4">
      <c r="A373">
        <v>837594</v>
      </c>
      <c r="D373" t="s">
        <v>54</v>
      </c>
      <c r="G373">
        <v>1</v>
      </c>
      <c r="H373" t="s">
        <v>56</v>
      </c>
      <c r="I373" t="s">
        <v>57</v>
      </c>
      <c r="K373" t="s">
        <v>85</v>
      </c>
      <c r="L373" t="s">
        <v>1076</v>
      </c>
      <c r="M373" t="s">
        <v>60</v>
      </c>
      <c r="O373" t="s">
        <v>87</v>
      </c>
      <c r="P373" t="s">
        <v>62</v>
      </c>
      <c r="R373" t="s">
        <v>63</v>
      </c>
      <c r="S373" t="s">
        <v>64</v>
      </c>
      <c r="T373">
        <v>227</v>
      </c>
      <c r="U373">
        <v>208.5</v>
      </c>
      <c r="V373">
        <f t="shared" si="10"/>
        <v>217.75</v>
      </c>
      <c r="W373">
        <f t="shared" si="11"/>
        <v>18.5</v>
      </c>
      <c r="X373">
        <v>-109.849998</v>
      </c>
      <c r="Y373">
        <v>35.033332999999999</v>
      </c>
      <c r="Z373" t="s">
        <v>124</v>
      </c>
      <c r="AA373" t="s">
        <v>66</v>
      </c>
      <c r="AB373" t="s">
        <v>583</v>
      </c>
      <c r="AC373" t="s">
        <v>584</v>
      </c>
      <c r="AD373" t="s">
        <v>174</v>
      </c>
      <c r="AF373" t="s">
        <v>1078</v>
      </c>
      <c r="AH373" t="s">
        <v>72</v>
      </c>
      <c r="AI373" t="s">
        <v>740</v>
      </c>
      <c r="AJ373">
        <v>1995</v>
      </c>
      <c r="AK373" t="s">
        <v>2681</v>
      </c>
      <c r="AN373" t="s">
        <v>114</v>
      </c>
      <c r="AO373" t="s">
        <v>160</v>
      </c>
      <c r="AQ373" t="s">
        <v>2639</v>
      </c>
      <c r="AR373" t="s">
        <v>80</v>
      </c>
      <c r="AS373">
        <v>101</v>
      </c>
      <c r="AT373" t="s">
        <v>81</v>
      </c>
      <c r="AU373">
        <v>-37.64</v>
      </c>
      <c r="AV373">
        <v>10.53</v>
      </c>
      <c r="AW373" t="s">
        <v>82</v>
      </c>
      <c r="AX373">
        <v>133</v>
      </c>
      <c r="AY373" t="s">
        <v>81</v>
      </c>
      <c r="AZ373">
        <v>-52.44</v>
      </c>
      <c r="BA373">
        <v>10.6</v>
      </c>
      <c r="BB373" t="s">
        <v>83</v>
      </c>
    </row>
    <row r="374" spans="1:54" x14ac:dyDescent="0.4">
      <c r="A374">
        <v>837594</v>
      </c>
      <c r="D374" t="s">
        <v>54</v>
      </c>
      <c r="G374">
        <v>1</v>
      </c>
      <c r="H374" t="s">
        <v>56</v>
      </c>
      <c r="I374" t="s">
        <v>57</v>
      </c>
      <c r="K374" t="s">
        <v>85</v>
      </c>
      <c r="L374" t="s">
        <v>1076</v>
      </c>
      <c r="M374" t="s">
        <v>60</v>
      </c>
      <c r="O374" t="s">
        <v>87</v>
      </c>
      <c r="P374" t="s">
        <v>62</v>
      </c>
      <c r="R374" t="s">
        <v>63</v>
      </c>
      <c r="S374" t="s">
        <v>64</v>
      </c>
      <c r="T374">
        <v>227</v>
      </c>
      <c r="U374">
        <v>208.5</v>
      </c>
      <c r="V374">
        <f t="shared" si="10"/>
        <v>217.75</v>
      </c>
      <c r="W374">
        <f t="shared" si="11"/>
        <v>18.5</v>
      </c>
      <c r="X374">
        <v>-109.849998</v>
      </c>
      <c r="Y374">
        <v>35.033332999999999</v>
      </c>
      <c r="Z374" t="s">
        <v>124</v>
      </c>
      <c r="AA374" t="s">
        <v>66</v>
      </c>
      <c r="AB374" t="s">
        <v>583</v>
      </c>
      <c r="AC374" t="s">
        <v>584</v>
      </c>
      <c r="AD374" t="s">
        <v>174</v>
      </c>
      <c r="AF374" t="s">
        <v>1078</v>
      </c>
      <c r="AH374" t="s">
        <v>72</v>
      </c>
      <c r="AI374" t="s">
        <v>740</v>
      </c>
      <c r="AJ374">
        <v>1995</v>
      </c>
      <c r="AK374" t="s">
        <v>2681</v>
      </c>
      <c r="AN374" t="s">
        <v>114</v>
      </c>
      <c r="AO374" t="s">
        <v>160</v>
      </c>
      <c r="AQ374" t="s">
        <v>2639</v>
      </c>
      <c r="AR374" t="s">
        <v>80</v>
      </c>
      <c r="AS374">
        <v>101</v>
      </c>
      <c r="AT374" t="s">
        <v>81</v>
      </c>
      <c r="AU374">
        <v>-37.64</v>
      </c>
      <c r="AV374">
        <v>10.53</v>
      </c>
      <c r="AW374" t="s">
        <v>82</v>
      </c>
      <c r="AX374">
        <v>133</v>
      </c>
      <c r="AY374" t="s">
        <v>81</v>
      </c>
      <c r="AZ374">
        <v>-52.44</v>
      </c>
      <c r="BA374">
        <v>10.6</v>
      </c>
      <c r="BB374" t="s">
        <v>83</v>
      </c>
    </row>
    <row r="375" spans="1:54" x14ac:dyDescent="0.4">
      <c r="A375">
        <v>837595</v>
      </c>
      <c r="D375" t="s">
        <v>54</v>
      </c>
      <c r="G375">
        <v>7</v>
      </c>
      <c r="H375" t="s">
        <v>84</v>
      </c>
      <c r="I375" t="s">
        <v>57</v>
      </c>
      <c r="K375" t="s">
        <v>85</v>
      </c>
      <c r="L375" t="s">
        <v>1076</v>
      </c>
      <c r="M375" t="s">
        <v>60</v>
      </c>
      <c r="O375" t="s">
        <v>87</v>
      </c>
      <c r="P375" t="s">
        <v>62</v>
      </c>
      <c r="R375" t="s">
        <v>63</v>
      </c>
      <c r="S375" t="s">
        <v>64</v>
      </c>
      <c r="T375">
        <v>227</v>
      </c>
      <c r="U375">
        <v>208.5</v>
      </c>
      <c r="V375">
        <f t="shared" si="10"/>
        <v>217.75</v>
      </c>
      <c r="W375">
        <f t="shared" si="11"/>
        <v>18.5</v>
      </c>
      <c r="X375">
        <v>-109.849998</v>
      </c>
      <c r="Y375">
        <v>35.033332999999999</v>
      </c>
      <c r="Z375" t="s">
        <v>124</v>
      </c>
      <c r="AA375" t="s">
        <v>66</v>
      </c>
      <c r="AB375" t="s">
        <v>583</v>
      </c>
      <c r="AC375" t="s">
        <v>584</v>
      </c>
      <c r="AD375" t="s">
        <v>174</v>
      </c>
      <c r="AF375" t="s">
        <v>1078</v>
      </c>
      <c r="AH375" t="s">
        <v>11</v>
      </c>
      <c r="AI375" t="s">
        <v>740</v>
      </c>
      <c r="AJ375">
        <v>1995</v>
      </c>
      <c r="AK375" t="s">
        <v>2681</v>
      </c>
      <c r="AN375" t="s">
        <v>114</v>
      </c>
      <c r="AO375" t="s">
        <v>160</v>
      </c>
      <c r="AQ375" t="s">
        <v>2639</v>
      </c>
      <c r="AR375" t="s">
        <v>80</v>
      </c>
      <c r="AS375">
        <v>101</v>
      </c>
      <c r="AT375" t="s">
        <v>81</v>
      </c>
      <c r="AU375">
        <v>-37.64</v>
      </c>
      <c r="AV375">
        <v>10.53</v>
      </c>
      <c r="AW375" t="s">
        <v>82</v>
      </c>
      <c r="AX375">
        <v>133</v>
      </c>
      <c r="AY375" t="s">
        <v>81</v>
      </c>
      <c r="AZ375">
        <v>-52.44</v>
      </c>
      <c r="BA375">
        <v>10.6</v>
      </c>
      <c r="BB375" t="s">
        <v>83</v>
      </c>
    </row>
    <row r="376" spans="1:54" x14ac:dyDescent="0.4">
      <c r="A376">
        <v>837597</v>
      </c>
      <c r="D376" t="s">
        <v>54</v>
      </c>
      <c r="G376">
        <v>1</v>
      </c>
      <c r="H376" t="s">
        <v>421</v>
      </c>
      <c r="I376" t="s">
        <v>57</v>
      </c>
      <c r="K376" t="s">
        <v>141</v>
      </c>
      <c r="L376" t="s">
        <v>766</v>
      </c>
      <c r="M376" t="s">
        <v>60</v>
      </c>
      <c r="O376" t="s">
        <v>87</v>
      </c>
      <c r="P376" t="s">
        <v>62</v>
      </c>
      <c r="R376" t="s">
        <v>63</v>
      </c>
      <c r="S376" t="s">
        <v>64</v>
      </c>
      <c r="T376">
        <v>227</v>
      </c>
      <c r="U376">
        <v>208.5</v>
      </c>
      <c r="V376">
        <f t="shared" si="10"/>
        <v>217.75</v>
      </c>
      <c r="W376">
        <f t="shared" si="11"/>
        <v>18.5</v>
      </c>
      <c r="X376">
        <v>-109.849998</v>
      </c>
      <c r="Y376">
        <v>35.033332999999999</v>
      </c>
      <c r="Z376" t="s">
        <v>124</v>
      </c>
      <c r="AA376" t="s">
        <v>66</v>
      </c>
      <c r="AB376" t="s">
        <v>583</v>
      </c>
      <c r="AC376" t="s">
        <v>584</v>
      </c>
      <c r="AD376" t="s">
        <v>174</v>
      </c>
      <c r="AF376" t="s">
        <v>1078</v>
      </c>
      <c r="AH376" t="s">
        <v>72</v>
      </c>
      <c r="AI376" t="s">
        <v>740</v>
      </c>
      <c r="AJ376">
        <v>1995</v>
      </c>
      <c r="AK376" t="s">
        <v>2681</v>
      </c>
      <c r="AN376" t="s">
        <v>114</v>
      </c>
      <c r="AO376" t="s">
        <v>160</v>
      </c>
      <c r="AQ376" t="s">
        <v>2639</v>
      </c>
      <c r="AR376" t="s">
        <v>80</v>
      </c>
      <c r="AS376">
        <v>101</v>
      </c>
      <c r="AT376" t="s">
        <v>81</v>
      </c>
      <c r="AU376">
        <v>-37.64</v>
      </c>
      <c r="AV376">
        <v>10.53</v>
      </c>
      <c r="AW376" t="s">
        <v>82</v>
      </c>
      <c r="AX376">
        <v>133</v>
      </c>
      <c r="AY376" t="s">
        <v>81</v>
      </c>
      <c r="AZ376">
        <v>-52.44</v>
      </c>
      <c r="BA376">
        <v>10.6</v>
      </c>
      <c r="BB376" t="s">
        <v>83</v>
      </c>
    </row>
    <row r="377" spans="1:54" x14ac:dyDescent="0.4">
      <c r="A377">
        <v>837598</v>
      </c>
      <c r="D377" t="s">
        <v>54</v>
      </c>
      <c r="I377" t="s">
        <v>57</v>
      </c>
      <c r="K377" t="s">
        <v>196</v>
      </c>
      <c r="L377" t="s">
        <v>197</v>
      </c>
      <c r="M377" t="s">
        <v>60</v>
      </c>
      <c r="O377" t="s">
        <v>87</v>
      </c>
      <c r="P377" t="s">
        <v>62</v>
      </c>
      <c r="R377" t="s">
        <v>63</v>
      </c>
      <c r="S377" t="s">
        <v>64</v>
      </c>
      <c r="T377">
        <v>227</v>
      </c>
      <c r="U377">
        <v>208.5</v>
      </c>
      <c r="V377">
        <f t="shared" si="10"/>
        <v>217.75</v>
      </c>
      <c r="W377">
        <f t="shared" si="11"/>
        <v>18.5</v>
      </c>
      <c r="X377">
        <v>-109.849998</v>
      </c>
      <c r="Y377">
        <v>35.033332999999999</v>
      </c>
      <c r="Z377" t="s">
        <v>124</v>
      </c>
      <c r="AA377" t="s">
        <v>66</v>
      </c>
      <c r="AB377" t="s">
        <v>583</v>
      </c>
      <c r="AC377" t="s">
        <v>584</v>
      </c>
      <c r="AD377" t="s">
        <v>174</v>
      </c>
      <c r="AF377" t="s">
        <v>1078</v>
      </c>
      <c r="AH377" t="s">
        <v>11</v>
      </c>
      <c r="AI377" t="s">
        <v>915</v>
      </c>
      <c r="AJ377">
        <v>2011</v>
      </c>
      <c r="AK377" t="s">
        <v>2681</v>
      </c>
      <c r="AN377" t="s">
        <v>114</v>
      </c>
      <c r="AO377" t="s">
        <v>160</v>
      </c>
      <c r="AQ377" t="s">
        <v>2639</v>
      </c>
      <c r="AR377" t="s">
        <v>80</v>
      </c>
      <c r="AS377">
        <v>101</v>
      </c>
      <c r="AT377" t="s">
        <v>81</v>
      </c>
      <c r="AU377">
        <v>-37.64</v>
      </c>
      <c r="AV377">
        <v>10.53</v>
      </c>
      <c r="AW377" t="s">
        <v>82</v>
      </c>
      <c r="AX377">
        <v>133</v>
      </c>
      <c r="AY377" t="s">
        <v>81</v>
      </c>
      <c r="AZ377">
        <v>-52.44</v>
      </c>
      <c r="BA377">
        <v>10.6</v>
      </c>
      <c r="BB377" t="s">
        <v>83</v>
      </c>
    </row>
    <row r="378" spans="1:54" x14ac:dyDescent="0.4">
      <c r="A378">
        <v>837601</v>
      </c>
      <c r="D378" t="s">
        <v>54</v>
      </c>
      <c r="G378">
        <v>1</v>
      </c>
      <c r="H378" t="s">
        <v>84</v>
      </c>
      <c r="I378" t="s">
        <v>57</v>
      </c>
      <c r="K378" t="s">
        <v>206</v>
      </c>
      <c r="L378" t="s">
        <v>744</v>
      </c>
      <c r="M378" t="s">
        <v>60</v>
      </c>
      <c r="O378" t="s">
        <v>170</v>
      </c>
      <c r="P378" t="s">
        <v>62</v>
      </c>
      <c r="R378" t="s">
        <v>63</v>
      </c>
      <c r="S378" t="s">
        <v>64</v>
      </c>
      <c r="T378">
        <v>227</v>
      </c>
      <c r="U378">
        <v>208.5</v>
      </c>
      <c r="V378">
        <f t="shared" si="10"/>
        <v>217.75</v>
      </c>
      <c r="W378">
        <f t="shared" si="11"/>
        <v>18.5</v>
      </c>
      <c r="X378">
        <v>-109.849998</v>
      </c>
      <c r="Y378">
        <v>35.033332999999999</v>
      </c>
      <c r="Z378" t="s">
        <v>124</v>
      </c>
      <c r="AA378" t="s">
        <v>66</v>
      </c>
      <c r="AB378" t="s">
        <v>583</v>
      </c>
      <c r="AC378" t="s">
        <v>584</v>
      </c>
      <c r="AD378" t="s">
        <v>174</v>
      </c>
      <c r="AF378" t="s">
        <v>1078</v>
      </c>
      <c r="AH378" t="s">
        <v>72</v>
      </c>
      <c r="AI378" t="s">
        <v>740</v>
      </c>
      <c r="AJ378">
        <v>1995</v>
      </c>
      <c r="AK378" t="s">
        <v>2682</v>
      </c>
      <c r="AN378" t="s">
        <v>114</v>
      </c>
      <c r="AO378" t="s">
        <v>160</v>
      </c>
      <c r="AQ378" t="s">
        <v>2639</v>
      </c>
      <c r="AR378" t="s">
        <v>80</v>
      </c>
      <c r="AS378">
        <v>101</v>
      </c>
      <c r="AT378" t="s">
        <v>81</v>
      </c>
      <c r="AU378">
        <v>-37.64</v>
      </c>
      <c r="AV378">
        <v>10.53</v>
      </c>
      <c r="AW378" t="s">
        <v>82</v>
      </c>
      <c r="AX378">
        <v>133</v>
      </c>
      <c r="AY378" t="s">
        <v>81</v>
      </c>
      <c r="AZ378">
        <v>-52.44</v>
      </c>
      <c r="BA378">
        <v>10.6</v>
      </c>
      <c r="BB378" t="s">
        <v>83</v>
      </c>
    </row>
    <row r="379" spans="1:54" x14ac:dyDescent="0.4">
      <c r="A379">
        <v>837637</v>
      </c>
      <c r="D379" t="s">
        <v>54</v>
      </c>
      <c r="G379">
        <v>1</v>
      </c>
      <c r="H379" t="s">
        <v>56</v>
      </c>
      <c r="I379" t="s">
        <v>57</v>
      </c>
      <c r="K379" t="s">
        <v>85</v>
      </c>
      <c r="L379" t="s">
        <v>739</v>
      </c>
      <c r="M379" t="s">
        <v>60</v>
      </c>
      <c r="O379" t="s">
        <v>87</v>
      </c>
      <c r="P379" t="s">
        <v>62</v>
      </c>
      <c r="R379" t="s">
        <v>63</v>
      </c>
      <c r="S379" t="s">
        <v>64</v>
      </c>
      <c r="T379">
        <v>227</v>
      </c>
      <c r="U379">
        <v>208.5</v>
      </c>
      <c r="V379">
        <f t="shared" si="10"/>
        <v>217.75</v>
      </c>
      <c r="W379">
        <f t="shared" si="11"/>
        <v>18.5</v>
      </c>
      <c r="X379">
        <v>-109.849998</v>
      </c>
      <c r="Y379">
        <v>35.033332999999999</v>
      </c>
      <c r="Z379" t="s">
        <v>124</v>
      </c>
      <c r="AA379" t="s">
        <v>66</v>
      </c>
      <c r="AB379" t="s">
        <v>583</v>
      </c>
      <c r="AC379" t="s">
        <v>584</v>
      </c>
      <c r="AD379" t="s">
        <v>174</v>
      </c>
      <c r="AF379" t="s">
        <v>749</v>
      </c>
      <c r="AH379" t="s">
        <v>72</v>
      </c>
      <c r="AI379" t="s">
        <v>740</v>
      </c>
      <c r="AJ379">
        <v>1995</v>
      </c>
      <c r="AK379" t="s">
        <v>2683</v>
      </c>
      <c r="AM379" t="s">
        <v>2684</v>
      </c>
      <c r="AN379" t="s">
        <v>114</v>
      </c>
      <c r="AO379" t="s">
        <v>160</v>
      </c>
      <c r="AQ379" t="s">
        <v>2639</v>
      </c>
      <c r="AR379" t="s">
        <v>80</v>
      </c>
      <c r="AS379">
        <v>101</v>
      </c>
      <c r="AT379" t="s">
        <v>81</v>
      </c>
      <c r="AU379">
        <v>-37.64</v>
      </c>
      <c r="AV379">
        <v>10.53</v>
      </c>
      <c r="AW379" t="s">
        <v>82</v>
      </c>
      <c r="AX379">
        <v>133</v>
      </c>
      <c r="AY379" t="s">
        <v>81</v>
      </c>
      <c r="AZ379">
        <v>-52.44</v>
      </c>
      <c r="BA379">
        <v>10.6</v>
      </c>
      <c r="BB379" t="s">
        <v>83</v>
      </c>
    </row>
    <row r="380" spans="1:54" x14ac:dyDescent="0.4">
      <c r="A380">
        <v>837639</v>
      </c>
      <c r="D380" t="s">
        <v>54</v>
      </c>
      <c r="G380">
        <v>1</v>
      </c>
      <c r="H380" t="s">
        <v>56</v>
      </c>
      <c r="I380" t="s">
        <v>57</v>
      </c>
      <c r="K380" t="s">
        <v>85</v>
      </c>
      <c r="L380" t="s">
        <v>1076</v>
      </c>
      <c r="M380" t="s">
        <v>60</v>
      </c>
      <c r="O380" t="s">
        <v>87</v>
      </c>
      <c r="P380" t="s">
        <v>62</v>
      </c>
      <c r="R380" t="s">
        <v>63</v>
      </c>
      <c r="S380" t="s">
        <v>64</v>
      </c>
      <c r="T380">
        <v>227</v>
      </c>
      <c r="U380">
        <v>208.5</v>
      </c>
      <c r="V380">
        <f t="shared" si="10"/>
        <v>217.75</v>
      </c>
      <c r="W380">
        <f t="shared" si="11"/>
        <v>18.5</v>
      </c>
      <c r="X380">
        <v>-109.88722199999999</v>
      </c>
      <c r="Y380">
        <v>35.019168999999998</v>
      </c>
      <c r="Z380" t="s">
        <v>124</v>
      </c>
      <c r="AA380" t="s">
        <v>66</v>
      </c>
      <c r="AB380" t="s">
        <v>583</v>
      </c>
      <c r="AC380" t="s">
        <v>584</v>
      </c>
      <c r="AD380" t="s">
        <v>174</v>
      </c>
      <c r="AF380" t="s">
        <v>749</v>
      </c>
      <c r="AH380" t="s">
        <v>72</v>
      </c>
      <c r="AI380" t="s">
        <v>740</v>
      </c>
      <c r="AJ380">
        <v>1995</v>
      </c>
      <c r="AK380" t="s">
        <v>2685</v>
      </c>
      <c r="AN380" t="s">
        <v>114</v>
      </c>
      <c r="AO380" t="s">
        <v>77</v>
      </c>
      <c r="AP380" t="s">
        <v>115</v>
      </c>
      <c r="AR380" t="s">
        <v>80</v>
      </c>
      <c r="AS380">
        <v>101</v>
      </c>
      <c r="AT380" t="s">
        <v>81</v>
      </c>
      <c r="AU380">
        <v>-37.67</v>
      </c>
      <c r="AV380">
        <v>10.52</v>
      </c>
      <c r="AW380" t="s">
        <v>82</v>
      </c>
      <c r="AX380">
        <v>133</v>
      </c>
      <c r="AY380" t="s">
        <v>81</v>
      </c>
      <c r="AZ380">
        <v>-52.48</v>
      </c>
      <c r="BA380">
        <v>10.59</v>
      </c>
      <c r="BB380" t="s">
        <v>83</v>
      </c>
    </row>
    <row r="381" spans="1:54" x14ac:dyDescent="0.4">
      <c r="A381">
        <v>837642</v>
      </c>
      <c r="D381" t="s">
        <v>54</v>
      </c>
      <c r="G381">
        <v>2</v>
      </c>
      <c r="H381" t="s">
        <v>84</v>
      </c>
      <c r="I381" t="s">
        <v>57</v>
      </c>
      <c r="K381" t="s">
        <v>85</v>
      </c>
      <c r="L381" t="s">
        <v>1076</v>
      </c>
      <c r="M381" t="s">
        <v>60</v>
      </c>
      <c r="O381" t="s">
        <v>87</v>
      </c>
      <c r="P381" t="s">
        <v>62</v>
      </c>
      <c r="R381" t="s">
        <v>63</v>
      </c>
      <c r="S381" t="s">
        <v>64</v>
      </c>
      <c r="T381">
        <v>227</v>
      </c>
      <c r="U381">
        <v>208.5</v>
      </c>
      <c r="V381">
        <f t="shared" si="10"/>
        <v>217.75</v>
      </c>
      <c r="W381">
        <f t="shared" si="11"/>
        <v>18.5</v>
      </c>
      <c r="X381">
        <v>-109.88722199999999</v>
      </c>
      <c r="Y381">
        <v>35.019168999999998</v>
      </c>
      <c r="Z381" t="s">
        <v>124</v>
      </c>
      <c r="AA381" t="s">
        <v>66</v>
      </c>
      <c r="AB381" t="s">
        <v>583</v>
      </c>
      <c r="AC381" t="s">
        <v>584</v>
      </c>
      <c r="AD381" t="s">
        <v>174</v>
      </c>
      <c r="AF381" t="s">
        <v>749</v>
      </c>
      <c r="AH381" t="s">
        <v>11</v>
      </c>
      <c r="AI381" t="s">
        <v>740</v>
      </c>
      <c r="AJ381">
        <v>1995</v>
      </c>
      <c r="AK381" t="s">
        <v>2686</v>
      </c>
      <c r="AN381" t="s">
        <v>114</v>
      </c>
      <c r="AO381" t="s">
        <v>77</v>
      </c>
      <c r="AQ381" t="s">
        <v>2687</v>
      </c>
      <c r="AR381" t="s">
        <v>80</v>
      </c>
      <c r="AS381">
        <v>101</v>
      </c>
      <c r="AT381" t="s">
        <v>81</v>
      </c>
      <c r="AU381">
        <v>-37.67</v>
      </c>
      <c r="AV381">
        <v>10.52</v>
      </c>
      <c r="AW381" t="s">
        <v>82</v>
      </c>
      <c r="AX381">
        <v>133</v>
      </c>
      <c r="AY381" t="s">
        <v>81</v>
      </c>
      <c r="AZ381">
        <v>-52.48</v>
      </c>
      <c r="BA381">
        <v>10.59</v>
      </c>
      <c r="BB381" t="s">
        <v>83</v>
      </c>
    </row>
    <row r="382" spans="1:54" x14ac:dyDescent="0.4">
      <c r="A382">
        <v>837653</v>
      </c>
      <c r="D382" t="s">
        <v>54</v>
      </c>
      <c r="E382" t="s">
        <v>55</v>
      </c>
      <c r="G382">
        <v>1</v>
      </c>
      <c r="H382" t="s">
        <v>84</v>
      </c>
      <c r="I382" t="s">
        <v>57</v>
      </c>
      <c r="K382" t="s">
        <v>141</v>
      </c>
      <c r="L382" t="s">
        <v>2697</v>
      </c>
      <c r="M382" t="s">
        <v>60</v>
      </c>
      <c r="N382" t="s">
        <v>256</v>
      </c>
      <c r="O382" t="s">
        <v>87</v>
      </c>
      <c r="P382" t="s">
        <v>62</v>
      </c>
      <c r="R382" t="s">
        <v>63</v>
      </c>
      <c r="S382" t="s">
        <v>64</v>
      </c>
      <c r="T382">
        <v>227</v>
      </c>
      <c r="U382">
        <v>208.5</v>
      </c>
      <c r="V382">
        <f t="shared" si="10"/>
        <v>217.75</v>
      </c>
      <c r="W382">
        <f t="shared" si="11"/>
        <v>18.5</v>
      </c>
      <c r="X382">
        <v>-106.47506</v>
      </c>
      <c r="Y382">
        <v>36.323849000000003</v>
      </c>
      <c r="Z382" t="s">
        <v>1447</v>
      </c>
      <c r="AA382" t="s">
        <v>66</v>
      </c>
      <c r="AB382" t="s">
        <v>846</v>
      </c>
      <c r="AC382" t="s">
        <v>847</v>
      </c>
      <c r="AD382" t="s">
        <v>174</v>
      </c>
      <c r="AF382" t="s">
        <v>749</v>
      </c>
      <c r="AH382" t="s">
        <v>72</v>
      </c>
      <c r="AI382" t="s">
        <v>1127</v>
      </c>
      <c r="AJ382">
        <v>2009</v>
      </c>
      <c r="AK382" t="s">
        <v>1448</v>
      </c>
      <c r="AN382" t="s">
        <v>114</v>
      </c>
      <c r="AO382">
        <v>6</v>
      </c>
      <c r="AP382" t="s">
        <v>78</v>
      </c>
      <c r="AQ382" t="s">
        <v>1449</v>
      </c>
      <c r="AR382" t="s">
        <v>80</v>
      </c>
      <c r="AS382">
        <v>101</v>
      </c>
      <c r="AT382" t="s">
        <v>81</v>
      </c>
      <c r="AU382">
        <v>-34.65</v>
      </c>
      <c r="AV382">
        <v>11.27</v>
      </c>
      <c r="AW382" t="s">
        <v>82</v>
      </c>
      <c r="AX382">
        <v>133</v>
      </c>
      <c r="AY382" t="s">
        <v>81</v>
      </c>
      <c r="AZ382">
        <v>-49.47</v>
      </c>
      <c r="BA382">
        <v>11.42</v>
      </c>
      <c r="BB382" t="s">
        <v>83</v>
      </c>
    </row>
    <row r="383" spans="1:54" x14ac:dyDescent="0.4">
      <c r="A383">
        <v>837654</v>
      </c>
      <c r="D383" t="s">
        <v>54</v>
      </c>
      <c r="E383" t="s">
        <v>55</v>
      </c>
      <c r="G383">
        <v>1</v>
      </c>
      <c r="H383" t="s">
        <v>56</v>
      </c>
      <c r="I383" t="s">
        <v>57</v>
      </c>
      <c r="K383" t="s">
        <v>141</v>
      </c>
      <c r="L383" t="s">
        <v>2697</v>
      </c>
      <c r="M383" t="s">
        <v>60</v>
      </c>
      <c r="N383" t="s">
        <v>256</v>
      </c>
      <c r="O383" t="s">
        <v>87</v>
      </c>
      <c r="P383" t="s">
        <v>62</v>
      </c>
      <c r="R383" t="s">
        <v>63</v>
      </c>
      <c r="S383" t="s">
        <v>64</v>
      </c>
      <c r="T383">
        <v>227</v>
      </c>
      <c r="U383">
        <v>208.5</v>
      </c>
      <c r="V383">
        <f t="shared" si="10"/>
        <v>217.75</v>
      </c>
      <c r="W383">
        <f t="shared" si="11"/>
        <v>18.5</v>
      </c>
      <c r="X383">
        <v>-106.47506</v>
      </c>
      <c r="Y383">
        <v>36.323849000000003</v>
      </c>
      <c r="Z383" t="s">
        <v>1447</v>
      </c>
      <c r="AA383" t="s">
        <v>66</v>
      </c>
      <c r="AB383" t="s">
        <v>846</v>
      </c>
      <c r="AC383" t="s">
        <v>847</v>
      </c>
      <c r="AD383" t="s">
        <v>174</v>
      </c>
      <c r="AF383" t="s">
        <v>749</v>
      </c>
      <c r="AH383" t="s">
        <v>72</v>
      </c>
      <c r="AI383" t="s">
        <v>1127</v>
      </c>
      <c r="AJ383">
        <v>2009</v>
      </c>
      <c r="AK383" t="s">
        <v>2698</v>
      </c>
      <c r="AN383" t="s">
        <v>114</v>
      </c>
      <c r="AO383">
        <v>6</v>
      </c>
      <c r="AP383" t="s">
        <v>78</v>
      </c>
      <c r="AQ383" t="s">
        <v>2699</v>
      </c>
      <c r="AR383" t="s">
        <v>80</v>
      </c>
      <c r="AS383">
        <v>101</v>
      </c>
      <c r="AT383" t="s">
        <v>81</v>
      </c>
      <c r="AU383">
        <v>-34.65</v>
      </c>
      <c r="AV383">
        <v>11.27</v>
      </c>
      <c r="AW383" t="s">
        <v>82</v>
      </c>
      <c r="AX383">
        <v>133</v>
      </c>
      <c r="AY383" t="s">
        <v>81</v>
      </c>
      <c r="AZ383">
        <v>-49.47</v>
      </c>
      <c r="BA383">
        <v>11.42</v>
      </c>
      <c r="BB383" t="s">
        <v>83</v>
      </c>
    </row>
    <row r="384" spans="1:54" x14ac:dyDescent="0.4">
      <c r="A384">
        <v>837654</v>
      </c>
      <c r="D384" t="s">
        <v>54</v>
      </c>
      <c r="E384" t="s">
        <v>55</v>
      </c>
      <c r="G384">
        <v>1</v>
      </c>
      <c r="H384" t="s">
        <v>56</v>
      </c>
      <c r="I384" t="s">
        <v>57</v>
      </c>
      <c r="K384" t="s">
        <v>141</v>
      </c>
      <c r="L384" t="s">
        <v>2697</v>
      </c>
      <c r="M384" t="s">
        <v>60</v>
      </c>
      <c r="N384" t="s">
        <v>256</v>
      </c>
      <c r="O384" t="s">
        <v>87</v>
      </c>
      <c r="P384" t="s">
        <v>62</v>
      </c>
      <c r="R384" t="s">
        <v>63</v>
      </c>
      <c r="S384" t="s">
        <v>64</v>
      </c>
      <c r="T384">
        <v>227</v>
      </c>
      <c r="U384">
        <v>208.5</v>
      </c>
      <c r="V384">
        <f t="shared" si="10"/>
        <v>217.75</v>
      </c>
      <c r="W384">
        <f t="shared" si="11"/>
        <v>18.5</v>
      </c>
      <c r="X384">
        <v>-106.47506</v>
      </c>
      <c r="Y384">
        <v>36.323849000000003</v>
      </c>
      <c r="Z384" t="s">
        <v>1447</v>
      </c>
      <c r="AA384" t="s">
        <v>66</v>
      </c>
      <c r="AB384" t="s">
        <v>846</v>
      </c>
      <c r="AC384" t="s">
        <v>847</v>
      </c>
      <c r="AD384" t="s">
        <v>174</v>
      </c>
      <c r="AF384" t="s">
        <v>749</v>
      </c>
      <c r="AH384" t="s">
        <v>72</v>
      </c>
      <c r="AI384" t="s">
        <v>1127</v>
      </c>
      <c r="AJ384">
        <v>2009</v>
      </c>
      <c r="AK384" t="s">
        <v>2698</v>
      </c>
      <c r="AN384" t="s">
        <v>114</v>
      </c>
      <c r="AO384">
        <v>6</v>
      </c>
      <c r="AP384" t="s">
        <v>78</v>
      </c>
      <c r="AQ384" t="s">
        <v>2699</v>
      </c>
      <c r="AR384" t="s">
        <v>80</v>
      </c>
      <c r="AS384">
        <v>101</v>
      </c>
      <c r="AT384" t="s">
        <v>81</v>
      </c>
      <c r="AU384">
        <v>-34.65</v>
      </c>
      <c r="AV384">
        <v>11.27</v>
      </c>
      <c r="AW384" t="s">
        <v>82</v>
      </c>
      <c r="AX384">
        <v>133</v>
      </c>
      <c r="AY384" t="s">
        <v>81</v>
      </c>
      <c r="AZ384">
        <v>-49.47</v>
      </c>
      <c r="BA384">
        <v>11.42</v>
      </c>
      <c r="BB384" t="s">
        <v>83</v>
      </c>
    </row>
    <row r="385" spans="1:54" x14ac:dyDescent="0.4">
      <c r="A385">
        <v>837654</v>
      </c>
      <c r="D385" t="s">
        <v>54</v>
      </c>
      <c r="E385" t="s">
        <v>55</v>
      </c>
      <c r="G385">
        <v>1</v>
      </c>
      <c r="H385" t="s">
        <v>56</v>
      </c>
      <c r="I385" t="s">
        <v>57</v>
      </c>
      <c r="K385" t="s">
        <v>141</v>
      </c>
      <c r="L385" t="s">
        <v>2697</v>
      </c>
      <c r="M385" t="s">
        <v>60</v>
      </c>
      <c r="N385" t="s">
        <v>256</v>
      </c>
      <c r="O385" t="s">
        <v>87</v>
      </c>
      <c r="P385" t="s">
        <v>62</v>
      </c>
      <c r="R385" t="s">
        <v>63</v>
      </c>
      <c r="S385" t="s">
        <v>64</v>
      </c>
      <c r="T385">
        <v>227</v>
      </c>
      <c r="U385">
        <v>208.5</v>
      </c>
      <c r="V385">
        <f t="shared" si="10"/>
        <v>217.75</v>
      </c>
      <c r="W385">
        <f t="shared" si="11"/>
        <v>18.5</v>
      </c>
      <c r="X385">
        <v>-106.47506</v>
      </c>
      <c r="Y385">
        <v>36.323849000000003</v>
      </c>
      <c r="Z385" t="s">
        <v>1447</v>
      </c>
      <c r="AA385" t="s">
        <v>66</v>
      </c>
      <c r="AB385" t="s">
        <v>846</v>
      </c>
      <c r="AC385" t="s">
        <v>847</v>
      </c>
      <c r="AD385" t="s">
        <v>174</v>
      </c>
      <c r="AF385" t="s">
        <v>749</v>
      </c>
      <c r="AH385" t="s">
        <v>72</v>
      </c>
      <c r="AI385" t="s">
        <v>1127</v>
      </c>
      <c r="AJ385">
        <v>2009</v>
      </c>
      <c r="AK385" t="s">
        <v>2698</v>
      </c>
      <c r="AN385" t="s">
        <v>114</v>
      </c>
      <c r="AO385">
        <v>6</v>
      </c>
      <c r="AP385" t="s">
        <v>78</v>
      </c>
      <c r="AQ385" t="s">
        <v>2699</v>
      </c>
      <c r="AR385" t="s">
        <v>80</v>
      </c>
      <c r="AS385">
        <v>101</v>
      </c>
      <c r="AT385" t="s">
        <v>81</v>
      </c>
      <c r="AU385">
        <v>-34.65</v>
      </c>
      <c r="AV385">
        <v>11.27</v>
      </c>
      <c r="AW385" t="s">
        <v>82</v>
      </c>
      <c r="AX385">
        <v>133</v>
      </c>
      <c r="AY385" t="s">
        <v>81</v>
      </c>
      <c r="AZ385">
        <v>-49.47</v>
      </c>
      <c r="BA385">
        <v>11.42</v>
      </c>
      <c r="BB385" t="s">
        <v>83</v>
      </c>
    </row>
    <row r="386" spans="1:54" x14ac:dyDescent="0.4">
      <c r="A386">
        <v>837654</v>
      </c>
      <c r="D386" t="s">
        <v>54</v>
      </c>
      <c r="E386" t="s">
        <v>55</v>
      </c>
      <c r="G386">
        <v>1</v>
      </c>
      <c r="H386" t="s">
        <v>56</v>
      </c>
      <c r="I386" t="s">
        <v>57</v>
      </c>
      <c r="K386" t="s">
        <v>141</v>
      </c>
      <c r="L386" t="s">
        <v>2697</v>
      </c>
      <c r="M386" t="s">
        <v>60</v>
      </c>
      <c r="N386" t="s">
        <v>256</v>
      </c>
      <c r="O386" t="s">
        <v>87</v>
      </c>
      <c r="P386" t="s">
        <v>62</v>
      </c>
      <c r="R386" t="s">
        <v>63</v>
      </c>
      <c r="S386" t="s">
        <v>64</v>
      </c>
      <c r="T386">
        <v>227</v>
      </c>
      <c r="U386">
        <v>208.5</v>
      </c>
      <c r="V386">
        <f t="shared" si="10"/>
        <v>217.75</v>
      </c>
      <c r="W386">
        <f t="shared" si="11"/>
        <v>18.5</v>
      </c>
      <c r="X386">
        <v>-106.47506</v>
      </c>
      <c r="Y386">
        <v>36.323849000000003</v>
      </c>
      <c r="Z386" t="s">
        <v>1447</v>
      </c>
      <c r="AA386" t="s">
        <v>66</v>
      </c>
      <c r="AB386" t="s">
        <v>846</v>
      </c>
      <c r="AC386" t="s">
        <v>847</v>
      </c>
      <c r="AD386" t="s">
        <v>174</v>
      </c>
      <c r="AF386" t="s">
        <v>749</v>
      </c>
      <c r="AH386" t="s">
        <v>72</v>
      </c>
      <c r="AI386" t="s">
        <v>1127</v>
      </c>
      <c r="AJ386">
        <v>2009</v>
      </c>
      <c r="AK386" t="s">
        <v>2698</v>
      </c>
      <c r="AN386" t="s">
        <v>114</v>
      </c>
      <c r="AO386">
        <v>6</v>
      </c>
      <c r="AP386" t="s">
        <v>78</v>
      </c>
      <c r="AQ386" t="s">
        <v>2699</v>
      </c>
      <c r="AR386" t="s">
        <v>80</v>
      </c>
      <c r="AS386">
        <v>101</v>
      </c>
      <c r="AT386" t="s">
        <v>81</v>
      </c>
      <c r="AU386">
        <v>-34.65</v>
      </c>
      <c r="AV386">
        <v>11.27</v>
      </c>
      <c r="AW386" t="s">
        <v>82</v>
      </c>
      <c r="AX386">
        <v>133</v>
      </c>
      <c r="AY386" t="s">
        <v>81</v>
      </c>
      <c r="AZ386">
        <v>-49.47</v>
      </c>
      <c r="BA386">
        <v>11.42</v>
      </c>
      <c r="BB386" t="s">
        <v>83</v>
      </c>
    </row>
    <row r="387" spans="1:54" x14ac:dyDescent="0.4">
      <c r="A387">
        <v>837654</v>
      </c>
      <c r="D387" t="s">
        <v>54</v>
      </c>
      <c r="E387" t="s">
        <v>55</v>
      </c>
      <c r="G387">
        <v>1</v>
      </c>
      <c r="H387" t="s">
        <v>56</v>
      </c>
      <c r="I387" t="s">
        <v>57</v>
      </c>
      <c r="K387" t="s">
        <v>141</v>
      </c>
      <c r="L387" t="s">
        <v>2697</v>
      </c>
      <c r="M387" t="s">
        <v>60</v>
      </c>
      <c r="N387" t="s">
        <v>256</v>
      </c>
      <c r="O387" t="s">
        <v>87</v>
      </c>
      <c r="P387" t="s">
        <v>62</v>
      </c>
      <c r="R387" t="s">
        <v>63</v>
      </c>
      <c r="S387" t="s">
        <v>64</v>
      </c>
      <c r="T387">
        <v>227</v>
      </c>
      <c r="U387">
        <v>208.5</v>
      </c>
      <c r="V387">
        <f t="shared" ref="V387:V450" si="12">(T387+U387)/2</f>
        <v>217.75</v>
      </c>
      <c r="W387">
        <f t="shared" ref="W387:W450" si="13">T387-U387</f>
        <v>18.5</v>
      </c>
      <c r="X387">
        <v>-106.47506</v>
      </c>
      <c r="Y387">
        <v>36.323849000000003</v>
      </c>
      <c r="Z387" t="s">
        <v>1447</v>
      </c>
      <c r="AA387" t="s">
        <v>66</v>
      </c>
      <c r="AB387" t="s">
        <v>846</v>
      </c>
      <c r="AC387" t="s">
        <v>847</v>
      </c>
      <c r="AD387" t="s">
        <v>174</v>
      </c>
      <c r="AF387" t="s">
        <v>749</v>
      </c>
      <c r="AH387" t="s">
        <v>72</v>
      </c>
      <c r="AI387" t="s">
        <v>1127</v>
      </c>
      <c r="AJ387">
        <v>2009</v>
      </c>
      <c r="AK387" t="s">
        <v>2698</v>
      </c>
      <c r="AN387" t="s">
        <v>114</v>
      </c>
      <c r="AO387">
        <v>6</v>
      </c>
      <c r="AP387" t="s">
        <v>78</v>
      </c>
      <c r="AQ387" t="s">
        <v>2699</v>
      </c>
      <c r="AR387" t="s">
        <v>80</v>
      </c>
      <c r="AS387">
        <v>101</v>
      </c>
      <c r="AT387" t="s">
        <v>81</v>
      </c>
      <c r="AU387">
        <v>-34.65</v>
      </c>
      <c r="AV387">
        <v>11.27</v>
      </c>
      <c r="AW387" t="s">
        <v>82</v>
      </c>
      <c r="AX387">
        <v>133</v>
      </c>
      <c r="AY387" t="s">
        <v>81</v>
      </c>
      <c r="AZ387">
        <v>-49.47</v>
      </c>
      <c r="BA387">
        <v>11.42</v>
      </c>
      <c r="BB387" t="s">
        <v>83</v>
      </c>
    </row>
    <row r="388" spans="1:54" x14ac:dyDescent="0.4">
      <c r="A388">
        <v>837654</v>
      </c>
      <c r="D388" t="s">
        <v>54</v>
      </c>
      <c r="E388" t="s">
        <v>55</v>
      </c>
      <c r="G388">
        <v>1</v>
      </c>
      <c r="H388" t="s">
        <v>56</v>
      </c>
      <c r="I388" t="s">
        <v>57</v>
      </c>
      <c r="K388" t="s">
        <v>141</v>
      </c>
      <c r="L388" t="s">
        <v>2697</v>
      </c>
      <c r="M388" t="s">
        <v>60</v>
      </c>
      <c r="N388" t="s">
        <v>256</v>
      </c>
      <c r="O388" t="s">
        <v>87</v>
      </c>
      <c r="P388" t="s">
        <v>62</v>
      </c>
      <c r="R388" t="s">
        <v>63</v>
      </c>
      <c r="S388" t="s">
        <v>64</v>
      </c>
      <c r="T388">
        <v>227</v>
      </c>
      <c r="U388">
        <v>208.5</v>
      </c>
      <c r="V388">
        <f t="shared" si="12"/>
        <v>217.75</v>
      </c>
      <c r="W388">
        <f t="shared" si="13"/>
        <v>18.5</v>
      </c>
      <c r="X388">
        <v>-106.47506</v>
      </c>
      <c r="Y388">
        <v>36.323849000000003</v>
      </c>
      <c r="Z388" t="s">
        <v>1447</v>
      </c>
      <c r="AA388" t="s">
        <v>66</v>
      </c>
      <c r="AB388" t="s">
        <v>846</v>
      </c>
      <c r="AC388" t="s">
        <v>847</v>
      </c>
      <c r="AD388" t="s">
        <v>174</v>
      </c>
      <c r="AF388" t="s">
        <v>749</v>
      </c>
      <c r="AH388" t="s">
        <v>72</v>
      </c>
      <c r="AI388" t="s">
        <v>1127</v>
      </c>
      <c r="AJ388">
        <v>2009</v>
      </c>
      <c r="AK388" t="s">
        <v>2698</v>
      </c>
      <c r="AN388" t="s">
        <v>114</v>
      </c>
      <c r="AO388">
        <v>6</v>
      </c>
      <c r="AP388" t="s">
        <v>78</v>
      </c>
      <c r="AQ388" t="s">
        <v>2699</v>
      </c>
      <c r="AR388" t="s">
        <v>80</v>
      </c>
      <c r="AS388">
        <v>101</v>
      </c>
      <c r="AT388" t="s">
        <v>81</v>
      </c>
      <c r="AU388">
        <v>-34.65</v>
      </c>
      <c r="AV388">
        <v>11.27</v>
      </c>
      <c r="AW388" t="s">
        <v>82</v>
      </c>
      <c r="AX388">
        <v>133</v>
      </c>
      <c r="AY388" t="s">
        <v>81</v>
      </c>
      <c r="AZ388">
        <v>-49.47</v>
      </c>
      <c r="BA388">
        <v>11.42</v>
      </c>
      <c r="BB388" t="s">
        <v>83</v>
      </c>
    </row>
    <row r="389" spans="1:54" x14ac:dyDescent="0.4">
      <c r="A389">
        <v>837654</v>
      </c>
      <c r="D389" t="s">
        <v>54</v>
      </c>
      <c r="E389" t="s">
        <v>55</v>
      </c>
      <c r="G389">
        <v>1</v>
      </c>
      <c r="H389" t="s">
        <v>56</v>
      </c>
      <c r="I389" t="s">
        <v>57</v>
      </c>
      <c r="K389" t="s">
        <v>141</v>
      </c>
      <c r="L389" t="s">
        <v>2697</v>
      </c>
      <c r="M389" t="s">
        <v>60</v>
      </c>
      <c r="N389" t="s">
        <v>256</v>
      </c>
      <c r="O389" t="s">
        <v>87</v>
      </c>
      <c r="P389" t="s">
        <v>62</v>
      </c>
      <c r="R389" t="s">
        <v>63</v>
      </c>
      <c r="S389" t="s">
        <v>64</v>
      </c>
      <c r="T389">
        <v>227</v>
      </c>
      <c r="U389">
        <v>208.5</v>
      </c>
      <c r="V389">
        <f t="shared" si="12"/>
        <v>217.75</v>
      </c>
      <c r="W389">
        <f t="shared" si="13"/>
        <v>18.5</v>
      </c>
      <c r="X389">
        <v>-106.47506</v>
      </c>
      <c r="Y389">
        <v>36.323849000000003</v>
      </c>
      <c r="Z389" t="s">
        <v>1447</v>
      </c>
      <c r="AA389" t="s">
        <v>66</v>
      </c>
      <c r="AB389" t="s">
        <v>846</v>
      </c>
      <c r="AC389" t="s">
        <v>847</v>
      </c>
      <c r="AD389" t="s">
        <v>174</v>
      </c>
      <c r="AF389" t="s">
        <v>749</v>
      </c>
      <c r="AH389" t="s">
        <v>72</v>
      </c>
      <c r="AI389" t="s">
        <v>1127</v>
      </c>
      <c r="AJ389">
        <v>2009</v>
      </c>
      <c r="AK389" t="s">
        <v>2698</v>
      </c>
      <c r="AN389" t="s">
        <v>114</v>
      </c>
      <c r="AO389">
        <v>6</v>
      </c>
      <c r="AP389" t="s">
        <v>78</v>
      </c>
      <c r="AQ389" t="s">
        <v>2699</v>
      </c>
      <c r="AR389" t="s">
        <v>80</v>
      </c>
      <c r="AS389">
        <v>101</v>
      </c>
      <c r="AT389" t="s">
        <v>81</v>
      </c>
      <c r="AU389">
        <v>-34.65</v>
      </c>
      <c r="AV389">
        <v>11.27</v>
      </c>
      <c r="AW389" t="s">
        <v>82</v>
      </c>
      <c r="AX389">
        <v>133</v>
      </c>
      <c r="AY389" t="s">
        <v>81</v>
      </c>
      <c r="AZ389">
        <v>-49.47</v>
      </c>
      <c r="BA389">
        <v>11.42</v>
      </c>
      <c r="BB389" t="s">
        <v>83</v>
      </c>
    </row>
    <row r="390" spans="1:54" x14ac:dyDescent="0.4">
      <c r="A390">
        <v>837654</v>
      </c>
      <c r="D390" t="s">
        <v>54</v>
      </c>
      <c r="E390" t="s">
        <v>55</v>
      </c>
      <c r="G390">
        <v>1</v>
      </c>
      <c r="H390" t="s">
        <v>56</v>
      </c>
      <c r="I390" t="s">
        <v>57</v>
      </c>
      <c r="K390" t="s">
        <v>141</v>
      </c>
      <c r="L390" t="s">
        <v>2697</v>
      </c>
      <c r="M390" t="s">
        <v>60</v>
      </c>
      <c r="N390" t="s">
        <v>256</v>
      </c>
      <c r="O390" t="s">
        <v>87</v>
      </c>
      <c r="P390" t="s">
        <v>62</v>
      </c>
      <c r="R390" t="s">
        <v>63</v>
      </c>
      <c r="S390" t="s">
        <v>64</v>
      </c>
      <c r="T390">
        <v>227</v>
      </c>
      <c r="U390">
        <v>208.5</v>
      </c>
      <c r="V390">
        <f t="shared" si="12"/>
        <v>217.75</v>
      </c>
      <c r="W390">
        <f t="shared" si="13"/>
        <v>18.5</v>
      </c>
      <c r="X390">
        <v>-106.47506</v>
      </c>
      <c r="Y390">
        <v>36.323849000000003</v>
      </c>
      <c r="Z390" t="s">
        <v>1447</v>
      </c>
      <c r="AA390" t="s">
        <v>66</v>
      </c>
      <c r="AB390" t="s">
        <v>846</v>
      </c>
      <c r="AC390" t="s">
        <v>847</v>
      </c>
      <c r="AD390" t="s">
        <v>174</v>
      </c>
      <c r="AF390" t="s">
        <v>749</v>
      </c>
      <c r="AH390" t="s">
        <v>72</v>
      </c>
      <c r="AI390" t="s">
        <v>1127</v>
      </c>
      <c r="AJ390">
        <v>2009</v>
      </c>
      <c r="AK390" t="s">
        <v>2698</v>
      </c>
      <c r="AN390" t="s">
        <v>114</v>
      </c>
      <c r="AO390">
        <v>6</v>
      </c>
      <c r="AP390" t="s">
        <v>78</v>
      </c>
      <c r="AQ390" t="s">
        <v>2699</v>
      </c>
      <c r="AR390" t="s">
        <v>80</v>
      </c>
      <c r="AS390">
        <v>101</v>
      </c>
      <c r="AT390" t="s">
        <v>81</v>
      </c>
      <c r="AU390">
        <v>-34.65</v>
      </c>
      <c r="AV390">
        <v>11.27</v>
      </c>
      <c r="AW390" t="s">
        <v>82</v>
      </c>
      <c r="AX390">
        <v>133</v>
      </c>
      <c r="AY390" t="s">
        <v>81</v>
      </c>
      <c r="AZ390">
        <v>-49.47</v>
      </c>
      <c r="BA390">
        <v>11.42</v>
      </c>
      <c r="BB390" t="s">
        <v>83</v>
      </c>
    </row>
    <row r="391" spans="1:54" x14ac:dyDescent="0.4">
      <c r="A391">
        <v>837655</v>
      </c>
      <c r="D391" t="s">
        <v>54</v>
      </c>
      <c r="I391" t="s">
        <v>57</v>
      </c>
      <c r="K391" t="s">
        <v>141</v>
      </c>
      <c r="L391" t="s">
        <v>2697</v>
      </c>
      <c r="M391" t="s">
        <v>60</v>
      </c>
      <c r="N391" t="s">
        <v>256</v>
      </c>
      <c r="O391" t="s">
        <v>87</v>
      </c>
      <c r="P391" t="s">
        <v>62</v>
      </c>
      <c r="R391" t="s">
        <v>63</v>
      </c>
      <c r="S391" t="s">
        <v>64</v>
      </c>
      <c r="T391">
        <v>227</v>
      </c>
      <c r="U391">
        <v>208.5</v>
      </c>
      <c r="V391">
        <f t="shared" si="12"/>
        <v>217.75</v>
      </c>
      <c r="W391">
        <f t="shared" si="13"/>
        <v>18.5</v>
      </c>
      <c r="X391">
        <v>-106.47506</v>
      </c>
      <c r="Y391">
        <v>36.323849000000003</v>
      </c>
      <c r="Z391" t="s">
        <v>1447</v>
      </c>
      <c r="AA391" t="s">
        <v>66</v>
      </c>
      <c r="AB391" t="s">
        <v>846</v>
      </c>
      <c r="AC391" t="s">
        <v>847</v>
      </c>
      <c r="AD391" t="s">
        <v>174</v>
      </c>
      <c r="AF391" t="s">
        <v>749</v>
      </c>
      <c r="AH391" t="s">
        <v>72</v>
      </c>
      <c r="AI391" t="s">
        <v>1127</v>
      </c>
      <c r="AJ391">
        <v>2009</v>
      </c>
      <c r="AK391" t="s">
        <v>2700</v>
      </c>
      <c r="AN391" t="s">
        <v>114</v>
      </c>
      <c r="AO391">
        <v>6</v>
      </c>
      <c r="AQ391" t="s">
        <v>2701</v>
      </c>
      <c r="AR391" t="s">
        <v>80</v>
      </c>
      <c r="AS391">
        <v>101</v>
      </c>
      <c r="AT391" t="s">
        <v>81</v>
      </c>
      <c r="AU391">
        <v>-34.65</v>
      </c>
      <c r="AV391">
        <v>11.27</v>
      </c>
      <c r="AW391" t="s">
        <v>82</v>
      </c>
      <c r="AX391">
        <v>133</v>
      </c>
      <c r="AY391" t="s">
        <v>81</v>
      </c>
      <c r="AZ391">
        <v>-49.47</v>
      </c>
      <c r="BA391">
        <v>11.42</v>
      </c>
      <c r="BB391" t="s">
        <v>83</v>
      </c>
    </row>
    <row r="392" spans="1:54" x14ac:dyDescent="0.4">
      <c r="A392">
        <v>838199</v>
      </c>
      <c r="D392" t="s">
        <v>2134</v>
      </c>
      <c r="G392">
        <v>1</v>
      </c>
      <c r="H392" t="s">
        <v>56</v>
      </c>
      <c r="I392" t="s">
        <v>57</v>
      </c>
      <c r="K392" t="s">
        <v>141</v>
      </c>
      <c r="L392" t="s">
        <v>2726</v>
      </c>
      <c r="M392" t="s">
        <v>60</v>
      </c>
      <c r="P392" t="s">
        <v>62</v>
      </c>
      <c r="R392" t="s">
        <v>63</v>
      </c>
      <c r="S392" t="s">
        <v>64</v>
      </c>
      <c r="T392">
        <v>227</v>
      </c>
      <c r="U392">
        <v>208.5</v>
      </c>
      <c r="V392">
        <f t="shared" si="12"/>
        <v>217.75</v>
      </c>
      <c r="W392">
        <f t="shared" si="13"/>
        <v>18.5</v>
      </c>
      <c r="X392">
        <v>-75.997223000000005</v>
      </c>
      <c r="Y392">
        <v>40.195830999999998</v>
      </c>
      <c r="Z392" t="s">
        <v>124</v>
      </c>
      <c r="AA392" t="s">
        <v>66</v>
      </c>
      <c r="AB392" t="s">
        <v>1294</v>
      </c>
      <c r="AC392" t="s">
        <v>2727</v>
      </c>
      <c r="AD392" t="s">
        <v>2728</v>
      </c>
      <c r="AE392" t="s">
        <v>70</v>
      </c>
      <c r="AH392" t="s">
        <v>72</v>
      </c>
      <c r="AI392" t="s">
        <v>73</v>
      </c>
      <c r="AJ392">
        <v>1960</v>
      </c>
      <c r="AK392" t="s">
        <v>2729</v>
      </c>
      <c r="AM392" t="s">
        <v>2730</v>
      </c>
      <c r="AN392" t="s">
        <v>76</v>
      </c>
      <c r="AO392" t="s">
        <v>77</v>
      </c>
      <c r="AP392" t="s">
        <v>115</v>
      </c>
      <c r="AQ392" t="s">
        <v>2731</v>
      </c>
      <c r="AR392" t="s">
        <v>80</v>
      </c>
      <c r="AS392">
        <v>101</v>
      </c>
      <c r="AT392" t="s">
        <v>81</v>
      </c>
      <c r="AU392">
        <v>-10.050000000000001</v>
      </c>
      <c r="AV392">
        <v>13.62</v>
      </c>
      <c r="AW392" t="s">
        <v>82</v>
      </c>
      <c r="AX392">
        <v>101</v>
      </c>
      <c r="AY392" t="s">
        <v>81</v>
      </c>
      <c r="AZ392">
        <v>-20.99</v>
      </c>
      <c r="BA392">
        <v>14.66</v>
      </c>
      <c r="BB392" t="s">
        <v>83</v>
      </c>
    </row>
    <row r="393" spans="1:54" x14ac:dyDescent="0.4">
      <c r="A393">
        <v>838827</v>
      </c>
      <c r="D393" t="s">
        <v>54</v>
      </c>
      <c r="G393">
        <v>1</v>
      </c>
      <c r="H393" t="s">
        <v>56</v>
      </c>
      <c r="I393" t="s">
        <v>57</v>
      </c>
      <c r="K393" t="s">
        <v>85</v>
      </c>
      <c r="L393" t="s">
        <v>1076</v>
      </c>
      <c r="M393" t="s">
        <v>60</v>
      </c>
      <c r="O393" t="s">
        <v>87</v>
      </c>
      <c r="P393" t="s">
        <v>62</v>
      </c>
      <c r="R393" t="s">
        <v>63</v>
      </c>
      <c r="S393" t="s">
        <v>64</v>
      </c>
      <c r="T393">
        <v>227</v>
      </c>
      <c r="U393">
        <v>208.5</v>
      </c>
      <c r="V393">
        <f t="shared" si="12"/>
        <v>217.75</v>
      </c>
      <c r="W393">
        <f t="shared" si="13"/>
        <v>18.5</v>
      </c>
      <c r="X393">
        <v>-109.88722199999999</v>
      </c>
      <c r="Y393">
        <v>35.019168999999998</v>
      </c>
      <c r="Z393" t="s">
        <v>124</v>
      </c>
      <c r="AA393" t="s">
        <v>66</v>
      </c>
      <c r="AB393" t="s">
        <v>583</v>
      </c>
      <c r="AC393" t="s">
        <v>584</v>
      </c>
      <c r="AD393" t="s">
        <v>174</v>
      </c>
      <c r="AF393" t="s">
        <v>749</v>
      </c>
      <c r="AH393" t="s">
        <v>11</v>
      </c>
      <c r="AI393" t="s">
        <v>740</v>
      </c>
      <c r="AJ393">
        <v>1995</v>
      </c>
      <c r="AK393" t="s">
        <v>2758</v>
      </c>
      <c r="AN393" t="s">
        <v>114</v>
      </c>
      <c r="AO393" t="s">
        <v>77</v>
      </c>
      <c r="AQ393" t="s">
        <v>2759</v>
      </c>
      <c r="AR393" t="s">
        <v>80</v>
      </c>
      <c r="AS393">
        <v>101</v>
      </c>
      <c r="AT393" t="s">
        <v>81</v>
      </c>
      <c r="AU393">
        <v>-37.67</v>
      </c>
      <c r="AV393">
        <v>10.52</v>
      </c>
      <c r="AW393" t="s">
        <v>82</v>
      </c>
      <c r="AX393">
        <v>133</v>
      </c>
      <c r="AY393" t="s">
        <v>81</v>
      </c>
      <c r="AZ393">
        <v>-52.48</v>
      </c>
      <c r="BA393">
        <v>10.59</v>
      </c>
      <c r="BB393" t="s">
        <v>83</v>
      </c>
    </row>
    <row r="394" spans="1:54" x14ac:dyDescent="0.4">
      <c r="A394">
        <v>838828</v>
      </c>
      <c r="D394" t="s">
        <v>54</v>
      </c>
      <c r="G394">
        <v>1</v>
      </c>
      <c r="H394" t="s">
        <v>56</v>
      </c>
      <c r="I394" t="s">
        <v>57</v>
      </c>
      <c r="K394" t="s">
        <v>85</v>
      </c>
      <c r="L394" t="s">
        <v>739</v>
      </c>
      <c r="M394" t="s">
        <v>60</v>
      </c>
      <c r="O394" t="s">
        <v>87</v>
      </c>
      <c r="P394" t="s">
        <v>62</v>
      </c>
      <c r="R394" t="s">
        <v>63</v>
      </c>
      <c r="S394" t="s">
        <v>64</v>
      </c>
      <c r="T394">
        <v>227</v>
      </c>
      <c r="U394">
        <v>208.5</v>
      </c>
      <c r="V394">
        <f t="shared" si="12"/>
        <v>217.75</v>
      </c>
      <c r="W394">
        <f t="shared" si="13"/>
        <v>18.5</v>
      </c>
      <c r="X394">
        <v>-109.88722199999999</v>
      </c>
      <c r="Y394">
        <v>35.019168999999998</v>
      </c>
      <c r="Z394" t="s">
        <v>124</v>
      </c>
      <c r="AA394" t="s">
        <v>66</v>
      </c>
      <c r="AB394" t="s">
        <v>583</v>
      </c>
      <c r="AC394" t="s">
        <v>584</v>
      </c>
      <c r="AD394" t="s">
        <v>174</v>
      </c>
      <c r="AF394" t="s">
        <v>749</v>
      </c>
      <c r="AH394" t="s">
        <v>72</v>
      </c>
      <c r="AI394" t="s">
        <v>740</v>
      </c>
      <c r="AJ394">
        <v>1995</v>
      </c>
      <c r="AK394" t="s">
        <v>2760</v>
      </c>
      <c r="AN394" t="s">
        <v>114</v>
      </c>
      <c r="AO394" t="s">
        <v>77</v>
      </c>
      <c r="AQ394" t="s">
        <v>2761</v>
      </c>
      <c r="AR394" t="s">
        <v>80</v>
      </c>
      <c r="AS394">
        <v>101</v>
      </c>
      <c r="AT394" t="s">
        <v>81</v>
      </c>
      <c r="AU394">
        <v>-37.67</v>
      </c>
      <c r="AV394">
        <v>10.52</v>
      </c>
      <c r="AW394" t="s">
        <v>82</v>
      </c>
      <c r="AX394">
        <v>133</v>
      </c>
      <c r="AY394" t="s">
        <v>81</v>
      </c>
      <c r="AZ394">
        <v>-52.48</v>
      </c>
      <c r="BA394">
        <v>10.59</v>
      </c>
      <c r="BB394" t="s">
        <v>83</v>
      </c>
    </row>
    <row r="395" spans="1:54" x14ac:dyDescent="0.4">
      <c r="A395">
        <v>838829</v>
      </c>
      <c r="D395" t="s">
        <v>54</v>
      </c>
      <c r="I395" t="s">
        <v>57</v>
      </c>
      <c r="K395" t="s">
        <v>85</v>
      </c>
      <c r="L395" t="s">
        <v>1076</v>
      </c>
      <c r="M395" t="s">
        <v>60</v>
      </c>
      <c r="O395" t="s">
        <v>87</v>
      </c>
      <c r="P395" t="s">
        <v>62</v>
      </c>
      <c r="R395" t="s">
        <v>63</v>
      </c>
      <c r="S395" t="s">
        <v>64</v>
      </c>
      <c r="T395">
        <v>227</v>
      </c>
      <c r="U395">
        <v>208.5</v>
      </c>
      <c r="V395">
        <f t="shared" si="12"/>
        <v>217.75</v>
      </c>
      <c r="W395">
        <f t="shared" si="13"/>
        <v>18.5</v>
      </c>
      <c r="X395">
        <v>-109.980835</v>
      </c>
      <c r="Y395">
        <v>34.970280000000002</v>
      </c>
      <c r="Z395" t="s">
        <v>124</v>
      </c>
      <c r="AA395" t="s">
        <v>66</v>
      </c>
      <c r="AB395" t="s">
        <v>583</v>
      </c>
      <c r="AC395" t="s">
        <v>584</v>
      </c>
      <c r="AD395" t="s">
        <v>174</v>
      </c>
      <c r="AF395" t="s">
        <v>749</v>
      </c>
      <c r="AH395" t="s">
        <v>11</v>
      </c>
      <c r="AI395" t="s">
        <v>740</v>
      </c>
      <c r="AJ395">
        <v>1995</v>
      </c>
      <c r="AK395" t="s">
        <v>2762</v>
      </c>
      <c r="AN395" t="s">
        <v>114</v>
      </c>
      <c r="AO395" t="s">
        <v>77</v>
      </c>
      <c r="AQ395" t="s">
        <v>2763</v>
      </c>
      <c r="AR395" t="s">
        <v>80</v>
      </c>
      <c r="AS395">
        <v>101</v>
      </c>
      <c r="AT395" t="s">
        <v>81</v>
      </c>
      <c r="AU395">
        <v>-37.76</v>
      </c>
      <c r="AV395">
        <v>10.49</v>
      </c>
      <c r="AW395" t="s">
        <v>82</v>
      </c>
      <c r="AX395">
        <v>133</v>
      </c>
      <c r="AY395" t="s">
        <v>81</v>
      </c>
      <c r="AZ395">
        <v>-52.56</v>
      </c>
      <c r="BA395">
        <v>10.55</v>
      </c>
      <c r="BB395" t="s">
        <v>83</v>
      </c>
    </row>
    <row r="396" spans="1:54" x14ac:dyDescent="0.4">
      <c r="A396">
        <v>838832</v>
      </c>
      <c r="D396" t="s">
        <v>54</v>
      </c>
      <c r="I396" t="s">
        <v>57</v>
      </c>
      <c r="K396" t="s">
        <v>85</v>
      </c>
      <c r="L396" t="s">
        <v>1076</v>
      </c>
      <c r="M396" t="s">
        <v>60</v>
      </c>
      <c r="O396" t="s">
        <v>87</v>
      </c>
      <c r="P396" t="s">
        <v>62</v>
      </c>
      <c r="R396" t="s">
        <v>63</v>
      </c>
      <c r="S396" t="s">
        <v>64</v>
      </c>
      <c r="T396">
        <v>227</v>
      </c>
      <c r="U396">
        <v>208.5</v>
      </c>
      <c r="V396">
        <f t="shared" si="12"/>
        <v>217.75</v>
      </c>
      <c r="W396">
        <f t="shared" si="13"/>
        <v>18.5</v>
      </c>
      <c r="X396">
        <v>-109.911942</v>
      </c>
      <c r="Y396">
        <v>34.919167000000002</v>
      </c>
      <c r="Z396" t="s">
        <v>124</v>
      </c>
      <c r="AA396" t="s">
        <v>66</v>
      </c>
      <c r="AB396" t="s">
        <v>583</v>
      </c>
      <c r="AC396" t="s">
        <v>584</v>
      </c>
      <c r="AD396" t="s">
        <v>174</v>
      </c>
      <c r="AF396" t="s">
        <v>749</v>
      </c>
      <c r="AH396" t="s">
        <v>11</v>
      </c>
      <c r="AI396" t="s">
        <v>740</v>
      </c>
      <c r="AJ396">
        <v>1995</v>
      </c>
      <c r="AK396" t="s">
        <v>2764</v>
      </c>
      <c r="AN396" t="s">
        <v>114</v>
      </c>
      <c r="AO396" t="s">
        <v>77</v>
      </c>
      <c r="AQ396" t="s">
        <v>2765</v>
      </c>
      <c r="AR396" t="s">
        <v>80</v>
      </c>
      <c r="AS396">
        <v>101</v>
      </c>
      <c r="AT396" t="s">
        <v>81</v>
      </c>
      <c r="AU396">
        <v>-37.71</v>
      </c>
      <c r="AV396">
        <v>10.43</v>
      </c>
      <c r="AW396" t="s">
        <v>82</v>
      </c>
      <c r="AX396">
        <v>133</v>
      </c>
      <c r="AY396" t="s">
        <v>81</v>
      </c>
      <c r="AZ396">
        <v>-52.51</v>
      </c>
      <c r="BA396">
        <v>10.49</v>
      </c>
      <c r="BB396" t="s">
        <v>83</v>
      </c>
    </row>
    <row r="397" spans="1:54" x14ac:dyDescent="0.4">
      <c r="A397">
        <v>838834</v>
      </c>
      <c r="D397" t="s">
        <v>54</v>
      </c>
      <c r="I397" t="s">
        <v>57</v>
      </c>
      <c r="K397" t="s">
        <v>85</v>
      </c>
      <c r="L397" t="s">
        <v>1076</v>
      </c>
      <c r="M397" t="s">
        <v>60</v>
      </c>
      <c r="O397" t="s">
        <v>87</v>
      </c>
      <c r="P397" t="s">
        <v>62</v>
      </c>
      <c r="R397" t="s">
        <v>63</v>
      </c>
      <c r="S397" t="s">
        <v>64</v>
      </c>
      <c r="T397">
        <v>227</v>
      </c>
      <c r="U397">
        <v>208.5</v>
      </c>
      <c r="V397">
        <f t="shared" si="12"/>
        <v>217.75</v>
      </c>
      <c r="W397">
        <f t="shared" si="13"/>
        <v>18.5</v>
      </c>
      <c r="X397">
        <v>-109.90194700000001</v>
      </c>
      <c r="Y397">
        <v>34.823891000000003</v>
      </c>
      <c r="Z397" t="s">
        <v>124</v>
      </c>
      <c r="AA397" t="s">
        <v>66</v>
      </c>
      <c r="AB397" t="s">
        <v>583</v>
      </c>
      <c r="AC397" t="s">
        <v>584</v>
      </c>
      <c r="AD397" t="s">
        <v>174</v>
      </c>
      <c r="AF397" t="s">
        <v>1078</v>
      </c>
      <c r="AH397" t="s">
        <v>11</v>
      </c>
      <c r="AI397" t="s">
        <v>740</v>
      </c>
      <c r="AJ397">
        <v>1995</v>
      </c>
      <c r="AK397" t="s">
        <v>2766</v>
      </c>
      <c r="AN397" t="s">
        <v>114</v>
      </c>
      <c r="AO397" t="s">
        <v>77</v>
      </c>
      <c r="AQ397" t="s">
        <v>2767</v>
      </c>
      <c r="AR397" t="s">
        <v>80</v>
      </c>
      <c r="AS397">
        <v>101</v>
      </c>
      <c r="AT397" t="s">
        <v>81</v>
      </c>
      <c r="AU397">
        <v>-37.72</v>
      </c>
      <c r="AV397">
        <v>10.33</v>
      </c>
      <c r="AW397" t="s">
        <v>82</v>
      </c>
      <c r="AX397">
        <v>133</v>
      </c>
      <c r="AY397" t="s">
        <v>81</v>
      </c>
      <c r="AZ397">
        <v>-52.52</v>
      </c>
      <c r="BA397">
        <v>10.4</v>
      </c>
      <c r="BB397" t="s">
        <v>83</v>
      </c>
    </row>
    <row r="398" spans="1:54" x14ac:dyDescent="0.4">
      <c r="A398">
        <v>838837</v>
      </c>
      <c r="D398" t="s">
        <v>54</v>
      </c>
      <c r="G398">
        <v>2</v>
      </c>
      <c r="H398" t="s">
        <v>421</v>
      </c>
      <c r="I398" t="s">
        <v>57</v>
      </c>
      <c r="K398" t="s">
        <v>206</v>
      </c>
      <c r="L398" t="s">
        <v>744</v>
      </c>
      <c r="M398" t="s">
        <v>60</v>
      </c>
      <c r="O398" t="s">
        <v>170</v>
      </c>
      <c r="P398" t="s">
        <v>62</v>
      </c>
      <c r="R398" t="s">
        <v>63</v>
      </c>
      <c r="S398" t="s">
        <v>64</v>
      </c>
      <c r="T398">
        <v>227</v>
      </c>
      <c r="U398">
        <v>208.5</v>
      </c>
      <c r="V398">
        <f t="shared" si="12"/>
        <v>217.75</v>
      </c>
      <c r="W398">
        <f t="shared" si="13"/>
        <v>18.5</v>
      </c>
      <c r="X398">
        <v>-109.764168</v>
      </c>
      <c r="Y398">
        <v>34.942501</v>
      </c>
      <c r="Z398" t="s">
        <v>124</v>
      </c>
      <c r="AA398" t="s">
        <v>66</v>
      </c>
      <c r="AB398" t="s">
        <v>583</v>
      </c>
      <c r="AC398" t="s">
        <v>735</v>
      </c>
      <c r="AD398" t="s">
        <v>174</v>
      </c>
      <c r="AF398" t="s">
        <v>749</v>
      </c>
      <c r="AH398" t="s">
        <v>72</v>
      </c>
      <c r="AI398" t="s">
        <v>740</v>
      </c>
      <c r="AJ398">
        <v>1995</v>
      </c>
      <c r="AK398" t="s">
        <v>2768</v>
      </c>
      <c r="AN398" t="s">
        <v>114</v>
      </c>
      <c r="AO398" t="s">
        <v>77</v>
      </c>
      <c r="AP398" t="s">
        <v>78</v>
      </c>
      <c r="AQ398" t="s">
        <v>2769</v>
      </c>
      <c r="AR398" t="s">
        <v>80</v>
      </c>
      <c r="AS398">
        <v>101</v>
      </c>
      <c r="AT398" t="s">
        <v>81</v>
      </c>
      <c r="AU398">
        <v>-37.590000000000003</v>
      </c>
      <c r="AV398">
        <v>10.43</v>
      </c>
      <c r="AW398" t="s">
        <v>82</v>
      </c>
      <c r="AX398">
        <v>133</v>
      </c>
      <c r="AY398" t="s">
        <v>81</v>
      </c>
      <c r="AZ398">
        <v>-52.39</v>
      </c>
      <c r="BA398">
        <v>10.49</v>
      </c>
      <c r="BB398" t="s">
        <v>83</v>
      </c>
    </row>
    <row r="399" spans="1:54" x14ac:dyDescent="0.4">
      <c r="A399">
        <v>838839</v>
      </c>
      <c r="D399" t="s">
        <v>54</v>
      </c>
      <c r="G399">
        <v>2</v>
      </c>
      <c r="H399" t="s">
        <v>421</v>
      </c>
      <c r="I399" t="s">
        <v>57</v>
      </c>
      <c r="K399" t="s">
        <v>85</v>
      </c>
      <c r="L399" t="s">
        <v>1076</v>
      </c>
      <c r="M399" t="s">
        <v>60</v>
      </c>
      <c r="O399" t="s">
        <v>87</v>
      </c>
      <c r="P399" t="s">
        <v>62</v>
      </c>
      <c r="R399" t="s">
        <v>63</v>
      </c>
      <c r="S399" t="s">
        <v>64</v>
      </c>
      <c r="T399">
        <v>227</v>
      </c>
      <c r="U399">
        <v>208.5</v>
      </c>
      <c r="V399">
        <f t="shared" si="12"/>
        <v>217.75</v>
      </c>
      <c r="W399">
        <f t="shared" si="13"/>
        <v>18.5</v>
      </c>
      <c r="X399">
        <v>-109.764168</v>
      </c>
      <c r="Y399">
        <v>34.942501</v>
      </c>
      <c r="Z399" t="s">
        <v>124</v>
      </c>
      <c r="AA399" t="s">
        <v>66</v>
      </c>
      <c r="AB399" t="s">
        <v>583</v>
      </c>
      <c r="AC399" t="s">
        <v>735</v>
      </c>
      <c r="AD399" t="s">
        <v>174</v>
      </c>
      <c r="AF399" t="s">
        <v>749</v>
      </c>
      <c r="AH399" t="s">
        <v>11</v>
      </c>
      <c r="AI399" t="s">
        <v>740</v>
      </c>
      <c r="AJ399">
        <v>1995</v>
      </c>
      <c r="AK399" t="s">
        <v>2768</v>
      </c>
      <c r="AN399" t="s">
        <v>114</v>
      </c>
      <c r="AO399" t="s">
        <v>77</v>
      </c>
      <c r="AP399" t="s">
        <v>78</v>
      </c>
      <c r="AQ399" t="s">
        <v>2769</v>
      </c>
      <c r="AR399" t="s">
        <v>80</v>
      </c>
      <c r="AS399">
        <v>101</v>
      </c>
      <c r="AT399" t="s">
        <v>81</v>
      </c>
      <c r="AU399">
        <v>-37.590000000000003</v>
      </c>
      <c r="AV399">
        <v>10.43</v>
      </c>
      <c r="AW399" t="s">
        <v>82</v>
      </c>
      <c r="AX399">
        <v>133</v>
      </c>
      <c r="AY399" t="s">
        <v>81</v>
      </c>
      <c r="AZ399">
        <v>-52.39</v>
      </c>
      <c r="BA399">
        <v>10.49</v>
      </c>
      <c r="BB399" t="s">
        <v>83</v>
      </c>
    </row>
    <row r="400" spans="1:54" x14ac:dyDescent="0.4">
      <c r="A400">
        <v>838841</v>
      </c>
      <c r="D400" t="s">
        <v>54</v>
      </c>
      <c r="I400" t="s">
        <v>57</v>
      </c>
      <c r="K400" t="s">
        <v>85</v>
      </c>
      <c r="L400" t="s">
        <v>1076</v>
      </c>
      <c r="M400" t="s">
        <v>60</v>
      </c>
      <c r="O400" t="s">
        <v>87</v>
      </c>
      <c r="P400" t="s">
        <v>62</v>
      </c>
      <c r="R400" t="s">
        <v>63</v>
      </c>
      <c r="S400" t="s">
        <v>64</v>
      </c>
      <c r="T400">
        <v>227</v>
      </c>
      <c r="U400">
        <v>208.5</v>
      </c>
      <c r="V400">
        <f t="shared" si="12"/>
        <v>217.75</v>
      </c>
      <c r="W400">
        <f t="shared" si="13"/>
        <v>18.5</v>
      </c>
      <c r="X400">
        <v>-109.75</v>
      </c>
      <c r="Y400">
        <v>34.933334000000002</v>
      </c>
      <c r="Z400" t="s">
        <v>124</v>
      </c>
      <c r="AA400" t="s">
        <v>66</v>
      </c>
      <c r="AB400" t="s">
        <v>583</v>
      </c>
      <c r="AC400" t="s">
        <v>735</v>
      </c>
      <c r="AD400" t="s">
        <v>174</v>
      </c>
      <c r="AF400" t="s">
        <v>1068</v>
      </c>
      <c r="AH400" t="s">
        <v>11</v>
      </c>
      <c r="AI400" t="s">
        <v>740</v>
      </c>
      <c r="AJ400">
        <v>1995</v>
      </c>
      <c r="AK400" t="s">
        <v>2640</v>
      </c>
      <c r="AN400" t="s">
        <v>192</v>
      </c>
      <c r="AO400" t="s">
        <v>160</v>
      </c>
      <c r="AP400" t="s">
        <v>115</v>
      </c>
      <c r="AQ400" t="s">
        <v>2641</v>
      </c>
      <c r="AR400" t="s">
        <v>80</v>
      </c>
      <c r="AS400">
        <v>101</v>
      </c>
      <c r="AT400" t="s">
        <v>81</v>
      </c>
      <c r="AU400">
        <v>-37.58</v>
      </c>
      <c r="AV400">
        <v>10.41</v>
      </c>
      <c r="AW400" t="s">
        <v>82</v>
      </c>
      <c r="AX400">
        <v>133</v>
      </c>
      <c r="AY400" t="s">
        <v>81</v>
      </c>
      <c r="AZ400">
        <v>-52.38</v>
      </c>
      <c r="BA400">
        <v>10.48</v>
      </c>
      <c r="BB400" t="s">
        <v>83</v>
      </c>
    </row>
    <row r="401" spans="1:54" x14ac:dyDescent="0.4">
      <c r="A401">
        <v>838864</v>
      </c>
      <c r="D401" t="s">
        <v>54</v>
      </c>
      <c r="I401" t="s">
        <v>57</v>
      </c>
      <c r="K401" t="s">
        <v>206</v>
      </c>
      <c r="L401" t="s">
        <v>744</v>
      </c>
      <c r="M401" t="s">
        <v>60</v>
      </c>
      <c r="O401" t="s">
        <v>170</v>
      </c>
      <c r="P401" t="s">
        <v>62</v>
      </c>
      <c r="R401" t="s">
        <v>63</v>
      </c>
      <c r="S401" t="s">
        <v>64</v>
      </c>
      <c r="T401">
        <v>227</v>
      </c>
      <c r="U401">
        <v>208.5</v>
      </c>
      <c r="V401">
        <f t="shared" si="12"/>
        <v>217.75</v>
      </c>
      <c r="W401">
        <f t="shared" si="13"/>
        <v>18.5</v>
      </c>
      <c r="X401">
        <v>-109.763885</v>
      </c>
      <c r="Y401">
        <v>34.946666999999998</v>
      </c>
      <c r="Z401" t="s">
        <v>124</v>
      </c>
      <c r="AA401" t="s">
        <v>66</v>
      </c>
      <c r="AB401" t="s">
        <v>583</v>
      </c>
      <c r="AC401" t="s">
        <v>735</v>
      </c>
      <c r="AD401" t="s">
        <v>174</v>
      </c>
      <c r="AF401" t="s">
        <v>1068</v>
      </c>
      <c r="AH401" t="s">
        <v>72</v>
      </c>
      <c r="AI401" t="s">
        <v>740</v>
      </c>
      <c r="AJ401">
        <v>1995</v>
      </c>
      <c r="AK401" t="s">
        <v>2770</v>
      </c>
      <c r="AN401" t="s">
        <v>76</v>
      </c>
      <c r="AO401" t="s">
        <v>77</v>
      </c>
      <c r="AP401" t="s">
        <v>115</v>
      </c>
      <c r="AQ401" t="s">
        <v>2771</v>
      </c>
      <c r="AR401" t="s">
        <v>80</v>
      </c>
      <c r="AS401">
        <v>101</v>
      </c>
      <c r="AT401" t="s">
        <v>81</v>
      </c>
      <c r="AU401">
        <v>-37.590000000000003</v>
      </c>
      <c r="AV401">
        <v>10.43</v>
      </c>
      <c r="AW401" t="s">
        <v>82</v>
      </c>
      <c r="AX401">
        <v>133</v>
      </c>
      <c r="AY401" t="s">
        <v>81</v>
      </c>
      <c r="AZ401">
        <v>-52.39</v>
      </c>
      <c r="BA401">
        <v>10.5</v>
      </c>
      <c r="BB401" t="s">
        <v>83</v>
      </c>
    </row>
    <row r="402" spans="1:54" x14ac:dyDescent="0.4">
      <c r="A402">
        <v>838866</v>
      </c>
      <c r="D402" t="s">
        <v>54</v>
      </c>
      <c r="I402" t="s">
        <v>57</v>
      </c>
      <c r="K402" t="s">
        <v>85</v>
      </c>
      <c r="L402" t="s">
        <v>1076</v>
      </c>
      <c r="M402" t="s">
        <v>60</v>
      </c>
      <c r="O402" t="s">
        <v>87</v>
      </c>
      <c r="P402" t="s">
        <v>62</v>
      </c>
      <c r="R402" t="s">
        <v>63</v>
      </c>
      <c r="S402" t="s">
        <v>64</v>
      </c>
      <c r="T402">
        <v>227</v>
      </c>
      <c r="U402">
        <v>208.5</v>
      </c>
      <c r="V402">
        <f t="shared" si="12"/>
        <v>217.75</v>
      </c>
      <c r="W402">
        <f t="shared" si="13"/>
        <v>18.5</v>
      </c>
      <c r="X402">
        <v>-109.763885</v>
      </c>
      <c r="Y402">
        <v>34.946666999999998</v>
      </c>
      <c r="Z402" t="s">
        <v>124</v>
      </c>
      <c r="AA402" t="s">
        <v>66</v>
      </c>
      <c r="AB402" t="s">
        <v>583</v>
      </c>
      <c r="AC402" t="s">
        <v>735</v>
      </c>
      <c r="AD402" t="s">
        <v>174</v>
      </c>
      <c r="AF402" t="s">
        <v>1068</v>
      </c>
      <c r="AH402" t="s">
        <v>11</v>
      </c>
      <c r="AI402" t="s">
        <v>740</v>
      </c>
      <c r="AJ402">
        <v>1995</v>
      </c>
      <c r="AK402" t="s">
        <v>2770</v>
      </c>
      <c r="AN402" t="s">
        <v>76</v>
      </c>
      <c r="AO402" t="s">
        <v>77</v>
      </c>
      <c r="AP402" t="s">
        <v>115</v>
      </c>
      <c r="AQ402" t="s">
        <v>2771</v>
      </c>
      <c r="AR402" t="s">
        <v>80</v>
      </c>
      <c r="AS402">
        <v>101</v>
      </c>
      <c r="AT402" t="s">
        <v>81</v>
      </c>
      <c r="AU402">
        <v>-37.590000000000003</v>
      </c>
      <c r="AV402">
        <v>10.43</v>
      </c>
      <c r="AW402" t="s">
        <v>82</v>
      </c>
      <c r="AX402">
        <v>133</v>
      </c>
      <c r="AY402" t="s">
        <v>81</v>
      </c>
      <c r="AZ402">
        <v>-52.39</v>
      </c>
      <c r="BA402">
        <v>10.5</v>
      </c>
      <c r="BB402" t="s">
        <v>83</v>
      </c>
    </row>
    <row r="403" spans="1:54" x14ac:dyDescent="0.4">
      <c r="A403">
        <v>838916</v>
      </c>
      <c r="D403" t="s">
        <v>54</v>
      </c>
      <c r="G403">
        <v>1</v>
      </c>
      <c r="H403" t="s">
        <v>421</v>
      </c>
      <c r="I403" t="s">
        <v>57</v>
      </c>
      <c r="K403" t="s">
        <v>85</v>
      </c>
      <c r="L403" t="s">
        <v>1076</v>
      </c>
      <c r="M403" t="s">
        <v>60</v>
      </c>
      <c r="O403" t="s">
        <v>87</v>
      </c>
      <c r="P403" t="s">
        <v>62</v>
      </c>
      <c r="R403" t="s">
        <v>63</v>
      </c>
      <c r="S403" t="s">
        <v>64</v>
      </c>
      <c r="T403">
        <v>227</v>
      </c>
      <c r="U403">
        <v>208.5</v>
      </c>
      <c r="V403">
        <f t="shared" si="12"/>
        <v>217.75</v>
      </c>
      <c r="W403">
        <f t="shared" si="13"/>
        <v>18.5</v>
      </c>
      <c r="X403">
        <v>-109.763885</v>
      </c>
      <c r="Y403">
        <v>34.946666999999998</v>
      </c>
      <c r="Z403" t="s">
        <v>124</v>
      </c>
      <c r="AA403" t="s">
        <v>66</v>
      </c>
      <c r="AB403" t="s">
        <v>583</v>
      </c>
      <c r="AC403" t="s">
        <v>735</v>
      </c>
      <c r="AD403" t="s">
        <v>174</v>
      </c>
      <c r="AF403" t="s">
        <v>749</v>
      </c>
      <c r="AH403" t="s">
        <v>11</v>
      </c>
      <c r="AI403" t="s">
        <v>740</v>
      </c>
      <c r="AJ403">
        <v>1995</v>
      </c>
      <c r="AK403" t="s">
        <v>2772</v>
      </c>
      <c r="AN403" t="s">
        <v>76</v>
      </c>
      <c r="AO403" t="s">
        <v>77</v>
      </c>
      <c r="AP403" t="s">
        <v>115</v>
      </c>
      <c r="AQ403" t="s">
        <v>2771</v>
      </c>
      <c r="AR403" t="s">
        <v>80</v>
      </c>
      <c r="AS403">
        <v>101</v>
      </c>
      <c r="AT403" t="s">
        <v>81</v>
      </c>
      <c r="AU403">
        <v>-37.590000000000003</v>
      </c>
      <c r="AV403">
        <v>10.43</v>
      </c>
      <c r="AW403" t="s">
        <v>82</v>
      </c>
      <c r="AX403">
        <v>133</v>
      </c>
      <c r="AY403" t="s">
        <v>81</v>
      </c>
      <c r="AZ403">
        <v>-52.39</v>
      </c>
      <c r="BA403">
        <v>10.5</v>
      </c>
      <c r="BB403" t="s">
        <v>83</v>
      </c>
    </row>
    <row r="404" spans="1:54" x14ac:dyDescent="0.4">
      <c r="A404">
        <v>838917</v>
      </c>
      <c r="D404" t="s">
        <v>54</v>
      </c>
      <c r="G404">
        <v>1</v>
      </c>
      <c r="H404" t="s">
        <v>421</v>
      </c>
      <c r="I404" t="s">
        <v>57</v>
      </c>
      <c r="K404" t="s">
        <v>206</v>
      </c>
      <c r="L404" t="s">
        <v>744</v>
      </c>
      <c r="M404" t="s">
        <v>60</v>
      </c>
      <c r="O404" t="s">
        <v>170</v>
      </c>
      <c r="P404" t="s">
        <v>62</v>
      </c>
      <c r="R404" t="s">
        <v>63</v>
      </c>
      <c r="S404" t="s">
        <v>64</v>
      </c>
      <c r="T404">
        <v>227</v>
      </c>
      <c r="U404">
        <v>208.5</v>
      </c>
      <c r="V404">
        <f t="shared" si="12"/>
        <v>217.75</v>
      </c>
      <c r="W404">
        <f t="shared" si="13"/>
        <v>18.5</v>
      </c>
      <c r="X404">
        <v>-109.763885</v>
      </c>
      <c r="Y404">
        <v>34.946666999999998</v>
      </c>
      <c r="Z404" t="s">
        <v>124</v>
      </c>
      <c r="AA404" t="s">
        <v>66</v>
      </c>
      <c r="AB404" t="s">
        <v>583</v>
      </c>
      <c r="AC404" t="s">
        <v>735</v>
      </c>
      <c r="AD404" t="s">
        <v>174</v>
      </c>
      <c r="AF404" t="s">
        <v>749</v>
      </c>
      <c r="AH404" t="s">
        <v>72</v>
      </c>
      <c r="AI404" t="s">
        <v>740</v>
      </c>
      <c r="AJ404">
        <v>1995</v>
      </c>
      <c r="AK404" t="s">
        <v>2772</v>
      </c>
      <c r="AN404" t="s">
        <v>76</v>
      </c>
      <c r="AO404" t="s">
        <v>77</v>
      </c>
      <c r="AP404" t="s">
        <v>115</v>
      </c>
      <c r="AQ404" t="s">
        <v>2771</v>
      </c>
      <c r="AR404" t="s">
        <v>80</v>
      </c>
      <c r="AS404">
        <v>101</v>
      </c>
      <c r="AT404" t="s">
        <v>81</v>
      </c>
      <c r="AU404">
        <v>-37.590000000000003</v>
      </c>
      <c r="AV404">
        <v>10.43</v>
      </c>
      <c r="AW404" t="s">
        <v>82</v>
      </c>
      <c r="AX404">
        <v>133</v>
      </c>
      <c r="AY404" t="s">
        <v>81</v>
      </c>
      <c r="AZ404">
        <v>-52.39</v>
      </c>
      <c r="BA404">
        <v>10.5</v>
      </c>
      <c r="BB404" t="s">
        <v>83</v>
      </c>
    </row>
    <row r="405" spans="1:54" x14ac:dyDescent="0.4">
      <c r="A405">
        <v>838919</v>
      </c>
      <c r="D405" t="s">
        <v>54</v>
      </c>
      <c r="G405">
        <v>1</v>
      </c>
      <c r="H405" t="s">
        <v>84</v>
      </c>
      <c r="I405" t="s">
        <v>57</v>
      </c>
      <c r="K405" t="s">
        <v>206</v>
      </c>
      <c r="L405" t="s">
        <v>744</v>
      </c>
      <c r="M405" t="s">
        <v>60</v>
      </c>
      <c r="O405" t="s">
        <v>170</v>
      </c>
      <c r="P405" t="s">
        <v>62</v>
      </c>
      <c r="R405" t="s">
        <v>63</v>
      </c>
      <c r="S405" t="s">
        <v>64</v>
      </c>
      <c r="T405">
        <v>227</v>
      </c>
      <c r="U405">
        <v>208.5</v>
      </c>
      <c r="V405">
        <f t="shared" si="12"/>
        <v>217.75</v>
      </c>
      <c r="W405">
        <f t="shared" si="13"/>
        <v>18.5</v>
      </c>
      <c r="X405">
        <v>-109.763885</v>
      </c>
      <c r="Y405">
        <v>34.946666999999998</v>
      </c>
      <c r="Z405" t="s">
        <v>124</v>
      </c>
      <c r="AA405" t="s">
        <v>66</v>
      </c>
      <c r="AB405" t="s">
        <v>583</v>
      </c>
      <c r="AC405" t="s">
        <v>735</v>
      </c>
      <c r="AD405" t="s">
        <v>174</v>
      </c>
      <c r="AF405" t="s">
        <v>749</v>
      </c>
      <c r="AH405" t="s">
        <v>72</v>
      </c>
      <c r="AI405" t="s">
        <v>740</v>
      </c>
      <c r="AJ405">
        <v>1995</v>
      </c>
      <c r="AK405" t="s">
        <v>2773</v>
      </c>
      <c r="AN405" t="s">
        <v>76</v>
      </c>
      <c r="AO405" t="s">
        <v>77</v>
      </c>
      <c r="AP405" t="s">
        <v>115</v>
      </c>
      <c r="AQ405" t="s">
        <v>2771</v>
      </c>
      <c r="AR405" t="s">
        <v>80</v>
      </c>
      <c r="AS405">
        <v>101</v>
      </c>
      <c r="AT405" t="s">
        <v>81</v>
      </c>
      <c r="AU405">
        <v>-37.590000000000003</v>
      </c>
      <c r="AV405">
        <v>10.43</v>
      </c>
      <c r="AW405" t="s">
        <v>82</v>
      </c>
      <c r="AX405">
        <v>133</v>
      </c>
      <c r="AY405" t="s">
        <v>81</v>
      </c>
      <c r="AZ405">
        <v>-52.39</v>
      </c>
      <c r="BA405">
        <v>10.5</v>
      </c>
      <c r="BB405" t="s">
        <v>83</v>
      </c>
    </row>
    <row r="406" spans="1:54" x14ac:dyDescent="0.4">
      <c r="A406">
        <v>838920</v>
      </c>
      <c r="D406" t="s">
        <v>54</v>
      </c>
      <c r="G406">
        <v>1</v>
      </c>
      <c r="H406" t="s">
        <v>421</v>
      </c>
      <c r="I406" t="s">
        <v>57</v>
      </c>
      <c r="K406" t="s">
        <v>85</v>
      </c>
      <c r="L406" t="s">
        <v>1076</v>
      </c>
      <c r="M406" t="s">
        <v>60</v>
      </c>
      <c r="O406" t="s">
        <v>87</v>
      </c>
      <c r="P406" t="s">
        <v>62</v>
      </c>
      <c r="R406" t="s">
        <v>63</v>
      </c>
      <c r="S406" t="s">
        <v>64</v>
      </c>
      <c r="T406">
        <v>227</v>
      </c>
      <c r="U406">
        <v>208.5</v>
      </c>
      <c r="V406">
        <f t="shared" si="12"/>
        <v>217.75</v>
      </c>
      <c r="W406">
        <f t="shared" si="13"/>
        <v>18.5</v>
      </c>
      <c r="X406">
        <v>-109.763885</v>
      </c>
      <c r="Y406">
        <v>34.946666999999998</v>
      </c>
      <c r="Z406" t="s">
        <v>124</v>
      </c>
      <c r="AA406" t="s">
        <v>66</v>
      </c>
      <c r="AB406" t="s">
        <v>583</v>
      </c>
      <c r="AC406" t="s">
        <v>735</v>
      </c>
      <c r="AD406" t="s">
        <v>174</v>
      </c>
      <c r="AF406" t="s">
        <v>749</v>
      </c>
      <c r="AH406" t="s">
        <v>11</v>
      </c>
      <c r="AI406" t="s">
        <v>740</v>
      </c>
      <c r="AJ406">
        <v>1995</v>
      </c>
      <c r="AK406" t="s">
        <v>2773</v>
      </c>
      <c r="AN406" t="s">
        <v>76</v>
      </c>
      <c r="AO406" t="s">
        <v>77</v>
      </c>
      <c r="AP406" t="s">
        <v>115</v>
      </c>
      <c r="AQ406" t="s">
        <v>2771</v>
      </c>
      <c r="AR406" t="s">
        <v>80</v>
      </c>
      <c r="AS406">
        <v>101</v>
      </c>
      <c r="AT406" t="s">
        <v>81</v>
      </c>
      <c r="AU406">
        <v>-37.590000000000003</v>
      </c>
      <c r="AV406">
        <v>10.43</v>
      </c>
      <c r="AW406" t="s">
        <v>82</v>
      </c>
      <c r="AX406">
        <v>133</v>
      </c>
      <c r="AY406" t="s">
        <v>81</v>
      </c>
      <c r="AZ406">
        <v>-52.39</v>
      </c>
      <c r="BA406">
        <v>10.5</v>
      </c>
      <c r="BB406" t="s">
        <v>83</v>
      </c>
    </row>
    <row r="407" spans="1:54" x14ac:dyDescent="0.4">
      <c r="A407">
        <v>838924</v>
      </c>
      <c r="D407" t="s">
        <v>54</v>
      </c>
      <c r="G407">
        <v>1</v>
      </c>
      <c r="H407" t="s">
        <v>421</v>
      </c>
      <c r="I407" t="s">
        <v>57</v>
      </c>
      <c r="K407" t="s">
        <v>206</v>
      </c>
      <c r="L407" t="s">
        <v>744</v>
      </c>
      <c r="M407" t="s">
        <v>60</v>
      </c>
      <c r="O407" t="s">
        <v>170</v>
      </c>
      <c r="P407" t="s">
        <v>62</v>
      </c>
      <c r="R407" t="s">
        <v>63</v>
      </c>
      <c r="S407" t="s">
        <v>64</v>
      </c>
      <c r="T407">
        <v>227</v>
      </c>
      <c r="U407">
        <v>208.5</v>
      </c>
      <c r="V407">
        <f t="shared" si="12"/>
        <v>217.75</v>
      </c>
      <c r="W407">
        <f t="shared" si="13"/>
        <v>18.5</v>
      </c>
      <c r="X407">
        <v>-109.763885</v>
      </c>
      <c r="Y407">
        <v>34.946666999999998</v>
      </c>
      <c r="Z407" t="s">
        <v>124</v>
      </c>
      <c r="AA407" t="s">
        <v>66</v>
      </c>
      <c r="AB407" t="s">
        <v>583</v>
      </c>
      <c r="AC407" t="s">
        <v>735</v>
      </c>
      <c r="AD407" t="s">
        <v>174</v>
      </c>
      <c r="AF407" t="s">
        <v>1068</v>
      </c>
      <c r="AH407" t="s">
        <v>72</v>
      </c>
      <c r="AI407" t="s">
        <v>740</v>
      </c>
      <c r="AJ407">
        <v>1995</v>
      </c>
      <c r="AK407" t="s">
        <v>2774</v>
      </c>
      <c r="AN407" t="s">
        <v>76</v>
      </c>
      <c r="AO407" t="s">
        <v>77</v>
      </c>
      <c r="AP407" t="s">
        <v>115</v>
      </c>
      <c r="AQ407" t="s">
        <v>2771</v>
      </c>
      <c r="AR407" t="s">
        <v>80</v>
      </c>
      <c r="AS407">
        <v>101</v>
      </c>
      <c r="AT407" t="s">
        <v>81</v>
      </c>
      <c r="AU407">
        <v>-37.590000000000003</v>
      </c>
      <c r="AV407">
        <v>10.43</v>
      </c>
      <c r="AW407" t="s">
        <v>82</v>
      </c>
      <c r="AX407">
        <v>133</v>
      </c>
      <c r="AY407" t="s">
        <v>81</v>
      </c>
      <c r="AZ407">
        <v>-52.39</v>
      </c>
      <c r="BA407">
        <v>10.5</v>
      </c>
      <c r="BB407" t="s">
        <v>83</v>
      </c>
    </row>
    <row r="408" spans="1:54" x14ac:dyDescent="0.4">
      <c r="A408">
        <v>838925</v>
      </c>
      <c r="D408" t="s">
        <v>54</v>
      </c>
      <c r="G408">
        <v>1</v>
      </c>
      <c r="H408" t="s">
        <v>84</v>
      </c>
      <c r="I408" t="s">
        <v>57</v>
      </c>
      <c r="K408" t="s">
        <v>85</v>
      </c>
      <c r="L408" t="s">
        <v>1076</v>
      </c>
      <c r="M408" t="s">
        <v>60</v>
      </c>
      <c r="O408" t="s">
        <v>87</v>
      </c>
      <c r="P408" t="s">
        <v>62</v>
      </c>
      <c r="R408" t="s">
        <v>63</v>
      </c>
      <c r="S408" t="s">
        <v>64</v>
      </c>
      <c r="T408">
        <v>227</v>
      </c>
      <c r="U408">
        <v>208.5</v>
      </c>
      <c r="V408">
        <f t="shared" si="12"/>
        <v>217.75</v>
      </c>
      <c r="W408">
        <f t="shared" si="13"/>
        <v>18.5</v>
      </c>
      <c r="X408">
        <v>-109.763885</v>
      </c>
      <c r="Y408">
        <v>34.946666999999998</v>
      </c>
      <c r="Z408" t="s">
        <v>124</v>
      </c>
      <c r="AA408" t="s">
        <v>66</v>
      </c>
      <c r="AB408" t="s">
        <v>583</v>
      </c>
      <c r="AC408" t="s">
        <v>735</v>
      </c>
      <c r="AD408" t="s">
        <v>174</v>
      </c>
      <c r="AF408" t="s">
        <v>1068</v>
      </c>
      <c r="AH408" t="s">
        <v>11</v>
      </c>
      <c r="AI408" t="s">
        <v>740</v>
      </c>
      <c r="AJ408">
        <v>1995</v>
      </c>
      <c r="AK408" t="s">
        <v>2774</v>
      </c>
      <c r="AN408" t="s">
        <v>76</v>
      </c>
      <c r="AO408" t="s">
        <v>77</v>
      </c>
      <c r="AP408" t="s">
        <v>115</v>
      </c>
      <c r="AQ408" t="s">
        <v>2771</v>
      </c>
      <c r="AR408" t="s">
        <v>80</v>
      </c>
      <c r="AS408">
        <v>101</v>
      </c>
      <c r="AT408" t="s">
        <v>81</v>
      </c>
      <c r="AU408">
        <v>-37.590000000000003</v>
      </c>
      <c r="AV408">
        <v>10.43</v>
      </c>
      <c r="AW408" t="s">
        <v>82</v>
      </c>
      <c r="AX408">
        <v>133</v>
      </c>
      <c r="AY408" t="s">
        <v>81</v>
      </c>
      <c r="AZ408">
        <v>-52.39</v>
      </c>
      <c r="BA408">
        <v>10.5</v>
      </c>
      <c r="BB408" t="s">
        <v>83</v>
      </c>
    </row>
    <row r="409" spans="1:54" x14ac:dyDescent="0.4">
      <c r="A409">
        <v>838927</v>
      </c>
      <c r="D409" t="s">
        <v>54</v>
      </c>
      <c r="G409">
        <v>1</v>
      </c>
      <c r="H409" t="s">
        <v>421</v>
      </c>
      <c r="I409" t="s">
        <v>57</v>
      </c>
      <c r="K409" t="s">
        <v>206</v>
      </c>
      <c r="L409" t="s">
        <v>744</v>
      </c>
      <c r="M409" t="s">
        <v>60</v>
      </c>
      <c r="O409" t="s">
        <v>170</v>
      </c>
      <c r="P409" t="s">
        <v>62</v>
      </c>
      <c r="R409" t="s">
        <v>63</v>
      </c>
      <c r="S409" t="s">
        <v>64</v>
      </c>
      <c r="T409">
        <v>227</v>
      </c>
      <c r="U409">
        <v>208.5</v>
      </c>
      <c r="V409">
        <f t="shared" si="12"/>
        <v>217.75</v>
      </c>
      <c r="W409">
        <f t="shared" si="13"/>
        <v>18.5</v>
      </c>
      <c r="X409">
        <v>-109.763885</v>
      </c>
      <c r="Y409">
        <v>34.946666999999998</v>
      </c>
      <c r="Z409" t="s">
        <v>124</v>
      </c>
      <c r="AA409" t="s">
        <v>66</v>
      </c>
      <c r="AB409" t="s">
        <v>583</v>
      </c>
      <c r="AC409" t="s">
        <v>735</v>
      </c>
      <c r="AD409" t="s">
        <v>174</v>
      </c>
      <c r="AF409" t="s">
        <v>749</v>
      </c>
      <c r="AH409" t="s">
        <v>72</v>
      </c>
      <c r="AI409" t="s">
        <v>740</v>
      </c>
      <c r="AJ409">
        <v>1995</v>
      </c>
      <c r="AK409" t="s">
        <v>2775</v>
      </c>
      <c r="AN409" t="s">
        <v>76</v>
      </c>
      <c r="AO409" t="s">
        <v>77</v>
      </c>
      <c r="AP409" t="s">
        <v>115</v>
      </c>
      <c r="AQ409" t="s">
        <v>2771</v>
      </c>
      <c r="AR409" t="s">
        <v>80</v>
      </c>
      <c r="AS409">
        <v>101</v>
      </c>
      <c r="AT409" t="s">
        <v>81</v>
      </c>
      <c r="AU409">
        <v>-37.590000000000003</v>
      </c>
      <c r="AV409">
        <v>10.43</v>
      </c>
      <c r="AW409" t="s">
        <v>82</v>
      </c>
      <c r="AX409">
        <v>133</v>
      </c>
      <c r="AY409" t="s">
        <v>81</v>
      </c>
      <c r="AZ409">
        <v>-52.39</v>
      </c>
      <c r="BA409">
        <v>10.5</v>
      </c>
      <c r="BB409" t="s">
        <v>83</v>
      </c>
    </row>
    <row r="410" spans="1:54" x14ac:dyDescent="0.4">
      <c r="A410">
        <v>838928</v>
      </c>
      <c r="D410" t="s">
        <v>54</v>
      </c>
      <c r="G410">
        <v>1</v>
      </c>
      <c r="H410" t="s">
        <v>421</v>
      </c>
      <c r="I410" t="s">
        <v>57</v>
      </c>
      <c r="K410" t="s">
        <v>206</v>
      </c>
      <c r="L410" t="s">
        <v>744</v>
      </c>
      <c r="M410" t="s">
        <v>60</v>
      </c>
      <c r="O410" t="s">
        <v>170</v>
      </c>
      <c r="P410" t="s">
        <v>62</v>
      </c>
      <c r="R410" t="s">
        <v>63</v>
      </c>
      <c r="S410" t="s">
        <v>64</v>
      </c>
      <c r="T410">
        <v>227</v>
      </c>
      <c r="U410">
        <v>208.5</v>
      </c>
      <c r="V410">
        <f t="shared" si="12"/>
        <v>217.75</v>
      </c>
      <c r="W410">
        <f t="shared" si="13"/>
        <v>18.5</v>
      </c>
      <c r="X410">
        <v>-109.763885</v>
      </c>
      <c r="Y410">
        <v>34.946666999999998</v>
      </c>
      <c r="Z410" t="s">
        <v>124</v>
      </c>
      <c r="AA410" t="s">
        <v>66</v>
      </c>
      <c r="AB410" t="s">
        <v>583</v>
      </c>
      <c r="AC410" t="s">
        <v>735</v>
      </c>
      <c r="AD410" t="s">
        <v>174</v>
      </c>
      <c r="AF410" t="s">
        <v>749</v>
      </c>
      <c r="AH410" t="s">
        <v>72</v>
      </c>
      <c r="AI410" t="s">
        <v>740</v>
      </c>
      <c r="AJ410">
        <v>1995</v>
      </c>
      <c r="AK410" t="s">
        <v>2776</v>
      </c>
      <c r="AN410" t="s">
        <v>76</v>
      </c>
      <c r="AO410" t="s">
        <v>77</v>
      </c>
      <c r="AP410" t="s">
        <v>115</v>
      </c>
      <c r="AQ410" t="s">
        <v>2771</v>
      </c>
      <c r="AR410" t="s">
        <v>80</v>
      </c>
      <c r="AS410">
        <v>101</v>
      </c>
      <c r="AT410" t="s">
        <v>81</v>
      </c>
      <c r="AU410">
        <v>-37.590000000000003</v>
      </c>
      <c r="AV410">
        <v>10.43</v>
      </c>
      <c r="AW410" t="s">
        <v>82</v>
      </c>
      <c r="AX410">
        <v>133</v>
      </c>
      <c r="AY410" t="s">
        <v>81</v>
      </c>
      <c r="AZ410">
        <v>-52.39</v>
      </c>
      <c r="BA410">
        <v>10.5</v>
      </c>
      <c r="BB410" t="s">
        <v>83</v>
      </c>
    </row>
    <row r="411" spans="1:54" x14ac:dyDescent="0.4">
      <c r="A411">
        <v>838930</v>
      </c>
      <c r="D411" t="s">
        <v>54</v>
      </c>
      <c r="G411">
        <v>1</v>
      </c>
      <c r="H411" t="s">
        <v>421</v>
      </c>
      <c r="I411" t="s">
        <v>57</v>
      </c>
      <c r="K411" t="s">
        <v>85</v>
      </c>
      <c r="L411" t="s">
        <v>1076</v>
      </c>
      <c r="M411" t="s">
        <v>60</v>
      </c>
      <c r="O411" t="s">
        <v>87</v>
      </c>
      <c r="P411" t="s">
        <v>62</v>
      </c>
      <c r="R411" t="s">
        <v>63</v>
      </c>
      <c r="S411" t="s">
        <v>64</v>
      </c>
      <c r="T411">
        <v>227</v>
      </c>
      <c r="U411">
        <v>208.5</v>
      </c>
      <c r="V411">
        <f t="shared" si="12"/>
        <v>217.75</v>
      </c>
      <c r="W411">
        <f t="shared" si="13"/>
        <v>18.5</v>
      </c>
      <c r="X411">
        <v>-109.763885</v>
      </c>
      <c r="Y411">
        <v>34.947223999999999</v>
      </c>
      <c r="Z411" t="s">
        <v>124</v>
      </c>
      <c r="AA411" t="s">
        <v>66</v>
      </c>
      <c r="AB411" t="s">
        <v>583</v>
      </c>
      <c r="AC411" t="s">
        <v>735</v>
      </c>
      <c r="AD411" t="s">
        <v>174</v>
      </c>
      <c r="AF411" t="s">
        <v>749</v>
      </c>
      <c r="AH411" t="s">
        <v>11</v>
      </c>
      <c r="AI411" t="s">
        <v>740</v>
      </c>
      <c r="AJ411">
        <v>1995</v>
      </c>
      <c r="AK411" t="s">
        <v>2777</v>
      </c>
      <c r="AN411" t="s">
        <v>114</v>
      </c>
      <c r="AO411" t="s">
        <v>77</v>
      </c>
      <c r="AP411" t="s">
        <v>115</v>
      </c>
      <c r="AR411" t="s">
        <v>80</v>
      </c>
      <c r="AS411">
        <v>101</v>
      </c>
      <c r="AT411" t="s">
        <v>81</v>
      </c>
      <c r="AU411">
        <v>-37.590000000000003</v>
      </c>
      <c r="AV411">
        <v>10.43</v>
      </c>
      <c r="AW411" t="s">
        <v>82</v>
      </c>
      <c r="AX411">
        <v>133</v>
      </c>
      <c r="AY411" t="s">
        <v>81</v>
      </c>
      <c r="AZ411">
        <v>-52.39</v>
      </c>
      <c r="BA411">
        <v>10.5</v>
      </c>
      <c r="BB411" t="s">
        <v>83</v>
      </c>
    </row>
    <row r="412" spans="1:54" x14ac:dyDescent="0.4">
      <c r="A412">
        <v>838932</v>
      </c>
      <c r="D412" t="s">
        <v>54</v>
      </c>
      <c r="I412" t="s">
        <v>57</v>
      </c>
      <c r="K412" t="s">
        <v>206</v>
      </c>
      <c r="L412" t="s">
        <v>744</v>
      </c>
      <c r="M412" t="s">
        <v>60</v>
      </c>
      <c r="O412" t="s">
        <v>170</v>
      </c>
      <c r="P412" t="s">
        <v>62</v>
      </c>
      <c r="R412" t="s">
        <v>63</v>
      </c>
      <c r="S412" t="s">
        <v>64</v>
      </c>
      <c r="T412">
        <v>227</v>
      </c>
      <c r="U412">
        <v>208.5</v>
      </c>
      <c r="V412">
        <f t="shared" si="12"/>
        <v>217.75</v>
      </c>
      <c r="W412">
        <f t="shared" si="13"/>
        <v>18.5</v>
      </c>
      <c r="X412">
        <v>-109.763885</v>
      </c>
      <c r="Y412">
        <v>34.946666999999998</v>
      </c>
      <c r="Z412" t="s">
        <v>124</v>
      </c>
      <c r="AA412" t="s">
        <v>66</v>
      </c>
      <c r="AB412" t="s">
        <v>583</v>
      </c>
      <c r="AC412" t="s">
        <v>735</v>
      </c>
      <c r="AD412" t="s">
        <v>174</v>
      </c>
      <c r="AF412" t="s">
        <v>1068</v>
      </c>
      <c r="AH412" t="s">
        <v>72</v>
      </c>
      <c r="AI412" t="s">
        <v>740</v>
      </c>
      <c r="AJ412">
        <v>1995</v>
      </c>
      <c r="AK412" t="s">
        <v>2778</v>
      </c>
      <c r="AN412" t="s">
        <v>76</v>
      </c>
      <c r="AO412" t="s">
        <v>77</v>
      </c>
      <c r="AP412" t="s">
        <v>359</v>
      </c>
      <c r="AQ412" t="s">
        <v>2779</v>
      </c>
      <c r="AR412" t="s">
        <v>80</v>
      </c>
      <c r="AS412">
        <v>101</v>
      </c>
      <c r="AT412" t="s">
        <v>81</v>
      </c>
      <c r="AU412">
        <v>-37.590000000000003</v>
      </c>
      <c r="AV412">
        <v>10.43</v>
      </c>
      <c r="AW412" t="s">
        <v>82</v>
      </c>
      <c r="AX412">
        <v>133</v>
      </c>
      <c r="AY412" t="s">
        <v>81</v>
      </c>
      <c r="AZ412">
        <v>-52.39</v>
      </c>
      <c r="BA412">
        <v>10.5</v>
      </c>
      <c r="BB412" t="s">
        <v>83</v>
      </c>
    </row>
    <row r="413" spans="1:54" x14ac:dyDescent="0.4">
      <c r="A413">
        <v>838933</v>
      </c>
      <c r="D413" t="s">
        <v>54</v>
      </c>
      <c r="G413">
        <v>4</v>
      </c>
      <c r="H413" t="s">
        <v>84</v>
      </c>
      <c r="I413" t="s">
        <v>57</v>
      </c>
      <c r="K413" t="s">
        <v>85</v>
      </c>
      <c r="L413" t="s">
        <v>1076</v>
      </c>
      <c r="M413" t="s">
        <v>60</v>
      </c>
      <c r="O413" t="s">
        <v>87</v>
      </c>
      <c r="P413" t="s">
        <v>62</v>
      </c>
      <c r="R413" t="s">
        <v>63</v>
      </c>
      <c r="S413" t="s">
        <v>64</v>
      </c>
      <c r="T413">
        <v>227</v>
      </c>
      <c r="U413">
        <v>208.5</v>
      </c>
      <c r="V413">
        <f t="shared" si="12"/>
        <v>217.75</v>
      </c>
      <c r="W413">
        <f t="shared" si="13"/>
        <v>18.5</v>
      </c>
      <c r="X413">
        <v>-109.763885</v>
      </c>
      <c r="Y413">
        <v>34.946666999999998</v>
      </c>
      <c r="Z413" t="s">
        <v>124</v>
      </c>
      <c r="AA413" t="s">
        <v>66</v>
      </c>
      <c r="AB413" t="s">
        <v>583</v>
      </c>
      <c r="AC413" t="s">
        <v>735</v>
      </c>
      <c r="AD413" t="s">
        <v>174</v>
      </c>
      <c r="AF413" t="s">
        <v>1068</v>
      </c>
      <c r="AH413" t="s">
        <v>11</v>
      </c>
      <c r="AI413" t="s">
        <v>740</v>
      </c>
      <c r="AJ413">
        <v>1995</v>
      </c>
      <c r="AK413" t="s">
        <v>2778</v>
      </c>
      <c r="AN413" t="s">
        <v>76</v>
      </c>
      <c r="AO413" t="s">
        <v>77</v>
      </c>
      <c r="AP413" t="s">
        <v>359</v>
      </c>
      <c r="AQ413" t="s">
        <v>2779</v>
      </c>
      <c r="AR413" t="s">
        <v>80</v>
      </c>
      <c r="AS413">
        <v>101</v>
      </c>
      <c r="AT413" t="s">
        <v>81</v>
      </c>
      <c r="AU413">
        <v>-37.590000000000003</v>
      </c>
      <c r="AV413">
        <v>10.43</v>
      </c>
      <c r="AW413" t="s">
        <v>82</v>
      </c>
      <c r="AX413">
        <v>133</v>
      </c>
      <c r="AY413" t="s">
        <v>81</v>
      </c>
      <c r="AZ413">
        <v>-52.39</v>
      </c>
      <c r="BA413">
        <v>10.5</v>
      </c>
      <c r="BB413" t="s">
        <v>83</v>
      </c>
    </row>
    <row r="414" spans="1:54" x14ac:dyDescent="0.4">
      <c r="A414">
        <v>838935</v>
      </c>
      <c r="D414" t="s">
        <v>54</v>
      </c>
      <c r="G414">
        <v>1</v>
      </c>
      <c r="H414" t="s">
        <v>84</v>
      </c>
      <c r="I414" t="s">
        <v>57</v>
      </c>
      <c r="K414" t="s">
        <v>85</v>
      </c>
      <c r="L414" t="s">
        <v>1076</v>
      </c>
      <c r="M414" t="s">
        <v>60</v>
      </c>
      <c r="O414" t="s">
        <v>87</v>
      </c>
      <c r="P414" t="s">
        <v>62</v>
      </c>
      <c r="R414" t="s">
        <v>63</v>
      </c>
      <c r="S414" t="s">
        <v>64</v>
      </c>
      <c r="T414">
        <v>227</v>
      </c>
      <c r="U414">
        <v>208.5</v>
      </c>
      <c r="V414">
        <f t="shared" si="12"/>
        <v>217.75</v>
      </c>
      <c r="W414">
        <f t="shared" si="13"/>
        <v>18.5</v>
      </c>
      <c r="X414">
        <v>-109.763885</v>
      </c>
      <c r="Y414">
        <v>34.947223999999999</v>
      </c>
      <c r="Z414" t="s">
        <v>124</v>
      </c>
      <c r="AA414" t="s">
        <v>66</v>
      </c>
      <c r="AB414" t="s">
        <v>583</v>
      </c>
      <c r="AC414" t="s">
        <v>735</v>
      </c>
      <c r="AD414" t="s">
        <v>174</v>
      </c>
      <c r="AF414" t="s">
        <v>749</v>
      </c>
      <c r="AH414" t="s">
        <v>11</v>
      </c>
      <c r="AI414" t="s">
        <v>740</v>
      </c>
      <c r="AJ414">
        <v>1995</v>
      </c>
      <c r="AK414" t="s">
        <v>2780</v>
      </c>
      <c r="AN414" t="s">
        <v>114</v>
      </c>
      <c r="AO414" t="s">
        <v>77</v>
      </c>
      <c r="AR414" t="s">
        <v>80</v>
      </c>
      <c r="AS414">
        <v>101</v>
      </c>
      <c r="AT414" t="s">
        <v>81</v>
      </c>
      <c r="AU414">
        <v>-37.590000000000003</v>
      </c>
      <c r="AV414">
        <v>10.43</v>
      </c>
      <c r="AW414" t="s">
        <v>82</v>
      </c>
      <c r="AX414">
        <v>133</v>
      </c>
      <c r="AY414" t="s">
        <v>81</v>
      </c>
      <c r="AZ414">
        <v>-52.39</v>
      </c>
      <c r="BA414">
        <v>10.5</v>
      </c>
      <c r="BB414" t="s">
        <v>83</v>
      </c>
    </row>
    <row r="415" spans="1:54" x14ac:dyDescent="0.4">
      <c r="A415">
        <v>838936</v>
      </c>
      <c r="D415" t="s">
        <v>54</v>
      </c>
      <c r="G415">
        <v>1</v>
      </c>
      <c r="H415" t="s">
        <v>421</v>
      </c>
      <c r="I415" t="s">
        <v>57</v>
      </c>
      <c r="K415" t="s">
        <v>206</v>
      </c>
      <c r="L415" t="s">
        <v>744</v>
      </c>
      <c r="M415" t="s">
        <v>60</v>
      </c>
      <c r="O415" t="s">
        <v>170</v>
      </c>
      <c r="P415" t="s">
        <v>62</v>
      </c>
      <c r="R415" t="s">
        <v>63</v>
      </c>
      <c r="S415" t="s">
        <v>64</v>
      </c>
      <c r="T415">
        <v>227</v>
      </c>
      <c r="U415">
        <v>208.5</v>
      </c>
      <c r="V415">
        <f t="shared" si="12"/>
        <v>217.75</v>
      </c>
      <c r="W415">
        <f t="shared" si="13"/>
        <v>18.5</v>
      </c>
      <c r="X415">
        <v>-109.763885</v>
      </c>
      <c r="Y415">
        <v>34.947223999999999</v>
      </c>
      <c r="Z415" t="s">
        <v>124</v>
      </c>
      <c r="AA415" t="s">
        <v>66</v>
      </c>
      <c r="AB415" t="s">
        <v>583</v>
      </c>
      <c r="AC415" t="s">
        <v>735</v>
      </c>
      <c r="AD415" t="s">
        <v>174</v>
      </c>
      <c r="AF415" t="s">
        <v>749</v>
      </c>
      <c r="AH415" t="s">
        <v>72</v>
      </c>
      <c r="AI415" t="s">
        <v>740</v>
      </c>
      <c r="AJ415">
        <v>1995</v>
      </c>
      <c r="AK415" t="s">
        <v>2781</v>
      </c>
      <c r="AN415" t="s">
        <v>114</v>
      </c>
      <c r="AO415" t="s">
        <v>77</v>
      </c>
      <c r="AR415" t="s">
        <v>80</v>
      </c>
      <c r="AS415">
        <v>101</v>
      </c>
      <c r="AT415" t="s">
        <v>81</v>
      </c>
      <c r="AU415">
        <v>-37.590000000000003</v>
      </c>
      <c r="AV415">
        <v>10.43</v>
      </c>
      <c r="AW415" t="s">
        <v>82</v>
      </c>
      <c r="AX415">
        <v>133</v>
      </c>
      <c r="AY415" t="s">
        <v>81</v>
      </c>
      <c r="AZ415">
        <v>-52.39</v>
      </c>
      <c r="BA415">
        <v>10.5</v>
      </c>
      <c r="BB415" t="s">
        <v>83</v>
      </c>
    </row>
    <row r="416" spans="1:54" x14ac:dyDescent="0.4">
      <c r="A416">
        <v>838937</v>
      </c>
      <c r="D416" t="s">
        <v>54</v>
      </c>
      <c r="G416">
        <v>1</v>
      </c>
      <c r="H416" t="s">
        <v>84</v>
      </c>
      <c r="I416" t="s">
        <v>57</v>
      </c>
      <c r="K416" t="s">
        <v>85</v>
      </c>
      <c r="L416" t="s">
        <v>1076</v>
      </c>
      <c r="M416" t="s">
        <v>60</v>
      </c>
      <c r="O416" t="s">
        <v>87</v>
      </c>
      <c r="P416" t="s">
        <v>62</v>
      </c>
      <c r="R416" t="s">
        <v>63</v>
      </c>
      <c r="S416" t="s">
        <v>64</v>
      </c>
      <c r="T416">
        <v>227</v>
      </c>
      <c r="U416">
        <v>208.5</v>
      </c>
      <c r="V416">
        <f t="shared" si="12"/>
        <v>217.75</v>
      </c>
      <c r="W416">
        <f t="shared" si="13"/>
        <v>18.5</v>
      </c>
      <c r="X416">
        <v>-109.763885</v>
      </c>
      <c r="Y416">
        <v>34.947223999999999</v>
      </c>
      <c r="Z416" t="s">
        <v>124</v>
      </c>
      <c r="AA416" t="s">
        <v>66</v>
      </c>
      <c r="AB416" t="s">
        <v>583</v>
      </c>
      <c r="AC416" t="s">
        <v>735</v>
      </c>
      <c r="AD416" t="s">
        <v>174</v>
      </c>
      <c r="AF416" t="s">
        <v>749</v>
      </c>
      <c r="AH416" t="s">
        <v>11</v>
      </c>
      <c r="AI416" t="s">
        <v>740</v>
      </c>
      <c r="AJ416">
        <v>1995</v>
      </c>
      <c r="AK416" t="s">
        <v>2781</v>
      </c>
      <c r="AN416" t="s">
        <v>114</v>
      </c>
      <c r="AO416" t="s">
        <v>77</v>
      </c>
      <c r="AR416" t="s">
        <v>80</v>
      </c>
      <c r="AS416">
        <v>101</v>
      </c>
      <c r="AT416" t="s">
        <v>81</v>
      </c>
      <c r="AU416">
        <v>-37.590000000000003</v>
      </c>
      <c r="AV416">
        <v>10.43</v>
      </c>
      <c r="AW416" t="s">
        <v>82</v>
      </c>
      <c r="AX416">
        <v>133</v>
      </c>
      <c r="AY416" t="s">
        <v>81</v>
      </c>
      <c r="AZ416">
        <v>-52.39</v>
      </c>
      <c r="BA416">
        <v>10.5</v>
      </c>
      <c r="BB416" t="s">
        <v>83</v>
      </c>
    </row>
    <row r="417" spans="1:54" x14ac:dyDescent="0.4">
      <c r="A417">
        <v>838955</v>
      </c>
      <c r="D417" t="s">
        <v>54</v>
      </c>
      <c r="I417" t="s">
        <v>57</v>
      </c>
      <c r="K417" t="s">
        <v>206</v>
      </c>
      <c r="L417" t="s">
        <v>744</v>
      </c>
      <c r="M417" t="s">
        <v>60</v>
      </c>
      <c r="O417" t="s">
        <v>170</v>
      </c>
      <c r="P417" t="s">
        <v>62</v>
      </c>
      <c r="R417" t="s">
        <v>63</v>
      </c>
      <c r="S417" t="s">
        <v>64</v>
      </c>
      <c r="T417">
        <v>227</v>
      </c>
      <c r="U417">
        <v>208.5</v>
      </c>
      <c r="V417">
        <f t="shared" si="12"/>
        <v>217.75</v>
      </c>
      <c r="W417">
        <f t="shared" si="13"/>
        <v>18.5</v>
      </c>
      <c r="X417">
        <v>-109.763885</v>
      </c>
      <c r="Y417">
        <v>34.947223999999999</v>
      </c>
      <c r="Z417" t="s">
        <v>124</v>
      </c>
      <c r="AA417" t="s">
        <v>66</v>
      </c>
      <c r="AB417" t="s">
        <v>583</v>
      </c>
      <c r="AC417" t="s">
        <v>735</v>
      </c>
      <c r="AD417" t="s">
        <v>174</v>
      </c>
      <c r="AF417" t="s">
        <v>749</v>
      </c>
      <c r="AH417" t="s">
        <v>72</v>
      </c>
      <c r="AI417" t="s">
        <v>740</v>
      </c>
      <c r="AJ417">
        <v>1995</v>
      </c>
      <c r="AK417" t="s">
        <v>2782</v>
      </c>
      <c r="AN417" t="s">
        <v>114</v>
      </c>
      <c r="AO417" t="s">
        <v>77</v>
      </c>
      <c r="AR417" t="s">
        <v>80</v>
      </c>
      <c r="AS417">
        <v>101</v>
      </c>
      <c r="AT417" t="s">
        <v>81</v>
      </c>
      <c r="AU417">
        <v>-37.590000000000003</v>
      </c>
      <c r="AV417">
        <v>10.43</v>
      </c>
      <c r="AW417" t="s">
        <v>82</v>
      </c>
      <c r="AX417">
        <v>133</v>
      </c>
      <c r="AY417" t="s">
        <v>81</v>
      </c>
      <c r="AZ417">
        <v>-52.39</v>
      </c>
      <c r="BA417">
        <v>10.5</v>
      </c>
      <c r="BB417" t="s">
        <v>83</v>
      </c>
    </row>
    <row r="418" spans="1:54" x14ac:dyDescent="0.4">
      <c r="A418">
        <v>838956</v>
      </c>
      <c r="D418" t="s">
        <v>54</v>
      </c>
      <c r="G418">
        <v>1</v>
      </c>
      <c r="H418" t="s">
        <v>421</v>
      </c>
      <c r="I418" t="s">
        <v>57</v>
      </c>
      <c r="K418" t="s">
        <v>85</v>
      </c>
      <c r="L418" t="s">
        <v>1076</v>
      </c>
      <c r="M418" t="s">
        <v>60</v>
      </c>
      <c r="O418" t="s">
        <v>87</v>
      </c>
      <c r="P418" t="s">
        <v>62</v>
      </c>
      <c r="R418" t="s">
        <v>63</v>
      </c>
      <c r="S418" t="s">
        <v>64</v>
      </c>
      <c r="T418">
        <v>227</v>
      </c>
      <c r="U418">
        <v>208.5</v>
      </c>
      <c r="V418">
        <f t="shared" si="12"/>
        <v>217.75</v>
      </c>
      <c r="W418">
        <f t="shared" si="13"/>
        <v>18.5</v>
      </c>
      <c r="X418">
        <v>-109.763885</v>
      </c>
      <c r="Y418">
        <v>34.947223999999999</v>
      </c>
      <c r="Z418" t="s">
        <v>124</v>
      </c>
      <c r="AA418" t="s">
        <v>66</v>
      </c>
      <c r="AB418" t="s">
        <v>583</v>
      </c>
      <c r="AC418" t="s">
        <v>735</v>
      </c>
      <c r="AD418" t="s">
        <v>174</v>
      </c>
      <c r="AF418" t="s">
        <v>749</v>
      </c>
      <c r="AH418" t="s">
        <v>11</v>
      </c>
      <c r="AI418" t="s">
        <v>740</v>
      </c>
      <c r="AJ418">
        <v>1995</v>
      </c>
      <c r="AK418" t="s">
        <v>2782</v>
      </c>
      <c r="AN418" t="s">
        <v>114</v>
      </c>
      <c r="AO418" t="s">
        <v>77</v>
      </c>
      <c r="AR418" t="s">
        <v>80</v>
      </c>
      <c r="AS418">
        <v>101</v>
      </c>
      <c r="AT418" t="s">
        <v>81</v>
      </c>
      <c r="AU418">
        <v>-37.590000000000003</v>
      </c>
      <c r="AV418">
        <v>10.43</v>
      </c>
      <c r="AW418" t="s">
        <v>82</v>
      </c>
      <c r="AX418">
        <v>133</v>
      </c>
      <c r="AY418" t="s">
        <v>81</v>
      </c>
      <c r="AZ418">
        <v>-52.39</v>
      </c>
      <c r="BA418">
        <v>10.5</v>
      </c>
      <c r="BB418" t="s">
        <v>83</v>
      </c>
    </row>
    <row r="419" spans="1:54" x14ac:dyDescent="0.4">
      <c r="A419">
        <v>838959</v>
      </c>
      <c r="D419" t="s">
        <v>54</v>
      </c>
      <c r="G419">
        <v>1</v>
      </c>
      <c r="H419" t="s">
        <v>421</v>
      </c>
      <c r="I419" t="s">
        <v>57</v>
      </c>
      <c r="K419" t="s">
        <v>206</v>
      </c>
      <c r="L419" t="s">
        <v>744</v>
      </c>
      <c r="M419" t="s">
        <v>60</v>
      </c>
      <c r="O419" t="s">
        <v>170</v>
      </c>
      <c r="P419" t="s">
        <v>62</v>
      </c>
      <c r="R419" t="s">
        <v>63</v>
      </c>
      <c r="S419" t="s">
        <v>64</v>
      </c>
      <c r="T419">
        <v>227</v>
      </c>
      <c r="U419">
        <v>208.5</v>
      </c>
      <c r="V419">
        <f t="shared" si="12"/>
        <v>217.75</v>
      </c>
      <c r="W419">
        <f t="shared" si="13"/>
        <v>18.5</v>
      </c>
      <c r="X419">
        <v>-109.736664</v>
      </c>
      <c r="Y419">
        <v>34.941113000000001</v>
      </c>
      <c r="Z419" t="s">
        <v>124</v>
      </c>
      <c r="AA419" t="s">
        <v>66</v>
      </c>
      <c r="AB419" t="s">
        <v>583</v>
      </c>
      <c r="AC419" t="s">
        <v>735</v>
      </c>
      <c r="AD419" t="s">
        <v>174</v>
      </c>
      <c r="AF419" t="s">
        <v>749</v>
      </c>
      <c r="AH419" t="s">
        <v>72</v>
      </c>
      <c r="AI419" t="s">
        <v>740</v>
      </c>
      <c r="AJ419">
        <v>1995</v>
      </c>
      <c r="AK419" t="s">
        <v>2783</v>
      </c>
      <c r="AN419" t="s">
        <v>114</v>
      </c>
      <c r="AO419" t="s">
        <v>77</v>
      </c>
      <c r="AP419" t="s">
        <v>115</v>
      </c>
      <c r="AQ419" t="s">
        <v>2784</v>
      </c>
      <c r="AR419" t="s">
        <v>80</v>
      </c>
      <c r="AS419">
        <v>101</v>
      </c>
      <c r="AT419" t="s">
        <v>81</v>
      </c>
      <c r="AU419">
        <v>-37.56</v>
      </c>
      <c r="AV419">
        <v>10.42</v>
      </c>
      <c r="AW419" t="s">
        <v>82</v>
      </c>
      <c r="AX419">
        <v>133</v>
      </c>
      <c r="AY419" t="s">
        <v>81</v>
      </c>
      <c r="AZ419">
        <v>-52.37</v>
      </c>
      <c r="BA419">
        <v>10.49</v>
      </c>
      <c r="BB419" t="s">
        <v>83</v>
      </c>
    </row>
    <row r="420" spans="1:54" x14ac:dyDescent="0.4">
      <c r="A420">
        <v>838960</v>
      </c>
      <c r="D420" t="s">
        <v>54</v>
      </c>
      <c r="G420">
        <v>1</v>
      </c>
      <c r="H420" t="s">
        <v>421</v>
      </c>
      <c r="I420" t="s">
        <v>57</v>
      </c>
      <c r="K420" t="s">
        <v>85</v>
      </c>
      <c r="L420" t="s">
        <v>1076</v>
      </c>
      <c r="M420" t="s">
        <v>60</v>
      </c>
      <c r="O420" t="s">
        <v>87</v>
      </c>
      <c r="P420" t="s">
        <v>62</v>
      </c>
      <c r="R420" t="s">
        <v>63</v>
      </c>
      <c r="S420" t="s">
        <v>64</v>
      </c>
      <c r="T420">
        <v>227</v>
      </c>
      <c r="U420">
        <v>208.5</v>
      </c>
      <c r="V420">
        <f t="shared" si="12"/>
        <v>217.75</v>
      </c>
      <c r="W420">
        <f t="shared" si="13"/>
        <v>18.5</v>
      </c>
      <c r="X420">
        <v>-109.736664</v>
      </c>
      <c r="Y420">
        <v>34.941113000000001</v>
      </c>
      <c r="Z420" t="s">
        <v>124</v>
      </c>
      <c r="AA420" t="s">
        <v>66</v>
      </c>
      <c r="AB420" t="s">
        <v>583</v>
      </c>
      <c r="AC420" t="s">
        <v>735</v>
      </c>
      <c r="AD420" t="s">
        <v>174</v>
      </c>
      <c r="AF420" t="s">
        <v>749</v>
      </c>
      <c r="AH420" t="s">
        <v>11</v>
      </c>
      <c r="AI420" t="s">
        <v>740</v>
      </c>
      <c r="AJ420">
        <v>1995</v>
      </c>
      <c r="AK420" t="s">
        <v>2783</v>
      </c>
      <c r="AN420" t="s">
        <v>114</v>
      </c>
      <c r="AO420" t="s">
        <v>77</v>
      </c>
      <c r="AP420" t="s">
        <v>115</v>
      </c>
      <c r="AQ420" t="s">
        <v>2784</v>
      </c>
      <c r="AR420" t="s">
        <v>80</v>
      </c>
      <c r="AS420">
        <v>101</v>
      </c>
      <c r="AT420" t="s">
        <v>81</v>
      </c>
      <c r="AU420">
        <v>-37.56</v>
      </c>
      <c r="AV420">
        <v>10.42</v>
      </c>
      <c r="AW420" t="s">
        <v>82</v>
      </c>
      <c r="AX420">
        <v>133</v>
      </c>
      <c r="AY420" t="s">
        <v>81</v>
      </c>
      <c r="AZ420">
        <v>-52.37</v>
      </c>
      <c r="BA420">
        <v>10.49</v>
      </c>
      <c r="BB420" t="s">
        <v>83</v>
      </c>
    </row>
    <row r="421" spans="1:54" x14ac:dyDescent="0.4">
      <c r="A421">
        <v>838961</v>
      </c>
      <c r="D421" t="s">
        <v>54</v>
      </c>
      <c r="G421">
        <v>1</v>
      </c>
      <c r="H421" t="s">
        <v>84</v>
      </c>
      <c r="I421" t="s">
        <v>57</v>
      </c>
      <c r="K421" t="s">
        <v>85</v>
      </c>
      <c r="L421" t="s">
        <v>1076</v>
      </c>
      <c r="M421" t="s">
        <v>60</v>
      </c>
      <c r="O421" t="s">
        <v>87</v>
      </c>
      <c r="P421" t="s">
        <v>62</v>
      </c>
      <c r="R421" t="s">
        <v>63</v>
      </c>
      <c r="S421" t="s">
        <v>64</v>
      </c>
      <c r="T421">
        <v>227</v>
      </c>
      <c r="U421">
        <v>208.5</v>
      </c>
      <c r="V421">
        <f t="shared" si="12"/>
        <v>217.75</v>
      </c>
      <c r="W421">
        <f t="shared" si="13"/>
        <v>18.5</v>
      </c>
      <c r="X421">
        <v>-109.736664</v>
      </c>
      <c r="Y421">
        <v>34.941113000000001</v>
      </c>
      <c r="Z421" t="s">
        <v>124</v>
      </c>
      <c r="AA421" t="s">
        <v>66</v>
      </c>
      <c r="AB421" t="s">
        <v>583</v>
      </c>
      <c r="AC421" t="s">
        <v>735</v>
      </c>
      <c r="AD421" t="s">
        <v>174</v>
      </c>
      <c r="AF421" t="s">
        <v>749</v>
      </c>
      <c r="AH421" t="s">
        <v>11</v>
      </c>
      <c r="AI421" t="s">
        <v>740</v>
      </c>
      <c r="AJ421">
        <v>1995</v>
      </c>
      <c r="AK421" t="s">
        <v>2785</v>
      </c>
      <c r="AN421" t="s">
        <v>114</v>
      </c>
      <c r="AO421" t="s">
        <v>77</v>
      </c>
      <c r="AP421" t="s">
        <v>115</v>
      </c>
      <c r="AQ421" t="s">
        <v>2784</v>
      </c>
      <c r="AR421" t="s">
        <v>80</v>
      </c>
      <c r="AS421">
        <v>101</v>
      </c>
      <c r="AT421" t="s">
        <v>81</v>
      </c>
      <c r="AU421">
        <v>-37.56</v>
      </c>
      <c r="AV421">
        <v>10.42</v>
      </c>
      <c r="AW421" t="s">
        <v>82</v>
      </c>
      <c r="AX421">
        <v>133</v>
      </c>
      <c r="AY421" t="s">
        <v>81</v>
      </c>
      <c r="AZ421">
        <v>-52.37</v>
      </c>
      <c r="BA421">
        <v>10.49</v>
      </c>
      <c r="BB421" t="s">
        <v>83</v>
      </c>
    </row>
    <row r="422" spans="1:54" x14ac:dyDescent="0.4">
      <c r="A422">
        <v>838963</v>
      </c>
      <c r="D422" t="s">
        <v>54</v>
      </c>
      <c r="G422">
        <v>1</v>
      </c>
      <c r="H422" t="s">
        <v>421</v>
      </c>
      <c r="I422" t="s">
        <v>57</v>
      </c>
      <c r="K422" t="s">
        <v>206</v>
      </c>
      <c r="L422" t="s">
        <v>744</v>
      </c>
      <c r="M422" t="s">
        <v>60</v>
      </c>
      <c r="O422" t="s">
        <v>170</v>
      </c>
      <c r="P422" t="s">
        <v>62</v>
      </c>
      <c r="R422" t="s">
        <v>63</v>
      </c>
      <c r="S422" t="s">
        <v>64</v>
      </c>
      <c r="T422">
        <v>227</v>
      </c>
      <c r="U422">
        <v>208.5</v>
      </c>
      <c r="V422">
        <f t="shared" si="12"/>
        <v>217.75</v>
      </c>
      <c r="W422">
        <f t="shared" si="13"/>
        <v>18.5</v>
      </c>
      <c r="X422">
        <v>-109.736664</v>
      </c>
      <c r="Y422">
        <v>34.941113000000001</v>
      </c>
      <c r="Z422" t="s">
        <v>124</v>
      </c>
      <c r="AA422" t="s">
        <v>66</v>
      </c>
      <c r="AB422" t="s">
        <v>583</v>
      </c>
      <c r="AC422" t="s">
        <v>735</v>
      </c>
      <c r="AD422" t="s">
        <v>174</v>
      </c>
      <c r="AF422" t="s">
        <v>749</v>
      </c>
      <c r="AH422" t="s">
        <v>72</v>
      </c>
      <c r="AI422" t="s">
        <v>740</v>
      </c>
      <c r="AJ422">
        <v>1995</v>
      </c>
      <c r="AK422" t="s">
        <v>2786</v>
      </c>
      <c r="AN422" t="s">
        <v>114</v>
      </c>
      <c r="AO422" t="s">
        <v>77</v>
      </c>
      <c r="AQ422" t="s">
        <v>2784</v>
      </c>
      <c r="AR422" t="s">
        <v>80</v>
      </c>
      <c r="AS422">
        <v>101</v>
      </c>
      <c r="AT422" t="s">
        <v>81</v>
      </c>
      <c r="AU422">
        <v>-37.56</v>
      </c>
      <c r="AV422">
        <v>10.42</v>
      </c>
      <c r="AW422" t="s">
        <v>82</v>
      </c>
      <c r="AX422">
        <v>133</v>
      </c>
      <c r="AY422" t="s">
        <v>81</v>
      </c>
      <c r="AZ422">
        <v>-52.37</v>
      </c>
      <c r="BA422">
        <v>10.49</v>
      </c>
      <c r="BB422" t="s">
        <v>83</v>
      </c>
    </row>
    <row r="423" spans="1:54" x14ac:dyDescent="0.4">
      <c r="A423">
        <v>838965</v>
      </c>
      <c r="D423" t="s">
        <v>54</v>
      </c>
      <c r="I423" t="s">
        <v>57</v>
      </c>
      <c r="K423" t="s">
        <v>85</v>
      </c>
      <c r="L423" t="s">
        <v>1076</v>
      </c>
      <c r="M423" t="s">
        <v>60</v>
      </c>
      <c r="O423" t="s">
        <v>87</v>
      </c>
      <c r="P423" t="s">
        <v>62</v>
      </c>
      <c r="R423" t="s">
        <v>63</v>
      </c>
      <c r="S423" t="s">
        <v>64</v>
      </c>
      <c r="T423">
        <v>227</v>
      </c>
      <c r="U423">
        <v>208.5</v>
      </c>
      <c r="V423">
        <f t="shared" si="12"/>
        <v>217.75</v>
      </c>
      <c r="W423">
        <f t="shared" si="13"/>
        <v>18.5</v>
      </c>
      <c r="X423">
        <v>-109.736664</v>
      </c>
      <c r="Y423">
        <v>34.941113000000001</v>
      </c>
      <c r="Z423" t="s">
        <v>124</v>
      </c>
      <c r="AA423" t="s">
        <v>66</v>
      </c>
      <c r="AB423" t="s">
        <v>583</v>
      </c>
      <c r="AC423" t="s">
        <v>735</v>
      </c>
      <c r="AD423" t="s">
        <v>174</v>
      </c>
      <c r="AF423" t="s">
        <v>749</v>
      </c>
      <c r="AH423" t="s">
        <v>11</v>
      </c>
      <c r="AI423" t="s">
        <v>740</v>
      </c>
      <c r="AJ423">
        <v>1995</v>
      </c>
      <c r="AK423" t="s">
        <v>2786</v>
      </c>
      <c r="AN423" t="s">
        <v>114</v>
      </c>
      <c r="AO423" t="s">
        <v>77</v>
      </c>
      <c r="AQ423" t="s">
        <v>2784</v>
      </c>
      <c r="AR423" t="s">
        <v>80</v>
      </c>
      <c r="AS423">
        <v>101</v>
      </c>
      <c r="AT423" t="s">
        <v>81</v>
      </c>
      <c r="AU423">
        <v>-37.56</v>
      </c>
      <c r="AV423">
        <v>10.42</v>
      </c>
      <c r="AW423" t="s">
        <v>82</v>
      </c>
      <c r="AX423">
        <v>133</v>
      </c>
      <c r="AY423" t="s">
        <v>81</v>
      </c>
      <c r="AZ423">
        <v>-52.37</v>
      </c>
      <c r="BA423">
        <v>10.49</v>
      </c>
      <c r="BB423" t="s">
        <v>83</v>
      </c>
    </row>
    <row r="424" spans="1:54" x14ac:dyDescent="0.4">
      <c r="A424">
        <v>838966</v>
      </c>
      <c r="D424" t="s">
        <v>54</v>
      </c>
      <c r="G424">
        <v>1</v>
      </c>
      <c r="H424" t="s">
        <v>56</v>
      </c>
      <c r="I424" t="s">
        <v>57</v>
      </c>
      <c r="K424" t="s">
        <v>85</v>
      </c>
      <c r="L424" t="s">
        <v>739</v>
      </c>
      <c r="M424" t="s">
        <v>60</v>
      </c>
      <c r="O424" t="s">
        <v>87</v>
      </c>
      <c r="P424" t="s">
        <v>62</v>
      </c>
      <c r="R424" t="s">
        <v>63</v>
      </c>
      <c r="S424" t="s">
        <v>64</v>
      </c>
      <c r="T424">
        <v>227</v>
      </c>
      <c r="U424">
        <v>208.5</v>
      </c>
      <c r="V424">
        <f t="shared" si="12"/>
        <v>217.75</v>
      </c>
      <c r="W424">
        <f t="shared" si="13"/>
        <v>18.5</v>
      </c>
      <c r="X424">
        <v>-109.83472399999999</v>
      </c>
      <c r="Y424">
        <v>34.911667000000001</v>
      </c>
      <c r="Z424" t="s">
        <v>124</v>
      </c>
      <c r="AA424" t="s">
        <v>66</v>
      </c>
      <c r="AB424" t="s">
        <v>583</v>
      </c>
      <c r="AC424" t="s">
        <v>735</v>
      </c>
      <c r="AD424" t="s">
        <v>174</v>
      </c>
      <c r="AF424" t="s">
        <v>1068</v>
      </c>
      <c r="AH424" t="s">
        <v>72</v>
      </c>
      <c r="AI424" t="s">
        <v>740</v>
      </c>
      <c r="AJ424">
        <v>1995</v>
      </c>
      <c r="AK424" t="s">
        <v>2787</v>
      </c>
      <c r="AN424" t="s">
        <v>192</v>
      </c>
      <c r="AO424" t="s">
        <v>77</v>
      </c>
      <c r="AP424" t="s">
        <v>359</v>
      </c>
      <c r="AR424" t="s">
        <v>80</v>
      </c>
      <c r="AS424">
        <v>101</v>
      </c>
      <c r="AT424" t="s">
        <v>81</v>
      </c>
      <c r="AU424">
        <v>-37.65</v>
      </c>
      <c r="AV424">
        <v>10.41</v>
      </c>
      <c r="AW424" t="s">
        <v>82</v>
      </c>
      <c r="AX424">
        <v>133</v>
      </c>
      <c r="AY424" t="s">
        <v>81</v>
      </c>
      <c r="AZ424">
        <v>-52.45</v>
      </c>
      <c r="BA424">
        <v>10.47</v>
      </c>
      <c r="BB424" t="s">
        <v>83</v>
      </c>
    </row>
    <row r="425" spans="1:54" x14ac:dyDescent="0.4">
      <c r="A425">
        <v>838967</v>
      </c>
      <c r="D425" t="s">
        <v>54</v>
      </c>
      <c r="G425">
        <v>1</v>
      </c>
      <c r="H425" t="s">
        <v>421</v>
      </c>
      <c r="I425" t="s">
        <v>57</v>
      </c>
      <c r="K425" t="s">
        <v>85</v>
      </c>
      <c r="L425" t="s">
        <v>1076</v>
      </c>
      <c r="M425" t="s">
        <v>60</v>
      </c>
      <c r="O425" t="s">
        <v>87</v>
      </c>
      <c r="P425" t="s">
        <v>62</v>
      </c>
      <c r="R425" t="s">
        <v>63</v>
      </c>
      <c r="S425" t="s">
        <v>64</v>
      </c>
      <c r="T425">
        <v>227</v>
      </c>
      <c r="U425">
        <v>208.5</v>
      </c>
      <c r="V425">
        <f t="shared" si="12"/>
        <v>217.75</v>
      </c>
      <c r="W425">
        <f t="shared" si="13"/>
        <v>18.5</v>
      </c>
      <c r="X425">
        <v>-109.83472399999999</v>
      </c>
      <c r="Y425">
        <v>34.911667000000001</v>
      </c>
      <c r="Z425" t="s">
        <v>124</v>
      </c>
      <c r="AA425" t="s">
        <v>66</v>
      </c>
      <c r="AB425" t="s">
        <v>583</v>
      </c>
      <c r="AC425" t="s">
        <v>735</v>
      </c>
      <c r="AD425" t="s">
        <v>174</v>
      </c>
      <c r="AF425" t="s">
        <v>1068</v>
      </c>
      <c r="AH425" t="s">
        <v>11</v>
      </c>
      <c r="AI425" t="s">
        <v>740</v>
      </c>
      <c r="AJ425">
        <v>1995</v>
      </c>
      <c r="AK425" t="s">
        <v>2787</v>
      </c>
      <c r="AN425" t="s">
        <v>192</v>
      </c>
      <c r="AO425" t="s">
        <v>77</v>
      </c>
      <c r="AP425" t="s">
        <v>359</v>
      </c>
      <c r="AR425" t="s">
        <v>80</v>
      </c>
      <c r="AS425">
        <v>101</v>
      </c>
      <c r="AT425" t="s">
        <v>81</v>
      </c>
      <c r="AU425">
        <v>-37.65</v>
      </c>
      <c r="AV425">
        <v>10.41</v>
      </c>
      <c r="AW425" t="s">
        <v>82</v>
      </c>
      <c r="AX425">
        <v>133</v>
      </c>
      <c r="AY425" t="s">
        <v>81</v>
      </c>
      <c r="AZ425">
        <v>-52.45</v>
      </c>
      <c r="BA425">
        <v>10.47</v>
      </c>
      <c r="BB425" t="s">
        <v>83</v>
      </c>
    </row>
    <row r="426" spans="1:54" x14ac:dyDescent="0.4">
      <c r="A426">
        <v>838969</v>
      </c>
      <c r="D426" t="s">
        <v>54</v>
      </c>
      <c r="I426" t="s">
        <v>57</v>
      </c>
      <c r="K426" t="s">
        <v>85</v>
      </c>
      <c r="L426" t="s">
        <v>1076</v>
      </c>
      <c r="M426" t="s">
        <v>60</v>
      </c>
      <c r="O426" t="s">
        <v>87</v>
      </c>
      <c r="P426" t="s">
        <v>62</v>
      </c>
      <c r="R426" t="s">
        <v>63</v>
      </c>
      <c r="S426" t="s">
        <v>64</v>
      </c>
      <c r="T426">
        <v>227</v>
      </c>
      <c r="U426">
        <v>208.5</v>
      </c>
      <c r="V426">
        <f t="shared" si="12"/>
        <v>217.75</v>
      </c>
      <c r="W426">
        <f t="shared" si="13"/>
        <v>18.5</v>
      </c>
      <c r="X426">
        <v>-109.83472399999999</v>
      </c>
      <c r="Y426">
        <v>34.911667000000001</v>
      </c>
      <c r="Z426" t="s">
        <v>124</v>
      </c>
      <c r="AA426" t="s">
        <v>66</v>
      </c>
      <c r="AB426" t="s">
        <v>583</v>
      </c>
      <c r="AC426" t="s">
        <v>735</v>
      </c>
      <c r="AD426" t="s">
        <v>174</v>
      </c>
      <c r="AF426" t="s">
        <v>1068</v>
      </c>
      <c r="AH426" t="s">
        <v>11</v>
      </c>
      <c r="AI426" t="s">
        <v>740</v>
      </c>
      <c r="AJ426">
        <v>1995</v>
      </c>
      <c r="AK426" t="s">
        <v>2788</v>
      </c>
      <c r="AN426" t="s">
        <v>192</v>
      </c>
      <c r="AO426" t="s">
        <v>77</v>
      </c>
      <c r="AR426" t="s">
        <v>80</v>
      </c>
      <c r="AS426">
        <v>101</v>
      </c>
      <c r="AT426" t="s">
        <v>81</v>
      </c>
      <c r="AU426">
        <v>-37.65</v>
      </c>
      <c r="AV426">
        <v>10.41</v>
      </c>
      <c r="AW426" t="s">
        <v>82</v>
      </c>
      <c r="AX426">
        <v>133</v>
      </c>
      <c r="AY426" t="s">
        <v>81</v>
      </c>
      <c r="AZ426">
        <v>-52.45</v>
      </c>
      <c r="BA426">
        <v>10.47</v>
      </c>
      <c r="BB426" t="s">
        <v>83</v>
      </c>
    </row>
    <row r="427" spans="1:54" x14ac:dyDescent="0.4">
      <c r="A427">
        <v>838998</v>
      </c>
      <c r="D427" t="s">
        <v>54</v>
      </c>
      <c r="I427" t="s">
        <v>57</v>
      </c>
      <c r="K427" t="s">
        <v>85</v>
      </c>
      <c r="L427" t="s">
        <v>1076</v>
      </c>
      <c r="M427" t="s">
        <v>60</v>
      </c>
      <c r="O427" t="s">
        <v>87</v>
      </c>
      <c r="P427" t="s">
        <v>62</v>
      </c>
      <c r="R427" t="s">
        <v>63</v>
      </c>
      <c r="S427" t="s">
        <v>64</v>
      </c>
      <c r="T427">
        <v>227</v>
      </c>
      <c r="U427">
        <v>208.5</v>
      </c>
      <c r="V427">
        <f t="shared" si="12"/>
        <v>217.75</v>
      </c>
      <c r="W427">
        <f t="shared" si="13"/>
        <v>18.5</v>
      </c>
      <c r="X427">
        <v>-109.791946</v>
      </c>
      <c r="Y427">
        <v>34.893611999999997</v>
      </c>
      <c r="Z427" t="s">
        <v>124</v>
      </c>
      <c r="AA427" t="s">
        <v>66</v>
      </c>
      <c r="AB427" t="s">
        <v>583</v>
      </c>
      <c r="AC427" t="s">
        <v>735</v>
      </c>
      <c r="AD427" t="s">
        <v>174</v>
      </c>
      <c r="AF427" t="s">
        <v>1068</v>
      </c>
      <c r="AH427" t="s">
        <v>11</v>
      </c>
      <c r="AI427" t="s">
        <v>740</v>
      </c>
      <c r="AJ427">
        <v>1995</v>
      </c>
      <c r="AK427" t="s">
        <v>2789</v>
      </c>
      <c r="AN427" t="s">
        <v>192</v>
      </c>
      <c r="AO427" t="s">
        <v>77</v>
      </c>
      <c r="AQ427" t="s">
        <v>2790</v>
      </c>
      <c r="AR427" t="s">
        <v>80</v>
      </c>
      <c r="AS427">
        <v>101</v>
      </c>
      <c r="AT427" t="s">
        <v>81</v>
      </c>
      <c r="AU427">
        <v>-37.619999999999997</v>
      </c>
      <c r="AV427">
        <v>10.38</v>
      </c>
      <c r="AW427" t="s">
        <v>82</v>
      </c>
      <c r="AX427">
        <v>133</v>
      </c>
      <c r="AY427" t="s">
        <v>81</v>
      </c>
      <c r="AZ427">
        <v>-52.42</v>
      </c>
      <c r="BA427">
        <v>10.45</v>
      </c>
      <c r="BB427" t="s">
        <v>83</v>
      </c>
    </row>
    <row r="428" spans="1:54" x14ac:dyDescent="0.4">
      <c r="A428">
        <v>838999</v>
      </c>
      <c r="D428" t="s">
        <v>54</v>
      </c>
      <c r="G428">
        <v>3</v>
      </c>
      <c r="H428" t="s">
        <v>84</v>
      </c>
      <c r="I428" t="s">
        <v>57</v>
      </c>
      <c r="K428" t="s">
        <v>206</v>
      </c>
      <c r="L428" t="s">
        <v>744</v>
      </c>
      <c r="M428" t="s">
        <v>60</v>
      </c>
      <c r="O428" t="s">
        <v>170</v>
      </c>
      <c r="P428" t="s">
        <v>62</v>
      </c>
      <c r="R428" t="s">
        <v>63</v>
      </c>
      <c r="S428" t="s">
        <v>64</v>
      </c>
      <c r="T428">
        <v>227</v>
      </c>
      <c r="U428">
        <v>208.5</v>
      </c>
      <c r="V428">
        <f t="shared" si="12"/>
        <v>217.75</v>
      </c>
      <c r="W428">
        <f t="shared" si="13"/>
        <v>18.5</v>
      </c>
      <c r="X428">
        <v>-109.791946</v>
      </c>
      <c r="Y428">
        <v>34.893611999999997</v>
      </c>
      <c r="Z428" t="s">
        <v>124</v>
      </c>
      <c r="AA428" t="s">
        <v>66</v>
      </c>
      <c r="AB428" t="s">
        <v>583</v>
      </c>
      <c r="AC428" t="s">
        <v>735</v>
      </c>
      <c r="AD428" t="s">
        <v>174</v>
      </c>
      <c r="AF428" t="s">
        <v>1068</v>
      </c>
      <c r="AH428" t="s">
        <v>72</v>
      </c>
      <c r="AI428" t="s">
        <v>740</v>
      </c>
      <c r="AJ428">
        <v>1995</v>
      </c>
      <c r="AK428" t="s">
        <v>2789</v>
      </c>
      <c r="AN428" t="s">
        <v>192</v>
      </c>
      <c r="AO428" t="s">
        <v>77</v>
      </c>
      <c r="AQ428" t="s">
        <v>2790</v>
      </c>
      <c r="AR428" t="s">
        <v>80</v>
      </c>
      <c r="AS428">
        <v>101</v>
      </c>
      <c r="AT428" t="s">
        <v>81</v>
      </c>
      <c r="AU428">
        <v>-37.619999999999997</v>
      </c>
      <c r="AV428">
        <v>10.38</v>
      </c>
      <c r="AW428" t="s">
        <v>82</v>
      </c>
      <c r="AX428">
        <v>133</v>
      </c>
      <c r="AY428" t="s">
        <v>81</v>
      </c>
      <c r="AZ428">
        <v>-52.42</v>
      </c>
      <c r="BA428">
        <v>10.45</v>
      </c>
      <c r="BB428" t="s">
        <v>83</v>
      </c>
    </row>
    <row r="429" spans="1:54" x14ac:dyDescent="0.4">
      <c r="A429">
        <v>840615</v>
      </c>
      <c r="D429" t="s">
        <v>54</v>
      </c>
      <c r="G429">
        <v>1</v>
      </c>
      <c r="H429" t="s">
        <v>56</v>
      </c>
      <c r="I429" t="s">
        <v>57</v>
      </c>
      <c r="K429" t="s">
        <v>206</v>
      </c>
      <c r="L429" t="s">
        <v>744</v>
      </c>
      <c r="M429" t="s">
        <v>60</v>
      </c>
      <c r="O429" t="s">
        <v>170</v>
      </c>
      <c r="P429" t="s">
        <v>62</v>
      </c>
      <c r="R429" t="s">
        <v>63</v>
      </c>
      <c r="S429" t="s">
        <v>64</v>
      </c>
      <c r="T429">
        <v>227</v>
      </c>
      <c r="U429">
        <v>208.5</v>
      </c>
      <c r="V429">
        <f t="shared" si="12"/>
        <v>217.75</v>
      </c>
      <c r="W429">
        <f t="shared" si="13"/>
        <v>18.5</v>
      </c>
      <c r="X429">
        <v>-109.79361</v>
      </c>
      <c r="Y429">
        <v>34.891666000000001</v>
      </c>
      <c r="Z429" t="s">
        <v>124</v>
      </c>
      <c r="AA429" t="s">
        <v>66</v>
      </c>
      <c r="AB429" t="s">
        <v>583</v>
      </c>
      <c r="AC429" t="s">
        <v>735</v>
      </c>
      <c r="AD429" t="s">
        <v>174</v>
      </c>
      <c r="AF429" t="s">
        <v>749</v>
      </c>
      <c r="AH429" t="s">
        <v>72</v>
      </c>
      <c r="AI429" t="s">
        <v>740</v>
      </c>
      <c r="AJ429">
        <v>1995</v>
      </c>
      <c r="AK429" t="s">
        <v>2822</v>
      </c>
      <c r="AN429" t="s">
        <v>192</v>
      </c>
      <c r="AO429" t="s">
        <v>77</v>
      </c>
      <c r="AP429" t="s">
        <v>115</v>
      </c>
      <c r="AR429" t="s">
        <v>80</v>
      </c>
      <c r="AS429">
        <v>101</v>
      </c>
      <c r="AT429" t="s">
        <v>81</v>
      </c>
      <c r="AU429">
        <v>-37.619999999999997</v>
      </c>
      <c r="AV429">
        <v>10.38</v>
      </c>
      <c r="AW429" t="s">
        <v>82</v>
      </c>
      <c r="AX429">
        <v>133</v>
      </c>
      <c r="AY429" t="s">
        <v>81</v>
      </c>
      <c r="AZ429">
        <v>-52.42</v>
      </c>
      <c r="BA429">
        <v>10.45</v>
      </c>
      <c r="BB429" t="s">
        <v>83</v>
      </c>
    </row>
    <row r="430" spans="1:54" x14ac:dyDescent="0.4">
      <c r="A430">
        <v>840617</v>
      </c>
      <c r="D430" t="s">
        <v>54</v>
      </c>
      <c r="G430">
        <v>1</v>
      </c>
      <c r="H430" t="s">
        <v>421</v>
      </c>
      <c r="I430" t="s">
        <v>57</v>
      </c>
      <c r="K430" t="s">
        <v>85</v>
      </c>
      <c r="L430" t="s">
        <v>1076</v>
      </c>
      <c r="M430" t="s">
        <v>60</v>
      </c>
      <c r="O430" t="s">
        <v>87</v>
      </c>
      <c r="P430" t="s">
        <v>62</v>
      </c>
      <c r="R430" t="s">
        <v>63</v>
      </c>
      <c r="S430" t="s">
        <v>64</v>
      </c>
      <c r="T430">
        <v>227</v>
      </c>
      <c r="U430">
        <v>208.5</v>
      </c>
      <c r="V430">
        <f t="shared" si="12"/>
        <v>217.75</v>
      </c>
      <c r="W430">
        <f t="shared" si="13"/>
        <v>18.5</v>
      </c>
      <c r="X430">
        <v>-109.79361</v>
      </c>
      <c r="Y430">
        <v>34.891666000000001</v>
      </c>
      <c r="Z430" t="s">
        <v>124</v>
      </c>
      <c r="AA430" t="s">
        <v>66</v>
      </c>
      <c r="AB430" t="s">
        <v>583</v>
      </c>
      <c r="AC430" t="s">
        <v>735</v>
      </c>
      <c r="AD430" t="s">
        <v>174</v>
      </c>
      <c r="AF430" t="s">
        <v>749</v>
      </c>
      <c r="AH430" t="s">
        <v>11</v>
      </c>
      <c r="AI430" t="s">
        <v>740</v>
      </c>
      <c r="AJ430">
        <v>1995</v>
      </c>
      <c r="AK430" t="s">
        <v>2823</v>
      </c>
      <c r="AN430" t="s">
        <v>192</v>
      </c>
      <c r="AO430" t="s">
        <v>77</v>
      </c>
      <c r="AR430" t="s">
        <v>80</v>
      </c>
      <c r="AS430">
        <v>101</v>
      </c>
      <c r="AT430" t="s">
        <v>81</v>
      </c>
      <c r="AU430">
        <v>-37.619999999999997</v>
      </c>
      <c r="AV430">
        <v>10.38</v>
      </c>
      <c r="AW430" t="s">
        <v>82</v>
      </c>
      <c r="AX430">
        <v>133</v>
      </c>
      <c r="AY430" t="s">
        <v>81</v>
      </c>
      <c r="AZ430">
        <v>-52.42</v>
      </c>
      <c r="BA430">
        <v>10.45</v>
      </c>
      <c r="BB430" t="s">
        <v>83</v>
      </c>
    </row>
    <row r="431" spans="1:54" x14ac:dyDescent="0.4">
      <c r="A431">
        <v>840618</v>
      </c>
      <c r="D431" t="s">
        <v>54</v>
      </c>
      <c r="G431">
        <v>2</v>
      </c>
      <c r="H431" t="s">
        <v>421</v>
      </c>
      <c r="I431" t="s">
        <v>57</v>
      </c>
      <c r="K431" t="s">
        <v>206</v>
      </c>
      <c r="L431" t="s">
        <v>744</v>
      </c>
      <c r="M431" t="s">
        <v>60</v>
      </c>
      <c r="O431" t="s">
        <v>170</v>
      </c>
      <c r="P431" t="s">
        <v>62</v>
      </c>
      <c r="R431" t="s">
        <v>63</v>
      </c>
      <c r="S431" t="s">
        <v>64</v>
      </c>
      <c r="T431">
        <v>227</v>
      </c>
      <c r="U431">
        <v>208.5</v>
      </c>
      <c r="V431">
        <f t="shared" si="12"/>
        <v>217.75</v>
      </c>
      <c r="W431">
        <f t="shared" si="13"/>
        <v>18.5</v>
      </c>
      <c r="X431">
        <v>-109.79361</v>
      </c>
      <c r="Y431">
        <v>34.891666000000001</v>
      </c>
      <c r="Z431" t="s">
        <v>124</v>
      </c>
      <c r="AA431" t="s">
        <v>66</v>
      </c>
      <c r="AB431" t="s">
        <v>583</v>
      </c>
      <c r="AC431" t="s">
        <v>735</v>
      </c>
      <c r="AD431" t="s">
        <v>174</v>
      </c>
      <c r="AF431" t="s">
        <v>749</v>
      </c>
      <c r="AH431" t="s">
        <v>72</v>
      </c>
      <c r="AI431" t="s">
        <v>740</v>
      </c>
      <c r="AJ431">
        <v>1995</v>
      </c>
      <c r="AK431" t="s">
        <v>2823</v>
      </c>
      <c r="AN431" t="s">
        <v>192</v>
      </c>
      <c r="AO431" t="s">
        <v>77</v>
      </c>
      <c r="AR431" t="s">
        <v>80</v>
      </c>
      <c r="AS431">
        <v>101</v>
      </c>
      <c r="AT431" t="s">
        <v>81</v>
      </c>
      <c r="AU431">
        <v>-37.619999999999997</v>
      </c>
      <c r="AV431">
        <v>10.38</v>
      </c>
      <c r="AW431" t="s">
        <v>82</v>
      </c>
      <c r="AX431">
        <v>133</v>
      </c>
      <c r="AY431" t="s">
        <v>81</v>
      </c>
      <c r="AZ431">
        <v>-52.42</v>
      </c>
      <c r="BA431">
        <v>10.45</v>
      </c>
      <c r="BB431" t="s">
        <v>83</v>
      </c>
    </row>
    <row r="432" spans="1:54" x14ac:dyDescent="0.4">
      <c r="A432">
        <v>840619</v>
      </c>
      <c r="D432" t="s">
        <v>54</v>
      </c>
      <c r="G432">
        <v>1</v>
      </c>
      <c r="H432" t="s">
        <v>84</v>
      </c>
      <c r="I432" t="s">
        <v>57</v>
      </c>
      <c r="K432" t="s">
        <v>206</v>
      </c>
      <c r="L432" t="s">
        <v>744</v>
      </c>
      <c r="M432" t="s">
        <v>60</v>
      </c>
      <c r="O432" t="s">
        <v>170</v>
      </c>
      <c r="P432" t="s">
        <v>62</v>
      </c>
      <c r="R432" t="s">
        <v>63</v>
      </c>
      <c r="S432" t="s">
        <v>64</v>
      </c>
      <c r="T432">
        <v>227</v>
      </c>
      <c r="U432">
        <v>208.5</v>
      </c>
      <c r="V432">
        <f t="shared" si="12"/>
        <v>217.75</v>
      </c>
      <c r="W432">
        <f t="shared" si="13"/>
        <v>18.5</v>
      </c>
      <c r="X432">
        <v>-109.80555699999999</v>
      </c>
      <c r="Y432">
        <v>34.885834000000003</v>
      </c>
      <c r="Z432" t="s">
        <v>124</v>
      </c>
      <c r="AA432" t="s">
        <v>66</v>
      </c>
      <c r="AB432" t="s">
        <v>583</v>
      </c>
      <c r="AC432" t="s">
        <v>735</v>
      </c>
      <c r="AD432" t="s">
        <v>174</v>
      </c>
      <c r="AF432" t="s">
        <v>749</v>
      </c>
      <c r="AH432" t="s">
        <v>72</v>
      </c>
      <c r="AI432" t="s">
        <v>740</v>
      </c>
      <c r="AJ432">
        <v>1995</v>
      </c>
      <c r="AK432" t="s">
        <v>2824</v>
      </c>
      <c r="AN432" t="s">
        <v>192</v>
      </c>
      <c r="AO432" t="s">
        <v>77</v>
      </c>
      <c r="AR432" t="s">
        <v>80</v>
      </c>
      <c r="AS432">
        <v>101</v>
      </c>
      <c r="AT432" t="s">
        <v>81</v>
      </c>
      <c r="AU432">
        <v>-37.630000000000003</v>
      </c>
      <c r="AV432">
        <v>10.38</v>
      </c>
      <c r="AW432" t="s">
        <v>82</v>
      </c>
      <c r="AX432">
        <v>133</v>
      </c>
      <c r="AY432" t="s">
        <v>81</v>
      </c>
      <c r="AZ432">
        <v>-52.43</v>
      </c>
      <c r="BA432">
        <v>10.44</v>
      </c>
      <c r="BB432" t="s">
        <v>83</v>
      </c>
    </row>
    <row r="433" spans="1:54" x14ac:dyDescent="0.4">
      <c r="A433">
        <v>840621</v>
      </c>
      <c r="D433" t="s">
        <v>54</v>
      </c>
      <c r="G433">
        <v>9</v>
      </c>
      <c r="H433" t="s">
        <v>84</v>
      </c>
      <c r="I433" t="s">
        <v>57</v>
      </c>
      <c r="K433" t="s">
        <v>206</v>
      </c>
      <c r="L433" t="s">
        <v>744</v>
      </c>
      <c r="M433" t="s">
        <v>60</v>
      </c>
      <c r="O433" t="s">
        <v>170</v>
      </c>
      <c r="P433" t="s">
        <v>62</v>
      </c>
      <c r="R433" t="s">
        <v>63</v>
      </c>
      <c r="S433" t="s">
        <v>64</v>
      </c>
      <c r="T433">
        <v>227</v>
      </c>
      <c r="U433">
        <v>208.5</v>
      </c>
      <c r="V433">
        <f t="shared" si="12"/>
        <v>217.75</v>
      </c>
      <c r="W433">
        <f t="shared" si="13"/>
        <v>18.5</v>
      </c>
      <c r="X433">
        <v>-109.80555699999999</v>
      </c>
      <c r="Y433">
        <v>34.885834000000003</v>
      </c>
      <c r="Z433" t="s">
        <v>124</v>
      </c>
      <c r="AA433" t="s">
        <v>66</v>
      </c>
      <c r="AB433" t="s">
        <v>583</v>
      </c>
      <c r="AC433" t="s">
        <v>735</v>
      </c>
      <c r="AD433" t="s">
        <v>174</v>
      </c>
      <c r="AF433" t="s">
        <v>749</v>
      </c>
      <c r="AH433" t="s">
        <v>72</v>
      </c>
      <c r="AI433" t="s">
        <v>740</v>
      </c>
      <c r="AJ433">
        <v>1995</v>
      </c>
      <c r="AK433" t="s">
        <v>2825</v>
      </c>
      <c r="AN433" t="s">
        <v>192</v>
      </c>
      <c r="AO433" t="s">
        <v>77</v>
      </c>
      <c r="AR433" t="s">
        <v>80</v>
      </c>
      <c r="AS433">
        <v>101</v>
      </c>
      <c r="AT433" t="s">
        <v>81</v>
      </c>
      <c r="AU433">
        <v>-37.630000000000003</v>
      </c>
      <c r="AV433">
        <v>10.38</v>
      </c>
      <c r="AW433" t="s">
        <v>82</v>
      </c>
      <c r="AX433">
        <v>133</v>
      </c>
      <c r="AY433" t="s">
        <v>81</v>
      </c>
      <c r="AZ433">
        <v>-52.43</v>
      </c>
      <c r="BA433">
        <v>10.44</v>
      </c>
      <c r="BB433" t="s">
        <v>83</v>
      </c>
    </row>
    <row r="434" spans="1:54" x14ac:dyDescent="0.4">
      <c r="A434">
        <v>840623</v>
      </c>
      <c r="D434" t="s">
        <v>54</v>
      </c>
      <c r="G434">
        <v>2</v>
      </c>
      <c r="H434" t="s">
        <v>421</v>
      </c>
      <c r="I434" t="s">
        <v>57</v>
      </c>
      <c r="K434" t="s">
        <v>85</v>
      </c>
      <c r="L434" t="s">
        <v>1076</v>
      </c>
      <c r="M434" t="s">
        <v>60</v>
      </c>
      <c r="O434" t="s">
        <v>87</v>
      </c>
      <c r="P434" t="s">
        <v>62</v>
      </c>
      <c r="R434" t="s">
        <v>63</v>
      </c>
      <c r="S434" t="s">
        <v>64</v>
      </c>
      <c r="T434">
        <v>227</v>
      </c>
      <c r="U434">
        <v>208.5</v>
      </c>
      <c r="V434">
        <f t="shared" si="12"/>
        <v>217.75</v>
      </c>
      <c r="W434">
        <f t="shared" si="13"/>
        <v>18.5</v>
      </c>
      <c r="X434">
        <v>-109.80555699999999</v>
      </c>
      <c r="Y434">
        <v>34.885834000000003</v>
      </c>
      <c r="Z434" t="s">
        <v>124</v>
      </c>
      <c r="AA434" t="s">
        <v>66</v>
      </c>
      <c r="AB434" t="s">
        <v>583</v>
      </c>
      <c r="AC434" t="s">
        <v>735</v>
      </c>
      <c r="AD434" t="s">
        <v>174</v>
      </c>
      <c r="AF434" t="s">
        <v>749</v>
      </c>
      <c r="AH434" t="s">
        <v>11</v>
      </c>
      <c r="AI434" t="s">
        <v>740</v>
      </c>
      <c r="AJ434">
        <v>1995</v>
      </c>
      <c r="AK434" t="s">
        <v>2825</v>
      </c>
      <c r="AN434" t="s">
        <v>192</v>
      </c>
      <c r="AO434" t="s">
        <v>77</v>
      </c>
      <c r="AR434" t="s">
        <v>80</v>
      </c>
      <c r="AS434">
        <v>101</v>
      </c>
      <c r="AT434" t="s">
        <v>81</v>
      </c>
      <c r="AU434">
        <v>-37.630000000000003</v>
      </c>
      <c r="AV434">
        <v>10.38</v>
      </c>
      <c r="AW434" t="s">
        <v>82</v>
      </c>
      <c r="AX434">
        <v>133</v>
      </c>
      <c r="AY434" t="s">
        <v>81</v>
      </c>
      <c r="AZ434">
        <v>-52.43</v>
      </c>
      <c r="BA434">
        <v>10.44</v>
      </c>
      <c r="BB434" t="s">
        <v>83</v>
      </c>
    </row>
    <row r="435" spans="1:54" x14ac:dyDescent="0.4">
      <c r="A435">
        <v>840678</v>
      </c>
      <c r="D435" t="s">
        <v>54</v>
      </c>
      <c r="G435">
        <v>1</v>
      </c>
      <c r="H435" t="s">
        <v>84</v>
      </c>
      <c r="I435" t="s">
        <v>57</v>
      </c>
      <c r="K435" t="s">
        <v>85</v>
      </c>
      <c r="L435" t="s">
        <v>2826</v>
      </c>
      <c r="M435" t="s">
        <v>60</v>
      </c>
      <c r="O435" t="s">
        <v>87</v>
      </c>
      <c r="P435" t="s">
        <v>62</v>
      </c>
      <c r="R435" t="s">
        <v>63</v>
      </c>
      <c r="S435" t="s">
        <v>64</v>
      </c>
      <c r="T435">
        <v>227</v>
      </c>
      <c r="U435">
        <v>208.5</v>
      </c>
      <c r="V435">
        <f t="shared" si="12"/>
        <v>217.75</v>
      </c>
      <c r="W435">
        <f t="shared" si="13"/>
        <v>18.5</v>
      </c>
      <c r="X435">
        <v>-109.800003</v>
      </c>
      <c r="Y435">
        <v>34.866669000000002</v>
      </c>
      <c r="Z435" t="s">
        <v>198</v>
      </c>
      <c r="AA435" t="s">
        <v>66</v>
      </c>
      <c r="AB435" t="s">
        <v>583</v>
      </c>
      <c r="AC435" t="s">
        <v>735</v>
      </c>
      <c r="AD435" t="s">
        <v>174</v>
      </c>
      <c r="AF435" t="s">
        <v>1078</v>
      </c>
      <c r="AG435" t="s">
        <v>1079</v>
      </c>
      <c r="AH435" t="s">
        <v>72</v>
      </c>
      <c r="AI435" t="s">
        <v>2827</v>
      </c>
      <c r="AJ435">
        <v>2012</v>
      </c>
      <c r="AK435" t="s">
        <v>1080</v>
      </c>
      <c r="AM435" t="s">
        <v>1081</v>
      </c>
      <c r="AN435" t="s">
        <v>192</v>
      </c>
      <c r="AO435" t="s">
        <v>160</v>
      </c>
      <c r="AP435" t="s">
        <v>78</v>
      </c>
      <c r="AQ435" t="s">
        <v>1082</v>
      </c>
      <c r="AR435" t="s">
        <v>80</v>
      </c>
      <c r="AS435">
        <v>101</v>
      </c>
      <c r="AT435" t="s">
        <v>81</v>
      </c>
      <c r="AU435">
        <v>-37.630000000000003</v>
      </c>
      <c r="AV435">
        <v>10.36</v>
      </c>
      <c r="AW435" t="s">
        <v>82</v>
      </c>
      <c r="AX435">
        <v>133</v>
      </c>
      <c r="AY435" t="s">
        <v>81</v>
      </c>
      <c r="AZ435">
        <v>-52.43</v>
      </c>
      <c r="BA435">
        <v>10.42</v>
      </c>
      <c r="BB435" t="s">
        <v>83</v>
      </c>
    </row>
    <row r="436" spans="1:54" x14ac:dyDescent="0.4">
      <c r="A436">
        <v>840722</v>
      </c>
      <c r="D436" t="s">
        <v>54</v>
      </c>
      <c r="G436">
        <v>2</v>
      </c>
      <c r="H436" t="s">
        <v>84</v>
      </c>
      <c r="I436" t="s">
        <v>57</v>
      </c>
      <c r="K436" t="s">
        <v>85</v>
      </c>
      <c r="L436" t="s">
        <v>739</v>
      </c>
      <c r="M436" t="s">
        <v>60</v>
      </c>
      <c r="O436" t="s">
        <v>87</v>
      </c>
      <c r="P436" t="s">
        <v>62</v>
      </c>
      <c r="R436" t="s">
        <v>63</v>
      </c>
      <c r="S436" t="s">
        <v>64</v>
      </c>
      <c r="T436">
        <v>227</v>
      </c>
      <c r="U436">
        <v>208.5</v>
      </c>
      <c r="V436">
        <f t="shared" si="12"/>
        <v>217.75</v>
      </c>
      <c r="W436">
        <f t="shared" si="13"/>
        <v>18.5</v>
      </c>
      <c r="X436">
        <v>-109.800003</v>
      </c>
      <c r="Y436">
        <v>34.866669000000002</v>
      </c>
      <c r="Z436" t="s">
        <v>124</v>
      </c>
      <c r="AA436" t="s">
        <v>66</v>
      </c>
      <c r="AB436" t="s">
        <v>583</v>
      </c>
      <c r="AC436" t="s">
        <v>735</v>
      </c>
      <c r="AD436" t="s">
        <v>174</v>
      </c>
      <c r="AF436" t="s">
        <v>1078</v>
      </c>
      <c r="AH436" t="s">
        <v>72</v>
      </c>
      <c r="AI436" t="s">
        <v>740</v>
      </c>
      <c r="AJ436">
        <v>1995</v>
      </c>
      <c r="AK436" t="s">
        <v>2828</v>
      </c>
      <c r="AM436" t="s">
        <v>2829</v>
      </c>
      <c r="AN436" t="s">
        <v>192</v>
      </c>
      <c r="AO436" t="s">
        <v>160</v>
      </c>
      <c r="AR436" t="s">
        <v>80</v>
      </c>
      <c r="AS436">
        <v>101</v>
      </c>
      <c r="AT436" t="s">
        <v>81</v>
      </c>
      <c r="AU436">
        <v>-37.630000000000003</v>
      </c>
      <c r="AV436">
        <v>10.36</v>
      </c>
      <c r="AW436" t="s">
        <v>82</v>
      </c>
      <c r="AX436">
        <v>133</v>
      </c>
      <c r="AY436" t="s">
        <v>81</v>
      </c>
      <c r="AZ436">
        <v>-52.43</v>
      </c>
      <c r="BA436">
        <v>10.42</v>
      </c>
      <c r="BB436" t="s">
        <v>83</v>
      </c>
    </row>
    <row r="437" spans="1:54" x14ac:dyDescent="0.4">
      <c r="A437">
        <v>840723</v>
      </c>
      <c r="D437" t="s">
        <v>54</v>
      </c>
      <c r="G437">
        <v>1</v>
      </c>
      <c r="H437" t="s">
        <v>421</v>
      </c>
      <c r="I437" t="s">
        <v>57</v>
      </c>
      <c r="K437" t="s">
        <v>85</v>
      </c>
      <c r="L437" t="s">
        <v>1076</v>
      </c>
      <c r="M437" t="s">
        <v>60</v>
      </c>
      <c r="O437" t="s">
        <v>87</v>
      </c>
      <c r="P437" t="s">
        <v>62</v>
      </c>
      <c r="R437" t="s">
        <v>63</v>
      </c>
      <c r="S437" t="s">
        <v>64</v>
      </c>
      <c r="T437">
        <v>227</v>
      </c>
      <c r="U437">
        <v>208.5</v>
      </c>
      <c r="V437">
        <f t="shared" si="12"/>
        <v>217.75</v>
      </c>
      <c r="W437">
        <f t="shared" si="13"/>
        <v>18.5</v>
      </c>
      <c r="X437">
        <v>-109.800003</v>
      </c>
      <c r="Y437">
        <v>34.866669000000002</v>
      </c>
      <c r="Z437" t="s">
        <v>124</v>
      </c>
      <c r="AA437" t="s">
        <v>66</v>
      </c>
      <c r="AB437" t="s">
        <v>583</v>
      </c>
      <c r="AC437" t="s">
        <v>735</v>
      </c>
      <c r="AD437" t="s">
        <v>174</v>
      </c>
      <c r="AF437" t="s">
        <v>749</v>
      </c>
      <c r="AH437" t="s">
        <v>11</v>
      </c>
      <c r="AI437" t="s">
        <v>740</v>
      </c>
      <c r="AJ437">
        <v>1995</v>
      </c>
      <c r="AK437" t="s">
        <v>2830</v>
      </c>
      <c r="AN437" t="s">
        <v>192</v>
      </c>
      <c r="AO437" t="s">
        <v>160</v>
      </c>
      <c r="AR437" t="s">
        <v>80</v>
      </c>
      <c r="AS437">
        <v>101</v>
      </c>
      <c r="AT437" t="s">
        <v>81</v>
      </c>
      <c r="AU437">
        <v>-37.630000000000003</v>
      </c>
      <c r="AV437">
        <v>10.36</v>
      </c>
      <c r="AW437" t="s">
        <v>82</v>
      </c>
      <c r="AX437">
        <v>133</v>
      </c>
      <c r="AY437" t="s">
        <v>81</v>
      </c>
      <c r="AZ437">
        <v>-52.43</v>
      </c>
      <c r="BA437">
        <v>10.42</v>
      </c>
      <c r="BB437" t="s">
        <v>83</v>
      </c>
    </row>
    <row r="438" spans="1:54" x14ac:dyDescent="0.4">
      <c r="A438">
        <v>840767</v>
      </c>
      <c r="D438" t="s">
        <v>54</v>
      </c>
      <c r="G438">
        <v>1</v>
      </c>
      <c r="H438" t="s">
        <v>421</v>
      </c>
      <c r="I438" t="s">
        <v>57</v>
      </c>
      <c r="K438" t="s">
        <v>85</v>
      </c>
      <c r="L438" t="s">
        <v>1076</v>
      </c>
      <c r="M438" t="s">
        <v>60</v>
      </c>
      <c r="O438" t="s">
        <v>87</v>
      </c>
      <c r="P438" t="s">
        <v>62</v>
      </c>
      <c r="R438" t="s">
        <v>63</v>
      </c>
      <c r="S438" t="s">
        <v>64</v>
      </c>
      <c r="T438">
        <v>227</v>
      </c>
      <c r="U438">
        <v>208.5</v>
      </c>
      <c r="V438">
        <f t="shared" si="12"/>
        <v>217.75</v>
      </c>
      <c r="W438">
        <f t="shared" si="13"/>
        <v>18.5</v>
      </c>
      <c r="X438">
        <v>-109.85833</v>
      </c>
      <c r="Y438">
        <v>34.808334000000002</v>
      </c>
      <c r="Z438" t="s">
        <v>124</v>
      </c>
      <c r="AA438" t="s">
        <v>66</v>
      </c>
      <c r="AB438" t="s">
        <v>583</v>
      </c>
      <c r="AC438" t="s">
        <v>584</v>
      </c>
      <c r="AD438" t="s">
        <v>174</v>
      </c>
      <c r="AF438" t="s">
        <v>1078</v>
      </c>
      <c r="AH438" t="s">
        <v>72</v>
      </c>
      <c r="AI438" t="s">
        <v>740</v>
      </c>
      <c r="AJ438">
        <v>1995</v>
      </c>
      <c r="AK438" t="s">
        <v>2831</v>
      </c>
      <c r="AN438" t="s">
        <v>192</v>
      </c>
      <c r="AO438" t="s">
        <v>77</v>
      </c>
      <c r="AR438" t="s">
        <v>80</v>
      </c>
      <c r="AS438">
        <v>101</v>
      </c>
      <c r="AT438" t="s">
        <v>81</v>
      </c>
      <c r="AU438">
        <v>-37.69</v>
      </c>
      <c r="AV438">
        <v>10.31</v>
      </c>
      <c r="AW438" t="s">
        <v>82</v>
      </c>
      <c r="AX438">
        <v>133</v>
      </c>
      <c r="AY438" t="s">
        <v>81</v>
      </c>
      <c r="AZ438">
        <v>-52.49</v>
      </c>
      <c r="BA438">
        <v>10.38</v>
      </c>
      <c r="BB438" t="s">
        <v>83</v>
      </c>
    </row>
    <row r="439" spans="1:54" x14ac:dyDescent="0.4">
      <c r="A439">
        <v>840768</v>
      </c>
      <c r="D439" t="s">
        <v>54</v>
      </c>
      <c r="G439">
        <v>6</v>
      </c>
      <c r="H439" t="s">
        <v>421</v>
      </c>
      <c r="I439" t="s">
        <v>57</v>
      </c>
      <c r="K439" t="s">
        <v>85</v>
      </c>
      <c r="L439" t="s">
        <v>1076</v>
      </c>
      <c r="M439" t="s">
        <v>60</v>
      </c>
      <c r="O439" t="s">
        <v>87</v>
      </c>
      <c r="P439" t="s">
        <v>62</v>
      </c>
      <c r="R439" t="s">
        <v>63</v>
      </c>
      <c r="S439" t="s">
        <v>64</v>
      </c>
      <c r="T439">
        <v>227</v>
      </c>
      <c r="U439">
        <v>208.5</v>
      </c>
      <c r="V439">
        <f t="shared" si="12"/>
        <v>217.75</v>
      </c>
      <c r="W439">
        <f t="shared" si="13"/>
        <v>18.5</v>
      </c>
      <c r="X439">
        <v>-109.85833</v>
      </c>
      <c r="Y439">
        <v>34.808334000000002</v>
      </c>
      <c r="Z439" t="s">
        <v>124</v>
      </c>
      <c r="AA439" t="s">
        <v>66</v>
      </c>
      <c r="AB439" t="s">
        <v>583</v>
      </c>
      <c r="AC439" t="s">
        <v>584</v>
      </c>
      <c r="AD439" t="s">
        <v>174</v>
      </c>
      <c r="AF439" t="s">
        <v>1078</v>
      </c>
      <c r="AH439" t="s">
        <v>11</v>
      </c>
      <c r="AI439" t="s">
        <v>740</v>
      </c>
      <c r="AJ439">
        <v>1995</v>
      </c>
      <c r="AK439" t="s">
        <v>2831</v>
      </c>
      <c r="AN439" t="s">
        <v>192</v>
      </c>
      <c r="AO439" t="s">
        <v>77</v>
      </c>
      <c r="AR439" t="s">
        <v>80</v>
      </c>
      <c r="AS439">
        <v>101</v>
      </c>
      <c r="AT439" t="s">
        <v>81</v>
      </c>
      <c r="AU439">
        <v>-37.69</v>
      </c>
      <c r="AV439">
        <v>10.31</v>
      </c>
      <c r="AW439" t="s">
        <v>82</v>
      </c>
      <c r="AX439">
        <v>133</v>
      </c>
      <c r="AY439" t="s">
        <v>81</v>
      </c>
      <c r="AZ439">
        <v>-52.49</v>
      </c>
      <c r="BA439">
        <v>10.38</v>
      </c>
      <c r="BB439" t="s">
        <v>83</v>
      </c>
    </row>
    <row r="440" spans="1:54" x14ac:dyDescent="0.4">
      <c r="A440">
        <v>840769</v>
      </c>
      <c r="D440" t="s">
        <v>54</v>
      </c>
      <c r="G440">
        <v>3</v>
      </c>
      <c r="H440" t="s">
        <v>421</v>
      </c>
      <c r="I440" t="s">
        <v>57</v>
      </c>
      <c r="K440" t="s">
        <v>206</v>
      </c>
      <c r="L440" t="s">
        <v>744</v>
      </c>
      <c r="M440" t="s">
        <v>60</v>
      </c>
      <c r="O440" t="s">
        <v>170</v>
      </c>
      <c r="P440" t="s">
        <v>62</v>
      </c>
      <c r="R440" t="s">
        <v>63</v>
      </c>
      <c r="S440" t="s">
        <v>64</v>
      </c>
      <c r="T440">
        <v>227</v>
      </c>
      <c r="U440">
        <v>208.5</v>
      </c>
      <c r="V440">
        <f t="shared" si="12"/>
        <v>217.75</v>
      </c>
      <c r="W440">
        <f t="shared" si="13"/>
        <v>18.5</v>
      </c>
      <c r="X440">
        <v>-109.85833</v>
      </c>
      <c r="Y440">
        <v>34.808334000000002</v>
      </c>
      <c r="Z440" t="s">
        <v>124</v>
      </c>
      <c r="AA440" t="s">
        <v>66</v>
      </c>
      <c r="AB440" t="s">
        <v>583</v>
      </c>
      <c r="AC440" t="s">
        <v>584</v>
      </c>
      <c r="AD440" t="s">
        <v>174</v>
      </c>
      <c r="AF440" t="s">
        <v>1078</v>
      </c>
      <c r="AH440" t="s">
        <v>72</v>
      </c>
      <c r="AI440" t="s">
        <v>740</v>
      </c>
      <c r="AJ440">
        <v>1995</v>
      </c>
      <c r="AK440" t="s">
        <v>2831</v>
      </c>
      <c r="AN440" t="s">
        <v>192</v>
      </c>
      <c r="AO440" t="s">
        <v>77</v>
      </c>
      <c r="AR440" t="s">
        <v>80</v>
      </c>
      <c r="AS440">
        <v>101</v>
      </c>
      <c r="AT440" t="s">
        <v>81</v>
      </c>
      <c r="AU440">
        <v>-37.69</v>
      </c>
      <c r="AV440">
        <v>10.31</v>
      </c>
      <c r="AW440" t="s">
        <v>82</v>
      </c>
      <c r="AX440">
        <v>133</v>
      </c>
      <c r="AY440" t="s">
        <v>81</v>
      </c>
      <c r="AZ440">
        <v>-52.49</v>
      </c>
      <c r="BA440">
        <v>10.38</v>
      </c>
      <c r="BB440" t="s">
        <v>83</v>
      </c>
    </row>
    <row r="441" spans="1:54" x14ac:dyDescent="0.4">
      <c r="A441">
        <v>841816</v>
      </c>
      <c r="D441" t="s">
        <v>54</v>
      </c>
      <c r="G441">
        <v>2</v>
      </c>
      <c r="H441" t="s">
        <v>421</v>
      </c>
      <c r="I441" t="s">
        <v>57</v>
      </c>
      <c r="K441" t="s">
        <v>85</v>
      </c>
      <c r="L441" t="s">
        <v>1076</v>
      </c>
      <c r="M441" t="s">
        <v>60</v>
      </c>
      <c r="O441" t="s">
        <v>87</v>
      </c>
      <c r="P441" t="s">
        <v>62</v>
      </c>
      <c r="R441" t="s">
        <v>63</v>
      </c>
      <c r="S441" t="s">
        <v>64</v>
      </c>
      <c r="T441">
        <v>227</v>
      </c>
      <c r="U441">
        <v>208.5</v>
      </c>
      <c r="V441">
        <f t="shared" si="12"/>
        <v>217.75</v>
      </c>
      <c r="W441">
        <f t="shared" si="13"/>
        <v>18.5</v>
      </c>
      <c r="X441">
        <v>-109.150002</v>
      </c>
      <c r="Y441">
        <v>35.283332999999999</v>
      </c>
      <c r="Z441" t="s">
        <v>124</v>
      </c>
      <c r="AA441" t="s">
        <v>66</v>
      </c>
      <c r="AB441" t="s">
        <v>583</v>
      </c>
      <c r="AC441" t="s">
        <v>735</v>
      </c>
      <c r="AD441" t="s">
        <v>174</v>
      </c>
      <c r="AF441" t="s">
        <v>1068</v>
      </c>
      <c r="AH441" t="s">
        <v>11</v>
      </c>
      <c r="AI441" t="s">
        <v>740</v>
      </c>
      <c r="AJ441">
        <v>1995</v>
      </c>
      <c r="AK441" t="s">
        <v>2842</v>
      </c>
      <c r="AN441" t="s">
        <v>192</v>
      </c>
      <c r="AO441" t="s">
        <v>160</v>
      </c>
      <c r="AQ441" t="s">
        <v>2843</v>
      </c>
      <c r="AR441" t="s">
        <v>80</v>
      </c>
      <c r="AS441">
        <v>101</v>
      </c>
      <c r="AT441" t="s">
        <v>81</v>
      </c>
      <c r="AU441">
        <v>-37.020000000000003</v>
      </c>
      <c r="AV441">
        <v>10.66</v>
      </c>
      <c r="AW441" t="s">
        <v>82</v>
      </c>
      <c r="AX441">
        <v>133</v>
      </c>
      <c r="AY441" t="s">
        <v>81</v>
      </c>
      <c r="AZ441">
        <v>-51.83</v>
      </c>
      <c r="BA441">
        <v>10.74</v>
      </c>
      <c r="BB441" t="s">
        <v>83</v>
      </c>
    </row>
    <row r="442" spans="1:54" x14ac:dyDescent="0.4">
      <c r="A442">
        <v>841818</v>
      </c>
      <c r="D442" t="s">
        <v>54</v>
      </c>
      <c r="G442">
        <v>5</v>
      </c>
      <c r="H442" t="s">
        <v>421</v>
      </c>
      <c r="I442" t="s">
        <v>57</v>
      </c>
      <c r="K442" t="s">
        <v>206</v>
      </c>
      <c r="L442" t="s">
        <v>207</v>
      </c>
      <c r="M442" t="s">
        <v>60</v>
      </c>
      <c r="O442" t="s">
        <v>170</v>
      </c>
      <c r="P442" t="s">
        <v>62</v>
      </c>
      <c r="R442" t="s">
        <v>63</v>
      </c>
      <c r="S442" t="s">
        <v>64</v>
      </c>
      <c r="T442">
        <v>227</v>
      </c>
      <c r="U442">
        <v>208.5</v>
      </c>
      <c r="V442">
        <f t="shared" si="12"/>
        <v>217.75</v>
      </c>
      <c r="W442">
        <f t="shared" si="13"/>
        <v>18.5</v>
      </c>
      <c r="X442">
        <v>-109.155281</v>
      </c>
      <c r="Y442">
        <v>35.630553999999997</v>
      </c>
      <c r="Z442" t="s">
        <v>124</v>
      </c>
      <c r="AA442" t="s">
        <v>66</v>
      </c>
      <c r="AB442" t="s">
        <v>583</v>
      </c>
      <c r="AC442" t="s">
        <v>735</v>
      </c>
      <c r="AD442" t="s">
        <v>174</v>
      </c>
      <c r="AF442" t="s">
        <v>1068</v>
      </c>
      <c r="AH442" t="s">
        <v>11</v>
      </c>
      <c r="AI442" t="s">
        <v>208</v>
      </c>
      <c r="AJ442">
        <v>2008</v>
      </c>
      <c r="AK442" t="s">
        <v>2844</v>
      </c>
      <c r="AN442" t="s">
        <v>192</v>
      </c>
      <c r="AO442" t="s">
        <v>77</v>
      </c>
      <c r="AP442" t="s">
        <v>115</v>
      </c>
      <c r="AQ442" t="s">
        <v>2845</v>
      </c>
      <c r="AR442" t="s">
        <v>80</v>
      </c>
      <c r="AS442">
        <v>101</v>
      </c>
      <c r="AT442" t="s">
        <v>81</v>
      </c>
      <c r="AU442">
        <v>-36.950000000000003</v>
      </c>
      <c r="AV442">
        <v>11</v>
      </c>
      <c r="AW442" t="s">
        <v>82</v>
      </c>
      <c r="AX442">
        <v>133</v>
      </c>
      <c r="AY442" t="s">
        <v>81</v>
      </c>
      <c r="AZ442">
        <v>-51.77</v>
      </c>
      <c r="BA442">
        <v>11.09</v>
      </c>
      <c r="BB442" t="s">
        <v>83</v>
      </c>
    </row>
    <row r="443" spans="1:54" x14ac:dyDescent="0.4">
      <c r="A443">
        <v>841820</v>
      </c>
      <c r="D443" t="s">
        <v>54</v>
      </c>
      <c r="G443">
        <v>1</v>
      </c>
      <c r="H443" t="s">
        <v>421</v>
      </c>
      <c r="I443" t="s">
        <v>57</v>
      </c>
      <c r="K443" t="s">
        <v>206</v>
      </c>
      <c r="L443" t="s">
        <v>744</v>
      </c>
      <c r="M443" t="s">
        <v>60</v>
      </c>
      <c r="O443" t="s">
        <v>170</v>
      </c>
      <c r="P443" t="s">
        <v>62</v>
      </c>
      <c r="R443" t="s">
        <v>63</v>
      </c>
      <c r="S443" t="s">
        <v>64</v>
      </c>
      <c r="T443">
        <v>227</v>
      </c>
      <c r="U443">
        <v>208.5</v>
      </c>
      <c r="V443">
        <f t="shared" si="12"/>
        <v>217.75</v>
      </c>
      <c r="W443">
        <f t="shared" si="13"/>
        <v>18.5</v>
      </c>
      <c r="X443">
        <v>-109.097221</v>
      </c>
      <c r="Y443">
        <v>35.627777000000002</v>
      </c>
      <c r="Z443" t="s">
        <v>124</v>
      </c>
      <c r="AA443" t="s">
        <v>66</v>
      </c>
      <c r="AB443" t="s">
        <v>583</v>
      </c>
      <c r="AC443" t="s">
        <v>735</v>
      </c>
      <c r="AD443" t="s">
        <v>174</v>
      </c>
      <c r="AF443" t="s">
        <v>1068</v>
      </c>
      <c r="AH443" t="s">
        <v>72</v>
      </c>
      <c r="AI443" t="s">
        <v>740</v>
      </c>
      <c r="AJ443">
        <v>1995</v>
      </c>
      <c r="AK443" t="s">
        <v>2846</v>
      </c>
      <c r="AN443" t="s">
        <v>192</v>
      </c>
      <c r="AO443" t="s">
        <v>77</v>
      </c>
      <c r="AQ443" t="s">
        <v>2847</v>
      </c>
      <c r="AR443" t="s">
        <v>80</v>
      </c>
      <c r="AS443">
        <v>101</v>
      </c>
      <c r="AT443" t="s">
        <v>81</v>
      </c>
      <c r="AU443">
        <v>-36.9</v>
      </c>
      <c r="AV443">
        <v>10.99</v>
      </c>
      <c r="AW443" t="s">
        <v>82</v>
      </c>
      <c r="AX443">
        <v>133</v>
      </c>
      <c r="AY443" t="s">
        <v>81</v>
      </c>
      <c r="AZ443">
        <v>-51.72</v>
      </c>
      <c r="BA443">
        <v>11.08</v>
      </c>
      <c r="BB443" t="s">
        <v>83</v>
      </c>
    </row>
    <row r="444" spans="1:54" x14ac:dyDescent="0.4">
      <c r="A444">
        <v>841821</v>
      </c>
      <c r="D444" t="s">
        <v>54</v>
      </c>
      <c r="G444">
        <v>1</v>
      </c>
      <c r="H444" t="s">
        <v>421</v>
      </c>
      <c r="I444" t="s">
        <v>57</v>
      </c>
      <c r="K444" t="s">
        <v>141</v>
      </c>
      <c r="L444" t="s">
        <v>766</v>
      </c>
      <c r="M444" t="s">
        <v>60</v>
      </c>
      <c r="O444" t="s">
        <v>87</v>
      </c>
      <c r="P444" t="s">
        <v>62</v>
      </c>
      <c r="R444" t="s">
        <v>63</v>
      </c>
      <c r="S444" t="s">
        <v>64</v>
      </c>
      <c r="T444">
        <v>227</v>
      </c>
      <c r="U444">
        <v>208.5</v>
      </c>
      <c r="V444">
        <f t="shared" si="12"/>
        <v>217.75</v>
      </c>
      <c r="W444">
        <f t="shared" si="13"/>
        <v>18.5</v>
      </c>
      <c r="X444">
        <v>-109.097221</v>
      </c>
      <c r="Y444">
        <v>35.627777000000002</v>
      </c>
      <c r="Z444" t="s">
        <v>124</v>
      </c>
      <c r="AA444" t="s">
        <v>66</v>
      </c>
      <c r="AB444" t="s">
        <v>583</v>
      </c>
      <c r="AC444" t="s">
        <v>735</v>
      </c>
      <c r="AD444" t="s">
        <v>174</v>
      </c>
      <c r="AF444" t="s">
        <v>1068</v>
      </c>
      <c r="AH444" t="s">
        <v>72</v>
      </c>
      <c r="AI444" t="s">
        <v>740</v>
      </c>
      <c r="AJ444">
        <v>1995</v>
      </c>
      <c r="AK444" t="s">
        <v>2846</v>
      </c>
      <c r="AN444" t="s">
        <v>192</v>
      </c>
      <c r="AO444" t="s">
        <v>77</v>
      </c>
      <c r="AQ444" t="s">
        <v>2847</v>
      </c>
      <c r="AR444" t="s">
        <v>80</v>
      </c>
      <c r="AS444">
        <v>101</v>
      </c>
      <c r="AT444" t="s">
        <v>81</v>
      </c>
      <c r="AU444">
        <v>-36.9</v>
      </c>
      <c r="AV444">
        <v>10.99</v>
      </c>
      <c r="AW444" t="s">
        <v>82</v>
      </c>
      <c r="AX444">
        <v>133</v>
      </c>
      <c r="AY444" t="s">
        <v>81</v>
      </c>
      <c r="AZ444">
        <v>-51.72</v>
      </c>
      <c r="BA444">
        <v>11.08</v>
      </c>
      <c r="BB444" t="s">
        <v>83</v>
      </c>
    </row>
    <row r="445" spans="1:54" x14ac:dyDescent="0.4">
      <c r="A445">
        <v>841822</v>
      </c>
      <c r="D445" t="s">
        <v>54</v>
      </c>
      <c r="G445">
        <v>1</v>
      </c>
      <c r="H445" t="s">
        <v>421</v>
      </c>
      <c r="I445" t="s">
        <v>57</v>
      </c>
      <c r="K445" t="s">
        <v>206</v>
      </c>
      <c r="L445" t="s">
        <v>207</v>
      </c>
      <c r="M445" t="s">
        <v>60</v>
      </c>
      <c r="O445" t="s">
        <v>170</v>
      </c>
      <c r="P445" t="s">
        <v>62</v>
      </c>
      <c r="R445" t="s">
        <v>63</v>
      </c>
      <c r="S445" t="s">
        <v>64</v>
      </c>
      <c r="T445">
        <v>227</v>
      </c>
      <c r="U445">
        <v>208.5</v>
      </c>
      <c r="V445">
        <f t="shared" si="12"/>
        <v>217.75</v>
      </c>
      <c r="W445">
        <f t="shared" si="13"/>
        <v>18.5</v>
      </c>
      <c r="X445">
        <v>-109.197777</v>
      </c>
      <c r="Y445">
        <v>35.354168000000001</v>
      </c>
      <c r="Z445" t="s">
        <v>124</v>
      </c>
      <c r="AA445" t="s">
        <v>66</v>
      </c>
      <c r="AB445" t="s">
        <v>583</v>
      </c>
      <c r="AC445" t="s">
        <v>735</v>
      </c>
      <c r="AD445" t="s">
        <v>174</v>
      </c>
      <c r="AF445" t="s">
        <v>1068</v>
      </c>
      <c r="AH445" t="s">
        <v>11</v>
      </c>
      <c r="AI445" t="s">
        <v>208</v>
      </c>
      <c r="AJ445">
        <v>2008</v>
      </c>
      <c r="AK445" t="s">
        <v>2848</v>
      </c>
      <c r="AN445" t="s">
        <v>192</v>
      </c>
      <c r="AO445" t="s">
        <v>77</v>
      </c>
      <c r="AQ445" t="s">
        <v>2849</v>
      </c>
      <c r="AR445" t="s">
        <v>80</v>
      </c>
      <c r="AS445">
        <v>101</v>
      </c>
      <c r="AT445" t="s">
        <v>81</v>
      </c>
      <c r="AU445">
        <v>-37.04</v>
      </c>
      <c r="AV445">
        <v>10.74</v>
      </c>
      <c r="AW445" t="s">
        <v>82</v>
      </c>
      <c r="AX445">
        <v>133</v>
      </c>
      <c r="AY445" t="s">
        <v>81</v>
      </c>
      <c r="AZ445">
        <v>-51.85</v>
      </c>
      <c r="BA445">
        <v>10.82</v>
      </c>
      <c r="BB445" t="s">
        <v>83</v>
      </c>
    </row>
    <row r="446" spans="1:54" x14ac:dyDescent="0.4">
      <c r="A446">
        <v>841824</v>
      </c>
      <c r="D446" t="s">
        <v>54</v>
      </c>
      <c r="G446">
        <v>1</v>
      </c>
      <c r="H446" t="s">
        <v>421</v>
      </c>
      <c r="I446" t="s">
        <v>57</v>
      </c>
      <c r="K446" t="s">
        <v>85</v>
      </c>
      <c r="L446" t="s">
        <v>1076</v>
      </c>
      <c r="M446" t="s">
        <v>60</v>
      </c>
      <c r="O446" t="s">
        <v>87</v>
      </c>
      <c r="P446" t="s">
        <v>62</v>
      </c>
      <c r="R446" t="s">
        <v>63</v>
      </c>
      <c r="S446" t="s">
        <v>64</v>
      </c>
      <c r="T446">
        <v>227</v>
      </c>
      <c r="U446">
        <v>208.5</v>
      </c>
      <c r="V446">
        <f t="shared" si="12"/>
        <v>217.75</v>
      </c>
      <c r="W446">
        <f t="shared" si="13"/>
        <v>18.5</v>
      </c>
      <c r="X446">
        <v>-109.449997</v>
      </c>
      <c r="Y446">
        <v>36</v>
      </c>
      <c r="Z446" t="s">
        <v>124</v>
      </c>
      <c r="AA446" t="s">
        <v>66</v>
      </c>
      <c r="AB446" t="s">
        <v>583</v>
      </c>
      <c r="AC446" t="s">
        <v>584</v>
      </c>
      <c r="AD446" t="s">
        <v>174</v>
      </c>
      <c r="AF446" t="s">
        <v>1068</v>
      </c>
      <c r="AH446" t="s">
        <v>11</v>
      </c>
      <c r="AI446" t="s">
        <v>740</v>
      </c>
      <c r="AJ446">
        <v>1995</v>
      </c>
      <c r="AK446" t="s">
        <v>2850</v>
      </c>
      <c r="AN446" t="s">
        <v>192</v>
      </c>
      <c r="AO446" t="s">
        <v>657</v>
      </c>
      <c r="AQ446" t="s">
        <v>2851</v>
      </c>
      <c r="AR446" t="s">
        <v>80</v>
      </c>
      <c r="AS446">
        <v>101</v>
      </c>
      <c r="AT446" t="s">
        <v>81</v>
      </c>
      <c r="AU446">
        <v>-37.11</v>
      </c>
      <c r="AV446">
        <v>11.41</v>
      </c>
      <c r="AW446" t="s">
        <v>82</v>
      </c>
      <c r="AX446">
        <v>133</v>
      </c>
      <c r="AY446" t="s">
        <v>81</v>
      </c>
      <c r="AZ446">
        <v>-51.95</v>
      </c>
      <c r="BA446">
        <v>11.49</v>
      </c>
      <c r="BB446" t="s">
        <v>83</v>
      </c>
    </row>
    <row r="447" spans="1:54" x14ac:dyDescent="0.4">
      <c r="A447">
        <v>841825</v>
      </c>
      <c r="D447" t="s">
        <v>54</v>
      </c>
      <c r="G447">
        <v>2</v>
      </c>
      <c r="H447" t="s">
        <v>421</v>
      </c>
      <c r="I447" t="s">
        <v>57</v>
      </c>
      <c r="K447" t="s">
        <v>206</v>
      </c>
      <c r="L447" t="s">
        <v>744</v>
      </c>
      <c r="M447" t="s">
        <v>60</v>
      </c>
      <c r="O447" t="s">
        <v>170</v>
      </c>
      <c r="P447" t="s">
        <v>62</v>
      </c>
      <c r="R447" t="s">
        <v>63</v>
      </c>
      <c r="S447" t="s">
        <v>64</v>
      </c>
      <c r="T447">
        <v>227</v>
      </c>
      <c r="U447">
        <v>208.5</v>
      </c>
      <c r="V447">
        <f t="shared" si="12"/>
        <v>217.75</v>
      </c>
      <c r="W447">
        <f t="shared" si="13"/>
        <v>18.5</v>
      </c>
      <c r="X447">
        <v>-109.449997</v>
      </c>
      <c r="Y447">
        <v>36</v>
      </c>
      <c r="Z447" t="s">
        <v>124</v>
      </c>
      <c r="AA447" t="s">
        <v>66</v>
      </c>
      <c r="AB447" t="s">
        <v>583</v>
      </c>
      <c r="AC447" t="s">
        <v>584</v>
      </c>
      <c r="AD447" t="s">
        <v>174</v>
      </c>
      <c r="AF447" t="s">
        <v>1068</v>
      </c>
      <c r="AH447" t="s">
        <v>72</v>
      </c>
      <c r="AI447" t="s">
        <v>740</v>
      </c>
      <c r="AJ447">
        <v>1995</v>
      </c>
      <c r="AK447" t="s">
        <v>2850</v>
      </c>
      <c r="AN447" t="s">
        <v>192</v>
      </c>
      <c r="AO447" t="s">
        <v>657</v>
      </c>
      <c r="AQ447" t="s">
        <v>2851</v>
      </c>
      <c r="AR447" t="s">
        <v>80</v>
      </c>
      <c r="AS447">
        <v>101</v>
      </c>
      <c r="AT447" t="s">
        <v>81</v>
      </c>
      <c r="AU447">
        <v>-37.11</v>
      </c>
      <c r="AV447">
        <v>11.41</v>
      </c>
      <c r="AW447" t="s">
        <v>82</v>
      </c>
      <c r="AX447">
        <v>133</v>
      </c>
      <c r="AY447" t="s">
        <v>81</v>
      </c>
      <c r="AZ447">
        <v>-51.95</v>
      </c>
      <c r="BA447">
        <v>11.49</v>
      </c>
      <c r="BB447" t="s">
        <v>83</v>
      </c>
    </row>
    <row r="448" spans="1:54" x14ac:dyDescent="0.4">
      <c r="A448">
        <v>841827</v>
      </c>
      <c r="D448" t="s">
        <v>54</v>
      </c>
      <c r="G448">
        <v>1</v>
      </c>
      <c r="H448" t="s">
        <v>56</v>
      </c>
      <c r="I448" t="s">
        <v>57</v>
      </c>
      <c r="K448" t="s">
        <v>85</v>
      </c>
      <c r="L448" t="s">
        <v>1076</v>
      </c>
      <c r="M448" t="s">
        <v>60</v>
      </c>
      <c r="O448" t="s">
        <v>87</v>
      </c>
      <c r="P448" t="s">
        <v>62</v>
      </c>
      <c r="R448" t="s">
        <v>63</v>
      </c>
      <c r="S448" t="s">
        <v>64</v>
      </c>
      <c r="T448">
        <v>227</v>
      </c>
      <c r="U448">
        <v>208.5</v>
      </c>
      <c r="V448">
        <f t="shared" si="12"/>
        <v>217.75</v>
      </c>
      <c r="W448">
        <f t="shared" si="13"/>
        <v>18.5</v>
      </c>
      <c r="X448">
        <v>-109.449997</v>
      </c>
      <c r="Y448">
        <v>36</v>
      </c>
      <c r="Z448" t="s">
        <v>124</v>
      </c>
      <c r="AA448" t="s">
        <v>66</v>
      </c>
      <c r="AB448" t="s">
        <v>583</v>
      </c>
      <c r="AC448" t="s">
        <v>584</v>
      </c>
      <c r="AD448" t="s">
        <v>174</v>
      </c>
      <c r="AF448" t="s">
        <v>1068</v>
      </c>
      <c r="AH448" t="s">
        <v>11</v>
      </c>
      <c r="AI448" t="s">
        <v>740</v>
      </c>
      <c r="AJ448">
        <v>1995</v>
      </c>
      <c r="AK448" t="s">
        <v>2852</v>
      </c>
      <c r="AN448" t="s">
        <v>192</v>
      </c>
      <c r="AO448" t="s">
        <v>657</v>
      </c>
      <c r="AR448" t="s">
        <v>80</v>
      </c>
      <c r="AS448">
        <v>101</v>
      </c>
      <c r="AT448" t="s">
        <v>81</v>
      </c>
      <c r="AU448">
        <v>-37.11</v>
      </c>
      <c r="AV448">
        <v>11.41</v>
      </c>
      <c r="AW448" t="s">
        <v>82</v>
      </c>
      <c r="AX448">
        <v>133</v>
      </c>
      <c r="AY448" t="s">
        <v>81</v>
      </c>
      <c r="AZ448">
        <v>-51.95</v>
      </c>
      <c r="BA448">
        <v>11.49</v>
      </c>
      <c r="BB448" t="s">
        <v>83</v>
      </c>
    </row>
    <row r="449" spans="1:54" x14ac:dyDescent="0.4">
      <c r="A449">
        <v>841828</v>
      </c>
      <c r="D449" t="s">
        <v>54</v>
      </c>
      <c r="G449">
        <v>1</v>
      </c>
      <c r="H449" t="s">
        <v>56</v>
      </c>
      <c r="I449" t="s">
        <v>57</v>
      </c>
      <c r="K449" t="s">
        <v>85</v>
      </c>
      <c r="L449" t="s">
        <v>739</v>
      </c>
      <c r="M449" t="s">
        <v>60</v>
      </c>
      <c r="O449" t="s">
        <v>87</v>
      </c>
      <c r="P449" t="s">
        <v>62</v>
      </c>
      <c r="R449" t="s">
        <v>63</v>
      </c>
      <c r="S449" t="s">
        <v>64</v>
      </c>
      <c r="T449">
        <v>227</v>
      </c>
      <c r="U449">
        <v>208.5</v>
      </c>
      <c r="V449">
        <f t="shared" si="12"/>
        <v>217.75</v>
      </c>
      <c r="W449">
        <f t="shared" si="13"/>
        <v>18.5</v>
      </c>
      <c r="X449">
        <v>-109.538887</v>
      </c>
      <c r="Y449">
        <v>35.941665999999998</v>
      </c>
      <c r="Z449" t="s">
        <v>124</v>
      </c>
      <c r="AA449" t="s">
        <v>66</v>
      </c>
      <c r="AB449" t="s">
        <v>583</v>
      </c>
      <c r="AC449" t="s">
        <v>584</v>
      </c>
      <c r="AD449" t="s">
        <v>174</v>
      </c>
      <c r="AF449" t="s">
        <v>1068</v>
      </c>
      <c r="AH449" t="s">
        <v>72</v>
      </c>
      <c r="AI449" t="s">
        <v>740</v>
      </c>
      <c r="AJ449">
        <v>1995</v>
      </c>
      <c r="AK449" t="s">
        <v>2853</v>
      </c>
      <c r="AN449" t="s">
        <v>192</v>
      </c>
      <c r="AO449" t="s">
        <v>77</v>
      </c>
      <c r="AP449" t="s">
        <v>115</v>
      </c>
      <c r="AQ449" t="s">
        <v>2854</v>
      </c>
      <c r="AR449" t="s">
        <v>80</v>
      </c>
      <c r="AS449">
        <v>101</v>
      </c>
      <c r="AT449" t="s">
        <v>81</v>
      </c>
      <c r="AU449">
        <v>-37.200000000000003</v>
      </c>
      <c r="AV449">
        <v>11.37</v>
      </c>
      <c r="AW449" t="s">
        <v>82</v>
      </c>
      <c r="AX449">
        <v>133</v>
      </c>
      <c r="AY449" t="s">
        <v>81</v>
      </c>
      <c r="AZ449">
        <v>-52.03</v>
      </c>
      <c r="BA449">
        <v>11.45</v>
      </c>
      <c r="BB449" t="s">
        <v>83</v>
      </c>
    </row>
    <row r="450" spans="1:54" x14ac:dyDescent="0.4">
      <c r="A450">
        <v>841831</v>
      </c>
      <c r="D450" t="s">
        <v>54</v>
      </c>
      <c r="G450">
        <v>1</v>
      </c>
      <c r="H450" t="s">
        <v>56</v>
      </c>
      <c r="I450" t="s">
        <v>57</v>
      </c>
      <c r="K450" t="s">
        <v>85</v>
      </c>
      <c r="L450" t="s">
        <v>1076</v>
      </c>
      <c r="M450" t="s">
        <v>60</v>
      </c>
      <c r="O450" t="s">
        <v>87</v>
      </c>
      <c r="P450" t="s">
        <v>62</v>
      </c>
      <c r="R450" t="s">
        <v>63</v>
      </c>
      <c r="S450" t="s">
        <v>64</v>
      </c>
      <c r="T450">
        <v>227</v>
      </c>
      <c r="U450">
        <v>208.5</v>
      </c>
      <c r="V450">
        <f t="shared" si="12"/>
        <v>217.75</v>
      </c>
      <c r="W450">
        <f t="shared" si="13"/>
        <v>18.5</v>
      </c>
      <c r="X450">
        <v>-109.333336</v>
      </c>
      <c r="Y450">
        <v>36.416668000000001</v>
      </c>
      <c r="Z450" t="s">
        <v>124</v>
      </c>
      <c r="AA450" t="s">
        <v>66</v>
      </c>
      <c r="AB450" t="s">
        <v>583</v>
      </c>
      <c r="AC450" t="s">
        <v>735</v>
      </c>
      <c r="AD450" t="s">
        <v>174</v>
      </c>
      <c r="AF450" t="s">
        <v>749</v>
      </c>
      <c r="AH450" t="s">
        <v>11</v>
      </c>
      <c r="AI450" t="s">
        <v>740</v>
      </c>
      <c r="AJ450">
        <v>1995</v>
      </c>
      <c r="AK450" t="s">
        <v>2855</v>
      </c>
      <c r="AN450" t="s">
        <v>192</v>
      </c>
      <c r="AO450" t="s">
        <v>160</v>
      </c>
      <c r="AQ450" t="s">
        <v>2856</v>
      </c>
      <c r="AR450" t="s">
        <v>80</v>
      </c>
      <c r="AS450">
        <v>101</v>
      </c>
      <c r="AT450" t="s">
        <v>81</v>
      </c>
      <c r="AU450">
        <v>-36.93</v>
      </c>
      <c r="AV450">
        <v>11.8</v>
      </c>
      <c r="AW450" t="s">
        <v>82</v>
      </c>
      <c r="AX450">
        <v>133</v>
      </c>
      <c r="AY450" t="s">
        <v>81</v>
      </c>
      <c r="AZ450">
        <v>-51.78</v>
      </c>
      <c r="BA450">
        <v>11.89</v>
      </c>
      <c r="BB450" t="s">
        <v>83</v>
      </c>
    </row>
    <row r="451" spans="1:54" x14ac:dyDescent="0.4">
      <c r="A451">
        <v>841834</v>
      </c>
      <c r="D451" t="s">
        <v>54</v>
      </c>
      <c r="E451" t="s">
        <v>55</v>
      </c>
      <c r="G451">
        <v>1</v>
      </c>
      <c r="H451" t="s">
        <v>56</v>
      </c>
      <c r="I451" t="s">
        <v>57</v>
      </c>
      <c r="K451" t="s">
        <v>85</v>
      </c>
      <c r="L451" t="s">
        <v>739</v>
      </c>
      <c r="M451" t="s">
        <v>60</v>
      </c>
      <c r="O451" t="s">
        <v>87</v>
      </c>
      <c r="P451" t="s">
        <v>62</v>
      </c>
      <c r="R451" t="s">
        <v>63</v>
      </c>
      <c r="S451" t="s">
        <v>64</v>
      </c>
      <c r="T451">
        <v>227</v>
      </c>
      <c r="U451">
        <v>208.5</v>
      </c>
      <c r="V451">
        <f t="shared" ref="V451:V514" si="14">(T451+U451)/2</f>
        <v>217.75</v>
      </c>
      <c r="W451">
        <f t="shared" ref="W451:W514" si="15">T451-U451</f>
        <v>18.5</v>
      </c>
      <c r="X451">
        <v>-109.566666</v>
      </c>
      <c r="Y451">
        <v>36.450001</v>
      </c>
      <c r="Z451" t="s">
        <v>124</v>
      </c>
      <c r="AA451" t="s">
        <v>66</v>
      </c>
      <c r="AB451" t="s">
        <v>583</v>
      </c>
      <c r="AC451" t="s">
        <v>735</v>
      </c>
      <c r="AD451" t="s">
        <v>174</v>
      </c>
      <c r="AF451" t="s">
        <v>1068</v>
      </c>
      <c r="AH451" t="s">
        <v>72</v>
      </c>
      <c r="AI451" t="s">
        <v>740</v>
      </c>
      <c r="AJ451">
        <v>1995</v>
      </c>
      <c r="AK451" t="s">
        <v>2857</v>
      </c>
      <c r="AM451" t="s">
        <v>2858</v>
      </c>
      <c r="AN451" t="s">
        <v>192</v>
      </c>
      <c r="AO451" t="s">
        <v>160</v>
      </c>
      <c r="AP451" t="s">
        <v>115</v>
      </c>
      <c r="AQ451" t="s">
        <v>2859</v>
      </c>
      <c r="AR451" t="s">
        <v>80</v>
      </c>
      <c r="AS451">
        <v>101</v>
      </c>
      <c r="AT451" t="s">
        <v>81</v>
      </c>
      <c r="AU451">
        <v>-37.11</v>
      </c>
      <c r="AV451">
        <v>11.87</v>
      </c>
      <c r="AW451" t="s">
        <v>82</v>
      </c>
      <c r="AX451">
        <v>133</v>
      </c>
      <c r="AY451" t="s">
        <v>81</v>
      </c>
      <c r="AZ451">
        <v>-51.96</v>
      </c>
      <c r="BA451">
        <v>11.95</v>
      </c>
      <c r="BB451" t="s">
        <v>83</v>
      </c>
    </row>
    <row r="452" spans="1:54" x14ac:dyDescent="0.4">
      <c r="A452">
        <v>841836</v>
      </c>
      <c r="D452" t="s">
        <v>54</v>
      </c>
      <c r="E452" t="s">
        <v>55</v>
      </c>
      <c r="G452">
        <v>1</v>
      </c>
      <c r="H452" t="s">
        <v>56</v>
      </c>
      <c r="I452" t="s">
        <v>57</v>
      </c>
      <c r="K452" t="s">
        <v>85</v>
      </c>
      <c r="L452" t="s">
        <v>739</v>
      </c>
      <c r="M452" t="s">
        <v>60</v>
      </c>
      <c r="O452" t="s">
        <v>87</v>
      </c>
      <c r="P452" t="s">
        <v>62</v>
      </c>
      <c r="R452" t="s">
        <v>63</v>
      </c>
      <c r="S452" t="s">
        <v>64</v>
      </c>
      <c r="T452">
        <v>227</v>
      </c>
      <c r="U452">
        <v>208.5</v>
      </c>
      <c r="V452">
        <f t="shared" si="14"/>
        <v>217.75</v>
      </c>
      <c r="W452">
        <f t="shared" si="15"/>
        <v>18.5</v>
      </c>
      <c r="X452">
        <v>-109.466667</v>
      </c>
      <c r="Y452">
        <v>36.349997999999999</v>
      </c>
      <c r="Z452" t="s">
        <v>124</v>
      </c>
      <c r="AA452" t="s">
        <v>66</v>
      </c>
      <c r="AB452" t="s">
        <v>583</v>
      </c>
      <c r="AC452" t="s">
        <v>735</v>
      </c>
      <c r="AD452" t="s">
        <v>174</v>
      </c>
      <c r="AF452" t="s">
        <v>1068</v>
      </c>
      <c r="AH452" t="s">
        <v>72</v>
      </c>
      <c r="AI452" t="s">
        <v>740</v>
      </c>
      <c r="AJ452">
        <v>1995</v>
      </c>
      <c r="AK452" t="s">
        <v>2860</v>
      </c>
      <c r="AN452" t="s">
        <v>192</v>
      </c>
      <c r="AO452" t="s">
        <v>160</v>
      </c>
      <c r="AQ452" t="s">
        <v>2861</v>
      </c>
      <c r="AR452" t="s">
        <v>80</v>
      </c>
      <c r="AS452">
        <v>101</v>
      </c>
      <c r="AT452" t="s">
        <v>81</v>
      </c>
      <c r="AU452">
        <v>-37.049999999999997</v>
      </c>
      <c r="AV452">
        <v>11.75</v>
      </c>
      <c r="AW452" t="s">
        <v>82</v>
      </c>
      <c r="AX452">
        <v>133</v>
      </c>
      <c r="AY452" t="s">
        <v>81</v>
      </c>
      <c r="AZ452">
        <v>-51.9</v>
      </c>
      <c r="BA452">
        <v>11.84</v>
      </c>
      <c r="BB452" t="s">
        <v>83</v>
      </c>
    </row>
    <row r="453" spans="1:54" x14ac:dyDescent="0.4">
      <c r="A453">
        <v>841838</v>
      </c>
      <c r="D453" t="s">
        <v>54</v>
      </c>
      <c r="G453">
        <v>1</v>
      </c>
      <c r="H453" t="s">
        <v>84</v>
      </c>
      <c r="I453" t="s">
        <v>57</v>
      </c>
      <c r="K453" t="s">
        <v>85</v>
      </c>
      <c r="L453" t="s">
        <v>739</v>
      </c>
      <c r="M453" t="s">
        <v>60</v>
      </c>
      <c r="O453" t="s">
        <v>87</v>
      </c>
      <c r="P453" t="s">
        <v>62</v>
      </c>
      <c r="R453" t="s">
        <v>63</v>
      </c>
      <c r="S453" t="s">
        <v>64</v>
      </c>
      <c r="T453">
        <v>227</v>
      </c>
      <c r="U453">
        <v>208.5</v>
      </c>
      <c r="V453">
        <f t="shared" si="14"/>
        <v>217.75</v>
      </c>
      <c r="W453">
        <f t="shared" si="15"/>
        <v>18.5</v>
      </c>
      <c r="X453">
        <v>-109.566666</v>
      </c>
      <c r="Y453">
        <v>36.450001</v>
      </c>
      <c r="Z453" t="s">
        <v>124</v>
      </c>
      <c r="AA453" t="s">
        <v>66</v>
      </c>
      <c r="AB453" t="s">
        <v>583</v>
      </c>
      <c r="AC453" t="s">
        <v>735</v>
      </c>
      <c r="AD453" t="s">
        <v>174</v>
      </c>
      <c r="AF453" t="s">
        <v>1068</v>
      </c>
      <c r="AH453" t="s">
        <v>72</v>
      </c>
      <c r="AI453" t="s">
        <v>740</v>
      </c>
      <c r="AJ453">
        <v>1995</v>
      </c>
      <c r="AK453" t="s">
        <v>2862</v>
      </c>
      <c r="AN453" t="s">
        <v>192</v>
      </c>
      <c r="AO453" t="s">
        <v>160</v>
      </c>
      <c r="AQ453" t="s">
        <v>2859</v>
      </c>
      <c r="AR453" t="s">
        <v>80</v>
      </c>
      <c r="AS453">
        <v>101</v>
      </c>
      <c r="AT453" t="s">
        <v>81</v>
      </c>
      <c r="AU453">
        <v>-37.11</v>
      </c>
      <c r="AV453">
        <v>11.87</v>
      </c>
      <c r="AW453" t="s">
        <v>82</v>
      </c>
      <c r="AX453">
        <v>133</v>
      </c>
      <c r="AY453" t="s">
        <v>81</v>
      </c>
      <c r="AZ453">
        <v>-51.96</v>
      </c>
      <c r="BA453">
        <v>11.95</v>
      </c>
      <c r="BB453" t="s">
        <v>83</v>
      </c>
    </row>
    <row r="454" spans="1:54" x14ac:dyDescent="0.4">
      <c r="A454">
        <v>842029</v>
      </c>
      <c r="D454" t="s">
        <v>54</v>
      </c>
      <c r="G454">
        <v>6</v>
      </c>
      <c r="H454" t="s">
        <v>421</v>
      </c>
      <c r="I454" t="s">
        <v>57</v>
      </c>
      <c r="K454" t="s">
        <v>206</v>
      </c>
      <c r="L454" t="s">
        <v>851</v>
      </c>
      <c r="M454" t="s">
        <v>60</v>
      </c>
      <c r="O454" t="s">
        <v>170</v>
      </c>
      <c r="P454" t="s">
        <v>62</v>
      </c>
      <c r="R454" t="s">
        <v>63</v>
      </c>
      <c r="S454" t="s">
        <v>64</v>
      </c>
      <c r="T454">
        <v>227</v>
      </c>
      <c r="U454">
        <v>208.5</v>
      </c>
      <c r="V454">
        <f t="shared" si="14"/>
        <v>217.75</v>
      </c>
      <c r="W454">
        <f t="shared" si="15"/>
        <v>18.5</v>
      </c>
      <c r="X454">
        <v>-109.833336</v>
      </c>
      <c r="Y454">
        <v>35.099997999999999</v>
      </c>
      <c r="Z454" t="s">
        <v>124</v>
      </c>
      <c r="AA454" t="s">
        <v>66</v>
      </c>
      <c r="AB454" t="s">
        <v>583</v>
      </c>
      <c r="AD454" t="s">
        <v>174</v>
      </c>
      <c r="AF454" t="s">
        <v>749</v>
      </c>
      <c r="AH454" t="s">
        <v>72</v>
      </c>
      <c r="AI454" t="s">
        <v>740</v>
      </c>
      <c r="AJ454">
        <v>1995</v>
      </c>
      <c r="AK454" t="s">
        <v>2870</v>
      </c>
      <c r="AN454" t="s">
        <v>192</v>
      </c>
      <c r="AO454" t="s">
        <v>160</v>
      </c>
      <c r="AP454" t="s">
        <v>359</v>
      </c>
      <c r="AR454" t="s">
        <v>80</v>
      </c>
      <c r="AS454">
        <v>101</v>
      </c>
      <c r="AT454" t="s">
        <v>81</v>
      </c>
      <c r="AU454">
        <v>-37.61</v>
      </c>
      <c r="AV454">
        <v>10.59</v>
      </c>
      <c r="AW454" t="s">
        <v>82</v>
      </c>
      <c r="AX454">
        <v>133</v>
      </c>
      <c r="AY454" t="s">
        <v>81</v>
      </c>
      <c r="AZ454">
        <v>-52.42</v>
      </c>
      <c r="BA454">
        <v>10.66</v>
      </c>
      <c r="BB454" t="s">
        <v>83</v>
      </c>
    </row>
    <row r="455" spans="1:54" x14ac:dyDescent="0.4">
      <c r="A455">
        <v>842030</v>
      </c>
      <c r="D455" t="s">
        <v>54</v>
      </c>
      <c r="G455">
        <v>1</v>
      </c>
      <c r="H455" t="s">
        <v>421</v>
      </c>
      <c r="I455" t="s">
        <v>57</v>
      </c>
      <c r="K455" t="s">
        <v>196</v>
      </c>
      <c r="L455" t="s">
        <v>197</v>
      </c>
      <c r="M455" t="s">
        <v>60</v>
      </c>
      <c r="O455" t="s">
        <v>87</v>
      </c>
      <c r="P455" t="s">
        <v>62</v>
      </c>
      <c r="R455" t="s">
        <v>63</v>
      </c>
      <c r="S455" t="s">
        <v>64</v>
      </c>
      <c r="T455">
        <v>227</v>
      </c>
      <c r="U455">
        <v>208.5</v>
      </c>
      <c r="V455">
        <f t="shared" si="14"/>
        <v>217.75</v>
      </c>
      <c r="W455">
        <f t="shared" si="15"/>
        <v>18.5</v>
      </c>
      <c r="X455">
        <v>-109.833336</v>
      </c>
      <c r="Y455">
        <v>35.099997999999999</v>
      </c>
      <c r="Z455" t="s">
        <v>124</v>
      </c>
      <c r="AA455" t="s">
        <v>66</v>
      </c>
      <c r="AB455" t="s">
        <v>583</v>
      </c>
      <c r="AD455" t="s">
        <v>174</v>
      </c>
      <c r="AF455" t="s">
        <v>749</v>
      </c>
      <c r="AH455" t="s">
        <v>72</v>
      </c>
      <c r="AI455" t="s">
        <v>740</v>
      </c>
      <c r="AJ455">
        <v>1995</v>
      </c>
      <c r="AK455" t="s">
        <v>2870</v>
      </c>
      <c r="AN455" t="s">
        <v>192</v>
      </c>
      <c r="AO455" t="s">
        <v>160</v>
      </c>
      <c r="AP455" t="s">
        <v>359</v>
      </c>
      <c r="AR455" t="s">
        <v>80</v>
      </c>
      <c r="AS455">
        <v>101</v>
      </c>
      <c r="AT455" t="s">
        <v>81</v>
      </c>
      <c r="AU455">
        <v>-37.61</v>
      </c>
      <c r="AV455">
        <v>10.59</v>
      </c>
      <c r="AW455" t="s">
        <v>82</v>
      </c>
      <c r="AX455">
        <v>133</v>
      </c>
      <c r="AY455" t="s">
        <v>81</v>
      </c>
      <c r="AZ455">
        <v>-52.42</v>
      </c>
      <c r="BA455">
        <v>10.66</v>
      </c>
      <c r="BB455" t="s">
        <v>83</v>
      </c>
    </row>
    <row r="456" spans="1:54" x14ac:dyDescent="0.4">
      <c r="A456">
        <v>842032</v>
      </c>
      <c r="D456" t="s">
        <v>54</v>
      </c>
      <c r="G456">
        <v>1</v>
      </c>
      <c r="H456" t="s">
        <v>421</v>
      </c>
      <c r="I456" t="s">
        <v>57</v>
      </c>
      <c r="K456" t="s">
        <v>206</v>
      </c>
      <c r="L456" t="s">
        <v>851</v>
      </c>
      <c r="M456" t="s">
        <v>60</v>
      </c>
      <c r="O456" t="s">
        <v>170</v>
      </c>
      <c r="P456" t="s">
        <v>62</v>
      </c>
      <c r="R456" t="s">
        <v>63</v>
      </c>
      <c r="S456" t="s">
        <v>64</v>
      </c>
      <c r="T456">
        <v>227</v>
      </c>
      <c r="U456">
        <v>208.5</v>
      </c>
      <c r="V456">
        <f t="shared" si="14"/>
        <v>217.75</v>
      </c>
      <c r="W456">
        <f t="shared" si="15"/>
        <v>18.5</v>
      </c>
      <c r="X456">
        <v>-109.83409899999999</v>
      </c>
      <c r="Y456">
        <v>35.110900999999998</v>
      </c>
      <c r="Z456" t="s">
        <v>124</v>
      </c>
      <c r="AA456" t="s">
        <v>66</v>
      </c>
      <c r="AB456" t="s">
        <v>583</v>
      </c>
      <c r="AC456" t="s">
        <v>735</v>
      </c>
      <c r="AD456" t="s">
        <v>174</v>
      </c>
      <c r="AF456" t="s">
        <v>749</v>
      </c>
      <c r="AH456" t="s">
        <v>72</v>
      </c>
      <c r="AI456" t="s">
        <v>740</v>
      </c>
      <c r="AJ456">
        <v>1995</v>
      </c>
      <c r="AK456" t="s">
        <v>2871</v>
      </c>
      <c r="AN456" t="s">
        <v>114</v>
      </c>
      <c r="AO456">
        <v>4</v>
      </c>
      <c r="AR456" t="s">
        <v>80</v>
      </c>
      <c r="AS456">
        <v>101</v>
      </c>
      <c r="AT456" t="s">
        <v>81</v>
      </c>
      <c r="AU456">
        <v>-37.61</v>
      </c>
      <c r="AV456">
        <v>10.6</v>
      </c>
      <c r="AW456" t="s">
        <v>82</v>
      </c>
      <c r="AX456">
        <v>133</v>
      </c>
      <c r="AY456" t="s">
        <v>81</v>
      </c>
      <c r="AZ456">
        <v>-52.42</v>
      </c>
      <c r="BA456">
        <v>10.67</v>
      </c>
      <c r="BB456" t="s">
        <v>83</v>
      </c>
    </row>
    <row r="457" spans="1:54" x14ac:dyDescent="0.4">
      <c r="A457">
        <v>842034</v>
      </c>
      <c r="D457" t="s">
        <v>54</v>
      </c>
      <c r="G457">
        <v>7</v>
      </c>
      <c r="H457" t="s">
        <v>84</v>
      </c>
      <c r="I457" t="s">
        <v>57</v>
      </c>
      <c r="K457" t="s">
        <v>206</v>
      </c>
      <c r="L457" t="s">
        <v>851</v>
      </c>
      <c r="M457" t="s">
        <v>60</v>
      </c>
      <c r="O457" t="s">
        <v>170</v>
      </c>
      <c r="P457" t="s">
        <v>62</v>
      </c>
      <c r="R457" t="s">
        <v>63</v>
      </c>
      <c r="S457" t="s">
        <v>64</v>
      </c>
      <c r="T457">
        <v>227</v>
      </c>
      <c r="U457">
        <v>208.5</v>
      </c>
      <c r="V457">
        <f t="shared" si="14"/>
        <v>217.75</v>
      </c>
      <c r="W457">
        <f t="shared" si="15"/>
        <v>18.5</v>
      </c>
      <c r="X457">
        <v>-109.83409899999999</v>
      </c>
      <c r="Y457">
        <v>35.110900999999998</v>
      </c>
      <c r="Z457" t="s">
        <v>124</v>
      </c>
      <c r="AA457" t="s">
        <v>66</v>
      </c>
      <c r="AB457" t="s">
        <v>583</v>
      </c>
      <c r="AC457" t="s">
        <v>735</v>
      </c>
      <c r="AD457" t="s">
        <v>174</v>
      </c>
      <c r="AF457" t="s">
        <v>749</v>
      </c>
      <c r="AH457" t="s">
        <v>72</v>
      </c>
      <c r="AI457" t="s">
        <v>740</v>
      </c>
      <c r="AJ457">
        <v>1995</v>
      </c>
      <c r="AK457" t="s">
        <v>2872</v>
      </c>
      <c r="AN457" t="s">
        <v>114</v>
      </c>
      <c r="AO457">
        <v>4</v>
      </c>
      <c r="AR457" t="s">
        <v>80</v>
      </c>
      <c r="AS457">
        <v>101</v>
      </c>
      <c r="AT457" t="s">
        <v>81</v>
      </c>
      <c r="AU457">
        <v>-37.61</v>
      </c>
      <c r="AV457">
        <v>10.6</v>
      </c>
      <c r="AW457" t="s">
        <v>82</v>
      </c>
      <c r="AX457">
        <v>133</v>
      </c>
      <c r="AY457" t="s">
        <v>81</v>
      </c>
      <c r="AZ457">
        <v>-52.42</v>
      </c>
      <c r="BA457">
        <v>10.67</v>
      </c>
      <c r="BB457" t="s">
        <v>83</v>
      </c>
    </row>
    <row r="458" spans="1:54" x14ac:dyDescent="0.4">
      <c r="A458">
        <v>842036</v>
      </c>
      <c r="D458" t="s">
        <v>54</v>
      </c>
      <c r="I458" t="s">
        <v>57</v>
      </c>
      <c r="K458" t="s">
        <v>767</v>
      </c>
      <c r="L458" t="s">
        <v>768</v>
      </c>
      <c r="M458" t="s">
        <v>60</v>
      </c>
      <c r="N458" t="s">
        <v>119</v>
      </c>
      <c r="O458" t="s">
        <v>87</v>
      </c>
      <c r="P458" t="s">
        <v>62</v>
      </c>
      <c r="R458" t="s">
        <v>63</v>
      </c>
      <c r="S458" t="s">
        <v>64</v>
      </c>
      <c r="T458">
        <v>227</v>
      </c>
      <c r="U458">
        <v>208.5</v>
      </c>
      <c r="V458">
        <f t="shared" si="14"/>
        <v>217.75</v>
      </c>
      <c r="W458">
        <f t="shared" si="15"/>
        <v>18.5</v>
      </c>
      <c r="X458">
        <v>-109.83409899999999</v>
      </c>
      <c r="Y458">
        <v>35.110900999999998</v>
      </c>
      <c r="Z458" t="s">
        <v>124</v>
      </c>
      <c r="AA458" t="s">
        <v>66</v>
      </c>
      <c r="AB458" t="s">
        <v>583</v>
      </c>
      <c r="AC458" t="s">
        <v>735</v>
      </c>
      <c r="AD458" t="s">
        <v>174</v>
      </c>
      <c r="AF458" t="s">
        <v>749</v>
      </c>
      <c r="AH458" t="s">
        <v>72</v>
      </c>
      <c r="AI458" t="s">
        <v>740</v>
      </c>
      <c r="AJ458">
        <v>1995</v>
      </c>
      <c r="AK458" t="s">
        <v>2872</v>
      </c>
      <c r="AN458" t="s">
        <v>114</v>
      </c>
      <c r="AO458">
        <v>4</v>
      </c>
      <c r="AR458" t="s">
        <v>80</v>
      </c>
      <c r="AS458">
        <v>101</v>
      </c>
      <c r="AT458" t="s">
        <v>81</v>
      </c>
      <c r="AU458">
        <v>-37.61</v>
      </c>
      <c r="AV458">
        <v>10.6</v>
      </c>
      <c r="AW458" t="s">
        <v>82</v>
      </c>
      <c r="AX458">
        <v>133</v>
      </c>
      <c r="AY458" t="s">
        <v>81</v>
      </c>
      <c r="AZ458">
        <v>-52.42</v>
      </c>
      <c r="BA458">
        <v>10.67</v>
      </c>
      <c r="BB458" t="s">
        <v>83</v>
      </c>
    </row>
    <row r="459" spans="1:54" x14ac:dyDescent="0.4">
      <c r="A459">
        <v>842037</v>
      </c>
      <c r="D459" t="s">
        <v>54</v>
      </c>
      <c r="G459">
        <v>1</v>
      </c>
      <c r="H459" t="s">
        <v>421</v>
      </c>
      <c r="I459" t="s">
        <v>57</v>
      </c>
      <c r="K459" t="s">
        <v>206</v>
      </c>
      <c r="L459" t="s">
        <v>851</v>
      </c>
      <c r="M459" t="s">
        <v>60</v>
      </c>
      <c r="O459" t="s">
        <v>170</v>
      </c>
      <c r="P459" t="s">
        <v>62</v>
      </c>
      <c r="R459" t="s">
        <v>63</v>
      </c>
      <c r="S459" t="s">
        <v>64</v>
      </c>
      <c r="T459">
        <v>227</v>
      </c>
      <c r="U459">
        <v>208.5</v>
      </c>
      <c r="V459">
        <f t="shared" si="14"/>
        <v>217.75</v>
      </c>
      <c r="W459">
        <f t="shared" si="15"/>
        <v>18.5</v>
      </c>
      <c r="X459">
        <v>-109.83409899999999</v>
      </c>
      <c r="Y459">
        <v>35.110900999999998</v>
      </c>
      <c r="Z459" t="s">
        <v>124</v>
      </c>
      <c r="AA459" t="s">
        <v>66</v>
      </c>
      <c r="AB459" t="s">
        <v>583</v>
      </c>
      <c r="AC459" t="s">
        <v>735</v>
      </c>
      <c r="AD459" t="s">
        <v>174</v>
      </c>
      <c r="AF459" t="s">
        <v>749</v>
      </c>
      <c r="AH459" t="s">
        <v>72</v>
      </c>
      <c r="AI459" t="s">
        <v>740</v>
      </c>
      <c r="AJ459">
        <v>1995</v>
      </c>
      <c r="AK459" t="s">
        <v>2873</v>
      </c>
      <c r="AN459" t="s">
        <v>114</v>
      </c>
      <c r="AO459">
        <v>4</v>
      </c>
      <c r="AP459" t="s">
        <v>115</v>
      </c>
      <c r="AR459" t="s">
        <v>80</v>
      </c>
      <c r="AS459">
        <v>101</v>
      </c>
      <c r="AT459" t="s">
        <v>81</v>
      </c>
      <c r="AU459">
        <v>-37.61</v>
      </c>
      <c r="AV459">
        <v>10.6</v>
      </c>
      <c r="AW459" t="s">
        <v>82</v>
      </c>
      <c r="AX459">
        <v>133</v>
      </c>
      <c r="AY459" t="s">
        <v>81</v>
      </c>
      <c r="AZ459">
        <v>-52.42</v>
      </c>
      <c r="BA459">
        <v>10.67</v>
      </c>
      <c r="BB459" t="s">
        <v>83</v>
      </c>
    </row>
    <row r="460" spans="1:54" x14ac:dyDescent="0.4">
      <c r="A460">
        <v>842039</v>
      </c>
      <c r="D460" t="s">
        <v>54</v>
      </c>
      <c r="G460">
        <v>1</v>
      </c>
      <c r="H460" t="s">
        <v>84</v>
      </c>
      <c r="I460" t="s">
        <v>57</v>
      </c>
      <c r="K460" t="s">
        <v>206</v>
      </c>
      <c r="L460" t="s">
        <v>851</v>
      </c>
      <c r="M460" t="s">
        <v>60</v>
      </c>
      <c r="O460" t="s">
        <v>170</v>
      </c>
      <c r="P460" t="s">
        <v>62</v>
      </c>
      <c r="R460" t="s">
        <v>63</v>
      </c>
      <c r="S460" t="s">
        <v>64</v>
      </c>
      <c r="T460">
        <v>227</v>
      </c>
      <c r="U460">
        <v>208.5</v>
      </c>
      <c r="V460">
        <f t="shared" si="14"/>
        <v>217.75</v>
      </c>
      <c r="W460">
        <f t="shared" si="15"/>
        <v>18.5</v>
      </c>
      <c r="X460">
        <v>-109.78833</v>
      </c>
      <c r="Y460">
        <v>35.083331999999999</v>
      </c>
      <c r="Z460" t="s">
        <v>124</v>
      </c>
      <c r="AA460" t="s">
        <v>66</v>
      </c>
      <c r="AB460" t="s">
        <v>583</v>
      </c>
      <c r="AC460" t="s">
        <v>735</v>
      </c>
      <c r="AD460" t="s">
        <v>174</v>
      </c>
      <c r="AF460" t="s">
        <v>749</v>
      </c>
      <c r="AH460" t="s">
        <v>72</v>
      </c>
      <c r="AI460" t="s">
        <v>740</v>
      </c>
      <c r="AJ460">
        <v>1995</v>
      </c>
      <c r="AK460" t="s">
        <v>2874</v>
      </c>
      <c r="AN460" t="s">
        <v>114</v>
      </c>
      <c r="AO460" t="s">
        <v>160</v>
      </c>
      <c r="AQ460" t="s">
        <v>2875</v>
      </c>
      <c r="AR460" t="s">
        <v>80</v>
      </c>
      <c r="AS460">
        <v>101</v>
      </c>
      <c r="AT460" t="s">
        <v>81</v>
      </c>
      <c r="AU460">
        <v>-37.58</v>
      </c>
      <c r="AV460">
        <v>10.57</v>
      </c>
      <c r="AW460" t="s">
        <v>82</v>
      </c>
      <c r="AX460">
        <v>133</v>
      </c>
      <c r="AY460" t="s">
        <v>81</v>
      </c>
      <c r="AZ460">
        <v>-52.38</v>
      </c>
      <c r="BA460">
        <v>10.64</v>
      </c>
      <c r="BB460" t="s">
        <v>83</v>
      </c>
    </row>
    <row r="461" spans="1:54" x14ac:dyDescent="0.4">
      <c r="A461">
        <v>842043</v>
      </c>
      <c r="D461" t="s">
        <v>54</v>
      </c>
      <c r="G461">
        <v>1</v>
      </c>
      <c r="H461" t="s">
        <v>84</v>
      </c>
      <c r="I461" t="s">
        <v>57</v>
      </c>
      <c r="K461" t="s">
        <v>206</v>
      </c>
      <c r="L461" t="s">
        <v>851</v>
      </c>
      <c r="M461" t="s">
        <v>60</v>
      </c>
      <c r="O461" t="s">
        <v>170</v>
      </c>
      <c r="P461" t="s">
        <v>62</v>
      </c>
      <c r="R461" t="s">
        <v>63</v>
      </c>
      <c r="S461" t="s">
        <v>64</v>
      </c>
      <c r="T461">
        <v>227</v>
      </c>
      <c r="U461">
        <v>208.5</v>
      </c>
      <c r="V461">
        <f t="shared" si="14"/>
        <v>217.75</v>
      </c>
      <c r="W461">
        <f t="shared" si="15"/>
        <v>18.5</v>
      </c>
      <c r="X461">
        <v>-109.783333</v>
      </c>
      <c r="Y461">
        <v>35.079723000000001</v>
      </c>
      <c r="Z461" t="s">
        <v>124</v>
      </c>
      <c r="AA461" t="s">
        <v>66</v>
      </c>
      <c r="AB461" t="s">
        <v>583</v>
      </c>
      <c r="AC461" t="s">
        <v>735</v>
      </c>
      <c r="AD461" t="s">
        <v>174</v>
      </c>
      <c r="AF461" t="s">
        <v>749</v>
      </c>
      <c r="AH461" t="s">
        <v>72</v>
      </c>
      <c r="AI461" t="s">
        <v>740</v>
      </c>
      <c r="AJ461">
        <v>1995</v>
      </c>
      <c r="AK461" t="s">
        <v>2876</v>
      </c>
      <c r="AN461" t="s">
        <v>114</v>
      </c>
      <c r="AO461" t="s">
        <v>77</v>
      </c>
      <c r="AP461" t="s">
        <v>115</v>
      </c>
      <c r="AQ461" t="s">
        <v>2877</v>
      </c>
      <c r="AR461" t="s">
        <v>80</v>
      </c>
      <c r="AS461">
        <v>101</v>
      </c>
      <c r="AT461" t="s">
        <v>81</v>
      </c>
      <c r="AU461">
        <v>-37.57</v>
      </c>
      <c r="AV461">
        <v>10.56</v>
      </c>
      <c r="AW461" t="s">
        <v>82</v>
      </c>
      <c r="AX461">
        <v>133</v>
      </c>
      <c r="AY461" t="s">
        <v>81</v>
      </c>
      <c r="AZ461">
        <v>-52.38</v>
      </c>
      <c r="BA461">
        <v>10.63</v>
      </c>
      <c r="BB461" t="s">
        <v>83</v>
      </c>
    </row>
    <row r="462" spans="1:54" x14ac:dyDescent="0.4">
      <c r="A462">
        <v>842073</v>
      </c>
      <c r="D462" t="s">
        <v>54</v>
      </c>
      <c r="I462" t="s">
        <v>57</v>
      </c>
      <c r="K462" t="s">
        <v>206</v>
      </c>
      <c r="L462" t="s">
        <v>851</v>
      </c>
      <c r="M462" t="s">
        <v>60</v>
      </c>
      <c r="O462" t="s">
        <v>170</v>
      </c>
      <c r="P462" t="s">
        <v>62</v>
      </c>
      <c r="R462" t="s">
        <v>63</v>
      </c>
      <c r="S462" t="s">
        <v>64</v>
      </c>
      <c r="T462">
        <v>227</v>
      </c>
      <c r="U462">
        <v>208.5</v>
      </c>
      <c r="V462">
        <f t="shared" si="14"/>
        <v>217.75</v>
      </c>
      <c r="W462">
        <f t="shared" si="15"/>
        <v>18.5</v>
      </c>
      <c r="X462">
        <v>-109.779167</v>
      </c>
      <c r="Y462">
        <v>35.066665999999998</v>
      </c>
      <c r="Z462" t="s">
        <v>124</v>
      </c>
      <c r="AA462" t="s">
        <v>66</v>
      </c>
      <c r="AB462" t="s">
        <v>583</v>
      </c>
      <c r="AC462" t="s">
        <v>735</v>
      </c>
      <c r="AD462" t="s">
        <v>174</v>
      </c>
      <c r="AF462" t="s">
        <v>749</v>
      </c>
      <c r="AH462" t="s">
        <v>72</v>
      </c>
      <c r="AI462" t="s">
        <v>740</v>
      </c>
      <c r="AJ462">
        <v>1995</v>
      </c>
      <c r="AK462" t="s">
        <v>2878</v>
      </c>
      <c r="AM462" t="s">
        <v>2879</v>
      </c>
      <c r="AN462" t="s">
        <v>114</v>
      </c>
      <c r="AO462" t="s">
        <v>160</v>
      </c>
      <c r="AP462" t="s">
        <v>115</v>
      </c>
      <c r="AR462" t="s">
        <v>80</v>
      </c>
      <c r="AS462">
        <v>101</v>
      </c>
      <c r="AT462" t="s">
        <v>81</v>
      </c>
      <c r="AU462">
        <v>-37.57</v>
      </c>
      <c r="AV462">
        <v>10.55</v>
      </c>
      <c r="AW462" t="s">
        <v>82</v>
      </c>
      <c r="AX462">
        <v>133</v>
      </c>
      <c r="AY462" t="s">
        <v>81</v>
      </c>
      <c r="AZ462">
        <v>-52.38</v>
      </c>
      <c r="BA462">
        <v>10.62</v>
      </c>
      <c r="BB462" t="s">
        <v>83</v>
      </c>
    </row>
    <row r="463" spans="1:54" x14ac:dyDescent="0.4">
      <c r="A463">
        <v>842077</v>
      </c>
      <c r="D463" t="s">
        <v>54</v>
      </c>
      <c r="G463">
        <v>1</v>
      </c>
      <c r="H463" t="s">
        <v>84</v>
      </c>
      <c r="I463" t="s">
        <v>57</v>
      </c>
      <c r="K463" t="s">
        <v>196</v>
      </c>
      <c r="L463" t="s">
        <v>197</v>
      </c>
      <c r="M463" t="s">
        <v>60</v>
      </c>
      <c r="O463" t="s">
        <v>87</v>
      </c>
      <c r="P463" t="s">
        <v>62</v>
      </c>
      <c r="R463" t="s">
        <v>63</v>
      </c>
      <c r="S463" t="s">
        <v>64</v>
      </c>
      <c r="T463">
        <v>227</v>
      </c>
      <c r="U463">
        <v>208.5</v>
      </c>
      <c r="V463">
        <f t="shared" si="14"/>
        <v>217.75</v>
      </c>
      <c r="W463">
        <f t="shared" si="15"/>
        <v>18.5</v>
      </c>
      <c r="X463">
        <v>-109.779167</v>
      </c>
      <c r="Y463">
        <v>35.066665999999998</v>
      </c>
      <c r="Z463" t="s">
        <v>124</v>
      </c>
      <c r="AA463" t="s">
        <v>66</v>
      </c>
      <c r="AB463" t="s">
        <v>583</v>
      </c>
      <c r="AC463" t="s">
        <v>735</v>
      </c>
      <c r="AD463" t="s">
        <v>174</v>
      </c>
      <c r="AF463" t="s">
        <v>749</v>
      </c>
      <c r="AH463" t="s">
        <v>72</v>
      </c>
      <c r="AI463" t="s">
        <v>740</v>
      </c>
      <c r="AJ463">
        <v>1995</v>
      </c>
      <c r="AK463" t="s">
        <v>2880</v>
      </c>
      <c r="AM463" t="s">
        <v>2881</v>
      </c>
      <c r="AN463" t="s">
        <v>114</v>
      </c>
      <c r="AO463" t="s">
        <v>160</v>
      </c>
      <c r="AP463" t="s">
        <v>115</v>
      </c>
      <c r="AR463" t="s">
        <v>80</v>
      </c>
      <c r="AS463">
        <v>101</v>
      </c>
      <c r="AT463" t="s">
        <v>81</v>
      </c>
      <c r="AU463">
        <v>-37.57</v>
      </c>
      <c r="AV463">
        <v>10.55</v>
      </c>
      <c r="AW463" t="s">
        <v>82</v>
      </c>
      <c r="AX463">
        <v>133</v>
      </c>
      <c r="AY463" t="s">
        <v>81</v>
      </c>
      <c r="AZ463">
        <v>-52.38</v>
      </c>
      <c r="BA463">
        <v>10.62</v>
      </c>
      <c r="BB463" t="s">
        <v>83</v>
      </c>
    </row>
    <row r="464" spans="1:54" x14ac:dyDescent="0.4">
      <c r="A464">
        <v>842081</v>
      </c>
      <c r="D464" t="s">
        <v>54</v>
      </c>
      <c r="E464" t="s">
        <v>152</v>
      </c>
      <c r="G464">
        <v>1</v>
      </c>
      <c r="H464" t="s">
        <v>421</v>
      </c>
      <c r="I464" t="s">
        <v>57</v>
      </c>
      <c r="K464" t="s">
        <v>196</v>
      </c>
      <c r="L464" t="s">
        <v>197</v>
      </c>
      <c r="M464" t="s">
        <v>60</v>
      </c>
      <c r="O464" t="s">
        <v>87</v>
      </c>
      <c r="P464" t="s">
        <v>62</v>
      </c>
      <c r="R464" t="s">
        <v>63</v>
      </c>
      <c r="S464" t="s">
        <v>64</v>
      </c>
      <c r="T464">
        <v>227</v>
      </c>
      <c r="U464">
        <v>208.5</v>
      </c>
      <c r="V464">
        <f t="shared" si="14"/>
        <v>217.75</v>
      </c>
      <c r="W464">
        <f t="shared" si="15"/>
        <v>18.5</v>
      </c>
      <c r="X464">
        <v>-109.833298</v>
      </c>
      <c r="Y464">
        <v>35.033298000000002</v>
      </c>
      <c r="Z464" t="s">
        <v>582</v>
      </c>
      <c r="AA464" t="s">
        <v>66</v>
      </c>
      <c r="AB464" t="s">
        <v>583</v>
      </c>
      <c r="AC464" t="s">
        <v>735</v>
      </c>
      <c r="AD464" t="s">
        <v>174</v>
      </c>
      <c r="AF464" t="s">
        <v>749</v>
      </c>
      <c r="AH464" t="s">
        <v>72</v>
      </c>
      <c r="AI464" t="s">
        <v>740</v>
      </c>
      <c r="AJ464">
        <v>1995</v>
      </c>
      <c r="AK464" t="s">
        <v>987</v>
      </c>
      <c r="AM464" t="s">
        <v>988</v>
      </c>
      <c r="AN464" t="s">
        <v>849</v>
      </c>
      <c r="AO464">
        <v>4</v>
      </c>
      <c r="AP464" t="s">
        <v>78</v>
      </c>
      <c r="AQ464" t="s">
        <v>989</v>
      </c>
      <c r="AR464" t="s">
        <v>80</v>
      </c>
      <c r="AS464">
        <v>101</v>
      </c>
      <c r="AT464" t="s">
        <v>81</v>
      </c>
      <c r="AU464">
        <v>-37.619999999999997</v>
      </c>
      <c r="AV464">
        <v>10.53</v>
      </c>
      <c r="AW464" t="s">
        <v>82</v>
      </c>
      <c r="AX464">
        <v>133</v>
      </c>
      <c r="AY464" t="s">
        <v>81</v>
      </c>
      <c r="AZ464">
        <v>-52.43</v>
      </c>
      <c r="BA464">
        <v>10.59</v>
      </c>
      <c r="BB464" t="s">
        <v>83</v>
      </c>
    </row>
    <row r="465" spans="1:54" x14ac:dyDescent="0.4">
      <c r="A465">
        <v>842083</v>
      </c>
      <c r="D465" t="s">
        <v>54</v>
      </c>
      <c r="G465">
        <v>1</v>
      </c>
      <c r="H465" t="s">
        <v>421</v>
      </c>
      <c r="I465" t="s">
        <v>57</v>
      </c>
      <c r="K465" t="s">
        <v>206</v>
      </c>
      <c r="L465" t="s">
        <v>851</v>
      </c>
      <c r="M465" t="s">
        <v>60</v>
      </c>
      <c r="O465" t="s">
        <v>170</v>
      </c>
      <c r="P465" t="s">
        <v>62</v>
      </c>
      <c r="R465" t="s">
        <v>63</v>
      </c>
      <c r="S465" t="s">
        <v>64</v>
      </c>
      <c r="T465">
        <v>227</v>
      </c>
      <c r="U465">
        <v>208.5</v>
      </c>
      <c r="V465">
        <f t="shared" si="14"/>
        <v>217.75</v>
      </c>
      <c r="W465">
        <f t="shared" si="15"/>
        <v>18.5</v>
      </c>
      <c r="X465">
        <v>-109.833298</v>
      </c>
      <c r="Y465">
        <v>35.033298000000002</v>
      </c>
      <c r="Z465" t="s">
        <v>124</v>
      </c>
      <c r="AA465" t="s">
        <v>66</v>
      </c>
      <c r="AB465" t="s">
        <v>583</v>
      </c>
      <c r="AC465" t="s">
        <v>735</v>
      </c>
      <c r="AD465" t="s">
        <v>174</v>
      </c>
      <c r="AF465" t="s">
        <v>749</v>
      </c>
      <c r="AH465" t="s">
        <v>72</v>
      </c>
      <c r="AI465" t="s">
        <v>740</v>
      </c>
      <c r="AJ465">
        <v>1995</v>
      </c>
      <c r="AK465" t="s">
        <v>2882</v>
      </c>
      <c r="AM465" t="s">
        <v>2883</v>
      </c>
      <c r="AN465" t="s">
        <v>849</v>
      </c>
      <c r="AO465">
        <v>4</v>
      </c>
      <c r="AP465" t="s">
        <v>115</v>
      </c>
      <c r="AQ465" t="s">
        <v>2884</v>
      </c>
      <c r="AR465" t="s">
        <v>80</v>
      </c>
      <c r="AS465">
        <v>101</v>
      </c>
      <c r="AT465" t="s">
        <v>81</v>
      </c>
      <c r="AU465">
        <v>-37.619999999999997</v>
      </c>
      <c r="AV465">
        <v>10.53</v>
      </c>
      <c r="AW465" t="s">
        <v>82</v>
      </c>
      <c r="AX465">
        <v>133</v>
      </c>
      <c r="AY465" t="s">
        <v>81</v>
      </c>
      <c r="AZ465">
        <v>-52.43</v>
      </c>
      <c r="BA465">
        <v>10.59</v>
      </c>
      <c r="BB465" t="s">
        <v>83</v>
      </c>
    </row>
    <row r="466" spans="1:54" x14ac:dyDescent="0.4">
      <c r="A466">
        <v>842084</v>
      </c>
      <c r="D466" t="s">
        <v>54</v>
      </c>
      <c r="G466">
        <v>1</v>
      </c>
      <c r="H466" t="s">
        <v>56</v>
      </c>
      <c r="I466" t="s">
        <v>57</v>
      </c>
      <c r="K466" t="s">
        <v>85</v>
      </c>
      <c r="L466" t="s">
        <v>845</v>
      </c>
      <c r="M466" t="s">
        <v>60</v>
      </c>
      <c r="O466" t="s">
        <v>87</v>
      </c>
      <c r="P466" t="s">
        <v>62</v>
      </c>
      <c r="R466" t="s">
        <v>63</v>
      </c>
      <c r="S466" t="s">
        <v>64</v>
      </c>
      <c r="T466">
        <v>227</v>
      </c>
      <c r="U466">
        <v>208.5</v>
      </c>
      <c r="V466">
        <f t="shared" si="14"/>
        <v>217.75</v>
      </c>
      <c r="W466">
        <f t="shared" si="15"/>
        <v>18.5</v>
      </c>
      <c r="X466">
        <v>-109.833298</v>
      </c>
      <c r="Y466">
        <v>35.033298000000002</v>
      </c>
      <c r="Z466" t="s">
        <v>886</v>
      </c>
      <c r="AA466" t="s">
        <v>66</v>
      </c>
      <c r="AB466" t="s">
        <v>583</v>
      </c>
      <c r="AC466" t="s">
        <v>735</v>
      </c>
      <c r="AD466" t="s">
        <v>174</v>
      </c>
      <c r="AF466" t="s">
        <v>749</v>
      </c>
      <c r="AH466" t="s">
        <v>72</v>
      </c>
      <c r="AI466" t="s">
        <v>2885</v>
      </c>
      <c r="AJ466">
        <v>2005</v>
      </c>
      <c r="AK466" t="s">
        <v>2886</v>
      </c>
      <c r="AM466" t="s">
        <v>2887</v>
      </c>
      <c r="AN466" t="s">
        <v>849</v>
      </c>
      <c r="AO466">
        <v>4</v>
      </c>
      <c r="AP466" t="s">
        <v>115</v>
      </c>
      <c r="AQ466" t="s">
        <v>2884</v>
      </c>
      <c r="AR466" t="s">
        <v>80</v>
      </c>
      <c r="AS466">
        <v>101</v>
      </c>
      <c r="AT466" t="s">
        <v>81</v>
      </c>
      <c r="AU466">
        <v>-37.619999999999997</v>
      </c>
      <c r="AV466">
        <v>10.53</v>
      </c>
      <c r="AW466" t="s">
        <v>82</v>
      </c>
      <c r="AX466">
        <v>133</v>
      </c>
      <c r="AY466" t="s">
        <v>81</v>
      </c>
      <c r="AZ466">
        <v>-52.43</v>
      </c>
      <c r="BA466">
        <v>10.59</v>
      </c>
      <c r="BB466" t="s">
        <v>83</v>
      </c>
    </row>
    <row r="467" spans="1:54" x14ac:dyDescent="0.4">
      <c r="A467">
        <v>842099</v>
      </c>
      <c r="D467" t="s">
        <v>54</v>
      </c>
      <c r="G467">
        <v>1</v>
      </c>
      <c r="H467" t="s">
        <v>421</v>
      </c>
      <c r="I467" t="s">
        <v>57</v>
      </c>
      <c r="K467" t="s">
        <v>206</v>
      </c>
      <c r="L467" t="s">
        <v>851</v>
      </c>
      <c r="M467" t="s">
        <v>60</v>
      </c>
      <c r="O467" t="s">
        <v>170</v>
      </c>
      <c r="P467" t="s">
        <v>62</v>
      </c>
      <c r="R467" t="s">
        <v>63</v>
      </c>
      <c r="S467" t="s">
        <v>64</v>
      </c>
      <c r="T467">
        <v>227</v>
      </c>
      <c r="U467">
        <v>208.5</v>
      </c>
      <c r="V467">
        <f t="shared" si="14"/>
        <v>217.75</v>
      </c>
      <c r="W467">
        <f t="shared" si="15"/>
        <v>18.5</v>
      </c>
      <c r="X467">
        <v>-109.800003</v>
      </c>
      <c r="Y467">
        <v>35.033332999999999</v>
      </c>
      <c r="Z467" t="s">
        <v>124</v>
      </c>
      <c r="AA467" t="s">
        <v>66</v>
      </c>
      <c r="AB467" t="s">
        <v>583</v>
      </c>
      <c r="AD467" t="s">
        <v>174</v>
      </c>
      <c r="AF467" t="s">
        <v>749</v>
      </c>
      <c r="AH467" t="s">
        <v>72</v>
      </c>
      <c r="AI467" t="s">
        <v>740</v>
      </c>
      <c r="AJ467">
        <v>1995</v>
      </c>
      <c r="AK467" t="s">
        <v>2897</v>
      </c>
      <c r="AN467" t="s">
        <v>114</v>
      </c>
      <c r="AO467" t="s">
        <v>160</v>
      </c>
      <c r="AR467" t="s">
        <v>80</v>
      </c>
      <c r="AS467">
        <v>101</v>
      </c>
      <c r="AT467" t="s">
        <v>81</v>
      </c>
      <c r="AU467">
        <v>-37.6</v>
      </c>
      <c r="AV467">
        <v>10.52</v>
      </c>
      <c r="AW467" t="s">
        <v>82</v>
      </c>
      <c r="AX467">
        <v>133</v>
      </c>
      <c r="AY467" t="s">
        <v>81</v>
      </c>
      <c r="AZ467">
        <v>-52.4</v>
      </c>
      <c r="BA467">
        <v>10.59</v>
      </c>
      <c r="BB467" t="s">
        <v>83</v>
      </c>
    </row>
    <row r="468" spans="1:54" x14ac:dyDescent="0.4">
      <c r="A468">
        <v>842101</v>
      </c>
      <c r="D468" t="s">
        <v>54</v>
      </c>
      <c r="G468">
        <v>1</v>
      </c>
      <c r="H468" t="s">
        <v>421</v>
      </c>
      <c r="I468" t="s">
        <v>57</v>
      </c>
      <c r="K468" t="s">
        <v>206</v>
      </c>
      <c r="L468" t="s">
        <v>851</v>
      </c>
      <c r="M468" t="s">
        <v>60</v>
      </c>
      <c r="O468" t="s">
        <v>170</v>
      </c>
      <c r="P468" t="s">
        <v>62</v>
      </c>
      <c r="R468" t="s">
        <v>63</v>
      </c>
      <c r="S468" t="s">
        <v>64</v>
      </c>
      <c r="T468">
        <v>227</v>
      </c>
      <c r="U468">
        <v>208.5</v>
      </c>
      <c r="V468">
        <f t="shared" si="14"/>
        <v>217.75</v>
      </c>
      <c r="W468">
        <f t="shared" si="15"/>
        <v>18.5</v>
      </c>
      <c r="X468">
        <v>-109.791664</v>
      </c>
      <c r="Y468">
        <v>34.983333999999999</v>
      </c>
      <c r="Z468" t="s">
        <v>124</v>
      </c>
      <c r="AA468" t="s">
        <v>66</v>
      </c>
      <c r="AB468" t="s">
        <v>583</v>
      </c>
      <c r="AC468" t="s">
        <v>735</v>
      </c>
      <c r="AD468" t="s">
        <v>174</v>
      </c>
      <c r="AF468" t="s">
        <v>749</v>
      </c>
      <c r="AH468" t="s">
        <v>72</v>
      </c>
      <c r="AI468" t="s">
        <v>740</v>
      </c>
      <c r="AJ468">
        <v>1995</v>
      </c>
      <c r="AK468" t="s">
        <v>2898</v>
      </c>
      <c r="AM468" t="s">
        <v>2899</v>
      </c>
      <c r="AN468" t="s">
        <v>192</v>
      </c>
      <c r="AO468" t="s">
        <v>160</v>
      </c>
      <c r="AP468" t="s">
        <v>115</v>
      </c>
      <c r="AR468" t="s">
        <v>80</v>
      </c>
      <c r="AS468">
        <v>101</v>
      </c>
      <c r="AT468" t="s">
        <v>81</v>
      </c>
      <c r="AU468">
        <v>-37.6</v>
      </c>
      <c r="AV468">
        <v>10.47</v>
      </c>
      <c r="AW468" t="s">
        <v>82</v>
      </c>
      <c r="AX468">
        <v>133</v>
      </c>
      <c r="AY468" t="s">
        <v>81</v>
      </c>
      <c r="AZ468">
        <v>-52.4</v>
      </c>
      <c r="BA468">
        <v>10.54</v>
      </c>
      <c r="BB468" t="s">
        <v>83</v>
      </c>
    </row>
    <row r="469" spans="1:54" x14ac:dyDescent="0.4">
      <c r="A469">
        <v>842103</v>
      </c>
      <c r="D469" t="s">
        <v>54</v>
      </c>
      <c r="G469">
        <v>1</v>
      </c>
      <c r="H469" t="s">
        <v>421</v>
      </c>
      <c r="I469" t="s">
        <v>57</v>
      </c>
      <c r="K469" t="s">
        <v>206</v>
      </c>
      <c r="L469" t="s">
        <v>851</v>
      </c>
      <c r="M469" t="s">
        <v>60</v>
      </c>
      <c r="O469" t="s">
        <v>170</v>
      </c>
      <c r="P469" t="s">
        <v>62</v>
      </c>
      <c r="R469" t="s">
        <v>63</v>
      </c>
      <c r="S469" t="s">
        <v>64</v>
      </c>
      <c r="T469">
        <v>227</v>
      </c>
      <c r="U469">
        <v>208.5</v>
      </c>
      <c r="V469">
        <f t="shared" si="14"/>
        <v>217.75</v>
      </c>
      <c r="W469">
        <f t="shared" si="15"/>
        <v>18.5</v>
      </c>
      <c r="X469">
        <v>-109.791664</v>
      </c>
      <c r="Y469">
        <v>34.983333999999999</v>
      </c>
      <c r="Z469" t="s">
        <v>124</v>
      </c>
      <c r="AA469" t="s">
        <v>66</v>
      </c>
      <c r="AB469" t="s">
        <v>583</v>
      </c>
      <c r="AC469" t="s">
        <v>735</v>
      </c>
      <c r="AD469" t="s">
        <v>174</v>
      </c>
      <c r="AF469" t="s">
        <v>749</v>
      </c>
      <c r="AH469" t="s">
        <v>72</v>
      </c>
      <c r="AI469" t="s">
        <v>740</v>
      </c>
      <c r="AJ469">
        <v>1995</v>
      </c>
      <c r="AK469" t="s">
        <v>2900</v>
      </c>
      <c r="AM469" t="s">
        <v>2901</v>
      </c>
      <c r="AN469" t="s">
        <v>192</v>
      </c>
      <c r="AO469" t="s">
        <v>160</v>
      </c>
      <c r="AP469" t="s">
        <v>115</v>
      </c>
      <c r="AR469" t="s">
        <v>80</v>
      </c>
      <c r="AS469">
        <v>101</v>
      </c>
      <c r="AT469" t="s">
        <v>81</v>
      </c>
      <c r="AU469">
        <v>-37.6</v>
      </c>
      <c r="AV469">
        <v>10.47</v>
      </c>
      <c r="AW469" t="s">
        <v>82</v>
      </c>
      <c r="AX469">
        <v>133</v>
      </c>
      <c r="AY469" t="s">
        <v>81</v>
      </c>
      <c r="AZ469">
        <v>-52.4</v>
      </c>
      <c r="BA469">
        <v>10.54</v>
      </c>
      <c r="BB469" t="s">
        <v>83</v>
      </c>
    </row>
    <row r="470" spans="1:54" x14ac:dyDescent="0.4">
      <c r="A470">
        <v>842104</v>
      </c>
      <c r="D470" t="s">
        <v>54</v>
      </c>
      <c r="G470">
        <v>1</v>
      </c>
      <c r="H470" t="s">
        <v>421</v>
      </c>
      <c r="I470" t="s">
        <v>57</v>
      </c>
      <c r="K470" t="s">
        <v>206</v>
      </c>
      <c r="L470" t="s">
        <v>851</v>
      </c>
      <c r="M470" t="s">
        <v>60</v>
      </c>
      <c r="O470" t="s">
        <v>170</v>
      </c>
      <c r="P470" t="s">
        <v>62</v>
      </c>
      <c r="R470" t="s">
        <v>63</v>
      </c>
      <c r="S470" t="s">
        <v>64</v>
      </c>
      <c r="T470">
        <v>227</v>
      </c>
      <c r="U470">
        <v>208.5</v>
      </c>
      <c r="V470">
        <f t="shared" si="14"/>
        <v>217.75</v>
      </c>
      <c r="W470">
        <f t="shared" si="15"/>
        <v>18.5</v>
      </c>
      <c r="X470">
        <v>-109.791664</v>
      </c>
      <c r="Y470">
        <v>34.983333999999999</v>
      </c>
      <c r="Z470" t="s">
        <v>124</v>
      </c>
      <c r="AA470" t="s">
        <v>66</v>
      </c>
      <c r="AB470" t="s">
        <v>583</v>
      </c>
      <c r="AC470" t="s">
        <v>735</v>
      </c>
      <c r="AD470" t="s">
        <v>174</v>
      </c>
      <c r="AF470" t="s">
        <v>749</v>
      </c>
      <c r="AH470" t="s">
        <v>72</v>
      </c>
      <c r="AI470" t="s">
        <v>740</v>
      </c>
      <c r="AJ470">
        <v>1995</v>
      </c>
      <c r="AK470" t="s">
        <v>2902</v>
      </c>
      <c r="AM470" t="s">
        <v>2903</v>
      </c>
      <c r="AN470" t="s">
        <v>192</v>
      </c>
      <c r="AO470" t="s">
        <v>160</v>
      </c>
      <c r="AP470" t="s">
        <v>115</v>
      </c>
      <c r="AR470" t="s">
        <v>80</v>
      </c>
      <c r="AS470">
        <v>101</v>
      </c>
      <c r="AT470" t="s">
        <v>81</v>
      </c>
      <c r="AU470">
        <v>-37.6</v>
      </c>
      <c r="AV470">
        <v>10.47</v>
      </c>
      <c r="AW470" t="s">
        <v>82</v>
      </c>
      <c r="AX470">
        <v>133</v>
      </c>
      <c r="AY470" t="s">
        <v>81</v>
      </c>
      <c r="AZ470">
        <v>-52.4</v>
      </c>
      <c r="BA470">
        <v>10.54</v>
      </c>
      <c r="BB470" t="s">
        <v>83</v>
      </c>
    </row>
    <row r="471" spans="1:54" x14ac:dyDescent="0.4">
      <c r="A471">
        <v>842107</v>
      </c>
      <c r="D471" t="s">
        <v>54</v>
      </c>
      <c r="G471">
        <v>1</v>
      </c>
      <c r="H471" t="s">
        <v>421</v>
      </c>
      <c r="I471" t="s">
        <v>57</v>
      </c>
      <c r="K471" t="s">
        <v>206</v>
      </c>
      <c r="L471" t="s">
        <v>851</v>
      </c>
      <c r="M471" t="s">
        <v>60</v>
      </c>
      <c r="O471" t="s">
        <v>170</v>
      </c>
      <c r="P471" t="s">
        <v>62</v>
      </c>
      <c r="R471" t="s">
        <v>63</v>
      </c>
      <c r="S471" t="s">
        <v>64</v>
      </c>
      <c r="T471">
        <v>227</v>
      </c>
      <c r="U471">
        <v>208.5</v>
      </c>
      <c r="V471">
        <f t="shared" si="14"/>
        <v>217.75</v>
      </c>
      <c r="W471">
        <f t="shared" si="15"/>
        <v>18.5</v>
      </c>
      <c r="X471">
        <v>-109.736664</v>
      </c>
      <c r="Y471">
        <v>34.941113000000001</v>
      </c>
      <c r="Z471" t="s">
        <v>124</v>
      </c>
      <c r="AA471" t="s">
        <v>66</v>
      </c>
      <c r="AB471" t="s">
        <v>583</v>
      </c>
      <c r="AC471" t="s">
        <v>735</v>
      </c>
      <c r="AD471" t="s">
        <v>174</v>
      </c>
      <c r="AF471" t="s">
        <v>749</v>
      </c>
      <c r="AH471" t="s">
        <v>72</v>
      </c>
      <c r="AI471" t="s">
        <v>740</v>
      </c>
      <c r="AJ471">
        <v>1995</v>
      </c>
      <c r="AK471" t="s">
        <v>2904</v>
      </c>
      <c r="AM471" t="s">
        <v>2905</v>
      </c>
      <c r="AN471" t="s">
        <v>114</v>
      </c>
      <c r="AO471" t="s">
        <v>77</v>
      </c>
      <c r="AQ471" t="s">
        <v>2784</v>
      </c>
      <c r="AR471" t="s">
        <v>80</v>
      </c>
      <c r="AS471">
        <v>101</v>
      </c>
      <c r="AT471" t="s">
        <v>81</v>
      </c>
      <c r="AU471">
        <v>-37.56</v>
      </c>
      <c r="AV471">
        <v>10.42</v>
      </c>
      <c r="AW471" t="s">
        <v>82</v>
      </c>
      <c r="AX471">
        <v>133</v>
      </c>
      <c r="AY471" t="s">
        <v>81</v>
      </c>
      <c r="AZ471">
        <v>-52.37</v>
      </c>
      <c r="BA471">
        <v>10.49</v>
      </c>
      <c r="BB471" t="s">
        <v>83</v>
      </c>
    </row>
    <row r="472" spans="1:54" x14ac:dyDescent="0.4">
      <c r="A472">
        <v>842110</v>
      </c>
      <c r="D472" t="s">
        <v>54</v>
      </c>
      <c r="G472">
        <v>1</v>
      </c>
      <c r="H472" t="s">
        <v>56</v>
      </c>
      <c r="I472" t="s">
        <v>57</v>
      </c>
      <c r="K472" t="s">
        <v>85</v>
      </c>
      <c r="L472" t="s">
        <v>845</v>
      </c>
      <c r="M472" t="s">
        <v>60</v>
      </c>
      <c r="O472" t="s">
        <v>87</v>
      </c>
      <c r="P472" t="s">
        <v>62</v>
      </c>
      <c r="R472" t="s">
        <v>63</v>
      </c>
      <c r="S472" t="s">
        <v>64</v>
      </c>
      <c r="T472">
        <v>227</v>
      </c>
      <c r="U472">
        <v>208.5</v>
      </c>
      <c r="V472">
        <f t="shared" si="14"/>
        <v>217.75</v>
      </c>
      <c r="W472">
        <f t="shared" si="15"/>
        <v>18.5</v>
      </c>
      <c r="X472">
        <v>-109.736664</v>
      </c>
      <c r="Y472">
        <v>34.941113000000001</v>
      </c>
      <c r="Z472" t="s">
        <v>124</v>
      </c>
      <c r="AA472" t="s">
        <v>66</v>
      </c>
      <c r="AB472" t="s">
        <v>583</v>
      </c>
      <c r="AC472" t="s">
        <v>735</v>
      </c>
      <c r="AD472" t="s">
        <v>174</v>
      </c>
      <c r="AF472" t="s">
        <v>749</v>
      </c>
      <c r="AH472" t="s">
        <v>72</v>
      </c>
      <c r="AI472" t="s">
        <v>740</v>
      </c>
      <c r="AJ472">
        <v>1995</v>
      </c>
      <c r="AK472" t="s">
        <v>2906</v>
      </c>
      <c r="AM472" t="s">
        <v>2907</v>
      </c>
      <c r="AN472" t="s">
        <v>114</v>
      </c>
      <c r="AO472" t="s">
        <v>77</v>
      </c>
      <c r="AP472" t="s">
        <v>115</v>
      </c>
      <c r="AQ472" t="s">
        <v>2784</v>
      </c>
      <c r="AR472" t="s">
        <v>80</v>
      </c>
      <c r="AS472">
        <v>101</v>
      </c>
      <c r="AT472" t="s">
        <v>81</v>
      </c>
      <c r="AU472">
        <v>-37.56</v>
      </c>
      <c r="AV472">
        <v>10.42</v>
      </c>
      <c r="AW472" t="s">
        <v>82</v>
      </c>
      <c r="AX472">
        <v>133</v>
      </c>
      <c r="AY472" t="s">
        <v>81</v>
      </c>
      <c r="AZ472">
        <v>-52.37</v>
      </c>
      <c r="BA472">
        <v>10.49</v>
      </c>
      <c r="BB472" t="s">
        <v>83</v>
      </c>
    </row>
    <row r="473" spans="1:54" x14ac:dyDescent="0.4">
      <c r="A473">
        <v>842113</v>
      </c>
      <c r="D473" t="s">
        <v>54</v>
      </c>
      <c r="G473">
        <v>1</v>
      </c>
      <c r="H473" t="s">
        <v>421</v>
      </c>
      <c r="I473" t="s">
        <v>57</v>
      </c>
      <c r="K473" t="s">
        <v>206</v>
      </c>
      <c r="L473" t="s">
        <v>1091</v>
      </c>
      <c r="M473" t="s">
        <v>60</v>
      </c>
      <c r="O473" t="s">
        <v>170</v>
      </c>
      <c r="P473" t="s">
        <v>62</v>
      </c>
      <c r="R473" t="s">
        <v>63</v>
      </c>
      <c r="S473" t="s">
        <v>64</v>
      </c>
      <c r="T473">
        <v>227</v>
      </c>
      <c r="U473">
        <v>208.5</v>
      </c>
      <c r="V473">
        <f t="shared" si="14"/>
        <v>217.75</v>
      </c>
      <c r="W473">
        <f t="shared" si="15"/>
        <v>18.5</v>
      </c>
      <c r="X473">
        <v>-109.736664</v>
      </c>
      <c r="Y473">
        <v>34.941113000000001</v>
      </c>
      <c r="Z473" t="s">
        <v>124</v>
      </c>
      <c r="AA473" t="s">
        <v>66</v>
      </c>
      <c r="AB473" t="s">
        <v>583</v>
      </c>
      <c r="AC473" t="s">
        <v>735</v>
      </c>
      <c r="AD473" t="s">
        <v>174</v>
      </c>
      <c r="AF473" t="s">
        <v>749</v>
      </c>
      <c r="AH473" t="s">
        <v>11</v>
      </c>
      <c r="AI473" t="s">
        <v>740</v>
      </c>
      <c r="AJ473">
        <v>1995</v>
      </c>
      <c r="AK473" t="s">
        <v>2908</v>
      </c>
      <c r="AM473" t="s">
        <v>2909</v>
      </c>
      <c r="AN473" t="s">
        <v>114</v>
      </c>
      <c r="AO473" t="s">
        <v>77</v>
      </c>
      <c r="AQ473" t="s">
        <v>2784</v>
      </c>
      <c r="AR473" t="s">
        <v>80</v>
      </c>
      <c r="AS473">
        <v>101</v>
      </c>
      <c r="AT473" t="s">
        <v>81</v>
      </c>
      <c r="AU473">
        <v>-37.56</v>
      </c>
      <c r="AV473">
        <v>10.42</v>
      </c>
      <c r="AW473" t="s">
        <v>82</v>
      </c>
      <c r="AX473">
        <v>133</v>
      </c>
      <c r="AY473" t="s">
        <v>81</v>
      </c>
      <c r="AZ473">
        <v>-52.37</v>
      </c>
      <c r="BA473">
        <v>10.49</v>
      </c>
      <c r="BB473" t="s">
        <v>83</v>
      </c>
    </row>
    <row r="474" spans="1:54" x14ac:dyDescent="0.4">
      <c r="A474">
        <v>842114</v>
      </c>
      <c r="D474" t="s">
        <v>54</v>
      </c>
      <c r="G474">
        <v>1</v>
      </c>
      <c r="H474" t="s">
        <v>421</v>
      </c>
      <c r="I474" t="s">
        <v>57</v>
      </c>
      <c r="K474" t="s">
        <v>206</v>
      </c>
      <c r="L474" t="s">
        <v>851</v>
      </c>
      <c r="M474" t="s">
        <v>60</v>
      </c>
      <c r="O474" t="s">
        <v>170</v>
      </c>
      <c r="P474" t="s">
        <v>62</v>
      </c>
      <c r="R474" t="s">
        <v>63</v>
      </c>
      <c r="S474" t="s">
        <v>64</v>
      </c>
      <c r="T474">
        <v>227</v>
      </c>
      <c r="U474">
        <v>208.5</v>
      </c>
      <c r="V474">
        <f t="shared" si="14"/>
        <v>217.75</v>
      </c>
      <c r="W474">
        <f t="shared" si="15"/>
        <v>18.5</v>
      </c>
      <c r="X474">
        <v>-109.736664</v>
      </c>
      <c r="Y474">
        <v>34.941113000000001</v>
      </c>
      <c r="Z474" t="s">
        <v>124</v>
      </c>
      <c r="AA474" t="s">
        <v>66</v>
      </c>
      <c r="AB474" t="s">
        <v>583</v>
      </c>
      <c r="AC474" t="s">
        <v>735</v>
      </c>
      <c r="AD474" t="s">
        <v>174</v>
      </c>
      <c r="AF474" t="s">
        <v>749</v>
      </c>
      <c r="AH474" t="s">
        <v>72</v>
      </c>
      <c r="AI474" t="s">
        <v>740</v>
      </c>
      <c r="AJ474">
        <v>1995</v>
      </c>
      <c r="AK474" t="s">
        <v>2908</v>
      </c>
      <c r="AM474" t="s">
        <v>2909</v>
      </c>
      <c r="AN474" t="s">
        <v>114</v>
      </c>
      <c r="AO474" t="s">
        <v>77</v>
      </c>
      <c r="AQ474" t="s">
        <v>2784</v>
      </c>
      <c r="AR474" t="s">
        <v>80</v>
      </c>
      <c r="AS474">
        <v>101</v>
      </c>
      <c r="AT474" t="s">
        <v>81</v>
      </c>
      <c r="AU474">
        <v>-37.56</v>
      </c>
      <c r="AV474">
        <v>10.42</v>
      </c>
      <c r="AW474" t="s">
        <v>82</v>
      </c>
      <c r="AX474">
        <v>133</v>
      </c>
      <c r="AY474" t="s">
        <v>81</v>
      </c>
      <c r="AZ474">
        <v>-52.37</v>
      </c>
      <c r="BA474">
        <v>10.49</v>
      </c>
      <c r="BB474" t="s">
        <v>83</v>
      </c>
    </row>
    <row r="475" spans="1:54" x14ac:dyDescent="0.4">
      <c r="A475">
        <v>842115</v>
      </c>
      <c r="D475" t="s">
        <v>54</v>
      </c>
      <c r="G475">
        <v>1</v>
      </c>
      <c r="H475" t="s">
        <v>56</v>
      </c>
      <c r="I475" t="s">
        <v>57</v>
      </c>
      <c r="K475" t="s">
        <v>85</v>
      </c>
      <c r="L475" t="s">
        <v>845</v>
      </c>
      <c r="M475" t="s">
        <v>60</v>
      </c>
      <c r="O475" t="s">
        <v>87</v>
      </c>
      <c r="P475" t="s">
        <v>62</v>
      </c>
      <c r="R475" t="s">
        <v>63</v>
      </c>
      <c r="S475" t="s">
        <v>64</v>
      </c>
      <c r="T475">
        <v>227</v>
      </c>
      <c r="U475">
        <v>208.5</v>
      </c>
      <c r="V475">
        <f t="shared" si="14"/>
        <v>217.75</v>
      </c>
      <c r="W475">
        <f t="shared" si="15"/>
        <v>18.5</v>
      </c>
      <c r="X475">
        <v>-109.736664</v>
      </c>
      <c r="Y475">
        <v>34.941113000000001</v>
      </c>
      <c r="Z475" t="s">
        <v>124</v>
      </c>
      <c r="AA475" t="s">
        <v>66</v>
      </c>
      <c r="AB475" t="s">
        <v>583</v>
      </c>
      <c r="AC475" t="s">
        <v>735</v>
      </c>
      <c r="AD475" t="s">
        <v>174</v>
      </c>
      <c r="AF475" t="s">
        <v>1078</v>
      </c>
      <c r="AH475" t="s">
        <v>72</v>
      </c>
      <c r="AI475" t="s">
        <v>740</v>
      </c>
      <c r="AJ475">
        <v>1995</v>
      </c>
      <c r="AK475" t="s">
        <v>2910</v>
      </c>
      <c r="AM475" t="s">
        <v>2911</v>
      </c>
      <c r="AN475" t="s">
        <v>114</v>
      </c>
      <c r="AO475" t="s">
        <v>77</v>
      </c>
      <c r="AQ475" t="s">
        <v>2912</v>
      </c>
      <c r="AR475" t="s">
        <v>80</v>
      </c>
      <c r="AS475">
        <v>101</v>
      </c>
      <c r="AT475" t="s">
        <v>81</v>
      </c>
      <c r="AU475">
        <v>-37.56</v>
      </c>
      <c r="AV475">
        <v>10.42</v>
      </c>
      <c r="AW475" t="s">
        <v>82</v>
      </c>
      <c r="AX475">
        <v>133</v>
      </c>
      <c r="AY475" t="s">
        <v>81</v>
      </c>
      <c r="AZ475">
        <v>-52.37</v>
      </c>
      <c r="BA475">
        <v>10.49</v>
      </c>
      <c r="BB475" t="s">
        <v>83</v>
      </c>
    </row>
    <row r="476" spans="1:54" x14ac:dyDescent="0.4">
      <c r="A476">
        <v>842116</v>
      </c>
      <c r="D476" t="s">
        <v>54</v>
      </c>
      <c r="G476">
        <v>1</v>
      </c>
      <c r="H476" t="s">
        <v>84</v>
      </c>
      <c r="I476" t="s">
        <v>57</v>
      </c>
      <c r="K476" t="s">
        <v>206</v>
      </c>
      <c r="L476" t="s">
        <v>851</v>
      </c>
      <c r="M476" t="s">
        <v>60</v>
      </c>
      <c r="O476" t="s">
        <v>170</v>
      </c>
      <c r="P476" t="s">
        <v>62</v>
      </c>
      <c r="R476" t="s">
        <v>63</v>
      </c>
      <c r="S476" t="s">
        <v>64</v>
      </c>
      <c r="T476">
        <v>227</v>
      </c>
      <c r="U476">
        <v>208.5</v>
      </c>
      <c r="V476">
        <f t="shared" si="14"/>
        <v>217.75</v>
      </c>
      <c r="W476">
        <f t="shared" si="15"/>
        <v>18.5</v>
      </c>
      <c r="X476">
        <v>-109.736664</v>
      </c>
      <c r="Y476">
        <v>34.941113000000001</v>
      </c>
      <c r="Z476" t="s">
        <v>124</v>
      </c>
      <c r="AA476" t="s">
        <v>66</v>
      </c>
      <c r="AB476" t="s">
        <v>583</v>
      </c>
      <c r="AC476" t="s">
        <v>735</v>
      </c>
      <c r="AD476" t="s">
        <v>174</v>
      </c>
      <c r="AF476" t="s">
        <v>1078</v>
      </c>
      <c r="AH476" t="s">
        <v>72</v>
      </c>
      <c r="AI476" t="s">
        <v>740</v>
      </c>
      <c r="AJ476">
        <v>1995</v>
      </c>
      <c r="AK476" t="s">
        <v>2910</v>
      </c>
      <c r="AM476" t="s">
        <v>2911</v>
      </c>
      <c r="AN476" t="s">
        <v>114</v>
      </c>
      <c r="AO476" t="s">
        <v>77</v>
      </c>
      <c r="AQ476" t="s">
        <v>2912</v>
      </c>
      <c r="AR476" t="s">
        <v>80</v>
      </c>
      <c r="AS476">
        <v>101</v>
      </c>
      <c r="AT476" t="s">
        <v>81</v>
      </c>
      <c r="AU476">
        <v>-37.56</v>
      </c>
      <c r="AV476">
        <v>10.42</v>
      </c>
      <c r="AW476" t="s">
        <v>82</v>
      </c>
      <c r="AX476">
        <v>133</v>
      </c>
      <c r="AY476" t="s">
        <v>81</v>
      </c>
      <c r="AZ476">
        <v>-52.37</v>
      </c>
      <c r="BA476">
        <v>10.49</v>
      </c>
      <c r="BB476" t="s">
        <v>83</v>
      </c>
    </row>
    <row r="477" spans="1:54" x14ac:dyDescent="0.4">
      <c r="A477">
        <v>842117</v>
      </c>
      <c r="D477" t="s">
        <v>54</v>
      </c>
      <c r="G477">
        <v>1</v>
      </c>
      <c r="H477" t="s">
        <v>84</v>
      </c>
      <c r="I477" t="s">
        <v>57</v>
      </c>
      <c r="K477" t="s">
        <v>196</v>
      </c>
      <c r="L477" t="s">
        <v>197</v>
      </c>
      <c r="M477" t="s">
        <v>60</v>
      </c>
      <c r="O477" t="s">
        <v>87</v>
      </c>
      <c r="P477" t="s">
        <v>62</v>
      </c>
      <c r="R477" t="s">
        <v>63</v>
      </c>
      <c r="S477" t="s">
        <v>64</v>
      </c>
      <c r="T477">
        <v>227</v>
      </c>
      <c r="U477">
        <v>208.5</v>
      </c>
      <c r="V477">
        <f t="shared" si="14"/>
        <v>217.75</v>
      </c>
      <c r="W477">
        <f t="shared" si="15"/>
        <v>18.5</v>
      </c>
      <c r="X477">
        <v>-109.736664</v>
      </c>
      <c r="Y477">
        <v>34.941113000000001</v>
      </c>
      <c r="Z477" t="s">
        <v>124</v>
      </c>
      <c r="AA477" t="s">
        <v>66</v>
      </c>
      <c r="AB477" t="s">
        <v>583</v>
      </c>
      <c r="AC477" t="s">
        <v>735</v>
      </c>
      <c r="AD477" t="s">
        <v>174</v>
      </c>
      <c r="AF477" t="s">
        <v>1078</v>
      </c>
      <c r="AH477" t="s">
        <v>72</v>
      </c>
      <c r="AI477" t="s">
        <v>740</v>
      </c>
      <c r="AJ477">
        <v>1995</v>
      </c>
      <c r="AK477" t="s">
        <v>2910</v>
      </c>
      <c r="AM477" t="s">
        <v>2911</v>
      </c>
      <c r="AN477" t="s">
        <v>114</v>
      </c>
      <c r="AO477" t="s">
        <v>77</v>
      </c>
      <c r="AQ477" t="s">
        <v>2912</v>
      </c>
      <c r="AR477" t="s">
        <v>80</v>
      </c>
      <c r="AS477">
        <v>101</v>
      </c>
      <c r="AT477" t="s">
        <v>81</v>
      </c>
      <c r="AU477">
        <v>-37.56</v>
      </c>
      <c r="AV477">
        <v>10.42</v>
      </c>
      <c r="AW477" t="s">
        <v>82</v>
      </c>
      <c r="AX477">
        <v>133</v>
      </c>
      <c r="AY477" t="s">
        <v>81</v>
      </c>
      <c r="AZ477">
        <v>-52.37</v>
      </c>
      <c r="BA477">
        <v>10.49</v>
      </c>
      <c r="BB477" t="s">
        <v>83</v>
      </c>
    </row>
    <row r="478" spans="1:54" x14ac:dyDescent="0.4">
      <c r="A478">
        <v>842120</v>
      </c>
      <c r="D478" t="s">
        <v>54</v>
      </c>
      <c r="I478" t="s">
        <v>57</v>
      </c>
      <c r="K478" t="s">
        <v>206</v>
      </c>
      <c r="L478" t="s">
        <v>851</v>
      </c>
      <c r="M478" t="s">
        <v>60</v>
      </c>
      <c r="O478" t="s">
        <v>170</v>
      </c>
      <c r="P478" t="s">
        <v>62</v>
      </c>
      <c r="R478" t="s">
        <v>63</v>
      </c>
      <c r="S478" t="s">
        <v>64</v>
      </c>
      <c r="T478">
        <v>227</v>
      </c>
      <c r="U478">
        <v>208.5</v>
      </c>
      <c r="V478">
        <f t="shared" si="14"/>
        <v>217.75</v>
      </c>
      <c r="W478">
        <f t="shared" si="15"/>
        <v>18.5</v>
      </c>
      <c r="X478">
        <v>-109.736664</v>
      </c>
      <c r="Y478">
        <v>34.941113000000001</v>
      </c>
      <c r="Z478" t="s">
        <v>124</v>
      </c>
      <c r="AA478" t="s">
        <v>66</v>
      </c>
      <c r="AB478" t="s">
        <v>583</v>
      </c>
      <c r="AC478" t="s">
        <v>735</v>
      </c>
      <c r="AD478" t="s">
        <v>174</v>
      </c>
      <c r="AF478" t="s">
        <v>749</v>
      </c>
      <c r="AH478" t="s">
        <v>72</v>
      </c>
      <c r="AI478" t="s">
        <v>740</v>
      </c>
      <c r="AJ478">
        <v>1995</v>
      </c>
      <c r="AK478" t="s">
        <v>2913</v>
      </c>
      <c r="AM478" t="s">
        <v>2914</v>
      </c>
      <c r="AN478" t="s">
        <v>114</v>
      </c>
      <c r="AO478" t="s">
        <v>77</v>
      </c>
      <c r="AQ478" t="s">
        <v>2912</v>
      </c>
      <c r="AR478" t="s">
        <v>80</v>
      </c>
      <c r="AS478">
        <v>101</v>
      </c>
      <c r="AT478" t="s">
        <v>81</v>
      </c>
      <c r="AU478">
        <v>-37.56</v>
      </c>
      <c r="AV478">
        <v>10.42</v>
      </c>
      <c r="AW478" t="s">
        <v>82</v>
      </c>
      <c r="AX478">
        <v>133</v>
      </c>
      <c r="AY478" t="s">
        <v>81</v>
      </c>
      <c r="AZ478">
        <v>-52.37</v>
      </c>
      <c r="BA478">
        <v>10.49</v>
      </c>
      <c r="BB478" t="s">
        <v>83</v>
      </c>
    </row>
    <row r="479" spans="1:54" x14ac:dyDescent="0.4">
      <c r="A479">
        <v>842121</v>
      </c>
      <c r="D479" t="s">
        <v>54</v>
      </c>
      <c r="I479" t="s">
        <v>57</v>
      </c>
      <c r="K479" t="s">
        <v>206</v>
      </c>
      <c r="L479" t="s">
        <v>1091</v>
      </c>
      <c r="M479" t="s">
        <v>60</v>
      </c>
      <c r="O479" t="s">
        <v>170</v>
      </c>
      <c r="P479" t="s">
        <v>62</v>
      </c>
      <c r="R479" t="s">
        <v>63</v>
      </c>
      <c r="S479" t="s">
        <v>64</v>
      </c>
      <c r="T479">
        <v>227</v>
      </c>
      <c r="U479">
        <v>208.5</v>
      </c>
      <c r="V479">
        <f t="shared" si="14"/>
        <v>217.75</v>
      </c>
      <c r="W479">
        <f t="shared" si="15"/>
        <v>18.5</v>
      </c>
      <c r="X479">
        <v>-109.736664</v>
      </c>
      <c r="Y479">
        <v>34.941113000000001</v>
      </c>
      <c r="Z479" t="s">
        <v>124</v>
      </c>
      <c r="AA479" t="s">
        <v>66</v>
      </c>
      <c r="AB479" t="s">
        <v>583</v>
      </c>
      <c r="AC479" t="s">
        <v>735</v>
      </c>
      <c r="AD479" t="s">
        <v>174</v>
      </c>
      <c r="AF479" t="s">
        <v>749</v>
      </c>
      <c r="AH479" t="s">
        <v>11</v>
      </c>
      <c r="AI479" t="s">
        <v>740</v>
      </c>
      <c r="AJ479">
        <v>1995</v>
      </c>
      <c r="AK479" t="s">
        <v>2913</v>
      </c>
      <c r="AM479" t="s">
        <v>2914</v>
      </c>
      <c r="AN479" t="s">
        <v>114</v>
      </c>
      <c r="AO479" t="s">
        <v>77</v>
      </c>
      <c r="AQ479" t="s">
        <v>2912</v>
      </c>
      <c r="AR479" t="s">
        <v>80</v>
      </c>
      <c r="AS479">
        <v>101</v>
      </c>
      <c r="AT479" t="s">
        <v>81</v>
      </c>
      <c r="AU479">
        <v>-37.56</v>
      </c>
      <c r="AV479">
        <v>10.42</v>
      </c>
      <c r="AW479" t="s">
        <v>82</v>
      </c>
      <c r="AX479">
        <v>133</v>
      </c>
      <c r="AY479" t="s">
        <v>81</v>
      </c>
      <c r="AZ479">
        <v>-52.37</v>
      </c>
      <c r="BA479">
        <v>10.49</v>
      </c>
      <c r="BB479" t="s">
        <v>83</v>
      </c>
    </row>
    <row r="480" spans="1:54" x14ac:dyDescent="0.4">
      <c r="A480">
        <v>842122</v>
      </c>
      <c r="D480" t="s">
        <v>54</v>
      </c>
      <c r="G480">
        <v>2</v>
      </c>
      <c r="H480" t="s">
        <v>421</v>
      </c>
      <c r="I480" t="s">
        <v>57</v>
      </c>
      <c r="K480" t="s">
        <v>196</v>
      </c>
      <c r="L480" t="s">
        <v>197</v>
      </c>
      <c r="M480" t="s">
        <v>60</v>
      </c>
      <c r="O480" t="s">
        <v>87</v>
      </c>
      <c r="P480" t="s">
        <v>62</v>
      </c>
      <c r="R480" t="s">
        <v>63</v>
      </c>
      <c r="S480" t="s">
        <v>64</v>
      </c>
      <c r="T480">
        <v>227</v>
      </c>
      <c r="U480">
        <v>208.5</v>
      </c>
      <c r="V480">
        <f t="shared" si="14"/>
        <v>217.75</v>
      </c>
      <c r="W480">
        <f t="shared" si="15"/>
        <v>18.5</v>
      </c>
      <c r="X480">
        <v>-109.736664</v>
      </c>
      <c r="Y480">
        <v>34.941113000000001</v>
      </c>
      <c r="Z480" t="s">
        <v>124</v>
      </c>
      <c r="AA480" t="s">
        <v>66</v>
      </c>
      <c r="AB480" t="s">
        <v>583</v>
      </c>
      <c r="AC480" t="s">
        <v>735</v>
      </c>
      <c r="AD480" t="s">
        <v>174</v>
      </c>
      <c r="AF480" t="s">
        <v>749</v>
      </c>
      <c r="AH480" t="s">
        <v>72</v>
      </c>
      <c r="AI480" t="s">
        <v>740</v>
      </c>
      <c r="AJ480">
        <v>1995</v>
      </c>
      <c r="AK480" t="s">
        <v>2913</v>
      </c>
      <c r="AM480" t="s">
        <v>2914</v>
      </c>
      <c r="AN480" t="s">
        <v>114</v>
      </c>
      <c r="AO480" t="s">
        <v>77</v>
      </c>
      <c r="AQ480" t="s">
        <v>2912</v>
      </c>
      <c r="AR480" t="s">
        <v>80</v>
      </c>
      <c r="AS480">
        <v>101</v>
      </c>
      <c r="AT480" t="s">
        <v>81</v>
      </c>
      <c r="AU480">
        <v>-37.56</v>
      </c>
      <c r="AV480">
        <v>10.42</v>
      </c>
      <c r="AW480" t="s">
        <v>82</v>
      </c>
      <c r="AX480">
        <v>133</v>
      </c>
      <c r="AY480" t="s">
        <v>81</v>
      </c>
      <c r="AZ480">
        <v>-52.37</v>
      </c>
      <c r="BA480">
        <v>10.49</v>
      </c>
      <c r="BB480" t="s">
        <v>83</v>
      </c>
    </row>
    <row r="481" spans="1:54" x14ac:dyDescent="0.4">
      <c r="A481">
        <v>842123</v>
      </c>
      <c r="D481" t="s">
        <v>54</v>
      </c>
      <c r="G481">
        <v>1</v>
      </c>
      <c r="H481" t="s">
        <v>421</v>
      </c>
      <c r="I481" t="s">
        <v>57</v>
      </c>
      <c r="K481" t="s">
        <v>767</v>
      </c>
      <c r="L481" t="s">
        <v>768</v>
      </c>
      <c r="M481" t="s">
        <v>60</v>
      </c>
      <c r="N481" t="s">
        <v>119</v>
      </c>
      <c r="O481" t="s">
        <v>87</v>
      </c>
      <c r="P481" t="s">
        <v>62</v>
      </c>
      <c r="R481" t="s">
        <v>63</v>
      </c>
      <c r="S481" t="s">
        <v>64</v>
      </c>
      <c r="T481">
        <v>227</v>
      </c>
      <c r="U481">
        <v>208.5</v>
      </c>
      <c r="V481">
        <f t="shared" si="14"/>
        <v>217.75</v>
      </c>
      <c r="W481">
        <f t="shared" si="15"/>
        <v>18.5</v>
      </c>
      <c r="X481">
        <v>-109.736664</v>
      </c>
      <c r="Y481">
        <v>34.941113000000001</v>
      </c>
      <c r="Z481" t="s">
        <v>124</v>
      </c>
      <c r="AA481" t="s">
        <v>66</v>
      </c>
      <c r="AB481" t="s">
        <v>583</v>
      </c>
      <c r="AC481" t="s">
        <v>735</v>
      </c>
      <c r="AD481" t="s">
        <v>174</v>
      </c>
      <c r="AF481" t="s">
        <v>749</v>
      </c>
      <c r="AH481" t="s">
        <v>72</v>
      </c>
      <c r="AI481" t="s">
        <v>740</v>
      </c>
      <c r="AJ481">
        <v>1995</v>
      </c>
      <c r="AK481" t="s">
        <v>2913</v>
      </c>
      <c r="AM481" t="s">
        <v>2914</v>
      </c>
      <c r="AN481" t="s">
        <v>114</v>
      </c>
      <c r="AO481" t="s">
        <v>77</v>
      </c>
      <c r="AQ481" t="s">
        <v>2912</v>
      </c>
      <c r="AR481" t="s">
        <v>80</v>
      </c>
      <c r="AS481">
        <v>101</v>
      </c>
      <c r="AT481" t="s">
        <v>81</v>
      </c>
      <c r="AU481">
        <v>-37.56</v>
      </c>
      <c r="AV481">
        <v>10.42</v>
      </c>
      <c r="AW481" t="s">
        <v>82</v>
      </c>
      <c r="AX481">
        <v>133</v>
      </c>
      <c r="AY481" t="s">
        <v>81</v>
      </c>
      <c r="AZ481">
        <v>-52.37</v>
      </c>
      <c r="BA481">
        <v>10.49</v>
      </c>
      <c r="BB481" t="s">
        <v>83</v>
      </c>
    </row>
    <row r="482" spans="1:54" x14ac:dyDescent="0.4">
      <c r="A482">
        <v>842124</v>
      </c>
      <c r="D482" t="s">
        <v>54</v>
      </c>
      <c r="G482">
        <v>1</v>
      </c>
      <c r="H482" t="s">
        <v>56</v>
      </c>
      <c r="I482" t="s">
        <v>57</v>
      </c>
      <c r="K482" t="s">
        <v>85</v>
      </c>
      <c r="L482" t="s">
        <v>845</v>
      </c>
      <c r="M482" t="s">
        <v>60</v>
      </c>
      <c r="O482" t="s">
        <v>87</v>
      </c>
      <c r="P482" t="s">
        <v>62</v>
      </c>
      <c r="R482" t="s">
        <v>63</v>
      </c>
      <c r="S482" t="s">
        <v>64</v>
      </c>
      <c r="T482">
        <v>227</v>
      </c>
      <c r="U482">
        <v>208.5</v>
      </c>
      <c r="V482">
        <f t="shared" si="14"/>
        <v>217.75</v>
      </c>
      <c r="W482">
        <f t="shared" si="15"/>
        <v>18.5</v>
      </c>
      <c r="X482">
        <v>-109.736664</v>
      </c>
      <c r="Y482">
        <v>34.941113000000001</v>
      </c>
      <c r="Z482" t="s">
        <v>124</v>
      </c>
      <c r="AA482" t="s">
        <v>66</v>
      </c>
      <c r="AB482" t="s">
        <v>583</v>
      </c>
      <c r="AC482" t="s">
        <v>735</v>
      </c>
      <c r="AD482" t="s">
        <v>174</v>
      </c>
      <c r="AF482" t="s">
        <v>749</v>
      </c>
      <c r="AH482" t="s">
        <v>72</v>
      </c>
      <c r="AI482" t="s">
        <v>740</v>
      </c>
      <c r="AJ482">
        <v>1995</v>
      </c>
      <c r="AK482" t="s">
        <v>2913</v>
      </c>
      <c r="AM482" t="s">
        <v>2914</v>
      </c>
      <c r="AN482" t="s">
        <v>114</v>
      </c>
      <c r="AO482" t="s">
        <v>77</v>
      </c>
      <c r="AQ482" t="s">
        <v>2912</v>
      </c>
      <c r="AR482" t="s">
        <v>80</v>
      </c>
      <c r="AS482">
        <v>101</v>
      </c>
      <c r="AT482" t="s">
        <v>81</v>
      </c>
      <c r="AU482">
        <v>-37.56</v>
      </c>
      <c r="AV482">
        <v>10.42</v>
      </c>
      <c r="AW482" t="s">
        <v>82</v>
      </c>
      <c r="AX482">
        <v>133</v>
      </c>
      <c r="AY482" t="s">
        <v>81</v>
      </c>
      <c r="AZ482">
        <v>-52.37</v>
      </c>
      <c r="BA482">
        <v>10.49</v>
      </c>
      <c r="BB482" t="s">
        <v>83</v>
      </c>
    </row>
    <row r="483" spans="1:54" x14ac:dyDescent="0.4">
      <c r="A483">
        <v>842125</v>
      </c>
      <c r="D483" t="s">
        <v>54</v>
      </c>
      <c r="G483">
        <v>1</v>
      </c>
      <c r="H483" t="s">
        <v>56</v>
      </c>
      <c r="I483" t="s">
        <v>57</v>
      </c>
      <c r="K483" t="s">
        <v>85</v>
      </c>
      <c r="L483" t="s">
        <v>845</v>
      </c>
      <c r="M483" t="s">
        <v>60</v>
      </c>
      <c r="O483" t="s">
        <v>87</v>
      </c>
      <c r="P483" t="s">
        <v>62</v>
      </c>
      <c r="R483" t="s">
        <v>63</v>
      </c>
      <c r="S483" t="s">
        <v>64</v>
      </c>
      <c r="T483">
        <v>227</v>
      </c>
      <c r="U483">
        <v>208.5</v>
      </c>
      <c r="V483">
        <f t="shared" si="14"/>
        <v>217.75</v>
      </c>
      <c r="W483">
        <f t="shared" si="15"/>
        <v>18.5</v>
      </c>
      <c r="X483">
        <v>-109.736664</v>
      </c>
      <c r="Y483">
        <v>34.941113000000001</v>
      </c>
      <c r="Z483" t="s">
        <v>124</v>
      </c>
      <c r="AA483" t="s">
        <v>66</v>
      </c>
      <c r="AB483" t="s">
        <v>583</v>
      </c>
      <c r="AC483" t="s">
        <v>735</v>
      </c>
      <c r="AD483" t="s">
        <v>174</v>
      </c>
      <c r="AF483" t="s">
        <v>1078</v>
      </c>
      <c r="AH483" t="s">
        <v>72</v>
      </c>
      <c r="AI483" t="s">
        <v>740</v>
      </c>
      <c r="AJ483">
        <v>1995</v>
      </c>
      <c r="AK483" t="s">
        <v>2910</v>
      </c>
      <c r="AM483" t="s">
        <v>2911</v>
      </c>
      <c r="AN483" t="s">
        <v>114</v>
      </c>
      <c r="AO483" t="s">
        <v>77</v>
      </c>
      <c r="AQ483" t="s">
        <v>2912</v>
      </c>
      <c r="AR483" t="s">
        <v>80</v>
      </c>
      <c r="AS483">
        <v>101</v>
      </c>
      <c r="AT483" t="s">
        <v>81</v>
      </c>
      <c r="AU483">
        <v>-37.56</v>
      </c>
      <c r="AV483">
        <v>10.42</v>
      </c>
      <c r="AW483" t="s">
        <v>82</v>
      </c>
      <c r="AX483">
        <v>133</v>
      </c>
      <c r="AY483" t="s">
        <v>81</v>
      </c>
      <c r="AZ483">
        <v>-52.37</v>
      </c>
      <c r="BA483">
        <v>10.49</v>
      </c>
      <c r="BB483" t="s">
        <v>83</v>
      </c>
    </row>
    <row r="484" spans="1:54" x14ac:dyDescent="0.4">
      <c r="A484">
        <v>842126</v>
      </c>
      <c r="D484" t="s">
        <v>54</v>
      </c>
      <c r="G484">
        <v>2</v>
      </c>
      <c r="H484" t="s">
        <v>84</v>
      </c>
      <c r="I484" t="s">
        <v>57</v>
      </c>
      <c r="K484" t="s">
        <v>206</v>
      </c>
      <c r="L484" t="s">
        <v>1091</v>
      </c>
      <c r="M484" t="s">
        <v>60</v>
      </c>
      <c r="O484" t="s">
        <v>170</v>
      </c>
      <c r="P484" t="s">
        <v>62</v>
      </c>
      <c r="R484" t="s">
        <v>63</v>
      </c>
      <c r="S484" t="s">
        <v>64</v>
      </c>
      <c r="T484">
        <v>227</v>
      </c>
      <c r="U484">
        <v>208.5</v>
      </c>
      <c r="V484">
        <f t="shared" si="14"/>
        <v>217.75</v>
      </c>
      <c r="W484">
        <f t="shared" si="15"/>
        <v>18.5</v>
      </c>
      <c r="X484">
        <v>-109.736664</v>
      </c>
      <c r="Y484">
        <v>34.941113000000001</v>
      </c>
      <c r="Z484" t="s">
        <v>124</v>
      </c>
      <c r="AA484" t="s">
        <v>66</v>
      </c>
      <c r="AB484" t="s">
        <v>583</v>
      </c>
      <c r="AC484" t="s">
        <v>735</v>
      </c>
      <c r="AD484" t="s">
        <v>174</v>
      </c>
      <c r="AF484" t="s">
        <v>1078</v>
      </c>
      <c r="AH484" t="s">
        <v>11</v>
      </c>
      <c r="AI484" t="s">
        <v>740</v>
      </c>
      <c r="AJ484">
        <v>1995</v>
      </c>
      <c r="AK484" t="s">
        <v>2910</v>
      </c>
      <c r="AM484" t="s">
        <v>2911</v>
      </c>
      <c r="AN484" t="s">
        <v>114</v>
      </c>
      <c r="AO484" t="s">
        <v>77</v>
      </c>
      <c r="AQ484" t="s">
        <v>2912</v>
      </c>
      <c r="AR484" t="s">
        <v>80</v>
      </c>
      <c r="AS484">
        <v>101</v>
      </c>
      <c r="AT484" t="s">
        <v>81</v>
      </c>
      <c r="AU484">
        <v>-37.56</v>
      </c>
      <c r="AV484">
        <v>10.42</v>
      </c>
      <c r="AW484" t="s">
        <v>82</v>
      </c>
      <c r="AX484">
        <v>133</v>
      </c>
      <c r="AY484" t="s">
        <v>81</v>
      </c>
      <c r="AZ484">
        <v>-52.37</v>
      </c>
      <c r="BA484">
        <v>10.49</v>
      </c>
      <c r="BB484" t="s">
        <v>83</v>
      </c>
    </row>
    <row r="485" spans="1:54" x14ac:dyDescent="0.4">
      <c r="A485">
        <v>842127</v>
      </c>
      <c r="D485" t="s">
        <v>54</v>
      </c>
      <c r="G485">
        <v>1</v>
      </c>
      <c r="H485" t="s">
        <v>56</v>
      </c>
      <c r="I485" t="s">
        <v>57</v>
      </c>
      <c r="K485" t="s">
        <v>85</v>
      </c>
      <c r="L485" t="s">
        <v>1076</v>
      </c>
      <c r="M485" t="s">
        <v>60</v>
      </c>
      <c r="O485" t="s">
        <v>87</v>
      </c>
      <c r="P485" t="s">
        <v>62</v>
      </c>
      <c r="R485" t="s">
        <v>63</v>
      </c>
      <c r="S485" t="s">
        <v>64</v>
      </c>
      <c r="T485">
        <v>227</v>
      </c>
      <c r="U485">
        <v>208.5</v>
      </c>
      <c r="V485">
        <f t="shared" si="14"/>
        <v>217.75</v>
      </c>
      <c r="W485">
        <f t="shared" si="15"/>
        <v>18.5</v>
      </c>
      <c r="X485">
        <v>-109.755554</v>
      </c>
      <c r="Y485">
        <v>34.916668000000001</v>
      </c>
      <c r="Z485" t="s">
        <v>124</v>
      </c>
      <c r="AA485" t="s">
        <v>66</v>
      </c>
      <c r="AB485" t="s">
        <v>583</v>
      </c>
      <c r="AC485" t="s">
        <v>735</v>
      </c>
      <c r="AD485" t="s">
        <v>174</v>
      </c>
      <c r="AF485" t="s">
        <v>1078</v>
      </c>
      <c r="AH485" t="s">
        <v>11</v>
      </c>
      <c r="AI485" t="s">
        <v>2885</v>
      </c>
      <c r="AJ485">
        <v>2005</v>
      </c>
      <c r="AK485" t="s">
        <v>2915</v>
      </c>
      <c r="AM485" t="s">
        <v>2916</v>
      </c>
      <c r="AN485" t="s">
        <v>114</v>
      </c>
      <c r="AO485" t="s">
        <v>160</v>
      </c>
      <c r="AP485" t="s">
        <v>115</v>
      </c>
      <c r="AQ485" t="s">
        <v>2917</v>
      </c>
      <c r="AR485" t="s">
        <v>80</v>
      </c>
      <c r="AS485">
        <v>101</v>
      </c>
      <c r="AT485" t="s">
        <v>81</v>
      </c>
      <c r="AU485">
        <v>-37.58</v>
      </c>
      <c r="AV485">
        <v>10.4</v>
      </c>
      <c r="AW485" t="s">
        <v>82</v>
      </c>
      <c r="AX485">
        <v>133</v>
      </c>
      <c r="AY485" t="s">
        <v>81</v>
      </c>
      <c r="AZ485">
        <v>-52.39</v>
      </c>
      <c r="BA485">
        <v>10.47</v>
      </c>
      <c r="BB485" t="s">
        <v>83</v>
      </c>
    </row>
    <row r="486" spans="1:54" x14ac:dyDescent="0.4">
      <c r="A486">
        <v>842131</v>
      </c>
      <c r="D486" t="s">
        <v>54</v>
      </c>
      <c r="G486">
        <v>1</v>
      </c>
      <c r="H486" t="s">
        <v>56</v>
      </c>
      <c r="I486" t="s">
        <v>57</v>
      </c>
      <c r="K486" t="s">
        <v>206</v>
      </c>
      <c r="L486" t="s">
        <v>851</v>
      </c>
      <c r="M486" t="s">
        <v>60</v>
      </c>
      <c r="O486" t="s">
        <v>170</v>
      </c>
      <c r="P486" t="s">
        <v>62</v>
      </c>
      <c r="R486" t="s">
        <v>63</v>
      </c>
      <c r="S486" t="s">
        <v>64</v>
      </c>
      <c r="T486">
        <v>227</v>
      </c>
      <c r="U486">
        <v>208.5</v>
      </c>
      <c r="V486">
        <f t="shared" si="14"/>
        <v>217.75</v>
      </c>
      <c r="W486">
        <f t="shared" si="15"/>
        <v>18.5</v>
      </c>
      <c r="X486">
        <v>-109.755554</v>
      </c>
      <c r="Y486">
        <v>34.916668000000001</v>
      </c>
      <c r="Z486" t="s">
        <v>124</v>
      </c>
      <c r="AA486" t="s">
        <v>66</v>
      </c>
      <c r="AB486" t="s">
        <v>583</v>
      </c>
      <c r="AC486" t="s">
        <v>735</v>
      </c>
      <c r="AD486" t="s">
        <v>174</v>
      </c>
      <c r="AF486" t="s">
        <v>749</v>
      </c>
      <c r="AH486" t="s">
        <v>72</v>
      </c>
      <c r="AI486" t="s">
        <v>740</v>
      </c>
      <c r="AJ486">
        <v>1995</v>
      </c>
      <c r="AK486" t="s">
        <v>2918</v>
      </c>
      <c r="AM486" t="s">
        <v>2919</v>
      </c>
      <c r="AN486" t="s">
        <v>114</v>
      </c>
      <c r="AO486" t="s">
        <v>160</v>
      </c>
      <c r="AP486" t="s">
        <v>115</v>
      </c>
      <c r="AQ486" t="s">
        <v>2920</v>
      </c>
      <c r="AR486" t="s">
        <v>80</v>
      </c>
      <c r="AS486">
        <v>101</v>
      </c>
      <c r="AT486" t="s">
        <v>81</v>
      </c>
      <c r="AU486">
        <v>-37.58</v>
      </c>
      <c r="AV486">
        <v>10.4</v>
      </c>
      <c r="AW486" t="s">
        <v>82</v>
      </c>
      <c r="AX486">
        <v>133</v>
      </c>
      <c r="AY486" t="s">
        <v>81</v>
      </c>
      <c r="AZ486">
        <v>-52.39</v>
      </c>
      <c r="BA486">
        <v>10.47</v>
      </c>
      <c r="BB486" t="s">
        <v>83</v>
      </c>
    </row>
    <row r="487" spans="1:54" x14ac:dyDescent="0.4">
      <c r="A487">
        <v>842136</v>
      </c>
      <c r="D487" t="s">
        <v>54</v>
      </c>
      <c r="I487" t="s">
        <v>57</v>
      </c>
      <c r="K487" t="s">
        <v>206</v>
      </c>
      <c r="L487" t="s">
        <v>851</v>
      </c>
      <c r="M487" t="s">
        <v>60</v>
      </c>
      <c r="O487" t="s">
        <v>170</v>
      </c>
      <c r="P487" t="s">
        <v>62</v>
      </c>
      <c r="R487" t="s">
        <v>63</v>
      </c>
      <c r="S487" t="s">
        <v>64</v>
      </c>
      <c r="T487">
        <v>227</v>
      </c>
      <c r="U487">
        <v>208.5</v>
      </c>
      <c r="V487">
        <f t="shared" si="14"/>
        <v>217.75</v>
      </c>
      <c r="W487">
        <f t="shared" si="15"/>
        <v>18.5</v>
      </c>
      <c r="X487">
        <v>-109.800003</v>
      </c>
      <c r="Y487">
        <v>34.866669000000002</v>
      </c>
      <c r="Z487" t="s">
        <v>124</v>
      </c>
      <c r="AA487" t="s">
        <v>66</v>
      </c>
      <c r="AB487" t="s">
        <v>583</v>
      </c>
      <c r="AC487" t="s">
        <v>735</v>
      </c>
      <c r="AD487" t="s">
        <v>174</v>
      </c>
      <c r="AF487" t="s">
        <v>749</v>
      </c>
      <c r="AH487" t="s">
        <v>72</v>
      </c>
      <c r="AI487" t="s">
        <v>740</v>
      </c>
      <c r="AJ487">
        <v>1995</v>
      </c>
      <c r="AK487" t="s">
        <v>2921</v>
      </c>
      <c r="AM487" t="s">
        <v>2922</v>
      </c>
      <c r="AN487" t="s">
        <v>192</v>
      </c>
      <c r="AO487" t="s">
        <v>160</v>
      </c>
      <c r="AP487" t="s">
        <v>115</v>
      </c>
      <c r="AR487" t="s">
        <v>80</v>
      </c>
      <c r="AS487">
        <v>101</v>
      </c>
      <c r="AT487" t="s">
        <v>81</v>
      </c>
      <c r="AU487">
        <v>-37.630000000000003</v>
      </c>
      <c r="AV487">
        <v>10.36</v>
      </c>
      <c r="AW487" t="s">
        <v>82</v>
      </c>
      <c r="AX487">
        <v>133</v>
      </c>
      <c r="AY487" t="s">
        <v>81</v>
      </c>
      <c r="AZ487">
        <v>-52.43</v>
      </c>
      <c r="BA487">
        <v>10.42</v>
      </c>
      <c r="BB487" t="s">
        <v>83</v>
      </c>
    </row>
    <row r="488" spans="1:54" x14ac:dyDescent="0.4">
      <c r="A488">
        <v>842139</v>
      </c>
      <c r="D488" t="s">
        <v>54</v>
      </c>
      <c r="G488">
        <v>2</v>
      </c>
      <c r="H488" t="s">
        <v>421</v>
      </c>
      <c r="I488" t="s">
        <v>57</v>
      </c>
      <c r="K488" t="s">
        <v>206</v>
      </c>
      <c r="L488" t="s">
        <v>851</v>
      </c>
      <c r="M488" t="s">
        <v>60</v>
      </c>
      <c r="O488" t="s">
        <v>170</v>
      </c>
      <c r="P488" t="s">
        <v>62</v>
      </c>
      <c r="R488" t="s">
        <v>63</v>
      </c>
      <c r="S488" t="s">
        <v>64</v>
      </c>
      <c r="T488">
        <v>227</v>
      </c>
      <c r="U488">
        <v>208.5</v>
      </c>
      <c r="V488">
        <f t="shared" si="14"/>
        <v>217.75</v>
      </c>
      <c r="W488">
        <f t="shared" si="15"/>
        <v>18.5</v>
      </c>
      <c r="X488">
        <v>-109.82222</v>
      </c>
      <c r="Y488">
        <v>34.830554999999997</v>
      </c>
      <c r="Z488" t="s">
        <v>124</v>
      </c>
      <c r="AA488" t="s">
        <v>66</v>
      </c>
      <c r="AB488" t="s">
        <v>583</v>
      </c>
      <c r="AC488" t="s">
        <v>735</v>
      </c>
      <c r="AD488" t="s">
        <v>174</v>
      </c>
      <c r="AF488" t="s">
        <v>749</v>
      </c>
      <c r="AH488" t="s">
        <v>72</v>
      </c>
      <c r="AI488" t="s">
        <v>740</v>
      </c>
      <c r="AJ488">
        <v>1995</v>
      </c>
      <c r="AK488" t="s">
        <v>2923</v>
      </c>
      <c r="AM488" t="s">
        <v>2924</v>
      </c>
      <c r="AN488" t="s">
        <v>192</v>
      </c>
      <c r="AO488" t="s">
        <v>77</v>
      </c>
      <c r="AP488" t="s">
        <v>115</v>
      </c>
      <c r="AR488" t="s">
        <v>80</v>
      </c>
      <c r="AS488">
        <v>101</v>
      </c>
      <c r="AT488" t="s">
        <v>81</v>
      </c>
      <c r="AU488">
        <v>-37.659999999999997</v>
      </c>
      <c r="AV488">
        <v>10.33</v>
      </c>
      <c r="AW488" t="s">
        <v>82</v>
      </c>
      <c r="AX488">
        <v>133</v>
      </c>
      <c r="AY488" t="s">
        <v>81</v>
      </c>
      <c r="AZ488">
        <v>-52.46</v>
      </c>
      <c r="BA488">
        <v>10.39</v>
      </c>
      <c r="BB488" t="s">
        <v>83</v>
      </c>
    </row>
    <row r="489" spans="1:54" x14ac:dyDescent="0.4">
      <c r="A489">
        <v>842145</v>
      </c>
      <c r="D489" t="s">
        <v>54</v>
      </c>
      <c r="G489">
        <v>1</v>
      </c>
      <c r="H489" t="s">
        <v>84</v>
      </c>
      <c r="I489" t="s">
        <v>57</v>
      </c>
      <c r="K489" t="s">
        <v>206</v>
      </c>
      <c r="L489" t="s">
        <v>1091</v>
      </c>
      <c r="M489" t="s">
        <v>60</v>
      </c>
      <c r="O489" t="s">
        <v>170</v>
      </c>
      <c r="P489" t="s">
        <v>62</v>
      </c>
      <c r="R489" t="s">
        <v>63</v>
      </c>
      <c r="S489" t="s">
        <v>64</v>
      </c>
      <c r="T489">
        <v>227</v>
      </c>
      <c r="U489">
        <v>208.5</v>
      </c>
      <c r="V489">
        <f t="shared" si="14"/>
        <v>217.75</v>
      </c>
      <c r="W489">
        <f t="shared" si="15"/>
        <v>18.5</v>
      </c>
      <c r="X489">
        <v>-109.82222</v>
      </c>
      <c r="Y489">
        <v>34.830554999999997</v>
      </c>
      <c r="Z489" t="s">
        <v>124</v>
      </c>
      <c r="AA489" t="s">
        <v>66</v>
      </c>
      <c r="AB489" t="s">
        <v>583</v>
      </c>
      <c r="AC489" t="s">
        <v>735</v>
      </c>
      <c r="AD489" t="s">
        <v>174</v>
      </c>
      <c r="AF489" t="s">
        <v>1078</v>
      </c>
      <c r="AH489" t="s">
        <v>11</v>
      </c>
      <c r="AI489" t="s">
        <v>740</v>
      </c>
      <c r="AJ489">
        <v>1995</v>
      </c>
      <c r="AK489" t="s">
        <v>2925</v>
      </c>
      <c r="AM489" t="s">
        <v>2926</v>
      </c>
      <c r="AN489" t="s">
        <v>192</v>
      </c>
      <c r="AO489" t="s">
        <v>77</v>
      </c>
      <c r="AP489" t="s">
        <v>78</v>
      </c>
      <c r="AR489" t="s">
        <v>80</v>
      </c>
      <c r="AS489">
        <v>101</v>
      </c>
      <c r="AT489" t="s">
        <v>81</v>
      </c>
      <c r="AU489">
        <v>-37.659999999999997</v>
      </c>
      <c r="AV489">
        <v>10.33</v>
      </c>
      <c r="AW489" t="s">
        <v>82</v>
      </c>
      <c r="AX489">
        <v>133</v>
      </c>
      <c r="AY489" t="s">
        <v>81</v>
      </c>
      <c r="AZ489">
        <v>-52.46</v>
      </c>
      <c r="BA489">
        <v>10.39</v>
      </c>
      <c r="BB489" t="s">
        <v>83</v>
      </c>
    </row>
    <row r="490" spans="1:54" x14ac:dyDescent="0.4">
      <c r="A490">
        <v>842146</v>
      </c>
      <c r="D490" t="s">
        <v>54</v>
      </c>
      <c r="G490">
        <v>23</v>
      </c>
      <c r="H490" t="s">
        <v>84</v>
      </c>
      <c r="I490" t="s">
        <v>57</v>
      </c>
      <c r="K490" t="s">
        <v>206</v>
      </c>
      <c r="L490" t="s">
        <v>851</v>
      </c>
      <c r="M490" t="s">
        <v>60</v>
      </c>
      <c r="O490" t="s">
        <v>170</v>
      </c>
      <c r="P490" t="s">
        <v>62</v>
      </c>
      <c r="R490" t="s">
        <v>63</v>
      </c>
      <c r="S490" t="s">
        <v>64</v>
      </c>
      <c r="T490">
        <v>227</v>
      </c>
      <c r="U490">
        <v>208.5</v>
      </c>
      <c r="V490">
        <f t="shared" si="14"/>
        <v>217.75</v>
      </c>
      <c r="W490">
        <f t="shared" si="15"/>
        <v>18.5</v>
      </c>
      <c r="X490">
        <v>-109.82222</v>
      </c>
      <c r="Y490">
        <v>34.830554999999997</v>
      </c>
      <c r="Z490" t="s">
        <v>124</v>
      </c>
      <c r="AA490" t="s">
        <v>66</v>
      </c>
      <c r="AB490" t="s">
        <v>583</v>
      </c>
      <c r="AC490" t="s">
        <v>735</v>
      </c>
      <c r="AD490" t="s">
        <v>174</v>
      </c>
      <c r="AF490" t="s">
        <v>1078</v>
      </c>
      <c r="AH490" t="s">
        <v>72</v>
      </c>
      <c r="AI490" t="s">
        <v>740</v>
      </c>
      <c r="AJ490">
        <v>1995</v>
      </c>
      <c r="AK490" t="s">
        <v>2925</v>
      </c>
      <c r="AM490" t="s">
        <v>2926</v>
      </c>
      <c r="AN490" t="s">
        <v>192</v>
      </c>
      <c r="AO490" t="s">
        <v>77</v>
      </c>
      <c r="AP490" t="s">
        <v>78</v>
      </c>
      <c r="AR490" t="s">
        <v>80</v>
      </c>
      <c r="AS490">
        <v>101</v>
      </c>
      <c r="AT490" t="s">
        <v>81</v>
      </c>
      <c r="AU490">
        <v>-37.659999999999997</v>
      </c>
      <c r="AV490">
        <v>10.33</v>
      </c>
      <c r="AW490" t="s">
        <v>82</v>
      </c>
      <c r="AX490">
        <v>133</v>
      </c>
      <c r="AY490" t="s">
        <v>81</v>
      </c>
      <c r="AZ490">
        <v>-52.46</v>
      </c>
      <c r="BA490">
        <v>10.39</v>
      </c>
      <c r="BB490" t="s">
        <v>83</v>
      </c>
    </row>
    <row r="491" spans="1:54" x14ac:dyDescent="0.4">
      <c r="A491">
        <v>842165</v>
      </c>
      <c r="D491" t="s">
        <v>54</v>
      </c>
      <c r="G491">
        <v>1</v>
      </c>
      <c r="H491" t="s">
        <v>421</v>
      </c>
      <c r="I491" t="s">
        <v>57</v>
      </c>
      <c r="K491" t="s">
        <v>206</v>
      </c>
      <c r="L491" t="s">
        <v>851</v>
      </c>
      <c r="M491" t="s">
        <v>60</v>
      </c>
      <c r="O491" t="s">
        <v>170</v>
      </c>
      <c r="P491" t="s">
        <v>62</v>
      </c>
      <c r="R491" t="s">
        <v>63</v>
      </c>
      <c r="S491" t="s">
        <v>64</v>
      </c>
      <c r="T491">
        <v>227</v>
      </c>
      <c r="U491">
        <v>208.5</v>
      </c>
      <c r="V491">
        <f t="shared" si="14"/>
        <v>217.75</v>
      </c>
      <c r="W491">
        <f t="shared" si="15"/>
        <v>18.5</v>
      </c>
      <c r="X491">
        <v>-109.883331</v>
      </c>
      <c r="Y491">
        <v>34.788891</v>
      </c>
      <c r="Z491" t="s">
        <v>124</v>
      </c>
      <c r="AA491" t="s">
        <v>66</v>
      </c>
      <c r="AB491" t="s">
        <v>583</v>
      </c>
      <c r="AC491" t="s">
        <v>584</v>
      </c>
      <c r="AD491" t="s">
        <v>174</v>
      </c>
      <c r="AF491" t="s">
        <v>749</v>
      </c>
      <c r="AH491" t="s">
        <v>72</v>
      </c>
      <c r="AI491" t="s">
        <v>740</v>
      </c>
      <c r="AJ491">
        <v>1995</v>
      </c>
      <c r="AK491" t="s">
        <v>2927</v>
      </c>
      <c r="AM491" t="s">
        <v>2928</v>
      </c>
      <c r="AN491" t="s">
        <v>192</v>
      </c>
      <c r="AO491" t="s">
        <v>77</v>
      </c>
      <c r="AP491" t="s">
        <v>115</v>
      </c>
      <c r="AR491" t="s">
        <v>80</v>
      </c>
      <c r="AS491">
        <v>101</v>
      </c>
      <c r="AT491" t="s">
        <v>81</v>
      </c>
      <c r="AU491">
        <v>-37.72</v>
      </c>
      <c r="AV491">
        <v>10.29</v>
      </c>
      <c r="AW491" t="s">
        <v>82</v>
      </c>
      <c r="AX491">
        <v>133</v>
      </c>
      <c r="AY491" t="s">
        <v>81</v>
      </c>
      <c r="AZ491">
        <v>-52.51</v>
      </c>
      <c r="BA491">
        <v>10.36</v>
      </c>
      <c r="BB491" t="s">
        <v>83</v>
      </c>
    </row>
    <row r="492" spans="1:54" x14ac:dyDescent="0.4">
      <c r="A492">
        <v>842169</v>
      </c>
      <c r="D492" t="s">
        <v>54</v>
      </c>
      <c r="G492">
        <v>1</v>
      </c>
      <c r="H492" t="s">
        <v>421</v>
      </c>
      <c r="I492" t="s">
        <v>57</v>
      </c>
      <c r="K492" t="s">
        <v>206</v>
      </c>
      <c r="L492" t="s">
        <v>851</v>
      </c>
      <c r="M492" t="s">
        <v>60</v>
      </c>
      <c r="O492" t="s">
        <v>170</v>
      </c>
      <c r="P492" t="s">
        <v>62</v>
      </c>
      <c r="R492" t="s">
        <v>63</v>
      </c>
      <c r="S492" t="s">
        <v>64</v>
      </c>
      <c r="T492">
        <v>227</v>
      </c>
      <c r="U492">
        <v>208.5</v>
      </c>
      <c r="V492">
        <f t="shared" si="14"/>
        <v>217.75</v>
      </c>
      <c r="W492">
        <f t="shared" si="15"/>
        <v>18.5</v>
      </c>
      <c r="X492">
        <v>-109.883331</v>
      </c>
      <c r="Y492">
        <v>34.788891</v>
      </c>
      <c r="Z492" t="s">
        <v>124</v>
      </c>
      <c r="AA492" t="s">
        <v>66</v>
      </c>
      <c r="AB492" t="s">
        <v>583</v>
      </c>
      <c r="AC492" t="s">
        <v>584</v>
      </c>
      <c r="AD492" t="s">
        <v>174</v>
      </c>
      <c r="AF492" t="s">
        <v>749</v>
      </c>
      <c r="AH492" t="s">
        <v>72</v>
      </c>
      <c r="AI492" t="s">
        <v>740</v>
      </c>
      <c r="AJ492">
        <v>1995</v>
      </c>
      <c r="AK492" t="s">
        <v>2929</v>
      </c>
      <c r="AM492" t="s">
        <v>2930</v>
      </c>
      <c r="AN492" t="s">
        <v>192</v>
      </c>
      <c r="AO492" t="s">
        <v>77</v>
      </c>
      <c r="AP492" t="s">
        <v>115</v>
      </c>
      <c r="AR492" t="s">
        <v>80</v>
      </c>
      <c r="AS492">
        <v>101</v>
      </c>
      <c r="AT492" t="s">
        <v>81</v>
      </c>
      <c r="AU492">
        <v>-37.72</v>
      </c>
      <c r="AV492">
        <v>10.29</v>
      </c>
      <c r="AW492" t="s">
        <v>82</v>
      </c>
      <c r="AX492">
        <v>133</v>
      </c>
      <c r="AY492" t="s">
        <v>81</v>
      </c>
      <c r="AZ492">
        <v>-52.51</v>
      </c>
      <c r="BA492">
        <v>10.36</v>
      </c>
      <c r="BB492" t="s">
        <v>83</v>
      </c>
    </row>
    <row r="493" spans="1:54" x14ac:dyDescent="0.4">
      <c r="A493">
        <v>842179</v>
      </c>
      <c r="D493" t="s">
        <v>54</v>
      </c>
      <c r="G493">
        <v>3</v>
      </c>
      <c r="H493" t="s">
        <v>84</v>
      </c>
      <c r="I493" t="s">
        <v>57</v>
      </c>
      <c r="K493" t="s">
        <v>206</v>
      </c>
      <c r="L493" t="s">
        <v>851</v>
      </c>
      <c r="M493" t="s">
        <v>60</v>
      </c>
      <c r="O493" t="s">
        <v>170</v>
      </c>
      <c r="P493" t="s">
        <v>62</v>
      </c>
      <c r="R493" t="s">
        <v>63</v>
      </c>
      <c r="S493" t="s">
        <v>64</v>
      </c>
      <c r="T493">
        <v>227</v>
      </c>
      <c r="U493">
        <v>208.5</v>
      </c>
      <c r="V493">
        <f t="shared" si="14"/>
        <v>217.75</v>
      </c>
      <c r="W493">
        <f t="shared" si="15"/>
        <v>18.5</v>
      </c>
      <c r="X493">
        <v>-109.90194700000001</v>
      </c>
      <c r="Y493">
        <v>34.823891000000003</v>
      </c>
      <c r="Z493" t="s">
        <v>124</v>
      </c>
      <c r="AA493" t="s">
        <v>66</v>
      </c>
      <c r="AB493" t="s">
        <v>583</v>
      </c>
      <c r="AC493" t="s">
        <v>584</v>
      </c>
      <c r="AD493" t="s">
        <v>174</v>
      </c>
      <c r="AF493" t="s">
        <v>749</v>
      </c>
      <c r="AH493" t="s">
        <v>72</v>
      </c>
      <c r="AI493" t="s">
        <v>740</v>
      </c>
      <c r="AJ493">
        <v>1995</v>
      </c>
      <c r="AK493" t="s">
        <v>2931</v>
      </c>
      <c r="AM493" t="s">
        <v>2932</v>
      </c>
      <c r="AN493" t="s">
        <v>114</v>
      </c>
      <c r="AO493" t="s">
        <v>77</v>
      </c>
      <c r="AQ493" t="s">
        <v>2767</v>
      </c>
      <c r="AR493" t="s">
        <v>80</v>
      </c>
      <c r="AS493">
        <v>101</v>
      </c>
      <c r="AT493" t="s">
        <v>81</v>
      </c>
      <c r="AU493">
        <v>-37.72</v>
      </c>
      <c r="AV493">
        <v>10.33</v>
      </c>
      <c r="AW493" t="s">
        <v>82</v>
      </c>
      <c r="AX493">
        <v>133</v>
      </c>
      <c r="AY493" t="s">
        <v>81</v>
      </c>
      <c r="AZ493">
        <v>-52.52</v>
      </c>
      <c r="BA493">
        <v>10.4</v>
      </c>
      <c r="BB493" t="s">
        <v>83</v>
      </c>
    </row>
    <row r="494" spans="1:54" x14ac:dyDescent="0.4">
      <c r="A494">
        <v>842182</v>
      </c>
      <c r="D494" t="s">
        <v>54</v>
      </c>
      <c r="G494">
        <v>1</v>
      </c>
      <c r="H494" t="s">
        <v>421</v>
      </c>
      <c r="I494" t="s">
        <v>57</v>
      </c>
      <c r="K494" t="s">
        <v>206</v>
      </c>
      <c r="L494" t="s">
        <v>851</v>
      </c>
      <c r="M494" t="s">
        <v>60</v>
      </c>
      <c r="O494" t="s">
        <v>170</v>
      </c>
      <c r="P494" t="s">
        <v>62</v>
      </c>
      <c r="R494" t="s">
        <v>63</v>
      </c>
      <c r="S494" t="s">
        <v>64</v>
      </c>
      <c r="T494">
        <v>227</v>
      </c>
      <c r="U494">
        <v>208.5</v>
      </c>
      <c r="V494">
        <f t="shared" si="14"/>
        <v>217.75</v>
      </c>
      <c r="W494">
        <f t="shared" si="15"/>
        <v>18.5</v>
      </c>
      <c r="X494">
        <v>-109.90194700000001</v>
      </c>
      <c r="Y494">
        <v>34.823891000000003</v>
      </c>
      <c r="Z494" t="s">
        <v>124</v>
      </c>
      <c r="AA494" t="s">
        <v>66</v>
      </c>
      <c r="AB494" t="s">
        <v>583</v>
      </c>
      <c r="AC494" t="s">
        <v>584</v>
      </c>
      <c r="AD494" t="s">
        <v>174</v>
      </c>
      <c r="AF494" t="s">
        <v>1078</v>
      </c>
      <c r="AH494" t="s">
        <v>72</v>
      </c>
      <c r="AI494" t="s">
        <v>740</v>
      </c>
      <c r="AJ494">
        <v>1995</v>
      </c>
      <c r="AK494" t="s">
        <v>2933</v>
      </c>
      <c r="AM494" t="s">
        <v>2934</v>
      </c>
      <c r="AN494" t="s">
        <v>114</v>
      </c>
      <c r="AO494" t="s">
        <v>77</v>
      </c>
      <c r="AQ494" t="s">
        <v>2767</v>
      </c>
      <c r="AR494" t="s">
        <v>80</v>
      </c>
      <c r="AS494">
        <v>101</v>
      </c>
      <c r="AT494" t="s">
        <v>81</v>
      </c>
      <c r="AU494">
        <v>-37.72</v>
      </c>
      <c r="AV494">
        <v>10.33</v>
      </c>
      <c r="AW494" t="s">
        <v>82</v>
      </c>
      <c r="AX494">
        <v>133</v>
      </c>
      <c r="AY494" t="s">
        <v>81</v>
      </c>
      <c r="AZ494">
        <v>-52.52</v>
      </c>
      <c r="BA494">
        <v>10.4</v>
      </c>
      <c r="BB494" t="s">
        <v>83</v>
      </c>
    </row>
    <row r="495" spans="1:54" x14ac:dyDescent="0.4">
      <c r="A495">
        <v>842184</v>
      </c>
      <c r="D495" t="s">
        <v>54</v>
      </c>
      <c r="G495">
        <v>1</v>
      </c>
      <c r="H495" t="s">
        <v>421</v>
      </c>
      <c r="I495" t="s">
        <v>57</v>
      </c>
      <c r="K495" t="s">
        <v>206</v>
      </c>
      <c r="L495" t="s">
        <v>1091</v>
      </c>
      <c r="M495" t="s">
        <v>60</v>
      </c>
      <c r="O495" t="s">
        <v>170</v>
      </c>
      <c r="P495" t="s">
        <v>62</v>
      </c>
      <c r="R495" t="s">
        <v>63</v>
      </c>
      <c r="S495" t="s">
        <v>64</v>
      </c>
      <c r="T495">
        <v>227</v>
      </c>
      <c r="U495">
        <v>208.5</v>
      </c>
      <c r="V495">
        <f t="shared" si="14"/>
        <v>217.75</v>
      </c>
      <c r="W495">
        <f t="shared" si="15"/>
        <v>18.5</v>
      </c>
      <c r="X495">
        <v>-109.807503</v>
      </c>
      <c r="Y495">
        <v>35.125</v>
      </c>
      <c r="Z495" t="s">
        <v>124</v>
      </c>
      <c r="AA495" t="s">
        <v>66</v>
      </c>
      <c r="AB495" t="s">
        <v>583</v>
      </c>
      <c r="AC495" t="s">
        <v>735</v>
      </c>
      <c r="AD495" t="s">
        <v>174</v>
      </c>
      <c r="AF495" t="s">
        <v>1078</v>
      </c>
      <c r="AH495" t="s">
        <v>11</v>
      </c>
      <c r="AI495" t="s">
        <v>740</v>
      </c>
      <c r="AJ495">
        <v>1995</v>
      </c>
      <c r="AK495" t="s">
        <v>1241</v>
      </c>
      <c r="AM495" t="s">
        <v>1242</v>
      </c>
      <c r="AN495" t="s">
        <v>114</v>
      </c>
      <c r="AO495" t="s">
        <v>77</v>
      </c>
      <c r="AR495" t="s">
        <v>80</v>
      </c>
      <c r="AS495">
        <v>101</v>
      </c>
      <c r="AT495" t="s">
        <v>81</v>
      </c>
      <c r="AU495">
        <v>-37.58</v>
      </c>
      <c r="AV495">
        <v>10.61</v>
      </c>
      <c r="AW495" t="s">
        <v>82</v>
      </c>
      <c r="AX495">
        <v>133</v>
      </c>
      <c r="AY495" t="s">
        <v>81</v>
      </c>
      <c r="AZ495">
        <v>-52.39</v>
      </c>
      <c r="BA495">
        <v>10.68</v>
      </c>
      <c r="BB495" t="s">
        <v>83</v>
      </c>
    </row>
    <row r="496" spans="1:54" x14ac:dyDescent="0.4">
      <c r="A496">
        <v>842185</v>
      </c>
      <c r="D496" t="s">
        <v>54</v>
      </c>
      <c r="G496">
        <v>1</v>
      </c>
      <c r="H496" t="s">
        <v>421</v>
      </c>
      <c r="I496" t="s">
        <v>57</v>
      </c>
      <c r="K496" t="s">
        <v>206</v>
      </c>
      <c r="L496" t="s">
        <v>851</v>
      </c>
      <c r="M496" t="s">
        <v>60</v>
      </c>
      <c r="O496" t="s">
        <v>170</v>
      </c>
      <c r="P496" t="s">
        <v>62</v>
      </c>
      <c r="R496" t="s">
        <v>63</v>
      </c>
      <c r="S496" t="s">
        <v>64</v>
      </c>
      <c r="T496">
        <v>227</v>
      </c>
      <c r="U496">
        <v>208.5</v>
      </c>
      <c r="V496">
        <f t="shared" si="14"/>
        <v>217.75</v>
      </c>
      <c r="W496">
        <f t="shared" si="15"/>
        <v>18.5</v>
      </c>
      <c r="X496">
        <v>-109.807503</v>
      </c>
      <c r="Y496">
        <v>35.125</v>
      </c>
      <c r="Z496" t="s">
        <v>124</v>
      </c>
      <c r="AA496" t="s">
        <v>66</v>
      </c>
      <c r="AB496" t="s">
        <v>583</v>
      </c>
      <c r="AC496" t="s">
        <v>735</v>
      </c>
      <c r="AD496" t="s">
        <v>174</v>
      </c>
      <c r="AF496" t="s">
        <v>1078</v>
      </c>
      <c r="AH496" t="s">
        <v>72</v>
      </c>
      <c r="AI496" t="s">
        <v>740</v>
      </c>
      <c r="AJ496">
        <v>1995</v>
      </c>
      <c r="AK496" t="s">
        <v>1241</v>
      </c>
      <c r="AM496" t="s">
        <v>1242</v>
      </c>
      <c r="AN496" t="s">
        <v>114</v>
      </c>
      <c r="AO496" t="s">
        <v>77</v>
      </c>
      <c r="AR496" t="s">
        <v>80</v>
      </c>
      <c r="AS496">
        <v>101</v>
      </c>
      <c r="AT496" t="s">
        <v>81</v>
      </c>
      <c r="AU496">
        <v>-37.58</v>
      </c>
      <c r="AV496">
        <v>10.61</v>
      </c>
      <c r="AW496" t="s">
        <v>82</v>
      </c>
      <c r="AX496">
        <v>133</v>
      </c>
      <c r="AY496" t="s">
        <v>81</v>
      </c>
      <c r="AZ496">
        <v>-52.39</v>
      </c>
      <c r="BA496">
        <v>10.68</v>
      </c>
      <c r="BB496" t="s">
        <v>83</v>
      </c>
    </row>
    <row r="497" spans="1:54" x14ac:dyDescent="0.4">
      <c r="A497">
        <v>842187</v>
      </c>
      <c r="D497" t="s">
        <v>54</v>
      </c>
      <c r="G497">
        <v>1</v>
      </c>
      <c r="H497" t="s">
        <v>421</v>
      </c>
      <c r="I497" t="s">
        <v>57</v>
      </c>
      <c r="K497" t="s">
        <v>206</v>
      </c>
      <c r="L497" t="s">
        <v>851</v>
      </c>
      <c r="M497" t="s">
        <v>60</v>
      </c>
      <c r="O497" t="s">
        <v>170</v>
      </c>
      <c r="P497" t="s">
        <v>62</v>
      </c>
      <c r="R497" t="s">
        <v>63</v>
      </c>
      <c r="S497" t="s">
        <v>64</v>
      </c>
      <c r="T497">
        <v>227</v>
      </c>
      <c r="U497">
        <v>208.5</v>
      </c>
      <c r="V497">
        <f t="shared" si="14"/>
        <v>217.75</v>
      </c>
      <c r="W497">
        <f t="shared" si="15"/>
        <v>18.5</v>
      </c>
      <c r="X497">
        <v>-109.883331</v>
      </c>
      <c r="Y497">
        <v>34.788891</v>
      </c>
      <c r="Z497" t="s">
        <v>124</v>
      </c>
      <c r="AA497" t="s">
        <v>66</v>
      </c>
      <c r="AB497" t="s">
        <v>583</v>
      </c>
      <c r="AC497" t="s">
        <v>584</v>
      </c>
      <c r="AD497" t="s">
        <v>174</v>
      </c>
      <c r="AF497" t="s">
        <v>1078</v>
      </c>
      <c r="AH497" t="s">
        <v>72</v>
      </c>
      <c r="AI497" t="s">
        <v>740</v>
      </c>
      <c r="AJ497">
        <v>1995</v>
      </c>
      <c r="AK497" t="s">
        <v>2935</v>
      </c>
      <c r="AM497" t="s">
        <v>2936</v>
      </c>
      <c r="AN497" t="s">
        <v>192</v>
      </c>
      <c r="AO497" t="s">
        <v>77</v>
      </c>
      <c r="AP497" t="s">
        <v>115</v>
      </c>
      <c r="AR497" t="s">
        <v>80</v>
      </c>
      <c r="AS497">
        <v>101</v>
      </c>
      <c r="AT497" t="s">
        <v>81</v>
      </c>
      <c r="AU497">
        <v>-37.72</v>
      </c>
      <c r="AV497">
        <v>10.29</v>
      </c>
      <c r="AW497" t="s">
        <v>82</v>
      </c>
      <c r="AX497">
        <v>133</v>
      </c>
      <c r="AY497" t="s">
        <v>81</v>
      </c>
      <c r="AZ497">
        <v>-52.51</v>
      </c>
      <c r="BA497">
        <v>10.36</v>
      </c>
      <c r="BB497" t="s">
        <v>83</v>
      </c>
    </row>
    <row r="498" spans="1:54" x14ac:dyDescent="0.4">
      <c r="A498">
        <v>842190</v>
      </c>
      <c r="D498" t="s">
        <v>54</v>
      </c>
      <c r="G498">
        <v>2</v>
      </c>
      <c r="H498" t="s">
        <v>421</v>
      </c>
      <c r="I498" t="s">
        <v>57</v>
      </c>
      <c r="K498" t="s">
        <v>206</v>
      </c>
      <c r="L498" t="s">
        <v>851</v>
      </c>
      <c r="M498" t="s">
        <v>60</v>
      </c>
      <c r="O498" t="s">
        <v>170</v>
      </c>
      <c r="P498" t="s">
        <v>62</v>
      </c>
      <c r="R498" t="s">
        <v>63</v>
      </c>
      <c r="S498" t="s">
        <v>64</v>
      </c>
      <c r="T498">
        <v>227</v>
      </c>
      <c r="U498">
        <v>208.5</v>
      </c>
      <c r="V498">
        <f t="shared" si="14"/>
        <v>217.75</v>
      </c>
      <c r="W498">
        <f t="shared" si="15"/>
        <v>18.5</v>
      </c>
      <c r="X498">
        <v>-109.666664</v>
      </c>
      <c r="Y498">
        <v>34.733891</v>
      </c>
      <c r="Z498" t="s">
        <v>124</v>
      </c>
      <c r="AA498" t="s">
        <v>66</v>
      </c>
      <c r="AB498" t="s">
        <v>583</v>
      </c>
      <c r="AC498" t="s">
        <v>735</v>
      </c>
      <c r="AD498" t="s">
        <v>174</v>
      </c>
      <c r="AF498" t="s">
        <v>749</v>
      </c>
      <c r="AH498" t="s">
        <v>72</v>
      </c>
      <c r="AI498" t="s">
        <v>740</v>
      </c>
      <c r="AJ498">
        <v>1995</v>
      </c>
      <c r="AK498" t="s">
        <v>2937</v>
      </c>
      <c r="AM498" t="s">
        <v>2938</v>
      </c>
      <c r="AN498" t="s">
        <v>192</v>
      </c>
      <c r="AO498" t="s">
        <v>77</v>
      </c>
      <c r="AR498" t="s">
        <v>80</v>
      </c>
      <c r="AS498">
        <v>101</v>
      </c>
      <c r="AT498" t="s">
        <v>81</v>
      </c>
      <c r="AU498">
        <v>-37.549999999999997</v>
      </c>
      <c r="AV498">
        <v>10.199999999999999</v>
      </c>
      <c r="AW498" t="s">
        <v>82</v>
      </c>
      <c r="AX498">
        <v>133</v>
      </c>
      <c r="AY498" t="s">
        <v>81</v>
      </c>
      <c r="AZ498">
        <v>-52.35</v>
      </c>
      <c r="BA498">
        <v>10.27</v>
      </c>
      <c r="BB498" t="s">
        <v>83</v>
      </c>
    </row>
    <row r="499" spans="1:54" x14ac:dyDescent="0.4">
      <c r="A499">
        <v>842193</v>
      </c>
      <c r="D499" t="s">
        <v>54</v>
      </c>
      <c r="I499" t="s">
        <v>57</v>
      </c>
      <c r="K499" t="s">
        <v>206</v>
      </c>
      <c r="L499" t="s">
        <v>1091</v>
      </c>
      <c r="M499" t="s">
        <v>60</v>
      </c>
      <c r="O499" t="s">
        <v>170</v>
      </c>
      <c r="P499" t="s">
        <v>62</v>
      </c>
      <c r="R499" t="s">
        <v>63</v>
      </c>
      <c r="S499" t="s">
        <v>64</v>
      </c>
      <c r="T499">
        <v>227</v>
      </c>
      <c r="U499">
        <v>208.5</v>
      </c>
      <c r="V499">
        <f t="shared" si="14"/>
        <v>217.75</v>
      </c>
      <c r="W499">
        <f t="shared" si="15"/>
        <v>18.5</v>
      </c>
      <c r="X499">
        <v>-109.849998</v>
      </c>
      <c r="Y499">
        <v>35.033332999999999</v>
      </c>
      <c r="Z499" t="s">
        <v>124</v>
      </c>
      <c r="AA499" t="s">
        <v>66</v>
      </c>
      <c r="AB499" t="s">
        <v>583</v>
      </c>
      <c r="AC499" t="s">
        <v>735</v>
      </c>
      <c r="AD499" t="s">
        <v>174</v>
      </c>
      <c r="AF499" t="s">
        <v>749</v>
      </c>
      <c r="AH499" t="s">
        <v>11</v>
      </c>
      <c r="AI499" t="s">
        <v>740</v>
      </c>
      <c r="AJ499">
        <v>1995</v>
      </c>
      <c r="AK499" t="s">
        <v>2939</v>
      </c>
      <c r="AM499" t="s">
        <v>2940</v>
      </c>
      <c r="AN499" t="s">
        <v>114</v>
      </c>
      <c r="AO499" t="s">
        <v>160</v>
      </c>
      <c r="AQ499" t="s">
        <v>2639</v>
      </c>
      <c r="AR499" t="s">
        <v>80</v>
      </c>
      <c r="AS499">
        <v>101</v>
      </c>
      <c r="AT499" t="s">
        <v>81</v>
      </c>
      <c r="AU499">
        <v>-37.64</v>
      </c>
      <c r="AV499">
        <v>10.53</v>
      </c>
      <c r="AW499" t="s">
        <v>82</v>
      </c>
      <c r="AX499">
        <v>133</v>
      </c>
      <c r="AY499" t="s">
        <v>81</v>
      </c>
      <c r="AZ499">
        <v>-52.44</v>
      </c>
      <c r="BA499">
        <v>10.6</v>
      </c>
      <c r="BB499" t="s">
        <v>83</v>
      </c>
    </row>
    <row r="500" spans="1:54" x14ac:dyDescent="0.4">
      <c r="A500">
        <v>842194</v>
      </c>
      <c r="D500" t="s">
        <v>54</v>
      </c>
      <c r="G500">
        <v>8</v>
      </c>
      <c r="H500" t="s">
        <v>84</v>
      </c>
      <c r="I500" t="s">
        <v>57</v>
      </c>
      <c r="K500" t="s">
        <v>206</v>
      </c>
      <c r="L500" t="s">
        <v>851</v>
      </c>
      <c r="M500" t="s">
        <v>60</v>
      </c>
      <c r="O500" t="s">
        <v>170</v>
      </c>
      <c r="P500" t="s">
        <v>62</v>
      </c>
      <c r="R500" t="s">
        <v>63</v>
      </c>
      <c r="S500" t="s">
        <v>64</v>
      </c>
      <c r="T500">
        <v>227</v>
      </c>
      <c r="U500">
        <v>208.5</v>
      </c>
      <c r="V500">
        <f t="shared" si="14"/>
        <v>217.75</v>
      </c>
      <c r="W500">
        <f t="shared" si="15"/>
        <v>18.5</v>
      </c>
      <c r="X500">
        <v>-109.849998</v>
      </c>
      <c r="Y500">
        <v>35.033332999999999</v>
      </c>
      <c r="Z500" t="s">
        <v>124</v>
      </c>
      <c r="AA500" t="s">
        <v>66</v>
      </c>
      <c r="AB500" t="s">
        <v>583</v>
      </c>
      <c r="AC500" t="s">
        <v>735</v>
      </c>
      <c r="AD500" t="s">
        <v>174</v>
      </c>
      <c r="AF500" t="s">
        <v>749</v>
      </c>
      <c r="AH500" t="s">
        <v>72</v>
      </c>
      <c r="AI500" t="s">
        <v>740</v>
      </c>
      <c r="AJ500">
        <v>1995</v>
      </c>
      <c r="AK500" t="s">
        <v>2939</v>
      </c>
      <c r="AM500" t="s">
        <v>2940</v>
      </c>
      <c r="AN500" t="s">
        <v>114</v>
      </c>
      <c r="AO500" t="s">
        <v>160</v>
      </c>
      <c r="AQ500" t="s">
        <v>2639</v>
      </c>
      <c r="AR500" t="s">
        <v>80</v>
      </c>
      <c r="AS500">
        <v>101</v>
      </c>
      <c r="AT500" t="s">
        <v>81</v>
      </c>
      <c r="AU500">
        <v>-37.64</v>
      </c>
      <c r="AV500">
        <v>10.53</v>
      </c>
      <c r="AW500" t="s">
        <v>82</v>
      </c>
      <c r="AX500">
        <v>133</v>
      </c>
      <c r="AY500" t="s">
        <v>81</v>
      </c>
      <c r="AZ500">
        <v>-52.44</v>
      </c>
      <c r="BA500">
        <v>10.6</v>
      </c>
      <c r="BB500" t="s">
        <v>83</v>
      </c>
    </row>
    <row r="501" spans="1:54" x14ac:dyDescent="0.4">
      <c r="A501">
        <v>842197</v>
      </c>
      <c r="D501" t="s">
        <v>54</v>
      </c>
      <c r="I501" t="s">
        <v>57</v>
      </c>
      <c r="K501" t="s">
        <v>85</v>
      </c>
      <c r="L501" t="s">
        <v>845</v>
      </c>
      <c r="M501" t="s">
        <v>60</v>
      </c>
      <c r="O501" t="s">
        <v>87</v>
      </c>
      <c r="P501" t="s">
        <v>62</v>
      </c>
      <c r="R501" t="s">
        <v>63</v>
      </c>
      <c r="S501" t="s">
        <v>64</v>
      </c>
      <c r="T501">
        <v>227</v>
      </c>
      <c r="U501">
        <v>208.5</v>
      </c>
      <c r="V501">
        <f t="shared" si="14"/>
        <v>217.75</v>
      </c>
      <c r="W501">
        <f t="shared" si="15"/>
        <v>18.5</v>
      </c>
      <c r="X501">
        <v>-109.849998</v>
      </c>
      <c r="Y501">
        <v>35.033332999999999</v>
      </c>
      <c r="Z501" t="s">
        <v>124</v>
      </c>
      <c r="AA501" t="s">
        <v>66</v>
      </c>
      <c r="AB501" t="s">
        <v>583</v>
      </c>
      <c r="AC501" t="s">
        <v>735</v>
      </c>
      <c r="AD501" t="s">
        <v>174</v>
      </c>
      <c r="AF501" t="s">
        <v>749</v>
      </c>
      <c r="AH501" t="s">
        <v>72</v>
      </c>
      <c r="AI501" t="s">
        <v>740</v>
      </c>
      <c r="AJ501">
        <v>1995</v>
      </c>
      <c r="AK501" t="s">
        <v>2941</v>
      </c>
      <c r="AM501" t="s">
        <v>2942</v>
      </c>
      <c r="AN501" t="s">
        <v>114</v>
      </c>
      <c r="AO501" t="s">
        <v>160</v>
      </c>
      <c r="AP501" t="s">
        <v>115</v>
      </c>
      <c r="AQ501" t="s">
        <v>2943</v>
      </c>
      <c r="AR501" t="s">
        <v>80</v>
      </c>
      <c r="AS501">
        <v>101</v>
      </c>
      <c r="AT501" t="s">
        <v>81</v>
      </c>
      <c r="AU501">
        <v>-37.64</v>
      </c>
      <c r="AV501">
        <v>10.53</v>
      </c>
      <c r="AW501" t="s">
        <v>82</v>
      </c>
      <c r="AX501">
        <v>133</v>
      </c>
      <c r="AY501" t="s">
        <v>81</v>
      </c>
      <c r="AZ501">
        <v>-52.44</v>
      </c>
      <c r="BA501">
        <v>10.6</v>
      </c>
      <c r="BB501" t="s">
        <v>83</v>
      </c>
    </row>
    <row r="502" spans="1:54" x14ac:dyDescent="0.4">
      <c r="A502">
        <v>842198</v>
      </c>
      <c r="D502" t="s">
        <v>54</v>
      </c>
      <c r="G502">
        <v>1</v>
      </c>
      <c r="H502" t="s">
        <v>56</v>
      </c>
      <c r="I502" t="s">
        <v>57</v>
      </c>
      <c r="K502" t="s">
        <v>85</v>
      </c>
      <c r="L502" t="s">
        <v>845</v>
      </c>
      <c r="M502" t="s">
        <v>60</v>
      </c>
      <c r="O502" t="s">
        <v>87</v>
      </c>
      <c r="P502" t="s">
        <v>62</v>
      </c>
      <c r="R502" t="s">
        <v>63</v>
      </c>
      <c r="S502" t="s">
        <v>64</v>
      </c>
      <c r="T502">
        <v>227</v>
      </c>
      <c r="U502">
        <v>208.5</v>
      </c>
      <c r="V502">
        <f t="shared" si="14"/>
        <v>217.75</v>
      </c>
      <c r="W502">
        <f t="shared" si="15"/>
        <v>18.5</v>
      </c>
      <c r="X502">
        <v>-109.849998</v>
      </c>
      <c r="Y502">
        <v>35.033332999999999</v>
      </c>
      <c r="Z502" t="s">
        <v>124</v>
      </c>
      <c r="AA502" t="s">
        <v>66</v>
      </c>
      <c r="AB502" t="s">
        <v>583</v>
      </c>
      <c r="AC502" t="s">
        <v>735</v>
      </c>
      <c r="AD502" t="s">
        <v>174</v>
      </c>
      <c r="AF502" t="s">
        <v>749</v>
      </c>
      <c r="AH502" t="s">
        <v>72</v>
      </c>
      <c r="AI502" t="s">
        <v>740</v>
      </c>
      <c r="AJ502">
        <v>1995</v>
      </c>
      <c r="AK502" t="s">
        <v>2944</v>
      </c>
      <c r="AM502" t="s">
        <v>2945</v>
      </c>
      <c r="AN502" t="s">
        <v>114</v>
      </c>
      <c r="AO502" t="s">
        <v>160</v>
      </c>
      <c r="AP502" t="s">
        <v>115</v>
      </c>
      <c r="AQ502" t="s">
        <v>2943</v>
      </c>
      <c r="AR502" t="s">
        <v>80</v>
      </c>
      <c r="AS502">
        <v>101</v>
      </c>
      <c r="AT502" t="s">
        <v>81</v>
      </c>
      <c r="AU502">
        <v>-37.64</v>
      </c>
      <c r="AV502">
        <v>10.53</v>
      </c>
      <c r="AW502" t="s">
        <v>82</v>
      </c>
      <c r="AX502">
        <v>133</v>
      </c>
      <c r="AY502" t="s">
        <v>81</v>
      </c>
      <c r="AZ502">
        <v>-52.44</v>
      </c>
      <c r="BA502">
        <v>10.6</v>
      </c>
      <c r="BB502" t="s">
        <v>83</v>
      </c>
    </row>
    <row r="503" spans="1:54" x14ac:dyDescent="0.4">
      <c r="A503">
        <v>842199</v>
      </c>
      <c r="D503" t="s">
        <v>54</v>
      </c>
      <c r="G503">
        <v>1</v>
      </c>
      <c r="H503" t="s">
        <v>84</v>
      </c>
      <c r="I503" t="s">
        <v>57</v>
      </c>
      <c r="K503" t="s">
        <v>206</v>
      </c>
      <c r="L503" t="s">
        <v>1091</v>
      </c>
      <c r="M503" t="s">
        <v>60</v>
      </c>
      <c r="O503" t="s">
        <v>170</v>
      </c>
      <c r="P503" t="s">
        <v>62</v>
      </c>
      <c r="R503" t="s">
        <v>63</v>
      </c>
      <c r="S503" t="s">
        <v>64</v>
      </c>
      <c r="T503">
        <v>227</v>
      </c>
      <c r="U503">
        <v>208.5</v>
      </c>
      <c r="V503">
        <f t="shared" si="14"/>
        <v>217.75</v>
      </c>
      <c r="W503">
        <f t="shared" si="15"/>
        <v>18.5</v>
      </c>
      <c r="X503">
        <v>-109.849998</v>
      </c>
      <c r="Y503">
        <v>35.033332999999999</v>
      </c>
      <c r="Z503" t="s">
        <v>124</v>
      </c>
      <c r="AA503" t="s">
        <v>66</v>
      </c>
      <c r="AB503" t="s">
        <v>583</v>
      </c>
      <c r="AC503" t="s">
        <v>735</v>
      </c>
      <c r="AD503" t="s">
        <v>174</v>
      </c>
      <c r="AF503" t="s">
        <v>749</v>
      </c>
      <c r="AH503" t="s">
        <v>11</v>
      </c>
      <c r="AI503" t="s">
        <v>740</v>
      </c>
      <c r="AJ503">
        <v>1995</v>
      </c>
      <c r="AK503" t="s">
        <v>2944</v>
      </c>
      <c r="AM503" t="s">
        <v>2945</v>
      </c>
      <c r="AN503" t="s">
        <v>114</v>
      </c>
      <c r="AO503" t="s">
        <v>160</v>
      </c>
      <c r="AP503" t="s">
        <v>115</v>
      </c>
      <c r="AQ503" t="s">
        <v>2943</v>
      </c>
      <c r="AR503" t="s">
        <v>80</v>
      </c>
      <c r="AS503">
        <v>101</v>
      </c>
      <c r="AT503" t="s">
        <v>81</v>
      </c>
      <c r="AU503">
        <v>-37.64</v>
      </c>
      <c r="AV503">
        <v>10.53</v>
      </c>
      <c r="AW503" t="s">
        <v>82</v>
      </c>
      <c r="AX503">
        <v>133</v>
      </c>
      <c r="AY503" t="s">
        <v>81</v>
      </c>
      <c r="AZ503">
        <v>-52.44</v>
      </c>
      <c r="BA503">
        <v>10.6</v>
      </c>
      <c r="BB503" t="s">
        <v>83</v>
      </c>
    </row>
    <row r="504" spans="1:54" x14ac:dyDescent="0.4">
      <c r="A504">
        <v>842200</v>
      </c>
      <c r="D504" t="s">
        <v>54</v>
      </c>
      <c r="G504">
        <v>1</v>
      </c>
      <c r="H504" t="s">
        <v>421</v>
      </c>
      <c r="I504" t="s">
        <v>57</v>
      </c>
      <c r="K504" t="s">
        <v>206</v>
      </c>
      <c r="L504" t="s">
        <v>851</v>
      </c>
      <c r="M504" t="s">
        <v>60</v>
      </c>
      <c r="O504" t="s">
        <v>170</v>
      </c>
      <c r="P504" t="s">
        <v>62</v>
      </c>
      <c r="R504" t="s">
        <v>63</v>
      </c>
      <c r="S504" t="s">
        <v>64</v>
      </c>
      <c r="T504">
        <v>227</v>
      </c>
      <c r="U504">
        <v>208.5</v>
      </c>
      <c r="V504">
        <f t="shared" si="14"/>
        <v>217.75</v>
      </c>
      <c r="W504">
        <f t="shared" si="15"/>
        <v>18.5</v>
      </c>
      <c r="X504">
        <v>-109.883331</v>
      </c>
      <c r="Y504">
        <v>34.788891</v>
      </c>
      <c r="Z504" t="s">
        <v>124</v>
      </c>
      <c r="AA504" t="s">
        <v>66</v>
      </c>
      <c r="AB504" t="s">
        <v>583</v>
      </c>
      <c r="AC504" t="s">
        <v>584</v>
      </c>
      <c r="AD504" t="s">
        <v>174</v>
      </c>
      <c r="AF504" t="s">
        <v>1078</v>
      </c>
      <c r="AH504" t="s">
        <v>72</v>
      </c>
      <c r="AI504" t="s">
        <v>740</v>
      </c>
      <c r="AJ504">
        <v>1995</v>
      </c>
      <c r="AK504" t="s">
        <v>2946</v>
      </c>
      <c r="AM504" t="s">
        <v>2947</v>
      </c>
      <c r="AN504" t="s">
        <v>192</v>
      </c>
      <c r="AO504" t="s">
        <v>77</v>
      </c>
      <c r="AP504" t="s">
        <v>115</v>
      </c>
      <c r="AR504" t="s">
        <v>80</v>
      </c>
      <c r="AS504">
        <v>101</v>
      </c>
      <c r="AT504" t="s">
        <v>81</v>
      </c>
      <c r="AU504">
        <v>-37.72</v>
      </c>
      <c r="AV504">
        <v>10.29</v>
      </c>
      <c r="AW504" t="s">
        <v>82</v>
      </c>
      <c r="AX504">
        <v>133</v>
      </c>
      <c r="AY504" t="s">
        <v>81</v>
      </c>
      <c r="AZ504">
        <v>-52.51</v>
      </c>
      <c r="BA504">
        <v>10.36</v>
      </c>
      <c r="BB504" t="s">
        <v>83</v>
      </c>
    </row>
    <row r="505" spans="1:54" x14ac:dyDescent="0.4">
      <c r="A505">
        <v>842201</v>
      </c>
      <c r="D505" t="s">
        <v>54</v>
      </c>
      <c r="G505">
        <v>1</v>
      </c>
      <c r="H505" t="s">
        <v>56</v>
      </c>
      <c r="I505" t="s">
        <v>57</v>
      </c>
      <c r="K505" t="s">
        <v>85</v>
      </c>
      <c r="L505" t="s">
        <v>845</v>
      </c>
      <c r="M505" t="s">
        <v>60</v>
      </c>
      <c r="O505" t="s">
        <v>87</v>
      </c>
      <c r="P505" t="s">
        <v>62</v>
      </c>
      <c r="R505" t="s">
        <v>63</v>
      </c>
      <c r="S505" t="s">
        <v>64</v>
      </c>
      <c r="T505">
        <v>227</v>
      </c>
      <c r="U505">
        <v>208.5</v>
      </c>
      <c r="V505">
        <f t="shared" si="14"/>
        <v>217.75</v>
      </c>
      <c r="W505">
        <f t="shared" si="15"/>
        <v>18.5</v>
      </c>
      <c r="X505">
        <v>-109.783333</v>
      </c>
      <c r="Y505">
        <v>35</v>
      </c>
      <c r="Z505" t="s">
        <v>124</v>
      </c>
      <c r="AA505" t="s">
        <v>66</v>
      </c>
      <c r="AB505" t="s">
        <v>583</v>
      </c>
      <c r="AC505" t="s">
        <v>735</v>
      </c>
      <c r="AD505" t="s">
        <v>174</v>
      </c>
      <c r="AF505" t="s">
        <v>749</v>
      </c>
      <c r="AH505" t="s">
        <v>72</v>
      </c>
      <c r="AI505" t="s">
        <v>740</v>
      </c>
      <c r="AJ505">
        <v>1995</v>
      </c>
      <c r="AK505" t="s">
        <v>2948</v>
      </c>
      <c r="AM505" t="s">
        <v>2949</v>
      </c>
      <c r="AN505" t="s">
        <v>341</v>
      </c>
      <c r="AO505" t="s">
        <v>657</v>
      </c>
      <c r="AP505" t="s">
        <v>115</v>
      </c>
      <c r="AR505" t="s">
        <v>80</v>
      </c>
      <c r="AS505">
        <v>101</v>
      </c>
      <c r="AT505" t="s">
        <v>81</v>
      </c>
      <c r="AU505">
        <v>-37.590000000000003</v>
      </c>
      <c r="AV505">
        <v>10.48</v>
      </c>
      <c r="AW505" t="s">
        <v>82</v>
      </c>
      <c r="AX505">
        <v>133</v>
      </c>
      <c r="AY505" t="s">
        <v>81</v>
      </c>
      <c r="AZ505">
        <v>-52.39</v>
      </c>
      <c r="BA505">
        <v>10.55</v>
      </c>
      <c r="BB505" t="s">
        <v>83</v>
      </c>
    </row>
    <row r="506" spans="1:54" x14ac:dyDescent="0.4">
      <c r="A506">
        <v>842202</v>
      </c>
      <c r="D506" t="s">
        <v>54</v>
      </c>
      <c r="I506" t="s">
        <v>57</v>
      </c>
      <c r="K506" t="s">
        <v>206</v>
      </c>
      <c r="L506" t="s">
        <v>851</v>
      </c>
      <c r="M506" t="s">
        <v>60</v>
      </c>
      <c r="O506" t="s">
        <v>170</v>
      </c>
      <c r="P506" t="s">
        <v>62</v>
      </c>
      <c r="R506" t="s">
        <v>63</v>
      </c>
      <c r="S506" t="s">
        <v>64</v>
      </c>
      <c r="T506">
        <v>227</v>
      </c>
      <c r="U506">
        <v>208.5</v>
      </c>
      <c r="V506">
        <f t="shared" si="14"/>
        <v>217.75</v>
      </c>
      <c r="W506">
        <f t="shared" si="15"/>
        <v>18.5</v>
      </c>
      <c r="X506">
        <v>-109.90194700000001</v>
      </c>
      <c r="Y506">
        <v>34.823891000000003</v>
      </c>
      <c r="Z506" t="s">
        <v>124</v>
      </c>
      <c r="AA506" t="s">
        <v>66</v>
      </c>
      <c r="AB506" t="s">
        <v>583</v>
      </c>
      <c r="AC506" t="s">
        <v>584</v>
      </c>
      <c r="AD506" t="s">
        <v>174</v>
      </c>
      <c r="AF506" t="s">
        <v>749</v>
      </c>
      <c r="AH506" t="s">
        <v>72</v>
      </c>
      <c r="AI506" t="s">
        <v>740</v>
      </c>
      <c r="AJ506">
        <v>1995</v>
      </c>
      <c r="AK506" t="s">
        <v>2950</v>
      </c>
      <c r="AM506" t="s">
        <v>2951</v>
      </c>
      <c r="AN506" t="s">
        <v>114</v>
      </c>
      <c r="AO506" t="s">
        <v>77</v>
      </c>
      <c r="AQ506" t="s">
        <v>2952</v>
      </c>
      <c r="AR506" t="s">
        <v>80</v>
      </c>
      <c r="AS506">
        <v>101</v>
      </c>
      <c r="AT506" t="s">
        <v>81</v>
      </c>
      <c r="AU506">
        <v>-37.72</v>
      </c>
      <c r="AV506">
        <v>10.33</v>
      </c>
      <c r="AW506" t="s">
        <v>82</v>
      </c>
      <c r="AX506">
        <v>133</v>
      </c>
      <c r="AY506" t="s">
        <v>81</v>
      </c>
      <c r="AZ506">
        <v>-52.52</v>
      </c>
      <c r="BA506">
        <v>10.4</v>
      </c>
      <c r="BB506" t="s">
        <v>83</v>
      </c>
    </row>
    <row r="507" spans="1:54" x14ac:dyDescent="0.4">
      <c r="A507">
        <v>842204</v>
      </c>
      <c r="D507" t="s">
        <v>54</v>
      </c>
      <c r="I507" t="s">
        <v>57</v>
      </c>
      <c r="K507" t="s">
        <v>206</v>
      </c>
      <c r="L507" t="s">
        <v>851</v>
      </c>
      <c r="M507" t="s">
        <v>60</v>
      </c>
      <c r="O507" t="s">
        <v>170</v>
      </c>
      <c r="P507" t="s">
        <v>62</v>
      </c>
      <c r="R507" t="s">
        <v>63</v>
      </c>
      <c r="S507" t="s">
        <v>64</v>
      </c>
      <c r="T507">
        <v>227</v>
      </c>
      <c r="U507">
        <v>208.5</v>
      </c>
      <c r="V507">
        <f t="shared" si="14"/>
        <v>217.75</v>
      </c>
      <c r="W507">
        <f t="shared" si="15"/>
        <v>18.5</v>
      </c>
      <c r="X507">
        <v>-109.800003</v>
      </c>
      <c r="Y507">
        <v>34.866669000000002</v>
      </c>
      <c r="Z507" t="s">
        <v>124</v>
      </c>
      <c r="AA507" t="s">
        <v>66</v>
      </c>
      <c r="AB507" t="s">
        <v>583</v>
      </c>
      <c r="AC507" t="s">
        <v>735</v>
      </c>
      <c r="AD507" t="s">
        <v>174</v>
      </c>
      <c r="AF507" t="s">
        <v>749</v>
      </c>
      <c r="AH507" t="s">
        <v>72</v>
      </c>
      <c r="AI507" t="s">
        <v>740</v>
      </c>
      <c r="AJ507">
        <v>1995</v>
      </c>
      <c r="AK507" t="s">
        <v>2953</v>
      </c>
      <c r="AM507" t="s">
        <v>2954</v>
      </c>
      <c r="AN507" t="s">
        <v>192</v>
      </c>
      <c r="AO507" t="s">
        <v>160</v>
      </c>
      <c r="AR507" t="s">
        <v>80</v>
      </c>
      <c r="AS507">
        <v>101</v>
      </c>
      <c r="AT507" t="s">
        <v>81</v>
      </c>
      <c r="AU507">
        <v>-37.630000000000003</v>
      </c>
      <c r="AV507">
        <v>10.36</v>
      </c>
      <c r="AW507" t="s">
        <v>82</v>
      </c>
      <c r="AX507">
        <v>133</v>
      </c>
      <c r="AY507" t="s">
        <v>81</v>
      </c>
      <c r="AZ507">
        <v>-52.43</v>
      </c>
      <c r="BA507">
        <v>10.42</v>
      </c>
      <c r="BB507" t="s">
        <v>83</v>
      </c>
    </row>
    <row r="508" spans="1:54" x14ac:dyDescent="0.4">
      <c r="A508">
        <v>842205</v>
      </c>
      <c r="D508" t="s">
        <v>54</v>
      </c>
      <c r="G508">
        <v>2</v>
      </c>
      <c r="H508" t="s">
        <v>84</v>
      </c>
      <c r="I508" t="s">
        <v>57</v>
      </c>
      <c r="K508" t="s">
        <v>85</v>
      </c>
      <c r="L508" t="s">
        <v>845</v>
      </c>
      <c r="M508" t="s">
        <v>60</v>
      </c>
      <c r="O508" t="s">
        <v>87</v>
      </c>
      <c r="P508" t="s">
        <v>62</v>
      </c>
      <c r="R508" t="s">
        <v>63</v>
      </c>
      <c r="S508" t="s">
        <v>64</v>
      </c>
      <c r="T508">
        <v>227</v>
      </c>
      <c r="U508">
        <v>208.5</v>
      </c>
      <c r="V508">
        <f t="shared" si="14"/>
        <v>217.75</v>
      </c>
      <c r="W508">
        <f t="shared" si="15"/>
        <v>18.5</v>
      </c>
      <c r="X508">
        <v>-109.800003</v>
      </c>
      <c r="Y508">
        <v>34.866669000000002</v>
      </c>
      <c r="Z508" t="s">
        <v>124</v>
      </c>
      <c r="AA508" t="s">
        <v>66</v>
      </c>
      <c r="AB508" t="s">
        <v>583</v>
      </c>
      <c r="AC508" t="s">
        <v>735</v>
      </c>
      <c r="AD508" t="s">
        <v>174</v>
      </c>
      <c r="AF508" t="s">
        <v>749</v>
      </c>
      <c r="AH508" t="s">
        <v>72</v>
      </c>
      <c r="AI508" t="s">
        <v>740</v>
      </c>
      <c r="AJ508">
        <v>1995</v>
      </c>
      <c r="AK508" t="s">
        <v>2953</v>
      </c>
      <c r="AM508" t="s">
        <v>2954</v>
      </c>
      <c r="AN508" t="s">
        <v>192</v>
      </c>
      <c r="AO508" t="s">
        <v>160</v>
      </c>
      <c r="AR508" t="s">
        <v>80</v>
      </c>
      <c r="AS508">
        <v>101</v>
      </c>
      <c r="AT508" t="s">
        <v>81</v>
      </c>
      <c r="AU508">
        <v>-37.630000000000003</v>
      </c>
      <c r="AV508">
        <v>10.36</v>
      </c>
      <c r="AW508" t="s">
        <v>82</v>
      </c>
      <c r="AX508">
        <v>133</v>
      </c>
      <c r="AY508" t="s">
        <v>81</v>
      </c>
      <c r="AZ508">
        <v>-52.43</v>
      </c>
      <c r="BA508">
        <v>10.42</v>
      </c>
      <c r="BB508" t="s">
        <v>83</v>
      </c>
    </row>
    <row r="509" spans="1:54" x14ac:dyDescent="0.4">
      <c r="A509">
        <v>842209</v>
      </c>
      <c r="D509" t="s">
        <v>54</v>
      </c>
      <c r="G509">
        <v>1</v>
      </c>
      <c r="H509" t="s">
        <v>56</v>
      </c>
      <c r="I509" t="s">
        <v>57</v>
      </c>
      <c r="K509" t="s">
        <v>206</v>
      </c>
      <c r="L509" t="s">
        <v>851</v>
      </c>
      <c r="M509" t="s">
        <v>60</v>
      </c>
      <c r="O509" t="s">
        <v>170</v>
      </c>
      <c r="P509" t="s">
        <v>62</v>
      </c>
      <c r="R509" t="s">
        <v>63</v>
      </c>
      <c r="S509" t="s">
        <v>64</v>
      </c>
      <c r="T509">
        <v>227</v>
      </c>
      <c r="U509">
        <v>208.5</v>
      </c>
      <c r="V509">
        <f t="shared" si="14"/>
        <v>217.75</v>
      </c>
      <c r="W509">
        <f t="shared" si="15"/>
        <v>18.5</v>
      </c>
      <c r="X509">
        <v>-109.800003</v>
      </c>
      <c r="Y509">
        <v>35.099997999999999</v>
      </c>
      <c r="Z509" t="s">
        <v>124</v>
      </c>
      <c r="AA509" t="s">
        <v>66</v>
      </c>
      <c r="AB509" t="s">
        <v>583</v>
      </c>
      <c r="AC509" t="s">
        <v>735</v>
      </c>
      <c r="AD509" t="s">
        <v>174</v>
      </c>
      <c r="AF509" t="s">
        <v>749</v>
      </c>
      <c r="AH509" t="s">
        <v>72</v>
      </c>
      <c r="AI509" t="s">
        <v>740</v>
      </c>
      <c r="AJ509">
        <v>1995</v>
      </c>
      <c r="AK509" t="s">
        <v>2955</v>
      </c>
      <c r="AM509" t="s">
        <v>2956</v>
      </c>
      <c r="AN509" t="s">
        <v>341</v>
      </c>
      <c r="AO509" t="s">
        <v>160</v>
      </c>
      <c r="AP509" t="s">
        <v>115</v>
      </c>
      <c r="AR509" t="s">
        <v>80</v>
      </c>
      <c r="AS509">
        <v>101</v>
      </c>
      <c r="AT509" t="s">
        <v>81</v>
      </c>
      <c r="AU509">
        <v>-37.58</v>
      </c>
      <c r="AV509">
        <v>10.59</v>
      </c>
      <c r="AW509" t="s">
        <v>82</v>
      </c>
      <c r="AX509">
        <v>133</v>
      </c>
      <c r="AY509" t="s">
        <v>81</v>
      </c>
      <c r="AZ509">
        <v>-52.39</v>
      </c>
      <c r="BA509">
        <v>10.65</v>
      </c>
      <c r="BB509" t="s">
        <v>83</v>
      </c>
    </row>
    <row r="510" spans="1:54" x14ac:dyDescent="0.4">
      <c r="A510">
        <v>842212</v>
      </c>
      <c r="D510" t="s">
        <v>54</v>
      </c>
      <c r="G510">
        <v>1</v>
      </c>
      <c r="H510" t="s">
        <v>84</v>
      </c>
      <c r="I510" t="s">
        <v>57</v>
      </c>
      <c r="K510" t="s">
        <v>196</v>
      </c>
      <c r="L510" t="s">
        <v>197</v>
      </c>
      <c r="M510" t="s">
        <v>60</v>
      </c>
      <c r="O510" t="s">
        <v>87</v>
      </c>
      <c r="P510" t="s">
        <v>62</v>
      </c>
      <c r="R510" t="s">
        <v>63</v>
      </c>
      <c r="S510" t="s">
        <v>64</v>
      </c>
      <c r="T510">
        <v>227</v>
      </c>
      <c r="U510">
        <v>208.5</v>
      </c>
      <c r="V510">
        <f t="shared" si="14"/>
        <v>217.75</v>
      </c>
      <c r="W510">
        <f t="shared" si="15"/>
        <v>18.5</v>
      </c>
      <c r="X510">
        <v>-109.51667</v>
      </c>
      <c r="Y510">
        <v>34.766666000000001</v>
      </c>
      <c r="Z510" t="s">
        <v>124</v>
      </c>
      <c r="AA510" t="s">
        <v>66</v>
      </c>
      <c r="AB510" t="s">
        <v>583</v>
      </c>
      <c r="AC510" t="s">
        <v>735</v>
      </c>
      <c r="AD510" t="s">
        <v>174</v>
      </c>
      <c r="AF510" t="s">
        <v>749</v>
      </c>
      <c r="AH510" t="s">
        <v>72</v>
      </c>
      <c r="AI510" t="s">
        <v>740</v>
      </c>
      <c r="AJ510">
        <v>1995</v>
      </c>
      <c r="AK510" t="s">
        <v>2957</v>
      </c>
      <c r="AN510" t="s">
        <v>192</v>
      </c>
      <c r="AO510" t="s">
        <v>160</v>
      </c>
      <c r="AP510" t="s">
        <v>115</v>
      </c>
      <c r="AQ510" t="s">
        <v>2958</v>
      </c>
      <c r="AR510" t="s">
        <v>80</v>
      </c>
      <c r="AS510">
        <v>101</v>
      </c>
      <c r="AT510" t="s">
        <v>81</v>
      </c>
      <c r="AU510">
        <v>-37.42</v>
      </c>
      <c r="AV510">
        <v>10.210000000000001</v>
      </c>
      <c r="AW510" t="s">
        <v>82</v>
      </c>
      <c r="AX510">
        <v>133</v>
      </c>
      <c r="AY510" t="s">
        <v>81</v>
      </c>
      <c r="AZ510">
        <v>-52.22</v>
      </c>
      <c r="BA510">
        <v>10.29</v>
      </c>
      <c r="BB510" t="s">
        <v>83</v>
      </c>
    </row>
    <row r="511" spans="1:54" x14ac:dyDescent="0.4">
      <c r="A511">
        <v>842223</v>
      </c>
      <c r="D511" t="s">
        <v>54</v>
      </c>
      <c r="G511">
        <v>2</v>
      </c>
      <c r="H511" t="s">
        <v>421</v>
      </c>
      <c r="I511" t="s">
        <v>57</v>
      </c>
      <c r="K511" t="s">
        <v>85</v>
      </c>
      <c r="L511" t="s">
        <v>1076</v>
      </c>
      <c r="M511" t="s">
        <v>60</v>
      </c>
      <c r="O511" t="s">
        <v>87</v>
      </c>
      <c r="P511" t="s">
        <v>62</v>
      </c>
      <c r="R511" t="s">
        <v>63</v>
      </c>
      <c r="S511" t="s">
        <v>64</v>
      </c>
      <c r="T511">
        <v>227</v>
      </c>
      <c r="U511">
        <v>208.5</v>
      </c>
      <c r="V511">
        <f t="shared" si="14"/>
        <v>217.75</v>
      </c>
      <c r="W511">
        <f t="shared" si="15"/>
        <v>18.5</v>
      </c>
      <c r="X511">
        <v>-109.333336</v>
      </c>
      <c r="Y511">
        <v>36.416668000000001</v>
      </c>
      <c r="Z511" t="s">
        <v>124</v>
      </c>
      <c r="AA511" t="s">
        <v>66</v>
      </c>
      <c r="AB511" t="s">
        <v>583</v>
      </c>
      <c r="AC511" t="s">
        <v>735</v>
      </c>
      <c r="AD511" t="s">
        <v>174</v>
      </c>
      <c r="AF511" t="s">
        <v>749</v>
      </c>
      <c r="AH511" t="s">
        <v>72</v>
      </c>
      <c r="AI511" t="s">
        <v>740</v>
      </c>
      <c r="AJ511">
        <v>1995</v>
      </c>
      <c r="AK511" t="s">
        <v>2855</v>
      </c>
      <c r="AN511" t="s">
        <v>192</v>
      </c>
      <c r="AO511" t="s">
        <v>160</v>
      </c>
      <c r="AQ511" t="s">
        <v>2856</v>
      </c>
      <c r="AR511" t="s">
        <v>80</v>
      </c>
      <c r="AS511">
        <v>101</v>
      </c>
      <c r="AT511" t="s">
        <v>81</v>
      </c>
      <c r="AU511">
        <v>-36.93</v>
      </c>
      <c r="AV511">
        <v>11.8</v>
      </c>
      <c r="AW511" t="s">
        <v>82</v>
      </c>
      <c r="AX511">
        <v>133</v>
      </c>
      <c r="AY511" t="s">
        <v>81</v>
      </c>
      <c r="AZ511">
        <v>-51.78</v>
      </c>
      <c r="BA511">
        <v>11.89</v>
      </c>
      <c r="BB511" t="s">
        <v>83</v>
      </c>
    </row>
    <row r="512" spans="1:54" x14ac:dyDescent="0.4">
      <c r="A512">
        <v>842224</v>
      </c>
      <c r="D512" t="s">
        <v>54</v>
      </c>
      <c r="G512">
        <v>2</v>
      </c>
      <c r="H512" t="s">
        <v>84</v>
      </c>
      <c r="I512" t="s">
        <v>57</v>
      </c>
      <c r="K512" t="s">
        <v>85</v>
      </c>
      <c r="L512" t="s">
        <v>1076</v>
      </c>
      <c r="M512" t="s">
        <v>60</v>
      </c>
      <c r="O512" t="s">
        <v>87</v>
      </c>
      <c r="P512" t="s">
        <v>62</v>
      </c>
      <c r="R512" t="s">
        <v>63</v>
      </c>
      <c r="S512" t="s">
        <v>64</v>
      </c>
      <c r="T512">
        <v>227</v>
      </c>
      <c r="U512">
        <v>208.5</v>
      </c>
      <c r="V512">
        <f t="shared" si="14"/>
        <v>217.75</v>
      </c>
      <c r="W512">
        <f t="shared" si="15"/>
        <v>18.5</v>
      </c>
      <c r="X512">
        <v>-109.566666</v>
      </c>
      <c r="Y512">
        <v>36.450001</v>
      </c>
      <c r="Z512" t="s">
        <v>124</v>
      </c>
      <c r="AA512" t="s">
        <v>66</v>
      </c>
      <c r="AB512" t="s">
        <v>583</v>
      </c>
      <c r="AC512" t="s">
        <v>735</v>
      </c>
      <c r="AD512" t="s">
        <v>174</v>
      </c>
      <c r="AF512" t="s">
        <v>1068</v>
      </c>
      <c r="AH512" t="s">
        <v>11</v>
      </c>
      <c r="AI512" t="s">
        <v>740</v>
      </c>
      <c r="AJ512">
        <v>1995</v>
      </c>
      <c r="AK512" t="s">
        <v>2862</v>
      </c>
      <c r="AN512" t="s">
        <v>192</v>
      </c>
      <c r="AO512" t="s">
        <v>160</v>
      </c>
      <c r="AQ512" t="s">
        <v>2859</v>
      </c>
      <c r="AR512" t="s">
        <v>80</v>
      </c>
      <c r="AS512">
        <v>101</v>
      </c>
      <c r="AT512" t="s">
        <v>81</v>
      </c>
      <c r="AU512">
        <v>-37.11</v>
      </c>
      <c r="AV512">
        <v>11.87</v>
      </c>
      <c r="AW512" t="s">
        <v>82</v>
      </c>
      <c r="AX512">
        <v>133</v>
      </c>
      <c r="AY512" t="s">
        <v>81</v>
      </c>
      <c r="AZ512">
        <v>-51.96</v>
      </c>
      <c r="BA512">
        <v>11.95</v>
      </c>
      <c r="BB512" t="s">
        <v>83</v>
      </c>
    </row>
    <row r="513" spans="1:54" x14ac:dyDescent="0.4">
      <c r="A513">
        <v>842228</v>
      </c>
      <c r="D513" t="s">
        <v>54</v>
      </c>
      <c r="G513">
        <v>1</v>
      </c>
      <c r="H513" t="s">
        <v>84</v>
      </c>
      <c r="I513" t="s">
        <v>57</v>
      </c>
      <c r="K513" t="s">
        <v>206</v>
      </c>
      <c r="L513" t="s">
        <v>1091</v>
      </c>
      <c r="M513" t="s">
        <v>60</v>
      </c>
      <c r="O513" t="s">
        <v>170</v>
      </c>
      <c r="P513" t="s">
        <v>62</v>
      </c>
      <c r="R513" t="s">
        <v>63</v>
      </c>
      <c r="S513" t="s">
        <v>64</v>
      </c>
      <c r="T513">
        <v>227</v>
      </c>
      <c r="U513">
        <v>208.5</v>
      </c>
      <c r="V513">
        <f t="shared" si="14"/>
        <v>217.75</v>
      </c>
      <c r="W513">
        <f t="shared" si="15"/>
        <v>18.5</v>
      </c>
      <c r="X513">
        <v>-109.800003</v>
      </c>
      <c r="Y513">
        <v>34.866669000000002</v>
      </c>
      <c r="Z513" t="s">
        <v>198</v>
      </c>
      <c r="AA513" t="s">
        <v>66</v>
      </c>
      <c r="AB513" t="s">
        <v>583</v>
      </c>
      <c r="AC513" t="s">
        <v>735</v>
      </c>
      <c r="AD513" t="s">
        <v>174</v>
      </c>
      <c r="AF513" t="s">
        <v>1078</v>
      </c>
      <c r="AG513" t="s">
        <v>1079</v>
      </c>
      <c r="AH513" t="s">
        <v>11</v>
      </c>
      <c r="AI513" t="s">
        <v>740</v>
      </c>
      <c r="AJ513">
        <v>1995</v>
      </c>
      <c r="AK513" t="s">
        <v>1080</v>
      </c>
      <c r="AM513" t="s">
        <v>1081</v>
      </c>
      <c r="AN513" t="s">
        <v>192</v>
      </c>
      <c r="AO513" t="s">
        <v>160</v>
      </c>
      <c r="AP513" t="s">
        <v>78</v>
      </c>
      <c r="AQ513" t="s">
        <v>1082</v>
      </c>
      <c r="AR513" t="s">
        <v>80</v>
      </c>
      <c r="AS513">
        <v>101</v>
      </c>
      <c r="AT513" t="s">
        <v>81</v>
      </c>
      <c r="AU513">
        <v>-37.630000000000003</v>
      </c>
      <c r="AV513">
        <v>10.36</v>
      </c>
      <c r="AW513" t="s">
        <v>82</v>
      </c>
      <c r="AX513">
        <v>133</v>
      </c>
      <c r="AY513" t="s">
        <v>81</v>
      </c>
      <c r="AZ513">
        <v>-52.43</v>
      </c>
      <c r="BA513">
        <v>10.42</v>
      </c>
      <c r="BB513" t="s">
        <v>83</v>
      </c>
    </row>
    <row r="514" spans="1:54" x14ac:dyDescent="0.4">
      <c r="A514">
        <v>842229</v>
      </c>
      <c r="D514" t="s">
        <v>54</v>
      </c>
      <c r="G514">
        <v>1</v>
      </c>
      <c r="H514" t="s">
        <v>84</v>
      </c>
      <c r="I514" t="s">
        <v>57</v>
      </c>
      <c r="K514" t="s">
        <v>141</v>
      </c>
      <c r="L514" t="s">
        <v>766</v>
      </c>
      <c r="M514" t="s">
        <v>60</v>
      </c>
      <c r="O514" t="s">
        <v>87</v>
      </c>
      <c r="P514" t="s">
        <v>62</v>
      </c>
      <c r="R514" t="s">
        <v>63</v>
      </c>
      <c r="S514" t="s">
        <v>64</v>
      </c>
      <c r="T514">
        <v>227</v>
      </c>
      <c r="U514">
        <v>208.5</v>
      </c>
      <c r="V514">
        <f t="shared" si="14"/>
        <v>217.75</v>
      </c>
      <c r="W514">
        <f t="shared" si="15"/>
        <v>18.5</v>
      </c>
      <c r="X514">
        <v>-109.800003</v>
      </c>
      <c r="Y514">
        <v>34.866669000000002</v>
      </c>
      <c r="Z514" t="s">
        <v>198</v>
      </c>
      <c r="AA514" t="s">
        <v>66</v>
      </c>
      <c r="AB514" t="s">
        <v>583</v>
      </c>
      <c r="AC514" t="s">
        <v>735</v>
      </c>
      <c r="AD514" t="s">
        <v>174</v>
      </c>
      <c r="AF514" t="s">
        <v>1078</v>
      </c>
      <c r="AG514" t="s">
        <v>1079</v>
      </c>
      <c r="AH514" t="s">
        <v>72</v>
      </c>
      <c r="AI514" t="s">
        <v>740</v>
      </c>
      <c r="AJ514">
        <v>1995</v>
      </c>
      <c r="AK514" t="s">
        <v>1080</v>
      </c>
      <c r="AM514" t="s">
        <v>1081</v>
      </c>
      <c r="AN514" t="s">
        <v>192</v>
      </c>
      <c r="AO514" t="s">
        <v>160</v>
      </c>
      <c r="AP514" t="s">
        <v>78</v>
      </c>
      <c r="AQ514" t="s">
        <v>1082</v>
      </c>
      <c r="AR514" t="s">
        <v>80</v>
      </c>
      <c r="AS514">
        <v>101</v>
      </c>
      <c r="AT514" t="s">
        <v>81</v>
      </c>
      <c r="AU514">
        <v>-37.630000000000003</v>
      </c>
      <c r="AV514">
        <v>10.36</v>
      </c>
      <c r="AW514" t="s">
        <v>82</v>
      </c>
      <c r="AX514">
        <v>133</v>
      </c>
      <c r="AY514" t="s">
        <v>81</v>
      </c>
      <c r="AZ514">
        <v>-52.43</v>
      </c>
      <c r="BA514">
        <v>10.42</v>
      </c>
      <c r="BB514" t="s">
        <v>83</v>
      </c>
    </row>
    <row r="515" spans="1:54" x14ac:dyDescent="0.4">
      <c r="A515">
        <v>842231</v>
      </c>
      <c r="D515" t="s">
        <v>54</v>
      </c>
      <c r="G515">
        <v>1</v>
      </c>
      <c r="H515" t="s">
        <v>84</v>
      </c>
      <c r="I515" t="s">
        <v>57</v>
      </c>
      <c r="K515" t="s">
        <v>85</v>
      </c>
      <c r="L515" t="s">
        <v>2959</v>
      </c>
      <c r="M515" t="s">
        <v>60</v>
      </c>
      <c r="O515" t="s">
        <v>87</v>
      </c>
      <c r="P515" t="s">
        <v>62</v>
      </c>
      <c r="R515" t="s">
        <v>63</v>
      </c>
      <c r="S515" t="s">
        <v>64</v>
      </c>
      <c r="T515">
        <v>227</v>
      </c>
      <c r="U515">
        <v>208.5</v>
      </c>
      <c r="V515">
        <f t="shared" ref="V515:V578" si="16">(T515+U515)/2</f>
        <v>217.75</v>
      </c>
      <c r="W515">
        <f t="shared" ref="W515:W578" si="17">T515-U515</f>
        <v>18.5</v>
      </c>
      <c r="X515">
        <v>-109.849998</v>
      </c>
      <c r="Y515">
        <v>35.033332999999999</v>
      </c>
      <c r="Z515" t="s">
        <v>124</v>
      </c>
      <c r="AA515" t="s">
        <v>66</v>
      </c>
      <c r="AB515" t="s">
        <v>583</v>
      </c>
      <c r="AC515" t="s">
        <v>584</v>
      </c>
      <c r="AD515" t="s">
        <v>174</v>
      </c>
      <c r="AF515" t="s">
        <v>1078</v>
      </c>
      <c r="AH515" t="s">
        <v>72</v>
      </c>
      <c r="AI515" t="s">
        <v>2827</v>
      </c>
      <c r="AJ515">
        <v>2010</v>
      </c>
      <c r="AK515" t="s">
        <v>2682</v>
      </c>
      <c r="AN515" t="s">
        <v>114</v>
      </c>
      <c r="AO515" t="s">
        <v>160</v>
      </c>
      <c r="AQ515" t="s">
        <v>2639</v>
      </c>
      <c r="AR515" t="s">
        <v>80</v>
      </c>
      <c r="AS515">
        <v>101</v>
      </c>
      <c r="AT515" t="s">
        <v>81</v>
      </c>
      <c r="AU515">
        <v>-37.64</v>
      </c>
      <c r="AV515">
        <v>10.53</v>
      </c>
      <c r="AW515" t="s">
        <v>82</v>
      </c>
      <c r="AX515">
        <v>133</v>
      </c>
      <c r="AY515" t="s">
        <v>81</v>
      </c>
      <c r="AZ515">
        <v>-52.44</v>
      </c>
      <c r="BA515">
        <v>10.6</v>
      </c>
      <c r="BB515" t="s">
        <v>83</v>
      </c>
    </row>
    <row r="516" spans="1:54" x14ac:dyDescent="0.4">
      <c r="A516">
        <v>842232</v>
      </c>
      <c r="D516" t="s">
        <v>54</v>
      </c>
      <c r="G516">
        <v>1</v>
      </c>
      <c r="H516" t="s">
        <v>56</v>
      </c>
      <c r="I516" t="s">
        <v>57</v>
      </c>
      <c r="K516" t="s">
        <v>85</v>
      </c>
      <c r="L516" t="s">
        <v>1076</v>
      </c>
      <c r="M516" t="s">
        <v>60</v>
      </c>
      <c r="O516" t="s">
        <v>87</v>
      </c>
      <c r="P516" t="s">
        <v>62</v>
      </c>
      <c r="R516" t="s">
        <v>63</v>
      </c>
      <c r="S516" t="s">
        <v>64</v>
      </c>
      <c r="T516">
        <v>227</v>
      </c>
      <c r="U516">
        <v>208.5</v>
      </c>
      <c r="V516">
        <f t="shared" si="16"/>
        <v>217.75</v>
      </c>
      <c r="W516">
        <f t="shared" si="17"/>
        <v>18.5</v>
      </c>
      <c r="X516">
        <v>-109.75</v>
      </c>
      <c r="Y516">
        <v>34.933334000000002</v>
      </c>
      <c r="Z516" t="s">
        <v>124</v>
      </c>
      <c r="AA516" t="s">
        <v>66</v>
      </c>
      <c r="AB516" t="s">
        <v>583</v>
      </c>
      <c r="AC516" t="s">
        <v>735</v>
      </c>
      <c r="AD516" t="s">
        <v>174</v>
      </c>
      <c r="AF516" t="s">
        <v>1068</v>
      </c>
      <c r="AH516" t="s">
        <v>11</v>
      </c>
      <c r="AI516" t="s">
        <v>1123</v>
      </c>
      <c r="AJ516">
        <v>2005</v>
      </c>
      <c r="AK516" t="s">
        <v>2960</v>
      </c>
      <c r="AN516" t="s">
        <v>192</v>
      </c>
      <c r="AO516" t="s">
        <v>160</v>
      </c>
      <c r="AP516" t="s">
        <v>115</v>
      </c>
      <c r="AQ516" t="s">
        <v>2961</v>
      </c>
      <c r="AR516" t="s">
        <v>80</v>
      </c>
      <c r="AS516">
        <v>101</v>
      </c>
      <c r="AT516" t="s">
        <v>81</v>
      </c>
      <c r="AU516">
        <v>-37.58</v>
      </c>
      <c r="AV516">
        <v>10.41</v>
      </c>
      <c r="AW516" t="s">
        <v>82</v>
      </c>
      <c r="AX516">
        <v>133</v>
      </c>
      <c r="AY516" t="s">
        <v>81</v>
      </c>
      <c r="AZ516">
        <v>-52.38</v>
      </c>
      <c r="BA516">
        <v>10.48</v>
      </c>
      <c r="BB516" t="s">
        <v>83</v>
      </c>
    </row>
    <row r="517" spans="1:54" x14ac:dyDescent="0.4">
      <c r="A517">
        <v>842233</v>
      </c>
      <c r="D517" t="s">
        <v>54</v>
      </c>
      <c r="I517" t="s">
        <v>57</v>
      </c>
      <c r="K517" t="s">
        <v>206</v>
      </c>
      <c r="L517" t="s">
        <v>1307</v>
      </c>
      <c r="M517" t="s">
        <v>60</v>
      </c>
      <c r="O517" t="s">
        <v>170</v>
      </c>
      <c r="P517" t="s">
        <v>62</v>
      </c>
      <c r="R517" t="s">
        <v>63</v>
      </c>
      <c r="S517" t="s">
        <v>64</v>
      </c>
      <c r="T517">
        <v>227</v>
      </c>
      <c r="U517">
        <v>208.5</v>
      </c>
      <c r="V517">
        <f t="shared" si="16"/>
        <v>217.75</v>
      </c>
      <c r="W517">
        <f t="shared" si="17"/>
        <v>18.5</v>
      </c>
      <c r="X517">
        <v>-109.800003</v>
      </c>
      <c r="Y517">
        <v>34.866669000000002</v>
      </c>
      <c r="Z517" t="s">
        <v>124</v>
      </c>
      <c r="AA517" t="s">
        <v>66</v>
      </c>
      <c r="AB517" t="s">
        <v>583</v>
      </c>
      <c r="AC517" t="s">
        <v>735</v>
      </c>
      <c r="AD517" t="s">
        <v>174</v>
      </c>
      <c r="AF517" t="s">
        <v>1078</v>
      </c>
      <c r="AH517" t="s">
        <v>11</v>
      </c>
      <c r="AI517" t="s">
        <v>1123</v>
      </c>
      <c r="AJ517">
        <v>2005</v>
      </c>
      <c r="AK517" t="s">
        <v>2828</v>
      </c>
      <c r="AM517" t="s">
        <v>2829</v>
      </c>
      <c r="AN517" t="s">
        <v>192</v>
      </c>
      <c r="AO517" t="s">
        <v>160</v>
      </c>
      <c r="AR517" t="s">
        <v>80</v>
      </c>
      <c r="AS517">
        <v>101</v>
      </c>
      <c r="AT517" t="s">
        <v>81</v>
      </c>
      <c r="AU517">
        <v>-37.630000000000003</v>
      </c>
      <c r="AV517">
        <v>10.36</v>
      </c>
      <c r="AW517" t="s">
        <v>82</v>
      </c>
      <c r="AX517">
        <v>133</v>
      </c>
      <c r="AY517" t="s">
        <v>81</v>
      </c>
      <c r="AZ517">
        <v>-52.43</v>
      </c>
      <c r="BA517">
        <v>10.42</v>
      </c>
      <c r="BB517" t="s">
        <v>83</v>
      </c>
    </row>
    <row r="518" spans="1:54" x14ac:dyDescent="0.4">
      <c r="A518">
        <v>842234</v>
      </c>
      <c r="D518" t="s">
        <v>54</v>
      </c>
      <c r="I518" t="s">
        <v>57</v>
      </c>
      <c r="K518" t="s">
        <v>206</v>
      </c>
      <c r="L518" t="s">
        <v>1091</v>
      </c>
      <c r="M518" t="s">
        <v>60</v>
      </c>
      <c r="O518" t="s">
        <v>170</v>
      </c>
      <c r="P518" t="s">
        <v>62</v>
      </c>
      <c r="R518" t="s">
        <v>63</v>
      </c>
      <c r="S518" t="s">
        <v>64</v>
      </c>
      <c r="T518">
        <v>227</v>
      </c>
      <c r="U518">
        <v>208.5</v>
      </c>
      <c r="V518">
        <f t="shared" si="16"/>
        <v>217.75</v>
      </c>
      <c r="W518">
        <f t="shared" si="17"/>
        <v>18.5</v>
      </c>
      <c r="X518">
        <v>-109.800003</v>
      </c>
      <c r="Y518">
        <v>34.866669000000002</v>
      </c>
      <c r="Z518" t="s">
        <v>124</v>
      </c>
      <c r="AA518" t="s">
        <v>66</v>
      </c>
      <c r="AB518" t="s">
        <v>583</v>
      </c>
      <c r="AC518" t="s">
        <v>735</v>
      </c>
      <c r="AD518" t="s">
        <v>174</v>
      </c>
      <c r="AF518" t="s">
        <v>1078</v>
      </c>
      <c r="AH518" t="s">
        <v>11</v>
      </c>
      <c r="AI518" t="s">
        <v>1123</v>
      </c>
      <c r="AJ518">
        <v>2005</v>
      </c>
      <c r="AK518" t="s">
        <v>2828</v>
      </c>
      <c r="AM518" t="s">
        <v>2829</v>
      </c>
      <c r="AN518" t="s">
        <v>192</v>
      </c>
      <c r="AO518" t="s">
        <v>160</v>
      </c>
      <c r="AR518" t="s">
        <v>80</v>
      </c>
      <c r="AS518">
        <v>101</v>
      </c>
      <c r="AT518" t="s">
        <v>81</v>
      </c>
      <c r="AU518">
        <v>-37.630000000000003</v>
      </c>
      <c r="AV518">
        <v>10.36</v>
      </c>
      <c r="AW518" t="s">
        <v>82</v>
      </c>
      <c r="AX518">
        <v>133</v>
      </c>
      <c r="AY518" t="s">
        <v>81</v>
      </c>
      <c r="AZ518">
        <v>-52.43</v>
      </c>
      <c r="BA518">
        <v>10.42</v>
      </c>
      <c r="BB518" t="s">
        <v>83</v>
      </c>
    </row>
    <row r="519" spans="1:54" x14ac:dyDescent="0.4">
      <c r="A519">
        <v>842242</v>
      </c>
      <c r="D519" t="s">
        <v>54</v>
      </c>
      <c r="E519" t="s">
        <v>55</v>
      </c>
      <c r="I519" t="s">
        <v>57</v>
      </c>
      <c r="K519" t="s">
        <v>206</v>
      </c>
      <c r="L519" t="s">
        <v>851</v>
      </c>
      <c r="M519" t="s">
        <v>60</v>
      </c>
      <c r="O519" t="s">
        <v>170</v>
      </c>
      <c r="P519" t="s">
        <v>62</v>
      </c>
      <c r="R519" t="s">
        <v>63</v>
      </c>
      <c r="S519" t="s">
        <v>64</v>
      </c>
      <c r="T519">
        <v>227</v>
      </c>
      <c r="U519">
        <v>208.5</v>
      </c>
      <c r="V519">
        <f t="shared" si="16"/>
        <v>217.75</v>
      </c>
      <c r="W519">
        <f t="shared" si="17"/>
        <v>18.5</v>
      </c>
      <c r="X519">
        <v>-109.82527899999999</v>
      </c>
      <c r="Y519">
        <v>34.856945000000003</v>
      </c>
      <c r="Z519" t="s">
        <v>124</v>
      </c>
      <c r="AA519" t="s">
        <v>66</v>
      </c>
      <c r="AB519" t="s">
        <v>583</v>
      </c>
      <c r="AD519" t="s">
        <v>174</v>
      </c>
      <c r="AF519" t="s">
        <v>1078</v>
      </c>
      <c r="AH519" t="s">
        <v>11</v>
      </c>
      <c r="AI519" t="s">
        <v>1123</v>
      </c>
      <c r="AJ519">
        <v>2005</v>
      </c>
      <c r="AK519" t="s">
        <v>2183</v>
      </c>
      <c r="AM519" t="s">
        <v>2184</v>
      </c>
      <c r="AN519" t="s">
        <v>192</v>
      </c>
      <c r="AO519" t="s">
        <v>77</v>
      </c>
      <c r="AP519" t="s">
        <v>115</v>
      </c>
      <c r="AR519" t="s">
        <v>80</v>
      </c>
      <c r="AS519">
        <v>101</v>
      </c>
      <c r="AT519" t="s">
        <v>81</v>
      </c>
      <c r="AU519">
        <v>-37.65</v>
      </c>
      <c r="AV519">
        <v>10.35</v>
      </c>
      <c r="AW519" t="s">
        <v>82</v>
      </c>
      <c r="AX519">
        <v>133</v>
      </c>
      <c r="AY519" t="s">
        <v>81</v>
      </c>
      <c r="AZ519">
        <v>-52.45</v>
      </c>
      <c r="BA519">
        <v>10.42</v>
      </c>
      <c r="BB519" t="s">
        <v>83</v>
      </c>
    </row>
    <row r="520" spans="1:54" x14ac:dyDescent="0.4">
      <c r="A520">
        <v>842245</v>
      </c>
      <c r="D520" t="s">
        <v>54</v>
      </c>
      <c r="G520">
        <v>3</v>
      </c>
      <c r="H520" t="s">
        <v>84</v>
      </c>
      <c r="I520" t="s">
        <v>57</v>
      </c>
      <c r="K520" t="s">
        <v>206</v>
      </c>
      <c r="L520" t="s">
        <v>986</v>
      </c>
      <c r="M520" t="s">
        <v>60</v>
      </c>
      <c r="O520" t="s">
        <v>170</v>
      </c>
      <c r="P520" t="s">
        <v>62</v>
      </c>
      <c r="R520" t="s">
        <v>63</v>
      </c>
      <c r="S520" t="s">
        <v>64</v>
      </c>
      <c r="T520">
        <v>227</v>
      </c>
      <c r="U520">
        <v>208.5</v>
      </c>
      <c r="V520">
        <f t="shared" si="16"/>
        <v>217.75</v>
      </c>
      <c r="W520">
        <f t="shared" si="17"/>
        <v>18.5</v>
      </c>
      <c r="X520">
        <v>-109.82222</v>
      </c>
      <c r="Y520">
        <v>34.830554999999997</v>
      </c>
      <c r="Z520" t="s">
        <v>124</v>
      </c>
      <c r="AA520" t="s">
        <v>66</v>
      </c>
      <c r="AB520" t="s">
        <v>583</v>
      </c>
      <c r="AC520" t="s">
        <v>735</v>
      </c>
      <c r="AD520" t="s">
        <v>174</v>
      </c>
      <c r="AF520" t="s">
        <v>1078</v>
      </c>
      <c r="AH520" t="s">
        <v>72</v>
      </c>
      <c r="AI520" t="s">
        <v>1123</v>
      </c>
      <c r="AJ520">
        <v>2005</v>
      </c>
      <c r="AK520" t="s">
        <v>2925</v>
      </c>
      <c r="AM520" t="s">
        <v>2926</v>
      </c>
      <c r="AN520" t="s">
        <v>192</v>
      </c>
      <c r="AO520" t="s">
        <v>77</v>
      </c>
      <c r="AP520" t="s">
        <v>78</v>
      </c>
      <c r="AR520" t="s">
        <v>80</v>
      </c>
      <c r="AS520">
        <v>101</v>
      </c>
      <c r="AT520" t="s">
        <v>81</v>
      </c>
      <c r="AU520">
        <v>-37.659999999999997</v>
      </c>
      <c r="AV520">
        <v>10.33</v>
      </c>
      <c r="AW520" t="s">
        <v>82</v>
      </c>
      <c r="AX520">
        <v>133</v>
      </c>
      <c r="AY520" t="s">
        <v>81</v>
      </c>
      <c r="AZ520">
        <v>-52.46</v>
      </c>
      <c r="BA520">
        <v>10.39</v>
      </c>
      <c r="BB520" t="s">
        <v>83</v>
      </c>
    </row>
    <row r="521" spans="1:54" x14ac:dyDescent="0.4">
      <c r="A521">
        <v>842246</v>
      </c>
      <c r="D521" t="s">
        <v>54</v>
      </c>
      <c r="G521">
        <v>1</v>
      </c>
      <c r="H521" t="s">
        <v>84</v>
      </c>
      <c r="I521" t="s">
        <v>57</v>
      </c>
      <c r="K521" t="s">
        <v>206</v>
      </c>
      <c r="L521" t="s">
        <v>1077</v>
      </c>
      <c r="M521" t="s">
        <v>60</v>
      </c>
      <c r="O521" t="s">
        <v>170</v>
      </c>
      <c r="P521" t="s">
        <v>62</v>
      </c>
      <c r="R521" t="s">
        <v>63</v>
      </c>
      <c r="S521" t="s">
        <v>64</v>
      </c>
      <c r="T521">
        <v>227</v>
      </c>
      <c r="U521">
        <v>208.5</v>
      </c>
      <c r="V521">
        <f t="shared" si="16"/>
        <v>217.75</v>
      </c>
      <c r="W521">
        <f t="shared" si="17"/>
        <v>18.5</v>
      </c>
      <c r="X521">
        <v>-109.800003</v>
      </c>
      <c r="Y521">
        <v>34.916668000000001</v>
      </c>
      <c r="Z521" t="s">
        <v>124</v>
      </c>
      <c r="AA521" t="s">
        <v>66</v>
      </c>
      <c r="AB521" t="s">
        <v>583</v>
      </c>
      <c r="AC521" t="s">
        <v>735</v>
      </c>
      <c r="AD521" t="s">
        <v>174</v>
      </c>
      <c r="AF521" t="s">
        <v>1078</v>
      </c>
      <c r="AH521" t="s">
        <v>72</v>
      </c>
      <c r="AI521" t="s">
        <v>208</v>
      </c>
      <c r="AJ521">
        <v>2016</v>
      </c>
      <c r="AK521" t="s">
        <v>2962</v>
      </c>
      <c r="AN521" t="s">
        <v>341</v>
      </c>
      <c r="AO521" t="s">
        <v>160</v>
      </c>
      <c r="AP521" t="s">
        <v>115</v>
      </c>
      <c r="AR521" t="s">
        <v>80</v>
      </c>
      <c r="AS521">
        <v>101</v>
      </c>
      <c r="AT521" t="s">
        <v>81</v>
      </c>
      <c r="AU521">
        <v>-37.619999999999997</v>
      </c>
      <c r="AV521">
        <v>10.41</v>
      </c>
      <c r="AW521" t="s">
        <v>82</v>
      </c>
      <c r="AX521">
        <v>133</v>
      </c>
      <c r="AY521" t="s">
        <v>81</v>
      </c>
      <c r="AZ521">
        <v>-52.42</v>
      </c>
      <c r="BA521">
        <v>10.47</v>
      </c>
      <c r="BB521" t="s">
        <v>83</v>
      </c>
    </row>
    <row r="522" spans="1:54" x14ac:dyDescent="0.4">
      <c r="A522">
        <v>842248</v>
      </c>
      <c r="D522" t="s">
        <v>54</v>
      </c>
      <c r="I522" t="s">
        <v>57</v>
      </c>
      <c r="K522" t="s">
        <v>206</v>
      </c>
      <c r="L522" t="s">
        <v>1091</v>
      </c>
      <c r="M522" t="s">
        <v>60</v>
      </c>
      <c r="O522" t="s">
        <v>170</v>
      </c>
      <c r="P522" t="s">
        <v>62</v>
      </c>
      <c r="R522" t="s">
        <v>63</v>
      </c>
      <c r="S522" t="s">
        <v>64</v>
      </c>
      <c r="T522">
        <v>227</v>
      </c>
      <c r="U522">
        <v>208.5</v>
      </c>
      <c r="V522">
        <f t="shared" si="16"/>
        <v>217.75</v>
      </c>
      <c r="W522">
        <f t="shared" si="17"/>
        <v>18.5</v>
      </c>
      <c r="X522">
        <v>-109.90194700000001</v>
      </c>
      <c r="Y522">
        <v>34.823891000000003</v>
      </c>
      <c r="Z522" t="s">
        <v>124</v>
      </c>
      <c r="AA522" t="s">
        <v>66</v>
      </c>
      <c r="AB522" t="s">
        <v>583</v>
      </c>
      <c r="AC522" t="s">
        <v>584</v>
      </c>
      <c r="AD522" t="s">
        <v>174</v>
      </c>
      <c r="AF522" t="s">
        <v>1078</v>
      </c>
      <c r="AH522" t="s">
        <v>11</v>
      </c>
      <c r="AI522" t="s">
        <v>1123</v>
      </c>
      <c r="AJ522">
        <v>2005</v>
      </c>
      <c r="AK522" t="s">
        <v>2766</v>
      </c>
      <c r="AN522" t="s">
        <v>114</v>
      </c>
      <c r="AO522" t="s">
        <v>77</v>
      </c>
      <c r="AQ522" t="s">
        <v>2767</v>
      </c>
      <c r="AR522" t="s">
        <v>80</v>
      </c>
      <c r="AS522">
        <v>101</v>
      </c>
      <c r="AT522" t="s">
        <v>81</v>
      </c>
      <c r="AU522">
        <v>-37.72</v>
      </c>
      <c r="AV522">
        <v>10.33</v>
      </c>
      <c r="AW522" t="s">
        <v>82</v>
      </c>
      <c r="AX522">
        <v>133</v>
      </c>
      <c r="AY522" t="s">
        <v>81</v>
      </c>
      <c r="AZ522">
        <v>-52.52</v>
      </c>
      <c r="BA522">
        <v>10.4</v>
      </c>
      <c r="BB522" t="s">
        <v>83</v>
      </c>
    </row>
    <row r="523" spans="1:54" x14ac:dyDescent="0.4">
      <c r="A523">
        <v>842249</v>
      </c>
      <c r="D523" t="s">
        <v>54</v>
      </c>
      <c r="I523" t="s">
        <v>57</v>
      </c>
      <c r="K523" t="s">
        <v>206</v>
      </c>
      <c r="L523" t="s">
        <v>1091</v>
      </c>
      <c r="M523" t="s">
        <v>60</v>
      </c>
      <c r="O523" t="s">
        <v>170</v>
      </c>
      <c r="P523" t="s">
        <v>62</v>
      </c>
      <c r="R523" t="s">
        <v>63</v>
      </c>
      <c r="S523" t="s">
        <v>64</v>
      </c>
      <c r="T523">
        <v>227</v>
      </c>
      <c r="U523">
        <v>208.5</v>
      </c>
      <c r="V523">
        <f t="shared" si="16"/>
        <v>217.75</v>
      </c>
      <c r="W523">
        <f t="shared" si="17"/>
        <v>18.5</v>
      </c>
      <c r="X523">
        <v>-109.85833</v>
      </c>
      <c r="Y523">
        <v>34.808334000000002</v>
      </c>
      <c r="Z523" t="s">
        <v>124</v>
      </c>
      <c r="AA523" t="s">
        <v>66</v>
      </c>
      <c r="AB523" t="s">
        <v>583</v>
      </c>
      <c r="AC523" t="s">
        <v>584</v>
      </c>
      <c r="AD523" t="s">
        <v>174</v>
      </c>
      <c r="AF523" t="s">
        <v>1078</v>
      </c>
      <c r="AH523" t="s">
        <v>11</v>
      </c>
      <c r="AI523" t="s">
        <v>1123</v>
      </c>
      <c r="AJ523">
        <v>2005</v>
      </c>
      <c r="AK523" t="s">
        <v>2831</v>
      </c>
      <c r="AN523" t="s">
        <v>192</v>
      </c>
      <c r="AO523" t="s">
        <v>77</v>
      </c>
      <c r="AR523" t="s">
        <v>80</v>
      </c>
      <c r="AS523">
        <v>101</v>
      </c>
      <c r="AT523" t="s">
        <v>81</v>
      </c>
      <c r="AU523">
        <v>-37.69</v>
      </c>
      <c r="AV523">
        <v>10.31</v>
      </c>
      <c r="AW523" t="s">
        <v>82</v>
      </c>
      <c r="AX523">
        <v>133</v>
      </c>
      <c r="AY523" t="s">
        <v>81</v>
      </c>
      <c r="AZ523">
        <v>-52.49</v>
      </c>
      <c r="BA523">
        <v>10.38</v>
      </c>
      <c r="BB523" t="s">
        <v>83</v>
      </c>
    </row>
    <row r="524" spans="1:54" x14ac:dyDescent="0.4">
      <c r="A524">
        <v>842255</v>
      </c>
      <c r="D524" t="s">
        <v>54</v>
      </c>
      <c r="I524" t="s">
        <v>57</v>
      </c>
      <c r="K524" t="s">
        <v>141</v>
      </c>
      <c r="L524" t="s">
        <v>905</v>
      </c>
      <c r="M524" t="s">
        <v>60</v>
      </c>
      <c r="O524" t="s">
        <v>170</v>
      </c>
      <c r="P524" t="s">
        <v>62</v>
      </c>
      <c r="R524" t="s">
        <v>63</v>
      </c>
      <c r="S524" t="s">
        <v>64</v>
      </c>
      <c r="T524">
        <v>227</v>
      </c>
      <c r="U524">
        <v>208.5</v>
      </c>
      <c r="V524">
        <f t="shared" si="16"/>
        <v>217.75</v>
      </c>
      <c r="W524">
        <f t="shared" si="17"/>
        <v>18.5</v>
      </c>
      <c r="X524">
        <v>-109.833336</v>
      </c>
      <c r="Y524">
        <v>34.833331999999999</v>
      </c>
      <c r="Z524" t="s">
        <v>582</v>
      </c>
      <c r="AA524" t="s">
        <v>66</v>
      </c>
      <c r="AB524" t="s">
        <v>583</v>
      </c>
      <c r="AD524" t="s">
        <v>174</v>
      </c>
      <c r="AF524" t="s">
        <v>749</v>
      </c>
      <c r="AH524" t="s">
        <v>72</v>
      </c>
      <c r="AI524" t="s">
        <v>1123</v>
      </c>
      <c r="AJ524">
        <v>2005</v>
      </c>
      <c r="AK524" t="s">
        <v>2643</v>
      </c>
      <c r="AM524" t="s">
        <v>2644</v>
      </c>
      <c r="AN524" t="s">
        <v>114</v>
      </c>
      <c r="AO524" t="s">
        <v>160</v>
      </c>
      <c r="AQ524" t="s">
        <v>2645</v>
      </c>
      <c r="AR524" t="s">
        <v>80</v>
      </c>
      <c r="AS524">
        <v>101</v>
      </c>
      <c r="AT524" t="s">
        <v>81</v>
      </c>
      <c r="AU524">
        <v>-37.67</v>
      </c>
      <c r="AV524">
        <v>10.33</v>
      </c>
      <c r="AW524" t="s">
        <v>82</v>
      </c>
      <c r="AX524">
        <v>133</v>
      </c>
      <c r="AY524" t="s">
        <v>81</v>
      </c>
      <c r="AZ524">
        <v>-52.47</v>
      </c>
      <c r="BA524">
        <v>10.4</v>
      </c>
      <c r="BB524" t="s">
        <v>83</v>
      </c>
    </row>
    <row r="525" spans="1:54" x14ac:dyDescent="0.4">
      <c r="A525">
        <v>842256</v>
      </c>
      <c r="D525" t="s">
        <v>54</v>
      </c>
      <c r="E525" t="s">
        <v>55</v>
      </c>
      <c r="I525" t="s">
        <v>57</v>
      </c>
      <c r="K525" t="s">
        <v>141</v>
      </c>
      <c r="L525" t="s">
        <v>905</v>
      </c>
      <c r="M525" t="s">
        <v>60</v>
      </c>
      <c r="O525" t="s">
        <v>170</v>
      </c>
      <c r="P525" t="s">
        <v>62</v>
      </c>
      <c r="R525" t="s">
        <v>63</v>
      </c>
      <c r="S525" t="s">
        <v>64</v>
      </c>
      <c r="T525">
        <v>227</v>
      </c>
      <c r="U525">
        <v>208.5</v>
      </c>
      <c r="V525">
        <f t="shared" si="16"/>
        <v>217.75</v>
      </c>
      <c r="W525">
        <f t="shared" si="17"/>
        <v>18.5</v>
      </c>
      <c r="X525">
        <v>-109.83409899999999</v>
      </c>
      <c r="Y525">
        <v>35.110900999999998</v>
      </c>
      <c r="Z525" t="s">
        <v>582</v>
      </c>
      <c r="AA525" t="s">
        <v>66</v>
      </c>
      <c r="AB525" t="s">
        <v>583</v>
      </c>
      <c r="AC525" t="s">
        <v>735</v>
      </c>
      <c r="AD525" t="s">
        <v>174</v>
      </c>
      <c r="AF525" t="s">
        <v>749</v>
      </c>
      <c r="AH525" t="s">
        <v>72</v>
      </c>
      <c r="AI525" t="s">
        <v>1123</v>
      </c>
      <c r="AJ525">
        <v>2005</v>
      </c>
      <c r="AK525" t="s">
        <v>2632</v>
      </c>
      <c r="AM525" t="s">
        <v>1239</v>
      </c>
      <c r="AN525" t="s">
        <v>114</v>
      </c>
      <c r="AO525">
        <v>4</v>
      </c>
      <c r="AQ525" t="s">
        <v>2633</v>
      </c>
      <c r="AR525" t="s">
        <v>80</v>
      </c>
      <c r="AS525">
        <v>101</v>
      </c>
      <c r="AT525" t="s">
        <v>81</v>
      </c>
      <c r="AU525">
        <v>-37.61</v>
      </c>
      <c r="AV525">
        <v>10.6</v>
      </c>
      <c r="AW525" t="s">
        <v>82</v>
      </c>
      <c r="AX525">
        <v>133</v>
      </c>
      <c r="AY525" t="s">
        <v>81</v>
      </c>
      <c r="AZ525">
        <v>-52.42</v>
      </c>
      <c r="BA525">
        <v>10.67</v>
      </c>
      <c r="BB525" t="s">
        <v>83</v>
      </c>
    </row>
    <row r="526" spans="1:54" x14ac:dyDescent="0.4">
      <c r="A526">
        <v>842270</v>
      </c>
      <c r="D526" t="s">
        <v>54</v>
      </c>
      <c r="G526">
        <v>1</v>
      </c>
      <c r="H526" t="s">
        <v>84</v>
      </c>
      <c r="I526" t="s">
        <v>57</v>
      </c>
      <c r="K526" t="s">
        <v>206</v>
      </c>
      <c r="L526" t="s">
        <v>851</v>
      </c>
      <c r="M526" t="s">
        <v>60</v>
      </c>
      <c r="O526" t="s">
        <v>170</v>
      </c>
      <c r="P526" t="s">
        <v>62</v>
      </c>
      <c r="R526" t="s">
        <v>63</v>
      </c>
      <c r="S526" t="s">
        <v>64</v>
      </c>
      <c r="T526">
        <v>227</v>
      </c>
      <c r="U526">
        <v>208.5</v>
      </c>
      <c r="V526">
        <f t="shared" si="16"/>
        <v>217.75</v>
      </c>
      <c r="W526">
        <f t="shared" si="17"/>
        <v>18.5</v>
      </c>
      <c r="X526">
        <v>-109.75</v>
      </c>
      <c r="Y526">
        <v>34.933334000000002</v>
      </c>
      <c r="Z526" t="s">
        <v>124</v>
      </c>
      <c r="AA526" t="s">
        <v>66</v>
      </c>
      <c r="AB526" t="s">
        <v>583</v>
      </c>
      <c r="AC526" t="s">
        <v>735</v>
      </c>
      <c r="AD526" t="s">
        <v>174</v>
      </c>
      <c r="AF526" t="s">
        <v>1078</v>
      </c>
      <c r="AH526" t="s">
        <v>72</v>
      </c>
      <c r="AI526" t="s">
        <v>1123</v>
      </c>
      <c r="AJ526">
        <v>2005</v>
      </c>
      <c r="AK526" t="s">
        <v>2635</v>
      </c>
      <c r="AM526" t="s">
        <v>2636</v>
      </c>
      <c r="AN526" t="s">
        <v>192</v>
      </c>
      <c r="AO526" t="s">
        <v>160</v>
      </c>
      <c r="AP526" t="s">
        <v>115</v>
      </c>
      <c r="AQ526" t="s">
        <v>2637</v>
      </c>
      <c r="AR526" t="s">
        <v>80</v>
      </c>
      <c r="AS526">
        <v>101</v>
      </c>
      <c r="AT526" t="s">
        <v>81</v>
      </c>
      <c r="AU526">
        <v>-37.58</v>
      </c>
      <c r="AV526">
        <v>10.41</v>
      </c>
      <c r="AW526" t="s">
        <v>82</v>
      </c>
      <c r="AX526">
        <v>133</v>
      </c>
      <c r="AY526" t="s">
        <v>81</v>
      </c>
      <c r="AZ526">
        <v>-52.38</v>
      </c>
      <c r="BA526">
        <v>10.48</v>
      </c>
      <c r="BB526" t="s">
        <v>83</v>
      </c>
    </row>
    <row r="527" spans="1:54" x14ac:dyDescent="0.4">
      <c r="A527">
        <v>842309</v>
      </c>
      <c r="D527" t="s">
        <v>54</v>
      </c>
      <c r="E527" t="s">
        <v>152</v>
      </c>
      <c r="G527">
        <v>1</v>
      </c>
      <c r="H527" t="s">
        <v>84</v>
      </c>
      <c r="I527" t="s">
        <v>57</v>
      </c>
      <c r="K527" t="s">
        <v>85</v>
      </c>
      <c r="L527" t="s">
        <v>845</v>
      </c>
      <c r="M527" t="s">
        <v>60</v>
      </c>
      <c r="O527" t="s">
        <v>87</v>
      </c>
      <c r="P527" t="s">
        <v>62</v>
      </c>
      <c r="R527" t="s">
        <v>63</v>
      </c>
      <c r="S527" t="s">
        <v>64</v>
      </c>
      <c r="T527">
        <v>227</v>
      </c>
      <c r="U527">
        <v>208.5</v>
      </c>
      <c r="V527">
        <f t="shared" si="16"/>
        <v>217.75</v>
      </c>
      <c r="W527">
        <f t="shared" si="17"/>
        <v>18.5</v>
      </c>
      <c r="X527">
        <v>-109.855553</v>
      </c>
      <c r="Y527">
        <v>34.827778000000002</v>
      </c>
      <c r="Z527" t="s">
        <v>1447</v>
      </c>
      <c r="AA527" t="s">
        <v>66</v>
      </c>
      <c r="AB527" t="s">
        <v>583</v>
      </c>
      <c r="AC527" t="s">
        <v>584</v>
      </c>
      <c r="AD527" t="s">
        <v>174</v>
      </c>
      <c r="AF527" t="s">
        <v>1078</v>
      </c>
      <c r="AH527" t="s">
        <v>11</v>
      </c>
      <c r="AI527" t="s">
        <v>208</v>
      </c>
      <c r="AJ527">
        <v>2005</v>
      </c>
      <c r="AK527" t="s">
        <v>2963</v>
      </c>
      <c r="AN527" t="s">
        <v>192</v>
      </c>
      <c r="AO527" t="s">
        <v>77</v>
      </c>
      <c r="AP527" t="s">
        <v>115</v>
      </c>
      <c r="AQ527" t="s">
        <v>2964</v>
      </c>
      <c r="AR527" t="s">
        <v>80</v>
      </c>
      <c r="AS527">
        <v>101</v>
      </c>
      <c r="AT527" t="s">
        <v>81</v>
      </c>
      <c r="AU527">
        <v>-37.68</v>
      </c>
      <c r="AV527">
        <v>10.33</v>
      </c>
      <c r="AW527" t="s">
        <v>82</v>
      </c>
      <c r="AX527">
        <v>133</v>
      </c>
      <c r="AY527" t="s">
        <v>81</v>
      </c>
      <c r="AZ527">
        <v>-52.48</v>
      </c>
      <c r="BA527">
        <v>10.39</v>
      </c>
      <c r="BB527" t="s">
        <v>83</v>
      </c>
    </row>
    <row r="528" spans="1:54" x14ac:dyDescent="0.4">
      <c r="A528">
        <v>842321</v>
      </c>
      <c r="D528" t="s">
        <v>167</v>
      </c>
      <c r="E528" t="s">
        <v>154</v>
      </c>
      <c r="G528">
        <v>1</v>
      </c>
      <c r="H528" t="s">
        <v>84</v>
      </c>
      <c r="I528" t="s">
        <v>57</v>
      </c>
      <c r="K528" t="s">
        <v>141</v>
      </c>
      <c r="L528" t="s">
        <v>729</v>
      </c>
      <c r="M528" t="s">
        <v>60</v>
      </c>
      <c r="P528" t="s">
        <v>62</v>
      </c>
      <c r="R528" t="s">
        <v>63</v>
      </c>
      <c r="S528" t="s">
        <v>64</v>
      </c>
      <c r="T528">
        <v>227</v>
      </c>
      <c r="U528">
        <v>208.5</v>
      </c>
      <c r="V528">
        <f t="shared" si="16"/>
        <v>217.75</v>
      </c>
      <c r="W528">
        <f t="shared" si="17"/>
        <v>18.5</v>
      </c>
      <c r="X528">
        <v>-109.462486</v>
      </c>
      <c r="Y528">
        <v>34.437420000000003</v>
      </c>
      <c r="Z528" t="s">
        <v>734</v>
      </c>
      <c r="AA528" t="s">
        <v>66</v>
      </c>
      <c r="AB528" t="s">
        <v>583</v>
      </c>
      <c r="AC528" t="s">
        <v>735</v>
      </c>
      <c r="AD528" t="s">
        <v>174</v>
      </c>
      <c r="AF528" t="s">
        <v>736</v>
      </c>
      <c r="AH528" t="s">
        <v>72</v>
      </c>
      <c r="AI528" t="s">
        <v>2965</v>
      </c>
      <c r="AJ528">
        <v>2010</v>
      </c>
      <c r="AK528" t="s">
        <v>737</v>
      </c>
      <c r="AN528" t="s">
        <v>76</v>
      </c>
      <c r="AO528">
        <v>8</v>
      </c>
      <c r="AP528" t="s">
        <v>78</v>
      </c>
      <c r="AQ528" t="s">
        <v>738</v>
      </c>
      <c r="AR528" t="s">
        <v>80</v>
      </c>
      <c r="AS528">
        <v>101</v>
      </c>
      <c r="AT528" t="s">
        <v>81</v>
      </c>
      <c r="AU528">
        <v>-37.44</v>
      </c>
      <c r="AV528">
        <v>9.8800000000000008</v>
      </c>
      <c r="AW528" t="s">
        <v>82</v>
      </c>
      <c r="AX528">
        <v>133</v>
      </c>
      <c r="AY528" t="s">
        <v>81</v>
      </c>
      <c r="AZ528">
        <v>-52.23</v>
      </c>
      <c r="BA528">
        <v>9.9499999999999993</v>
      </c>
      <c r="BB528" t="s">
        <v>83</v>
      </c>
    </row>
    <row r="529" spans="1:54" x14ac:dyDescent="0.4">
      <c r="A529">
        <v>842343</v>
      </c>
      <c r="D529" t="s">
        <v>54</v>
      </c>
      <c r="I529" t="s">
        <v>57</v>
      </c>
      <c r="K529" t="s">
        <v>206</v>
      </c>
      <c r="L529" t="s">
        <v>851</v>
      </c>
      <c r="M529" t="s">
        <v>60</v>
      </c>
      <c r="O529" t="s">
        <v>170</v>
      </c>
      <c r="P529" t="s">
        <v>62</v>
      </c>
      <c r="R529" t="s">
        <v>63</v>
      </c>
      <c r="S529" t="s">
        <v>64</v>
      </c>
      <c r="T529">
        <v>227</v>
      </c>
      <c r="U529">
        <v>208.5</v>
      </c>
      <c r="V529">
        <f t="shared" si="16"/>
        <v>217.75</v>
      </c>
      <c r="W529">
        <f t="shared" si="17"/>
        <v>18.5</v>
      </c>
      <c r="X529">
        <v>-109.779167</v>
      </c>
      <c r="Y529">
        <v>35.066665999999998</v>
      </c>
      <c r="Z529" t="s">
        <v>124</v>
      </c>
      <c r="AA529" t="s">
        <v>66</v>
      </c>
      <c r="AB529" t="s">
        <v>583</v>
      </c>
      <c r="AC529" t="s">
        <v>735</v>
      </c>
      <c r="AD529" t="s">
        <v>174</v>
      </c>
      <c r="AF529" t="s">
        <v>749</v>
      </c>
      <c r="AH529" t="s">
        <v>72</v>
      </c>
      <c r="AI529" t="s">
        <v>2966</v>
      </c>
      <c r="AJ529">
        <v>2005</v>
      </c>
      <c r="AK529" t="s">
        <v>2967</v>
      </c>
      <c r="AM529" t="s">
        <v>2968</v>
      </c>
      <c r="AN529" t="s">
        <v>114</v>
      </c>
      <c r="AO529" t="s">
        <v>160</v>
      </c>
      <c r="AP529" t="s">
        <v>115</v>
      </c>
      <c r="AR529" t="s">
        <v>80</v>
      </c>
      <c r="AS529">
        <v>101</v>
      </c>
      <c r="AT529" t="s">
        <v>81</v>
      </c>
      <c r="AU529">
        <v>-37.57</v>
      </c>
      <c r="AV529">
        <v>10.55</v>
      </c>
      <c r="AW529" t="s">
        <v>82</v>
      </c>
      <c r="AX529">
        <v>133</v>
      </c>
      <c r="AY529" t="s">
        <v>81</v>
      </c>
      <c r="AZ529">
        <v>-52.38</v>
      </c>
      <c r="BA529">
        <v>10.62</v>
      </c>
      <c r="BB529" t="s">
        <v>83</v>
      </c>
    </row>
    <row r="530" spans="1:54" x14ac:dyDescent="0.4">
      <c r="A530">
        <v>842374</v>
      </c>
      <c r="D530" t="s">
        <v>54</v>
      </c>
      <c r="G530">
        <v>1</v>
      </c>
      <c r="H530" t="s">
        <v>56</v>
      </c>
      <c r="I530" t="s">
        <v>57</v>
      </c>
      <c r="K530" t="s">
        <v>206</v>
      </c>
      <c r="L530" t="s">
        <v>2969</v>
      </c>
      <c r="M530" t="s">
        <v>60</v>
      </c>
      <c r="O530" t="s">
        <v>170</v>
      </c>
      <c r="P530" t="s">
        <v>62</v>
      </c>
      <c r="R530" t="s">
        <v>63</v>
      </c>
      <c r="S530" t="s">
        <v>64</v>
      </c>
      <c r="T530">
        <v>227</v>
      </c>
      <c r="U530">
        <v>208.5</v>
      </c>
      <c r="V530">
        <f t="shared" si="16"/>
        <v>217.75</v>
      </c>
      <c r="W530">
        <f t="shared" si="17"/>
        <v>18.5</v>
      </c>
      <c r="X530">
        <v>-109.75</v>
      </c>
      <c r="Y530">
        <v>34.933334000000002</v>
      </c>
      <c r="Z530" t="s">
        <v>124</v>
      </c>
      <c r="AA530" t="s">
        <v>66</v>
      </c>
      <c r="AB530" t="s">
        <v>583</v>
      </c>
      <c r="AC530" t="s">
        <v>735</v>
      </c>
      <c r="AD530" t="s">
        <v>174</v>
      </c>
      <c r="AF530" t="s">
        <v>1068</v>
      </c>
      <c r="AH530" t="s">
        <v>72</v>
      </c>
      <c r="AI530" t="s">
        <v>2483</v>
      </c>
      <c r="AJ530">
        <v>2007</v>
      </c>
      <c r="AK530" t="s">
        <v>2960</v>
      </c>
      <c r="AN530" t="s">
        <v>192</v>
      </c>
      <c r="AO530" t="s">
        <v>160</v>
      </c>
      <c r="AP530" t="s">
        <v>115</v>
      </c>
      <c r="AQ530" t="s">
        <v>2961</v>
      </c>
      <c r="AR530" t="s">
        <v>80</v>
      </c>
      <c r="AS530">
        <v>101</v>
      </c>
      <c r="AT530" t="s">
        <v>81</v>
      </c>
      <c r="AU530">
        <v>-37.58</v>
      </c>
      <c r="AV530">
        <v>10.41</v>
      </c>
      <c r="AW530" t="s">
        <v>82</v>
      </c>
      <c r="AX530">
        <v>133</v>
      </c>
      <c r="AY530" t="s">
        <v>81</v>
      </c>
      <c r="AZ530">
        <v>-52.38</v>
      </c>
      <c r="BA530">
        <v>10.48</v>
      </c>
      <c r="BB530" t="s">
        <v>83</v>
      </c>
    </row>
    <row r="531" spans="1:54" x14ac:dyDescent="0.4">
      <c r="A531">
        <v>842665</v>
      </c>
      <c r="D531" t="s">
        <v>54</v>
      </c>
      <c r="G531">
        <v>5</v>
      </c>
      <c r="H531" t="s">
        <v>421</v>
      </c>
      <c r="I531" t="s">
        <v>57</v>
      </c>
      <c r="K531" t="s">
        <v>767</v>
      </c>
      <c r="L531" t="s">
        <v>768</v>
      </c>
      <c r="M531" t="s">
        <v>60</v>
      </c>
      <c r="N531" t="s">
        <v>119</v>
      </c>
      <c r="O531" t="s">
        <v>87</v>
      </c>
      <c r="P531" t="s">
        <v>62</v>
      </c>
      <c r="R531" t="s">
        <v>63</v>
      </c>
      <c r="S531" t="s">
        <v>64</v>
      </c>
      <c r="T531">
        <v>227</v>
      </c>
      <c r="U531">
        <v>208.5</v>
      </c>
      <c r="V531">
        <f t="shared" si="16"/>
        <v>217.75</v>
      </c>
      <c r="W531">
        <f t="shared" si="17"/>
        <v>18.5</v>
      </c>
      <c r="X531">
        <v>-111.24722300000001</v>
      </c>
      <c r="Y531">
        <v>35.841667000000001</v>
      </c>
      <c r="Z531" t="s">
        <v>432</v>
      </c>
      <c r="AA531" t="s">
        <v>66</v>
      </c>
      <c r="AB531" t="s">
        <v>583</v>
      </c>
      <c r="AC531" t="s">
        <v>807</v>
      </c>
      <c r="AD531" t="s">
        <v>174</v>
      </c>
      <c r="AF531" t="s">
        <v>1724</v>
      </c>
      <c r="AH531" t="s">
        <v>11</v>
      </c>
      <c r="AI531" t="s">
        <v>1725</v>
      </c>
      <c r="AJ531">
        <v>1993</v>
      </c>
      <c r="AK531" t="s">
        <v>1726</v>
      </c>
      <c r="AN531" t="s">
        <v>192</v>
      </c>
      <c r="AO531" t="s">
        <v>77</v>
      </c>
      <c r="AP531" t="s">
        <v>115</v>
      </c>
      <c r="AQ531" t="s">
        <v>1727</v>
      </c>
      <c r="AR531" t="s">
        <v>80</v>
      </c>
      <c r="AS531">
        <v>101</v>
      </c>
      <c r="AT531" t="s">
        <v>81</v>
      </c>
      <c r="AU531">
        <v>-38.6</v>
      </c>
      <c r="AV531">
        <v>11.56</v>
      </c>
      <c r="AW531" t="s">
        <v>82</v>
      </c>
      <c r="AX531">
        <v>133</v>
      </c>
      <c r="AY531" t="s">
        <v>81</v>
      </c>
      <c r="AZ531">
        <v>-53.44</v>
      </c>
      <c r="BA531">
        <v>11.6</v>
      </c>
      <c r="BB531" t="s">
        <v>83</v>
      </c>
    </row>
    <row r="532" spans="1:54" x14ac:dyDescent="0.4">
      <c r="A532">
        <v>842770</v>
      </c>
      <c r="D532" t="s">
        <v>54</v>
      </c>
      <c r="E532" t="s">
        <v>55</v>
      </c>
      <c r="G532">
        <v>1</v>
      </c>
      <c r="H532" t="s">
        <v>421</v>
      </c>
      <c r="I532" t="s">
        <v>57</v>
      </c>
      <c r="K532" t="s">
        <v>85</v>
      </c>
      <c r="L532" t="s">
        <v>739</v>
      </c>
      <c r="M532" t="s">
        <v>60</v>
      </c>
      <c r="O532" t="s">
        <v>87</v>
      </c>
      <c r="P532" t="s">
        <v>62</v>
      </c>
      <c r="R532" t="s">
        <v>63</v>
      </c>
      <c r="S532" t="s">
        <v>64</v>
      </c>
      <c r="T532">
        <v>227</v>
      </c>
      <c r="U532">
        <v>208.5</v>
      </c>
      <c r="V532">
        <f t="shared" si="16"/>
        <v>217.75</v>
      </c>
      <c r="W532">
        <f t="shared" si="17"/>
        <v>18.5</v>
      </c>
      <c r="X532">
        <v>-111.333336</v>
      </c>
      <c r="Y532">
        <v>35.866669000000002</v>
      </c>
      <c r="Z532" t="s">
        <v>124</v>
      </c>
      <c r="AA532" t="s">
        <v>66</v>
      </c>
      <c r="AB532" t="s">
        <v>583</v>
      </c>
      <c r="AC532" t="s">
        <v>807</v>
      </c>
      <c r="AD532" t="s">
        <v>174</v>
      </c>
      <c r="AF532" t="s">
        <v>1068</v>
      </c>
      <c r="AH532" t="s">
        <v>72</v>
      </c>
      <c r="AI532" t="s">
        <v>740</v>
      </c>
      <c r="AJ532">
        <v>1995</v>
      </c>
      <c r="AK532" t="s">
        <v>2975</v>
      </c>
      <c r="AN532" t="s">
        <v>192</v>
      </c>
      <c r="AO532" t="s">
        <v>160</v>
      </c>
      <c r="AP532" t="s">
        <v>359</v>
      </c>
      <c r="AQ532" t="s">
        <v>2976</v>
      </c>
      <c r="AR532" t="s">
        <v>80</v>
      </c>
      <c r="AS532">
        <v>101</v>
      </c>
      <c r="AT532" t="s">
        <v>81</v>
      </c>
      <c r="AU532">
        <v>-38.659999999999997</v>
      </c>
      <c r="AV532">
        <v>11.6</v>
      </c>
      <c r="AW532" t="s">
        <v>82</v>
      </c>
      <c r="AX532">
        <v>133</v>
      </c>
      <c r="AY532" t="s">
        <v>81</v>
      </c>
      <c r="AZ532">
        <v>-53.5</v>
      </c>
      <c r="BA532">
        <v>11.63</v>
      </c>
      <c r="BB532" t="s">
        <v>83</v>
      </c>
    </row>
    <row r="533" spans="1:54" x14ac:dyDescent="0.4">
      <c r="A533">
        <v>842773</v>
      </c>
      <c r="D533" t="s">
        <v>54</v>
      </c>
      <c r="E533" t="s">
        <v>55</v>
      </c>
      <c r="I533" t="s">
        <v>57</v>
      </c>
      <c r="K533" t="s">
        <v>206</v>
      </c>
      <c r="L533" t="s">
        <v>744</v>
      </c>
      <c r="M533" t="s">
        <v>60</v>
      </c>
      <c r="O533" t="s">
        <v>170</v>
      </c>
      <c r="P533" t="s">
        <v>62</v>
      </c>
      <c r="R533" t="s">
        <v>63</v>
      </c>
      <c r="S533" t="s">
        <v>64</v>
      </c>
      <c r="T533">
        <v>227</v>
      </c>
      <c r="U533">
        <v>208.5</v>
      </c>
      <c r="V533">
        <f t="shared" si="16"/>
        <v>217.75</v>
      </c>
      <c r="W533">
        <f t="shared" si="17"/>
        <v>18.5</v>
      </c>
      <c r="X533">
        <v>-111.333336</v>
      </c>
      <c r="Y533">
        <v>35.866669000000002</v>
      </c>
      <c r="Z533" t="s">
        <v>124</v>
      </c>
      <c r="AA533" t="s">
        <v>66</v>
      </c>
      <c r="AB533" t="s">
        <v>583</v>
      </c>
      <c r="AC533" t="s">
        <v>807</v>
      </c>
      <c r="AD533" t="s">
        <v>174</v>
      </c>
      <c r="AF533" t="s">
        <v>1068</v>
      </c>
      <c r="AH533" t="s">
        <v>72</v>
      </c>
      <c r="AI533" t="s">
        <v>740</v>
      </c>
      <c r="AJ533">
        <v>1995</v>
      </c>
      <c r="AK533" t="s">
        <v>2975</v>
      </c>
      <c r="AN533" t="s">
        <v>192</v>
      </c>
      <c r="AO533" t="s">
        <v>160</v>
      </c>
      <c r="AP533" t="s">
        <v>359</v>
      </c>
      <c r="AQ533" t="s">
        <v>2976</v>
      </c>
      <c r="AR533" t="s">
        <v>80</v>
      </c>
      <c r="AS533">
        <v>101</v>
      </c>
      <c r="AT533" t="s">
        <v>81</v>
      </c>
      <c r="AU533">
        <v>-38.659999999999997</v>
      </c>
      <c r="AV533">
        <v>11.6</v>
      </c>
      <c r="AW533" t="s">
        <v>82</v>
      </c>
      <c r="AX533">
        <v>133</v>
      </c>
      <c r="AY533" t="s">
        <v>81</v>
      </c>
      <c r="AZ533">
        <v>-53.5</v>
      </c>
      <c r="BA533">
        <v>11.63</v>
      </c>
      <c r="BB533" t="s">
        <v>83</v>
      </c>
    </row>
    <row r="534" spans="1:54" x14ac:dyDescent="0.4">
      <c r="A534">
        <v>842775</v>
      </c>
      <c r="D534" t="s">
        <v>54</v>
      </c>
      <c r="E534" t="s">
        <v>55</v>
      </c>
      <c r="G534">
        <v>1</v>
      </c>
      <c r="H534" t="s">
        <v>84</v>
      </c>
      <c r="I534" t="s">
        <v>57</v>
      </c>
      <c r="K534" t="s">
        <v>196</v>
      </c>
      <c r="L534" t="s">
        <v>197</v>
      </c>
      <c r="M534" t="s">
        <v>60</v>
      </c>
      <c r="O534" t="s">
        <v>87</v>
      </c>
      <c r="P534" t="s">
        <v>62</v>
      </c>
      <c r="R534" t="s">
        <v>63</v>
      </c>
      <c r="S534" t="s">
        <v>64</v>
      </c>
      <c r="T534">
        <v>227</v>
      </c>
      <c r="U534">
        <v>208.5</v>
      </c>
      <c r="V534">
        <f t="shared" si="16"/>
        <v>217.75</v>
      </c>
      <c r="W534">
        <f t="shared" si="17"/>
        <v>18.5</v>
      </c>
      <c r="X534">
        <v>-111.333336</v>
      </c>
      <c r="Y534">
        <v>35.866669000000002</v>
      </c>
      <c r="Z534" t="s">
        <v>124</v>
      </c>
      <c r="AA534" t="s">
        <v>66</v>
      </c>
      <c r="AB534" t="s">
        <v>583</v>
      </c>
      <c r="AC534" t="s">
        <v>807</v>
      </c>
      <c r="AD534" t="s">
        <v>174</v>
      </c>
      <c r="AF534" t="s">
        <v>1068</v>
      </c>
      <c r="AH534" t="s">
        <v>72</v>
      </c>
      <c r="AI534" t="s">
        <v>740</v>
      </c>
      <c r="AJ534">
        <v>1995</v>
      </c>
      <c r="AK534" t="s">
        <v>2975</v>
      </c>
      <c r="AN534" t="s">
        <v>192</v>
      </c>
      <c r="AO534" t="s">
        <v>160</v>
      </c>
      <c r="AP534" t="s">
        <v>359</v>
      </c>
      <c r="AQ534" t="s">
        <v>2976</v>
      </c>
      <c r="AR534" t="s">
        <v>80</v>
      </c>
      <c r="AS534">
        <v>101</v>
      </c>
      <c r="AT534" t="s">
        <v>81</v>
      </c>
      <c r="AU534">
        <v>-38.659999999999997</v>
      </c>
      <c r="AV534">
        <v>11.6</v>
      </c>
      <c r="AW534" t="s">
        <v>82</v>
      </c>
      <c r="AX534">
        <v>133</v>
      </c>
      <c r="AY534" t="s">
        <v>81</v>
      </c>
      <c r="AZ534">
        <v>-53.5</v>
      </c>
      <c r="BA534">
        <v>11.63</v>
      </c>
      <c r="BB534" t="s">
        <v>83</v>
      </c>
    </row>
    <row r="535" spans="1:54" x14ac:dyDescent="0.4">
      <c r="A535">
        <v>842795</v>
      </c>
      <c r="D535" t="s">
        <v>54</v>
      </c>
      <c r="G535">
        <v>1</v>
      </c>
      <c r="H535" t="s">
        <v>56</v>
      </c>
      <c r="I535" t="s">
        <v>57</v>
      </c>
      <c r="K535" t="s">
        <v>85</v>
      </c>
      <c r="L535" t="s">
        <v>739</v>
      </c>
      <c r="M535" t="s">
        <v>60</v>
      </c>
      <c r="O535" t="s">
        <v>87</v>
      </c>
      <c r="P535" t="s">
        <v>62</v>
      </c>
      <c r="R535" t="s">
        <v>63</v>
      </c>
      <c r="S535" t="s">
        <v>64</v>
      </c>
      <c r="T535">
        <v>227</v>
      </c>
      <c r="U535">
        <v>208.5</v>
      </c>
      <c r="V535">
        <f t="shared" si="16"/>
        <v>217.75</v>
      </c>
      <c r="W535">
        <f t="shared" si="17"/>
        <v>18.5</v>
      </c>
      <c r="X535">
        <v>-111.349998</v>
      </c>
      <c r="Y535">
        <v>35.866669000000002</v>
      </c>
      <c r="Z535" t="s">
        <v>124</v>
      </c>
      <c r="AA535" t="s">
        <v>66</v>
      </c>
      <c r="AB535" t="s">
        <v>583</v>
      </c>
      <c r="AC535" t="s">
        <v>807</v>
      </c>
      <c r="AD535" t="s">
        <v>174</v>
      </c>
      <c r="AF535" t="s">
        <v>1068</v>
      </c>
      <c r="AH535" t="s">
        <v>72</v>
      </c>
      <c r="AI535" t="s">
        <v>73</v>
      </c>
      <c r="AJ535">
        <v>1947</v>
      </c>
      <c r="AK535" t="s">
        <v>2977</v>
      </c>
      <c r="AN535" t="s">
        <v>192</v>
      </c>
      <c r="AO535" t="s">
        <v>160</v>
      </c>
      <c r="AP535" t="s">
        <v>359</v>
      </c>
      <c r="AQ535" t="s">
        <v>2978</v>
      </c>
      <c r="AR535" t="s">
        <v>80</v>
      </c>
      <c r="AS535">
        <v>101</v>
      </c>
      <c r="AT535" t="s">
        <v>81</v>
      </c>
      <c r="AU535">
        <v>-38.68</v>
      </c>
      <c r="AV535">
        <v>11.6</v>
      </c>
      <c r="AW535" t="s">
        <v>82</v>
      </c>
      <c r="AX535">
        <v>133</v>
      </c>
      <c r="AY535" t="s">
        <v>81</v>
      </c>
      <c r="AZ535">
        <v>-53.52</v>
      </c>
      <c r="BA535">
        <v>11.64</v>
      </c>
      <c r="BB535" t="s">
        <v>83</v>
      </c>
    </row>
    <row r="536" spans="1:54" x14ac:dyDescent="0.4">
      <c r="A536">
        <v>842796</v>
      </c>
      <c r="D536" t="s">
        <v>54</v>
      </c>
      <c r="G536">
        <v>1</v>
      </c>
      <c r="H536" t="s">
        <v>56</v>
      </c>
      <c r="I536" t="s">
        <v>57</v>
      </c>
      <c r="K536" t="s">
        <v>85</v>
      </c>
      <c r="L536" t="s">
        <v>1076</v>
      </c>
      <c r="M536" t="s">
        <v>60</v>
      </c>
      <c r="O536" t="s">
        <v>87</v>
      </c>
      <c r="P536" t="s">
        <v>62</v>
      </c>
      <c r="R536" t="s">
        <v>63</v>
      </c>
      <c r="S536" t="s">
        <v>64</v>
      </c>
      <c r="T536">
        <v>227</v>
      </c>
      <c r="U536">
        <v>208.5</v>
      </c>
      <c r="V536">
        <f t="shared" si="16"/>
        <v>217.75</v>
      </c>
      <c r="W536">
        <f t="shared" si="17"/>
        <v>18.5</v>
      </c>
      <c r="X536">
        <v>-111.349998</v>
      </c>
      <c r="Y536">
        <v>35.866669000000002</v>
      </c>
      <c r="Z536" t="s">
        <v>124</v>
      </c>
      <c r="AA536" t="s">
        <v>66</v>
      </c>
      <c r="AB536" t="s">
        <v>583</v>
      </c>
      <c r="AC536" t="s">
        <v>807</v>
      </c>
      <c r="AD536" t="s">
        <v>174</v>
      </c>
      <c r="AF536" t="s">
        <v>1068</v>
      </c>
      <c r="AH536" t="s">
        <v>11</v>
      </c>
      <c r="AI536" t="s">
        <v>740</v>
      </c>
      <c r="AJ536">
        <v>1995</v>
      </c>
      <c r="AK536" t="s">
        <v>2977</v>
      </c>
      <c r="AN536" t="s">
        <v>192</v>
      </c>
      <c r="AO536" t="s">
        <v>160</v>
      </c>
      <c r="AP536" t="s">
        <v>359</v>
      </c>
      <c r="AQ536" t="s">
        <v>2978</v>
      </c>
      <c r="AR536" t="s">
        <v>80</v>
      </c>
      <c r="AS536">
        <v>101</v>
      </c>
      <c r="AT536" t="s">
        <v>81</v>
      </c>
      <c r="AU536">
        <v>-38.68</v>
      </c>
      <c r="AV536">
        <v>11.6</v>
      </c>
      <c r="AW536" t="s">
        <v>82</v>
      </c>
      <c r="AX536">
        <v>133</v>
      </c>
      <c r="AY536" t="s">
        <v>81</v>
      </c>
      <c r="AZ536">
        <v>-53.52</v>
      </c>
      <c r="BA536">
        <v>11.64</v>
      </c>
      <c r="BB536" t="s">
        <v>83</v>
      </c>
    </row>
    <row r="537" spans="1:54" x14ac:dyDescent="0.4">
      <c r="A537">
        <v>842802</v>
      </c>
      <c r="D537" t="s">
        <v>54</v>
      </c>
      <c r="G537">
        <v>1</v>
      </c>
      <c r="H537" t="s">
        <v>84</v>
      </c>
      <c r="I537" t="s">
        <v>57</v>
      </c>
      <c r="K537" t="s">
        <v>85</v>
      </c>
      <c r="L537" t="s">
        <v>1076</v>
      </c>
      <c r="M537" t="s">
        <v>60</v>
      </c>
      <c r="O537" t="s">
        <v>87</v>
      </c>
      <c r="P537" t="s">
        <v>62</v>
      </c>
      <c r="R537" t="s">
        <v>63</v>
      </c>
      <c r="S537" t="s">
        <v>64</v>
      </c>
      <c r="T537">
        <v>227</v>
      </c>
      <c r="U537">
        <v>208.5</v>
      </c>
      <c r="V537">
        <f t="shared" si="16"/>
        <v>217.75</v>
      </c>
      <c r="W537">
        <f t="shared" si="17"/>
        <v>18.5</v>
      </c>
      <c r="X537">
        <v>-111.400002</v>
      </c>
      <c r="Y537">
        <v>35.933334000000002</v>
      </c>
      <c r="Z537" t="s">
        <v>124</v>
      </c>
      <c r="AA537" t="s">
        <v>66</v>
      </c>
      <c r="AB537" t="s">
        <v>583</v>
      </c>
      <c r="AC537" t="s">
        <v>807</v>
      </c>
      <c r="AD537" t="s">
        <v>174</v>
      </c>
      <c r="AF537" t="s">
        <v>1068</v>
      </c>
      <c r="AH537" t="s">
        <v>11</v>
      </c>
      <c r="AI537" t="s">
        <v>740</v>
      </c>
      <c r="AJ537">
        <v>1995</v>
      </c>
      <c r="AK537" t="s">
        <v>2979</v>
      </c>
      <c r="AM537" t="s">
        <v>2980</v>
      </c>
      <c r="AN537" t="s">
        <v>192</v>
      </c>
      <c r="AO537" t="s">
        <v>160</v>
      </c>
      <c r="AP537" t="s">
        <v>115</v>
      </c>
      <c r="AQ537" t="s">
        <v>2981</v>
      </c>
      <c r="AR537" t="s">
        <v>80</v>
      </c>
      <c r="AS537">
        <v>101</v>
      </c>
      <c r="AT537" t="s">
        <v>81</v>
      </c>
      <c r="AU537">
        <v>-38.700000000000003</v>
      </c>
      <c r="AV537">
        <v>11.67</v>
      </c>
      <c r="AW537" t="s">
        <v>82</v>
      </c>
      <c r="AX537">
        <v>133</v>
      </c>
      <c r="AY537" t="s">
        <v>81</v>
      </c>
      <c r="AZ537">
        <v>-53.54</v>
      </c>
      <c r="BA537">
        <v>11.71</v>
      </c>
      <c r="BB537" t="s">
        <v>83</v>
      </c>
    </row>
    <row r="538" spans="1:54" x14ac:dyDescent="0.4">
      <c r="A538">
        <v>842803</v>
      </c>
      <c r="D538" t="s">
        <v>54</v>
      </c>
      <c r="G538">
        <v>1</v>
      </c>
      <c r="H538" t="s">
        <v>56</v>
      </c>
      <c r="I538" t="s">
        <v>57</v>
      </c>
      <c r="K538" t="s">
        <v>85</v>
      </c>
      <c r="L538" t="s">
        <v>1076</v>
      </c>
      <c r="M538" t="s">
        <v>60</v>
      </c>
      <c r="O538" t="s">
        <v>87</v>
      </c>
      <c r="P538" t="s">
        <v>62</v>
      </c>
      <c r="R538" t="s">
        <v>63</v>
      </c>
      <c r="S538" t="s">
        <v>64</v>
      </c>
      <c r="T538">
        <v>227</v>
      </c>
      <c r="U538">
        <v>208.5</v>
      </c>
      <c r="V538">
        <f t="shared" si="16"/>
        <v>217.75</v>
      </c>
      <c r="W538">
        <f t="shared" si="17"/>
        <v>18.5</v>
      </c>
      <c r="X538">
        <v>-110.966667</v>
      </c>
      <c r="Y538">
        <v>35.866669000000002</v>
      </c>
      <c r="Z538" t="s">
        <v>124</v>
      </c>
      <c r="AA538" t="s">
        <v>66</v>
      </c>
      <c r="AB538" t="s">
        <v>583</v>
      </c>
      <c r="AC538" t="s">
        <v>807</v>
      </c>
      <c r="AD538" t="s">
        <v>174</v>
      </c>
      <c r="AF538" t="s">
        <v>1068</v>
      </c>
      <c r="AH538" t="s">
        <v>11</v>
      </c>
      <c r="AI538" t="s">
        <v>740</v>
      </c>
      <c r="AJ538">
        <v>1995</v>
      </c>
      <c r="AK538" t="s">
        <v>2982</v>
      </c>
      <c r="AM538" t="s">
        <v>2980</v>
      </c>
      <c r="AN538" t="s">
        <v>192</v>
      </c>
      <c r="AO538" t="s">
        <v>160</v>
      </c>
      <c r="AP538" t="s">
        <v>115</v>
      </c>
      <c r="AQ538" t="s">
        <v>2983</v>
      </c>
      <c r="AR538" t="s">
        <v>80</v>
      </c>
      <c r="AS538">
        <v>101</v>
      </c>
      <c r="AT538" t="s">
        <v>81</v>
      </c>
      <c r="AU538">
        <v>-38.369999999999997</v>
      </c>
      <c r="AV538">
        <v>11.53</v>
      </c>
      <c r="AW538" t="s">
        <v>82</v>
      </c>
      <c r="AX538">
        <v>133</v>
      </c>
      <c r="AY538" t="s">
        <v>81</v>
      </c>
      <c r="AZ538">
        <v>-53.2</v>
      </c>
      <c r="BA538">
        <v>11.58</v>
      </c>
      <c r="BB538" t="s">
        <v>83</v>
      </c>
    </row>
    <row r="539" spans="1:54" x14ac:dyDescent="0.4">
      <c r="A539">
        <v>842803</v>
      </c>
      <c r="D539" t="s">
        <v>54</v>
      </c>
      <c r="G539">
        <v>1</v>
      </c>
      <c r="H539" t="s">
        <v>56</v>
      </c>
      <c r="I539" t="s">
        <v>57</v>
      </c>
      <c r="K539" t="s">
        <v>85</v>
      </c>
      <c r="L539" t="s">
        <v>1076</v>
      </c>
      <c r="M539" t="s">
        <v>60</v>
      </c>
      <c r="O539" t="s">
        <v>87</v>
      </c>
      <c r="P539" t="s">
        <v>62</v>
      </c>
      <c r="R539" t="s">
        <v>63</v>
      </c>
      <c r="S539" t="s">
        <v>64</v>
      </c>
      <c r="T539">
        <v>227</v>
      </c>
      <c r="U539">
        <v>208.5</v>
      </c>
      <c r="V539">
        <f t="shared" si="16"/>
        <v>217.75</v>
      </c>
      <c r="W539">
        <f t="shared" si="17"/>
        <v>18.5</v>
      </c>
      <c r="X539">
        <v>-110.966667</v>
      </c>
      <c r="Y539">
        <v>35.866669000000002</v>
      </c>
      <c r="Z539" t="s">
        <v>124</v>
      </c>
      <c r="AA539" t="s">
        <v>66</v>
      </c>
      <c r="AB539" t="s">
        <v>583</v>
      </c>
      <c r="AC539" t="s">
        <v>807</v>
      </c>
      <c r="AD539" t="s">
        <v>174</v>
      </c>
      <c r="AF539" t="s">
        <v>1068</v>
      </c>
      <c r="AH539" t="s">
        <v>11</v>
      </c>
      <c r="AI539" t="s">
        <v>740</v>
      </c>
      <c r="AJ539">
        <v>1995</v>
      </c>
      <c r="AK539" t="s">
        <v>2982</v>
      </c>
      <c r="AM539" t="s">
        <v>2980</v>
      </c>
      <c r="AN539" t="s">
        <v>192</v>
      </c>
      <c r="AO539" t="s">
        <v>160</v>
      </c>
      <c r="AP539" t="s">
        <v>115</v>
      </c>
      <c r="AQ539" t="s">
        <v>2983</v>
      </c>
      <c r="AR539" t="s">
        <v>80</v>
      </c>
      <c r="AS539">
        <v>101</v>
      </c>
      <c r="AT539" t="s">
        <v>81</v>
      </c>
      <c r="AU539">
        <v>-38.369999999999997</v>
      </c>
      <c r="AV539">
        <v>11.53</v>
      </c>
      <c r="AW539" t="s">
        <v>82</v>
      </c>
      <c r="AX539">
        <v>133</v>
      </c>
      <c r="AY539" t="s">
        <v>81</v>
      </c>
      <c r="AZ539">
        <v>-53.2</v>
      </c>
      <c r="BA539">
        <v>11.58</v>
      </c>
      <c r="BB539" t="s">
        <v>83</v>
      </c>
    </row>
    <row r="540" spans="1:54" x14ac:dyDescent="0.4">
      <c r="A540">
        <v>842804</v>
      </c>
      <c r="D540" t="s">
        <v>54</v>
      </c>
      <c r="E540" t="s">
        <v>55</v>
      </c>
      <c r="G540">
        <v>1</v>
      </c>
      <c r="H540" t="s">
        <v>56</v>
      </c>
      <c r="I540" t="s">
        <v>57</v>
      </c>
      <c r="K540" t="s">
        <v>141</v>
      </c>
      <c r="L540" t="s">
        <v>990</v>
      </c>
      <c r="M540" t="s">
        <v>60</v>
      </c>
      <c r="O540" t="s">
        <v>87</v>
      </c>
      <c r="P540" t="s">
        <v>62</v>
      </c>
      <c r="R540" t="s">
        <v>63</v>
      </c>
      <c r="S540" t="s">
        <v>64</v>
      </c>
      <c r="T540">
        <v>227</v>
      </c>
      <c r="U540">
        <v>208.5</v>
      </c>
      <c r="V540">
        <f t="shared" si="16"/>
        <v>217.75</v>
      </c>
      <c r="W540">
        <f t="shared" si="17"/>
        <v>18.5</v>
      </c>
      <c r="X540">
        <v>-111.300568</v>
      </c>
      <c r="Y540">
        <v>35.842551999999998</v>
      </c>
      <c r="Z540" t="s">
        <v>124</v>
      </c>
      <c r="AA540" t="s">
        <v>66</v>
      </c>
      <c r="AB540" t="s">
        <v>583</v>
      </c>
      <c r="AC540" t="s">
        <v>807</v>
      </c>
      <c r="AD540" t="s">
        <v>174</v>
      </c>
      <c r="AF540" t="s">
        <v>1068</v>
      </c>
      <c r="AH540" t="s">
        <v>72</v>
      </c>
      <c r="AI540" t="s">
        <v>73</v>
      </c>
      <c r="AJ540">
        <v>1952</v>
      </c>
      <c r="AK540" t="s">
        <v>2984</v>
      </c>
      <c r="AM540" t="s">
        <v>2985</v>
      </c>
      <c r="AN540" t="s">
        <v>192</v>
      </c>
      <c r="AO540">
        <v>6</v>
      </c>
      <c r="AP540" t="s">
        <v>115</v>
      </c>
      <c r="AQ540" t="s">
        <v>2984</v>
      </c>
      <c r="AR540" t="s">
        <v>80</v>
      </c>
      <c r="AS540">
        <v>101</v>
      </c>
      <c r="AT540" t="s">
        <v>81</v>
      </c>
      <c r="AU540">
        <v>-38.64</v>
      </c>
      <c r="AV540">
        <v>11.57</v>
      </c>
      <c r="AW540" t="s">
        <v>82</v>
      </c>
      <c r="AX540">
        <v>133</v>
      </c>
      <c r="AY540" t="s">
        <v>81</v>
      </c>
      <c r="AZ540">
        <v>-53.48</v>
      </c>
      <c r="BA540">
        <v>11.6</v>
      </c>
      <c r="BB540" t="s">
        <v>83</v>
      </c>
    </row>
    <row r="541" spans="1:54" x14ac:dyDescent="0.4">
      <c r="A541">
        <v>842807</v>
      </c>
      <c r="D541" t="s">
        <v>54</v>
      </c>
      <c r="G541">
        <v>1</v>
      </c>
      <c r="H541" t="s">
        <v>56</v>
      </c>
      <c r="I541" t="s">
        <v>57</v>
      </c>
      <c r="K541" t="s">
        <v>85</v>
      </c>
      <c r="L541" t="s">
        <v>845</v>
      </c>
      <c r="M541" t="s">
        <v>60</v>
      </c>
      <c r="O541" t="s">
        <v>87</v>
      </c>
      <c r="P541" t="s">
        <v>62</v>
      </c>
      <c r="R541" t="s">
        <v>63</v>
      </c>
      <c r="S541" t="s">
        <v>64</v>
      </c>
      <c r="T541">
        <v>227</v>
      </c>
      <c r="U541">
        <v>208.5</v>
      </c>
      <c r="V541">
        <f t="shared" si="16"/>
        <v>217.75</v>
      </c>
      <c r="W541">
        <f t="shared" si="17"/>
        <v>18.5</v>
      </c>
      <c r="X541">
        <v>-111.349998</v>
      </c>
      <c r="Y541">
        <v>35.866669000000002</v>
      </c>
      <c r="Z541" t="s">
        <v>124</v>
      </c>
      <c r="AA541" t="s">
        <v>66</v>
      </c>
      <c r="AB541" t="s">
        <v>583</v>
      </c>
      <c r="AC541" t="s">
        <v>807</v>
      </c>
      <c r="AD541" t="s">
        <v>174</v>
      </c>
      <c r="AF541" t="s">
        <v>749</v>
      </c>
      <c r="AH541" t="s">
        <v>72</v>
      </c>
      <c r="AI541" t="s">
        <v>2488</v>
      </c>
      <c r="AJ541">
        <v>1916</v>
      </c>
      <c r="AK541" t="s">
        <v>2986</v>
      </c>
      <c r="AM541" t="s">
        <v>2987</v>
      </c>
      <c r="AN541" t="s">
        <v>192</v>
      </c>
      <c r="AO541" t="s">
        <v>160</v>
      </c>
      <c r="AP541" t="s">
        <v>78</v>
      </c>
      <c r="AQ541" t="s">
        <v>2986</v>
      </c>
      <c r="AR541" t="s">
        <v>80</v>
      </c>
      <c r="AS541">
        <v>101</v>
      </c>
      <c r="AT541" t="s">
        <v>81</v>
      </c>
      <c r="AU541">
        <v>-38.68</v>
      </c>
      <c r="AV541">
        <v>11.6</v>
      </c>
      <c r="AW541" t="s">
        <v>82</v>
      </c>
      <c r="AX541">
        <v>133</v>
      </c>
      <c r="AY541" t="s">
        <v>81</v>
      </c>
      <c r="AZ541">
        <v>-53.52</v>
      </c>
      <c r="BA541">
        <v>11.64</v>
      </c>
      <c r="BB541" t="s">
        <v>83</v>
      </c>
    </row>
    <row r="542" spans="1:54" x14ac:dyDescent="0.4">
      <c r="A542">
        <v>842807</v>
      </c>
      <c r="D542" t="s">
        <v>54</v>
      </c>
      <c r="G542">
        <v>1</v>
      </c>
      <c r="H542" t="s">
        <v>56</v>
      </c>
      <c r="I542" t="s">
        <v>57</v>
      </c>
      <c r="K542" t="s">
        <v>85</v>
      </c>
      <c r="L542" t="s">
        <v>845</v>
      </c>
      <c r="M542" t="s">
        <v>60</v>
      </c>
      <c r="O542" t="s">
        <v>87</v>
      </c>
      <c r="P542" t="s">
        <v>62</v>
      </c>
      <c r="R542" t="s">
        <v>63</v>
      </c>
      <c r="S542" t="s">
        <v>64</v>
      </c>
      <c r="T542">
        <v>227</v>
      </c>
      <c r="U542">
        <v>208.5</v>
      </c>
      <c r="V542">
        <f t="shared" si="16"/>
        <v>217.75</v>
      </c>
      <c r="W542">
        <f t="shared" si="17"/>
        <v>18.5</v>
      </c>
      <c r="X542">
        <v>-111.349998</v>
      </c>
      <c r="Y542">
        <v>35.866669000000002</v>
      </c>
      <c r="Z542" t="s">
        <v>124</v>
      </c>
      <c r="AA542" t="s">
        <v>66</v>
      </c>
      <c r="AB542" t="s">
        <v>583</v>
      </c>
      <c r="AC542" t="s">
        <v>807</v>
      </c>
      <c r="AD542" t="s">
        <v>174</v>
      </c>
      <c r="AF542" t="s">
        <v>749</v>
      </c>
      <c r="AH542" t="s">
        <v>72</v>
      </c>
      <c r="AI542" t="s">
        <v>2488</v>
      </c>
      <c r="AJ542">
        <v>1916</v>
      </c>
      <c r="AK542" t="s">
        <v>2986</v>
      </c>
      <c r="AM542" t="s">
        <v>2987</v>
      </c>
      <c r="AN542" t="s">
        <v>192</v>
      </c>
      <c r="AO542" t="s">
        <v>160</v>
      </c>
      <c r="AP542" t="s">
        <v>78</v>
      </c>
      <c r="AQ542" t="s">
        <v>2986</v>
      </c>
      <c r="AR542" t="s">
        <v>80</v>
      </c>
      <c r="AS542">
        <v>101</v>
      </c>
      <c r="AT542" t="s">
        <v>81</v>
      </c>
      <c r="AU542">
        <v>-38.68</v>
      </c>
      <c r="AV542">
        <v>11.6</v>
      </c>
      <c r="AW542" t="s">
        <v>82</v>
      </c>
      <c r="AX542">
        <v>133</v>
      </c>
      <c r="AY542" t="s">
        <v>81</v>
      </c>
      <c r="AZ542">
        <v>-53.52</v>
      </c>
      <c r="BA542">
        <v>11.64</v>
      </c>
      <c r="BB542" t="s">
        <v>83</v>
      </c>
    </row>
    <row r="543" spans="1:54" x14ac:dyDescent="0.4">
      <c r="A543">
        <v>842807</v>
      </c>
      <c r="D543" t="s">
        <v>54</v>
      </c>
      <c r="G543">
        <v>1</v>
      </c>
      <c r="H543" t="s">
        <v>56</v>
      </c>
      <c r="I543" t="s">
        <v>57</v>
      </c>
      <c r="K543" t="s">
        <v>85</v>
      </c>
      <c r="L543" t="s">
        <v>845</v>
      </c>
      <c r="M543" t="s">
        <v>60</v>
      </c>
      <c r="O543" t="s">
        <v>87</v>
      </c>
      <c r="P543" t="s">
        <v>62</v>
      </c>
      <c r="R543" t="s">
        <v>63</v>
      </c>
      <c r="S543" t="s">
        <v>64</v>
      </c>
      <c r="T543">
        <v>227</v>
      </c>
      <c r="U543">
        <v>208.5</v>
      </c>
      <c r="V543">
        <f t="shared" si="16"/>
        <v>217.75</v>
      </c>
      <c r="W543">
        <f t="shared" si="17"/>
        <v>18.5</v>
      </c>
      <c r="X543">
        <v>-111.349998</v>
      </c>
      <c r="Y543">
        <v>35.866669000000002</v>
      </c>
      <c r="Z543" t="s">
        <v>124</v>
      </c>
      <c r="AA543" t="s">
        <v>66</v>
      </c>
      <c r="AB543" t="s">
        <v>583</v>
      </c>
      <c r="AC543" t="s">
        <v>807</v>
      </c>
      <c r="AD543" t="s">
        <v>174</v>
      </c>
      <c r="AF543" t="s">
        <v>749</v>
      </c>
      <c r="AH543" t="s">
        <v>72</v>
      </c>
      <c r="AI543" t="s">
        <v>2488</v>
      </c>
      <c r="AJ543">
        <v>1916</v>
      </c>
      <c r="AK543" t="s">
        <v>2986</v>
      </c>
      <c r="AM543" t="s">
        <v>2987</v>
      </c>
      <c r="AN543" t="s">
        <v>192</v>
      </c>
      <c r="AO543" t="s">
        <v>160</v>
      </c>
      <c r="AP543" t="s">
        <v>78</v>
      </c>
      <c r="AQ543" t="s">
        <v>2986</v>
      </c>
      <c r="AR543" t="s">
        <v>80</v>
      </c>
      <c r="AS543">
        <v>101</v>
      </c>
      <c r="AT543" t="s">
        <v>81</v>
      </c>
      <c r="AU543">
        <v>-38.68</v>
      </c>
      <c r="AV543">
        <v>11.6</v>
      </c>
      <c r="AW543" t="s">
        <v>82</v>
      </c>
      <c r="AX543">
        <v>133</v>
      </c>
      <c r="AY543" t="s">
        <v>81</v>
      </c>
      <c r="AZ543">
        <v>-53.52</v>
      </c>
      <c r="BA543">
        <v>11.64</v>
      </c>
      <c r="BB543" t="s">
        <v>83</v>
      </c>
    </row>
    <row r="544" spans="1:54" x14ac:dyDescent="0.4">
      <c r="A544">
        <v>842874</v>
      </c>
      <c r="D544" t="s">
        <v>54</v>
      </c>
      <c r="G544">
        <v>1</v>
      </c>
      <c r="H544" t="s">
        <v>56</v>
      </c>
      <c r="I544" t="s">
        <v>57</v>
      </c>
      <c r="K544" t="s">
        <v>85</v>
      </c>
      <c r="L544" t="s">
        <v>2492</v>
      </c>
      <c r="M544" t="s">
        <v>60</v>
      </c>
      <c r="O544" t="s">
        <v>87</v>
      </c>
      <c r="P544" t="s">
        <v>62</v>
      </c>
      <c r="R544" t="s">
        <v>63</v>
      </c>
      <c r="S544" t="s">
        <v>64</v>
      </c>
      <c r="T544">
        <v>227</v>
      </c>
      <c r="U544">
        <v>208.5</v>
      </c>
      <c r="V544">
        <f t="shared" si="16"/>
        <v>217.75</v>
      </c>
      <c r="W544">
        <f t="shared" si="17"/>
        <v>18.5</v>
      </c>
      <c r="X544">
        <v>-111.349998</v>
      </c>
      <c r="Y544">
        <v>35.866669000000002</v>
      </c>
      <c r="Z544" t="s">
        <v>124</v>
      </c>
      <c r="AA544" t="s">
        <v>66</v>
      </c>
      <c r="AB544" t="s">
        <v>583</v>
      </c>
      <c r="AC544" t="s">
        <v>807</v>
      </c>
      <c r="AD544" t="s">
        <v>174</v>
      </c>
      <c r="AF544" t="s">
        <v>749</v>
      </c>
      <c r="AH544" t="s">
        <v>11</v>
      </c>
      <c r="AI544" t="s">
        <v>2488</v>
      </c>
      <c r="AJ544">
        <v>1916</v>
      </c>
      <c r="AK544" t="s">
        <v>2986</v>
      </c>
      <c r="AM544" t="s">
        <v>2987</v>
      </c>
      <c r="AN544" t="s">
        <v>192</v>
      </c>
      <c r="AO544" t="s">
        <v>160</v>
      </c>
      <c r="AP544" t="s">
        <v>78</v>
      </c>
      <c r="AQ544" t="s">
        <v>2986</v>
      </c>
      <c r="AR544" t="s">
        <v>80</v>
      </c>
      <c r="AS544">
        <v>101</v>
      </c>
      <c r="AT544" t="s">
        <v>81</v>
      </c>
      <c r="AU544">
        <v>-38.68</v>
      </c>
      <c r="AV544">
        <v>11.6</v>
      </c>
      <c r="AW544" t="s">
        <v>82</v>
      </c>
      <c r="AX544">
        <v>133</v>
      </c>
      <c r="AY544" t="s">
        <v>81</v>
      </c>
      <c r="AZ544">
        <v>-53.52</v>
      </c>
      <c r="BA544">
        <v>11.64</v>
      </c>
      <c r="BB544" t="s">
        <v>83</v>
      </c>
    </row>
    <row r="545" spans="1:54" x14ac:dyDescent="0.4">
      <c r="A545">
        <v>842875</v>
      </c>
      <c r="D545" t="s">
        <v>54</v>
      </c>
      <c r="E545" t="s">
        <v>55</v>
      </c>
      <c r="G545">
        <v>1</v>
      </c>
      <c r="H545" t="s">
        <v>56</v>
      </c>
      <c r="I545" t="s">
        <v>57</v>
      </c>
      <c r="K545" t="s">
        <v>206</v>
      </c>
      <c r="L545" t="s">
        <v>744</v>
      </c>
      <c r="M545" t="s">
        <v>60</v>
      </c>
      <c r="O545" t="s">
        <v>170</v>
      </c>
      <c r="P545" t="s">
        <v>62</v>
      </c>
      <c r="R545" t="s">
        <v>63</v>
      </c>
      <c r="S545" t="s">
        <v>64</v>
      </c>
      <c r="T545">
        <v>227</v>
      </c>
      <c r="U545">
        <v>208.5</v>
      </c>
      <c r="V545">
        <f t="shared" si="16"/>
        <v>217.75</v>
      </c>
      <c r="W545">
        <f t="shared" si="17"/>
        <v>18.5</v>
      </c>
      <c r="X545">
        <v>-108.533333</v>
      </c>
      <c r="Y545">
        <v>35.466667000000001</v>
      </c>
      <c r="Z545" t="s">
        <v>124</v>
      </c>
      <c r="AA545" t="s">
        <v>66</v>
      </c>
      <c r="AB545" t="s">
        <v>846</v>
      </c>
      <c r="AC545" t="s">
        <v>1308</v>
      </c>
      <c r="AD545" t="s">
        <v>174</v>
      </c>
      <c r="AF545" t="s">
        <v>1309</v>
      </c>
      <c r="AH545" t="s">
        <v>72</v>
      </c>
      <c r="AI545" t="s">
        <v>2988</v>
      </c>
      <c r="AJ545">
        <v>1916</v>
      </c>
      <c r="AK545" t="s">
        <v>1311</v>
      </c>
      <c r="AM545" t="s">
        <v>2989</v>
      </c>
      <c r="AN545" t="s">
        <v>114</v>
      </c>
      <c r="AO545" t="s">
        <v>160</v>
      </c>
      <c r="AP545" t="s">
        <v>115</v>
      </c>
      <c r="AR545" t="s">
        <v>80</v>
      </c>
      <c r="AS545">
        <v>101</v>
      </c>
      <c r="AT545" t="s">
        <v>81</v>
      </c>
      <c r="AU545">
        <v>-36.479999999999997</v>
      </c>
      <c r="AV545">
        <v>10.74</v>
      </c>
      <c r="AW545" t="s">
        <v>82</v>
      </c>
      <c r="AX545">
        <v>133</v>
      </c>
      <c r="AY545" t="s">
        <v>81</v>
      </c>
      <c r="AZ545">
        <v>-51.29</v>
      </c>
      <c r="BA545">
        <v>10.84</v>
      </c>
      <c r="BB545" t="s">
        <v>83</v>
      </c>
    </row>
    <row r="546" spans="1:54" x14ac:dyDescent="0.4">
      <c r="A546">
        <v>842947</v>
      </c>
      <c r="D546" t="s">
        <v>54</v>
      </c>
      <c r="E546" t="s">
        <v>55</v>
      </c>
      <c r="G546">
        <v>1</v>
      </c>
      <c r="H546" t="s">
        <v>56</v>
      </c>
      <c r="I546" t="s">
        <v>57</v>
      </c>
      <c r="K546" t="s">
        <v>85</v>
      </c>
      <c r="L546" t="s">
        <v>845</v>
      </c>
      <c r="M546" t="s">
        <v>60</v>
      </c>
      <c r="O546" t="s">
        <v>87</v>
      </c>
      <c r="P546" t="s">
        <v>62</v>
      </c>
      <c r="R546" t="s">
        <v>63</v>
      </c>
      <c r="S546" t="s">
        <v>64</v>
      </c>
      <c r="T546">
        <v>227</v>
      </c>
      <c r="U546">
        <v>208.5</v>
      </c>
      <c r="V546">
        <f t="shared" si="16"/>
        <v>217.75</v>
      </c>
      <c r="W546">
        <f t="shared" si="17"/>
        <v>18.5</v>
      </c>
      <c r="X546">
        <v>-109.73333</v>
      </c>
      <c r="Y546">
        <v>35.049999</v>
      </c>
      <c r="Z546" t="s">
        <v>124</v>
      </c>
      <c r="AA546" t="s">
        <v>66</v>
      </c>
      <c r="AB546" t="s">
        <v>583</v>
      </c>
      <c r="AC546" t="s">
        <v>735</v>
      </c>
      <c r="AD546" t="s">
        <v>174</v>
      </c>
      <c r="AF546" t="s">
        <v>749</v>
      </c>
      <c r="AH546" t="s">
        <v>72</v>
      </c>
      <c r="AI546" t="s">
        <v>2488</v>
      </c>
      <c r="AJ546">
        <v>1928</v>
      </c>
      <c r="AK546" t="s">
        <v>2991</v>
      </c>
      <c r="AM546" t="s">
        <v>2992</v>
      </c>
      <c r="AN546" t="s">
        <v>192</v>
      </c>
      <c r="AO546" t="s">
        <v>160</v>
      </c>
      <c r="AP546" t="s">
        <v>115</v>
      </c>
      <c r="AQ546" t="s">
        <v>2993</v>
      </c>
      <c r="AR546" t="s">
        <v>80</v>
      </c>
      <c r="AS546">
        <v>101</v>
      </c>
      <c r="AT546" t="s">
        <v>81</v>
      </c>
      <c r="AU546">
        <v>-37.54</v>
      </c>
      <c r="AV546">
        <v>10.53</v>
      </c>
      <c r="AW546" t="s">
        <v>82</v>
      </c>
      <c r="AX546">
        <v>133</v>
      </c>
      <c r="AY546" t="s">
        <v>81</v>
      </c>
      <c r="AZ546">
        <v>-52.34</v>
      </c>
      <c r="BA546">
        <v>10.6</v>
      </c>
      <c r="BB546" t="s">
        <v>83</v>
      </c>
    </row>
    <row r="547" spans="1:54" x14ac:dyDescent="0.4">
      <c r="A547">
        <v>842957</v>
      </c>
      <c r="D547" t="s">
        <v>54</v>
      </c>
      <c r="G547">
        <v>1</v>
      </c>
      <c r="H547" t="s">
        <v>84</v>
      </c>
      <c r="I547" t="s">
        <v>57</v>
      </c>
      <c r="K547" t="s">
        <v>206</v>
      </c>
      <c r="L547" t="s">
        <v>207</v>
      </c>
      <c r="M547" t="s">
        <v>60</v>
      </c>
      <c r="O547" t="s">
        <v>170</v>
      </c>
      <c r="P547" t="s">
        <v>62</v>
      </c>
      <c r="R547" t="s">
        <v>63</v>
      </c>
      <c r="S547" t="s">
        <v>64</v>
      </c>
      <c r="T547">
        <v>227</v>
      </c>
      <c r="U547">
        <v>208.5</v>
      </c>
      <c r="V547">
        <f t="shared" si="16"/>
        <v>217.75</v>
      </c>
      <c r="W547">
        <f t="shared" si="17"/>
        <v>18.5</v>
      </c>
      <c r="X547">
        <v>-106.849998</v>
      </c>
      <c r="Y547">
        <v>34.266666000000001</v>
      </c>
      <c r="Z547" t="s">
        <v>432</v>
      </c>
      <c r="AA547" t="s">
        <v>66</v>
      </c>
      <c r="AB547" t="s">
        <v>846</v>
      </c>
      <c r="AC547" t="s">
        <v>2994</v>
      </c>
      <c r="AD547" t="s">
        <v>2995</v>
      </c>
      <c r="AE547" t="s">
        <v>174</v>
      </c>
      <c r="AH547" t="s">
        <v>11</v>
      </c>
      <c r="AI547" t="s">
        <v>1062</v>
      </c>
      <c r="AJ547">
        <v>1994</v>
      </c>
      <c r="AK547" t="s">
        <v>2996</v>
      </c>
      <c r="AN547" t="s">
        <v>114</v>
      </c>
      <c r="AO547" t="s">
        <v>160</v>
      </c>
      <c r="AP547" t="s">
        <v>115</v>
      </c>
      <c r="AR547" t="s">
        <v>80</v>
      </c>
      <c r="AS547">
        <v>101</v>
      </c>
      <c r="AT547" t="s">
        <v>81</v>
      </c>
      <c r="AU547">
        <v>-35.33</v>
      </c>
      <c r="AV547">
        <v>9.3000000000000007</v>
      </c>
      <c r="AW547" t="s">
        <v>82</v>
      </c>
      <c r="AX547">
        <v>101</v>
      </c>
      <c r="AY547" t="s">
        <v>81</v>
      </c>
      <c r="AZ547">
        <v>-46.14</v>
      </c>
      <c r="BA547">
        <v>9.39</v>
      </c>
      <c r="BB547" t="s">
        <v>83</v>
      </c>
    </row>
    <row r="548" spans="1:54" x14ac:dyDescent="0.4">
      <c r="A548">
        <v>842967</v>
      </c>
      <c r="D548" t="s">
        <v>54</v>
      </c>
      <c r="G548">
        <v>1</v>
      </c>
      <c r="H548" t="s">
        <v>84</v>
      </c>
      <c r="I548" t="s">
        <v>57</v>
      </c>
      <c r="K548" t="s">
        <v>85</v>
      </c>
      <c r="L548" t="s">
        <v>86</v>
      </c>
      <c r="M548" t="s">
        <v>60</v>
      </c>
      <c r="O548" t="s">
        <v>87</v>
      </c>
      <c r="P548" t="s">
        <v>62</v>
      </c>
      <c r="R548" t="s">
        <v>63</v>
      </c>
      <c r="S548" t="s">
        <v>64</v>
      </c>
      <c r="T548">
        <v>227</v>
      </c>
      <c r="U548">
        <v>208.5</v>
      </c>
      <c r="V548">
        <f t="shared" si="16"/>
        <v>217.75</v>
      </c>
      <c r="W548">
        <f t="shared" si="17"/>
        <v>18.5</v>
      </c>
      <c r="X548">
        <v>-107.73333</v>
      </c>
      <c r="Y548">
        <v>34.900002000000001</v>
      </c>
      <c r="Z548" t="s">
        <v>124</v>
      </c>
      <c r="AA548" t="s">
        <v>66</v>
      </c>
      <c r="AB548" t="s">
        <v>846</v>
      </c>
      <c r="AC548" t="s">
        <v>3003</v>
      </c>
      <c r="AD548" t="s">
        <v>1309</v>
      </c>
      <c r="AE548" t="s">
        <v>174</v>
      </c>
      <c r="AH548" t="s">
        <v>11</v>
      </c>
      <c r="AI548" t="s">
        <v>175</v>
      </c>
      <c r="AJ548">
        <v>1999</v>
      </c>
      <c r="AK548" t="s">
        <v>3004</v>
      </c>
      <c r="AN548" t="s">
        <v>192</v>
      </c>
      <c r="AO548" t="s">
        <v>160</v>
      </c>
      <c r="AP548" t="s">
        <v>115</v>
      </c>
      <c r="AR548" t="s">
        <v>80</v>
      </c>
      <c r="AS548">
        <v>101</v>
      </c>
      <c r="AT548" t="s">
        <v>81</v>
      </c>
      <c r="AU548">
        <v>-35.94</v>
      </c>
      <c r="AV548">
        <v>10.06</v>
      </c>
      <c r="AW548" t="s">
        <v>82</v>
      </c>
      <c r="AX548">
        <v>133</v>
      </c>
      <c r="AY548" t="s">
        <v>81</v>
      </c>
      <c r="AZ548">
        <v>-50.73</v>
      </c>
      <c r="BA548">
        <v>10.17</v>
      </c>
      <c r="BB548" t="s">
        <v>83</v>
      </c>
    </row>
    <row r="549" spans="1:54" x14ac:dyDescent="0.4">
      <c r="A549">
        <v>842973</v>
      </c>
      <c r="D549" t="s">
        <v>54</v>
      </c>
      <c r="G549">
        <v>4</v>
      </c>
      <c r="H549" t="s">
        <v>84</v>
      </c>
      <c r="I549" t="s">
        <v>57</v>
      </c>
      <c r="K549" t="s">
        <v>206</v>
      </c>
      <c r="L549" t="s">
        <v>1307</v>
      </c>
      <c r="M549" t="s">
        <v>60</v>
      </c>
      <c r="O549" t="s">
        <v>170</v>
      </c>
      <c r="P549" t="s">
        <v>62</v>
      </c>
      <c r="R549" t="s">
        <v>63</v>
      </c>
      <c r="S549" t="s">
        <v>64</v>
      </c>
      <c r="T549">
        <v>227</v>
      </c>
      <c r="U549">
        <v>208.5</v>
      </c>
      <c r="V549">
        <f t="shared" si="16"/>
        <v>217.75</v>
      </c>
      <c r="W549">
        <f t="shared" si="17"/>
        <v>18.5</v>
      </c>
      <c r="X549">
        <v>-107.73333</v>
      </c>
      <c r="Y549">
        <v>34.900002000000001</v>
      </c>
      <c r="Z549" t="s">
        <v>124</v>
      </c>
      <c r="AA549" t="s">
        <v>66</v>
      </c>
      <c r="AB549" t="s">
        <v>846</v>
      </c>
      <c r="AC549" t="s">
        <v>3003</v>
      </c>
      <c r="AD549" t="s">
        <v>1309</v>
      </c>
      <c r="AE549" t="s">
        <v>174</v>
      </c>
      <c r="AH549" t="s">
        <v>11</v>
      </c>
      <c r="AI549" t="s">
        <v>175</v>
      </c>
      <c r="AJ549">
        <v>1999</v>
      </c>
      <c r="AK549" t="s">
        <v>3005</v>
      </c>
      <c r="AN549" t="s">
        <v>192</v>
      </c>
      <c r="AO549" t="s">
        <v>160</v>
      </c>
      <c r="AP549" t="s">
        <v>115</v>
      </c>
      <c r="AR549" t="s">
        <v>80</v>
      </c>
      <c r="AS549">
        <v>101</v>
      </c>
      <c r="AT549" t="s">
        <v>81</v>
      </c>
      <c r="AU549">
        <v>-35.94</v>
      </c>
      <c r="AV549">
        <v>10.06</v>
      </c>
      <c r="AW549" t="s">
        <v>82</v>
      </c>
      <c r="AX549">
        <v>133</v>
      </c>
      <c r="AY549" t="s">
        <v>81</v>
      </c>
      <c r="AZ549">
        <v>-50.73</v>
      </c>
      <c r="BA549">
        <v>10.17</v>
      </c>
      <c r="BB549" t="s">
        <v>83</v>
      </c>
    </row>
    <row r="550" spans="1:54" x14ac:dyDescent="0.4">
      <c r="A550">
        <v>842984</v>
      </c>
      <c r="D550" t="s">
        <v>54</v>
      </c>
      <c r="E550" t="s">
        <v>55</v>
      </c>
      <c r="G550">
        <v>1</v>
      </c>
      <c r="H550" t="s">
        <v>56</v>
      </c>
      <c r="I550" t="s">
        <v>57</v>
      </c>
      <c r="K550" t="s">
        <v>206</v>
      </c>
      <c r="L550" t="s">
        <v>851</v>
      </c>
      <c r="M550" t="s">
        <v>60</v>
      </c>
      <c r="O550" t="s">
        <v>170</v>
      </c>
      <c r="P550" t="s">
        <v>62</v>
      </c>
      <c r="R550" t="s">
        <v>63</v>
      </c>
      <c r="S550" t="s">
        <v>64</v>
      </c>
      <c r="T550">
        <v>227</v>
      </c>
      <c r="U550">
        <v>208.5</v>
      </c>
      <c r="V550">
        <f t="shared" si="16"/>
        <v>217.75</v>
      </c>
      <c r="W550">
        <f t="shared" si="17"/>
        <v>18.5</v>
      </c>
      <c r="X550">
        <v>-105.75</v>
      </c>
      <c r="Y550">
        <v>35.533332999999999</v>
      </c>
      <c r="Z550" t="s">
        <v>124</v>
      </c>
      <c r="AA550" t="s">
        <v>66</v>
      </c>
      <c r="AB550" t="s">
        <v>846</v>
      </c>
      <c r="AC550" t="s">
        <v>1086</v>
      </c>
      <c r="AD550" t="s">
        <v>1087</v>
      </c>
      <c r="AE550" t="s">
        <v>174</v>
      </c>
      <c r="AF550" t="s">
        <v>1088</v>
      </c>
      <c r="AH550" t="s">
        <v>72</v>
      </c>
      <c r="AI550" t="s">
        <v>2483</v>
      </c>
      <c r="AJ550">
        <v>2002</v>
      </c>
      <c r="AK550" t="s">
        <v>3010</v>
      </c>
      <c r="AM550" t="s">
        <v>3011</v>
      </c>
      <c r="AN550" t="s">
        <v>192</v>
      </c>
      <c r="AO550" t="s">
        <v>160</v>
      </c>
      <c r="AP550" t="s">
        <v>115</v>
      </c>
      <c r="AQ550" t="s">
        <v>3012</v>
      </c>
      <c r="AR550" t="s">
        <v>80</v>
      </c>
      <c r="AS550">
        <v>101</v>
      </c>
      <c r="AT550" t="s">
        <v>81</v>
      </c>
      <c r="AU550">
        <v>-34.200000000000003</v>
      </c>
      <c r="AV550">
        <v>10.39</v>
      </c>
      <c r="AW550" t="s">
        <v>82</v>
      </c>
      <c r="AX550">
        <v>101</v>
      </c>
      <c r="AY550" t="s">
        <v>81</v>
      </c>
      <c r="AZ550">
        <v>-45.05</v>
      </c>
      <c r="BA550">
        <v>10.52</v>
      </c>
      <c r="BB550" t="s">
        <v>83</v>
      </c>
    </row>
    <row r="551" spans="1:54" x14ac:dyDescent="0.4">
      <c r="A551">
        <v>842985</v>
      </c>
      <c r="D551" t="s">
        <v>54</v>
      </c>
      <c r="G551">
        <v>1</v>
      </c>
      <c r="H551" t="s">
        <v>84</v>
      </c>
      <c r="I551" t="s">
        <v>57</v>
      </c>
      <c r="K551" t="s">
        <v>206</v>
      </c>
      <c r="L551" t="s">
        <v>851</v>
      </c>
      <c r="M551" t="s">
        <v>60</v>
      </c>
      <c r="O551" t="s">
        <v>170</v>
      </c>
      <c r="P551" t="s">
        <v>62</v>
      </c>
      <c r="R551" t="s">
        <v>63</v>
      </c>
      <c r="S551" t="s">
        <v>64</v>
      </c>
      <c r="T551">
        <v>227</v>
      </c>
      <c r="U551">
        <v>208.5</v>
      </c>
      <c r="V551">
        <f t="shared" si="16"/>
        <v>217.75</v>
      </c>
      <c r="W551">
        <f t="shared" si="17"/>
        <v>18.5</v>
      </c>
      <c r="X551">
        <v>-104.400002</v>
      </c>
      <c r="Y551">
        <v>35.283332999999999</v>
      </c>
      <c r="Z551" t="s">
        <v>124</v>
      </c>
      <c r="AA551" t="s">
        <v>66</v>
      </c>
      <c r="AB551" t="s">
        <v>846</v>
      </c>
      <c r="AC551" t="s">
        <v>3013</v>
      </c>
      <c r="AD551" t="s">
        <v>3014</v>
      </c>
      <c r="AE551" t="s">
        <v>174</v>
      </c>
      <c r="AH551" t="s">
        <v>72</v>
      </c>
      <c r="AI551" t="s">
        <v>2483</v>
      </c>
      <c r="AJ551">
        <v>2002</v>
      </c>
      <c r="AK551" t="s">
        <v>3015</v>
      </c>
      <c r="AN551" t="s">
        <v>76</v>
      </c>
      <c r="AO551" t="s">
        <v>160</v>
      </c>
      <c r="AP551" t="s">
        <v>115</v>
      </c>
      <c r="AQ551" t="s">
        <v>3016</v>
      </c>
      <c r="AR551" t="s">
        <v>80</v>
      </c>
      <c r="AS551">
        <v>101</v>
      </c>
      <c r="AT551" t="s">
        <v>81</v>
      </c>
      <c r="AU551">
        <v>-33.14</v>
      </c>
      <c r="AV551">
        <v>9.9600000000000009</v>
      </c>
      <c r="AW551" t="s">
        <v>82</v>
      </c>
      <c r="AX551">
        <v>101</v>
      </c>
      <c r="AY551" t="s">
        <v>81</v>
      </c>
      <c r="AZ551">
        <v>-43.98</v>
      </c>
      <c r="BA551">
        <v>10.130000000000001</v>
      </c>
      <c r="BB551" t="s">
        <v>83</v>
      </c>
    </row>
    <row r="552" spans="1:54" x14ac:dyDescent="0.4">
      <c r="A552">
        <v>842986</v>
      </c>
      <c r="D552" t="s">
        <v>54</v>
      </c>
      <c r="G552">
        <v>2</v>
      </c>
      <c r="H552" t="s">
        <v>84</v>
      </c>
      <c r="I552" t="s">
        <v>57</v>
      </c>
      <c r="K552" t="s">
        <v>206</v>
      </c>
      <c r="L552" t="s">
        <v>851</v>
      </c>
      <c r="M552" t="s">
        <v>60</v>
      </c>
      <c r="O552" t="s">
        <v>170</v>
      </c>
      <c r="P552" t="s">
        <v>62</v>
      </c>
      <c r="R552" t="s">
        <v>63</v>
      </c>
      <c r="S552" t="s">
        <v>64</v>
      </c>
      <c r="T552">
        <v>227</v>
      </c>
      <c r="U552">
        <v>208.5</v>
      </c>
      <c r="V552">
        <f t="shared" si="16"/>
        <v>217.75</v>
      </c>
      <c r="W552">
        <f t="shared" si="17"/>
        <v>18.5</v>
      </c>
      <c r="X552">
        <v>-104.51667</v>
      </c>
      <c r="Y552">
        <v>35.349997999999999</v>
      </c>
      <c r="Z552" t="s">
        <v>124</v>
      </c>
      <c r="AA552" t="s">
        <v>66</v>
      </c>
      <c r="AB552" t="s">
        <v>846</v>
      </c>
      <c r="AC552" t="s">
        <v>3013</v>
      </c>
      <c r="AD552" t="s">
        <v>3014</v>
      </c>
      <c r="AE552" t="s">
        <v>174</v>
      </c>
      <c r="AH552" t="s">
        <v>72</v>
      </c>
      <c r="AI552" t="s">
        <v>2483</v>
      </c>
      <c r="AJ552">
        <v>2002</v>
      </c>
      <c r="AK552" t="s">
        <v>3017</v>
      </c>
      <c r="AN552" t="s">
        <v>192</v>
      </c>
      <c r="AO552" t="s">
        <v>160</v>
      </c>
      <c r="AP552" t="s">
        <v>115</v>
      </c>
      <c r="AR552" t="s">
        <v>80</v>
      </c>
      <c r="AS552">
        <v>101</v>
      </c>
      <c r="AT552" t="s">
        <v>81</v>
      </c>
      <c r="AU552">
        <v>-33.22</v>
      </c>
      <c r="AV552">
        <v>10.039999999999999</v>
      </c>
      <c r="AW552" t="s">
        <v>82</v>
      </c>
      <c r="AX552">
        <v>101</v>
      </c>
      <c r="AY552" t="s">
        <v>81</v>
      </c>
      <c r="AZ552">
        <v>-44.06</v>
      </c>
      <c r="BA552">
        <v>10.210000000000001</v>
      </c>
      <c r="BB552" t="s">
        <v>83</v>
      </c>
    </row>
    <row r="553" spans="1:54" x14ac:dyDescent="0.4">
      <c r="A553">
        <v>842987</v>
      </c>
      <c r="D553" t="s">
        <v>54</v>
      </c>
      <c r="G553">
        <v>1</v>
      </c>
      <c r="H553" t="s">
        <v>84</v>
      </c>
      <c r="I553" t="s">
        <v>57</v>
      </c>
      <c r="K553" t="s">
        <v>206</v>
      </c>
      <c r="L553" t="s">
        <v>851</v>
      </c>
      <c r="M553" t="s">
        <v>60</v>
      </c>
      <c r="O553" t="s">
        <v>170</v>
      </c>
      <c r="P553" t="s">
        <v>62</v>
      </c>
      <c r="R553" t="s">
        <v>63</v>
      </c>
      <c r="S553" t="s">
        <v>64</v>
      </c>
      <c r="T553">
        <v>227</v>
      </c>
      <c r="U553">
        <v>208.5</v>
      </c>
      <c r="V553">
        <f t="shared" si="16"/>
        <v>217.75</v>
      </c>
      <c r="W553">
        <f t="shared" si="17"/>
        <v>18.5</v>
      </c>
      <c r="X553">
        <v>-104.333336</v>
      </c>
      <c r="Y553">
        <v>35.333331999999999</v>
      </c>
      <c r="Z553" t="s">
        <v>124</v>
      </c>
      <c r="AA553" t="s">
        <v>66</v>
      </c>
      <c r="AB553" t="s">
        <v>846</v>
      </c>
      <c r="AC553" t="s">
        <v>3013</v>
      </c>
      <c r="AD553" t="s">
        <v>3014</v>
      </c>
      <c r="AE553" t="s">
        <v>174</v>
      </c>
      <c r="AH553" t="s">
        <v>72</v>
      </c>
      <c r="AI553" t="s">
        <v>2483</v>
      </c>
      <c r="AJ553">
        <v>2002</v>
      </c>
      <c r="AK553" t="s">
        <v>3018</v>
      </c>
      <c r="AN553" t="s">
        <v>192</v>
      </c>
      <c r="AO553" t="s">
        <v>160</v>
      </c>
      <c r="AP553" t="s">
        <v>115</v>
      </c>
      <c r="AQ553" t="s">
        <v>3019</v>
      </c>
      <c r="AR553" t="s">
        <v>80</v>
      </c>
      <c r="AS553">
        <v>101</v>
      </c>
      <c r="AT553" t="s">
        <v>81</v>
      </c>
      <c r="AU553">
        <v>-33.08</v>
      </c>
      <c r="AV553">
        <v>10</v>
      </c>
      <c r="AW553" t="s">
        <v>82</v>
      </c>
      <c r="AX553">
        <v>101</v>
      </c>
      <c r="AY553" t="s">
        <v>81</v>
      </c>
      <c r="AZ553">
        <v>-43.91</v>
      </c>
      <c r="BA553">
        <v>10.18</v>
      </c>
      <c r="BB553" t="s">
        <v>83</v>
      </c>
    </row>
    <row r="554" spans="1:54" x14ac:dyDescent="0.4">
      <c r="A554">
        <v>842988</v>
      </c>
      <c r="D554" t="s">
        <v>54</v>
      </c>
      <c r="G554">
        <v>1</v>
      </c>
      <c r="H554" t="s">
        <v>84</v>
      </c>
      <c r="I554" t="s">
        <v>57</v>
      </c>
      <c r="K554" t="s">
        <v>206</v>
      </c>
      <c r="L554" t="s">
        <v>851</v>
      </c>
      <c r="M554" t="s">
        <v>60</v>
      </c>
      <c r="O554" t="s">
        <v>170</v>
      </c>
      <c r="P554" t="s">
        <v>62</v>
      </c>
      <c r="R554" t="s">
        <v>63</v>
      </c>
      <c r="S554" t="s">
        <v>64</v>
      </c>
      <c r="T554">
        <v>227</v>
      </c>
      <c r="U554">
        <v>208.5</v>
      </c>
      <c r="V554">
        <f t="shared" si="16"/>
        <v>217.75</v>
      </c>
      <c r="W554">
        <f t="shared" si="17"/>
        <v>18.5</v>
      </c>
      <c r="X554">
        <v>-104.51667</v>
      </c>
      <c r="Y554">
        <v>35.349997999999999</v>
      </c>
      <c r="Z554" t="s">
        <v>124</v>
      </c>
      <c r="AA554" t="s">
        <v>66</v>
      </c>
      <c r="AB554" t="s">
        <v>846</v>
      </c>
      <c r="AC554" t="s">
        <v>3013</v>
      </c>
      <c r="AD554" t="s">
        <v>3014</v>
      </c>
      <c r="AE554" t="s">
        <v>174</v>
      </c>
      <c r="AH554" t="s">
        <v>72</v>
      </c>
      <c r="AI554" t="s">
        <v>2483</v>
      </c>
      <c r="AJ554">
        <v>2002</v>
      </c>
      <c r="AK554" t="s">
        <v>3020</v>
      </c>
      <c r="AN554" t="s">
        <v>192</v>
      </c>
      <c r="AO554" t="s">
        <v>160</v>
      </c>
      <c r="AP554" t="s">
        <v>115</v>
      </c>
      <c r="AR554" t="s">
        <v>80</v>
      </c>
      <c r="AS554">
        <v>101</v>
      </c>
      <c r="AT554" t="s">
        <v>81</v>
      </c>
      <c r="AU554">
        <v>-33.22</v>
      </c>
      <c r="AV554">
        <v>10.039999999999999</v>
      </c>
      <c r="AW554" t="s">
        <v>82</v>
      </c>
      <c r="AX554">
        <v>101</v>
      </c>
      <c r="AY554" t="s">
        <v>81</v>
      </c>
      <c r="AZ554">
        <v>-44.06</v>
      </c>
      <c r="BA554">
        <v>10.210000000000001</v>
      </c>
      <c r="BB554" t="s">
        <v>83</v>
      </c>
    </row>
    <row r="555" spans="1:54" x14ac:dyDescent="0.4">
      <c r="A555">
        <v>842989</v>
      </c>
      <c r="D555" t="s">
        <v>54</v>
      </c>
      <c r="G555">
        <v>1</v>
      </c>
      <c r="H555" t="s">
        <v>84</v>
      </c>
      <c r="I555" t="s">
        <v>57</v>
      </c>
      <c r="K555" t="s">
        <v>206</v>
      </c>
      <c r="L555" t="s">
        <v>851</v>
      </c>
      <c r="M555" t="s">
        <v>60</v>
      </c>
      <c r="O555" t="s">
        <v>170</v>
      </c>
      <c r="P555" t="s">
        <v>62</v>
      </c>
      <c r="R555" t="s">
        <v>63</v>
      </c>
      <c r="S555" t="s">
        <v>64</v>
      </c>
      <c r="T555">
        <v>227</v>
      </c>
      <c r="U555">
        <v>208.5</v>
      </c>
      <c r="V555">
        <f t="shared" si="16"/>
        <v>217.75</v>
      </c>
      <c r="W555">
        <f t="shared" si="17"/>
        <v>18.5</v>
      </c>
      <c r="X555">
        <v>-104.51667</v>
      </c>
      <c r="Y555">
        <v>35.349997999999999</v>
      </c>
      <c r="Z555" t="s">
        <v>124</v>
      </c>
      <c r="AA555" t="s">
        <v>66</v>
      </c>
      <c r="AB555" t="s">
        <v>846</v>
      </c>
      <c r="AC555" t="s">
        <v>3013</v>
      </c>
      <c r="AD555" t="s">
        <v>3014</v>
      </c>
      <c r="AE555" t="s">
        <v>174</v>
      </c>
      <c r="AH555" t="s">
        <v>72</v>
      </c>
      <c r="AI555" t="s">
        <v>2483</v>
      </c>
      <c r="AJ555">
        <v>2002</v>
      </c>
      <c r="AK555" t="s">
        <v>3021</v>
      </c>
      <c r="AN555" t="s">
        <v>192</v>
      </c>
      <c r="AO555" t="s">
        <v>160</v>
      </c>
      <c r="AP555" t="s">
        <v>115</v>
      </c>
      <c r="AR555" t="s">
        <v>80</v>
      </c>
      <c r="AS555">
        <v>101</v>
      </c>
      <c r="AT555" t="s">
        <v>81</v>
      </c>
      <c r="AU555">
        <v>-33.22</v>
      </c>
      <c r="AV555">
        <v>10.039999999999999</v>
      </c>
      <c r="AW555" t="s">
        <v>82</v>
      </c>
      <c r="AX555">
        <v>101</v>
      </c>
      <c r="AY555" t="s">
        <v>81</v>
      </c>
      <c r="AZ555">
        <v>-44.06</v>
      </c>
      <c r="BA555">
        <v>10.210000000000001</v>
      </c>
      <c r="BB555" t="s">
        <v>83</v>
      </c>
    </row>
    <row r="556" spans="1:54" x14ac:dyDescent="0.4">
      <c r="A556">
        <v>843000</v>
      </c>
      <c r="D556" t="s">
        <v>54</v>
      </c>
      <c r="G556">
        <v>1</v>
      </c>
      <c r="H556" t="s">
        <v>84</v>
      </c>
      <c r="I556" t="s">
        <v>57</v>
      </c>
      <c r="K556" t="s">
        <v>206</v>
      </c>
      <c r="L556" t="s">
        <v>851</v>
      </c>
      <c r="M556" t="s">
        <v>60</v>
      </c>
      <c r="O556" t="s">
        <v>170</v>
      </c>
      <c r="P556" t="s">
        <v>62</v>
      </c>
      <c r="R556" t="s">
        <v>63</v>
      </c>
      <c r="S556" t="s">
        <v>64</v>
      </c>
      <c r="T556">
        <v>227</v>
      </c>
      <c r="U556">
        <v>208.5</v>
      </c>
      <c r="V556">
        <f t="shared" si="16"/>
        <v>217.75</v>
      </c>
      <c r="W556">
        <f t="shared" si="17"/>
        <v>18.5</v>
      </c>
      <c r="X556">
        <v>-104.51667</v>
      </c>
      <c r="Y556">
        <v>35.349997999999999</v>
      </c>
      <c r="Z556" t="s">
        <v>124</v>
      </c>
      <c r="AA556" t="s">
        <v>66</v>
      </c>
      <c r="AB556" t="s">
        <v>846</v>
      </c>
      <c r="AC556" t="s">
        <v>3013</v>
      </c>
      <c r="AD556" t="s">
        <v>3014</v>
      </c>
      <c r="AE556" t="s">
        <v>174</v>
      </c>
      <c r="AH556" t="s">
        <v>72</v>
      </c>
      <c r="AI556" t="s">
        <v>2483</v>
      </c>
      <c r="AJ556">
        <v>2002</v>
      </c>
      <c r="AK556" t="s">
        <v>3022</v>
      </c>
      <c r="AN556" t="s">
        <v>192</v>
      </c>
      <c r="AO556" t="s">
        <v>160</v>
      </c>
      <c r="AP556" t="s">
        <v>115</v>
      </c>
      <c r="AR556" t="s">
        <v>80</v>
      </c>
      <c r="AS556">
        <v>101</v>
      </c>
      <c r="AT556" t="s">
        <v>81</v>
      </c>
      <c r="AU556">
        <v>-33.22</v>
      </c>
      <c r="AV556">
        <v>10.039999999999999</v>
      </c>
      <c r="AW556" t="s">
        <v>82</v>
      </c>
      <c r="AX556">
        <v>101</v>
      </c>
      <c r="AY556" t="s">
        <v>81</v>
      </c>
      <c r="AZ556">
        <v>-44.06</v>
      </c>
      <c r="BA556">
        <v>10.210000000000001</v>
      </c>
      <c r="BB556" t="s">
        <v>83</v>
      </c>
    </row>
    <row r="557" spans="1:54" x14ac:dyDescent="0.4">
      <c r="A557">
        <v>843001</v>
      </c>
      <c r="D557" t="s">
        <v>54</v>
      </c>
      <c r="G557">
        <v>1</v>
      </c>
      <c r="H557" t="s">
        <v>84</v>
      </c>
      <c r="I557" t="s">
        <v>57</v>
      </c>
      <c r="K557" t="s">
        <v>206</v>
      </c>
      <c r="L557" t="s">
        <v>851</v>
      </c>
      <c r="M557" t="s">
        <v>60</v>
      </c>
      <c r="O557" t="s">
        <v>170</v>
      </c>
      <c r="P557" t="s">
        <v>62</v>
      </c>
      <c r="R557" t="s">
        <v>63</v>
      </c>
      <c r="S557" t="s">
        <v>64</v>
      </c>
      <c r="T557">
        <v>227</v>
      </c>
      <c r="U557">
        <v>208.5</v>
      </c>
      <c r="V557">
        <f t="shared" si="16"/>
        <v>217.75</v>
      </c>
      <c r="W557">
        <f t="shared" si="17"/>
        <v>18.5</v>
      </c>
      <c r="X557">
        <v>-104.366669</v>
      </c>
      <c r="Y557">
        <v>35.283332999999999</v>
      </c>
      <c r="Z557" t="s">
        <v>124</v>
      </c>
      <c r="AA557" t="s">
        <v>66</v>
      </c>
      <c r="AB557" t="s">
        <v>846</v>
      </c>
      <c r="AC557" t="s">
        <v>3013</v>
      </c>
      <c r="AD557" t="s">
        <v>3014</v>
      </c>
      <c r="AE557" t="s">
        <v>174</v>
      </c>
      <c r="AH557" t="s">
        <v>72</v>
      </c>
      <c r="AI557" t="s">
        <v>2483</v>
      </c>
      <c r="AJ557">
        <v>2002</v>
      </c>
      <c r="AK557" t="s">
        <v>3023</v>
      </c>
      <c r="AN557" t="s">
        <v>192</v>
      </c>
      <c r="AO557" t="s">
        <v>160</v>
      </c>
      <c r="AP557" t="s">
        <v>115</v>
      </c>
      <c r="AQ557" t="s">
        <v>3024</v>
      </c>
      <c r="AR557" t="s">
        <v>80</v>
      </c>
      <c r="AS557">
        <v>101</v>
      </c>
      <c r="AT557" t="s">
        <v>81</v>
      </c>
      <c r="AU557">
        <v>-33.11</v>
      </c>
      <c r="AV557">
        <v>9.9499999999999993</v>
      </c>
      <c r="AW557" t="s">
        <v>82</v>
      </c>
      <c r="AX557">
        <v>101</v>
      </c>
      <c r="AY557" t="s">
        <v>81</v>
      </c>
      <c r="AZ557">
        <v>-43.95</v>
      </c>
      <c r="BA557">
        <v>10.130000000000001</v>
      </c>
      <c r="BB557" t="s">
        <v>83</v>
      </c>
    </row>
    <row r="558" spans="1:54" x14ac:dyDescent="0.4">
      <c r="A558">
        <v>843002</v>
      </c>
      <c r="D558" t="s">
        <v>54</v>
      </c>
      <c r="G558">
        <v>1</v>
      </c>
      <c r="H558" t="s">
        <v>84</v>
      </c>
      <c r="I558" t="s">
        <v>57</v>
      </c>
      <c r="K558" t="s">
        <v>206</v>
      </c>
      <c r="L558" t="s">
        <v>851</v>
      </c>
      <c r="M558" t="s">
        <v>60</v>
      </c>
      <c r="O558" t="s">
        <v>170</v>
      </c>
      <c r="P558" t="s">
        <v>62</v>
      </c>
      <c r="R558" t="s">
        <v>63</v>
      </c>
      <c r="S558" t="s">
        <v>64</v>
      </c>
      <c r="T558">
        <v>227</v>
      </c>
      <c r="U558">
        <v>208.5</v>
      </c>
      <c r="V558">
        <f t="shared" si="16"/>
        <v>217.75</v>
      </c>
      <c r="W558">
        <f t="shared" si="17"/>
        <v>18.5</v>
      </c>
      <c r="X558">
        <v>-105.883331</v>
      </c>
      <c r="Y558">
        <v>35.483333999999999</v>
      </c>
      <c r="Z558" t="s">
        <v>124</v>
      </c>
      <c r="AA558" t="s">
        <v>66</v>
      </c>
      <c r="AB558" t="s">
        <v>846</v>
      </c>
      <c r="AC558" t="s">
        <v>1086</v>
      </c>
      <c r="AD558" t="s">
        <v>3014</v>
      </c>
      <c r="AE558" t="s">
        <v>174</v>
      </c>
      <c r="AH558" t="s">
        <v>72</v>
      </c>
      <c r="AI558" t="s">
        <v>2483</v>
      </c>
      <c r="AJ558">
        <v>2002</v>
      </c>
      <c r="AK558" t="s">
        <v>3025</v>
      </c>
      <c r="AN558" t="s">
        <v>192</v>
      </c>
      <c r="AO558" t="s">
        <v>160</v>
      </c>
      <c r="AP558" t="s">
        <v>115</v>
      </c>
      <c r="AR558" t="s">
        <v>80</v>
      </c>
      <c r="AS558">
        <v>101</v>
      </c>
      <c r="AT558" t="s">
        <v>81</v>
      </c>
      <c r="AU558">
        <v>-34.32</v>
      </c>
      <c r="AV558">
        <v>10.36</v>
      </c>
      <c r="AW558" t="s">
        <v>82</v>
      </c>
      <c r="AX558">
        <v>101</v>
      </c>
      <c r="AY558" t="s">
        <v>81</v>
      </c>
      <c r="AZ558">
        <v>-45.17</v>
      </c>
      <c r="BA558">
        <v>10.49</v>
      </c>
      <c r="BB558" t="s">
        <v>83</v>
      </c>
    </row>
    <row r="559" spans="1:54" x14ac:dyDescent="0.4">
      <c r="A559">
        <v>843003</v>
      </c>
      <c r="D559" t="s">
        <v>54</v>
      </c>
      <c r="G559">
        <v>1</v>
      </c>
      <c r="H559" t="s">
        <v>84</v>
      </c>
      <c r="I559" t="s">
        <v>57</v>
      </c>
      <c r="K559" t="s">
        <v>206</v>
      </c>
      <c r="L559" t="s">
        <v>851</v>
      </c>
      <c r="M559" t="s">
        <v>60</v>
      </c>
      <c r="O559" t="s">
        <v>170</v>
      </c>
      <c r="P559" t="s">
        <v>62</v>
      </c>
      <c r="R559" t="s">
        <v>63</v>
      </c>
      <c r="S559" t="s">
        <v>64</v>
      </c>
      <c r="T559">
        <v>227</v>
      </c>
      <c r="U559">
        <v>208.5</v>
      </c>
      <c r="V559">
        <f t="shared" si="16"/>
        <v>217.75</v>
      </c>
      <c r="W559">
        <f t="shared" si="17"/>
        <v>18.5</v>
      </c>
      <c r="X559">
        <v>-103.48333</v>
      </c>
      <c r="Y559">
        <v>35.150002000000001</v>
      </c>
      <c r="Z559" t="s">
        <v>124</v>
      </c>
      <c r="AA559" t="s">
        <v>66</v>
      </c>
      <c r="AB559" t="s">
        <v>846</v>
      </c>
      <c r="AC559" t="s">
        <v>906</v>
      </c>
      <c r="AD559" t="s">
        <v>3026</v>
      </c>
      <c r="AE559" t="s">
        <v>174</v>
      </c>
      <c r="AH559" t="s">
        <v>72</v>
      </c>
      <c r="AI559" t="s">
        <v>2483</v>
      </c>
      <c r="AJ559">
        <v>2002</v>
      </c>
      <c r="AK559" t="s">
        <v>3027</v>
      </c>
      <c r="AN559" t="s">
        <v>192</v>
      </c>
      <c r="AO559" t="s">
        <v>160</v>
      </c>
      <c r="AP559" t="s">
        <v>115</v>
      </c>
      <c r="AR559" t="s">
        <v>80</v>
      </c>
      <c r="AS559">
        <v>101</v>
      </c>
      <c r="AT559" t="s">
        <v>81</v>
      </c>
      <c r="AU559">
        <v>-32.409999999999997</v>
      </c>
      <c r="AV559">
        <v>9.6999999999999993</v>
      </c>
      <c r="AW559" t="s">
        <v>82</v>
      </c>
      <c r="AX559">
        <v>101</v>
      </c>
      <c r="AY559" t="s">
        <v>81</v>
      </c>
      <c r="AZ559">
        <v>-43.24</v>
      </c>
      <c r="BA559">
        <v>9.91</v>
      </c>
      <c r="BB559" t="s">
        <v>83</v>
      </c>
    </row>
    <row r="560" spans="1:54" x14ac:dyDescent="0.4">
      <c r="A560">
        <v>843004</v>
      </c>
      <c r="D560" t="s">
        <v>54</v>
      </c>
      <c r="G560">
        <v>1</v>
      </c>
      <c r="H560" t="s">
        <v>84</v>
      </c>
      <c r="I560" t="s">
        <v>57</v>
      </c>
      <c r="K560" t="s">
        <v>206</v>
      </c>
      <c r="L560" t="s">
        <v>851</v>
      </c>
      <c r="M560" t="s">
        <v>60</v>
      </c>
      <c r="O560" t="s">
        <v>170</v>
      </c>
      <c r="P560" t="s">
        <v>62</v>
      </c>
      <c r="R560" t="s">
        <v>63</v>
      </c>
      <c r="S560" t="s">
        <v>64</v>
      </c>
      <c r="T560">
        <v>227</v>
      </c>
      <c r="U560">
        <v>208.5</v>
      </c>
      <c r="V560">
        <f t="shared" si="16"/>
        <v>217.75</v>
      </c>
      <c r="W560">
        <f t="shared" si="17"/>
        <v>18.5</v>
      </c>
      <c r="X560">
        <v>-103.48333</v>
      </c>
      <c r="Y560">
        <v>35.150002000000001</v>
      </c>
      <c r="Z560" t="s">
        <v>124</v>
      </c>
      <c r="AA560" t="s">
        <v>66</v>
      </c>
      <c r="AB560" t="s">
        <v>846</v>
      </c>
      <c r="AC560" t="s">
        <v>906</v>
      </c>
      <c r="AD560" t="s">
        <v>3026</v>
      </c>
      <c r="AE560" t="s">
        <v>174</v>
      </c>
      <c r="AH560" t="s">
        <v>72</v>
      </c>
      <c r="AI560" t="s">
        <v>2483</v>
      </c>
      <c r="AJ560">
        <v>2002</v>
      </c>
      <c r="AK560" t="s">
        <v>3028</v>
      </c>
      <c r="AN560" t="s">
        <v>192</v>
      </c>
      <c r="AO560" t="s">
        <v>160</v>
      </c>
      <c r="AP560" t="s">
        <v>115</v>
      </c>
      <c r="AR560" t="s">
        <v>80</v>
      </c>
      <c r="AS560">
        <v>101</v>
      </c>
      <c r="AT560" t="s">
        <v>81</v>
      </c>
      <c r="AU560">
        <v>-32.409999999999997</v>
      </c>
      <c r="AV560">
        <v>9.6999999999999993</v>
      </c>
      <c r="AW560" t="s">
        <v>82</v>
      </c>
      <c r="AX560">
        <v>101</v>
      </c>
      <c r="AY560" t="s">
        <v>81</v>
      </c>
      <c r="AZ560">
        <v>-43.24</v>
      </c>
      <c r="BA560">
        <v>9.91</v>
      </c>
      <c r="BB560" t="s">
        <v>83</v>
      </c>
    </row>
    <row r="561" spans="1:54" x14ac:dyDescent="0.4">
      <c r="A561">
        <v>843005</v>
      </c>
      <c r="D561" t="s">
        <v>54</v>
      </c>
      <c r="G561">
        <v>1</v>
      </c>
      <c r="H561" t="s">
        <v>84</v>
      </c>
      <c r="I561" t="s">
        <v>57</v>
      </c>
      <c r="K561" t="s">
        <v>206</v>
      </c>
      <c r="L561" t="s">
        <v>851</v>
      </c>
      <c r="M561" t="s">
        <v>60</v>
      </c>
      <c r="O561" t="s">
        <v>170</v>
      </c>
      <c r="P561" t="s">
        <v>62</v>
      </c>
      <c r="R561" t="s">
        <v>63</v>
      </c>
      <c r="S561" t="s">
        <v>64</v>
      </c>
      <c r="T561">
        <v>227</v>
      </c>
      <c r="U561">
        <v>208.5</v>
      </c>
      <c r="V561">
        <f t="shared" si="16"/>
        <v>217.75</v>
      </c>
      <c r="W561">
        <f t="shared" si="17"/>
        <v>18.5</v>
      </c>
      <c r="X561">
        <v>-104.51667</v>
      </c>
      <c r="Y561">
        <v>35.349997999999999</v>
      </c>
      <c r="Z561" t="s">
        <v>124</v>
      </c>
      <c r="AA561" t="s">
        <v>66</v>
      </c>
      <c r="AB561" t="s">
        <v>846</v>
      </c>
      <c r="AC561" t="s">
        <v>3013</v>
      </c>
      <c r="AD561" t="s">
        <v>3026</v>
      </c>
      <c r="AE561" t="s">
        <v>174</v>
      </c>
      <c r="AH561" t="s">
        <v>72</v>
      </c>
      <c r="AI561" t="s">
        <v>2483</v>
      </c>
      <c r="AJ561">
        <v>2002</v>
      </c>
      <c r="AK561" t="s">
        <v>3029</v>
      </c>
      <c r="AN561" t="s">
        <v>192</v>
      </c>
      <c r="AO561" t="s">
        <v>160</v>
      </c>
      <c r="AP561" t="s">
        <v>115</v>
      </c>
      <c r="AR561" t="s">
        <v>80</v>
      </c>
      <c r="AS561">
        <v>101</v>
      </c>
      <c r="AT561" t="s">
        <v>81</v>
      </c>
      <c r="AU561">
        <v>-33.22</v>
      </c>
      <c r="AV561">
        <v>10.039999999999999</v>
      </c>
      <c r="AW561" t="s">
        <v>82</v>
      </c>
      <c r="AX561">
        <v>101</v>
      </c>
      <c r="AY561" t="s">
        <v>81</v>
      </c>
      <c r="AZ561">
        <v>-44.06</v>
      </c>
      <c r="BA561">
        <v>10.210000000000001</v>
      </c>
      <c r="BB561" t="s">
        <v>83</v>
      </c>
    </row>
    <row r="562" spans="1:54" x14ac:dyDescent="0.4">
      <c r="A562">
        <v>843006</v>
      </c>
      <c r="D562" t="s">
        <v>54</v>
      </c>
      <c r="G562">
        <v>1</v>
      </c>
      <c r="H562" t="s">
        <v>84</v>
      </c>
      <c r="I562" t="s">
        <v>57</v>
      </c>
      <c r="K562" t="s">
        <v>206</v>
      </c>
      <c r="L562" t="s">
        <v>851</v>
      </c>
      <c r="M562" t="s">
        <v>60</v>
      </c>
      <c r="O562" t="s">
        <v>170</v>
      </c>
      <c r="P562" t="s">
        <v>62</v>
      </c>
      <c r="R562" t="s">
        <v>63</v>
      </c>
      <c r="S562" t="s">
        <v>64</v>
      </c>
      <c r="T562">
        <v>227</v>
      </c>
      <c r="U562">
        <v>208.5</v>
      </c>
      <c r="V562">
        <f t="shared" si="16"/>
        <v>217.75</v>
      </c>
      <c r="W562">
        <f t="shared" si="17"/>
        <v>18.5</v>
      </c>
      <c r="X562">
        <v>-103.383331</v>
      </c>
      <c r="Y562">
        <v>35</v>
      </c>
      <c r="Z562" t="s">
        <v>124</v>
      </c>
      <c r="AA562" t="s">
        <v>66</v>
      </c>
      <c r="AB562" t="s">
        <v>846</v>
      </c>
      <c r="AC562" t="s">
        <v>906</v>
      </c>
      <c r="AD562" t="s">
        <v>3026</v>
      </c>
      <c r="AE562" t="s">
        <v>174</v>
      </c>
      <c r="AH562" t="s">
        <v>72</v>
      </c>
      <c r="AI562" t="s">
        <v>2483</v>
      </c>
      <c r="AJ562">
        <v>2002</v>
      </c>
      <c r="AK562" t="s">
        <v>3030</v>
      </c>
      <c r="AN562" t="s">
        <v>192</v>
      </c>
      <c r="AO562" t="s">
        <v>657</v>
      </c>
      <c r="AP562" t="s">
        <v>115</v>
      </c>
      <c r="AR562" t="s">
        <v>80</v>
      </c>
      <c r="AS562">
        <v>101</v>
      </c>
      <c r="AT562" t="s">
        <v>81</v>
      </c>
      <c r="AU562">
        <v>-32.35</v>
      </c>
      <c r="AV562">
        <v>9.5399999999999991</v>
      </c>
      <c r="AW562" t="s">
        <v>82</v>
      </c>
      <c r="AX562">
        <v>101</v>
      </c>
      <c r="AY562" t="s">
        <v>81</v>
      </c>
      <c r="AZ562">
        <v>-43.17</v>
      </c>
      <c r="BA562">
        <v>9.75</v>
      </c>
      <c r="BB562" t="s">
        <v>83</v>
      </c>
    </row>
    <row r="563" spans="1:54" x14ac:dyDescent="0.4">
      <c r="A563">
        <v>843034</v>
      </c>
      <c r="D563" t="s">
        <v>54</v>
      </c>
      <c r="G563">
        <v>2</v>
      </c>
      <c r="H563" t="s">
        <v>84</v>
      </c>
      <c r="I563" t="s">
        <v>57</v>
      </c>
      <c r="K563" t="s">
        <v>767</v>
      </c>
      <c r="L563" t="s">
        <v>768</v>
      </c>
      <c r="M563" t="s">
        <v>60</v>
      </c>
      <c r="N563" t="s">
        <v>119</v>
      </c>
      <c r="O563" t="s">
        <v>87</v>
      </c>
      <c r="P563" t="s">
        <v>62</v>
      </c>
      <c r="R563" t="s">
        <v>63</v>
      </c>
      <c r="S563" t="s">
        <v>64</v>
      </c>
      <c r="T563">
        <v>227</v>
      </c>
      <c r="U563">
        <v>208.5</v>
      </c>
      <c r="V563">
        <f t="shared" si="16"/>
        <v>217.75</v>
      </c>
      <c r="W563">
        <f t="shared" si="17"/>
        <v>18.5</v>
      </c>
      <c r="X563">
        <v>-105.883331</v>
      </c>
      <c r="Y563">
        <v>35.483333999999999</v>
      </c>
      <c r="Z563" t="s">
        <v>124</v>
      </c>
      <c r="AA563" t="s">
        <v>66</v>
      </c>
      <c r="AB563" t="s">
        <v>846</v>
      </c>
      <c r="AC563" t="s">
        <v>1086</v>
      </c>
      <c r="AD563" t="s">
        <v>3014</v>
      </c>
      <c r="AE563" t="s">
        <v>174</v>
      </c>
      <c r="AH563" t="s">
        <v>72</v>
      </c>
      <c r="AI563" t="s">
        <v>740</v>
      </c>
      <c r="AJ563">
        <v>1995</v>
      </c>
      <c r="AK563" t="s">
        <v>3025</v>
      </c>
      <c r="AN563" t="s">
        <v>192</v>
      </c>
      <c r="AO563" t="s">
        <v>160</v>
      </c>
      <c r="AP563" t="s">
        <v>115</v>
      </c>
      <c r="AR563" t="s">
        <v>80</v>
      </c>
      <c r="AS563">
        <v>101</v>
      </c>
      <c r="AT563" t="s">
        <v>81</v>
      </c>
      <c r="AU563">
        <v>-34.32</v>
      </c>
      <c r="AV563">
        <v>10.36</v>
      </c>
      <c r="AW563" t="s">
        <v>82</v>
      </c>
      <c r="AX563">
        <v>101</v>
      </c>
      <c r="AY563" t="s">
        <v>81</v>
      </c>
      <c r="AZ563">
        <v>-45.17</v>
      </c>
      <c r="BA563">
        <v>10.49</v>
      </c>
      <c r="BB563" t="s">
        <v>83</v>
      </c>
    </row>
    <row r="564" spans="1:54" x14ac:dyDescent="0.4">
      <c r="A564">
        <v>843041</v>
      </c>
      <c r="D564" t="s">
        <v>54</v>
      </c>
      <c r="G564">
        <v>1</v>
      </c>
      <c r="H564" t="s">
        <v>84</v>
      </c>
      <c r="I564" t="s">
        <v>57</v>
      </c>
      <c r="K564" t="s">
        <v>206</v>
      </c>
      <c r="L564" t="s">
        <v>851</v>
      </c>
      <c r="M564" t="s">
        <v>60</v>
      </c>
      <c r="O564" t="s">
        <v>170</v>
      </c>
      <c r="P564" t="s">
        <v>62</v>
      </c>
      <c r="R564" t="s">
        <v>63</v>
      </c>
      <c r="S564" t="s">
        <v>64</v>
      </c>
      <c r="T564">
        <v>227</v>
      </c>
      <c r="U564">
        <v>208.5</v>
      </c>
      <c r="V564">
        <f t="shared" si="16"/>
        <v>217.75</v>
      </c>
      <c r="W564">
        <f t="shared" si="17"/>
        <v>18.5</v>
      </c>
      <c r="X564">
        <v>-104.51667</v>
      </c>
      <c r="Y564">
        <v>35.349997999999999</v>
      </c>
      <c r="Z564" t="s">
        <v>124</v>
      </c>
      <c r="AA564" t="s">
        <v>66</v>
      </c>
      <c r="AB564" t="s">
        <v>846</v>
      </c>
      <c r="AC564" t="s">
        <v>3013</v>
      </c>
      <c r="AD564" t="s">
        <v>3014</v>
      </c>
      <c r="AE564" t="s">
        <v>174</v>
      </c>
      <c r="AH564" t="s">
        <v>11</v>
      </c>
      <c r="AI564" t="s">
        <v>3031</v>
      </c>
      <c r="AJ564">
        <v>2010</v>
      </c>
      <c r="AK564" t="s">
        <v>3022</v>
      </c>
      <c r="AN564" t="s">
        <v>192</v>
      </c>
      <c r="AO564" t="s">
        <v>160</v>
      </c>
      <c r="AP564" t="s">
        <v>115</v>
      </c>
      <c r="AR564" t="s">
        <v>80</v>
      </c>
      <c r="AS564">
        <v>101</v>
      </c>
      <c r="AT564" t="s">
        <v>81</v>
      </c>
      <c r="AU564">
        <v>-33.22</v>
      </c>
      <c r="AV564">
        <v>10.039999999999999</v>
      </c>
      <c r="AW564" t="s">
        <v>82</v>
      </c>
      <c r="AX564">
        <v>101</v>
      </c>
      <c r="AY564" t="s">
        <v>81</v>
      </c>
      <c r="AZ564">
        <v>-44.06</v>
      </c>
      <c r="BA564">
        <v>10.210000000000001</v>
      </c>
      <c r="BB564" t="s">
        <v>83</v>
      </c>
    </row>
    <row r="565" spans="1:54" x14ac:dyDescent="0.4">
      <c r="A565">
        <v>843062</v>
      </c>
      <c r="D565" t="s">
        <v>54</v>
      </c>
      <c r="E565" t="s">
        <v>55</v>
      </c>
      <c r="G565">
        <v>2</v>
      </c>
      <c r="H565" t="s">
        <v>84</v>
      </c>
      <c r="I565" t="s">
        <v>57</v>
      </c>
      <c r="K565" t="s">
        <v>85</v>
      </c>
      <c r="L565" t="s">
        <v>86</v>
      </c>
      <c r="M565" t="s">
        <v>60</v>
      </c>
      <c r="O565" t="s">
        <v>87</v>
      </c>
      <c r="P565" t="s">
        <v>62</v>
      </c>
      <c r="R565" t="s">
        <v>63</v>
      </c>
      <c r="S565" t="s">
        <v>64</v>
      </c>
      <c r="T565">
        <v>227</v>
      </c>
      <c r="U565">
        <v>208.5</v>
      </c>
      <c r="V565">
        <f t="shared" si="16"/>
        <v>217.75</v>
      </c>
      <c r="W565">
        <f t="shared" si="17"/>
        <v>18.5</v>
      </c>
      <c r="X565">
        <v>-105.75</v>
      </c>
      <c r="Y565">
        <v>35.533332999999999</v>
      </c>
      <c r="Z565" t="s">
        <v>124</v>
      </c>
      <c r="AA565" t="s">
        <v>66</v>
      </c>
      <c r="AB565" t="s">
        <v>846</v>
      </c>
      <c r="AC565" t="s">
        <v>1086</v>
      </c>
      <c r="AD565" t="s">
        <v>1087</v>
      </c>
      <c r="AE565" t="s">
        <v>174</v>
      </c>
      <c r="AF565" t="s">
        <v>1088</v>
      </c>
      <c r="AH565" t="s">
        <v>11</v>
      </c>
      <c r="AI565" t="s">
        <v>3031</v>
      </c>
      <c r="AJ565">
        <v>2010</v>
      </c>
      <c r="AK565" t="s">
        <v>3010</v>
      </c>
      <c r="AM565" t="s">
        <v>3011</v>
      </c>
      <c r="AN565" t="s">
        <v>192</v>
      </c>
      <c r="AO565" t="s">
        <v>160</v>
      </c>
      <c r="AP565" t="s">
        <v>115</v>
      </c>
      <c r="AQ565" t="s">
        <v>3012</v>
      </c>
      <c r="AR565" t="s">
        <v>80</v>
      </c>
      <c r="AS565">
        <v>101</v>
      </c>
      <c r="AT565" t="s">
        <v>81</v>
      </c>
      <c r="AU565">
        <v>-34.200000000000003</v>
      </c>
      <c r="AV565">
        <v>10.39</v>
      </c>
      <c r="AW565" t="s">
        <v>82</v>
      </c>
      <c r="AX565">
        <v>101</v>
      </c>
      <c r="AY565" t="s">
        <v>81</v>
      </c>
      <c r="AZ565">
        <v>-45.05</v>
      </c>
      <c r="BA565">
        <v>10.52</v>
      </c>
      <c r="BB565" t="s">
        <v>83</v>
      </c>
    </row>
    <row r="566" spans="1:54" x14ac:dyDescent="0.4">
      <c r="A566">
        <v>843067</v>
      </c>
      <c r="D566" t="s">
        <v>54</v>
      </c>
      <c r="G566">
        <v>1</v>
      </c>
      <c r="H566" t="s">
        <v>84</v>
      </c>
      <c r="I566" t="s">
        <v>57</v>
      </c>
      <c r="K566" t="s">
        <v>206</v>
      </c>
      <c r="L566" t="s">
        <v>1091</v>
      </c>
      <c r="M566" t="s">
        <v>60</v>
      </c>
      <c r="O566" t="s">
        <v>170</v>
      </c>
      <c r="P566" t="s">
        <v>62</v>
      </c>
      <c r="R566" t="s">
        <v>63</v>
      </c>
      <c r="S566" t="s">
        <v>64</v>
      </c>
      <c r="T566">
        <v>227</v>
      </c>
      <c r="U566">
        <v>208.5</v>
      </c>
      <c r="V566">
        <f t="shared" si="16"/>
        <v>217.75</v>
      </c>
      <c r="W566">
        <f t="shared" si="17"/>
        <v>18.5</v>
      </c>
      <c r="X566">
        <v>-104.400002</v>
      </c>
      <c r="Y566">
        <v>35.283332999999999</v>
      </c>
      <c r="Z566" t="s">
        <v>124</v>
      </c>
      <c r="AA566" t="s">
        <v>66</v>
      </c>
      <c r="AB566" t="s">
        <v>846</v>
      </c>
      <c r="AC566" t="s">
        <v>3013</v>
      </c>
      <c r="AD566" t="s">
        <v>3014</v>
      </c>
      <c r="AE566" t="s">
        <v>174</v>
      </c>
      <c r="AH566" t="s">
        <v>11</v>
      </c>
      <c r="AI566" t="s">
        <v>743</v>
      </c>
      <c r="AJ566">
        <v>1989</v>
      </c>
      <c r="AK566" t="s">
        <v>3032</v>
      </c>
      <c r="AN566" t="s">
        <v>76</v>
      </c>
      <c r="AO566" t="s">
        <v>160</v>
      </c>
      <c r="AP566" t="s">
        <v>115</v>
      </c>
      <c r="AQ566" t="s">
        <v>3016</v>
      </c>
      <c r="AR566" t="s">
        <v>80</v>
      </c>
      <c r="AS566">
        <v>101</v>
      </c>
      <c r="AT566" t="s">
        <v>81</v>
      </c>
      <c r="AU566">
        <v>-33.14</v>
      </c>
      <c r="AV566">
        <v>9.9600000000000009</v>
      </c>
      <c r="AW566" t="s">
        <v>82</v>
      </c>
      <c r="AX566">
        <v>101</v>
      </c>
      <c r="AY566" t="s">
        <v>81</v>
      </c>
      <c r="AZ566">
        <v>-43.98</v>
      </c>
      <c r="BA566">
        <v>10.130000000000001</v>
      </c>
      <c r="BB566" t="s">
        <v>83</v>
      </c>
    </row>
    <row r="567" spans="1:54" x14ac:dyDescent="0.4">
      <c r="A567">
        <v>843068</v>
      </c>
      <c r="D567" t="s">
        <v>54</v>
      </c>
      <c r="G567">
        <v>1</v>
      </c>
      <c r="H567" t="s">
        <v>84</v>
      </c>
      <c r="I567" t="s">
        <v>57</v>
      </c>
      <c r="K567" t="s">
        <v>206</v>
      </c>
      <c r="L567" t="s">
        <v>207</v>
      </c>
      <c r="M567" t="s">
        <v>60</v>
      </c>
      <c r="O567" t="s">
        <v>170</v>
      </c>
      <c r="P567" t="s">
        <v>62</v>
      </c>
      <c r="R567" t="s">
        <v>63</v>
      </c>
      <c r="S567" t="s">
        <v>64</v>
      </c>
      <c r="T567">
        <v>227</v>
      </c>
      <c r="U567">
        <v>208.5</v>
      </c>
      <c r="V567">
        <f t="shared" si="16"/>
        <v>217.75</v>
      </c>
      <c r="W567">
        <f t="shared" si="17"/>
        <v>18.5</v>
      </c>
      <c r="X567">
        <v>-104.400002</v>
      </c>
      <c r="Y567">
        <v>35.283332999999999</v>
      </c>
      <c r="Z567" t="s">
        <v>124</v>
      </c>
      <c r="AA567" t="s">
        <v>66</v>
      </c>
      <c r="AB567" t="s">
        <v>846</v>
      </c>
      <c r="AC567" t="s">
        <v>3013</v>
      </c>
      <c r="AD567" t="s">
        <v>3014</v>
      </c>
      <c r="AE567" t="s">
        <v>174</v>
      </c>
      <c r="AH567" t="s">
        <v>11</v>
      </c>
      <c r="AI567" t="s">
        <v>743</v>
      </c>
      <c r="AJ567">
        <v>1989</v>
      </c>
      <c r="AK567" t="s">
        <v>3033</v>
      </c>
      <c r="AN567" t="s">
        <v>76</v>
      </c>
      <c r="AO567" t="s">
        <v>160</v>
      </c>
      <c r="AP567" t="s">
        <v>115</v>
      </c>
      <c r="AQ567" t="s">
        <v>3016</v>
      </c>
      <c r="AR567" t="s">
        <v>80</v>
      </c>
      <c r="AS567">
        <v>101</v>
      </c>
      <c r="AT567" t="s">
        <v>81</v>
      </c>
      <c r="AU567">
        <v>-33.14</v>
      </c>
      <c r="AV567">
        <v>9.9600000000000009</v>
      </c>
      <c r="AW567" t="s">
        <v>82</v>
      </c>
      <c r="AX567">
        <v>101</v>
      </c>
      <c r="AY567" t="s">
        <v>81</v>
      </c>
      <c r="AZ567">
        <v>-43.98</v>
      </c>
      <c r="BA567">
        <v>10.130000000000001</v>
      </c>
      <c r="BB567" t="s">
        <v>83</v>
      </c>
    </row>
    <row r="568" spans="1:54" x14ac:dyDescent="0.4">
      <c r="A568">
        <v>843069</v>
      </c>
      <c r="D568" t="s">
        <v>54</v>
      </c>
      <c r="G568">
        <v>1</v>
      </c>
      <c r="H568" t="s">
        <v>84</v>
      </c>
      <c r="I568" t="s">
        <v>57</v>
      </c>
      <c r="K568" t="s">
        <v>206</v>
      </c>
      <c r="L568" t="s">
        <v>851</v>
      </c>
      <c r="M568" t="s">
        <v>60</v>
      </c>
      <c r="O568" t="s">
        <v>170</v>
      </c>
      <c r="P568" t="s">
        <v>62</v>
      </c>
      <c r="R568" t="s">
        <v>63</v>
      </c>
      <c r="S568" t="s">
        <v>64</v>
      </c>
      <c r="T568">
        <v>227</v>
      </c>
      <c r="U568">
        <v>208.5</v>
      </c>
      <c r="V568">
        <f t="shared" si="16"/>
        <v>217.75</v>
      </c>
      <c r="W568">
        <f t="shared" si="17"/>
        <v>18.5</v>
      </c>
      <c r="X568">
        <v>-104.400002</v>
      </c>
      <c r="Y568">
        <v>35.283332999999999</v>
      </c>
      <c r="Z568" t="s">
        <v>124</v>
      </c>
      <c r="AA568" t="s">
        <v>66</v>
      </c>
      <c r="AB568" t="s">
        <v>846</v>
      </c>
      <c r="AC568" t="s">
        <v>3013</v>
      </c>
      <c r="AD568" t="s">
        <v>3014</v>
      </c>
      <c r="AE568" t="s">
        <v>174</v>
      </c>
      <c r="AH568" t="s">
        <v>11</v>
      </c>
      <c r="AI568" t="s">
        <v>3031</v>
      </c>
      <c r="AJ568">
        <v>2010</v>
      </c>
      <c r="AK568" t="s">
        <v>3033</v>
      </c>
      <c r="AN568" t="s">
        <v>76</v>
      </c>
      <c r="AO568" t="s">
        <v>160</v>
      </c>
      <c r="AP568" t="s">
        <v>115</v>
      </c>
      <c r="AQ568" t="s">
        <v>3016</v>
      </c>
      <c r="AR568" t="s">
        <v>80</v>
      </c>
      <c r="AS568">
        <v>101</v>
      </c>
      <c r="AT568" t="s">
        <v>81</v>
      </c>
      <c r="AU568">
        <v>-33.14</v>
      </c>
      <c r="AV568">
        <v>9.9600000000000009</v>
      </c>
      <c r="AW568" t="s">
        <v>82</v>
      </c>
      <c r="AX568">
        <v>101</v>
      </c>
      <c r="AY568" t="s">
        <v>81</v>
      </c>
      <c r="AZ568">
        <v>-43.98</v>
      </c>
      <c r="BA568">
        <v>10.130000000000001</v>
      </c>
      <c r="BB568" t="s">
        <v>83</v>
      </c>
    </row>
    <row r="569" spans="1:54" x14ac:dyDescent="0.4">
      <c r="A569">
        <v>843073</v>
      </c>
      <c r="D569" t="s">
        <v>54</v>
      </c>
      <c r="G569">
        <v>1</v>
      </c>
      <c r="H569" t="s">
        <v>84</v>
      </c>
      <c r="I569" t="s">
        <v>57</v>
      </c>
      <c r="K569" t="s">
        <v>196</v>
      </c>
      <c r="L569" t="s">
        <v>197</v>
      </c>
      <c r="M569" t="s">
        <v>60</v>
      </c>
      <c r="O569" t="s">
        <v>87</v>
      </c>
      <c r="P569" t="s">
        <v>62</v>
      </c>
      <c r="R569" t="s">
        <v>63</v>
      </c>
      <c r="S569" t="s">
        <v>64</v>
      </c>
      <c r="T569">
        <v>227</v>
      </c>
      <c r="U569">
        <v>208.5</v>
      </c>
      <c r="V569">
        <f t="shared" si="16"/>
        <v>217.75</v>
      </c>
      <c r="W569">
        <f t="shared" si="17"/>
        <v>18.5</v>
      </c>
      <c r="X569">
        <v>-104.400002</v>
      </c>
      <c r="Y569">
        <v>35.283332999999999</v>
      </c>
      <c r="Z569" t="s">
        <v>124</v>
      </c>
      <c r="AA569" t="s">
        <v>66</v>
      </c>
      <c r="AB569" t="s">
        <v>846</v>
      </c>
      <c r="AC569" t="s">
        <v>3013</v>
      </c>
      <c r="AD569" t="s">
        <v>3014</v>
      </c>
      <c r="AE569" t="s">
        <v>174</v>
      </c>
      <c r="AH569" t="s">
        <v>11</v>
      </c>
      <c r="AI569" t="s">
        <v>743</v>
      </c>
      <c r="AJ569">
        <v>1989</v>
      </c>
      <c r="AK569" t="s">
        <v>3034</v>
      </c>
      <c r="AN569" t="s">
        <v>76</v>
      </c>
      <c r="AO569" t="s">
        <v>160</v>
      </c>
      <c r="AP569" t="s">
        <v>115</v>
      </c>
      <c r="AQ569" t="s">
        <v>3016</v>
      </c>
      <c r="AR569" t="s">
        <v>80</v>
      </c>
      <c r="AS569">
        <v>101</v>
      </c>
      <c r="AT569" t="s">
        <v>81</v>
      </c>
      <c r="AU569">
        <v>-33.14</v>
      </c>
      <c r="AV569">
        <v>9.9600000000000009</v>
      </c>
      <c r="AW569" t="s">
        <v>82</v>
      </c>
      <c r="AX569">
        <v>101</v>
      </c>
      <c r="AY569" t="s">
        <v>81</v>
      </c>
      <c r="AZ569">
        <v>-43.98</v>
      </c>
      <c r="BA569">
        <v>10.130000000000001</v>
      </c>
      <c r="BB569" t="s">
        <v>83</v>
      </c>
    </row>
    <row r="570" spans="1:54" x14ac:dyDescent="0.4">
      <c r="A570">
        <v>843074</v>
      </c>
      <c r="D570" t="s">
        <v>54</v>
      </c>
      <c r="G570">
        <v>1</v>
      </c>
      <c r="H570" t="s">
        <v>84</v>
      </c>
      <c r="I570" t="s">
        <v>57</v>
      </c>
      <c r="K570" t="s">
        <v>206</v>
      </c>
      <c r="L570" t="s">
        <v>1091</v>
      </c>
      <c r="M570" t="s">
        <v>60</v>
      </c>
      <c r="O570" t="s">
        <v>170</v>
      </c>
      <c r="P570" t="s">
        <v>62</v>
      </c>
      <c r="R570" t="s">
        <v>63</v>
      </c>
      <c r="S570" t="s">
        <v>64</v>
      </c>
      <c r="T570">
        <v>227</v>
      </c>
      <c r="U570">
        <v>208.5</v>
      </c>
      <c r="V570">
        <f t="shared" si="16"/>
        <v>217.75</v>
      </c>
      <c r="W570">
        <f t="shared" si="17"/>
        <v>18.5</v>
      </c>
      <c r="X570">
        <v>-104.400002</v>
      </c>
      <c r="Y570">
        <v>35.283332999999999</v>
      </c>
      <c r="Z570" t="s">
        <v>124</v>
      </c>
      <c r="AA570" t="s">
        <v>66</v>
      </c>
      <c r="AB570" t="s">
        <v>846</v>
      </c>
      <c r="AC570" t="s">
        <v>3013</v>
      </c>
      <c r="AD570" t="s">
        <v>3014</v>
      </c>
      <c r="AE570" t="s">
        <v>174</v>
      </c>
      <c r="AH570" t="s">
        <v>11</v>
      </c>
      <c r="AI570" t="s">
        <v>3031</v>
      </c>
      <c r="AJ570">
        <v>2010</v>
      </c>
      <c r="AK570" t="s">
        <v>3034</v>
      </c>
      <c r="AN570" t="s">
        <v>76</v>
      </c>
      <c r="AO570" t="s">
        <v>160</v>
      </c>
      <c r="AP570" t="s">
        <v>115</v>
      </c>
      <c r="AQ570" t="s">
        <v>3016</v>
      </c>
      <c r="AR570" t="s">
        <v>80</v>
      </c>
      <c r="AS570">
        <v>101</v>
      </c>
      <c r="AT570" t="s">
        <v>81</v>
      </c>
      <c r="AU570">
        <v>-33.14</v>
      </c>
      <c r="AV570">
        <v>9.9600000000000009</v>
      </c>
      <c r="AW570" t="s">
        <v>82</v>
      </c>
      <c r="AX570">
        <v>101</v>
      </c>
      <c r="AY570" t="s">
        <v>81</v>
      </c>
      <c r="AZ570">
        <v>-43.98</v>
      </c>
      <c r="BA570">
        <v>10.130000000000001</v>
      </c>
      <c r="BB570" t="s">
        <v>83</v>
      </c>
    </row>
    <row r="571" spans="1:54" x14ac:dyDescent="0.4">
      <c r="A571">
        <v>843102</v>
      </c>
      <c r="D571" t="s">
        <v>54</v>
      </c>
      <c r="G571">
        <v>2</v>
      </c>
      <c r="H571" t="s">
        <v>84</v>
      </c>
      <c r="I571" t="s">
        <v>57</v>
      </c>
      <c r="K571" t="s">
        <v>206</v>
      </c>
      <c r="L571" t="s">
        <v>207</v>
      </c>
      <c r="M571" t="s">
        <v>60</v>
      </c>
      <c r="O571" t="s">
        <v>170</v>
      </c>
      <c r="P571" t="s">
        <v>62</v>
      </c>
      <c r="R571" t="s">
        <v>63</v>
      </c>
      <c r="S571" t="s">
        <v>64</v>
      </c>
      <c r="T571">
        <v>227</v>
      </c>
      <c r="U571">
        <v>208.5</v>
      </c>
      <c r="V571">
        <f t="shared" si="16"/>
        <v>217.75</v>
      </c>
      <c r="W571">
        <f t="shared" si="17"/>
        <v>18.5</v>
      </c>
      <c r="X571">
        <v>-105.849998</v>
      </c>
      <c r="Y571">
        <v>35.466667000000001</v>
      </c>
      <c r="Z571" t="s">
        <v>124</v>
      </c>
      <c r="AA571" t="s">
        <v>66</v>
      </c>
      <c r="AB571" t="s">
        <v>846</v>
      </c>
      <c r="AC571" t="s">
        <v>1086</v>
      </c>
      <c r="AD571" t="s">
        <v>1087</v>
      </c>
      <c r="AE571" t="s">
        <v>174</v>
      </c>
      <c r="AF571" t="s">
        <v>3035</v>
      </c>
      <c r="AH571" t="s">
        <v>72</v>
      </c>
      <c r="AI571" t="s">
        <v>208</v>
      </c>
      <c r="AJ571">
        <v>2008</v>
      </c>
      <c r="AK571" t="s">
        <v>3036</v>
      </c>
      <c r="AN571" t="s">
        <v>76</v>
      </c>
      <c r="AO571" t="s">
        <v>160</v>
      </c>
      <c r="AP571" t="s">
        <v>115</v>
      </c>
      <c r="AQ571" t="s">
        <v>3037</v>
      </c>
      <c r="AR571" t="s">
        <v>80</v>
      </c>
      <c r="AS571">
        <v>101</v>
      </c>
      <c r="AT571" t="s">
        <v>81</v>
      </c>
      <c r="AU571">
        <v>-34.29</v>
      </c>
      <c r="AV571">
        <v>10.34</v>
      </c>
      <c r="AW571" t="s">
        <v>82</v>
      </c>
      <c r="AX571">
        <v>101</v>
      </c>
      <c r="AY571" t="s">
        <v>81</v>
      </c>
      <c r="AZ571">
        <v>-45.14</v>
      </c>
      <c r="BA571">
        <v>10.47</v>
      </c>
      <c r="BB571" t="s">
        <v>83</v>
      </c>
    </row>
    <row r="572" spans="1:54" x14ac:dyDescent="0.4">
      <c r="A572">
        <v>843103</v>
      </c>
      <c r="D572" t="s">
        <v>54</v>
      </c>
      <c r="G572">
        <v>1</v>
      </c>
      <c r="H572" t="s">
        <v>84</v>
      </c>
      <c r="I572" t="s">
        <v>57</v>
      </c>
      <c r="K572" t="s">
        <v>206</v>
      </c>
      <c r="L572" t="s">
        <v>744</v>
      </c>
      <c r="M572" t="s">
        <v>60</v>
      </c>
      <c r="O572" t="s">
        <v>170</v>
      </c>
      <c r="P572" t="s">
        <v>62</v>
      </c>
      <c r="R572" t="s">
        <v>63</v>
      </c>
      <c r="S572" t="s">
        <v>64</v>
      </c>
      <c r="T572">
        <v>227</v>
      </c>
      <c r="U572">
        <v>208.5</v>
      </c>
      <c r="V572">
        <f t="shared" si="16"/>
        <v>217.75</v>
      </c>
      <c r="W572">
        <f t="shared" si="17"/>
        <v>18.5</v>
      </c>
      <c r="X572">
        <v>-105.849998</v>
      </c>
      <c r="Y572">
        <v>35.466667000000001</v>
      </c>
      <c r="Z572" t="s">
        <v>124</v>
      </c>
      <c r="AA572" t="s">
        <v>66</v>
      </c>
      <c r="AB572" t="s">
        <v>846</v>
      </c>
      <c r="AC572" t="s">
        <v>1086</v>
      </c>
      <c r="AD572" t="s">
        <v>1087</v>
      </c>
      <c r="AE572" t="s">
        <v>174</v>
      </c>
      <c r="AF572" t="s">
        <v>3035</v>
      </c>
      <c r="AH572" t="s">
        <v>72</v>
      </c>
      <c r="AI572" t="s">
        <v>779</v>
      </c>
      <c r="AJ572">
        <v>1995</v>
      </c>
      <c r="AK572" t="s">
        <v>3036</v>
      </c>
      <c r="AN572" t="s">
        <v>76</v>
      </c>
      <c r="AO572" t="s">
        <v>160</v>
      </c>
      <c r="AP572" t="s">
        <v>115</v>
      </c>
      <c r="AQ572" t="s">
        <v>3037</v>
      </c>
      <c r="AR572" t="s">
        <v>80</v>
      </c>
      <c r="AS572">
        <v>101</v>
      </c>
      <c r="AT572" t="s">
        <v>81</v>
      </c>
      <c r="AU572">
        <v>-34.29</v>
      </c>
      <c r="AV572">
        <v>10.34</v>
      </c>
      <c r="AW572" t="s">
        <v>82</v>
      </c>
      <c r="AX572">
        <v>101</v>
      </c>
      <c r="AY572" t="s">
        <v>81</v>
      </c>
      <c r="AZ572">
        <v>-45.14</v>
      </c>
      <c r="BA572">
        <v>10.47</v>
      </c>
      <c r="BB572" t="s">
        <v>83</v>
      </c>
    </row>
    <row r="573" spans="1:54" x14ac:dyDescent="0.4">
      <c r="A573">
        <v>843116</v>
      </c>
      <c r="D573" t="s">
        <v>54</v>
      </c>
      <c r="G573">
        <v>1</v>
      </c>
      <c r="H573" t="s">
        <v>84</v>
      </c>
      <c r="I573" t="s">
        <v>57</v>
      </c>
      <c r="K573" t="s">
        <v>85</v>
      </c>
      <c r="L573" t="s">
        <v>2492</v>
      </c>
      <c r="M573" t="s">
        <v>60</v>
      </c>
      <c r="O573" t="s">
        <v>87</v>
      </c>
      <c r="P573" t="s">
        <v>62</v>
      </c>
      <c r="R573" t="s">
        <v>63</v>
      </c>
      <c r="S573" t="s">
        <v>64</v>
      </c>
      <c r="T573">
        <v>227</v>
      </c>
      <c r="U573">
        <v>208.5</v>
      </c>
      <c r="V573">
        <f t="shared" si="16"/>
        <v>217.75</v>
      </c>
      <c r="W573">
        <f t="shared" si="17"/>
        <v>18.5</v>
      </c>
      <c r="X573">
        <v>-105.849998</v>
      </c>
      <c r="Y573">
        <v>35.466667000000001</v>
      </c>
      <c r="Z573" t="s">
        <v>124</v>
      </c>
      <c r="AA573" t="s">
        <v>66</v>
      </c>
      <c r="AB573" t="s">
        <v>846</v>
      </c>
      <c r="AC573" t="s">
        <v>1086</v>
      </c>
      <c r="AD573" t="s">
        <v>1087</v>
      </c>
      <c r="AE573" t="s">
        <v>174</v>
      </c>
      <c r="AF573" t="s">
        <v>3035</v>
      </c>
      <c r="AH573" t="s">
        <v>11</v>
      </c>
      <c r="AI573" t="s">
        <v>743</v>
      </c>
      <c r="AJ573">
        <v>1993</v>
      </c>
      <c r="AK573" t="s">
        <v>3038</v>
      </c>
      <c r="AN573" t="s">
        <v>114</v>
      </c>
      <c r="AO573" t="s">
        <v>160</v>
      </c>
      <c r="AP573" t="s">
        <v>115</v>
      </c>
      <c r="AR573" t="s">
        <v>80</v>
      </c>
      <c r="AS573">
        <v>101</v>
      </c>
      <c r="AT573" t="s">
        <v>81</v>
      </c>
      <c r="AU573">
        <v>-34.29</v>
      </c>
      <c r="AV573">
        <v>10.34</v>
      </c>
      <c r="AW573" t="s">
        <v>82</v>
      </c>
      <c r="AX573">
        <v>101</v>
      </c>
      <c r="AY573" t="s">
        <v>81</v>
      </c>
      <c r="AZ573">
        <v>-45.14</v>
      </c>
      <c r="BA573">
        <v>10.47</v>
      </c>
      <c r="BB573" t="s">
        <v>83</v>
      </c>
    </row>
    <row r="574" spans="1:54" x14ac:dyDescent="0.4">
      <c r="A574">
        <v>843121</v>
      </c>
      <c r="D574" t="s">
        <v>54</v>
      </c>
      <c r="G574">
        <v>1</v>
      </c>
      <c r="H574" t="s">
        <v>84</v>
      </c>
      <c r="I574" t="s">
        <v>57</v>
      </c>
      <c r="K574" t="s">
        <v>85</v>
      </c>
      <c r="L574" t="s">
        <v>86</v>
      </c>
      <c r="M574" t="s">
        <v>60</v>
      </c>
      <c r="O574" t="s">
        <v>87</v>
      </c>
      <c r="P574" t="s">
        <v>62</v>
      </c>
      <c r="R574" t="s">
        <v>63</v>
      </c>
      <c r="S574" t="s">
        <v>64</v>
      </c>
      <c r="T574">
        <v>227</v>
      </c>
      <c r="U574">
        <v>208.5</v>
      </c>
      <c r="V574">
        <f t="shared" si="16"/>
        <v>217.75</v>
      </c>
      <c r="W574">
        <f t="shared" si="17"/>
        <v>18.5</v>
      </c>
      <c r="X574">
        <v>-105.849998</v>
      </c>
      <c r="Y574">
        <v>35.366669000000002</v>
      </c>
      <c r="Z574" t="s">
        <v>124</v>
      </c>
      <c r="AA574" t="s">
        <v>66</v>
      </c>
      <c r="AB574" t="s">
        <v>846</v>
      </c>
      <c r="AC574" t="s">
        <v>1086</v>
      </c>
      <c r="AD574" t="s">
        <v>1087</v>
      </c>
      <c r="AE574" t="s">
        <v>174</v>
      </c>
      <c r="AF574" t="s">
        <v>3035</v>
      </c>
      <c r="AH574" t="s">
        <v>11</v>
      </c>
      <c r="AI574" t="s">
        <v>779</v>
      </c>
      <c r="AJ574">
        <v>1995</v>
      </c>
      <c r="AK574" t="s">
        <v>3039</v>
      </c>
      <c r="AN574" t="s">
        <v>192</v>
      </c>
      <c r="AO574" t="s">
        <v>160</v>
      </c>
      <c r="AP574" t="s">
        <v>115</v>
      </c>
      <c r="AR574" t="s">
        <v>80</v>
      </c>
      <c r="AS574">
        <v>101</v>
      </c>
      <c r="AT574" t="s">
        <v>81</v>
      </c>
      <c r="AU574">
        <v>-34.31</v>
      </c>
      <c r="AV574">
        <v>10.24</v>
      </c>
      <c r="AW574" t="s">
        <v>82</v>
      </c>
      <c r="AX574">
        <v>101</v>
      </c>
      <c r="AY574" t="s">
        <v>81</v>
      </c>
      <c r="AZ574">
        <v>-45.16</v>
      </c>
      <c r="BA574">
        <v>10.37</v>
      </c>
      <c r="BB574" t="s">
        <v>83</v>
      </c>
    </row>
    <row r="575" spans="1:54" x14ac:dyDescent="0.4">
      <c r="A575">
        <v>843132</v>
      </c>
      <c r="D575" t="s">
        <v>54</v>
      </c>
      <c r="E575" t="s">
        <v>152</v>
      </c>
      <c r="G575">
        <v>1</v>
      </c>
      <c r="H575" t="s">
        <v>84</v>
      </c>
      <c r="I575" t="s">
        <v>57</v>
      </c>
      <c r="K575" t="s">
        <v>85</v>
      </c>
      <c r="L575" t="s">
        <v>845</v>
      </c>
      <c r="M575" t="s">
        <v>60</v>
      </c>
      <c r="O575" t="s">
        <v>87</v>
      </c>
      <c r="P575" t="s">
        <v>62</v>
      </c>
      <c r="R575" t="s">
        <v>63</v>
      </c>
      <c r="S575" t="s">
        <v>64</v>
      </c>
      <c r="T575">
        <v>227</v>
      </c>
      <c r="U575">
        <v>208.5</v>
      </c>
      <c r="V575">
        <f t="shared" si="16"/>
        <v>217.75</v>
      </c>
      <c r="W575">
        <f t="shared" si="17"/>
        <v>18.5</v>
      </c>
      <c r="X575">
        <v>-106.433609</v>
      </c>
      <c r="Y575">
        <v>36.316665999999998</v>
      </c>
      <c r="Z575" t="s">
        <v>124</v>
      </c>
      <c r="AA575" t="s">
        <v>66</v>
      </c>
      <c r="AB575" t="s">
        <v>846</v>
      </c>
      <c r="AC575" t="s">
        <v>847</v>
      </c>
      <c r="AD575" t="s">
        <v>174</v>
      </c>
      <c r="AF575" t="s">
        <v>749</v>
      </c>
      <c r="AH575" t="s">
        <v>72</v>
      </c>
      <c r="AI575" t="s">
        <v>461</v>
      </c>
      <c r="AJ575">
        <v>1881</v>
      </c>
      <c r="AK575" t="s">
        <v>3042</v>
      </c>
      <c r="AN575" t="s">
        <v>192</v>
      </c>
      <c r="AO575" t="s">
        <v>160</v>
      </c>
      <c r="AP575" t="s">
        <v>115</v>
      </c>
      <c r="AR575" t="s">
        <v>80</v>
      </c>
      <c r="AS575">
        <v>101</v>
      </c>
      <c r="AT575" t="s">
        <v>81</v>
      </c>
      <c r="AU575">
        <v>-34.61</v>
      </c>
      <c r="AV575">
        <v>11.26</v>
      </c>
      <c r="AW575" t="s">
        <v>82</v>
      </c>
      <c r="AX575">
        <v>133</v>
      </c>
      <c r="AY575" t="s">
        <v>81</v>
      </c>
      <c r="AZ575">
        <v>-49.44</v>
      </c>
      <c r="BA575">
        <v>11.41</v>
      </c>
      <c r="BB575" t="s">
        <v>83</v>
      </c>
    </row>
    <row r="576" spans="1:54" x14ac:dyDescent="0.4">
      <c r="A576">
        <v>843152</v>
      </c>
      <c r="D576" t="s">
        <v>54</v>
      </c>
      <c r="G576">
        <v>2</v>
      </c>
      <c r="H576" t="s">
        <v>84</v>
      </c>
      <c r="I576" t="s">
        <v>57</v>
      </c>
      <c r="K576" t="s">
        <v>206</v>
      </c>
      <c r="L576" t="s">
        <v>1720</v>
      </c>
      <c r="M576" t="s">
        <v>60</v>
      </c>
      <c r="O576" t="s">
        <v>170</v>
      </c>
      <c r="P576" t="s">
        <v>62</v>
      </c>
      <c r="R576" t="s">
        <v>63</v>
      </c>
      <c r="S576" t="s">
        <v>64</v>
      </c>
      <c r="T576">
        <v>227</v>
      </c>
      <c r="U576">
        <v>208.5</v>
      </c>
      <c r="V576">
        <f t="shared" si="16"/>
        <v>217.75</v>
      </c>
      <c r="W576">
        <f t="shared" si="17"/>
        <v>18.5</v>
      </c>
      <c r="X576">
        <v>-103.332497</v>
      </c>
      <c r="Y576">
        <v>34.978332999999999</v>
      </c>
      <c r="Z576" t="s">
        <v>198</v>
      </c>
      <c r="AA576" t="s">
        <v>66</v>
      </c>
      <c r="AB576" t="s">
        <v>846</v>
      </c>
      <c r="AC576" t="s">
        <v>906</v>
      </c>
      <c r="AD576" t="s">
        <v>1711</v>
      </c>
      <c r="AE576" t="s">
        <v>174</v>
      </c>
      <c r="AF576" t="s">
        <v>1712</v>
      </c>
      <c r="AH576" t="s">
        <v>11</v>
      </c>
      <c r="AI576" t="s">
        <v>1716</v>
      </c>
      <c r="AJ576">
        <v>2012</v>
      </c>
      <c r="AK576" t="s">
        <v>1713</v>
      </c>
      <c r="AM576" t="s">
        <v>1714</v>
      </c>
      <c r="AN576" t="s">
        <v>76</v>
      </c>
      <c r="AO576" t="s">
        <v>77</v>
      </c>
      <c r="AP576" t="s">
        <v>78</v>
      </c>
      <c r="AQ576" t="s">
        <v>1715</v>
      </c>
      <c r="AR576" t="s">
        <v>80</v>
      </c>
      <c r="AS576">
        <v>101</v>
      </c>
      <c r="AT576" t="s">
        <v>81</v>
      </c>
      <c r="AU576">
        <v>-32.32</v>
      </c>
      <c r="AV576">
        <v>9.52</v>
      </c>
      <c r="AW576" t="s">
        <v>82</v>
      </c>
      <c r="AX576">
        <v>101</v>
      </c>
      <c r="AY576" t="s">
        <v>81</v>
      </c>
      <c r="AZ576">
        <v>-43.13</v>
      </c>
      <c r="BA576">
        <v>9.73</v>
      </c>
      <c r="BB576" t="s">
        <v>83</v>
      </c>
    </row>
    <row r="577" spans="1:54" x14ac:dyDescent="0.4">
      <c r="A577">
        <v>843204</v>
      </c>
      <c r="D577" t="s">
        <v>54</v>
      </c>
      <c r="G577">
        <v>11</v>
      </c>
      <c r="H577" t="s">
        <v>84</v>
      </c>
      <c r="I577" t="s">
        <v>57</v>
      </c>
      <c r="K577" t="s">
        <v>323</v>
      </c>
      <c r="L577" t="s">
        <v>1124</v>
      </c>
      <c r="M577" t="s">
        <v>1125</v>
      </c>
      <c r="N577" t="s">
        <v>1126</v>
      </c>
      <c r="O577" t="s">
        <v>87</v>
      </c>
      <c r="P577" t="s">
        <v>62</v>
      </c>
      <c r="R577" t="s">
        <v>63</v>
      </c>
      <c r="S577" t="s">
        <v>64</v>
      </c>
      <c r="T577">
        <v>227</v>
      </c>
      <c r="U577">
        <v>208.5</v>
      </c>
      <c r="V577">
        <f t="shared" si="16"/>
        <v>217.75</v>
      </c>
      <c r="W577">
        <f t="shared" si="17"/>
        <v>18.5</v>
      </c>
      <c r="X577">
        <v>-103.433334</v>
      </c>
      <c r="Y577">
        <v>34.943610999999997</v>
      </c>
      <c r="Z577" t="s">
        <v>886</v>
      </c>
      <c r="AA577" t="s">
        <v>66</v>
      </c>
      <c r="AB577" t="s">
        <v>846</v>
      </c>
      <c r="AC577" t="s">
        <v>906</v>
      </c>
      <c r="AD577" t="s">
        <v>1711</v>
      </c>
      <c r="AE577" t="s">
        <v>174</v>
      </c>
      <c r="AF577" t="s">
        <v>1712</v>
      </c>
      <c r="AH577" t="s">
        <v>72</v>
      </c>
      <c r="AI577" t="s">
        <v>1127</v>
      </c>
      <c r="AJ577">
        <v>2009</v>
      </c>
      <c r="AK577" t="s">
        <v>1717</v>
      </c>
      <c r="AM577" t="s">
        <v>1718</v>
      </c>
      <c r="AN577" t="s">
        <v>76</v>
      </c>
      <c r="AO577" t="s">
        <v>77</v>
      </c>
      <c r="AP577" t="s">
        <v>78</v>
      </c>
      <c r="AQ577" t="s">
        <v>1719</v>
      </c>
      <c r="AR577" t="s">
        <v>80</v>
      </c>
      <c r="AS577">
        <v>101</v>
      </c>
      <c r="AT577" t="s">
        <v>81</v>
      </c>
      <c r="AU577">
        <v>-32.4</v>
      </c>
      <c r="AV577">
        <v>9.49</v>
      </c>
      <c r="AW577" t="s">
        <v>82</v>
      </c>
      <c r="AX577">
        <v>101</v>
      </c>
      <c r="AY577" t="s">
        <v>81</v>
      </c>
      <c r="AZ577">
        <v>-43.22</v>
      </c>
      <c r="BA577">
        <v>9.6999999999999993</v>
      </c>
      <c r="BB577" t="s">
        <v>83</v>
      </c>
    </row>
    <row r="578" spans="1:54" x14ac:dyDescent="0.4">
      <c r="A578">
        <v>843206</v>
      </c>
      <c r="D578" t="s">
        <v>54</v>
      </c>
      <c r="I578" t="s">
        <v>57</v>
      </c>
      <c r="K578" t="s">
        <v>206</v>
      </c>
      <c r="L578" t="s">
        <v>1720</v>
      </c>
      <c r="M578" t="s">
        <v>60</v>
      </c>
      <c r="O578" t="s">
        <v>170</v>
      </c>
      <c r="P578" t="s">
        <v>62</v>
      </c>
      <c r="R578" t="s">
        <v>63</v>
      </c>
      <c r="S578" t="s">
        <v>64</v>
      </c>
      <c r="T578">
        <v>227</v>
      </c>
      <c r="U578">
        <v>208.5</v>
      </c>
      <c r="V578">
        <f t="shared" si="16"/>
        <v>217.75</v>
      </c>
      <c r="W578">
        <f t="shared" si="17"/>
        <v>18.5</v>
      </c>
      <c r="X578">
        <v>-103.633331</v>
      </c>
      <c r="Y578">
        <v>35.066665999999998</v>
      </c>
      <c r="Z578" t="s">
        <v>346</v>
      </c>
      <c r="AA578" t="s">
        <v>66</v>
      </c>
      <c r="AB578" t="s">
        <v>846</v>
      </c>
      <c r="AC578" t="s">
        <v>906</v>
      </c>
      <c r="AD578" t="s">
        <v>1711</v>
      </c>
      <c r="AE578" t="s">
        <v>174</v>
      </c>
      <c r="AF578" t="s">
        <v>2326</v>
      </c>
      <c r="AH578" t="s">
        <v>72</v>
      </c>
      <c r="AI578" t="s">
        <v>1728</v>
      </c>
      <c r="AJ578">
        <v>2006</v>
      </c>
      <c r="AK578" t="s">
        <v>2327</v>
      </c>
      <c r="AM578" t="s">
        <v>2328</v>
      </c>
      <c r="AN578" t="s">
        <v>192</v>
      </c>
      <c r="AO578" t="s">
        <v>160</v>
      </c>
      <c r="AP578" t="s">
        <v>115</v>
      </c>
      <c r="AR578" t="s">
        <v>80</v>
      </c>
      <c r="AS578">
        <v>101</v>
      </c>
      <c r="AT578" t="s">
        <v>81</v>
      </c>
      <c r="AU578">
        <v>-32.549999999999997</v>
      </c>
      <c r="AV578">
        <v>9.64</v>
      </c>
      <c r="AW578" t="s">
        <v>82</v>
      </c>
      <c r="AX578">
        <v>101</v>
      </c>
      <c r="AY578" t="s">
        <v>81</v>
      </c>
      <c r="AZ578">
        <v>-43.37</v>
      </c>
      <c r="BA578">
        <v>9.84</v>
      </c>
      <c r="BB578" t="s">
        <v>83</v>
      </c>
    </row>
    <row r="579" spans="1:54" x14ac:dyDescent="0.4">
      <c r="A579">
        <v>843218</v>
      </c>
      <c r="D579" t="s">
        <v>54</v>
      </c>
      <c r="G579">
        <v>1</v>
      </c>
      <c r="H579" t="s">
        <v>84</v>
      </c>
      <c r="I579" t="s">
        <v>57</v>
      </c>
      <c r="K579" t="s">
        <v>323</v>
      </c>
      <c r="L579" t="s">
        <v>1124</v>
      </c>
      <c r="M579" t="s">
        <v>1125</v>
      </c>
      <c r="N579" t="s">
        <v>1126</v>
      </c>
      <c r="O579" t="s">
        <v>87</v>
      </c>
      <c r="P579" t="s">
        <v>62</v>
      </c>
      <c r="R579" t="s">
        <v>63</v>
      </c>
      <c r="S579" t="s">
        <v>64</v>
      </c>
      <c r="T579">
        <v>227</v>
      </c>
      <c r="U579">
        <v>208.5</v>
      </c>
      <c r="V579">
        <f t="shared" ref="V579:V642" si="18">(T579+U579)/2</f>
        <v>217.75</v>
      </c>
      <c r="W579">
        <f t="shared" ref="W579:W642" si="19">T579-U579</f>
        <v>18.5</v>
      </c>
      <c r="X579">
        <v>-103.666664</v>
      </c>
      <c r="Y579">
        <v>35</v>
      </c>
      <c r="Z579" t="s">
        <v>65</v>
      </c>
      <c r="AA579" t="s">
        <v>66</v>
      </c>
      <c r="AB579" t="s">
        <v>846</v>
      </c>
      <c r="AC579" t="s">
        <v>906</v>
      </c>
      <c r="AD579" t="s">
        <v>1711</v>
      </c>
      <c r="AE579" t="s">
        <v>174</v>
      </c>
      <c r="AF579" t="s">
        <v>906</v>
      </c>
      <c r="AH579" t="s">
        <v>11</v>
      </c>
      <c r="AI579" t="s">
        <v>1728</v>
      </c>
      <c r="AJ579">
        <v>2006</v>
      </c>
      <c r="AK579" t="s">
        <v>3043</v>
      </c>
      <c r="AN579" t="s">
        <v>114</v>
      </c>
      <c r="AO579" t="s">
        <v>657</v>
      </c>
      <c r="AP579" t="s">
        <v>115</v>
      </c>
      <c r="AR579" t="s">
        <v>80</v>
      </c>
      <c r="AS579">
        <v>101</v>
      </c>
      <c r="AT579" t="s">
        <v>81</v>
      </c>
      <c r="AU579">
        <v>-32.590000000000003</v>
      </c>
      <c r="AV579">
        <v>9.58</v>
      </c>
      <c r="AW579" t="s">
        <v>82</v>
      </c>
      <c r="AX579">
        <v>101</v>
      </c>
      <c r="AY579" t="s">
        <v>81</v>
      </c>
      <c r="AZ579">
        <v>-43.41</v>
      </c>
      <c r="BA579">
        <v>9.7799999999999994</v>
      </c>
      <c r="BB579" t="s">
        <v>83</v>
      </c>
    </row>
    <row r="580" spans="1:54" x14ac:dyDescent="0.4">
      <c r="A580">
        <v>843392</v>
      </c>
      <c r="D580" t="s">
        <v>54</v>
      </c>
      <c r="E580" t="s">
        <v>55</v>
      </c>
      <c r="F580" t="s">
        <v>3044</v>
      </c>
      <c r="G580">
        <v>28</v>
      </c>
      <c r="H580" t="s">
        <v>84</v>
      </c>
      <c r="I580" t="s">
        <v>57</v>
      </c>
      <c r="K580" t="s">
        <v>85</v>
      </c>
      <c r="L580" t="s">
        <v>845</v>
      </c>
      <c r="M580" t="s">
        <v>60</v>
      </c>
      <c r="O580" t="s">
        <v>87</v>
      </c>
      <c r="P580" t="s">
        <v>62</v>
      </c>
      <c r="R580" t="s">
        <v>63</v>
      </c>
      <c r="S580" t="s">
        <v>64</v>
      </c>
      <c r="T580">
        <v>227</v>
      </c>
      <c r="U580">
        <v>208.5</v>
      </c>
      <c r="V580">
        <f t="shared" si="18"/>
        <v>217.75</v>
      </c>
      <c r="W580">
        <f t="shared" si="19"/>
        <v>18.5</v>
      </c>
      <c r="X580">
        <v>-103.666664</v>
      </c>
      <c r="Y580">
        <v>35</v>
      </c>
      <c r="Z580" t="s">
        <v>171</v>
      </c>
      <c r="AA580" t="s">
        <v>66</v>
      </c>
      <c r="AB580" t="s">
        <v>846</v>
      </c>
      <c r="AC580" t="s">
        <v>906</v>
      </c>
      <c r="AD580" t="s">
        <v>1711</v>
      </c>
      <c r="AE580" t="s">
        <v>174</v>
      </c>
      <c r="AF580" t="s">
        <v>906</v>
      </c>
      <c r="AH580" t="s">
        <v>72</v>
      </c>
      <c r="AI580" t="s">
        <v>1716</v>
      </c>
      <c r="AJ580">
        <v>2012</v>
      </c>
      <c r="AK580" t="s">
        <v>3045</v>
      </c>
      <c r="AN580" t="s">
        <v>114</v>
      </c>
      <c r="AO580" t="s">
        <v>657</v>
      </c>
      <c r="AP580" t="s">
        <v>115</v>
      </c>
      <c r="AR580" t="s">
        <v>80</v>
      </c>
      <c r="AS580">
        <v>101</v>
      </c>
      <c r="AT580" t="s">
        <v>81</v>
      </c>
      <c r="AU580">
        <v>-32.590000000000003</v>
      </c>
      <c r="AV580">
        <v>9.58</v>
      </c>
      <c r="AW580" t="s">
        <v>82</v>
      </c>
      <c r="AX580">
        <v>101</v>
      </c>
      <c r="AY580" t="s">
        <v>81</v>
      </c>
      <c r="AZ580">
        <v>-43.41</v>
      </c>
      <c r="BA580">
        <v>9.7799999999999994</v>
      </c>
      <c r="BB580" t="s">
        <v>83</v>
      </c>
    </row>
    <row r="581" spans="1:54" x14ac:dyDescent="0.4">
      <c r="A581">
        <v>843393</v>
      </c>
      <c r="D581" t="s">
        <v>54</v>
      </c>
      <c r="E581" t="s">
        <v>55</v>
      </c>
      <c r="F581" t="s">
        <v>3044</v>
      </c>
      <c r="G581">
        <v>1</v>
      </c>
      <c r="H581" t="s">
        <v>84</v>
      </c>
      <c r="I581" t="s">
        <v>57</v>
      </c>
      <c r="K581" t="s">
        <v>206</v>
      </c>
      <c r="L581" t="s">
        <v>3046</v>
      </c>
      <c r="M581" t="s">
        <v>60</v>
      </c>
      <c r="O581" t="s">
        <v>170</v>
      </c>
      <c r="P581" t="s">
        <v>62</v>
      </c>
      <c r="R581" t="s">
        <v>63</v>
      </c>
      <c r="S581" t="s">
        <v>64</v>
      </c>
      <c r="T581">
        <v>227</v>
      </c>
      <c r="U581">
        <v>208.5</v>
      </c>
      <c r="V581">
        <f t="shared" si="18"/>
        <v>217.75</v>
      </c>
      <c r="W581">
        <f t="shared" si="19"/>
        <v>18.5</v>
      </c>
      <c r="X581">
        <v>-103.666664</v>
      </c>
      <c r="Y581">
        <v>35</v>
      </c>
      <c r="Z581" t="s">
        <v>171</v>
      </c>
      <c r="AA581" t="s">
        <v>66</v>
      </c>
      <c r="AB581" t="s">
        <v>846</v>
      </c>
      <c r="AC581" t="s">
        <v>906</v>
      </c>
      <c r="AD581" t="s">
        <v>1711</v>
      </c>
      <c r="AE581" t="s">
        <v>174</v>
      </c>
      <c r="AF581" t="s">
        <v>906</v>
      </c>
      <c r="AH581" t="s">
        <v>72</v>
      </c>
      <c r="AI581" t="s">
        <v>1716</v>
      </c>
      <c r="AJ581">
        <v>2012</v>
      </c>
      <c r="AK581" t="s">
        <v>3045</v>
      </c>
      <c r="AN581" t="s">
        <v>114</v>
      </c>
      <c r="AO581" t="s">
        <v>657</v>
      </c>
      <c r="AP581" t="s">
        <v>115</v>
      </c>
      <c r="AR581" t="s">
        <v>80</v>
      </c>
      <c r="AS581">
        <v>101</v>
      </c>
      <c r="AT581" t="s">
        <v>81</v>
      </c>
      <c r="AU581">
        <v>-32.590000000000003</v>
      </c>
      <c r="AV581">
        <v>9.58</v>
      </c>
      <c r="AW581" t="s">
        <v>82</v>
      </c>
      <c r="AX581">
        <v>101</v>
      </c>
      <c r="AY581" t="s">
        <v>81</v>
      </c>
      <c r="AZ581">
        <v>-43.41</v>
      </c>
      <c r="BA581">
        <v>9.7799999999999994</v>
      </c>
      <c r="BB581" t="s">
        <v>83</v>
      </c>
    </row>
    <row r="582" spans="1:54" x14ac:dyDescent="0.4">
      <c r="A582">
        <v>843424</v>
      </c>
      <c r="D582" t="s">
        <v>54</v>
      </c>
      <c r="E582" t="s">
        <v>55</v>
      </c>
      <c r="G582">
        <v>1</v>
      </c>
      <c r="H582" t="s">
        <v>56</v>
      </c>
      <c r="I582" t="s">
        <v>57</v>
      </c>
      <c r="K582" t="s">
        <v>85</v>
      </c>
      <c r="L582" t="s">
        <v>845</v>
      </c>
      <c r="M582" t="s">
        <v>60</v>
      </c>
      <c r="O582" t="s">
        <v>87</v>
      </c>
      <c r="P582" t="s">
        <v>62</v>
      </c>
      <c r="R582" t="s">
        <v>63</v>
      </c>
      <c r="S582" t="s">
        <v>64</v>
      </c>
      <c r="T582">
        <v>227</v>
      </c>
      <c r="U582">
        <v>208.5</v>
      </c>
      <c r="V582">
        <f t="shared" si="18"/>
        <v>217.75</v>
      </c>
      <c r="W582">
        <f t="shared" si="19"/>
        <v>18.5</v>
      </c>
      <c r="X582">
        <v>-103.15270200000001</v>
      </c>
      <c r="Y582">
        <v>36.937900999999997</v>
      </c>
      <c r="Z582" t="s">
        <v>124</v>
      </c>
      <c r="AA582" t="s">
        <v>66</v>
      </c>
      <c r="AB582" t="s">
        <v>846</v>
      </c>
      <c r="AC582" t="s">
        <v>3047</v>
      </c>
      <c r="AD582" t="s">
        <v>3048</v>
      </c>
      <c r="AH582" t="s">
        <v>72</v>
      </c>
      <c r="AI582" t="s">
        <v>779</v>
      </c>
      <c r="AJ582">
        <v>1993</v>
      </c>
      <c r="AK582" t="s">
        <v>3049</v>
      </c>
      <c r="AN582" t="s">
        <v>76</v>
      </c>
      <c r="AO582">
        <v>4</v>
      </c>
      <c r="AP582" t="s">
        <v>115</v>
      </c>
      <c r="AQ582" t="s">
        <v>3050</v>
      </c>
      <c r="AR582" t="s">
        <v>80</v>
      </c>
      <c r="AS582">
        <v>101</v>
      </c>
      <c r="AT582" t="s">
        <v>81</v>
      </c>
      <c r="AU582">
        <v>-31.86</v>
      </c>
      <c r="AV582">
        <v>11.43</v>
      </c>
      <c r="AW582" t="s">
        <v>82</v>
      </c>
      <c r="AX582">
        <v>101</v>
      </c>
      <c r="AY582" t="s">
        <v>81</v>
      </c>
      <c r="AZ582">
        <v>-42.75</v>
      </c>
      <c r="BA582">
        <v>11.65</v>
      </c>
      <c r="BB582" t="s">
        <v>83</v>
      </c>
    </row>
    <row r="583" spans="1:54" x14ac:dyDescent="0.4">
      <c r="A583">
        <v>843442</v>
      </c>
      <c r="D583" t="s">
        <v>54</v>
      </c>
      <c r="E583" t="s">
        <v>55</v>
      </c>
      <c r="G583">
        <v>1</v>
      </c>
      <c r="H583" t="s">
        <v>56</v>
      </c>
      <c r="I583" t="s">
        <v>57</v>
      </c>
      <c r="K583" t="s">
        <v>1169</v>
      </c>
      <c r="L583" t="s">
        <v>3051</v>
      </c>
      <c r="M583" t="s">
        <v>60</v>
      </c>
      <c r="P583" t="s">
        <v>62</v>
      </c>
      <c r="R583" t="s">
        <v>63</v>
      </c>
      <c r="S583" t="s">
        <v>64</v>
      </c>
      <c r="T583">
        <v>227</v>
      </c>
      <c r="U583">
        <v>208.5</v>
      </c>
      <c r="V583">
        <f t="shared" si="18"/>
        <v>217.75</v>
      </c>
      <c r="W583">
        <f t="shared" si="19"/>
        <v>18.5</v>
      </c>
      <c r="X583">
        <v>-106.57472199999999</v>
      </c>
      <c r="Y583">
        <v>36.28389</v>
      </c>
      <c r="Z583" t="s">
        <v>124</v>
      </c>
      <c r="AA583" t="s">
        <v>66</v>
      </c>
      <c r="AB583" t="s">
        <v>846</v>
      </c>
      <c r="AC583" t="s">
        <v>847</v>
      </c>
      <c r="AD583" t="s">
        <v>174</v>
      </c>
      <c r="AF583" t="s">
        <v>749</v>
      </c>
      <c r="AH583" t="s">
        <v>72</v>
      </c>
      <c r="AI583" t="s">
        <v>3052</v>
      </c>
      <c r="AJ583">
        <v>1992</v>
      </c>
      <c r="AK583" t="s">
        <v>3053</v>
      </c>
      <c r="AM583" t="s">
        <v>3054</v>
      </c>
      <c r="AN583" t="s">
        <v>76</v>
      </c>
      <c r="AO583" t="s">
        <v>77</v>
      </c>
      <c r="AP583" t="s">
        <v>115</v>
      </c>
      <c r="AQ583" t="s">
        <v>3055</v>
      </c>
      <c r="AR583" t="s">
        <v>80</v>
      </c>
      <c r="AS583">
        <v>101</v>
      </c>
      <c r="AT583" t="s">
        <v>81</v>
      </c>
      <c r="AU583">
        <v>-34.729999999999997</v>
      </c>
      <c r="AV583">
        <v>11.24</v>
      </c>
      <c r="AW583" t="s">
        <v>82</v>
      </c>
      <c r="AX583">
        <v>133</v>
      </c>
      <c r="AY583" t="s">
        <v>81</v>
      </c>
      <c r="AZ583">
        <v>-49.56</v>
      </c>
      <c r="BA583">
        <v>11.4</v>
      </c>
      <c r="BB583" t="s">
        <v>83</v>
      </c>
    </row>
    <row r="584" spans="1:54" x14ac:dyDescent="0.4">
      <c r="A584">
        <v>845884</v>
      </c>
      <c r="D584" t="s">
        <v>54</v>
      </c>
      <c r="G584">
        <v>1</v>
      </c>
      <c r="H584" t="s">
        <v>84</v>
      </c>
      <c r="I584" t="s">
        <v>57</v>
      </c>
      <c r="K584" t="s">
        <v>85</v>
      </c>
      <c r="L584" t="s">
        <v>86</v>
      </c>
      <c r="M584" t="s">
        <v>60</v>
      </c>
      <c r="O584" t="s">
        <v>87</v>
      </c>
      <c r="P584" t="s">
        <v>62</v>
      </c>
      <c r="R584" t="s">
        <v>63</v>
      </c>
      <c r="S584" t="s">
        <v>64</v>
      </c>
      <c r="T584">
        <v>227</v>
      </c>
      <c r="U584">
        <v>208.5</v>
      </c>
      <c r="V584">
        <f t="shared" si="18"/>
        <v>217.75</v>
      </c>
      <c r="W584">
        <f t="shared" si="19"/>
        <v>18.5</v>
      </c>
      <c r="X584">
        <v>-103.206802</v>
      </c>
      <c r="Y584">
        <v>36.966999000000001</v>
      </c>
      <c r="Z584" t="s">
        <v>105</v>
      </c>
      <c r="AA584" t="s">
        <v>66</v>
      </c>
      <c r="AB584" t="s">
        <v>846</v>
      </c>
      <c r="AC584" t="s">
        <v>3047</v>
      </c>
      <c r="AD584" t="s">
        <v>3048</v>
      </c>
      <c r="AH584" t="s">
        <v>11</v>
      </c>
      <c r="AI584" t="s">
        <v>2483</v>
      </c>
      <c r="AJ584">
        <v>1987</v>
      </c>
      <c r="AK584" t="s">
        <v>3067</v>
      </c>
      <c r="AN584" t="s">
        <v>76</v>
      </c>
      <c r="AO584">
        <v>4</v>
      </c>
      <c r="AP584" t="s">
        <v>115</v>
      </c>
      <c r="AQ584" t="s">
        <v>3068</v>
      </c>
      <c r="AR584" t="s">
        <v>80</v>
      </c>
      <c r="AS584">
        <v>101</v>
      </c>
      <c r="AT584" t="s">
        <v>81</v>
      </c>
      <c r="AU584">
        <v>-31.9</v>
      </c>
      <c r="AV584">
        <v>11.46</v>
      </c>
      <c r="AW584" t="s">
        <v>82</v>
      </c>
      <c r="AX584">
        <v>101</v>
      </c>
      <c r="AY584" t="s">
        <v>81</v>
      </c>
      <c r="AZ584">
        <v>-42.79</v>
      </c>
      <c r="BA584">
        <v>11.69</v>
      </c>
      <c r="BB584" t="s">
        <v>83</v>
      </c>
    </row>
    <row r="585" spans="1:54" x14ac:dyDescent="0.4">
      <c r="A585">
        <v>845912</v>
      </c>
      <c r="D585" t="s">
        <v>54</v>
      </c>
      <c r="E585" t="s">
        <v>152</v>
      </c>
      <c r="G585">
        <v>1</v>
      </c>
      <c r="H585" t="s">
        <v>84</v>
      </c>
      <c r="I585" t="s">
        <v>57</v>
      </c>
      <c r="K585" t="s">
        <v>206</v>
      </c>
      <c r="L585" t="s">
        <v>851</v>
      </c>
      <c r="M585" t="s">
        <v>60</v>
      </c>
      <c r="O585" t="s">
        <v>170</v>
      </c>
      <c r="P585" t="s">
        <v>62</v>
      </c>
      <c r="R585" t="s">
        <v>63</v>
      </c>
      <c r="S585" t="s">
        <v>64</v>
      </c>
      <c r="T585">
        <v>227</v>
      </c>
      <c r="U585">
        <v>208.5</v>
      </c>
      <c r="V585">
        <f t="shared" si="18"/>
        <v>217.75</v>
      </c>
      <c r="W585">
        <f t="shared" si="19"/>
        <v>18.5</v>
      </c>
      <c r="X585">
        <v>-102.260803</v>
      </c>
      <c r="Y585">
        <v>36.952399999999997</v>
      </c>
      <c r="Z585" t="s">
        <v>356</v>
      </c>
      <c r="AA585" t="s">
        <v>66</v>
      </c>
      <c r="AB585" t="s">
        <v>846</v>
      </c>
      <c r="AC585" t="s">
        <v>3047</v>
      </c>
      <c r="AD585" t="s">
        <v>3069</v>
      </c>
      <c r="AH585" t="s">
        <v>72</v>
      </c>
      <c r="AI585" t="s">
        <v>740</v>
      </c>
      <c r="AJ585">
        <v>1995</v>
      </c>
      <c r="AK585" t="s">
        <v>3070</v>
      </c>
      <c r="AN585" t="s">
        <v>76</v>
      </c>
      <c r="AO585">
        <v>4</v>
      </c>
      <c r="AP585" t="s">
        <v>115</v>
      </c>
      <c r="AQ585" t="s">
        <v>3071</v>
      </c>
      <c r="AR585" t="s">
        <v>80</v>
      </c>
      <c r="AS585">
        <v>101</v>
      </c>
      <c r="AT585" t="s">
        <v>81</v>
      </c>
      <c r="AU585">
        <v>-31.14</v>
      </c>
      <c r="AV585">
        <v>11.33</v>
      </c>
      <c r="AW585" t="s">
        <v>82</v>
      </c>
      <c r="AX585">
        <v>101</v>
      </c>
      <c r="AY585" t="s">
        <v>81</v>
      </c>
      <c r="AZ585">
        <v>-42.03</v>
      </c>
      <c r="BA585">
        <v>11.59</v>
      </c>
      <c r="BB585" t="s">
        <v>83</v>
      </c>
    </row>
    <row r="586" spans="1:54" x14ac:dyDescent="0.4">
      <c r="A586">
        <v>845919</v>
      </c>
      <c r="D586" t="s">
        <v>54</v>
      </c>
      <c r="I586" t="s">
        <v>57</v>
      </c>
      <c r="K586" t="s">
        <v>85</v>
      </c>
      <c r="L586" t="s">
        <v>845</v>
      </c>
      <c r="M586" t="s">
        <v>60</v>
      </c>
      <c r="O586" t="s">
        <v>87</v>
      </c>
      <c r="P586" t="s">
        <v>62</v>
      </c>
      <c r="R586" t="s">
        <v>63</v>
      </c>
      <c r="S586" t="s">
        <v>64</v>
      </c>
      <c r="T586">
        <v>227</v>
      </c>
      <c r="U586">
        <v>208.5</v>
      </c>
      <c r="V586">
        <f t="shared" si="18"/>
        <v>217.75</v>
      </c>
      <c r="W586">
        <f t="shared" si="19"/>
        <v>18.5</v>
      </c>
      <c r="X586">
        <v>-103.5</v>
      </c>
      <c r="Y586">
        <v>36.916668000000001</v>
      </c>
      <c r="Z586" t="s">
        <v>356</v>
      </c>
      <c r="AA586" t="s">
        <v>66</v>
      </c>
      <c r="AB586" t="s">
        <v>846</v>
      </c>
      <c r="AC586" t="s">
        <v>3047</v>
      </c>
      <c r="AD586" t="s">
        <v>3069</v>
      </c>
      <c r="AH586" t="s">
        <v>72</v>
      </c>
      <c r="AI586" t="s">
        <v>740</v>
      </c>
      <c r="AJ586">
        <v>1995</v>
      </c>
      <c r="AK586" t="s">
        <v>3072</v>
      </c>
      <c r="AN586" t="s">
        <v>341</v>
      </c>
      <c r="AO586" t="s">
        <v>160</v>
      </c>
      <c r="AR586" t="s">
        <v>80</v>
      </c>
      <c r="AS586">
        <v>101</v>
      </c>
      <c r="AT586" t="s">
        <v>81</v>
      </c>
      <c r="AU586">
        <v>-32.14</v>
      </c>
      <c r="AV586">
        <v>11.45</v>
      </c>
      <c r="AW586" t="s">
        <v>82</v>
      </c>
      <c r="AX586">
        <v>101</v>
      </c>
      <c r="AY586" t="s">
        <v>81</v>
      </c>
      <c r="AZ586">
        <v>-43.04</v>
      </c>
      <c r="BA586">
        <v>11.67</v>
      </c>
      <c r="BB586" t="s">
        <v>83</v>
      </c>
    </row>
    <row r="587" spans="1:54" x14ac:dyDescent="0.4">
      <c r="A587">
        <v>846145</v>
      </c>
      <c r="D587" t="s">
        <v>54</v>
      </c>
      <c r="I587" t="s">
        <v>57</v>
      </c>
      <c r="K587" t="s">
        <v>206</v>
      </c>
      <c r="L587" t="s">
        <v>851</v>
      </c>
      <c r="M587" t="s">
        <v>60</v>
      </c>
      <c r="O587" t="s">
        <v>170</v>
      </c>
      <c r="P587" t="s">
        <v>62</v>
      </c>
      <c r="R587" t="s">
        <v>63</v>
      </c>
      <c r="S587" t="s">
        <v>64</v>
      </c>
      <c r="T587">
        <v>227</v>
      </c>
      <c r="U587">
        <v>208.5</v>
      </c>
      <c r="V587">
        <f t="shared" si="18"/>
        <v>217.75</v>
      </c>
      <c r="W587">
        <f t="shared" si="19"/>
        <v>18.5</v>
      </c>
      <c r="X587">
        <v>-106.446297</v>
      </c>
      <c r="Y587">
        <v>36.313000000000002</v>
      </c>
      <c r="Z587" t="s">
        <v>124</v>
      </c>
      <c r="AA587" t="s">
        <v>66</v>
      </c>
      <c r="AB587" t="s">
        <v>846</v>
      </c>
      <c r="AC587" t="s">
        <v>847</v>
      </c>
      <c r="AD587" t="s">
        <v>174</v>
      </c>
      <c r="AF587" t="s">
        <v>749</v>
      </c>
      <c r="AH587" t="s">
        <v>11</v>
      </c>
      <c r="AI587" t="s">
        <v>1127</v>
      </c>
      <c r="AJ587">
        <v>2007</v>
      </c>
      <c r="AK587" t="s">
        <v>1141</v>
      </c>
      <c r="AM587" t="s">
        <v>1142</v>
      </c>
      <c r="AN587" t="s">
        <v>76</v>
      </c>
      <c r="AO587">
        <v>4</v>
      </c>
      <c r="AP587" t="s">
        <v>115</v>
      </c>
      <c r="AQ587" t="s">
        <v>1138</v>
      </c>
      <c r="AR587" t="s">
        <v>80</v>
      </c>
      <c r="AS587">
        <v>101</v>
      </c>
      <c r="AT587" t="s">
        <v>81</v>
      </c>
      <c r="AU587">
        <v>-34.619999999999997</v>
      </c>
      <c r="AV587">
        <v>11.25</v>
      </c>
      <c r="AW587" t="s">
        <v>82</v>
      </c>
      <c r="AX587">
        <v>133</v>
      </c>
      <c r="AY587" t="s">
        <v>81</v>
      </c>
      <c r="AZ587">
        <v>-49.45</v>
      </c>
      <c r="BA587">
        <v>11.41</v>
      </c>
      <c r="BB587" t="s">
        <v>83</v>
      </c>
    </row>
    <row r="588" spans="1:54" x14ac:dyDescent="0.4">
      <c r="A588">
        <v>846167</v>
      </c>
      <c r="D588" t="s">
        <v>54</v>
      </c>
      <c r="G588">
        <v>1</v>
      </c>
      <c r="H588" t="s">
        <v>56</v>
      </c>
      <c r="I588" t="s">
        <v>57</v>
      </c>
      <c r="K588" t="s">
        <v>206</v>
      </c>
      <c r="L588" t="s">
        <v>851</v>
      </c>
      <c r="M588" t="s">
        <v>60</v>
      </c>
      <c r="O588" t="s">
        <v>170</v>
      </c>
      <c r="P588" t="s">
        <v>62</v>
      </c>
      <c r="R588" t="s">
        <v>63</v>
      </c>
      <c r="S588" t="s">
        <v>64</v>
      </c>
      <c r="T588">
        <v>227</v>
      </c>
      <c r="U588">
        <v>208.5</v>
      </c>
      <c r="V588">
        <f t="shared" si="18"/>
        <v>217.75</v>
      </c>
      <c r="W588">
        <f t="shared" si="19"/>
        <v>18.5</v>
      </c>
      <c r="X588">
        <v>-106.433609</v>
      </c>
      <c r="Y588">
        <v>36.316665999999998</v>
      </c>
      <c r="Z588" t="s">
        <v>124</v>
      </c>
      <c r="AA588" t="s">
        <v>66</v>
      </c>
      <c r="AB588" t="s">
        <v>846</v>
      </c>
      <c r="AC588" t="s">
        <v>847</v>
      </c>
      <c r="AD588" t="s">
        <v>174</v>
      </c>
      <c r="AF588" t="s">
        <v>749</v>
      </c>
      <c r="AH588" t="s">
        <v>72</v>
      </c>
      <c r="AI588" t="s">
        <v>461</v>
      </c>
      <c r="AJ588">
        <v>1887</v>
      </c>
      <c r="AK588" t="s">
        <v>3077</v>
      </c>
      <c r="AM588" t="s">
        <v>3078</v>
      </c>
      <c r="AN588" t="s">
        <v>114</v>
      </c>
      <c r="AO588" t="s">
        <v>160</v>
      </c>
      <c r="AP588" t="s">
        <v>115</v>
      </c>
      <c r="AQ588" t="s">
        <v>3079</v>
      </c>
      <c r="AR588" t="s">
        <v>80</v>
      </c>
      <c r="AS588">
        <v>101</v>
      </c>
      <c r="AT588" t="s">
        <v>81</v>
      </c>
      <c r="AU588">
        <v>-34.61</v>
      </c>
      <c r="AV588">
        <v>11.26</v>
      </c>
      <c r="AW588" t="s">
        <v>82</v>
      </c>
      <c r="AX588">
        <v>133</v>
      </c>
      <c r="AY588" t="s">
        <v>81</v>
      </c>
      <c r="AZ588">
        <v>-49.44</v>
      </c>
      <c r="BA588">
        <v>11.41</v>
      </c>
      <c r="BB588" t="s">
        <v>83</v>
      </c>
    </row>
    <row r="589" spans="1:54" x14ac:dyDescent="0.4">
      <c r="A589">
        <v>846168</v>
      </c>
      <c r="D589" t="s">
        <v>54</v>
      </c>
      <c r="G589">
        <v>1</v>
      </c>
      <c r="H589" t="s">
        <v>56</v>
      </c>
      <c r="I589" t="s">
        <v>57</v>
      </c>
      <c r="K589" t="s">
        <v>206</v>
      </c>
      <c r="L589" t="s">
        <v>851</v>
      </c>
      <c r="M589" t="s">
        <v>60</v>
      </c>
      <c r="O589" t="s">
        <v>170</v>
      </c>
      <c r="P589" t="s">
        <v>62</v>
      </c>
      <c r="R589" t="s">
        <v>63</v>
      </c>
      <c r="S589" t="s">
        <v>64</v>
      </c>
      <c r="T589">
        <v>227</v>
      </c>
      <c r="U589">
        <v>208.5</v>
      </c>
      <c r="V589">
        <f t="shared" si="18"/>
        <v>217.75</v>
      </c>
      <c r="W589">
        <f t="shared" si="19"/>
        <v>18.5</v>
      </c>
      <c r="X589">
        <v>-106.199997</v>
      </c>
      <c r="Y589">
        <v>36.099997999999999</v>
      </c>
      <c r="Z589" t="s">
        <v>124</v>
      </c>
      <c r="AA589" t="s">
        <v>66</v>
      </c>
      <c r="AB589" t="s">
        <v>846</v>
      </c>
      <c r="AC589" t="s">
        <v>847</v>
      </c>
      <c r="AD589" t="s">
        <v>174</v>
      </c>
      <c r="AF589" t="s">
        <v>749</v>
      </c>
      <c r="AH589" t="s">
        <v>72</v>
      </c>
      <c r="AI589" t="s">
        <v>740</v>
      </c>
      <c r="AJ589">
        <v>1995</v>
      </c>
      <c r="AK589" t="s">
        <v>3080</v>
      </c>
      <c r="AN589" t="s">
        <v>114</v>
      </c>
      <c r="AO589">
        <v>1</v>
      </c>
      <c r="AR589" t="s">
        <v>80</v>
      </c>
      <c r="AS589">
        <v>101</v>
      </c>
      <c r="AT589" t="s">
        <v>81</v>
      </c>
      <c r="AU589">
        <v>-34.46</v>
      </c>
      <c r="AV589">
        <v>11.01</v>
      </c>
      <c r="AW589" t="s">
        <v>82</v>
      </c>
      <c r="AX589">
        <v>133</v>
      </c>
      <c r="AY589" t="s">
        <v>81</v>
      </c>
      <c r="AZ589">
        <v>-49.28</v>
      </c>
      <c r="BA589">
        <v>11.17</v>
      </c>
      <c r="BB589" t="s">
        <v>83</v>
      </c>
    </row>
    <row r="590" spans="1:54" x14ac:dyDescent="0.4">
      <c r="A590">
        <v>846168</v>
      </c>
      <c r="D590" t="s">
        <v>54</v>
      </c>
      <c r="G590">
        <v>1</v>
      </c>
      <c r="H590" t="s">
        <v>56</v>
      </c>
      <c r="I590" t="s">
        <v>57</v>
      </c>
      <c r="K590" t="s">
        <v>206</v>
      </c>
      <c r="L590" t="s">
        <v>851</v>
      </c>
      <c r="M590" t="s">
        <v>60</v>
      </c>
      <c r="O590" t="s">
        <v>170</v>
      </c>
      <c r="P590" t="s">
        <v>62</v>
      </c>
      <c r="R590" t="s">
        <v>63</v>
      </c>
      <c r="S590" t="s">
        <v>64</v>
      </c>
      <c r="T590">
        <v>227</v>
      </c>
      <c r="U590">
        <v>208.5</v>
      </c>
      <c r="V590">
        <f t="shared" si="18"/>
        <v>217.75</v>
      </c>
      <c r="W590">
        <f t="shared" si="19"/>
        <v>18.5</v>
      </c>
      <c r="X590">
        <v>-106.199997</v>
      </c>
      <c r="Y590">
        <v>36.099997999999999</v>
      </c>
      <c r="Z590" t="s">
        <v>124</v>
      </c>
      <c r="AA590" t="s">
        <v>66</v>
      </c>
      <c r="AB590" t="s">
        <v>846</v>
      </c>
      <c r="AC590" t="s">
        <v>847</v>
      </c>
      <c r="AD590" t="s">
        <v>174</v>
      </c>
      <c r="AF590" t="s">
        <v>749</v>
      </c>
      <c r="AH590" t="s">
        <v>72</v>
      </c>
      <c r="AI590" t="s">
        <v>740</v>
      </c>
      <c r="AJ590">
        <v>1995</v>
      </c>
      <c r="AK590" t="s">
        <v>3080</v>
      </c>
      <c r="AN590" t="s">
        <v>114</v>
      </c>
      <c r="AO590">
        <v>1</v>
      </c>
      <c r="AR590" t="s">
        <v>80</v>
      </c>
      <c r="AS590">
        <v>101</v>
      </c>
      <c r="AT590" t="s">
        <v>81</v>
      </c>
      <c r="AU590">
        <v>-34.46</v>
      </c>
      <c r="AV590">
        <v>11.01</v>
      </c>
      <c r="AW590" t="s">
        <v>82</v>
      </c>
      <c r="AX590">
        <v>133</v>
      </c>
      <c r="AY590" t="s">
        <v>81</v>
      </c>
      <c r="AZ590">
        <v>-49.28</v>
      </c>
      <c r="BA590">
        <v>11.17</v>
      </c>
      <c r="BB590" t="s">
        <v>83</v>
      </c>
    </row>
    <row r="591" spans="1:54" x14ac:dyDescent="0.4">
      <c r="A591">
        <v>846168</v>
      </c>
      <c r="D591" t="s">
        <v>54</v>
      </c>
      <c r="G591">
        <v>1</v>
      </c>
      <c r="H591" t="s">
        <v>56</v>
      </c>
      <c r="I591" t="s">
        <v>57</v>
      </c>
      <c r="K591" t="s">
        <v>206</v>
      </c>
      <c r="L591" t="s">
        <v>851</v>
      </c>
      <c r="M591" t="s">
        <v>60</v>
      </c>
      <c r="O591" t="s">
        <v>170</v>
      </c>
      <c r="P591" t="s">
        <v>62</v>
      </c>
      <c r="R591" t="s">
        <v>63</v>
      </c>
      <c r="S591" t="s">
        <v>64</v>
      </c>
      <c r="T591">
        <v>227</v>
      </c>
      <c r="U591">
        <v>208.5</v>
      </c>
      <c r="V591">
        <f t="shared" si="18"/>
        <v>217.75</v>
      </c>
      <c r="W591">
        <f t="shared" si="19"/>
        <v>18.5</v>
      </c>
      <c r="X591">
        <v>-106.199997</v>
      </c>
      <c r="Y591">
        <v>36.099997999999999</v>
      </c>
      <c r="Z591" t="s">
        <v>124</v>
      </c>
      <c r="AA591" t="s">
        <v>66</v>
      </c>
      <c r="AB591" t="s">
        <v>846</v>
      </c>
      <c r="AC591" t="s">
        <v>847</v>
      </c>
      <c r="AD591" t="s">
        <v>174</v>
      </c>
      <c r="AF591" t="s">
        <v>749</v>
      </c>
      <c r="AH591" t="s">
        <v>72</v>
      </c>
      <c r="AI591" t="s">
        <v>740</v>
      </c>
      <c r="AJ591">
        <v>1995</v>
      </c>
      <c r="AK591" t="s">
        <v>3080</v>
      </c>
      <c r="AN591" t="s">
        <v>114</v>
      </c>
      <c r="AO591">
        <v>1</v>
      </c>
      <c r="AR591" t="s">
        <v>80</v>
      </c>
      <c r="AS591">
        <v>101</v>
      </c>
      <c r="AT591" t="s">
        <v>81</v>
      </c>
      <c r="AU591">
        <v>-34.46</v>
      </c>
      <c r="AV591">
        <v>11.01</v>
      </c>
      <c r="AW591" t="s">
        <v>82</v>
      </c>
      <c r="AX591">
        <v>133</v>
      </c>
      <c r="AY591" t="s">
        <v>81</v>
      </c>
      <c r="AZ591">
        <v>-49.28</v>
      </c>
      <c r="BA591">
        <v>11.17</v>
      </c>
      <c r="BB591" t="s">
        <v>83</v>
      </c>
    </row>
    <row r="592" spans="1:54" x14ac:dyDescent="0.4">
      <c r="A592">
        <v>846306</v>
      </c>
      <c r="D592" t="s">
        <v>54</v>
      </c>
      <c r="E592" t="s">
        <v>55</v>
      </c>
      <c r="G592">
        <v>2</v>
      </c>
      <c r="H592" t="s">
        <v>84</v>
      </c>
      <c r="I592" t="s">
        <v>57</v>
      </c>
      <c r="K592" t="s">
        <v>196</v>
      </c>
      <c r="L592" t="s">
        <v>197</v>
      </c>
      <c r="M592" t="s">
        <v>60</v>
      </c>
      <c r="O592" t="s">
        <v>87</v>
      </c>
      <c r="P592" t="s">
        <v>62</v>
      </c>
      <c r="Q592" t="s">
        <v>1339</v>
      </c>
      <c r="R592" t="s">
        <v>63</v>
      </c>
      <c r="S592" t="s">
        <v>64</v>
      </c>
      <c r="T592">
        <v>227</v>
      </c>
      <c r="U592">
        <v>208.5</v>
      </c>
      <c r="V592">
        <f t="shared" si="18"/>
        <v>217.75</v>
      </c>
      <c r="W592">
        <f t="shared" si="19"/>
        <v>18.5</v>
      </c>
      <c r="X592">
        <v>-106.47305299999999</v>
      </c>
      <c r="Y592">
        <v>36.331668999999998</v>
      </c>
      <c r="Z592" t="s">
        <v>886</v>
      </c>
      <c r="AA592" t="s">
        <v>66</v>
      </c>
      <c r="AB592" t="s">
        <v>846</v>
      </c>
      <c r="AC592" t="s">
        <v>847</v>
      </c>
      <c r="AD592" t="s">
        <v>174</v>
      </c>
      <c r="AF592" t="s">
        <v>749</v>
      </c>
      <c r="AH592" t="s">
        <v>11</v>
      </c>
      <c r="AI592" t="s">
        <v>1340</v>
      </c>
      <c r="AJ592">
        <v>2003</v>
      </c>
      <c r="AK592" t="s">
        <v>1337</v>
      </c>
      <c r="AN592" t="s">
        <v>114</v>
      </c>
      <c r="AO592" t="s">
        <v>77</v>
      </c>
      <c r="AP592" t="s">
        <v>115</v>
      </c>
      <c r="AQ592" t="s">
        <v>1338</v>
      </c>
      <c r="AR592" t="s">
        <v>80</v>
      </c>
      <c r="AS592">
        <v>101</v>
      </c>
      <c r="AT592" t="s">
        <v>81</v>
      </c>
      <c r="AU592">
        <v>-35.119999999999997</v>
      </c>
      <c r="AV592">
        <v>10.64</v>
      </c>
      <c r="AW592" t="s">
        <v>82</v>
      </c>
      <c r="AX592">
        <v>133</v>
      </c>
      <c r="AY592" t="s">
        <v>81</v>
      </c>
      <c r="AZ592">
        <v>-50.08</v>
      </c>
      <c r="BA592">
        <v>12.01</v>
      </c>
      <c r="BB592" t="s">
        <v>83</v>
      </c>
    </row>
    <row r="593" spans="1:54" x14ac:dyDescent="0.4">
      <c r="A593">
        <v>846308</v>
      </c>
      <c r="D593" t="s">
        <v>54</v>
      </c>
      <c r="E593" t="s">
        <v>55</v>
      </c>
      <c r="G593">
        <v>1</v>
      </c>
      <c r="H593" t="s">
        <v>84</v>
      </c>
      <c r="I593" t="s">
        <v>57</v>
      </c>
      <c r="K593" t="s">
        <v>293</v>
      </c>
      <c r="L593" t="s">
        <v>3081</v>
      </c>
      <c r="M593" t="s">
        <v>60</v>
      </c>
      <c r="N593" t="s">
        <v>256</v>
      </c>
      <c r="O593" t="s">
        <v>87</v>
      </c>
      <c r="P593" t="s">
        <v>62</v>
      </c>
      <c r="R593" t="s">
        <v>63</v>
      </c>
      <c r="S593" t="s">
        <v>64</v>
      </c>
      <c r="T593">
        <v>227</v>
      </c>
      <c r="U593">
        <v>208.5</v>
      </c>
      <c r="V593">
        <f t="shared" si="18"/>
        <v>217.75</v>
      </c>
      <c r="W593">
        <f t="shared" si="19"/>
        <v>18.5</v>
      </c>
      <c r="X593">
        <v>-106.47305299999999</v>
      </c>
      <c r="Y593">
        <v>36.331668999999998</v>
      </c>
      <c r="Z593" t="s">
        <v>886</v>
      </c>
      <c r="AA593" t="s">
        <v>66</v>
      </c>
      <c r="AB593" t="s">
        <v>846</v>
      </c>
      <c r="AC593" t="s">
        <v>847</v>
      </c>
      <c r="AD593" t="s">
        <v>174</v>
      </c>
      <c r="AF593" t="s">
        <v>749</v>
      </c>
      <c r="AH593" t="s">
        <v>11</v>
      </c>
      <c r="AI593" t="s">
        <v>1127</v>
      </c>
      <c r="AJ593">
        <v>2007</v>
      </c>
      <c r="AK593" t="s">
        <v>1337</v>
      </c>
      <c r="AN593" t="s">
        <v>114</v>
      </c>
      <c r="AO593" t="s">
        <v>77</v>
      </c>
      <c r="AP593" t="s">
        <v>115</v>
      </c>
      <c r="AQ593" t="s">
        <v>1338</v>
      </c>
      <c r="AR593" t="s">
        <v>80</v>
      </c>
      <c r="AS593">
        <v>101</v>
      </c>
      <c r="AT593" t="s">
        <v>81</v>
      </c>
      <c r="AU593">
        <v>-35.119999999999997</v>
      </c>
      <c r="AV593">
        <v>10.64</v>
      </c>
      <c r="AW593" t="s">
        <v>82</v>
      </c>
      <c r="AX593">
        <v>133</v>
      </c>
      <c r="AY593" t="s">
        <v>81</v>
      </c>
      <c r="AZ593">
        <v>-50.08</v>
      </c>
      <c r="BA593">
        <v>12.01</v>
      </c>
      <c r="BB593" t="s">
        <v>83</v>
      </c>
    </row>
    <row r="594" spans="1:54" x14ac:dyDescent="0.4">
      <c r="A594">
        <v>847959</v>
      </c>
      <c r="D594" t="s">
        <v>167</v>
      </c>
      <c r="E594" t="s">
        <v>154</v>
      </c>
      <c r="I594" t="s">
        <v>57</v>
      </c>
      <c r="K594" t="s">
        <v>85</v>
      </c>
      <c r="L594" t="s">
        <v>1076</v>
      </c>
      <c r="M594" t="s">
        <v>60</v>
      </c>
      <c r="O594" t="s">
        <v>87</v>
      </c>
      <c r="P594" t="s">
        <v>62</v>
      </c>
      <c r="R594" t="s">
        <v>63</v>
      </c>
      <c r="S594" t="s">
        <v>64</v>
      </c>
      <c r="T594">
        <v>227</v>
      </c>
      <c r="U594">
        <v>208.5</v>
      </c>
      <c r="V594">
        <f t="shared" si="18"/>
        <v>217.75</v>
      </c>
      <c r="W594">
        <f t="shared" si="19"/>
        <v>18.5</v>
      </c>
      <c r="X594">
        <v>-109.462486</v>
      </c>
      <c r="Y594">
        <v>34.437420000000003</v>
      </c>
      <c r="Z594" t="s">
        <v>734</v>
      </c>
      <c r="AA594" t="s">
        <v>66</v>
      </c>
      <c r="AB594" t="s">
        <v>583</v>
      </c>
      <c r="AC594" t="s">
        <v>735</v>
      </c>
      <c r="AD594" t="s">
        <v>174</v>
      </c>
      <c r="AF594" t="s">
        <v>736</v>
      </c>
      <c r="AH594" t="s">
        <v>11</v>
      </c>
      <c r="AI594" t="s">
        <v>740</v>
      </c>
      <c r="AJ594">
        <v>1995</v>
      </c>
      <c r="AK594" t="s">
        <v>737</v>
      </c>
      <c r="AN594" t="s">
        <v>76</v>
      </c>
      <c r="AO594">
        <v>8</v>
      </c>
      <c r="AP594" t="s">
        <v>78</v>
      </c>
      <c r="AQ594" t="s">
        <v>738</v>
      </c>
      <c r="AR594" t="s">
        <v>80</v>
      </c>
      <c r="AS594">
        <v>101</v>
      </c>
      <c r="AT594" t="s">
        <v>81</v>
      </c>
      <c r="AU594">
        <v>-37.44</v>
      </c>
      <c r="AV594">
        <v>9.8800000000000008</v>
      </c>
      <c r="AW594" t="s">
        <v>82</v>
      </c>
      <c r="AX594">
        <v>133</v>
      </c>
      <c r="AY594" t="s">
        <v>81</v>
      </c>
      <c r="AZ594">
        <v>-52.23</v>
      </c>
      <c r="BA594">
        <v>9.9499999999999993</v>
      </c>
      <c r="BB594" t="s">
        <v>83</v>
      </c>
    </row>
    <row r="595" spans="1:54" x14ac:dyDescent="0.4">
      <c r="A595">
        <v>850008</v>
      </c>
      <c r="D595" t="s">
        <v>167</v>
      </c>
      <c r="E595" t="s">
        <v>154</v>
      </c>
      <c r="G595">
        <v>2</v>
      </c>
      <c r="H595" t="s">
        <v>421</v>
      </c>
      <c r="I595" t="s">
        <v>57</v>
      </c>
      <c r="K595" t="s">
        <v>141</v>
      </c>
      <c r="L595" t="s">
        <v>1073</v>
      </c>
      <c r="M595" t="s">
        <v>60</v>
      </c>
      <c r="N595" t="s">
        <v>326</v>
      </c>
      <c r="O595" t="s">
        <v>170</v>
      </c>
      <c r="P595" t="s">
        <v>62</v>
      </c>
      <c r="R595" t="s">
        <v>63</v>
      </c>
      <c r="S595" t="s">
        <v>64</v>
      </c>
      <c r="T595">
        <v>227</v>
      </c>
      <c r="U595">
        <v>208.5</v>
      </c>
      <c r="V595">
        <f t="shared" si="18"/>
        <v>217.75</v>
      </c>
      <c r="W595">
        <f t="shared" si="19"/>
        <v>18.5</v>
      </c>
      <c r="X595">
        <v>-109.462486</v>
      </c>
      <c r="Y595">
        <v>34.437420000000003</v>
      </c>
      <c r="Z595" t="s">
        <v>734</v>
      </c>
      <c r="AA595" t="s">
        <v>66</v>
      </c>
      <c r="AB595" t="s">
        <v>583</v>
      </c>
      <c r="AC595" t="s">
        <v>735</v>
      </c>
      <c r="AD595" t="s">
        <v>174</v>
      </c>
      <c r="AF595" t="s">
        <v>736</v>
      </c>
      <c r="AH595" t="s">
        <v>72</v>
      </c>
      <c r="AI595" t="s">
        <v>1129</v>
      </c>
      <c r="AJ595">
        <v>2006</v>
      </c>
      <c r="AK595" t="s">
        <v>737</v>
      </c>
      <c r="AN595" t="s">
        <v>76</v>
      </c>
      <c r="AO595">
        <v>8</v>
      </c>
      <c r="AP595" t="s">
        <v>78</v>
      </c>
      <c r="AQ595" t="s">
        <v>738</v>
      </c>
      <c r="AR595" t="s">
        <v>80</v>
      </c>
      <c r="AS595">
        <v>101</v>
      </c>
      <c r="AT595" t="s">
        <v>81</v>
      </c>
      <c r="AU595">
        <v>-37.44</v>
      </c>
      <c r="AV595">
        <v>9.8800000000000008</v>
      </c>
      <c r="AW595" t="s">
        <v>82</v>
      </c>
      <c r="AX595">
        <v>133</v>
      </c>
      <c r="AY595" t="s">
        <v>81</v>
      </c>
      <c r="AZ595">
        <v>-52.23</v>
      </c>
      <c r="BA595">
        <v>9.9499999999999993</v>
      </c>
      <c r="BB595" t="s">
        <v>83</v>
      </c>
    </row>
    <row r="596" spans="1:54" x14ac:dyDescent="0.4">
      <c r="A596">
        <v>850012</v>
      </c>
      <c r="D596" t="s">
        <v>54</v>
      </c>
      <c r="G596">
        <v>1</v>
      </c>
      <c r="H596" t="s">
        <v>84</v>
      </c>
      <c r="I596" t="s">
        <v>57</v>
      </c>
      <c r="K596" t="s">
        <v>168</v>
      </c>
      <c r="L596" t="s">
        <v>169</v>
      </c>
      <c r="M596" t="s">
        <v>60</v>
      </c>
      <c r="O596" t="s">
        <v>170</v>
      </c>
      <c r="P596" t="s">
        <v>62</v>
      </c>
      <c r="R596" t="s">
        <v>63</v>
      </c>
      <c r="S596" t="s">
        <v>64</v>
      </c>
      <c r="T596">
        <v>227</v>
      </c>
      <c r="U596">
        <v>208.5</v>
      </c>
      <c r="V596">
        <f t="shared" si="18"/>
        <v>217.75</v>
      </c>
      <c r="W596">
        <f t="shared" si="19"/>
        <v>18.5</v>
      </c>
      <c r="X596">
        <v>-101.133331</v>
      </c>
      <c r="Y596">
        <v>33.416668000000001</v>
      </c>
      <c r="Z596" t="s">
        <v>124</v>
      </c>
      <c r="AA596" t="s">
        <v>66</v>
      </c>
      <c r="AB596" t="s">
        <v>125</v>
      </c>
      <c r="AC596" t="s">
        <v>172</v>
      </c>
      <c r="AD596" t="s">
        <v>173</v>
      </c>
      <c r="AE596" t="s">
        <v>201</v>
      </c>
      <c r="AH596" t="s">
        <v>72</v>
      </c>
      <c r="AI596" t="s">
        <v>466</v>
      </c>
      <c r="AJ596">
        <v>1928</v>
      </c>
      <c r="AK596" t="s">
        <v>3125</v>
      </c>
      <c r="AM596" t="s">
        <v>3126</v>
      </c>
      <c r="AN596" t="s">
        <v>341</v>
      </c>
      <c r="AO596" t="s">
        <v>160</v>
      </c>
      <c r="AP596" t="s">
        <v>359</v>
      </c>
      <c r="AQ596" t="s">
        <v>3127</v>
      </c>
      <c r="AR596" t="s">
        <v>80</v>
      </c>
      <c r="AS596">
        <v>101</v>
      </c>
      <c r="AT596" t="s">
        <v>81</v>
      </c>
      <c r="AU596">
        <v>-30.73</v>
      </c>
      <c r="AV596">
        <v>7.7</v>
      </c>
      <c r="AW596" t="s">
        <v>82</v>
      </c>
      <c r="AX596">
        <v>101</v>
      </c>
      <c r="AY596" t="s">
        <v>81</v>
      </c>
      <c r="AZ596">
        <v>-41.47</v>
      </c>
      <c r="BA596">
        <v>7.98</v>
      </c>
      <c r="BB596" t="s">
        <v>83</v>
      </c>
    </row>
    <row r="597" spans="1:54" x14ac:dyDescent="0.4">
      <c r="A597">
        <v>850016</v>
      </c>
      <c r="D597" t="s">
        <v>54</v>
      </c>
      <c r="G597">
        <v>1</v>
      </c>
      <c r="H597" t="s">
        <v>84</v>
      </c>
      <c r="I597" t="s">
        <v>57</v>
      </c>
      <c r="K597" t="s">
        <v>206</v>
      </c>
      <c r="L597" t="s">
        <v>744</v>
      </c>
      <c r="M597" t="s">
        <v>60</v>
      </c>
      <c r="O597" t="s">
        <v>170</v>
      </c>
      <c r="P597" t="s">
        <v>62</v>
      </c>
      <c r="R597" t="s">
        <v>63</v>
      </c>
      <c r="S597" t="s">
        <v>64</v>
      </c>
      <c r="T597">
        <v>227</v>
      </c>
      <c r="U597">
        <v>208.5</v>
      </c>
      <c r="V597">
        <f t="shared" si="18"/>
        <v>217.75</v>
      </c>
      <c r="W597">
        <f t="shared" si="19"/>
        <v>18.5</v>
      </c>
      <c r="X597">
        <v>-101.133331</v>
      </c>
      <c r="Y597">
        <v>33.416668000000001</v>
      </c>
      <c r="Z597" t="s">
        <v>124</v>
      </c>
      <c r="AA597" t="s">
        <v>66</v>
      </c>
      <c r="AB597" t="s">
        <v>125</v>
      </c>
      <c r="AC597" t="s">
        <v>172</v>
      </c>
      <c r="AD597" t="s">
        <v>173</v>
      </c>
      <c r="AE597" t="s">
        <v>201</v>
      </c>
      <c r="AH597" t="s">
        <v>72</v>
      </c>
      <c r="AI597" t="s">
        <v>740</v>
      </c>
      <c r="AJ597">
        <v>1995</v>
      </c>
      <c r="AK597" t="s">
        <v>3125</v>
      </c>
      <c r="AM597" t="s">
        <v>3126</v>
      </c>
      <c r="AN597" t="s">
        <v>341</v>
      </c>
      <c r="AO597" t="s">
        <v>160</v>
      </c>
      <c r="AP597" t="s">
        <v>359</v>
      </c>
      <c r="AQ597" t="s">
        <v>3127</v>
      </c>
      <c r="AR597" t="s">
        <v>80</v>
      </c>
      <c r="AS597">
        <v>101</v>
      </c>
      <c r="AT597" t="s">
        <v>81</v>
      </c>
      <c r="AU597">
        <v>-30.73</v>
      </c>
      <c r="AV597">
        <v>7.7</v>
      </c>
      <c r="AW597" t="s">
        <v>82</v>
      </c>
      <c r="AX597">
        <v>101</v>
      </c>
      <c r="AY597" t="s">
        <v>81</v>
      </c>
      <c r="AZ597">
        <v>-41.47</v>
      </c>
      <c r="BA597">
        <v>7.98</v>
      </c>
      <c r="BB597" t="s">
        <v>83</v>
      </c>
    </row>
    <row r="598" spans="1:54" x14ac:dyDescent="0.4">
      <c r="A598">
        <v>850048</v>
      </c>
      <c r="D598" t="s">
        <v>54</v>
      </c>
      <c r="E598" t="s">
        <v>55</v>
      </c>
      <c r="G598">
        <v>1</v>
      </c>
      <c r="H598" t="s">
        <v>56</v>
      </c>
      <c r="I598" t="s">
        <v>57</v>
      </c>
      <c r="K598" t="s">
        <v>206</v>
      </c>
      <c r="L598" t="s">
        <v>207</v>
      </c>
      <c r="M598" t="s">
        <v>60</v>
      </c>
      <c r="O598" t="s">
        <v>170</v>
      </c>
      <c r="P598" t="s">
        <v>62</v>
      </c>
      <c r="R598" t="s">
        <v>63</v>
      </c>
      <c r="S598" t="s">
        <v>64</v>
      </c>
      <c r="T598">
        <v>227</v>
      </c>
      <c r="U598">
        <v>208.5</v>
      </c>
      <c r="V598">
        <f t="shared" si="18"/>
        <v>217.75</v>
      </c>
      <c r="W598">
        <f t="shared" si="19"/>
        <v>18.5</v>
      </c>
      <c r="X598">
        <v>-109.566666</v>
      </c>
      <c r="Y598">
        <v>36.383330999999998</v>
      </c>
      <c r="Z598" t="s">
        <v>886</v>
      </c>
      <c r="AA598" t="s">
        <v>66</v>
      </c>
      <c r="AB598" t="s">
        <v>583</v>
      </c>
      <c r="AC598" t="s">
        <v>735</v>
      </c>
      <c r="AD598" t="s">
        <v>174</v>
      </c>
      <c r="AF598" t="s">
        <v>1068</v>
      </c>
      <c r="AH598" t="s">
        <v>72</v>
      </c>
      <c r="AI598" t="s">
        <v>208</v>
      </c>
      <c r="AJ598">
        <v>2008</v>
      </c>
      <c r="AK598" t="s">
        <v>3128</v>
      </c>
      <c r="AN598" t="s">
        <v>192</v>
      </c>
      <c r="AO598" t="s">
        <v>160</v>
      </c>
      <c r="AP598" t="s">
        <v>115</v>
      </c>
      <c r="AR598" t="s">
        <v>80</v>
      </c>
      <c r="AS598">
        <v>101</v>
      </c>
      <c r="AT598" t="s">
        <v>81</v>
      </c>
      <c r="AU598">
        <v>-37.130000000000003</v>
      </c>
      <c r="AV598">
        <v>11.8</v>
      </c>
      <c r="AW598" t="s">
        <v>82</v>
      </c>
      <c r="AX598">
        <v>133</v>
      </c>
      <c r="AY598" t="s">
        <v>81</v>
      </c>
      <c r="AZ598">
        <v>-51.97</v>
      </c>
      <c r="BA598">
        <v>11.89</v>
      </c>
      <c r="BB598" t="s">
        <v>83</v>
      </c>
    </row>
    <row r="599" spans="1:54" x14ac:dyDescent="0.4">
      <c r="A599">
        <v>853407</v>
      </c>
      <c r="D599" t="s">
        <v>904</v>
      </c>
      <c r="G599">
        <v>1</v>
      </c>
      <c r="H599" t="s">
        <v>84</v>
      </c>
      <c r="I599" t="s">
        <v>57</v>
      </c>
      <c r="K599" t="s">
        <v>85</v>
      </c>
      <c r="L599" t="s">
        <v>845</v>
      </c>
      <c r="M599" t="s">
        <v>60</v>
      </c>
      <c r="O599" t="s">
        <v>87</v>
      </c>
      <c r="P599" t="s">
        <v>62</v>
      </c>
      <c r="R599" t="s">
        <v>63</v>
      </c>
      <c r="S599" t="s">
        <v>64</v>
      </c>
      <c r="T599">
        <v>227</v>
      </c>
      <c r="U599">
        <v>208.5</v>
      </c>
      <c r="V599">
        <f t="shared" si="18"/>
        <v>217.75</v>
      </c>
      <c r="W599">
        <f t="shared" si="19"/>
        <v>18.5</v>
      </c>
      <c r="X599">
        <v>-103.379997</v>
      </c>
      <c r="Y599">
        <v>35.365276000000001</v>
      </c>
      <c r="Z599" t="s">
        <v>582</v>
      </c>
      <c r="AA599" t="s">
        <v>66</v>
      </c>
      <c r="AB599" t="s">
        <v>846</v>
      </c>
      <c r="AC599" t="s">
        <v>906</v>
      </c>
      <c r="AD599" t="s">
        <v>907</v>
      </c>
      <c r="AE599" t="s">
        <v>201</v>
      </c>
      <c r="AH599" t="s">
        <v>11</v>
      </c>
      <c r="AI599" t="s">
        <v>908</v>
      </c>
      <c r="AJ599">
        <v>2001</v>
      </c>
      <c r="AK599" t="s">
        <v>909</v>
      </c>
      <c r="AN599" t="s">
        <v>76</v>
      </c>
      <c r="AO599" t="s">
        <v>77</v>
      </c>
      <c r="AP599" t="s">
        <v>78</v>
      </c>
      <c r="AQ599" t="s">
        <v>910</v>
      </c>
      <c r="AR599" t="s">
        <v>80</v>
      </c>
      <c r="AS599">
        <v>101</v>
      </c>
      <c r="AT599" t="s">
        <v>81</v>
      </c>
      <c r="AU599">
        <v>-32.29</v>
      </c>
      <c r="AV599">
        <v>9.9</v>
      </c>
      <c r="AW599" t="s">
        <v>82</v>
      </c>
      <c r="AX599">
        <v>101</v>
      </c>
      <c r="AY599" t="s">
        <v>81</v>
      </c>
      <c r="AZ599">
        <v>-43.13</v>
      </c>
      <c r="BA599">
        <v>10.11</v>
      </c>
      <c r="BB599" t="s">
        <v>83</v>
      </c>
    </row>
    <row r="600" spans="1:54" x14ac:dyDescent="0.4">
      <c r="A600">
        <v>853411</v>
      </c>
      <c r="D600" t="s">
        <v>904</v>
      </c>
      <c r="G600">
        <v>4</v>
      </c>
      <c r="H600" t="s">
        <v>84</v>
      </c>
      <c r="I600" t="s">
        <v>57</v>
      </c>
      <c r="K600" t="s">
        <v>767</v>
      </c>
      <c r="L600" t="s">
        <v>768</v>
      </c>
      <c r="M600" t="s">
        <v>60</v>
      </c>
      <c r="N600" t="s">
        <v>119</v>
      </c>
      <c r="O600" t="s">
        <v>87</v>
      </c>
      <c r="P600" t="s">
        <v>62</v>
      </c>
      <c r="R600" t="s">
        <v>63</v>
      </c>
      <c r="S600" t="s">
        <v>64</v>
      </c>
      <c r="T600">
        <v>227</v>
      </c>
      <c r="U600">
        <v>208.5</v>
      </c>
      <c r="V600">
        <f t="shared" si="18"/>
        <v>217.75</v>
      </c>
      <c r="W600">
        <f t="shared" si="19"/>
        <v>18.5</v>
      </c>
      <c r="X600">
        <v>-103.379997</v>
      </c>
      <c r="Y600">
        <v>35.365276000000001</v>
      </c>
      <c r="Z600" t="s">
        <v>582</v>
      </c>
      <c r="AA600" t="s">
        <v>66</v>
      </c>
      <c r="AB600" t="s">
        <v>846</v>
      </c>
      <c r="AC600" t="s">
        <v>906</v>
      </c>
      <c r="AD600" t="s">
        <v>907</v>
      </c>
      <c r="AE600" t="s">
        <v>201</v>
      </c>
      <c r="AH600" t="s">
        <v>72</v>
      </c>
      <c r="AI600" t="s">
        <v>908</v>
      </c>
      <c r="AJ600">
        <v>2001</v>
      </c>
      <c r="AK600" t="s">
        <v>909</v>
      </c>
      <c r="AN600" t="s">
        <v>76</v>
      </c>
      <c r="AO600" t="s">
        <v>77</v>
      </c>
      <c r="AP600" t="s">
        <v>78</v>
      </c>
      <c r="AQ600" t="s">
        <v>910</v>
      </c>
      <c r="AR600" t="s">
        <v>80</v>
      </c>
      <c r="AS600">
        <v>101</v>
      </c>
      <c r="AT600" t="s">
        <v>81</v>
      </c>
      <c r="AU600">
        <v>-32.29</v>
      </c>
      <c r="AV600">
        <v>9.9</v>
      </c>
      <c r="AW600" t="s">
        <v>82</v>
      </c>
      <c r="AX600">
        <v>101</v>
      </c>
      <c r="AY600" t="s">
        <v>81</v>
      </c>
      <c r="AZ600">
        <v>-43.13</v>
      </c>
      <c r="BA600">
        <v>10.11</v>
      </c>
      <c r="BB600" t="s">
        <v>83</v>
      </c>
    </row>
    <row r="601" spans="1:54" x14ac:dyDescent="0.4">
      <c r="A601">
        <v>880945</v>
      </c>
      <c r="D601" t="s">
        <v>54</v>
      </c>
      <c r="E601" t="s">
        <v>152</v>
      </c>
      <c r="G601">
        <v>1</v>
      </c>
      <c r="H601" t="s">
        <v>56</v>
      </c>
      <c r="I601" t="s">
        <v>57</v>
      </c>
      <c r="K601" t="s">
        <v>141</v>
      </c>
      <c r="L601" t="s">
        <v>3254</v>
      </c>
      <c r="M601" t="s">
        <v>60</v>
      </c>
      <c r="O601" t="s">
        <v>87</v>
      </c>
      <c r="P601" t="s">
        <v>62</v>
      </c>
      <c r="R601" t="s">
        <v>63</v>
      </c>
      <c r="S601" t="s">
        <v>64</v>
      </c>
      <c r="T601">
        <v>227</v>
      </c>
      <c r="U601">
        <v>208.5</v>
      </c>
      <c r="V601">
        <f t="shared" si="18"/>
        <v>217.75</v>
      </c>
      <c r="W601">
        <f t="shared" si="19"/>
        <v>18.5</v>
      </c>
      <c r="X601">
        <v>10.968610999999999</v>
      </c>
      <c r="Y601">
        <v>50.195</v>
      </c>
      <c r="Z601" t="s">
        <v>124</v>
      </c>
      <c r="AA601" t="s">
        <v>211</v>
      </c>
      <c r="AB601" t="s">
        <v>953</v>
      </c>
      <c r="AC601" t="s">
        <v>2655</v>
      </c>
      <c r="AD601" t="s">
        <v>3255</v>
      </c>
      <c r="AE601" t="s">
        <v>215</v>
      </c>
      <c r="AF601" t="s">
        <v>1188</v>
      </c>
      <c r="AH601" t="s">
        <v>72</v>
      </c>
      <c r="AI601" t="s">
        <v>3256</v>
      </c>
      <c r="AJ601">
        <v>1954</v>
      </c>
      <c r="AK601" t="s">
        <v>3257</v>
      </c>
      <c r="AN601" t="s">
        <v>114</v>
      </c>
      <c r="AO601" t="s">
        <v>77</v>
      </c>
      <c r="AP601" t="s">
        <v>115</v>
      </c>
      <c r="AQ601" t="s">
        <v>3258</v>
      </c>
      <c r="AR601" t="s">
        <v>80</v>
      </c>
      <c r="AS601">
        <v>305</v>
      </c>
      <c r="AT601" t="s">
        <v>81</v>
      </c>
      <c r="AU601">
        <v>21.82</v>
      </c>
      <c r="AV601">
        <v>31.86</v>
      </c>
      <c r="AW601" t="s">
        <v>82</v>
      </c>
      <c r="AX601">
        <v>305</v>
      </c>
      <c r="AY601" t="s">
        <v>81</v>
      </c>
      <c r="AZ601">
        <v>10.64</v>
      </c>
      <c r="BA601">
        <v>33.78</v>
      </c>
      <c r="BB601" t="s">
        <v>83</v>
      </c>
    </row>
    <row r="602" spans="1:54" x14ac:dyDescent="0.4">
      <c r="A602">
        <v>882064</v>
      </c>
      <c r="D602" t="s">
        <v>54</v>
      </c>
      <c r="E602" t="s">
        <v>152</v>
      </c>
      <c r="G602">
        <v>1</v>
      </c>
      <c r="H602" t="s">
        <v>421</v>
      </c>
      <c r="I602" t="s">
        <v>57</v>
      </c>
      <c r="K602" t="s">
        <v>244</v>
      </c>
      <c r="L602" t="s">
        <v>245</v>
      </c>
      <c r="M602" t="s">
        <v>60</v>
      </c>
      <c r="O602" t="s">
        <v>170</v>
      </c>
      <c r="P602" t="s">
        <v>62</v>
      </c>
      <c r="R602" t="s">
        <v>63</v>
      </c>
      <c r="S602" t="s">
        <v>64</v>
      </c>
      <c r="T602">
        <v>227</v>
      </c>
      <c r="U602">
        <v>208.5</v>
      </c>
      <c r="V602">
        <f t="shared" si="18"/>
        <v>217.75</v>
      </c>
      <c r="W602">
        <f t="shared" si="19"/>
        <v>18.5</v>
      </c>
      <c r="X602">
        <v>11.266667</v>
      </c>
      <c r="Y602">
        <v>49.483333999999999</v>
      </c>
      <c r="Z602" t="s">
        <v>124</v>
      </c>
      <c r="AA602" t="s">
        <v>211</v>
      </c>
      <c r="AB602" t="s">
        <v>953</v>
      </c>
      <c r="AC602" t="s">
        <v>3282</v>
      </c>
      <c r="AD602" t="s">
        <v>954</v>
      </c>
      <c r="AE602" t="s">
        <v>215</v>
      </c>
      <c r="AH602" t="s">
        <v>11</v>
      </c>
      <c r="AI602" t="s">
        <v>958</v>
      </c>
      <c r="AJ602">
        <v>2003</v>
      </c>
      <c r="AK602" t="s">
        <v>3283</v>
      </c>
      <c r="AN602" t="s">
        <v>192</v>
      </c>
      <c r="AO602" t="s">
        <v>160</v>
      </c>
      <c r="AP602" t="s">
        <v>115</v>
      </c>
      <c r="AQ602" t="s">
        <v>3284</v>
      </c>
      <c r="AR602" t="s">
        <v>80</v>
      </c>
      <c r="AS602">
        <v>305</v>
      </c>
      <c r="AT602" t="s">
        <v>81</v>
      </c>
      <c r="AU602">
        <v>22.38</v>
      </c>
      <c r="AV602">
        <v>31.3</v>
      </c>
      <c r="AW602" t="s">
        <v>82</v>
      </c>
      <c r="AX602">
        <v>305</v>
      </c>
      <c r="AY602" t="s">
        <v>81</v>
      </c>
      <c r="AZ602">
        <v>11.23</v>
      </c>
      <c r="BA602">
        <v>33.229999999999997</v>
      </c>
      <c r="BB602" t="s">
        <v>83</v>
      </c>
    </row>
    <row r="603" spans="1:54" x14ac:dyDescent="0.4">
      <c r="A603">
        <v>882293</v>
      </c>
      <c r="D603" t="s">
        <v>54</v>
      </c>
      <c r="E603" t="s">
        <v>55</v>
      </c>
      <c r="F603" t="s">
        <v>600</v>
      </c>
      <c r="G603">
        <v>1</v>
      </c>
      <c r="H603" t="s">
        <v>56</v>
      </c>
      <c r="I603" t="s">
        <v>57</v>
      </c>
      <c r="K603" t="s">
        <v>85</v>
      </c>
      <c r="L603" t="s">
        <v>1517</v>
      </c>
      <c r="M603" t="s">
        <v>60</v>
      </c>
      <c r="O603" t="s">
        <v>87</v>
      </c>
      <c r="P603" t="s">
        <v>62</v>
      </c>
      <c r="R603" t="s">
        <v>63</v>
      </c>
      <c r="S603" t="s">
        <v>64</v>
      </c>
      <c r="T603">
        <v>227</v>
      </c>
      <c r="U603">
        <v>208.5</v>
      </c>
      <c r="V603">
        <f t="shared" si="18"/>
        <v>217.75</v>
      </c>
      <c r="W603">
        <f t="shared" si="19"/>
        <v>18.5</v>
      </c>
      <c r="X603">
        <v>14.011388999999999</v>
      </c>
      <c r="Y603">
        <v>47.624721999999998</v>
      </c>
      <c r="Z603" t="s">
        <v>1415</v>
      </c>
      <c r="AA603" t="s">
        <v>712</v>
      </c>
      <c r="AB603" t="s">
        <v>3288</v>
      </c>
      <c r="AD603" t="s">
        <v>3289</v>
      </c>
      <c r="AH603" t="s">
        <v>72</v>
      </c>
      <c r="AI603" t="s">
        <v>3290</v>
      </c>
      <c r="AJ603">
        <v>1993</v>
      </c>
      <c r="AK603" t="s">
        <v>3291</v>
      </c>
      <c r="AN603" t="s">
        <v>849</v>
      </c>
      <c r="AO603" t="s">
        <v>77</v>
      </c>
      <c r="AP603" t="s">
        <v>115</v>
      </c>
      <c r="AQ603" t="s">
        <v>3292</v>
      </c>
      <c r="AR603" t="s">
        <v>80</v>
      </c>
      <c r="AS603">
        <v>307</v>
      </c>
      <c r="AT603" t="s">
        <v>81</v>
      </c>
      <c r="AU603">
        <v>32.229999999999997</v>
      </c>
      <c r="AV603">
        <v>19.96</v>
      </c>
      <c r="AW603" t="s">
        <v>82</v>
      </c>
      <c r="AX603">
        <v>307</v>
      </c>
      <c r="AY603" t="s">
        <v>81</v>
      </c>
      <c r="AZ603">
        <v>17.34</v>
      </c>
      <c r="BA603">
        <v>25.57</v>
      </c>
      <c r="BB603" t="s">
        <v>83</v>
      </c>
    </row>
    <row r="604" spans="1:54" x14ac:dyDescent="0.4">
      <c r="A604">
        <v>882293</v>
      </c>
      <c r="D604" t="s">
        <v>54</v>
      </c>
      <c r="E604" t="s">
        <v>55</v>
      </c>
      <c r="F604" t="s">
        <v>600</v>
      </c>
      <c r="G604">
        <v>1</v>
      </c>
      <c r="H604" t="s">
        <v>56</v>
      </c>
      <c r="I604" t="s">
        <v>57</v>
      </c>
      <c r="K604" t="s">
        <v>85</v>
      </c>
      <c r="L604" t="s">
        <v>1517</v>
      </c>
      <c r="M604" t="s">
        <v>60</v>
      </c>
      <c r="O604" t="s">
        <v>87</v>
      </c>
      <c r="P604" t="s">
        <v>62</v>
      </c>
      <c r="R604" t="s">
        <v>63</v>
      </c>
      <c r="S604" t="s">
        <v>64</v>
      </c>
      <c r="T604">
        <v>227</v>
      </c>
      <c r="U604">
        <v>208.5</v>
      </c>
      <c r="V604">
        <f t="shared" si="18"/>
        <v>217.75</v>
      </c>
      <c r="W604">
        <f t="shared" si="19"/>
        <v>18.5</v>
      </c>
      <c r="X604">
        <v>14.011388999999999</v>
      </c>
      <c r="Y604">
        <v>47.624721999999998</v>
      </c>
      <c r="Z604" t="s">
        <v>1415</v>
      </c>
      <c r="AA604" t="s">
        <v>712</v>
      </c>
      <c r="AB604" t="s">
        <v>3288</v>
      </c>
      <c r="AD604" t="s">
        <v>3289</v>
      </c>
      <c r="AH604" t="s">
        <v>72</v>
      </c>
      <c r="AI604" t="s">
        <v>3290</v>
      </c>
      <c r="AJ604">
        <v>1993</v>
      </c>
      <c r="AK604" t="s">
        <v>3291</v>
      </c>
      <c r="AN604" t="s">
        <v>849</v>
      </c>
      <c r="AO604" t="s">
        <v>77</v>
      </c>
      <c r="AP604" t="s">
        <v>115</v>
      </c>
      <c r="AQ604" t="s">
        <v>3292</v>
      </c>
      <c r="AR604" t="s">
        <v>80</v>
      </c>
      <c r="AS604">
        <v>307</v>
      </c>
      <c r="AT604" t="s">
        <v>81</v>
      </c>
      <c r="AU604">
        <v>32.229999999999997</v>
      </c>
      <c r="AV604">
        <v>19.96</v>
      </c>
      <c r="AW604" t="s">
        <v>82</v>
      </c>
      <c r="AX604">
        <v>307</v>
      </c>
      <c r="AY604" t="s">
        <v>81</v>
      </c>
      <c r="AZ604">
        <v>17.34</v>
      </c>
      <c r="BA604">
        <v>25.57</v>
      </c>
      <c r="BB604" t="s">
        <v>83</v>
      </c>
    </row>
    <row r="605" spans="1:54" x14ac:dyDescent="0.4">
      <c r="A605">
        <v>882293</v>
      </c>
      <c r="D605" t="s">
        <v>54</v>
      </c>
      <c r="E605" t="s">
        <v>55</v>
      </c>
      <c r="F605" t="s">
        <v>600</v>
      </c>
      <c r="G605">
        <v>1</v>
      </c>
      <c r="H605" t="s">
        <v>56</v>
      </c>
      <c r="I605" t="s">
        <v>57</v>
      </c>
      <c r="K605" t="s">
        <v>85</v>
      </c>
      <c r="L605" t="s">
        <v>1517</v>
      </c>
      <c r="M605" t="s">
        <v>60</v>
      </c>
      <c r="O605" t="s">
        <v>87</v>
      </c>
      <c r="P605" t="s">
        <v>62</v>
      </c>
      <c r="R605" t="s">
        <v>63</v>
      </c>
      <c r="S605" t="s">
        <v>64</v>
      </c>
      <c r="T605">
        <v>227</v>
      </c>
      <c r="U605">
        <v>208.5</v>
      </c>
      <c r="V605">
        <f t="shared" si="18"/>
        <v>217.75</v>
      </c>
      <c r="W605">
        <f t="shared" si="19"/>
        <v>18.5</v>
      </c>
      <c r="X605">
        <v>14.011388999999999</v>
      </c>
      <c r="Y605">
        <v>47.624721999999998</v>
      </c>
      <c r="Z605" t="s">
        <v>1415</v>
      </c>
      <c r="AA605" t="s">
        <v>712</v>
      </c>
      <c r="AB605" t="s">
        <v>3288</v>
      </c>
      <c r="AD605" t="s">
        <v>3289</v>
      </c>
      <c r="AH605" t="s">
        <v>72</v>
      </c>
      <c r="AI605" t="s">
        <v>3290</v>
      </c>
      <c r="AJ605">
        <v>1993</v>
      </c>
      <c r="AK605" t="s">
        <v>3291</v>
      </c>
      <c r="AN605" t="s">
        <v>849</v>
      </c>
      <c r="AO605" t="s">
        <v>77</v>
      </c>
      <c r="AP605" t="s">
        <v>115</v>
      </c>
      <c r="AQ605" t="s">
        <v>3292</v>
      </c>
      <c r="AR605" t="s">
        <v>80</v>
      </c>
      <c r="AS605">
        <v>307</v>
      </c>
      <c r="AT605" t="s">
        <v>81</v>
      </c>
      <c r="AU605">
        <v>32.229999999999997</v>
      </c>
      <c r="AV605">
        <v>19.96</v>
      </c>
      <c r="AW605" t="s">
        <v>82</v>
      </c>
      <c r="AX605">
        <v>307</v>
      </c>
      <c r="AY605" t="s">
        <v>81</v>
      </c>
      <c r="AZ605">
        <v>17.34</v>
      </c>
      <c r="BA605">
        <v>25.57</v>
      </c>
      <c r="BB605" t="s">
        <v>83</v>
      </c>
    </row>
    <row r="606" spans="1:54" x14ac:dyDescent="0.4">
      <c r="A606">
        <v>897122</v>
      </c>
      <c r="D606" t="s">
        <v>54</v>
      </c>
      <c r="E606" t="s">
        <v>55</v>
      </c>
      <c r="G606">
        <v>60</v>
      </c>
      <c r="H606" t="s">
        <v>84</v>
      </c>
      <c r="I606" t="s">
        <v>57</v>
      </c>
      <c r="K606" t="s">
        <v>141</v>
      </c>
      <c r="L606" t="s">
        <v>729</v>
      </c>
      <c r="M606" t="s">
        <v>60</v>
      </c>
      <c r="P606" t="s">
        <v>62</v>
      </c>
      <c r="R606" t="s">
        <v>63</v>
      </c>
      <c r="S606" t="s">
        <v>64</v>
      </c>
      <c r="T606">
        <v>227</v>
      </c>
      <c r="U606">
        <v>208.5</v>
      </c>
      <c r="V606">
        <f t="shared" si="18"/>
        <v>217.75</v>
      </c>
      <c r="W606">
        <f t="shared" si="19"/>
        <v>18.5</v>
      </c>
      <c r="X606">
        <v>-79.103560999999999</v>
      </c>
      <c r="Y606">
        <v>35.618591000000002</v>
      </c>
      <c r="Z606" t="s">
        <v>198</v>
      </c>
      <c r="AA606" t="s">
        <v>66</v>
      </c>
      <c r="AB606" t="s">
        <v>816</v>
      </c>
      <c r="AC606" t="s">
        <v>70</v>
      </c>
      <c r="AD606" t="s">
        <v>3423</v>
      </c>
      <c r="AE606" t="s">
        <v>70</v>
      </c>
      <c r="AH606" t="s">
        <v>72</v>
      </c>
      <c r="AI606" t="s">
        <v>2965</v>
      </c>
      <c r="AJ606">
        <v>2010</v>
      </c>
      <c r="AK606" t="s">
        <v>3424</v>
      </c>
      <c r="AN606" t="s">
        <v>114</v>
      </c>
      <c r="AO606">
        <v>6</v>
      </c>
      <c r="AP606" t="s">
        <v>115</v>
      </c>
      <c r="AQ606" t="s">
        <v>3425</v>
      </c>
      <c r="AR606" t="s">
        <v>80</v>
      </c>
      <c r="AS606">
        <v>109</v>
      </c>
      <c r="AT606" t="s">
        <v>81</v>
      </c>
      <c r="AU606">
        <v>-12.33</v>
      </c>
      <c r="AV606">
        <v>8.94</v>
      </c>
      <c r="AW606" t="s">
        <v>82</v>
      </c>
      <c r="AX606">
        <v>109</v>
      </c>
      <c r="AY606" t="s">
        <v>81</v>
      </c>
      <c r="AZ606">
        <v>-23.1</v>
      </c>
      <c r="BA606">
        <v>9.9</v>
      </c>
      <c r="BB606" t="s">
        <v>83</v>
      </c>
    </row>
    <row r="607" spans="1:54" x14ac:dyDescent="0.4">
      <c r="A607">
        <v>897129</v>
      </c>
      <c r="D607" t="s">
        <v>54</v>
      </c>
      <c r="E607" t="s">
        <v>55</v>
      </c>
      <c r="G607">
        <v>70</v>
      </c>
      <c r="H607" t="s">
        <v>84</v>
      </c>
      <c r="I607" t="s">
        <v>57</v>
      </c>
      <c r="K607" t="s">
        <v>141</v>
      </c>
      <c r="L607" t="s">
        <v>905</v>
      </c>
      <c r="M607" t="s">
        <v>60</v>
      </c>
      <c r="O607" t="s">
        <v>170</v>
      </c>
      <c r="P607" t="s">
        <v>62</v>
      </c>
      <c r="R607" t="s">
        <v>63</v>
      </c>
      <c r="S607" t="s">
        <v>64</v>
      </c>
      <c r="T607">
        <v>227</v>
      </c>
      <c r="U607">
        <v>208.5</v>
      </c>
      <c r="V607">
        <f t="shared" si="18"/>
        <v>217.75</v>
      </c>
      <c r="W607">
        <f t="shared" si="19"/>
        <v>18.5</v>
      </c>
      <c r="X607">
        <v>-79.103560999999999</v>
      </c>
      <c r="Y607">
        <v>35.618591000000002</v>
      </c>
      <c r="Z607" t="s">
        <v>198</v>
      </c>
      <c r="AA607" t="s">
        <v>66</v>
      </c>
      <c r="AB607" t="s">
        <v>816</v>
      </c>
      <c r="AC607" t="s">
        <v>70</v>
      </c>
      <c r="AD607" t="s">
        <v>3423</v>
      </c>
      <c r="AE607" t="s">
        <v>70</v>
      </c>
      <c r="AH607" t="s">
        <v>11</v>
      </c>
      <c r="AI607" t="s">
        <v>1129</v>
      </c>
      <c r="AJ607">
        <v>2012</v>
      </c>
      <c r="AK607" t="s">
        <v>3424</v>
      </c>
      <c r="AN607" t="s">
        <v>114</v>
      </c>
      <c r="AO607">
        <v>6</v>
      </c>
      <c r="AP607" t="s">
        <v>115</v>
      </c>
      <c r="AQ607" t="s">
        <v>3425</v>
      </c>
      <c r="AR607" t="s">
        <v>80</v>
      </c>
      <c r="AS607">
        <v>109</v>
      </c>
      <c r="AT607" t="s">
        <v>81</v>
      </c>
      <c r="AU607">
        <v>-12.33</v>
      </c>
      <c r="AV607">
        <v>8.94</v>
      </c>
      <c r="AW607" t="s">
        <v>82</v>
      </c>
      <c r="AX607">
        <v>109</v>
      </c>
      <c r="AY607" t="s">
        <v>81</v>
      </c>
      <c r="AZ607">
        <v>-23.1</v>
      </c>
      <c r="BA607">
        <v>9.9</v>
      </c>
      <c r="BB607" t="s">
        <v>83</v>
      </c>
    </row>
    <row r="608" spans="1:54" x14ac:dyDescent="0.4">
      <c r="A608">
        <v>897134</v>
      </c>
      <c r="D608" t="s">
        <v>54</v>
      </c>
      <c r="E608" t="s">
        <v>55</v>
      </c>
      <c r="I608" t="s">
        <v>57</v>
      </c>
      <c r="K608" t="s">
        <v>141</v>
      </c>
      <c r="L608" t="s">
        <v>905</v>
      </c>
      <c r="M608" t="s">
        <v>60</v>
      </c>
      <c r="O608" t="s">
        <v>170</v>
      </c>
      <c r="P608" t="s">
        <v>62</v>
      </c>
      <c r="R608" t="s">
        <v>63</v>
      </c>
      <c r="S608" t="s">
        <v>64</v>
      </c>
      <c r="T608">
        <v>227</v>
      </c>
      <c r="U608">
        <v>208.5</v>
      </c>
      <c r="V608">
        <f t="shared" si="18"/>
        <v>217.75</v>
      </c>
      <c r="W608">
        <f t="shared" si="19"/>
        <v>18.5</v>
      </c>
      <c r="X608">
        <v>-79.103560999999999</v>
      </c>
      <c r="Y608">
        <v>35.618591000000002</v>
      </c>
      <c r="Z608" t="s">
        <v>198</v>
      </c>
      <c r="AA608" t="s">
        <v>66</v>
      </c>
      <c r="AB608" t="s">
        <v>816</v>
      </c>
      <c r="AC608" t="s">
        <v>70</v>
      </c>
      <c r="AD608" t="s">
        <v>3423</v>
      </c>
      <c r="AE608" t="s">
        <v>70</v>
      </c>
      <c r="AH608" t="s">
        <v>11</v>
      </c>
      <c r="AI608" t="s">
        <v>1129</v>
      </c>
      <c r="AJ608">
        <v>2008</v>
      </c>
      <c r="AK608" t="s">
        <v>3424</v>
      </c>
      <c r="AN608" t="s">
        <v>114</v>
      </c>
      <c r="AO608">
        <v>6</v>
      </c>
      <c r="AP608" t="s">
        <v>115</v>
      </c>
      <c r="AQ608" t="s">
        <v>3425</v>
      </c>
      <c r="AR608" t="s">
        <v>80</v>
      </c>
      <c r="AS608">
        <v>109</v>
      </c>
      <c r="AT608" t="s">
        <v>81</v>
      </c>
      <c r="AU608">
        <v>-12.33</v>
      </c>
      <c r="AV608">
        <v>8.94</v>
      </c>
      <c r="AW608" t="s">
        <v>82</v>
      </c>
      <c r="AX608">
        <v>109</v>
      </c>
      <c r="AY608" t="s">
        <v>81</v>
      </c>
      <c r="AZ608">
        <v>-23.1</v>
      </c>
      <c r="BA608">
        <v>9.9</v>
      </c>
      <c r="BB608" t="s">
        <v>83</v>
      </c>
    </row>
    <row r="609" spans="1:54" x14ac:dyDescent="0.4">
      <c r="A609">
        <v>897618</v>
      </c>
      <c r="D609" t="s">
        <v>54</v>
      </c>
      <c r="E609" t="s">
        <v>55</v>
      </c>
      <c r="G609">
        <v>1</v>
      </c>
      <c r="H609" t="s">
        <v>56</v>
      </c>
      <c r="I609" t="s">
        <v>57</v>
      </c>
      <c r="K609" t="s">
        <v>306</v>
      </c>
      <c r="L609" t="s">
        <v>1177</v>
      </c>
      <c r="M609" t="s">
        <v>60</v>
      </c>
      <c r="P609" t="s">
        <v>62</v>
      </c>
      <c r="R609" t="s">
        <v>63</v>
      </c>
      <c r="S609" t="s">
        <v>64</v>
      </c>
      <c r="T609">
        <v>227</v>
      </c>
      <c r="U609">
        <v>208.5</v>
      </c>
      <c r="V609">
        <f t="shared" si="18"/>
        <v>217.75</v>
      </c>
      <c r="W609">
        <f t="shared" si="19"/>
        <v>18.5</v>
      </c>
      <c r="X609">
        <v>-52.84111</v>
      </c>
      <c r="Y609">
        <v>-29.681388999999999</v>
      </c>
      <c r="Z609" t="s">
        <v>582</v>
      </c>
      <c r="AA609" t="s">
        <v>783</v>
      </c>
      <c r="AB609" t="s">
        <v>784</v>
      </c>
      <c r="AD609" t="s">
        <v>785</v>
      </c>
      <c r="AE609" t="s">
        <v>786</v>
      </c>
      <c r="AG609" t="s">
        <v>1173</v>
      </c>
      <c r="AH609" t="s">
        <v>11</v>
      </c>
      <c r="AI609" t="s">
        <v>3426</v>
      </c>
      <c r="AJ609">
        <v>2011</v>
      </c>
      <c r="AK609" t="s">
        <v>3427</v>
      </c>
      <c r="AM609" t="s">
        <v>3428</v>
      </c>
      <c r="AN609" t="s">
        <v>76</v>
      </c>
      <c r="AO609" t="s">
        <v>77</v>
      </c>
      <c r="AP609" t="s">
        <v>78</v>
      </c>
      <c r="AQ609" t="s">
        <v>3429</v>
      </c>
      <c r="AR609" t="s">
        <v>80</v>
      </c>
      <c r="AS609">
        <v>201</v>
      </c>
      <c r="AT609" t="s">
        <v>81</v>
      </c>
      <c r="AU609">
        <v>-6.17</v>
      </c>
      <c r="AV609">
        <v>-38.549999999999997</v>
      </c>
      <c r="AW609" t="s">
        <v>82</v>
      </c>
      <c r="AX609">
        <v>202</v>
      </c>
      <c r="AY609" t="s">
        <v>81</v>
      </c>
      <c r="AZ609">
        <v>-14.94</v>
      </c>
      <c r="BA609">
        <v>-36.96</v>
      </c>
      <c r="BB609" t="s">
        <v>83</v>
      </c>
    </row>
    <row r="610" spans="1:54" x14ac:dyDescent="0.4">
      <c r="A610">
        <v>900174</v>
      </c>
      <c r="D610" t="s">
        <v>54</v>
      </c>
      <c r="I610" t="s">
        <v>57</v>
      </c>
      <c r="K610" t="s">
        <v>537</v>
      </c>
      <c r="L610" t="s">
        <v>538</v>
      </c>
      <c r="M610" t="s">
        <v>223</v>
      </c>
      <c r="N610" t="s">
        <v>234</v>
      </c>
      <c r="O610" t="s">
        <v>87</v>
      </c>
      <c r="P610" t="s">
        <v>62</v>
      </c>
      <c r="R610" t="s">
        <v>63</v>
      </c>
      <c r="S610" t="s">
        <v>64</v>
      </c>
      <c r="T610">
        <v>227</v>
      </c>
      <c r="U610">
        <v>208.5</v>
      </c>
      <c r="V610">
        <f t="shared" si="18"/>
        <v>217.75</v>
      </c>
      <c r="W610">
        <f t="shared" si="19"/>
        <v>18.5</v>
      </c>
      <c r="X610">
        <v>-118.04583</v>
      </c>
      <c r="Y610">
        <v>38.431946000000003</v>
      </c>
      <c r="Z610" t="s">
        <v>3447</v>
      </c>
      <c r="AA610" t="s">
        <v>66</v>
      </c>
      <c r="AB610" t="s">
        <v>558</v>
      </c>
      <c r="AD610" t="s">
        <v>3448</v>
      </c>
      <c r="AF610" t="s">
        <v>1704</v>
      </c>
      <c r="AH610" t="s">
        <v>11</v>
      </c>
      <c r="AI610" t="s">
        <v>3449</v>
      </c>
      <c r="AJ610">
        <v>1979</v>
      </c>
      <c r="AK610" t="s">
        <v>3450</v>
      </c>
      <c r="AO610" t="s">
        <v>77</v>
      </c>
      <c r="AQ610" t="s">
        <v>3451</v>
      </c>
      <c r="AR610" t="s">
        <v>80</v>
      </c>
      <c r="AS610">
        <v>101</v>
      </c>
      <c r="AT610" t="s">
        <v>81</v>
      </c>
      <c r="AU610">
        <v>-43.37</v>
      </c>
      <c r="AV610">
        <v>15.37</v>
      </c>
      <c r="AW610" t="s">
        <v>82</v>
      </c>
      <c r="AX610">
        <v>131</v>
      </c>
      <c r="AY610" t="s">
        <v>81</v>
      </c>
      <c r="AZ610">
        <v>-55.29</v>
      </c>
      <c r="BA610">
        <v>12.89</v>
      </c>
      <c r="BB610" t="s">
        <v>83</v>
      </c>
    </row>
    <row r="611" spans="1:54" x14ac:dyDescent="0.4">
      <c r="A611">
        <v>900219</v>
      </c>
      <c r="D611" t="s">
        <v>2001</v>
      </c>
      <c r="I611" t="s">
        <v>57</v>
      </c>
      <c r="K611" t="s">
        <v>537</v>
      </c>
      <c r="L611" t="s">
        <v>538</v>
      </c>
      <c r="M611" t="s">
        <v>223</v>
      </c>
      <c r="N611" t="s">
        <v>234</v>
      </c>
      <c r="O611" t="s">
        <v>87</v>
      </c>
      <c r="P611" t="s">
        <v>62</v>
      </c>
      <c r="R611" t="s">
        <v>63</v>
      </c>
      <c r="S611" t="s">
        <v>64</v>
      </c>
      <c r="T611">
        <v>227</v>
      </c>
      <c r="U611">
        <v>208.5</v>
      </c>
      <c r="V611">
        <f t="shared" si="18"/>
        <v>217.75</v>
      </c>
      <c r="W611">
        <f t="shared" si="19"/>
        <v>18.5</v>
      </c>
      <c r="X611">
        <v>-118.04583</v>
      </c>
      <c r="Y611">
        <v>38.431946000000003</v>
      </c>
      <c r="Z611" t="s">
        <v>602</v>
      </c>
      <c r="AA611" t="s">
        <v>66</v>
      </c>
      <c r="AB611" t="s">
        <v>558</v>
      </c>
      <c r="AD611" t="s">
        <v>3448</v>
      </c>
      <c r="AF611" t="s">
        <v>1704</v>
      </c>
      <c r="AH611" t="s">
        <v>11</v>
      </c>
      <c r="AI611" t="s">
        <v>3449</v>
      </c>
      <c r="AJ611">
        <v>1979</v>
      </c>
      <c r="AK611" t="s">
        <v>3452</v>
      </c>
      <c r="AL611">
        <v>100391</v>
      </c>
      <c r="AO611" t="s">
        <v>77</v>
      </c>
      <c r="AQ611" t="s">
        <v>3451</v>
      </c>
      <c r="AR611" t="s">
        <v>80</v>
      </c>
      <c r="AS611">
        <v>101</v>
      </c>
      <c r="AT611" t="s">
        <v>81</v>
      </c>
      <c r="AU611">
        <v>-43.37</v>
      </c>
      <c r="AV611">
        <v>15.37</v>
      </c>
      <c r="AW611" t="s">
        <v>82</v>
      </c>
      <c r="AX611">
        <v>131</v>
      </c>
      <c r="AY611" t="s">
        <v>81</v>
      </c>
      <c r="AZ611">
        <v>-55.29</v>
      </c>
      <c r="BA611">
        <v>12.89</v>
      </c>
      <c r="BB611" t="s">
        <v>83</v>
      </c>
    </row>
    <row r="612" spans="1:54" x14ac:dyDescent="0.4">
      <c r="A612">
        <v>908524</v>
      </c>
      <c r="D612" t="s">
        <v>54</v>
      </c>
      <c r="E612" t="s">
        <v>55</v>
      </c>
      <c r="G612">
        <v>1</v>
      </c>
      <c r="H612" t="s">
        <v>56</v>
      </c>
      <c r="I612" t="s">
        <v>57</v>
      </c>
      <c r="K612" t="s">
        <v>840</v>
      </c>
      <c r="L612" t="s">
        <v>1437</v>
      </c>
      <c r="M612" t="s">
        <v>60</v>
      </c>
      <c r="O612" t="s">
        <v>170</v>
      </c>
      <c r="P612" t="s">
        <v>62</v>
      </c>
      <c r="R612" t="s">
        <v>63</v>
      </c>
      <c r="S612" t="s">
        <v>64</v>
      </c>
      <c r="T612">
        <v>227</v>
      </c>
      <c r="U612">
        <v>208.5</v>
      </c>
      <c r="V612">
        <f t="shared" si="18"/>
        <v>217.75</v>
      </c>
      <c r="W612">
        <f t="shared" si="19"/>
        <v>18.5</v>
      </c>
      <c r="X612">
        <v>-52.724997999999999</v>
      </c>
      <c r="Y612">
        <v>-29.67</v>
      </c>
      <c r="Z612" t="s">
        <v>124</v>
      </c>
      <c r="AA612" t="s">
        <v>783</v>
      </c>
      <c r="AB612" t="s">
        <v>784</v>
      </c>
      <c r="AD612" t="s">
        <v>785</v>
      </c>
      <c r="AE612" t="s">
        <v>786</v>
      </c>
      <c r="AH612" t="s">
        <v>72</v>
      </c>
      <c r="AI612" t="s">
        <v>1438</v>
      </c>
      <c r="AJ612">
        <v>2010</v>
      </c>
      <c r="AK612" t="s">
        <v>3536</v>
      </c>
      <c r="AN612" t="s">
        <v>76</v>
      </c>
      <c r="AO612" t="s">
        <v>77</v>
      </c>
      <c r="AP612" t="s">
        <v>115</v>
      </c>
      <c r="AR612" t="s">
        <v>80</v>
      </c>
      <c r="AS612">
        <v>201</v>
      </c>
      <c r="AT612" t="s">
        <v>81</v>
      </c>
      <c r="AU612">
        <v>-6.04</v>
      </c>
      <c r="AV612">
        <v>-38.520000000000003</v>
      </c>
      <c r="AW612" t="s">
        <v>82</v>
      </c>
      <c r="AX612">
        <v>202</v>
      </c>
      <c r="AY612" t="s">
        <v>81</v>
      </c>
      <c r="AZ612">
        <v>-14.82</v>
      </c>
      <c r="BA612">
        <v>-36.92</v>
      </c>
      <c r="BB612" t="s">
        <v>83</v>
      </c>
    </row>
    <row r="613" spans="1:54" x14ac:dyDescent="0.4">
      <c r="A613">
        <v>908524</v>
      </c>
      <c r="D613" t="s">
        <v>54</v>
      </c>
      <c r="E613" t="s">
        <v>55</v>
      </c>
      <c r="G613">
        <v>1</v>
      </c>
      <c r="H613" t="s">
        <v>56</v>
      </c>
      <c r="I613" t="s">
        <v>57</v>
      </c>
      <c r="K613" t="s">
        <v>840</v>
      </c>
      <c r="L613" t="s">
        <v>1437</v>
      </c>
      <c r="M613" t="s">
        <v>60</v>
      </c>
      <c r="O613" t="s">
        <v>170</v>
      </c>
      <c r="P613" t="s">
        <v>62</v>
      </c>
      <c r="R613" t="s">
        <v>63</v>
      </c>
      <c r="S613" t="s">
        <v>64</v>
      </c>
      <c r="T613">
        <v>227</v>
      </c>
      <c r="U613">
        <v>208.5</v>
      </c>
      <c r="V613">
        <f t="shared" si="18"/>
        <v>217.75</v>
      </c>
      <c r="W613">
        <f t="shared" si="19"/>
        <v>18.5</v>
      </c>
      <c r="X613">
        <v>-52.724997999999999</v>
      </c>
      <c r="Y613">
        <v>-29.67</v>
      </c>
      <c r="Z613" t="s">
        <v>124</v>
      </c>
      <c r="AA613" t="s">
        <v>783</v>
      </c>
      <c r="AB613" t="s">
        <v>784</v>
      </c>
      <c r="AD613" t="s">
        <v>785</v>
      </c>
      <c r="AE613" t="s">
        <v>786</v>
      </c>
      <c r="AH613" t="s">
        <v>72</v>
      </c>
      <c r="AI613" t="s">
        <v>1438</v>
      </c>
      <c r="AJ613">
        <v>2010</v>
      </c>
      <c r="AK613" t="s">
        <v>3536</v>
      </c>
      <c r="AN613" t="s">
        <v>76</v>
      </c>
      <c r="AO613" t="s">
        <v>77</v>
      </c>
      <c r="AP613" t="s">
        <v>115</v>
      </c>
      <c r="AR613" t="s">
        <v>80</v>
      </c>
      <c r="AS613">
        <v>201</v>
      </c>
      <c r="AT613" t="s">
        <v>81</v>
      </c>
      <c r="AU613">
        <v>-6.04</v>
      </c>
      <c r="AV613">
        <v>-38.520000000000003</v>
      </c>
      <c r="AW613" t="s">
        <v>82</v>
      </c>
      <c r="AX613">
        <v>202</v>
      </c>
      <c r="AY613" t="s">
        <v>81</v>
      </c>
      <c r="AZ613">
        <v>-14.82</v>
      </c>
      <c r="BA613">
        <v>-36.92</v>
      </c>
      <c r="BB613" t="s">
        <v>83</v>
      </c>
    </row>
    <row r="614" spans="1:54" x14ac:dyDescent="0.4">
      <c r="A614">
        <v>908525</v>
      </c>
      <c r="D614" t="s">
        <v>54</v>
      </c>
      <c r="I614" t="s">
        <v>57</v>
      </c>
      <c r="K614" t="s">
        <v>840</v>
      </c>
      <c r="L614" t="s">
        <v>841</v>
      </c>
      <c r="M614" t="s">
        <v>60</v>
      </c>
      <c r="O614" t="s">
        <v>170</v>
      </c>
      <c r="P614" t="s">
        <v>62</v>
      </c>
      <c r="R614" t="s">
        <v>63</v>
      </c>
      <c r="S614" t="s">
        <v>64</v>
      </c>
      <c r="T614">
        <v>227</v>
      </c>
      <c r="U614">
        <v>208.5</v>
      </c>
      <c r="V614">
        <f t="shared" si="18"/>
        <v>217.75</v>
      </c>
      <c r="W614">
        <f t="shared" si="19"/>
        <v>18.5</v>
      </c>
      <c r="X614">
        <v>-52.724997999999999</v>
      </c>
      <c r="Y614">
        <v>-29.67</v>
      </c>
      <c r="Z614" t="s">
        <v>124</v>
      </c>
      <c r="AA614" t="s">
        <v>783</v>
      </c>
      <c r="AB614" t="s">
        <v>784</v>
      </c>
      <c r="AD614" t="s">
        <v>785</v>
      </c>
      <c r="AE614" t="s">
        <v>786</v>
      </c>
      <c r="AH614" t="s">
        <v>72</v>
      </c>
      <c r="AI614" t="s">
        <v>1438</v>
      </c>
      <c r="AJ614">
        <v>2010</v>
      </c>
      <c r="AK614" t="s">
        <v>3537</v>
      </c>
      <c r="AN614" t="s">
        <v>76</v>
      </c>
      <c r="AO614" t="s">
        <v>77</v>
      </c>
      <c r="AP614" t="s">
        <v>115</v>
      </c>
      <c r="AR614" t="s">
        <v>80</v>
      </c>
      <c r="AS614">
        <v>201</v>
      </c>
      <c r="AT614" t="s">
        <v>81</v>
      </c>
      <c r="AU614">
        <v>-6.04</v>
      </c>
      <c r="AV614">
        <v>-38.520000000000003</v>
      </c>
      <c r="AW614" t="s">
        <v>82</v>
      </c>
      <c r="AX614">
        <v>202</v>
      </c>
      <c r="AY614" t="s">
        <v>81</v>
      </c>
      <c r="AZ614">
        <v>-14.82</v>
      </c>
      <c r="BA614">
        <v>-36.92</v>
      </c>
      <c r="BB614" t="s">
        <v>83</v>
      </c>
    </row>
    <row r="615" spans="1:54" x14ac:dyDescent="0.4">
      <c r="A615">
        <v>908533</v>
      </c>
      <c r="D615" t="s">
        <v>54</v>
      </c>
      <c r="E615" t="s">
        <v>55</v>
      </c>
      <c r="G615">
        <v>1</v>
      </c>
      <c r="H615" t="s">
        <v>56</v>
      </c>
      <c r="I615" t="s">
        <v>57</v>
      </c>
      <c r="K615" t="s">
        <v>840</v>
      </c>
      <c r="L615" t="s">
        <v>1437</v>
      </c>
      <c r="M615" t="s">
        <v>60</v>
      </c>
      <c r="O615" t="s">
        <v>170</v>
      </c>
      <c r="P615" t="s">
        <v>62</v>
      </c>
      <c r="R615" t="s">
        <v>63</v>
      </c>
      <c r="S615" t="s">
        <v>64</v>
      </c>
      <c r="T615">
        <v>227</v>
      </c>
      <c r="U615">
        <v>208.5</v>
      </c>
      <c r="V615">
        <f t="shared" si="18"/>
        <v>217.75</v>
      </c>
      <c r="W615">
        <f t="shared" si="19"/>
        <v>18.5</v>
      </c>
      <c r="X615">
        <v>-53.791389000000002</v>
      </c>
      <c r="Y615">
        <v>-29.701944000000001</v>
      </c>
      <c r="Z615" t="s">
        <v>124</v>
      </c>
      <c r="AA615" t="s">
        <v>783</v>
      </c>
      <c r="AB615" t="s">
        <v>784</v>
      </c>
      <c r="AD615" t="s">
        <v>785</v>
      </c>
      <c r="AE615" t="s">
        <v>786</v>
      </c>
      <c r="AG615" t="s">
        <v>841</v>
      </c>
      <c r="AH615" t="s">
        <v>72</v>
      </c>
      <c r="AI615" t="s">
        <v>1438</v>
      </c>
      <c r="AJ615">
        <v>2010</v>
      </c>
      <c r="AK615" t="s">
        <v>3538</v>
      </c>
      <c r="AN615" t="s">
        <v>76</v>
      </c>
      <c r="AO615" t="s">
        <v>77</v>
      </c>
      <c r="AP615" t="s">
        <v>115</v>
      </c>
      <c r="AQ615" t="s">
        <v>3539</v>
      </c>
      <c r="AR615" t="s">
        <v>80</v>
      </c>
      <c r="AS615">
        <v>201</v>
      </c>
      <c r="AT615" t="s">
        <v>81</v>
      </c>
      <c r="AU615">
        <v>-7.2</v>
      </c>
      <c r="AV615">
        <v>-38.729999999999997</v>
      </c>
      <c r="AW615" t="s">
        <v>82</v>
      </c>
      <c r="AX615">
        <v>202</v>
      </c>
      <c r="AY615" t="s">
        <v>81</v>
      </c>
      <c r="AZ615">
        <v>-15.93</v>
      </c>
      <c r="BA615">
        <v>-37.200000000000003</v>
      </c>
      <c r="BB615" t="s">
        <v>83</v>
      </c>
    </row>
    <row r="616" spans="1:54" x14ac:dyDescent="0.4">
      <c r="A616">
        <v>908533</v>
      </c>
      <c r="D616" t="s">
        <v>54</v>
      </c>
      <c r="E616" t="s">
        <v>55</v>
      </c>
      <c r="G616">
        <v>1</v>
      </c>
      <c r="H616" t="s">
        <v>56</v>
      </c>
      <c r="I616" t="s">
        <v>57</v>
      </c>
      <c r="K616" t="s">
        <v>840</v>
      </c>
      <c r="L616" t="s">
        <v>1437</v>
      </c>
      <c r="M616" t="s">
        <v>60</v>
      </c>
      <c r="O616" t="s">
        <v>170</v>
      </c>
      <c r="P616" t="s">
        <v>62</v>
      </c>
      <c r="R616" t="s">
        <v>63</v>
      </c>
      <c r="S616" t="s">
        <v>64</v>
      </c>
      <c r="T616">
        <v>227</v>
      </c>
      <c r="U616">
        <v>208.5</v>
      </c>
      <c r="V616">
        <f t="shared" si="18"/>
        <v>217.75</v>
      </c>
      <c r="W616">
        <f t="shared" si="19"/>
        <v>18.5</v>
      </c>
      <c r="X616">
        <v>-53.791389000000002</v>
      </c>
      <c r="Y616">
        <v>-29.701944000000001</v>
      </c>
      <c r="Z616" t="s">
        <v>124</v>
      </c>
      <c r="AA616" t="s">
        <v>783</v>
      </c>
      <c r="AB616" t="s">
        <v>784</v>
      </c>
      <c r="AD616" t="s">
        <v>785</v>
      </c>
      <c r="AE616" t="s">
        <v>786</v>
      </c>
      <c r="AG616" t="s">
        <v>841</v>
      </c>
      <c r="AH616" t="s">
        <v>72</v>
      </c>
      <c r="AI616" t="s">
        <v>1438</v>
      </c>
      <c r="AJ616">
        <v>2010</v>
      </c>
      <c r="AK616" t="s">
        <v>3538</v>
      </c>
      <c r="AN616" t="s">
        <v>76</v>
      </c>
      <c r="AO616" t="s">
        <v>77</v>
      </c>
      <c r="AP616" t="s">
        <v>115</v>
      </c>
      <c r="AQ616" t="s">
        <v>3539</v>
      </c>
      <c r="AR616" t="s">
        <v>80</v>
      </c>
      <c r="AS616">
        <v>201</v>
      </c>
      <c r="AT616" t="s">
        <v>81</v>
      </c>
      <c r="AU616">
        <v>-7.2</v>
      </c>
      <c r="AV616">
        <v>-38.729999999999997</v>
      </c>
      <c r="AW616" t="s">
        <v>82</v>
      </c>
      <c r="AX616">
        <v>202</v>
      </c>
      <c r="AY616" t="s">
        <v>81</v>
      </c>
      <c r="AZ616">
        <v>-15.93</v>
      </c>
      <c r="BA616">
        <v>-37.200000000000003</v>
      </c>
      <c r="BB616" t="s">
        <v>83</v>
      </c>
    </row>
    <row r="617" spans="1:54" x14ac:dyDescent="0.4">
      <c r="A617">
        <v>908533</v>
      </c>
      <c r="D617" t="s">
        <v>54</v>
      </c>
      <c r="E617" t="s">
        <v>55</v>
      </c>
      <c r="G617">
        <v>1</v>
      </c>
      <c r="H617" t="s">
        <v>56</v>
      </c>
      <c r="I617" t="s">
        <v>57</v>
      </c>
      <c r="K617" t="s">
        <v>840</v>
      </c>
      <c r="L617" t="s">
        <v>1437</v>
      </c>
      <c r="M617" t="s">
        <v>60</v>
      </c>
      <c r="O617" t="s">
        <v>170</v>
      </c>
      <c r="P617" t="s">
        <v>62</v>
      </c>
      <c r="R617" t="s">
        <v>63</v>
      </c>
      <c r="S617" t="s">
        <v>64</v>
      </c>
      <c r="T617">
        <v>227</v>
      </c>
      <c r="U617">
        <v>208.5</v>
      </c>
      <c r="V617">
        <f t="shared" si="18"/>
        <v>217.75</v>
      </c>
      <c r="W617">
        <f t="shared" si="19"/>
        <v>18.5</v>
      </c>
      <c r="X617">
        <v>-53.791389000000002</v>
      </c>
      <c r="Y617">
        <v>-29.701944000000001</v>
      </c>
      <c r="Z617" t="s">
        <v>124</v>
      </c>
      <c r="AA617" t="s">
        <v>783</v>
      </c>
      <c r="AB617" t="s">
        <v>784</v>
      </c>
      <c r="AD617" t="s">
        <v>785</v>
      </c>
      <c r="AE617" t="s">
        <v>786</v>
      </c>
      <c r="AG617" t="s">
        <v>841</v>
      </c>
      <c r="AH617" t="s">
        <v>72</v>
      </c>
      <c r="AI617" t="s">
        <v>1438</v>
      </c>
      <c r="AJ617">
        <v>2010</v>
      </c>
      <c r="AK617" t="s">
        <v>3538</v>
      </c>
      <c r="AN617" t="s">
        <v>76</v>
      </c>
      <c r="AO617" t="s">
        <v>77</v>
      </c>
      <c r="AP617" t="s">
        <v>115</v>
      </c>
      <c r="AQ617" t="s">
        <v>3539</v>
      </c>
      <c r="AR617" t="s">
        <v>80</v>
      </c>
      <c r="AS617">
        <v>201</v>
      </c>
      <c r="AT617" t="s">
        <v>81</v>
      </c>
      <c r="AU617">
        <v>-7.2</v>
      </c>
      <c r="AV617">
        <v>-38.729999999999997</v>
      </c>
      <c r="AW617" t="s">
        <v>82</v>
      </c>
      <c r="AX617">
        <v>202</v>
      </c>
      <c r="AY617" t="s">
        <v>81</v>
      </c>
      <c r="AZ617">
        <v>-15.93</v>
      </c>
      <c r="BA617">
        <v>-37.200000000000003</v>
      </c>
      <c r="BB617" t="s">
        <v>83</v>
      </c>
    </row>
    <row r="618" spans="1:54" x14ac:dyDescent="0.4">
      <c r="A618">
        <v>914556</v>
      </c>
      <c r="D618" t="s">
        <v>54</v>
      </c>
      <c r="E618" t="s">
        <v>152</v>
      </c>
      <c r="G618">
        <v>1</v>
      </c>
      <c r="H618" t="s">
        <v>56</v>
      </c>
      <c r="I618" t="s">
        <v>57</v>
      </c>
      <c r="K618" t="s">
        <v>3576</v>
      </c>
      <c r="L618" t="s">
        <v>3577</v>
      </c>
      <c r="M618" t="s">
        <v>223</v>
      </c>
      <c r="N618" t="s">
        <v>2449</v>
      </c>
      <c r="O618" t="s">
        <v>87</v>
      </c>
      <c r="P618" t="s">
        <v>62</v>
      </c>
      <c r="R618" t="s">
        <v>63</v>
      </c>
      <c r="S618" t="s">
        <v>64</v>
      </c>
      <c r="T618">
        <v>227</v>
      </c>
      <c r="U618">
        <v>208.5</v>
      </c>
      <c r="V618">
        <f t="shared" si="18"/>
        <v>217.75</v>
      </c>
      <c r="W618">
        <f t="shared" si="19"/>
        <v>18.5</v>
      </c>
      <c r="X618">
        <v>59.68</v>
      </c>
      <c r="Y618">
        <v>80.440558999999993</v>
      </c>
      <c r="Z618" t="s">
        <v>1251</v>
      </c>
      <c r="AA618" t="s">
        <v>239</v>
      </c>
      <c r="AB618" t="s">
        <v>3578</v>
      </c>
      <c r="AC618" t="s">
        <v>3579</v>
      </c>
      <c r="AD618" t="s">
        <v>3580</v>
      </c>
      <c r="AH618" t="s">
        <v>72</v>
      </c>
      <c r="AI618" t="s">
        <v>3581</v>
      </c>
      <c r="AJ618">
        <v>2010</v>
      </c>
      <c r="AK618" t="s">
        <v>3582</v>
      </c>
      <c r="AN618" t="s">
        <v>114</v>
      </c>
      <c r="AO618" t="s">
        <v>77</v>
      </c>
      <c r="AP618" t="s">
        <v>115</v>
      </c>
      <c r="AQ618" t="s">
        <v>3583</v>
      </c>
      <c r="AR618" t="s">
        <v>80</v>
      </c>
      <c r="AS618">
        <v>311</v>
      </c>
      <c r="AT618" t="s">
        <v>81</v>
      </c>
      <c r="AU618">
        <v>5.65</v>
      </c>
      <c r="AV618">
        <v>64.489999999999995</v>
      </c>
      <c r="AW618" t="s">
        <v>82</v>
      </c>
      <c r="AX618">
        <v>310</v>
      </c>
      <c r="AY618" t="s">
        <v>81</v>
      </c>
      <c r="AZ618">
        <v>-8.41</v>
      </c>
      <c r="BA618">
        <v>65.98</v>
      </c>
      <c r="BB618" t="s">
        <v>83</v>
      </c>
    </row>
    <row r="619" spans="1:54" x14ac:dyDescent="0.4">
      <c r="A619">
        <v>923080</v>
      </c>
      <c r="D619" t="s">
        <v>54</v>
      </c>
      <c r="E619" t="s">
        <v>55</v>
      </c>
      <c r="G619">
        <v>1</v>
      </c>
      <c r="H619" t="s">
        <v>84</v>
      </c>
      <c r="I619" t="s">
        <v>57</v>
      </c>
      <c r="K619" t="s">
        <v>132</v>
      </c>
      <c r="L619" t="s">
        <v>133</v>
      </c>
      <c r="M619" t="s">
        <v>60</v>
      </c>
      <c r="N619" t="s">
        <v>119</v>
      </c>
      <c r="O619" t="s">
        <v>134</v>
      </c>
      <c r="P619" t="s">
        <v>62</v>
      </c>
      <c r="R619" t="s">
        <v>63</v>
      </c>
      <c r="S619" t="s">
        <v>64</v>
      </c>
      <c r="T619">
        <v>227</v>
      </c>
      <c r="U619">
        <v>208.5</v>
      </c>
      <c r="V619">
        <f t="shared" si="18"/>
        <v>217.75</v>
      </c>
      <c r="W619">
        <f t="shared" si="19"/>
        <v>18.5</v>
      </c>
      <c r="X619">
        <v>-52.845832999999999</v>
      </c>
      <c r="Y619">
        <v>-29.685832999999999</v>
      </c>
      <c r="Z619" t="s">
        <v>105</v>
      </c>
      <c r="AA619" t="s">
        <v>783</v>
      </c>
      <c r="AB619" t="s">
        <v>784</v>
      </c>
      <c r="AD619" t="s">
        <v>785</v>
      </c>
      <c r="AE619" t="s">
        <v>786</v>
      </c>
      <c r="AG619" t="s">
        <v>787</v>
      </c>
      <c r="AH619" t="s">
        <v>72</v>
      </c>
      <c r="AI619" t="s">
        <v>3426</v>
      </c>
      <c r="AJ619">
        <v>2011</v>
      </c>
      <c r="AK619" t="s">
        <v>3683</v>
      </c>
      <c r="AN619" t="s">
        <v>192</v>
      </c>
      <c r="AO619" t="s">
        <v>77</v>
      </c>
      <c r="AP619" t="s">
        <v>115</v>
      </c>
      <c r="AQ619" t="s">
        <v>3684</v>
      </c>
      <c r="AR619" t="s">
        <v>80</v>
      </c>
      <c r="AS619">
        <v>201</v>
      </c>
      <c r="AT619" t="s">
        <v>81</v>
      </c>
      <c r="AU619">
        <v>-6.17</v>
      </c>
      <c r="AV619">
        <v>-38.56</v>
      </c>
      <c r="AW619" t="s">
        <v>82</v>
      </c>
      <c r="AX619">
        <v>202</v>
      </c>
      <c r="AY619" t="s">
        <v>81</v>
      </c>
      <c r="AZ619">
        <v>-14.94</v>
      </c>
      <c r="BA619">
        <v>-36.97</v>
      </c>
      <c r="BB619" t="s">
        <v>83</v>
      </c>
    </row>
    <row r="620" spans="1:54" x14ac:dyDescent="0.4">
      <c r="A620">
        <v>923083</v>
      </c>
      <c r="D620" t="s">
        <v>54</v>
      </c>
      <c r="E620" t="s">
        <v>55</v>
      </c>
      <c r="G620">
        <v>1</v>
      </c>
      <c r="H620" t="s">
        <v>56</v>
      </c>
      <c r="I620" t="s">
        <v>57</v>
      </c>
      <c r="K620" t="s">
        <v>3685</v>
      </c>
      <c r="L620" t="s">
        <v>3686</v>
      </c>
      <c r="M620" t="s">
        <v>60</v>
      </c>
      <c r="O620" t="s">
        <v>87</v>
      </c>
      <c r="P620" t="s">
        <v>62</v>
      </c>
      <c r="R620" t="s">
        <v>63</v>
      </c>
      <c r="S620" t="s">
        <v>64</v>
      </c>
      <c r="T620">
        <v>227</v>
      </c>
      <c r="U620">
        <v>208.5</v>
      </c>
      <c r="V620">
        <f t="shared" si="18"/>
        <v>217.75</v>
      </c>
      <c r="W620">
        <f t="shared" si="19"/>
        <v>18.5</v>
      </c>
      <c r="X620">
        <v>-68.150002000000001</v>
      </c>
      <c r="Y620">
        <v>-29.85</v>
      </c>
      <c r="Z620" t="s">
        <v>184</v>
      </c>
      <c r="AA620" t="s">
        <v>185</v>
      </c>
      <c r="AB620" t="s">
        <v>186</v>
      </c>
      <c r="AD620" t="s">
        <v>551</v>
      </c>
      <c r="AE620" t="s">
        <v>188</v>
      </c>
      <c r="AG620" t="s">
        <v>1217</v>
      </c>
      <c r="AH620" t="s">
        <v>72</v>
      </c>
      <c r="AI620" t="s">
        <v>1051</v>
      </c>
      <c r="AJ620">
        <v>1969</v>
      </c>
      <c r="AK620" t="s">
        <v>553</v>
      </c>
      <c r="AN620" t="s">
        <v>192</v>
      </c>
      <c r="AO620" t="s">
        <v>77</v>
      </c>
      <c r="AP620" t="s">
        <v>359</v>
      </c>
      <c r="AQ620" t="s">
        <v>3687</v>
      </c>
      <c r="AR620" t="s">
        <v>80</v>
      </c>
      <c r="AS620">
        <v>291</v>
      </c>
      <c r="AT620" t="s">
        <v>81</v>
      </c>
      <c r="AU620">
        <v>-22.86</v>
      </c>
      <c r="AV620">
        <v>-39.69</v>
      </c>
      <c r="AW620" t="s">
        <v>82</v>
      </c>
      <c r="AX620">
        <v>291</v>
      </c>
      <c r="AY620" t="s">
        <v>81</v>
      </c>
      <c r="AZ620">
        <v>-31.53</v>
      </c>
      <c r="BA620">
        <v>-39.07</v>
      </c>
      <c r="BB620" t="s">
        <v>83</v>
      </c>
    </row>
    <row r="621" spans="1:54" x14ac:dyDescent="0.4">
      <c r="A621">
        <v>923086</v>
      </c>
      <c r="D621" t="s">
        <v>54</v>
      </c>
      <c r="E621" t="s">
        <v>55</v>
      </c>
      <c r="G621">
        <v>1</v>
      </c>
      <c r="H621" t="s">
        <v>56</v>
      </c>
      <c r="I621" t="s">
        <v>57</v>
      </c>
      <c r="K621" t="s">
        <v>206</v>
      </c>
      <c r="L621" t="s">
        <v>3688</v>
      </c>
      <c r="M621" t="s">
        <v>60</v>
      </c>
      <c r="O621" t="s">
        <v>170</v>
      </c>
      <c r="P621" t="s">
        <v>62</v>
      </c>
      <c r="R621" t="s">
        <v>63</v>
      </c>
      <c r="S621" t="s">
        <v>64</v>
      </c>
      <c r="T621">
        <v>227</v>
      </c>
      <c r="U621">
        <v>208.5</v>
      </c>
      <c r="V621">
        <f t="shared" si="18"/>
        <v>217.75</v>
      </c>
      <c r="W621">
        <f t="shared" si="19"/>
        <v>18.5</v>
      </c>
      <c r="X621">
        <v>-67.900002000000001</v>
      </c>
      <c r="Y621">
        <v>-29.966667000000001</v>
      </c>
      <c r="Z621" t="s">
        <v>184</v>
      </c>
      <c r="AA621" t="s">
        <v>185</v>
      </c>
      <c r="AB621" t="s">
        <v>186</v>
      </c>
      <c r="AC621" t="s">
        <v>327</v>
      </c>
      <c r="AD621" t="s">
        <v>551</v>
      </c>
      <c r="AE621" t="s">
        <v>188</v>
      </c>
      <c r="AH621" t="s">
        <v>72</v>
      </c>
      <c r="AI621" t="s">
        <v>3689</v>
      </c>
      <c r="AJ621">
        <v>2004</v>
      </c>
      <c r="AK621" t="s">
        <v>3690</v>
      </c>
      <c r="AM621" t="s">
        <v>3691</v>
      </c>
      <c r="AN621" t="s">
        <v>192</v>
      </c>
      <c r="AO621" t="s">
        <v>160</v>
      </c>
      <c r="AP621" t="s">
        <v>115</v>
      </c>
      <c r="AQ621" t="s">
        <v>3692</v>
      </c>
      <c r="AR621" t="s">
        <v>80</v>
      </c>
      <c r="AS621">
        <v>291</v>
      </c>
      <c r="AT621" t="s">
        <v>81</v>
      </c>
      <c r="AU621">
        <v>-22.55</v>
      </c>
      <c r="AV621">
        <v>-39.76</v>
      </c>
      <c r="AW621" t="s">
        <v>82</v>
      </c>
      <c r="AX621">
        <v>291</v>
      </c>
      <c r="AY621" t="s">
        <v>81</v>
      </c>
      <c r="AZ621">
        <v>-31.22</v>
      </c>
      <c r="BA621">
        <v>-39.14</v>
      </c>
      <c r="BB621" t="s">
        <v>83</v>
      </c>
    </row>
    <row r="622" spans="1:54" x14ac:dyDescent="0.4">
      <c r="A622">
        <v>923086</v>
      </c>
      <c r="D622" t="s">
        <v>54</v>
      </c>
      <c r="E622" t="s">
        <v>55</v>
      </c>
      <c r="G622">
        <v>1</v>
      </c>
      <c r="H622" t="s">
        <v>56</v>
      </c>
      <c r="I622" t="s">
        <v>57</v>
      </c>
      <c r="K622" t="s">
        <v>206</v>
      </c>
      <c r="L622" t="s">
        <v>3688</v>
      </c>
      <c r="M622" t="s">
        <v>60</v>
      </c>
      <c r="O622" t="s">
        <v>170</v>
      </c>
      <c r="P622" t="s">
        <v>62</v>
      </c>
      <c r="R622" t="s">
        <v>63</v>
      </c>
      <c r="S622" t="s">
        <v>64</v>
      </c>
      <c r="T622">
        <v>227</v>
      </c>
      <c r="U622">
        <v>208.5</v>
      </c>
      <c r="V622">
        <f t="shared" si="18"/>
        <v>217.75</v>
      </c>
      <c r="W622">
        <f t="shared" si="19"/>
        <v>18.5</v>
      </c>
      <c r="X622">
        <v>-67.900002000000001</v>
      </c>
      <c r="Y622">
        <v>-29.966667000000001</v>
      </c>
      <c r="Z622" t="s">
        <v>184</v>
      </c>
      <c r="AA622" t="s">
        <v>185</v>
      </c>
      <c r="AB622" t="s">
        <v>186</v>
      </c>
      <c r="AC622" t="s">
        <v>327</v>
      </c>
      <c r="AD622" t="s">
        <v>551</v>
      </c>
      <c r="AE622" t="s">
        <v>188</v>
      </c>
      <c r="AH622" t="s">
        <v>72</v>
      </c>
      <c r="AI622" t="s">
        <v>3689</v>
      </c>
      <c r="AJ622">
        <v>2004</v>
      </c>
      <c r="AK622" t="s">
        <v>3690</v>
      </c>
      <c r="AM622" t="s">
        <v>3691</v>
      </c>
      <c r="AN622" t="s">
        <v>192</v>
      </c>
      <c r="AO622" t="s">
        <v>160</v>
      </c>
      <c r="AP622" t="s">
        <v>115</v>
      </c>
      <c r="AQ622" t="s">
        <v>3692</v>
      </c>
      <c r="AR622" t="s">
        <v>80</v>
      </c>
      <c r="AS622">
        <v>291</v>
      </c>
      <c r="AT622" t="s">
        <v>81</v>
      </c>
      <c r="AU622">
        <v>-22.55</v>
      </c>
      <c r="AV622">
        <v>-39.76</v>
      </c>
      <c r="AW622" t="s">
        <v>82</v>
      </c>
      <c r="AX622">
        <v>291</v>
      </c>
      <c r="AY622" t="s">
        <v>81</v>
      </c>
      <c r="AZ622">
        <v>-31.22</v>
      </c>
      <c r="BA622">
        <v>-39.14</v>
      </c>
      <c r="BB622" t="s">
        <v>83</v>
      </c>
    </row>
    <row r="623" spans="1:54" x14ac:dyDescent="0.4">
      <c r="A623">
        <v>923087</v>
      </c>
      <c r="D623" t="s">
        <v>54</v>
      </c>
      <c r="E623" t="s">
        <v>55</v>
      </c>
      <c r="G623">
        <v>1</v>
      </c>
      <c r="H623" t="s">
        <v>56</v>
      </c>
      <c r="I623" t="s">
        <v>57</v>
      </c>
      <c r="K623" t="s">
        <v>805</v>
      </c>
      <c r="L623" t="s">
        <v>3693</v>
      </c>
      <c r="M623" t="s">
        <v>60</v>
      </c>
      <c r="O623" t="s">
        <v>87</v>
      </c>
      <c r="P623" t="s">
        <v>62</v>
      </c>
      <c r="R623" t="s">
        <v>63</v>
      </c>
      <c r="S623" t="s">
        <v>64</v>
      </c>
      <c r="T623">
        <v>227</v>
      </c>
      <c r="U623">
        <v>208.5</v>
      </c>
      <c r="V623">
        <f t="shared" si="18"/>
        <v>217.75</v>
      </c>
      <c r="W623">
        <f t="shared" si="19"/>
        <v>18.5</v>
      </c>
      <c r="X623">
        <v>-68.150002000000001</v>
      </c>
      <c r="Y623">
        <v>-29.85</v>
      </c>
      <c r="Z623" t="s">
        <v>184</v>
      </c>
      <c r="AA623" t="s">
        <v>185</v>
      </c>
      <c r="AB623" t="s">
        <v>186</v>
      </c>
      <c r="AD623" t="s">
        <v>551</v>
      </c>
      <c r="AE623" t="s">
        <v>188</v>
      </c>
      <c r="AG623" t="s">
        <v>1217</v>
      </c>
      <c r="AH623" t="s">
        <v>72</v>
      </c>
      <c r="AI623" t="s">
        <v>1051</v>
      </c>
      <c r="AJ623">
        <v>1971</v>
      </c>
      <c r="AK623" t="s">
        <v>553</v>
      </c>
      <c r="AN623" t="s">
        <v>192</v>
      </c>
      <c r="AO623" t="s">
        <v>77</v>
      </c>
      <c r="AP623" t="s">
        <v>359</v>
      </c>
      <c r="AQ623" t="s">
        <v>3687</v>
      </c>
      <c r="AR623" t="s">
        <v>80</v>
      </c>
      <c r="AS623">
        <v>291</v>
      </c>
      <c r="AT623" t="s">
        <v>81</v>
      </c>
      <c r="AU623">
        <v>-22.86</v>
      </c>
      <c r="AV623">
        <v>-39.69</v>
      </c>
      <c r="AW623" t="s">
        <v>82</v>
      </c>
      <c r="AX623">
        <v>291</v>
      </c>
      <c r="AY623" t="s">
        <v>81</v>
      </c>
      <c r="AZ623">
        <v>-31.53</v>
      </c>
      <c r="BA623">
        <v>-39.07</v>
      </c>
      <c r="BB623" t="s">
        <v>83</v>
      </c>
    </row>
    <row r="624" spans="1:54" x14ac:dyDescent="0.4">
      <c r="A624">
        <v>923087</v>
      </c>
      <c r="D624" t="s">
        <v>54</v>
      </c>
      <c r="E624" t="s">
        <v>55</v>
      </c>
      <c r="G624">
        <v>1</v>
      </c>
      <c r="H624" t="s">
        <v>56</v>
      </c>
      <c r="I624" t="s">
        <v>57</v>
      </c>
      <c r="K624" t="s">
        <v>805</v>
      </c>
      <c r="L624" t="s">
        <v>3693</v>
      </c>
      <c r="M624" t="s">
        <v>60</v>
      </c>
      <c r="O624" t="s">
        <v>87</v>
      </c>
      <c r="P624" t="s">
        <v>62</v>
      </c>
      <c r="R624" t="s">
        <v>63</v>
      </c>
      <c r="S624" t="s">
        <v>64</v>
      </c>
      <c r="T624">
        <v>227</v>
      </c>
      <c r="U624">
        <v>208.5</v>
      </c>
      <c r="V624">
        <f t="shared" si="18"/>
        <v>217.75</v>
      </c>
      <c r="W624">
        <f t="shared" si="19"/>
        <v>18.5</v>
      </c>
      <c r="X624">
        <v>-68.150002000000001</v>
      </c>
      <c r="Y624">
        <v>-29.85</v>
      </c>
      <c r="Z624" t="s">
        <v>184</v>
      </c>
      <c r="AA624" t="s">
        <v>185</v>
      </c>
      <c r="AB624" t="s">
        <v>186</v>
      </c>
      <c r="AD624" t="s">
        <v>551</v>
      </c>
      <c r="AE624" t="s">
        <v>188</v>
      </c>
      <c r="AG624" t="s">
        <v>1217</v>
      </c>
      <c r="AH624" t="s">
        <v>72</v>
      </c>
      <c r="AI624" t="s">
        <v>1051</v>
      </c>
      <c r="AJ624">
        <v>1971</v>
      </c>
      <c r="AK624" t="s">
        <v>553</v>
      </c>
      <c r="AN624" t="s">
        <v>192</v>
      </c>
      <c r="AO624" t="s">
        <v>77</v>
      </c>
      <c r="AP624" t="s">
        <v>359</v>
      </c>
      <c r="AQ624" t="s">
        <v>3687</v>
      </c>
      <c r="AR624" t="s">
        <v>80</v>
      </c>
      <c r="AS624">
        <v>291</v>
      </c>
      <c r="AT624" t="s">
        <v>81</v>
      </c>
      <c r="AU624">
        <v>-22.86</v>
      </c>
      <c r="AV624">
        <v>-39.69</v>
      </c>
      <c r="AW624" t="s">
        <v>82</v>
      </c>
      <c r="AX624">
        <v>291</v>
      </c>
      <c r="AY624" t="s">
        <v>81</v>
      </c>
      <c r="AZ624">
        <v>-31.53</v>
      </c>
      <c r="BA624">
        <v>-39.07</v>
      </c>
      <c r="BB624" t="s">
        <v>83</v>
      </c>
    </row>
    <row r="625" spans="1:54" x14ac:dyDescent="0.4">
      <c r="A625">
        <v>923088</v>
      </c>
      <c r="D625" t="s">
        <v>54</v>
      </c>
      <c r="E625" t="s">
        <v>55</v>
      </c>
      <c r="G625">
        <v>1</v>
      </c>
      <c r="H625" t="s">
        <v>56</v>
      </c>
      <c r="I625" t="s">
        <v>57</v>
      </c>
      <c r="K625" t="s">
        <v>141</v>
      </c>
      <c r="L625" t="s">
        <v>3694</v>
      </c>
      <c r="M625" t="s">
        <v>60</v>
      </c>
      <c r="O625" t="s">
        <v>87</v>
      </c>
      <c r="P625" t="s">
        <v>62</v>
      </c>
      <c r="R625" t="s">
        <v>63</v>
      </c>
      <c r="S625" t="s">
        <v>64</v>
      </c>
      <c r="T625">
        <v>227</v>
      </c>
      <c r="U625">
        <v>208.5</v>
      </c>
      <c r="V625">
        <f t="shared" si="18"/>
        <v>217.75</v>
      </c>
      <c r="W625">
        <f t="shared" si="19"/>
        <v>18.5</v>
      </c>
      <c r="X625">
        <v>-68.150002000000001</v>
      </c>
      <c r="Y625">
        <v>-29.85</v>
      </c>
      <c r="Z625" t="s">
        <v>184</v>
      </c>
      <c r="AA625" t="s">
        <v>185</v>
      </c>
      <c r="AB625" t="s">
        <v>186</v>
      </c>
      <c r="AD625" t="s">
        <v>551</v>
      </c>
      <c r="AE625" t="s">
        <v>188</v>
      </c>
      <c r="AG625" t="s">
        <v>1217</v>
      </c>
      <c r="AH625" t="s">
        <v>72</v>
      </c>
      <c r="AI625" t="s">
        <v>1051</v>
      </c>
      <c r="AJ625">
        <v>1971</v>
      </c>
      <c r="AK625" t="s">
        <v>553</v>
      </c>
      <c r="AN625" t="s">
        <v>192</v>
      </c>
      <c r="AO625" t="s">
        <v>77</v>
      </c>
      <c r="AP625" t="s">
        <v>359</v>
      </c>
      <c r="AQ625" t="s">
        <v>3687</v>
      </c>
      <c r="AR625" t="s">
        <v>80</v>
      </c>
      <c r="AS625">
        <v>291</v>
      </c>
      <c r="AT625" t="s">
        <v>81</v>
      </c>
      <c r="AU625">
        <v>-22.86</v>
      </c>
      <c r="AV625">
        <v>-39.69</v>
      </c>
      <c r="AW625" t="s">
        <v>82</v>
      </c>
      <c r="AX625">
        <v>291</v>
      </c>
      <c r="AY625" t="s">
        <v>81</v>
      </c>
      <c r="AZ625">
        <v>-31.53</v>
      </c>
      <c r="BA625">
        <v>-39.07</v>
      </c>
      <c r="BB625" t="s">
        <v>83</v>
      </c>
    </row>
    <row r="626" spans="1:54" x14ac:dyDescent="0.4">
      <c r="A626">
        <v>923089</v>
      </c>
      <c r="D626" t="s">
        <v>54</v>
      </c>
      <c r="E626" t="s">
        <v>55</v>
      </c>
      <c r="G626">
        <v>1</v>
      </c>
      <c r="H626" t="s">
        <v>56</v>
      </c>
      <c r="I626" t="s">
        <v>57</v>
      </c>
      <c r="K626" t="s">
        <v>141</v>
      </c>
      <c r="L626" t="s">
        <v>3695</v>
      </c>
      <c r="M626" t="s">
        <v>60</v>
      </c>
      <c r="P626" t="s">
        <v>62</v>
      </c>
      <c r="R626" t="s">
        <v>63</v>
      </c>
      <c r="S626" t="s">
        <v>64</v>
      </c>
      <c r="T626">
        <v>227</v>
      </c>
      <c r="U626">
        <v>208.5</v>
      </c>
      <c r="V626">
        <f t="shared" si="18"/>
        <v>217.75</v>
      </c>
      <c r="W626">
        <f t="shared" si="19"/>
        <v>18.5</v>
      </c>
      <c r="X626">
        <v>-68.058334000000002</v>
      </c>
      <c r="Y626">
        <v>-29.858333999999999</v>
      </c>
      <c r="Z626" t="s">
        <v>198</v>
      </c>
      <c r="AA626" t="s">
        <v>185</v>
      </c>
      <c r="AB626" t="s">
        <v>186</v>
      </c>
      <c r="AD626" t="s">
        <v>551</v>
      </c>
      <c r="AE626" t="s">
        <v>188</v>
      </c>
      <c r="AG626" t="s">
        <v>1217</v>
      </c>
      <c r="AH626" t="s">
        <v>72</v>
      </c>
      <c r="AI626" t="s">
        <v>3696</v>
      </c>
      <c r="AJ626">
        <v>1995</v>
      </c>
      <c r="AK626" t="s">
        <v>3697</v>
      </c>
      <c r="AM626" t="s">
        <v>3695</v>
      </c>
      <c r="AN626" t="s">
        <v>192</v>
      </c>
      <c r="AO626" t="s">
        <v>77</v>
      </c>
      <c r="AP626" t="s">
        <v>115</v>
      </c>
      <c r="AR626" t="s">
        <v>80</v>
      </c>
      <c r="AS626">
        <v>291</v>
      </c>
      <c r="AT626" t="s">
        <v>81</v>
      </c>
      <c r="AU626">
        <v>-22.75</v>
      </c>
      <c r="AV626">
        <v>-39.68</v>
      </c>
      <c r="AW626" t="s">
        <v>82</v>
      </c>
      <c r="AX626">
        <v>291</v>
      </c>
      <c r="AY626" t="s">
        <v>81</v>
      </c>
      <c r="AZ626">
        <v>-31.43</v>
      </c>
      <c r="BA626">
        <v>-39.06</v>
      </c>
      <c r="BB626" t="s">
        <v>83</v>
      </c>
    </row>
    <row r="627" spans="1:54" x14ac:dyDescent="0.4">
      <c r="A627">
        <v>923089</v>
      </c>
      <c r="D627" t="s">
        <v>54</v>
      </c>
      <c r="E627" t="s">
        <v>55</v>
      </c>
      <c r="G627">
        <v>1</v>
      </c>
      <c r="H627" t="s">
        <v>56</v>
      </c>
      <c r="I627" t="s">
        <v>57</v>
      </c>
      <c r="K627" t="s">
        <v>141</v>
      </c>
      <c r="L627" t="s">
        <v>3695</v>
      </c>
      <c r="M627" t="s">
        <v>60</v>
      </c>
      <c r="P627" t="s">
        <v>62</v>
      </c>
      <c r="R627" t="s">
        <v>63</v>
      </c>
      <c r="S627" t="s">
        <v>64</v>
      </c>
      <c r="T627">
        <v>227</v>
      </c>
      <c r="U627">
        <v>208.5</v>
      </c>
      <c r="V627">
        <f t="shared" si="18"/>
        <v>217.75</v>
      </c>
      <c r="W627">
        <f t="shared" si="19"/>
        <v>18.5</v>
      </c>
      <c r="X627">
        <v>-68.058334000000002</v>
      </c>
      <c r="Y627">
        <v>-29.858333999999999</v>
      </c>
      <c r="Z627" t="s">
        <v>198</v>
      </c>
      <c r="AA627" t="s">
        <v>185</v>
      </c>
      <c r="AB627" t="s">
        <v>186</v>
      </c>
      <c r="AD627" t="s">
        <v>551</v>
      </c>
      <c r="AE627" t="s">
        <v>188</v>
      </c>
      <c r="AG627" t="s">
        <v>1217</v>
      </c>
      <c r="AH627" t="s">
        <v>72</v>
      </c>
      <c r="AI627" t="s">
        <v>3696</v>
      </c>
      <c r="AJ627">
        <v>1995</v>
      </c>
      <c r="AK627" t="s">
        <v>3697</v>
      </c>
      <c r="AM627" t="s">
        <v>3695</v>
      </c>
      <c r="AN627" t="s">
        <v>192</v>
      </c>
      <c r="AO627" t="s">
        <v>77</v>
      </c>
      <c r="AP627" t="s">
        <v>115</v>
      </c>
      <c r="AR627" t="s">
        <v>80</v>
      </c>
      <c r="AS627">
        <v>291</v>
      </c>
      <c r="AT627" t="s">
        <v>81</v>
      </c>
      <c r="AU627">
        <v>-22.75</v>
      </c>
      <c r="AV627">
        <v>-39.68</v>
      </c>
      <c r="AW627" t="s">
        <v>82</v>
      </c>
      <c r="AX627">
        <v>291</v>
      </c>
      <c r="AY627" t="s">
        <v>81</v>
      </c>
      <c r="AZ627">
        <v>-31.43</v>
      </c>
      <c r="BA627">
        <v>-39.06</v>
      </c>
      <c r="BB627" t="s">
        <v>83</v>
      </c>
    </row>
    <row r="628" spans="1:54" x14ac:dyDescent="0.4">
      <c r="A628">
        <v>923089</v>
      </c>
      <c r="D628" t="s">
        <v>54</v>
      </c>
      <c r="E628" t="s">
        <v>55</v>
      </c>
      <c r="G628">
        <v>1</v>
      </c>
      <c r="H628" t="s">
        <v>56</v>
      </c>
      <c r="I628" t="s">
        <v>57</v>
      </c>
      <c r="K628" t="s">
        <v>141</v>
      </c>
      <c r="L628" t="s">
        <v>3695</v>
      </c>
      <c r="M628" t="s">
        <v>60</v>
      </c>
      <c r="P628" t="s">
        <v>62</v>
      </c>
      <c r="R628" t="s">
        <v>63</v>
      </c>
      <c r="S628" t="s">
        <v>64</v>
      </c>
      <c r="T628">
        <v>227</v>
      </c>
      <c r="U628">
        <v>208.5</v>
      </c>
      <c r="V628">
        <f t="shared" si="18"/>
        <v>217.75</v>
      </c>
      <c r="W628">
        <f t="shared" si="19"/>
        <v>18.5</v>
      </c>
      <c r="X628">
        <v>-68.058334000000002</v>
      </c>
      <c r="Y628">
        <v>-29.858333999999999</v>
      </c>
      <c r="Z628" t="s">
        <v>198</v>
      </c>
      <c r="AA628" t="s">
        <v>185</v>
      </c>
      <c r="AB628" t="s">
        <v>186</v>
      </c>
      <c r="AD628" t="s">
        <v>551</v>
      </c>
      <c r="AE628" t="s">
        <v>188</v>
      </c>
      <c r="AG628" t="s">
        <v>1217</v>
      </c>
      <c r="AH628" t="s">
        <v>72</v>
      </c>
      <c r="AI628" t="s">
        <v>3696</v>
      </c>
      <c r="AJ628">
        <v>1995</v>
      </c>
      <c r="AK628" t="s">
        <v>3697</v>
      </c>
      <c r="AM628" t="s">
        <v>3695</v>
      </c>
      <c r="AN628" t="s">
        <v>192</v>
      </c>
      <c r="AO628" t="s">
        <v>77</v>
      </c>
      <c r="AP628" t="s">
        <v>115</v>
      </c>
      <c r="AR628" t="s">
        <v>80</v>
      </c>
      <c r="AS628">
        <v>291</v>
      </c>
      <c r="AT628" t="s">
        <v>81</v>
      </c>
      <c r="AU628">
        <v>-22.75</v>
      </c>
      <c r="AV628">
        <v>-39.68</v>
      </c>
      <c r="AW628" t="s">
        <v>82</v>
      </c>
      <c r="AX628">
        <v>291</v>
      </c>
      <c r="AY628" t="s">
        <v>81</v>
      </c>
      <c r="AZ628">
        <v>-31.43</v>
      </c>
      <c r="BA628">
        <v>-39.06</v>
      </c>
      <c r="BB628" t="s">
        <v>83</v>
      </c>
    </row>
    <row r="629" spans="1:54" x14ac:dyDescent="0.4">
      <c r="A629">
        <v>923090</v>
      </c>
      <c r="D629" t="s">
        <v>54</v>
      </c>
      <c r="E629" t="s">
        <v>152</v>
      </c>
      <c r="G629">
        <v>1</v>
      </c>
      <c r="H629" t="s">
        <v>56</v>
      </c>
      <c r="I629" t="s">
        <v>57</v>
      </c>
      <c r="K629" t="s">
        <v>141</v>
      </c>
      <c r="L629" t="s">
        <v>3698</v>
      </c>
      <c r="M629" t="s">
        <v>60</v>
      </c>
      <c r="O629" t="s">
        <v>87</v>
      </c>
      <c r="P629" t="s">
        <v>62</v>
      </c>
      <c r="R629" t="s">
        <v>63</v>
      </c>
      <c r="S629" t="s">
        <v>64</v>
      </c>
      <c r="T629">
        <v>227</v>
      </c>
      <c r="U629">
        <v>208.5</v>
      </c>
      <c r="V629">
        <f t="shared" si="18"/>
        <v>217.75</v>
      </c>
      <c r="W629">
        <f t="shared" si="19"/>
        <v>18.5</v>
      </c>
      <c r="X629">
        <v>-68.033332999999999</v>
      </c>
      <c r="Y629">
        <v>-29.85</v>
      </c>
      <c r="Z629" t="s">
        <v>184</v>
      </c>
      <c r="AA629" t="s">
        <v>185</v>
      </c>
      <c r="AB629" t="s">
        <v>186</v>
      </c>
      <c r="AC629" t="s">
        <v>3699</v>
      </c>
      <c r="AD629" t="s">
        <v>551</v>
      </c>
      <c r="AE629" t="s">
        <v>188</v>
      </c>
      <c r="AG629" t="s">
        <v>1217</v>
      </c>
      <c r="AH629" t="s">
        <v>72</v>
      </c>
      <c r="AI629" t="s">
        <v>1051</v>
      </c>
      <c r="AJ629">
        <v>1981</v>
      </c>
      <c r="AK629" t="s">
        <v>1058</v>
      </c>
      <c r="AM629" t="s">
        <v>3698</v>
      </c>
      <c r="AN629" t="s">
        <v>192</v>
      </c>
      <c r="AO629" t="s">
        <v>160</v>
      </c>
      <c r="AP629" t="s">
        <v>115</v>
      </c>
      <c r="AQ629" t="s">
        <v>3700</v>
      </c>
      <c r="AR629" t="s">
        <v>80</v>
      </c>
      <c r="AS629">
        <v>291</v>
      </c>
      <c r="AT629" t="s">
        <v>81</v>
      </c>
      <c r="AU629">
        <v>-22.73</v>
      </c>
      <c r="AV629">
        <v>-39.67</v>
      </c>
      <c r="AW629" t="s">
        <v>82</v>
      </c>
      <c r="AX629">
        <v>291</v>
      </c>
      <c r="AY629" t="s">
        <v>81</v>
      </c>
      <c r="AZ629">
        <v>-31.4</v>
      </c>
      <c r="BA629">
        <v>-39.049999999999997</v>
      </c>
      <c r="BB629" t="s">
        <v>83</v>
      </c>
    </row>
    <row r="630" spans="1:54" x14ac:dyDescent="0.4">
      <c r="A630">
        <v>923092</v>
      </c>
      <c r="D630" t="s">
        <v>54</v>
      </c>
      <c r="E630" t="s">
        <v>55</v>
      </c>
      <c r="G630">
        <v>1</v>
      </c>
      <c r="H630" t="s">
        <v>56</v>
      </c>
      <c r="I630" t="s">
        <v>57</v>
      </c>
      <c r="K630" t="s">
        <v>206</v>
      </c>
      <c r="L630" t="s">
        <v>3688</v>
      </c>
      <c r="M630" t="s">
        <v>60</v>
      </c>
      <c r="O630" t="s">
        <v>170</v>
      </c>
      <c r="P630" t="s">
        <v>62</v>
      </c>
      <c r="R630" t="s">
        <v>63</v>
      </c>
      <c r="S630" t="s">
        <v>64</v>
      </c>
      <c r="T630">
        <v>227</v>
      </c>
      <c r="U630">
        <v>208.5</v>
      </c>
      <c r="V630">
        <f t="shared" si="18"/>
        <v>217.75</v>
      </c>
      <c r="W630">
        <f t="shared" si="19"/>
        <v>18.5</v>
      </c>
      <c r="X630">
        <v>-68.150002000000001</v>
      </c>
      <c r="Y630">
        <v>-29.85</v>
      </c>
      <c r="Z630" t="s">
        <v>184</v>
      </c>
      <c r="AA630" t="s">
        <v>185</v>
      </c>
      <c r="AB630" t="s">
        <v>186</v>
      </c>
      <c r="AD630" t="s">
        <v>551</v>
      </c>
      <c r="AE630" t="s">
        <v>188</v>
      </c>
      <c r="AG630" t="s">
        <v>1217</v>
      </c>
      <c r="AH630" t="s">
        <v>72</v>
      </c>
      <c r="AI630" t="s">
        <v>3701</v>
      </c>
      <c r="AJ630">
        <v>2007</v>
      </c>
      <c r="AK630" t="s">
        <v>553</v>
      </c>
      <c r="AN630" t="s">
        <v>192</v>
      </c>
      <c r="AO630" t="s">
        <v>77</v>
      </c>
      <c r="AP630" t="s">
        <v>359</v>
      </c>
      <c r="AQ630" t="s">
        <v>3687</v>
      </c>
      <c r="AR630" t="s">
        <v>80</v>
      </c>
      <c r="AS630">
        <v>291</v>
      </c>
      <c r="AT630" t="s">
        <v>81</v>
      </c>
      <c r="AU630">
        <v>-22.86</v>
      </c>
      <c r="AV630">
        <v>-39.69</v>
      </c>
      <c r="AW630" t="s">
        <v>82</v>
      </c>
      <c r="AX630">
        <v>291</v>
      </c>
      <c r="AY630" t="s">
        <v>81</v>
      </c>
      <c r="AZ630">
        <v>-31.53</v>
      </c>
      <c r="BA630">
        <v>-39.07</v>
      </c>
      <c r="BB630" t="s">
        <v>83</v>
      </c>
    </row>
    <row r="631" spans="1:54" x14ac:dyDescent="0.4">
      <c r="A631">
        <v>923093</v>
      </c>
      <c r="D631" t="s">
        <v>54</v>
      </c>
      <c r="G631">
        <v>1</v>
      </c>
      <c r="H631" t="s">
        <v>56</v>
      </c>
      <c r="I631" t="s">
        <v>57</v>
      </c>
      <c r="K631" t="s">
        <v>206</v>
      </c>
      <c r="L631" t="s">
        <v>3688</v>
      </c>
      <c r="M631" t="s">
        <v>60</v>
      </c>
      <c r="O631" t="s">
        <v>170</v>
      </c>
      <c r="P631" t="s">
        <v>62</v>
      </c>
      <c r="R631" t="s">
        <v>63</v>
      </c>
      <c r="S631" t="s">
        <v>64</v>
      </c>
      <c r="T631">
        <v>227</v>
      </c>
      <c r="U631">
        <v>208.5</v>
      </c>
      <c r="V631">
        <f t="shared" si="18"/>
        <v>217.75</v>
      </c>
      <c r="W631">
        <f t="shared" si="19"/>
        <v>18.5</v>
      </c>
      <c r="X631">
        <v>-68.033332999999999</v>
      </c>
      <c r="Y631">
        <v>-29.85</v>
      </c>
      <c r="Z631" t="s">
        <v>184</v>
      </c>
      <c r="AA631" t="s">
        <v>185</v>
      </c>
      <c r="AB631" t="s">
        <v>186</v>
      </c>
      <c r="AD631" t="s">
        <v>551</v>
      </c>
      <c r="AE631" t="s">
        <v>188</v>
      </c>
      <c r="AG631" t="s">
        <v>1217</v>
      </c>
      <c r="AH631" t="s">
        <v>72</v>
      </c>
      <c r="AI631" t="s">
        <v>3701</v>
      </c>
      <c r="AJ631">
        <v>2007</v>
      </c>
      <c r="AK631" t="s">
        <v>3702</v>
      </c>
      <c r="AN631" t="s">
        <v>192</v>
      </c>
      <c r="AO631" t="s">
        <v>160</v>
      </c>
      <c r="AP631" t="s">
        <v>115</v>
      </c>
      <c r="AQ631" t="s">
        <v>3703</v>
      </c>
      <c r="AR631" t="s">
        <v>80</v>
      </c>
      <c r="AS631">
        <v>291</v>
      </c>
      <c r="AT631" t="s">
        <v>81</v>
      </c>
      <c r="AU631">
        <v>-22.73</v>
      </c>
      <c r="AV631">
        <v>-39.67</v>
      </c>
      <c r="AW631" t="s">
        <v>82</v>
      </c>
      <c r="AX631">
        <v>291</v>
      </c>
      <c r="AY631" t="s">
        <v>81</v>
      </c>
      <c r="AZ631">
        <v>-31.4</v>
      </c>
      <c r="BA631">
        <v>-39.049999999999997</v>
      </c>
      <c r="BB631" t="s">
        <v>83</v>
      </c>
    </row>
    <row r="632" spans="1:54" x14ac:dyDescent="0.4">
      <c r="A632">
        <v>923093</v>
      </c>
      <c r="D632" t="s">
        <v>54</v>
      </c>
      <c r="G632">
        <v>1</v>
      </c>
      <c r="H632" t="s">
        <v>56</v>
      </c>
      <c r="I632" t="s">
        <v>57</v>
      </c>
      <c r="K632" t="s">
        <v>206</v>
      </c>
      <c r="L632" t="s">
        <v>3688</v>
      </c>
      <c r="M632" t="s">
        <v>60</v>
      </c>
      <c r="O632" t="s">
        <v>170</v>
      </c>
      <c r="P632" t="s">
        <v>62</v>
      </c>
      <c r="R632" t="s">
        <v>63</v>
      </c>
      <c r="S632" t="s">
        <v>64</v>
      </c>
      <c r="T632">
        <v>227</v>
      </c>
      <c r="U632">
        <v>208.5</v>
      </c>
      <c r="V632">
        <f t="shared" si="18"/>
        <v>217.75</v>
      </c>
      <c r="W632">
        <f t="shared" si="19"/>
        <v>18.5</v>
      </c>
      <c r="X632">
        <v>-68.033332999999999</v>
      </c>
      <c r="Y632">
        <v>-29.85</v>
      </c>
      <c r="Z632" t="s">
        <v>184</v>
      </c>
      <c r="AA632" t="s">
        <v>185</v>
      </c>
      <c r="AB632" t="s">
        <v>186</v>
      </c>
      <c r="AD632" t="s">
        <v>551</v>
      </c>
      <c r="AE632" t="s">
        <v>188</v>
      </c>
      <c r="AG632" t="s">
        <v>1217</v>
      </c>
      <c r="AH632" t="s">
        <v>72</v>
      </c>
      <c r="AI632" t="s">
        <v>3701</v>
      </c>
      <c r="AJ632">
        <v>2007</v>
      </c>
      <c r="AK632" t="s">
        <v>3702</v>
      </c>
      <c r="AN632" t="s">
        <v>192</v>
      </c>
      <c r="AO632" t="s">
        <v>160</v>
      </c>
      <c r="AP632" t="s">
        <v>115</v>
      </c>
      <c r="AQ632" t="s">
        <v>3703</v>
      </c>
      <c r="AR632" t="s">
        <v>80</v>
      </c>
      <c r="AS632">
        <v>291</v>
      </c>
      <c r="AT632" t="s">
        <v>81</v>
      </c>
      <c r="AU632">
        <v>-22.73</v>
      </c>
      <c r="AV632">
        <v>-39.67</v>
      </c>
      <c r="AW632" t="s">
        <v>82</v>
      </c>
      <c r="AX632">
        <v>291</v>
      </c>
      <c r="AY632" t="s">
        <v>81</v>
      </c>
      <c r="AZ632">
        <v>-31.4</v>
      </c>
      <c r="BA632">
        <v>-39.049999999999997</v>
      </c>
      <c r="BB632" t="s">
        <v>83</v>
      </c>
    </row>
    <row r="633" spans="1:54" x14ac:dyDescent="0.4">
      <c r="A633">
        <v>923094</v>
      </c>
      <c r="D633" t="s">
        <v>54</v>
      </c>
      <c r="E633" t="s">
        <v>152</v>
      </c>
      <c r="G633">
        <v>1</v>
      </c>
      <c r="H633" t="s">
        <v>56</v>
      </c>
      <c r="I633" t="s">
        <v>57</v>
      </c>
      <c r="K633" t="s">
        <v>206</v>
      </c>
      <c r="L633" t="s">
        <v>3688</v>
      </c>
      <c r="M633" t="s">
        <v>60</v>
      </c>
      <c r="O633" t="s">
        <v>170</v>
      </c>
      <c r="P633" t="s">
        <v>62</v>
      </c>
      <c r="R633" t="s">
        <v>63</v>
      </c>
      <c r="S633" t="s">
        <v>64</v>
      </c>
      <c r="T633">
        <v>227</v>
      </c>
      <c r="U633">
        <v>208.5</v>
      </c>
      <c r="V633">
        <f t="shared" si="18"/>
        <v>217.75</v>
      </c>
      <c r="W633">
        <f t="shared" si="19"/>
        <v>18.5</v>
      </c>
      <c r="X633">
        <v>-68.033332999999999</v>
      </c>
      <c r="Y633">
        <v>-29.85</v>
      </c>
      <c r="Z633" t="s">
        <v>184</v>
      </c>
      <c r="AA633" t="s">
        <v>185</v>
      </c>
      <c r="AB633" t="s">
        <v>186</v>
      </c>
      <c r="AD633" t="s">
        <v>551</v>
      </c>
      <c r="AE633" t="s">
        <v>188</v>
      </c>
      <c r="AG633" t="s">
        <v>1217</v>
      </c>
      <c r="AH633" t="s">
        <v>72</v>
      </c>
      <c r="AI633" t="s">
        <v>3701</v>
      </c>
      <c r="AJ633">
        <v>2007</v>
      </c>
      <c r="AK633" t="s">
        <v>3704</v>
      </c>
      <c r="AM633" t="s">
        <v>1058</v>
      </c>
      <c r="AN633" t="s">
        <v>192</v>
      </c>
      <c r="AO633" t="s">
        <v>160</v>
      </c>
      <c r="AP633" t="s">
        <v>359</v>
      </c>
      <c r="AQ633" t="s">
        <v>3705</v>
      </c>
      <c r="AR633" t="s">
        <v>80</v>
      </c>
      <c r="AS633">
        <v>291</v>
      </c>
      <c r="AT633" t="s">
        <v>81</v>
      </c>
      <c r="AU633">
        <v>-22.73</v>
      </c>
      <c r="AV633">
        <v>-39.67</v>
      </c>
      <c r="AW633" t="s">
        <v>82</v>
      </c>
      <c r="AX633">
        <v>291</v>
      </c>
      <c r="AY633" t="s">
        <v>81</v>
      </c>
      <c r="AZ633">
        <v>-31.4</v>
      </c>
      <c r="BA633">
        <v>-39.049999999999997</v>
      </c>
      <c r="BB633" t="s">
        <v>83</v>
      </c>
    </row>
    <row r="634" spans="1:54" x14ac:dyDescent="0.4">
      <c r="A634">
        <v>923095</v>
      </c>
      <c r="D634" t="s">
        <v>2001</v>
      </c>
      <c r="G634">
        <v>1</v>
      </c>
      <c r="H634" t="s">
        <v>56</v>
      </c>
      <c r="I634" t="s">
        <v>57</v>
      </c>
      <c r="K634" t="s">
        <v>206</v>
      </c>
      <c r="L634" t="s">
        <v>3688</v>
      </c>
      <c r="M634" t="s">
        <v>60</v>
      </c>
      <c r="O634" t="s">
        <v>170</v>
      </c>
      <c r="P634" t="s">
        <v>62</v>
      </c>
      <c r="R634" t="s">
        <v>63</v>
      </c>
      <c r="S634" t="s">
        <v>64</v>
      </c>
      <c r="T634">
        <v>227</v>
      </c>
      <c r="U634">
        <v>208.5</v>
      </c>
      <c r="V634">
        <f t="shared" si="18"/>
        <v>217.75</v>
      </c>
      <c r="W634">
        <f t="shared" si="19"/>
        <v>18.5</v>
      </c>
      <c r="X634">
        <v>-67.900002000000001</v>
      </c>
      <c r="Y634">
        <v>-29.966667000000001</v>
      </c>
      <c r="Z634" t="s">
        <v>184</v>
      </c>
      <c r="AA634" t="s">
        <v>185</v>
      </c>
      <c r="AB634" t="s">
        <v>186</v>
      </c>
      <c r="AC634" t="s">
        <v>327</v>
      </c>
      <c r="AD634" t="s">
        <v>551</v>
      </c>
      <c r="AE634" t="s">
        <v>188</v>
      </c>
      <c r="AH634" t="s">
        <v>72</v>
      </c>
      <c r="AI634" t="s">
        <v>3701</v>
      </c>
      <c r="AJ634">
        <v>2005</v>
      </c>
      <c r="AK634" t="s">
        <v>3706</v>
      </c>
      <c r="AM634" t="s">
        <v>3707</v>
      </c>
      <c r="AN634" t="s">
        <v>192</v>
      </c>
      <c r="AO634" t="s">
        <v>160</v>
      </c>
      <c r="AP634" t="s">
        <v>115</v>
      </c>
      <c r="AQ634" t="s">
        <v>3708</v>
      </c>
      <c r="AR634" t="s">
        <v>80</v>
      </c>
      <c r="AS634">
        <v>291</v>
      </c>
      <c r="AT634" t="s">
        <v>81</v>
      </c>
      <c r="AU634">
        <v>-22.55</v>
      </c>
      <c r="AV634">
        <v>-39.76</v>
      </c>
      <c r="AW634" t="s">
        <v>82</v>
      </c>
      <c r="AX634">
        <v>291</v>
      </c>
      <c r="AY634" t="s">
        <v>81</v>
      </c>
      <c r="AZ634">
        <v>-31.22</v>
      </c>
      <c r="BA634">
        <v>-39.14</v>
      </c>
      <c r="BB634" t="s">
        <v>83</v>
      </c>
    </row>
    <row r="635" spans="1:54" x14ac:dyDescent="0.4">
      <c r="A635">
        <v>923096</v>
      </c>
      <c r="D635" t="s">
        <v>54</v>
      </c>
      <c r="G635">
        <v>1</v>
      </c>
      <c r="H635" t="s">
        <v>56</v>
      </c>
      <c r="I635" t="s">
        <v>57</v>
      </c>
      <c r="K635" t="s">
        <v>206</v>
      </c>
      <c r="L635" t="s">
        <v>3688</v>
      </c>
      <c r="M635" t="s">
        <v>60</v>
      </c>
      <c r="O635" t="s">
        <v>170</v>
      </c>
      <c r="P635" t="s">
        <v>62</v>
      </c>
      <c r="R635" t="s">
        <v>63</v>
      </c>
      <c r="S635" t="s">
        <v>64</v>
      </c>
      <c r="T635">
        <v>227</v>
      </c>
      <c r="U635">
        <v>208.5</v>
      </c>
      <c r="V635">
        <f t="shared" si="18"/>
        <v>217.75</v>
      </c>
      <c r="W635">
        <f t="shared" si="19"/>
        <v>18.5</v>
      </c>
      <c r="X635">
        <v>-67.916663999999997</v>
      </c>
      <c r="Y635">
        <v>-29.966667000000001</v>
      </c>
      <c r="Z635" t="s">
        <v>184</v>
      </c>
      <c r="AA635" t="s">
        <v>185</v>
      </c>
      <c r="AB635" t="s">
        <v>186</v>
      </c>
      <c r="AD635" t="s">
        <v>551</v>
      </c>
      <c r="AE635" t="s">
        <v>188</v>
      </c>
      <c r="AG635" t="s">
        <v>1217</v>
      </c>
      <c r="AH635" t="s">
        <v>72</v>
      </c>
      <c r="AI635" t="s">
        <v>3701</v>
      </c>
      <c r="AJ635">
        <v>2005</v>
      </c>
      <c r="AK635" t="s">
        <v>3709</v>
      </c>
      <c r="AN635" t="s">
        <v>192</v>
      </c>
      <c r="AO635" t="s">
        <v>160</v>
      </c>
      <c r="AP635" t="s">
        <v>115</v>
      </c>
      <c r="AQ635" t="s">
        <v>3710</v>
      </c>
      <c r="AR635" t="s">
        <v>80</v>
      </c>
      <c r="AS635">
        <v>291</v>
      </c>
      <c r="AT635" t="s">
        <v>81</v>
      </c>
      <c r="AU635">
        <v>-22.57</v>
      </c>
      <c r="AV635">
        <v>-39.770000000000003</v>
      </c>
      <c r="AW635" t="s">
        <v>82</v>
      </c>
      <c r="AX635">
        <v>291</v>
      </c>
      <c r="AY635" t="s">
        <v>81</v>
      </c>
      <c r="AZ635">
        <v>-31.24</v>
      </c>
      <c r="BA635">
        <v>-39.14</v>
      </c>
      <c r="BB635" t="s">
        <v>83</v>
      </c>
    </row>
    <row r="636" spans="1:54" x14ac:dyDescent="0.4">
      <c r="A636">
        <v>924734</v>
      </c>
      <c r="D636" t="s">
        <v>54</v>
      </c>
      <c r="G636">
        <v>1</v>
      </c>
      <c r="H636" t="s">
        <v>84</v>
      </c>
      <c r="I636" t="s">
        <v>57</v>
      </c>
      <c r="K636" t="s">
        <v>85</v>
      </c>
      <c r="L636" t="s">
        <v>1517</v>
      </c>
      <c r="M636" t="s">
        <v>60</v>
      </c>
      <c r="O636" t="s">
        <v>87</v>
      </c>
      <c r="P636" t="s">
        <v>62</v>
      </c>
      <c r="R636" t="s">
        <v>63</v>
      </c>
      <c r="S636" t="s">
        <v>64</v>
      </c>
      <c r="T636">
        <v>227</v>
      </c>
      <c r="U636">
        <v>208.5</v>
      </c>
      <c r="V636">
        <f t="shared" si="18"/>
        <v>217.75</v>
      </c>
      <c r="W636">
        <f t="shared" si="19"/>
        <v>18.5</v>
      </c>
      <c r="X636">
        <v>8.6361109999999996</v>
      </c>
      <c r="Y636">
        <v>48.075001</v>
      </c>
      <c r="Z636" t="s">
        <v>198</v>
      </c>
      <c r="AA636" t="s">
        <v>211</v>
      </c>
      <c r="AB636" t="s">
        <v>212</v>
      </c>
      <c r="AC636" t="s">
        <v>3733</v>
      </c>
      <c r="AD636" t="s">
        <v>214</v>
      </c>
      <c r="AE636" t="s">
        <v>215</v>
      </c>
      <c r="AF636" t="s">
        <v>3734</v>
      </c>
      <c r="AH636" t="s">
        <v>72</v>
      </c>
      <c r="AI636" t="s">
        <v>3735</v>
      </c>
      <c r="AJ636">
        <v>2002</v>
      </c>
      <c r="AK636" t="s">
        <v>3736</v>
      </c>
      <c r="AN636" t="s">
        <v>114</v>
      </c>
      <c r="AO636" t="s">
        <v>77</v>
      </c>
      <c r="AP636" t="s">
        <v>78</v>
      </c>
      <c r="AQ636" t="s">
        <v>3737</v>
      </c>
      <c r="AR636" t="s">
        <v>80</v>
      </c>
      <c r="AS636">
        <v>305</v>
      </c>
      <c r="AT636" t="s">
        <v>81</v>
      </c>
      <c r="AU636">
        <v>21.22</v>
      </c>
      <c r="AV636">
        <v>29.3</v>
      </c>
      <c r="AW636" t="s">
        <v>82</v>
      </c>
      <c r="AX636">
        <v>305</v>
      </c>
      <c r="AY636" t="s">
        <v>81</v>
      </c>
      <c r="AZ636">
        <v>10.11</v>
      </c>
      <c r="BA636">
        <v>31.21</v>
      </c>
      <c r="BB636" t="s">
        <v>83</v>
      </c>
    </row>
    <row r="637" spans="1:54" x14ac:dyDescent="0.4">
      <c r="A637">
        <v>924735</v>
      </c>
      <c r="D637" t="s">
        <v>54</v>
      </c>
      <c r="G637">
        <v>2</v>
      </c>
      <c r="H637" t="s">
        <v>84</v>
      </c>
      <c r="I637" t="s">
        <v>57</v>
      </c>
      <c r="K637" t="s">
        <v>85</v>
      </c>
      <c r="L637" t="s">
        <v>1517</v>
      </c>
      <c r="M637" t="s">
        <v>60</v>
      </c>
      <c r="O637" t="s">
        <v>87</v>
      </c>
      <c r="P637" t="s">
        <v>62</v>
      </c>
      <c r="R637" t="s">
        <v>63</v>
      </c>
      <c r="S637" t="s">
        <v>64</v>
      </c>
      <c r="T637">
        <v>227</v>
      </c>
      <c r="U637">
        <v>208.5</v>
      </c>
      <c r="V637">
        <f t="shared" si="18"/>
        <v>217.75</v>
      </c>
      <c r="W637">
        <f t="shared" si="19"/>
        <v>18.5</v>
      </c>
      <c r="X637">
        <v>8.6944440000000007</v>
      </c>
      <c r="Y637">
        <v>48.112220999999998</v>
      </c>
      <c r="Z637" t="s">
        <v>198</v>
      </c>
      <c r="AA637" t="s">
        <v>211</v>
      </c>
      <c r="AB637" t="s">
        <v>212</v>
      </c>
      <c r="AC637" t="s">
        <v>3733</v>
      </c>
      <c r="AD637" t="s">
        <v>214</v>
      </c>
      <c r="AE637" t="s">
        <v>215</v>
      </c>
      <c r="AF637" t="s">
        <v>3734</v>
      </c>
      <c r="AH637" t="s">
        <v>72</v>
      </c>
      <c r="AI637" t="s">
        <v>3735</v>
      </c>
      <c r="AJ637">
        <v>2002</v>
      </c>
      <c r="AK637" t="s">
        <v>3738</v>
      </c>
      <c r="AN637" t="s">
        <v>114</v>
      </c>
      <c r="AO637" t="s">
        <v>77</v>
      </c>
      <c r="AP637" t="s">
        <v>78</v>
      </c>
      <c r="AQ637" t="s">
        <v>3739</v>
      </c>
      <c r="AR637" t="s">
        <v>80</v>
      </c>
      <c r="AS637">
        <v>305</v>
      </c>
      <c r="AT637" t="s">
        <v>81</v>
      </c>
      <c r="AU637">
        <v>21.25</v>
      </c>
      <c r="AV637">
        <v>29.35</v>
      </c>
      <c r="AW637" t="s">
        <v>82</v>
      </c>
      <c r="AX637">
        <v>305</v>
      </c>
      <c r="AY637" t="s">
        <v>81</v>
      </c>
      <c r="AZ637">
        <v>10.130000000000001</v>
      </c>
      <c r="BA637">
        <v>31.26</v>
      </c>
      <c r="BB637" t="s">
        <v>83</v>
      </c>
    </row>
    <row r="638" spans="1:54" x14ac:dyDescent="0.4">
      <c r="A638">
        <v>924736</v>
      </c>
      <c r="D638" t="s">
        <v>54</v>
      </c>
      <c r="G638">
        <v>2</v>
      </c>
      <c r="H638" t="s">
        <v>84</v>
      </c>
      <c r="I638" t="s">
        <v>57</v>
      </c>
      <c r="K638" t="s">
        <v>85</v>
      </c>
      <c r="L638" t="s">
        <v>1517</v>
      </c>
      <c r="M638" t="s">
        <v>60</v>
      </c>
      <c r="O638" t="s">
        <v>87</v>
      </c>
      <c r="P638" t="s">
        <v>62</v>
      </c>
      <c r="R638" t="s">
        <v>63</v>
      </c>
      <c r="S638" t="s">
        <v>64</v>
      </c>
      <c r="T638">
        <v>227</v>
      </c>
      <c r="U638">
        <v>208.5</v>
      </c>
      <c r="V638">
        <f t="shared" si="18"/>
        <v>217.75</v>
      </c>
      <c r="W638">
        <f t="shared" si="19"/>
        <v>18.5</v>
      </c>
      <c r="X638">
        <v>8.65</v>
      </c>
      <c r="Y638">
        <v>48.083331999999999</v>
      </c>
      <c r="Z638" t="s">
        <v>198</v>
      </c>
      <c r="AA638" t="s">
        <v>211</v>
      </c>
      <c r="AB638" t="s">
        <v>212</v>
      </c>
      <c r="AC638" t="s">
        <v>3733</v>
      </c>
      <c r="AD638" t="s">
        <v>214</v>
      </c>
      <c r="AE638" t="s">
        <v>215</v>
      </c>
      <c r="AF638" t="s">
        <v>864</v>
      </c>
      <c r="AH638" t="s">
        <v>72</v>
      </c>
      <c r="AI638" t="s">
        <v>3735</v>
      </c>
      <c r="AJ638">
        <v>2002</v>
      </c>
      <c r="AK638" t="s">
        <v>3740</v>
      </c>
      <c r="AN638" t="s">
        <v>114</v>
      </c>
      <c r="AO638" t="s">
        <v>160</v>
      </c>
      <c r="AP638" t="s">
        <v>359</v>
      </c>
      <c r="AQ638" t="s">
        <v>3741</v>
      </c>
      <c r="AR638" t="s">
        <v>80</v>
      </c>
      <c r="AS638">
        <v>305</v>
      </c>
      <c r="AT638" t="s">
        <v>81</v>
      </c>
      <c r="AU638">
        <v>21.23</v>
      </c>
      <c r="AV638">
        <v>29.31</v>
      </c>
      <c r="AW638" t="s">
        <v>82</v>
      </c>
      <c r="AX638">
        <v>305</v>
      </c>
      <c r="AY638" t="s">
        <v>81</v>
      </c>
      <c r="AZ638">
        <v>10.11</v>
      </c>
      <c r="BA638">
        <v>31.22</v>
      </c>
      <c r="BB638" t="s">
        <v>83</v>
      </c>
    </row>
    <row r="639" spans="1:54" x14ac:dyDescent="0.4">
      <c r="A639">
        <v>924737</v>
      </c>
      <c r="D639" t="s">
        <v>54</v>
      </c>
      <c r="I639" t="s">
        <v>57</v>
      </c>
      <c r="K639" t="s">
        <v>85</v>
      </c>
      <c r="L639" t="s">
        <v>1517</v>
      </c>
      <c r="M639" t="s">
        <v>60</v>
      </c>
      <c r="O639" t="s">
        <v>87</v>
      </c>
      <c r="P639" t="s">
        <v>62</v>
      </c>
      <c r="R639" t="s">
        <v>63</v>
      </c>
      <c r="S639" t="s">
        <v>64</v>
      </c>
      <c r="T639">
        <v>227</v>
      </c>
      <c r="U639">
        <v>208.5</v>
      </c>
      <c r="V639">
        <f t="shared" si="18"/>
        <v>217.75</v>
      </c>
      <c r="W639">
        <f t="shared" si="19"/>
        <v>18.5</v>
      </c>
      <c r="X639">
        <v>8.6944440000000007</v>
      </c>
      <c r="Y639">
        <v>48.112220999999998</v>
      </c>
      <c r="Z639" t="s">
        <v>198</v>
      </c>
      <c r="AA639" t="s">
        <v>211</v>
      </c>
      <c r="AB639" t="s">
        <v>212</v>
      </c>
      <c r="AC639" t="s">
        <v>3733</v>
      </c>
      <c r="AD639" t="s">
        <v>214</v>
      </c>
      <c r="AE639" t="s">
        <v>215</v>
      </c>
      <c r="AF639" t="s">
        <v>3734</v>
      </c>
      <c r="AH639" t="s">
        <v>72</v>
      </c>
      <c r="AI639" t="s">
        <v>3735</v>
      </c>
      <c r="AJ639">
        <v>2002</v>
      </c>
      <c r="AK639" t="s">
        <v>3738</v>
      </c>
      <c r="AN639" t="s">
        <v>114</v>
      </c>
      <c r="AO639" t="s">
        <v>77</v>
      </c>
      <c r="AP639" t="s">
        <v>78</v>
      </c>
      <c r="AQ639" t="s">
        <v>3739</v>
      </c>
      <c r="AR639" t="s">
        <v>80</v>
      </c>
      <c r="AS639">
        <v>305</v>
      </c>
      <c r="AT639" t="s">
        <v>81</v>
      </c>
      <c r="AU639">
        <v>21.25</v>
      </c>
      <c r="AV639">
        <v>29.35</v>
      </c>
      <c r="AW639" t="s">
        <v>82</v>
      </c>
      <c r="AX639">
        <v>305</v>
      </c>
      <c r="AY639" t="s">
        <v>81</v>
      </c>
      <c r="AZ639">
        <v>10.130000000000001</v>
      </c>
      <c r="BA639">
        <v>31.26</v>
      </c>
      <c r="BB639" t="s">
        <v>83</v>
      </c>
    </row>
    <row r="640" spans="1:54" x14ac:dyDescent="0.4">
      <c r="A640">
        <v>924739</v>
      </c>
      <c r="D640" t="s">
        <v>54</v>
      </c>
      <c r="E640" t="s">
        <v>55</v>
      </c>
      <c r="G640">
        <v>16</v>
      </c>
      <c r="H640" t="s">
        <v>84</v>
      </c>
      <c r="I640" t="s">
        <v>57</v>
      </c>
      <c r="K640" t="s">
        <v>85</v>
      </c>
      <c r="L640" t="s">
        <v>1519</v>
      </c>
      <c r="M640" t="s">
        <v>60</v>
      </c>
      <c r="O640" t="s">
        <v>87</v>
      </c>
      <c r="P640" t="s">
        <v>62</v>
      </c>
      <c r="R640" t="s">
        <v>63</v>
      </c>
      <c r="S640" t="s">
        <v>64</v>
      </c>
      <c r="T640">
        <v>227</v>
      </c>
      <c r="U640">
        <v>208.5</v>
      </c>
      <c r="V640">
        <f t="shared" si="18"/>
        <v>217.75</v>
      </c>
      <c r="W640">
        <f t="shared" si="19"/>
        <v>18.5</v>
      </c>
      <c r="X640">
        <v>9.1427779999999998</v>
      </c>
      <c r="Y640">
        <v>48.760554999999997</v>
      </c>
      <c r="Z640" t="s">
        <v>184</v>
      </c>
      <c r="AA640" t="s">
        <v>211</v>
      </c>
      <c r="AB640" t="s">
        <v>863</v>
      </c>
      <c r="AC640" t="s">
        <v>213</v>
      </c>
      <c r="AD640" t="s">
        <v>214</v>
      </c>
      <c r="AE640" t="s">
        <v>215</v>
      </c>
      <c r="AF640" t="s">
        <v>864</v>
      </c>
      <c r="AH640" t="s">
        <v>72</v>
      </c>
      <c r="AI640" t="s">
        <v>3735</v>
      </c>
      <c r="AJ640">
        <v>1998</v>
      </c>
      <c r="AK640" t="s">
        <v>866</v>
      </c>
      <c r="AN640" t="s">
        <v>114</v>
      </c>
      <c r="AO640" t="s">
        <v>77</v>
      </c>
      <c r="AP640" t="s">
        <v>78</v>
      </c>
      <c r="AQ640" t="s">
        <v>867</v>
      </c>
      <c r="AR640" t="s">
        <v>80</v>
      </c>
      <c r="AS640">
        <v>305</v>
      </c>
      <c r="AT640" t="s">
        <v>81</v>
      </c>
      <c r="AU640">
        <v>21.26</v>
      </c>
      <c r="AV640">
        <v>30.06</v>
      </c>
      <c r="AW640" t="s">
        <v>82</v>
      </c>
      <c r="AX640">
        <v>305</v>
      </c>
      <c r="AY640" t="s">
        <v>81</v>
      </c>
      <c r="AZ640">
        <v>10.119999999999999</v>
      </c>
      <c r="BA640">
        <v>31.98</v>
      </c>
      <c r="BB640" t="s">
        <v>83</v>
      </c>
    </row>
    <row r="641" spans="1:54" x14ac:dyDescent="0.4">
      <c r="A641">
        <v>924740</v>
      </c>
      <c r="D641" t="s">
        <v>54</v>
      </c>
      <c r="E641" t="s">
        <v>55</v>
      </c>
      <c r="G641">
        <v>6</v>
      </c>
      <c r="H641" t="s">
        <v>84</v>
      </c>
      <c r="I641" t="s">
        <v>57</v>
      </c>
      <c r="K641" t="s">
        <v>85</v>
      </c>
      <c r="L641" t="s">
        <v>1519</v>
      </c>
      <c r="M641" t="s">
        <v>60</v>
      </c>
      <c r="O641" t="s">
        <v>87</v>
      </c>
      <c r="P641" t="s">
        <v>62</v>
      </c>
      <c r="R641" t="s">
        <v>63</v>
      </c>
      <c r="S641" t="s">
        <v>64</v>
      </c>
      <c r="T641">
        <v>227</v>
      </c>
      <c r="U641">
        <v>208.5</v>
      </c>
      <c r="V641">
        <f t="shared" si="18"/>
        <v>217.75</v>
      </c>
      <c r="W641">
        <f t="shared" si="19"/>
        <v>18.5</v>
      </c>
      <c r="X641">
        <v>9.1427779999999998</v>
      </c>
      <c r="Y641">
        <v>48.760554999999997</v>
      </c>
      <c r="Z641" t="s">
        <v>184</v>
      </c>
      <c r="AA641" t="s">
        <v>211</v>
      </c>
      <c r="AB641" t="s">
        <v>863</v>
      </c>
      <c r="AC641" t="s">
        <v>213</v>
      </c>
      <c r="AD641" t="s">
        <v>214</v>
      </c>
      <c r="AE641" t="s">
        <v>215</v>
      </c>
      <c r="AF641" t="s">
        <v>864</v>
      </c>
      <c r="AH641" t="s">
        <v>72</v>
      </c>
      <c r="AI641" t="s">
        <v>1520</v>
      </c>
      <c r="AJ641">
        <v>2000</v>
      </c>
      <c r="AK641" t="s">
        <v>866</v>
      </c>
      <c r="AN641" t="s">
        <v>114</v>
      </c>
      <c r="AO641" t="s">
        <v>77</v>
      </c>
      <c r="AP641" t="s">
        <v>78</v>
      </c>
      <c r="AQ641" t="s">
        <v>867</v>
      </c>
      <c r="AR641" t="s">
        <v>80</v>
      </c>
      <c r="AS641">
        <v>305</v>
      </c>
      <c r="AT641" t="s">
        <v>81</v>
      </c>
      <c r="AU641">
        <v>21.26</v>
      </c>
      <c r="AV641">
        <v>30.06</v>
      </c>
      <c r="AW641" t="s">
        <v>82</v>
      </c>
      <c r="AX641">
        <v>305</v>
      </c>
      <c r="AY641" t="s">
        <v>81</v>
      </c>
      <c r="AZ641">
        <v>10.119999999999999</v>
      </c>
      <c r="BA641">
        <v>31.98</v>
      </c>
      <c r="BB641" t="s">
        <v>83</v>
      </c>
    </row>
    <row r="642" spans="1:54" x14ac:dyDescent="0.4">
      <c r="A642">
        <v>924743</v>
      </c>
      <c r="D642" t="s">
        <v>54</v>
      </c>
      <c r="E642" t="s">
        <v>55</v>
      </c>
      <c r="G642">
        <v>1</v>
      </c>
      <c r="H642" t="s">
        <v>56</v>
      </c>
      <c r="I642" t="s">
        <v>57</v>
      </c>
      <c r="K642" t="s">
        <v>85</v>
      </c>
      <c r="L642" t="s">
        <v>86</v>
      </c>
      <c r="M642" t="s">
        <v>60</v>
      </c>
      <c r="O642" t="s">
        <v>87</v>
      </c>
      <c r="P642" t="s">
        <v>62</v>
      </c>
      <c r="R642" t="s">
        <v>63</v>
      </c>
      <c r="S642" t="s">
        <v>64</v>
      </c>
      <c r="T642">
        <v>227</v>
      </c>
      <c r="U642">
        <v>208.5</v>
      </c>
      <c r="V642">
        <f t="shared" si="18"/>
        <v>217.75</v>
      </c>
      <c r="W642">
        <f t="shared" si="19"/>
        <v>18.5</v>
      </c>
      <c r="X642">
        <v>-76.768058999999994</v>
      </c>
      <c r="Y642">
        <v>40.052776000000001</v>
      </c>
      <c r="Z642" t="s">
        <v>124</v>
      </c>
      <c r="AA642" t="s">
        <v>66</v>
      </c>
      <c r="AB642" t="s">
        <v>1294</v>
      </c>
      <c r="AC642" t="s">
        <v>1295</v>
      </c>
      <c r="AD642" t="s">
        <v>1296</v>
      </c>
      <c r="AE642" t="s">
        <v>70</v>
      </c>
      <c r="AH642" t="s">
        <v>72</v>
      </c>
      <c r="AI642" t="s">
        <v>3742</v>
      </c>
      <c r="AJ642">
        <v>1995</v>
      </c>
      <c r="AK642" t="s">
        <v>3743</v>
      </c>
      <c r="AN642" t="s">
        <v>114</v>
      </c>
      <c r="AO642" t="s">
        <v>77</v>
      </c>
      <c r="AP642" t="s">
        <v>78</v>
      </c>
      <c r="AQ642" t="s">
        <v>3744</v>
      </c>
      <c r="AR642" t="s">
        <v>80</v>
      </c>
      <c r="AS642">
        <v>101</v>
      </c>
      <c r="AT642" t="s">
        <v>81</v>
      </c>
      <c r="AU642">
        <v>-10.65</v>
      </c>
      <c r="AV642">
        <v>13.45</v>
      </c>
      <c r="AW642" t="s">
        <v>82</v>
      </c>
      <c r="AX642">
        <v>101</v>
      </c>
      <c r="AY642" t="s">
        <v>81</v>
      </c>
      <c r="AZ642">
        <v>-21.58</v>
      </c>
      <c r="BA642">
        <v>14.46</v>
      </c>
      <c r="BB642" t="s">
        <v>83</v>
      </c>
    </row>
    <row r="643" spans="1:54" x14ac:dyDescent="0.4">
      <c r="A643">
        <v>924747</v>
      </c>
      <c r="D643" t="s">
        <v>54</v>
      </c>
      <c r="E643" t="s">
        <v>55</v>
      </c>
      <c r="G643">
        <v>9</v>
      </c>
      <c r="H643" t="s">
        <v>84</v>
      </c>
      <c r="I643" t="s">
        <v>57</v>
      </c>
      <c r="K643" t="s">
        <v>206</v>
      </c>
      <c r="L643" t="s">
        <v>1091</v>
      </c>
      <c r="M643" t="s">
        <v>60</v>
      </c>
      <c r="O643" t="s">
        <v>170</v>
      </c>
      <c r="P643" t="s">
        <v>62</v>
      </c>
      <c r="R643" t="s">
        <v>63</v>
      </c>
      <c r="S643" t="s">
        <v>64</v>
      </c>
      <c r="T643">
        <v>227</v>
      </c>
      <c r="U643">
        <v>208.5</v>
      </c>
      <c r="V643">
        <f t="shared" ref="V643:V706" si="20">(T643+U643)/2</f>
        <v>217.75</v>
      </c>
      <c r="W643">
        <f t="shared" ref="W643:W706" si="21">T643-U643</f>
        <v>18.5</v>
      </c>
      <c r="X643">
        <v>9.1427779999999998</v>
      </c>
      <c r="Y643">
        <v>48.760554999999997</v>
      </c>
      <c r="Z643" t="s">
        <v>184</v>
      </c>
      <c r="AA643" t="s">
        <v>211</v>
      </c>
      <c r="AB643" t="s">
        <v>863</v>
      </c>
      <c r="AC643" t="s">
        <v>213</v>
      </c>
      <c r="AD643" t="s">
        <v>214</v>
      </c>
      <c r="AE643" t="s">
        <v>215</v>
      </c>
      <c r="AF643" t="s">
        <v>864</v>
      </c>
      <c r="AH643" t="s">
        <v>72</v>
      </c>
      <c r="AI643" t="s">
        <v>779</v>
      </c>
      <c r="AJ643">
        <v>1992</v>
      </c>
      <c r="AK643" t="s">
        <v>866</v>
      </c>
      <c r="AN643" t="s">
        <v>114</v>
      </c>
      <c r="AO643" t="s">
        <v>77</v>
      </c>
      <c r="AP643" t="s">
        <v>78</v>
      </c>
      <c r="AQ643" t="s">
        <v>867</v>
      </c>
      <c r="AR643" t="s">
        <v>80</v>
      </c>
      <c r="AS643">
        <v>305</v>
      </c>
      <c r="AT643" t="s">
        <v>81</v>
      </c>
      <c r="AU643">
        <v>21.26</v>
      </c>
      <c r="AV643">
        <v>30.06</v>
      </c>
      <c r="AW643" t="s">
        <v>82</v>
      </c>
      <c r="AX643">
        <v>305</v>
      </c>
      <c r="AY643" t="s">
        <v>81</v>
      </c>
      <c r="AZ643">
        <v>10.119999999999999</v>
      </c>
      <c r="BA643">
        <v>31.98</v>
      </c>
      <c r="BB643" t="s">
        <v>83</v>
      </c>
    </row>
    <row r="644" spans="1:54" x14ac:dyDescent="0.4">
      <c r="A644">
        <v>929818</v>
      </c>
      <c r="D644" t="s">
        <v>54</v>
      </c>
      <c r="E644" t="s">
        <v>152</v>
      </c>
      <c r="G644">
        <v>1</v>
      </c>
      <c r="H644" t="s">
        <v>84</v>
      </c>
      <c r="I644" t="s">
        <v>57</v>
      </c>
      <c r="K644" t="s">
        <v>206</v>
      </c>
      <c r="L644" t="s">
        <v>1091</v>
      </c>
      <c r="M644" t="s">
        <v>60</v>
      </c>
      <c r="O644" t="s">
        <v>170</v>
      </c>
      <c r="P644" t="s">
        <v>62</v>
      </c>
      <c r="R644" t="s">
        <v>63</v>
      </c>
      <c r="S644" t="s">
        <v>64</v>
      </c>
      <c r="T644">
        <v>227</v>
      </c>
      <c r="U644">
        <v>208.5</v>
      </c>
      <c r="V644">
        <f t="shared" si="20"/>
        <v>217.75</v>
      </c>
      <c r="W644">
        <f t="shared" si="21"/>
        <v>18.5</v>
      </c>
      <c r="X644">
        <v>9.2125000000000004</v>
      </c>
      <c r="Y644">
        <v>48.758330999999998</v>
      </c>
      <c r="Z644" t="s">
        <v>836</v>
      </c>
      <c r="AA644" t="s">
        <v>211</v>
      </c>
      <c r="AB644" t="s">
        <v>212</v>
      </c>
      <c r="AC644" t="s">
        <v>213</v>
      </c>
      <c r="AD644" t="s">
        <v>214</v>
      </c>
      <c r="AE644" t="s">
        <v>215</v>
      </c>
      <c r="AF644" t="s">
        <v>216</v>
      </c>
      <c r="AH644" t="s">
        <v>72</v>
      </c>
      <c r="AI644" t="s">
        <v>3751</v>
      </c>
      <c r="AJ644">
        <v>2000</v>
      </c>
      <c r="AK644" t="s">
        <v>3752</v>
      </c>
      <c r="AM644" t="s">
        <v>3753</v>
      </c>
      <c r="AN644" t="s">
        <v>76</v>
      </c>
      <c r="AO644" t="s">
        <v>77</v>
      </c>
      <c r="AP644" t="s">
        <v>78</v>
      </c>
      <c r="AQ644" t="s">
        <v>3754</v>
      </c>
      <c r="AR644" t="s">
        <v>80</v>
      </c>
      <c r="AS644">
        <v>305</v>
      </c>
      <c r="AT644" t="s">
        <v>81</v>
      </c>
      <c r="AU644">
        <v>21.31</v>
      </c>
      <c r="AV644">
        <v>30.08</v>
      </c>
      <c r="AW644" t="s">
        <v>82</v>
      </c>
      <c r="AX644">
        <v>305</v>
      </c>
      <c r="AY644" t="s">
        <v>81</v>
      </c>
      <c r="AZ644">
        <v>10.17</v>
      </c>
      <c r="BA644">
        <v>31.99</v>
      </c>
      <c r="BB644" t="s">
        <v>83</v>
      </c>
    </row>
    <row r="645" spans="1:54" x14ac:dyDescent="0.4">
      <c r="A645">
        <v>930806</v>
      </c>
      <c r="D645" t="s">
        <v>54</v>
      </c>
      <c r="G645">
        <v>1</v>
      </c>
      <c r="H645" t="s">
        <v>56</v>
      </c>
      <c r="I645" t="s">
        <v>57</v>
      </c>
      <c r="K645" t="s">
        <v>194</v>
      </c>
      <c r="L645" t="s">
        <v>3766</v>
      </c>
      <c r="M645" t="s">
        <v>60</v>
      </c>
      <c r="P645" t="s">
        <v>62</v>
      </c>
      <c r="R645" t="s">
        <v>63</v>
      </c>
      <c r="S645" t="s">
        <v>64</v>
      </c>
      <c r="T645">
        <v>227</v>
      </c>
      <c r="U645">
        <v>208.5</v>
      </c>
      <c r="V645">
        <f t="shared" si="20"/>
        <v>217.75</v>
      </c>
      <c r="W645">
        <f t="shared" si="21"/>
        <v>18.5</v>
      </c>
      <c r="X645">
        <v>-53.446666999999998</v>
      </c>
      <c r="Y645">
        <v>-29.5625</v>
      </c>
      <c r="Z645" t="s">
        <v>105</v>
      </c>
      <c r="AA645" t="s">
        <v>783</v>
      </c>
      <c r="AB645" t="s">
        <v>784</v>
      </c>
      <c r="AC645" t="s">
        <v>1178</v>
      </c>
      <c r="AD645" t="s">
        <v>785</v>
      </c>
      <c r="AE645" t="s">
        <v>786</v>
      </c>
      <c r="AG645" t="s">
        <v>787</v>
      </c>
      <c r="AH645" t="s">
        <v>72</v>
      </c>
      <c r="AI645" t="s">
        <v>3767</v>
      </c>
      <c r="AJ645">
        <v>2010</v>
      </c>
      <c r="AK645" t="s">
        <v>1180</v>
      </c>
      <c r="AN645" t="s">
        <v>76</v>
      </c>
      <c r="AO645" t="s">
        <v>77</v>
      </c>
      <c r="AP645" t="s">
        <v>78</v>
      </c>
      <c r="AQ645" t="s">
        <v>1181</v>
      </c>
      <c r="AR645" t="s">
        <v>80</v>
      </c>
      <c r="AS645">
        <v>201</v>
      </c>
      <c r="AT645" t="s">
        <v>81</v>
      </c>
      <c r="AU645">
        <v>-6.86</v>
      </c>
      <c r="AV645">
        <v>-38.53</v>
      </c>
      <c r="AW645" t="s">
        <v>82</v>
      </c>
      <c r="AX645">
        <v>202</v>
      </c>
      <c r="AY645" t="s">
        <v>81</v>
      </c>
      <c r="AZ645">
        <v>-15.62</v>
      </c>
      <c r="BA645">
        <v>-36.979999999999997</v>
      </c>
      <c r="BB645" t="s">
        <v>83</v>
      </c>
    </row>
    <row r="646" spans="1:54" x14ac:dyDescent="0.4">
      <c r="A646">
        <v>930806</v>
      </c>
      <c r="D646" t="s">
        <v>54</v>
      </c>
      <c r="G646">
        <v>1</v>
      </c>
      <c r="H646" t="s">
        <v>56</v>
      </c>
      <c r="I646" t="s">
        <v>57</v>
      </c>
      <c r="K646" t="s">
        <v>194</v>
      </c>
      <c r="L646" t="s">
        <v>3766</v>
      </c>
      <c r="M646" t="s">
        <v>60</v>
      </c>
      <c r="P646" t="s">
        <v>62</v>
      </c>
      <c r="R646" t="s">
        <v>63</v>
      </c>
      <c r="S646" t="s">
        <v>64</v>
      </c>
      <c r="T646">
        <v>227</v>
      </c>
      <c r="U646">
        <v>208.5</v>
      </c>
      <c r="V646">
        <f t="shared" si="20"/>
        <v>217.75</v>
      </c>
      <c r="W646">
        <f t="shared" si="21"/>
        <v>18.5</v>
      </c>
      <c r="X646">
        <v>-53.446666999999998</v>
      </c>
      <c r="Y646">
        <v>-29.5625</v>
      </c>
      <c r="Z646" t="s">
        <v>105</v>
      </c>
      <c r="AA646" t="s">
        <v>783</v>
      </c>
      <c r="AB646" t="s">
        <v>784</v>
      </c>
      <c r="AC646" t="s">
        <v>1178</v>
      </c>
      <c r="AD646" t="s">
        <v>785</v>
      </c>
      <c r="AE646" t="s">
        <v>786</v>
      </c>
      <c r="AG646" t="s">
        <v>787</v>
      </c>
      <c r="AH646" t="s">
        <v>72</v>
      </c>
      <c r="AI646" t="s">
        <v>3767</v>
      </c>
      <c r="AJ646">
        <v>2010</v>
      </c>
      <c r="AK646" t="s">
        <v>1180</v>
      </c>
      <c r="AN646" t="s">
        <v>76</v>
      </c>
      <c r="AO646" t="s">
        <v>77</v>
      </c>
      <c r="AP646" t="s">
        <v>78</v>
      </c>
      <c r="AQ646" t="s">
        <v>1181</v>
      </c>
      <c r="AR646" t="s">
        <v>80</v>
      </c>
      <c r="AS646">
        <v>201</v>
      </c>
      <c r="AT646" t="s">
        <v>81</v>
      </c>
      <c r="AU646">
        <v>-6.86</v>
      </c>
      <c r="AV646">
        <v>-38.53</v>
      </c>
      <c r="AW646" t="s">
        <v>82</v>
      </c>
      <c r="AX646">
        <v>202</v>
      </c>
      <c r="AY646" t="s">
        <v>81</v>
      </c>
      <c r="AZ646">
        <v>-15.62</v>
      </c>
      <c r="BA646">
        <v>-36.979999999999997</v>
      </c>
      <c r="BB646" t="s">
        <v>83</v>
      </c>
    </row>
    <row r="647" spans="1:54" x14ac:dyDescent="0.4">
      <c r="A647">
        <v>930809</v>
      </c>
      <c r="D647" t="s">
        <v>54</v>
      </c>
      <c r="G647">
        <v>1</v>
      </c>
      <c r="H647" t="s">
        <v>56</v>
      </c>
      <c r="I647" t="s">
        <v>57</v>
      </c>
      <c r="K647" t="s">
        <v>141</v>
      </c>
      <c r="L647" t="s">
        <v>3768</v>
      </c>
      <c r="M647" t="s">
        <v>60</v>
      </c>
      <c r="P647" t="s">
        <v>62</v>
      </c>
      <c r="R647" t="s">
        <v>63</v>
      </c>
      <c r="S647" t="s">
        <v>64</v>
      </c>
      <c r="T647">
        <v>227</v>
      </c>
      <c r="U647">
        <v>208.5</v>
      </c>
      <c r="V647">
        <f t="shared" si="20"/>
        <v>217.75</v>
      </c>
      <c r="W647">
        <f t="shared" si="21"/>
        <v>18.5</v>
      </c>
      <c r="X647">
        <v>-53.446666999999998</v>
      </c>
      <c r="Y647">
        <v>-29.5625</v>
      </c>
      <c r="Z647" t="s">
        <v>105</v>
      </c>
      <c r="AA647" t="s">
        <v>783</v>
      </c>
      <c r="AB647" t="s">
        <v>784</v>
      </c>
      <c r="AC647" t="s">
        <v>1178</v>
      </c>
      <c r="AD647" t="s">
        <v>785</v>
      </c>
      <c r="AE647" t="s">
        <v>786</v>
      </c>
      <c r="AG647" t="s">
        <v>787</v>
      </c>
      <c r="AH647" t="s">
        <v>72</v>
      </c>
      <c r="AI647" t="s">
        <v>3767</v>
      </c>
      <c r="AJ647">
        <v>2010</v>
      </c>
      <c r="AK647" t="s">
        <v>1180</v>
      </c>
      <c r="AN647" t="s">
        <v>76</v>
      </c>
      <c r="AO647" t="s">
        <v>77</v>
      </c>
      <c r="AP647" t="s">
        <v>78</v>
      </c>
      <c r="AQ647" t="s">
        <v>1181</v>
      </c>
      <c r="AR647" t="s">
        <v>80</v>
      </c>
      <c r="AS647">
        <v>201</v>
      </c>
      <c r="AT647" t="s">
        <v>81</v>
      </c>
      <c r="AU647">
        <v>-6.86</v>
      </c>
      <c r="AV647">
        <v>-38.53</v>
      </c>
      <c r="AW647" t="s">
        <v>82</v>
      </c>
      <c r="AX647">
        <v>202</v>
      </c>
      <c r="AY647" t="s">
        <v>81</v>
      </c>
      <c r="AZ647">
        <v>-15.62</v>
      </c>
      <c r="BA647">
        <v>-36.979999999999997</v>
      </c>
      <c r="BB647" t="s">
        <v>83</v>
      </c>
    </row>
    <row r="648" spans="1:54" x14ac:dyDescent="0.4">
      <c r="A648">
        <v>930836</v>
      </c>
      <c r="D648" t="s">
        <v>54</v>
      </c>
      <c r="E648" t="s">
        <v>152</v>
      </c>
      <c r="F648" t="s">
        <v>1200</v>
      </c>
      <c r="G648">
        <v>9</v>
      </c>
      <c r="H648" t="s">
        <v>421</v>
      </c>
      <c r="I648" t="s">
        <v>57</v>
      </c>
      <c r="K648" t="s">
        <v>85</v>
      </c>
      <c r="L648" t="s">
        <v>1517</v>
      </c>
      <c r="M648" t="s">
        <v>60</v>
      </c>
      <c r="O648" t="s">
        <v>87</v>
      </c>
      <c r="P648" t="s">
        <v>62</v>
      </c>
      <c r="R648" t="s">
        <v>63</v>
      </c>
      <c r="S648" t="s">
        <v>64</v>
      </c>
      <c r="T648">
        <v>227</v>
      </c>
      <c r="U648">
        <v>208.5</v>
      </c>
      <c r="V648">
        <f t="shared" si="20"/>
        <v>217.75</v>
      </c>
      <c r="W648">
        <f t="shared" si="21"/>
        <v>18.5</v>
      </c>
      <c r="X648">
        <v>9.8666669999999996</v>
      </c>
      <c r="Y648">
        <v>51.455554999999997</v>
      </c>
      <c r="Z648" t="s">
        <v>356</v>
      </c>
      <c r="AA648" t="s">
        <v>211</v>
      </c>
      <c r="AB648" t="s">
        <v>1163</v>
      </c>
      <c r="AC648" t="s">
        <v>3769</v>
      </c>
      <c r="AD648" t="s">
        <v>3770</v>
      </c>
      <c r="AE648" t="s">
        <v>3771</v>
      </c>
      <c r="AF648" t="s">
        <v>3772</v>
      </c>
      <c r="AH648" t="s">
        <v>72</v>
      </c>
      <c r="AI648" t="s">
        <v>3773</v>
      </c>
      <c r="AJ648">
        <v>2010</v>
      </c>
      <c r="AK648" t="s">
        <v>3774</v>
      </c>
      <c r="AN648" t="s">
        <v>192</v>
      </c>
      <c r="AO648" t="s">
        <v>77</v>
      </c>
      <c r="AP648" t="s">
        <v>78</v>
      </c>
      <c r="AQ648" t="s">
        <v>3775</v>
      </c>
      <c r="AR648" t="s">
        <v>80</v>
      </c>
      <c r="AS648">
        <v>315</v>
      </c>
      <c r="AT648" t="s">
        <v>81</v>
      </c>
      <c r="AU648">
        <v>20.440000000000001</v>
      </c>
      <c r="AV648">
        <v>32.71</v>
      </c>
      <c r="AW648" t="s">
        <v>82</v>
      </c>
      <c r="AX648">
        <v>315</v>
      </c>
      <c r="AY648" t="s">
        <v>81</v>
      </c>
      <c r="AZ648">
        <v>9.2100000000000009</v>
      </c>
      <c r="BA648">
        <v>34.6</v>
      </c>
      <c r="BB648" t="s">
        <v>83</v>
      </c>
    </row>
    <row r="649" spans="1:54" x14ac:dyDescent="0.4">
      <c r="A649">
        <v>930837</v>
      </c>
      <c r="D649" t="s">
        <v>54</v>
      </c>
      <c r="E649" t="s">
        <v>152</v>
      </c>
      <c r="F649" t="s">
        <v>1200</v>
      </c>
      <c r="G649">
        <v>1</v>
      </c>
      <c r="H649" t="s">
        <v>421</v>
      </c>
      <c r="I649" t="s">
        <v>57</v>
      </c>
      <c r="K649" t="s">
        <v>85</v>
      </c>
      <c r="L649" t="s">
        <v>1519</v>
      </c>
      <c r="M649" t="s">
        <v>60</v>
      </c>
      <c r="O649" t="s">
        <v>87</v>
      </c>
      <c r="P649" t="s">
        <v>62</v>
      </c>
      <c r="R649" t="s">
        <v>63</v>
      </c>
      <c r="S649" t="s">
        <v>64</v>
      </c>
      <c r="T649">
        <v>227</v>
      </c>
      <c r="U649">
        <v>208.5</v>
      </c>
      <c r="V649">
        <f t="shared" si="20"/>
        <v>217.75</v>
      </c>
      <c r="W649">
        <f t="shared" si="21"/>
        <v>18.5</v>
      </c>
      <c r="X649">
        <v>9.8666669999999996</v>
      </c>
      <c r="Y649">
        <v>51.455554999999997</v>
      </c>
      <c r="Z649" t="s">
        <v>356</v>
      </c>
      <c r="AA649" t="s">
        <v>211</v>
      </c>
      <c r="AB649" t="s">
        <v>1163</v>
      </c>
      <c r="AC649" t="s">
        <v>3769</v>
      </c>
      <c r="AD649" t="s">
        <v>3770</v>
      </c>
      <c r="AE649" t="s">
        <v>3771</v>
      </c>
      <c r="AF649" t="s">
        <v>3772</v>
      </c>
      <c r="AH649" t="s">
        <v>11</v>
      </c>
      <c r="AI649" t="s">
        <v>3773</v>
      </c>
      <c r="AJ649">
        <v>2010</v>
      </c>
      <c r="AK649" t="s">
        <v>3774</v>
      </c>
      <c r="AN649" t="s">
        <v>192</v>
      </c>
      <c r="AO649" t="s">
        <v>77</v>
      </c>
      <c r="AP649" t="s">
        <v>78</v>
      </c>
      <c r="AQ649" t="s">
        <v>3775</v>
      </c>
      <c r="AR649" t="s">
        <v>80</v>
      </c>
      <c r="AS649">
        <v>315</v>
      </c>
      <c r="AT649" t="s">
        <v>81</v>
      </c>
      <c r="AU649">
        <v>20.440000000000001</v>
      </c>
      <c r="AV649">
        <v>32.71</v>
      </c>
      <c r="AW649" t="s">
        <v>82</v>
      </c>
      <c r="AX649">
        <v>315</v>
      </c>
      <c r="AY649" t="s">
        <v>81</v>
      </c>
      <c r="AZ649">
        <v>9.2100000000000009</v>
      </c>
      <c r="BA649">
        <v>34.6</v>
      </c>
      <c r="BB649" t="s">
        <v>83</v>
      </c>
    </row>
    <row r="650" spans="1:54" x14ac:dyDescent="0.4">
      <c r="A650">
        <v>930849</v>
      </c>
      <c r="D650" t="s">
        <v>54</v>
      </c>
      <c r="G650">
        <v>1</v>
      </c>
      <c r="H650" t="s">
        <v>84</v>
      </c>
      <c r="I650" t="s">
        <v>57</v>
      </c>
      <c r="K650" t="s">
        <v>244</v>
      </c>
      <c r="L650" t="s">
        <v>245</v>
      </c>
      <c r="M650" t="s">
        <v>60</v>
      </c>
      <c r="O650" t="s">
        <v>170</v>
      </c>
      <c r="P650" t="s">
        <v>62</v>
      </c>
      <c r="R650" t="s">
        <v>63</v>
      </c>
      <c r="S650" t="s">
        <v>64</v>
      </c>
      <c r="T650">
        <v>227</v>
      </c>
      <c r="U650">
        <v>208.5</v>
      </c>
      <c r="V650">
        <f t="shared" si="20"/>
        <v>217.75</v>
      </c>
      <c r="W650">
        <f t="shared" si="21"/>
        <v>18.5</v>
      </c>
      <c r="X650">
        <v>8.6361109999999996</v>
      </c>
      <c r="Y650">
        <v>48.075001</v>
      </c>
      <c r="Z650" t="s">
        <v>198</v>
      </c>
      <c r="AA650" t="s">
        <v>211</v>
      </c>
      <c r="AB650" t="s">
        <v>212</v>
      </c>
      <c r="AC650" t="s">
        <v>3733</v>
      </c>
      <c r="AD650" t="s">
        <v>214</v>
      </c>
      <c r="AE650" t="s">
        <v>215</v>
      </c>
      <c r="AF650" t="s">
        <v>3734</v>
      </c>
      <c r="AH650" t="s">
        <v>72</v>
      </c>
      <c r="AI650" t="s">
        <v>365</v>
      </c>
      <c r="AJ650">
        <v>2001</v>
      </c>
      <c r="AK650" t="s">
        <v>3736</v>
      </c>
      <c r="AN650" t="s">
        <v>114</v>
      </c>
      <c r="AO650" t="s">
        <v>77</v>
      </c>
      <c r="AP650" t="s">
        <v>78</v>
      </c>
      <c r="AQ650" t="s">
        <v>3737</v>
      </c>
      <c r="AR650" t="s">
        <v>80</v>
      </c>
      <c r="AS650">
        <v>305</v>
      </c>
      <c r="AT650" t="s">
        <v>81</v>
      </c>
      <c r="AU650">
        <v>21.22</v>
      </c>
      <c r="AV650">
        <v>29.3</v>
      </c>
      <c r="AW650" t="s">
        <v>82</v>
      </c>
      <c r="AX650">
        <v>305</v>
      </c>
      <c r="AY650" t="s">
        <v>81</v>
      </c>
      <c r="AZ650">
        <v>10.11</v>
      </c>
      <c r="BA650">
        <v>31.21</v>
      </c>
      <c r="BB650" t="s">
        <v>83</v>
      </c>
    </row>
    <row r="651" spans="1:54" x14ac:dyDescent="0.4">
      <c r="A651">
        <v>930990</v>
      </c>
      <c r="D651" t="s">
        <v>54</v>
      </c>
      <c r="E651" t="s">
        <v>152</v>
      </c>
      <c r="F651" t="s">
        <v>1200</v>
      </c>
      <c r="G651">
        <v>4</v>
      </c>
      <c r="H651" t="s">
        <v>84</v>
      </c>
      <c r="I651" t="s">
        <v>57</v>
      </c>
      <c r="K651" t="s">
        <v>141</v>
      </c>
      <c r="L651" t="s">
        <v>264</v>
      </c>
      <c r="M651" t="s">
        <v>60</v>
      </c>
      <c r="P651" t="s">
        <v>62</v>
      </c>
      <c r="R651" t="s">
        <v>63</v>
      </c>
      <c r="S651" t="s">
        <v>64</v>
      </c>
      <c r="T651">
        <v>227</v>
      </c>
      <c r="U651">
        <v>208.5</v>
      </c>
      <c r="V651">
        <f t="shared" si="20"/>
        <v>217.75</v>
      </c>
      <c r="W651">
        <f t="shared" si="21"/>
        <v>18.5</v>
      </c>
      <c r="X651">
        <v>101.616669</v>
      </c>
      <c r="Y651">
        <v>16.766666000000001</v>
      </c>
      <c r="Z651" t="s">
        <v>124</v>
      </c>
      <c r="AA651" t="s">
        <v>3783</v>
      </c>
      <c r="AB651" t="s">
        <v>3784</v>
      </c>
      <c r="AC651" t="s">
        <v>3785</v>
      </c>
      <c r="AD651" t="s">
        <v>3786</v>
      </c>
      <c r="AH651" t="s">
        <v>72</v>
      </c>
      <c r="AI651" t="s">
        <v>3787</v>
      </c>
      <c r="AJ651">
        <v>1984</v>
      </c>
      <c r="AK651" t="s">
        <v>3788</v>
      </c>
      <c r="AN651" t="s">
        <v>341</v>
      </c>
      <c r="AO651" t="s">
        <v>160</v>
      </c>
      <c r="AP651" t="s">
        <v>115</v>
      </c>
      <c r="AQ651" t="s">
        <v>3789</v>
      </c>
      <c r="AR651" t="s">
        <v>80</v>
      </c>
      <c r="AS651">
        <v>615</v>
      </c>
      <c r="AT651" t="s">
        <v>81</v>
      </c>
      <c r="AU651">
        <v>110.3</v>
      </c>
      <c r="AV651">
        <v>16.3</v>
      </c>
      <c r="AW651" t="s">
        <v>82</v>
      </c>
      <c r="AX651">
        <v>615</v>
      </c>
      <c r="AY651" t="s">
        <v>81</v>
      </c>
      <c r="AZ651">
        <v>90.38</v>
      </c>
      <c r="BA651">
        <v>21.58</v>
      </c>
      <c r="BB651" t="s">
        <v>83</v>
      </c>
    </row>
    <row r="652" spans="1:54" x14ac:dyDescent="0.4">
      <c r="A652">
        <v>931088</v>
      </c>
      <c r="D652" t="s">
        <v>54</v>
      </c>
      <c r="G652">
        <v>2</v>
      </c>
      <c r="H652" t="s">
        <v>84</v>
      </c>
      <c r="I652" t="s">
        <v>57</v>
      </c>
      <c r="K652" t="s">
        <v>141</v>
      </c>
      <c r="L652" t="s">
        <v>264</v>
      </c>
      <c r="M652" t="s">
        <v>60</v>
      </c>
      <c r="P652" t="s">
        <v>62</v>
      </c>
      <c r="R652" t="s">
        <v>63</v>
      </c>
      <c r="S652" t="s">
        <v>64</v>
      </c>
      <c r="T652">
        <v>227</v>
      </c>
      <c r="U652">
        <v>208.5</v>
      </c>
      <c r="V652">
        <f t="shared" si="20"/>
        <v>217.75</v>
      </c>
      <c r="W652">
        <f t="shared" si="21"/>
        <v>18.5</v>
      </c>
      <c r="X652">
        <v>102.099998</v>
      </c>
      <c r="Y652">
        <v>16.75</v>
      </c>
      <c r="Z652" t="s">
        <v>124</v>
      </c>
      <c r="AA652" t="s">
        <v>3783</v>
      </c>
      <c r="AB652" t="s">
        <v>3790</v>
      </c>
      <c r="AD652" t="s">
        <v>3786</v>
      </c>
      <c r="AH652" t="s">
        <v>72</v>
      </c>
      <c r="AI652" t="s">
        <v>3787</v>
      </c>
      <c r="AJ652">
        <v>1984</v>
      </c>
      <c r="AK652" t="s">
        <v>3791</v>
      </c>
      <c r="AM652" t="s">
        <v>3792</v>
      </c>
      <c r="AN652" t="s">
        <v>114</v>
      </c>
      <c r="AO652" t="s">
        <v>160</v>
      </c>
      <c r="AP652" t="s">
        <v>115</v>
      </c>
      <c r="AQ652" t="s">
        <v>3793</v>
      </c>
      <c r="AR652" t="s">
        <v>80</v>
      </c>
      <c r="AS652">
        <v>615</v>
      </c>
      <c r="AT652" t="s">
        <v>81</v>
      </c>
      <c r="AU652">
        <v>110.76</v>
      </c>
      <c r="AV652">
        <v>16.440000000000001</v>
      </c>
      <c r="AW652" t="s">
        <v>82</v>
      </c>
      <c r="AX652">
        <v>615</v>
      </c>
      <c r="AY652" t="s">
        <v>81</v>
      </c>
      <c r="AZ652">
        <v>90.86</v>
      </c>
      <c r="BA652">
        <v>21.7</v>
      </c>
      <c r="BB652" t="s">
        <v>83</v>
      </c>
    </row>
    <row r="653" spans="1:54" x14ac:dyDescent="0.4">
      <c r="A653">
        <v>931095</v>
      </c>
      <c r="D653" t="s">
        <v>54</v>
      </c>
      <c r="G653">
        <v>2</v>
      </c>
      <c r="H653" t="s">
        <v>84</v>
      </c>
      <c r="I653" t="s">
        <v>57</v>
      </c>
      <c r="K653" t="s">
        <v>141</v>
      </c>
      <c r="L653" t="s">
        <v>264</v>
      </c>
      <c r="M653" t="s">
        <v>60</v>
      </c>
      <c r="P653" t="s">
        <v>62</v>
      </c>
      <c r="R653" t="s">
        <v>63</v>
      </c>
      <c r="S653" t="s">
        <v>64</v>
      </c>
      <c r="T653">
        <v>227</v>
      </c>
      <c r="U653">
        <v>208.5</v>
      </c>
      <c r="V653">
        <f t="shared" si="20"/>
        <v>217.75</v>
      </c>
      <c r="W653">
        <f t="shared" si="21"/>
        <v>18.5</v>
      </c>
      <c r="X653">
        <v>102</v>
      </c>
      <c r="Y653">
        <v>16.666668000000001</v>
      </c>
      <c r="Z653" t="s">
        <v>124</v>
      </c>
      <c r="AA653" t="s">
        <v>3783</v>
      </c>
      <c r="AB653" t="s">
        <v>3790</v>
      </c>
      <c r="AD653" t="s">
        <v>3786</v>
      </c>
      <c r="AH653" t="s">
        <v>72</v>
      </c>
      <c r="AI653" t="s">
        <v>3787</v>
      </c>
      <c r="AJ653">
        <v>1984</v>
      </c>
      <c r="AK653" t="s">
        <v>3794</v>
      </c>
      <c r="AN653" t="s">
        <v>192</v>
      </c>
      <c r="AO653" t="s">
        <v>160</v>
      </c>
      <c r="AP653" t="s">
        <v>115</v>
      </c>
      <c r="AQ653" t="s">
        <v>3795</v>
      </c>
      <c r="AR653" t="s">
        <v>80</v>
      </c>
      <c r="AS653">
        <v>615</v>
      </c>
      <c r="AT653" t="s">
        <v>81</v>
      </c>
      <c r="AU653">
        <v>110.69</v>
      </c>
      <c r="AV653">
        <v>16.329999999999998</v>
      </c>
      <c r="AW653" t="s">
        <v>82</v>
      </c>
      <c r="AX653">
        <v>615</v>
      </c>
      <c r="AY653" t="s">
        <v>81</v>
      </c>
      <c r="AZ653">
        <v>90.79</v>
      </c>
      <c r="BA653">
        <v>21.6</v>
      </c>
      <c r="BB653" t="s">
        <v>83</v>
      </c>
    </row>
    <row r="654" spans="1:54" x14ac:dyDescent="0.4">
      <c r="A654">
        <v>933495</v>
      </c>
      <c r="D654" t="s">
        <v>54</v>
      </c>
      <c r="G654">
        <v>1</v>
      </c>
      <c r="H654" t="s">
        <v>84</v>
      </c>
      <c r="I654" t="s">
        <v>57</v>
      </c>
      <c r="K654" t="s">
        <v>85</v>
      </c>
      <c r="L654" t="s">
        <v>86</v>
      </c>
      <c r="M654" t="s">
        <v>60</v>
      </c>
      <c r="O654" t="s">
        <v>87</v>
      </c>
      <c r="P654" t="s">
        <v>62</v>
      </c>
      <c r="R654" t="s">
        <v>63</v>
      </c>
      <c r="S654" t="s">
        <v>64</v>
      </c>
      <c r="T654">
        <v>227</v>
      </c>
      <c r="U654">
        <v>208.5</v>
      </c>
      <c r="V654">
        <f t="shared" si="20"/>
        <v>217.75</v>
      </c>
      <c r="W654">
        <f t="shared" si="21"/>
        <v>18.5</v>
      </c>
      <c r="X654">
        <v>-65.916663999999997</v>
      </c>
      <c r="Y654">
        <v>44.572223999999999</v>
      </c>
      <c r="Z654" t="s">
        <v>432</v>
      </c>
      <c r="AA654" t="s">
        <v>1456</v>
      </c>
      <c r="AB654" t="s">
        <v>1457</v>
      </c>
      <c r="AC654" t="s">
        <v>3822</v>
      </c>
      <c r="AD654" t="s">
        <v>2264</v>
      </c>
      <c r="AE654" t="s">
        <v>70</v>
      </c>
      <c r="AH654" t="s">
        <v>11</v>
      </c>
      <c r="AI654" t="s">
        <v>1476</v>
      </c>
      <c r="AJ654">
        <v>1989</v>
      </c>
      <c r="AK654" t="s">
        <v>3823</v>
      </c>
      <c r="AN654" t="s">
        <v>114</v>
      </c>
      <c r="AO654" t="s">
        <v>77</v>
      </c>
      <c r="AP654" t="s">
        <v>115</v>
      </c>
      <c r="AQ654" t="s">
        <v>3824</v>
      </c>
      <c r="AR654" t="s">
        <v>80</v>
      </c>
      <c r="AS654">
        <v>108</v>
      </c>
      <c r="AT654" t="s">
        <v>81</v>
      </c>
      <c r="AU654">
        <v>-2.8</v>
      </c>
      <c r="AV654">
        <v>18.73</v>
      </c>
      <c r="AW654" t="s">
        <v>82</v>
      </c>
      <c r="AX654">
        <v>108</v>
      </c>
      <c r="AY654" t="s">
        <v>81</v>
      </c>
      <c r="AZ654">
        <v>-13.89</v>
      </c>
      <c r="BA654">
        <v>20</v>
      </c>
      <c r="BB654" t="s">
        <v>83</v>
      </c>
    </row>
    <row r="655" spans="1:54" x14ac:dyDescent="0.4">
      <c r="A655">
        <v>933496</v>
      </c>
      <c r="D655" t="s">
        <v>54</v>
      </c>
      <c r="E655" t="s">
        <v>55</v>
      </c>
      <c r="G655">
        <v>3</v>
      </c>
      <c r="H655" t="s">
        <v>84</v>
      </c>
      <c r="I655" t="s">
        <v>57</v>
      </c>
      <c r="K655" t="s">
        <v>141</v>
      </c>
      <c r="L655" t="s">
        <v>3825</v>
      </c>
      <c r="M655" t="s">
        <v>60</v>
      </c>
      <c r="P655" t="s">
        <v>62</v>
      </c>
      <c r="R655" t="s">
        <v>63</v>
      </c>
      <c r="S655" t="s">
        <v>64</v>
      </c>
      <c r="T655">
        <v>227</v>
      </c>
      <c r="U655">
        <v>208.5</v>
      </c>
      <c r="V655">
        <f t="shared" si="20"/>
        <v>217.75</v>
      </c>
      <c r="W655">
        <f t="shared" si="21"/>
        <v>18.5</v>
      </c>
      <c r="X655">
        <v>-123.230553</v>
      </c>
      <c r="Y655">
        <v>57.302776000000001</v>
      </c>
      <c r="Z655" t="s">
        <v>3301</v>
      </c>
      <c r="AA655" t="s">
        <v>1456</v>
      </c>
      <c r="AB655" t="s">
        <v>1858</v>
      </c>
      <c r="AD655" t="s">
        <v>3302</v>
      </c>
      <c r="AF655" t="s">
        <v>3826</v>
      </c>
      <c r="AG655" t="s">
        <v>3827</v>
      </c>
      <c r="AH655" t="s">
        <v>72</v>
      </c>
      <c r="AI655" t="s">
        <v>3320</v>
      </c>
      <c r="AJ655">
        <v>1998</v>
      </c>
      <c r="AK655" t="s">
        <v>3828</v>
      </c>
      <c r="AN655" t="s">
        <v>192</v>
      </c>
      <c r="AO655" t="s">
        <v>77</v>
      </c>
      <c r="AP655" t="s">
        <v>78</v>
      </c>
      <c r="AQ655" t="s">
        <v>3829</v>
      </c>
      <c r="AR655" t="s">
        <v>80</v>
      </c>
      <c r="AS655">
        <v>101</v>
      </c>
      <c r="AT655" t="s">
        <v>81</v>
      </c>
      <c r="AU655">
        <v>-40.659999999999997</v>
      </c>
      <c r="AV655">
        <v>34.39</v>
      </c>
      <c r="AW655" t="s">
        <v>82</v>
      </c>
      <c r="AX655">
        <v>101</v>
      </c>
      <c r="AY655" t="s">
        <v>81</v>
      </c>
      <c r="AZ655">
        <v>-52.62</v>
      </c>
      <c r="BA655">
        <v>34.25</v>
      </c>
      <c r="BB655" t="s">
        <v>83</v>
      </c>
    </row>
    <row r="656" spans="1:54" x14ac:dyDescent="0.4">
      <c r="A656">
        <v>933497</v>
      </c>
      <c r="D656" t="s">
        <v>54</v>
      </c>
      <c r="E656" t="s">
        <v>55</v>
      </c>
      <c r="I656" t="s">
        <v>57</v>
      </c>
      <c r="K656" t="s">
        <v>1816</v>
      </c>
      <c r="L656" t="s">
        <v>3830</v>
      </c>
      <c r="M656" t="s">
        <v>223</v>
      </c>
      <c r="N656" t="s">
        <v>234</v>
      </c>
      <c r="O656" t="s">
        <v>345</v>
      </c>
      <c r="P656" t="s">
        <v>62</v>
      </c>
      <c r="R656" t="s">
        <v>63</v>
      </c>
      <c r="S656" t="s">
        <v>64</v>
      </c>
      <c r="T656">
        <v>227</v>
      </c>
      <c r="U656">
        <v>208.5</v>
      </c>
      <c r="V656">
        <f t="shared" si="20"/>
        <v>217.75</v>
      </c>
      <c r="W656">
        <f t="shared" si="21"/>
        <v>18.5</v>
      </c>
      <c r="X656">
        <v>-123.230553</v>
      </c>
      <c r="Y656">
        <v>57.302776000000001</v>
      </c>
      <c r="Z656" t="s">
        <v>3301</v>
      </c>
      <c r="AA656" t="s">
        <v>1456</v>
      </c>
      <c r="AB656" t="s">
        <v>1858</v>
      </c>
      <c r="AD656" t="s">
        <v>3302</v>
      </c>
      <c r="AF656" t="s">
        <v>3826</v>
      </c>
      <c r="AG656" t="s">
        <v>3827</v>
      </c>
      <c r="AH656" t="s">
        <v>72</v>
      </c>
      <c r="AI656" t="s">
        <v>3304</v>
      </c>
      <c r="AJ656">
        <v>2001</v>
      </c>
      <c r="AK656" t="s">
        <v>3828</v>
      </c>
      <c r="AN656" t="s">
        <v>192</v>
      </c>
      <c r="AO656" t="s">
        <v>77</v>
      </c>
      <c r="AP656" t="s">
        <v>78</v>
      </c>
      <c r="AQ656" t="s">
        <v>3829</v>
      </c>
      <c r="AR656" t="s">
        <v>80</v>
      </c>
      <c r="AS656">
        <v>101</v>
      </c>
      <c r="AT656" t="s">
        <v>81</v>
      </c>
      <c r="AU656">
        <v>-40.659999999999997</v>
      </c>
      <c r="AV656">
        <v>34.39</v>
      </c>
      <c r="AW656" t="s">
        <v>82</v>
      </c>
      <c r="AX656">
        <v>101</v>
      </c>
      <c r="AY656" t="s">
        <v>81</v>
      </c>
      <c r="AZ656">
        <v>-52.62</v>
      </c>
      <c r="BA656">
        <v>34.25</v>
      </c>
      <c r="BB656" t="s">
        <v>83</v>
      </c>
    </row>
    <row r="657" spans="1:54" x14ac:dyDescent="0.4">
      <c r="A657">
        <v>933499</v>
      </c>
      <c r="D657" t="s">
        <v>54</v>
      </c>
      <c r="E657" t="s">
        <v>55</v>
      </c>
      <c r="F657" t="s">
        <v>1200</v>
      </c>
      <c r="G657">
        <v>11</v>
      </c>
      <c r="H657" t="s">
        <v>84</v>
      </c>
      <c r="I657" t="s">
        <v>57</v>
      </c>
      <c r="K657" t="s">
        <v>141</v>
      </c>
      <c r="L657" t="s">
        <v>3825</v>
      </c>
      <c r="M657" t="s">
        <v>60</v>
      </c>
      <c r="P657" t="s">
        <v>62</v>
      </c>
      <c r="R657" t="s">
        <v>63</v>
      </c>
      <c r="S657" t="s">
        <v>64</v>
      </c>
      <c r="T657">
        <v>227</v>
      </c>
      <c r="U657">
        <v>208.5</v>
      </c>
      <c r="V657">
        <f t="shared" si="20"/>
        <v>217.75</v>
      </c>
      <c r="W657">
        <f t="shared" si="21"/>
        <v>18.5</v>
      </c>
      <c r="X657">
        <v>-123.226387</v>
      </c>
      <c r="Y657">
        <v>57.311110999999997</v>
      </c>
      <c r="Z657" t="s">
        <v>3301</v>
      </c>
      <c r="AA657" t="s">
        <v>1456</v>
      </c>
      <c r="AB657" t="s">
        <v>1858</v>
      </c>
      <c r="AD657" t="s">
        <v>3302</v>
      </c>
      <c r="AF657" t="s">
        <v>3826</v>
      </c>
      <c r="AG657" t="s">
        <v>3827</v>
      </c>
      <c r="AH657" t="s">
        <v>72</v>
      </c>
      <c r="AI657" t="s">
        <v>3320</v>
      </c>
      <c r="AJ657">
        <v>1998</v>
      </c>
      <c r="AK657" t="s">
        <v>3831</v>
      </c>
      <c r="AN657" t="s">
        <v>192</v>
      </c>
      <c r="AO657" t="s">
        <v>77</v>
      </c>
      <c r="AP657" t="s">
        <v>78</v>
      </c>
      <c r="AQ657" t="s">
        <v>3829</v>
      </c>
      <c r="AR657" t="s">
        <v>80</v>
      </c>
      <c r="AS657">
        <v>101</v>
      </c>
      <c r="AT657" t="s">
        <v>81</v>
      </c>
      <c r="AU657">
        <v>-40.65</v>
      </c>
      <c r="AV657">
        <v>34.4</v>
      </c>
      <c r="AW657" t="s">
        <v>82</v>
      </c>
      <c r="AX657">
        <v>101</v>
      </c>
      <c r="AY657" t="s">
        <v>81</v>
      </c>
      <c r="AZ657">
        <v>-52.62</v>
      </c>
      <c r="BA657">
        <v>34.26</v>
      </c>
      <c r="BB657" t="s">
        <v>83</v>
      </c>
    </row>
    <row r="658" spans="1:54" x14ac:dyDescent="0.4">
      <c r="A658">
        <v>933502</v>
      </c>
      <c r="D658" t="s">
        <v>54</v>
      </c>
      <c r="E658" t="s">
        <v>55</v>
      </c>
      <c r="F658" t="s">
        <v>1200</v>
      </c>
      <c r="G658">
        <v>6</v>
      </c>
      <c r="H658" t="s">
        <v>84</v>
      </c>
      <c r="I658" t="s">
        <v>57</v>
      </c>
      <c r="K658" t="s">
        <v>141</v>
      </c>
      <c r="L658" t="s">
        <v>3825</v>
      </c>
      <c r="M658" t="s">
        <v>60</v>
      </c>
      <c r="P658" t="s">
        <v>62</v>
      </c>
      <c r="R658" t="s">
        <v>63</v>
      </c>
      <c r="S658" t="s">
        <v>64</v>
      </c>
      <c r="T658">
        <v>227</v>
      </c>
      <c r="U658">
        <v>208.5</v>
      </c>
      <c r="V658">
        <f t="shared" si="20"/>
        <v>217.75</v>
      </c>
      <c r="W658">
        <f t="shared" si="21"/>
        <v>18.5</v>
      </c>
      <c r="X658">
        <v>-123.216667</v>
      </c>
      <c r="Y658">
        <v>57.322223999999999</v>
      </c>
      <c r="Z658" t="s">
        <v>3301</v>
      </c>
      <c r="AA658" t="s">
        <v>1456</v>
      </c>
      <c r="AB658" t="s">
        <v>1858</v>
      </c>
      <c r="AD658" t="s">
        <v>3302</v>
      </c>
      <c r="AF658" t="s">
        <v>3826</v>
      </c>
      <c r="AG658" t="s">
        <v>3827</v>
      </c>
      <c r="AH658" t="s">
        <v>72</v>
      </c>
      <c r="AI658" t="s">
        <v>3320</v>
      </c>
      <c r="AJ658">
        <v>1998</v>
      </c>
      <c r="AK658" t="s">
        <v>3832</v>
      </c>
      <c r="AN658" t="s">
        <v>192</v>
      </c>
      <c r="AO658" t="s">
        <v>77</v>
      </c>
      <c r="AP658" t="s">
        <v>78</v>
      </c>
      <c r="AQ658" t="s">
        <v>3829</v>
      </c>
      <c r="AR658" t="s">
        <v>80</v>
      </c>
      <c r="AS658">
        <v>101</v>
      </c>
      <c r="AT658" t="s">
        <v>81</v>
      </c>
      <c r="AU658">
        <v>-40.64</v>
      </c>
      <c r="AV658">
        <v>34.4</v>
      </c>
      <c r="AW658" t="s">
        <v>82</v>
      </c>
      <c r="AX658">
        <v>101</v>
      </c>
      <c r="AY658" t="s">
        <v>81</v>
      </c>
      <c r="AZ658">
        <v>-52.61</v>
      </c>
      <c r="BA658">
        <v>34.270000000000003</v>
      </c>
      <c r="BB658" t="s">
        <v>83</v>
      </c>
    </row>
    <row r="659" spans="1:54" x14ac:dyDescent="0.4">
      <c r="A659">
        <v>933503</v>
      </c>
      <c r="D659" t="s">
        <v>54</v>
      </c>
      <c r="E659" t="s">
        <v>55</v>
      </c>
      <c r="F659" t="s">
        <v>1200</v>
      </c>
      <c r="I659" t="s">
        <v>57</v>
      </c>
      <c r="K659" t="s">
        <v>1816</v>
      </c>
      <c r="L659" t="s">
        <v>3830</v>
      </c>
      <c r="M659" t="s">
        <v>223</v>
      </c>
      <c r="N659" t="s">
        <v>234</v>
      </c>
      <c r="O659" t="s">
        <v>345</v>
      </c>
      <c r="P659" t="s">
        <v>62</v>
      </c>
      <c r="R659" t="s">
        <v>63</v>
      </c>
      <c r="S659" t="s">
        <v>64</v>
      </c>
      <c r="T659">
        <v>227</v>
      </c>
      <c r="U659">
        <v>208.5</v>
      </c>
      <c r="V659">
        <f t="shared" si="20"/>
        <v>217.75</v>
      </c>
      <c r="W659">
        <f t="shared" si="21"/>
        <v>18.5</v>
      </c>
      <c r="X659">
        <v>-123.216667</v>
      </c>
      <c r="Y659">
        <v>57.322223999999999</v>
      </c>
      <c r="Z659" t="s">
        <v>3301</v>
      </c>
      <c r="AA659" t="s">
        <v>1456</v>
      </c>
      <c r="AB659" t="s">
        <v>1858</v>
      </c>
      <c r="AD659" t="s">
        <v>3302</v>
      </c>
      <c r="AF659" t="s">
        <v>3826</v>
      </c>
      <c r="AG659" t="s">
        <v>3827</v>
      </c>
      <c r="AH659" t="s">
        <v>72</v>
      </c>
      <c r="AI659" t="s">
        <v>3304</v>
      </c>
      <c r="AJ659">
        <v>2001</v>
      </c>
      <c r="AK659" t="s">
        <v>3832</v>
      </c>
      <c r="AN659" t="s">
        <v>192</v>
      </c>
      <c r="AO659" t="s">
        <v>77</v>
      </c>
      <c r="AP659" t="s">
        <v>78</v>
      </c>
      <c r="AQ659" t="s">
        <v>3829</v>
      </c>
      <c r="AR659" t="s">
        <v>80</v>
      </c>
      <c r="AS659">
        <v>101</v>
      </c>
      <c r="AT659" t="s">
        <v>81</v>
      </c>
      <c r="AU659">
        <v>-40.64</v>
      </c>
      <c r="AV659">
        <v>34.4</v>
      </c>
      <c r="AW659" t="s">
        <v>82</v>
      </c>
      <c r="AX659">
        <v>101</v>
      </c>
      <c r="AY659" t="s">
        <v>81</v>
      </c>
      <c r="AZ659">
        <v>-52.61</v>
      </c>
      <c r="BA659">
        <v>34.270000000000003</v>
      </c>
      <c r="BB659" t="s">
        <v>83</v>
      </c>
    </row>
    <row r="660" spans="1:54" x14ac:dyDescent="0.4">
      <c r="A660">
        <v>933505</v>
      </c>
      <c r="D660" t="s">
        <v>54</v>
      </c>
      <c r="E660" t="s">
        <v>55</v>
      </c>
      <c r="G660">
        <v>4</v>
      </c>
      <c r="H660" t="s">
        <v>84</v>
      </c>
      <c r="I660" t="s">
        <v>57</v>
      </c>
      <c r="K660" t="s">
        <v>141</v>
      </c>
      <c r="L660" t="s">
        <v>3825</v>
      </c>
      <c r="M660" t="s">
        <v>60</v>
      </c>
      <c r="P660" t="s">
        <v>62</v>
      </c>
      <c r="R660" t="s">
        <v>63</v>
      </c>
      <c r="S660" t="s">
        <v>64</v>
      </c>
      <c r="T660">
        <v>227</v>
      </c>
      <c r="U660">
        <v>208.5</v>
      </c>
      <c r="V660">
        <f t="shared" si="20"/>
        <v>217.75</v>
      </c>
      <c r="W660">
        <f t="shared" si="21"/>
        <v>18.5</v>
      </c>
      <c r="X660">
        <v>-123.14722399999999</v>
      </c>
      <c r="Y660">
        <v>57.309722999999998</v>
      </c>
      <c r="Z660" t="s">
        <v>3301</v>
      </c>
      <c r="AA660" t="s">
        <v>1456</v>
      </c>
      <c r="AB660" t="s">
        <v>1858</v>
      </c>
      <c r="AD660" t="s">
        <v>3302</v>
      </c>
      <c r="AF660" t="s">
        <v>3826</v>
      </c>
      <c r="AG660" t="s">
        <v>3827</v>
      </c>
      <c r="AH660" t="s">
        <v>72</v>
      </c>
      <c r="AI660" t="s">
        <v>3320</v>
      </c>
      <c r="AJ660">
        <v>1998</v>
      </c>
      <c r="AK660" t="s">
        <v>3833</v>
      </c>
      <c r="AN660" t="s">
        <v>192</v>
      </c>
      <c r="AO660" t="s">
        <v>77</v>
      </c>
      <c r="AP660" t="s">
        <v>78</v>
      </c>
      <c r="AQ660" t="s">
        <v>3829</v>
      </c>
      <c r="AR660" t="s">
        <v>80</v>
      </c>
      <c r="AS660">
        <v>101</v>
      </c>
      <c r="AT660" t="s">
        <v>81</v>
      </c>
      <c r="AU660">
        <v>-40.6</v>
      </c>
      <c r="AV660">
        <v>34.380000000000003</v>
      </c>
      <c r="AW660" t="s">
        <v>82</v>
      </c>
      <c r="AX660">
        <v>101</v>
      </c>
      <c r="AY660" t="s">
        <v>81</v>
      </c>
      <c r="AZ660">
        <v>-52.57</v>
      </c>
      <c r="BA660">
        <v>34.24</v>
      </c>
      <c r="BB660" t="s">
        <v>83</v>
      </c>
    </row>
    <row r="661" spans="1:54" x14ac:dyDescent="0.4">
      <c r="A661">
        <v>934039</v>
      </c>
      <c r="D661" t="s">
        <v>54</v>
      </c>
      <c r="G661">
        <v>2</v>
      </c>
      <c r="H661" t="s">
        <v>84</v>
      </c>
      <c r="I661" t="s">
        <v>57</v>
      </c>
      <c r="K661" t="s">
        <v>85</v>
      </c>
      <c r="L661" t="s">
        <v>86</v>
      </c>
      <c r="M661" t="s">
        <v>60</v>
      </c>
      <c r="O661" t="s">
        <v>87</v>
      </c>
      <c r="P661" t="s">
        <v>62</v>
      </c>
      <c r="R661" t="s">
        <v>63</v>
      </c>
      <c r="S661" t="s">
        <v>64</v>
      </c>
      <c r="T661">
        <v>227</v>
      </c>
      <c r="U661">
        <v>208.5</v>
      </c>
      <c r="V661">
        <f t="shared" si="20"/>
        <v>217.75</v>
      </c>
      <c r="W661">
        <f t="shared" si="21"/>
        <v>18.5</v>
      </c>
      <c r="X661">
        <v>-79.25</v>
      </c>
      <c r="Y661">
        <v>35.549999</v>
      </c>
      <c r="Z661" t="s">
        <v>124</v>
      </c>
      <c r="AA661" t="s">
        <v>66</v>
      </c>
      <c r="AB661" t="s">
        <v>816</v>
      </c>
      <c r="AC661" t="s">
        <v>70</v>
      </c>
      <c r="AD661" t="s">
        <v>3423</v>
      </c>
      <c r="AE661" t="s">
        <v>70</v>
      </c>
      <c r="AH661" t="s">
        <v>72</v>
      </c>
      <c r="AI661" t="s">
        <v>3850</v>
      </c>
      <c r="AJ661">
        <v>1856</v>
      </c>
      <c r="AK661" t="s">
        <v>3851</v>
      </c>
      <c r="AN661" t="s">
        <v>341</v>
      </c>
      <c r="AO661" t="s">
        <v>160</v>
      </c>
      <c r="AP661" t="s">
        <v>115</v>
      </c>
      <c r="AR661" t="s">
        <v>80</v>
      </c>
      <c r="AS661">
        <v>109</v>
      </c>
      <c r="AT661" t="s">
        <v>81</v>
      </c>
      <c r="AU661">
        <v>-12.45</v>
      </c>
      <c r="AV661">
        <v>8.8699999999999992</v>
      </c>
      <c r="AW661" t="s">
        <v>82</v>
      </c>
      <c r="AX661">
        <v>109</v>
      </c>
      <c r="AY661" t="s">
        <v>81</v>
      </c>
      <c r="AZ661">
        <v>-23.22</v>
      </c>
      <c r="BA661">
        <v>9.82</v>
      </c>
      <c r="BB661" t="s">
        <v>83</v>
      </c>
    </row>
    <row r="662" spans="1:54" x14ac:dyDescent="0.4">
      <c r="A662">
        <v>934229</v>
      </c>
      <c r="D662" t="s">
        <v>54</v>
      </c>
      <c r="G662">
        <v>1</v>
      </c>
      <c r="H662" t="s">
        <v>56</v>
      </c>
      <c r="I662" t="s">
        <v>57</v>
      </c>
      <c r="K662" t="s">
        <v>85</v>
      </c>
      <c r="L662" t="s">
        <v>739</v>
      </c>
      <c r="M662" t="s">
        <v>60</v>
      </c>
      <c r="O662" t="s">
        <v>87</v>
      </c>
      <c r="P662" t="s">
        <v>62</v>
      </c>
      <c r="R662" t="s">
        <v>63</v>
      </c>
      <c r="S662" t="s">
        <v>64</v>
      </c>
      <c r="T662">
        <v>227</v>
      </c>
      <c r="U662">
        <v>208.5</v>
      </c>
      <c r="V662">
        <f t="shared" si="20"/>
        <v>217.75</v>
      </c>
      <c r="W662">
        <f t="shared" si="21"/>
        <v>18.5</v>
      </c>
      <c r="X662">
        <v>-109.763885</v>
      </c>
      <c r="Y662">
        <v>34.946666999999998</v>
      </c>
      <c r="Z662" t="s">
        <v>124</v>
      </c>
      <c r="AA662" t="s">
        <v>66</v>
      </c>
      <c r="AB662" t="s">
        <v>583</v>
      </c>
      <c r="AC662" t="s">
        <v>735</v>
      </c>
      <c r="AD662" t="s">
        <v>174</v>
      </c>
      <c r="AF662" t="s">
        <v>1068</v>
      </c>
      <c r="AH662" t="s">
        <v>72</v>
      </c>
      <c r="AI662" t="s">
        <v>1069</v>
      </c>
      <c r="AJ662">
        <v>1930</v>
      </c>
      <c r="AK662" t="s">
        <v>2778</v>
      </c>
      <c r="AN662" t="s">
        <v>76</v>
      </c>
      <c r="AO662" t="s">
        <v>77</v>
      </c>
      <c r="AP662" t="s">
        <v>359</v>
      </c>
      <c r="AQ662" t="s">
        <v>2779</v>
      </c>
      <c r="AR662" t="s">
        <v>80</v>
      </c>
      <c r="AS662">
        <v>101</v>
      </c>
      <c r="AT662" t="s">
        <v>81</v>
      </c>
      <c r="AU662">
        <v>-37.590000000000003</v>
      </c>
      <c r="AV662">
        <v>10.43</v>
      </c>
      <c r="AW662" t="s">
        <v>82</v>
      </c>
      <c r="AX662">
        <v>133</v>
      </c>
      <c r="AY662" t="s">
        <v>81</v>
      </c>
      <c r="AZ662">
        <v>-52.39</v>
      </c>
      <c r="BA662">
        <v>10.5</v>
      </c>
      <c r="BB662" t="s">
        <v>83</v>
      </c>
    </row>
    <row r="663" spans="1:54" x14ac:dyDescent="0.4">
      <c r="A663">
        <v>939490</v>
      </c>
      <c r="D663" t="s">
        <v>54</v>
      </c>
      <c r="E663" t="s">
        <v>55</v>
      </c>
      <c r="G663">
        <v>1</v>
      </c>
      <c r="H663" t="s">
        <v>56</v>
      </c>
      <c r="I663" t="s">
        <v>57</v>
      </c>
      <c r="K663" t="s">
        <v>141</v>
      </c>
      <c r="L663" t="s">
        <v>766</v>
      </c>
      <c r="M663" t="s">
        <v>60</v>
      </c>
      <c r="O663" t="s">
        <v>87</v>
      </c>
      <c r="P663" t="s">
        <v>62</v>
      </c>
      <c r="R663" t="s">
        <v>63</v>
      </c>
      <c r="S663" t="s">
        <v>64</v>
      </c>
      <c r="T663">
        <v>227</v>
      </c>
      <c r="U663">
        <v>208.5</v>
      </c>
      <c r="V663">
        <f t="shared" si="20"/>
        <v>217.75</v>
      </c>
      <c r="W663">
        <f t="shared" si="21"/>
        <v>18.5</v>
      </c>
      <c r="X663">
        <v>-111.133331</v>
      </c>
      <c r="Y663">
        <v>38</v>
      </c>
      <c r="Z663" t="s">
        <v>124</v>
      </c>
      <c r="AA663" t="s">
        <v>66</v>
      </c>
      <c r="AB663" t="s">
        <v>2563</v>
      </c>
      <c r="AC663" t="s">
        <v>3864</v>
      </c>
      <c r="AD663" t="s">
        <v>174</v>
      </c>
      <c r="AF663" t="s">
        <v>2624</v>
      </c>
      <c r="AH663" t="s">
        <v>72</v>
      </c>
      <c r="AI663" t="s">
        <v>3865</v>
      </c>
      <c r="AJ663">
        <v>2011</v>
      </c>
      <c r="AK663" t="s">
        <v>3866</v>
      </c>
      <c r="AN663" t="s">
        <v>114</v>
      </c>
      <c r="AO663" t="s">
        <v>657</v>
      </c>
      <c r="AP663" t="s">
        <v>115</v>
      </c>
      <c r="AQ663" t="s">
        <v>3867</v>
      </c>
      <c r="AR663" t="s">
        <v>80</v>
      </c>
      <c r="AS663">
        <v>101</v>
      </c>
      <c r="AT663" t="s">
        <v>81</v>
      </c>
      <c r="AU663">
        <v>-38.03</v>
      </c>
      <c r="AV663">
        <v>13.65</v>
      </c>
      <c r="AW663" t="s">
        <v>82</v>
      </c>
      <c r="AX663">
        <v>133</v>
      </c>
      <c r="AY663" t="s">
        <v>81</v>
      </c>
      <c r="AZ663">
        <v>-52.93</v>
      </c>
      <c r="BA663">
        <v>13.7</v>
      </c>
      <c r="BB663" t="s">
        <v>83</v>
      </c>
    </row>
    <row r="664" spans="1:54" x14ac:dyDescent="0.4">
      <c r="A664">
        <v>1066207</v>
      </c>
      <c r="D664" t="s">
        <v>54</v>
      </c>
      <c r="E664" t="s">
        <v>152</v>
      </c>
      <c r="G664">
        <v>1</v>
      </c>
      <c r="H664" t="s">
        <v>56</v>
      </c>
      <c r="I664" t="s">
        <v>57</v>
      </c>
      <c r="K664" t="s">
        <v>141</v>
      </c>
      <c r="L664" t="s">
        <v>4019</v>
      </c>
      <c r="M664" t="s">
        <v>60</v>
      </c>
      <c r="P664" t="s">
        <v>62</v>
      </c>
      <c r="R664" t="s">
        <v>63</v>
      </c>
      <c r="S664" t="s">
        <v>64</v>
      </c>
      <c r="T664">
        <v>227</v>
      </c>
      <c r="U664">
        <v>208.5</v>
      </c>
      <c r="V664">
        <f t="shared" si="20"/>
        <v>217.75</v>
      </c>
      <c r="W664">
        <f t="shared" si="21"/>
        <v>18.5</v>
      </c>
      <c r="X664">
        <v>79.449996999999996</v>
      </c>
      <c r="Y664">
        <v>19.266666000000001</v>
      </c>
      <c r="Z664" t="s">
        <v>124</v>
      </c>
      <c r="AA664" t="s">
        <v>1222</v>
      </c>
      <c r="AB664" t="s">
        <v>1223</v>
      </c>
      <c r="AD664" t="s">
        <v>4020</v>
      </c>
      <c r="AE664" t="s">
        <v>1226</v>
      </c>
      <c r="AH664" t="s">
        <v>72</v>
      </c>
      <c r="AI664" t="s">
        <v>4021</v>
      </c>
      <c r="AJ664">
        <v>2011</v>
      </c>
      <c r="AK664" t="s">
        <v>4022</v>
      </c>
      <c r="AM664" t="s">
        <v>4023</v>
      </c>
      <c r="AN664" t="s">
        <v>76</v>
      </c>
      <c r="AO664" t="s">
        <v>160</v>
      </c>
      <c r="AP664" t="s">
        <v>115</v>
      </c>
      <c r="AQ664" t="s">
        <v>4024</v>
      </c>
      <c r="AR664" t="s">
        <v>80</v>
      </c>
      <c r="AS664">
        <v>501</v>
      </c>
      <c r="AT664" t="s">
        <v>81</v>
      </c>
      <c r="AU664">
        <v>45.93</v>
      </c>
      <c r="AV664">
        <v>-35.31</v>
      </c>
      <c r="AW664" t="s">
        <v>82</v>
      </c>
      <c r="AX664">
        <v>501</v>
      </c>
      <c r="AY664" t="s">
        <v>81</v>
      </c>
      <c r="AZ664">
        <v>36.46</v>
      </c>
      <c r="BA664">
        <v>-32.72</v>
      </c>
      <c r="BB664" t="s">
        <v>83</v>
      </c>
    </row>
    <row r="665" spans="1:54" x14ac:dyDescent="0.4">
      <c r="A665">
        <v>1066207</v>
      </c>
      <c r="D665" t="s">
        <v>54</v>
      </c>
      <c r="E665" t="s">
        <v>152</v>
      </c>
      <c r="G665">
        <v>1</v>
      </c>
      <c r="H665" t="s">
        <v>56</v>
      </c>
      <c r="I665" t="s">
        <v>57</v>
      </c>
      <c r="K665" t="s">
        <v>141</v>
      </c>
      <c r="L665" t="s">
        <v>4019</v>
      </c>
      <c r="M665" t="s">
        <v>60</v>
      </c>
      <c r="P665" t="s">
        <v>62</v>
      </c>
      <c r="R665" t="s">
        <v>63</v>
      </c>
      <c r="S665" t="s">
        <v>64</v>
      </c>
      <c r="T665">
        <v>227</v>
      </c>
      <c r="U665">
        <v>208.5</v>
      </c>
      <c r="V665">
        <f t="shared" si="20"/>
        <v>217.75</v>
      </c>
      <c r="W665">
        <f t="shared" si="21"/>
        <v>18.5</v>
      </c>
      <c r="X665">
        <v>79.449996999999996</v>
      </c>
      <c r="Y665">
        <v>19.266666000000001</v>
      </c>
      <c r="Z665" t="s">
        <v>124</v>
      </c>
      <c r="AA665" t="s">
        <v>1222</v>
      </c>
      <c r="AB665" t="s">
        <v>1223</v>
      </c>
      <c r="AD665" t="s">
        <v>4020</v>
      </c>
      <c r="AE665" t="s">
        <v>1226</v>
      </c>
      <c r="AH665" t="s">
        <v>72</v>
      </c>
      <c r="AI665" t="s">
        <v>4021</v>
      </c>
      <c r="AJ665">
        <v>2011</v>
      </c>
      <c r="AK665" t="s">
        <v>4022</v>
      </c>
      <c r="AM665" t="s">
        <v>4023</v>
      </c>
      <c r="AN665" t="s">
        <v>76</v>
      </c>
      <c r="AO665" t="s">
        <v>160</v>
      </c>
      <c r="AP665" t="s">
        <v>115</v>
      </c>
      <c r="AQ665" t="s">
        <v>4024</v>
      </c>
      <c r="AR665" t="s">
        <v>80</v>
      </c>
      <c r="AS665">
        <v>501</v>
      </c>
      <c r="AT665" t="s">
        <v>81</v>
      </c>
      <c r="AU665">
        <v>45.93</v>
      </c>
      <c r="AV665">
        <v>-35.31</v>
      </c>
      <c r="AW665" t="s">
        <v>82</v>
      </c>
      <c r="AX665">
        <v>501</v>
      </c>
      <c r="AY665" t="s">
        <v>81</v>
      </c>
      <c r="AZ665">
        <v>36.46</v>
      </c>
      <c r="BA665">
        <v>-32.72</v>
      </c>
      <c r="BB665" t="s">
        <v>83</v>
      </c>
    </row>
    <row r="666" spans="1:54" x14ac:dyDescent="0.4">
      <c r="A666">
        <v>1066207</v>
      </c>
      <c r="D666" t="s">
        <v>54</v>
      </c>
      <c r="E666" t="s">
        <v>152</v>
      </c>
      <c r="G666">
        <v>1</v>
      </c>
      <c r="H666" t="s">
        <v>56</v>
      </c>
      <c r="I666" t="s">
        <v>57</v>
      </c>
      <c r="K666" t="s">
        <v>141</v>
      </c>
      <c r="L666" t="s">
        <v>4019</v>
      </c>
      <c r="M666" t="s">
        <v>60</v>
      </c>
      <c r="P666" t="s">
        <v>62</v>
      </c>
      <c r="R666" t="s">
        <v>63</v>
      </c>
      <c r="S666" t="s">
        <v>64</v>
      </c>
      <c r="T666">
        <v>227</v>
      </c>
      <c r="U666">
        <v>208.5</v>
      </c>
      <c r="V666">
        <f t="shared" si="20"/>
        <v>217.75</v>
      </c>
      <c r="W666">
        <f t="shared" si="21"/>
        <v>18.5</v>
      </c>
      <c r="X666">
        <v>79.449996999999996</v>
      </c>
      <c r="Y666">
        <v>19.266666000000001</v>
      </c>
      <c r="Z666" t="s">
        <v>124</v>
      </c>
      <c r="AA666" t="s">
        <v>1222</v>
      </c>
      <c r="AB666" t="s">
        <v>1223</v>
      </c>
      <c r="AD666" t="s">
        <v>4020</v>
      </c>
      <c r="AE666" t="s">
        <v>1226</v>
      </c>
      <c r="AH666" t="s">
        <v>72</v>
      </c>
      <c r="AI666" t="s">
        <v>4021</v>
      </c>
      <c r="AJ666">
        <v>2011</v>
      </c>
      <c r="AK666" t="s">
        <v>4022</v>
      </c>
      <c r="AM666" t="s">
        <v>4023</v>
      </c>
      <c r="AN666" t="s">
        <v>76</v>
      </c>
      <c r="AO666" t="s">
        <v>160</v>
      </c>
      <c r="AP666" t="s">
        <v>115</v>
      </c>
      <c r="AQ666" t="s">
        <v>4024</v>
      </c>
      <c r="AR666" t="s">
        <v>80</v>
      </c>
      <c r="AS666">
        <v>501</v>
      </c>
      <c r="AT666" t="s">
        <v>81</v>
      </c>
      <c r="AU666">
        <v>45.93</v>
      </c>
      <c r="AV666">
        <v>-35.31</v>
      </c>
      <c r="AW666" t="s">
        <v>82</v>
      </c>
      <c r="AX666">
        <v>501</v>
      </c>
      <c r="AY666" t="s">
        <v>81</v>
      </c>
      <c r="AZ666">
        <v>36.46</v>
      </c>
      <c r="BA666">
        <v>-32.72</v>
      </c>
      <c r="BB666" t="s">
        <v>83</v>
      </c>
    </row>
    <row r="667" spans="1:54" x14ac:dyDescent="0.4">
      <c r="A667">
        <v>1066208</v>
      </c>
      <c r="D667" t="s">
        <v>54</v>
      </c>
      <c r="E667" t="s">
        <v>152</v>
      </c>
      <c r="G667">
        <v>1</v>
      </c>
      <c r="H667" t="s">
        <v>84</v>
      </c>
      <c r="I667" t="s">
        <v>57</v>
      </c>
      <c r="K667" t="s">
        <v>4025</v>
      </c>
      <c r="L667" t="s">
        <v>4026</v>
      </c>
      <c r="M667" t="s">
        <v>60</v>
      </c>
      <c r="P667" t="s">
        <v>62</v>
      </c>
      <c r="R667" t="s">
        <v>63</v>
      </c>
      <c r="S667" t="s">
        <v>64</v>
      </c>
      <c r="T667">
        <v>227</v>
      </c>
      <c r="U667">
        <v>208.5</v>
      </c>
      <c r="V667">
        <f t="shared" si="20"/>
        <v>217.75</v>
      </c>
      <c r="W667">
        <f t="shared" si="21"/>
        <v>18.5</v>
      </c>
      <c r="X667">
        <v>79.550003000000004</v>
      </c>
      <c r="Y667">
        <v>19.233333999999999</v>
      </c>
      <c r="Z667" t="s">
        <v>124</v>
      </c>
      <c r="AA667" t="s">
        <v>1222</v>
      </c>
      <c r="AB667" t="s">
        <v>1223</v>
      </c>
      <c r="AD667" t="s">
        <v>4020</v>
      </c>
      <c r="AE667" t="s">
        <v>1226</v>
      </c>
      <c r="AH667" t="s">
        <v>72</v>
      </c>
      <c r="AI667" t="s">
        <v>4021</v>
      </c>
      <c r="AJ667">
        <v>2011</v>
      </c>
      <c r="AK667" t="s">
        <v>4027</v>
      </c>
      <c r="AM667" t="s">
        <v>4023</v>
      </c>
      <c r="AN667" t="s">
        <v>192</v>
      </c>
      <c r="AO667" t="s">
        <v>160</v>
      </c>
      <c r="AP667" t="s">
        <v>115</v>
      </c>
      <c r="AQ667" t="s">
        <v>4028</v>
      </c>
      <c r="AR667" t="s">
        <v>80</v>
      </c>
      <c r="AS667">
        <v>501</v>
      </c>
      <c r="AT667" t="s">
        <v>81</v>
      </c>
      <c r="AU667">
        <v>45.95</v>
      </c>
      <c r="AV667">
        <v>-35.409999999999997</v>
      </c>
      <c r="AW667" t="s">
        <v>82</v>
      </c>
      <c r="AX667">
        <v>501</v>
      </c>
      <c r="AY667" t="s">
        <v>81</v>
      </c>
      <c r="AZ667">
        <v>36.479999999999997</v>
      </c>
      <c r="BA667">
        <v>-32.82</v>
      </c>
      <c r="BB667" t="s">
        <v>83</v>
      </c>
    </row>
    <row r="668" spans="1:54" x14ac:dyDescent="0.4">
      <c r="A668">
        <v>1079734</v>
      </c>
      <c r="D668" t="s">
        <v>54</v>
      </c>
      <c r="E668" t="s">
        <v>55</v>
      </c>
      <c r="G668">
        <v>1</v>
      </c>
      <c r="H668" t="s">
        <v>84</v>
      </c>
      <c r="I668" t="s">
        <v>57</v>
      </c>
      <c r="K668" t="s">
        <v>141</v>
      </c>
      <c r="L668" t="s">
        <v>1303</v>
      </c>
      <c r="M668" t="s">
        <v>60</v>
      </c>
      <c r="P668" t="s">
        <v>62</v>
      </c>
      <c r="R668" t="s">
        <v>63</v>
      </c>
      <c r="S668" t="s">
        <v>64</v>
      </c>
      <c r="T668">
        <v>227</v>
      </c>
      <c r="U668">
        <v>208.5</v>
      </c>
      <c r="V668">
        <f t="shared" si="20"/>
        <v>217.75</v>
      </c>
      <c r="W668">
        <f t="shared" si="21"/>
        <v>18.5</v>
      </c>
      <c r="X668">
        <v>-79.103560999999999</v>
      </c>
      <c r="Y668">
        <v>35.618591000000002</v>
      </c>
      <c r="Z668" t="s">
        <v>198</v>
      </c>
      <c r="AA668" t="s">
        <v>66</v>
      </c>
      <c r="AB668" t="s">
        <v>816</v>
      </c>
      <c r="AC668" t="s">
        <v>70</v>
      </c>
      <c r="AD668" t="s">
        <v>3423</v>
      </c>
      <c r="AE668" t="s">
        <v>70</v>
      </c>
      <c r="AH668" t="s">
        <v>11</v>
      </c>
      <c r="AI668" t="s">
        <v>1129</v>
      </c>
      <c r="AJ668">
        <v>2012</v>
      </c>
      <c r="AK668" t="s">
        <v>3424</v>
      </c>
      <c r="AN668" t="s">
        <v>114</v>
      </c>
      <c r="AO668">
        <v>6</v>
      </c>
      <c r="AP668" t="s">
        <v>115</v>
      </c>
      <c r="AQ668" t="s">
        <v>3425</v>
      </c>
      <c r="AR668" t="s">
        <v>80</v>
      </c>
      <c r="AS668">
        <v>109</v>
      </c>
      <c r="AT668" t="s">
        <v>81</v>
      </c>
      <c r="AU668">
        <v>-12.33</v>
      </c>
      <c r="AV668">
        <v>8.94</v>
      </c>
      <c r="AW668" t="s">
        <v>82</v>
      </c>
      <c r="AX668">
        <v>109</v>
      </c>
      <c r="AY668" t="s">
        <v>81</v>
      </c>
      <c r="AZ668">
        <v>-23.1</v>
      </c>
      <c r="BA668">
        <v>9.9</v>
      </c>
      <c r="BB668" t="s">
        <v>83</v>
      </c>
    </row>
    <row r="669" spans="1:54" x14ac:dyDescent="0.4">
      <c r="A669">
        <v>1079735</v>
      </c>
      <c r="D669" t="s">
        <v>54</v>
      </c>
      <c r="E669" t="s">
        <v>55</v>
      </c>
      <c r="G669">
        <v>4</v>
      </c>
      <c r="H669" t="s">
        <v>84</v>
      </c>
      <c r="I669" t="s">
        <v>57</v>
      </c>
      <c r="K669" t="s">
        <v>141</v>
      </c>
      <c r="L669" t="s">
        <v>905</v>
      </c>
      <c r="M669" t="s">
        <v>60</v>
      </c>
      <c r="O669" t="s">
        <v>170</v>
      </c>
      <c r="P669" t="s">
        <v>62</v>
      </c>
      <c r="R669" t="s">
        <v>63</v>
      </c>
      <c r="S669" t="s">
        <v>64</v>
      </c>
      <c r="T669">
        <v>227</v>
      </c>
      <c r="U669">
        <v>208.5</v>
      </c>
      <c r="V669">
        <f t="shared" si="20"/>
        <v>217.75</v>
      </c>
      <c r="W669">
        <f t="shared" si="21"/>
        <v>18.5</v>
      </c>
      <c r="X669">
        <v>-79.103560999999999</v>
      </c>
      <c r="Y669">
        <v>35.618591000000002</v>
      </c>
      <c r="Z669" t="s">
        <v>198</v>
      </c>
      <c r="AA669" t="s">
        <v>66</v>
      </c>
      <c r="AB669" t="s">
        <v>816</v>
      </c>
      <c r="AC669" t="s">
        <v>70</v>
      </c>
      <c r="AD669" t="s">
        <v>3423</v>
      </c>
      <c r="AE669" t="s">
        <v>70</v>
      </c>
      <c r="AH669" t="s">
        <v>11</v>
      </c>
      <c r="AI669" t="s">
        <v>1129</v>
      </c>
      <c r="AJ669">
        <v>2012</v>
      </c>
      <c r="AK669" t="s">
        <v>3424</v>
      </c>
      <c r="AN669" t="s">
        <v>114</v>
      </c>
      <c r="AO669">
        <v>6</v>
      </c>
      <c r="AP669" t="s">
        <v>115</v>
      </c>
      <c r="AQ669" t="s">
        <v>3425</v>
      </c>
      <c r="AR669" t="s">
        <v>80</v>
      </c>
      <c r="AS669">
        <v>109</v>
      </c>
      <c r="AT669" t="s">
        <v>81</v>
      </c>
      <c r="AU669">
        <v>-12.33</v>
      </c>
      <c r="AV669">
        <v>8.94</v>
      </c>
      <c r="AW669" t="s">
        <v>82</v>
      </c>
      <c r="AX669">
        <v>109</v>
      </c>
      <c r="AY669" t="s">
        <v>81</v>
      </c>
      <c r="AZ669">
        <v>-23.1</v>
      </c>
      <c r="BA669">
        <v>9.9</v>
      </c>
      <c r="BB669" t="s">
        <v>83</v>
      </c>
    </row>
    <row r="670" spans="1:54" x14ac:dyDescent="0.4">
      <c r="A670">
        <v>1083465</v>
      </c>
      <c r="D670" t="s">
        <v>54</v>
      </c>
      <c r="G670">
        <v>1</v>
      </c>
      <c r="H670" t="s">
        <v>84</v>
      </c>
      <c r="I670" t="s">
        <v>57</v>
      </c>
      <c r="K670" t="s">
        <v>323</v>
      </c>
      <c r="L670" t="s">
        <v>4063</v>
      </c>
      <c r="M670" t="s">
        <v>60</v>
      </c>
      <c r="P670" t="s">
        <v>62</v>
      </c>
      <c r="R670" t="s">
        <v>63</v>
      </c>
      <c r="S670" t="s">
        <v>64</v>
      </c>
      <c r="T670">
        <v>227</v>
      </c>
      <c r="U670">
        <v>208.5</v>
      </c>
      <c r="V670">
        <f t="shared" si="20"/>
        <v>217.75</v>
      </c>
      <c r="W670">
        <f t="shared" si="21"/>
        <v>18.5</v>
      </c>
      <c r="X670">
        <v>-108.61222100000001</v>
      </c>
      <c r="Y670">
        <v>35.514167999999998</v>
      </c>
      <c r="Z670" t="s">
        <v>124</v>
      </c>
      <c r="AA670" t="s">
        <v>66</v>
      </c>
      <c r="AB670" t="s">
        <v>846</v>
      </c>
      <c r="AC670" t="s">
        <v>1308</v>
      </c>
      <c r="AD670" t="s">
        <v>174</v>
      </c>
      <c r="AF670" t="s">
        <v>1309</v>
      </c>
      <c r="AH670" t="s">
        <v>72</v>
      </c>
      <c r="AI670" t="s">
        <v>1129</v>
      </c>
      <c r="AJ670">
        <v>2012</v>
      </c>
      <c r="AK670" t="s">
        <v>4064</v>
      </c>
      <c r="AN670" t="s">
        <v>192</v>
      </c>
      <c r="AO670" t="s">
        <v>77</v>
      </c>
      <c r="AP670" t="s">
        <v>115</v>
      </c>
      <c r="AQ670" t="s">
        <v>4065</v>
      </c>
      <c r="AR670" t="s">
        <v>80</v>
      </c>
      <c r="AS670">
        <v>101</v>
      </c>
      <c r="AT670" t="s">
        <v>81</v>
      </c>
      <c r="AU670">
        <v>-36.53</v>
      </c>
      <c r="AV670">
        <v>10.8</v>
      </c>
      <c r="AW670" t="s">
        <v>82</v>
      </c>
      <c r="AX670">
        <v>133</v>
      </c>
      <c r="AY670" t="s">
        <v>81</v>
      </c>
      <c r="AZ670">
        <v>-51.35</v>
      </c>
      <c r="BA670">
        <v>10.9</v>
      </c>
      <c r="BB670" t="s">
        <v>83</v>
      </c>
    </row>
    <row r="671" spans="1:54" x14ac:dyDescent="0.4">
      <c r="A671">
        <v>1084250</v>
      </c>
      <c r="D671" t="s">
        <v>167</v>
      </c>
      <c r="E671" t="s">
        <v>154</v>
      </c>
      <c r="G671">
        <v>1</v>
      </c>
      <c r="H671" t="s">
        <v>421</v>
      </c>
      <c r="I671" t="s">
        <v>57</v>
      </c>
      <c r="K671" t="s">
        <v>206</v>
      </c>
      <c r="L671" t="s">
        <v>1493</v>
      </c>
      <c r="M671" t="s">
        <v>60</v>
      </c>
      <c r="O671" t="s">
        <v>170</v>
      </c>
      <c r="P671" t="s">
        <v>62</v>
      </c>
      <c r="R671" t="s">
        <v>63</v>
      </c>
      <c r="S671" t="s">
        <v>64</v>
      </c>
      <c r="T671">
        <v>227</v>
      </c>
      <c r="U671">
        <v>208.5</v>
      </c>
      <c r="V671">
        <f t="shared" si="20"/>
        <v>217.75</v>
      </c>
      <c r="W671">
        <f t="shared" si="21"/>
        <v>18.5</v>
      </c>
      <c r="X671">
        <v>-109.462486</v>
      </c>
      <c r="Y671">
        <v>34.437420000000003</v>
      </c>
      <c r="Z671" t="s">
        <v>734</v>
      </c>
      <c r="AA671" t="s">
        <v>66</v>
      </c>
      <c r="AB671" t="s">
        <v>583</v>
      </c>
      <c r="AC671" t="s">
        <v>735</v>
      </c>
      <c r="AD671" t="s">
        <v>174</v>
      </c>
      <c r="AF671" t="s">
        <v>736</v>
      </c>
      <c r="AH671" t="s">
        <v>72</v>
      </c>
      <c r="AI671" t="s">
        <v>1129</v>
      </c>
      <c r="AJ671">
        <v>2007</v>
      </c>
      <c r="AK671" t="s">
        <v>737</v>
      </c>
      <c r="AN671" t="s">
        <v>76</v>
      </c>
      <c r="AO671">
        <v>8</v>
      </c>
      <c r="AP671" t="s">
        <v>78</v>
      </c>
      <c r="AQ671" t="s">
        <v>738</v>
      </c>
      <c r="AR671" t="s">
        <v>80</v>
      </c>
      <c r="AS671">
        <v>101</v>
      </c>
      <c r="AT671" t="s">
        <v>81</v>
      </c>
      <c r="AU671">
        <v>-37.44</v>
      </c>
      <c r="AV671">
        <v>9.8800000000000008</v>
      </c>
      <c r="AW671" t="s">
        <v>82</v>
      </c>
      <c r="AX671">
        <v>133</v>
      </c>
      <c r="AY671" t="s">
        <v>81</v>
      </c>
      <c r="AZ671">
        <v>-52.23</v>
      </c>
      <c r="BA671">
        <v>9.9499999999999993</v>
      </c>
      <c r="BB671" t="s">
        <v>83</v>
      </c>
    </row>
    <row r="672" spans="1:54" x14ac:dyDescent="0.4">
      <c r="A672">
        <v>1084251</v>
      </c>
      <c r="D672" t="s">
        <v>745</v>
      </c>
      <c r="E672" t="s">
        <v>310</v>
      </c>
      <c r="G672">
        <v>1</v>
      </c>
      <c r="H672" t="s">
        <v>84</v>
      </c>
      <c r="I672" t="s">
        <v>57</v>
      </c>
      <c r="K672" t="s">
        <v>206</v>
      </c>
      <c r="L672" t="s">
        <v>1493</v>
      </c>
      <c r="M672" t="s">
        <v>60</v>
      </c>
      <c r="O672" t="s">
        <v>170</v>
      </c>
      <c r="P672" t="s">
        <v>62</v>
      </c>
      <c r="R672" t="s">
        <v>63</v>
      </c>
      <c r="S672" t="s">
        <v>64</v>
      </c>
      <c r="T672">
        <v>227</v>
      </c>
      <c r="U672">
        <v>208.5</v>
      </c>
      <c r="V672">
        <f t="shared" si="20"/>
        <v>217.75</v>
      </c>
      <c r="W672">
        <f t="shared" si="21"/>
        <v>18.5</v>
      </c>
      <c r="X672">
        <v>-109.462166</v>
      </c>
      <c r="Y672">
        <v>34.437237000000003</v>
      </c>
      <c r="Z672" t="s">
        <v>748</v>
      </c>
      <c r="AA672" t="s">
        <v>66</v>
      </c>
      <c r="AB672" t="s">
        <v>583</v>
      </c>
      <c r="AC672" t="s">
        <v>735</v>
      </c>
      <c r="AD672" t="s">
        <v>174</v>
      </c>
      <c r="AF672" t="s">
        <v>749</v>
      </c>
      <c r="AH672" t="s">
        <v>72</v>
      </c>
      <c r="AI672" t="s">
        <v>1129</v>
      </c>
      <c r="AJ672">
        <v>2007</v>
      </c>
      <c r="AK672" t="s">
        <v>751</v>
      </c>
      <c r="AN672" t="s">
        <v>76</v>
      </c>
      <c r="AO672">
        <v>8</v>
      </c>
      <c r="AP672" t="s">
        <v>78</v>
      </c>
      <c r="AQ672" t="s">
        <v>752</v>
      </c>
      <c r="AR672" t="s">
        <v>80</v>
      </c>
      <c r="AS672">
        <v>101</v>
      </c>
      <c r="AT672" t="s">
        <v>81</v>
      </c>
      <c r="AU672">
        <v>-37.44</v>
      </c>
      <c r="AV672">
        <v>9.8800000000000008</v>
      </c>
      <c r="AW672" t="s">
        <v>82</v>
      </c>
      <c r="AX672">
        <v>133</v>
      </c>
      <c r="AY672" t="s">
        <v>81</v>
      </c>
      <c r="AZ672">
        <v>-52.23</v>
      </c>
      <c r="BA672">
        <v>9.9499999999999993</v>
      </c>
      <c r="BB672" t="s">
        <v>83</v>
      </c>
    </row>
    <row r="673" spans="1:54" x14ac:dyDescent="0.4">
      <c r="A673">
        <v>1084252</v>
      </c>
      <c r="D673" t="s">
        <v>54</v>
      </c>
      <c r="G673">
        <v>1</v>
      </c>
      <c r="H673" t="s">
        <v>84</v>
      </c>
      <c r="I673" t="s">
        <v>57</v>
      </c>
      <c r="K673" t="s">
        <v>206</v>
      </c>
      <c r="L673" t="s">
        <v>1493</v>
      </c>
      <c r="M673" t="s">
        <v>60</v>
      </c>
      <c r="O673" t="s">
        <v>170</v>
      </c>
      <c r="P673" t="s">
        <v>62</v>
      </c>
      <c r="R673" t="s">
        <v>63</v>
      </c>
      <c r="S673" t="s">
        <v>64</v>
      </c>
      <c r="T673">
        <v>227</v>
      </c>
      <c r="U673">
        <v>208.5</v>
      </c>
      <c r="V673">
        <f t="shared" si="20"/>
        <v>217.75</v>
      </c>
      <c r="W673">
        <f t="shared" si="21"/>
        <v>18.5</v>
      </c>
      <c r="X673">
        <v>-108.499611</v>
      </c>
      <c r="Y673">
        <v>35.443012000000003</v>
      </c>
      <c r="Z673" t="s">
        <v>124</v>
      </c>
      <c r="AA673" t="s">
        <v>66</v>
      </c>
      <c r="AB673" t="s">
        <v>846</v>
      </c>
      <c r="AC673" t="s">
        <v>1308</v>
      </c>
      <c r="AD673" t="s">
        <v>1309</v>
      </c>
      <c r="AE673" t="s">
        <v>174</v>
      </c>
      <c r="AH673" t="s">
        <v>11</v>
      </c>
      <c r="AI673" t="s">
        <v>1129</v>
      </c>
      <c r="AJ673">
        <v>2007</v>
      </c>
      <c r="AK673" t="s">
        <v>1494</v>
      </c>
      <c r="AN673" t="s">
        <v>192</v>
      </c>
      <c r="AO673">
        <v>6</v>
      </c>
      <c r="AP673" t="s">
        <v>115</v>
      </c>
      <c r="AQ673" t="s">
        <v>1495</v>
      </c>
      <c r="AR673" t="s">
        <v>80</v>
      </c>
      <c r="AS673">
        <v>101</v>
      </c>
      <c r="AT673" t="s">
        <v>81</v>
      </c>
      <c r="AU673">
        <v>-36.450000000000003</v>
      </c>
      <c r="AV673">
        <v>10.71</v>
      </c>
      <c r="AW673" t="s">
        <v>82</v>
      </c>
      <c r="AX673">
        <v>133</v>
      </c>
      <c r="AY673" t="s">
        <v>81</v>
      </c>
      <c r="AZ673">
        <v>-51.27</v>
      </c>
      <c r="BA673">
        <v>10.81</v>
      </c>
      <c r="BB673" t="s">
        <v>83</v>
      </c>
    </row>
    <row r="674" spans="1:54" x14ac:dyDescent="0.4">
      <c r="A674">
        <v>1084253</v>
      </c>
      <c r="D674" t="s">
        <v>167</v>
      </c>
      <c r="E674" t="s">
        <v>154</v>
      </c>
      <c r="G674">
        <v>2</v>
      </c>
      <c r="H674" t="s">
        <v>421</v>
      </c>
      <c r="I674" t="s">
        <v>57</v>
      </c>
      <c r="K674" t="s">
        <v>206</v>
      </c>
      <c r="L674" t="s">
        <v>1493</v>
      </c>
      <c r="M674" t="s">
        <v>60</v>
      </c>
      <c r="O674" t="s">
        <v>170</v>
      </c>
      <c r="P674" t="s">
        <v>62</v>
      </c>
      <c r="R674" t="s">
        <v>63</v>
      </c>
      <c r="S674" t="s">
        <v>64</v>
      </c>
      <c r="T674">
        <v>227</v>
      </c>
      <c r="U674">
        <v>208.5</v>
      </c>
      <c r="V674">
        <f t="shared" si="20"/>
        <v>217.75</v>
      </c>
      <c r="W674">
        <f t="shared" si="21"/>
        <v>18.5</v>
      </c>
      <c r="X674">
        <v>-109.462486</v>
      </c>
      <c r="Y674">
        <v>34.437420000000003</v>
      </c>
      <c r="Z674" t="s">
        <v>734</v>
      </c>
      <c r="AA674" t="s">
        <v>66</v>
      </c>
      <c r="AB674" t="s">
        <v>583</v>
      </c>
      <c r="AC674" t="s">
        <v>735</v>
      </c>
      <c r="AD674" t="s">
        <v>174</v>
      </c>
      <c r="AF674" t="s">
        <v>736</v>
      </c>
      <c r="AH674" t="s">
        <v>11</v>
      </c>
      <c r="AI674" t="s">
        <v>1129</v>
      </c>
      <c r="AJ674">
        <v>2007</v>
      </c>
      <c r="AK674" t="s">
        <v>737</v>
      </c>
      <c r="AN674" t="s">
        <v>76</v>
      </c>
      <c r="AO674">
        <v>8</v>
      </c>
      <c r="AP674" t="s">
        <v>78</v>
      </c>
      <c r="AQ674" t="s">
        <v>738</v>
      </c>
      <c r="AR674" t="s">
        <v>80</v>
      </c>
      <c r="AS674">
        <v>101</v>
      </c>
      <c r="AT674" t="s">
        <v>81</v>
      </c>
      <c r="AU674">
        <v>-37.44</v>
      </c>
      <c r="AV674">
        <v>9.8800000000000008</v>
      </c>
      <c r="AW674" t="s">
        <v>82</v>
      </c>
      <c r="AX674">
        <v>133</v>
      </c>
      <c r="AY674" t="s">
        <v>81</v>
      </c>
      <c r="AZ674">
        <v>-52.23</v>
      </c>
      <c r="BA674">
        <v>9.9499999999999993</v>
      </c>
      <c r="BB674" t="s">
        <v>83</v>
      </c>
    </row>
    <row r="675" spans="1:54" x14ac:dyDescent="0.4">
      <c r="A675">
        <v>1084254</v>
      </c>
      <c r="D675" t="s">
        <v>54</v>
      </c>
      <c r="G675">
        <v>1</v>
      </c>
      <c r="H675" t="s">
        <v>84</v>
      </c>
      <c r="I675" t="s">
        <v>57</v>
      </c>
      <c r="K675" t="s">
        <v>206</v>
      </c>
      <c r="L675" t="s">
        <v>1493</v>
      </c>
      <c r="M675" t="s">
        <v>60</v>
      </c>
      <c r="O675" t="s">
        <v>170</v>
      </c>
      <c r="P675" t="s">
        <v>62</v>
      </c>
      <c r="R675" t="s">
        <v>63</v>
      </c>
      <c r="S675" t="s">
        <v>64</v>
      </c>
      <c r="T675">
        <v>227</v>
      </c>
      <c r="U675">
        <v>208.5</v>
      </c>
      <c r="V675">
        <f t="shared" si="20"/>
        <v>217.75</v>
      </c>
      <c r="W675">
        <f t="shared" si="21"/>
        <v>18.5</v>
      </c>
      <c r="X675">
        <v>-109.316704</v>
      </c>
      <c r="Y675">
        <v>34.533298000000002</v>
      </c>
      <c r="Z675" t="s">
        <v>124</v>
      </c>
      <c r="AA675" t="s">
        <v>66</v>
      </c>
      <c r="AB675" t="s">
        <v>583</v>
      </c>
      <c r="AC675" t="s">
        <v>735</v>
      </c>
      <c r="AD675" t="s">
        <v>174</v>
      </c>
      <c r="AF675" t="s">
        <v>1068</v>
      </c>
      <c r="AH675" t="s">
        <v>11</v>
      </c>
      <c r="AI675" t="s">
        <v>1129</v>
      </c>
      <c r="AJ675">
        <v>2007</v>
      </c>
      <c r="AK675" t="s">
        <v>1070</v>
      </c>
      <c r="AM675" t="s">
        <v>1071</v>
      </c>
      <c r="AN675" t="s">
        <v>849</v>
      </c>
      <c r="AO675">
        <v>4</v>
      </c>
      <c r="AP675" t="s">
        <v>78</v>
      </c>
      <c r="AQ675" t="s">
        <v>1072</v>
      </c>
      <c r="AR675" t="s">
        <v>80</v>
      </c>
      <c r="AS675">
        <v>101</v>
      </c>
      <c r="AT675" t="s">
        <v>81</v>
      </c>
      <c r="AU675">
        <v>-37.299999999999997</v>
      </c>
      <c r="AV675">
        <v>9.9499999999999993</v>
      </c>
      <c r="AW675" t="s">
        <v>82</v>
      </c>
      <c r="AX675">
        <v>133</v>
      </c>
      <c r="AY675" t="s">
        <v>81</v>
      </c>
      <c r="AZ675">
        <v>-52.09</v>
      </c>
      <c r="BA675">
        <v>10.029999999999999</v>
      </c>
      <c r="BB675" t="s">
        <v>83</v>
      </c>
    </row>
    <row r="676" spans="1:54" x14ac:dyDescent="0.4">
      <c r="A676">
        <v>1099822</v>
      </c>
      <c r="D676" t="s">
        <v>54</v>
      </c>
      <c r="I676" t="s">
        <v>57</v>
      </c>
      <c r="K676" t="s">
        <v>141</v>
      </c>
      <c r="L676" t="s">
        <v>264</v>
      </c>
      <c r="M676" t="s">
        <v>60</v>
      </c>
      <c r="P676" t="s">
        <v>62</v>
      </c>
      <c r="R676" t="s">
        <v>63</v>
      </c>
      <c r="S676" t="s">
        <v>64</v>
      </c>
      <c r="T676">
        <v>227</v>
      </c>
      <c r="U676">
        <v>208.5</v>
      </c>
      <c r="V676">
        <f t="shared" si="20"/>
        <v>217.75</v>
      </c>
      <c r="W676">
        <f t="shared" si="21"/>
        <v>18.5</v>
      </c>
      <c r="X676">
        <v>8.6825390000000002</v>
      </c>
      <c r="Y676">
        <v>48.102707000000002</v>
      </c>
      <c r="Z676" t="s">
        <v>184</v>
      </c>
      <c r="AA676" t="s">
        <v>211</v>
      </c>
      <c r="AB676" t="s">
        <v>863</v>
      </c>
      <c r="AD676" t="s">
        <v>214</v>
      </c>
      <c r="AE676" t="s">
        <v>215</v>
      </c>
      <c r="AH676" t="s">
        <v>72</v>
      </c>
      <c r="AI676" t="s">
        <v>260</v>
      </c>
      <c r="AJ676">
        <v>1899</v>
      </c>
      <c r="AK676" t="s">
        <v>1412</v>
      </c>
      <c r="AN676" t="s">
        <v>114</v>
      </c>
      <c r="AO676">
        <v>6</v>
      </c>
      <c r="AP676" t="s">
        <v>115</v>
      </c>
      <c r="AQ676" t="s">
        <v>1413</v>
      </c>
      <c r="AR676" t="s">
        <v>80</v>
      </c>
      <c r="AS676">
        <v>305</v>
      </c>
      <c r="AT676" t="s">
        <v>81</v>
      </c>
      <c r="AU676">
        <v>21.24</v>
      </c>
      <c r="AV676">
        <v>29.34</v>
      </c>
      <c r="AW676" t="s">
        <v>82</v>
      </c>
      <c r="AX676">
        <v>305</v>
      </c>
      <c r="AY676" t="s">
        <v>81</v>
      </c>
      <c r="AZ676">
        <v>10.119999999999999</v>
      </c>
      <c r="BA676">
        <v>31.25</v>
      </c>
      <c r="BB676" t="s">
        <v>83</v>
      </c>
    </row>
    <row r="677" spans="1:54" x14ac:dyDescent="0.4">
      <c r="A677">
        <v>1099826</v>
      </c>
      <c r="D677" t="s">
        <v>2134</v>
      </c>
      <c r="E677" t="s">
        <v>297</v>
      </c>
      <c r="G677">
        <v>1</v>
      </c>
      <c r="H677" t="s">
        <v>84</v>
      </c>
      <c r="I677" t="s">
        <v>57</v>
      </c>
      <c r="K677" t="s">
        <v>141</v>
      </c>
      <c r="L677" t="s">
        <v>264</v>
      </c>
      <c r="M677" t="s">
        <v>60</v>
      </c>
      <c r="P677" t="s">
        <v>62</v>
      </c>
      <c r="R677" t="s">
        <v>63</v>
      </c>
      <c r="S677" t="s">
        <v>64</v>
      </c>
      <c r="T677">
        <v>227</v>
      </c>
      <c r="U677">
        <v>208.5</v>
      </c>
      <c r="V677">
        <f t="shared" si="20"/>
        <v>217.75</v>
      </c>
      <c r="W677">
        <f t="shared" si="21"/>
        <v>18.5</v>
      </c>
      <c r="X677">
        <v>9.1955559999999998</v>
      </c>
      <c r="Y677">
        <v>48.632778000000002</v>
      </c>
      <c r="Z677" t="s">
        <v>184</v>
      </c>
      <c r="AA677" t="s">
        <v>211</v>
      </c>
      <c r="AB677" t="s">
        <v>212</v>
      </c>
      <c r="AC677" t="s">
        <v>213</v>
      </c>
      <c r="AD677" t="s">
        <v>214</v>
      </c>
      <c r="AE677" t="s">
        <v>215</v>
      </c>
      <c r="AF677" t="s">
        <v>216</v>
      </c>
      <c r="AH677" t="s">
        <v>72</v>
      </c>
      <c r="AI677" t="s">
        <v>4239</v>
      </c>
      <c r="AJ677">
        <v>1888</v>
      </c>
      <c r="AK677" t="s">
        <v>4240</v>
      </c>
      <c r="AM677" t="s">
        <v>4241</v>
      </c>
      <c r="AN677" t="s">
        <v>76</v>
      </c>
      <c r="AO677" t="s">
        <v>77</v>
      </c>
      <c r="AP677" t="s">
        <v>115</v>
      </c>
      <c r="AQ677" t="s">
        <v>4242</v>
      </c>
      <c r="AR677" t="s">
        <v>80</v>
      </c>
      <c r="AS677">
        <v>305</v>
      </c>
      <c r="AT677" t="s">
        <v>81</v>
      </c>
      <c r="AU677">
        <v>21.35</v>
      </c>
      <c r="AV677">
        <v>29.96</v>
      </c>
      <c r="AW677" t="s">
        <v>82</v>
      </c>
      <c r="AX677">
        <v>305</v>
      </c>
      <c r="AY677" t="s">
        <v>81</v>
      </c>
      <c r="AZ677">
        <v>10.220000000000001</v>
      </c>
      <c r="BA677">
        <v>31.87</v>
      </c>
      <c r="BB677" t="s">
        <v>83</v>
      </c>
    </row>
    <row r="678" spans="1:54" x14ac:dyDescent="0.4">
      <c r="A678">
        <v>1099834</v>
      </c>
      <c r="D678" t="s">
        <v>54</v>
      </c>
      <c r="E678" t="s">
        <v>152</v>
      </c>
      <c r="G678">
        <v>1</v>
      </c>
      <c r="H678" t="s">
        <v>56</v>
      </c>
      <c r="I678" t="s">
        <v>57</v>
      </c>
      <c r="K678" t="s">
        <v>4243</v>
      </c>
      <c r="L678" t="s">
        <v>4244</v>
      </c>
      <c r="M678" t="s">
        <v>60</v>
      </c>
      <c r="P678" t="s">
        <v>62</v>
      </c>
      <c r="R678" t="s">
        <v>63</v>
      </c>
      <c r="S678" t="s">
        <v>64</v>
      </c>
      <c r="T678">
        <v>227</v>
      </c>
      <c r="U678">
        <v>208.5</v>
      </c>
      <c r="V678">
        <f t="shared" si="20"/>
        <v>217.75</v>
      </c>
      <c r="W678">
        <f t="shared" si="21"/>
        <v>18.5</v>
      </c>
      <c r="X678">
        <v>9.6291670000000007</v>
      </c>
      <c r="Y678">
        <v>48.946387999999999</v>
      </c>
      <c r="Z678" t="s">
        <v>184</v>
      </c>
      <c r="AA678" t="s">
        <v>211</v>
      </c>
      <c r="AB678" t="s">
        <v>863</v>
      </c>
      <c r="AC678" t="s">
        <v>213</v>
      </c>
      <c r="AD678" t="s">
        <v>214</v>
      </c>
      <c r="AE678" t="s">
        <v>215</v>
      </c>
      <c r="AF678" t="s">
        <v>216</v>
      </c>
      <c r="AH678" t="s">
        <v>72</v>
      </c>
      <c r="AI678" t="s">
        <v>4245</v>
      </c>
      <c r="AJ678">
        <v>2000</v>
      </c>
      <c r="AK678" t="s">
        <v>4246</v>
      </c>
      <c r="AN678" t="s">
        <v>114</v>
      </c>
      <c r="AO678" t="s">
        <v>77</v>
      </c>
      <c r="AP678" t="s">
        <v>115</v>
      </c>
      <c r="AQ678" t="s">
        <v>4247</v>
      </c>
      <c r="AR678" t="s">
        <v>80</v>
      </c>
      <c r="AS678">
        <v>305</v>
      </c>
      <c r="AT678" t="s">
        <v>81</v>
      </c>
      <c r="AU678">
        <v>21.51</v>
      </c>
      <c r="AV678">
        <v>30.36</v>
      </c>
      <c r="AW678" t="s">
        <v>82</v>
      </c>
      <c r="AX678">
        <v>305</v>
      </c>
      <c r="AY678" t="s">
        <v>81</v>
      </c>
      <c r="AZ678">
        <v>10.37</v>
      </c>
      <c r="BA678">
        <v>32.28</v>
      </c>
      <c r="BB678" t="s">
        <v>83</v>
      </c>
    </row>
    <row r="679" spans="1:54" x14ac:dyDescent="0.4">
      <c r="A679">
        <v>1099923</v>
      </c>
      <c r="D679" t="s">
        <v>54</v>
      </c>
      <c r="G679">
        <v>1</v>
      </c>
      <c r="H679" t="s">
        <v>84</v>
      </c>
      <c r="I679" t="s">
        <v>57</v>
      </c>
      <c r="K679" t="s">
        <v>4243</v>
      </c>
      <c r="L679" t="s">
        <v>4244</v>
      </c>
      <c r="M679" t="s">
        <v>60</v>
      </c>
      <c r="P679" t="s">
        <v>62</v>
      </c>
      <c r="R679" t="s">
        <v>63</v>
      </c>
      <c r="S679" t="s">
        <v>64</v>
      </c>
      <c r="T679">
        <v>227</v>
      </c>
      <c r="U679">
        <v>208.5</v>
      </c>
      <c r="V679">
        <f t="shared" si="20"/>
        <v>217.75</v>
      </c>
      <c r="W679">
        <f t="shared" si="21"/>
        <v>18.5</v>
      </c>
      <c r="X679">
        <v>9.2302780000000002</v>
      </c>
      <c r="Y679">
        <v>48.758330999999998</v>
      </c>
      <c r="Z679" t="s">
        <v>184</v>
      </c>
      <c r="AA679" t="s">
        <v>211</v>
      </c>
      <c r="AB679" t="s">
        <v>4121</v>
      </c>
      <c r="AC679" t="s">
        <v>213</v>
      </c>
      <c r="AD679" t="s">
        <v>214</v>
      </c>
      <c r="AE679" t="s">
        <v>215</v>
      </c>
      <c r="AF679" t="s">
        <v>216</v>
      </c>
      <c r="AH679" t="s">
        <v>72</v>
      </c>
      <c r="AI679" t="s">
        <v>260</v>
      </c>
      <c r="AJ679">
        <v>1913</v>
      </c>
      <c r="AK679" t="s">
        <v>4248</v>
      </c>
      <c r="AN679" t="s">
        <v>76</v>
      </c>
      <c r="AO679" t="s">
        <v>77</v>
      </c>
      <c r="AP679" t="s">
        <v>115</v>
      </c>
      <c r="AQ679" t="s">
        <v>4249</v>
      </c>
      <c r="AR679" t="s">
        <v>80</v>
      </c>
      <c r="AS679">
        <v>305</v>
      </c>
      <c r="AT679" t="s">
        <v>81</v>
      </c>
      <c r="AU679">
        <v>21.32</v>
      </c>
      <c r="AV679">
        <v>30.08</v>
      </c>
      <c r="AW679" t="s">
        <v>82</v>
      </c>
      <c r="AX679">
        <v>305</v>
      </c>
      <c r="AY679" t="s">
        <v>81</v>
      </c>
      <c r="AZ679">
        <v>10.18</v>
      </c>
      <c r="BA679">
        <v>32</v>
      </c>
      <c r="BB679" t="s">
        <v>83</v>
      </c>
    </row>
    <row r="680" spans="1:54" x14ac:dyDescent="0.4">
      <c r="A680">
        <v>1099924</v>
      </c>
      <c r="D680" t="s">
        <v>54</v>
      </c>
      <c r="E680" t="s">
        <v>152</v>
      </c>
      <c r="G680">
        <v>1</v>
      </c>
      <c r="H680" t="s">
        <v>56</v>
      </c>
      <c r="I680" t="s">
        <v>57</v>
      </c>
      <c r="K680" t="s">
        <v>4243</v>
      </c>
      <c r="L680" t="s">
        <v>4244</v>
      </c>
      <c r="M680" t="s">
        <v>60</v>
      </c>
      <c r="P680" t="s">
        <v>62</v>
      </c>
      <c r="R680" t="s">
        <v>63</v>
      </c>
      <c r="S680" t="s">
        <v>64</v>
      </c>
      <c r="T680">
        <v>227</v>
      </c>
      <c r="U680">
        <v>208.5</v>
      </c>
      <c r="V680">
        <f t="shared" si="20"/>
        <v>217.75</v>
      </c>
      <c r="W680">
        <f t="shared" si="21"/>
        <v>18.5</v>
      </c>
      <c r="X680">
        <v>9.4927779999999995</v>
      </c>
      <c r="Y680">
        <v>48.893332999999998</v>
      </c>
      <c r="Z680" t="s">
        <v>184</v>
      </c>
      <c r="AA680" t="s">
        <v>211</v>
      </c>
      <c r="AB680" t="s">
        <v>212</v>
      </c>
      <c r="AC680" t="s">
        <v>213</v>
      </c>
      <c r="AD680" t="s">
        <v>214</v>
      </c>
      <c r="AE680" t="s">
        <v>215</v>
      </c>
      <c r="AF680" t="s">
        <v>216</v>
      </c>
      <c r="AH680" t="s">
        <v>72</v>
      </c>
      <c r="AI680" t="s">
        <v>260</v>
      </c>
      <c r="AJ680">
        <v>1913</v>
      </c>
      <c r="AK680" t="s">
        <v>4250</v>
      </c>
      <c r="AN680" t="s">
        <v>76</v>
      </c>
      <c r="AO680" t="s">
        <v>77</v>
      </c>
      <c r="AP680" t="s">
        <v>115</v>
      </c>
      <c r="AQ680" t="s">
        <v>4251</v>
      </c>
      <c r="AR680" t="s">
        <v>80</v>
      </c>
      <c r="AS680">
        <v>305</v>
      </c>
      <c r="AT680" t="s">
        <v>81</v>
      </c>
      <c r="AU680">
        <v>21.44</v>
      </c>
      <c r="AV680">
        <v>30.28</v>
      </c>
      <c r="AW680" t="s">
        <v>82</v>
      </c>
      <c r="AX680">
        <v>305</v>
      </c>
      <c r="AY680" t="s">
        <v>81</v>
      </c>
      <c r="AZ680">
        <v>10.3</v>
      </c>
      <c r="BA680">
        <v>32.19</v>
      </c>
      <c r="BB680" t="s">
        <v>83</v>
      </c>
    </row>
    <row r="681" spans="1:54" x14ac:dyDescent="0.4">
      <c r="A681">
        <v>1099927</v>
      </c>
      <c r="D681" t="s">
        <v>54</v>
      </c>
      <c r="E681" t="s">
        <v>55</v>
      </c>
      <c r="G681">
        <v>1</v>
      </c>
      <c r="H681" t="s">
        <v>84</v>
      </c>
      <c r="I681" t="s">
        <v>57</v>
      </c>
      <c r="K681" t="s">
        <v>85</v>
      </c>
      <c r="L681" t="s">
        <v>1519</v>
      </c>
      <c r="M681" t="s">
        <v>60</v>
      </c>
      <c r="O681" t="s">
        <v>87</v>
      </c>
      <c r="P681" t="s">
        <v>62</v>
      </c>
      <c r="R681" t="s">
        <v>63</v>
      </c>
      <c r="S681" t="s">
        <v>64</v>
      </c>
      <c r="T681">
        <v>227</v>
      </c>
      <c r="U681">
        <v>208.5</v>
      </c>
      <c r="V681">
        <f t="shared" si="20"/>
        <v>217.75</v>
      </c>
      <c r="W681">
        <f t="shared" si="21"/>
        <v>18.5</v>
      </c>
      <c r="X681">
        <v>9.1427779999999998</v>
      </c>
      <c r="Y681">
        <v>48.760554999999997</v>
      </c>
      <c r="Z681" t="s">
        <v>184</v>
      </c>
      <c r="AA681" t="s">
        <v>211</v>
      </c>
      <c r="AB681" t="s">
        <v>863</v>
      </c>
      <c r="AC681" t="s">
        <v>213</v>
      </c>
      <c r="AD681" t="s">
        <v>214</v>
      </c>
      <c r="AE681" t="s">
        <v>215</v>
      </c>
      <c r="AF681" t="s">
        <v>864</v>
      </c>
      <c r="AH681" t="s">
        <v>11</v>
      </c>
      <c r="AI681" t="s">
        <v>365</v>
      </c>
      <c r="AJ681">
        <v>1985</v>
      </c>
      <c r="AK681" t="s">
        <v>866</v>
      </c>
      <c r="AN681" t="s">
        <v>114</v>
      </c>
      <c r="AO681" t="s">
        <v>77</v>
      </c>
      <c r="AP681" t="s">
        <v>78</v>
      </c>
      <c r="AQ681" t="s">
        <v>867</v>
      </c>
      <c r="AR681" t="s">
        <v>80</v>
      </c>
      <c r="AS681">
        <v>305</v>
      </c>
      <c r="AT681" t="s">
        <v>81</v>
      </c>
      <c r="AU681">
        <v>21.26</v>
      </c>
      <c r="AV681">
        <v>30.06</v>
      </c>
      <c r="AW681" t="s">
        <v>82</v>
      </c>
      <c r="AX681">
        <v>305</v>
      </c>
      <c r="AY681" t="s">
        <v>81</v>
      </c>
      <c r="AZ681">
        <v>10.119999999999999</v>
      </c>
      <c r="BA681">
        <v>31.98</v>
      </c>
      <c r="BB681" t="s">
        <v>83</v>
      </c>
    </row>
    <row r="682" spans="1:54" x14ac:dyDescent="0.4">
      <c r="A682">
        <v>1100182</v>
      </c>
      <c r="D682" t="s">
        <v>54</v>
      </c>
      <c r="F682" t="s">
        <v>4255</v>
      </c>
      <c r="G682">
        <v>3</v>
      </c>
      <c r="H682" t="s">
        <v>84</v>
      </c>
      <c r="I682" t="s">
        <v>57</v>
      </c>
      <c r="K682" t="s">
        <v>206</v>
      </c>
      <c r="L682" t="s">
        <v>1091</v>
      </c>
      <c r="M682" t="s">
        <v>60</v>
      </c>
      <c r="O682" t="s">
        <v>170</v>
      </c>
      <c r="P682" t="s">
        <v>62</v>
      </c>
      <c r="R682" t="s">
        <v>63</v>
      </c>
      <c r="S682" t="s">
        <v>64</v>
      </c>
      <c r="T682">
        <v>227</v>
      </c>
      <c r="U682">
        <v>208.5</v>
      </c>
      <c r="V682">
        <f t="shared" si="20"/>
        <v>217.75</v>
      </c>
      <c r="W682">
        <f t="shared" si="21"/>
        <v>18.5</v>
      </c>
      <c r="X682">
        <v>9.3772219999999997</v>
      </c>
      <c r="Y682">
        <v>49.096668000000001</v>
      </c>
      <c r="Z682" t="s">
        <v>836</v>
      </c>
      <c r="AA682" t="s">
        <v>211</v>
      </c>
      <c r="AB682" t="s">
        <v>212</v>
      </c>
      <c r="AC682" t="s">
        <v>4256</v>
      </c>
      <c r="AD682" t="s">
        <v>214</v>
      </c>
      <c r="AE682" t="s">
        <v>215</v>
      </c>
      <c r="AH682" t="s">
        <v>11</v>
      </c>
      <c r="AI682" t="s">
        <v>3735</v>
      </c>
      <c r="AJ682">
        <v>1998</v>
      </c>
      <c r="AK682" t="s">
        <v>4257</v>
      </c>
      <c r="AM682" t="s">
        <v>4258</v>
      </c>
      <c r="AN682" t="s">
        <v>114</v>
      </c>
      <c r="AO682" t="s">
        <v>77</v>
      </c>
      <c r="AP682" t="s">
        <v>359</v>
      </c>
      <c r="AQ682" t="s">
        <v>4259</v>
      </c>
      <c r="AR682" t="s">
        <v>80</v>
      </c>
      <c r="AS682">
        <v>305</v>
      </c>
      <c r="AT682" t="s">
        <v>81</v>
      </c>
      <c r="AU682">
        <v>21.26</v>
      </c>
      <c r="AV682">
        <v>30.43</v>
      </c>
      <c r="AW682" t="s">
        <v>82</v>
      </c>
      <c r="AX682">
        <v>305</v>
      </c>
      <c r="AY682" t="s">
        <v>81</v>
      </c>
      <c r="AZ682">
        <v>10.11</v>
      </c>
      <c r="BA682">
        <v>32.340000000000003</v>
      </c>
      <c r="BB682" t="s">
        <v>83</v>
      </c>
    </row>
    <row r="683" spans="1:54" x14ac:dyDescent="0.4">
      <c r="A683">
        <v>1100184</v>
      </c>
      <c r="D683" t="s">
        <v>54</v>
      </c>
      <c r="F683" t="s">
        <v>4255</v>
      </c>
      <c r="G683">
        <v>1</v>
      </c>
      <c r="H683" t="s">
        <v>84</v>
      </c>
      <c r="I683" t="s">
        <v>57</v>
      </c>
      <c r="K683" t="s">
        <v>85</v>
      </c>
      <c r="L683" t="s">
        <v>1519</v>
      </c>
      <c r="M683" t="s">
        <v>60</v>
      </c>
      <c r="O683" t="s">
        <v>87</v>
      </c>
      <c r="P683" t="s">
        <v>62</v>
      </c>
      <c r="R683" t="s">
        <v>63</v>
      </c>
      <c r="S683" t="s">
        <v>64</v>
      </c>
      <c r="T683">
        <v>227</v>
      </c>
      <c r="U683">
        <v>208.5</v>
      </c>
      <c r="V683">
        <f t="shared" si="20"/>
        <v>217.75</v>
      </c>
      <c r="W683">
        <f t="shared" si="21"/>
        <v>18.5</v>
      </c>
      <c r="X683">
        <v>9.3772219999999997</v>
      </c>
      <c r="Y683">
        <v>49.096668000000001</v>
      </c>
      <c r="Z683" t="s">
        <v>836</v>
      </c>
      <c r="AA683" t="s">
        <v>211</v>
      </c>
      <c r="AB683" t="s">
        <v>212</v>
      </c>
      <c r="AC683" t="s">
        <v>4256</v>
      </c>
      <c r="AD683" t="s">
        <v>214</v>
      </c>
      <c r="AE683" t="s">
        <v>215</v>
      </c>
      <c r="AH683" t="s">
        <v>72</v>
      </c>
      <c r="AI683" t="s">
        <v>3735</v>
      </c>
      <c r="AJ683">
        <v>1998</v>
      </c>
      <c r="AK683" t="s">
        <v>4257</v>
      </c>
      <c r="AM683" t="s">
        <v>4258</v>
      </c>
      <c r="AN683" t="s">
        <v>114</v>
      </c>
      <c r="AO683" t="s">
        <v>77</v>
      </c>
      <c r="AP683" t="s">
        <v>359</v>
      </c>
      <c r="AQ683" t="s">
        <v>4259</v>
      </c>
      <c r="AR683" t="s">
        <v>80</v>
      </c>
      <c r="AS683">
        <v>305</v>
      </c>
      <c r="AT683" t="s">
        <v>81</v>
      </c>
      <c r="AU683">
        <v>21.26</v>
      </c>
      <c r="AV683">
        <v>30.43</v>
      </c>
      <c r="AW683" t="s">
        <v>82</v>
      </c>
      <c r="AX683">
        <v>305</v>
      </c>
      <c r="AY683" t="s">
        <v>81</v>
      </c>
      <c r="AZ683">
        <v>10.11</v>
      </c>
      <c r="BA683">
        <v>32.340000000000003</v>
      </c>
      <c r="BB683" t="s">
        <v>83</v>
      </c>
    </row>
    <row r="684" spans="1:54" x14ac:dyDescent="0.4">
      <c r="A684">
        <v>1100185</v>
      </c>
      <c r="D684" t="s">
        <v>54</v>
      </c>
      <c r="F684" t="s">
        <v>4255</v>
      </c>
      <c r="G684">
        <v>1</v>
      </c>
      <c r="H684" t="s">
        <v>84</v>
      </c>
      <c r="I684" t="s">
        <v>57</v>
      </c>
      <c r="K684" t="s">
        <v>85</v>
      </c>
      <c r="L684" t="s">
        <v>1519</v>
      </c>
      <c r="M684" t="s">
        <v>60</v>
      </c>
      <c r="O684" t="s">
        <v>87</v>
      </c>
      <c r="P684" t="s">
        <v>62</v>
      </c>
      <c r="R684" t="s">
        <v>63</v>
      </c>
      <c r="S684" t="s">
        <v>64</v>
      </c>
      <c r="T684">
        <v>227</v>
      </c>
      <c r="U684">
        <v>208.5</v>
      </c>
      <c r="V684">
        <f t="shared" si="20"/>
        <v>217.75</v>
      </c>
      <c r="W684">
        <f t="shared" si="21"/>
        <v>18.5</v>
      </c>
      <c r="X684">
        <v>9.3772219999999997</v>
      </c>
      <c r="Y684">
        <v>49.096668000000001</v>
      </c>
      <c r="Z684" t="s">
        <v>836</v>
      </c>
      <c r="AA684" t="s">
        <v>211</v>
      </c>
      <c r="AB684" t="s">
        <v>212</v>
      </c>
      <c r="AC684" t="s">
        <v>4256</v>
      </c>
      <c r="AD684" t="s">
        <v>214</v>
      </c>
      <c r="AE684" t="s">
        <v>215</v>
      </c>
      <c r="AH684" t="s">
        <v>72</v>
      </c>
      <c r="AI684" t="s">
        <v>3735</v>
      </c>
      <c r="AJ684">
        <v>1998</v>
      </c>
      <c r="AK684" t="s">
        <v>4257</v>
      </c>
      <c r="AM684" t="s">
        <v>4258</v>
      </c>
      <c r="AN684" t="s">
        <v>114</v>
      </c>
      <c r="AO684" t="s">
        <v>77</v>
      </c>
      <c r="AP684" t="s">
        <v>359</v>
      </c>
      <c r="AQ684" t="s">
        <v>4259</v>
      </c>
      <c r="AR684" t="s">
        <v>80</v>
      </c>
      <c r="AS684">
        <v>305</v>
      </c>
      <c r="AT684" t="s">
        <v>81</v>
      </c>
      <c r="AU684">
        <v>21.26</v>
      </c>
      <c r="AV684">
        <v>30.43</v>
      </c>
      <c r="AW684" t="s">
        <v>82</v>
      </c>
      <c r="AX684">
        <v>305</v>
      </c>
      <c r="AY684" t="s">
        <v>81</v>
      </c>
      <c r="AZ684">
        <v>10.11</v>
      </c>
      <c r="BA684">
        <v>32.340000000000003</v>
      </c>
      <c r="BB684" t="s">
        <v>83</v>
      </c>
    </row>
    <row r="685" spans="1:54" x14ac:dyDescent="0.4">
      <c r="A685">
        <v>1100202</v>
      </c>
      <c r="D685" t="s">
        <v>54</v>
      </c>
      <c r="E685" t="s">
        <v>152</v>
      </c>
      <c r="G685">
        <v>1</v>
      </c>
      <c r="H685" t="s">
        <v>84</v>
      </c>
      <c r="I685" t="s">
        <v>57</v>
      </c>
      <c r="K685" t="s">
        <v>85</v>
      </c>
      <c r="L685" t="s">
        <v>1519</v>
      </c>
      <c r="M685" t="s">
        <v>60</v>
      </c>
      <c r="O685" t="s">
        <v>87</v>
      </c>
      <c r="P685" t="s">
        <v>62</v>
      </c>
      <c r="R685" t="s">
        <v>63</v>
      </c>
      <c r="S685" t="s">
        <v>64</v>
      </c>
      <c r="T685">
        <v>227</v>
      </c>
      <c r="U685">
        <v>208.5</v>
      </c>
      <c r="V685">
        <f t="shared" si="20"/>
        <v>217.75</v>
      </c>
      <c r="W685">
        <f t="shared" si="21"/>
        <v>18.5</v>
      </c>
      <c r="X685">
        <v>9.2125000000000004</v>
      </c>
      <c r="Y685">
        <v>48.758330999999998</v>
      </c>
      <c r="Z685" t="s">
        <v>836</v>
      </c>
      <c r="AA685" t="s">
        <v>211</v>
      </c>
      <c r="AB685" t="s">
        <v>212</v>
      </c>
      <c r="AC685" t="s">
        <v>213</v>
      </c>
      <c r="AD685" t="s">
        <v>214</v>
      </c>
      <c r="AE685" t="s">
        <v>215</v>
      </c>
      <c r="AF685" t="s">
        <v>216</v>
      </c>
      <c r="AH685" t="s">
        <v>72</v>
      </c>
      <c r="AI685" t="s">
        <v>3735</v>
      </c>
      <c r="AJ685">
        <v>1998</v>
      </c>
      <c r="AK685" t="s">
        <v>3752</v>
      </c>
      <c r="AM685" t="s">
        <v>3753</v>
      </c>
      <c r="AN685" t="s">
        <v>76</v>
      </c>
      <c r="AO685" t="s">
        <v>77</v>
      </c>
      <c r="AP685" t="s">
        <v>78</v>
      </c>
      <c r="AQ685" t="s">
        <v>3754</v>
      </c>
      <c r="AR685" t="s">
        <v>80</v>
      </c>
      <c r="AS685">
        <v>305</v>
      </c>
      <c r="AT685" t="s">
        <v>81</v>
      </c>
      <c r="AU685">
        <v>21.31</v>
      </c>
      <c r="AV685">
        <v>30.08</v>
      </c>
      <c r="AW685" t="s">
        <v>82</v>
      </c>
      <c r="AX685">
        <v>305</v>
      </c>
      <c r="AY685" t="s">
        <v>81</v>
      </c>
      <c r="AZ685">
        <v>10.17</v>
      </c>
      <c r="BA685">
        <v>31.99</v>
      </c>
      <c r="BB685" t="s">
        <v>83</v>
      </c>
    </row>
    <row r="686" spans="1:54" x14ac:dyDescent="0.4">
      <c r="A686">
        <v>1100203</v>
      </c>
      <c r="D686" t="s">
        <v>54</v>
      </c>
      <c r="G686">
        <v>1</v>
      </c>
      <c r="H686" t="s">
        <v>84</v>
      </c>
      <c r="I686" t="s">
        <v>57</v>
      </c>
      <c r="K686" t="s">
        <v>85</v>
      </c>
      <c r="L686" t="s">
        <v>1519</v>
      </c>
      <c r="M686" t="s">
        <v>60</v>
      </c>
      <c r="O686" t="s">
        <v>87</v>
      </c>
      <c r="P686" t="s">
        <v>62</v>
      </c>
      <c r="R686" t="s">
        <v>63</v>
      </c>
      <c r="S686" t="s">
        <v>64</v>
      </c>
      <c r="T686">
        <v>227</v>
      </c>
      <c r="U686">
        <v>208.5</v>
      </c>
      <c r="V686">
        <f t="shared" si="20"/>
        <v>217.75</v>
      </c>
      <c r="W686">
        <f t="shared" si="21"/>
        <v>18.5</v>
      </c>
      <c r="X686">
        <v>9</v>
      </c>
      <c r="Y686">
        <v>48.734164999999997</v>
      </c>
      <c r="Z686" t="s">
        <v>184</v>
      </c>
      <c r="AA686" t="s">
        <v>211</v>
      </c>
      <c r="AB686" t="s">
        <v>863</v>
      </c>
      <c r="AC686" t="s">
        <v>213</v>
      </c>
      <c r="AD686" t="s">
        <v>214</v>
      </c>
      <c r="AE686" t="s">
        <v>215</v>
      </c>
      <c r="AF686" t="s">
        <v>216</v>
      </c>
      <c r="AH686" t="s">
        <v>72</v>
      </c>
      <c r="AI686" t="s">
        <v>3735</v>
      </c>
      <c r="AJ686">
        <v>1998</v>
      </c>
      <c r="AK686" t="s">
        <v>4260</v>
      </c>
      <c r="AN686" t="s">
        <v>76</v>
      </c>
      <c r="AO686" t="s">
        <v>77</v>
      </c>
      <c r="AP686" t="s">
        <v>78</v>
      </c>
      <c r="AQ686" t="s">
        <v>4261</v>
      </c>
      <c r="AR686" t="s">
        <v>80</v>
      </c>
      <c r="AS686">
        <v>305</v>
      </c>
      <c r="AT686" t="s">
        <v>81</v>
      </c>
      <c r="AU686">
        <v>21.17</v>
      </c>
      <c r="AV686">
        <v>30</v>
      </c>
      <c r="AW686" t="s">
        <v>82</v>
      </c>
      <c r="AX686">
        <v>305</v>
      </c>
      <c r="AY686" t="s">
        <v>81</v>
      </c>
      <c r="AZ686">
        <v>10.029999999999999</v>
      </c>
      <c r="BA686">
        <v>31.91</v>
      </c>
      <c r="BB686" t="s">
        <v>83</v>
      </c>
    </row>
    <row r="687" spans="1:54" x14ac:dyDescent="0.4">
      <c r="A687">
        <v>1100204</v>
      </c>
      <c r="D687" t="s">
        <v>54</v>
      </c>
      <c r="G687">
        <v>2</v>
      </c>
      <c r="H687" t="s">
        <v>84</v>
      </c>
      <c r="I687" t="s">
        <v>57</v>
      </c>
      <c r="K687" t="s">
        <v>206</v>
      </c>
      <c r="L687" t="s">
        <v>1091</v>
      </c>
      <c r="M687" t="s">
        <v>60</v>
      </c>
      <c r="O687" t="s">
        <v>170</v>
      </c>
      <c r="P687" t="s">
        <v>62</v>
      </c>
      <c r="R687" t="s">
        <v>63</v>
      </c>
      <c r="S687" t="s">
        <v>64</v>
      </c>
      <c r="T687">
        <v>227</v>
      </c>
      <c r="U687">
        <v>208.5</v>
      </c>
      <c r="V687">
        <f t="shared" si="20"/>
        <v>217.75</v>
      </c>
      <c r="W687">
        <f t="shared" si="21"/>
        <v>18.5</v>
      </c>
      <c r="X687">
        <v>9</v>
      </c>
      <c r="Y687">
        <v>48.734164999999997</v>
      </c>
      <c r="Z687" t="s">
        <v>184</v>
      </c>
      <c r="AA687" t="s">
        <v>211</v>
      </c>
      <c r="AB687" t="s">
        <v>863</v>
      </c>
      <c r="AC687" t="s">
        <v>213</v>
      </c>
      <c r="AD687" t="s">
        <v>214</v>
      </c>
      <c r="AE687" t="s">
        <v>215</v>
      </c>
      <c r="AF687" t="s">
        <v>216</v>
      </c>
      <c r="AH687" t="s">
        <v>11</v>
      </c>
      <c r="AI687" t="s">
        <v>4262</v>
      </c>
      <c r="AJ687">
        <v>1994</v>
      </c>
      <c r="AK687" t="s">
        <v>4260</v>
      </c>
      <c r="AN687" t="s">
        <v>76</v>
      </c>
      <c r="AO687" t="s">
        <v>77</v>
      </c>
      <c r="AP687" t="s">
        <v>78</v>
      </c>
      <c r="AQ687" t="s">
        <v>4261</v>
      </c>
      <c r="AR687" t="s">
        <v>80</v>
      </c>
      <c r="AS687">
        <v>305</v>
      </c>
      <c r="AT687" t="s">
        <v>81</v>
      </c>
      <c r="AU687">
        <v>21.17</v>
      </c>
      <c r="AV687">
        <v>30</v>
      </c>
      <c r="AW687" t="s">
        <v>82</v>
      </c>
      <c r="AX687">
        <v>305</v>
      </c>
      <c r="AY687" t="s">
        <v>81</v>
      </c>
      <c r="AZ687">
        <v>10.029999999999999</v>
      </c>
      <c r="BA687">
        <v>31.91</v>
      </c>
      <c r="BB687" t="s">
        <v>83</v>
      </c>
    </row>
    <row r="688" spans="1:54" x14ac:dyDescent="0.4">
      <c r="A688">
        <v>1100205</v>
      </c>
      <c r="D688" t="s">
        <v>54</v>
      </c>
      <c r="G688">
        <v>1</v>
      </c>
      <c r="H688" t="s">
        <v>84</v>
      </c>
      <c r="I688" t="s">
        <v>57</v>
      </c>
      <c r="K688" t="s">
        <v>85</v>
      </c>
      <c r="L688" t="s">
        <v>1519</v>
      </c>
      <c r="M688" t="s">
        <v>60</v>
      </c>
      <c r="O688" t="s">
        <v>87</v>
      </c>
      <c r="P688" t="s">
        <v>62</v>
      </c>
      <c r="R688" t="s">
        <v>63</v>
      </c>
      <c r="S688" t="s">
        <v>64</v>
      </c>
      <c r="T688">
        <v>227</v>
      </c>
      <c r="U688">
        <v>208.5</v>
      </c>
      <c r="V688">
        <f t="shared" si="20"/>
        <v>217.75</v>
      </c>
      <c r="W688">
        <f t="shared" si="21"/>
        <v>18.5</v>
      </c>
      <c r="X688">
        <v>9.1622219999999999</v>
      </c>
      <c r="Y688">
        <v>48.753056000000001</v>
      </c>
      <c r="Z688" t="s">
        <v>184</v>
      </c>
      <c r="AA688" t="s">
        <v>211</v>
      </c>
      <c r="AB688" t="s">
        <v>212</v>
      </c>
      <c r="AC688" t="s">
        <v>213</v>
      </c>
      <c r="AD688" t="s">
        <v>214</v>
      </c>
      <c r="AE688" t="s">
        <v>215</v>
      </c>
      <c r="AF688" t="s">
        <v>216</v>
      </c>
      <c r="AH688" t="s">
        <v>72</v>
      </c>
      <c r="AI688" t="s">
        <v>3735</v>
      </c>
      <c r="AJ688">
        <v>1998</v>
      </c>
      <c r="AK688" t="s">
        <v>4263</v>
      </c>
      <c r="AN688" t="s">
        <v>76</v>
      </c>
      <c r="AO688" t="s">
        <v>77</v>
      </c>
      <c r="AP688" t="s">
        <v>115</v>
      </c>
      <c r="AQ688" t="s">
        <v>4264</v>
      </c>
      <c r="AR688" t="s">
        <v>80</v>
      </c>
      <c r="AS688">
        <v>305</v>
      </c>
      <c r="AT688" t="s">
        <v>81</v>
      </c>
      <c r="AU688">
        <v>21.27</v>
      </c>
      <c r="AV688">
        <v>30.06</v>
      </c>
      <c r="AW688" t="s">
        <v>82</v>
      </c>
      <c r="AX688">
        <v>305</v>
      </c>
      <c r="AY688" t="s">
        <v>81</v>
      </c>
      <c r="AZ688">
        <v>10.14</v>
      </c>
      <c r="BA688">
        <v>31.97</v>
      </c>
      <c r="BB688" t="s">
        <v>83</v>
      </c>
    </row>
    <row r="689" spans="1:54" x14ac:dyDescent="0.4">
      <c r="A689">
        <v>1100206</v>
      </c>
      <c r="D689" t="s">
        <v>54</v>
      </c>
      <c r="G689">
        <v>1</v>
      </c>
      <c r="H689" t="s">
        <v>84</v>
      </c>
      <c r="I689" t="s">
        <v>57</v>
      </c>
      <c r="K689" t="s">
        <v>85</v>
      </c>
      <c r="L689" t="s">
        <v>1519</v>
      </c>
      <c r="M689" t="s">
        <v>60</v>
      </c>
      <c r="O689" t="s">
        <v>87</v>
      </c>
      <c r="P689" t="s">
        <v>62</v>
      </c>
      <c r="R689" t="s">
        <v>63</v>
      </c>
      <c r="S689" t="s">
        <v>64</v>
      </c>
      <c r="T689">
        <v>227</v>
      </c>
      <c r="U689">
        <v>208.5</v>
      </c>
      <c r="V689">
        <f t="shared" si="20"/>
        <v>217.75</v>
      </c>
      <c r="W689">
        <f t="shared" si="21"/>
        <v>18.5</v>
      </c>
      <c r="X689">
        <v>8.9263890000000004</v>
      </c>
      <c r="Y689">
        <v>48.577778000000002</v>
      </c>
      <c r="Z689" t="s">
        <v>184</v>
      </c>
      <c r="AA689" t="s">
        <v>211</v>
      </c>
      <c r="AB689" t="s">
        <v>212</v>
      </c>
      <c r="AC689" t="s">
        <v>213</v>
      </c>
      <c r="AD689" t="s">
        <v>214</v>
      </c>
      <c r="AE689" t="s">
        <v>215</v>
      </c>
      <c r="AH689" t="s">
        <v>72</v>
      </c>
      <c r="AI689" t="s">
        <v>1520</v>
      </c>
      <c r="AJ689">
        <v>2000</v>
      </c>
      <c r="AK689" t="s">
        <v>4265</v>
      </c>
      <c r="AN689" t="s">
        <v>114</v>
      </c>
      <c r="AO689" t="s">
        <v>77</v>
      </c>
      <c r="AP689" t="s">
        <v>115</v>
      </c>
      <c r="AR689" t="s">
        <v>80</v>
      </c>
      <c r="AS689">
        <v>305</v>
      </c>
      <c r="AT689" t="s">
        <v>81</v>
      </c>
      <c r="AU689">
        <v>21.19</v>
      </c>
      <c r="AV689">
        <v>29.84</v>
      </c>
      <c r="AW689" t="s">
        <v>82</v>
      </c>
      <c r="AX689">
        <v>305</v>
      </c>
      <c r="AY689" t="s">
        <v>81</v>
      </c>
      <c r="AZ689">
        <v>10.06</v>
      </c>
      <c r="BA689">
        <v>31.75</v>
      </c>
      <c r="BB689" t="s">
        <v>83</v>
      </c>
    </row>
    <row r="690" spans="1:54" x14ac:dyDescent="0.4">
      <c r="A690">
        <v>1104047</v>
      </c>
      <c r="D690" t="s">
        <v>54</v>
      </c>
      <c r="G690">
        <v>1</v>
      </c>
      <c r="H690" t="s">
        <v>84</v>
      </c>
      <c r="I690" t="s">
        <v>57</v>
      </c>
      <c r="K690" t="s">
        <v>244</v>
      </c>
      <c r="L690" t="s">
        <v>245</v>
      </c>
      <c r="M690" t="s">
        <v>60</v>
      </c>
      <c r="O690" t="s">
        <v>170</v>
      </c>
      <c r="P690" t="s">
        <v>62</v>
      </c>
      <c r="R690" t="s">
        <v>63</v>
      </c>
      <c r="S690" t="s">
        <v>64</v>
      </c>
      <c r="T690">
        <v>227</v>
      </c>
      <c r="U690">
        <v>208.5</v>
      </c>
      <c r="V690">
        <f t="shared" si="20"/>
        <v>217.75</v>
      </c>
      <c r="W690">
        <f t="shared" si="21"/>
        <v>18.5</v>
      </c>
      <c r="X690">
        <v>11.11</v>
      </c>
      <c r="Y690">
        <v>49.504165999999998</v>
      </c>
      <c r="Z690" t="s">
        <v>124</v>
      </c>
      <c r="AA690" t="s">
        <v>211</v>
      </c>
      <c r="AB690" t="s">
        <v>953</v>
      </c>
      <c r="AC690" t="s">
        <v>4280</v>
      </c>
      <c r="AD690" t="s">
        <v>267</v>
      </c>
      <c r="AE690" t="s">
        <v>215</v>
      </c>
      <c r="AF690" t="s">
        <v>954</v>
      </c>
      <c r="AH690" t="s">
        <v>11</v>
      </c>
      <c r="AI690" t="s">
        <v>4281</v>
      </c>
      <c r="AJ690">
        <v>1935</v>
      </c>
      <c r="AK690" t="s">
        <v>4282</v>
      </c>
      <c r="AN690" t="s">
        <v>114</v>
      </c>
      <c r="AO690">
        <v>6</v>
      </c>
      <c r="AP690" t="s">
        <v>115</v>
      </c>
      <c r="AQ690" t="s">
        <v>4283</v>
      </c>
      <c r="AR690" t="s">
        <v>80</v>
      </c>
      <c r="AS690">
        <v>305</v>
      </c>
      <c r="AT690" t="s">
        <v>81</v>
      </c>
      <c r="AU690">
        <v>22.26</v>
      </c>
      <c r="AV690">
        <v>31.27</v>
      </c>
      <c r="AW690" t="s">
        <v>82</v>
      </c>
      <c r="AX690">
        <v>305</v>
      </c>
      <c r="AY690" t="s">
        <v>81</v>
      </c>
      <c r="AZ690">
        <v>11.11</v>
      </c>
      <c r="BA690">
        <v>33.21</v>
      </c>
      <c r="BB690" t="s">
        <v>83</v>
      </c>
    </row>
    <row r="691" spans="1:54" x14ac:dyDescent="0.4">
      <c r="A691">
        <v>1107323</v>
      </c>
      <c r="D691" t="s">
        <v>54</v>
      </c>
      <c r="G691">
        <v>1</v>
      </c>
      <c r="H691" t="s">
        <v>56</v>
      </c>
      <c r="I691" t="s">
        <v>57</v>
      </c>
      <c r="K691" t="s">
        <v>141</v>
      </c>
      <c r="L691" t="s">
        <v>4313</v>
      </c>
      <c r="M691" t="s">
        <v>60</v>
      </c>
      <c r="N691" t="s">
        <v>256</v>
      </c>
      <c r="O691" t="s">
        <v>87</v>
      </c>
      <c r="P691" t="s">
        <v>62</v>
      </c>
      <c r="R691" t="s">
        <v>63</v>
      </c>
      <c r="S691" t="s">
        <v>64</v>
      </c>
      <c r="T691">
        <v>227</v>
      </c>
      <c r="U691">
        <v>208.5</v>
      </c>
      <c r="V691">
        <f t="shared" si="20"/>
        <v>217.75</v>
      </c>
      <c r="W691">
        <f t="shared" si="21"/>
        <v>18.5</v>
      </c>
      <c r="X691">
        <v>18.420881000000001</v>
      </c>
      <c r="Y691">
        <v>50.775134999999999</v>
      </c>
      <c r="Z691" t="s">
        <v>124</v>
      </c>
      <c r="AA691" t="s">
        <v>697</v>
      </c>
      <c r="AB691" t="s">
        <v>1326</v>
      </c>
      <c r="AD691" t="s">
        <v>4314</v>
      </c>
      <c r="AH691" t="s">
        <v>72</v>
      </c>
      <c r="AI691" t="s">
        <v>693</v>
      </c>
      <c r="AJ691">
        <v>1932</v>
      </c>
      <c r="AK691" t="s">
        <v>4315</v>
      </c>
      <c r="AM691" t="s">
        <v>4316</v>
      </c>
      <c r="AN691" t="s">
        <v>114</v>
      </c>
      <c r="AO691">
        <v>6</v>
      </c>
      <c r="AP691" t="s">
        <v>115</v>
      </c>
      <c r="AQ691" t="s">
        <v>4317</v>
      </c>
      <c r="AR691" t="s">
        <v>80</v>
      </c>
      <c r="AS691">
        <v>305</v>
      </c>
      <c r="AT691" t="s">
        <v>81</v>
      </c>
      <c r="AU691">
        <v>26.56</v>
      </c>
      <c r="AV691">
        <v>34.51</v>
      </c>
      <c r="AW691" t="s">
        <v>82</v>
      </c>
      <c r="AX691">
        <v>305</v>
      </c>
      <c r="AY691" t="s">
        <v>81</v>
      </c>
      <c r="AZ691">
        <v>15.42</v>
      </c>
      <c r="BA691">
        <v>36.53</v>
      </c>
      <c r="BB691" t="s">
        <v>83</v>
      </c>
    </row>
    <row r="692" spans="1:54" x14ac:dyDescent="0.4">
      <c r="A692">
        <v>1107325</v>
      </c>
      <c r="D692" t="s">
        <v>54</v>
      </c>
      <c r="E692" t="s">
        <v>55</v>
      </c>
      <c r="G692">
        <v>1</v>
      </c>
      <c r="H692" t="s">
        <v>84</v>
      </c>
      <c r="I692" t="s">
        <v>57</v>
      </c>
      <c r="K692" t="s">
        <v>746</v>
      </c>
      <c r="L692" t="s">
        <v>1357</v>
      </c>
      <c r="M692" t="s">
        <v>60</v>
      </c>
      <c r="N692" t="s">
        <v>119</v>
      </c>
      <c r="O692" t="s">
        <v>345</v>
      </c>
      <c r="P692" t="s">
        <v>62</v>
      </c>
      <c r="R692" t="s">
        <v>63</v>
      </c>
      <c r="S692" t="s">
        <v>64</v>
      </c>
      <c r="T692">
        <v>227</v>
      </c>
      <c r="U692">
        <v>208.5</v>
      </c>
      <c r="V692">
        <f t="shared" si="20"/>
        <v>217.75</v>
      </c>
      <c r="W692">
        <f t="shared" si="21"/>
        <v>18.5</v>
      </c>
      <c r="X692">
        <v>9.1427779999999998</v>
      </c>
      <c r="Y692">
        <v>48.760554999999997</v>
      </c>
      <c r="Z692" t="s">
        <v>184</v>
      </c>
      <c r="AA692" t="s">
        <v>211</v>
      </c>
      <c r="AB692" t="s">
        <v>863</v>
      </c>
      <c r="AC692" t="s">
        <v>213</v>
      </c>
      <c r="AD692" t="s">
        <v>214</v>
      </c>
      <c r="AE692" t="s">
        <v>215</v>
      </c>
      <c r="AF692" t="s">
        <v>864</v>
      </c>
      <c r="AH692" t="s">
        <v>11</v>
      </c>
      <c r="AI692" t="s">
        <v>693</v>
      </c>
      <c r="AJ692">
        <v>1932</v>
      </c>
      <c r="AK692" t="s">
        <v>866</v>
      </c>
      <c r="AN692" t="s">
        <v>114</v>
      </c>
      <c r="AO692" t="s">
        <v>77</v>
      </c>
      <c r="AP692" t="s">
        <v>78</v>
      </c>
      <c r="AQ692" t="s">
        <v>867</v>
      </c>
      <c r="AR692" t="s">
        <v>80</v>
      </c>
      <c r="AS692">
        <v>305</v>
      </c>
      <c r="AT692" t="s">
        <v>81</v>
      </c>
      <c r="AU692">
        <v>21.26</v>
      </c>
      <c r="AV692">
        <v>30.06</v>
      </c>
      <c r="AW692" t="s">
        <v>82</v>
      </c>
      <c r="AX692">
        <v>305</v>
      </c>
      <c r="AY692" t="s">
        <v>81</v>
      </c>
      <c r="AZ692">
        <v>10.119999999999999</v>
      </c>
      <c r="BA692">
        <v>31.98</v>
      </c>
      <c r="BB692" t="s">
        <v>83</v>
      </c>
    </row>
    <row r="693" spans="1:54" x14ac:dyDescent="0.4">
      <c r="A693">
        <v>1108583</v>
      </c>
      <c r="D693" t="s">
        <v>54</v>
      </c>
      <c r="I693" t="s">
        <v>57</v>
      </c>
      <c r="K693" t="s">
        <v>1816</v>
      </c>
      <c r="L693" t="s">
        <v>3300</v>
      </c>
      <c r="M693" t="s">
        <v>223</v>
      </c>
      <c r="N693" t="s">
        <v>234</v>
      </c>
      <c r="O693" t="s">
        <v>345</v>
      </c>
      <c r="P693" t="s">
        <v>62</v>
      </c>
      <c r="R693" t="s">
        <v>63</v>
      </c>
      <c r="S693" t="s">
        <v>64</v>
      </c>
      <c r="T693">
        <v>227</v>
      </c>
      <c r="U693">
        <v>208.5</v>
      </c>
      <c r="V693">
        <f t="shared" si="20"/>
        <v>217.75</v>
      </c>
      <c r="W693">
        <f t="shared" si="21"/>
        <v>18.5</v>
      </c>
      <c r="X693">
        <v>-120.63194300000001</v>
      </c>
      <c r="Y693">
        <v>44.523055999999997</v>
      </c>
      <c r="Z693" t="s">
        <v>1596</v>
      </c>
      <c r="AA693" t="s">
        <v>66</v>
      </c>
      <c r="AB693" t="s">
        <v>4319</v>
      </c>
      <c r="AC693" t="s">
        <v>4320</v>
      </c>
      <c r="AD693" t="s">
        <v>4321</v>
      </c>
      <c r="AH693" t="s">
        <v>72</v>
      </c>
      <c r="AI693" t="s">
        <v>4322</v>
      </c>
      <c r="AJ693">
        <v>1985</v>
      </c>
      <c r="AK693" t="s">
        <v>4323</v>
      </c>
      <c r="AN693" t="s">
        <v>192</v>
      </c>
      <c r="AO693" t="s">
        <v>77</v>
      </c>
      <c r="AP693" t="s">
        <v>115</v>
      </c>
      <c r="AQ693" t="s">
        <v>4324</v>
      </c>
      <c r="AR693" t="s">
        <v>80</v>
      </c>
      <c r="AS693">
        <v>129</v>
      </c>
      <c r="AT693" t="s">
        <v>81</v>
      </c>
      <c r="AU693">
        <v>-45.02</v>
      </c>
      <c r="AV693">
        <v>19.510000000000002</v>
      </c>
      <c r="AW693" t="s">
        <v>82</v>
      </c>
      <c r="AX693">
        <v>129</v>
      </c>
      <c r="AY693" t="s">
        <v>81</v>
      </c>
      <c r="AZ693">
        <v>-56.24</v>
      </c>
      <c r="BA693">
        <v>19.22</v>
      </c>
      <c r="BB693" t="s">
        <v>83</v>
      </c>
    </row>
    <row r="694" spans="1:54" x14ac:dyDescent="0.4">
      <c r="A694">
        <v>1112358</v>
      </c>
      <c r="D694" t="s">
        <v>54</v>
      </c>
      <c r="E694" t="s">
        <v>55</v>
      </c>
      <c r="G694">
        <v>1</v>
      </c>
      <c r="H694" t="s">
        <v>56</v>
      </c>
      <c r="I694" t="s">
        <v>57</v>
      </c>
      <c r="K694" t="s">
        <v>992</v>
      </c>
      <c r="L694" t="s">
        <v>1050</v>
      </c>
      <c r="M694" t="s">
        <v>60</v>
      </c>
      <c r="P694" t="s">
        <v>62</v>
      </c>
      <c r="R694" t="s">
        <v>63</v>
      </c>
      <c r="S694" t="s">
        <v>64</v>
      </c>
      <c r="T694">
        <v>227</v>
      </c>
      <c r="U694">
        <v>208.5</v>
      </c>
      <c r="V694">
        <f t="shared" si="20"/>
        <v>217.75</v>
      </c>
      <c r="W694">
        <f t="shared" si="21"/>
        <v>18.5</v>
      </c>
      <c r="X694">
        <v>-67.933327000000006</v>
      </c>
      <c r="Y694">
        <v>-29.783501000000001</v>
      </c>
      <c r="Z694" t="s">
        <v>184</v>
      </c>
      <c r="AA694" t="s">
        <v>185</v>
      </c>
      <c r="AB694" t="s">
        <v>186</v>
      </c>
      <c r="AC694" t="s">
        <v>327</v>
      </c>
      <c r="AD694" t="s">
        <v>551</v>
      </c>
      <c r="AE694" t="s">
        <v>188</v>
      </c>
      <c r="AH694" t="s">
        <v>72</v>
      </c>
      <c r="AI694" t="s">
        <v>4331</v>
      </c>
      <c r="AJ694">
        <v>2013</v>
      </c>
      <c r="AK694" t="s">
        <v>1057</v>
      </c>
      <c r="AM694" t="s">
        <v>1058</v>
      </c>
      <c r="AN694" t="s">
        <v>114</v>
      </c>
      <c r="AO694">
        <v>4</v>
      </c>
      <c r="AP694" t="s">
        <v>359</v>
      </c>
      <c r="AQ694" t="s">
        <v>1059</v>
      </c>
      <c r="AR694" t="s">
        <v>80</v>
      </c>
      <c r="AS694">
        <v>291</v>
      </c>
      <c r="AT694" t="s">
        <v>81</v>
      </c>
      <c r="AU694">
        <v>-22.63</v>
      </c>
      <c r="AV694">
        <v>-39.590000000000003</v>
      </c>
      <c r="AW694" t="s">
        <v>82</v>
      </c>
      <c r="AX694">
        <v>291</v>
      </c>
      <c r="AY694" t="s">
        <v>81</v>
      </c>
      <c r="AZ694">
        <v>-31.31</v>
      </c>
      <c r="BA694">
        <v>-38.97</v>
      </c>
      <c r="BB694" t="s">
        <v>83</v>
      </c>
    </row>
    <row r="695" spans="1:54" x14ac:dyDescent="0.4">
      <c r="A695">
        <v>1116574</v>
      </c>
      <c r="D695" t="s">
        <v>54</v>
      </c>
      <c r="E695" t="s">
        <v>55</v>
      </c>
      <c r="I695" t="s">
        <v>57</v>
      </c>
      <c r="K695" t="s">
        <v>141</v>
      </c>
      <c r="L695" t="s">
        <v>766</v>
      </c>
      <c r="M695" t="s">
        <v>60</v>
      </c>
      <c r="O695" t="s">
        <v>87</v>
      </c>
      <c r="P695" t="s">
        <v>62</v>
      </c>
      <c r="R695" t="s">
        <v>63</v>
      </c>
      <c r="S695" t="s">
        <v>64</v>
      </c>
      <c r="T695">
        <v>227</v>
      </c>
      <c r="U695">
        <v>208.5</v>
      </c>
      <c r="V695">
        <f t="shared" si="20"/>
        <v>217.75</v>
      </c>
      <c r="W695">
        <f t="shared" si="21"/>
        <v>18.5</v>
      </c>
      <c r="X695">
        <v>-109.57944500000001</v>
      </c>
      <c r="Y695">
        <v>34.681109999999997</v>
      </c>
      <c r="Z695" t="s">
        <v>184</v>
      </c>
      <c r="AA695" t="s">
        <v>66</v>
      </c>
      <c r="AB695" t="s">
        <v>583</v>
      </c>
      <c r="AC695" t="s">
        <v>735</v>
      </c>
      <c r="AD695" t="s">
        <v>174</v>
      </c>
      <c r="AF695" t="s">
        <v>1068</v>
      </c>
      <c r="AH695" t="s">
        <v>72</v>
      </c>
      <c r="AI695" t="s">
        <v>1129</v>
      </c>
      <c r="AJ695">
        <v>2005</v>
      </c>
      <c r="AK695" t="s">
        <v>2647</v>
      </c>
      <c r="AN695" t="s">
        <v>192</v>
      </c>
      <c r="AO695" t="s">
        <v>77</v>
      </c>
      <c r="AP695" t="s">
        <v>115</v>
      </c>
      <c r="AQ695" t="s">
        <v>2648</v>
      </c>
      <c r="AR695" t="s">
        <v>80</v>
      </c>
      <c r="AS695">
        <v>101</v>
      </c>
      <c r="AT695" t="s">
        <v>81</v>
      </c>
      <c r="AU695">
        <v>-37.49</v>
      </c>
      <c r="AV695">
        <v>10.14</v>
      </c>
      <c r="AW695" t="s">
        <v>82</v>
      </c>
      <c r="AX695">
        <v>133</v>
      </c>
      <c r="AY695" t="s">
        <v>81</v>
      </c>
      <c r="AZ695">
        <v>-52.28</v>
      </c>
      <c r="BA695">
        <v>10.210000000000001</v>
      </c>
      <c r="BB695" t="s">
        <v>83</v>
      </c>
    </row>
    <row r="696" spans="1:54" x14ac:dyDescent="0.4">
      <c r="A696">
        <v>1116575</v>
      </c>
      <c r="D696" t="s">
        <v>54</v>
      </c>
      <c r="E696" t="s">
        <v>55</v>
      </c>
      <c r="I696" t="s">
        <v>57</v>
      </c>
      <c r="K696" t="s">
        <v>767</v>
      </c>
      <c r="L696" t="s">
        <v>768</v>
      </c>
      <c r="M696" t="s">
        <v>60</v>
      </c>
      <c r="N696" t="s">
        <v>119</v>
      </c>
      <c r="O696" t="s">
        <v>87</v>
      </c>
      <c r="P696" t="s">
        <v>62</v>
      </c>
      <c r="R696" t="s">
        <v>63</v>
      </c>
      <c r="S696" t="s">
        <v>64</v>
      </c>
      <c r="T696">
        <v>227</v>
      </c>
      <c r="U696">
        <v>208.5</v>
      </c>
      <c r="V696">
        <f t="shared" si="20"/>
        <v>217.75</v>
      </c>
      <c r="W696">
        <f t="shared" si="21"/>
        <v>18.5</v>
      </c>
      <c r="X696">
        <v>-109.57944500000001</v>
      </c>
      <c r="Y696">
        <v>34.681109999999997</v>
      </c>
      <c r="Z696" t="s">
        <v>184</v>
      </c>
      <c r="AA696" t="s">
        <v>66</v>
      </c>
      <c r="AB696" t="s">
        <v>583</v>
      </c>
      <c r="AC696" t="s">
        <v>735</v>
      </c>
      <c r="AD696" t="s">
        <v>174</v>
      </c>
      <c r="AF696" t="s">
        <v>1068</v>
      </c>
      <c r="AH696" t="s">
        <v>72</v>
      </c>
      <c r="AI696" t="s">
        <v>1129</v>
      </c>
      <c r="AJ696">
        <v>2005</v>
      </c>
      <c r="AK696" t="s">
        <v>2647</v>
      </c>
      <c r="AN696" t="s">
        <v>192</v>
      </c>
      <c r="AO696" t="s">
        <v>77</v>
      </c>
      <c r="AP696" t="s">
        <v>115</v>
      </c>
      <c r="AQ696" t="s">
        <v>2648</v>
      </c>
      <c r="AR696" t="s">
        <v>80</v>
      </c>
      <c r="AS696">
        <v>101</v>
      </c>
      <c r="AT696" t="s">
        <v>81</v>
      </c>
      <c r="AU696">
        <v>-37.49</v>
      </c>
      <c r="AV696">
        <v>10.14</v>
      </c>
      <c r="AW696" t="s">
        <v>82</v>
      </c>
      <c r="AX696">
        <v>133</v>
      </c>
      <c r="AY696" t="s">
        <v>81</v>
      </c>
      <c r="AZ696">
        <v>-52.28</v>
      </c>
      <c r="BA696">
        <v>10.210000000000001</v>
      </c>
      <c r="BB696" t="s">
        <v>83</v>
      </c>
    </row>
    <row r="697" spans="1:54" x14ac:dyDescent="0.4">
      <c r="A697">
        <v>1116576</v>
      </c>
      <c r="D697" t="s">
        <v>54</v>
      </c>
      <c r="E697" t="s">
        <v>55</v>
      </c>
      <c r="I697" t="s">
        <v>57</v>
      </c>
      <c r="K697" t="s">
        <v>196</v>
      </c>
      <c r="L697" t="s">
        <v>197</v>
      </c>
      <c r="M697" t="s">
        <v>60</v>
      </c>
      <c r="O697" t="s">
        <v>87</v>
      </c>
      <c r="P697" t="s">
        <v>62</v>
      </c>
      <c r="R697" t="s">
        <v>63</v>
      </c>
      <c r="S697" t="s">
        <v>64</v>
      </c>
      <c r="T697">
        <v>227</v>
      </c>
      <c r="U697">
        <v>208.5</v>
      </c>
      <c r="V697">
        <f t="shared" si="20"/>
        <v>217.75</v>
      </c>
      <c r="W697">
        <f t="shared" si="21"/>
        <v>18.5</v>
      </c>
      <c r="X697">
        <v>-109.57944500000001</v>
      </c>
      <c r="Y697">
        <v>34.681109999999997</v>
      </c>
      <c r="Z697" t="s">
        <v>184</v>
      </c>
      <c r="AA697" t="s">
        <v>66</v>
      </c>
      <c r="AB697" t="s">
        <v>583</v>
      </c>
      <c r="AC697" t="s">
        <v>735</v>
      </c>
      <c r="AD697" t="s">
        <v>174</v>
      </c>
      <c r="AF697" t="s">
        <v>1068</v>
      </c>
      <c r="AH697" t="s">
        <v>72</v>
      </c>
      <c r="AI697" t="s">
        <v>1129</v>
      </c>
      <c r="AJ697">
        <v>2005</v>
      </c>
      <c r="AK697" t="s">
        <v>2647</v>
      </c>
      <c r="AN697" t="s">
        <v>192</v>
      </c>
      <c r="AO697" t="s">
        <v>77</v>
      </c>
      <c r="AP697" t="s">
        <v>115</v>
      </c>
      <c r="AQ697" t="s">
        <v>2648</v>
      </c>
      <c r="AR697" t="s">
        <v>80</v>
      </c>
      <c r="AS697">
        <v>101</v>
      </c>
      <c r="AT697" t="s">
        <v>81</v>
      </c>
      <c r="AU697">
        <v>-37.49</v>
      </c>
      <c r="AV697">
        <v>10.14</v>
      </c>
      <c r="AW697" t="s">
        <v>82</v>
      </c>
      <c r="AX697">
        <v>133</v>
      </c>
      <c r="AY697" t="s">
        <v>81</v>
      </c>
      <c r="AZ697">
        <v>-52.28</v>
      </c>
      <c r="BA697">
        <v>10.210000000000001</v>
      </c>
      <c r="BB697" t="s">
        <v>83</v>
      </c>
    </row>
    <row r="698" spans="1:54" x14ac:dyDescent="0.4">
      <c r="A698">
        <v>1116584</v>
      </c>
      <c r="D698" t="s">
        <v>167</v>
      </c>
      <c r="E698" t="s">
        <v>154</v>
      </c>
      <c r="I698" t="s">
        <v>57</v>
      </c>
      <c r="K698" t="s">
        <v>85</v>
      </c>
      <c r="L698" t="s">
        <v>86</v>
      </c>
      <c r="M698" t="s">
        <v>60</v>
      </c>
      <c r="O698" t="s">
        <v>87</v>
      </c>
      <c r="P698" t="s">
        <v>62</v>
      </c>
      <c r="R698" t="s">
        <v>63</v>
      </c>
      <c r="S698" t="s">
        <v>64</v>
      </c>
      <c r="T698">
        <v>227</v>
      </c>
      <c r="U698">
        <v>208.5</v>
      </c>
      <c r="V698">
        <f t="shared" si="20"/>
        <v>217.75</v>
      </c>
      <c r="W698">
        <f t="shared" si="21"/>
        <v>18.5</v>
      </c>
      <c r="X698">
        <v>-109.462486</v>
      </c>
      <c r="Y698">
        <v>34.437420000000003</v>
      </c>
      <c r="Z698" t="s">
        <v>734</v>
      </c>
      <c r="AA698" t="s">
        <v>66</v>
      </c>
      <c r="AB698" t="s">
        <v>583</v>
      </c>
      <c r="AC698" t="s">
        <v>735</v>
      </c>
      <c r="AD698" t="s">
        <v>174</v>
      </c>
      <c r="AF698" t="s">
        <v>736</v>
      </c>
      <c r="AH698" t="s">
        <v>11</v>
      </c>
      <c r="AI698" t="s">
        <v>1129</v>
      </c>
      <c r="AJ698">
        <v>2005</v>
      </c>
      <c r="AK698" t="s">
        <v>737</v>
      </c>
      <c r="AN698" t="s">
        <v>76</v>
      </c>
      <c r="AO698">
        <v>8</v>
      </c>
      <c r="AP698" t="s">
        <v>78</v>
      </c>
      <c r="AQ698" t="s">
        <v>738</v>
      </c>
      <c r="AR698" t="s">
        <v>80</v>
      </c>
      <c r="AS698">
        <v>101</v>
      </c>
      <c r="AT698" t="s">
        <v>81</v>
      </c>
      <c r="AU698">
        <v>-37.44</v>
      </c>
      <c r="AV698">
        <v>9.8800000000000008</v>
      </c>
      <c r="AW698" t="s">
        <v>82</v>
      </c>
      <c r="AX698">
        <v>133</v>
      </c>
      <c r="AY698" t="s">
        <v>81</v>
      </c>
      <c r="AZ698">
        <v>-52.23</v>
      </c>
      <c r="BA698">
        <v>9.9499999999999993</v>
      </c>
      <c r="BB698" t="s">
        <v>83</v>
      </c>
    </row>
    <row r="699" spans="1:54" x14ac:dyDescent="0.4">
      <c r="A699">
        <v>1116585</v>
      </c>
      <c r="D699" t="s">
        <v>167</v>
      </c>
      <c r="E699" t="s">
        <v>154</v>
      </c>
      <c r="I699" t="s">
        <v>57</v>
      </c>
      <c r="K699" t="s">
        <v>141</v>
      </c>
      <c r="L699" t="s">
        <v>990</v>
      </c>
      <c r="M699" t="s">
        <v>60</v>
      </c>
      <c r="O699" t="s">
        <v>87</v>
      </c>
      <c r="P699" t="s">
        <v>62</v>
      </c>
      <c r="R699" t="s">
        <v>63</v>
      </c>
      <c r="S699" t="s">
        <v>64</v>
      </c>
      <c r="T699">
        <v>227</v>
      </c>
      <c r="U699">
        <v>208.5</v>
      </c>
      <c r="V699">
        <f t="shared" si="20"/>
        <v>217.75</v>
      </c>
      <c r="W699">
        <f t="shared" si="21"/>
        <v>18.5</v>
      </c>
      <c r="X699">
        <v>-109.462486</v>
      </c>
      <c r="Y699">
        <v>34.437420000000003</v>
      </c>
      <c r="Z699" t="s">
        <v>734</v>
      </c>
      <c r="AA699" t="s">
        <v>66</v>
      </c>
      <c r="AB699" t="s">
        <v>583</v>
      </c>
      <c r="AC699" t="s">
        <v>735</v>
      </c>
      <c r="AD699" t="s">
        <v>174</v>
      </c>
      <c r="AF699" t="s">
        <v>736</v>
      </c>
      <c r="AH699" t="s">
        <v>72</v>
      </c>
      <c r="AI699" t="s">
        <v>1129</v>
      </c>
      <c r="AJ699">
        <v>2005</v>
      </c>
      <c r="AK699" t="s">
        <v>737</v>
      </c>
      <c r="AN699" t="s">
        <v>76</v>
      </c>
      <c r="AO699">
        <v>8</v>
      </c>
      <c r="AP699" t="s">
        <v>78</v>
      </c>
      <c r="AQ699" t="s">
        <v>738</v>
      </c>
      <c r="AR699" t="s">
        <v>80</v>
      </c>
      <c r="AS699">
        <v>101</v>
      </c>
      <c r="AT699" t="s">
        <v>81</v>
      </c>
      <c r="AU699">
        <v>-37.44</v>
      </c>
      <c r="AV699">
        <v>9.8800000000000008</v>
      </c>
      <c r="AW699" t="s">
        <v>82</v>
      </c>
      <c r="AX699">
        <v>133</v>
      </c>
      <c r="AY699" t="s">
        <v>81</v>
      </c>
      <c r="AZ699">
        <v>-52.23</v>
      </c>
      <c r="BA699">
        <v>9.9499999999999993</v>
      </c>
      <c r="BB699" t="s">
        <v>83</v>
      </c>
    </row>
    <row r="700" spans="1:54" x14ac:dyDescent="0.4">
      <c r="A700">
        <v>1134411</v>
      </c>
      <c r="D700" t="s">
        <v>54</v>
      </c>
      <c r="I700" t="s">
        <v>57</v>
      </c>
      <c r="K700" t="s">
        <v>141</v>
      </c>
      <c r="L700" t="s">
        <v>4390</v>
      </c>
      <c r="M700" t="s">
        <v>223</v>
      </c>
      <c r="N700" t="s">
        <v>234</v>
      </c>
      <c r="O700" t="s">
        <v>87</v>
      </c>
      <c r="P700" t="s">
        <v>62</v>
      </c>
      <c r="R700" t="s">
        <v>63</v>
      </c>
      <c r="S700" t="s">
        <v>64</v>
      </c>
      <c r="T700">
        <v>227</v>
      </c>
      <c r="U700">
        <v>208.5</v>
      </c>
      <c r="V700">
        <f t="shared" si="20"/>
        <v>217.75</v>
      </c>
      <c r="W700">
        <f t="shared" si="21"/>
        <v>18.5</v>
      </c>
      <c r="X700">
        <v>-122.566666</v>
      </c>
      <c r="Y700">
        <v>56.150002000000001</v>
      </c>
      <c r="Z700" t="s">
        <v>520</v>
      </c>
      <c r="AA700" t="s">
        <v>1456</v>
      </c>
      <c r="AB700" t="s">
        <v>1858</v>
      </c>
      <c r="AH700" t="s">
        <v>11</v>
      </c>
      <c r="AI700" t="s">
        <v>228</v>
      </c>
      <c r="AJ700">
        <v>2000</v>
      </c>
      <c r="AK700" t="s">
        <v>4391</v>
      </c>
      <c r="AM700" t="s">
        <v>4374</v>
      </c>
      <c r="AN700" t="s">
        <v>192</v>
      </c>
      <c r="AO700" t="s">
        <v>160</v>
      </c>
      <c r="AP700" t="s">
        <v>115</v>
      </c>
      <c r="AQ700" t="s">
        <v>4392</v>
      </c>
      <c r="AR700" t="s">
        <v>80</v>
      </c>
      <c r="AS700">
        <v>101</v>
      </c>
      <c r="AT700" t="s">
        <v>81</v>
      </c>
      <c r="AU700">
        <v>-40.72</v>
      </c>
      <c r="AV700">
        <v>33.18</v>
      </c>
      <c r="AW700" t="s">
        <v>82</v>
      </c>
      <c r="AX700">
        <v>101</v>
      </c>
      <c r="AY700" t="s">
        <v>81</v>
      </c>
      <c r="AZ700">
        <v>-52.62</v>
      </c>
      <c r="BA700">
        <v>33.04</v>
      </c>
      <c r="BB700" t="s">
        <v>83</v>
      </c>
    </row>
    <row r="701" spans="1:54" x14ac:dyDescent="0.4">
      <c r="A701">
        <v>1134412</v>
      </c>
      <c r="D701" t="s">
        <v>54</v>
      </c>
      <c r="I701" t="s">
        <v>57</v>
      </c>
      <c r="K701" t="s">
        <v>141</v>
      </c>
      <c r="L701" t="s">
        <v>3307</v>
      </c>
      <c r="M701" t="s">
        <v>223</v>
      </c>
      <c r="N701" t="s">
        <v>234</v>
      </c>
      <c r="O701" t="s">
        <v>87</v>
      </c>
      <c r="P701" t="s">
        <v>62</v>
      </c>
      <c r="R701" t="s">
        <v>63</v>
      </c>
      <c r="S701" t="s">
        <v>64</v>
      </c>
      <c r="T701">
        <v>227</v>
      </c>
      <c r="U701">
        <v>208.5</v>
      </c>
      <c r="V701">
        <f t="shared" si="20"/>
        <v>217.75</v>
      </c>
      <c r="W701">
        <f t="shared" si="21"/>
        <v>18.5</v>
      </c>
      <c r="X701">
        <v>-122.566666</v>
      </c>
      <c r="Y701">
        <v>56.150002000000001</v>
      </c>
      <c r="Z701" t="s">
        <v>520</v>
      </c>
      <c r="AA701" t="s">
        <v>1456</v>
      </c>
      <c r="AB701" t="s">
        <v>1858</v>
      </c>
      <c r="AH701" t="s">
        <v>72</v>
      </c>
      <c r="AI701" t="s">
        <v>228</v>
      </c>
      <c r="AJ701">
        <v>2000</v>
      </c>
      <c r="AK701" t="s">
        <v>4391</v>
      </c>
      <c r="AM701" t="s">
        <v>4374</v>
      </c>
      <c r="AN701" t="s">
        <v>192</v>
      </c>
      <c r="AO701" t="s">
        <v>160</v>
      </c>
      <c r="AP701" t="s">
        <v>115</v>
      </c>
      <c r="AQ701" t="s">
        <v>4392</v>
      </c>
      <c r="AR701" t="s">
        <v>80</v>
      </c>
      <c r="AS701">
        <v>101</v>
      </c>
      <c r="AT701" t="s">
        <v>81</v>
      </c>
      <c r="AU701">
        <v>-40.72</v>
      </c>
      <c r="AV701">
        <v>33.18</v>
      </c>
      <c r="AW701" t="s">
        <v>82</v>
      </c>
      <c r="AX701">
        <v>101</v>
      </c>
      <c r="AY701" t="s">
        <v>81</v>
      </c>
      <c r="AZ701">
        <v>-52.62</v>
      </c>
      <c r="BA701">
        <v>33.04</v>
      </c>
      <c r="BB701" t="s">
        <v>83</v>
      </c>
    </row>
    <row r="702" spans="1:54" x14ac:dyDescent="0.4">
      <c r="A702">
        <v>1139540</v>
      </c>
      <c r="D702" t="s">
        <v>54</v>
      </c>
      <c r="E702" t="s">
        <v>55</v>
      </c>
      <c r="G702">
        <v>1</v>
      </c>
      <c r="H702" t="s">
        <v>56</v>
      </c>
      <c r="I702" t="s">
        <v>57</v>
      </c>
      <c r="K702" t="s">
        <v>244</v>
      </c>
      <c r="L702" t="s">
        <v>245</v>
      </c>
      <c r="M702" t="s">
        <v>60</v>
      </c>
      <c r="O702" t="s">
        <v>170</v>
      </c>
      <c r="P702" t="s">
        <v>62</v>
      </c>
      <c r="R702" t="s">
        <v>63</v>
      </c>
      <c r="S702" t="s">
        <v>64</v>
      </c>
      <c r="T702">
        <v>227</v>
      </c>
      <c r="U702">
        <v>208.5</v>
      </c>
      <c r="V702">
        <f t="shared" si="20"/>
        <v>217.75</v>
      </c>
      <c r="W702">
        <f t="shared" si="21"/>
        <v>18.5</v>
      </c>
      <c r="X702">
        <v>-68.300003000000004</v>
      </c>
      <c r="Y702">
        <v>-48.099997999999999</v>
      </c>
      <c r="Z702" t="s">
        <v>124</v>
      </c>
      <c r="AA702" t="s">
        <v>185</v>
      </c>
      <c r="AB702" t="s">
        <v>4401</v>
      </c>
      <c r="AC702" t="s">
        <v>4402</v>
      </c>
      <c r="AD702" t="s">
        <v>4403</v>
      </c>
      <c r="AE702" t="s">
        <v>4404</v>
      </c>
      <c r="AH702" t="s">
        <v>11</v>
      </c>
      <c r="AI702" t="s">
        <v>1051</v>
      </c>
      <c r="AJ702">
        <v>1978</v>
      </c>
      <c r="AK702" t="s">
        <v>4405</v>
      </c>
      <c r="AN702" t="s">
        <v>114</v>
      </c>
      <c r="AO702">
        <v>1</v>
      </c>
      <c r="AP702" t="s">
        <v>115</v>
      </c>
      <c r="AQ702" t="s">
        <v>4406</v>
      </c>
      <c r="AR702" t="s">
        <v>80</v>
      </c>
      <c r="AS702">
        <v>291</v>
      </c>
      <c r="AT702" t="s">
        <v>81</v>
      </c>
      <c r="AU702">
        <v>-17.190000000000001</v>
      </c>
      <c r="AV702">
        <v>-57.56</v>
      </c>
      <c r="AW702" t="s">
        <v>82</v>
      </c>
      <c r="AX702">
        <v>291</v>
      </c>
      <c r="AY702" t="s">
        <v>81</v>
      </c>
      <c r="AZ702">
        <v>-24.42</v>
      </c>
      <c r="BA702">
        <v>-56.71</v>
      </c>
      <c r="BB702" t="s">
        <v>83</v>
      </c>
    </row>
    <row r="703" spans="1:54" x14ac:dyDescent="0.4">
      <c r="A703">
        <v>1139540</v>
      </c>
      <c r="D703" t="s">
        <v>54</v>
      </c>
      <c r="E703" t="s">
        <v>55</v>
      </c>
      <c r="G703">
        <v>1</v>
      </c>
      <c r="H703" t="s">
        <v>56</v>
      </c>
      <c r="I703" t="s">
        <v>57</v>
      </c>
      <c r="K703" t="s">
        <v>244</v>
      </c>
      <c r="L703" t="s">
        <v>245</v>
      </c>
      <c r="M703" t="s">
        <v>60</v>
      </c>
      <c r="O703" t="s">
        <v>170</v>
      </c>
      <c r="P703" t="s">
        <v>62</v>
      </c>
      <c r="R703" t="s">
        <v>63</v>
      </c>
      <c r="S703" t="s">
        <v>64</v>
      </c>
      <c r="T703">
        <v>227</v>
      </c>
      <c r="U703">
        <v>208.5</v>
      </c>
      <c r="V703">
        <f t="shared" si="20"/>
        <v>217.75</v>
      </c>
      <c r="W703">
        <f t="shared" si="21"/>
        <v>18.5</v>
      </c>
      <c r="X703">
        <v>-68.300003000000004</v>
      </c>
      <c r="Y703">
        <v>-48.099997999999999</v>
      </c>
      <c r="Z703" t="s">
        <v>124</v>
      </c>
      <c r="AA703" t="s">
        <v>185</v>
      </c>
      <c r="AB703" t="s">
        <v>4401</v>
      </c>
      <c r="AC703" t="s">
        <v>4402</v>
      </c>
      <c r="AD703" t="s">
        <v>4403</v>
      </c>
      <c r="AE703" t="s">
        <v>4404</v>
      </c>
      <c r="AH703" t="s">
        <v>11</v>
      </c>
      <c r="AI703" t="s">
        <v>1051</v>
      </c>
      <c r="AJ703">
        <v>1978</v>
      </c>
      <c r="AK703" t="s">
        <v>4405</v>
      </c>
      <c r="AN703" t="s">
        <v>114</v>
      </c>
      <c r="AO703">
        <v>1</v>
      </c>
      <c r="AP703" t="s">
        <v>115</v>
      </c>
      <c r="AQ703" t="s">
        <v>4406</v>
      </c>
      <c r="AR703" t="s">
        <v>80</v>
      </c>
      <c r="AS703">
        <v>291</v>
      </c>
      <c r="AT703" t="s">
        <v>81</v>
      </c>
      <c r="AU703">
        <v>-17.190000000000001</v>
      </c>
      <c r="AV703">
        <v>-57.56</v>
      </c>
      <c r="AW703" t="s">
        <v>82</v>
      </c>
      <c r="AX703">
        <v>291</v>
      </c>
      <c r="AY703" t="s">
        <v>81</v>
      </c>
      <c r="AZ703">
        <v>-24.42</v>
      </c>
      <c r="BA703">
        <v>-56.71</v>
      </c>
      <c r="BB703" t="s">
        <v>83</v>
      </c>
    </row>
    <row r="704" spans="1:54" x14ac:dyDescent="0.4">
      <c r="A704">
        <v>1139540</v>
      </c>
      <c r="D704" t="s">
        <v>54</v>
      </c>
      <c r="E704" t="s">
        <v>55</v>
      </c>
      <c r="G704">
        <v>1</v>
      </c>
      <c r="H704" t="s">
        <v>56</v>
      </c>
      <c r="I704" t="s">
        <v>57</v>
      </c>
      <c r="K704" t="s">
        <v>244</v>
      </c>
      <c r="L704" t="s">
        <v>245</v>
      </c>
      <c r="M704" t="s">
        <v>60</v>
      </c>
      <c r="O704" t="s">
        <v>170</v>
      </c>
      <c r="P704" t="s">
        <v>62</v>
      </c>
      <c r="R704" t="s">
        <v>63</v>
      </c>
      <c r="S704" t="s">
        <v>64</v>
      </c>
      <c r="T704">
        <v>227</v>
      </c>
      <c r="U704">
        <v>208.5</v>
      </c>
      <c r="V704">
        <f t="shared" si="20"/>
        <v>217.75</v>
      </c>
      <c r="W704">
        <f t="shared" si="21"/>
        <v>18.5</v>
      </c>
      <c r="X704">
        <v>-68.300003000000004</v>
      </c>
      <c r="Y704">
        <v>-48.099997999999999</v>
      </c>
      <c r="Z704" t="s">
        <v>124</v>
      </c>
      <c r="AA704" t="s">
        <v>185</v>
      </c>
      <c r="AB704" t="s">
        <v>4401</v>
      </c>
      <c r="AC704" t="s">
        <v>4402</v>
      </c>
      <c r="AD704" t="s">
        <v>4403</v>
      </c>
      <c r="AE704" t="s">
        <v>4404</v>
      </c>
      <c r="AH704" t="s">
        <v>11</v>
      </c>
      <c r="AI704" t="s">
        <v>1051</v>
      </c>
      <c r="AJ704">
        <v>1978</v>
      </c>
      <c r="AK704" t="s">
        <v>4405</v>
      </c>
      <c r="AN704" t="s">
        <v>114</v>
      </c>
      <c r="AO704">
        <v>1</v>
      </c>
      <c r="AP704" t="s">
        <v>115</v>
      </c>
      <c r="AQ704" t="s">
        <v>4406</v>
      </c>
      <c r="AR704" t="s">
        <v>80</v>
      </c>
      <c r="AS704">
        <v>291</v>
      </c>
      <c r="AT704" t="s">
        <v>81</v>
      </c>
      <c r="AU704">
        <v>-17.190000000000001</v>
      </c>
      <c r="AV704">
        <v>-57.56</v>
      </c>
      <c r="AW704" t="s">
        <v>82</v>
      </c>
      <c r="AX704">
        <v>291</v>
      </c>
      <c r="AY704" t="s">
        <v>81</v>
      </c>
      <c r="AZ704">
        <v>-24.42</v>
      </c>
      <c r="BA704">
        <v>-56.71</v>
      </c>
      <c r="BB704" t="s">
        <v>83</v>
      </c>
    </row>
    <row r="705" spans="1:54" x14ac:dyDescent="0.4">
      <c r="A705">
        <v>1139540</v>
      </c>
      <c r="D705" t="s">
        <v>54</v>
      </c>
      <c r="E705" t="s">
        <v>55</v>
      </c>
      <c r="G705">
        <v>1</v>
      </c>
      <c r="H705" t="s">
        <v>56</v>
      </c>
      <c r="I705" t="s">
        <v>57</v>
      </c>
      <c r="K705" t="s">
        <v>244</v>
      </c>
      <c r="L705" t="s">
        <v>245</v>
      </c>
      <c r="M705" t="s">
        <v>60</v>
      </c>
      <c r="O705" t="s">
        <v>170</v>
      </c>
      <c r="P705" t="s">
        <v>62</v>
      </c>
      <c r="R705" t="s">
        <v>63</v>
      </c>
      <c r="S705" t="s">
        <v>64</v>
      </c>
      <c r="T705">
        <v>227</v>
      </c>
      <c r="U705">
        <v>208.5</v>
      </c>
      <c r="V705">
        <f t="shared" si="20"/>
        <v>217.75</v>
      </c>
      <c r="W705">
        <f t="shared" si="21"/>
        <v>18.5</v>
      </c>
      <c r="X705">
        <v>-68.300003000000004</v>
      </c>
      <c r="Y705">
        <v>-48.099997999999999</v>
      </c>
      <c r="Z705" t="s">
        <v>124</v>
      </c>
      <c r="AA705" t="s">
        <v>185</v>
      </c>
      <c r="AB705" t="s">
        <v>4401</v>
      </c>
      <c r="AC705" t="s">
        <v>4402</v>
      </c>
      <c r="AD705" t="s">
        <v>4403</v>
      </c>
      <c r="AE705" t="s">
        <v>4404</v>
      </c>
      <c r="AH705" t="s">
        <v>11</v>
      </c>
      <c r="AI705" t="s">
        <v>1051</v>
      </c>
      <c r="AJ705">
        <v>1978</v>
      </c>
      <c r="AK705" t="s">
        <v>4405</v>
      </c>
      <c r="AN705" t="s">
        <v>114</v>
      </c>
      <c r="AO705">
        <v>1</v>
      </c>
      <c r="AP705" t="s">
        <v>115</v>
      </c>
      <c r="AQ705" t="s">
        <v>4406</v>
      </c>
      <c r="AR705" t="s">
        <v>80</v>
      </c>
      <c r="AS705">
        <v>291</v>
      </c>
      <c r="AT705" t="s">
        <v>81</v>
      </c>
      <c r="AU705">
        <v>-17.190000000000001</v>
      </c>
      <c r="AV705">
        <v>-57.56</v>
      </c>
      <c r="AW705" t="s">
        <v>82</v>
      </c>
      <c r="AX705">
        <v>291</v>
      </c>
      <c r="AY705" t="s">
        <v>81</v>
      </c>
      <c r="AZ705">
        <v>-24.42</v>
      </c>
      <c r="BA705">
        <v>-56.71</v>
      </c>
      <c r="BB705" t="s">
        <v>83</v>
      </c>
    </row>
    <row r="706" spans="1:54" x14ac:dyDescent="0.4">
      <c r="A706">
        <v>1237442</v>
      </c>
      <c r="D706" t="s">
        <v>54</v>
      </c>
      <c r="E706" t="s">
        <v>152</v>
      </c>
      <c r="I706" t="s">
        <v>57</v>
      </c>
      <c r="K706" t="s">
        <v>85</v>
      </c>
      <c r="L706" t="s">
        <v>86</v>
      </c>
      <c r="M706" t="s">
        <v>60</v>
      </c>
      <c r="O706" t="s">
        <v>87</v>
      </c>
      <c r="P706" t="s">
        <v>62</v>
      </c>
      <c r="R706" t="s">
        <v>63</v>
      </c>
      <c r="S706" t="s">
        <v>64</v>
      </c>
      <c r="T706">
        <v>227</v>
      </c>
      <c r="U706">
        <v>208.5</v>
      </c>
      <c r="V706">
        <f t="shared" si="20"/>
        <v>217.75</v>
      </c>
      <c r="W706">
        <f t="shared" si="21"/>
        <v>18.5</v>
      </c>
      <c r="X706">
        <v>-76.728333000000006</v>
      </c>
      <c r="Y706">
        <v>40.021667000000001</v>
      </c>
      <c r="Z706" t="s">
        <v>124</v>
      </c>
      <c r="AA706" t="s">
        <v>66</v>
      </c>
      <c r="AB706" t="s">
        <v>1294</v>
      </c>
      <c r="AC706" t="s">
        <v>1295</v>
      </c>
      <c r="AD706" t="s">
        <v>1296</v>
      </c>
      <c r="AE706" t="s">
        <v>70</v>
      </c>
      <c r="AH706" t="s">
        <v>72</v>
      </c>
      <c r="AI706" t="s">
        <v>4517</v>
      </c>
      <c r="AJ706">
        <v>1894</v>
      </c>
      <c r="AK706" t="s">
        <v>1297</v>
      </c>
      <c r="AM706" t="s">
        <v>1298</v>
      </c>
      <c r="AN706" t="s">
        <v>114</v>
      </c>
      <c r="AO706" t="s">
        <v>77</v>
      </c>
      <c r="AP706" t="s">
        <v>115</v>
      </c>
      <c r="AQ706" t="s">
        <v>1299</v>
      </c>
      <c r="AR706" t="s">
        <v>80</v>
      </c>
      <c r="AS706">
        <v>101</v>
      </c>
      <c r="AT706" t="s">
        <v>81</v>
      </c>
      <c r="AU706">
        <v>-10.62</v>
      </c>
      <c r="AV706">
        <v>13.42</v>
      </c>
      <c r="AW706" t="s">
        <v>82</v>
      </c>
      <c r="AX706">
        <v>101</v>
      </c>
      <c r="AY706" t="s">
        <v>81</v>
      </c>
      <c r="AZ706">
        <v>-21.55</v>
      </c>
      <c r="BA706">
        <v>14.44</v>
      </c>
      <c r="BB706" t="s">
        <v>83</v>
      </c>
    </row>
    <row r="707" spans="1:54" x14ac:dyDescent="0.4">
      <c r="A707">
        <v>1315237</v>
      </c>
      <c r="D707" t="s">
        <v>54</v>
      </c>
      <c r="E707" t="s">
        <v>55</v>
      </c>
      <c r="G707">
        <v>9</v>
      </c>
      <c r="H707" t="s">
        <v>84</v>
      </c>
      <c r="I707" t="s">
        <v>57</v>
      </c>
      <c r="K707" t="s">
        <v>149</v>
      </c>
      <c r="L707" t="s">
        <v>4667</v>
      </c>
      <c r="M707" t="s">
        <v>60</v>
      </c>
      <c r="P707" t="s">
        <v>62</v>
      </c>
      <c r="R707" t="s">
        <v>63</v>
      </c>
      <c r="S707" t="s">
        <v>64</v>
      </c>
      <c r="T707">
        <v>227</v>
      </c>
      <c r="U707">
        <v>208.5</v>
      </c>
      <c r="V707">
        <f t="shared" ref="V707:V770" si="22">(T707+U707)/2</f>
        <v>217.75</v>
      </c>
      <c r="W707">
        <f t="shared" ref="W707:W770" si="23">T707-U707</f>
        <v>18.5</v>
      </c>
      <c r="X707">
        <v>-67.400002000000001</v>
      </c>
      <c r="Y707">
        <v>-31.6</v>
      </c>
      <c r="Z707" t="s">
        <v>361</v>
      </c>
      <c r="AA707" t="s">
        <v>185</v>
      </c>
      <c r="AB707" t="s">
        <v>285</v>
      </c>
      <c r="AC707" t="s">
        <v>4668</v>
      </c>
      <c r="AD707" t="s">
        <v>4669</v>
      </c>
      <c r="AE707" t="s">
        <v>4670</v>
      </c>
      <c r="AH707" t="s">
        <v>72</v>
      </c>
      <c r="AI707" t="s">
        <v>3550</v>
      </c>
      <c r="AJ707">
        <v>2013</v>
      </c>
      <c r="AK707" t="s">
        <v>4671</v>
      </c>
      <c r="AN707" t="s">
        <v>192</v>
      </c>
      <c r="AO707">
        <v>1</v>
      </c>
      <c r="AR707" t="s">
        <v>80</v>
      </c>
      <c r="AS707">
        <v>291</v>
      </c>
      <c r="AT707" t="s">
        <v>81</v>
      </c>
      <c r="AU707">
        <v>-21.61</v>
      </c>
      <c r="AV707">
        <v>-41.29</v>
      </c>
      <c r="AW707" t="s">
        <v>82</v>
      </c>
      <c r="AX707">
        <v>291</v>
      </c>
      <c r="AY707" t="s">
        <v>81</v>
      </c>
      <c r="AZ707">
        <v>-30.19</v>
      </c>
      <c r="BA707">
        <v>-40.630000000000003</v>
      </c>
      <c r="BB707" t="s">
        <v>83</v>
      </c>
    </row>
    <row r="708" spans="1:54" x14ac:dyDescent="0.4">
      <c r="A708">
        <v>1330178</v>
      </c>
      <c r="D708" t="s">
        <v>54</v>
      </c>
      <c r="I708" t="s">
        <v>57</v>
      </c>
      <c r="K708" t="s">
        <v>206</v>
      </c>
      <c r="L708" t="s">
        <v>744</v>
      </c>
      <c r="M708" t="s">
        <v>60</v>
      </c>
      <c r="O708" t="s">
        <v>170</v>
      </c>
      <c r="P708" t="s">
        <v>62</v>
      </c>
      <c r="R708" t="s">
        <v>63</v>
      </c>
      <c r="S708" t="s">
        <v>64</v>
      </c>
      <c r="T708">
        <v>227</v>
      </c>
      <c r="U708">
        <v>208.5</v>
      </c>
      <c r="V708">
        <f t="shared" si="22"/>
        <v>217.75</v>
      </c>
      <c r="W708">
        <f t="shared" si="23"/>
        <v>18.5</v>
      </c>
      <c r="X708">
        <v>-107.483887</v>
      </c>
      <c r="Y708">
        <v>34.638888999999999</v>
      </c>
      <c r="Z708" t="s">
        <v>124</v>
      </c>
      <c r="AA708" t="s">
        <v>66</v>
      </c>
      <c r="AB708" t="s">
        <v>846</v>
      </c>
      <c r="AC708" t="s">
        <v>3003</v>
      </c>
      <c r="AD708" t="s">
        <v>749</v>
      </c>
      <c r="AE708" t="s">
        <v>174</v>
      </c>
      <c r="AH708" t="s">
        <v>72</v>
      </c>
      <c r="AI708" t="s">
        <v>779</v>
      </c>
      <c r="AJ708">
        <v>1993</v>
      </c>
      <c r="AK708" t="s">
        <v>4708</v>
      </c>
      <c r="AM708" t="s">
        <v>4709</v>
      </c>
      <c r="AN708" t="s">
        <v>114</v>
      </c>
      <c r="AO708" t="s">
        <v>77</v>
      </c>
      <c r="AP708" t="s">
        <v>78</v>
      </c>
      <c r="AQ708" t="s">
        <v>4710</v>
      </c>
      <c r="AR708" t="s">
        <v>80</v>
      </c>
      <c r="AS708">
        <v>101</v>
      </c>
      <c r="AT708" t="s">
        <v>81</v>
      </c>
      <c r="AU708">
        <v>-35.78</v>
      </c>
      <c r="AV708">
        <v>9.76</v>
      </c>
      <c r="AW708" t="s">
        <v>82</v>
      </c>
      <c r="AX708">
        <v>133</v>
      </c>
      <c r="AY708" t="s">
        <v>81</v>
      </c>
      <c r="AZ708">
        <v>-50.56</v>
      </c>
      <c r="BA708">
        <v>9.8800000000000008</v>
      </c>
      <c r="BB708" t="s">
        <v>83</v>
      </c>
    </row>
    <row r="709" spans="1:54" x14ac:dyDescent="0.4">
      <c r="A709">
        <v>1330181</v>
      </c>
      <c r="D709" t="s">
        <v>54</v>
      </c>
      <c r="I709" t="s">
        <v>57</v>
      </c>
      <c r="K709" t="s">
        <v>206</v>
      </c>
      <c r="L709" t="s">
        <v>851</v>
      </c>
      <c r="M709" t="s">
        <v>60</v>
      </c>
      <c r="O709" t="s">
        <v>170</v>
      </c>
      <c r="P709" t="s">
        <v>62</v>
      </c>
      <c r="R709" t="s">
        <v>63</v>
      </c>
      <c r="S709" t="s">
        <v>64</v>
      </c>
      <c r="T709">
        <v>227</v>
      </c>
      <c r="U709">
        <v>208.5</v>
      </c>
      <c r="V709">
        <f t="shared" si="22"/>
        <v>217.75</v>
      </c>
      <c r="W709">
        <f t="shared" si="23"/>
        <v>18.5</v>
      </c>
      <c r="X709">
        <v>-106.30972300000001</v>
      </c>
      <c r="Y709">
        <v>35.316113000000001</v>
      </c>
      <c r="Z709" t="s">
        <v>124</v>
      </c>
      <c r="AA709" t="s">
        <v>66</v>
      </c>
      <c r="AB709" t="s">
        <v>846</v>
      </c>
      <c r="AC709" t="s">
        <v>4711</v>
      </c>
      <c r="AD709" t="s">
        <v>749</v>
      </c>
      <c r="AE709" t="s">
        <v>174</v>
      </c>
      <c r="AF709" t="s">
        <v>4712</v>
      </c>
      <c r="AH709" t="s">
        <v>11</v>
      </c>
      <c r="AI709" t="s">
        <v>779</v>
      </c>
      <c r="AJ709">
        <v>1993</v>
      </c>
      <c r="AK709" t="s">
        <v>4713</v>
      </c>
      <c r="AN709" t="s">
        <v>114</v>
      </c>
      <c r="AO709" t="s">
        <v>77</v>
      </c>
      <c r="AP709" t="s">
        <v>359</v>
      </c>
      <c r="AR709" t="s">
        <v>80</v>
      </c>
      <c r="AS709">
        <v>101</v>
      </c>
      <c r="AT709" t="s">
        <v>81</v>
      </c>
      <c r="AU709">
        <v>-34.69</v>
      </c>
      <c r="AV709">
        <v>10.25</v>
      </c>
      <c r="AW709" t="s">
        <v>82</v>
      </c>
      <c r="AX709">
        <v>101</v>
      </c>
      <c r="AY709" t="s">
        <v>81</v>
      </c>
      <c r="AZ709">
        <v>-45.54</v>
      </c>
      <c r="BA709">
        <v>10.37</v>
      </c>
      <c r="BB709" t="s">
        <v>83</v>
      </c>
    </row>
    <row r="710" spans="1:54" x14ac:dyDescent="0.4">
      <c r="A710">
        <v>1332865</v>
      </c>
      <c r="D710" t="s">
        <v>54</v>
      </c>
      <c r="G710">
        <v>1</v>
      </c>
      <c r="H710" t="s">
        <v>84</v>
      </c>
      <c r="I710" t="s">
        <v>57</v>
      </c>
      <c r="K710" t="s">
        <v>206</v>
      </c>
      <c r="L710" t="s">
        <v>851</v>
      </c>
      <c r="M710" t="s">
        <v>60</v>
      </c>
      <c r="O710" t="s">
        <v>170</v>
      </c>
      <c r="P710" t="s">
        <v>62</v>
      </c>
      <c r="R710" t="s">
        <v>63</v>
      </c>
      <c r="S710" t="s">
        <v>64</v>
      </c>
      <c r="T710">
        <v>227</v>
      </c>
      <c r="U710">
        <v>208.5</v>
      </c>
      <c r="V710">
        <f t="shared" si="22"/>
        <v>217.75</v>
      </c>
      <c r="W710">
        <f t="shared" si="23"/>
        <v>18.5</v>
      </c>
      <c r="X710">
        <v>-106.858597</v>
      </c>
      <c r="Y710">
        <v>35.603198999999996</v>
      </c>
      <c r="Z710" t="s">
        <v>124</v>
      </c>
      <c r="AA710" t="s">
        <v>66</v>
      </c>
      <c r="AB710" t="s">
        <v>846</v>
      </c>
      <c r="AC710" t="s">
        <v>4711</v>
      </c>
      <c r="AD710" t="s">
        <v>174</v>
      </c>
      <c r="AF710" t="s">
        <v>749</v>
      </c>
      <c r="AH710" t="s">
        <v>72</v>
      </c>
      <c r="AI710" t="s">
        <v>779</v>
      </c>
      <c r="AJ710">
        <v>1990</v>
      </c>
      <c r="AK710" t="s">
        <v>4717</v>
      </c>
      <c r="AN710" t="s">
        <v>76</v>
      </c>
      <c r="AO710">
        <v>4</v>
      </c>
      <c r="AP710" t="s">
        <v>115</v>
      </c>
      <c r="AQ710" t="s">
        <v>4718</v>
      </c>
      <c r="AR710" t="s">
        <v>80</v>
      </c>
      <c r="AS710">
        <v>101</v>
      </c>
      <c r="AT710" t="s">
        <v>81</v>
      </c>
      <c r="AU710">
        <v>-35.090000000000003</v>
      </c>
      <c r="AV710">
        <v>10.62</v>
      </c>
      <c r="AW710" t="s">
        <v>82</v>
      </c>
      <c r="AX710">
        <v>133</v>
      </c>
      <c r="AY710" t="s">
        <v>81</v>
      </c>
      <c r="AZ710">
        <v>-49.9</v>
      </c>
      <c r="BA710">
        <v>10.76</v>
      </c>
      <c r="BB710" t="s">
        <v>83</v>
      </c>
    </row>
    <row r="711" spans="1:54" x14ac:dyDescent="0.4">
      <c r="A711">
        <v>1334449</v>
      </c>
      <c r="D711" t="s">
        <v>54</v>
      </c>
      <c r="E711" t="s">
        <v>152</v>
      </c>
      <c r="G711">
        <v>1</v>
      </c>
      <c r="H711" t="s">
        <v>56</v>
      </c>
      <c r="I711" t="s">
        <v>57</v>
      </c>
      <c r="K711" t="s">
        <v>4243</v>
      </c>
      <c r="L711" t="s">
        <v>4244</v>
      </c>
      <c r="M711" t="s">
        <v>60</v>
      </c>
      <c r="P711" t="s">
        <v>62</v>
      </c>
      <c r="R711" t="s">
        <v>63</v>
      </c>
      <c r="S711" t="s">
        <v>64</v>
      </c>
      <c r="T711">
        <v>227</v>
      </c>
      <c r="U711">
        <v>208.5</v>
      </c>
      <c r="V711">
        <f t="shared" si="22"/>
        <v>217.75</v>
      </c>
      <c r="W711">
        <f t="shared" si="23"/>
        <v>18.5</v>
      </c>
      <c r="X711">
        <v>9.4927779999999995</v>
      </c>
      <c r="Y711">
        <v>48.893332999999998</v>
      </c>
      <c r="Z711" t="s">
        <v>184</v>
      </c>
      <c r="AA711" t="s">
        <v>211</v>
      </c>
      <c r="AB711" t="s">
        <v>212</v>
      </c>
      <c r="AC711" t="s">
        <v>213</v>
      </c>
      <c r="AD711" t="s">
        <v>214</v>
      </c>
      <c r="AE711" t="s">
        <v>215</v>
      </c>
      <c r="AF711" t="s">
        <v>216</v>
      </c>
      <c r="AH711" t="s">
        <v>72</v>
      </c>
      <c r="AI711" t="s">
        <v>4721</v>
      </c>
      <c r="AJ711">
        <v>2016</v>
      </c>
      <c r="AK711" t="s">
        <v>4250</v>
      </c>
      <c r="AN711" t="s">
        <v>76</v>
      </c>
      <c r="AO711" t="s">
        <v>77</v>
      </c>
      <c r="AP711" t="s">
        <v>115</v>
      </c>
      <c r="AQ711" t="s">
        <v>4251</v>
      </c>
      <c r="AR711" t="s">
        <v>80</v>
      </c>
      <c r="AS711">
        <v>305</v>
      </c>
      <c r="AT711" t="s">
        <v>81</v>
      </c>
      <c r="AU711">
        <v>21.44</v>
      </c>
      <c r="AV711">
        <v>30.28</v>
      </c>
      <c r="AW711" t="s">
        <v>82</v>
      </c>
      <c r="AX711">
        <v>305</v>
      </c>
      <c r="AY711" t="s">
        <v>81</v>
      </c>
      <c r="AZ711">
        <v>10.3</v>
      </c>
      <c r="BA711">
        <v>32.19</v>
      </c>
      <c r="BB711" t="s">
        <v>83</v>
      </c>
    </row>
    <row r="712" spans="1:54" x14ac:dyDescent="0.4">
      <c r="A712">
        <v>1347726</v>
      </c>
      <c r="D712" t="s">
        <v>54</v>
      </c>
      <c r="E712" t="s">
        <v>55</v>
      </c>
      <c r="G712">
        <v>1</v>
      </c>
      <c r="H712" t="s">
        <v>56</v>
      </c>
      <c r="I712" t="s">
        <v>57</v>
      </c>
      <c r="K712" t="s">
        <v>206</v>
      </c>
      <c r="L712" t="s">
        <v>4765</v>
      </c>
      <c r="M712" t="s">
        <v>60</v>
      </c>
      <c r="O712" t="s">
        <v>170</v>
      </c>
      <c r="P712" t="s">
        <v>62</v>
      </c>
      <c r="R712" t="s">
        <v>63</v>
      </c>
      <c r="S712" t="s">
        <v>64</v>
      </c>
      <c r="T712">
        <v>227</v>
      </c>
      <c r="U712">
        <v>208.5</v>
      </c>
      <c r="V712">
        <f t="shared" si="22"/>
        <v>217.75</v>
      </c>
      <c r="W712">
        <f t="shared" si="23"/>
        <v>18.5</v>
      </c>
      <c r="X712">
        <v>-106.900002</v>
      </c>
      <c r="Y712">
        <v>39.833331999999999</v>
      </c>
      <c r="Z712" t="s">
        <v>105</v>
      </c>
      <c r="AA712" t="s">
        <v>66</v>
      </c>
      <c r="AB712" t="s">
        <v>4766</v>
      </c>
      <c r="AC712" t="s">
        <v>4767</v>
      </c>
      <c r="AD712" t="s">
        <v>174</v>
      </c>
      <c r="AF712" t="s">
        <v>4768</v>
      </c>
      <c r="AH712" t="s">
        <v>72</v>
      </c>
      <c r="AI712" t="s">
        <v>4769</v>
      </c>
      <c r="AJ712">
        <v>2013</v>
      </c>
      <c r="AK712" t="s">
        <v>4770</v>
      </c>
      <c r="AN712" t="s">
        <v>192</v>
      </c>
      <c r="AO712" t="s">
        <v>160</v>
      </c>
      <c r="AP712" t="s">
        <v>78</v>
      </c>
      <c r="AR712" t="s">
        <v>80</v>
      </c>
      <c r="AS712">
        <v>101</v>
      </c>
      <c r="AT712" t="s">
        <v>81</v>
      </c>
      <c r="AU712">
        <v>-34.33</v>
      </c>
      <c r="AV712">
        <v>14.78</v>
      </c>
      <c r="AW712" t="s">
        <v>82</v>
      </c>
      <c r="AX712">
        <v>133</v>
      </c>
      <c r="AY712" t="s">
        <v>81</v>
      </c>
      <c r="AZ712">
        <v>-49.26</v>
      </c>
      <c r="BA712">
        <v>14.94</v>
      </c>
      <c r="BB712" t="s">
        <v>83</v>
      </c>
    </row>
    <row r="713" spans="1:54" x14ac:dyDescent="0.4">
      <c r="A713">
        <v>1347767</v>
      </c>
      <c r="D713" t="s">
        <v>54</v>
      </c>
      <c r="E713" t="s">
        <v>55</v>
      </c>
      <c r="G713">
        <v>5</v>
      </c>
      <c r="H713" t="s">
        <v>84</v>
      </c>
      <c r="I713" t="s">
        <v>57</v>
      </c>
      <c r="K713" t="s">
        <v>196</v>
      </c>
      <c r="L713" t="s">
        <v>1450</v>
      </c>
      <c r="M713" t="s">
        <v>60</v>
      </c>
      <c r="O713" t="s">
        <v>87</v>
      </c>
      <c r="P713" t="s">
        <v>62</v>
      </c>
      <c r="R713" t="s">
        <v>63</v>
      </c>
      <c r="S713" t="s">
        <v>64</v>
      </c>
      <c r="T713">
        <v>227</v>
      </c>
      <c r="U713">
        <v>208.5</v>
      </c>
      <c r="V713">
        <f t="shared" si="22"/>
        <v>217.75</v>
      </c>
      <c r="W713">
        <f t="shared" si="23"/>
        <v>18.5</v>
      </c>
      <c r="X713">
        <v>-106.47506</v>
      </c>
      <c r="Y713">
        <v>36.323849000000003</v>
      </c>
      <c r="Z713" t="s">
        <v>1447</v>
      </c>
      <c r="AA713" t="s">
        <v>66</v>
      </c>
      <c r="AB713" t="s">
        <v>846</v>
      </c>
      <c r="AC713" t="s">
        <v>847</v>
      </c>
      <c r="AD713" t="s">
        <v>174</v>
      </c>
      <c r="AF713" t="s">
        <v>749</v>
      </c>
      <c r="AH713" t="s">
        <v>72</v>
      </c>
      <c r="AI713" t="s">
        <v>1451</v>
      </c>
      <c r="AJ713">
        <v>2016</v>
      </c>
      <c r="AK713" t="s">
        <v>2698</v>
      </c>
      <c r="AN713" t="s">
        <v>114</v>
      </c>
      <c r="AO713">
        <v>6</v>
      </c>
      <c r="AP713" t="s">
        <v>78</v>
      </c>
      <c r="AQ713" t="s">
        <v>2699</v>
      </c>
      <c r="AR713" t="s">
        <v>80</v>
      </c>
      <c r="AS713">
        <v>101</v>
      </c>
      <c r="AT713" t="s">
        <v>81</v>
      </c>
      <c r="AU713">
        <v>-34.65</v>
      </c>
      <c r="AV713">
        <v>11.27</v>
      </c>
      <c r="AW713" t="s">
        <v>82</v>
      </c>
      <c r="AX713">
        <v>133</v>
      </c>
      <c r="AY713" t="s">
        <v>81</v>
      </c>
      <c r="AZ713">
        <v>-49.47</v>
      </c>
      <c r="BA713">
        <v>11.42</v>
      </c>
      <c r="BB713" t="s">
        <v>83</v>
      </c>
    </row>
    <row r="714" spans="1:54" x14ac:dyDescent="0.4">
      <c r="A714">
        <v>1347768</v>
      </c>
      <c r="D714" t="s">
        <v>54</v>
      </c>
      <c r="G714">
        <v>4</v>
      </c>
      <c r="H714" t="s">
        <v>84</v>
      </c>
      <c r="I714" t="s">
        <v>57</v>
      </c>
      <c r="K714" t="s">
        <v>196</v>
      </c>
      <c r="L714" t="s">
        <v>1450</v>
      </c>
      <c r="M714" t="s">
        <v>60</v>
      </c>
      <c r="O714" t="s">
        <v>87</v>
      </c>
      <c r="P714" t="s">
        <v>62</v>
      </c>
      <c r="R714" t="s">
        <v>63</v>
      </c>
      <c r="S714" t="s">
        <v>64</v>
      </c>
      <c r="T714">
        <v>227</v>
      </c>
      <c r="U714">
        <v>208.5</v>
      </c>
      <c r="V714">
        <f t="shared" si="22"/>
        <v>217.75</v>
      </c>
      <c r="W714">
        <f t="shared" si="23"/>
        <v>18.5</v>
      </c>
      <c r="X714">
        <v>-106.47506</v>
      </c>
      <c r="Y714">
        <v>36.323849000000003</v>
      </c>
      <c r="Z714" t="s">
        <v>1447</v>
      </c>
      <c r="AA714" t="s">
        <v>66</v>
      </c>
      <c r="AB714" t="s">
        <v>846</v>
      </c>
      <c r="AC714" t="s">
        <v>847</v>
      </c>
      <c r="AD714" t="s">
        <v>174</v>
      </c>
      <c r="AF714" t="s">
        <v>749</v>
      </c>
      <c r="AH714" t="s">
        <v>72</v>
      </c>
      <c r="AI714" t="s">
        <v>1451</v>
      </c>
      <c r="AJ714">
        <v>2016</v>
      </c>
      <c r="AK714" t="s">
        <v>2700</v>
      </c>
      <c r="AN714" t="s">
        <v>114</v>
      </c>
      <c r="AO714">
        <v>6</v>
      </c>
      <c r="AQ714" t="s">
        <v>2701</v>
      </c>
      <c r="AR714" t="s">
        <v>80</v>
      </c>
      <c r="AS714">
        <v>101</v>
      </c>
      <c r="AT714" t="s">
        <v>81</v>
      </c>
      <c r="AU714">
        <v>-34.65</v>
      </c>
      <c r="AV714">
        <v>11.27</v>
      </c>
      <c r="AW714" t="s">
        <v>82</v>
      </c>
      <c r="AX714">
        <v>133</v>
      </c>
      <c r="AY714" t="s">
        <v>81</v>
      </c>
      <c r="AZ714">
        <v>-49.47</v>
      </c>
      <c r="BA714">
        <v>11.42</v>
      </c>
      <c r="BB714" t="s">
        <v>83</v>
      </c>
    </row>
    <row r="715" spans="1:54" x14ac:dyDescent="0.4">
      <c r="A715">
        <v>1347795</v>
      </c>
      <c r="D715" t="s">
        <v>54</v>
      </c>
      <c r="G715">
        <v>1</v>
      </c>
      <c r="H715" t="s">
        <v>84</v>
      </c>
      <c r="I715" t="s">
        <v>57</v>
      </c>
      <c r="K715" t="s">
        <v>194</v>
      </c>
      <c r="L715" t="s">
        <v>1445</v>
      </c>
      <c r="M715" t="s">
        <v>60</v>
      </c>
      <c r="P715" t="s">
        <v>62</v>
      </c>
      <c r="R715" t="s">
        <v>63</v>
      </c>
      <c r="S715" t="s">
        <v>64</v>
      </c>
      <c r="T715">
        <v>227</v>
      </c>
      <c r="U715">
        <v>208.5</v>
      </c>
      <c r="V715">
        <f t="shared" si="22"/>
        <v>217.75</v>
      </c>
      <c r="W715">
        <f t="shared" si="23"/>
        <v>18.5</v>
      </c>
      <c r="X715">
        <v>-67.266670000000005</v>
      </c>
      <c r="Y715">
        <v>-31.633333</v>
      </c>
      <c r="Z715" t="s">
        <v>105</v>
      </c>
      <c r="AA715" t="s">
        <v>185</v>
      </c>
      <c r="AB715" t="s">
        <v>285</v>
      </c>
      <c r="AC715" t="s">
        <v>4775</v>
      </c>
      <c r="AD715" t="s">
        <v>4669</v>
      </c>
      <c r="AH715" t="s">
        <v>72</v>
      </c>
      <c r="AI715" t="s">
        <v>4468</v>
      </c>
      <c r="AJ715">
        <v>2016</v>
      </c>
      <c r="AK715" t="s">
        <v>4776</v>
      </c>
      <c r="AN715" t="s">
        <v>192</v>
      </c>
      <c r="AO715" t="s">
        <v>160</v>
      </c>
      <c r="AP715" t="s">
        <v>78</v>
      </c>
      <c r="AR715" t="s">
        <v>80</v>
      </c>
      <c r="AS715">
        <v>291</v>
      </c>
      <c r="AT715" t="s">
        <v>81</v>
      </c>
      <c r="AU715">
        <v>-21.45</v>
      </c>
      <c r="AV715">
        <v>-41.31</v>
      </c>
      <c r="AW715" t="s">
        <v>82</v>
      </c>
      <c r="AX715">
        <v>291</v>
      </c>
      <c r="AY715" t="s">
        <v>81</v>
      </c>
      <c r="AZ715">
        <v>-30.04</v>
      </c>
      <c r="BA715">
        <v>-40.64</v>
      </c>
      <c r="BB715" t="s">
        <v>83</v>
      </c>
    </row>
    <row r="716" spans="1:54" x14ac:dyDescent="0.4">
      <c r="A716">
        <v>1347822</v>
      </c>
      <c r="D716" t="s">
        <v>54</v>
      </c>
      <c r="G716">
        <v>2</v>
      </c>
      <c r="H716" t="s">
        <v>84</v>
      </c>
      <c r="I716" t="s">
        <v>57</v>
      </c>
      <c r="K716" t="s">
        <v>4777</v>
      </c>
      <c r="L716" t="s">
        <v>4778</v>
      </c>
      <c r="M716" t="s">
        <v>60</v>
      </c>
      <c r="P716" t="s">
        <v>62</v>
      </c>
      <c r="R716" t="s">
        <v>63</v>
      </c>
      <c r="S716" t="s">
        <v>64</v>
      </c>
      <c r="T716">
        <v>227</v>
      </c>
      <c r="U716">
        <v>208.5</v>
      </c>
      <c r="V716">
        <f t="shared" si="22"/>
        <v>217.75</v>
      </c>
      <c r="W716">
        <f t="shared" si="23"/>
        <v>18.5</v>
      </c>
      <c r="X716">
        <v>-67.266670000000005</v>
      </c>
      <c r="Y716">
        <v>-31.633333</v>
      </c>
      <c r="Z716" t="s">
        <v>105</v>
      </c>
      <c r="AA716" t="s">
        <v>185</v>
      </c>
      <c r="AB716" t="s">
        <v>285</v>
      </c>
      <c r="AC716" t="s">
        <v>4775</v>
      </c>
      <c r="AD716" t="s">
        <v>4669</v>
      </c>
      <c r="AH716" t="s">
        <v>72</v>
      </c>
      <c r="AI716" t="s">
        <v>4779</v>
      </c>
      <c r="AJ716">
        <v>2020</v>
      </c>
      <c r="AK716" t="s">
        <v>4776</v>
      </c>
      <c r="AN716" t="s">
        <v>192</v>
      </c>
      <c r="AO716" t="s">
        <v>160</v>
      </c>
      <c r="AP716" t="s">
        <v>78</v>
      </c>
      <c r="AR716" t="s">
        <v>80</v>
      </c>
      <c r="AS716">
        <v>291</v>
      </c>
      <c r="AT716" t="s">
        <v>81</v>
      </c>
      <c r="AU716">
        <v>-21.45</v>
      </c>
      <c r="AV716">
        <v>-41.31</v>
      </c>
      <c r="AW716" t="s">
        <v>82</v>
      </c>
      <c r="AX716">
        <v>291</v>
      </c>
      <c r="AY716" t="s">
        <v>81</v>
      </c>
      <c r="AZ716">
        <v>-30.04</v>
      </c>
      <c r="BA716">
        <v>-40.64</v>
      </c>
      <c r="BB716" t="s">
        <v>83</v>
      </c>
    </row>
    <row r="717" spans="1:54" x14ac:dyDescent="0.4">
      <c r="A717">
        <v>1347823</v>
      </c>
      <c r="D717" t="s">
        <v>54</v>
      </c>
      <c r="I717" t="s">
        <v>57</v>
      </c>
      <c r="K717" t="s">
        <v>149</v>
      </c>
      <c r="L717" t="s">
        <v>4667</v>
      </c>
      <c r="M717" t="s">
        <v>60</v>
      </c>
      <c r="P717" t="s">
        <v>62</v>
      </c>
      <c r="R717" t="s">
        <v>63</v>
      </c>
      <c r="S717" t="s">
        <v>64</v>
      </c>
      <c r="T717">
        <v>227</v>
      </c>
      <c r="U717">
        <v>208.5</v>
      </c>
      <c r="V717">
        <f t="shared" si="22"/>
        <v>217.75</v>
      </c>
      <c r="W717">
        <f t="shared" si="23"/>
        <v>18.5</v>
      </c>
      <c r="X717">
        <v>-67.290558000000004</v>
      </c>
      <c r="Y717">
        <v>-31.604444999999998</v>
      </c>
      <c r="Z717" t="s">
        <v>105</v>
      </c>
      <c r="AA717" t="s">
        <v>185</v>
      </c>
      <c r="AB717" t="s">
        <v>285</v>
      </c>
      <c r="AC717" t="s">
        <v>4775</v>
      </c>
      <c r="AD717" t="s">
        <v>4669</v>
      </c>
      <c r="AE717" t="s">
        <v>4670</v>
      </c>
      <c r="AH717" t="s">
        <v>72</v>
      </c>
      <c r="AI717" t="s">
        <v>4468</v>
      </c>
      <c r="AJ717">
        <v>2015</v>
      </c>
      <c r="AK717" t="s">
        <v>4780</v>
      </c>
      <c r="AN717" t="s">
        <v>192</v>
      </c>
      <c r="AO717" t="s">
        <v>77</v>
      </c>
      <c r="AP717" t="s">
        <v>78</v>
      </c>
      <c r="AQ717" t="s">
        <v>4781</v>
      </c>
      <c r="AR717" t="s">
        <v>80</v>
      </c>
      <c r="AS717">
        <v>291</v>
      </c>
      <c r="AT717" t="s">
        <v>81</v>
      </c>
      <c r="AU717">
        <v>-21.49</v>
      </c>
      <c r="AV717">
        <v>-41.28</v>
      </c>
      <c r="AW717" t="s">
        <v>82</v>
      </c>
      <c r="AX717">
        <v>291</v>
      </c>
      <c r="AY717" t="s">
        <v>81</v>
      </c>
      <c r="AZ717">
        <v>-30.07</v>
      </c>
      <c r="BA717">
        <v>-40.61</v>
      </c>
      <c r="BB717" t="s">
        <v>83</v>
      </c>
    </row>
    <row r="718" spans="1:54" x14ac:dyDescent="0.4">
      <c r="A718">
        <v>1347824</v>
      </c>
      <c r="D718" t="s">
        <v>54</v>
      </c>
      <c r="G718">
        <v>1</v>
      </c>
      <c r="H718" t="s">
        <v>84</v>
      </c>
      <c r="I718" t="s">
        <v>57</v>
      </c>
      <c r="K718" t="s">
        <v>149</v>
      </c>
      <c r="L718" t="s">
        <v>4667</v>
      </c>
      <c r="M718" t="s">
        <v>60</v>
      </c>
      <c r="P718" t="s">
        <v>62</v>
      </c>
      <c r="R718" t="s">
        <v>63</v>
      </c>
      <c r="S718" t="s">
        <v>64</v>
      </c>
      <c r="T718">
        <v>227</v>
      </c>
      <c r="U718">
        <v>208.5</v>
      </c>
      <c r="V718">
        <f t="shared" si="22"/>
        <v>217.75</v>
      </c>
      <c r="W718">
        <f t="shared" si="23"/>
        <v>18.5</v>
      </c>
      <c r="X718">
        <v>-67.266670000000005</v>
      </c>
      <c r="Y718">
        <v>-31.633333</v>
      </c>
      <c r="Z718" t="s">
        <v>105</v>
      </c>
      <c r="AA718" t="s">
        <v>185</v>
      </c>
      <c r="AB718" t="s">
        <v>285</v>
      </c>
      <c r="AC718" t="s">
        <v>4775</v>
      </c>
      <c r="AD718" t="s">
        <v>4669</v>
      </c>
      <c r="AH718" t="s">
        <v>72</v>
      </c>
      <c r="AI718" t="s">
        <v>4468</v>
      </c>
      <c r="AJ718">
        <v>2015</v>
      </c>
      <c r="AK718" t="s">
        <v>4776</v>
      </c>
      <c r="AN718" t="s">
        <v>192</v>
      </c>
      <c r="AO718" t="s">
        <v>160</v>
      </c>
      <c r="AP718" t="s">
        <v>78</v>
      </c>
      <c r="AR718" t="s">
        <v>80</v>
      </c>
      <c r="AS718">
        <v>291</v>
      </c>
      <c r="AT718" t="s">
        <v>81</v>
      </c>
      <c r="AU718">
        <v>-21.45</v>
      </c>
      <c r="AV718">
        <v>-41.31</v>
      </c>
      <c r="AW718" t="s">
        <v>82</v>
      </c>
      <c r="AX718">
        <v>291</v>
      </c>
      <c r="AY718" t="s">
        <v>81</v>
      </c>
      <c r="AZ718">
        <v>-30.04</v>
      </c>
      <c r="BA718">
        <v>-40.64</v>
      </c>
      <c r="BB718" t="s">
        <v>83</v>
      </c>
    </row>
    <row r="719" spans="1:54" x14ac:dyDescent="0.4">
      <c r="A719">
        <v>1347830</v>
      </c>
      <c r="D719" t="s">
        <v>54</v>
      </c>
      <c r="G719">
        <v>4</v>
      </c>
      <c r="H719" t="s">
        <v>84</v>
      </c>
      <c r="I719" t="s">
        <v>57</v>
      </c>
      <c r="K719" t="s">
        <v>741</v>
      </c>
      <c r="L719" t="s">
        <v>4782</v>
      </c>
      <c r="M719" t="s">
        <v>60</v>
      </c>
      <c r="N719" t="s">
        <v>256</v>
      </c>
      <c r="O719" t="s">
        <v>87</v>
      </c>
      <c r="P719" t="s">
        <v>62</v>
      </c>
      <c r="R719" t="s">
        <v>63</v>
      </c>
      <c r="S719" t="s">
        <v>64</v>
      </c>
      <c r="T719">
        <v>227</v>
      </c>
      <c r="U719">
        <v>208.5</v>
      </c>
      <c r="V719">
        <f t="shared" si="22"/>
        <v>217.75</v>
      </c>
      <c r="W719">
        <f t="shared" si="23"/>
        <v>18.5</v>
      </c>
      <c r="X719">
        <v>-67.266670000000005</v>
      </c>
      <c r="Y719">
        <v>-31.633333</v>
      </c>
      <c r="Z719" t="s">
        <v>105</v>
      </c>
      <c r="AA719" t="s">
        <v>185</v>
      </c>
      <c r="AB719" t="s">
        <v>285</v>
      </c>
      <c r="AC719" t="s">
        <v>4775</v>
      </c>
      <c r="AD719" t="s">
        <v>4669</v>
      </c>
      <c r="AH719" t="s">
        <v>72</v>
      </c>
      <c r="AI719" t="s">
        <v>4783</v>
      </c>
      <c r="AJ719">
        <v>2017</v>
      </c>
      <c r="AK719" t="s">
        <v>4776</v>
      </c>
      <c r="AN719" t="s">
        <v>192</v>
      </c>
      <c r="AO719" t="s">
        <v>160</v>
      </c>
      <c r="AP719" t="s">
        <v>78</v>
      </c>
      <c r="AR719" t="s">
        <v>80</v>
      </c>
      <c r="AS719">
        <v>291</v>
      </c>
      <c r="AT719" t="s">
        <v>81</v>
      </c>
      <c r="AU719">
        <v>-21.45</v>
      </c>
      <c r="AV719">
        <v>-41.31</v>
      </c>
      <c r="AW719" t="s">
        <v>82</v>
      </c>
      <c r="AX719">
        <v>291</v>
      </c>
      <c r="AY719" t="s">
        <v>81</v>
      </c>
      <c r="AZ719">
        <v>-30.04</v>
      </c>
      <c r="BA719">
        <v>-40.64</v>
      </c>
      <c r="BB719" t="s">
        <v>83</v>
      </c>
    </row>
    <row r="720" spans="1:54" x14ac:dyDescent="0.4">
      <c r="A720">
        <v>1347835</v>
      </c>
      <c r="D720" t="s">
        <v>54</v>
      </c>
      <c r="G720">
        <v>1</v>
      </c>
      <c r="H720" t="s">
        <v>56</v>
      </c>
      <c r="I720" t="s">
        <v>57</v>
      </c>
      <c r="K720" t="s">
        <v>206</v>
      </c>
      <c r="L720" t="s">
        <v>1077</v>
      </c>
      <c r="M720" t="s">
        <v>60</v>
      </c>
      <c r="O720" t="s">
        <v>170</v>
      </c>
      <c r="P720" t="s">
        <v>62</v>
      </c>
      <c r="R720" t="s">
        <v>63</v>
      </c>
      <c r="S720" t="s">
        <v>64</v>
      </c>
      <c r="T720">
        <v>227</v>
      </c>
      <c r="U720">
        <v>208.5</v>
      </c>
      <c r="V720">
        <f t="shared" si="22"/>
        <v>217.75</v>
      </c>
      <c r="W720">
        <f t="shared" si="23"/>
        <v>18.5</v>
      </c>
      <c r="X720">
        <v>-109.763885</v>
      </c>
      <c r="Y720">
        <v>34.947223999999999</v>
      </c>
      <c r="Z720" t="s">
        <v>124</v>
      </c>
      <c r="AA720" t="s">
        <v>66</v>
      </c>
      <c r="AB720" t="s">
        <v>583</v>
      </c>
      <c r="AC720" t="s">
        <v>735</v>
      </c>
      <c r="AD720" t="s">
        <v>174</v>
      </c>
      <c r="AF720" t="s">
        <v>1078</v>
      </c>
      <c r="AH720" t="s">
        <v>72</v>
      </c>
      <c r="AI720" t="s">
        <v>208</v>
      </c>
      <c r="AJ720">
        <v>2016</v>
      </c>
      <c r="AK720" t="s">
        <v>4784</v>
      </c>
      <c r="AN720" t="s">
        <v>114</v>
      </c>
      <c r="AO720" t="s">
        <v>77</v>
      </c>
      <c r="AP720" t="s">
        <v>78</v>
      </c>
      <c r="AR720" t="s">
        <v>80</v>
      </c>
      <c r="AS720">
        <v>101</v>
      </c>
      <c r="AT720" t="s">
        <v>81</v>
      </c>
      <c r="AU720">
        <v>-37.590000000000003</v>
      </c>
      <c r="AV720">
        <v>10.43</v>
      </c>
      <c r="AW720" t="s">
        <v>82</v>
      </c>
      <c r="AX720">
        <v>133</v>
      </c>
      <c r="AY720" t="s">
        <v>81</v>
      </c>
      <c r="AZ720">
        <v>-52.39</v>
      </c>
      <c r="BA720">
        <v>10.5</v>
      </c>
      <c r="BB720" t="s">
        <v>83</v>
      </c>
    </row>
    <row r="721" spans="1:54" x14ac:dyDescent="0.4">
      <c r="A721">
        <v>1347836</v>
      </c>
      <c r="D721" t="s">
        <v>54</v>
      </c>
      <c r="G721">
        <v>1</v>
      </c>
      <c r="H721" t="s">
        <v>56</v>
      </c>
      <c r="I721" t="s">
        <v>57</v>
      </c>
      <c r="K721" t="s">
        <v>206</v>
      </c>
      <c r="L721" t="s">
        <v>1077</v>
      </c>
      <c r="M721" t="s">
        <v>60</v>
      </c>
      <c r="O721" t="s">
        <v>170</v>
      </c>
      <c r="P721" t="s">
        <v>62</v>
      </c>
      <c r="R721" t="s">
        <v>63</v>
      </c>
      <c r="S721" t="s">
        <v>64</v>
      </c>
      <c r="T721">
        <v>227</v>
      </c>
      <c r="U721">
        <v>208.5</v>
      </c>
      <c r="V721">
        <f t="shared" si="22"/>
        <v>217.75</v>
      </c>
      <c r="W721">
        <f t="shared" si="23"/>
        <v>18.5</v>
      </c>
      <c r="X721">
        <v>-109.849998</v>
      </c>
      <c r="Y721">
        <v>35.033332999999999</v>
      </c>
      <c r="Z721" t="s">
        <v>124</v>
      </c>
      <c r="AA721" t="s">
        <v>66</v>
      </c>
      <c r="AB721" t="s">
        <v>583</v>
      </c>
      <c r="AC721" t="s">
        <v>584</v>
      </c>
      <c r="AD721" t="s">
        <v>174</v>
      </c>
      <c r="AF721" t="s">
        <v>1078</v>
      </c>
      <c r="AH721" t="s">
        <v>72</v>
      </c>
      <c r="AI721" t="s">
        <v>208</v>
      </c>
      <c r="AJ721">
        <v>2016</v>
      </c>
      <c r="AK721" t="s">
        <v>4785</v>
      </c>
      <c r="AN721" t="s">
        <v>114</v>
      </c>
      <c r="AO721" t="s">
        <v>160</v>
      </c>
      <c r="AQ721" t="s">
        <v>2639</v>
      </c>
      <c r="AR721" t="s">
        <v>80</v>
      </c>
      <c r="AS721">
        <v>101</v>
      </c>
      <c r="AT721" t="s">
        <v>81</v>
      </c>
      <c r="AU721">
        <v>-37.64</v>
      </c>
      <c r="AV721">
        <v>10.53</v>
      </c>
      <c r="AW721" t="s">
        <v>82</v>
      </c>
      <c r="AX721">
        <v>133</v>
      </c>
      <c r="AY721" t="s">
        <v>81</v>
      </c>
      <c r="AZ721">
        <v>-52.44</v>
      </c>
      <c r="BA721">
        <v>10.6</v>
      </c>
      <c r="BB721" t="s">
        <v>83</v>
      </c>
    </row>
    <row r="722" spans="1:54" x14ac:dyDescent="0.4">
      <c r="A722">
        <v>1356672</v>
      </c>
      <c r="D722" t="s">
        <v>54</v>
      </c>
      <c r="E722" t="s">
        <v>297</v>
      </c>
      <c r="I722" t="s">
        <v>57</v>
      </c>
      <c r="K722" t="s">
        <v>741</v>
      </c>
      <c r="L722" t="s">
        <v>854</v>
      </c>
      <c r="M722" t="s">
        <v>60</v>
      </c>
      <c r="N722" t="s">
        <v>256</v>
      </c>
      <c r="O722" t="s">
        <v>87</v>
      </c>
      <c r="P722" t="s">
        <v>62</v>
      </c>
      <c r="R722" t="s">
        <v>63</v>
      </c>
      <c r="S722" t="s">
        <v>64</v>
      </c>
      <c r="T722">
        <v>227</v>
      </c>
      <c r="U722">
        <v>208.5</v>
      </c>
      <c r="V722">
        <f t="shared" si="22"/>
        <v>217.75</v>
      </c>
      <c r="W722">
        <f t="shared" si="23"/>
        <v>18.5</v>
      </c>
      <c r="X722">
        <v>-106.87449599999999</v>
      </c>
      <c r="Y722">
        <v>36.339297999999999</v>
      </c>
      <c r="Z722" t="s">
        <v>124</v>
      </c>
      <c r="AA722" t="s">
        <v>66</v>
      </c>
      <c r="AB722" t="s">
        <v>846</v>
      </c>
      <c r="AC722" t="s">
        <v>847</v>
      </c>
      <c r="AD722" t="s">
        <v>174</v>
      </c>
      <c r="AF722" t="s">
        <v>749</v>
      </c>
      <c r="AH722" t="s">
        <v>11</v>
      </c>
      <c r="AI722" t="s">
        <v>4812</v>
      </c>
      <c r="AJ722">
        <v>1912</v>
      </c>
      <c r="AK722" t="s">
        <v>1151</v>
      </c>
      <c r="AM722" t="s">
        <v>1066</v>
      </c>
      <c r="AN722" t="s">
        <v>76</v>
      </c>
      <c r="AO722">
        <v>4</v>
      </c>
      <c r="AP722" t="s">
        <v>78</v>
      </c>
      <c r="AQ722" t="s">
        <v>1152</v>
      </c>
      <c r="AR722" t="s">
        <v>80</v>
      </c>
      <c r="AS722">
        <v>101</v>
      </c>
      <c r="AT722" t="s">
        <v>81</v>
      </c>
      <c r="AU722">
        <v>-34.97</v>
      </c>
      <c r="AV722">
        <v>11.34</v>
      </c>
      <c r="AW722" t="s">
        <v>82</v>
      </c>
      <c r="AX722">
        <v>133</v>
      </c>
      <c r="AY722" t="s">
        <v>81</v>
      </c>
      <c r="AZ722">
        <v>-49.8</v>
      </c>
      <c r="BA722">
        <v>11.49</v>
      </c>
      <c r="BB722" t="s">
        <v>83</v>
      </c>
    </row>
    <row r="723" spans="1:54" x14ac:dyDescent="0.4">
      <c r="A723">
        <v>1371708</v>
      </c>
      <c r="D723" t="s">
        <v>54</v>
      </c>
      <c r="G723">
        <v>1</v>
      </c>
      <c r="H723" t="s">
        <v>56</v>
      </c>
      <c r="I723" t="s">
        <v>57</v>
      </c>
      <c r="K723" t="s">
        <v>746</v>
      </c>
      <c r="L723" t="s">
        <v>747</v>
      </c>
      <c r="M723" t="s">
        <v>60</v>
      </c>
      <c r="P723" t="s">
        <v>62</v>
      </c>
      <c r="R723" t="s">
        <v>63</v>
      </c>
      <c r="S723" t="s">
        <v>64</v>
      </c>
      <c r="T723">
        <v>227</v>
      </c>
      <c r="U723">
        <v>208.5</v>
      </c>
      <c r="V723">
        <f t="shared" si="22"/>
        <v>217.75</v>
      </c>
      <c r="W723">
        <f t="shared" si="23"/>
        <v>18.5</v>
      </c>
      <c r="X723">
        <v>-74.013633999999996</v>
      </c>
      <c r="Y723">
        <v>40.777611</v>
      </c>
      <c r="Z723" t="s">
        <v>124</v>
      </c>
      <c r="AA723" t="s">
        <v>66</v>
      </c>
      <c r="AB723" t="s">
        <v>67</v>
      </c>
      <c r="AC723" t="s">
        <v>68</v>
      </c>
      <c r="AD723" t="s">
        <v>69</v>
      </c>
      <c r="AE723" t="s">
        <v>70</v>
      </c>
      <c r="AH723" t="s">
        <v>11</v>
      </c>
      <c r="AI723" t="s">
        <v>1343</v>
      </c>
      <c r="AJ723">
        <v>1980</v>
      </c>
      <c r="AK723" t="s">
        <v>4820</v>
      </c>
      <c r="AN723" t="s">
        <v>192</v>
      </c>
      <c r="AO723">
        <v>6</v>
      </c>
      <c r="AP723" t="s">
        <v>78</v>
      </c>
      <c r="AQ723" t="s">
        <v>4821</v>
      </c>
      <c r="AR723" t="s">
        <v>80</v>
      </c>
      <c r="AS723">
        <v>101</v>
      </c>
      <c r="AT723" t="s">
        <v>81</v>
      </c>
      <c r="AU723">
        <v>-8.5399999999999991</v>
      </c>
      <c r="AV723">
        <v>14.31</v>
      </c>
      <c r="AW723" t="s">
        <v>82</v>
      </c>
      <c r="AX723">
        <v>101</v>
      </c>
      <c r="AY723" t="s">
        <v>81</v>
      </c>
      <c r="AZ723">
        <v>-19.5</v>
      </c>
      <c r="BA723">
        <v>15.4</v>
      </c>
      <c r="BB723" t="s">
        <v>83</v>
      </c>
    </row>
    <row r="724" spans="1:54" x14ac:dyDescent="0.4">
      <c r="A724">
        <v>1371944</v>
      </c>
      <c r="D724" t="s">
        <v>54</v>
      </c>
      <c r="I724" t="s">
        <v>57</v>
      </c>
      <c r="K724" t="s">
        <v>746</v>
      </c>
      <c r="L724" t="s">
        <v>747</v>
      </c>
      <c r="M724" t="s">
        <v>60</v>
      </c>
      <c r="P724" t="s">
        <v>62</v>
      </c>
      <c r="R724" t="s">
        <v>63</v>
      </c>
      <c r="S724" t="s">
        <v>64</v>
      </c>
      <c r="T724">
        <v>227</v>
      </c>
      <c r="U724">
        <v>208.5</v>
      </c>
      <c r="V724">
        <f t="shared" si="22"/>
        <v>217.75</v>
      </c>
      <c r="W724">
        <f t="shared" si="23"/>
        <v>18.5</v>
      </c>
      <c r="X724">
        <v>-73.955391000000006</v>
      </c>
      <c r="Y724">
        <v>40.862385000000003</v>
      </c>
      <c r="Z724" t="s">
        <v>356</v>
      </c>
      <c r="AA724" t="s">
        <v>66</v>
      </c>
      <c r="AB724" t="s">
        <v>67</v>
      </c>
      <c r="AC724" t="s">
        <v>4822</v>
      </c>
      <c r="AD724" t="s">
        <v>4823</v>
      </c>
      <c r="AE724" t="s">
        <v>70</v>
      </c>
      <c r="AH724" t="s">
        <v>11</v>
      </c>
      <c r="AI724" t="s">
        <v>1343</v>
      </c>
      <c r="AJ724">
        <v>1980</v>
      </c>
      <c r="AK724" t="s">
        <v>4824</v>
      </c>
      <c r="AM724" t="s">
        <v>4825</v>
      </c>
      <c r="AN724" t="s">
        <v>192</v>
      </c>
      <c r="AO724">
        <v>6</v>
      </c>
      <c r="AP724" t="s">
        <v>78</v>
      </c>
      <c r="AQ724" t="s">
        <v>4826</v>
      </c>
      <c r="AR724" t="s">
        <v>80</v>
      </c>
      <c r="AS724">
        <v>101</v>
      </c>
      <c r="AT724" t="s">
        <v>81</v>
      </c>
      <c r="AU724">
        <v>-8.5</v>
      </c>
      <c r="AV724">
        <v>14.4</v>
      </c>
      <c r="AW724" t="s">
        <v>82</v>
      </c>
      <c r="AX724">
        <v>101</v>
      </c>
      <c r="AY724" t="s">
        <v>81</v>
      </c>
      <c r="AZ724">
        <v>-19.46</v>
      </c>
      <c r="BA724">
        <v>15.48</v>
      </c>
      <c r="BB724" t="s">
        <v>83</v>
      </c>
    </row>
    <row r="725" spans="1:54" x14ac:dyDescent="0.4">
      <c r="A725">
        <v>1371949</v>
      </c>
      <c r="D725" t="s">
        <v>54</v>
      </c>
      <c r="I725" t="s">
        <v>57</v>
      </c>
      <c r="K725" t="s">
        <v>746</v>
      </c>
      <c r="L725" t="s">
        <v>747</v>
      </c>
      <c r="M725" t="s">
        <v>60</v>
      </c>
      <c r="P725" t="s">
        <v>62</v>
      </c>
      <c r="R725" t="s">
        <v>63</v>
      </c>
      <c r="S725" t="s">
        <v>64</v>
      </c>
      <c r="T725">
        <v>227</v>
      </c>
      <c r="U725">
        <v>208.5</v>
      </c>
      <c r="V725">
        <f t="shared" si="22"/>
        <v>217.75</v>
      </c>
      <c r="W725">
        <f t="shared" si="23"/>
        <v>18.5</v>
      </c>
      <c r="X725">
        <v>-73.992592000000002</v>
      </c>
      <c r="Y725">
        <v>40.807575</v>
      </c>
      <c r="Z725" t="s">
        <v>356</v>
      </c>
      <c r="AA725" t="s">
        <v>66</v>
      </c>
      <c r="AB725" t="s">
        <v>67</v>
      </c>
      <c r="AC725" t="s">
        <v>4822</v>
      </c>
      <c r="AD725" t="s">
        <v>69</v>
      </c>
      <c r="AE725" t="s">
        <v>70</v>
      </c>
      <c r="AH725" t="s">
        <v>11</v>
      </c>
      <c r="AI725" t="s">
        <v>1343</v>
      </c>
      <c r="AJ725">
        <v>1980</v>
      </c>
      <c r="AK725" t="s">
        <v>4827</v>
      </c>
      <c r="AN725" t="s">
        <v>192</v>
      </c>
      <c r="AO725">
        <v>6</v>
      </c>
      <c r="AP725" t="s">
        <v>78</v>
      </c>
      <c r="AQ725" t="s">
        <v>4828</v>
      </c>
      <c r="AR725" t="s">
        <v>80</v>
      </c>
      <c r="AS725">
        <v>101</v>
      </c>
      <c r="AT725" t="s">
        <v>81</v>
      </c>
      <c r="AU725">
        <v>-8.5299999999999994</v>
      </c>
      <c r="AV725">
        <v>14.34</v>
      </c>
      <c r="AW725" t="s">
        <v>82</v>
      </c>
      <c r="AX725">
        <v>101</v>
      </c>
      <c r="AY725" t="s">
        <v>81</v>
      </c>
      <c r="AZ725">
        <v>-19.489999999999998</v>
      </c>
      <c r="BA725">
        <v>15.43</v>
      </c>
      <c r="BB725" t="s">
        <v>83</v>
      </c>
    </row>
    <row r="726" spans="1:54" x14ac:dyDescent="0.4">
      <c r="A726">
        <v>1394218</v>
      </c>
      <c r="D726" t="s">
        <v>54</v>
      </c>
      <c r="G726">
        <v>1</v>
      </c>
      <c r="H726" t="s">
        <v>56</v>
      </c>
      <c r="I726" t="s">
        <v>57</v>
      </c>
      <c r="K726" t="s">
        <v>85</v>
      </c>
      <c r="L726" t="s">
        <v>739</v>
      </c>
      <c r="M726" t="s">
        <v>60</v>
      </c>
      <c r="O726" t="s">
        <v>87</v>
      </c>
      <c r="P726" t="s">
        <v>62</v>
      </c>
      <c r="R726" t="s">
        <v>63</v>
      </c>
      <c r="S726" t="s">
        <v>64</v>
      </c>
      <c r="T726">
        <v>227</v>
      </c>
      <c r="U726">
        <v>208.5</v>
      </c>
      <c r="V726">
        <f t="shared" si="22"/>
        <v>217.75</v>
      </c>
      <c r="W726">
        <f t="shared" si="23"/>
        <v>18.5</v>
      </c>
      <c r="X726">
        <v>-109.947777</v>
      </c>
      <c r="Y726">
        <v>34.971111000000001</v>
      </c>
      <c r="Z726" t="s">
        <v>124</v>
      </c>
      <c r="AA726" t="s">
        <v>66</v>
      </c>
      <c r="AB726" t="s">
        <v>583</v>
      </c>
      <c r="AC726" t="s">
        <v>584</v>
      </c>
      <c r="AD726" t="s">
        <v>174</v>
      </c>
      <c r="AF726" t="s">
        <v>749</v>
      </c>
      <c r="AH726" t="s">
        <v>72</v>
      </c>
      <c r="AI726" t="s">
        <v>4906</v>
      </c>
      <c r="AJ726">
        <v>1986</v>
      </c>
      <c r="AK726" t="s">
        <v>4907</v>
      </c>
      <c r="AM726" t="s">
        <v>4908</v>
      </c>
      <c r="AN726" t="s">
        <v>114</v>
      </c>
      <c r="AO726" t="s">
        <v>77</v>
      </c>
      <c r="AP726" t="s">
        <v>115</v>
      </c>
      <c r="AQ726" t="s">
        <v>4909</v>
      </c>
      <c r="AR726" t="s">
        <v>80</v>
      </c>
      <c r="AS726">
        <v>101</v>
      </c>
      <c r="AT726" t="s">
        <v>81</v>
      </c>
      <c r="AU726">
        <v>-37.729999999999997</v>
      </c>
      <c r="AV726">
        <v>10.48</v>
      </c>
      <c r="AW726" t="s">
        <v>82</v>
      </c>
      <c r="AX726">
        <v>133</v>
      </c>
      <c r="AY726" t="s">
        <v>81</v>
      </c>
      <c r="AZ726">
        <v>-52.53</v>
      </c>
      <c r="BA726">
        <v>10.55</v>
      </c>
      <c r="BB726" t="s">
        <v>83</v>
      </c>
    </row>
    <row r="727" spans="1:54" x14ac:dyDescent="0.4">
      <c r="A727">
        <v>1400945</v>
      </c>
      <c r="D727" t="s">
        <v>54</v>
      </c>
      <c r="E727" t="s">
        <v>55</v>
      </c>
      <c r="G727">
        <v>1</v>
      </c>
      <c r="H727" t="s">
        <v>84</v>
      </c>
      <c r="I727" t="s">
        <v>57</v>
      </c>
      <c r="K727" t="s">
        <v>141</v>
      </c>
      <c r="L727" t="s">
        <v>4916</v>
      </c>
      <c r="M727" t="s">
        <v>60</v>
      </c>
      <c r="O727" t="s">
        <v>87</v>
      </c>
      <c r="P727" t="s">
        <v>62</v>
      </c>
      <c r="R727" t="s">
        <v>63</v>
      </c>
      <c r="S727" t="s">
        <v>64</v>
      </c>
      <c r="T727">
        <v>227</v>
      </c>
      <c r="U727">
        <v>208.5</v>
      </c>
      <c r="V727">
        <f t="shared" si="22"/>
        <v>217.75</v>
      </c>
      <c r="W727">
        <f t="shared" si="23"/>
        <v>18.5</v>
      </c>
      <c r="X727">
        <v>-105.86805699999999</v>
      </c>
      <c r="Y727">
        <v>35.456389999999999</v>
      </c>
      <c r="Z727" t="s">
        <v>124</v>
      </c>
      <c r="AA727" t="s">
        <v>66</v>
      </c>
      <c r="AB727" t="s">
        <v>846</v>
      </c>
      <c r="AC727" t="s">
        <v>1086</v>
      </c>
      <c r="AD727" t="s">
        <v>1087</v>
      </c>
      <c r="AE727" t="s">
        <v>174</v>
      </c>
      <c r="AF727" t="s">
        <v>3035</v>
      </c>
      <c r="AH727" t="s">
        <v>72</v>
      </c>
      <c r="AI727" t="s">
        <v>3124</v>
      </c>
      <c r="AJ727">
        <v>2006</v>
      </c>
      <c r="AK727" t="s">
        <v>4917</v>
      </c>
      <c r="AN727" t="s">
        <v>76</v>
      </c>
      <c r="AO727" t="s">
        <v>77</v>
      </c>
      <c r="AP727" t="s">
        <v>115</v>
      </c>
      <c r="AQ727" t="s">
        <v>4918</v>
      </c>
      <c r="AR727" t="s">
        <v>80</v>
      </c>
      <c r="AS727">
        <v>101</v>
      </c>
      <c r="AT727" t="s">
        <v>81</v>
      </c>
      <c r="AU727">
        <v>-34.31</v>
      </c>
      <c r="AV727">
        <v>10.33</v>
      </c>
      <c r="AW727" t="s">
        <v>82</v>
      </c>
      <c r="AX727">
        <v>101</v>
      </c>
      <c r="AY727" t="s">
        <v>81</v>
      </c>
      <c r="AZ727">
        <v>-45.16</v>
      </c>
      <c r="BA727">
        <v>10.46</v>
      </c>
      <c r="BB727" t="s">
        <v>83</v>
      </c>
    </row>
    <row r="728" spans="1:54" x14ac:dyDescent="0.4">
      <c r="A728">
        <v>1406956</v>
      </c>
      <c r="D728" t="s">
        <v>54</v>
      </c>
      <c r="I728" t="s">
        <v>57</v>
      </c>
      <c r="K728" t="s">
        <v>206</v>
      </c>
      <c r="L728" t="s">
        <v>4763</v>
      </c>
      <c r="M728" t="s">
        <v>60</v>
      </c>
      <c r="O728" t="s">
        <v>170</v>
      </c>
      <c r="P728" t="s">
        <v>62</v>
      </c>
      <c r="R728" t="s">
        <v>63</v>
      </c>
      <c r="S728" t="s">
        <v>64</v>
      </c>
      <c r="T728">
        <v>227</v>
      </c>
      <c r="U728">
        <v>208.5</v>
      </c>
      <c r="V728">
        <f t="shared" si="22"/>
        <v>217.75</v>
      </c>
      <c r="W728">
        <f t="shared" si="23"/>
        <v>18.5</v>
      </c>
      <c r="X728">
        <v>-101.24722300000001</v>
      </c>
      <c r="Y728">
        <v>32.172221999999998</v>
      </c>
      <c r="Z728" t="s">
        <v>124</v>
      </c>
      <c r="AA728" t="s">
        <v>66</v>
      </c>
      <c r="AB728" t="s">
        <v>125</v>
      </c>
      <c r="AC728" t="s">
        <v>4964</v>
      </c>
      <c r="AD728" t="s">
        <v>201</v>
      </c>
      <c r="AF728" t="s">
        <v>4965</v>
      </c>
      <c r="AG728" t="s">
        <v>1277</v>
      </c>
      <c r="AH728" t="s">
        <v>11</v>
      </c>
      <c r="AI728" t="s">
        <v>2483</v>
      </c>
      <c r="AJ728">
        <v>1993</v>
      </c>
      <c r="AK728" t="s">
        <v>4966</v>
      </c>
      <c r="AN728" t="s">
        <v>114</v>
      </c>
      <c r="AO728" t="s">
        <v>77</v>
      </c>
      <c r="AP728" t="s">
        <v>115</v>
      </c>
      <c r="AQ728" t="s">
        <v>4967</v>
      </c>
      <c r="AR728" t="s">
        <v>80</v>
      </c>
      <c r="AS728">
        <v>101</v>
      </c>
      <c r="AT728" t="s">
        <v>81</v>
      </c>
      <c r="AU728">
        <v>-31</v>
      </c>
      <c r="AV728">
        <v>6.48</v>
      </c>
      <c r="AW728" t="s">
        <v>82</v>
      </c>
      <c r="AX728">
        <v>101</v>
      </c>
      <c r="AY728" t="s">
        <v>81</v>
      </c>
      <c r="AZ728">
        <v>-41.69</v>
      </c>
      <c r="BA728">
        <v>6.75</v>
      </c>
      <c r="BB728" t="s">
        <v>83</v>
      </c>
    </row>
    <row r="729" spans="1:54" x14ac:dyDescent="0.4">
      <c r="A729">
        <v>1408749</v>
      </c>
      <c r="D729" t="s">
        <v>54</v>
      </c>
      <c r="E729" t="s">
        <v>152</v>
      </c>
      <c r="G729">
        <v>4</v>
      </c>
      <c r="H729" t="s">
        <v>84</v>
      </c>
      <c r="I729" t="s">
        <v>57</v>
      </c>
      <c r="K729" t="s">
        <v>4974</v>
      </c>
      <c r="L729" t="s">
        <v>4975</v>
      </c>
      <c r="M729" t="s">
        <v>60</v>
      </c>
      <c r="P729" t="s">
        <v>62</v>
      </c>
      <c r="R729" t="s">
        <v>63</v>
      </c>
      <c r="S729" t="s">
        <v>64</v>
      </c>
      <c r="T729">
        <v>227</v>
      </c>
      <c r="U729">
        <v>208.5</v>
      </c>
      <c r="V729">
        <f t="shared" si="22"/>
        <v>217.75</v>
      </c>
      <c r="W729">
        <f t="shared" si="23"/>
        <v>18.5</v>
      </c>
      <c r="X729">
        <v>8.4491669999999992</v>
      </c>
      <c r="Y729">
        <v>47.707222000000002</v>
      </c>
      <c r="Z729" t="s">
        <v>520</v>
      </c>
      <c r="AA729" t="s">
        <v>226</v>
      </c>
      <c r="AB729" t="s">
        <v>877</v>
      </c>
      <c r="AD729" t="s">
        <v>247</v>
      </c>
      <c r="AF729" t="s">
        <v>248</v>
      </c>
      <c r="AH729" t="s">
        <v>72</v>
      </c>
      <c r="AI729" t="s">
        <v>4719</v>
      </c>
      <c r="AJ729">
        <v>2017</v>
      </c>
      <c r="AK729" t="s">
        <v>4976</v>
      </c>
      <c r="AN729" t="s">
        <v>192</v>
      </c>
      <c r="AO729" t="s">
        <v>77</v>
      </c>
      <c r="AP729" t="s">
        <v>115</v>
      </c>
      <c r="AQ729" t="s">
        <v>4977</v>
      </c>
      <c r="AR729" t="s">
        <v>80</v>
      </c>
      <c r="AS729">
        <v>305</v>
      </c>
      <c r="AT729" t="s">
        <v>81</v>
      </c>
      <c r="AU729">
        <v>21.26</v>
      </c>
      <c r="AV729">
        <v>28.91</v>
      </c>
      <c r="AW729" t="s">
        <v>82</v>
      </c>
      <c r="AX729">
        <v>305</v>
      </c>
      <c r="AY729" t="s">
        <v>81</v>
      </c>
      <c r="AZ729">
        <v>10.15</v>
      </c>
      <c r="BA729">
        <v>30.83</v>
      </c>
      <c r="BB729" t="s">
        <v>83</v>
      </c>
    </row>
    <row r="730" spans="1:54" x14ac:dyDescent="0.4">
      <c r="A730">
        <v>1408750</v>
      </c>
      <c r="D730" t="s">
        <v>54</v>
      </c>
      <c r="E730" t="s">
        <v>152</v>
      </c>
      <c r="G730">
        <v>1</v>
      </c>
      <c r="H730" t="s">
        <v>84</v>
      </c>
      <c r="I730" t="s">
        <v>57</v>
      </c>
      <c r="K730" t="s">
        <v>141</v>
      </c>
      <c r="L730" t="s">
        <v>142</v>
      </c>
      <c r="M730" t="s">
        <v>60</v>
      </c>
      <c r="P730" t="s">
        <v>62</v>
      </c>
      <c r="R730" t="s">
        <v>63</v>
      </c>
      <c r="S730" t="s">
        <v>64</v>
      </c>
      <c r="T730">
        <v>227</v>
      </c>
      <c r="U730">
        <v>208.5</v>
      </c>
      <c r="V730">
        <f t="shared" si="22"/>
        <v>217.75</v>
      </c>
      <c r="W730">
        <f t="shared" si="23"/>
        <v>18.5</v>
      </c>
      <c r="X730">
        <v>8.4491669999999992</v>
      </c>
      <c r="Y730">
        <v>47.707222000000002</v>
      </c>
      <c r="Z730" t="s">
        <v>520</v>
      </c>
      <c r="AA730" t="s">
        <v>226</v>
      </c>
      <c r="AB730" t="s">
        <v>877</v>
      </c>
      <c r="AD730" t="s">
        <v>247</v>
      </c>
      <c r="AF730" t="s">
        <v>248</v>
      </c>
      <c r="AH730" t="s">
        <v>11</v>
      </c>
      <c r="AI730" t="s">
        <v>4719</v>
      </c>
      <c r="AJ730">
        <v>2017</v>
      </c>
      <c r="AK730" t="s">
        <v>4976</v>
      </c>
      <c r="AN730" t="s">
        <v>192</v>
      </c>
      <c r="AO730" t="s">
        <v>77</v>
      </c>
      <c r="AP730" t="s">
        <v>115</v>
      </c>
      <c r="AQ730" t="s">
        <v>4977</v>
      </c>
      <c r="AR730" t="s">
        <v>80</v>
      </c>
      <c r="AS730">
        <v>305</v>
      </c>
      <c r="AT730" t="s">
        <v>81</v>
      </c>
      <c r="AU730">
        <v>21.26</v>
      </c>
      <c r="AV730">
        <v>28.91</v>
      </c>
      <c r="AW730" t="s">
        <v>82</v>
      </c>
      <c r="AX730">
        <v>305</v>
      </c>
      <c r="AY730" t="s">
        <v>81</v>
      </c>
      <c r="AZ730">
        <v>10.15</v>
      </c>
      <c r="BA730">
        <v>30.83</v>
      </c>
      <c r="BB730" t="s">
        <v>83</v>
      </c>
    </row>
    <row r="731" spans="1:54" x14ac:dyDescent="0.4">
      <c r="A731">
        <v>1415672</v>
      </c>
      <c r="D731" t="s">
        <v>54</v>
      </c>
      <c r="I731" t="s">
        <v>57</v>
      </c>
      <c r="K731" t="s">
        <v>85</v>
      </c>
      <c r="L731" t="s">
        <v>845</v>
      </c>
      <c r="M731" t="s">
        <v>60</v>
      </c>
      <c r="O731" t="s">
        <v>87</v>
      </c>
      <c r="P731" t="s">
        <v>62</v>
      </c>
      <c r="R731" t="s">
        <v>63</v>
      </c>
      <c r="S731" t="s">
        <v>64</v>
      </c>
      <c r="T731">
        <v>227</v>
      </c>
      <c r="U731">
        <v>208.5</v>
      </c>
      <c r="V731">
        <f t="shared" si="22"/>
        <v>217.75</v>
      </c>
      <c r="W731">
        <f t="shared" si="23"/>
        <v>18.5</v>
      </c>
      <c r="X731">
        <v>-109.833336</v>
      </c>
      <c r="Y731">
        <v>34.833331999999999</v>
      </c>
      <c r="Z731" t="s">
        <v>582</v>
      </c>
      <c r="AA731" t="s">
        <v>66</v>
      </c>
      <c r="AB731" t="s">
        <v>583</v>
      </c>
      <c r="AD731" t="s">
        <v>174</v>
      </c>
      <c r="AF731" t="s">
        <v>749</v>
      </c>
      <c r="AH731" t="s">
        <v>11</v>
      </c>
      <c r="AI731" t="s">
        <v>5048</v>
      </c>
      <c r="AJ731">
        <v>2018</v>
      </c>
      <c r="AK731" t="s">
        <v>2643</v>
      </c>
      <c r="AM731" t="s">
        <v>2644</v>
      </c>
      <c r="AN731" t="s">
        <v>114</v>
      </c>
      <c r="AO731" t="s">
        <v>160</v>
      </c>
      <c r="AQ731" t="s">
        <v>2645</v>
      </c>
      <c r="AR731" t="s">
        <v>80</v>
      </c>
      <c r="AS731">
        <v>101</v>
      </c>
      <c r="AT731" t="s">
        <v>81</v>
      </c>
      <c r="AU731">
        <v>-37.67</v>
      </c>
      <c r="AV731">
        <v>10.33</v>
      </c>
      <c r="AW731" t="s">
        <v>82</v>
      </c>
      <c r="AX731">
        <v>133</v>
      </c>
      <c r="AY731" t="s">
        <v>81</v>
      </c>
      <c r="AZ731">
        <v>-52.47</v>
      </c>
      <c r="BA731">
        <v>10.4</v>
      </c>
      <c r="BB731" t="s">
        <v>83</v>
      </c>
    </row>
    <row r="732" spans="1:54" x14ac:dyDescent="0.4">
      <c r="A732">
        <v>1417820</v>
      </c>
      <c r="D732" t="s">
        <v>54</v>
      </c>
      <c r="E732" t="s">
        <v>55</v>
      </c>
      <c r="I732" t="s">
        <v>57</v>
      </c>
      <c r="K732" t="s">
        <v>1169</v>
      </c>
      <c r="L732" t="s">
        <v>1170</v>
      </c>
      <c r="M732" t="s">
        <v>60</v>
      </c>
      <c r="P732" t="s">
        <v>62</v>
      </c>
      <c r="R732" t="s">
        <v>63</v>
      </c>
      <c r="S732" t="s">
        <v>64</v>
      </c>
      <c r="T732">
        <v>227</v>
      </c>
      <c r="U732">
        <v>208.5</v>
      </c>
      <c r="V732">
        <f t="shared" si="22"/>
        <v>217.75</v>
      </c>
      <c r="W732">
        <f t="shared" si="23"/>
        <v>18.5</v>
      </c>
      <c r="X732">
        <v>-106.47506</v>
      </c>
      <c r="Y732">
        <v>36.323849000000003</v>
      </c>
      <c r="Z732" t="s">
        <v>1447</v>
      </c>
      <c r="AA732" t="s">
        <v>66</v>
      </c>
      <c r="AB732" t="s">
        <v>846</v>
      </c>
      <c r="AC732" t="s">
        <v>847</v>
      </c>
      <c r="AD732" t="s">
        <v>174</v>
      </c>
      <c r="AF732" t="s">
        <v>749</v>
      </c>
      <c r="AH732" t="s">
        <v>72</v>
      </c>
      <c r="AI732" t="s">
        <v>1549</v>
      </c>
      <c r="AJ732">
        <v>2016</v>
      </c>
      <c r="AK732" t="s">
        <v>1448</v>
      </c>
      <c r="AN732" t="s">
        <v>114</v>
      </c>
      <c r="AO732">
        <v>6</v>
      </c>
      <c r="AP732" t="s">
        <v>78</v>
      </c>
      <c r="AQ732" t="s">
        <v>1449</v>
      </c>
      <c r="AR732" t="s">
        <v>80</v>
      </c>
      <c r="AS732">
        <v>101</v>
      </c>
      <c r="AT732" t="s">
        <v>81</v>
      </c>
      <c r="AU732">
        <v>-34.65</v>
      </c>
      <c r="AV732">
        <v>11.27</v>
      </c>
      <c r="AW732" t="s">
        <v>82</v>
      </c>
      <c r="AX732">
        <v>133</v>
      </c>
      <c r="AY732" t="s">
        <v>81</v>
      </c>
      <c r="AZ732">
        <v>-49.47</v>
      </c>
      <c r="BA732">
        <v>11.42</v>
      </c>
      <c r="BB732" t="s">
        <v>83</v>
      </c>
    </row>
    <row r="733" spans="1:54" x14ac:dyDescent="0.4">
      <c r="A733">
        <v>1417821</v>
      </c>
      <c r="D733" t="s">
        <v>54</v>
      </c>
      <c r="E733" t="s">
        <v>55</v>
      </c>
      <c r="G733">
        <v>3</v>
      </c>
      <c r="H733" t="s">
        <v>84</v>
      </c>
      <c r="I733" t="s">
        <v>57</v>
      </c>
      <c r="K733" t="s">
        <v>194</v>
      </c>
      <c r="L733" t="s">
        <v>1445</v>
      </c>
      <c r="M733" t="s">
        <v>60</v>
      </c>
      <c r="P733" t="s">
        <v>62</v>
      </c>
      <c r="R733" t="s">
        <v>63</v>
      </c>
      <c r="S733" t="s">
        <v>64</v>
      </c>
      <c r="T733">
        <v>227</v>
      </c>
      <c r="U733">
        <v>208.5</v>
      </c>
      <c r="V733">
        <f t="shared" si="22"/>
        <v>217.75</v>
      </c>
      <c r="W733">
        <f t="shared" si="23"/>
        <v>18.5</v>
      </c>
      <c r="X733">
        <v>-101.31500200000001</v>
      </c>
      <c r="Y733">
        <v>33.521388999999999</v>
      </c>
      <c r="Z733" t="s">
        <v>198</v>
      </c>
      <c r="AA733" t="s">
        <v>66</v>
      </c>
      <c r="AB733" t="s">
        <v>125</v>
      </c>
      <c r="AC733" t="s">
        <v>199</v>
      </c>
      <c r="AD733" t="s">
        <v>200</v>
      </c>
      <c r="AE733" t="s">
        <v>201</v>
      </c>
      <c r="AH733" t="s">
        <v>72</v>
      </c>
      <c r="AI733" t="s">
        <v>5153</v>
      </c>
      <c r="AJ733">
        <v>2016</v>
      </c>
      <c r="AK733" t="s">
        <v>203</v>
      </c>
      <c r="AM733" t="s">
        <v>204</v>
      </c>
      <c r="AN733" t="s">
        <v>76</v>
      </c>
      <c r="AO733" t="s">
        <v>77</v>
      </c>
      <c r="AP733" t="s">
        <v>115</v>
      </c>
      <c r="AQ733" t="s">
        <v>205</v>
      </c>
      <c r="AR733" t="s">
        <v>80</v>
      </c>
      <c r="AS733">
        <v>101</v>
      </c>
      <c r="AT733" t="s">
        <v>81</v>
      </c>
      <c r="AU733">
        <v>-30.86</v>
      </c>
      <c r="AV733">
        <v>7.83</v>
      </c>
      <c r="AW733" t="s">
        <v>82</v>
      </c>
      <c r="AX733">
        <v>101</v>
      </c>
      <c r="AY733" t="s">
        <v>81</v>
      </c>
      <c r="AZ733">
        <v>-41.61</v>
      </c>
      <c r="BA733">
        <v>8.1</v>
      </c>
      <c r="BB733" t="s">
        <v>83</v>
      </c>
    </row>
    <row r="734" spans="1:54" x14ac:dyDescent="0.4">
      <c r="A734">
        <v>1417822</v>
      </c>
      <c r="D734" t="s">
        <v>54</v>
      </c>
      <c r="I734" t="s">
        <v>57</v>
      </c>
      <c r="K734" t="s">
        <v>194</v>
      </c>
      <c r="L734" t="s">
        <v>1445</v>
      </c>
      <c r="M734" t="s">
        <v>60</v>
      </c>
      <c r="P734" t="s">
        <v>62</v>
      </c>
      <c r="R734" t="s">
        <v>63</v>
      </c>
      <c r="S734" t="s">
        <v>64</v>
      </c>
      <c r="T734">
        <v>227</v>
      </c>
      <c r="U734">
        <v>208.5</v>
      </c>
      <c r="V734">
        <f t="shared" si="22"/>
        <v>217.75</v>
      </c>
      <c r="W734">
        <f t="shared" si="23"/>
        <v>18.5</v>
      </c>
      <c r="X734">
        <v>-101.70417</v>
      </c>
      <c r="Y734">
        <v>34.955002</v>
      </c>
      <c r="Z734" t="s">
        <v>969</v>
      </c>
      <c r="AA734" t="s">
        <v>66</v>
      </c>
      <c r="AB734" t="s">
        <v>125</v>
      </c>
      <c r="AC734" t="s">
        <v>777</v>
      </c>
      <c r="AD734" t="s">
        <v>173</v>
      </c>
      <c r="AE734" t="s">
        <v>201</v>
      </c>
      <c r="AH734" t="s">
        <v>72</v>
      </c>
      <c r="AI734" t="s">
        <v>5153</v>
      </c>
      <c r="AJ734">
        <v>2016</v>
      </c>
      <c r="AK734" t="s">
        <v>1755</v>
      </c>
      <c r="AM734" t="s">
        <v>1756</v>
      </c>
      <c r="AN734" t="s">
        <v>76</v>
      </c>
      <c r="AO734" t="s">
        <v>77</v>
      </c>
      <c r="AP734" t="s">
        <v>78</v>
      </c>
      <c r="AQ734" t="s">
        <v>1757</v>
      </c>
      <c r="AR734" t="s">
        <v>80</v>
      </c>
      <c r="AS734">
        <v>101</v>
      </c>
      <c r="AT734" t="s">
        <v>81</v>
      </c>
      <c r="AU734">
        <v>-30.98</v>
      </c>
      <c r="AV734">
        <v>9.2899999999999991</v>
      </c>
      <c r="AW734" t="s">
        <v>82</v>
      </c>
      <c r="AX734">
        <v>101</v>
      </c>
      <c r="AY734" t="s">
        <v>81</v>
      </c>
      <c r="AZ734">
        <v>-41.79</v>
      </c>
      <c r="BA734">
        <v>9.56</v>
      </c>
      <c r="BB734" t="s">
        <v>83</v>
      </c>
    </row>
    <row r="735" spans="1:54" x14ac:dyDescent="0.4">
      <c r="A735">
        <v>1417823</v>
      </c>
      <c r="D735" t="s">
        <v>54</v>
      </c>
      <c r="I735" t="s">
        <v>57</v>
      </c>
      <c r="K735" t="s">
        <v>194</v>
      </c>
      <c r="L735" t="s">
        <v>1445</v>
      </c>
      <c r="M735" t="s">
        <v>60</v>
      </c>
      <c r="P735" t="s">
        <v>62</v>
      </c>
      <c r="R735" t="s">
        <v>63</v>
      </c>
      <c r="S735" t="s">
        <v>64</v>
      </c>
      <c r="T735">
        <v>227</v>
      </c>
      <c r="U735">
        <v>208.5</v>
      </c>
      <c r="V735">
        <f t="shared" si="22"/>
        <v>217.75</v>
      </c>
      <c r="W735">
        <f t="shared" si="23"/>
        <v>18.5</v>
      </c>
      <c r="X735">
        <v>-101.70417</v>
      </c>
      <c r="Y735">
        <v>34.955002</v>
      </c>
      <c r="Z735" t="s">
        <v>969</v>
      </c>
      <c r="AA735" t="s">
        <v>66</v>
      </c>
      <c r="AB735" t="s">
        <v>125</v>
      </c>
      <c r="AC735" t="s">
        <v>777</v>
      </c>
      <c r="AD735" t="s">
        <v>173</v>
      </c>
      <c r="AE735" t="s">
        <v>201</v>
      </c>
      <c r="AH735" t="s">
        <v>72</v>
      </c>
      <c r="AI735" t="s">
        <v>5153</v>
      </c>
      <c r="AJ735">
        <v>2016</v>
      </c>
      <c r="AK735" t="s">
        <v>1755</v>
      </c>
      <c r="AM735" t="s">
        <v>1756</v>
      </c>
      <c r="AN735" t="s">
        <v>76</v>
      </c>
      <c r="AO735" t="s">
        <v>77</v>
      </c>
      <c r="AP735" t="s">
        <v>78</v>
      </c>
      <c r="AQ735" t="s">
        <v>1757</v>
      </c>
      <c r="AR735" t="s">
        <v>80</v>
      </c>
      <c r="AS735">
        <v>101</v>
      </c>
      <c r="AT735" t="s">
        <v>81</v>
      </c>
      <c r="AU735">
        <v>-30.98</v>
      </c>
      <c r="AV735">
        <v>9.2899999999999991</v>
      </c>
      <c r="AW735" t="s">
        <v>82</v>
      </c>
      <c r="AX735">
        <v>101</v>
      </c>
      <c r="AY735" t="s">
        <v>81</v>
      </c>
      <c r="AZ735">
        <v>-41.79</v>
      </c>
      <c r="BA735">
        <v>9.56</v>
      </c>
      <c r="BB735" t="s">
        <v>83</v>
      </c>
    </row>
    <row r="736" spans="1:54" x14ac:dyDescent="0.4">
      <c r="A736">
        <v>1417826</v>
      </c>
      <c r="D736" t="s">
        <v>54</v>
      </c>
      <c r="I736" t="s">
        <v>57</v>
      </c>
      <c r="K736" t="s">
        <v>194</v>
      </c>
      <c r="L736" t="s">
        <v>1445</v>
      </c>
      <c r="M736" t="s">
        <v>60</v>
      </c>
      <c r="P736" t="s">
        <v>62</v>
      </c>
      <c r="R736" t="s">
        <v>63</v>
      </c>
      <c r="S736" t="s">
        <v>64</v>
      </c>
      <c r="T736">
        <v>227</v>
      </c>
      <c r="U736">
        <v>208.5</v>
      </c>
      <c r="V736">
        <f t="shared" si="22"/>
        <v>217.75</v>
      </c>
      <c r="W736">
        <f t="shared" si="23"/>
        <v>18.5</v>
      </c>
      <c r="X736">
        <v>-101.44027699999999</v>
      </c>
      <c r="Y736">
        <v>33.452499000000003</v>
      </c>
      <c r="Z736" t="s">
        <v>124</v>
      </c>
      <c r="AA736" t="s">
        <v>66</v>
      </c>
      <c r="AB736" t="s">
        <v>125</v>
      </c>
      <c r="AC736" t="s">
        <v>199</v>
      </c>
      <c r="AD736" t="s">
        <v>200</v>
      </c>
      <c r="AE736" t="s">
        <v>201</v>
      </c>
      <c r="AF736" s="1">
        <v>46004</v>
      </c>
      <c r="AH736" t="s">
        <v>72</v>
      </c>
      <c r="AI736" t="s">
        <v>5153</v>
      </c>
      <c r="AJ736">
        <v>2016</v>
      </c>
      <c r="AK736" t="s">
        <v>5154</v>
      </c>
      <c r="AM736" t="s">
        <v>5155</v>
      </c>
      <c r="AN736" t="s">
        <v>192</v>
      </c>
      <c r="AO736" t="s">
        <v>77</v>
      </c>
      <c r="AP736" t="s">
        <v>78</v>
      </c>
      <c r="AR736" t="s">
        <v>80</v>
      </c>
      <c r="AS736">
        <v>101</v>
      </c>
      <c r="AT736" t="s">
        <v>81</v>
      </c>
      <c r="AU736">
        <v>-30.98</v>
      </c>
      <c r="AV736">
        <v>7.77</v>
      </c>
      <c r="AW736" t="s">
        <v>82</v>
      </c>
      <c r="AX736">
        <v>101</v>
      </c>
      <c r="AY736" t="s">
        <v>81</v>
      </c>
      <c r="AZ736">
        <v>-41.73</v>
      </c>
      <c r="BA736">
        <v>8.0399999999999991</v>
      </c>
      <c r="BB736" t="s">
        <v>83</v>
      </c>
    </row>
    <row r="737" spans="1:54" x14ac:dyDescent="0.4">
      <c r="A737">
        <v>1417827</v>
      </c>
      <c r="D737" t="s">
        <v>54</v>
      </c>
      <c r="I737" t="s">
        <v>57</v>
      </c>
      <c r="K737" t="s">
        <v>194</v>
      </c>
      <c r="L737" t="s">
        <v>1445</v>
      </c>
      <c r="M737" t="s">
        <v>60</v>
      </c>
      <c r="P737" t="s">
        <v>62</v>
      </c>
      <c r="R737" t="s">
        <v>63</v>
      </c>
      <c r="S737" t="s">
        <v>64</v>
      </c>
      <c r="T737">
        <v>227</v>
      </c>
      <c r="U737">
        <v>208.5</v>
      </c>
      <c r="V737">
        <f t="shared" si="22"/>
        <v>217.75</v>
      </c>
      <c r="W737">
        <f t="shared" si="23"/>
        <v>18.5</v>
      </c>
      <c r="X737">
        <v>-101.44027699999999</v>
      </c>
      <c r="Y737">
        <v>33.452499000000003</v>
      </c>
      <c r="Z737" t="s">
        <v>124</v>
      </c>
      <c r="AA737" t="s">
        <v>66</v>
      </c>
      <c r="AB737" t="s">
        <v>125</v>
      </c>
      <c r="AC737" t="s">
        <v>199</v>
      </c>
      <c r="AD737" t="s">
        <v>200</v>
      </c>
      <c r="AE737" t="s">
        <v>201</v>
      </c>
      <c r="AF737" s="1">
        <v>46004</v>
      </c>
      <c r="AH737" t="s">
        <v>11</v>
      </c>
      <c r="AI737" t="s">
        <v>5153</v>
      </c>
      <c r="AJ737">
        <v>2016</v>
      </c>
      <c r="AK737" t="s">
        <v>5154</v>
      </c>
      <c r="AM737" t="s">
        <v>5155</v>
      </c>
      <c r="AN737" t="s">
        <v>192</v>
      </c>
      <c r="AO737" t="s">
        <v>77</v>
      </c>
      <c r="AP737" t="s">
        <v>78</v>
      </c>
      <c r="AR737" t="s">
        <v>80</v>
      </c>
      <c r="AS737">
        <v>101</v>
      </c>
      <c r="AT737" t="s">
        <v>81</v>
      </c>
      <c r="AU737">
        <v>-30.98</v>
      </c>
      <c r="AV737">
        <v>7.77</v>
      </c>
      <c r="AW737" t="s">
        <v>82</v>
      </c>
      <c r="AX737">
        <v>101</v>
      </c>
      <c r="AY737" t="s">
        <v>81</v>
      </c>
      <c r="AZ737">
        <v>-41.73</v>
      </c>
      <c r="BA737">
        <v>8.0399999999999991</v>
      </c>
      <c r="BB737" t="s">
        <v>83</v>
      </c>
    </row>
    <row r="738" spans="1:54" x14ac:dyDescent="0.4">
      <c r="A738">
        <v>1418638</v>
      </c>
      <c r="D738" t="s">
        <v>54</v>
      </c>
      <c r="I738" t="s">
        <v>57</v>
      </c>
      <c r="K738" t="s">
        <v>85</v>
      </c>
      <c r="L738" t="s">
        <v>845</v>
      </c>
      <c r="M738" t="s">
        <v>60</v>
      </c>
      <c r="O738" t="s">
        <v>87</v>
      </c>
      <c r="P738" t="s">
        <v>62</v>
      </c>
      <c r="R738" t="s">
        <v>63</v>
      </c>
      <c r="S738" t="s">
        <v>64</v>
      </c>
      <c r="T738">
        <v>227</v>
      </c>
      <c r="U738">
        <v>208.5</v>
      </c>
      <c r="V738">
        <f t="shared" si="22"/>
        <v>217.75</v>
      </c>
      <c r="W738">
        <f t="shared" si="23"/>
        <v>18.5</v>
      </c>
      <c r="X738">
        <v>-104.681664</v>
      </c>
      <c r="Y738">
        <v>34.946387999999999</v>
      </c>
      <c r="Z738" t="s">
        <v>124</v>
      </c>
      <c r="AA738" t="s">
        <v>66</v>
      </c>
      <c r="AB738" t="s">
        <v>846</v>
      </c>
      <c r="AC738" t="s">
        <v>5191</v>
      </c>
      <c r="AD738" t="s">
        <v>907</v>
      </c>
      <c r="AH738" t="s">
        <v>72</v>
      </c>
      <c r="AI738" t="s">
        <v>2488</v>
      </c>
      <c r="AJ738">
        <v>1922</v>
      </c>
      <c r="AK738" t="s">
        <v>5192</v>
      </c>
      <c r="AN738" t="s">
        <v>76</v>
      </c>
      <c r="AO738" t="s">
        <v>77</v>
      </c>
      <c r="AP738" t="s">
        <v>359</v>
      </c>
      <c r="AQ738" t="s">
        <v>5193</v>
      </c>
      <c r="AR738" t="s">
        <v>80</v>
      </c>
      <c r="AS738">
        <v>101</v>
      </c>
      <c r="AT738" t="s">
        <v>81</v>
      </c>
      <c r="AU738">
        <v>-33.43</v>
      </c>
      <c r="AV738">
        <v>9.66</v>
      </c>
      <c r="AW738" t="s">
        <v>82</v>
      </c>
      <c r="AX738">
        <v>101</v>
      </c>
      <c r="AY738" t="s">
        <v>81</v>
      </c>
      <c r="AZ738">
        <v>-44.25</v>
      </c>
      <c r="BA738">
        <v>9.83</v>
      </c>
      <c r="BB738" t="s">
        <v>83</v>
      </c>
    </row>
    <row r="739" spans="1:54" x14ac:dyDescent="0.4">
      <c r="A739">
        <v>1418639</v>
      </c>
      <c r="D739" t="s">
        <v>54</v>
      </c>
      <c r="G739">
        <v>2</v>
      </c>
      <c r="H739" t="s">
        <v>84</v>
      </c>
      <c r="I739" t="s">
        <v>57</v>
      </c>
      <c r="K739" t="s">
        <v>85</v>
      </c>
      <c r="L739" t="s">
        <v>845</v>
      </c>
      <c r="M739" t="s">
        <v>60</v>
      </c>
      <c r="O739" t="s">
        <v>87</v>
      </c>
      <c r="P739" t="s">
        <v>62</v>
      </c>
      <c r="R739" t="s">
        <v>63</v>
      </c>
      <c r="S739" t="s">
        <v>64</v>
      </c>
      <c r="T739">
        <v>227</v>
      </c>
      <c r="U739">
        <v>208.5</v>
      </c>
      <c r="V739">
        <f t="shared" si="22"/>
        <v>217.75</v>
      </c>
      <c r="W739">
        <f t="shared" si="23"/>
        <v>18.5</v>
      </c>
      <c r="X739">
        <v>-101.449997</v>
      </c>
      <c r="Y739">
        <v>33.107776999999999</v>
      </c>
      <c r="Z739" t="s">
        <v>432</v>
      </c>
      <c r="AA739" t="s">
        <v>66</v>
      </c>
      <c r="AB739" t="s">
        <v>125</v>
      </c>
      <c r="AC739" t="s">
        <v>199</v>
      </c>
      <c r="AD739" t="s">
        <v>200</v>
      </c>
      <c r="AE739" t="s">
        <v>201</v>
      </c>
      <c r="AH739" t="s">
        <v>72</v>
      </c>
      <c r="AI739" t="s">
        <v>5194</v>
      </c>
      <c r="AJ739">
        <v>2013</v>
      </c>
      <c r="AK739" t="s">
        <v>5195</v>
      </c>
      <c r="AM739" t="s">
        <v>5196</v>
      </c>
      <c r="AN739" t="s">
        <v>76</v>
      </c>
      <c r="AO739" t="s">
        <v>77</v>
      </c>
      <c r="AP739" t="s">
        <v>78</v>
      </c>
      <c r="AQ739" t="s">
        <v>5197</v>
      </c>
      <c r="AR739" t="s">
        <v>80</v>
      </c>
      <c r="AS739">
        <v>101</v>
      </c>
      <c r="AT739" t="s">
        <v>81</v>
      </c>
      <c r="AU739">
        <v>-31.04</v>
      </c>
      <c r="AV739">
        <v>7.43</v>
      </c>
      <c r="AW739" t="s">
        <v>82</v>
      </c>
      <c r="AX739">
        <v>101</v>
      </c>
      <c r="AY739" t="s">
        <v>81</v>
      </c>
      <c r="AZ739">
        <v>-41.77</v>
      </c>
      <c r="BA739">
        <v>7.7</v>
      </c>
      <c r="BB739" t="s">
        <v>83</v>
      </c>
    </row>
    <row r="740" spans="1:54" x14ac:dyDescent="0.4">
      <c r="A740">
        <v>1418643</v>
      </c>
      <c r="D740" t="s">
        <v>54</v>
      </c>
      <c r="I740" t="s">
        <v>57</v>
      </c>
      <c r="K740" t="s">
        <v>196</v>
      </c>
      <c r="L740" t="s">
        <v>197</v>
      </c>
      <c r="M740" t="s">
        <v>60</v>
      </c>
      <c r="O740" t="s">
        <v>87</v>
      </c>
      <c r="P740" t="s">
        <v>62</v>
      </c>
      <c r="R740" t="s">
        <v>63</v>
      </c>
      <c r="S740" t="s">
        <v>64</v>
      </c>
      <c r="T740">
        <v>227</v>
      </c>
      <c r="U740">
        <v>208.5</v>
      </c>
      <c r="V740">
        <f t="shared" si="22"/>
        <v>217.75</v>
      </c>
      <c r="W740">
        <f t="shared" si="23"/>
        <v>18.5</v>
      </c>
      <c r="X740">
        <v>-101.449997</v>
      </c>
      <c r="Y740">
        <v>33.107776999999999</v>
      </c>
      <c r="Z740" t="s">
        <v>432</v>
      </c>
      <c r="AA740" t="s">
        <v>66</v>
      </c>
      <c r="AB740" t="s">
        <v>125</v>
      </c>
      <c r="AC740" t="s">
        <v>199</v>
      </c>
      <c r="AD740" t="s">
        <v>200</v>
      </c>
      <c r="AE740" t="s">
        <v>201</v>
      </c>
      <c r="AH740" t="s">
        <v>11</v>
      </c>
      <c r="AI740" t="s">
        <v>5198</v>
      </c>
      <c r="AJ740">
        <v>2002</v>
      </c>
      <c r="AK740" t="s">
        <v>5195</v>
      </c>
      <c r="AM740" t="s">
        <v>5196</v>
      </c>
      <c r="AN740" t="s">
        <v>76</v>
      </c>
      <c r="AO740" t="s">
        <v>77</v>
      </c>
      <c r="AP740" t="s">
        <v>78</v>
      </c>
      <c r="AQ740" t="s">
        <v>5197</v>
      </c>
      <c r="AR740" t="s">
        <v>80</v>
      </c>
      <c r="AS740">
        <v>101</v>
      </c>
      <c r="AT740" t="s">
        <v>81</v>
      </c>
      <c r="AU740">
        <v>-31.04</v>
      </c>
      <c r="AV740">
        <v>7.43</v>
      </c>
      <c r="AW740" t="s">
        <v>82</v>
      </c>
      <c r="AX740">
        <v>101</v>
      </c>
      <c r="AY740" t="s">
        <v>81</v>
      </c>
      <c r="AZ740">
        <v>-41.77</v>
      </c>
      <c r="BA740">
        <v>7.7</v>
      </c>
      <c r="BB740" t="s">
        <v>83</v>
      </c>
    </row>
    <row r="741" spans="1:54" x14ac:dyDescent="0.4">
      <c r="A741">
        <v>1418644</v>
      </c>
      <c r="D741" t="s">
        <v>54</v>
      </c>
      <c r="I741" t="s">
        <v>57</v>
      </c>
      <c r="K741" t="s">
        <v>767</v>
      </c>
      <c r="L741" t="s">
        <v>768</v>
      </c>
      <c r="M741" t="s">
        <v>60</v>
      </c>
      <c r="N741" t="s">
        <v>119</v>
      </c>
      <c r="O741" t="s">
        <v>87</v>
      </c>
      <c r="P741" t="s">
        <v>62</v>
      </c>
      <c r="R741" t="s">
        <v>63</v>
      </c>
      <c r="S741" t="s">
        <v>64</v>
      </c>
      <c r="T741">
        <v>227</v>
      </c>
      <c r="U741">
        <v>208.5</v>
      </c>
      <c r="V741">
        <f t="shared" si="22"/>
        <v>217.75</v>
      </c>
      <c r="W741">
        <f t="shared" si="23"/>
        <v>18.5</v>
      </c>
      <c r="X741">
        <v>-101.449997</v>
      </c>
      <c r="Y741">
        <v>33.107776999999999</v>
      </c>
      <c r="Z741" t="s">
        <v>432</v>
      </c>
      <c r="AA741" t="s">
        <v>66</v>
      </c>
      <c r="AB741" t="s">
        <v>125</v>
      </c>
      <c r="AC741" t="s">
        <v>199</v>
      </c>
      <c r="AD741" t="s">
        <v>200</v>
      </c>
      <c r="AE741" t="s">
        <v>201</v>
      </c>
      <c r="AH741" t="s">
        <v>11</v>
      </c>
      <c r="AI741" t="s">
        <v>5194</v>
      </c>
      <c r="AJ741">
        <v>2013</v>
      </c>
      <c r="AK741" t="s">
        <v>5195</v>
      </c>
      <c r="AM741" t="s">
        <v>5196</v>
      </c>
      <c r="AN741" t="s">
        <v>76</v>
      </c>
      <c r="AO741" t="s">
        <v>77</v>
      </c>
      <c r="AP741" t="s">
        <v>78</v>
      </c>
      <c r="AQ741" t="s">
        <v>5197</v>
      </c>
      <c r="AR741" t="s">
        <v>80</v>
      </c>
      <c r="AS741">
        <v>101</v>
      </c>
      <c r="AT741" t="s">
        <v>81</v>
      </c>
      <c r="AU741">
        <v>-31.04</v>
      </c>
      <c r="AV741">
        <v>7.43</v>
      </c>
      <c r="AW741" t="s">
        <v>82</v>
      </c>
      <c r="AX741">
        <v>101</v>
      </c>
      <c r="AY741" t="s">
        <v>81</v>
      </c>
      <c r="AZ741">
        <v>-41.77</v>
      </c>
      <c r="BA741">
        <v>7.7</v>
      </c>
      <c r="BB741" t="s">
        <v>83</v>
      </c>
    </row>
    <row r="742" spans="1:54" x14ac:dyDescent="0.4">
      <c r="A742">
        <v>1418646</v>
      </c>
      <c r="D742" t="s">
        <v>54</v>
      </c>
      <c r="I742" t="s">
        <v>57</v>
      </c>
      <c r="K742" t="s">
        <v>85</v>
      </c>
      <c r="L742" t="s">
        <v>845</v>
      </c>
      <c r="M742" t="s">
        <v>60</v>
      </c>
      <c r="O742" t="s">
        <v>87</v>
      </c>
      <c r="P742" t="s">
        <v>62</v>
      </c>
      <c r="R742" t="s">
        <v>63</v>
      </c>
      <c r="S742" t="s">
        <v>64</v>
      </c>
      <c r="T742">
        <v>227</v>
      </c>
      <c r="U742">
        <v>208.5</v>
      </c>
      <c r="V742">
        <f t="shared" si="22"/>
        <v>217.75</v>
      </c>
      <c r="W742">
        <f t="shared" si="23"/>
        <v>18.5</v>
      </c>
      <c r="X742">
        <v>-103.48828899999999</v>
      </c>
      <c r="Y742">
        <v>35.159770999999999</v>
      </c>
      <c r="Z742" t="s">
        <v>361</v>
      </c>
      <c r="AA742" t="s">
        <v>66</v>
      </c>
      <c r="AB742" t="s">
        <v>846</v>
      </c>
      <c r="AC742" t="s">
        <v>5199</v>
      </c>
      <c r="AD742" t="s">
        <v>907</v>
      </c>
      <c r="AE742" t="s">
        <v>201</v>
      </c>
      <c r="AH742" t="s">
        <v>72</v>
      </c>
      <c r="AI742" t="s">
        <v>743</v>
      </c>
      <c r="AJ742">
        <v>2006</v>
      </c>
      <c r="AK742" t="s">
        <v>5200</v>
      </c>
      <c r="AN742" t="s">
        <v>114</v>
      </c>
      <c r="AO742">
        <v>5</v>
      </c>
      <c r="AP742" t="s">
        <v>115</v>
      </c>
      <c r="AQ742" t="s">
        <v>5201</v>
      </c>
      <c r="AR742" t="s">
        <v>80</v>
      </c>
      <c r="AS742">
        <v>101</v>
      </c>
      <c r="AT742" t="s">
        <v>81</v>
      </c>
      <c r="AU742">
        <v>-32.409999999999997</v>
      </c>
      <c r="AV742">
        <v>9.7100000000000009</v>
      </c>
      <c r="AW742" t="s">
        <v>82</v>
      </c>
      <c r="AX742">
        <v>101</v>
      </c>
      <c r="AY742" t="s">
        <v>81</v>
      </c>
      <c r="AZ742">
        <v>-43.24</v>
      </c>
      <c r="BA742">
        <v>9.92</v>
      </c>
      <c r="BB742" t="s">
        <v>83</v>
      </c>
    </row>
    <row r="743" spans="1:54" x14ac:dyDescent="0.4">
      <c r="A743">
        <v>1418647</v>
      </c>
      <c r="D743" t="s">
        <v>54</v>
      </c>
      <c r="E743" t="s">
        <v>152</v>
      </c>
      <c r="I743" t="s">
        <v>57</v>
      </c>
      <c r="K743" t="s">
        <v>85</v>
      </c>
      <c r="L743" t="s">
        <v>845</v>
      </c>
      <c r="M743" t="s">
        <v>60</v>
      </c>
      <c r="O743" t="s">
        <v>87</v>
      </c>
      <c r="P743" t="s">
        <v>62</v>
      </c>
      <c r="R743" t="s">
        <v>63</v>
      </c>
      <c r="S743" t="s">
        <v>64</v>
      </c>
      <c r="T743">
        <v>227</v>
      </c>
      <c r="U743">
        <v>208.5</v>
      </c>
      <c r="V743">
        <f t="shared" si="22"/>
        <v>217.75</v>
      </c>
      <c r="W743">
        <f t="shared" si="23"/>
        <v>18.5</v>
      </c>
      <c r="X743">
        <v>-103.379997</v>
      </c>
      <c r="Y743">
        <v>35.365276000000001</v>
      </c>
      <c r="Z743" t="s">
        <v>124</v>
      </c>
      <c r="AA743" t="s">
        <v>66</v>
      </c>
      <c r="AB743" t="s">
        <v>846</v>
      </c>
      <c r="AC743" t="s">
        <v>906</v>
      </c>
      <c r="AD743" t="s">
        <v>907</v>
      </c>
      <c r="AE743" t="s">
        <v>201</v>
      </c>
      <c r="AH743" t="s">
        <v>72</v>
      </c>
      <c r="AI743" t="s">
        <v>743</v>
      </c>
      <c r="AJ743">
        <v>2006</v>
      </c>
      <c r="AK743" t="s">
        <v>983</v>
      </c>
      <c r="AN743" t="s">
        <v>192</v>
      </c>
      <c r="AO743" t="s">
        <v>77</v>
      </c>
      <c r="AP743" t="s">
        <v>78</v>
      </c>
      <c r="AQ743" t="s">
        <v>984</v>
      </c>
      <c r="AR743" t="s">
        <v>80</v>
      </c>
      <c r="AS743">
        <v>101</v>
      </c>
      <c r="AT743" t="s">
        <v>81</v>
      </c>
      <c r="AU743">
        <v>-32.29</v>
      </c>
      <c r="AV743">
        <v>9.9</v>
      </c>
      <c r="AW743" t="s">
        <v>82</v>
      </c>
      <c r="AX743">
        <v>101</v>
      </c>
      <c r="AY743" t="s">
        <v>81</v>
      </c>
      <c r="AZ743">
        <v>-43.13</v>
      </c>
      <c r="BA743">
        <v>10.11</v>
      </c>
      <c r="BB743" t="s">
        <v>83</v>
      </c>
    </row>
    <row r="744" spans="1:54" x14ac:dyDescent="0.4">
      <c r="A744">
        <v>1419050</v>
      </c>
      <c r="D744" t="s">
        <v>54</v>
      </c>
      <c r="E744" t="s">
        <v>152</v>
      </c>
      <c r="G744">
        <v>3</v>
      </c>
      <c r="H744" t="s">
        <v>84</v>
      </c>
      <c r="I744" t="s">
        <v>57</v>
      </c>
      <c r="K744" t="s">
        <v>741</v>
      </c>
      <c r="L744" t="s">
        <v>5229</v>
      </c>
      <c r="M744" t="s">
        <v>60</v>
      </c>
      <c r="N744" t="s">
        <v>256</v>
      </c>
      <c r="O744" t="s">
        <v>87</v>
      </c>
      <c r="P744" t="s">
        <v>62</v>
      </c>
      <c r="R744" t="s">
        <v>63</v>
      </c>
      <c r="S744" t="s">
        <v>64</v>
      </c>
      <c r="T744">
        <v>227</v>
      </c>
      <c r="U744">
        <v>208.5</v>
      </c>
      <c r="V744">
        <f t="shared" si="22"/>
        <v>217.75</v>
      </c>
      <c r="W744">
        <f t="shared" si="23"/>
        <v>18.5</v>
      </c>
      <c r="X744">
        <v>-101.32158699999999</v>
      </c>
      <c r="Y744">
        <v>32.180401000000003</v>
      </c>
      <c r="Z744" t="s">
        <v>124</v>
      </c>
      <c r="AA744" t="s">
        <v>66</v>
      </c>
      <c r="AB744" t="s">
        <v>125</v>
      </c>
      <c r="AC744" t="s">
        <v>4964</v>
      </c>
      <c r="AE744" t="s">
        <v>201</v>
      </c>
      <c r="AH744" t="s">
        <v>72</v>
      </c>
      <c r="AI744" t="s">
        <v>5230</v>
      </c>
      <c r="AJ744">
        <v>2015</v>
      </c>
      <c r="AK744" t="s">
        <v>5231</v>
      </c>
      <c r="AM744" t="s">
        <v>5232</v>
      </c>
      <c r="AN744" t="s">
        <v>192</v>
      </c>
      <c r="AO744">
        <v>6</v>
      </c>
      <c r="AP744" t="s">
        <v>115</v>
      </c>
      <c r="AQ744" t="s">
        <v>5233</v>
      </c>
      <c r="AR744" t="s">
        <v>80</v>
      </c>
      <c r="AS744">
        <v>101</v>
      </c>
      <c r="AT744" t="s">
        <v>81</v>
      </c>
      <c r="AU744">
        <v>-30.97</v>
      </c>
      <c r="AV744">
        <v>6.63</v>
      </c>
      <c r="AW744" t="s">
        <v>82</v>
      </c>
      <c r="AX744">
        <v>101</v>
      </c>
      <c r="AY744" t="s">
        <v>81</v>
      </c>
      <c r="AZ744">
        <v>-41.65</v>
      </c>
      <c r="BA744">
        <v>6.56</v>
      </c>
      <c r="BB744" t="s">
        <v>83</v>
      </c>
    </row>
    <row r="745" spans="1:54" x14ac:dyDescent="0.4">
      <c r="A745">
        <v>1419097</v>
      </c>
      <c r="D745" t="s">
        <v>167</v>
      </c>
      <c r="E745" t="s">
        <v>154</v>
      </c>
      <c r="I745" t="s">
        <v>57</v>
      </c>
      <c r="K745" t="s">
        <v>141</v>
      </c>
      <c r="L745" t="s">
        <v>3157</v>
      </c>
      <c r="M745" t="s">
        <v>60</v>
      </c>
      <c r="P745" t="s">
        <v>62</v>
      </c>
      <c r="R745" t="s">
        <v>63</v>
      </c>
      <c r="S745" t="s">
        <v>64</v>
      </c>
      <c r="T745">
        <v>227</v>
      </c>
      <c r="U745">
        <v>208.5</v>
      </c>
      <c r="V745">
        <f t="shared" si="22"/>
        <v>217.75</v>
      </c>
      <c r="W745">
        <f t="shared" si="23"/>
        <v>18.5</v>
      </c>
      <c r="X745">
        <v>-109.462486</v>
      </c>
      <c r="Y745">
        <v>34.437420000000003</v>
      </c>
      <c r="Z745" t="s">
        <v>734</v>
      </c>
      <c r="AA745" t="s">
        <v>66</v>
      </c>
      <c r="AB745" t="s">
        <v>583</v>
      </c>
      <c r="AC745" t="s">
        <v>735</v>
      </c>
      <c r="AD745" t="s">
        <v>174</v>
      </c>
      <c r="AF745" t="s">
        <v>736</v>
      </c>
      <c r="AH745" t="s">
        <v>11</v>
      </c>
      <c r="AI745" t="s">
        <v>5237</v>
      </c>
      <c r="AJ745">
        <v>2018</v>
      </c>
      <c r="AK745" t="s">
        <v>737</v>
      </c>
      <c r="AN745" t="s">
        <v>76</v>
      </c>
      <c r="AO745">
        <v>8</v>
      </c>
      <c r="AP745" t="s">
        <v>78</v>
      </c>
      <c r="AQ745" t="s">
        <v>738</v>
      </c>
      <c r="AR745" t="s">
        <v>80</v>
      </c>
      <c r="AS745">
        <v>101</v>
      </c>
      <c r="AT745" t="s">
        <v>81</v>
      </c>
      <c r="AU745">
        <v>-37.44</v>
      </c>
      <c r="AV745">
        <v>9.8800000000000008</v>
      </c>
      <c r="AW745" t="s">
        <v>82</v>
      </c>
      <c r="AX745">
        <v>133</v>
      </c>
      <c r="AY745" t="s">
        <v>81</v>
      </c>
      <c r="AZ745">
        <v>-52.23</v>
      </c>
      <c r="BA745">
        <v>9.9499999999999993</v>
      </c>
      <c r="BB745" t="s">
        <v>83</v>
      </c>
    </row>
    <row r="746" spans="1:54" x14ac:dyDescent="0.4">
      <c r="A746">
        <v>1419098</v>
      </c>
      <c r="D746" t="s">
        <v>54</v>
      </c>
      <c r="I746" t="s">
        <v>57</v>
      </c>
      <c r="K746" t="s">
        <v>141</v>
      </c>
      <c r="L746" t="s">
        <v>3157</v>
      </c>
      <c r="M746" t="s">
        <v>60</v>
      </c>
      <c r="P746" t="s">
        <v>62</v>
      </c>
      <c r="R746" t="s">
        <v>63</v>
      </c>
      <c r="S746" t="s">
        <v>64</v>
      </c>
      <c r="T746">
        <v>227</v>
      </c>
      <c r="U746">
        <v>208.5</v>
      </c>
      <c r="V746">
        <f t="shared" si="22"/>
        <v>217.75</v>
      </c>
      <c r="W746">
        <f t="shared" si="23"/>
        <v>18.5</v>
      </c>
      <c r="X746">
        <v>-109.763885</v>
      </c>
      <c r="Y746">
        <v>34.947223999999999</v>
      </c>
      <c r="Z746" t="s">
        <v>124</v>
      </c>
      <c r="AA746" t="s">
        <v>66</v>
      </c>
      <c r="AB746" t="s">
        <v>583</v>
      </c>
      <c r="AC746" t="s">
        <v>735</v>
      </c>
      <c r="AD746" t="s">
        <v>174</v>
      </c>
      <c r="AF746" t="s">
        <v>1068</v>
      </c>
      <c r="AH746" t="s">
        <v>72</v>
      </c>
      <c r="AI746" t="s">
        <v>5237</v>
      </c>
      <c r="AJ746">
        <v>2018</v>
      </c>
      <c r="AK746" t="s">
        <v>5238</v>
      </c>
      <c r="AN746" t="s">
        <v>192</v>
      </c>
      <c r="AO746" t="s">
        <v>77</v>
      </c>
      <c r="AP746" t="s">
        <v>78</v>
      </c>
      <c r="AR746" t="s">
        <v>80</v>
      </c>
      <c r="AS746">
        <v>101</v>
      </c>
      <c r="AT746" t="s">
        <v>81</v>
      </c>
      <c r="AU746">
        <v>-37.590000000000003</v>
      </c>
      <c r="AV746">
        <v>10.43</v>
      </c>
      <c r="AW746" t="s">
        <v>82</v>
      </c>
      <c r="AX746">
        <v>133</v>
      </c>
      <c r="AY746" t="s">
        <v>81</v>
      </c>
      <c r="AZ746">
        <v>-52.39</v>
      </c>
      <c r="BA746">
        <v>10.5</v>
      </c>
      <c r="BB746" t="s">
        <v>83</v>
      </c>
    </row>
    <row r="747" spans="1:54" x14ac:dyDescent="0.4">
      <c r="A747">
        <v>1419529</v>
      </c>
      <c r="D747" t="s">
        <v>54</v>
      </c>
      <c r="I747" t="s">
        <v>57</v>
      </c>
      <c r="K747" t="s">
        <v>168</v>
      </c>
      <c r="L747" t="s">
        <v>5184</v>
      </c>
      <c r="M747" t="s">
        <v>60</v>
      </c>
      <c r="P747" t="s">
        <v>62</v>
      </c>
      <c r="R747" t="s">
        <v>63</v>
      </c>
      <c r="S747" t="s">
        <v>64</v>
      </c>
      <c r="T747">
        <v>227</v>
      </c>
      <c r="U747">
        <v>208.5</v>
      </c>
      <c r="V747">
        <f t="shared" si="22"/>
        <v>217.75</v>
      </c>
      <c r="W747">
        <f t="shared" si="23"/>
        <v>18.5</v>
      </c>
      <c r="X747">
        <v>-101.133331</v>
      </c>
      <c r="Y747">
        <v>33.416668000000001</v>
      </c>
      <c r="Z747" t="s">
        <v>124</v>
      </c>
      <c r="AA747" t="s">
        <v>66</v>
      </c>
      <c r="AB747" t="s">
        <v>125</v>
      </c>
      <c r="AC747" t="s">
        <v>172</v>
      </c>
      <c r="AD747" t="s">
        <v>173</v>
      </c>
      <c r="AE747" t="s">
        <v>201</v>
      </c>
      <c r="AH747" t="s">
        <v>72</v>
      </c>
      <c r="AI747" t="s">
        <v>1728</v>
      </c>
      <c r="AJ747">
        <v>2013</v>
      </c>
      <c r="AK747" t="s">
        <v>3125</v>
      </c>
      <c r="AM747" t="s">
        <v>3126</v>
      </c>
      <c r="AN747" t="s">
        <v>341</v>
      </c>
      <c r="AO747" t="s">
        <v>160</v>
      </c>
      <c r="AP747" t="s">
        <v>359</v>
      </c>
      <c r="AQ747" t="s">
        <v>3127</v>
      </c>
      <c r="AR747" t="s">
        <v>80</v>
      </c>
      <c r="AS747">
        <v>101</v>
      </c>
      <c r="AT747" t="s">
        <v>81</v>
      </c>
      <c r="AU747">
        <v>-30.73</v>
      </c>
      <c r="AV747">
        <v>7.7</v>
      </c>
      <c r="AW747" t="s">
        <v>82</v>
      </c>
      <c r="AX747">
        <v>101</v>
      </c>
      <c r="AY747" t="s">
        <v>81</v>
      </c>
      <c r="AZ747">
        <v>-41.47</v>
      </c>
      <c r="BA747">
        <v>7.98</v>
      </c>
      <c r="BB747" t="s">
        <v>83</v>
      </c>
    </row>
    <row r="748" spans="1:54" x14ac:dyDescent="0.4">
      <c r="A748">
        <v>1419785</v>
      </c>
      <c r="D748" t="s">
        <v>54</v>
      </c>
      <c r="I748" t="s">
        <v>57</v>
      </c>
      <c r="K748" t="s">
        <v>746</v>
      </c>
      <c r="L748" t="s">
        <v>5299</v>
      </c>
      <c r="M748" t="s">
        <v>60</v>
      </c>
      <c r="P748" t="s">
        <v>62</v>
      </c>
      <c r="R748" t="s">
        <v>63</v>
      </c>
      <c r="S748" t="s">
        <v>64</v>
      </c>
      <c r="T748">
        <v>227</v>
      </c>
      <c r="U748">
        <v>208.5</v>
      </c>
      <c r="V748">
        <f t="shared" si="22"/>
        <v>217.75</v>
      </c>
      <c r="W748">
        <f t="shared" si="23"/>
        <v>18.5</v>
      </c>
      <c r="X748">
        <v>9.6758330000000008</v>
      </c>
      <c r="Y748">
        <v>45.785831000000002</v>
      </c>
      <c r="Z748" t="s">
        <v>520</v>
      </c>
      <c r="AA748" t="s">
        <v>593</v>
      </c>
      <c r="AB748" t="s">
        <v>3086</v>
      </c>
      <c r="AD748" t="s">
        <v>5300</v>
      </c>
      <c r="AH748" t="s">
        <v>72</v>
      </c>
      <c r="AI748" t="s">
        <v>1269</v>
      </c>
      <c r="AJ748">
        <v>1997</v>
      </c>
      <c r="AK748" t="s">
        <v>5301</v>
      </c>
      <c r="AN748" t="s">
        <v>114</v>
      </c>
      <c r="AO748" t="s">
        <v>77</v>
      </c>
      <c r="AP748" t="s">
        <v>115</v>
      </c>
      <c r="AR748" t="s">
        <v>80</v>
      </c>
      <c r="AS748">
        <v>307</v>
      </c>
      <c r="AT748" t="s">
        <v>81</v>
      </c>
      <c r="AU748">
        <v>28.73</v>
      </c>
      <c r="AV748">
        <v>21.18</v>
      </c>
      <c r="AW748" t="s">
        <v>82</v>
      </c>
      <c r="AX748">
        <v>307</v>
      </c>
      <c r="AY748" t="s">
        <v>81</v>
      </c>
      <c r="AZ748">
        <v>13.47</v>
      </c>
      <c r="BA748">
        <v>25.76</v>
      </c>
      <c r="BB748" t="s">
        <v>83</v>
      </c>
    </row>
    <row r="749" spans="1:54" x14ac:dyDescent="0.4">
      <c r="A749">
        <v>1421955</v>
      </c>
      <c r="D749" t="s">
        <v>54</v>
      </c>
      <c r="E749" t="s">
        <v>55</v>
      </c>
      <c r="G749">
        <v>1</v>
      </c>
      <c r="H749" t="s">
        <v>84</v>
      </c>
      <c r="I749" t="s">
        <v>57</v>
      </c>
      <c r="K749" t="s">
        <v>1214</v>
      </c>
      <c r="L749" t="s">
        <v>5325</v>
      </c>
      <c r="M749" t="s">
        <v>60</v>
      </c>
      <c r="N749" t="s">
        <v>326</v>
      </c>
      <c r="O749" t="s">
        <v>170</v>
      </c>
      <c r="P749" t="s">
        <v>62</v>
      </c>
      <c r="R749" t="s">
        <v>63</v>
      </c>
      <c r="S749" t="s">
        <v>64</v>
      </c>
      <c r="T749">
        <v>227</v>
      </c>
      <c r="U749">
        <v>208.5</v>
      </c>
      <c r="V749">
        <f t="shared" si="22"/>
        <v>217.75</v>
      </c>
      <c r="W749">
        <f t="shared" si="23"/>
        <v>18.5</v>
      </c>
      <c r="X749">
        <v>-67.400002000000001</v>
      </c>
      <c r="Y749">
        <v>-31.6</v>
      </c>
      <c r="Z749" t="s">
        <v>361</v>
      </c>
      <c r="AA749" t="s">
        <v>185</v>
      </c>
      <c r="AB749" t="s">
        <v>285</v>
      </c>
      <c r="AC749" t="s">
        <v>4668</v>
      </c>
      <c r="AD749" t="s">
        <v>4669</v>
      </c>
      <c r="AE749" t="s">
        <v>4670</v>
      </c>
      <c r="AH749" t="s">
        <v>72</v>
      </c>
      <c r="AI749" t="s">
        <v>4331</v>
      </c>
      <c r="AJ749">
        <v>2018</v>
      </c>
      <c r="AK749" t="s">
        <v>4671</v>
      </c>
      <c r="AN749" t="s">
        <v>192</v>
      </c>
      <c r="AO749">
        <v>1</v>
      </c>
      <c r="AR749" t="s">
        <v>80</v>
      </c>
      <c r="AS749">
        <v>291</v>
      </c>
      <c r="AT749" t="s">
        <v>81</v>
      </c>
      <c r="AU749">
        <v>-21.61</v>
      </c>
      <c r="AV749">
        <v>-41.29</v>
      </c>
      <c r="AW749" t="s">
        <v>82</v>
      </c>
      <c r="AX749">
        <v>291</v>
      </c>
      <c r="AY749" t="s">
        <v>81</v>
      </c>
      <c r="AZ749">
        <v>-30.19</v>
      </c>
      <c r="BA749">
        <v>-40.630000000000003</v>
      </c>
      <c r="BB749" t="s">
        <v>83</v>
      </c>
    </row>
    <row r="750" spans="1:54" x14ac:dyDescent="0.4">
      <c r="A750">
        <v>1423604</v>
      </c>
      <c r="D750" t="s">
        <v>54</v>
      </c>
      <c r="E750" t="s">
        <v>55</v>
      </c>
      <c r="I750" t="s">
        <v>57</v>
      </c>
      <c r="K750" t="s">
        <v>4025</v>
      </c>
      <c r="L750" t="s">
        <v>5326</v>
      </c>
      <c r="M750" t="s">
        <v>60</v>
      </c>
      <c r="P750" t="s">
        <v>62</v>
      </c>
      <c r="R750" t="s">
        <v>63</v>
      </c>
      <c r="S750" t="s">
        <v>64</v>
      </c>
      <c r="T750">
        <v>227</v>
      </c>
      <c r="U750">
        <v>208.5</v>
      </c>
      <c r="V750">
        <f t="shared" si="22"/>
        <v>217.75</v>
      </c>
      <c r="W750">
        <f t="shared" si="23"/>
        <v>18.5</v>
      </c>
      <c r="X750">
        <v>-53.264999000000003</v>
      </c>
      <c r="Y750">
        <v>-29.612777999999999</v>
      </c>
      <c r="Z750" t="s">
        <v>886</v>
      </c>
      <c r="AA750" t="s">
        <v>783</v>
      </c>
      <c r="AB750" t="s">
        <v>784</v>
      </c>
      <c r="AD750" t="s">
        <v>785</v>
      </c>
      <c r="AE750" t="s">
        <v>786</v>
      </c>
      <c r="AG750" t="s">
        <v>1173</v>
      </c>
      <c r="AH750" t="s">
        <v>72</v>
      </c>
      <c r="AI750" t="s">
        <v>1840</v>
      </c>
      <c r="AJ750">
        <v>2018</v>
      </c>
      <c r="AK750" t="s">
        <v>5327</v>
      </c>
      <c r="AN750" t="s">
        <v>76</v>
      </c>
      <c r="AO750" t="s">
        <v>77</v>
      </c>
      <c r="AP750" t="s">
        <v>78</v>
      </c>
      <c r="AQ750" t="s">
        <v>5328</v>
      </c>
      <c r="AR750" t="s">
        <v>80</v>
      </c>
      <c r="AS750">
        <v>201</v>
      </c>
      <c r="AT750" t="s">
        <v>81</v>
      </c>
      <c r="AU750">
        <v>-6.65</v>
      </c>
      <c r="AV750">
        <v>-38.549999999999997</v>
      </c>
      <c r="AW750" t="s">
        <v>82</v>
      </c>
      <c r="AX750">
        <v>202</v>
      </c>
      <c r="AY750" t="s">
        <v>81</v>
      </c>
      <c r="AZ750">
        <v>-15.41</v>
      </c>
      <c r="BA750">
        <v>-36.99</v>
      </c>
      <c r="BB750" t="s">
        <v>83</v>
      </c>
    </row>
    <row r="751" spans="1:54" x14ac:dyDescent="0.4">
      <c r="A751">
        <v>1435841</v>
      </c>
      <c r="D751" t="s">
        <v>54</v>
      </c>
      <c r="I751" t="s">
        <v>57</v>
      </c>
      <c r="K751" t="s">
        <v>805</v>
      </c>
      <c r="L751" t="s">
        <v>5382</v>
      </c>
      <c r="M751" t="s">
        <v>60</v>
      </c>
      <c r="O751" t="s">
        <v>87</v>
      </c>
      <c r="P751" t="s">
        <v>62</v>
      </c>
      <c r="R751" t="s">
        <v>63</v>
      </c>
      <c r="S751" t="s">
        <v>64</v>
      </c>
      <c r="T751">
        <v>227</v>
      </c>
      <c r="U751">
        <v>208.5</v>
      </c>
      <c r="V751">
        <f t="shared" si="22"/>
        <v>217.75</v>
      </c>
      <c r="W751">
        <f t="shared" si="23"/>
        <v>18.5</v>
      </c>
      <c r="X751">
        <v>-68.112999000000002</v>
      </c>
      <c r="Y751">
        <v>-30</v>
      </c>
      <c r="Z751" t="s">
        <v>198</v>
      </c>
      <c r="AA751" t="s">
        <v>185</v>
      </c>
      <c r="AB751" t="s">
        <v>186</v>
      </c>
      <c r="AD751" t="s">
        <v>551</v>
      </c>
      <c r="AH751" t="s">
        <v>72</v>
      </c>
      <c r="AI751" t="s">
        <v>4468</v>
      </c>
      <c r="AJ751">
        <v>2018</v>
      </c>
      <c r="AK751" t="s">
        <v>5383</v>
      </c>
      <c r="AN751" t="s">
        <v>76</v>
      </c>
      <c r="AO751" t="s">
        <v>657</v>
      </c>
      <c r="AP751" t="s">
        <v>115</v>
      </c>
      <c r="AQ751" t="s">
        <v>5384</v>
      </c>
      <c r="AR751" t="s">
        <v>80</v>
      </c>
      <c r="AS751">
        <v>291</v>
      </c>
      <c r="AT751" t="s">
        <v>81</v>
      </c>
      <c r="AU751">
        <v>-22.78</v>
      </c>
      <c r="AV751">
        <v>-39.83</v>
      </c>
      <c r="AW751" t="s">
        <v>82</v>
      </c>
      <c r="AX751">
        <v>291</v>
      </c>
      <c r="AY751" t="s">
        <v>81</v>
      </c>
      <c r="AZ751">
        <v>-31.45</v>
      </c>
      <c r="BA751">
        <v>-39.21</v>
      </c>
      <c r="BB751" t="s">
        <v>83</v>
      </c>
    </row>
    <row r="752" spans="1:54" x14ac:dyDescent="0.4">
      <c r="A752">
        <v>1439335</v>
      </c>
      <c r="D752" t="s">
        <v>54</v>
      </c>
      <c r="E752" t="s">
        <v>55</v>
      </c>
      <c r="G752">
        <v>1</v>
      </c>
      <c r="H752" t="s">
        <v>84</v>
      </c>
      <c r="I752" t="s">
        <v>57</v>
      </c>
      <c r="K752" t="s">
        <v>180</v>
      </c>
      <c r="L752" t="s">
        <v>5388</v>
      </c>
      <c r="M752" t="s">
        <v>60</v>
      </c>
      <c r="N752" t="s">
        <v>119</v>
      </c>
      <c r="P752" t="s">
        <v>62</v>
      </c>
      <c r="R752" t="s">
        <v>63</v>
      </c>
      <c r="S752" t="s">
        <v>64</v>
      </c>
      <c r="T752">
        <v>227</v>
      </c>
      <c r="U752">
        <v>208.5</v>
      </c>
      <c r="V752">
        <f t="shared" si="22"/>
        <v>217.75</v>
      </c>
      <c r="W752">
        <f t="shared" si="23"/>
        <v>18.5</v>
      </c>
      <c r="X752">
        <v>-101.31500200000001</v>
      </c>
      <c r="Y752">
        <v>33.521388999999999</v>
      </c>
      <c r="Z752" t="s">
        <v>198</v>
      </c>
      <c r="AA752" t="s">
        <v>66</v>
      </c>
      <c r="AB752" t="s">
        <v>125</v>
      </c>
      <c r="AC752" t="s">
        <v>199</v>
      </c>
      <c r="AD752" t="s">
        <v>200</v>
      </c>
      <c r="AE752" t="s">
        <v>201</v>
      </c>
      <c r="AH752" t="s">
        <v>72</v>
      </c>
      <c r="AI752" t="s">
        <v>5389</v>
      </c>
      <c r="AJ752">
        <v>2018</v>
      </c>
      <c r="AK752" t="s">
        <v>203</v>
      </c>
      <c r="AM752" t="s">
        <v>204</v>
      </c>
      <c r="AN752" t="s">
        <v>76</v>
      </c>
      <c r="AO752" t="s">
        <v>77</v>
      </c>
      <c r="AP752" t="s">
        <v>115</v>
      </c>
      <c r="AQ752" t="s">
        <v>205</v>
      </c>
      <c r="AR752" t="s">
        <v>80</v>
      </c>
      <c r="AS752">
        <v>101</v>
      </c>
      <c r="AT752" t="s">
        <v>81</v>
      </c>
      <c r="AU752">
        <v>-30.86</v>
      </c>
      <c r="AV752">
        <v>7.83</v>
      </c>
      <c r="AW752" t="s">
        <v>82</v>
      </c>
      <c r="AX752">
        <v>101</v>
      </c>
      <c r="AY752" t="s">
        <v>81</v>
      </c>
      <c r="AZ752">
        <v>-41.61</v>
      </c>
      <c r="BA752">
        <v>8.1</v>
      </c>
      <c r="BB752" t="s">
        <v>83</v>
      </c>
    </row>
    <row r="753" spans="1:54" x14ac:dyDescent="0.4">
      <c r="A753">
        <v>1456627</v>
      </c>
      <c r="D753" t="s">
        <v>54</v>
      </c>
      <c r="E753" t="s">
        <v>310</v>
      </c>
      <c r="G753">
        <v>2</v>
      </c>
      <c r="H753" t="s">
        <v>84</v>
      </c>
      <c r="I753" t="s">
        <v>57</v>
      </c>
      <c r="K753" t="s">
        <v>141</v>
      </c>
      <c r="L753" t="s">
        <v>5420</v>
      </c>
      <c r="M753" t="s">
        <v>60</v>
      </c>
      <c r="N753" t="s">
        <v>256</v>
      </c>
      <c r="O753" t="s">
        <v>87</v>
      </c>
      <c r="P753" t="s">
        <v>62</v>
      </c>
      <c r="R753" t="s">
        <v>63</v>
      </c>
      <c r="S753" t="s">
        <v>64</v>
      </c>
      <c r="T753">
        <v>227</v>
      </c>
      <c r="U753">
        <v>208.5</v>
      </c>
      <c r="V753">
        <f t="shared" si="22"/>
        <v>217.75</v>
      </c>
      <c r="W753">
        <f t="shared" si="23"/>
        <v>18.5</v>
      </c>
      <c r="X753">
        <v>8.016667</v>
      </c>
      <c r="Y753">
        <v>47.5</v>
      </c>
      <c r="Z753" t="s">
        <v>124</v>
      </c>
      <c r="AA753" t="s">
        <v>226</v>
      </c>
      <c r="AB753" t="s">
        <v>246</v>
      </c>
      <c r="AD753" t="s">
        <v>247</v>
      </c>
      <c r="AF753" t="s">
        <v>248</v>
      </c>
      <c r="AH753" t="s">
        <v>72</v>
      </c>
      <c r="AI753" t="s">
        <v>5421</v>
      </c>
      <c r="AJ753">
        <v>2019</v>
      </c>
      <c r="AK753" t="s">
        <v>5422</v>
      </c>
      <c r="AM753" t="s">
        <v>5423</v>
      </c>
      <c r="AN753" t="s">
        <v>76</v>
      </c>
      <c r="AO753">
        <v>4</v>
      </c>
      <c r="AP753" t="s">
        <v>78</v>
      </c>
      <c r="AQ753" t="s">
        <v>5424</v>
      </c>
      <c r="AR753" t="s">
        <v>80</v>
      </c>
      <c r="AS753">
        <v>305</v>
      </c>
      <c r="AT753" t="s">
        <v>81</v>
      </c>
      <c r="AU753">
        <v>21.05</v>
      </c>
      <c r="AV753">
        <v>28.61</v>
      </c>
      <c r="AW753" t="s">
        <v>82</v>
      </c>
      <c r="AX753">
        <v>305</v>
      </c>
      <c r="AY753" t="s">
        <v>81</v>
      </c>
      <c r="AZ753">
        <v>9.9499999999999993</v>
      </c>
      <c r="BA753">
        <v>30.51</v>
      </c>
      <c r="BB753" t="s">
        <v>83</v>
      </c>
    </row>
    <row r="754" spans="1:54" x14ac:dyDescent="0.4">
      <c r="A754">
        <v>1456852</v>
      </c>
      <c r="D754" t="s">
        <v>54</v>
      </c>
      <c r="G754">
        <v>1</v>
      </c>
      <c r="H754" t="s">
        <v>84</v>
      </c>
      <c r="I754" t="s">
        <v>57</v>
      </c>
      <c r="K754" t="s">
        <v>141</v>
      </c>
      <c r="L754" t="s">
        <v>5425</v>
      </c>
      <c r="M754" t="s">
        <v>60</v>
      </c>
      <c r="P754" t="s">
        <v>62</v>
      </c>
      <c r="R754" t="s">
        <v>63</v>
      </c>
      <c r="S754" t="s">
        <v>64</v>
      </c>
      <c r="T754">
        <v>227</v>
      </c>
      <c r="U754">
        <v>208.5</v>
      </c>
      <c r="V754">
        <f t="shared" si="22"/>
        <v>217.75</v>
      </c>
      <c r="W754">
        <f t="shared" si="23"/>
        <v>18.5</v>
      </c>
      <c r="X754">
        <v>-53.774166000000001</v>
      </c>
      <c r="Y754">
        <v>-29.697779000000001</v>
      </c>
      <c r="Z754" t="s">
        <v>124</v>
      </c>
      <c r="AA754" t="s">
        <v>783</v>
      </c>
      <c r="AB754" t="s">
        <v>784</v>
      </c>
      <c r="AD754" t="s">
        <v>785</v>
      </c>
      <c r="AE754" t="s">
        <v>786</v>
      </c>
      <c r="AH754" t="s">
        <v>72</v>
      </c>
      <c r="AI754" t="s">
        <v>5426</v>
      </c>
      <c r="AJ754">
        <v>2019</v>
      </c>
      <c r="AK754" t="s">
        <v>1439</v>
      </c>
      <c r="AM754" t="s">
        <v>1440</v>
      </c>
      <c r="AN754" t="s">
        <v>76</v>
      </c>
      <c r="AO754" t="s">
        <v>77</v>
      </c>
      <c r="AP754" t="s">
        <v>115</v>
      </c>
      <c r="AQ754" t="s">
        <v>1441</v>
      </c>
      <c r="AR754" t="s">
        <v>80</v>
      </c>
      <c r="AS754">
        <v>201</v>
      </c>
      <c r="AT754" t="s">
        <v>81</v>
      </c>
      <c r="AU754">
        <v>-7.18</v>
      </c>
      <c r="AV754">
        <v>-38.72</v>
      </c>
      <c r="AW754" t="s">
        <v>82</v>
      </c>
      <c r="AX754">
        <v>202</v>
      </c>
      <c r="AY754" t="s">
        <v>81</v>
      </c>
      <c r="AZ754">
        <v>-15.92</v>
      </c>
      <c r="BA754">
        <v>-37.19</v>
      </c>
      <c r="BB754" t="s">
        <v>83</v>
      </c>
    </row>
    <row r="755" spans="1:54" x14ac:dyDescent="0.4">
      <c r="A755">
        <v>1472197</v>
      </c>
      <c r="D755" t="s">
        <v>167</v>
      </c>
      <c r="E755" t="s">
        <v>154</v>
      </c>
      <c r="G755">
        <v>1</v>
      </c>
      <c r="H755" t="s">
        <v>84</v>
      </c>
      <c r="I755" t="s">
        <v>57</v>
      </c>
      <c r="K755" t="s">
        <v>141</v>
      </c>
      <c r="L755" t="s">
        <v>905</v>
      </c>
      <c r="M755" t="s">
        <v>60</v>
      </c>
      <c r="O755" t="s">
        <v>170</v>
      </c>
      <c r="P755" t="s">
        <v>62</v>
      </c>
      <c r="R755" t="s">
        <v>63</v>
      </c>
      <c r="S755" t="s">
        <v>64</v>
      </c>
      <c r="T755">
        <v>227</v>
      </c>
      <c r="U755">
        <v>208.5</v>
      </c>
      <c r="V755">
        <f t="shared" si="22"/>
        <v>217.75</v>
      </c>
      <c r="W755">
        <f t="shared" si="23"/>
        <v>18.5</v>
      </c>
      <c r="X755">
        <v>-109.462486</v>
      </c>
      <c r="Y755">
        <v>34.437420000000003</v>
      </c>
      <c r="Z755" t="s">
        <v>734</v>
      </c>
      <c r="AA755" t="s">
        <v>66</v>
      </c>
      <c r="AB755" t="s">
        <v>583</v>
      </c>
      <c r="AC755" t="s">
        <v>735</v>
      </c>
      <c r="AD755" t="s">
        <v>174</v>
      </c>
      <c r="AF755" t="s">
        <v>736</v>
      </c>
      <c r="AH755" t="s">
        <v>72</v>
      </c>
      <c r="AI755" t="s">
        <v>770</v>
      </c>
      <c r="AJ755">
        <v>1994</v>
      </c>
      <c r="AK755" t="s">
        <v>737</v>
      </c>
      <c r="AN755" t="s">
        <v>76</v>
      </c>
      <c r="AO755">
        <v>8</v>
      </c>
      <c r="AP755" t="s">
        <v>78</v>
      </c>
      <c r="AQ755" t="s">
        <v>738</v>
      </c>
      <c r="AR755" t="s">
        <v>80</v>
      </c>
      <c r="AS755">
        <v>101</v>
      </c>
      <c r="AT755" t="s">
        <v>81</v>
      </c>
      <c r="AU755">
        <v>-37.44</v>
      </c>
      <c r="AV755">
        <v>9.8800000000000008</v>
      </c>
      <c r="AW755" t="s">
        <v>82</v>
      </c>
      <c r="AX755">
        <v>133</v>
      </c>
      <c r="AY755" t="s">
        <v>81</v>
      </c>
      <c r="AZ755">
        <v>-52.23</v>
      </c>
      <c r="BA755">
        <v>9.9499999999999993</v>
      </c>
      <c r="BB755" t="s">
        <v>83</v>
      </c>
    </row>
    <row r="756" spans="1:54" x14ac:dyDescent="0.4">
      <c r="A756">
        <v>1475022</v>
      </c>
      <c r="D756" t="s">
        <v>54</v>
      </c>
      <c r="G756">
        <v>1</v>
      </c>
      <c r="H756" t="s">
        <v>84</v>
      </c>
      <c r="I756" t="s">
        <v>57</v>
      </c>
      <c r="K756" t="s">
        <v>141</v>
      </c>
      <c r="L756" t="s">
        <v>5440</v>
      </c>
      <c r="M756" t="s">
        <v>223</v>
      </c>
      <c r="N756" t="s">
        <v>61</v>
      </c>
      <c r="O756" t="s">
        <v>345</v>
      </c>
      <c r="P756" t="s">
        <v>62</v>
      </c>
      <c r="R756" t="s">
        <v>63</v>
      </c>
      <c r="S756" t="s">
        <v>64</v>
      </c>
      <c r="T756">
        <v>227</v>
      </c>
      <c r="U756">
        <v>208.5</v>
      </c>
      <c r="V756">
        <f t="shared" si="22"/>
        <v>217.75</v>
      </c>
      <c r="W756">
        <f t="shared" si="23"/>
        <v>18.5</v>
      </c>
      <c r="X756">
        <v>12.864845000000001</v>
      </c>
      <c r="Y756">
        <v>46.398826999999997</v>
      </c>
      <c r="Z756" t="s">
        <v>124</v>
      </c>
      <c r="AA756" t="s">
        <v>593</v>
      </c>
      <c r="AB756" t="s">
        <v>5441</v>
      </c>
      <c r="AC756" t="s">
        <v>5442</v>
      </c>
      <c r="AD756" t="s">
        <v>1682</v>
      </c>
      <c r="AH756" t="s">
        <v>72</v>
      </c>
      <c r="AI756" t="s">
        <v>1683</v>
      </c>
      <c r="AJ756">
        <v>2019</v>
      </c>
      <c r="AK756" t="s">
        <v>5443</v>
      </c>
      <c r="AN756" t="s">
        <v>114</v>
      </c>
      <c r="AO756">
        <v>6</v>
      </c>
      <c r="AP756" t="s">
        <v>115</v>
      </c>
      <c r="AQ756" t="s">
        <v>5444</v>
      </c>
      <c r="AR756" t="s">
        <v>80</v>
      </c>
      <c r="AS756">
        <v>307</v>
      </c>
      <c r="AT756" t="s">
        <v>81</v>
      </c>
      <c r="AU756">
        <v>30.69</v>
      </c>
      <c r="AV756">
        <v>19.809999999999999</v>
      </c>
      <c r="AW756" t="s">
        <v>82</v>
      </c>
      <c r="AX756">
        <v>307</v>
      </c>
      <c r="AY756" t="s">
        <v>81</v>
      </c>
      <c r="AZ756">
        <v>15.87</v>
      </c>
      <c r="BA756">
        <v>25</v>
      </c>
      <c r="BB756" t="s">
        <v>83</v>
      </c>
    </row>
    <row r="757" spans="1:54" x14ac:dyDescent="0.4">
      <c r="A757">
        <v>1487831</v>
      </c>
      <c r="D757" t="s">
        <v>54</v>
      </c>
      <c r="G757">
        <v>7</v>
      </c>
      <c r="H757" t="s">
        <v>84</v>
      </c>
      <c r="I757" t="s">
        <v>57</v>
      </c>
      <c r="K757" t="s">
        <v>141</v>
      </c>
      <c r="L757" t="s">
        <v>5453</v>
      </c>
      <c r="M757" t="s">
        <v>60</v>
      </c>
      <c r="P757" t="s">
        <v>62</v>
      </c>
      <c r="R757" t="s">
        <v>63</v>
      </c>
      <c r="S757" t="s">
        <v>64</v>
      </c>
      <c r="T757">
        <v>227</v>
      </c>
      <c r="U757">
        <v>208.5</v>
      </c>
      <c r="V757">
        <f t="shared" si="22"/>
        <v>217.75</v>
      </c>
      <c r="W757">
        <f t="shared" si="23"/>
        <v>18.5</v>
      </c>
      <c r="X757">
        <v>-109.806389</v>
      </c>
      <c r="Y757">
        <v>35.088054999999997</v>
      </c>
      <c r="Z757" t="s">
        <v>124</v>
      </c>
      <c r="AA757" t="s">
        <v>66</v>
      </c>
      <c r="AB757" t="s">
        <v>583</v>
      </c>
      <c r="AD757" t="s">
        <v>174</v>
      </c>
      <c r="AF757" t="s">
        <v>1078</v>
      </c>
      <c r="AG757" t="s">
        <v>1079</v>
      </c>
      <c r="AH757" t="s">
        <v>72</v>
      </c>
      <c r="AI757" t="s">
        <v>5454</v>
      </c>
      <c r="AJ757">
        <v>2019</v>
      </c>
      <c r="AK757" t="s">
        <v>5455</v>
      </c>
      <c r="AN757" t="s">
        <v>341</v>
      </c>
      <c r="AO757" t="s">
        <v>77</v>
      </c>
      <c r="AQ757" t="s">
        <v>5456</v>
      </c>
      <c r="AR757" t="s">
        <v>80</v>
      </c>
      <c r="AS757">
        <v>101</v>
      </c>
      <c r="AT757" t="s">
        <v>81</v>
      </c>
      <c r="AU757">
        <v>-37.590000000000003</v>
      </c>
      <c r="AV757">
        <v>10.57</v>
      </c>
      <c r="AW757" t="s">
        <v>82</v>
      </c>
      <c r="AX757">
        <v>133</v>
      </c>
      <c r="AY757" t="s">
        <v>81</v>
      </c>
      <c r="AZ757">
        <v>-52.4</v>
      </c>
      <c r="BA757">
        <v>10.64</v>
      </c>
      <c r="BB757" t="s">
        <v>83</v>
      </c>
    </row>
    <row r="758" spans="1:54" x14ac:dyDescent="0.4">
      <c r="A758">
        <v>1495796</v>
      </c>
      <c r="D758" t="s">
        <v>54</v>
      </c>
      <c r="G758">
        <v>1</v>
      </c>
      <c r="H758" t="s">
        <v>84</v>
      </c>
      <c r="I758" t="s">
        <v>57</v>
      </c>
      <c r="K758" t="s">
        <v>141</v>
      </c>
      <c r="L758" t="s">
        <v>5466</v>
      </c>
      <c r="M758" t="s">
        <v>223</v>
      </c>
      <c r="P758" t="s">
        <v>62</v>
      </c>
      <c r="R758" t="s">
        <v>63</v>
      </c>
      <c r="S758" t="s">
        <v>64</v>
      </c>
      <c r="T758">
        <v>227</v>
      </c>
      <c r="U758">
        <v>208.5</v>
      </c>
      <c r="V758">
        <f t="shared" si="22"/>
        <v>217.75</v>
      </c>
      <c r="W758">
        <f t="shared" si="23"/>
        <v>18.5</v>
      </c>
      <c r="X758">
        <v>-134.05600000000001</v>
      </c>
      <c r="Y758">
        <v>56.885578000000002</v>
      </c>
      <c r="Z758" t="s">
        <v>520</v>
      </c>
      <c r="AA758" t="s">
        <v>66</v>
      </c>
      <c r="AB758" t="s">
        <v>5467</v>
      </c>
      <c r="AE758" t="s">
        <v>5468</v>
      </c>
      <c r="AG758" t="s">
        <v>3303</v>
      </c>
      <c r="AH758" t="s">
        <v>72</v>
      </c>
      <c r="AI758" t="s">
        <v>5469</v>
      </c>
      <c r="AJ758">
        <v>2020</v>
      </c>
      <c r="AK758" t="s">
        <v>5470</v>
      </c>
      <c r="AM758" t="s">
        <v>5471</v>
      </c>
      <c r="AN758" t="s">
        <v>192</v>
      </c>
      <c r="AO758">
        <v>5</v>
      </c>
      <c r="AR758" t="s">
        <v>80</v>
      </c>
      <c r="AS758">
        <v>128</v>
      </c>
      <c r="AT758" t="s">
        <v>81</v>
      </c>
      <c r="AU758">
        <v>-72.209999999999994</v>
      </c>
      <c r="AV758">
        <v>41.61</v>
      </c>
      <c r="AW758" t="s">
        <v>82</v>
      </c>
      <c r="AX758">
        <v>128</v>
      </c>
      <c r="AY758" t="s">
        <v>81</v>
      </c>
      <c r="AZ758">
        <v>-72.23</v>
      </c>
      <c r="BA758">
        <v>1.54</v>
      </c>
      <c r="BB758" t="s">
        <v>83</v>
      </c>
    </row>
    <row r="759" spans="1:54" x14ac:dyDescent="0.4">
      <c r="A759">
        <v>1499983</v>
      </c>
      <c r="D759" t="s">
        <v>54</v>
      </c>
      <c r="G759">
        <v>1</v>
      </c>
      <c r="H759" t="s">
        <v>84</v>
      </c>
      <c r="I759" t="s">
        <v>57</v>
      </c>
      <c r="K759" t="s">
        <v>141</v>
      </c>
      <c r="L759" t="s">
        <v>5472</v>
      </c>
      <c r="M759" t="s">
        <v>60</v>
      </c>
      <c r="P759" t="s">
        <v>62</v>
      </c>
      <c r="R759" t="s">
        <v>63</v>
      </c>
      <c r="S759" t="s">
        <v>64</v>
      </c>
      <c r="T759">
        <v>227</v>
      </c>
      <c r="U759">
        <v>208.5</v>
      </c>
      <c r="V759">
        <f t="shared" si="22"/>
        <v>217.75</v>
      </c>
      <c r="W759">
        <f t="shared" si="23"/>
        <v>18.5</v>
      </c>
      <c r="X759">
        <v>-53.446666999999998</v>
      </c>
      <c r="Y759">
        <v>-29.5625</v>
      </c>
      <c r="Z759" t="s">
        <v>105</v>
      </c>
      <c r="AA759" t="s">
        <v>783</v>
      </c>
      <c r="AB759" t="s">
        <v>784</v>
      </c>
      <c r="AC759" t="s">
        <v>1178</v>
      </c>
      <c r="AD759" t="s">
        <v>785</v>
      </c>
      <c r="AE759" t="s">
        <v>786</v>
      </c>
      <c r="AG759" t="s">
        <v>787</v>
      </c>
      <c r="AH759" t="s">
        <v>72</v>
      </c>
      <c r="AI759" t="s">
        <v>5473</v>
      </c>
      <c r="AJ759">
        <v>2020</v>
      </c>
      <c r="AK759" t="s">
        <v>1180</v>
      </c>
      <c r="AN759" t="s">
        <v>76</v>
      </c>
      <c r="AO759" t="s">
        <v>77</v>
      </c>
      <c r="AP759" t="s">
        <v>78</v>
      </c>
      <c r="AQ759" t="s">
        <v>1181</v>
      </c>
      <c r="AR759" t="s">
        <v>80</v>
      </c>
      <c r="AS759">
        <v>201</v>
      </c>
      <c r="AT759" t="s">
        <v>81</v>
      </c>
      <c r="AU759">
        <v>-6.86</v>
      </c>
      <c r="AV759">
        <v>-38.53</v>
      </c>
      <c r="AW759" t="s">
        <v>82</v>
      </c>
      <c r="AX759">
        <v>202</v>
      </c>
      <c r="AY759" t="s">
        <v>81</v>
      </c>
      <c r="AZ759">
        <v>-15.62</v>
      </c>
      <c r="BA759">
        <v>-36.979999999999997</v>
      </c>
      <c r="BB759" t="s">
        <v>83</v>
      </c>
    </row>
    <row r="760" spans="1:54" x14ac:dyDescent="0.4">
      <c r="A760">
        <v>1514433</v>
      </c>
      <c r="D760" t="s">
        <v>54</v>
      </c>
      <c r="E760" t="s">
        <v>297</v>
      </c>
      <c r="I760" t="s">
        <v>57</v>
      </c>
      <c r="K760" t="s">
        <v>141</v>
      </c>
      <c r="L760" t="s">
        <v>5482</v>
      </c>
      <c r="M760" t="s">
        <v>60</v>
      </c>
      <c r="P760" t="s">
        <v>62</v>
      </c>
      <c r="R760" t="s">
        <v>63</v>
      </c>
      <c r="S760" t="s">
        <v>64</v>
      </c>
      <c r="T760">
        <v>227</v>
      </c>
      <c r="U760">
        <v>208.5</v>
      </c>
      <c r="V760">
        <f t="shared" si="22"/>
        <v>217.75</v>
      </c>
      <c r="W760">
        <f t="shared" si="23"/>
        <v>18.5</v>
      </c>
      <c r="X760">
        <v>8.4869439999999994</v>
      </c>
      <c r="Y760">
        <v>47.741669000000002</v>
      </c>
      <c r="Z760" t="s">
        <v>124</v>
      </c>
      <c r="AA760" t="s">
        <v>226</v>
      </c>
      <c r="AB760" t="s">
        <v>877</v>
      </c>
      <c r="AD760" t="s">
        <v>247</v>
      </c>
      <c r="AF760" t="s">
        <v>248</v>
      </c>
      <c r="AH760" t="s">
        <v>72</v>
      </c>
      <c r="AI760" t="s">
        <v>5483</v>
      </c>
      <c r="AJ760">
        <v>2020</v>
      </c>
      <c r="AK760" t="s">
        <v>878</v>
      </c>
      <c r="AM760" t="s">
        <v>879</v>
      </c>
      <c r="AN760" t="s">
        <v>76</v>
      </c>
      <c r="AO760" t="s">
        <v>77</v>
      </c>
      <c r="AP760" t="s">
        <v>115</v>
      </c>
      <c r="AQ760" t="s">
        <v>880</v>
      </c>
      <c r="AR760" t="s">
        <v>80</v>
      </c>
      <c r="AS760">
        <v>305</v>
      </c>
      <c r="AT760" t="s">
        <v>81</v>
      </c>
      <c r="AU760">
        <v>21.27</v>
      </c>
      <c r="AV760">
        <v>28.95</v>
      </c>
      <c r="AW760" t="s">
        <v>82</v>
      </c>
      <c r="AX760">
        <v>305</v>
      </c>
      <c r="AY760" t="s">
        <v>81</v>
      </c>
      <c r="AZ760">
        <v>10.16</v>
      </c>
      <c r="BA760">
        <v>30.87</v>
      </c>
      <c r="BB760" t="s">
        <v>83</v>
      </c>
    </row>
    <row r="761" spans="1:54" x14ac:dyDescent="0.4">
      <c r="A761">
        <v>1545883</v>
      </c>
      <c r="D761" t="s">
        <v>54</v>
      </c>
      <c r="I761" t="s">
        <v>57</v>
      </c>
      <c r="K761" t="s">
        <v>168</v>
      </c>
      <c r="L761" t="s">
        <v>169</v>
      </c>
      <c r="M761" t="s">
        <v>60</v>
      </c>
      <c r="O761" t="s">
        <v>170</v>
      </c>
      <c r="P761" t="s">
        <v>62</v>
      </c>
      <c r="R761" t="s">
        <v>63</v>
      </c>
      <c r="S761" t="s">
        <v>64</v>
      </c>
      <c r="T761">
        <v>227</v>
      </c>
      <c r="U761">
        <v>208.5</v>
      </c>
      <c r="V761">
        <f t="shared" si="22"/>
        <v>217.75</v>
      </c>
      <c r="W761">
        <f t="shared" si="23"/>
        <v>18.5</v>
      </c>
      <c r="X761">
        <v>-109.807503</v>
      </c>
      <c r="Y761">
        <v>35.125</v>
      </c>
      <c r="Z761" t="s">
        <v>124</v>
      </c>
      <c r="AA761" t="s">
        <v>66</v>
      </c>
      <c r="AB761" t="s">
        <v>583</v>
      </c>
      <c r="AC761" t="s">
        <v>735</v>
      </c>
      <c r="AD761" t="s">
        <v>174</v>
      </c>
      <c r="AF761" t="s">
        <v>1078</v>
      </c>
      <c r="AH761" t="s">
        <v>72</v>
      </c>
      <c r="AI761" t="s">
        <v>5237</v>
      </c>
      <c r="AJ761">
        <v>2020</v>
      </c>
      <c r="AK761" t="s">
        <v>1241</v>
      </c>
      <c r="AM761" t="s">
        <v>1242</v>
      </c>
      <c r="AN761" t="s">
        <v>114</v>
      </c>
      <c r="AO761" t="s">
        <v>77</v>
      </c>
      <c r="AR761" t="s">
        <v>80</v>
      </c>
      <c r="AS761">
        <v>101</v>
      </c>
      <c r="AT761" t="s">
        <v>81</v>
      </c>
      <c r="AU761">
        <v>-37.58</v>
      </c>
      <c r="AV761">
        <v>10.61</v>
      </c>
      <c r="AW761" t="s">
        <v>82</v>
      </c>
      <c r="AX761">
        <v>133</v>
      </c>
      <c r="AY761" t="s">
        <v>81</v>
      </c>
      <c r="AZ761">
        <v>-52.39</v>
      </c>
      <c r="BA761">
        <v>10.68</v>
      </c>
      <c r="BB761" t="s">
        <v>83</v>
      </c>
    </row>
    <row r="762" spans="1:54" x14ac:dyDescent="0.4">
      <c r="A762">
        <v>1546409</v>
      </c>
      <c r="D762" t="s">
        <v>54</v>
      </c>
      <c r="I762" t="s">
        <v>57</v>
      </c>
      <c r="K762" t="s">
        <v>206</v>
      </c>
      <c r="L762" t="s">
        <v>754</v>
      </c>
      <c r="M762" t="s">
        <v>60</v>
      </c>
      <c r="O762" t="s">
        <v>170</v>
      </c>
      <c r="P762" t="s">
        <v>62</v>
      </c>
      <c r="R762" t="s">
        <v>63</v>
      </c>
      <c r="S762" t="s">
        <v>64</v>
      </c>
      <c r="T762">
        <v>227</v>
      </c>
      <c r="U762">
        <v>208.5</v>
      </c>
      <c r="V762">
        <f t="shared" si="22"/>
        <v>217.75</v>
      </c>
      <c r="W762">
        <f t="shared" si="23"/>
        <v>18.5</v>
      </c>
      <c r="X762">
        <v>-109.780624</v>
      </c>
      <c r="Y762">
        <v>35.022708999999999</v>
      </c>
      <c r="Z762" t="s">
        <v>124</v>
      </c>
      <c r="AA762" t="s">
        <v>66</v>
      </c>
      <c r="AB762" t="s">
        <v>583</v>
      </c>
      <c r="AD762" t="s">
        <v>174</v>
      </c>
      <c r="AF762" t="s">
        <v>1068</v>
      </c>
      <c r="AH762" t="s">
        <v>72</v>
      </c>
      <c r="AI762" t="s">
        <v>5511</v>
      </c>
      <c r="AJ762">
        <v>2020</v>
      </c>
      <c r="AK762" t="s">
        <v>5512</v>
      </c>
      <c r="AM762" t="s">
        <v>1239</v>
      </c>
      <c r="AN762" t="s">
        <v>114</v>
      </c>
      <c r="AO762">
        <v>6</v>
      </c>
      <c r="AP762" t="s">
        <v>115</v>
      </c>
      <c r="AQ762" t="s">
        <v>5513</v>
      </c>
      <c r="AR762" t="s">
        <v>80</v>
      </c>
      <c r="AS762">
        <v>101</v>
      </c>
      <c r="AT762" t="s">
        <v>81</v>
      </c>
      <c r="AU762">
        <v>-37.58</v>
      </c>
      <c r="AV762">
        <v>10.51</v>
      </c>
      <c r="AW762" t="s">
        <v>82</v>
      </c>
      <c r="AX762">
        <v>133</v>
      </c>
      <c r="AY762" t="s">
        <v>81</v>
      </c>
      <c r="AZ762">
        <v>-52.39</v>
      </c>
      <c r="BA762">
        <v>10.58</v>
      </c>
      <c r="BB762" t="s">
        <v>83</v>
      </c>
    </row>
    <row r="763" spans="1:54" x14ac:dyDescent="0.4">
      <c r="A763">
        <v>1546421</v>
      </c>
      <c r="D763" t="s">
        <v>54</v>
      </c>
      <c r="I763" t="s">
        <v>57</v>
      </c>
      <c r="K763" t="s">
        <v>1169</v>
      </c>
      <c r="L763" t="s">
        <v>5514</v>
      </c>
      <c r="M763" t="s">
        <v>60</v>
      </c>
      <c r="P763" t="s">
        <v>62</v>
      </c>
      <c r="R763" t="s">
        <v>63</v>
      </c>
      <c r="S763" t="s">
        <v>64</v>
      </c>
      <c r="T763">
        <v>227</v>
      </c>
      <c r="U763">
        <v>208.5</v>
      </c>
      <c r="V763">
        <f t="shared" si="22"/>
        <v>217.75</v>
      </c>
      <c r="W763">
        <f t="shared" si="23"/>
        <v>18.5</v>
      </c>
      <c r="X763">
        <v>-109.780624</v>
      </c>
      <c r="Y763">
        <v>35.022708999999999</v>
      </c>
      <c r="Z763" t="s">
        <v>124</v>
      </c>
      <c r="AA763" t="s">
        <v>66</v>
      </c>
      <c r="AB763" t="s">
        <v>583</v>
      </c>
      <c r="AD763" t="s">
        <v>174</v>
      </c>
      <c r="AF763" t="s">
        <v>1068</v>
      </c>
      <c r="AH763" t="s">
        <v>72</v>
      </c>
      <c r="AI763" t="s">
        <v>352</v>
      </c>
      <c r="AJ763">
        <v>2021</v>
      </c>
      <c r="AK763" t="s">
        <v>5512</v>
      </c>
      <c r="AM763" t="s">
        <v>1239</v>
      </c>
      <c r="AN763" t="s">
        <v>114</v>
      </c>
      <c r="AO763">
        <v>6</v>
      </c>
      <c r="AP763" t="s">
        <v>115</v>
      </c>
      <c r="AQ763" t="s">
        <v>5513</v>
      </c>
      <c r="AR763" t="s">
        <v>80</v>
      </c>
      <c r="AS763">
        <v>101</v>
      </c>
      <c r="AT763" t="s">
        <v>81</v>
      </c>
      <c r="AU763">
        <v>-37.58</v>
      </c>
      <c r="AV763">
        <v>10.51</v>
      </c>
      <c r="AW763" t="s">
        <v>82</v>
      </c>
      <c r="AX763">
        <v>133</v>
      </c>
      <c r="AY763" t="s">
        <v>81</v>
      </c>
      <c r="AZ763">
        <v>-52.39</v>
      </c>
      <c r="BA763">
        <v>10.58</v>
      </c>
      <c r="BB763" t="s">
        <v>83</v>
      </c>
    </row>
    <row r="764" spans="1:54" x14ac:dyDescent="0.4">
      <c r="A764">
        <v>1546483</v>
      </c>
      <c r="D764" t="s">
        <v>54</v>
      </c>
      <c r="I764" t="s">
        <v>57</v>
      </c>
      <c r="K764" t="s">
        <v>206</v>
      </c>
      <c r="L764" t="s">
        <v>754</v>
      </c>
      <c r="M764" t="s">
        <v>60</v>
      </c>
      <c r="O764" t="s">
        <v>170</v>
      </c>
      <c r="P764" t="s">
        <v>62</v>
      </c>
      <c r="R764" t="s">
        <v>63</v>
      </c>
      <c r="S764" t="s">
        <v>64</v>
      </c>
      <c r="T764">
        <v>227</v>
      </c>
      <c r="U764">
        <v>208.5</v>
      </c>
      <c r="V764">
        <f t="shared" si="22"/>
        <v>217.75</v>
      </c>
      <c r="W764">
        <f t="shared" si="23"/>
        <v>18.5</v>
      </c>
      <c r="X764">
        <v>-109.763885</v>
      </c>
      <c r="Y764">
        <v>34.947223999999999</v>
      </c>
      <c r="Z764" t="s">
        <v>124</v>
      </c>
      <c r="AA764" t="s">
        <v>66</v>
      </c>
      <c r="AB764" t="s">
        <v>583</v>
      </c>
      <c r="AC764" t="s">
        <v>735</v>
      </c>
      <c r="AD764" t="s">
        <v>174</v>
      </c>
      <c r="AF764" t="s">
        <v>1068</v>
      </c>
      <c r="AH764" t="s">
        <v>72</v>
      </c>
      <c r="AI764" t="s">
        <v>5511</v>
      </c>
      <c r="AJ764">
        <v>2020</v>
      </c>
      <c r="AK764" t="s">
        <v>5238</v>
      </c>
      <c r="AN764" t="s">
        <v>192</v>
      </c>
      <c r="AO764" t="s">
        <v>77</v>
      </c>
      <c r="AP764" t="s">
        <v>78</v>
      </c>
      <c r="AR764" t="s">
        <v>80</v>
      </c>
      <c r="AS764">
        <v>101</v>
      </c>
      <c r="AT764" t="s">
        <v>81</v>
      </c>
      <c r="AU764">
        <v>-37.590000000000003</v>
      </c>
      <c r="AV764">
        <v>10.43</v>
      </c>
      <c r="AW764" t="s">
        <v>82</v>
      </c>
      <c r="AX764">
        <v>133</v>
      </c>
      <c r="AY764" t="s">
        <v>81</v>
      </c>
      <c r="AZ764">
        <v>-52.39</v>
      </c>
      <c r="BA764">
        <v>10.5</v>
      </c>
      <c r="BB764" t="s">
        <v>83</v>
      </c>
    </row>
    <row r="765" spans="1:54" x14ac:dyDescent="0.4">
      <c r="A765">
        <v>1546783</v>
      </c>
      <c r="D765" t="s">
        <v>54</v>
      </c>
      <c r="I765" t="s">
        <v>57</v>
      </c>
      <c r="K765" t="s">
        <v>206</v>
      </c>
      <c r="L765" t="s">
        <v>851</v>
      </c>
      <c r="M765" t="s">
        <v>60</v>
      </c>
      <c r="O765" t="s">
        <v>170</v>
      </c>
      <c r="P765" t="s">
        <v>62</v>
      </c>
      <c r="R765" t="s">
        <v>63</v>
      </c>
      <c r="S765" t="s">
        <v>64</v>
      </c>
      <c r="T765">
        <v>227</v>
      </c>
      <c r="U765">
        <v>208.5</v>
      </c>
      <c r="V765">
        <f t="shared" si="22"/>
        <v>217.75</v>
      </c>
      <c r="W765">
        <f t="shared" si="23"/>
        <v>18.5</v>
      </c>
      <c r="X765">
        <v>-109.75859800000001</v>
      </c>
      <c r="Y765">
        <v>35.146599000000002</v>
      </c>
      <c r="Z765" t="s">
        <v>124</v>
      </c>
      <c r="AA765" t="s">
        <v>66</v>
      </c>
      <c r="AB765" t="s">
        <v>583</v>
      </c>
      <c r="AC765" t="s">
        <v>735</v>
      </c>
      <c r="AD765" t="s">
        <v>174</v>
      </c>
      <c r="AF765" t="s">
        <v>749</v>
      </c>
      <c r="AH765" t="s">
        <v>72</v>
      </c>
      <c r="AI765" t="s">
        <v>208</v>
      </c>
      <c r="AJ765">
        <v>2006</v>
      </c>
      <c r="AK765" t="s">
        <v>5515</v>
      </c>
      <c r="AN765" t="s">
        <v>192</v>
      </c>
      <c r="AO765">
        <v>4</v>
      </c>
      <c r="AR765" t="s">
        <v>80</v>
      </c>
      <c r="AS765">
        <v>101</v>
      </c>
      <c r="AT765" t="s">
        <v>81</v>
      </c>
      <c r="AU765">
        <v>-37.54</v>
      </c>
      <c r="AV765">
        <v>10.62</v>
      </c>
      <c r="AW765" t="s">
        <v>82</v>
      </c>
      <c r="AX765">
        <v>133</v>
      </c>
      <c r="AY765" t="s">
        <v>81</v>
      </c>
      <c r="AZ765">
        <v>-52.35</v>
      </c>
      <c r="BA765">
        <v>10.69</v>
      </c>
      <c r="BB765" t="s">
        <v>83</v>
      </c>
    </row>
    <row r="766" spans="1:54" x14ac:dyDescent="0.4">
      <c r="A766">
        <v>1546807</v>
      </c>
      <c r="D766" t="s">
        <v>5516</v>
      </c>
      <c r="I766" t="s">
        <v>57</v>
      </c>
      <c r="K766" t="s">
        <v>2801</v>
      </c>
      <c r="L766" t="s">
        <v>5517</v>
      </c>
      <c r="M766" t="s">
        <v>60</v>
      </c>
      <c r="N766" t="s">
        <v>119</v>
      </c>
      <c r="O766" t="s">
        <v>87</v>
      </c>
      <c r="P766" t="s">
        <v>62</v>
      </c>
      <c r="R766" t="s">
        <v>63</v>
      </c>
      <c r="S766" t="s">
        <v>64</v>
      </c>
      <c r="T766">
        <v>227</v>
      </c>
      <c r="U766">
        <v>208.5</v>
      </c>
      <c r="V766">
        <f t="shared" si="22"/>
        <v>217.75</v>
      </c>
      <c r="W766">
        <f t="shared" si="23"/>
        <v>18.5</v>
      </c>
      <c r="X766">
        <v>-101.147003</v>
      </c>
      <c r="Y766">
        <v>32.995700999999997</v>
      </c>
      <c r="Z766" t="s">
        <v>346</v>
      </c>
      <c r="AA766" t="s">
        <v>66</v>
      </c>
      <c r="AB766" t="s">
        <v>125</v>
      </c>
      <c r="AC766" t="s">
        <v>199</v>
      </c>
      <c r="AD766" t="s">
        <v>200</v>
      </c>
      <c r="AE766" t="s">
        <v>201</v>
      </c>
      <c r="AH766" t="s">
        <v>11</v>
      </c>
      <c r="AI766" t="s">
        <v>1289</v>
      </c>
      <c r="AJ766">
        <v>2008</v>
      </c>
      <c r="AK766" t="s">
        <v>5518</v>
      </c>
      <c r="AM766" t="s">
        <v>5519</v>
      </c>
      <c r="AN766" t="s">
        <v>192</v>
      </c>
      <c r="AO766">
        <v>4</v>
      </c>
      <c r="AR766" t="s">
        <v>80</v>
      </c>
      <c r="AS766">
        <v>101</v>
      </c>
      <c r="AT766" t="s">
        <v>81</v>
      </c>
      <c r="AU766">
        <v>-30.8</v>
      </c>
      <c r="AV766">
        <v>7.29</v>
      </c>
      <c r="AW766" t="s">
        <v>82</v>
      </c>
      <c r="AX766">
        <v>101</v>
      </c>
      <c r="AY766" t="s">
        <v>81</v>
      </c>
      <c r="AZ766">
        <v>-41.53</v>
      </c>
      <c r="BA766">
        <v>7.56</v>
      </c>
      <c r="BB766" t="s">
        <v>83</v>
      </c>
    </row>
    <row r="767" spans="1:54" x14ac:dyDescent="0.4">
      <c r="A767">
        <v>1546809</v>
      </c>
      <c r="D767" t="s">
        <v>5516</v>
      </c>
      <c r="I767" t="s">
        <v>57</v>
      </c>
      <c r="K767" t="s">
        <v>168</v>
      </c>
      <c r="L767" t="s">
        <v>169</v>
      </c>
      <c r="M767" t="s">
        <v>60</v>
      </c>
      <c r="O767" t="s">
        <v>170</v>
      </c>
      <c r="P767" t="s">
        <v>62</v>
      </c>
      <c r="R767" t="s">
        <v>63</v>
      </c>
      <c r="S767" t="s">
        <v>64</v>
      </c>
      <c r="T767">
        <v>227</v>
      </c>
      <c r="U767">
        <v>208.5</v>
      </c>
      <c r="V767">
        <f t="shared" si="22"/>
        <v>217.75</v>
      </c>
      <c r="W767">
        <f t="shared" si="23"/>
        <v>18.5</v>
      </c>
      <c r="X767">
        <v>-101.147003</v>
      </c>
      <c r="Y767">
        <v>32.995700999999997</v>
      </c>
      <c r="Z767" t="s">
        <v>346</v>
      </c>
      <c r="AA767" t="s">
        <v>66</v>
      </c>
      <c r="AB767" t="s">
        <v>125</v>
      </c>
      <c r="AC767" t="s">
        <v>199</v>
      </c>
      <c r="AD767" t="s">
        <v>200</v>
      </c>
      <c r="AE767" t="s">
        <v>201</v>
      </c>
      <c r="AH767" t="s">
        <v>72</v>
      </c>
      <c r="AI767" t="s">
        <v>2172</v>
      </c>
      <c r="AJ767">
        <v>2006</v>
      </c>
      <c r="AK767" t="s">
        <v>5518</v>
      </c>
      <c r="AM767" t="s">
        <v>5519</v>
      </c>
      <c r="AN767" t="s">
        <v>192</v>
      </c>
      <c r="AO767">
        <v>4</v>
      </c>
      <c r="AR767" t="s">
        <v>80</v>
      </c>
      <c r="AS767">
        <v>101</v>
      </c>
      <c r="AT767" t="s">
        <v>81</v>
      </c>
      <c r="AU767">
        <v>-30.8</v>
      </c>
      <c r="AV767">
        <v>7.29</v>
      </c>
      <c r="AW767" t="s">
        <v>82</v>
      </c>
      <c r="AX767">
        <v>101</v>
      </c>
      <c r="AY767" t="s">
        <v>81</v>
      </c>
      <c r="AZ767">
        <v>-41.53</v>
      </c>
      <c r="BA767">
        <v>7.56</v>
      </c>
      <c r="BB767" t="s">
        <v>83</v>
      </c>
    </row>
    <row r="768" spans="1:54" x14ac:dyDescent="0.4">
      <c r="A768">
        <v>1546810</v>
      </c>
      <c r="D768" t="s">
        <v>5516</v>
      </c>
      <c r="I768" t="s">
        <v>57</v>
      </c>
      <c r="K768" t="s">
        <v>168</v>
      </c>
      <c r="L768" t="s">
        <v>169</v>
      </c>
      <c r="M768" t="s">
        <v>60</v>
      </c>
      <c r="O768" t="s">
        <v>170</v>
      </c>
      <c r="P768" t="s">
        <v>62</v>
      </c>
      <c r="R768" t="s">
        <v>63</v>
      </c>
      <c r="S768" t="s">
        <v>64</v>
      </c>
      <c r="T768">
        <v>227</v>
      </c>
      <c r="U768">
        <v>208.5</v>
      </c>
      <c r="V768">
        <f t="shared" si="22"/>
        <v>217.75</v>
      </c>
      <c r="W768">
        <f t="shared" si="23"/>
        <v>18.5</v>
      </c>
      <c r="X768">
        <v>-101.147003</v>
      </c>
      <c r="Y768">
        <v>32.995700999999997</v>
      </c>
      <c r="Z768" t="s">
        <v>346</v>
      </c>
      <c r="AA768" t="s">
        <v>66</v>
      </c>
      <c r="AB768" t="s">
        <v>125</v>
      </c>
      <c r="AC768" t="s">
        <v>199</v>
      </c>
      <c r="AD768" t="s">
        <v>200</v>
      </c>
      <c r="AE768" t="s">
        <v>201</v>
      </c>
      <c r="AH768" t="s">
        <v>72</v>
      </c>
      <c r="AI768" t="s">
        <v>1289</v>
      </c>
      <c r="AJ768">
        <v>2008</v>
      </c>
      <c r="AK768" t="s">
        <v>5518</v>
      </c>
      <c r="AM768" t="s">
        <v>5519</v>
      </c>
      <c r="AN768" t="s">
        <v>192</v>
      </c>
      <c r="AO768">
        <v>4</v>
      </c>
      <c r="AR768" t="s">
        <v>80</v>
      </c>
      <c r="AS768">
        <v>101</v>
      </c>
      <c r="AT768" t="s">
        <v>81</v>
      </c>
      <c r="AU768">
        <v>-30.8</v>
      </c>
      <c r="AV768">
        <v>7.29</v>
      </c>
      <c r="AW768" t="s">
        <v>82</v>
      </c>
      <c r="AX768">
        <v>101</v>
      </c>
      <c r="AY768" t="s">
        <v>81</v>
      </c>
      <c r="AZ768">
        <v>-41.53</v>
      </c>
      <c r="BA768">
        <v>7.56</v>
      </c>
      <c r="BB768" t="s">
        <v>83</v>
      </c>
    </row>
    <row r="769" spans="1:54" x14ac:dyDescent="0.4">
      <c r="A769">
        <v>1546811</v>
      </c>
      <c r="D769" t="s">
        <v>5516</v>
      </c>
      <c r="I769" t="s">
        <v>57</v>
      </c>
      <c r="K769" t="s">
        <v>168</v>
      </c>
      <c r="L769" t="s">
        <v>169</v>
      </c>
      <c r="M769" t="s">
        <v>60</v>
      </c>
      <c r="O769" t="s">
        <v>170</v>
      </c>
      <c r="P769" t="s">
        <v>62</v>
      </c>
      <c r="R769" t="s">
        <v>63</v>
      </c>
      <c r="S769" t="s">
        <v>64</v>
      </c>
      <c r="T769">
        <v>227</v>
      </c>
      <c r="U769">
        <v>208.5</v>
      </c>
      <c r="V769">
        <f t="shared" si="22"/>
        <v>217.75</v>
      </c>
      <c r="W769">
        <f t="shared" si="23"/>
        <v>18.5</v>
      </c>
      <c r="X769">
        <v>-101.147003</v>
      </c>
      <c r="Y769">
        <v>32.995700999999997</v>
      </c>
      <c r="Z769" t="s">
        <v>346</v>
      </c>
      <c r="AA769" t="s">
        <v>66</v>
      </c>
      <c r="AB769" t="s">
        <v>125</v>
      </c>
      <c r="AC769" t="s">
        <v>199</v>
      </c>
      <c r="AD769" t="s">
        <v>200</v>
      </c>
      <c r="AE769" t="s">
        <v>201</v>
      </c>
      <c r="AH769" t="s">
        <v>11</v>
      </c>
      <c r="AI769" t="s">
        <v>2172</v>
      </c>
      <c r="AJ769">
        <v>2006</v>
      </c>
      <c r="AK769" t="s">
        <v>5518</v>
      </c>
      <c r="AM769" t="s">
        <v>5519</v>
      </c>
      <c r="AN769" t="s">
        <v>192</v>
      </c>
      <c r="AO769">
        <v>4</v>
      </c>
      <c r="AR769" t="s">
        <v>80</v>
      </c>
      <c r="AS769">
        <v>101</v>
      </c>
      <c r="AT769" t="s">
        <v>81</v>
      </c>
      <c r="AU769">
        <v>-30.8</v>
      </c>
      <c r="AV769">
        <v>7.29</v>
      </c>
      <c r="AW769" t="s">
        <v>82</v>
      </c>
      <c r="AX769">
        <v>101</v>
      </c>
      <c r="AY769" t="s">
        <v>81</v>
      </c>
      <c r="AZ769">
        <v>-41.53</v>
      </c>
      <c r="BA769">
        <v>7.56</v>
      </c>
      <c r="BB769" t="s">
        <v>83</v>
      </c>
    </row>
    <row r="770" spans="1:54" x14ac:dyDescent="0.4">
      <c r="A770">
        <v>1546812</v>
      </c>
      <c r="D770" t="s">
        <v>5516</v>
      </c>
      <c r="I770" t="s">
        <v>57</v>
      </c>
      <c r="K770" t="s">
        <v>85</v>
      </c>
      <c r="L770" t="s">
        <v>753</v>
      </c>
      <c r="M770" t="s">
        <v>60</v>
      </c>
      <c r="O770" t="s">
        <v>87</v>
      </c>
      <c r="P770" t="s">
        <v>62</v>
      </c>
      <c r="R770" t="s">
        <v>63</v>
      </c>
      <c r="S770" t="s">
        <v>64</v>
      </c>
      <c r="T770">
        <v>227</v>
      </c>
      <c r="U770">
        <v>208.5</v>
      </c>
      <c r="V770">
        <f t="shared" si="22"/>
        <v>217.75</v>
      </c>
      <c r="W770">
        <f t="shared" si="23"/>
        <v>18.5</v>
      </c>
      <c r="X770">
        <v>-101.147003</v>
      </c>
      <c r="Y770">
        <v>32.995700999999997</v>
      </c>
      <c r="Z770" t="s">
        <v>346</v>
      </c>
      <c r="AA770" t="s">
        <v>66</v>
      </c>
      <c r="AB770" t="s">
        <v>125</v>
      </c>
      <c r="AC770" t="s">
        <v>199</v>
      </c>
      <c r="AD770" t="s">
        <v>200</v>
      </c>
      <c r="AE770" t="s">
        <v>201</v>
      </c>
      <c r="AH770" t="s">
        <v>72</v>
      </c>
      <c r="AI770" t="s">
        <v>1289</v>
      </c>
      <c r="AJ770">
        <v>2008</v>
      </c>
      <c r="AK770" t="s">
        <v>5518</v>
      </c>
      <c r="AM770" t="s">
        <v>5519</v>
      </c>
      <c r="AN770" t="s">
        <v>192</v>
      </c>
      <c r="AO770">
        <v>4</v>
      </c>
      <c r="AR770" t="s">
        <v>80</v>
      </c>
      <c r="AS770">
        <v>101</v>
      </c>
      <c r="AT770" t="s">
        <v>81</v>
      </c>
      <c r="AU770">
        <v>-30.8</v>
      </c>
      <c r="AV770">
        <v>7.29</v>
      </c>
      <c r="AW770" t="s">
        <v>82</v>
      </c>
      <c r="AX770">
        <v>101</v>
      </c>
      <c r="AY770" t="s">
        <v>81</v>
      </c>
      <c r="AZ770">
        <v>-41.53</v>
      </c>
      <c r="BA770">
        <v>7.56</v>
      </c>
      <c r="BB770" t="s">
        <v>83</v>
      </c>
    </row>
    <row r="771" spans="1:54" x14ac:dyDescent="0.4">
      <c r="A771">
        <v>1546814</v>
      </c>
      <c r="D771" t="s">
        <v>5516</v>
      </c>
      <c r="I771" t="s">
        <v>57</v>
      </c>
      <c r="K771" t="s">
        <v>206</v>
      </c>
      <c r="L771" t="s">
        <v>1307</v>
      </c>
      <c r="M771" t="s">
        <v>60</v>
      </c>
      <c r="O771" t="s">
        <v>170</v>
      </c>
      <c r="P771" t="s">
        <v>62</v>
      </c>
      <c r="R771" t="s">
        <v>63</v>
      </c>
      <c r="S771" t="s">
        <v>64</v>
      </c>
      <c r="T771">
        <v>227</v>
      </c>
      <c r="U771">
        <v>208.5</v>
      </c>
      <c r="V771">
        <f t="shared" ref="V771:V834" si="24">(T771+U771)/2</f>
        <v>217.75</v>
      </c>
      <c r="W771">
        <f t="shared" ref="W771:W834" si="25">T771-U771</f>
        <v>18.5</v>
      </c>
      <c r="X771">
        <v>-101.147003</v>
      </c>
      <c r="Y771">
        <v>32.995700999999997</v>
      </c>
      <c r="Z771" t="s">
        <v>346</v>
      </c>
      <c r="AA771" t="s">
        <v>66</v>
      </c>
      <c r="AB771" t="s">
        <v>125</v>
      </c>
      <c r="AC771" t="s">
        <v>199</v>
      </c>
      <c r="AD771" t="s">
        <v>200</v>
      </c>
      <c r="AE771" t="s">
        <v>201</v>
      </c>
      <c r="AH771" t="s">
        <v>11</v>
      </c>
      <c r="AI771" t="s">
        <v>1289</v>
      </c>
      <c r="AJ771">
        <v>2008</v>
      </c>
      <c r="AK771" t="s">
        <v>5518</v>
      </c>
      <c r="AM771" t="s">
        <v>5519</v>
      </c>
      <c r="AN771" t="s">
        <v>192</v>
      </c>
      <c r="AO771">
        <v>4</v>
      </c>
      <c r="AR771" t="s">
        <v>80</v>
      </c>
      <c r="AS771">
        <v>101</v>
      </c>
      <c r="AT771" t="s">
        <v>81</v>
      </c>
      <c r="AU771">
        <v>-30.8</v>
      </c>
      <c r="AV771">
        <v>7.29</v>
      </c>
      <c r="AW771" t="s">
        <v>82</v>
      </c>
      <c r="AX771">
        <v>101</v>
      </c>
      <c r="AY771" t="s">
        <v>81</v>
      </c>
      <c r="AZ771">
        <v>-41.53</v>
      </c>
      <c r="BA771">
        <v>7.56</v>
      </c>
      <c r="BB771" t="s">
        <v>83</v>
      </c>
    </row>
    <row r="772" spans="1:54" x14ac:dyDescent="0.4">
      <c r="A772">
        <v>1546818</v>
      </c>
      <c r="D772" t="s">
        <v>5516</v>
      </c>
      <c r="I772" t="s">
        <v>57</v>
      </c>
      <c r="K772" t="s">
        <v>141</v>
      </c>
      <c r="L772" t="s">
        <v>905</v>
      </c>
      <c r="M772" t="s">
        <v>60</v>
      </c>
      <c r="O772" t="s">
        <v>170</v>
      </c>
      <c r="P772" t="s">
        <v>62</v>
      </c>
      <c r="R772" t="s">
        <v>63</v>
      </c>
      <c r="S772" t="s">
        <v>64</v>
      </c>
      <c r="T772">
        <v>227</v>
      </c>
      <c r="U772">
        <v>208.5</v>
      </c>
      <c r="V772">
        <f t="shared" si="24"/>
        <v>217.75</v>
      </c>
      <c r="W772">
        <f t="shared" si="25"/>
        <v>18.5</v>
      </c>
      <c r="X772">
        <v>-101.147003</v>
      </c>
      <c r="Y772">
        <v>32.995700999999997</v>
      </c>
      <c r="Z772" t="s">
        <v>346</v>
      </c>
      <c r="AA772" t="s">
        <v>66</v>
      </c>
      <c r="AB772" t="s">
        <v>125</v>
      </c>
      <c r="AC772" t="s">
        <v>199</v>
      </c>
      <c r="AD772" t="s">
        <v>200</v>
      </c>
      <c r="AE772" t="s">
        <v>201</v>
      </c>
      <c r="AH772" t="s">
        <v>72</v>
      </c>
      <c r="AI772" t="s">
        <v>1289</v>
      </c>
      <c r="AJ772">
        <v>2008</v>
      </c>
      <c r="AK772" t="s">
        <v>5518</v>
      </c>
      <c r="AM772" t="s">
        <v>5519</v>
      </c>
      <c r="AN772" t="s">
        <v>192</v>
      </c>
      <c r="AO772">
        <v>4</v>
      </c>
      <c r="AR772" t="s">
        <v>80</v>
      </c>
      <c r="AS772">
        <v>101</v>
      </c>
      <c r="AT772" t="s">
        <v>81</v>
      </c>
      <c r="AU772">
        <v>-30.8</v>
      </c>
      <c r="AV772">
        <v>7.29</v>
      </c>
      <c r="AW772" t="s">
        <v>82</v>
      </c>
      <c r="AX772">
        <v>101</v>
      </c>
      <c r="AY772" t="s">
        <v>81</v>
      </c>
      <c r="AZ772">
        <v>-41.53</v>
      </c>
      <c r="BA772">
        <v>7.56</v>
      </c>
      <c r="BB772" t="s">
        <v>83</v>
      </c>
    </row>
    <row r="773" spans="1:54" x14ac:dyDescent="0.4">
      <c r="A773">
        <v>1546822</v>
      </c>
      <c r="D773" t="s">
        <v>5516</v>
      </c>
      <c r="I773" t="s">
        <v>57</v>
      </c>
      <c r="K773" t="s">
        <v>194</v>
      </c>
      <c r="L773" t="s">
        <v>1445</v>
      </c>
      <c r="M773" t="s">
        <v>60</v>
      </c>
      <c r="P773" t="s">
        <v>62</v>
      </c>
      <c r="R773" t="s">
        <v>63</v>
      </c>
      <c r="S773" t="s">
        <v>64</v>
      </c>
      <c r="T773">
        <v>227</v>
      </c>
      <c r="U773">
        <v>208.5</v>
      </c>
      <c r="V773">
        <f t="shared" si="24"/>
        <v>217.75</v>
      </c>
      <c r="W773">
        <f t="shared" si="25"/>
        <v>18.5</v>
      </c>
      <c r="X773">
        <v>-101.147003</v>
      </c>
      <c r="Y773">
        <v>32.995700999999997</v>
      </c>
      <c r="Z773" t="s">
        <v>346</v>
      </c>
      <c r="AA773" t="s">
        <v>66</v>
      </c>
      <c r="AB773" t="s">
        <v>125</v>
      </c>
      <c r="AC773" t="s">
        <v>199</v>
      </c>
      <c r="AD773" t="s">
        <v>200</v>
      </c>
      <c r="AE773" t="s">
        <v>201</v>
      </c>
      <c r="AH773" t="s">
        <v>11</v>
      </c>
      <c r="AI773" t="s">
        <v>1289</v>
      </c>
      <c r="AJ773">
        <v>2008</v>
      </c>
      <c r="AK773" t="s">
        <v>5518</v>
      </c>
      <c r="AM773" t="s">
        <v>5519</v>
      </c>
      <c r="AN773" t="s">
        <v>192</v>
      </c>
      <c r="AO773">
        <v>4</v>
      </c>
      <c r="AR773" t="s">
        <v>80</v>
      </c>
      <c r="AS773">
        <v>101</v>
      </c>
      <c r="AT773" t="s">
        <v>81</v>
      </c>
      <c r="AU773">
        <v>-30.8</v>
      </c>
      <c r="AV773">
        <v>7.29</v>
      </c>
      <c r="AW773" t="s">
        <v>82</v>
      </c>
      <c r="AX773">
        <v>101</v>
      </c>
      <c r="AY773" t="s">
        <v>81</v>
      </c>
      <c r="AZ773">
        <v>-41.53</v>
      </c>
      <c r="BA773">
        <v>7.56</v>
      </c>
      <c r="BB773" t="s">
        <v>83</v>
      </c>
    </row>
    <row r="774" spans="1:54" x14ac:dyDescent="0.4">
      <c r="A774">
        <v>1546823</v>
      </c>
      <c r="D774" t="s">
        <v>5516</v>
      </c>
      <c r="I774" t="s">
        <v>57</v>
      </c>
      <c r="K774" t="s">
        <v>323</v>
      </c>
      <c r="L774" t="s">
        <v>1423</v>
      </c>
      <c r="M774" t="s">
        <v>60</v>
      </c>
      <c r="P774" t="s">
        <v>62</v>
      </c>
      <c r="R774" t="s">
        <v>63</v>
      </c>
      <c r="S774" t="s">
        <v>64</v>
      </c>
      <c r="T774">
        <v>227</v>
      </c>
      <c r="U774">
        <v>208.5</v>
      </c>
      <c r="V774">
        <f t="shared" si="24"/>
        <v>217.75</v>
      </c>
      <c r="W774">
        <f t="shared" si="25"/>
        <v>18.5</v>
      </c>
      <c r="X774">
        <v>-101.147003</v>
      </c>
      <c r="Y774">
        <v>32.995700999999997</v>
      </c>
      <c r="Z774" t="s">
        <v>346</v>
      </c>
      <c r="AA774" t="s">
        <v>66</v>
      </c>
      <c r="AB774" t="s">
        <v>125</v>
      </c>
      <c r="AC774" t="s">
        <v>199</v>
      </c>
      <c r="AD774" t="s">
        <v>200</v>
      </c>
      <c r="AE774" t="s">
        <v>201</v>
      </c>
      <c r="AH774" t="s">
        <v>11</v>
      </c>
      <c r="AI774" t="s">
        <v>1289</v>
      </c>
      <c r="AJ774">
        <v>2008</v>
      </c>
      <c r="AK774" t="s">
        <v>5518</v>
      </c>
      <c r="AM774" t="s">
        <v>5519</v>
      </c>
      <c r="AN774" t="s">
        <v>192</v>
      </c>
      <c r="AO774">
        <v>4</v>
      </c>
      <c r="AR774" t="s">
        <v>80</v>
      </c>
      <c r="AS774">
        <v>101</v>
      </c>
      <c r="AT774" t="s">
        <v>81</v>
      </c>
      <c r="AU774">
        <v>-30.8</v>
      </c>
      <c r="AV774">
        <v>7.29</v>
      </c>
      <c r="AW774" t="s">
        <v>82</v>
      </c>
      <c r="AX774">
        <v>101</v>
      </c>
      <c r="AY774" t="s">
        <v>81</v>
      </c>
      <c r="AZ774">
        <v>-41.53</v>
      </c>
      <c r="BA774">
        <v>7.56</v>
      </c>
      <c r="BB774" t="s">
        <v>83</v>
      </c>
    </row>
    <row r="775" spans="1:54" x14ac:dyDescent="0.4">
      <c r="A775">
        <v>1546824</v>
      </c>
      <c r="D775" t="s">
        <v>5516</v>
      </c>
      <c r="I775" t="s">
        <v>57</v>
      </c>
      <c r="K775" t="s">
        <v>85</v>
      </c>
      <c r="L775" t="s">
        <v>753</v>
      </c>
      <c r="M775" t="s">
        <v>60</v>
      </c>
      <c r="O775" t="s">
        <v>87</v>
      </c>
      <c r="P775" t="s">
        <v>62</v>
      </c>
      <c r="R775" t="s">
        <v>63</v>
      </c>
      <c r="S775" t="s">
        <v>64</v>
      </c>
      <c r="T775">
        <v>227</v>
      </c>
      <c r="U775">
        <v>208.5</v>
      </c>
      <c r="V775">
        <f t="shared" si="24"/>
        <v>217.75</v>
      </c>
      <c r="W775">
        <f t="shared" si="25"/>
        <v>18.5</v>
      </c>
      <c r="X775">
        <v>-101.147003</v>
      </c>
      <c r="Y775">
        <v>32.995700999999997</v>
      </c>
      <c r="Z775" t="s">
        <v>346</v>
      </c>
      <c r="AA775" t="s">
        <v>66</v>
      </c>
      <c r="AB775" t="s">
        <v>125</v>
      </c>
      <c r="AC775" t="s">
        <v>199</v>
      </c>
      <c r="AD775" t="s">
        <v>200</v>
      </c>
      <c r="AE775" t="s">
        <v>201</v>
      </c>
      <c r="AH775" t="s">
        <v>11</v>
      </c>
      <c r="AI775" t="s">
        <v>1289</v>
      </c>
      <c r="AJ775">
        <v>2008</v>
      </c>
      <c r="AK775" t="s">
        <v>5518</v>
      </c>
      <c r="AM775" t="s">
        <v>5519</v>
      </c>
      <c r="AN775" t="s">
        <v>192</v>
      </c>
      <c r="AO775">
        <v>4</v>
      </c>
      <c r="AR775" t="s">
        <v>80</v>
      </c>
      <c r="AS775">
        <v>101</v>
      </c>
      <c r="AT775" t="s">
        <v>81</v>
      </c>
      <c r="AU775">
        <v>-30.8</v>
      </c>
      <c r="AV775">
        <v>7.29</v>
      </c>
      <c r="AW775" t="s">
        <v>82</v>
      </c>
      <c r="AX775">
        <v>101</v>
      </c>
      <c r="AY775" t="s">
        <v>81</v>
      </c>
      <c r="AZ775">
        <v>-41.53</v>
      </c>
      <c r="BA775">
        <v>7.56</v>
      </c>
      <c r="BB775" t="s">
        <v>83</v>
      </c>
    </row>
    <row r="776" spans="1:54" x14ac:dyDescent="0.4">
      <c r="A776">
        <v>1546825</v>
      </c>
      <c r="D776" t="s">
        <v>5516</v>
      </c>
      <c r="I776" t="s">
        <v>57</v>
      </c>
      <c r="K776" t="s">
        <v>85</v>
      </c>
      <c r="L776" t="s">
        <v>5520</v>
      </c>
      <c r="M776" t="s">
        <v>60</v>
      </c>
      <c r="O776" t="s">
        <v>87</v>
      </c>
      <c r="P776" t="s">
        <v>62</v>
      </c>
      <c r="R776" t="s">
        <v>63</v>
      </c>
      <c r="S776" t="s">
        <v>64</v>
      </c>
      <c r="T776">
        <v>227</v>
      </c>
      <c r="U776">
        <v>208.5</v>
      </c>
      <c r="V776">
        <f t="shared" si="24"/>
        <v>217.75</v>
      </c>
      <c r="W776">
        <f t="shared" si="25"/>
        <v>18.5</v>
      </c>
      <c r="X776">
        <v>-101.147003</v>
      </c>
      <c r="Y776">
        <v>32.995700999999997</v>
      </c>
      <c r="Z776" t="s">
        <v>346</v>
      </c>
      <c r="AA776" t="s">
        <v>66</v>
      </c>
      <c r="AB776" t="s">
        <v>125</v>
      </c>
      <c r="AC776" t="s">
        <v>199</v>
      </c>
      <c r="AD776" t="s">
        <v>200</v>
      </c>
      <c r="AE776" t="s">
        <v>201</v>
      </c>
      <c r="AH776" t="s">
        <v>72</v>
      </c>
      <c r="AI776" t="s">
        <v>1289</v>
      </c>
      <c r="AJ776">
        <v>2008</v>
      </c>
      <c r="AK776" t="s">
        <v>5518</v>
      </c>
      <c r="AM776" t="s">
        <v>5519</v>
      </c>
      <c r="AN776" t="s">
        <v>192</v>
      </c>
      <c r="AO776">
        <v>4</v>
      </c>
      <c r="AR776" t="s">
        <v>80</v>
      </c>
      <c r="AS776">
        <v>101</v>
      </c>
      <c r="AT776" t="s">
        <v>81</v>
      </c>
      <c r="AU776">
        <v>-30.8</v>
      </c>
      <c r="AV776">
        <v>7.29</v>
      </c>
      <c r="AW776" t="s">
        <v>82</v>
      </c>
      <c r="AX776">
        <v>101</v>
      </c>
      <c r="AY776" t="s">
        <v>81</v>
      </c>
      <c r="AZ776">
        <v>-41.53</v>
      </c>
      <c r="BA776">
        <v>7.56</v>
      </c>
      <c r="BB776" t="s">
        <v>83</v>
      </c>
    </row>
    <row r="777" spans="1:54" x14ac:dyDescent="0.4">
      <c r="A777">
        <v>1546911</v>
      </c>
      <c r="D777" t="s">
        <v>54</v>
      </c>
      <c r="I777" t="s">
        <v>57</v>
      </c>
      <c r="K777" t="s">
        <v>206</v>
      </c>
      <c r="L777" t="s">
        <v>851</v>
      </c>
      <c r="M777" t="s">
        <v>60</v>
      </c>
      <c r="O777" t="s">
        <v>170</v>
      </c>
      <c r="P777" t="s">
        <v>62</v>
      </c>
      <c r="R777" t="s">
        <v>63</v>
      </c>
      <c r="S777" t="s">
        <v>64</v>
      </c>
      <c r="T777">
        <v>227</v>
      </c>
      <c r="U777">
        <v>208.5</v>
      </c>
      <c r="V777">
        <f t="shared" si="24"/>
        <v>217.75</v>
      </c>
      <c r="W777">
        <f t="shared" si="25"/>
        <v>18.5</v>
      </c>
      <c r="X777">
        <v>-101.379166</v>
      </c>
      <c r="Y777">
        <v>33.044998</v>
      </c>
      <c r="Z777" t="s">
        <v>105</v>
      </c>
      <c r="AA777" t="s">
        <v>66</v>
      </c>
      <c r="AB777" t="s">
        <v>125</v>
      </c>
      <c r="AD777" t="s">
        <v>200</v>
      </c>
      <c r="AE777" t="s">
        <v>201</v>
      </c>
      <c r="AH777" t="s">
        <v>72</v>
      </c>
      <c r="AI777" t="s">
        <v>1289</v>
      </c>
      <c r="AJ777">
        <v>2008</v>
      </c>
      <c r="AK777" t="s">
        <v>5521</v>
      </c>
      <c r="AN777" t="s">
        <v>76</v>
      </c>
      <c r="AO777" t="s">
        <v>77</v>
      </c>
      <c r="AQ777" t="s">
        <v>5522</v>
      </c>
      <c r="AR777" t="s">
        <v>80</v>
      </c>
      <c r="AS777">
        <v>101</v>
      </c>
      <c r="AT777" t="s">
        <v>81</v>
      </c>
      <c r="AU777">
        <v>-30.99</v>
      </c>
      <c r="AV777">
        <v>7.36</v>
      </c>
      <c r="AW777" t="s">
        <v>82</v>
      </c>
      <c r="AX777">
        <v>101</v>
      </c>
      <c r="AY777" t="s">
        <v>81</v>
      </c>
      <c r="AZ777">
        <v>-41.72</v>
      </c>
      <c r="BA777">
        <v>7.63</v>
      </c>
      <c r="BB777" t="s">
        <v>83</v>
      </c>
    </row>
    <row r="778" spans="1:54" x14ac:dyDescent="0.4">
      <c r="A778">
        <v>1546915</v>
      </c>
      <c r="D778" t="s">
        <v>54</v>
      </c>
      <c r="I778" t="s">
        <v>57</v>
      </c>
      <c r="K778" t="s">
        <v>206</v>
      </c>
      <c r="L778" t="s">
        <v>851</v>
      </c>
      <c r="M778" t="s">
        <v>60</v>
      </c>
      <c r="O778" t="s">
        <v>170</v>
      </c>
      <c r="P778" t="s">
        <v>62</v>
      </c>
      <c r="R778" t="s">
        <v>63</v>
      </c>
      <c r="S778" t="s">
        <v>64</v>
      </c>
      <c r="T778">
        <v>227</v>
      </c>
      <c r="U778">
        <v>208.5</v>
      </c>
      <c r="V778">
        <f t="shared" si="24"/>
        <v>217.75</v>
      </c>
      <c r="W778">
        <f t="shared" si="25"/>
        <v>18.5</v>
      </c>
      <c r="X778">
        <v>-101.44027699999999</v>
      </c>
      <c r="Y778">
        <v>33.452499000000003</v>
      </c>
      <c r="Z778" t="s">
        <v>124</v>
      </c>
      <c r="AA778" t="s">
        <v>66</v>
      </c>
      <c r="AB778" t="s">
        <v>125</v>
      </c>
      <c r="AC778" t="s">
        <v>199</v>
      </c>
      <c r="AD778" t="s">
        <v>200</v>
      </c>
      <c r="AE778" t="s">
        <v>201</v>
      </c>
      <c r="AF778" s="1">
        <v>46004</v>
      </c>
      <c r="AH778" t="s">
        <v>72</v>
      </c>
      <c r="AI778" t="s">
        <v>1289</v>
      </c>
      <c r="AJ778">
        <v>2008</v>
      </c>
      <c r="AK778" t="s">
        <v>5523</v>
      </c>
      <c r="AN778" t="s">
        <v>114</v>
      </c>
      <c r="AO778" t="s">
        <v>77</v>
      </c>
      <c r="AP778" t="s">
        <v>78</v>
      </c>
      <c r="AQ778" t="s">
        <v>5524</v>
      </c>
      <c r="AR778" t="s">
        <v>80</v>
      </c>
      <c r="AS778">
        <v>101</v>
      </c>
      <c r="AT778" t="s">
        <v>81</v>
      </c>
      <c r="AU778">
        <v>-30.98</v>
      </c>
      <c r="AV778">
        <v>7.77</v>
      </c>
      <c r="AW778" t="s">
        <v>82</v>
      </c>
      <c r="AX778">
        <v>101</v>
      </c>
      <c r="AY778" t="s">
        <v>81</v>
      </c>
      <c r="AZ778">
        <v>-41.73</v>
      </c>
      <c r="BA778">
        <v>8.0399999999999991</v>
      </c>
      <c r="BB778" t="s">
        <v>83</v>
      </c>
    </row>
    <row r="779" spans="1:54" x14ac:dyDescent="0.4">
      <c r="A779">
        <v>1546918</v>
      </c>
      <c r="D779" t="s">
        <v>54</v>
      </c>
      <c r="I779" t="s">
        <v>57</v>
      </c>
      <c r="K779" t="s">
        <v>85</v>
      </c>
      <c r="L779" t="s">
        <v>845</v>
      </c>
      <c r="M779" t="s">
        <v>60</v>
      </c>
      <c r="O779" t="s">
        <v>87</v>
      </c>
      <c r="P779" t="s">
        <v>62</v>
      </c>
      <c r="R779" t="s">
        <v>63</v>
      </c>
      <c r="S779" t="s">
        <v>64</v>
      </c>
      <c r="T779">
        <v>227</v>
      </c>
      <c r="U779">
        <v>208.5</v>
      </c>
      <c r="V779">
        <f t="shared" si="24"/>
        <v>217.75</v>
      </c>
      <c r="W779">
        <f t="shared" si="25"/>
        <v>18.5</v>
      </c>
      <c r="X779">
        <v>-101.44027699999999</v>
      </c>
      <c r="Y779">
        <v>33.452499000000003</v>
      </c>
      <c r="Z779" t="s">
        <v>124</v>
      </c>
      <c r="AA779" t="s">
        <v>66</v>
      </c>
      <c r="AB779" t="s">
        <v>125</v>
      </c>
      <c r="AC779" t="s">
        <v>199</v>
      </c>
      <c r="AD779" t="s">
        <v>200</v>
      </c>
      <c r="AE779" t="s">
        <v>201</v>
      </c>
      <c r="AF779" s="1">
        <v>46004</v>
      </c>
      <c r="AH779" t="s">
        <v>11</v>
      </c>
      <c r="AI779" t="s">
        <v>1289</v>
      </c>
      <c r="AJ779">
        <v>2008</v>
      </c>
      <c r="AK779" t="s">
        <v>5523</v>
      </c>
      <c r="AN779" t="s">
        <v>114</v>
      </c>
      <c r="AO779" t="s">
        <v>77</v>
      </c>
      <c r="AP779" t="s">
        <v>78</v>
      </c>
      <c r="AQ779" t="s">
        <v>5524</v>
      </c>
      <c r="AR779" t="s">
        <v>80</v>
      </c>
      <c r="AS779">
        <v>101</v>
      </c>
      <c r="AT779" t="s">
        <v>81</v>
      </c>
      <c r="AU779">
        <v>-30.98</v>
      </c>
      <c r="AV779">
        <v>7.77</v>
      </c>
      <c r="AW779" t="s">
        <v>82</v>
      </c>
      <c r="AX779">
        <v>101</v>
      </c>
      <c r="AY779" t="s">
        <v>81</v>
      </c>
      <c r="AZ779">
        <v>-41.73</v>
      </c>
      <c r="BA779">
        <v>8.0399999999999991</v>
      </c>
      <c r="BB779" t="s">
        <v>83</v>
      </c>
    </row>
    <row r="780" spans="1:54" x14ac:dyDescent="0.4">
      <c r="A780">
        <v>1546937</v>
      </c>
      <c r="D780" t="s">
        <v>54</v>
      </c>
      <c r="I780" t="s">
        <v>57</v>
      </c>
      <c r="K780" t="s">
        <v>206</v>
      </c>
      <c r="L780" t="s">
        <v>1077</v>
      </c>
      <c r="M780" t="s">
        <v>60</v>
      </c>
      <c r="O780" t="s">
        <v>170</v>
      </c>
      <c r="P780" t="s">
        <v>62</v>
      </c>
      <c r="R780" t="s">
        <v>63</v>
      </c>
      <c r="S780" t="s">
        <v>64</v>
      </c>
      <c r="T780">
        <v>227</v>
      </c>
      <c r="U780">
        <v>208.5</v>
      </c>
      <c r="V780">
        <f t="shared" si="24"/>
        <v>217.75</v>
      </c>
      <c r="W780">
        <f t="shared" si="25"/>
        <v>18.5</v>
      </c>
      <c r="X780">
        <v>-101.44027699999999</v>
      </c>
      <c r="Y780">
        <v>33.452499000000003</v>
      </c>
      <c r="Z780" t="s">
        <v>124</v>
      </c>
      <c r="AA780" t="s">
        <v>66</v>
      </c>
      <c r="AB780" t="s">
        <v>125</v>
      </c>
      <c r="AC780" t="s">
        <v>199</v>
      </c>
      <c r="AD780" t="s">
        <v>200</v>
      </c>
      <c r="AE780" t="s">
        <v>201</v>
      </c>
      <c r="AH780" t="s">
        <v>72</v>
      </c>
      <c r="AI780" t="s">
        <v>1451</v>
      </c>
      <c r="AJ780">
        <v>2018</v>
      </c>
      <c r="AK780" t="s">
        <v>5525</v>
      </c>
      <c r="AN780" t="s">
        <v>114</v>
      </c>
      <c r="AO780" t="s">
        <v>77</v>
      </c>
      <c r="AP780" t="s">
        <v>78</v>
      </c>
      <c r="AQ780" t="s">
        <v>5526</v>
      </c>
      <c r="AR780" t="s">
        <v>80</v>
      </c>
      <c r="AS780">
        <v>101</v>
      </c>
      <c r="AT780" t="s">
        <v>81</v>
      </c>
      <c r="AU780">
        <v>-30.98</v>
      </c>
      <c r="AV780">
        <v>7.77</v>
      </c>
      <c r="AW780" t="s">
        <v>82</v>
      </c>
      <c r="AX780">
        <v>101</v>
      </c>
      <c r="AY780" t="s">
        <v>81</v>
      </c>
      <c r="AZ780">
        <v>-41.73</v>
      </c>
      <c r="BA780">
        <v>8.0399999999999991</v>
      </c>
      <c r="BB780" t="s">
        <v>83</v>
      </c>
    </row>
    <row r="781" spans="1:54" x14ac:dyDescent="0.4">
      <c r="A781">
        <v>1546940</v>
      </c>
      <c r="D781" t="s">
        <v>54</v>
      </c>
      <c r="I781" t="s">
        <v>57</v>
      </c>
      <c r="K781" t="s">
        <v>2801</v>
      </c>
      <c r="L781" t="s">
        <v>5517</v>
      </c>
      <c r="M781" t="s">
        <v>60</v>
      </c>
      <c r="N781" t="s">
        <v>119</v>
      </c>
      <c r="O781" t="s">
        <v>87</v>
      </c>
      <c r="P781" t="s">
        <v>62</v>
      </c>
      <c r="R781" t="s">
        <v>63</v>
      </c>
      <c r="S781" t="s">
        <v>64</v>
      </c>
      <c r="T781">
        <v>227</v>
      </c>
      <c r="U781">
        <v>208.5</v>
      </c>
      <c r="V781">
        <f t="shared" si="24"/>
        <v>217.75</v>
      </c>
      <c r="W781">
        <f t="shared" si="25"/>
        <v>18.5</v>
      </c>
      <c r="X781">
        <v>-101.44027699999999</v>
      </c>
      <c r="Y781">
        <v>33.452499000000003</v>
      </c>
      <c r="Z781" t="s">
        <v>124</v>
      </c>
      <c r="AA781" t="s">
        <v>66</v>
      </c>
      <c r="AB781" t="s">
        <v>125</v>
      </c>
      <c r="AC781" t="s">
        <v>199</v>
      </c>
      <c r="AD781" t="s">
        <v>200</v>
      </c>
      <c r="AE781" t="s">
        <v>201</v>
      </c>
      <c r="AH781" t="s">
        <v>11</v>
      </c>
      <c r="AI781" t="s">
        <v>1289</v>
      </c>
      <c r="AJ781">
        <v>2008</v>
      </c>
      <c r="AK781" t="s">
        <v>5527</v>
      </c>
      <c r="AN781" t="s">
        <v>114</v>
      </c>
      <c r="AO781" t="s">
        <v>77</v>
      </c>
      <c r="AP781" t="s">
        <v>78</v>
      </c>
      <c r="AQ781" t="s">
        <v>5528</v>
      </c>
      <c r="AR781" t="s">
        <v>80</v>
      </c>
      <c r="AS781">
        <v>101</v>
      </c>
      <c r="AT781" t="s">
        <v>81</v>
      </c>
      <c r="AU781">
        <v>-30.98</v>
      </c>
      <c r="AV781">
        <v>7.77</v>
      </c>
      <c r="AW781" t="s">
        <v>82</v>
      </c>
      <c r="AX781">
        <v>101</v>
      </c>
      <c r="AY781" t="s">
        <v>81</v>
      </c>
      <c r="AZ781">
        <v>-41.73</v>
      </c>
      <c r="BA781">
        <v>8.0399999999999991</v>
      </c>
      <c r="BB781" t="s">
        <v>83</v>
      </c>
    </row>
    <row r="782" spans="1:54" x14ac:dyDescent="0.4">
      <c r="A782">
        <v>1546943</v>
      </c>
      <c r="D782" t="s">
        <v>54</v>
      </c>
      <c r="I782" t="s">
        <v>57</v>
      </c>
      <c r="K782" t="s">
        <v>206</v>
      </c>
      <c r="L782" t="s">
        <v>986</v>
      </c>
      <c r="M782" t="s">
        <v>60</v>
      </c>
      <c r="O782" t="s">
        <v>170</v>
      </c>
      <c r="P782" t="s">
        <v>62</v>
      </c>
      <c r="R782" t="s">
        <v>63</v>
      </c>
      <c r="S782" t="s">
        <v>64</v>
      </c>
      <c r="T782">
        <v>227</v>
      </c>
      <c r="U782">
        <v>208.5</v>
      </c>
      <c r="V782">
        <f t="shared" si="24"/>
        <v>217.75</v>
      </c>
      <c r="W782">
        <f t="shared" si="25"/>
        <v>18.5</v>
      </c>
      <c r="X782">
        <v>-101.354164</v>
      </c>
      <c r="Y782">
        <v>33.179169000000002</v>
      </c>
      <c r="Z782" t="s">
        <v>124</v>
      </c>
      <c r="AA782" t="s">
        <v>66</v>
      </c>
      <c r="AB782" t="s">
        <v>125</v>
      </c>
      <c r="AC782" t="s">
        <v>199</v>
      </c>
      <c r="AD782" t="s">
        <v>200</v>
      </c>
      <c r="AE782" t="s">
        <v>201</v>
      </c>
      <c r="AH782" t="s">
        <v>11</v>
      </c>
      <c r="AI782" t="s">
        <v>1289</v>
      </c>
      <c r="AJ782">
        <v>2008</v>
      </c>
      <c r="AK782" t="s">
        <v>1583</v>
      </c>
      <c r="AN782" t="s">
        <v>76</v>
      </c>
      <c r="AO782" t="s">
        <v>77</v>
      </c>
      <c r="AP782" t="s">
        <v>636</v>
      </c>
      <c r="AQ782" t="s">
        <v>1584</v>
      </c>
      <c r="AR782" t="s">
        <v>80</v>
      </c>
      <c r="AS782">
        <v>101</v>
      </c>
      <c r="AT782" t="s">
        <v>81</v>
      </c>
      <c r="AU782">
        <v>-30.95</v>
      </c>
      <c r="AV782">
        <v>7.49</v>
      </c>
      <c r="AW782" t="s">
        <v>82</v>
      </c>
      <c r="AX782">
        <v>101</v>
      </c>
      <c r="AY782" t="s">
        <v>81</v>
      </c>
      <c r="AZ782">
        <v>-41.68</v>
      </c>
      <c r="BA782">
        <v>7.76</v>
      </c>
      <c r="BB782" t="s">
        <v>83</v>
      </c>
    </row>
    <row r="783" spans="1:54" x14ac:dyDescent="0.4">
      <c r="A783">
        <v>1546947</v>
      </c>
      <c r="D783" t="s">
        <v>54</v>
      </c>
      <c r="G783">
        <v>3</v>
      </c>
      <c r="H783" t="s">
        <v>84</v>
      </c>
      <c r="I783" t="s">
        <v>57</v>
      </c>
      <c r="K783" t="s">
        <v>85</v>
      </c>
      <c r="L783" t="s">
        <v>845</v>
      </c>
      <c r="M783" t="s">
        <v>60</v>
      </c>
      <c r="O783" t="s">
        <v>87</v>
      </c>
      <c r="P783" t="s">
        <v>62</v>
      </c>
      <c r="R783" t="s">
        <v>63</v>
      </c>
      <c r="S783" t="s">
        <v>64</v>
      </c>
      <c r="T783">
        <v>227</v>
      </c>
      <c r="U783">
        <v>208.5</v>
      </c>
      <c r="V783">
        <f t="shared" si="24"/>
        <v>217.75</v>
      </c>
      <c r="W783">
        <f t="shared" si="25"/>
        <v>18.5</v>
      </c>
      <c r="X783">
        <v>-101.449997</v>
      </c>
      <c r="Y783">
        <v>33.107776999999999</v>
      </c>
      <c r="Z783" t="s">
        <v>432</v>
      </c>
      <c r="AA783" t="s">
        <v>66</v>
      </c>
      <c r="AB783" t="s">
        <v>125</v>
      </c>
      <c r="AC783" t="s">
        <v>199</v>
      </c>
      <c r="AD783" t="s">
        <v>200</v>
      </c>
      <c r="AE783" t="s">
        <v>201</v>
      </c>
      <c r="AH783" t="s">
        <v>11</v>
      </c>
      <c r="AI783" t="s">
        <v>1289</v>
      </c>
      <c r="AJ783">
        <v>2008</v>
      </c>
      <c r="AK783" t="s">
        <v>5195</v>
      </c>
      <c r="AM783" t="s">
        <v>5196</v>
      </c>
      <c r="AN783" t="s">
        <v>76</v>
      </c>
      <c r="AO783" t="s">
        <v>77</v>
      </c>
      <c r="AP783" t="s">
        <v>78</v>
      </c>
      <c r="AQ783" t="s">
        <v>5197</v>
      </c>
      <c r="AR783" t="s">
        <v>80</v>
      </c>
      <c r="AS783">
        <v>101</v>
      </c>
      <c r="AT783" t="s">
        <v>81</v>
      </c>
      <c r="AU783">
        <v>-31.04</v>
      </c>
      <c r="AV783">
        <v>7.43</v>
      </c>
      <c r="AW783" t="s">
        <v>82</v>
      </c>
      <c r="AX783">
        <v>101</v>
      </c>
      <c r="AY783" t="s">
        <v>81</v>
      </c>
      <c r="AZ783">
        <v>-41.77</v>
      </c>
      <c r="BA783">
        <v>7.7</v>
      </c>
      <c r="BB783" t="s">
        <v>83</v>
      </c>
    </row>
    <row r="784" spans="1:54" x14ac:dyDescent="0.4">
      <c r="A784">
        <v>1546948</v>
      </c>
      <c r="D784" t="s">
        <v>54</v>
      </c>
      <c r="G784">
        <v>6</v>
      </c>
      <c r="H784" t="s">
        <v>84</v>
      </c>
      <c r="I784" t="s">
        <v>57</v>
      </c>
      <c r="K784" t="s">
        <v>206</v>
      </c>
      <c r="L784" t="s">
        <v>851</v>
      </c>
      <c r="M784" t="s">
        <v>60</v>
      </c>
      <c r="O784" t="s">
        <v>170</v>
      </c>
      <c r="P784" t="s">
        <v>62</v>
      </c>
      <c r="R784" t="s">
        <v>63</v>
      </c>
      <c r="S784" t="s">
        <v>64</v>
      </c>
      <c r="T784">
        <v>227</v>
      </c>
      <c r="U784">
        <v>208.5</v>
      </c>
      <c r="V784">
        <f t="shared" si="24"/>
        <v>217.75</v>
      </c>
      <c r="W784">
        <f t="shared" si="25"/>
        <v>18.5</v>
      </c>
      <c r="X784">
        <v>-101.449997</v>
      </c>
      <c r="Y784">
        <v>33.107776999999999</v>
      </c>
      <c r="Z784" t="s">
        <v>432</v>
      </c>
      <c r="AA784" t="s">
        <v>66</v>
      </c>
      <c r="AB784" t="s">
        <v>125</v>
      </c>
      <c r="AC784" t="s">
        <v>199</v>
      </c>
      <c r="AD784" t="s">
        <v>200</v>
      </c>
      <c r="AE784" t="s">
        <v>201</v>
      </c>
      <c r="AH784" t="s">
        <v>72</v>
      </c>
      <c r="AI784" t="s">
        <v>1289</v>
      </c>
      <c r="AJ784">
        <v>2008</v>
      </c>
      <c r="AK784" t="s">
        <v>5195</v>
      </c>
      <c r="AM784" t="s">
        <v>5196</v>
      </c>
      <c r="AN784" t="s">
        <v>76</v>
      </c>
      <c r="AO784" t="s">
        <v>77</v>
      </c>
      <c r="AP784" t="s">
        <v>78</v>
      </c>
      <c r="AQ784" t="s">
        <v>5197</v>
      </c>
      <c r="AR784" t="s">
        <v>80</v>
      </c>
      <c r="AS784">
        <v>101</v>
      </c>
      <c r="AT784" t="s">
        <v>81</v>
      </c>
      <c r="AU784">
        <v>-31.04</v>
      </c>
      <c r="AV784">
        <v>7.43</v>
      </c>
      <c r="AW784" t="s">
        <v>82</v>
      </c>
      <c r="AX784">
        <v>101</v>
      </c>
      <c r="AY784" t="s">
        <v>81</v>
      </c>
      <c r="AZ784">
        <v>-41.77</v>
      </c>
      <c r="BA784">
        <v>7.7</v>
      </c>
      <c r="BB784" t="s">
        <v>83</v>
      </c>
    </row>
    <row r="785" spans="1:54" x14ac:dyDescent="0.4">
      <c r="A785">
        <v>1546951</v>
      </c>
      <c r="D785" t="s">
        <v>54</v>
      </c>
      <c r="I785" t="s">
        <v>57</v>
      </c>
      <c r="K785" t="s">
        <v>206</v>
      </c>
      <c r="L785" t="s">
        <v>851</v>
      </c>
      <c r="M785" t="s">
        <v>60</v>
      </c>
      <c r="O785" t="s">
        <v>170</v>
      </c>
      <c r="P785" t="s">
        <v>62</v>
      </c>
      <c r="R785" t="s">
        <v>63</v>
      </c>
      <c r="S785" t="s">
        <v>64</v>
      </c>
      <c r="T785">
        <v>227</v>
      </c>
      <c r="U785">
        <v>208.5</v>
      </c>
      <c r="V785">
        <f t="shared" si="24"/>
        <v>217.75</v>
      </c>
      <c r="W785">
        <f t="shared" si="25"/>
        <v>18.5</v>
      </c>
      <c r="X785">
        <v>-101.300003</v>
      </c>
      <c r="Y785">
        <v>33.521388999999999</v>
      </c>
      <c r="Z785" t="s">
        <v>124</v>
      </c>
      <c r="AA785" t="s">
        <v>66</v>
      </c>
      <c r="AB785" t="s">
        <v>125</v>
      </c>
      <c r="AC785" t="s">
        <v>199</v>
      </c>
      <c r="AD785" t="s">
        <v>200</v>
      </c>
      <c r="AE785" t="s">
        <v>201</v>
      </c>
      <c r="AH785" t="s">
        <v>72</v>
      </c>
      <c r="AI785" t="s">
        <v>1289</v>
      </c>
      <c r="AJ785">
        <v>2008</v>
      </c>
      <c r="AK785" t="s">
        <v>5529</v>
      </c>
      <c r="AN785" t="s">
        <v>114</v>
      </c>
      <c r="AO785" t="s">
        <v>77</v>
      </c>
      <c r="AP785" t="s">
        <v>115</v>
      </c>
      <c r="AQ785" t="s">
        <v>5530</v>
      </c>
      <c r="AR785" t="s">
        <v>80</v>
      </c>
      <c r="AS785">
        <v>101</v>
      </c>
      <c r="AT785" t="s">
        <v>81</v>
      </c>
      <c r="AU785">
        <v>-30.85</v>
      </c>
      <c r="AV785">
        <v>7.83</v>
      </c>
      <c r="AW785" t="s">
        <v>82</v>
      </c>
      <c r="AX785">
        <v>101</v>
      </c>
      <c r="AY785" t="s">
        <v>81</v>
      </c>
      <c r="AZ785">
        <v>-41.6</v>
      </c>
      <c r="BA785">
        <v>8.09</v>
      </c>
      <c r="BB785" t="s">
        <v>83</v>
      </c>
    </row>
    <row r="786" spans="1:54" x14ac:dyDescent="0.4">
      <c r="A786">
        <v>1546968</v>
      </c>
      <c r="D786" t="s">
        <v>54</v>
      </c>
      <c r="I786" t="s">
        <v>57</v>
      </c>
      <c r="K786" t="s">
        <v>85</v>
      </c>
      <c r="L786" t="s">
        <v>5520</v>
      </c>
      <c r="M786" t="s">
        <v>60</v>
      </c>
      <c r="O786" t="s">
        <v>87</v>
      </c>
      <c r="P786" t="s">
        <v>62</v>
      </c>
      <c r="R786" t="s">
        <v>63</v>
      </c>
      <c r="S786" t="s">
        <v>64</v>
      </c>
      <c r="T786">
        <v>227</v>
      </c>
      <c r="U786">
        <v>208.5</v>
      </c>
      <c r="V786">
        <f t="shared" si="24"/>
        <v>217.75</v>
      </c>
      <c r="W786">
        <f t="shared" si="25"/>
        <v>18.5</v>
      </c>
      <c r="X786">
        <v>-101.107224</v>
      </c>
      <c r="Y786">
        <v>33.045555</v>
      </c>
      <c r="Z786" t="s">
        <v>184</v>
      </c>
      <c r="AA786" t="s">
        <v>66</v>
      </c>
      <c r="AB786" t="s">
        <v>125</v>
      </c>
      <c r="AC786" t="s">
        <v>199</v>
      </c>
      <c r="AH786" t="s">
        <v>72</v>
      </c>
      <c r="AI786" t="s">
        <v>1289</v>
      </c>
      <c r="AJ786">
        <v>2008</v>
      </c>
      <c r="AK786" t="s">
        <v>5531</v>
      </c>
      <c r="AN786" t="s">
        <v>76</v>
      </c>
      <c r="AO786" t="s">
        <v>77</v>
      </c>
      <c r="AQ786" t="s">
        <v>5532</v>
      </c>
      <c r="AR786" t="s">
        <v>80</v>
      </c>
      <c r="AS786">
        <v>101</v>
      </c>
      <c r="AT786" t="s">
        <v>81</v>
      </c>
      <c r="AU786">
        <v>-30.76</v>
      </c>
      <c r="AV786">
        <v>7.33</v>
      </c>
      <c r="AW786" t="s">
        <v>82</v>
      </c>
      <c r="AX786">
        <v>101</v>
      </c>
      <c r="AY786" t="s">
        <v>81</v>
      </c>
      <c r="AZ786">
        <v>-41.49</v>
      </c>
      <c r="BA786">
        <v>7.61</v>
      </c>
      <c r="BB786" t="s">
        <v>83</v>
      </c>
    </row>
    <row r="787" spans="1:54" x14ac:dyDescent="0.4">
      <c r="A787">
        <v>1549937</v>
      </c>
      <c r="D787" t="s">
        <v>54</v>
      </c>
      <c r="I787" t="s">
        <v>57</v>
      </c>
      <c r="K787" t="s">
        <v>141</v>
      </c>
      <c r="L787" t="s">
        <v>5537</v>
      </c>
      <c r="M787" t="s">
        <v>60</v>
      </c>
      <c r="P787" t="s">
        <v>62</v>
      </c>
      <c r="R787" t="s">
        <v>63</v>
      </c>
      <c r="S787" t="s">
        <v>64</v>
      </c>
      <c r="T787">
        <v>227</v>
      </c>
      <c r="U787">
        <v>208.5</v>
      </c>
      <c r="V787">
        <f t="shared" si="24"/>
        <v>217.75</v>
      </c>
      <c r="W787">
        <f t="shared" si="25"/>
        <v>18.5</v>
      </c>
      <c r="X787">
        <v>79.483329999999995</v>
      </c>
      <c r="Y787">
        <v>19.25</v>
      </c>
      <c r="Z787" t="s">
        <v>124</v>
      </c>
      <c r="AA787" t="s">
        <v>1222</v>
      </c>
      <c r="AD787" t="s">
        <v>5538</v>
      </c>
      <c r="AH787" t="s">
        <v>72</v>
      </c>
      <c r="AI787" t="s">
        <v>1127</v>
      </c>
      <c r="AJ787">
        <v>2021</v>
      </c>
      <c r="AK787" t="s">
        <v>5539</v>
      </c>
      <c r="AN787" t="s">
        <v>76</v>
      </c>
      <c r="AO787" t="s">
        <v>160</v>
      </c>
      <c r="AQ787" t="s">
        <v>5540</v>
      </c>
      <c r="AR787" t="s">
        <v>80</v>
      </c>
      <c r="AS787">
        <v>501</v>
      </c>
      <c r="AT787" t="s">
        <v>81</v>
      </c>
      <c r="AU787">
        <v>45.93</v>
      </c>
      <c r="AV787">
        <v>-35.35</v>
      </c>
      <c r="AW787" t="s">
        <v>82</v>
      </c>
      <c r="AX787">
        <v>501</v>
      </c>
      <c r="AY787" t="s">
        <v>81</v>
      </c>
      <c r="AZ787">
        <v>36.46</v>
      </c>
      <c r="BA787">
        <v>-32.75</v>
      </c>
      <c r="BB787" t="s">
        <v>83</v>
      </c>
    </row>
    <row r="788" spans="1:54" x14ac:dyDescent="0.4">
      <c r="A788">
        <v>1554599</v>
      </c>
      <c r="D788" t="s">
        <v>54</v>
      </c>
      <c r="G788">
        <v>4</v>
      </c>
      <c r="H788" t="s">
        <v>84</v>
      </c>
      <c r="I788" t="s">
        <v>57</v>
      </c>
      <c r="K788" t="s">
        <v>206</v>
      </c>
      <c r="L788" t="s">
        <v>5543</v>
      </c>
      <c r="M788" t="s">
        <v>60</v>
      </c>
      <c r="O788" t="s">
        <v>170</v>
      </c>
      <c r="P788" t="s">
        <v>62</v>
      </c>
      <c r="R788" t="s">
        <v>63</v>
      </c>
      <c r="S788" t="s">
        <v>64</v>
      </c>
      <c r="T788">
        <v>227</v>
      </c>
      <c r="U788">
        <v>208.5</v>
      </c>
      <c r="V788">
        <f t="shared" si="24"/>
        <v>217.75</v>
      </c>
      <c r="W788">
        <f t="shared" si="25"/>
        <v>18.5</v>
      </c>
      <c r="X788">
        <v>18.420881000000001</v>
      </c>
      <c r="Y788">
        <v>50.775134999999999</v>
      </c>
      <c r="Z788" t="s">
        <v>124</v>
      </c>
      <c r="AA788" t="s">
        <v>697</v>
      </c>
      <c r="AB788" t="s">
        <v>1326</v>
      </c>
      <c r="AD788" t="s">
        <v>4314</v>
      </c>
      <c r="AH788" t="s">
        <v>72</v>
      </c>
      <c r="AI788" t="s">
        <v>5544</v>
      </c>
      <c r="AJ788">
        <v>2021</v>
      </c>
      <c r="AK788" t="s">
        <v>4315</v>
      </c>
      <c r="AM788" t="s">
        <v>4316</v>
      </c>
      <c r="AN788" t="s">
        <v>114</v>
      </c>
      <c r="AO788">
        <v>6</v>
      </c>
      <c r="AP788" t="s">
        <v>115</v>
      </c>
      <c r="AQ788" t="s">
        <v>4317</v>
      </c>
      <c r="AR788" t="s">
        <v>80</v>
      </c>
      <c r="AS788">
        <v>305</v>
      </c>
      <c r="AT788" t="s">
        <v>81</v>
      </c>
      <c r="AU788">
        <v>26.56</v>
      </c>
      <c r="AV788">
        <v>34.51</v>
      </c>
      <c r="AW788" t="s">
        <v>82</v>
      </c>
      <c r="AX788">
        <v>305</v>
      </c>
      <c r="AY788" t="s">
        <v>81</v>
      </c>
      <c r="AZ788">
        <v>15.42</v>
      </c>
      <c r="BA788">
        <v>36.53</v>
      </c>
      <c r="BB788" t="s">
        <v>83</v>
      </c>
    </row>
    <row r="789" spans="1:54" x14ac:dyDescent="0.4">
      <c r="A789">
        <v>1554602</v>
      </c>
      <c r="D789" t="s">
        <v>54</v>
      </c>
      <c r="G789">
        <v>14</v>
      </c>
      <c r="H789" t="s">
        <v>84</v>
      </c>
      <c r="I789" t="s">
        <v>57</v>
      </c>
      <c r="K789" t="s">
        <v>4243</v>
      </c>
      <c r="L789" t="s">
        <v>4244</v>
      </c>
      <c r="M789" t="s">
        <v>60</v>
      </c>
      <c r="P789" t="s">
        <v>62</v>
      </c>
      <c r="R789" t="s">
        <v>63</v>
      </c>
      <c r="S789" t="s">
        <v>64</v>
      </c>
      <c r="T789">
        <v>227</v>
      </c>
      <c r="U789">
        <v>208.5</v>
      </c>
      <c r="V789">
        <f t="shared" si="24"/>
        <v>217.75</v>
      </c>
      <c r="W789">
        <f t="shared" si="25"/>
        <v>18.5</v>
      </c>
      <c r="X789">
        <v>18.420881000000001</v>
      </c>
      <c r="Y789">
        <v>50.775134999999999</v>
      </c>
      <c r="Z789" t="s">
        <v>124</v>
      </c>
      <c r="AA789" t="s">
        <v>697</v>
      </c>
      <c r="AB789" t="s">
        <v>1326</v>
      </c>
      <c r="AD789" t="s">
        <v>4314</v>
      </c>
      <c r="AH789" t="s">
        <v>72</v>
      </c>
      <c r="AI789" t="s">
        <v>5544</v>
      </c>
      <c r="AJ789">
        <v>2021</v>
      </c>
      <c r="AK789" t="s">
        <v>4315</v>
      </c>
      <c r="AM789" t="s">
        <v>4316</v>
      </c>
      <c r="AN789" t="s">
        <v>114</v>
      </c>
      <c r="AO789">
        <v>6</v>
      </c>
      <c r="AP789" t="s">
        <v>115</v>
      </c>
      <c r="AQ789" t="s">
        <v>4317</v>
      </c>
      <c r="AR789" t="s">
        <v>80</v>
      </c>
      <c r="AS789">
        <v>305</v>
      </c>
      <c r="AT789" t="s">
        <v>81</v>
      </c>
      <c r="AU789">
        <v>26.56</v>
      </c>
      <c r="AV789">
        <v>34.51</v>
      </c>
      <c r="AW789" t="s">
        <v>82</v>
      </c>
      <c r="AX789">
        <v>305</v>
      </c>
      <c r="AY789" t="s">
        <v>81</v>
      </c>
      <c r="AZ789">
        <v>15.42</v>
      </c>
      <c r="BA789">
        <v>36.53</v>
      </c>
      <c r="BB789" t="s">
        <v>83</v>
      </c>
    </row>
    <row r="790" spans="1:54" x14ac:dyDescent="0.4">
      <c r="A790">
        <v>1555177</v>
      </c>
      <c r="D790" t="s">
        <v>54</v>
      </c>
      <c r="E790" t="s">
        <v>55</v>
      </c>
      <c r="G790">
        <v>5</v>
      </c>
      <c r="H790" t="s">
        <v>84</v>
      </c>
      <c r="I790" t="s">
        <v>57</v>
      </c>
      <c r="K790" t="s">
        <v>741</v>
      </c>
      <c r="L790" t="s">
        <v>5545</v>
      </c>
      <c r="M790" t="s">
        <v>60</v>
      </c>
      <c r="N790" t="s">
        <v>256</v>
      </c>
      <c r="O790" t="s">
        <v>87</v>
      </c>
      <c r="P790" t="s">
        <v>62</v>
      </c>
      <c r="R790" t="s">
        <v>63</v>
      </c>
      <c r="S790" t="s">
        <v>64</v>
      </c>
      <c r="T790">
        <v>227</v>
      </c>
      <c r="U790">
        <v>208.5</v>
      </c>
      <c r="V790">
        <f t="shared" si="24"/>
        <v>217.75</v>
      </c>
      <c r="W790">
        <f t="shared" si="25"/>
        <v>18.5</v>
      </c>
      <c r="X790">
        <v>-68.150002000000001</v>
      </c>
      <c r="Y790">
        <v>-29.85</v>
      </c>
      <c r="Z790" t="s">
        <v>184</v>
      </c>
      <c r="AA790" t="s">
        <v>185</v>
      </c>
      <c r="AB790" t="s">
        <v>186</v>
      </c>
      <c r="AD790" t="s">
        <v>551</v>
      </c>
      <c r="AE790" t="s">
        <v>188</v>
      </c>
      <c r="AG790" t="s">
        <v>1217</v>
      </c>
      <c r="AH790" t="s">
        <v>72</v>
      </c>
      <c r="AI790" t="s">
        <v>4015</v>
      </c>
      <c r="AJ790">
        <v>2017</v>
      </c>
      <c r="AK790" t="s">
        <v>553</v>
      </c>
      <c r="AN790" t="s">
        <v>192</v>
      </c>
      <c r="AO790" t="s">
        <v>77</v>
      </c>
      <c r="AP790" t="s">
        <v>359</v>
      </c>
      <c r="AQ790" t="s">
        <v>3687</v>
      </c>
      <c r="AR790" t="s">
        <v>80</v>
      </c>
      <c r="AS790">
        <v>291</v>
      </c>
      <c r="AT790" t="s">
        <v>81</v>
      </c>
      <c r="AU790">
        <v>-22.86</v>
      </c>
      <c r="AV790">
        <v>-39.69</v>
      </c>
      <c r="AW790" t="s">
        <v>82</v>
      </c>
      <c r="AX790">
        <v>291</v>
      </c>
      <c r="AY790" t="s">
        <v>81</v>
      </c>
      <c r="AZ790">
        <v>-31.53</v>
      </c>
      <c r="BA790">
        <v>-39.07</v>
      </c>
      <c r="BB790" t="s">
        <v>83</v>
      </c>
    </row>
    <row r="791" spans="1:54" x14ac:dyDescent="0.4">
      <c r="A791">
        <v>1558115</v>
      </c>
      <c r="D791" t="s">
        <v>1182</v>
      </c>
      <c r="E791" t="s">
        <v>154</v>
      </c>
      <c r="I791" t="s">
        <v>57</v>
      </c>
      <c r="K791" t="s">
        <v>1183</v>
      </c>
      <c r="L791" t="s">
        <v>1184</v>
      </c>
      <c r="M791" t="s">
        <v>60</v>
      </c>
      <c r="N791" t="s">
        <v>256</v>
      </c>
      <c r="O791" t="s">
        <v>87</v>
      </c>
      <c r="P791" t="s">
        <v>62</v>
      </c>
      <c r="R791" t="s">
        <v>63</v>
      </c>
      <c r="S791" t="s">
        <v>64</v>
      </c>
      <c r="T791">
        <v>227</v>
      </c>
      <c r="U791">
        <v>208.5</v>
      </c>
      <c r="V791">
        <f t="shared" si="24"/>
        <v>217.75</v>
      </c>
      <c r="W791">
        <f t="shared" si="25"/>
        <v>18.5</v>
      </c>
      <c r="X791">
        <v>-79.668998999999999</v>
      </c>
      <c r="Y791">
        <v>36.540900999999998</v>
      </c>
      <c r="Z791" t="s">
        <v>346</v>
      </c>
      <c r="AA791" t="s">
        <v>66</v>
      </c>
      <c r="AB791" t="s">
        <v>816</v>
      </c>
      <c r="AC791" t="s">
        <v>1185</v>
      </c>
      <c r="AD791" t="s">
        <v>1186</v>
      </c>
      <c r="AE791" t="s">
        <v>1187</v>
      </c>
      <c r="AF791" t="s">
        <v>1188</v>
      </c>
      <c r="AH791" t="s">
        <v>11</v>
      </c>
      <c r="AI791" t="s">
        <v>5546</v>
      </c>
      <c r="AJ791">
        <v>1996</v>
      </c>
      <c r="AK791" t="s">
        <v>1190</v>
      </c>
      <c r="AM791" t="s">
        <v>1191</v>
      </c>
      <c r="AN791" t="s">
        <v>114</v>
      </c>
      <c r="AO791">
        <v>4</v>
      </c>
      <c r="AP791" t="s">
        <v>115</v>
      </c>
      <c r="AQ791" t="s">
        <v>1192</v>
      </c>
      <c r="AR791" t="s">
        <v>80</v>
      </c>
      <c r="AS791">
        <v>109</v>
      </c>
      <c r="AT791" t="s">
        <v>81</v>
      </c>
      <c r="AU791">
        <v>-12.82</v>
      </c>
      <c r="AV791">
        <v>9.85</v>
      </c>
      <c r="AW791" t="s">
        <v>82</v>
      </c>
      <c r="AX791">
        <v>109</v>
      </c>
      <c r="AY791" t="s">
        <v>81</v>
      </c>
      <c r="AZ791">
        <v>-23.63</v>
      </c>
      <c r="BA791">
        <v>10.79</v>
      </c>
      <c r="BB791" t="s">
        <v>83</v>
      </c>
    </row>
    <row r="792" spans="1:54" x14ac:dyDescent="0.4">
      <c r="A792">
        <v>1559619</v>
      </c>
      <c r="D792" t="s">
        <v>54</v>
      </c>
      <c r="E792" t="s">
        <v>310</v>
      </c>
      <c r="G792">
        <v>1</v>
      </c>
      <c r="H792" t="s">
        <v>84</v>
      </c>
      <c r="I792" t="s">
        <v>57</v>
      </c>
      <c r="K792" t="s">
        <v>132</v>
      </c>
      <c r="L792" t="s">
        <v>133</v>
      </c>
      <c r="M792" t="s">
        <v>60</v>
      </c>
      <c r="N792" t="s">
        <v>119</v>
      </c>
      <c r="O792" t="s">
        <v>134</v>
      </c>
      <c r="P792" t="s">
        <v>62</v>
      </c>
      <c r="R792" t="s">
        <v>63</v>
      </c>
      <c r="S792" t="s">
        <v>64</v>
      </c>
      <c r="T792">
        <v>227</v>
      </c>
      <c r="U792">
        <v>208.5</v>
      </c>
      <c r="V792">
        <f t="shared" si="24"/>
        <v>217.75</v>
      </c>
      <c r="W792">
        <f t="shared" si="25"/>
        <v>18.5</v>
      </c>
      <c r="X792">
        <v>8.016667</v>
      </c>
      <c r="Y792">
        <v>47.5</v>
      </c>
      <c r="Z792" t="s">
        <v>124</v>
      </c>
      <c r="AA792" t="s">
        <v>226</v>
      </c>
      <c r="AB792" t="s">
        <v>246</v>
      </c>
      <c r="AD792" t="s">
        <v>247</v>
      </c>
      <c r="AF792" t="s">
        <v>248</v>
      </c>
      <c r="AH792" t="s">
        <v>11</v>
      </c>
      <c r="AI792" t="s">
        <v>5421</v>
      </c>
      <c r="AJ792">
        <v>2019</v>
      </c>
      <c r="AK792" t="s">
        <v>5422</v>
      </c>
      <c r="AM792" t="s">
        <v>5423</v>
      </c>
      <c r="AN792" t="s">
        <v>76</v>
      </c>
      <c r="AO792">
        <v>4</v>
      </c>
      <c r="AP792" t="s">
        <v>78</v>
      </c>
      <c r="AQ792" t="s">
        <v>5424</v>
      </c>
      <c r="AR792" t="s">
        <v>80</v>
      </c>
      <c r="AS792">
        <v>305</v>
      </c>
      <c r="AT792" t="s">
        <v>81</v>
      </c>
      <c r="AU792">
        <v>21.05</v>
      </c>
      <c r="AV792">
        <v>28.61</v>
      </c>
      <c r="AW792" t="s">
        <v>82</v>
      </c>
      <c r="AX792">
        <v>305</v>
      </c>
      <c r="AY792" t="s">
        <v>81</v>
      </c>
      <c r="AZ792">
        <v>9.9499999999999993</v>
      </c>
      <c r="BA792">
        <v>30.51</v>
      </c>
      <c r="BB792" t="s">
        <v>83</v>
      </c>
    </row>
    <row r="793" spans="1:54" x14ac:dyDescent="0.4">
      <c r="A793">
        <v>1565715</v>
      </c>
      <c r="D793" t="s">
        <v>167</v>
      </c>
      <c r="E793" t="s">
        <v>154</v>
      </c>
      <c r="G793">
        <v>1</v>
      </c>
      <c r="H793" t="s">
        <v>56</v>
      </c>
      <c r="I793" t="s">
        <v>57</v>
      </c>
      <c r="K793" t="s">
        <v>141</v>
      </c>
      <c r="L793" t="s">
        <v>5568</v>
      </c>
      <c r="M793" t="s">
        <v>60</v>
      </c>
      <c r="P793" t="s">
        <v>62</v>
      </c>
      <c r="R793" t="s">
        <v>63</v>
      </c>
      <c r="S793" t="s">
        <v>64</v>
      </c>
      <c r="T793">
        <v>227</v>
      </c>
      <c r="U793">
        <v>208.5</v>
      </c>
      <c r="V793">
        <f t="shared" si="24"/>
        <v>217.75</v>
      </c>
      <c r="W793">
        <f t="shared" si="25"/>
        <v>18.5</v>
      </c>
      <c r="X793">
        <v>-109.462486</v>
      </c>
      <c r="Y793">
        <v>34.437420000000003</v>
      </c>
      <c r="Z793" t="s">
        <v>734</v>
      </c>
      <c r="AA793" t="s">
        <v>66</v>
      </c>
      <c r="AB793" t="s">
        <v>583</v>
      </c>
      <c r="AC793" t="s">
        <v>735</v>
      </c>
      <c r="AD793" t="s">
        <v>174</v>
      </c>
      <c r="AF793" t="s">
        <v>736</v>
      </c>
      <c r="AH793" t="s">
        <v>72</v>
      </c>
      <c r="AI793" t="s">
        <v>1129</v>
      </c>
      <c r="AJ793">
        <v>2021</v>
      </c>
      <c r="AK793" t="s">
        <v>737</v>
      </c>
      <c r="AN793" t="s">
        <v>76</v>
      </c>
      <c r="AO793">
        <v>8</v>
      </c>
      <c r="AP793" t="s">
        <v>78</v>
      </c>
      <c r="AQ793" t="s">
        <v>738</v>
      </c>
      <c r="AR793" t="s">
        <v>80</v>
      </c>
      <c r="AS793">
        <v>101</v>
      </c>
      <c r="AT793" t="s">
        <v>81</v>
      </c>
      <c r="AU793">
        <v>-37.44</v>
      </c>
      <c r="AV793">
        <v>9.8800000000000008</v>
      </c>
      <c r="AW793" t="s">
        <v>82</v>
      </c>
      <c r="AX793">
        <v>133</v>
      </c>
      <c r="AY793" t="s">
        <v>81</v>
      </c>
      <c r="AZ793">
        <v>-52.23</v>
      </c>
      <c r="BA793">
        <v>9.9499999999999993</v>
      </c>
      <c r="BB793" t="s">
        <v>83</v>
      </c>
    </row>
    <row r="794" spans="1:54" x14ac:dyDescent="0.4">
      <c r="A794">
        <v>1574196</v>
      </c>
      <c r="D794" t="s">
        <v>904</v>
      </c>
      <c r="G794">
        <v>1</v>
      </c>
      <c r="H794" t="s">
        <v>84</v>
      </c>
      <c r="I794" t="s">
        <v>57</v>
      </c>
      <c r="K794" t="s">
        <v>85</v>
      </c>
      <c r="L794" t="s">
        <v>1519</v>
      </c>
      <c r="M794" t="s">
        <v>60</v>
      </c>
      <c r="O794" t="s">
        <v>87</v>
      </c>
      <c r="P794" t="s">
        <v>62</v>
      </c>
      <c r="R794" t="s">
        <v>63</v>
      </c>
      <c r="S794" t="s">
        <v>64</v>
      </c>
      <c r="T794">
        <v>227</v>
      </c>
      <c r="U794">
        <v>208.5</v>
      </c>
      <c r="V794">
        <f t="shared" si="24"/>
        <v>217.75</v>
      </c>
      <c r="W794">
        <f t="shared" si="25"/>
        <v>18.5</v>
      </c>
      <c r="X794">
        <v>-103.379997</v>
      </c>
      <c r="Y794">
        <v>35.365276000000001</v>
      </c>
      <c r="Z794" t="s">
        <v>582</v>
      </c>
      <c r="AA794" t="s">
        <v>66</v>
      </c>
      <c r="AB794" t="s">
        <v>846</v>
      </c>
      <c r="AC794" t="s">
        <v>906</v>
      </c>
      <c r="AD794" t="s">
        <v>907</v>
      </c>
      <c r="AE794" t="s">
        <v>201</v>
      </c>
      <c r="AH794" t="s">
        <v>11</v>
      </c>
      <c r="AI794" t="s">
        <v>5574</v>
      </c>
      <c r="AJ794">
        <v>1972</v>
      </c>
      <c r="AK794" t="s">
        <v>909</v>
      </c>
      <c r="AN794" t="s">
        <v>76</v>
      </c>
      <c r="AO794" t="s">
        <v>77</v>
      </c>
      <c r="AP794" t="s">
        <v>78</v>
      </c>
      <c r="AQ794" t="s">
        <v>910</v>
      </c>
      <c r="AR794" t="s">
        <v>80</v>
      </c>
      <c r="AS794">
        <v>101</v>
      </c>
      <c r="AT794" t="s">
        <v>81</v>
      </c>
      <c r="AU794">
        <v>-32.29</v>
      </c>
      <c r="AV794">
        <v>9.9</v>
      </c>
      <c r="AW794" t="s">
        <v>82</v>
      </c>
      <c r="AX794">
        <v>101</v>
      </c>
      <c r="AY794" t="s">
        <v>81</v>
      </c>
      <c r="AZ794">
        <v>-43.13</v>
      </c>
      <c r="BA794">
        <v>10.11</v>
      </c>
      <c r="BB794" t="s">
        <v>83</v>
      </c>
    </row>
    <row r="795" spans="1:54" x14ac:dyDescent="0.4">
      <c r="A795">
        <v>1578530</v>
      </c>
      <c r="D795" t="s">
        <v>54</v>
      </c>
      <c r="E795" t="s">
        <v>55</v>
      </c>
      <c r="G795">
        <v>1</v>
      </c>
      <c r="H795" t="s">
        <v>56</v>
      </c>
      <c r="I795" t="s">
        <v>57</v>
      </c>
      <c r="K795" t="s">
        <v>306</v>
      </c>
      <c r="L795" t="s">
        <v>1177</v>
      </c>
      <c r="M795" t="s">
        <v>60</v>
      </c>
      <c r="P795" t="s">
        <v>62</v>
      </c>
      <c r="R795" t="s">
        <v>63</v>
      </c>
      <c r="S795" t="s">
        <v>64</v>
      </c>
      <c r="T795">
        <v>227</v>
      </c>
      <c r="U795">
        <v>208.5</v>
      </c>
      <c r="V795">
        <f t="shared" si="24"/>
        <v>217.75</v>
      </c>
      <c r="W795">
        <f t="shared" si="25"/>
        <v>18.5</v>
      </c>
      <c r="X795">
        <v>-52.84111</v>
      </c>
      <c r="Y795">
        <v>-29.681388999999999</v>
      </c>
      <c r="Z795" t="s">
        <v>582</v>
      </c>
      <c r="AA795" t="s">
        <v>783</v>
      </c>
      <c r="AB795" t="s">
        <v>784</v>
      </c>
      <c r="AD795" t="s">
        <v>785</v>
      </c>
      <c r="AE795" t="s">
        <v>786</v>
      </c>
      <c r="AG795" t="s">
        <v>1173</v>
      </c>
      <c r="AH795" t="s">
        <v>72</v>
      </c>
      <c r="AI795" t="s">
        <v>3767</v>
      </c>
      <c r="AJ795">
        <v>1999</v>
      </c>
      <c r="AK795" t="s">
        <v>3427</v>
      </c>
      <c r="AM795" t="s">
        <v>3428</v>
      </c>
      <c r="AN795" t="s">
        <v>76</v>
      </c>
      <c r="AO795" t="s">
        <v>77</v>
      </c>
      <c r="AP795" t="s">
        <v>78</v>
      </c>
      <c r="AQ795" t="s">
        <v>3429</v>
      </c>
      <c r="AR795" t="s">
        <v>80</v>
      </c>
      <c r="AS795">
        <v>201</v>
      </c>
      <c r="AT795" t="s">
        <v>81</v>
      </c>
      <c r="AU795">
        <v>-6.17</v>
      </c>
      <c r="AV795">
        <v>-38.549999999999997</v>
      </c>
      <c r="AW795" t="s">
        <v>82</v>
      </c>
      <c r="AX795">
        <v>202</v>
      </c>
      <c r="AY795" t="s">
        <v>81</v>
      </c>
      <c r="AZ795">
        <v>-14.94</v>
      </c>
      <c r="BA795">
        <v>-36.96</v>
      </c>
      <c r="BB795" t="s">
        <v>83</v>
      </c>
    </row>
    <row r="796" spans="1:54" x14ac:dyDescent="0.4">
      <c r="A796">
        <v>1578530</v>
      </c>
      <c r="D796" t="s">
        <v>54</v>
      </c>
      <c r="E796" t="s">
        <v>55</v>
      </c>
      <c r="G796">
        <v>1</v>
      </c>
      <c r="H796" t="s">
        <v>56</v>
      </c>
      <c r="I796" t="s">
        <v>57</v>
      </c>
      <c r="K796" t="s">
        <v>306</v>
      </c>
      <c r="L796" t="s">
        <v>1177</v>
      </c>
      <c r="M796" t="s">
        <v>60</v>
      </c>
      <c r="P796" t="s">
        <v>62</v>
      </c>
      <c r="R796" t="s">
        <v>63</v>
      </c>
      <c r="S796" t="s">
        <v>64</v>
      </c>
      <c r="T796">
        <v>227</v>
      </c>
      <c r="U796">
        <v>208.5</v>
      </c>
      <c r="V796">
        <f t="shared" si="24"/>
        <v>217.75</v>
      </c>
      <c r="W796">
        <f t="shared" si="25"/>
        <v>18.5</v>
      </c>
      <c r="X796">
        <v>-52.84111</v>
      </c>
      <c r="Y796">
        <v>-29.681388999999999</v>
      </c>
      <c r="Z796" t="s">
        <v>582</v>
      </c>
      <c r="AA796" t="s">
        <v>783</v>
      </c>
      <c r="AB796" t="s">
        <v>784</v>
      </c>
      <c r="AD796" t="s">
        <v>785</v>
      </c>
      <c r="AE796" t="s">
        <v>786</v>
      </c>
      <c r="AG796" t="s">
        <v>1173</v>
      </c>
      <c r="AH796" t="s">
        <v>72</v>
      </c>
      <c r="AI796" t="s">
        <v>3767</v>
      </c>
      <c r="AJ796">
        <v>1999</v>
      </c>
      <c r="AK796" t="s">
        <v>3427</v>
      </c>
      <c r="AM796" t="s">
        <v>3428</v>
      </c>
      <c r="AN796" t="s">
        <v>76</v>
      </c>
      <c r="AO796" t="s">
        <v>77</v>
      </c>
      <c r="AP796" t="s">
        <v>78</v>
      </c>
      <c r="AQ796" t="s">
        <v>3429</v>
      </c>
      <c r="AR796" t="s">
        <v>80</v>
      </c>
      <c r="AS796">
        <v>201</v>
      </c>
      <c r="AT796" t="s">
        <v>81</v>
      </c>
      <c r="AU796">
        <v>-6.17</v>
      </c>
      <c r="AV796">
        <v>-38.549999999999997</v>
      </c>
      <c r="AW796" t="s">
        <v>82</v>
      </c>
      <c r="AX796">
        <v>202</v>
      </c>
      <c r="AY796" t="s">
        <v>81</v>
      </c>
      <c r="AZ796">
        <v>-14.94</v>
      </c>
      <c r="BA796">
        <v>-36.96</v>
      </c>
      <c r="BB796" t="s">
        <v>83</v>
      </c>
    </row>
    <row r="797" spans="1:54" x14ac:dyDescent="0.4">
      <c r="A797">
        <v>1578928</v>
      </c>
      <c r="D797" t="s">
        <v>54</v>
      </c>
      <c r="E797" t="s">
        <v>55</v>
      </c>
      <c r="I797" t="s">
        <v>57</v>
      </c>
      <c r="K797" t="s">
        <v>141</v>
      </c>
      <c r="L797" t="s">
        <v>990</v>
      </c>
      <c r="M797" t="s">
        <v>60</v>
      </c>
      <c r="O797" t="s">
        <v>87</v>
      </c>
      <c r="P797" t="s">
        <v>62</v>
      </c>
      <c r="R797" t="s">
        <v>63</v>
      </c>
      <c r="S797" t="s">
        <v>64</v>
      </c>
      <c r="T797">
        <v>227</v>
      </c>
      <c r="U797">
        <v>208.5</v>
      </c>
      <c r="V797">
        <f t="shared" si="24"/>
        <v>217.75</v>
      </c>
      <c r="W797">
        <f t="shared" si="25"/>
        <v>18.5</v>
      </c>
      <c r="X797">
        <v>-109.83409899999999</v>
      </c>
      <c r="Y797">
        <v>35.110900999999998</v>
      </c>
      <c r="Z797" t="s">
        <v>582</v>
      </c>
      <c r="AA797" t="s">
        <v>66</v>
      </c>
      <c r="AB797" t="s">
        <v>583</v>
      </c>
      <c r="AC797" t="s">
        <v>735</v>
      </c>
      <c r="AD797" t="s">
        <v>174</v>
      </c>
      <c r="AF797" t="s">
        <v>749</v>
      </c>
      <c r="AH797" t="s">
        <v>11</v>
      </c>
      <c r="AI797" t="s">
        <v>915</v>
      </c>
      <c r="AJ797">
        <v>2011</v>
      </c>
      <c r="AK797" t="s">
        <v>1238</v>
      </c>
      <c r="AM797" t="s">
        <v>1239</v>
      </c>
      <c r="AN797" t="s">
        <v>114</v>
      </c>
      <c r="AO797">
        <v>4</v>
      </c>
      <c r="AP797" t="s">
        <v>115</v>
      </c>
      <c r="AQ797" t="s">
        <v>1240</v>
      </c>
      <c r="AR797" t="s">
        <v>80</v>
      </c>
      <c r="AS797">
        <v>101</v>
      </c>
      <c r="AT797" t="s">
        <v>81</v>
      </c>
      <c r="AU797">
        <v>-37.61</v>
      </c>
      <c r="AV797">
        <v>10.6</v>
      </c>
      <c r="AW797" t="s">
        <v>82</v>
      </c>
      <c r="AX797">
        <v>133</v>
      </c>
      <c r="AY797" t="s">
        <v>81</v>
      </c>
      <c r="AZ797">
        <v>-52.42</v>
      </c>
      <c r="BA797">
        <v>10.67</v>
      </c>
      <c r="BB797" t="s">
        <v>83</v>
      </c>
    </row>
    <row r="798" spans="1:54" x14ac:dyDescent="0.4">
      <c r="A798">
        <v>1578941</v>
      </c>
      <c r="D798" t="s">
        <v>54</v>
      </c>
      <c r="I798" t="s">
        <v>57</v>
      </c>
      <c r="K798" t="s">
        <v>323</v>
      </c>
      <c r="L798" t="s">
        <v>1124</v>
      </c>
      <c r="M798" t="s">
        <v>1125</v>
      </c>
      <c r="N798" t="s">
        <v>1126</v>
      </c>
      <c r="O798" t="s">
        <v>87</v>
      </c>
      <c r="P798" t="s">
        <v>62</v>
      </c>
      <c r="R798" t="s">
        <v>63</v>
      </c>
      <c r="S798" t="s">
        <v>64</v>
      </c>
      <c r="T798">
        <v>227</v>
      </c>
      <c r="U798">
        <v>208.5</v>
      </c>
      <c r="V798">
        <f t="shared" si="24"/>
        <v>217.75</v>
      </c>
      <c r="W798">
        <f t="shared" si="25"/>
        <v>18.5</v>
      </c>
      <c r="X798">
        <v>-109.75</v>
      </c>
      <c r="Y798">
        <v>34.933334000000002</v>
      </c>
      <c r="Z798" t="s">
        <v>124</v>
      </c>
      <c r="AA798" t="s">
        <v>66</v>
      </c>
      <c r="AB798" t="s">
        <v>583</v>
      </c>
      <c r="AC798" t="s">
        <v>735</v>
      </c>
      <c r="AD798" t="s">
        <v>174</v>
      </c>
      <c r="AF798" t="s">
        <v>1068</v>
      </c>
      <c r="AH798" t="s">
        <v>11</v>
      </c>
      <c r="AI798" t="s">
        <v>915</v>
      </c>
      <c r="AJ798">
        <v>2011</v>
      </c>
      <c r="AK798" t="s">
        <v>2642</v>
      </c>
      <c r="AN798" t="s">
        <v>192</v>
      </c>
      <c r="AO798" t="s">
        <v>160</v>
      </c>
      <c r="AP798" t="s">
        <v>115</v>
      </c>
      <c r="AQ798" t="s">
        <v>2641</v>
      </c>
      <c r="AR798" t="s">
        <v>80</v>
      </c>
      <c r="AS798">
        <v>101</v>
      </c>
      <c r="AT798" t="s">
        <v>81</v>
      </c>
      <c r="AU798">
        <v>-37.58</v>
      </c>
      <c r="AV798">
        <v>10.41</v>
      </c>
      <c r="AW798" t="s">
        <v>82</v>
      </c>
      <c r="AX798">
        <v>133</v>
      </c>
      <c r="AY798" t="s">
        <v>81</v>
      </c>
      <c r="AZ798">
        <v>-52.38</v>
      </c>
      <c r="BA798">
        <v>10.48</v>
      </c>
      <c r="BB798" t="s">
        <v>83</v>
      </c>
    </row>
    <row r="799" spans="1:54" x14ac:dyDescent="0.4">
      <c r="A799">
        <v>1579639</v>
      </c>
      <c r="D799" t="s">
        <v>54</v>
      </c>
      <c r="I799" t="s">
        <v>57</v>
      </c>
      <c r="K799" t="s">
        <v>206</v>
      </c>
      <c r="L799" t="s">
        <v>851</v>
      </c>
      <c r="M799" t="s">
        <v>60</v>
      </c>
      <c r="O799" t="s">
        <v>170</v>
      </c>
      <c r="P799" t="s">
        <v>62</v>
      </c>
      <c r="R799" t="s">
        <v>63</v>
      </c>
      <c r="S799" t="s">
        <v>64</v>
      </c>
      <c r="T799">
        <v>227</v>
      </c>
      <c r="U799">
        <v>208.5</v>
      </c>
      <c r="V799">
        <f t="shared" si="24"/>
        <v>217.75</v>
      </c>
      <c r="W799">
        <f t="shared" si="25"/>
        <v>18.5</v>
      </c>
      <c r="X799">
        <v>-106.47506</v>
      </c>
      <c r="Y799">
        <v>36.323849000000003</v>
      </c>
      <c r="Z799" t="s">
        <v>432</v>
      </c>
      <c r="AA799" t="s">
        <v>66</v>
      </c>
      <c r="AB799" t="s">
        <v>846</v>
      </c>
      <c r="AC799" t="s">
        <v>847</v>
      </c>
      <c r="AD799" t="s">
        <v>174</v>
      </c>
      <c r="AF799" t="s">
        <v>749</v>
      </c>
      <c r="AH799" t="s">
        <v>11</v>
      </c>
      <c r="AI799" t="s">
        <v>1129</v>
      </c>
      <c r="AJ799">
        <v>2005</v>
      </c>
      <c r="AK799" t="s">
        <v>5578</v>
      </c>
      <c r="AN799" t="s">
        <v>114</v>
      </c>
      <c r="AO799">
        <v>6</v>
      </c>
      <c r="AP799" t="s">
        <v>78</v>
      </c>
      <c r="AQ799" t="s">
        <v>5579</v>
      </c>
      <c r="AR799" t="s">
        <v>80</v>
      </c>
      <c r="AS799">
        <v>101</v>
      </c>
      <c r="AT799" t="s">
        <v>81</v>
      </c>
      <c r="AU799">
        <v>-34.65</v>
      </c>
      <c r="AV799">
        <v>11.27</v>
      </c>
      <c r="AW799" t="s">
        <v>82</v>
      </c>
      <c r="AX799">
        <v>133</v>
      </c>
      <c r="AY799" t="s">
        <v>81</v>
      </c>
      <c r="AZ799">
        <v>-49.47</v>
      </c>
      <c r="BA799">
        <v>11.42</v>
      </c>
      <c r="BB799" t="s">
        <v>83</v>
      </c>
    </row>
    <row r="800" spans="1:54" x14ac:dyDescent="0.4">
      <c r="A800">
        <v>1579640</v>
      </c>
      <c r="D800" t="s">
        <v>54</v>
      </c>
      <c r="I800" t="s">
        <v>57</v>
      </c>
      <c r="K800" t="s">
        <v>323</v>
      </c>
      <c r="L800" t="s">
        <v>1124</v>
      </c>
      <c r="M800" t="s">
        <v>1125</v>
      </c>
      <c r="N800" t="s">
        <v>1126</v>
      </c>
      <c r="O800" t="s">
        <v>87</v>
      </c>
      <c r="P800" t="s">
        <v>62</v>
      </c>
      <c r="R800" t="s">
        <v>63</v>
      </c>
      <c r="S800" t="s">
        <v>64</v>
      </c>
      <c r="T800">
        <v>227</v>
      </c>
      <c r="U800">
        <v>208.5</v>
      </c>
      <c r="V800">
        <f t="shared" si="24"/>
        <v>217.75</v>
      </c>
      <c r="W800">
        <f t="shared" si="25"/>
        <v>18.5</v>
      </c>
      <c r="X800">
        <v>-106.47506</v>
      </c>
      <c r="Y800">
        <v>36.323849000000003</v>
      </c>
      <c r="Z800" t="s">
        <v>432</v>
      </c>
      <c r="AA800" t="s">
        <v>66</v>
      </c>
      <c r="AB800" t="s">
        <v>846</v>
      </c>
      <c r="AC800" t="s">
        <v>847</v>
      </c>
      <c r="AD800" t="s">
        <v>174</v>
      </c>
      <c r="AF800" t="s">
        <v>749</v>
      </c>
      <c r="AH800" t="s">
        <v>11</v>
      </c>
      <c r="AI800" t="s">
        <v>1129</v>
      </c>
      <c r="AJ800">
        <v>2005</v>
      </c>
      <c r="AK800" t="s">
        <v>5578</v>
      </c>
      <c r="AN800" t="s">
        <v>114</v>
      </c>
      <c r="AO800">
        <v>6</v>
      </c>
      <c r="AP800" t="s">
        <v>78</v>
      </c>
      <c r="AQ800" t="s">
        <v>5579</v>
      </c>
      <c r="AR800" t="s">
        <v>80</v>
      </c>
      <c r="AS800">
        <v>101</v>
      </c>
      <c r="AT800" t="s">
        <v>81</v>
      </c>
      <c r="AU800">
        <v>-34.65</v>
      </c>
      <c r="AV800">
        <v>11.27</v>
      </c>
      <c r="AW800" t="s">
        <v>82</v>
      </c>
      <c r="AX800">
        <v>133</v>
      </c>
      <c r="AY800" t="s">
        <v>81</v>
      </c>
      <c r="AZ800">
        <v>-49.47</v>
      </c>
      <c r="BA800">
        <v>11.42</v>
      </c>
      <c r="BB800" t="s">
        <v>83</v>
      </c>
    </row>
    <row r="801" spans="1:54" x14ac:dyDescent="0.4">
      <c r="A801">
        <v>1579641</v>
      </c>
      <c r="D801" t="s">
        <v>54</v>
      </c>
      <c r="I801" t="s">
        <v>57</v>
      </c>
      <c r="K801" t="s">
        <v>141</v>
      </c>
      <c r="L801" t="s">
        <v>911</v>
      </c>
      <c r="M801" t="s">
        <v>60</v>
      </c>
      <c r="N801" t="s">
        <v>256</v>
      </c>
      <c r="O801" t="s">
        <v>87</v>
      </c>
      <c r="P801" t="s">
        <v>62</v>
      </c>
      <c r="R801" t="s">
        <v>63</v>
      </c>
      <c r="S801" t="s">
        <v>64</v>
      </c>
      <c r="T801">
        <v>227</v>
      </c>
      <c r="U801">
        <v>208.5</v>
      </c>
      <c r="V801">
        <f t="shared" si="24"/>
        <v>217.75</v>
      </c>
      <c r="W801">
        <f t="shared" si="25"/>
        <v>18.5</v>
      </c>
      <c r="X801">
        <v>-106.47506</v>
      </c>
      <c r="Y801">
        <v>36.323849000000003</v>
      </c>
      <c r="Z801" t="s">
        <v>432</v>
      </c>
      <c r="AA801" t="s">
        <v>66</v>
      </c>
      <c r="AB801" t="s">
        <v>846</v>
      </c>
      <c r="AC801" t="s">
        <v>847</v>
      </c>
      <c r="AD801" t="s">
        <v>174</v>
      </c>
      <c r="AF801" t="s">
        <v>749</v>
      </c>
      <c r="AH801" t="s">
        <v>11</v>
      </c>
      <c r="AI801" t="s">
        <v>1129</v>
      </c>
      <c r="AJ801">
        <v>2005</v>
      </c>
      <c r="AK801" t="s">
        <v>5578</v>
      </c>
      <c r="AN801" t="s">
        <v>114</v>
      </c>
      <c r="AO801">
        <v>6</v>
      </c>
      <c r="AP801" t="s">
        <v>78</v>
      </c>
      <c r="AQ801" t="s">
        <v>5579</v>
      </c>
      <c r="AR801" t="s">
        <v>80</v>
      </c>
      <c r="AS801">
        <v>101</v>
      </c>
      <c r="AT801" t="s">
        <v>81</v>
      </c>
      <c r="AU801">
        <v>-34.65</v>
      </c>
      <c r="AV801">
        <v>11.27</v>
      </c>
      <c r="AW801" t="s">
        <v>82</v>
      </c>
      <c r="AX801">
        <v>133</v>
      </c>
      <c r="AY801" t="s">
        <v>81</v>
      </c>
      <c r="AZ801">
        <v>-49.47</v>
      </c>
      <c r="BA801">
        <v>11.42</v>
      </c>
      <c r="BB801" t="s">
        <v>83</v>
      </c>
    </row>
    <row r="802" spans="1:54" x14ac:dyDescent="0.4">
      <c r="A802">
        <v>1580066</v>
      </c>
      <c r="D802" t="s">
        <v>54</v>
      </c>
      <c r="G802">
        <v>3</v>
      </c>
      <c r="H802" t="s">
        <v>84</v>
      </c>
      <c r="I802" t="s">
        <v>57</v>
      </c>
      <c r="K802" t="s">
        <v>141</v>
      </c>
      <c r="L802" t="s">
        <v>905</v>
      </c>
      <c r="M802" t="s">
        <v>60</v>
      </c>
      <c r="O802" t="s">
        <v>170</v>
      </c>
      <c r="P802" t="s">
        <v>62</v>
      </c>
      <c r="R802" t="s">
        <v>63</v>
      </c>
      <c r="S802" t="s">
        <v>64</v>
      </c>
      <c r="T802">
        <v>227</v>
      </c>
      <c r="U802">
        <v>208.5</v>
      </c>
      <c r="V802">
        <f t="shared" si="24"/>
        <v>217.75</v>
      </c>
      <c r="W802">
        <f t="shared" si="25"/>
        <v>18.5</v>
      </c>
      <c r="X802">
        <v>-103.54969800000001</v>
      </c>
      <c r="Y802">
        <v>35.104301</v>
      </c>
      <c r="Z802" t="s">
        <v>124</v>
      </c>
      <c r="AA802" t="s">
        <v>66</v>
      </c>
      <c r="AB802" t="s">
        <v>846</v>
      </c>
      <c r="AC802" t="s">
        <v>906</v>
      </c>
      <c r="AD802" t="s">
        <v>907</v>
      </c>
      <c r="AH802" t="s">
        <v>72</v>
      </c>
      <c r="AI802" t="s">
        <v>175</v>
      </c>
      <c r="AJ802">
        <v>2002</v>
      </c>
      <c r="AK802" t="s">
        <v>5580</v>
      </c>
      <c r="AM802" t="s">
        <v>5581</v>
      </c>
      <c r="AN802" t="s">
        <v>849</v>
      </c>
      <c r="AO802">
        <v>4</v>
      </c>
      <c r="AP802" t="s">
        <v>115</v>
      </c>
      <c r="AQ802" t="s">
        <v>5582</v>
      </c>
      <c r="AR802" t="s">
        <v>80</v>
      </c>
      <c r="AS802">
        <v>101</v>
      </c>
      <c r="AT802" t="s">
        <v>81</v>
      </c>
      <c r="AU802">
        <v>-32.47</v>
      </c>
      <c r="AV802">
        <v>9.67</v>
      </c>
      <c r="AW802" t="s">
        <v>82</v>
      </c>
      <c r="AX802">
        <v>101</v>
      </c>
      <c r="AY802" t="s">
        <v>81</v>
      </c>
      <c r="AZ802">
        <v>-43.3</v>
      </c>
      <c r="BA802">
        <v>9.8699999999999992</v>
      </c>
      <c r="BB802" t="s">
        <v>83</v>
      </c>
    </row>
    <row r="803" spans="1:54" x14ac:dyDescent="0.4">
      <c r="A803">
        <v>1580212</v>
      </c>
      <c r="D803" t="s">
        <v>54</v>
      </c>
      <c r="E803" t="s">
        <v>55</v>
      </c>
      <c r="G803">
        <v>1</v>
      </c>
      <c r="H803" t="s">
        <v>84</v>
      </c>
      <c r="I803" t="s">
        <v>57</v>
      </c>
      <c r="K803" t="s">
        <v>206</v>
      </c>
      <c r="L803" t="s">
        <v>744</v>
      </c>
      <c r="M803" t="s">
        <v>60</v>
      </c>
      <c r="O803" t="s">
        <v>170</v>
      </c>
      <c r="P803" t="s">
        <v>62</v>
      </c>
      <c r="R803" t="s">
        <v>63</v>
      </c>
      <c r="S803" t="s">
        <v>64</v>
      </c>
      <c r="T803">
        <v>227</v>
      </c>
      <c r="U803">
        <v>208.5</v>
      </c>
      <c r="V803">
        <f t="shared" si="24"/>
        <v>217.75</v>
      </c>
      <c r="W803">
        <f t="shared" si="25"/>
        <v>18.5</v>
      </c>
      <c r="X803">
        <v>-101.31500200000001</v>
      </c>
      <c r="Y803">
        <v>33.521388999999999</v>
      </c>
      <c r="Z803" t="s">
        <v>198</v>
      </c>
      <c r="AA803" t="s">
        <v>66</v>
      </c>
      <c r="AB803" t="s">
        <v>125</v>
      </c>
      <c r="AC803" t="s">
        <v>199</v>
      </c>
      <c r="AD803" t="s">
        <v>200</v>
      </c>
      <c r="AE803" t="s">
        <v>201</v>
      </c>
      <c r="AH803" t="s">
        <v>72</v>
      </c>
      <c r="AI803" t="s">
        <v>209</v>
      </c>
      <c r="AJ803">
        <v>2013</v>
      </c>
      <c r="AK803" t="s">
        <v>203</v>
      </c>
      <c r="AM803" t="s">
        <v>204</v>
      </c>
      <c r="AN803" t="s">
        <v>76</v>
      </c>
      <c r="AO803" t="s">
        <v>77</v>
      </c>
      <c r="AP803" t="s">
        <v>115</v>
      </c>
      <c r="AQ803" t="s">
        <v>205</v>
      </c>
      <c r="AR803" t="s">
        <v>80</v>
      </c>
      <c r="AS803">
        <v>101</v>
      </c>
      <c r="AT803" t="s">
        <v>81</v>
      </c>
      <c r="AU803">
        <v>-30.86</v>
      </c>
      <c r="AV803">
        <v>7.83</v>
      </c>
      <c r="AW803" t="s">
        <v>82</v>
      </c>
      <c r="AX803">
        <v>101</v>
      </c>
      <c r="AY803" t="s">
        <v>81</v>
      </c>
      <c r="AZ803">
        <v>-41.61</v>
      </c>
      <c r="BA803">
        <v>8.1</v>
      </c>
      <c r="BB803" t="s">
        <v>83</v>
      </c>
    </row>
    <row r="804" spans="1:54" x14ac:dyDescent="0.4">
      <c r="A804">
        <v>1581446</v>
      </c>
      <c r="D804" t="s">
        <v>54</v>
      </c>
      <c r="G804">
        <v>1</v>
      </c>
      <c r="H804" t="s">
        <v>84</v>
      </c>
      <c r="I804" t="s">
        <v>57</v>
      </c>
      <c r="K804" t="s">
        <v>323</v>
      </c>
      <c r="L804" t="s">
        <v>1423</v>
      </c>
      <c r="M804" t="s">
        <v>60</v>
      </c>
      <c r="P804" t="s">
        <v>62</v>
      </c>
      <c r="R804" t="s">
        <v>63</v>
      </c>
      <c r="S804" t="s">
        <v>64</v>
      </c>
      <c r="T804">
        <v>227</v>
      </c>
      <c r="U804">
        <v>208.5</v>
      </c>
      <c r="V804">
        <f t="shared" si="24"/>
        <v>217.75</v>
      </c>
      <c r="W804">
        <f t="shared" si="25"/>
        <v>18.5</v>
      </c>
      <c r="X804">
        <v>-109.763885</v>
      </c>
      <c r="Y804">
        <v>34.947223999999999</v>
      </c>
      <c r="Z804" t="s">
        <v>124</v>
      </c>
      <c r="AA804" t="s">
        <v>66</v>
      </c>
      <c r="AB804" t="s">
        <v>583</v>
      </c>
      <c r="AC804" t="s">
        <v>735</v>
      </c>
      <c r="AD804" t="s">
        <v>174</v>
      </c>
      <c r="AF804" t="s">
        <v>1068</v>
      </c>
      <c r="AH804" t="s">
        <v>72</v>
      </c>
      <c r="AI804" t="s">
        <v>1120</v>
      </c>
      <c r="AJ804">
        <v>2021</v>
      </c>
      <c r="AK804" t="s">
        <v>5585</v>
      </c>
      <c r="AM804" t="s">
        <v>5586</v>
      </c>
      <c r="AN804" t="s">
        <v>114</v>
      </c>
      <c r="AO804" t="s">
        <v>77</v>
      </c>
      <c r="AP804" t="s">
        <v>115</v>
      </c>
      <c r="AQ804" t="s">
        <v>5587</v>
      </c>
      <c r="AR804" t="s">
        <v>80</v>
      </c>
      <c r="AS804">
        <v>101</v>
      </c>
      <c r="AT804" t="s">
        <v>81</v>
      </c>
      <c r="AU804">
        <v>-37.590000000000003</v>
      </c>
      <c r="AV804">
        <v>10.43</v>
      </c>
      <c r="AW804" t="s">
        <v>82</v>
      </c>
      <c r="AX804">
        <v>133</v>
      </c>
      <c r="AY804" t="s">
        <v>81</v>
      </c>
      <c r="AZ804">
        <v>-52.39</v>
      </c>
      <c r="BA804">
        <v>10.5</v>
      </c>
      <c r="BB804" t="s">
        <v>83</v>
      </c>
    </row>
    <row r="805" spans="1:54" x14ac:dyDescent="0.4">
      <c r="A805">
        <v>1581447</v>
      </c>
      <c r="D805" t="s">
        <v>54</v>
      </c>
      <c r="G805">
        <v>1</v>
      </c>
      <c r="H805" t="s">
        <v>84</v>
      </c>
      <c r="I805" t="s">
        <v>57</v>
      </c>
      <c r="K805" t="s">
        <v>206</v>
      </c>
      <c r="L805" t="s">
        <v>207</v>
      </c>
      <c r="M805" t="s">
        <v>60</v>
      </c>
      <c r="O805" t="s">
        <v>170</v>
      </c>
      <c r="P805" t="s">
        <v>62</v>
      </c>
      <c r="R805" t="s">
        <v>63</v>
      </c>
      <c r="S805" t="s">
        <v>64</v>
      </c>
      <c r="T805">
        <v>227</v>
      </c>
      <c r="U805">
        <v>208.5</v>
      </c>
      <c r="V805">
        <f t="shared" si="24"/>
        <v>217.75</v>
      </c>
      <c r="W805">
        <f t="shared" si="25"/>
        <v>18.5</v>
      </c>
      <c r="X805">
        <v>-109.763885</v>
      </c>
      <c r="Y805">
        <v>34.947223999999999</v>
      </c>
      <c r="Z805" t="s">
        <v>124</v>
      </c>
      <c r="AA805" t="s">
        <v>66</v>
      </c>
      <c r="AB805" t="s">
        <v>583</v>
      </c>
      <c r="AC805" t="s">
        <v>735</v>
      </c>
      <c r="AD805" t="s">
        <v>174</v>
      </c>
      <c r="AF805" t="s">
        <v>1068</v>
      </c>
      <c r="AH805" t="s">
        <v>72</v>
      </c>
      <c r="AI805" t="s">
        <v>1120</v>
      </c>
      <c r="AJ805">
        <v>2021</v>
      </c>
      <c r="AK805" t="s">
        <v>5585</v>
      </c>
      <c r="AM805" t="s">
        <v>5586</v>
      </c>
      <c r="AN805" t="s">
        <v>114</v>
      </c>
      <c r="AO805" t="s">
        <v>77</v>
      </c>
      <c r="AP805" t="s">
        <v>115</v>
      </c>
      <c r="AQ805" t="s">
        <v>5587</v>
      </c>
      <c r="AR805" t="s">
        <v>80</v>
      </c>
      <c r="AS805">
        <v>101</v>
      </c>
      <c r="AT805" t="s">
        <v>81</v>
      </c>
      <c r="AU805">
        <v>-37.590000000000003</v>
      </c>
      <c r="AV805">
        <v>10.43</v>
      </c>
      <c r="AW805" t="s">
        <v>82</v>
      </c>
      <c r="AX805">
        <v>133</v>
      </c>
      <c r="AY805" t="s">
        <v>81</v>
      </c>
      <c r="AZ805">
        <v>-52.39</v>
      </c>
      <c r="BA805">
        <v>10.5</v>
      </c>
      <c r="BB805" t="s">
        <v>83</v>
      </c>
    </row>
    <row r="806" spans="1:54" x14ac:dyDescent="0.4">
      <c r="A806">
        <v>1581449</v>
      </c>
      <c r="D806" t="s">
        <v>54</v>
      </c>
      <c r="G806">
        <v>1</v>
      </c>
      <c r="H806" t="s">
        <v>84</v>
      </c>
      <c r="I806" t="s">
        <v>57</v>
      </c>
      <c r="K806" t="s">
        <v>206</v>
      </c>
      <c r="L806" t="s">
        <v>754</v>
      </c>
      <c r="M806" t="s">
        <v>60</v>
      </c>
      <c r="O806" t="s">
        <v>170</v>
      </c>
      <c r="P806" t="s">
        <v>62</v>
      </c>
      <c r="R806" t="s">
        <v>63</v>
      </c>
      <c r="S806" t="s">
        <v>64</v>
      </c>
      <c r="T806">
        <v>227</v>
      </c>
      <c r="U806">
        <v>208.5</v>
      </c>
      <c r="V806">
        <f t="shared" si="24"/>
        <v>217.75</v>
      </c>
      <c r="W806">
        <f t="shared" si="25"/>
        <v>18.5</v>
      </c>
      <c r="X806">
        <v>-109.763885</v>
      </c>
      <c r="Y806">
        <v>34.947223999999999</v>
      </c>
      <c r="Z806" t="s">
        <v>124</v>
      </c>
      <c r="AA806" t="s">
        <v>66</v>
      </c>
      <c r="AB806" t="s">
        <v>583</v>
      </c>
      <c r="AC806" t="s">
        <v>735</v>
      </c>
      <c r="AD806" t="s">
        <v>174</v>
      </c>
      <c r="AF806" t="s">
        <v>1068</v>
      </c>
      <c r="AH806" t="s">
        <v>72</v>
      </c>
      <c r="AI806" t="s">
        <v>1120</v>
      </c>
      <c r="AJ806">
        <v>2021</v>
      </c>
      <c r="AK806" t="s">
        <v>5585</v>
      </c>
      <c r="AM806" t="s">
        <v>5586</v>
      </c>
      <c r="AN806" t="s">
        <v>114</v>
      </c>
      <c r="AO806" t="s">
        <v>77</v>
      </c>
      <c r="AP806" t="s">
        <v>115</v>
      </c>
      <c r="AQ806" t="s">
        <v>5587</v>
      </c>
      <c r="AR806" t="s">
        <v>80</v>
      </c>
      <c r="AS806">
        <v>101</v>
      </c>
      <c r="AT806" t="s">
        <v>81</v>
      </c>
      <c r="AU806">
        <v>-37.590000000000003</v>
      </c>
      <c r="AV806">
        <v>10.43</v>
      </c>
      <c r="AW806" t="s">
        <v>82</v>
      </c>
      <c r="AX806">
        <v>133</v>
      </c>
      <c r="AY806" t="s">
        <v>81</v>
      </c>
      <c r="AZ806">
        <v>-52.39</v>
      </c>
      <c r="BA806">
        <v>10.5</v>
      </c>
      <c r="BB806" t="s">
        <v>83</v>
      </c>
    </row>
    <row r="807" spans="1:54" x14ac:dyDescent="0.4">
      <c r="A807">
        <v>1581452</v>
      </c>
      <c r="D807" t="s">
        <v>54</v>
      </c>
      <c r="G807">
        <v>1</v>
      </c>
      <c r="H807" t="s">
        <v>84</v>
      </c>
      <c r="I807" t="s">
        <v>57</v>
      </c>
      <c r="K807" t="s">
        <v>323</v>
      </c>
      <c r="L807" t="s">
        <v>1124</v>
      </c>
      <c r="M807" t="s">
        <v>1125</v>
      </c>
      <c r="N807" t="s">
        <v>1126</v>
      </c>
      <c r="O807" t="s">
        <v>87</v>
      </c>
      <c r="P807" t="s">
        <v>62</v>
      </c>
      <c r="R807" t="s">
        <v>63</v>
      </c>
      <c r="S807" t="s">
        <v>64</v>
      </c>
      <c r="T807">
        <v>227</v>
      </c>
      <c r="U807">
        <v>208.5</v>
      </c>
      <c r="V807">
        <f t="shared" si="24"/>
        <v>217.75</v>
      </c>
      <c r="W807">
        <f t="shared" si="25"/>
        <v>18.5</v>
      </c>
      <c r="X807">
        <v>-109.763885</v>
      </c>
      <c r="Y807">
        <v>34.947223999999999</v>
      </c>
      <c r="Z807" t="s">
        <v>124</v>
      </c>
      <c r="AA807" t="s">
        <v>66</v>
      </c>
      <c r="AB807" t="s">
        <v>583</v>
      </c>
      <c r="AC807" t="s">
        <v>735</v>
      </c>
      <c r="AD807" t="s">
        <v>174</v>
      </c>
      <c r="AF807" t="s">
        <v>1068</v>
      </c>
      <c r="AH807" t="s">
        <v>72</v>
      </c>
      <c r="AI807" t="s">
        <v>1120</v>
      </c>
      <c r="AJ807">
        <v>2021</v>
      </c>
      <c r="AK807" t="s">
        <v>5585</v>
      </c>
      <c r="AM807" t="s">
        <v>5586</v>
      </c>
      <c r="AN807" t="s">
        <v>114</v>
      </c>
      <c r="AO807" t="s">
        <v>77</v>
      </c>
      <c r="AP807" t="s">
        <v>115</v>
      </c>
      <c r="AQ807" t="s">
        <v>5587</v>
      </c>
      <c r="AR807" t="s">
        <v>80</v>
      </c>
      <c r="AS807">
        <v>101</v>
      </c>
      <c r="AT807" t="s">
        <v>81</v>
      </c>
      <c r="AU807">
        <v>-37.590000000000003</v>
      </c>
      <c r="AV807">
        <v>10.43</v>
      </c>
      <c r="AW807" t="s">
        <v>82</v>
      </c>
      <c r="AX807">
        <v>133</v>
      </c>
      <c r="AY807" t="s">
        <v>81</v>
      </c>
      <c r="AZ807">
        <v>-52.39</v>
      </c>
      <c r="BA807">
        <v>10.5</v>
      </c>
      <c r="BB807" t="s">
        <v>83</v>
      </c>
    </row>
    <row r="808" spans="1:54" x14ac:dyDescent="0.4">
      <c r="A808">
        <v>1581453</v>
      </c>
      <c r="D808" t="s">
        <v>54</v>
      </c>
      <c r="G808">
        <v>1</v>
      </c>
      <c r="H808" t="s">
        <v>84</v>
      </c>
      <c r="I808" t="s">
        <v>57</v>
      </c>
      <c r="K808" t="s">
        <v>141</v>
      </c>
      <c r="L808" t="s">
        <v>1303</v>
      </c>
      <c r="M808" t="s">
        <v>60</v>
      </c>
      <c r="P808" t="s">
        <v>62</v>
      </c>
      <c r="R808" t="s">
        <v>63</v>
      </c>
      <c r="S808" t="s">
        <v>64</v>
      </c>
      <c r="T808">
        <v>227</v>
      </c>
      <c r="U808">
        <v>208.5</v>
      </c>
      <c r="V808">
        <f t="shared" si="24"/>
        <v>217.75</v>
      </c>
      <c r="W808">
        <f t="shared" si="25"/>
        <v>18.5</v>
      </c>
      <c r="X808">
        <v>-109.763885</v>
      </c>
      <c r="Y808">
        <v>34.947223999999999</v>
      </c>
      <c r="Z808" t="s">
        <v>124</v>
      </c>
      <c r="AA808" t="s">
        <v>66</v>
      </c>
      <c r="AB808" t="s">
        <v>583</v>
      </c>
      <c r="AC808" t="s">
        <v>735</v>
      </c>
      <c r="AD808" t="s">
        <v>174</v>
      </c>
      <c r="AF808" t="s">
        <v>1068</v>
      </c>
      <c r="AH808" t="s">
        <v>72</v>
      </c>
      <c r="AI808" t="s">
        <v>1120</v>
      </c>
      <c r="AJ808">
        <v>2021</v>
      </c>
      <c r="AK808" t="s">
        <v>5585</v>
      </c>
      <c r="AM808" t="s">
        <v>5586</v>
      </c>
      <c r="AN808" t="s">
        <v>114</v>
      </c>
      <c r="AO808" t="s">
        <v>77</v>
      </c>
      <c r="AP808" t="s">
        <v>115</v>
      </c>
      <c r="AQ808" t="s">
        <v>5587</v>
      </c>
      <c r="AR808" t="s">
        <v>80</v>
      </c>
      <c r="AS808">
        <v>101</v>
      </c>
      <c r="AT808" t="s">
        <v>81</v>
      </c>
      <c r="AU808">
        <v>-37.590000000000003</v>
      </c>
      <c r="AV808">
        <v>10.43</v>
      </c>
      <c r="AW808" t="s">
        <v>82</v>
      </c>
      <c r="AX808">
        <v>133</v>
      </c>
      <c r="AY808" t="s">
        <v>81</v>
      </c>
      <c r="AZ808">
        <v>-52.39</v>
      </c>
      <c r="BA808">
        <v>10.5</v>
      </c>
      <c r="BB808" t="s">
        <v>83</v>
      </c>
    </row>
    <row r="809" spans="1:54" x14ac:dyDescent="0.4">
      <c r="A809">
        <v>1586159</v>
      </c>
      <c r="D809" t="s">
        <v>54</v>
      </c>
      <c r="E809" t="s">
        <v>55</v>
      </c>
      <c r="F809" t="s">
        <v>258</v>
      </c>
      <c r="G809">
        <v>1</v>
      </c>
      <c r="H809" t="s">
        <v>56</v>
      </c>
      <c r="I809" t="s">
        <v>57</v>
      </c>
      <c r="K809" t="s">
        <v>244</v>
      </c>
      <c r="L809" t="s">
        <v>245</v>
      </c>
      <c r="M809" t="s">
        <v>60</v>
      </c>
      <c r="O809" t="s">
        <v>170</v>
      </c>
      <c r="P809" t="s">
        <v>62</v>
      </c>
      <c r="R809" t="s">
        <v>63</v>
      </c>
      <c r="S809" t="s">
        <v>64</v>
      </c>
      <c r="T809">
        <v>227</v>
      </c>
      <c r="U809">
        <v>208.5</v>
      </c>
      <c r="V809">
        <f t="shared" si="24"/>
        <v>217.75</v>
      </c>
      <c r="W809">
        <f t="shared" si="25"/>
        <v>18.5</v>
      </c>
      <c r="X809">
        <v>8.65</v>
      </c>
      <c r="Y809">
        <v>48.066668999999997</v>
      </c>
      <c r="Z809" t="s">
        <v>198</v>
      </c>
      <c r="AA809" t="s">
        <v>211</v>
      </c>
      <c r="AB809" t="s">
        <v>212</v>
      </c>
      <c r="AC809" t="s">
        <v>259</v>
      </c>
      <c r="AD809" t="s">
        <v>214</v>
      </c>
      <c r="AE809" t="s">
        <v>215</v>
      </c>
      <c r="AH809" t="s">
        <v>72</v>
      </c>
      <c r="AI809" t="s">
        <v>5597</v>
      </c>
      <c r="AJ809">
        <v>2022</v>
      </c>
      <c r="AK809" t="s">
        <v>261</v>
      </c>
      <c r="AM809" t="s">
        <v>262</v>
      </c>
      <c r="AN809" t="s">
        <v>114</v>
      </c>
      <c r="AO809">
        <v>5</v>
      </c>
      <c r="AP809" t="s">
        <v>78</v>
      </c>
      <c r="AQ809" t="s">
        <v>263</v>
      </c>
      <c r="AR809" t="s">
        <v>80</v>
      </c>
      <c r="AS809">
        <v>305</v>
      </c>
      <c r="AT809" t="s">
        <v>81</v>
      </c>
      <c r="AU809">
        <v>21.24</v>
      </c>
      <c r="AV809">
        <v>29.29</v>
      </c>
      <c r="AW809" t="s">
        <v>82</v>
      </c>
      <c r="AX809">
        <v>305</v>
      </c>
      <c r="AY809" t="s">
        <v>81</v>
      </c>
      <c r="AZ809">
        <v>10.119999999999999</v>
      </c>
      <c r="BA809">
        <v>31.21</v>
      </c>
      <c r="BB809" t="s">
        <v>83</v>
      </c>
    </row>
    <row r="810" spans="1:54" x14ac:dyDescent="0.4">
      <c r="A810">
        <v>1586159</v>
      </c>
      <c r="D810" t="s">
        <v>54</v>
      </c>
      <c r="E810" t="s">
        <v>55</v>
      </c>
      <c r="F810" t="s">
        <v>258</v>
      </c>
      <c r="G810">
        <v>1</v>
      </c>
      <c r="H810" t="s">
        <v>56</v>
      </c>
      <c r="I810" t="s">
        <v>57</v>
      </c>
      <c r="K810" t="s">
        <v>244</v>
      </c>
      <c r="L810" t="s">
        <v>245</v>
      </c>
      <c r="M810" t="s">
        <v>60</v>
      </c>
      <c r="O810" t="s">
        <v>170</v>
      </c>
      <c r="P810" t="s">
        <v>62</v>
      </c>
      <c r="R810" t="s">
        <v>63</v>
      </c>
      <c r="S810" t="s">
        <v>64</v>
      </c>
      <c r="T810">
        <v>227</v>
      </c>
      <c r="U810">
        <v>208.5</v>
      </c>
      <c r="V810">
        <f t="shared" si="24"/>
        <v>217.75</v>
      </c>
      <c r="W810">
        <f t="shared" si="25"/>
        <v>18.5</v>
      </c>
      <c r="X810">
        <v>8.65</v>
      </c>
      <c r="Y810">
        <v>48.066668999999997</v>
      </c>
      <c r="Z810" t="s">
        <v>198</v>
      </c>
      <c r="AA810" t="s">
        <v>211</v>
      </c>
      <c r="AB810" t="s">
        <v>212</v>
      </c>
      <c r="AC810" t="s">
        <v>259</v>
      </c>
      <c r="AD810" t="s">
        <v>214</v>
      </c>
      <c r="AE810" t="s">
        <v>215</v>
      </c>
      <c r="AH810" t="s">
        <v>72</v>
      </c>
      <c r="AI810" t="s">
        <v>5597</v>
      </c>
      <c r="AJ810">
        <v>2022</v>
      </c>
      <c r="AK810" t="s">
        <v>261</v>
      </c>
      <c r="AM810" t="s">
        <v>262</v>
      </c>
      <c r="AN810" t="s">
        <v>114</v>
      </c>
      <c r="AO810">
        <v>5</v>
      </c>
      <c r="AP810" t="s">
        <v>78</v>
      </c>
      <c r="AQ810" t="s">
        <v>263</v>
      </c>
      <c r="AR810" t="s">
        <v>80</v>
      </c>
      <c r="AS810">
        <v>305</v>
      </c>
      <c r="AT810" t="s">
        <v>81</v>
      </c>
      <c r="AU810">
        <v>21.24</v>
      </c>
      <c r="AV810">
        <v>29.29</v>
      </c>
      <c r="AW810" t="s">
        <v>82</v>
      </c>
      <c r="AX810">
        <v>305</v>
      </c>
      <c r="AY810" t="s">
        <v>81</v>
      </c>
      <c r="AZ810">
        <v>10.119999999999999</v>
      </c>
      <c r="BA810">
        <v>31.21</v>
      </c>
      <c r="BB810" t="s">
        <v>83</v>
      </c>
    </row>
    <row r="811" spans="1:54" x14ac:dyDescent="0.4">
      <c r="A811">
        <v>1586159</v>
      </c>
      <c r="D811" t="s">
        <v>54</v>
      </c>
      <c r="E811" t="s">
        <v>55</v>
      </c>
      <c r="F811" t="s">
        <v>258</v>
      </c>
      <c r="G811">
        <v>1</v>
      </c>
      <c r="H811" t="s">
        <v>56</v>
      </c>
      <c r="I811" t="s">
        <v>57</v>
      </c>
      <c r="K811" t="s">
        <v>244</v>
      </c>
      <c r="L811" t="s">
        <v>245</v>
      </c>
      <c r="M811" t="s">
        <v>60</v>
      </c>
      <c r="O811" t="s">
        <v>170</v>
      </c>
      <c r="P811" t="s">
        <v>62</v>
      </c>
      <c r="R811" t="s">
        <v>63</v>
      </c>
      <c r="S811" t="s">
        <v>64</v>
      </c>
      <c r="T811">
        <v>227</v>
      </c>
      <c r="U811">
        <v>208.5</v>
      </c>
      <c r="V811">
        <f t="shared" si="24"/>
        <v>217.75</v>
      </c>
      <c r="W811">
        <f t="shared" si="25"/>
        <v>18.5</v>
      </c>
      <c r="X811">
        <v>8.65</v>
      </c>
      <c r="Y811">
        <v>48.066668999999997</v>
      </c>
      <c r="Z811" t="s">
        <v>198</v>
      </c>
      <c r="AA811" t="s">
        <v>211</v>
      </c>
      <c r="AB811" t="s">
        <v>212</v>
      </c>
      <c r="AC811" t="s">
        <v>259</v>
      </c>
      <c r="AD811" t="s">
        <v>214</v>
      </c>
      <c r="AE811" t="s">
        <v>215</v>
      </c>
      <c r="AH811" t="s">
        <v>72</v>
      </c>
      <c r="AI811" t="s">
        <v>5597</v>
      </c>
      <c r="AJ811">
        <v>2022</v>
      </c>
      <c r="AK811" t="s">
        <v>261</v>
      </c>
      <c r="AM811" t="s">
        <v>262</v>
      </c>
      <c r="AN811" t="s">
        <v>114</v>
      </c>
      <c r="AO811">
        <v>5</v>
      </c>
      <c r="AP811" t="s">
        <v>78</v>
      </c>
      <c r="AQ811" t="s">
        <v>263</v>
      </c>
      <c r="AR811" t="s">
        <v>80</v>
      </c>
      <c r="AS811">
        <v>305</v>
      </c>
      <c r="AT811" t="s">
        <v>81</v>
      </c>
      <c r="AU811">
        <v>21.24</v>
      </c>
      <c r="AV811">
        <v>29.29</v>
      </c>
      <c r="AW811" t="s">
        <v>82</v>
      </c>
      <c r="AX811">
        <v>305</v>
      </c>
      <c r="AY811" t="s">
        <v>81</v>
      </c>
      <c r="AZ811">
        <v>10.119999999999999</v>
      </c>
      <c r="BA811">
        <v>31.21</v>
      </c>
      <c r="BB811" t="s">
        <v>83</v>
      </c>
    </row>
    <row r="812" spans="1:54" x14ac:dyDescent="0.4">
      <c r="A812">
        <v>1586159</v>
      </c>
      <c r="D812" t="s">
        <v>54</v>
      </c>
      <c r="E812" t="s">
        <v>55</v>
      </c>
      <c r="F812" t="s">
        <v>258</v>
      </c>
      <c r="G812">
        <v>1</v>
      </c>
      <c r="H812" t="s">
        <v>56</v>
      </c>
      <c r="I812" t="s">
        <v>57</v>
      </c>
      <c r="K812" t="s">
        <v>244</v>
      </c>
      <c r="L812" t="s">
        <v>245</v>
      </c>
      <c r="M812" t="s">
        <v>60</v>
      </c>
      <c r="O812" t="s">
        <v>170</v>
      </c>
      <c r="P812" t="s">
        <v>62</v>
      </c>
      <c r="R812" t="s">
        <v>63</v>
      </c>
      <c r="S812" t="s">
        <v>64</v>
      </c>
      <c r="T812">
        <v>227</v>
      </c>
      <c r="U812">
        <v>208.5</v>
      </c>
      <c r="V812">
        <f t="shared" si="24"/>
        <v>217.75</v>
      </c>
      <c r="W812">
        <f t="shared" si="25"/>
        <v>18.5</v>
      </c>
      <c r="X812">
        <v>8.65</v>
      </c>
      <c r="Y812">
        <v>48.066668999999997</v>
      </c>
      <c r="Z812" t="s">
        <v>198</v>
      </c>
      <c r="AA812" t="s">
        <v>211</v>
      </c>
      <c r="AB812" t="s">
        <v>212</v>
      </c>
      <c r="AC812" t="s">
        <v>259</v>
      </c>
      <c r="AD812" t="s">
        <v>214</v>
      </c>
      <c r="AE812" t="s">
        <v>215</v>
      </c>
      <c r="AH812" t="s">
        <v>72</v>
      </c>
      <c r="AI812" t="s">
        <v>5597</v>
      </c>
      <c r="AJ812">
        <v>2022</v>
      </c>
      <c r="AK812" t="s">
        <v>261</v>
      </c>
      <c r="AM812" t="s">
        <v>262</v>
      </c>
      <c r="AN812" t="s">
        <v>114</v>
      </c>
      <c r="AO812">
        <v>5</v>
      </c>
      <c r="AP812" t="s">
        <v>78</v>
      </c>
      <c r="AQ812" t="s">
        <v>263</v>
      </c>
      <c r="AR812" t="s">
        <v>80</v>
      </c>
      <c r="AS812">
        <v>305</v>
      </c>
      <c r="AT812" t="s">
        <v>81</v>
      </c>
      <c r="AU812">
        <v>21.24</v>
      </c>
      <c r="AV812">
        <v>29.29</v>
      </c>
      <c r="AW812" t="s">
        <v>82</v>
      </c>
      <c r="AX812">
        <v>305</v>
      </c>
      <c r="AY812" t="s">
        <v>81</v>
      </c>
      <c r="AZ812">
        <v>10.119999999999999</v>
      </c>
      <c r="BA812">
        <v>31.21</v>
      </c>
      <c r="BB812" t="s">
        <v>83</v>
      </c>
    </row>
    <row r="813" spans="1:54" x14ac:dyDescent="0.4">
      <c r="A813">
        <v>1586159</v>
      </c>
      <c r="D813" t="s">
        <v>54</v>
      </c>
      <c r="E813" t="s">
        <v>55</v>
      </c>
      <c r="F813" t="s">
        <v>258</v>
      </c>
      <c r="G813">
        <v>1</v>
      </c>
      <c r="H813" t="s">
        <v>56</v>
      </c>
      <c r="I813" t="s">
        <v>57</v>
      </c>
      <c r="K813" t="s">
        <v>244</v>
      </c>
      <c r="L813" t="s">
        <v>245</v>
      </c>
      <c r="M813" t="s">
        <v>60</v>
      </c>
      <c r="O813" t="s">
        <v>170</v>
      </c>
      <c r="P813" t="s">
        <v>62</v>
      </c>
      <c r="R813" t="s">
        <v>63</v>
      </c>
      <c r="S813" t="s">
        <v>64</v>
      </c>
      <c r="T813">
        <v>227</v>
      </c>
      <c r="U813">
        <v>208.5</v>
      </c>
      <c r="V813">
        <f t="shared" si="24"/>
        <v>217.75</v>
      </c>
      <c r="W813">
        <f t="shared" si="25"/>
        <v>18.5</v>
      </c>
      <c r="X813">
        <v>8.65</v>
      </c>
      <c r="Y813">
        <v>48.066668999999997</v>
      </c>
      <c r="Z813" t="s">
        <v>198</v>
      </c>
      <c r="AA813" t="s">
        <v>211</v>
      </c>
      <c r="AB813" t="s">
        <v>212</v>
      </c>
      <c r="AC813" t="s">
        <v>259</v>
      </c>
      <c r="AD813" t="s">
        <v>214</v>
      </c>
      <c r="AE813" t="s">
        <v>215</v>
      </c>
      <c r="AH813" t="s">
        <v>72</v>
      </c>
      <c r="AI813" t="s">
        <v>5597</v>
      </c>
      <c r="AJ813">
        <v>2022</v>
      </c>
      <c r="AK813" t="s">
        <v>261</v>
      </c>
      <c r="AM813" t="s">
        <v>262</v>
      </c>
      <c r="AN813" t="s">
        <v>114</v>
      </c>
      <c r="AO813">
        <v>5</v>
      </c>
      <c r="AP813" t="s">
        <v>78</v>
      </c>
      <c r="AQ813" t="s">
        <v>263</v>
      </c>
      <c r="AR813" t="s">
        <v>80</v>
      </c>
      <c r="AS813">
        <v>305</v>
      </c>
      <c r="AT813" t="s">
        <v>81</v>
      </c>
      <c r="AU813">
        <v>21.24</v>
      </c>
      <c r="AV813">
        <v>29.29</v>
      </c>
      <c r="AW813" t="s">
        <v>82</v>
      </c>
      <c r="AX813">
        <v>305</v>
      </c>
      <c r="AY813" t="s">
        <v>81</v>
      </c>
      <c r="AZ813">
        <v>10.119999999999999</v>
      </c>
      <c r="BA813">
        <v>31.21</v>
      </c>
      <c r="BB813" t="s">
        <v>83</v>
      </c>
    </row>
    <row r="814" spans="1:54" x14ac:dyDescent="0.4">
      <c r="A814">
        <v>1586159</v>
      </c>
      <c r="D814" t="s">
        <v>54</v>
      </c>
      <c r="E814" t="s">
        <v>55</v>
      </c>
      <c r="F814" t="s">
        <v>258</v>
      </c>
      <c r="G814">
        <v>1</v>
      </c>
      <c r="H814" t="s">
        <v>56</v>
      </c>
      <c r="I814" t="s">
        <v>57</v>
      </c>
      <c r="K814" t="s">
        <v>244</v>
      </c>
      <c r="L814" t="s">
        <v>245</v>
      </c>
      <c r="M814" t="s">
        <v>60</v>
      </c>
      <c r="O814" t="s">
        <v>170</v>
      </c>
      <c r="P814" t="s">
        <v>62</v>
      </c>
      <c r="R814" t="s">
        <v>63</v>
      </c>
      <c r="S814" t="s">
        <v>64</v>
      </c>
      <c r="T814">
        <v>227</v>
      </c>
      <c r="U814">
        <v>208.5</v>
      </c>
      <c r="V814">
        <f t="shared" si="24"/>
        <v>217.75</v>
      </c>
      <c r="W814">
        <f t="shared" si="25"/>
        <v>18.5</v>
      </c>
      <c r="X814">
        <v>8.65</v>
      </c>
      <c r="Y814">
        <v>48.066668999999997</v>
      </c>
      <c r="Z814" t="s">
        <v>198</v>
      </c>
      <c r="AA814" t="s">
        <v>211</v>
      </c>
      <c r="AB814" t="s">
        <v>212</v>
      </c>
      <c r="AC814" t="s">
        <v>259</v>
      </c>
      <c r="AD814" t="s">
        <v>214</v>
      </c>
      <c r="AE814" t="s">
        <v>215</v>
      </c>
      <c r="AH814" t="s">
        <v>72</v>
      </c>
      <c r="AI814" t="s">
        <v>5597</v>
      </c>
      <c r="AJ814">
        <v>2022</v>
      </c>
      <c r="AK814" t="s">
        <v>261</v>
      </c>
      <c r="AM814" t="s">
        <v>262</v>
      </c>
      <c r="AN814" t="s">
        <v>114</v>
      </c>
      <c r="AO814">
        <v>5</v>
      </c>
      <c r="AP814" t="s">
        <v>78</v>
      </c>
      <c r="AQ814" t="s">
        <v>263</v>
      </c>
      <c r="AR814" t="s">
        <v>80</v>
      </c>
      <c r="AS814">
        <v>305</v>
      </c>
      <c r="AT814" t="s">
        <v>81</v>
      </c>
      <c r="AU814">
        <v>21.24</v>
      </c>
      <c r="AV814">
        <v>29.29</v>
      </c>
      <c r="AW814" t="s">
        <v>82</v>
      </c>
      <c r="AX814">
        <v>305</v>
      </c>
      <c r="AY814" t="s">
        <v>81</v>
      </c>
      <c r="AZ814">
        <v>10.119999999999999</v>
      </c>
      <c r="BA814">
        <v>31.21</v>
      </c>
      <c r="BB814" t="s">
        <v>83</v>
      </c>
    </row>
    <row r="815" spans="1:54" x14ac:dyDescent="0.4">
      <c r="A815">
        <v>1586159</v>
      </c>
      <c r="D815" t="s">
        <v>54</v>
      </c>
      <c r="E815" t="s">
        <v>55</v>
      </c>
      <c r="F815" t="s">
        <v>258</v>
      </c>
      <c r="G815">
        <v>1</v>
      </c>
      <c r="H815" t="s">
        <v>56</v>
      </c>
      <c r="I815" t="s">
        <v>57</v>
      </c>
      <c r="K815" t="s">
        <v>244</v>
      </c>
      <c r="L815" t="s">
        <v>245</v>
      </c>
      <c r="M815" t="s">
        <v>60</v>
      </c>
      <c r="O815" t="s">
        <v>170</v>
      </c>
      <c r="P815" t="s">
        <v>62</v>
      </c>
      <c r="R815" t="s">
        <v>63</v>
      </c>
      <c r="S815" t="s">
        <v>64</v>
      </c>
      <c r="T815">
        <v>227</v>
      </c>
      <c r="U815">
        <v>208.5</v>
      </c>
      <c r="V815">
        <f t="shared" si="24"/>
        <v>217.75</v>
      </c>
      <c r="W815">
        <f t="shared" si="25"/>
        <v>18.5</v>
      </c>
      <c r="X815">
        <v>8.65</v>
      </c>
      <c r="Y815">
        <v>48.066668999999997</v>
      </c>
      <c r="Z815" t="s">
        <v>198</v>
      </c>
      <c r="AA815" t="s">
        <v>211</v>
      </c>
      <c r="AB815" t="s">
        <v>212</v>
      </c>
      <c r="AC815" t="s">
        <v>259</v>
      </c>
      <c r="AD815" t="s">
        <v>214</v>
      </c>
      <c r="AE815" t="s">
        <v>215</v>
      </c>
      <c r="AH815" t="s">
        <v>72</v>
      </c>
      <c r="AI815" t="s">
        <v>5597</v>
      </c>
      <c r="AJ815">
        <v>2022</v>
      </c>
      <c r="AK815" t="s">
        <v>261</v>
      </c>
      <c r="AM815" t="s">
        <v>262</v>
      </c>
      <c r="AN815" t="s">
        <v>114</v>
      </c>
      <c r="AO815">
        <v>5</v>
      </c>
      <c r="AP815" t="s">
        <v>78</v>
      </c>
      <c r="AQ815" t="s">
        <v>263</v>
      </c>
      <c r="AR815" t="s">
        <v>80</v>
      </c>
      <c r="AS815">
        <v>305</v>
      </c>
      <c r="AT815" t="s">
        <v>81</v>
      </c>
      <c r="AU815">
        <v>21.24</v>
      </c>
      <c r="AV815">
        <v>29.29</v>
      </c>
      <c r="AW815" t="s">
        <v>82</v>
      </c>
      <c r="AX815">
        <v>305</v>
      </c>
      <c r="AY815" t="s">
        <v>81</v>
      </c>
      <c r="AZ815">
        <v>10.119999999999999</v>
      </c>
      <c r="BA815">
        <v>31.21</v>
      </c>
      <c r="BB815" t="s">
        <v>83</v>
      </c>
    </row>
    <row r="816" spans="1:54" x14ac:dyDescent="0.4">
      <c r="A816">
        <v>1586159</v>
      </c>
      <c r="D816" t="s">
        <v>54</v>
      </c>
      <c r="E816" t="s">
        <v>55</v>
      </c>
      <c r="F816" t="s">
        <v>258</v>
      </c>
      <c r="G816">
        <v>1</v>
      </c>
      <c r="H816" t="s">
        <v>56</v>
      </c>
      <c r="I816" t="s">
        <v>57</v>
      </c>
      <c r="K816" t="s">
        <v>244</v>
      </c>
      <c r="L816" t="s">
        <v>245</v>
      </c>
      <c r="M816" t="s">
        <v>60</v>
      </c>
      <c r="O816" t="s">
        <v>170</v>
      </c>
      <c r="P816" t="s">
        <v>62</v>
      </c>
      <c r="R816" t="s">
        <v>63</v>
      </c>
      <c r="S816" t="s">
        <v>64</v>
      </c>
      <c r="T816">
        <v>227</v>
      </c>
      <c r="U816">
        <v>208.5</v>
      </c>
      <c r="V816">
        <f t="shared" si="24"/>
        <v>217.75</v>
      </c>
      <c r="W816">
        <f t="shared" si="25"/>
        <v>18.5</v>
      </c>
      <c r="X816">
        <v>8.65</v>
      </c>
      <c r="Y816">
        <v>48.066668999999997</v>
      </c>
      <c r="Z816" t="s">
        <v>198</v>
      </c>
      <c r="AA816" t="s">
        <v>211</v>
      </c>
      <c r="AB816" t="s">
        <v>212</v>
      </c>
      <c r="AC816" t="s">
        <v>259</v>
      </c>
      <c r="AD816" t="s">
        <v>214</v>
      </c>
      <c r="AE816" t="s">
        <v>215</v>
      </c>
      <c r="AH816" t="s">
        <v>72</v>
      </c>
      <c r="AI816" t="s">
        <v>5597</v>
      </c>
      <c r="AJ816">
        <v>2022</v>
      </c>
      <c r="AK816" t="s">
        <v>261</v>
      </c>
      <c r="AM816" t="s">
        <v>262</v>
      </c>
      <c r="AN816" t="s">
        <v>114</v>
      </c>
      <c r="AO816">
        <v>5</v>
      </c>
      <c r="AP816" t="s">
        <v>78</v>
      </c>
      <c r="AQ816" t="s">
        <v>263</v>
      </c>
      <c r="AR816" t="s">
        <v>80</v>
      </c>
      <c r="AS816">
        <v>305</v>
      </c>
      <c r="AT816" t="s">
        <v>81</v>
      </c>
      <c r="AU816">
        <v>21.24</v>
      </c>
      <c r="AV816">
        <v>29.29</v>
      </c>
      <c r="AW816" t="s">
        <v>82</v>
      </c>
      <c r="AX816">
        <v>305</v>
      </c>
      <c r="AY816" t="s">
        <v>81</v>
      </c>
      <c r="AZ816">
        <v>10.119999999999999</v>
      </c>
      <c r="BA816">
        <v>31.21</v>
      </c>
      <c r="BB816" t="s">
        <v>83</v>
      </c>
    </row>
    <row r="817" spans="1:54" x14ac:dyDescent="0.4">
      <c r="A817">
        <v>1586159</v>
      </c>
      <c r="D817" t="s">
        <v>54</v>
      </c>
      <c r="E817" t="s">
        <v>55</v>
      </c>
      <c r="F817" t="s">
        <v>258</v>
      </c>
      <c r="G817">
        <v>1</v>
      </c>
      <c r="H817" t="s">
        <v>56</v>
      </c>
      <c r="I817" t="s">
        <v>57</v>
      </c>
      <c r="K817" t="s">
        <v>244</v>
      </c>
      <c r="L817" t="s">
        <v>245</v>
      </c>
      <c r="M817" t="s">
        <v>60</v>
      </c>
      <c r="O817" t="s">
        <v>170</v>
      </c>
      <c r="P817" t="s">
        <v>62</v>
      </c>
      <c r="R817" t="s">
        <v>63</v>
      </c>
      <c r="S817" t="s">
        <v>64</v>
      </c>
      <c r="T817">
        <v>227</v>
      </c>
      <c r="U817">
        <v>208.5</v>
      </c>
      <c r="V817">
        <f t="shared" si="24"/>
        <v>217.75</v>
      </c>
      <c r="W817">
        <f t="shared" si="25"/>
        <v>18.5</v>
      </c>
      <c r="X817">
        <v>8.65</v>
      </c>
      <c r="Y817">
        <v>48.066668999999997</v>
      </c>
      <c r="Z817" t="s">
        <v>198</v>
      </c>
      <c r="AA817" t="s">
        <v>211</v>
      </c>
      <c r="AB817" t="s">
        <v>212</v>
      </c>
      <c r="AC817" t="s">
        <v>259</v>
      </c>
      <c r="AD817" t="s">
        <v>214</v>
      </c>
      <c r="AE817" t="s">
        <v>215</v>
      </c>
      <c r="AH817" t="s">
        <v>72</v>
      </c>
      <c r="AI817" t="s">
        <v>5597</v>
      </c>
      <c r="AJ817">
        <v>2022</v>
      </c>
      <c r="AK817" t="s">
        <v>261</v>
      </c>
      <c r="AM817" t="s">
        <v>262</v>
      </c>
      <c r="AN817" t="s">
        <v>114</v>
      </c>
      <c r="AO817">
        <v>5</v>
      </c>
      <c r="AP817" t="s">
        <v>78</v>
      </c>
      <c r="AQ817" t="s">
        <v>263</v>
      </c>
      <c r="AR817" t="s">
        <v>80</v>
      </c>
      <c r="AS817">
        <v>305</v>
      </c>
      <c r="AT817" t="s">
        <v>81</v>
      </c>
      <c r="AU817">
        <v>21.24</v>
      </c>
      <c r="AV817">
        <v>29.29</v>
      </c>
      <c r="AW817" t="s">
        <v>82</v>
      </c>
      <c r="AX817">
        <v>305</v>
      </c>
      <c r="AY817" t="s">
        <v>81</v>
      </c>
      <c r="AZ817">
        <v>10.119999999999999</v>
      </c>
      <c r="BA817">
        <v>31.21</v>
      </c>
      <c r="BB817" t="s">
        <v>83</v>
      </c>
    </row>
    <row r="818" spans="1:54" x14ac:dyDescent="0.4">
      <c r="A818">
        <v>1586159</v>
      </c>
      <c r="D818" t="s">
        <v>54</v>
      </c>
      <c r="E818" t="s">
        <v>55</v>
      </c>
      <c r="F818" t="s">
        <v>258</v>
      </c>
      <c r="G818">
        <v>1</v>
      </c>
      <c r="H818" t="s">
        <v>56</v>
      </c>
      <c r="I818" t="s">
        <v>57</v>
      </c>
      <c r="K818" t="s">
        <v>244</v>
      </c>
      <c r="L818" t="s">
        <v>245</v>
      </c>
      <c r="M818" t="s">
        <v>60</v>
      </c>
      <c r="O818" t="s">
        <v>170</v>
      </c>
      <c r="P818" t="s">
        <v>62</v>
      </c>
      <c r="R818" t="s">
        <v>63</v>
      </c>
      <c r="S818" t="s">
        <v>64</v>
      </c>
      <c r="T818">
        <v>227</v>
      </c>
      <c r="U818">
        <v>208.5</v>
      </c>
      <c r="V818">
        <f t="shared" si="24"/>
        <v>217.75</v>
      </c>
      <c r="W818">
        <f t="shared" si="25"/>
        <v>18.5</v>
      </c>
      <c r="X818">
        <v>8.65</v>
      </c>
      <c r="Y818">
        <v>48.066668999999997</v>
      </c>
      <c r="Z818" t="s">
        <v>198</v>
      </c>
      <c r="AA818" t="s">
        <v>211</v>
      </c>
      <c r="AB818" t="s">
        <v>212</v>
      </c>
      <c r="AC818" t="s">
        <v>259</v>
      </c>
      <c r="AD818" t="s">
        <v>214</v>
      </c>
      <c r="AE818" t="s">
        <v>215</v>
      </c>
      <c r="AH818" t="s">
        <v>72</v>
      </c>
      <c r="AI818" t="s">
        <v>5597</v>
      </c>
      <c r="AJ818">
        <v>2022</v>
      </c>
      <c r="AK818" t="s">
        <v>261</v>
      </c>
      <c r="AM818" t="s">
        <v>262</v>
      </c>
      <c r="AN818" t="s">
        <v>114</v>
      </c>
      <c r="AO818">
        <v>5</v>
      </c>
      <c r="AP818" t="s">
        <v>78</v>
      </c>
      <c r="AQ818" t="s">
        <v>263</v>
      </c>
      <c r="AR818" t="s">
        <v>80</v>
      </c>
      <c r="AS818">
        <v>305</v>
      </c>
      <c r="AT818" t="s">
        <v>81</v>
      </c>
      <c r="AU818">
        <v>21.24</v>
      </c>
      <c r="AV818">
        <v>29.29</v>
      </c>
      <c r="AW818" t="s">
        <v>82</v>
      </c>
      <c r="AX818">
        <v>305</v>
      </c>
      <c r="AY818" t="s">
        <v>81</v>
      </c>
      <c r="AZ818">
        <v>10.119999999999999</v>
      </c>
      <c r="BA818">
        <v>31.21</v>
      </c>
      <c r="BB818" t="s">
        <v>83</v>
      </c>
    </row>
    <row r="819" spans="1:54" x14ac:dyDescent="0.4">
      <c r="A819">
        <v>1586159</v>
      </c>
      <c r="D819" t="s">
        <v>54</v>
      </c>
      <c r="E819" t="s">
        <v>55</v>
      </c>
      <c r="F819" t="s">
        <v>258</v>
      </c>
      <c r="G819">
        <v>1</v>
      </c>
      <c r="H819" t="s">
        <v>56</v>
      </c>
      <c r="I819" t="s">
        <v>57</v>
      </c>
      <c r="K819" t="s">
        <v>244</v>
      </c>
      <c r="L819" t="s">
        <v>245</v>
      </c>
      <c r="M819" t="s">
        <v>60</v>
      </c>
      <c r="O819" t="s">
        <v>170</v>
      </c>
      <c r="P819" t="s">
        <v>62</v>
      </c>
      <c r="R819" t="s">
        <v>63</v>
      </c>
      <c r="S819" t="s">
        <v>64</v>
      </c>
      <c r="T819">
        <v>227</v>
      </c>
      <c r="U819">
        <v>208.5</v>
      </c>
      <c r="V819">
        <f t="shared" si="24"/>
        <v>217.75</v>
      </c>
      <c r="W819">
        <f t="shared" si="25"/>
        <v>18.5</v>
      </c>
      <c r="X819">
        <v>8.65</v>
      </c>
      <c r="Y819">
        <v>48.066668999999997</v>
      </c>
      <c r="Z819" t="s">
        <v>198</v>
      </c>
      <c r="AA819" t="s">
        <v>211</v>
      </c>
      <c r="AB819" t="s">
        <v>212</v>
      </c>
      <c r="AC819" t="s">
        <v>259</v>
      </c>
      <c r="AD819" t="s">
        <v>214</v>
      </c>
      <c r="AE819" t="s">
        <v>215</v>
      </c>
      <c r="AH819" t="s">
        <v>72</v>
      </c>
      <c r="AI819" t="s">
        <v>5597</v>
      </c>
      <c r="AJ819">
        <v>2022</v>
      </c>
      <c r="AK819" t="s">
        <v>261</v>
      </c>
      <c r="AM819" t="s">
        <v>262</v>
      </c>
      <c r="AN819" t="s">
        <v>114</v>
      </c>
      <c r="AO819">
        <v>5</v>
      </c>
      <c r="AP819" t="s">
        <v>78</v>
      </c>
      <c r="AQ819" t="s">
        <v>263</v>
      </c>
      <c r="AR819" t="s">
        <v>80</v>
      </c>
      <c r="AS819">
        <v>305</v>
      </c>
      <c r="AT819" t="s">
        <v>81</v>
      </c>
      <c r="AU819">
        <v>21.24</v>
      </c>
      <c r="AV819">
        <v>29.29</v>
      </c>
      <c r="AW819" t="s">
        <v>82</v>
      </c>
      <c r="AX819">
        <v>305</v>
      </c>
      <c r="AY819" t="s">
        <v>81</v>
      </c>
      <c r="AZ819">
        <v>10.119999999999999</v>
      </c>
      <c r="BA819">
        <v>31.21</v>
      </c>
      <c r="BB819" t="s">
        <v>83</v>
      </c>
    </row>
    <row r="820" spans="1:54" x14ac:dyDescent="0.4">
      <c r="A820">
        <v>1586159</v>
      </c>
      <c r="D820" t="s">
        <v>54</v>
      </c>
      <c r="E820" t="s">
        <v>55</v>
      </c>
      <c r="F820" t="s">
        <v>258</v>
      </c>
      <c r="G820">
        <v>1</v>
      </c>
      <c r="H820" t="s">
        <v>56</v>
      </c>
      <c r="I820" t="s">
        <v>57</v>
      </c>
      <c r="K820" t="s">
        <v>244</v>
      </c>
      <c r="L820" t="s">
        <v>245</v>
      </c>
      <c r="M820" t="s">
        <v>60</v>
      </c>
      <c r="O820" t="s">
        <v>170</v>
      </c>
      <c r="P820" t="s">
        <v>62</v>
      </c>
      <c r="R820" t="s">
        <v>63</v>
      </c>
      <c r="S820" t="s">
        <v>64</v>
      </c>
      <c r="T820">
        <v>227</v>
      </c>
      <c r="U820">
        <v>208.5</v>
      </c>
      <c r="V820">
        <f t="shared" si="24"/>
        <v>217.75</v>
      </c>
      <c r="W820">
        <f t="shared" si="25"/>
        <v>18.5</v>
      </c>
      <c r="X820">
        <v>8.65</v>
      </c>
      <c r="Y820">
        <v>48.066668999999997</v>
      </c>
      <c r="Z820" t="s">
        <v>198</v>
      </c>
      <c r="AA820" t="s">
        <v>211</v>
      </c>
      <c r="AB820" t="s">
        <v>212</v>
      </c>
      <c r="AC820" t="s">
        <v>259</v>
      </c>
      <c r="AD820" t="s">
        <v>214</v>
      </c>
      <c r="AE820" t="s">
        <v>215</v>
      </c>
      <c r="AH820" t="s">
        <v>72</v>
      </c>
      <c r="AI820" t="s">
        <v>5597</v>
      </c>
      <c r="AJ820">
        <v>2022</v>
      </c>
      <c r="AK820" t="s">
        <v>261</v>
      </c>
      <c r="AM820" t="s">
        <v>262</v>
      </c>
      <c r="AN820" t="s">
        <v>114</v>
      </c>
      <c r="AO820">
        <v>5</v>
      </c>
      <c r="AP820" t="s">
        <v>78</v>
      </c>
      <c r="AQ820" t="s">
        <v>263</v>
      </c>
      <c r="AR820" t="s">
        <v>80</v>
      </c>
      <c r="AS820">
        <v>305</v>
      </c>
      <c r="AT820" t="s">
        <v>81</v>
      </c>
      <c r="AU820">
        <v>21.24</v>
      </c>
      <c r="AV820">
        <v>29.29</v>
      </c>
      <c r="AW820" t="s">
        <v>82</v>
      </c>
      <c r="AX820">
        <v>305</v>
      </c>
      <c r="AY820" t="s">
        <v>81</v>
      </c>
      <c r="AZ820">
        <v>10.119999999999999</v>
      </c>
      <c r="BA820">
        <v>31.21</v>
      </c>
      <c r="BB820" t="s">
        <v>83</v>
      </c>
    </row>
    <row r="821" spans="1:54" x14ac:dyDescent="0.4">
      <c r="A821">
        <v>1586159</v>
      </c>
      <c r="D821" t="s">
        <v>54</v>
      </c>
      <c r="E821" t="s">
        <v>55</v>
      </c>
      <c r="F821" t="s">
        <v>258</v>
      </c>
      <c r="G821">
        <v>1</v>
      </c>
      <c r="H821" t="s">
        <v>56</v>
      </c>
      <c r="I821" t="s">
        <v>57</v>
      </c>
      <c r="K821" t="s">
        <v>244</v>
      </c>
      <c r="L821" t="s">
        <v>245</v>
      </c>
      <c r="M821" t="s">
        <v>60</v>
      </c>
      <c r="O821" t="s">
        <v>170</v>
      </c>
      <c r="P821" t="s">
        <v>62</v>
      </c>
      <c r="R821" t="s">
        <v>63</v>
      </c>
      <c r="S821" t="s">
        <v>64</v>
      </c>
      <c r="T821">
        <v>227</v>
      </c>
      <c r="U821">
        <v>208.5</v>
      </c>
      <c r="V821">
        <f t="shared" si="24"/>
        <v>217.75</v>
      </c>
      <c r="W821">
        <f t="shared" si="25"/>
        <v>18.5</v>
      </c>
      <c r="X821">
        <v>8.65</v>
      </c>
      <c r="Y821">
        <v>48.066668999999997</v>
      </c>
      <c r="Z821" t="s">
        <v>198</v>
      </c>
      <c r="AA821" t="s">
        <v>211</v>
      </c>
      <c r="AB821" t="s">
        <v>212</v>
      </c>
      <c r="AC821" t="s">
        <v>259</v>
      </c>
      <c r="AD821" t="s">
        <v>214</v>
      </c>
      <c r="AE821" t="s">
        <v>215</v>
      </c>
      <c r="AH821" t="s">
        <v>72</v>
      </c>
      <c r="AI821" t="s">
        <v>5597</v>
      </c>
      <c r="AJ821">
        <v>2022</v>
      </c>
      <c r="AK821" t="s">
        <v>261</v>
      </c>
      <c r="AM821" t="s">
        <v>262</v>
      </c>
      <c r="AN821" t="s">
        <v>114</v>
      </c>
      <c r="AO821">
        <v>5</v>
      </c>
      <c r="AP821" t="s">
        <v>78</v>
      </c>
      <c r="AQ821" t="s">
        <v>263</v>
      </c>
      <c r="AR821" t="s">
        <v>80</v>
      </c>
      <c r="AS821">
        <v>305</v>
      </c>
      <c r="AT821" t="s">
        <v>81</v>
      </c>
      <c r="AU821">
        <v>21.24</v>
      </c>
      <c r="AV821">
        <v>29.29</v>
      </c>
      <c r="AW821" t="s">
        <v>82</v>
      </c>
      <c r="AX821">
        <v>305</v>
      </c>
      <c r="AY821" t="s">
        <v>81</v>
      </c>
      <c r="AZ821">
        <v>10.119999999999999</v>
      </c>
      <c r="BA821">
        <v>31.21</v>
      </c>
      <c r="BB821" t="s">
        <v>83</v>
      </c>
    </row>
    <row r="822" spans="1:54" x14ac:dyDescent="0.4">
      <c r="A822">
        <v>1586159</v>
      </c>
      <c r="D822" t="s">
        <v>54</v>
      </c>
      <c r="E822" t="s">
        <v>55</v>
      </c>
      <c r="F822" t="s">
        <v>258</v>
      </c>
      <c r="G822">
        <v>1</v>
      </c>
      <c r="H822" t="s">
        <v>56</v>
      </c>
      <c r="I822" t="s">
        <v>57</v>
      </c>
      <c r="K822" t="s">
        <v>244</v>
      </c>
      <c r="L822" t="s">
        <v>245</v>
      </c>
      <c r="M822" t="s">
        <v>60</v>
      </c>
      <c r="O822" t="s">
        <v>170</v>
      </c>
      <c r="P822" t="s">
        <v>62</v>
      </c>
      <c r="R822" t="s">
        <v>63</v>
      </c>
      <c r="S822" t="s">
        <v>64</v>
      </c>
      <c r="T822">
        <v>227</v>
      </c>
      <c r="U822">
        <v>208.5</v>
      </c>
      <c r="V822">
        <f t="shared" si="24"/>
        <v>217.75</v>
      </c>
      <c r="W822">
        <f t="shared" si="25"/>
        <v>18.5</v>
      </c>
      <c r="X822">
        <v>8.65</v>
      </c>
      <c r="Y822">
        <v>48.066668999999997</v>
      </c>
      <c r="Z822" t="s">
        <v>198</v>
      </c>
      <c r="AA822" t="s">
        <v>211</v>
      </c>
      <c r="AB822" t="s">
        <v>212</v>
      </c>
      <c r="AC822" t="s">
        <v>259</v>
      </c>
      <c r="AD822" t="s">
        <v>214</v>
      </c>
      <c r="AE822" t="s">
        <v>215</v>
      </c>
      <c r="AH822" t="s">
        <v>72</v>
      </c>
      <c r="AI822" t="s">
        <v>5597</v>
      </c>
      <c r="AJ822">
        <v>2022</v>
      </c>
      <c r="AK822" t="s">
        <v>261</v>
      </c>
      <c r="AM822" t="s">
        <v>262</v>
      </c>
      <c r="AN822" t="s">
        <v>114</v>
      </c>
      <c r="AO822">
        <v>5</v>
      </c>
      <c r="AP822" t="s">
        <v>78</v>
      </c>
      <c r="AQ822" t="s">
        <v>263</v>
      </c>
      <c r="AR822" t="s">
        <v>80</v>
      </c>
      <c r="AS822">
        <v>305</v>
      </c>
      <c r="AT822" t="s">
        <v>81</v>
      </c>
      <c r="AU822">
        <v>21.24</v>
      </c>
      <c r="AV822">
        <v>29.29</v>
      </c>
      <c r="AW822" t="s">
        <v>82</v>
      </c>
      <c r="AX822">
        <v>305</v>
      </c>
      <c r="AY822" t="s">
        <v>81</v>
      </c>
      <c r="AZ822">
        <v>10.119999999999999</v>
      </c>
      <c r="BA822">
        <v>31.21</v>
      </c>
      <c r="BB822" t="s">
        <v>83</v>
      </c>
    </row>
    <row r="823" spans="1:54" x14ac:dyDescent="0.4">
      <c r="A823">
        <v>1586159</v>
      </c>
      <c r="D823" t="s">
        <v>54</v>
      </c>
      <c r="E823" t="s">
        <v>55</v>
      </c>
      <c r="F823" t="s">
        <v>258</v>
      </c>
      <c r="G823">
        <v>1</v>
      </c>
      <c r="H823" t="s">
        <v>56</v>
      </c>
      <c r="I823" t="s">
        <v>57</v>
      </c>
      <c r="K823" t="s">
        <v>244</v>
      </c>
      <c r="L823" t="s">
        <v>245</v>
      </c>
      <c r="M823" t="s">
        <v>60</v>
      </c>
      <c r="O823" t="s">
        <v>170</v>
      </c>
      <c r="P823" t="s">
        <v>62</v>
      </c>
      <c r="R823" t="s">
        <v>63</v>
      </c>
      <c r="S823" t="s">
        <v>64</v>
      </c>
      <c r="T823">
        <v>227</v>
      </c>
      <c r="U823">
        <v>208.5</v>
      </c>
      <c r="V823">
        <f t="shared" si="24"/>
        <v>217.75</v>
      </c>
      <c r="W823">
        <f t="shared" si="25"/>
        <v>18.5</v>
      </c>
      <c r="X823">
        <v>8.65</v>
      </c>
      <c r="Y823">
        <v>48.066668999999997</v>
      </c>
      <c r="Z823" t="s">
        <v>198</v>
      </c>
      <c r="AA823" t="s">
        <v>211</v>
      </c>
      <c r="AB823" t="s">
        <v>212</v>
      </c>
      <c r="AC823" t="s">
        <v>259</v>
      </c>
      <c r="AD823" t="s">
        <v>214</v>
      </c>
      <c r="AE823" t="s">
        <v>215</v>
      </c>
      <c r="AH823" t="s">
        <v>72</v>
      </c>
      <c r="AI823" t="s">
        <v>5597</v>
      </c>
      <c r="AJ823">
        <v>2022</v>
      </c>
      <c r="AK823" t="s">
        <v>261</v>
      </c>
      <c r="AM823" t="s">
        <v>262</v>
      </c>
      <c r="AN823" t="s">
        <v>114</v>
      </c>
      <c r="AO823">
        <v>5</v>
      </c>
      <c r="AP823" t="s">
        <v>78</v>
      </c>
      <c r="AQ823" t="s">
        <v>263</v>
      </c>
      <c r="AR823" t="s">
        <v>80</v>
      </c>
      <c r="AS823">
        <v>305</v>
      </c>
      <c r="AT823" t="s">
        <v>81</v>
      </c>
      <c r="AU823">
        <v>21.24</v>
      </c>
      <c r="AV823">
        <v>29.29</v>
      </c>
      <c r="AW823" t="s">
        <v>82</v>
      </c>
      <c r="AX823">
        <v>305</v>
      </c>
      <c r="AY823" t="s">
        <v>81</v>
      </c>
      <c r="AZ823">
        <v>10.119999999999999</v>
      </c>
      <c r="BA823">
        <v>31.21</v>
      </c>
      <c r="BB823" t="s">
        <v>83</v>
      </c>
    </row>
    <row r="824" spans="1:54" x14ac:dyDescent="0.4">
      <c r="A824">
        <v>1586159</v>
      </c>
      <c r="D824" t="s">
        <v>54</v>
      </c>
      <c r="E824" t="s">
        <v>55</v>
      </c>
      <c r="F824" t="s">
        <v>258</v>
      </c>
      <c r="G824">
        <v>1</v>
      </c>
      <c r="H824" t="s">
        <v>56</v>
      </c>
      <c r="I824" t="s">
        <v>57</v>
      </c>
      <c r="K824" t="s">
        <v>244</v>
      </c>
      <c r="L824" t="s">
        <v>245</v>
      </c>
      <c r="M824" t="s">
        <v>60</v>
      </c>
      <c r="O824" t="s">
        <v>170</v>
      </c>
      <c r="P824" t="s">
        <v>62</v>
      </c>
      <c r="R824" t="s">
        <v>63</v>
      </c>
      <c r="S824" t="s">
        <v>64</v>
      </c>
      <c r="T824">
        <v>227</v>
      </c>
      <c r="U824">
        <v>208.5</v>
      </c>
      <c r="V824">
        <f t="shared" si="24"/>
        <v>217.75</v>
      </c>
      <c r="W824">
        <f t="shared" si="25"/>
        <v>18.5</v>
      </c>
      <c r="X824">
        <v>8.65</v>
      </c>
      <c r="Y824">
        <v>48.066668999999997</v>
      </c>
      <c r="Z824" t="s">
        <v>198</v>
      </c>
      <c r="AA824" t="s">
        <v>211</v>
      </c>
      <c r="AB824" t="s">
        <v>212</v>
      </c>
      <c r="AC824" t="s">
        <v>259</v>
      </c>
      <c r="AD824" t="s">
        <v>214</v>
      </c>
      <c r="AE824" t="s">
        <v>215</v>
      </c>
      <c r="AH824" t="s">
        <v>72</v>
      </c>
      <c r="AI824" t="s">
        <v>5597</v>
      </c>
      <c r="AJ824">
        <v>2022</v>
      </c>
      <c r="AK824" t="s">
        <v>261</v>
      </c>
      <c r="AM824" t="s">
        <v>262</v>
      </c>
      <c r="AN824" t="s">
        <v>114</v>
      </c>
      <c r="AO824">
        <v>5</v>
      </c>
      <c r="AP824" t="s">
        <v>78</v>
      </c>
      <c r="AQ824" t="s">
        <v>263</v>
      </c>
      <c r="AR824" t="s">
        <v>80</v>
      </c>
      <c r="AS824">
        <v>305</v>
      </c>
      <c r="AT824" t="s">
        <v>81</v>
      </c>
      <c r="AU824">
        <v>21.24</v>
      </c>
      <c r="AV824">
        <v>29.29</v>
      </c>
      <c r="AW824" t="s">
        <v>82</v>
      </c>
      <c r="AX824">
        <v>305</v>
      </c>
      <c r="AY824" t="s">
        <v>81</v>
      </c>
      <c r="AZ824">
        <v>10.119999999999999</v>
      </c>
      <c r="BA824">
        <v>31.21</v>
      </c>
      <c r="BB824" t="s">
        <v>83</v>
      </c>
    </row>
    <row r="825" spans="1:54" x14ac:dyDescent="0.4">
      <c r="A825">
        <v>1586159</v>
      </c>
      <c r="D825" t="s">
        <v>54</v>
      </c>
      <c r="E825" t="s">
        <v>55</v>
      </c>
      <c r="F825" t="s">
        <v>258</v>
      </c>
      <c r="G825">
        <v>1</v>
      </c>
      <c r="H825" t="s">
        <v>56</v>
      </c>
      <c r="I825" t="s">
        <v>57</v>
      </c>
      <c r="K825" t="s">
        <v>244</v>
      </c>
      <c r="L825" t="s">
        <v>245</v>
      </c>
      <c r="M825" t="s">
        <v>60</v>
      </c>
      <c r="O825" t="s">
        <v>170</v>
      </c>
      <c r="P825" t="s">
        <v>62</v>
      </c>
      <c r="R825" t="s">
        <v>63</v>
      </c>
      <c r="S825" t="s">
        <v>64</v>
      </c>
      <c r="T825">
        <v>227</v>
      </c>
      <c r="U825">
        <v>208.5</v>
      </c>
      <c r="V825">
        <f t="shared" si="24"/>
        <v>217.75</v>
      </c>
      <c r="W825">
        <f t="shared" si="25"/>
        <v>18.5</v>
      </c>
      <c r="X825">
        <v>8.65</v>
      </c>
      <c r="Y825">
        <v>48.066668999999997</v>
      </c>
      <c r="Z825" t="s">
        <v>198</v>
      </c>
      <c r="AA825" t="s">
        <v>211</v>
      </c>
      <c r="AB825" t="s">
        <v>212</v>
      </c>
      <c r="AC825" t="s">
        <v>259</v>
      </c>
      <c r="AD825" t="s">
        <v>214</v>
      </c>
      <c r="AE825" t="s">
        <v>215</v>
      </c>
      <c r="AH825" t="s">
        <v>72</v>
      </c>
      <c r="AI825" t="s">
        <v>5597</v>
      </c>
      <c r="AJ825">
        <v>2022</v>
      </c>
      <c r="AK825" t="s">
        <v>261</v>
      </c>
      <c r="AM825" t="s">
        <v>262</v>
      </c>
      <c r="AN825" t="s">
        <v>114</v>
      </c>
      <c r="AO825">
        <v>5</v>
      </c>
      <c r="AP825" t="s">
        <v>78</v>
      </c>
      <c r="AQ825" t="s">
        <v>263</v>
      </c>
      <c r="AR825" t="s">
        <v>80</v>
      </c>
      <c r="AS825">
        <v>305</v>
      </c>
      <c r="AT825" t="s">
        <v>81</v>
      </c>
      <c r="AU825">
        <v>21.24</v>
      </c>
      <c r="AV825">
        <v>29.29</v>
      </c>
      <c r="AW825" t="s">
        <v>82</v>
      </c>
      <c r="AX825">
        <v>305</v>
      </c>
      <c r="AY825" t="s">
        <v>81</v>
      </c>
      <c r="AZ825">
        <v>10.119999999999999</v>
      </c>
      <c r="BA825">
        <v>31.21</v>
      </c>
      <c r="BB825" t="s">
        <v>83</v>
      </c>
    </row>
    <row r="826" spans="1:54" x14ac:dyDescent="0.4">
      <c r="A826">
        <v>1586159</v>
      </c>
      <c r="D826" t="s">
        <v>54</v>
      </c>
      <c r="E826" t="s">
        <v>55</v>
      </c>
      <c r="F826" t="s">
        <v>258</v>
      </c>
      <c r="G826">
        <v>1</v>
      </c>
      <c r="H826" t="s">
        <v>56</v>
      </c>
      <c r="I826" t="s">
        <v>57</v>
      </c>
      <c r="K826" t="s">
        <v>244</v>
      </c>
      <c r="L826" t="s">
        <v>245</v>
      </c>
      <c r="M826" t="s">
        <v>60</v>
      </c>
      <c r="O826" t="s">
        <v>170</v>
      </c>
      <c r="P826" t="s">
        <v>62</v>
      </c>
      <c r="R826" t="s">
        <v>63</v>
      </c>
      <c r="S826" t="s">
        <v>64</v>
      </c>
      <c r="T826">
        <v>227</v>
      </c>
      <c r="U826">
        <v>208.5</v>
      </c>
      <c r="V826">
        <f t="shared" si="24"/>
        <v>217.75</v>
      </c>
      <c r="W826">
        <f t="shared" si="25"/>
        <v>18.5</v>
      </c>
      <c r="X826">
        <v>8.65</v>
      </c>
      <c r="Y826">
        <v>48.066668999999997</v>
      </c>
      <c r="Z826" t="s">
        <v>198</v>
      </c>
      <c r="AA826" t="s">
        <v>211</v>
      </c>
      <c r="AB826" t="s">
        <v>212</v>
      </c>
      <c r="AC826" t="s">
        <v>259</v>
      </c>
      <c r="AD826" t="s">
        <v>214</v>
      </c>
      <c r="AE826" t="s">
        <v>215</v>
      </c>
      <c r="AH826" t="s">
        <v>72</v>
      </c>
      <c r="AI826" t="s">
        <v>5597</v>
      </c>
      <c r="AJ826">
        <v>2022</v>
      </c>
      <c r="AK826" t="s">
        <v>261</v>
      </c>
      <c r="AM826" t="s">
        <v>262</v>
      </c>
      <c r="AN826" t="s">
        <v>114</v>
      </c>
      <c r="AO826">
        <v>5</v>
      </c>
      <c r="AP826" t="s">
        <v>78</v>
      </c>
      <c r="AQ826" t="s">
        <v>263</v>
      </c>
      <c r="AR826" t="s">
        <v>80</v>
      </c>
      <c r="AS826">
        <v>305</v>
      </c>
      <c r="AT826" t="s">
        <v>81</v>
      </c>
      <c r="AU826">
        <v>21.24</v>
      </c>
      <c r="AV826">
        <v>29.29</v>
      </c>
      <c r="AW826" t="s">
        <v>82</v>
      </c>
      <c r="AX826">
        <v>305</v>
      </c>
      <c r="AY826" t="s">
        <v>81</v>
      </c>
      <c r="AZ826">
        <v>10.119999999999999</v>
      </c>
      <c r="BA826">
        <v>31.21</v>
      </c>
      <c r="BB826" t="s">
        <v>83</v>
      </c>
    </row>
    <row r="827" spans="1:54" x14ac:dyDescent="0.4">
      <c r="A827">
        <v>1586159</v>
      </c>
      <c r="D827" t="s">
        <v>54</v>
      </c>
      <c r="E827" t="s">
        <v>55</v>
      </c>
      <c r="F827" t="s">
        <v>258</v>
      </c>
      <c r="G827">
        <v>1</v>
      </c>
      <c r="H827" t="s">
        <v>56</v>
      </c>
      <c r="I827" t="s">
        <v>57</v>
      </c>
      <c r="K827" t="s">
        <v>244</v>
      </c>
      <c r="L827" t="s">
        <v>245</v>
      </c>
      <c r="M827" t="s">
        <v>60</v>
      </c>
      <c r="O827" t="s">
        <v>170</v>
      </c>
      <c r="P827" t="s">
        <v>62</v>
      </c>
      <c r="R827" t="s">
        <v>63</v>
      </c>
      <c r="S827" t="s">
        <v>64</v>
      </c>
      <c r="T827">
        <v>227</v>
      </c>
      <c r="U827">
        <v>208.5</v>
      </c>
      <c r="V827">
        <f t="shared" si="24"/>
        <v>217.75</v>
      </c>
      <c r="W827">
        <f t="shared" si="25"/>
        <v>18.5</v>
      </c>
      <c r="X827">
        <v>8.65</v>
      </c>
      <c r="Y827">
        <v>48.066668999999997</v>
      </c>
      <c r="Z827" t="s">
        <v>198</v>
      </c>
      <c r="AA827" t="s">
        <v>211</v>
      </c>
      <c r="AB827" t="s">
        <v>212</v>
      </c>
      <c r="AC827" t="s">
        <v>259</v>
      </c>
      <c r="AD827" t="s">
        <v>214</v>
      </c>
      <c r="AE827" t="s">
        <v>215</v>
      </c>
      <c r="AH827" t="s">
        <v>72</v>
      </c>
      <c r="AI827" t="s">
        <v>5597</v>
      </c>
      <c r="AJ827">
        <v>2022</v>
      </c>
      <c r="AK827" t="s">
        <v>261</v>
      </c>
      <c r="AM827" t="s">
        <v>262</v>
      </c>
      <c r="AN827" t="s">
        <v>114</v>
      </c>
      <c r="AO827">
        <v>5</v>
      </c>
      <c r="AP827" t="s">
        <v>78</v>
      </c>
      <c r="AQ827" t="s">
        <v>263</v>
      </c>
      <c r="AR827" t="s">
        <v>80</v>
      </c>
      <c r="AS827">
        <v>305</v>
      </c>
      <c r="AT827" t="s">
        <v>81</v>
      </c>
      <c r="AU827">
        <v>21.24</v>
      </c>
      <c r="AV827">
        <v>29.29</v>
      </c>
      <c r="AW827" t="s">
        <v>82</v>
      </c>
      <c r="AX827">
        <v>305</v>
      </c>
      <c r="AY827" t="s">
        <v>81</v>
      </c>
      <c r="AZ827">
        <v>10.119999999999999</v>
      </c>
      <c r="BA827">
        <v>31.21</v>
      </c>
      <c r="BB827" t="s">
        <v>83</v>
      </c>
    </row>
    <row r="828" spans="1:54" x14ac:dyDescent="0.4">
      <c r="A828">
        <v>1586159</v>
      </c>
      <c r="D828" t="s">
        <v>54</v>
      </c>
      <c r="E828" t="s">
        <v>55</v>
      </c>
      <c r="F828" t="s">
        <v>258</v>
      </c>
      <c r="G828">
        <v>1</v>
      </c>
      <c r="H828" t="s">
        <v>56</v>
      </c>
      <c r="I828" t="s">
        <v>57</v>
      </c>
      <c r="K828" t="s">
        <v>244</v>
      </c>
      <c r="L828" t="s">
        <v>245</v>
      </c>
      <c r="M828" t="s">
        <v>60</v>
      </c>
      <c r="O828" t="s">
        <v>170</v>
      </c>
      <c r="P828" t="s">
        <v>62</v>
      </c>
      <c r="R828" t="s">
        <v>63</v>
      </c>
      <c r="S828" t="s">
        <v>64</v>
      </c>
      <c r="T828">
        <v>227</v>
      </c>
      <c r="U828">
        <v>208.5</v>
      </c>
      <c r="V828">
        <f t="shared" si="24"/>
        <v>217.75</v>
      </c>
      <c r="W828">
        <f t="shared" si="25"/>
        <v>18.5</v>
      </c>
      <c r="X828">
        <v>8.65</v>
      </c>
      <c r="Y828">
        <v>48.066668999999997</v>
      </c>
      <c r="Z828" t="s">
        <v>198</v>
      </c>
      <c r="AA828" t="s">
        <v>211</v>
      </c>
      <c r="AB828" t="s">
        <v>212</v>
      </c>
      <c r="AC828" t="s">
        <v>259</v>
      </c>
      <c r="AD828" t="s">
        <v>214</v>
      </c>
      <c r="AE828" t="s">
        <v>215</v>
      </c>
      <c r="AH828" t="s">
        <v>72</v>
      </c>
      <c r="AI828" t="s">
        <v>5597</v>
      </c>
      <c r="AJ828">
        <v>2022</v>
      </c>
      <c r="AK828" t="s">
        <v>261</v>
      </c>
      <c r="AM828" t="s">
        <v>262</v>
      </c>
      <c r="AN828" t="s">
        <v>114</v>
      </c>
      <c r="AO828">
        <v>5</v>
      </c>
      <c r="AP828" t="s">
        <v>78</v>
      </c>
      <c r="AQ828" t="s">
        <v>263</v>
      </c>
      <c r="AR828" t="s">
        <v>80</v>
      </c>
      <c r="AS828">
        <v>305</v>
      </c>
      <c r="AT828" t="s">
        <v>81</v>
      </c>
      <c r="AU828">
        <v>21.24</v>
      </c>
      <c r="AV828">
        <v>29.29</v>
      </c>
      <c r="AW828" t="s">
        <v>82</v>
      </c>
      <c r="AX828">
        <v>305</v>
      </c>
      <c r="AY828" t="s">
        <v>81</v>
      </c>
      <c r="AZ828">
        <v>10.119999999999999</v>
      </c>
      <c r="BA828">
        <v>31.21</v>
      </c>
      <c r="BB828" t="s">
        <v>83</v>
      </c>
    </row>
    <row r="829" spans="1:54" x14ac:dyDescent="0.4">
      <c r="A829">
        <v>1586159</v>
      </c>
      <c r="D829" t="s">
        <v>54</v>
      </c>
      <c r="E829" t="s">
        <v>55</v>
      </c>
      <c r="F829" t="s">
        <v>258</v>
      </c>
      <c r="G829">
        <v>1</v>
      </c>
      <c r="H829" t="s">
        <v>56</v>
      </c>
      <c r="I829" t="s">
        <v>57</v>
      </c>
      <c r="K829" t="s">
        <v>244</v>
      </c>
      <c r="L829" t="s">
        <v>245</v>
      </c>
      <c r="M829" t="s">
        <v>60</v>
      </c>
      <c r="O829" t="s">
        <v>170</v>
      </c>
      <c r="P829" t="s">
        <v>62</v>
      </c>
      <c r="R829" t="s">
        <v>63</v>
      </c>
      <c r="S829" t="s">
        <v>64</v>
      </c>
      <c r="T829">
        <v>227</v>
      </c>
      <c r="U829">
        <v>208.5</v>
      </c>
      <c r="V829">
        <f t="shared" si="24"/>
        <v>217.75</v>
      </c>
      <c r="W829">
        <f t="shared" si="25"/>
        <v>18.5</v>
      </c>
      <c r="X829">
        <v>8.65</v>
      </c>
      <c r="Y829">
        <v>48.066668999999997</v>
      </c>
      <c r="Z829" t="s">
        <v>198</v>
      </c>
      <c r="AA829" t="s">
        <v>211</v>
      </c>
      <c r="AB829" t="s">
        <v>212</v>
      </c>
      <c r="AC829" t="s">
        <v>259</v>
      </c>
      <c r="AD829" t="s">
        <v>214</v>
      </c>
      <c r="AE829" t="s">
        <v>215</v>
      </c>
      <c r="AH829" t="s">
        <v>72</v>
      </c>
      <c r="AI829" t="s">
        <v>5597</v>
      </c>
      <c r="AJ829">
        <v>2022</v>
      </c>
      <c r="AK829" t="s">
        <v>261</v>
      </c>
      <c r="AM829" t="s">
        <v>262</v>
      </c>
      <c r="AN829" t="s">
        <v>114</v>
      </c>
      <c r="AO829">
        <v>5</v>
      </c>
      <c r="AP829" t="s">
        <v>78</v>
      </c>
      <c r="AQ829" t="s">
        <v>263</v>
      </c>
      <c r="AR829" t="s">
        <v>80</v>
      </c>
      <c r="AS829">
        <v>305</v>
      </c>
      <c r="AT829" t="s">
        <v>81</v>
      </c>
      <c r="AU829">
        <v>21.24</v>
      </c>
      <c r="AV829">
        <v>29.29</v>
      </c>
      <c r="AW829" t="s">
        <v>82</v>
      </c>
      <c r="AX829">
        <v>305</v>
      </c>
      <c r="AY829" t="s">
        <v>81</v>
      </c>
      <c r="AZ829">
        <v>10.119999999999999</v>
      </c>
      <c r="BA829">
        <v>31.21</v>
      </c>
      <c r="BB829" t="s">
        <v>83</v>
      </c>
    </row>
    <row r="830" spans="1:54" x14ac:dyDescent="0.4">
      <c r="A830">
        <v>1586159</v>
      </c>
      <c r="D830" t="s">
        <v>54</v>
      </c>
      <c r="E830" t="s">
        <v>55</v>
      </c>
      <c r="F830" t="s">
        <v>258</v>
      </c>
      <c r="G830">
        <v>1</v>
      </c>
      <c r="H830" t="s">
        <v>56</v>
      </c>
      <c r="I830" t="s">
        <v>57</v>
      </c>
      <c r="K830" t="s">
        <v>244</v>
      </c>
      <c r="L830" t="s">
        <v>245</v>
      </c>
      <c r="M830" t="s">
        <v>60</v>
      </c>
      <c r="O830" t="s">
        <v>170</v>
      </c>
      <c r="P830" t="s">
        <v>62</v>
      </c>
      <c r="R830" t="s">
        <v>63</v>
      </c>
      <c r="S830" t="s">
        <v>64</v>
      </c>
      <c r="T830">
        <v>227</v>
      </c>
      <c r="U830">
        <v>208.5</v>
      </c>
      <c r="V830">
        <f t="shared" si="24"/>
        <v>217.75</v>
      </c>
      <c r="W830">
        <f t="shared" si="25"/>
        <v>18.5</v>
      </c>
      <c r="X830">
        <v>8.65</v>
      </c>
      <c r="Y830">
        <v>48.066668999999997</v>
      </c>
      <c r="Z830" t="s">
        <v>198</v>
      </c>
      <c r="AA830" t="s">
        <v>211</v>
      </c>
      <c r="AB830" t="s">
        <v>212</v>
      </c>
      <c r="AC830" t="s">
        <v>259</v>
      </c>
      <c r="AD830" t="s">
        <v>214</v>
      </c>
      <c r="AE830" t="s">
        <v>215</v>
      </c>
      <c r="AH830" t="s">
        <v>72</v>
      </c>
      <c r="AI830" t="s">
        <v>5597</v>
      </c>
      <c r="AJ830">
        <v>2022</v>
      </c>
      <c r="AK830" t="s">
        <v>261</v>
      </c>
      <c r="AM830" t="s">
        <v>262</v>
      </c>
      <c r="AN830" t="s">
        <v>114</v>
      </c>
      <c r="AO830">
        <v>5</v>
      </c>
      <c r="AP830" t="s">
        <v>78</v>
      </c>
      <c r="AQ830" t="s">
        <v>263</v>
      </c>
      <c r="AR830" t="s">
        <v>80</v>
      </c>
      <c r="AS830">
        <v>305</v>
      </c>
      <c r="AT830" t="s">
        <v>81</v>
      </c>
      <c r="AU830">
        <v>21.24</v>
      </c>
      <c r="AV830">
        <v>29.29</v>
      </c>
      <c r="AW830" t="s">
        <v>82</v>
      </c>
      <c r="AX830">
        <v>305</v>
      </c>
      <c r="AY830" t="s">
        <v>81</v>
      </c>
      <c r="AZ830">
        <v>10.119999999999999</v>
      </c>
      <c r="BA830">
        <v>31.21</v>
      </c>
      <c r="BB830" t="s">
        <v>83</v>
      </c>
    </row>
    <row r="831" spans="1:54" x14ac:dyDescent="0.4">
      <c r="A831">
        <v>1586159</v>
      </c>
      <c r="D831" t="s">
        <v>54</v>
      </c>
      <c r="E831" t="s">
        <v>55</v>
      </c>
      <c r="F831" t="s">
        <v>258</v>
      </c>
      <c r="G831">
        <v>1</v>
      </c>
      <c r="H831" t="s">
        <v>56</v>
      </c>
      <c r="I831" t="s">
        <v>57</v>
      </c>
      <c r="K831" t="s">
        <v>244</v>
      </c>
      <c r="L831" t="s">
        <v>245</v>
      </c>
      <c r="M831" t="s">
        <v>60</v>
      </c>
      <c r="O831" t="s">
        <v>170</v>
      </c>
      <c r="P831" t="s">
        <v>62</v>
      </c>
      <c r="R831" t="s">
        <v>63</v>
      </c>
      <c r="S831" t="s">
        <v>64</v>
      </c>
      <c r="T831">
        <v>227</v>
      </c>
      <c r="U831">
        <v>208.5</v>
      </c>
      <c r="V831">
        <f t="shared" si="24"/>
        <v>217.75</v>
      </c>
      <c r="W831">
        <f t="shared" si="25"/>
        <v>18.5</v>
      </c>
      <c r="X831">
        <v>8.65</v>
      </c>
      <c r="Y831">
        <v>48.066668999999997</v>
      </c>
      <c r="Z831" t="s">
        <v>198</v>
      </c>
      <c r="AA831" t="s">
        <v>211</v>
      </c>
      <c r="AB831" t="s">
        <v>212</v>
      </c>
      <c r="AC831" t="s">
        <v>259</v>
      </c>
      <c r="AD831" t="s">
        <v>214</v>
      </c>
      <c r="AE831" t="s">
        <v>215</v>
      </c>
      <c r="AH831" t="s">
        <v>72</v>
      </c>
      <c r="AI831" t="s">
        <v>5597</v>
      </c>
      <c r="AJ831">
        <v>2022</v>
      </c>
      <c r="AK831" t="s">
        <v>261</v>
      </c>
      <c r="AM831" t="s">
        <v>262</v>
      </c>
      <c r="AN831" t="s">
        <v>114</v>
      </c>
      <c r="AO831">
        <v>5</v>
      </c>
      <c r="AP831" t="s">
        <v>78</v>
      </c>
      <c r="AQ831" t="s">
        <v>263</v>
      </c>
      <c r="AR831" t="s">
        <v>80</v>
      </c>
      <c r="AS831">
        <v>305</v>
      </c>
      <c r="AT831" t="s">
        <v>81</v>
      </c>
      <c r="AU831">
        <v>21.24</v>
      </c>
      <c r="AV831">
        <v>29.29</v>
      </c>
      <c r="AW831" t="s">
        <v>82</v>
      </c>
      <c r="AX831">
        <v>305</v>
      </c>
      <c r="AY831" t="s">
        <v>81</v>
      </c>
      <c r="AZ831">
        <v>10.119999999999999</v>
      </c>
      <c r="BA831">
        <v>31.21</v>
      </c>
      <c r="BB831" t="s">
        <v>83</v>
      </c>
    </row>
    <row r="832" spans="1:54" x14ac:dyDescent="0.4">
      <c r="A832">
        <v>1586159</v>
      </c>
      <c r="D832" t="s">
        <v>54</v>
      </c>
      <c r="E832" t="s">
        <v>55</v>
      </c>
      <c r="F832" t="s">
        <v>258</v>
      </c>
      <c r="G832">
        <v>1</v>
      </c>
      <c r="H832" t="s">
        <v>56</v>
      </c>
      <c r="I832" t="s">
        <v>57</v>
      </c>
      <c r="K832" t="s">
        <v>244</v>
      </c>
      <c r="L832" t="s">
        <v>245</v>
      </c>
      <c r="M832" t="s">
        <v>60</v>
      </c>
      <c r="O832" t="s">
        <v>170</v>
      </c>
      <c r="P832" t="s">
        <v>62</v>
      </c>
      <c r="R832" t="s">
        <v>63</v>
      </c>
      <c r="S832" t="s">
        <v>64</v>
      </c>
      <c r="T832">
        <v>227</v>
      </c>
      <c r="U832">
        <v>208.5</v>
      </c>
      <c r="V832">
        <f t="shared" si="24"/>
        <v>217.75</v>
      </c>
      <c r="W832">
        <f t="shared" si="25"/>
        <v>18.5</v>
      </c>
      <c r="X832">
        <v>8.65</v>
      </c>
      <c r="Y832">
        <v>48.066668999999997</v>
      </c>
      <c r="Z832" t="s">
        <v>198</v>
      </c>
      <c r="AA832" t="s">
        <v>211</v>
      </c>
      <c r="AB832" t="s">
        <v>212</v>
      </c>
      <c r="AC832" t="s">
        <v>259</v>
      </c>
      <c r="AD832" t="s">
        <v>214</v>
      </c>
      <c r="AE832" t="s">
        <v>215</v>
      </c>
      <c r="AH832" t="s">
        <v>72</v>
      </c>
      <c r="AI832" t="s">
        <v>5597</v>
      </c>
      <c r="AJ832">
        <v>2022</v>
      </c>
      <c r="AK832" t="s">
        <v>261</v>
      </c>
      <c r="AM832" t="s">
        <v>262</v>
      </c>
      <c r="AN832" t="s">
        <v>114</v>
      </c>
      <c r="AO832">
        <v>5</v>
      </c>
      <c r="AP832" t="s">
        <v>78</v>
      </c>
      <c r="AQ832" t="s">
        <v>263</v>
      </c>
      <c r="AR832" t="s">
        <v>80</v>
      </c>
      <c r="AS832">
        <v>305</v>
      </c>
      <c r="AT832" t="s">
        <v>81</v>
      </c>
      <c r="AU832">
        <v>21.24</v>
      </c>
      <c r="AV832">
        <v>29.29</v>
      </c>
      <c r="AW832" t="s">
        <v>82</v>
      </c>
      <c r="AX832">
        <v>305</v>
      </c>
      <c r="AY832" t="s">
        <v>81</v>
      </c>
      <c r="AZ832">
        <v>10.119999999999999</v>
      </c>
      <c r="BA832">
        <v>31.21</v>
      </c>
      <c r="BB832" t="s">
        <v>83</v>
      </c>
    </row>
    <row r="833" spans="1:54" x14ac:dyDescent="0.4">
      <c r="A833">
        <v>1586159</v>
      </c>
      <c r="D833" t="s">
        <v>54</v>
      </c>
      <c r="E833" t="s">
        <v>55</v>
      </c>
      <c r="F833" t="s">
        <v>258</v>
      </c>
      <c r="G833">
        <v>1</v>
      </c>
      <c r="H833" t="s">
        <v>56</v>
      </c>
      <c r="I833" t="s">
        <v>57</v>
      </c>
      <c r="K833" t="s">
        <v>244</v>
      </c>
      <c r="L833" t="s">
        <v>245</v>
      </c>
      <c r="M833" t="s">
        <v>60</v>
      </c>
      <c r="O833" t="s">
        <v>170</v>
      </c>
      <c r="P833" t="s">
        <v>62</v>
      </c>
      <c r="R833" t="s">
        <v>63</v>
      </c>
      <c r="S833" t="s">
        <v>64</v>
      </c>
      <c r="T833">
        <v>227</v>
      </c>
      <c r="U833">
        <v>208.5</v>
      </c>
      <c r="V833">
        <f t="shared" si="24"/>
        <v>217.75</v>
      </c>
      <c r="W833">
        <f t="shared" si="25"/>
        <v>18.5</v>
      </c>
      <c r="X833">
        <v>8.65</v>
      </c>
      <c r="Y833">
        <v>48.066668999999997</v>
      </c>
      <c r="Z833" t="s">
        <v>198</v>
      </c>
      <c r="AA833" t="s">
        <v>211</v>
      </c>
      <c r="AB833" t="s">
        <v>212</v>
      </c>
      <c r="AC833" t="s">
        <v>259</v>
      </c>
      <c r="AD833" t="s">
        <v>214</v>
      </c>
      <c r="AE833" t="s">
        <v>215</v>
      </c>
      <c r="AH833" t="s">
        <v>72</v>
      </c>
      <c r="AI833" t="s">
        <v>5597</v>
      </c>
      <c r="AJ833">
        <v>2022</v>
      </c>
      <c r="AK833" t="s">
        <v>261</v>
      </c>
      <c r="AM833" t="s">
        <v>262</v>
      </c>
      <c r="AN833" t="s">
        <v>114</v>
      </c>
      <c r="AO833">
        <v>5</v>
      </c>
      <c r="AP833" t="s">
        <v>78</v>
      </c>
      <c r="AQ833" t="s">
        <v>263</v>
      </c>
      <c r="AR833" t="s">
        <v>80</v>
      </c>
      <c r="AS833">
        <v>305</v>
      </c>
      <c r="AT833" t="s">
        <v>81</v>
      </c>
      <c r="AU833">
        <v>21.24</v>
      </c>
      <c r="AV833">
        <v>29.29</v>
      </c>
      <c r="AW833" t="s">
        <v>82</v>
      </c>
      <c r="AX833">
        <v>305</v>
      </c>
      <c r="AY833" t="s">
        <v>81</v>
      </c>
      <c r="AZ833">
        <v>10.119999999999999</v>
      </c>
      <c r="BA833">
        <v>31.21</v>
      </c>
      <c r="BB833" t="s">
        <v>83</v>
      </c>
    </row>
    <row r="834" spans="1:54" x14ac:dyDescent="0.4">
      <c r="A834">
        <v>1586159</v>
      </c>
      <c r="D834" t="s">
        <v>54</v>
      </c>
      <c r="E834" t="s">
        <v>55</v>
      </c>
      <c r="F834" t="s">
        <v>258</v>
      </c>
      <c r="G834">
        <v>1</v>
      </c>
      <c r="H834" t="s">
        <v>56</v>
      </c>
      <c r="I834" t="s">
        <v>57</v>
      </c>
      <c r="K834" t="s">
        <v>244</v>
      </c>
      <c r="L834" t="s">
        <v>245</v>
      </c>
      <c r="M834" t="s">
        <v>60</v>
      </c>
      <c r="O834" t="s">
        <v>170</v>
      </c>
      <c r="P834" t="s">
        <v>62</v>
      </c>
      <c r="R834" t="s">
        <v>63</v>
      </c>
      <c r="S834" t="s">
        <v>64</v>
      </c>
      <c r="T834">
        <v>227</v>
      </c>
      <c r="U834">
        <v>208.5</v>
      </c>
      <c r="V834">
        <f t="shared" si="24"/>
        <v>217.75</v>
      </c>
      <c r="W834">
        <f t="shared" si="25"/>
        <v>18.5</v>
      </c>
      <c r="X834">
        <v>8.65</v>
      </c>
      <c r="Y834">
        <v>48.066668999999997</v>
      </c>
      <c r="Z834" t="s">
        <v>198</v>
      </c>
      <c r="AA834" t="s">
        <v>211</v>
      </c>
      <c r="AB834" t="s">
        <v>212</v>
      </c>
      <c r="AC834" t="s">
        <v>259</v>
      </c>
      <c r="AD834" t="s">
        <v>214</v>
      </c>
      <c r="AE834" t="s">
        <v>215</v>
      </c>
      <c r="AH834" t="s">
        <v>72</v>
      </c>
      <c r="AI834" t="s">
        <v>5597</v>
      </c>
      <c r="AJ834">
        <v>2022</v>
      </c>
      <c r="AK834" t="s">
        <v>261</v>
      </c>
      <c r="AM834" t="s">
        <v>262</v>
      </c>
      <c r="AN834" t="s">
        <v>114</v>
      </c>
      <c r="AO834">
        <v>5</v>
      </c>
      <c r="AP834" t="s">
        <v>78</v>
      </c>
      <c r="AQ834" t="s">
        <v>263</v>
      </c>
      <c r="AR834" t="s">
        <v>80</v>
      </c>
      <c r="AS834">
        <v>305</v>
      </c>
      <c r="AT834" t="s">
        <v>81</v>
      </c>
      <c r="AU834">
        <v>21.24</v>
      </c>
      <c r="AV834">
        <v>29.29</v>
      </c>
      <c r="AW834" t="s">
        <v>82</v>
      </c>
      <c r="AX834">
        <v>305</v>
      </c>
      <c r="AY834" t="s">
        <v>81</v>
      </c>
      <c r="AZ834">
        <v>10.119999999999999</v>
      </c>
      <c r="BA834">
        <v>31.21</v>
      </c>
      <c r="BB834" t="s">
        <v>83</v>
      </c>
    </row>
    <row r="835" spans="1:54" x14ac:dyDescent="0.4">
      <c r="A835">
        <v>1586159</v>
      </c>
      <c r="D835" t="s">
        <v>54</v>
      </c>
      <c r="E835" t="s">
        <v>55</v>
      </c>
      <c r="F835" t="s">
        <v>258</v>
      </c>
      <c r="G835">
        <v>1</v>
      </c>
      <c r="H835" t="s">
        <v>56</v>
      </c>
      <c r="I835" t="s">
        <v>57</v>
      </c>
      <c r="K835" t="s">
        <v>244</v>
      </c>
      <c r="L835" t="s">
        <v>245</v>
      </c>
      <c r="M835" t="s">
        <v>60</v>
      </c>
      <c r="O835" t="s">
        <v>170</v>
      </c>
      <c r="P835" t="s">
        <v>62</v>
      </c>
      <c r="R835" t="s">
        <v>63</v>
      </c>
      <c r="S835" t="s">
        <v>64</v>
      </c>
      <c r="T835">
        <v>227</v>
      </c>
      <c r="U835">
        <v>208.5</v>
      </c>
      <c r="V835">
        <f t="shared" ref="V835:V898" si="26">(T835+U835)/2</f>
        <v>217.75</v>
      </c>
      <c r="W835">
        <f t="shared" ref="W835:W898" si="27">T835-U835</f>
        <v>18.5</v>
      </c>
      <c r="X835">
        <v>8.65</v>
      </c>
      <c r="Y835">
        <v>48.066668999999997</v>
      </c>
      <c r="Z835" t="s">
        <v>198</v>
      </c>
      <c r="AA835" t="s">
        <v>211</v>
      </c>
      <c r="AB835" t="s">
        <v>212</v>
      </c>
      <c r="AC835" t="s">
        <v>259</v>
      </c>
      <c r="AD835" t="s">
        <v>214</v>
      </c>
      <c r="AE835" t="s">
        <v>215</v>
      </c>
      <c r="AH835" t="s">
        <v>72</v>
      </c>
      <c r="AI835" t="s">
        <v>5597</v>
      </c>
      <c r="AJ835">
        <v>2022</v>
      </c>
      <c r="AK835" t="s">
        <v>261</v>
      </c>
      <c r="AM835" t="s">
        <v>262</v>
      </c>
      <c r="AN835" t="s">
        <v>114</v>
      </c>
      <c r="AO835">
        <v>5</v>
      </c>
      <c r="AP835" t="s">
        <v>78</v>
      </c>
      <c r="AQ835" t="s">
        <v>263</v>
      </c>
      <c r="AR835" t="s">
        <v>80</v>
      </c>
      <c r="AS835">
        <v>305</v>
      </c>
      <c r="AT835" t="s">
        <v>81</v>
      </c>
      <c r="AU835">
        <v>21.24</v>
      </c>
      <c r="AV835">
        <v>29.29</v>
      </c>
      <c r="AW835" t="s">
        <v>82</v>
      </c>
      <c r="AX835">
        <v>305</v>
      </c>
      <c r="AY835" t="s">
        <v>81</v>
      </c>
      <c r="AZ835">
        <v>10.119999999999999</v>
      </c>
      <c r="BA835">
        <v>31.21</v>
      </c>
      <c r="BB835" t="s">
        <v>83</v>
      </c>
    </row>
    <row r="836" spans="1:54" x14ac:dyDescent="0.4">
      <c r="A836">
        <v>1586159</v>
      </c>
      <c r="D836" t="s">
        <v>54</v>
      </c>
      <c r="E836" t="s">
        <v>55</v>
      </c>
      <c r="F836" t="s">
        <v>258</v>
      </c>
      <c r="G836">
        <v>1</v>
      </c>
      <c r="H836" t="s">
        <v>56</v>
      </c>
      <c r="I836" t="s">
        <v>57</v>
      </c>
      <c r="K836" t="s">
        <v>244</v>
      </c>
      <c r="L836" t="s">
        <v>245</v>
      </c>
      <c r="M836" t="s">
        <v>60</v>
      </c>
      <c r="O836" t="s">
        <v>170</v>
      </c>
      <c r="P836" t="s">
        <v>62</v>
      </c>
      <c r="R836" t="s">
        <v>63</v>
      </c>
      <c r="S836" t="s">
        <v>64</v>
      </c>
      <c r="T836">
        <v>227</v>
      </c>
      <c r="U836">
        <v>208.5</v>
      </c>
      <c r="V836">
        <f t="shared" si="26"/>
        <v>217.75</v>
      </c>
      <c r="W836">
        <f t="shared" si="27"/>
        <v>18.5</v>
      </c>
      <c r="X836">
        <v>8.65</v>
      </c>
      <c r="Y836">
        <v>48.066668999999997</v>
      </c>
      <c r="Z836" t="s">
        <v>198</v>
      </c>
      <c r="AA836" t="s">
        <v>211</v>
      </c>
      <c r="AB836" t="s">
        <v>212</v>
      </c>
      <c r="AC836" t="s">
        <v>259</v>
      </c>
      <c r="AD836" t="s">
        <v>214</v>
      </c>
      <c r="AE836" t="s">
        <v>215</v>
      </c>
      <c r="AH836" t="s">
        <v>72</v>
      </c>
      <c r="AI836" t="s">
        <v>5597</v>
      </c>
      <c r="AJ836">
        <v>2022</v>
      </c>
      <c r="AK836" t="s">
        <v>261</v>
      </c>
      <c r="AM836" t="s">
        <v>262</v>
      </c>
      <c r="AN836" t="s">
        <v>114</v>
      </c>
      <c r="AO836">
        <v>5</v>
      </c>
      <c r="AP836" t="s">
        <v>78</v>
      </c>
      <c r="AQ836" t="s">
        <v>263</v>
      </c>
      <c r="AR836" t="s">
        <v>80</v>
      </c>
      <c r="AS836">
        <v>305</v>
      </c>
      <c r="AT836" t="s">
        <v>81</v>
      </c>
      <c r="AU836">
        <v>21.24</v>
      </c>
      <c r="AV836">
        <v>29.29</v>
      </c>
      <c r="AW836" t="s">
        <v>82</v>
      </c>
      <c r="AX836">
        <v>305</v>
      </c>
      <c r="AY836" t="s">
        <v>81</v>
      </c>
      <c r="AZ836">
        <v>10.119999999999999</v>
      </c>
      <c r="BA836">
        <v>31.21</v>
      </c>
      <c r="BB836" t="s">
        <v>83</v>
      </c>
    </row>
    <row r="837" spans="1:54" x14ac:dyDescent="0.4">
      <c r="A837">
        <v>1586159</v>
      </c>
      <c r="D837" t="s">
        <v>54</v>
      </c>
      <c r="E837" t="s">
        <v>55</v>
      </c>
      <c r="F837" t="s">
        <v>258</v>
      </c>
      <c r="G837">
        <v>1</v>
      </c>
      <c r="H837" t="s">
        <v>56</v>
      </c>
      <c r="I837" t="s">
        <v>57</v>
      </c>
      <c r="K837" t="s">
        <v>244</v>
      </c>
      <c r="L837" t="s">
        <v>245</v>
      </c>
      <c r="M837" t="s">
        <v>60</v>
      </c>
      <c r="O837" t="s">
        <v>170</v>
      </c>
      <c r="P837" t="s">
        <v>62</v>
      </c>
      <c r="R837" t="s">
        <v>63</v>
      </c>
      <c r="S837" t="s">
        <v>64</v>
      </c>
      <c r="T837">
        <v>227</v>
      </c>
      <c r="U837">
        <v>208.5</v>
      </c>
      <c r="V837">
        <f t="shared" si="26"/>
        <v>217.75</v>
      </c>
      <c r="W837">
        <f t="shared" si="27"/>
        <v>18.5</v>
      </c>
      <c r="X837">
        <v>8.65</v>
      </c>
      <c r="Y837">
        <v>48.066668999999997</v>
      </c>
      <c r="Z837" t="s">
        <v>198</v>
      </c>
      <c r="AA837" t="s">
        <v>211</v>
      </c>
      <c r="AB837" t="s">
        <v>212</v>
      </c>
      <c r="AC837" t="s">
        <v>259</v>
      </c>
      <c r="AD837" t="s">
        <v>214</v>
      </c>
      <c r="AE837" t="s">
        <v>215</v>
      </c>
      <c r="AH837" t="s">
        <v>72</v>
      </c>
      <c r="AI837" t="s">
        <v>5597</v>
      </c>
      <c r="AJ837">
        <v>2022</v>
      </c>
      <c r="AK837" t="s">
        <v>261</v>
      </c>
      <c r="AM837" t="s">
        <v>262</v>
      </c>
      <c r="AN837" t="s">
        <v>114</v>
      </c>
      <c r="AO837">
        <v>5</v>
      </c>
      <c r="AP837" t="s">
        <v>78</v>
      </c>
      <c r="AQ837" t="s">
        <v>263</v>
      </c>
      <c r="AR837" t="s">
        <v>80</v>
      </c>
      <c r="AS837">
        <v>305</v>
      </c>
      <c r="AT837" t="s">
        <v>81</v>
      </c>
      <c r="AU837">
        <v>21.24</v>
      </c>
      <c r="AV837">
        <v>29.29</v>
      </c>
      <c r="AW837" t="s">
        <v>82</v>
      </c>
      <c r="AX837">
        <v>305</v>
      </c>
      <c r="AY837" t="s">
        <v>81</v>
      </c>
      <c r="AZ837">
        <v>10.119999999999999</v>
      </c>
      <c r="BA837">
        <v>31.21</v>
      </c>
      <c r="BB837" t="s">
        <v>83</v>
      </c>
    </row>
    <row r="838" spans="1:54" x14ac:dyDescent="0.4">
      <c r="A838">
        <v>1586159</v>
      </c>
      <c r="D838" t="s">
        <v>54</v>
      </c>
      <c r="E838" t="s">
        <v>55</v>
      </c>
      <c r="F838" t="s">
        <v>258</v>
      </c>
      <c r="G838">
        <v>1</v>
      </c>
      <c r="H838" t="s">
        <v>56</v>
      </c>
      <c r="I838" t="s">
        <v>57</v>
      </c>
      <c r="K838" t="s">
        <v>244</v>
      </c>
      <c r="L838" t="s">
        <v>245</v>
      </c>
      <c r="M838" t="s">
        <v>60</v>
      </c>
      <c r="O838" t="s">
        <v>170</v>
      </c>
      <c r="P838" t="s">
        <v>62</v>
      </c>
      <c r="R838" t="s">
        <v>63</v>
      </c>
      <c r="S838" t="s">
        <v>64</v>
      </c>
      <c r="T838">
        <v>227</v>
      </c>
      <c r="U838">
        <v>208.5</v>
      </c>
      <c r="V838">
        <f t="shared" si="26"/>
        <v>217.75</v>
      </c>
      <c r="W838">
        <f t="shared" si="27"/>
        <v>18.5</v>
      </c>
      <c r="X838">
        <v>8.65</v>
      </c>
      <c r="Y838">
        <v>48.066668999999997</v>
      </c>
      <c r="Z838" t="s">
        <v>198</v>
      </c>
      <c r="AA838" t="s">
        <v>211</v>
      </c>
      <c r="AB838" t="s">
        <v>212</v>
      </c>
      <c r="AC838" t="s">
        <v>259</v>
      </c>
      <c r="AD838" t="s">
        <v>214</v>
      </c>
      <c r="AE838" t="s">
        <v>215</v>
      </c>
      <c r="AH838" t="s">
        <v>72</v>
      </c>
      <c r="AI838" t="s">
        <v>5597</v>
      </c>
      <c r="AJ838">
        <v>2022</v>
      </c>
      <c r="AK838" t="s">
        <v>261</v>
      </c>
      <c r="AM838" t="s">
        <v>262</v>
      </c>
      <c r="AN838" t="s">
        <v>114</v>
      </c>
      <c r="AO838">
        <v>5</v>
      </c>
      <c r="AP838" t="s">
        <v>78</v>
      </c>
      <c r="AQ838" t="s">
        <v>263</v>
      </c>
      <c r="AR838" t="s">
        <v>80</v>
      </c>
      <c r="AS838">
        <v>305</v>
      </c>
      <c r="AT838" t="s">
        <v>81</v>
      </c>
      <c r="AU838">
        <v>21.24</v>
      </c>
      <c r="AV838">
        <v>29.29</v>
      </c>
      <c r="AW838" t="s">
        <v>82</v>
      </c>
      <c r="AX838">
        <v>305</v>
      </c>
      <c r="AY838" t="s">
        <v>81</v>
      </c>
      <c r="AZ838">
        <v>10.119999999999999</v>
      </c>
      <c r="BA838">
        <v>31.21</v>
      </c>
      <c r="BB838" t="s">
        <v>83</v>
      </c>
    </row>
    <row r="839" spans="1:54" x14ac:dyDescent="0.4">
      <c r="A839">
        <v>1586159</v>
      </c>
      <c r="D839" t="s">
        <v>54</v>
      </c>
      <c r="E839" t="s">
        <v>55</v>
      </c>
      <c r="F839" t="s">
        <v>258</v>
      </c>
      <c r="G839">
        <v>1</v>
      </c>
      <c r="H839" t="s">
        <v>56</v>
      </c>
      <c r="I839" t="s">
        <v>57</v>
      </c>
      <c r="K839" t="s">
        <v>244</v>
      </c>
      <c r="L839" t="s">
        <v>245</v>
      </c>
      <c r="M839" t="s">
        <v>60</v>
      </c>
      <c r="O839" t="s">
        <v>170</v>
      </c>
      <c r="P839" t="s">
        <v>62</v>
      </c>
      <c r="R839" t="s">
        <v>63</v>
      </c>
      <c r="S839" t="s">
        <v>64</v>
      </c>
      <c r="T839">
        <v>227</v>
      </c>
      <c r="U839">
        <v>208.5</v>
      </c>
      <c r="V839">
        <f t="shared" si="26"/>
        <v>217.75</v>
      </c>
      <c r="W839">
        <f t="shared" si="27"/>
        <v>18.5</v>
      </c>
      <c r="X839">
        <v>8.65</v>
      </c>
      <c r="Y839">
        <v>48.066668999999997</v>
      </c>
      <c r="Z839" t="s">
        <v>198</v>
      </c>
      <c r="AA839" t="s">
        <v>211</v>
      </c>
      <c r="AB839" t="s">
        <v>212</v>
      </c>
      <c r="AC839" t="s">
        <v>259</v>
      </c>
      <c r="AD839" t="s">
        <v>214</v>
      </c>
      <c r="AE839" t="s">
        <v>215</v>
      </c>
      <c r="AH839" t="s">
        <v>72</v>
      </c>
      <c r="AI839" t="s">
        <v>5597</v>
      </c>
      <c r="AJ839">
        <v>2022</v>
      </c>
      <c r="AK839" t="s">
        <v>261</v>
      </c>
      <c r="AM839" t="s">
        <v>262</v>
      </c>
      <c r="AN839" t="s">
        <v>114</v>
      </c>
      <c r="AO839">
        <v>5</v>
      </c>
      <c r="AP839" t="s">
        <v>78</v>
      </c>
      <c r="AQ839" t="s">
        <v>263</v>
      </c>
      <c r="AR839" t="s">
        <v>80</v>
      </c>
      <c r="AS839">
        <v>305</v>
      </c>
      <c r="AT839" t="s">
        <v>81</v>
      </c>
      <c r="AU839">
        <v>21.24</v>
      </c>
      <c r="AV839">
        <v>29.29</v>
      </c>
      <c r="AW839" t="s">
        <v>82</v>
      </c>
      <c r="AX839">
        <v>305</v>
      </c>
      <c r="AY839" t="s">
        <v>81</v>
      </c>
      <c r="AZ839">
        <v>10.119999999999999</v>
      </c>
      <c r="BA839">
        <v>31.21</v>
      </c>
      <c r="BB839" t="s">
        <v>83</v>
      </c>
    </row>
    <row r="840" spans="1:54" x14ac:dyDescent="0.4">
      <c r="A840">
        <v>1586159</v>
      </c>
      <c r="D840" t="s">
        <v>54</v>
      </c>
      <c r="E840" t="s">
        <v>55</v>
      </c>
      <c r="F840" t="s">
        <v>258</v>
      </c>
      <c r="G840">
        <v>1</v>
      </c>
      <c r="H840" t="s">
        <v>56</v>
      </c>
      <c r="I840" t="s">
        <v>57</v>
      </c>
      <c r="K840" t="s">
        <v>244</v>
      </c>
      <c r="L840" t="s">
        <v>245</v>
      </c>
      <c r="M840" t="s">
        <v>60</v>
      </c>
      <c r="O840" t="s">
        <v>170</v>
      </c>
      <c r="P840" t="s">
        <v>62</v>
      </c>
      <c r="R840" t="s">
        <v>63</v>
      </c>
      <c r="S840" t="s">
        <v>64</v>
      </c>
      <c r="T840">
        <v>227</v>
      </c>
      <c r="U840">
        <v>208.5</v>
      </c>
      <c r="V840">
        <f t="shared" si="26"/>
        <v>217.75</v>
      </c>
      <c r="W840">
        <f t="shared" si="27"/>
        <v>18.5</v>
      </c>
      <c r="X840">
        <v>8.65</v>
      </c>
      <c r="Y840">
        <v>48.066668999999997</v>
      </c>
      <c r="Z840" t="s">
        <v>198</v>
      </c>
      <c r="AA840" t="s">
        <v>211</v>
      </c>
      <c r="AB840" t="s">
        <v>212</v>
      </c>
      <c r="AC840" t="s">
        <v>259</v>
      </c>
      <c r="AD840" t="s">
        <v>214</v>
      </c>
      <c r="AE840" t="s">
        <v>215</v>
      </c>
      <c r="AH840" t="s">
        <v>72</v>
      </c>
      <c r="AI840" t="s">
        <v>5597</v>
      </c>
      <c r="AJ840">
        <v>2022</v>
      </c>
      <c r="AK840" t="s">
        <v>261</v>
      </c>
      <c r="AM840" t="s">
        <v>262</v>
      </c>
      <c r="AN840" t="s">
        <v>114</v>
      </c>
      <c r="AO840">
        <v>5</v>
      </c>
      <c r="AP840" t="s">
        <v>78</v>
      </c>
      <c r="AQ840" t="s">
        <v>263</v>
      </c>
      <c r="AR840" t="s">
        <v>80</v>
      </c>
      <c r="AS840">
        <v>305</v>
      </c>
      <c r="AT840" t="s">
        <v>81</v>
      </c>
      <c r="AU840">
        <v>21.24</v>
      </c>
      <c r="AV840">
        <v>29.29</v>
      </c>
      <c r="AW840" t="s">
        <v>82</v>
      </c>
      <c r="AX840">
        <v>305</v>
      </c>
      <c r="AY840" t="s">
        <v>81</v>
      </c>
      <c r="AZ840">
        <v>10.119999999999999</v>
      </c>
      <c r="BA840">
        <v>31.21</v>
      </c>
      <c r="BB840" t="s">
        <v>83</v>
      </c>
    </row>
    <row r="841" spans="1:54" x14ac:dyDescent="0.4">
      <c r="A841">
        <v>1586159</v>
      </c>
      <c r="D841" t="s">
        <v>54</v>
      </c>
      <c r="E841" t="s">
        <v>55</v>
      </c>
      <c r="F841" t="s">
        <v>258</v>
      </c>
      <c r="G841">
        <v>1</v>
      </c>
      <c r="H841" t="s">
        <v>56</v>
      </c>
      <c r="I841" t="s">
        <v>57</v>
      </c>
      <c r="K841" t="s">
        <v>244</v>
      </c>
      <c r="L841" t="s">
        <v>245</v>
      </c>
      <c r="M841" t="s">
        <v>60</v>
      </c>
      <c r="O841" t="s">
        <v>170</v>
      </c>
      <c r="P841" t="s">
        <v>62</v>
      </c>
      <c r="R841" t="s">
        <v>63</v>
      </c>
      <c r="S841" t="s">
        <v>64</v>
      </c>
      <c r="T841">
        <v>227</v>
      </c>
      <c r="U841">
        <v>208.5</v>
      </c>
      <c r="V841">
        <f t="shared" si="26"/>
        <v>217.75</v>
      </c>
      <c r="W841">
        <f t="shared" si="27"/>
        <v>18.5</v>
      </c>
      <c r="X841">
        <v>8.65</v>
      </c>
      <c r="Y841">
        <v>48.066668999999997</v>
      </c>
      <c r="Z841" t="s">
        <v>198</v>
      </c>
      <c r="AA841" t="s">
        <v>211</v>
      </c>
      <c r="AB841" t="s">
        <v>212</v>
      </c>
      <c r="AC841" t="s">
        <v>259</v>
      </c>
      <c r="AD841" t="s">
        <v>214</v>
      </c>
      <c r="AE841" t="s">
        <v>215</v>
      </c>
      <c r="AH841" t="s">
        <v>72</v>
      </c>
      <c r="AI841" t="s">
        <v>5597</v>
      </c>
      <c r="AJ841">
        <v>2022</v>
      </c>
      <c r="AK841" t="s">
        <v>261</v>
      </c>
      <c r="AM841" t="s">
        <v>262</v>
      </c>
      <c r="AN841" t="s">
        <v>114</v>
      </c>
      <c r="AO841">
        <v>5</v>
      </c>
      <c r="AP841" t="s">
        <v>78</v>
      </c>
      <c r="AQ841" t="s">
        <v>263</v>
      </c>
      <c r="AR841" t="s">
        <v>80</v>
      </c>
      <c r="AS841">
        <v>305</v>
      </c>
      <c r="AT841" t="s">
        <v>81</v>
      </c>
      <c r="AU841">
        <v>21.24</v>
      </c>
      <c r="AV841">
        <v>29.29</v>
      </c>
      <c r="AW841" t="s">
        <v>82</v>
      </c>
      <c r="AX841">
        <v>305</v>
      </c>
      <c r="AY841" t="s">
        <v>81</v>
      </c>
      <c r="AZ841">
        <v>10.119999999999999</v>
      </c>
      <c r="BA841">
        <v>31.21</v>
      </c>
      <c r="BB841" t="s">
        <v>83</v>
      </c>
    </row>
    <row r="842" spans="1:54" x14ac:dyDescent="0.4">
      <c r="A842">
        <v>1586159</v>
      </c>
      <c r="D842" t="s">
        <v>54</v>
      </c>
      <c r="E842" t="s">
        <v>55</v>
      </c>
      <c r="F842" t="s">
        <v>258</v>
      </c>
      <c r="G842">
        <v>1</v>
      </c>
      <c r="H842" t="s">
        <v>56</v>
      </c>
      <c r="I842" t="s">
        <v>57</v>
      </c>
      <c r="K842" t="s">
        <v>244</v>
      </c>
      <c r="L842" t="s">
        <v>245</v>
      </c>
      <c r="M842" t="s">
        <v>60</v>
      </c>
      <c r="O842" t="s">
        <v>170</v>
      </c>
      <c r="P842" t="s">
        <v>62</v>
      </c>
      <c r="R842" t="s">
        <v>63</v>
      </c>
      <c r="S842" t="s">
        <v>64</v>
      </c>
      <c r="T842">
        <v>227</v>
      </c>
      <c r="U842">
        <v>208.5</v>
      </c>
      <c r="V842">
        <f t="shared" si="26"/>
        <v>217.75</v>
      </c>
      <c r="W842">
        <f t="shared" si="27"/>
        <v>18.5</v>
      </c>
      <c r="X842">
        <v>8.65</v>
      </c>
      <c r="Y842">
        <v>48.066668999999997</v>
      </c>
      <c r="Z842" t="s">
        <v>198</v>
      </c>
      <c r="AA842" t="s">
        <v>211</v>
      </c>
      <c r="AB842" t="s">
        <v>212</v>
      </c>
      <c r="AC842" t="s">
        <v>259</v>
      </c>
      <c r="AD842" t="s">
        <v>214</v>
      </c>
      <c r="AE842" t="s">
        <v>215</v>
      </c>
      <c r="AH842" t="s">
        <v>72</v>
      </c>
      <c r="AI842" t="s">
        <v>5597</v>
      </c>
      <c r="AJ842">
        <v>2022</v>
      </c>
      <c r="AK842" t="s">
        <v>261</v>
      </c>
      <c r="AM842" t="s">
        <v>262</v>
      </c>
      <c r="AN842" t="s">
        <v>114</v>
      </c>
      <c r="AO842">
        <v>5</v>
      </c>
      <c r="AP842" t="s">
        <v>78</v>
      </c>
      <c r="AQ842" t="s">
        <v>263</v>
      </c>
      <c r="AR842" t="s">
        <v>80</v>
      </c>
      <c r="AS842">
        <v>305</v>
      </c>
      <c r="AT842" t="s">
        <v>81</v>
      </c>
      <c r="AU842">
        <v>21.24</v>
      </c>
      <c r="AV842">
        <v>29.29</v>
      </c>
      <c r="AW842" t="s">
        <v>82</v>
      </c>
      <c r="AX842">
        <v>305</v>
      </c>
      <c r="AY842" t="s">
        <v>81</v>
      </c>
      <c r="AZ842">
        <v>10.119999999999999</v>
      </c>
      <c r="BA842">
        <v>31.21</v>
      </c>
      <c r="BB842" t="s">
        <v>83</v>
      </c>
    </row>
    <row r="843" spans="1:54" x14ac:dyDescent="0.4">
      <c r="A843">
        <v>1586159</v>
      </c>
      <c r="D843" t="s">
        <v>54</v>
      </c>
      <c r="E843" t="s">
        <v>55</v>
      </c>
      <c r="F843" t="s">
        <v>258</v>
      </c>
      <c r="G843">
        <v>1</v>
      </c>
      <c r="H843" t="s">
        <v>56</v>
      </c>
      <c r="I843" t="s">
        <v>57</v>
      </c>
      <c r="K843" t="s">
        <v>244</v>
      </c>
      <c r="L843" t="s">
        <v>245</v>
      </c>
      <c r="M843" t="s">
        <v>60</v>
      </c>
      <c r="O843" t="s">
        <v>170</v>
      </c>
      <c r="P843" t="s">
        <v>62</v>
      </c>
      <c r="R843" t="s">
        <v>63</v>
      </c>
      <c r="S843" t="s">
        <v>64</v>
      </c>
      <c r="T843">
        <v>227</v>
      </c>
      <c r="U843">
        <v>208.5</v>
      </c>
      <c r="V843">
        <f t="shared" si="26"/>
        <v>217.75</v>
      </c>
      <c r="W843">
        <f t="shared" si="27"/>
        <v>18.5</v>
      </c>
      <c r="X843">
        <v>8.65</v>
      </c>
      <c r="Y843">
        <v>48.066668999999997</v>
      </c>
      <c r="Z843" t="s">
        <v>198</v>
      </c>
      <c r="AA843" t="s">
        <v>211</v>
      </c>
      <c r="AB843" t="s">
        <v>212</v>
      </c>
      <c r="AC843" t="s">
        <v>259</v>
      </c>
      <c r="AD843" t="s">
        <v>214</v>
      </c>
      <c r="AE843" t="s">
        <v>215</v>
      </c>
      <c r="AH843" t="s">
        <v>72</v>
      </c>
      <c r="AI843" t="s">
        <v>5597</v>
      </c>
      <c r="AJ843">
        <v>2022</v>
      </c>
      <c r="AK843" t="s">
        <v>261</v>
      </c>
      <c r="AM843" t="s">
        <v>262</v>
      </c>
      <c r="AN843" t="s">
        <v>114</v>
      </c>
      <c r="AO843">
        <v>5</v>
      </c>
      <c r="AP843" t="s">
        <v>78</v>
      </c>
      <c r="AQ843" t="s">
        <v>263</v>
      </c>
      <c r="AR843" t="s">
        <v>80</v>
      </c>
      <c r="AS843">
        <v>305</v>
      </c>
      <c r="AT843" t="s">
        <v>81</v>
      </c>
      <c r="AU843">
        <v>21.24</v>
      </c>
      <c r="AV843">
        <v>29.29</v>
      </c>
      <c r="AW843" t="s">
        <v>82</v>
      </c>
      <c r="AX843">
        <v>305</v>
      </c>
      <c r="AY843" t="s">
        <v>81</v>
      </c>
      <c r="AZ843">
        <v>10.119999999999999</v>
      </c>
      <c r="BA843">
        <v>31.21</v>
      </c>
      <c r="BB843" t="s">
        <v>83</v>
      </c>
    </row>
    <row r="844" spans="1:54" x14ac:dyDescent="0.4">
      <c r="A844">
        <v>1586159</v>
      </c>
      <c r="D844" t="s">
        <v>54</v>
      </c>
      <c r="E844" t="s">
        <v>55</v>
      </c>
      <c r="F844" t="s">
        <v>258</v>
      </c>
      <c r="G844">
        <v>1</v>
      </c>
      <c r="H844" t="s">
        <v>56</v>
      </c>
      <c r="I844" t="s">
        <v>57</v>
      </c>
      <c r="K844" t="s">
        <v>244</v>
      </c>
      <c r="L844" t="s">
        <v>245</v>
      </c>
      <c r="M844" t="s">
        <v>60</v>
      </c>
      <c r="O844" t="s">
        <v>170</v>
      </c>
      <c r="P844" t="s">
        <v>62</v>
      </c>
      <c r="R844" t="s">
        <v>63</v>
      </c>
      <c r="S844" t="s">
        <v>64</v>
      </c>
      <c r="T844">
        <v>227</v>
      </c>
      <c r="U844">
        <v>208.5</v>
      </c>
      <c r="V844">
        <f t="shared" si="26"/>
        <v>217.75</v>
      </c>
      <c r="W844">
        <f t="shared" si="27"/>
        <v>18.5</v>
      </c>
      <c r="X844">
        <v>8.65</v>
      </c>
      <c r="Y844">
        <v>48.066668999999997</v>
      </c>
      <c r="Z844" t="s">
        <v>198</v>
      </c>
      <c r="AA844" t="s">
        <v>211</v>
      </c>
      <c r="AB844" t="s">
        <v>212</v>
      </c>
      <c r="AC844" t="s">
        <v>259</v>
      </c>
      <c r="AD844" t="s">
        <v>214</v>
      </c>
      <c r="AE844" t="s">
        <v>215</v>
      </c>
      <c r="AH844" t="s">
        <v>72</v>
      </c>
      <c r="AI844" t="s">
        <v>5597</v>
      </c>
      <c r="AJ844">
        <v>2022</v>
      </c>
      <c r="AK844" t="s">
        <v>261</v>
      </c>
      <c r="AM844" t="s">
        <v>262</v>
      </c>
      <c r="AN844" t="s">
        <v>114</v>
      </c>
      <c r="AO844">
        <v>5</v>
      </c>
      <c r="AP844" t="s">
        <v>78</v>
      </c>
      <c r="AQ844" t="s">
        <v>263</v>
      </c>
      <c r="AR844" t="s">
        <v>80</v>
      </c>
      <c r="AS844">
        <v>305</v>
      </c>
      <c r="AT844" t="s">
        <v>81</v>
      </c>
      <c r="AU844">
        <v>21.24</v>
      </c>
      <c r="AV844">
        <v>29.29</v>
      </c>
      <c r="AW844" t="s">
        <v>82</v>
      </c>
      <c r="AX844">
        <v>305</v>
      </c>
      <c r="AY844" t="s">
        <v>81</v>
      </c>
      <c r="AZ844">
        <v>10.119999999999999</v>
      </c>
      <c r="BA844">
        <v>31.21</v>
      </c>
      <c r="BB844" t="s">
        <v>83</v>
      </c>
    </row>
    <row r="845" spans="1:54" x14ac:dyDescent="0.4">
      <c r="A845">
        <v>1586159</v>
      </c>
      <c r="D845" t="s">
        <v>54</v>
      </c>
      <c r="E845" t="s">
        <v>55</v>
      </c>
      <c r="F845" t="s">
        <v>258</v>
      </c>
      <c r="G845">
        <v>1</v>
      </c>
      <c r="H845" t="s">
        <v>56</v>
      </c>
      <c r="I845" t="s">
        <v>57</v>
      </c>
      <c r="K845" t="s">
        <v>244</v>
      </c>
      <c r="L845" t="s">
        <v>245</v>
      </c>
      <c r="M845" t="s">
        <v>60</v>
      </c>
      <c r="O845" t="s">
        <v>170</v>
      </c>
      <c r="P845" t="s">
        <v>62</v>
      </c>
      <c r="R845" t="s">
        <v>63</v>
      </c>
      <c r="S845" t="s">
        <v>64</v>
      </c>
      <c r="T845">
        <v>227</v>
      </c>
      <c r="U845">
        <v>208.5</v>
      </c>
      <c r="V845">
        <f t="shared" si="26"/>
        <v>217.75</v>
      </c>
      <c r="W845">
        <f t="shared" si="27"/>
        <v>18.5</v>
      </c>
      <c r="X845">
        <v>8.65</v>
      </c>
      <c r="Y845">
        <v>48.066668999999997</v>
      </c>
      <c r="Z845" t="s">
        <v>198</v>
      </c>
      <c r="AA845" t="s">
        <v>211</v>
      </c>
      <c r="AB845" t="s">
        <v>212</v>
      </c>
      <c r="AC845" t="s">
        <v>259</v>
      </c>
      <c r="AD845" t="s">
        <v>214</v>
      </c>
      <c r="AE845" t="s">
        <v>215</v>
      </c>
      <c r="AH845" t="s">
        <v>72</v>
      </c>
      <c r="AI845" t="s">
        <v>5597</v>
      </c>
      <c r="AJ845">
        <v>2022</v>
      </c>
      <c r="AK845" t="s">
        <v>261</v>
      </c>
      <c r="AM845" t="s">
        <v>262</v>
      </c>
      <c r="AN845" t="s">
        <v>114</v>
      </c>
      <c r="AO845">
        <v>5</v>
      </c>
      <c r="AP845" t="s">
        <v>78</v>
      </c>
      <c r="AQ845" t="s">
        <v>263</v>
      </c>
      <c r="AR845" t="s">
        <v>80</v>
      </c>
      <c r="AS845">
        <v>305</v>
      </c>
      <c r="AT845" t="s">
        <v>81</v>
      </c>
      <c r="AU845">
        <v>21.24</v>
      </c>
      <c r="AV845">
        <v>29.29</v>
      </c>
      <c r="AW845" t="s">
        <v>82</v>
      </c>
      <c r="AX845">
        <v>305</v>
      </c>
      <c r="AY845" t="s">
        <v>81</v>
      </c>
      <c r="AZ845">
        <v>10.119999999999999</v>
      </c>
      <c r="BA845">
        <v>31.21</v>
      </c>
      <c r="BB845" t="s">
        <v>83</v>
      </c>
    </row>
    <row r="846" spans="1:54" x14ac:dyDescent="0.4">
      <c r="A846">
        <v>1586160</v>
      </c>
      <c r="D846" t="s">
        <v>54</v>
      </c>
      <c r="E846" t="s">
        <v>55</v>
      </c>
      <c r="F846" t="s">
        <v>258</v>
      </c>
      <c r="G846">
        <v>1</v>
      </c>
      <c r="H846" t="s">
        <v>56</v>
      </c>
      <c r="I846" t="s">
        <v>57</v>
      </c>
      <c r="K846" t="s">
        <v>244</v>
      </c>
      <c r="L846" t="s">
        <v>245</v>
      </c>
      <c r="M846" t="s">
        <v>60</v>
      </c>
      <c r="O846" t="s">
        <v>170</v>
      </c>
      <c r="P846" t="s">
        <v>62</v>
      </c>
      <c r="R846" t="s">
        <v>63</v>
      </c>
      <c r="S846" t="s">
        <v>64</v>
      </c>
      <c r="T846">
        <v>227</v>
      </c>
      <c r="U846">
        <v>208.5</v>
      </c>
      <c r="V846">
        <f t="shared" si="26"/>
        <v>217.75</v>
      </c>
      <c r="W846">
        <f t="shared" si="27"/>
        <v>18.5</v>
      </c>
      <c r="X846">
        <v>8.65</v>
      </c>
      <c r="Y846">
        <v>48.066668999999997</v>
      </c>
      <c r="Z846" t="s">
        <v>198</v>
      </c>
      <c r="AA846" t="s">
        <v>211</v>
      </c>
      <c r="AB846" t="s">
        <v>212</v>
      </c>
      <c r="AC846" t="s">
        <v>259</v>
      </c>
      <c r="AD846" t="s">
        <v>214</v>
      </c>
      <c r="AE846" t="s">
        <v>215</v>
      </c>
      <c r="AH846" t="s">
        <v>11</v>
      </c>
      <c r="AI846" t="s">
        <v>2525</v>
      </c>
      <c r="AJ846">
        <v>2011</v>
      </c>
      <c r="AK846" t="s">
        <v>261</v>
      </c>
      <c r="AM846" t="s">
        <v>262</v>
      </c>
      <c r="AN846" t="s">
        <v>114</v>
      </c>
      <c r="AO846">
        <v>5</v>
      </c>
      <c r="AP846" t="s">
        <v>78</v>
      </c>
      <c r="AQ846" t="s">
        <v>263</v>
      </c>
      <c r="AR846" t="s">
        <v>80</v>
      </c>
      <c r="AS846">
        <v>305</v>
      </c>
      <c r="AT846" t="s">
        <v>81</v>
      </c>
      <c r="AU846">
        <v>21.24</v>
      </c>
      <c r="AV846">
        <v>29.29</v>
      </c>
      <c r="AW846" t="s">
        <v>82</v>
      </c>
      <c r="AX846">
        <v>305</v>
      </c>
      <c r="AY846" t="s">
        <v>81</v>
      </c>
      <c r="AZ846">
        <v>10.119999999999999</v>
      </c>
      <c r="BA846">
        <v>31.21</v>
      </c>
      <c r="BB846" t="s">
        <v>83</v>
      </c>
    </row>
    <row r="847" spans="1:54" x14ac:dyDescent="0.4">
      <c r="A847">
        <v>1589317</v>
      </c>
      <c r="D847" t="s">
        <v>54</v>
      </c>
      <c r="I847" t="s">
        <v>57</v>
      </c>
      <c r="K847" t="s">
        <v>206</v>
      </c>
      <c r="L847" t="s">
        <v>1091</v>
      </c>
      <c r="M847" t="s">
        <v>60</v>
      </c>
      <c r="O847" t="s">
        <v>170</v>
      </c>
      <c r="P847" t="s">
        <v>62</v>
      </c>
      <c r="R847" t="s">
        <v>63</v>
      </c>
      <c r="S847" t="s">
        <v>64</v>
      </c>
      <c r="T847">
        <v>227</v>
      </c>
      <c r="U847">
        <v>208.5</v>
      </c>
      <c r="V847">
        <f t="shared" si="26"/>
        <v>217.75</v>
      </c>
      <c r="W847">
        <f t="shared" si="27"/>
        <v>18.5</v>
      </c>
      <c r="X847">
        <v>-106.6241</v>
      </c>
      <c r="Y847">
        <v>36.211799999999997</v>
      </c>
      <c r="Z847" t="s">
        <v>124</v>
      </c>
      <c r="AA847" t="s">
        <v>66</v>
      </c>
      <c r="AB847" t="s">
        <v>846</v>
      </c>
      <c r="AC847" t="s">
        <v>847</v>
      </c>
      <c r="AD847" t="s">
        <v>749</v>
      </c>
      <c r="AE847" t="s">
        <v>174</v>
      </c>
      <c r="AF847" t="s">
        <v>1673</v>
      </c>
      <c r="AH847" t="s">
        <v>11</v>
      </c>
      <c r="AI847" t="s">
        <v>852</v>
      </c>
      <c r="AJ847">
        <v>2005</v>
      </c>
      <c r="AK847" t="s">
        <v>1674</v>
      </c>
      <c r="AN847" t="s">
        <v>76</v>
      </c>
      <c r="AO847">
        <v>4</v>
      </c>
      <c r="AP847" t="s">
        <v>359</v>
      </c>
      <c r="AQ847" t="s">
        <v>1675</v>
      </c>
      <c r="AR847" t="s">
        <v>80</v>
      </c>
      <c r="AS847">
        <v>101</v>
      </c>
      <c r="AT847" t="s">
        <v>81</v>
      </c>
      <c r="AU847">
        <v>-34.79</v>
      </c>
      <c r="AV847">
        <v>11.18</v>
      </c>
      <c r="AW847" t="s">
        <v>82</v>
      </c>
      <c r="AX847">
        <v>133</v>
      </c>
      <c r="AY847" t="s">
        <v>81</v>
      </c>
      <c r="AZ847">
        <v>-49.61</v>
      </c>
      <c r="BA847">
        <v>11.33</v>
      </c>
      <c r="BB847" t="s">
        <v>83</v>
      </c>
    </row>
    <row r="848" spans="1:54" x14ac:dyDescent="0.4">
      <c r="A848">
        <v>1589319</v>
      </c>
      <c r="D848" t="s">
        <v>54</v>
      </c>
      <c r="G848">
        <v>1</v>
      </c>
      <c r="H848" t="s">
        <v>84</v>
      </c>
      <c r="I848" t="s">
        <v>57</v>
      </c>
      <c r="K848" t="s">
        <v>323</v>
      </c>
      <c r="L848" t="s">
        <v>1124</v>
      </c>
      <c r="M848" t="s">
        <v>1125</v>
      </c>
      <c r="N848" t="s">
        <v>1126</v>
      </c>
      <c r="O848" t="s">
        <v>87</v>
      </c>
      <c r="P848" t="s">
        <v>62</v>
      </c>
      <c r="R848" t="s">
        <v>63</v>
      </c>
      <c r="S848" t="s">
        <v>64</v>
      </c>
      <c r="T848">
        <v>227</v>
      </c>
      <c r="U848">
        <v>208.5</v>
      </c>
      <c r="V848">
        <f t="shared" si="26"/>
        <v>217.75</v>
      </c>
      <c r="W848">
        <f t="shared" si="27"/>
        <v>18.5</v>
      </c>
      <c r="X848">
        <v>-106.6241</v>
      </c>
      <c r="Y848">
        <v>36.211799999999997</v>
      </c>
      <c r="Z848" t="s">
        <v>124</v>
      </c>
      <c r="AA848" t="s">
        <v>66</v>
      </c>
      <c r="AB848" t="s">
        <v>846</v>
      </c>
      <c r="AC848" t="s">
        <v>847</v>
      </c>
      <c r="AD848" t="s">
        <v>749</v>
      </c>
      <c r="AE848" t="s">
        <v>174</v>
      </c>
      <c r="AF848" t="s">
        <v>1673</v>
      </c>
      <c r="AH848" t="s">
        <v>11</v>
      </c>
      <c r="AI848" t="s">
        <v>852</v>
      </c>
      <c r="AJ848">
        <v>2005</v>
      </c>
      <c r="AK848" t="s">
        <v>1674</v>
      </c>
      <c r="AN848" t="s">
        <v>76</v>
      </c>
      <c r="AO848">
        <v>4</v>
      </c>
      <c r="AP848" t="s">
        <v>359</v>
      </c>
      <c r="AQ848" t="s">
        <v>1675</v>
      </c>
      <c r="AR848" t="s">
        <v>80</v>
      </c>
      <c r="AS848">
        <v>101</v>
      </c>
      <c r="AT848" t="s">
        <v>81</v>
      </c>
      <c r="AU848">
        <v>-34.79</v>
      </c>
      <c r="AV848">
        <v>11.18</v>
      </c>
      <c r="AW848" t="s">
        <v>82</v>
      </c>
      <c r="AX848">
        <v>133</v>
      </c>
      <c r="AY848" t="s">
        <v>81</v>
      </c>
      <c r="AZ848">
        <v>-49.61</v>
      </c>
      <c r="BA848">
        <v>11.33</v>
      </c>
      <c r="BB848" t="s">
        <v>83</v>
      </c>
    </row>
    <row r="849" spans="1:54" x14ac:dyDescent="0.4">
      <c r="A849">
        <v>1593261</v>
      </c>
      <c r="D849" t="s">
        <v>54</v>
      </c>
      <c r="G849">
        <v>2</v>
      </c>
      <c r="H849" t="s">
        <v>84</v>
      </c>
      <c r="I849" t="s">
        <v>57</v>
      </c>
      <c r="K849" t="s">
        <v>319</v>
      </c>
      <c r="L849" t="s">
        <v>5605</v>
      </c>
      <c r="M849" t="s">
        <v>60</v>
      </c>
      <c r="O849" t="s">
        <v>87</v>
      </c>
      <c r="P849" t="s">
        <v>62</v>
      </c>
      <c r="R849" t="s">
        <v>63</v>
      </c>
      <c r="S849" t="s">
        <v>64</v>
      </c>
      <c r="T849">
        <v>227</v>
      </c>
      <c r="U849">
        <v>208.5</v>
      </c>
      <c r="V849">
        <f t="shared" si="26"/>
        <v>217.75</v>
      </c>
      <c r="W849">
        <f t="shared" si="27"/>
        <v>18.5</v>
      </c>
      <c r="X849">
        <v>-53.446666999999998</v>
      </c>
      <c r="Y849">
        <v>-29.5625</v>
      </c>
      <c r="Z849" t="s">
        <v>105</v>
      </c>
      <c r="AA849" t="s">
        <v>783</v>
      </c>
      <c r="AB849" t="s">
        <v>784</v>
      </c>
      <c r="AC849" t="s">
        <v>1178</v>
      </c>
      <c r="AD849" t="s">
        <v>785</v>
      </c>
      <c r="AE849" t="s">
        <v>786</v>
      </c>
      <c r="AG849" t="s">
        <v>787</v>
      </c>
      <c r="AH849" t="s">
        <v>72</v>
      </c>
      <c r="AI849" t="s">
        <v>5606</v>
      </c>
      <c r="AJ849">
        <v>2022</v>
      </c>
      <c r="AK849" t="s">
        <v>1180</v>
      </c>
      <c r="AN849" t="s">
        <v>76</v>
      </c>
      <c r="AO849" t="s">
        <v>77</v>
      </c>
      <c r="AP849" t="s">
        <v>78</v>
      </c>
      <c r="AQ849" t="s">
        <v>1181</v>
      </c>
      <c r="AR849" t="s">
        <v>80</v>
      </c>
      <c r="AS849">
        <v>201</v>
      </c>
      <c r="AT849" t="s">
        <v>81</v>
      </c>
      <c r="AU849">
        <v>-6.86</v>
      </c>
      <c r="AV849">
        <v>-38.53</v>
      </c>
      <c r="AW849" t="s">
        <v>82</v>
      </c>
      <c r="AX849">
        <v>202</v>
      </c>
      <c r="AY849" t="s">
        <v>81</v>
      </c>
      <c r="AZ849">
        <v>-15.62</v>
      </c>
      <c r="BA849">
        <v>-36.979999999999997</v>
      </c>
      <c r="BB849" t="s">
        <v>83</v>
      </c>
    </row>
    <row r="850" spans="1:54" x14ac:dyDescent="0.4">
      <c r="A850">
        <v>1593287</v>
      </c>
      <c r="D850" t="s">
        <v>54</v>
      </c>
      <c r="G850">
        <v>1</v>
      </c>
      <c r="H850" t="s">
        <v>84</v>
      </c>
      <c r="I850" t="s">
        <v>57</v>
      </c>
      <c r="K850" t="s">
        <v>5607</v>
      </c>
      <c r="L850" t="s">
        <v>5608</v>
      </c>
      <c r="M850" t="s">
        <v>223</v>
      </c>
      <c r="N850" t="s">
        <v>61</v>
      </c>
      <c r="O850" t="s">
        <v>345</v>
      </c>
      <c r="P850" t="s">
        <v>62</v>
      </c>
      <c r="R850" t="s">
        <v>63</v>
      </c>
      <c r="S850" t="s">
        <v>64</v>
      </c>
      <c r="T850">
        <v>227</v>
      </c>
      <c r="U850">
        <v>208.5</v>
      </c>
      <c r="V850">
        <f t="shared" si="26"/>
        <v>217.75</v>
      </c>
      <c r="W850">
        <f t="shared" si="27"/>
        <v>18.5</v>
      </c>
      <c r="X850">
        <v>-67.266670000000005</v>
      </c>
      <c r="Y850">
        <v>-31.633333</v>
      </c>
      <c r="Z850" t="s">
        <v>105</v>
      </c>
      <c r="AA850" t="s">
        <v>185</v>
      </c>
      <c r="AB850" t="s">
        <v>285</v>
      </c>
      <c r="AC850" t="s">
        <v>4775</v>
      </c>
      <c r="AD850" t="s">
        <v>4669</v>
      </c>
      <c r="AH850" t="s">
        <v>72</v>
      </c>
      <c r="AI850" t="s">
        <v>4468</v>
      </c>
      <c r="AJ850">
        <v>2022</v>
      </c>
      <c r="AK850" t="s">
        <v>4776</v>
      </c>
      <c r="AN850" t="s">
        <v>192</v>
      </c>
      <c r="AO850" t="s">
        <v>160</v>
      </c>
      <c r="AP850" t="s">
        <v>78</v>
      </c>
      <c r="AR850" t="s">
        <v>80</v>
      </c>
      <c r="AS850">
        <v>291</v>
      </c>
      <c r="AT850" t="s">
        <v>81</v>
      </c>
      <c r="AU850">
        <v>-21.45</v>
      </c>
      <c r="AV850">
        <v>-41.31</v>
      </c>
      <c r="AW850" t="s">
        <v>82</v>
      </c>
      <c r="AX850">
        <v>291</v>
      </c>
      <c r="AY850" t="s">
        <v>81</v>
      </c>
      <c r="AZ850">
        <v>-30.04</v>
      </c>
      <c r="BA850">
        <v>-40.64</v>
      </c>
      <c r="BB850" t="s">
        <v>83</v>
      </c>
    </row>
    <row r="851" spans="1:54" x14ac:dyDescent="0.4">
      <c r="A851">
        <v>1598305</v>
      </c>
      <c r="D851" t="s">
        <v>54</v>
      </c>
      <c r="G851">
        <v>4</v>
      </c>
      <c r="H851" t="s">
        <v>84</v>
      </c>
      <c r="I851" t="s">
        <v>57</v>
      </c>
      <c r="K851" t="s">
        <v>141</v>
      </c>
      <c r="L851" t="s">
        <v>5609</v>
      </c>
      <c r="M851" t="s">
        <v>60</v>
      </c>
      <c r="P851" t="s">
        <v>62</v>
      </c>
      <c r="R851" t="s">
        <v>63</v>
      </c>
      <c r="S851" t="s">
        <v>64</v>
      </c>
      <c r="T851">
        <v>227</v>
      </c>
      <c r="U851">
        <v>208.5</v>
      </c>
      <c r="V851">
        <f t="shared" si="26"/>
        <v>217.75</v>
      </c>
      <c r="W851">
        <f t="shared" si="27"/>
        <v>18.5</v>
      </c>
      <c r="X851">
        <v>-53.446666999999998</v>
      </c>
      <c r="Y851">
        <v>-29.5625</v>
      </c>
      <c r="Z851" t="s">
        <v>105</v>
      </c>
      <c r="AA851" t="s">
        <v>783</v>
      </c>
      <c r="AB851" t="s">
        <v>784</v>
      </c>
      <c r="AC851" t="s">
        <v>1178</v>
      </c>
      <c r="AD851" t="s">
        <v>785</v>
      </c>
      <c r="AE851" t="s">
        <v>786</v>
      </c>
      <c r="AG851" t="s">
        <v>787</v>
      </c>
      <c r="AH851" t="s">
        <v>72</v>
      </c>
      <c r="AI851" t="s">
        <v>5610</v>
      </c>
      <c r="AJ851">
        <v>2021</v>
      </c>
      <c r="AK851" t="s">
        <v>1180</v>
      </c>
      <c r="AN851" t="s">
        <v>76</v>
      </c>
      <c r="AO851" t="s">
        <v>77</v>
      </c>
      <c r="AP851" t="s">
        <v>78</v>
      </c>
      <c r="AQ851" t="s">
        <v>1181</v>
      </c>
      <c r="AR851" t="s">
        <v>80</v>
      </c>
      <c r="AS851">
        <v>201</v>
      </c>
      <c r="AT851" t="s">
        <v>81</v>
      </c>
      <c r="AU851">
        <v>-6.86</v>
      </c>
      <c r="AV851">
        <v>-38.53</v>
      </c>
      <c r="AW851" t="s">
        <v>82</v>
      </c>
      <c r="AX851">
        <v>202</v>
      </c>
      <c r="AY851" t="s">
        <v>81</v>
      </c>
      <c r="AZ851">
        <v>-15.62</v>
      </c>
      <c r="BA851">
        <v>-36.979999999999997</v>
      </c>
      <c r="BB851" t="s">
        <v>83</v>
      </c>
    </row>
    <row r="852" spans="1:54" x14ac:dyDescent="0.4">
      <c r="A852">
        <v>1610810</v>
      </c>
      <c r="D852" t="s">
        <v>54</v>
      </c>
      <c r="E852" t="s">
        <v>55</v>
      </c>
      <c r="I852" t="s">
        <v>57</v>
      </c>
      <c r="K852" t="s">
        <v>244</v>
      </c>
      <c r="L852" t="s">
        <v>245</v>
      </c>
      <c r="M852" t="s">
        <v>60</v>
      </c>
      <c r="O852" t="s">
        <v>170</v>
      </c>
      <c r="P852" t="s">
        <v>62</v>
      </c>
      <c r="R852" t="s">
        <v>63</v>
      </c>
      <c r="S852" t="s">
        <v>64</v>
      </c>
      <c r="T852">
        <v>227</v>
      </c>
      <c r="U852">
        <v>208.5</v>
      </c>
      <c r="V852">
        <f t="shared" si="26"/>
        <v>217.75</v>
      </c>
      <c r="W852">
        <f t="shared" si="27"/>
        <v>18.5</v>
      </c>
      <c r="X852">
        <v>8.0191669999999995</v>
      </c>
      <c r="Y852">
        <v>47.494999</v>
      </c>
      <c r="Z852" t="s">
        <v>198</v>
      </c>
      <c r="AA852" t="s">
        <v>226</v>
      </c>
      <c r="AB852" t="s">
        <v>246</v>
      </c>
      <c r="AD852" t="s">
        <v>247</v>
      </c>
      <c r="AE852" t="s">
        <v>215</v>
      </c>
      <c r="AF852" t="s">
        <v>248</v>
      </c>
      <c r="AH852" t="s">
        <v>11</v>
      </c>
      <c r="AI852" t="s">
        <v>5165</v>
      </c>
      <c r="AJ852">
        <v>2022</v>
      </c>
      <c r="AK852" t="s">
        <v>5622</v>
      </c>
      <c r="AN852" t="s">
        <v>114</v>
      </c>
      <c r="AO852" t="s">
        <v>77</v>
      </c>
      <c r="AP852" t="s">
        <v>78</v>
      </c>
      <c r="AQ852" t="s">
        <v>5623</v>
      </c>
      <c r="AR852" t="s">
        <v>80</v>
      </c>
      <c r="AS852">
        <v>305</v>
      </c>
      <c r="AT852" t="s">
        <v>81</v>
      </c>
      <c r="AU852">
        <v>21.05</v>
      </c>
      <c r="AV852">
        <v>28.6</v>
      </c>
      <c r="AW852" t="s">
        <v>82</v>
      </c>
      <c r="AX852">
        <v>305</v>
      </c>
      <c r="AY852" t="s">
        <v>81</v>
      </c>
      <c r="AZ852">
        <v>9.9499999999999993</v>
      </c>
      <c r="BA852">
        <v>30.51</v>
      </c>
      <c r="BB852" t="s">
        <v>83</v>
      </c>
    </row>
    <row r="853" spans="1:54" x14ac:dyDescent="0.4">
      <c r="A853">
        <v>1610811</v>
      </c>
      <c r="D853" t="s">
        <v>54</v>
      </c>
      <c r="E853" t="s">
        <v>55</v>
      </c>
      <c r="G853">
        <v>1</v>
      </c>
      <c r="H853" t="s">
        <v>84</v>
      </c>
      <c r="I853" t="s">
        <v>57</v>
      </c>
      <c r="K853" t="s">
        <v>141</v>
      </c>
      <c r="L853" t="s">
        <v>264</v>
      </c>
      <c r="M853" t="s">
        <v>60</v>
      </c>
      <c r="P853" t="s">
        <v>62</v>
      </c>
      <c r="R853" t="s">
        <v>63</v>
      </c>
      <c r="S853" t="s">
        <v>64</v>
      </c>
      <c r="T853">
        <v>227</v>
      </c>
      <c r="U853">
        <v>208.5</v>
      </c>
      <c r="V853">
        <f t="shared" si="26"/>
        <v>217.75</v>
      </c>
      <c r="W853">
        <f t="shared" si="27"/>
        <v>18.5</v>
      </c>
      <c r="X853">
        <v>8.0191669999999995</v>
      </c>
      <c r="Y853">
        <v>47.494999</v>
      </c>
      <c r="Z853" t="s">
        <v>198</v>
      </c>
      <c r="AA853" t="s">
        <v>226</v>
      </c>
      <c r="AB853" t="s">
        <v>246</v>
      </c>
      <c r="AD853" t="s">
        <v>247</v>
      </c>
      <c r="AE853" t="s">
        <v>215</v>
      </c>
      <c r="AF853" t="s">
        <v>248</v>
      </c>
      <c r="AH853" t="s">
        <v>72</v>
      </c>
      <c r="AI853" t="s">
        <v>5165</v>
      </c>
      <c r="AJ853">
        <v>2022</v>
      </c>
      <c r="AK853" t="s">
        <v>5622</v>
      </c>
      <c r="AN853" t="s">
        <v>114</v>
      </c>
      <c r="AO853" t="s">
        <v>77</v>
      </c>
      <c r="AP853" t="s">
        <v>78</v>
      </c>
      <c r="AQ853" t="s">
        <v>5623</v>
      </c>
      <c r="AR853" t="s">
        <v>80</v>
      </c>
      <c r="AS853">
        <v>305</v>
      </c>
      <c r="AT853" t="s">
        <v>81</v>
      </c>
      <c r="AU853">
        <v>21.05</v>
      </c>
      <c r="AV853">
        <v>28.6</v>
      </c>
      <c r="AW853" t="s">
        <v>82</v>
      </c>
      <c r="AX853">
        <v>305</v>
      </c>
      <c r="AY853" t="s">
        <v>81</v>
      </c>
      <c r="AZ853">
        <v>9.9499999999999993</v>
      </c>
      <c r="BA853">
        <v>30.51</v>
      </c>
      <c r="BB853" t="s">
        <v>83</v>
      </c>
    </row>
    <row r="854" spans="1:54" x14ac:dyDescent="0.4">
      <c r="A854">
        <v>1611321</v>
      </c>
      <c r="D854" t="s">
        <v>54</v>
      </c>
      <c r="I854" t="s">
        <v>57</v>
      </c>
      <c r="K854" t="s">
        <v>85</v>
      </c>
      <c r="L854" t="s">
        <v>86</v>
      </c>
      <c r="M854" t="s">
        <v>60</v>
      </c>
      <c r="O854" t="s">
        <v>87</v>
      </c>
      <c r="P854" t="s">
        <v>62</v>
      </c>
      <c r="R854" t="s">
        <v>63</v>
      </c>
      <c r="S854" t="s">
        <v>64</v>
      </c>
      <c r="T854">
        <v>227</v>
      </c>
      <c r="U854">
        <v>208.5</v>
      </c>
      <c r="V854">
        <f t="shared" si="26"/>
        <v>217.75</v>
      </c>
      <c r="W854">
        <f t="shared" si="27"/>
        <v>18.5</v>
      </c>
      <c r="X854">
        <v>-79.291602999999995</v>
      </c>
      <c r="Y854">
        <v>35.558799999999998</v>
      </c>
      <c r="Z854" t="s">
        <v>65</v>
      </c>
      <c r="AA854" t="s">
        <v>66</v>
      </c>
      <c r="AB854" t="s">
        <v>816</v>
      </c>
      <c r="AC854" t="s">
        <v>70</v>
      </c>
      <c r="AD854" t="s">
        <v>3423</v>
      </c>
      <c r="AE854" t="s">
        <v>70</v>
      </c>
      <c r="AH854" t="s">
        <v>11</v>
      </c>
      <c r="AI854" t="s">
        <v>5624</v>
      </c>
      <c r="AJ854">
        <v>1989</v>
      </c>
      <c r="AK854" t="s">
        <v>5625</v>
      </c>
      <c r="AN854" t="s">
        <v>114</v>
      </c>
      <c r="AO854">
        <v>4</v>
      </c>
      <c r="AP854" t="s">
        <v>78</v>
      </c>
      <c r="AQ854" t="s">
        <v>5626</v>
      </c>
      <c r="AR854" t="s">
        <v>80</v>
      </c>
      <c r="AS854">
        <v>109</v>
      </c>
      <c r="AT854" t="s">
        <v>81</v>
      </c>
      <c r="AU854">
        <v>-12.48</v>
      </c>
      <c r="AV854">
        <v>8.8699999999999992</v>
      </c>
      <c r="AW854" t="s">
        <v>82</v>
      </c>
      <c r="AX854">
        <v>109</v>
      </c>
      <c r="AY854" t="s">
        <v>81</v>
      </c>
      <c r="AZ854">
        <v>-23.25</v>
      </c>
      <c r="BA854">
        <v>9.83</v>
      </c>
      <c r="BB854" t="s">
        <v>83</v>
      </c>
    </row>
    <row r="855" spans="1:54" x14ac:dyDescent="0.4">
      <c r="A855">
        <v>1611324</v>
      </c>
      <c r="D855" t="s">
        <v>1182</v>
      </c>
      <c r="E855" t="s">
        <v>154</v>
      </c>
      <c r="I855" t="s">
        <v>57</v>
      </c>
      <c r="K855" t="s">
        <v>85</v>
      </c>
      <c r="L855" t="s">
        <v>5049</v>
      </c>
      <c r="M855" t="s">
        <v>60</v>
      </c>
      <c r="O855" t="s">
        <v>87</v>
      </c>
      <c r="P855" t="s">
        <v>62</v>
      </c>
      <c r="R855" t="s">
        <v>63</v>
      </c>
      <c r="S855" t="s">
        <v>64</v>
      </c>
      <c r="T855">
        <v>227</v>
      </c>
      <c r="U855">
        <v>208.5</v>
      </c>
      <c r="V855">
        <f t="shared" si="26"/>
        <v>217.75</v>
      </c>
      <c r="W855">
        <f t="shared" si="27"/>
        <v>18.5</v>
      </c>
      <c r="X855">
        <v>-79.668998999999999</v>
      </c>
      <c r="Y855">
        <v>36.540900999999998</v>
      </c>
      <c r="Z855" t="s">
        <v>346</v>
      </c>
      <c r="AA855" t="s">
        <v>66</v>
      </c>
      <c r="AB855" t="s">
        <v>816</v>
      </c>
      <c r="AC855" t="s">
        <v>1185</v>
      </c>
      <c r="AD855" t="s">
        <v>1186</v>
      </c>
      <c r="AE855" t="s">
        <v>1187</v>
      </c>
      <c r="AF855" t="s">
        <v>1188</v>
      </c>
      <c r="AH855" t="s">
        <v>11</v>
      </c>
      <c r="AI855" t="s">
        <v>1189</v>
      </c>
      <c r="AJ855">
        <v>1989</v>
      </c>
      <c r="AK855" t="s">
        <v>1190</v>
      </c>
      <c r="AM855" t="s">
        <v>1191</v>
      </c>
      <c r="AN855" t="s">
        <v>114</v>
      </c>
      <c r="AO855">
        <v>4</v>
      </c>
      <c r="AP855" t="s">
        <v>115</v>
      </c>
      <c r="AQ855" t="s">
        <v>1192</v>
      </c>
      <c r="AR855" t="s">
        <v>80</v>
      </c>
      <c r="AS855">
        <v>109</v>
      </c>
      <c r="AT855" t="s">
        <v>81</v>
      </c>
      <c r="AU855">
        <v>-12.82</v>
      </c>
      <c r="AV855">
        <v>9.85</v>
      </c>
      <c r="AW855" t="s">
        <v>82</v>
      </c>
      <c r="AX855">
        <v>109</v>
      </c>
      <c r="AY855" t="s">
        <v>81</v>
      </c>
      <c r="AZ855">
        <v>-23.63</v>
      </c>
      <c r="BA855">
        <v>10.79</v>
      </c>
      <c r="BB855" t="s">
        <v>83</v>
      </c>
    </row>
    <row r="856" spans="1:54" x14ac:dyDescent="0.4">
      <c r="A856">
        <v>1611391</v>
      </c>
      <c r="D856" t="s">
        <v>904</v>
      </c>
      <c r="I856" t="s">
        <v>57</v>
      </c>
      <c r="K856" t="s">
        <v>746</v>
      </c>
      <c r="L856" t="s">
        <v>747</v>
      </c>
      <c r="M856" t="s">
        <v>60</v>
      </c>
      <c r="P856" t="s">
        <v>62</v>
      </c>
      <c r="R856" t="s">
        <v>63</v>
      </c>
      <c r="S856" t="s">
        <v>64</v>
      </c>
      <c r="T856">
        <v>227</v>
      </c>
      <c r="U856">
        <v>208.5</v>
      </c>
      <c r="V856">
        <f t="shared" si="26"/>
        <v>217.75</v>
      </c>
      <c r="W856">
        <f t="shared" si="27"/>
        <v>18.5</v>
      </c>
      <c r="X856">
        <v>-75.060203999999999</v>
      </c>
      <c r="Y856">
        <v>40.424999</v>
      </c>
      <c r="Z856" t="s">
        <v>346</v>
      </c>
      <c r="AA856" t="s">
        <v>66</v>
      </c>
      <c r="AB856" t="s">
        <v>67</v>
      </c>
      <c r="AC856" t="s">
        <v>2517</v>
      </c>
      <c r="AD856" t="s">
        <v>69</v>
      </c>
      <c r="AE856" t="s">
        <v>70</v>
      </c>
      <c r="AH856" t="s">
        <v>11</v>
      </c>
      <c r="AI856" t="s">
        <v>1343</v>
      </c>
      <c r="AJ856">
        <v>1989</v>
      </c>
      <c r="AK856" t="s">
        <v>5627</v>
      </c>
      <c r="AM856" t="s">
        <v>5628</v>
      </c>
      <c r="AN856" t="s">
        <v>114</v>
      </c>
      <c r="AO856">
        <v>4</v>
      </c>
      <c r="AP856" t="s">
        <v>78</v>
      </c>
      <c r="AQ856" t="s">
        <v>5629</v>
      </c>
      <c r="AR856" t="s">
        <v>80</v>
      </c>
      <c r="AS856">
        <v>101</v>
      </c>
      <c r="AT856" t="s">
        <v>81</v>
      </c>
      <c r="AU856">
        <v>-9.33</v>
      </c>
      <c r="AV856">
        <v>13.9</v>
      </c>
      <c r="AW856" t="s">
        <v>82</v>
      </c>
      <c r="AX856">
        <v>101</v>
      </c>
      <c r="AY856" t="s">
        <v>81</v>
      </c>
      <c r="AZ856">
        <v>-20.28</v>
      </c>
      <c r="BA856">
        <v>14.96</v>
      </c>
      <c r="BB856" t="s">
        <v>83</v>
      </c>
    </row>
    <row r="857" spans="1:54" x14ac:dyDescent="0.4">
      <c r="A857">
        <v>1611396</v>
      </c>
      <c r="D857" t="s">
        <v>904</v>
      </c>
      <c r="I857" t="s">
        <v>57</v>
      </c>
      <c r="K857" t="s">
        <v>85</v>
      </c>
      <c r="L857" t="s">
        <v>5049</v>
      </c>
      <c r="M857" t="s">
        <v>60</v>
      </c>
      <c r="O857" t="s">
        <v>87</v>
      </c>
      <c r="P857" t="s">
        <v>62</v>
      </c>
      <c r="R857" t="s">
        <v>63</v>
      </c>
      <c r="S857" t="s">
        <v>64</v>
      </c>
      <c r="T857">
        <v>227</v>
      </c>
      <c r="U857">
        <v>208.5</v>
      </c>
      <c r="V857">
        <f t="shared" si="26"/>
        <v>217.75</v>
      </c>
      <c r="W857">
        <f t="shared" si="27"/>
        <v>18.5</v>
      </c>
      <c r="X857">
        <v>-75.060203999999999</v>
      </c>
      <c r="Y857">
        <v>40.424999</v>
      </c>
      <c r="Z857" t="s">
        <v>346</v>
      </c>
      <c r="AA857" t="s">
        <v>66</v>
      </c>
      <c r="AB857" t="s">
        <v>67</v>
      </c>
      <c r="AC857" t="s">
        <v>2517</v>
      </c>
      <c r="AD857" t="s">
        <v>69</v>
      </c>
      <c r="AE857" t="s">
        <v>70</v>
      </c>
      <c r="AH857" t="s">
        <v>11</v>
      </c>
      <c r="AI857" t="s">
        <v>1343</v>
      </c>
      <c r="AJ857">
        <v>1989</v>
      </c>
      <c r="AK857" t="s">
        <v>5627</v>
      </c>
      <c r="AM857" t="s">
        <v>5628</v>
      </c>
      <c r="AN857" t="s">
        <v>114</v>
      </c>
      <c r="AO857">
        <v>4</v>
      </c>
      <c r="AP857" t="s">
        <v>78</v>
      </c>
      <c r="AQ857" t="s">
        <v>5629</v>
      </c>
      <c r="AR857" t="s">
        <v>80</v>
      </c>
      <c r="AS857">
        <v>101</v>
      </c>
      <c r="AT857" t="s">
        <v>81</v>
      </c>
      <c r="AU857">
        <v>-9.33</v>
      </c>
      <c r="AV857">
        <v>13.9</v>
      </c>
      <c r="AW857" t="s">
        <v>82</v>
      </c>
      <c r="AX857">
        <v>101</v>
      </c>
      <c r="AY857" t="s">
        <v>81</v>
      </c>
      <c r="AZ857">
        <v>-20.28</v>
      </c>
      <c r="BA857">
        <v>14.96</v>
      </c>
      <c r="BB857" t="s">
        <v>83</v>
      </c>
    </row>
    <row r="858" spans="1:54" x14ac:dyDescent="0.4">
      <c r="A858">
        <v>1616704</v>
      </c>
      <c r="D858" t="s">
        <v>54</v>
      </c>
      <c r="E858" t="s">
        <v>55</v>
      </c>
      <c r="F858" t="s">
        <v>258</v>
      </c>
      <c r="G858">
        <v>1</v>
      </c>
      <c r="H858" t="s">
        <v>56</v>
      </c>
      <c r="I858" t="s">
        <v>57</v>
      </c>
      <c r="K858" t="s">
        <v>141</v>
      </c>
      <c r="L858" t="s">
        <v>5649</v>
      </c>
      <c r="M858" t="s">
        <v>60</v>
      </c>
      <c r="P858" t="s">
        <v>62</v>
      </c>
      <c r="R858" t="s">
        <v>63</v>
      </c>
      <c r="S858" t="s">
        <v>64</v>
      </c>
      <c r="T858">
        <v>227</v>
      </c>
      <c r="U858">
        <v>208.5</v>
      </c>
      <c r="V858">
        <f t="shared" si="26"/>
        <v>217.75</v>
      </c>
      <c r="W858">
        <f t="shared" si="27"/>
        <v>18.5</v>
      </c>
      <c r="X858">
        <v>8.65</v>
      </c>
      <c r="Y858">
        <v>48.066668999999997</v>
      </c>
      <c r="Z858" t="s">
        <v>198</v>
      </c>
      <c r="AA858" t="s">
        <v>211</v>
      </c>
      <c r="AB858" t="s">
        <v>212</v>
      </c>
      <c r="AC858" t="s">
        <v>259</v>
      </c>
      <c r="AD858" t="s">
        <v>214</v>
      </c>
      <c r="AE858" t="s">
        <v>215</v>
      </c>
      <c r="AH858" t="s">
        <v>72</v>
      </c>
      <c r="AI858" t="s">
        <v>5597</v>
      </c>
      <c r="AJ858">
        <v>2022</v>
      </c>
      <c r="AK858" t="s">
        <v>261</v>
      </c>
      <c r="AM858" t="s">
        <v>262</v>
      </c>
      <c r="AN858" t="s">
        <v>114</v>
      </c>
      <c r="AO858">
        <v>5</v>
      </c>
      <c r="AP858" t="s">
        <v>78</v>
      </c>
      <c r="AQ858" t="s">
        <v>263</v>
      </c>
      <c r="AR858" t="s">
        <v>80</v>
      </c>
      <c r="AS858">
        <v>305</v>
      </c>
      <c r="AT858" t="s">
        <v>81</v>
      </c>
      <c r="AU858">
        <v>21.24</v>
      </c>
      <c r="AV858">
        <v>29.29</v>
      </c>
      <c r="AW858" t="s">
        <v>82</v>
      </c>
      <c r="AX858">
        <v>305</v>
      </c>
      <c r="AY858" t="s">
        <v>81</v>
      </c>
      <c r="AZ858">
        <v>10.119999999999999</v>
      </c>
      <c r="BA858">
        <v>31.21</v>
      </c>
      <c r="BB858" t="s">
        <v>83</v>
      </c>
    </row>
    <row r="859" spans="1:54" x14ac:dyDescent="0.4">
      <c r="A859">
        <v>1624400</v>
      </c>
      <c r="D859" t="s">
        <v>54</v>
      </c>
      <c r="E859" t="s">
        <v>55</v>
      </c>
      <c r="F859" t="s">
        <v>258</v>
      </c>
      <c r="G859">
        <v>1</v>
      </c>
      <c r="H859" t="s">
        <v>56</v>
      </c>
      <c r="I859" t="s">
        <v>57</v>
      </c>
      <c r="K859" t="s">
        <v>244</v>
      </c>
      <c r="L859" t="s">
        <v>245</v>
      </c>
      <c r="M859" t="s">
        <v>60</v>
      </c>
      <c r="O859" t="s">
        <v>170</v>
      </c>
      <c r="P859" t="s">
        <v>62</v>
      </c>
      <c r="R859" t="s">
        <v>63</v>
      </c>
      <c r="S859" t="s">
        <v>64</v>
      </c>
      <c r="T859">
        <v>227</v>
      </c>
      <c r="U859">
        <v>208.5</v>
      </c>
      <c r="V859">
        <f t="shared" si="26"/>
        <v>217.75</v>
      </c>
      <c r="W859">
        <f t="shared" si="27"/>
        <v>18.5</v>
      </c>
      <c r="X859">
        <v>8.65</v>
      </c>
      <c r="Y859">
        <v>48.066668999999997</v>
      </c>
      <c r="Z859" t="s">
        <v>198</v>
      </c>
      <c r="AA859" t="s">
        <v>211</v>
      </c>
      <c r="AB859" t="s">
        <v>212</v>
      </c>
      <c r="AC859" t="s">
        <v>259</v>
      </c>
      <c r="AD859" t="s">
        <v>214</v>
      </c>
      <c r="AE859" t="s">
        <v>215</v>
      </c>
      <c r="AH859" t="s">
        <v>72</v>
      </c>
      <c r="AI859" t="s">
        <v>5597</v>
      </c>
      <c r="AJ859">
        <v>2022</v>
      </c>
      <c r="AK859" t="s">
        <v>261</v>
      </c>
      <c r="AM859" t="s">
        <v>262</v>
      </c>
      <c r="AN859" t="s">
        <v>114</v>
      </c>
      <c r="AO859">
        <v>5</v>
      </c>
      <c r="AP859" t="s">
        <v>78</v>
      </c>
      <c r="AQ859" t="s">
        <v>263</v>
      </c>
      <c r="AR859" t="s">
        <v>80</v>
      </c>
      <c r="AS859">
        <v>305</v>
      </c>
      <c r="AT859" t="s">
        <v>81</v>
      </c>
      <c r="AU859">
        <v>21.24</v>
      </c>
      <c r="AV859">
        <v>29.29</v>
      </c>
      <c r="AW859" t="s">
        <v>82</v>
      </c>
      <c r="AX859">
        <v>305</v>
      </c>
      <c r="AY859" t="s">
        <v>81</v>
      </c>
      <c r="AZ859">
        <v>10.119999999999999</v>
      </c>
      <c r="BA859">
        <v>31.21</v>
      </c>
      <c r="BB859" t="s">
        <v>83</v>
      </c>
    </row>
    <row r="860" spans="1:54" x14ac:dyDescent="0.4">
      <c r="A860">
        <v>1624401</v>
      </c>
      <c r="D860" t="s">
        <v>54</v>
      </c>
      <c r="E860" t="s">
        <v>55</v>
      </c>
      <c r="F860" t="s">
        <v>258</v>
      </c>
      <c r="G860">
        <v>1</v>
      </c>
      <c r="H860" t="s">
        <v>56</v>
      </c>
      <c r="I860" t="s">
        <v>57</v>
      </c>
      <c r="K860" t="s">
        <v>244</v>
      </c>
      <c r="L860" t="s">
        <v>245</v>
      </c>
      <c r="M860" t="s">
        <v>60</v>
      </c>
      <c r="O860" t="s">
        <v>170</v>
      </c>
      <c r="P860" t="s">
        <v>62</v>
      </c>
      <c r="R860" t="s">
        <v>63</v>
      </c>
      <c r="S860" t="s">
        <v>64</v>
      </c>
      <c r="T860">
        <v>227</v>
      </c>
      <c r="U860">
        <v>208.5</v>
      </c>
      <c r="V860">
        <f t="shared" si="26"/>
        <v>217.75</v>
      </c>
      <c r="W860">
        <f t="shared" si="27"/>
        <v>18.5</v>
      </c>
      <c r="X860">
        <v>8.65</v>
      </c>
      <c r="Y860">
        <v>48.066668999999997</v>
      </c>
      <c r="Z860" t="s">
        <v>198</v>
      </c>
      <c r="AA860" t="s">
        <v>211</v>
      </c>
      <c r="AB860" t="s">
        <v>212</v>
      </c>
      <c r="AC860" t="s">
        <v>259</v>
      </c>
      <c r="AD860" t="s">
        <v>214</v>
      </c>
      <c r="AE860" t="s">
        <v>215</v>
      </c>
      <c r="AH860" t="s">
        <v>11</v>
      </c>
      <c r="AI860" t="s">
        <v>693</v>
      </c>
      <c r="AJ860">
        <v>1932</v>
      </c>
      <c r="AK860" t="s">
        <v>261</v>
      </c>
      <c r="AM860" t="s">
        <v>262</v>
      </c>
      <c r="AN860" t="s">
        <v>114</v>
      </c>
      <c r="AO860">
        <v>5</v>
      </c>
      <c r="AP860" t="s">
        <v>78</v>
      </c>
      <c r="AQ860" t="s">
        <v>263</v>
      </c>
      <c r="AR860" t="s">
        <v>80</v>
      </c>
      <c r="AS860">
        <v>305</v>
      </c>
      <c r="AT860" t="s">
        <v>81</v>
      </c>
      <c r="AU860">
        <v>21.24</v>
      </c>
      <c r="AV860">
        <v>29.29</v>
      </c>
      <c r="AW860" t="s">
        <v>82</v>
      </c>
      <c r="AX860">
        <v>305</v>
      </c>
      <c r="AY860" t="s">
        <v>81</v>
      </c>
      <c r="AZ860">
        <v>10.119999999999999</v>
      </c>
      <c r="BA860">
        <v>31.21</v>
      </c>
      <c r="BB860" t="s">
        <v>83</v>
      </c>
    </row>
    <row r="861" spans="1:54" x14ac:dyDescent="0.4">
      <c r="A861">
        <v>1637389</v>
      </c>
      <c r="D861" t="s">
        <v>54</v>
      </c>
      <c r="I861" t="s">
        <v>57</v>
      </c>
      <c r="K861" t="s">
        <v>4025</v>
      </c>
      <c r="L861" t="s">
        <v>5326</v>
      </c>
      <c r="M861" t="s">
        <v>60</v>
      </c>
      <c r="P861" t="s">
        <v>62</v>
      </c>
      <c r="R861" t="s">
        <v>63</v>
      </c>
      <c r="S861" t="s">
        <v>64</v>
      </c>
      <c r="T861">
        <v>227</v>
      </c>
      <c r="U861">
        <v>208.5</v>
      </c>
      <c r="V861">
        <f t="shared" si="26"/>
        <v>217.75</v>
      </c>
      <c r="W861">
        <f t="shared" si="27"/>
        <v>18.5</v>
      </c>
      <c r="X861">
        <v>-53.271110999999998</v>
      </c>
      <c r="Y861">
        <v>-29.605277999999998</v>
      </c>
      <c r="Z861" t="s">
        <v>886</v>
      </c>
      <c r="AA861" t="s">
        <v>783</v>
      </c>
      <c r="AB861" t="s">
        <v>784</v>
      </c>
      <c r="AD861" t="s">
        <v>785</v>
      </c>
      <c r="AH861" t="s">
        <v>72</v>
      </c>
      <c r="AI861" t="s">
        <v>5661</v>
      </c>
      <c r="AJ861">
        <v>2023</v>
      </c>
      <c r="AK861" t="s">
        <v>5662</v>
      </c>
      <c r="AN861" t="s">
        <v>76</v>
      </c>
      <c r="AO861" t="s">
        <v>77</v>
      </c>
      <c r="AP861" t="s">
        <v>78</v>
      </c>
      <c r="AQ861" t="s">
        <v>5663</v>
      </c>
      <c r="AR861" t="s">
        <v>80</v>
      </c>
      <c r="AS861">
        <v>201</v>
      </c>
      <c r="AT861" t="s">
        <v>81</v>
      </c>
      <c r="AU861">
        <v>-6.66</v>
      </c>
      <c r="AV861">
        <v>-38.549999999999997</v>
      </c>
      <c r="AW861" t="s">
        <v>82</v>
      </c>
      <c r="AX861">
        <v>202</v>
      </c>
      <c r="AY861" t="s">
        <v>81</v>
      </c>
      <c r="AZ861">
        <v>-15.42</v>
      </c>
      <c r="BA861">
        <v>-36.99</v>
      </c>
      <c r="BB861" t="s">
        <v>83</v>
      </c>
    </row>
    <row r="862" spans="1:54" x14ac:dyDescent="0.4">
      <c r="A862">
        <v>1659629</v>
      </c>
      <c r="D862" t="s">
        <v>54</v>
      </c>
      <c r="G862">
        <v>10</v>
      </c>
      <c r="H862" t="s">
        <v>84</v>
      </c>
      <c r="I862" t="s">
        <v>57</v>
      </c>
      <c r="K862" t="s">
        <v>1169</v>
      </c>
      <c r="L862" t="s">
        <v>5709</v>
      </c>
      <c r="M862" t="s">
        <v>60</v>
      </c>
      <c r="P862" t="s">
        <v>62</v>
      </c>
      <c r="R862" t="s">
        <v>63</v>
      </c>
      <c r="S862" t="s">
        <v>64</v>
      </c>
      <c r="T862">
        <v>227</v>
      </c>
      <c r="U862">
        <v>208.5</v>
      </c>
      <c r="V862">
        <f t="shared" si="26"/>
        <v>217.75</v>
      </c>
      <c r="W862">
        <f t="shared" si="27"/>
        <v>18.5</v>
      </c>
      <c r="X862">
        <v>-104.550003</v>
      </c>
      <c r="Y862">
        <v>35.283332999999999</v>
      </c>
      <c r="Z862" t="s">
        <v>184</v>
      </c>
      <c r="AA862" t="s">
        <v>66</v>
      </c>
      <c r="AB862" t="s">
        <v>846</v>
      </c>
      <c r="AC862" t="s">
        <v>3013</v>
      </c>
      <c r="AD862" t="s">
        <v>3014</v>
      </c>
      <c r="AH862" t="s">
        <v>72</v>
      </c>
      <c r="AI862" t="s">
        <v>5710</v>
      </c>
      <c r="AJ862">
        <v>2024</v>
      </c>
      <c r="AK862" t="s">
        <v>5711</v>
      </c>
      <c r="AN862" t="s">
        <v>192</v>
      </c>
      <c r="AO862" t="s">
        <v>160</v>
      </c>
      <c r="AP862" t="s">
        <v>78</v>
      </c>
      <c r="AQ862" t="s">
        <v>5712</v>
      </c>
      <c r="AR862" t="s">
        <v>80</v>
      </c>
      <c r="AS862">
        <v>101</v>
      </c>
      <c r="AT862" t="s">
        <v>81</v>
      </c>
      <c r="AU862">
        <v>-33.26</v>
      </c>
      <c r="AV862">
        <v>9.98</v>
      </c>
      <c r="AW862" t="s">
        <v>82</v>
      </c>
      <c r="AX862">
        <v>101</v>
      </c>
      <c r="AY862" t="s">
        <v>81</v>
      </c>
      <c r="AZ862">
        <v>-44.1</v>
      </c>
      <c r="BA862">
        <v>10.15</v>
      </c>
      <c r="BB862" t="s">
        <v>83</v>
      </c>
    </row>
    <row r="863" spans="1:54" x14ac:dyDescent="0.4">
      <c r="A863">
        <v>1660033</v>
      </c>
      <c r="D863" t="s">
        <v>54</v>
      </c>
      <c r="G863">
        <v>1</v>
      </c>
      <c r="H863" t="s">
        <v>84</v>
      </c>
      <c r="I863" t="s">
        <v>57</v>
      </c>
      <c r="K863" t="s">
        <v>206</v>
      </c>
      <c r="L863" t="s">
        <v>5714</v>
      </c>
      <c r="M863" t="s">
        <v>60</v>
      </c>
      <c r="O863" t="s">
        <v>170</v>
      </c>
      <c r="P863" t="s">
        <v>62</v>
      </c>
      <c r="R863" t="s">
        <v>63</v>
      </c>
      <c r="S863" t="s">
        <v>64</v>
      </c>
      <c r="T863">
        <v>227</v>
      </c>
      <c r="U863">
        <v>208.5</v>
      </c>
      <c r="V863">
        <f t="shared" si="26"/>
        <v>217.75</v>
      </c>
      <c r="W863">
        <f t="shared" si="27"/>
        <v>18.5</v>
      </c>
      <c r="X863">
        <v>-101.354164</v>
      </c>
      <c r="Y863">
        <v>33.179169000000002</v>
      </c>
      <c r="Z863" t="s">
        <v>124</v>
      </c>
      <c r="AA863" t="s">
        <v>66</v>
      </c>
      <c r="AB863" t="s">
        <v>125</v>
      </c>
      <c r="AC863" t="s">
        <v>199</v>
      </c>
      <c r="AD863" t="s">
        <v>200</v>
      </c>
      <c r="AE863" t="s">
        <v>201</v>
      </c>
      <c r="AH863" t="s">
        <v>72</v>
      </c>
      <c r="AI863" t="s">
        <v>5715</v>
      </c>
      <c r="AJ863">
        <v>2024</v>
      </c>
      <c r="AK863" t="s">
        <v>1583</v>
      </c>
      <c r="AN863" t="s">
        <v>76</v>
      </c>
      <c r="AO863" t="s">
        <v>77</v>
      </c>
      <c r="AP863" t="s">
        <v>636</v>
      </c>
      <c r="AQ863" t="s">
        <v>1584</v>
      </c>
      <c r="AR863" t="s">
        <v>80</v>
      </c>
      <c r="AS863">
        <v>101</v>
      </c>
      <c r="AT863" t="s">
        <v>81</v>
      </c>
      <c r="AU863">
        <v>-30.95</v>
      </c>
      <c r="AV863">
        <v>7.49</v>
      </c>
      <c r="AW863" t="s">
        <v>82</v>
      </c>
      <c r="AX863">
        <v>101</v>
      </c>
      <c r="AY863" t="s">
        <v>81</v>
      </c>
      <c r="AZ863">
        <v>-41.68</v>
      </c>
      <c r="BA863">
        <v>7.76</v>
      </c>
      <c r="BB863" t="s">
        <v>83</v>
      </c>
    </row>
    <row r="864" spans="1:54" x14ac:dyDescent="0.4">
      <c r="A864" s="2" t="s">
        <v>6000</v>
      </c>
      <c r="B864" s="2"/>
      <c r="C864" s="2"/>
      <c r="D864" s="2" t="s">
        <v>54</v>
      </c>
      <c r="E864" s="2"/>
      <c r="F864" s="2" t="s">
        <v>6001</v>
      </c>
      <c r="G864" s="2">
        <v>1</v>
      </c>
      <c r="H864" s="2" t="s">
        <v>5718</v>
      </c>
      <c r="I864" s="3" t="s">
        <v>57</v>
      </c>
      <c r="J864" s="3" t="s">
        <v>5719</v>
      </c>
      <c r="K864" s="3" t="s">
        <v>6002</v>
      </c>
      <c r="L864" s="4" t="s">
        <v>296</v>
      </c>
      <c r="M864" s="3" t="s">
        <v>60</v>
      </c>
      <c r="N864" s="4"/>
      <c r="O864" s="4"/>
      <c r="P864" s="3" t="s">
        <v>62</v>
      </c>
      <c r="Q864" s="3"/>
      <c r="R864" s="3" t="s">
        <v>5827</v>
      </c>
      <c r="S864" s="3" t="s">
        <v>64</v>
      </c>
      <c r="T864">
        <v>227</v>
      </c>
      <c r="U864">
        <v>208.5</v>
      </c>
      <c r="V864">
        <f t="shared" si="26"/>
        <v>217.75</v>
      </c>
      <c r="W864">
        <f t="shared" si="27"/>
        <v>18.5</v>
      </c>
      <c r="X864" s="5">
        <v>-53.43</v>
      </c>
      <c r="Y864" s="5">
        <v>-29.66</v>
      </c>
      <c r="Z864" s="3"/>
      <c r="AA864" s="3" t="s">
        <v>783</v>
      </c>
      <c r="AB864" s="3" t="s">
        <v>5828</v>
      </c>
      <c r="AC864" s="3" t="s">
        <v>4632</v>
      </c>
      <c r="AD864" s="3" t="s">
        <v>943</v>
      </c>
      <c r="AE864" s="3" t="s">
        <v>5830</v>
      </c>
      <c r="AF864" s="3" t="s">
        <v>944</v>
      </c>
      <c r="AG864" s="4" t="s">
        <v>841</v>
      </c>
      <c r="AH864" s="4"/>
      <c r="AI864" s="3" t="s">
        <v>6003</v>
      </c>
      <c r="AJ864" s="3">
        <v>2014</v>
      </c>
      <c r="AK864" s="10" t="s">
        <v>6004</v>
      </c>
      <c r="AL864" s="11" t="s">
        <v>6005</v>
      </c>
      <c r="AM864" s="5"/>
      <c r="AN864" s="5"/>
      <c r="AO864" s="3"/>
      <c r="AP864" s="3"/>
      <c r="AQ864" s="3"/>
      <c r="AR864" s="3"/>
      <c r="AS864" s="3"/>
      <c r="AT864" s="3"/>
      <c r="AU864" s="3"/>
      <c r="AV864" s="3"/>
      <c r="AW864" s="3"/>
      <c r="AX864" s="3"/>
      <c r="AY864" s="3"/>
      <c r="AZ864" s="3"/>
      <c r="BA864" s="3"/>
      <c r="BB864" s="3"/>
    </row>
    <row r="865" spans="1:54" x14ac:dyDescent="0.4">
      <c r="A865" s="2" t="s">
        <v>6006</v>
      </c>
      <c r="B865" s="2"/>
      <c r="C865" s="2"/>
      <c r="D865" s="2" t="s">
        <v>54</v>
      </c>
      <c r="E865" s="2"/>
      <c r="F865" s="2" t="s">
        <v>5720</v>
      </c>
      <c r="G865" s="2">
        <v>1</v>
      </c>
      <c r="H865" s="2" t="s">
        <v>5718</v>
      </c>
      <c r="I865" s="3" t="s">
        <v>57</v>
      </c>
      <c r="J865" s="3" t="s">
        <v>5719</v>
      </c>
      <c r="K865" s="3" t="s">
        <v>6002</v>
      </c>
      <c r="L865" s="4" t="s">
        <v>296</v>
      </c>
      <c r="M865" s="3" t="s">
        <v>60</v>
      </c>
      <c r="N865" s="4"/>
      <c r="O865" s="4"/>
      <c r="P865" s="3" t="s">
        <v>62</v>
      </c>
      <c r="Q865" s="3"/>
      <c r="R865" s="3" t="s">
        <v>5827</v>
      </c>
      <c r="S865" s="3" t="s">
        <v>64</v>
      </c>
      <c r="T865">
        <v>227</v>
      </c>
      <c r="U865">
        <v>208.5</v>
      </c>
      <c r="V865">
        <f t="shared" si="26"/>
        <v>217.75</v>
      </c>
      <c r="W865">
        <f t="shared" si="27"/>
        <v>18.5</v>
      </c>
      <c r="X865" s="5">
        <v>-53.79</v>
      </c>
      <c r="Y865" s="5">
        <v>-29.7</v>
      </c>
      <c r="Z865" s="3"/>
      <c r="AA865" s="3" t="s">
        <v>783</v>
      </c>
      <c r="AB865" s="3" t="s">
        <v>5828</v>
      </c>
      <c r="AC865" s="3" t="s">
        <v>6007</v>
      </c>
      <c r="AD865" s="3" t="s">
        <v>943</v>
      </c>
      <c r="AE865" s="3" t="s">
        <v>5830</v>
      </c>
      <c r="AF865" s="3" t="s">
        <v>944</v>
      </c>
      <c r="AG865" s="4" t="s">
        <v>841</v>
      </c>
      <c r="AH865" s="4"/>
      <c r="AI865" s="3" t="s">
        <v>6008</v>
      </c>
      <c r="AJ865" s="3">
        <v>2021</v>
      </c>
      <c r="AK865" s="10" t="s">
        <v>5841</v>
      </c>
      <c r="AL865" s="11" t="s">
        <v>6009</v>
      </c>
      <c r="AM865" s="5"/>
      <c r="AN865" s="5"/>
      <c r="AO865" s="3"/>
      <c r="AP865" s="3"/>
      <c r="AQ865" s="3"/>
      <c r="AR865" s="3"/>
      <c r="AS865" s="3"/>
      <c r="AT865" s="3"/>
      <c r="AU865" s="3"/>
      <c r="AV865" s="3"/>
      <c r="AW865" s="3"/>
      <c r="AX865" s="3"/>
      <c r="AY865" s="3"/>
      <c r="AZ865" s="3"/>
      <c r="BA865" s="3"/>
      <c r="BB865" s="3"/>
    </row>
    <row r="866" spans="1:54" x14ac:dyDescent="0.4">
      <c r="A866" s="2" t="s">
        <v>6010</v>
      </c>
      <c r="B866" s="2"/>
      <c r="C866" s="2"/>
      <c r="D866" s="2" t="s">
        <v>54</v>
      </c>
      <c r="E866" s="2"/>
      <c r="F866" s="2" t="s">
        <v>5720</v>
      </c>
      <c r="G866" s="2">
        <v>1</v>
      </c>
      <c r="H866" s="2" t="s">
        <v>5718</v>
      </c>
      <c r="I866" s="3" t="s">
        <v>57</v>
      </c>
      <c r="J866" s="3" t="s">
        <v>5719</v>
      </c>
      <c r="K866" s="3" t="s">
        <v>6002</v>
      </c>
      <c r="L866" s="4" t="s">
        <v>296</v>
      </c>
      <c r="M866" s="3" t="s">
        <v>60</v>
      </c>
      <c r="N866" s="4"/>
      <c r="O866" s="4"/>
      <c r="P866" s="3" t="s">
        <v>62</v>
      </c>
      <c r="Q866" s="3"/>
      <c r="R866" s="3" t="s">
        <v>5827</v>
      </c>
      <c r="S866" s="3" t="s">
        <v>64</v>
      </c>
      <c r="T866">
        <v>227</v>
      </c>
      <c r="U866">
        <v>208.5</v>
      </c>
      <c r="V866">
        <f t="shared" si="26"/>
        <v>217.75</v>
      </c>
      <c r="W866">
        <f t="shared" si="27"/>
        <v>18.5</v>
      </c>
      <c r="X866" s="5">
        <v>-53.79</v>
      </c>
      <c r="Y866" s="5">
        <v>-29.7</v>
      </c>
      <c r="Z866" s="3"/>
      <c r="AA866" s="3" t="s">
        <v>783</v>
      </c>
      <c r="AB866" s="3" t="s">
        <v>5828</v>
      </c>
      <c r="AC866" s="3" t="s">
        <v>6007</v>
      </c>
      <c r="AD866" s="3" t="s">
        <v>943</v>
      </c>
      <c r="AE866" s="3" t="s">
        <v>5830</v>
      </c>
      <c r="AF866" s="3" t="s">
        <v>944</v>
      </c>
      <c r="AG866" s="4" t="s">
        <v>841</v>
      </c>
      <c r="AH866" s="4"/>
      <c r="AI866" s="3" t="s">
        <v>6008</v>
      </c>
      <c r="AJ866" s="3">
        <v>2021</v>
      </c>
      <c r="AK866" s="10" t="s">
        <v>5832</v>
      </c>
      <c r="AL866" s="11" t="s">
        <v>6011</v>
      </c>
      <c r="AM866" s="5"/>
      <c r="AN866" s="5"/>
      <c r="AO866" s="3"/>
      <c r="AP866" s="3"/>
      <c r="AQ866" s="3"/>
      <c r="AR866" s="3"/>
      <c r="AS866" s="3"/>
      <c r="AT866" s="3"/>
      <c r="AU866" s="3"/>
      <c r="AV866" s="3"/>
      <c r="AW866" s="3"/>
      <c r="AX866" s="3"/>
      <c r="AY866" s="3"/>
      <c r="AZ866" s="3"/>
      <c r="BA866" s="3"/>
      <c r="BB866" s="3"/>
    </row>
    <row r="867" spans="1:54" x14ac:dyDescent="0.4">
      <c r="A867" s="2" t="s">
        <v>6012</v>
      </c>
      <c r="B867" s="2"/>
      <c r="C867" s="2"/>
      <c r="D867" s="2" t="s">
        <v>54</v>
      </c>
      <c r="E867" s="2"/>
      <c r="F867" s="2" t="s">
        <v>5720</v>
      </c>
      <c r="G867" s="2">
        <v>1</v>
      </c>
      <c r="H867" s="2" t="s">
        <v>5718</v>
      </c>
      <c r="I867" s="3" t="s">
        <v>57</v>
      </c>
      <c r="J867" s="3" t="s">
        <v>5719</v>
      </c>
      <c r="K867" s="3" t="s">
        <v>6002</v>
      </c>
      <c r="L867" s="4" t="s">
        <v>296</v>
      </c>
      <c r="M867" s="3" t="s">
        <v>60</v>
      </c>
      <c r="N867" s="4"/>
      <c r="O867" s="4"/>
      <c r="P867" s="3" t="s">
        <v>62</v>
      </c>
      <c r="Q867" s="3"/>
      <c r="R867" s="3" t="s">
        <v>5827</v>
      </c>
      <c r="S867" s="3" t="s">
        <v>64</v>
      </c>
      <c r="T867">
        <v>227</v>
      </c>
      <c r="U867">
        <v>208.5</v>
      </c>
      <c r="V867">
        <f t="shared" si="26"/>
        <v>217.75</v>
      </c>
      <c r="W867">
        <f t="shared" si="27"/>
        <v>18.5</v>
      </c>
      <c r="X867" s="5">
        <v>-53.46</v>
      </c>
      <c r="Y867" s="5">
        <v>-29.65</v>
      </c>
      <c r="Z867" s="3"/>
      <c r="AA867" s="3" t="s">
        <v>783</v>
      </c>
      <c r="AB867" s="3" t="s">
        <v>5828</v>
      </c>
      <c r="AC867" s="3" t="s">
        <v>6013</v>
      </c>
      <c r="AD867" s="3" t="s">
        <v>943</v>
      </c>
      <c r="AE867" s="3" t="s">
        <v>5830</v>
      </c>
      <c r="AF867" s="3" t="s">
        <v>944</v>
      </c>
      <c r="AG867" s="4" t="s">
        <v>841</v>
      </c>
      <c r="AH867" s="4"/>
      <c r="AI867" s="3" t="s">
        <v>6008</v>
      </c>
      <c r="AJ867" s="3">
        <v>2021</v>
      </c>
      <c r="AK867" s="10" t="s">
        <v>6014</v>
      </c>
      <c r="AL867" s="11" t="s">
        <v>6015</v>
      </c>
      <c r="AM867" s="5"/>
      <c r="AN867" s="5"/>
      <c r="AO867" s="3"/>
      <c r="AP867" s="3"/>
      <c r="AQ867" s="3"/>
      <c r="AR867" s="3"/>
      <c r="AS867" s="3"/>
      <c r="AT867" s="3"/>
      <c r="AU867" s="3"/>
      <c r="AV867" s="3"/>
      <c r="AW867" s="3"/>
      <c r="AX867" s="3"/>
      <c r="AY867" s="3"/>
      <c r="AZ867" s="3"/>
      <c r="BA867" s="3"/>
      <c r="BB867" s="3"/>
    </row>
    <row r="868" spans="1:54" ht="29.15" x14ac:dyDescent="0.4">
      <c r="A868" s="2" t="s">
        <v>6016</v>
      </c>
      <c r="B868" s="2"/>
      <c r="C868" s="2"/>
      <c r="D868" s="2" t="s">
        <v>54</v>
      </c>
      <c r="E868" s="2"/>
      <c r="F868" s="2" t="s">
        <v>6017</v>
      </c>
      <c r="G868" s="2">
        <v>1</v>
      </c>
      <c r="H868" s="2" t="s">
        <v>5718</v>
      </c>
      <c r="I868" s="3" t="s">
        <v>57</v>
      </c>
      <c r="J868" s="3" t="s">
        <v>5719</v>
      </c>
      <c r="K868" s="3" t="s">
        <v>180</v>
      </c>
      <c r="L868" s="21" t="s">
        <v>5650</v>
      </c>
      <c r="M868" s="3" t="s">
        <v>60</v>
      </c>
      <c r="N868" s="21"/>
      <c r="O868" s="21"/>
      <c r="P868" s="3" t="s">
        <v>62</v>
      </c>
      <c r="Q868" s="3"/>
      <c r="R868" s="3" t="s">
        <v>5827</v>
      </c>
      <c r="S868" s="3" t="s">
        <v>64</v>
      </c>
      <c r="T868">
        <v>227</v>
      </c>
      <c r="U868">
        <v>208.5</v>
      </c>
      <c r="V868">
        <f t="shared" si="26"/>
        <v>217.75</v>
      </c>
      <c r="W868">
        <f t="shared" si="27"/>
        <v>18.5</v>
      </c>
      <c r="X868" s="5">
        <v>-53.43</v>
      </c>
      <c r="Y868" s="5">
        <v>-29.66</v>
      </c>
      <c r="Z868" s="3"/>
      <c r="AA868" s="3" t="s">
        <v>783</v>
      </c>
      <c r="AB868" s="3" t="s">
        <v>5828</v>
      </c>
      <c r="AC868" s="3" t="s">
        <v>6018</v>
      </c>
      <c r="AD868" s="3" t="s">
        <v>943</v>
      </c>
      <c r="AE868" s="3" t="s">
        <v>5830</v>
      </c>
      <c r="AF868" s="3" t="s">
        <v>944</v>
      </c>
      <c r="AG868" s="4" t="s">
        <v>841</v>
      </c>
      <c r="AH868" s="4"/>
      <c r="AI868" s="3" t="s">
        <v>6019</v>
      </c>
      <c r="AJ868" s="3">
        <v>2023</v>
      </c>
      <c r="AK868" s="3" t="s">
        <v>5849</v>
      </c>
      <c r="AL868" s="11" t="s">
        <v>6020</v>
      </c>
      <c r="AM868" s="5"/>
      <c r="AN868" s="5"/>
      <c r="AO868" s="3"/>
      <c r="AP868" s="3"/>
      <c r="AQ868" s="3"/>
      <c r="AR868" s="3"/>
      <c r="AS868" s="3"/>
      <c r="AT868" s="3"/>
      <c r="AU868" s="3"/>
      <c r="AV868" s="3"/>
      <c r="AW868" s="3"/>
      <c r="AX868" s="3"/>
      <c r="AY868" s="3"/>
      <c r="AZ868" s="3"/>
      <c r="BA868" s="3"/>
      <c r="BB868" s="3"/>
    </row>
    <row r="869" spans="1:54" ht="29.15" x14ac:dyDescent="0.4">
      <c r="A869" s="2" t="s">
        <v>6021</v>
      </c>
      <c r="B869" s="2"/>
      <c r="C869" s="2"/>
      <c r="D869" s="2" t="s">
        <v>54</v>
      </c>
      <c r="E869" s="2"/>
      <c r="F869" s="2" t="s">
        <v>6022</v>
      </c>
      <c r="G869" s="2">
        <v>1</v>
      </c>
      <c r="H869" s="2" t="s">
        <v>5718</v>
      </c>
      <c r="I869" s="3" t="s">
        <v>57</v>
      </c>
      <c r="J869" s="3" t="s">
        <v>5719</v>
      </c>
      <c r="K869" s="3" t="s">
        <v>180</v>
      </c>
      <c r="L869" s="21" t="s">
        <v>5650</v>
      </c>
      <c r="M869" s="3" t="s">
        <v>60</v>
      </c>
      <c r="N869" s="21"/>
      <c r="O869" s="21"/>
      <c r="P869" s="3" t="s">
        <v>62</v>
      </c>
      <c r="Q869" s="3"/>
      <c r="R869" s="3" t="s">
        <v>5827</v>
      </c>
      <c r="S869" s="3" t="s">
        <v>64</v>
      </c>
      <c r="T869">
        <v>227</v>
      </c>
      <c r="U869">
        <v>208.5</v>
      </c>
      <c r="V869">
        <f t="shared" si="26"/>
        <v>217.75</v>
      </c>
      <c r="W869">
        <f t="shared" si="27"/>
        <v>18.5</v>
      </c>
      <c r="X869" s="5">
        <v>-53.43</v>
      </c>
      <c r="Y869" s="5">
        <v>-29.66</v>
      </c>
      <c r="Z869" s="3"/>
      <c r="AA869" s="3" t="s">
        <v>783</v>
      </c>
      <c r="AB869" s="3" t="s">
        <v>5828</v>
      </c>
      <c r="AC869" s="3" t="s">
        <v>6018</v>
      </c>
      <c r="AD869" s="3" t="s">
        <v>943</v>
      </c>
      <c r="AE869" s="3" t="s">
        <v>5830</v>
      </c>
      <c r="AF869" s="3" t="s">
        <v>944</v>
      </c>
      <c r="AG869" s="4" t="s">
        <v>841</v>
      </c>
      <c r="AH869" s="4"/>
      <c r="AI869" s="3" t="s">
        <v>6019</v>
      </c>
      <c r="AJ869" s="3">
        <v>2023</v>
      </c>
      <c r="AK869" s="10" t="s">
        <v>5849</v>
      </c>
      <c r="AL869" s="11" t="s">
        <v>6023</v>
      </c>
      <c r="AM869" s="5"/>
      <c r="AN869" s="5"/>
      <c r="AO869" s="3"/>
      <c r="AP869" s="3"/>
      <c r="AQ869" s="3"/>
      <c r="AR869" s="3"/>
      <c r="AS869" s="3"/>
      <c r="AT869" s="3"/>
      <c r="AU869" s="3"/>
      <c r="AV869" s="3"/>
      <c r="AW869" s="3"/>
      <c r="AX869" s="3"/>
      <c r="AY869" s="3"/>
      <c r="AZ869" s="3"/>
      <c r="BA869" s="3"/>
      <c r="BB869" s="3"/>
    </row>
    <row r="870" spans="1:54" x14ac:dyDescent="0.4">
      <c r="A870" s="2" t="s">
        <v>6024</v>
      </c>
      <c r="B870" s="2"/>
      <c r="C870" s="2"/>
      <c r="D870" s="2" t="s">
        <v>54</v>
      </c>
      <c r="E870" s="2"/>
      <c r="F870" s="2" t="s">
        <v>5720</v>
      </c>
      <c r="G870" s="2">
        <v>1</v>
      </c>
      <c r="H870" s="2" t="s">
        <v>5718</v>
      </c>
      <c r="I870" s="3" t="s">
        <v>57</v>
      </c>
      <c r="J870" s="3" t="s">
        <v>5719</v>
      </c>
      <c r="K870" s="3" t="s">
        <v>901</v>
      </c>
      <c r="L870" s="4" t="s">
        <v>4773</v>
      </c>
      <c r="M870" s="3" t="s">
        <v>60</v>
      </c>
      <c r="N870" s="4"/>
      <c r="O870" s="4"/>
      <c r="P870" s="3" t="s">
        <v>62</v>
      </c>
      <c r="Q870" s="3"/>
      <c r="R870" s="3" t="s">
        <v>5827</v>
      </c>
      <c r="S870" s="3" t="s">
        <v>64</v>
      </c>
      <c r="T870">
        <v>227</v>
      </c>
      <c r="U870">
        <v>208.5</v>
      </c>
      <c r="V870">
        <f t="shared" si="26"/>
        <v>217.75</v>
      </c>
      <c r="W870">
        <f t="shared" si="27"/>
        <v>18.5</v>
      </c>
      <c r="X870" s="5">
        <v>-53.44</v>
      </c>
      <c r="Y870" s="5">
        <v>-29.66</v>
      </c>
      <c r="Z870" s="3"/>
      <c r="AA870" s="3" t="s">
        <v>783</v>
      </c>
      <c r="AB870" s="3" t="s">
        <v>5828</v>
      </c>
      <c r="AC870" s="3" t="s">
        <v>4632</v>
      </c>
      <c r="AD870" s="3" t="s">
        <v>943</v>
      </c>
      <c r="AE870" s="3" t="s">
        <v>5830</v>
      </c>
      <c r="AF870" s="3" t="s">
        <v>944</v>
      </c>
      <c r="AG870" s="4" t="s">
        <v>841</v>
      </c>
      <c r="AH870" s="4"/>
      <c r="AI870" s="3" t="s">
        <v>6025</v>
      </c>
      <c r="AJ870" s="3">
        <v>2016</v>
      </c>
      <c r="AK870" s="10" t="s">
        <v>6004</v>
      </c>
      <c r="AL870" s="11" t="s">
        <v>6026</v>
      </c>
      <c r="AM870" s="5"/>
      <c r="AN870" s="5"/>
      <c r="AO870" s="3"/>
      <c r="AP870" s="3"/>
      <c r="AQ870" s="3"/>
      <c r="AR870" s="3"/>
      <c r="AS870" s="3"/>
      <c r="AT870" s="3"/>
      <c r="AU870" s="3"/>
      <c r="AV870" s="3"/>
      <c r="AW870" s="3"/>
      <c r="AX870" s="3"/>
      <c r="AY870" s="3"/>
      <c r="AZ870" s="3"/>
      <c r="BA870" s="3"/>
      <c r="BB870" s="3"/>
    </row>
    <row r="871" spans="1:54" x14ac:dyDescent="0.4">
      <c r="A871" s="2" t="s">
        <v>6027</v>
      </c>
      <c r="B871" s="2"/>
      <c r="C871" s="2"/>
      <c r="D871" s="2" t="s">
        <v>54</v>
      </c>
      <c r="E871" s="2"/>
      <c r="F871" s="2" t="s">
        <v>6028</v>
      </c>
      <c r="G871" s="2">
        <v>1</v>
      </c>
      <c r="H871" s="2" t="s">
        <v>5718</v>
      </c>
      <c r="I871" s="3" t="s">
        <v>57</v>
      </c>
      <c r="J871" s="3" t="s">
        <v>5719</v>
      </c>
      <c r="K871" s="3" t="s">
        <v>901</v>
      </c>
      <c r="L871" s="4" t="s">
        <v>4773</v>
      </c>
      <c r="M871" s="3" t="s">
        <v>60</v>
      </c>
      <c r="N871" s="4"/>
      <c r="O871" s="4"/>
      <c r="P871" s="3" t="s">
        <v>62</v>
      </c>
      <c r="Q871" s="3"/>
      <c r="R871" s="3" t="s">
        <v>5827</v>
      </c>
      <c r="S871" s="3" t="s">
        <v>64</v>
      </c>
      <c r="T871">
        <v>227</v>
      </c>
      <c r="U871">
        <v>208.5</v>
      </c>
      <c r="V871">
        <f t="shared" si="26"/>
        <v>217.75</v>
      </c>
      <c r="W871">
        <f t="shared" si="27"/>
        <v>18.5</v>
      </c>
      <c r="X871" s="5">
        <v>-53.43</v>
      </c>
      <c r="Y871" s="5">
        <v>-29.66</v>
      </c>
      <c r="Z871" s="3"/>
      <c r="AA871" s="3" t="s">
        <v>783</v>
      </c>
      <c r="AB871" s="3" t="s">
        <v>5828</v>
      </c>
      <c r="AC871" s="3" t="s">
        <v>4632</v>
      </c>
      <c r="AD871" s="3" t="s">
        <v>943</v>
      </c>
      <c r="AE871" s="3" t="s">
        <v>5830</v>
      </c>
      <c r="AF871" s="3" t="s">
        <v>944</v>
      </c>
      <c r="AG871" s="4" t="s">
        <v>841</v>
      </c>
      <c r="AH871" s="4"/>
      <c r="AI871" s="3" t="s">
        <v>5928</v>
      </c>
      <c r="AJ871" s="3">
        <v>2021</v>
      </c>
      <c r="AK871" s="10" t="s">
        <v>5849</v>
      </c>
      <c r="AL871" s="11" t="s">
        <v>6029</v>
      </c>
      <c r="AM871" s="5"/>
      <c r="AN871" s="5"/>
      <c r="AO871" s="3"/>
      <c r="AP871" s="3"/>
      <c r="AQ871" s="3"/>
      <c r="AR871" s="3"/>
      <c r="AS871" s="3"/>
      <c r="AT871" s="3"/>
      <c r="AU871" s="3"/>
      <c r="AV871" s="3"/>
      <c r="AW871" s="3"/>
      <c r="AX871" s="3"/>
      <c r="AY871" s="3"/>
      <c r="AZ871" s="3"/>
      <c r="BA871" s="3"/>
      <c r="BB871" s="3"/>
    </row>
    <row r="872" spans="1:54" x14ac:dyDescent="0.4">
      <c r="A872" s="2" t="s">
        <v>6030</v>
      </c>
      <c r="B872" s="2"/>
      <c r="C872" s="2"/>
      <c r="D872" s="2" t="s">
        <v>54</v>
      </c>
      <c r="E872" s="2"/>
      <c r="F872" s="2" t="s">
        <v>6031</v>
      </c>
      <c r="G872" s="2">
        <v>1</v>
      </c>
      <c r="H872" s="2" t="s">
        <v>5718</v>
      </c>
      <c r="I872" s="3" t="s">
        <v>57</v>
      </c>
      <c r="J872" s="3" t="s">
        <v>5719</v>
      </c>
      <c r="K872" s="3" t="s">
        <v>901</v>
      </c>
      <c r="L872" s="4" t="s">
        <v>4773</v>
      </c>
      <c r="M872" s="3" t="s">
        <v>60</v>
      </c>
      <c r="N872" s="4"/>
      <c r="O872" s="4"/>
      <c r="P872" s="3" t="s">
        <v>62</v>
      </c>
      <c r="Q872" s="3"/>
      <c r="R872" s="3" t="s">
        <v>5827</v>
      </c>
      <c r="S872" s="3" t="s">
        <v>64</v>
      </c>
      <c r="T872">
        <v>227</v>
      </c>
      <c r="U872">
        <v>208.5</v>
      </c>
      <c r="V872">
        <f t="shared" si="26"/>
        <v>217.75</v>
      </c>
      <c r="W872">
        <f t="shared" si="27"/>
        <v>18.5</v>
      </c>
      <c r="X872" s="5">
        <v>-53.46</v>
      </c>
      <c r="Y872" s="5">
        <v>-29.65</v>
      </c>
      <c r="Z872" s="3"/>
      <c r="AA872" s="3" t="s">
        <v>783</v>
      </c>
      <c r="AB872" s="3" t="s">
        <v>5828</v>
      </c>
      <c r="AC872" s="3" t="s">
        <v>6013</v>
      </c>
      <c r="AD872" s="3" t="s">
        <v>943</v>
      </c>
      <c r="AE872" s="3" t="s">
        <v>5830</v>
      </c>
      <c r="AF872" s="3" t="s">
        <v>944</v>
      </c>
      <c r="AG872" s="4" t="s">
        <v>841</v>
      </c>
      <c r="AH872" s="4"/>
      <c r="AI872" s="3" t="s">
        <v>6032</v>
      </c>
      <c r="AJ872" s="3">
        <v>2024</v>
      </c>
      <c r="AK872" s="10" t="s">
        <v>5849</v>
      </c>
      <c r="AL872" s="11" t="s">
        <v>6033</v>
      </c>
      <c r="AM872" s="5"/>
      <c r="AN872" s="5"/>
      <c r="AO872" s="3"/>
      <c r="AP872" s="3"/>
      <c r="AQ872" s="3"/>
      <c r="AR872" s="3"/>
      <c r="AS872" s="3"/>
      <c r="AT872" s="3"/>
      <c r="AU872" s="3"/>
      <c r="AV872" s="3"/>
      <c r="AW872" s="3"/>
      <c r="AX872" s="3"/>
      <c r="AY872" s="3"/>
      <c r="AZ872" s="3"/>
      <c r="BA872" s="3"/>
      <c r="BB872" s="3"/>
    </row>
    <row r="873" spans="1:54" x14ac:dyDescent="0.4">
      <c r="A873" s="2" t="s">
        <v>6034</v>
      </c>
      <c r="B873" s="2"/>
      <c r="C873" s="2"/>
      <c r="D873" s="2" t="s">
        <v>54</v>
      </c>
      <c r="E873" s="2"/>
      <c r="F873" s="2" t="s">
        <v>6035</v>
      </c>
      <c r="G873" s="2">
        <v>1</v>
      </c>
      <c r="H873" s="2" t="s">
        <v>5718</v>
      </c>
      <c r="I873" s="3" t="s">
        <v>57</v>
      </c>
      <c r="J873" s="3" t="s">
        <v>5719</v>
      </c>
      <c r="K873" s="3" t="s">
        <v>901</v>
      </c>
      <c r="L873" s="3" t="s">
        <v>4773</v>
      </c>
      <c r="M873" s="3" t="s">
        <v>60</v>
      </c>
      <c r="N873" s="3"/>
      <c r="O873" s="3"/>
      <c r="P873" s="3" t="s">
        <v>62</v>
      </c>
      <c r="Q873" s="3"/>
      <c r="R873" s="3" t="s">
        <v>5827</v>
      </c>
      <c r="S873" s="3" t="s">
        <v>64</v>
      </c>
      <c r="T873">
        <v>227</v>
      </c>
      <c r="U873">
        <v>208.5</v>
      </c>
      <c r="V873">
        <f t="shared" si="26"/>
        <v>217.75</v>
      </c>
      <c r="W873">
        <f t="shared" si="27"/>
        <v>18.5</v>
      </c>
      <c r="X873" s="5">
        <v>-53.46</v>
      </c>
      <c r="Y873" s="5">
        <v>-29.65</v>
      </c>
      <c r="Z873" s="3"/>
      <c r="AA873" s="3" t="s">
        <v>783</v>
      </c>
      <c r="AB873" s="3" t="s">
        <v>5828</v>
      </c>
      <c r="AC873" s="3" t="s">
        <v>6013</v>
      </c>
      <c r="AD873" s="3" t="s">
        <v>943</v>
      </c>
      <c r="AE873" s="3" t="s">
        <v>5830</v>
      </c>
      <c r="AF873" s="3" t="s">
        <v>944</v>
      </c>
      <c r="AG873" s="4" t="s">
        <v>841</v>
      </c>
      <c r="AH873" s="4"/>
      <c r="AI873" s="3" t="s">
        <v>6036</v>
      </c>
      <c r="AJ873" s="3">
        <v>2023</v>
      </c>
      <c r="AK873" s="10" t="s">
        <v>5849</v>
      </c>
      <c r="AL873" s="11" t="s">
        <v>6037</v>
      </c>
      <c r="AM873" s="5"/>
      <c r="AN873" s="5"/>
      <c r="AO873" s="3"/>
      <c r="AP873" s="3"/>
      <c r="AQ873" s="3"/>
      <c r="AR873" s="3"/>
      <c r="AS873" s="3"/>
      <c r="AT873" s="3"/>
      <c r="AU873" s="3"/>
      <c r="AV873" s="3"/>
      <c r="AW873" s="3"/>
      <c r="AX873" s="3"/>
      <c r="AY873" s="3"/>
      <c r="AZ873" s="3"/>
      <c r="BA873" s="3"/>
      <c r="BB873" s="3"/>
    </row>
    <row r="874" spans="1:54" x14ac:dyDescent="0.4">
      <c r="A874" s="2" t="s">
        <v>6038</v>
      </c>
      <c r="B874" s="2"/>
      <c r="C874" s="2"/>
      <c r="D874" s="2" t="s">
        <v>54</v>
      </c>
      <c r="E874" s="2"/>
      <c r="F874" s="2" t="s">
        <v>5720</v>
      </c>
      <c r="G874" s="2">
        <v>1</v>
      </c>
      <c r="H874" s="2" t="s">
        <v>5718</v>
      </c>
      <c r="I874" s="3" t="s">
        <v>57</v>
      </c>
      <c r="J874" s="3" t="s">
        <v>6039</v>
      </c>
      <c r="K874" s="3" t="s">
        <v>6040</v>
      </c>
      <c r="L874" s="4" t="s">
        <v>133</v>
      </c>
      <c r="M874" s="3" t="s">
        <v>60</v>
      </c>
      <c r="N874" s="4"/>
      <c r="O874" s="4"/>
      <c r="P874" s="3" t="s">
        <v>62</v>
      </c>
      <c r="Q874" s="3"/>
      <c r="R874" s="3" t="s">
        <v>5827</v>
      </c>
      <c r="S874" s="3" t="s">
        <v>64</v>
      </c>
      <c r="T874">
        <v>227</v>
      </c>
      <c r="U874">
        <v>208.5</v>
      </c>
      <c r="V874">
        <f t="shared" si="26"/>
        <v>217.75</v>
      </c>
      <c r="W874">
        <f t="shared" si="27"/>
        <v>18.5</v>
      </c>
      <c r="X874" s="5">
        <v>-53.45</v>
      </c>
      <c r="Y874" s="5">
        <v>-29.56</v>
      </c>
      <c r="Z874" s="3"/>
      <c r="AA874" s="3" t="s">
        <v>783</v>
      </c>
      <c r="AB874" s="3" t="s">
        <v>5828</v>
      </c>
      <c r="AC874" s="3" t="s">
        <v>6041</v>
      </c>
      <c r="AD874" s="3" t="s">
        <v>785</v>
      </c>
      <c r="AE874" s="3" t="s">
        <v>5830</v>
      </c>
      <c r="AF874" s="3" t="s">
        <v>944</v>
      </c>
      <c r="AG874" s="4" t="s">
        <v>1173</v>
      </c>
      <c r="AH874" s="4"/>
      <c r="AI874" s="3" t="s">
        <v>6042</v>
      </c>
      <c r="AJ874" s="3">
        <v>2011</v>
      </c>
      <c r="AK874" s="10" t="s">
        <v>5832</v>
      </c>
      <c r="AL874" s="11" t="s">
        <v>6043</v>
      </c>
      <c r="AM874" s="5"/>
      <c r="AN874" s="5"/>
      <c r="AO874" s="3"/>
      <c r="AP874" s="3"/>
      <c r="AQ874" s="3"/>
      <c r="AR874" s="3"/>
      <c r="AS874" s="3"/>
      <c r="AT874" s="3"/>
      <c r="AU874" s="3"/>
      <c r="AV874" s="3"/>
      <c r="AW874" s="3"/>
      <c r="AX874" s="3"/>
      <c r="AY874" s="3"/>
      <c r="AZ874" s="3"/>
      <c r="BA874" s="3"/>
      <c r="BB874" s="3"/>
    </row>
    <row r="875" spans="1:54" x14ac:dyDescent="0.4">
      <c r="A875" s="2" t="s">
        <v>6044</v>
      </c>
      <c r="B875" s="2"/>
      <c r="C875" s="2"/>
      <c r="D875" s="2" t="s">
        <v>54</v>
      </c>
      <c r="E875" s="2"/>
      <c r="F875" s="2" t="s">
        <v>5717</v>
      </c>
      <c r="G875" s="2">
        <v>1</v>
      </c>
      <c r="H875" s="2" t="s">
        <v>5718</v>
      </c>
      <c r="I875" s="3" t="s">
        <v>57</v>
      </c>
      <c r="J875" s="3" t="s">
        <v>6039</v>
      </c>
      <c r="K875" s="3" t="s">
        <v>6040</v>
      </c>
      <c r="L875" s="4" t="s">
        <v>133</v>
      </c>
      <c r="M875" s="3" t="s">
        <v>60</v>
      </c>
      <c r="N875" s="4"/>
      <c r="O875" s="4"/>
      <c r="P875" s="3" t="s">
        <v>62</v>
      </c>
      <c r="Q875" s="3"/>
      <c r="R875" s="3" t="s">
        <v>5827</v>
      </c>
      <c r="S875" s="3" t="s">
        <v>64</v>
      </c>
      <c r="T875">
        <v>227</v>
      </c>
      <c r="U875">
        <v>208.5</v>
      </c>
      <c r="V875">
        <f t="shared" si="26"/>
        <v>217.75</v>
      </c>
      <c r="W875">
        <f t="shared" si="27"/>
        <v>18.5</v>
      </c>
      <c r="X875" s="5">
        <v>-53.45</v>
      </c>
      <c r="Y875" s="5">
        <v>-29.56</v>
      </c>
      <c r="Z875" s="3"/>
      <c r="AA875" s="3" t="s">
        <v>783</v>
      </c>
      <c r="AB875" s="3" t="s">
        <v>5828</v>
      </c>
      <c r="AC875" s="3" t="s">
        <v>6041</v>
      </c>
      <c r="AD875" s="3" t="s">
        <v>785</v>
      </c>
      <c r="AE875" s="3" t="s">
        <v>5830</v>
      </c>
      <c r="AF875" s="3" t="s">
        <v>944</v>
      </c>
      <c r="AG875" s="4" t="s">
        <v>1173</v>
      </c>
      <c r="AH875" s="4"/>
      <c r="AI875" s="3" t="s">
        <v>6042</v>
      </c>
      <c r="AJ875" s="3">
        <v>2011</v>
      </c>
      <c r="AK875" s="10" t="s">
        <v>5832</v>
      </c>
      <c r="AL875" s="11" t="s">
        <v>6045</v>
      </c>
      <c r="AM875" s="5"/>
      <c r="AN875" s="5"/>
      <c r="AO875" s="3"/>
      <c r="AP875" s="3"/>
      <c r="AQ875" s="3"/>
      <c r="AR875" s="3"/>
      <c r="AS875" s="3"/>
      <c r="AT875" s="3"/>
      <c r="AU875" s="3"/>
      <c r="AV875" s="3"/>
      <c r="AW875" s="3"/>
      <c r="AX875" s="3"/>
      <c r="AY875" s="3"/>
      <c r="AZ875" s="3"/>
      <c r="BA875" s="3"/>
      <c r="BB875" s="3"/>
    </row>
    <row r="876" spans="1:54" x14ac:dyDescent="0.4">
      <c r="A876" s="2" t="s">
        <v>6046</v>
      </c>
      <c r="B876" s="2"/>
      <c r="C876" s="2"/>
      <c r="D876" s="2" t="s">
        <v>54</v>
      </c>
      <c r="E876" s="2"/>
      <c r="F876" s="2" t="s">
        <v>5720</v>
      </c>
      <c r="G876" s="2">
        <v>1</v>
      </c>
      <c r="H876" s="2" t="s">
        <v>5718</v>
      </c>
      <c r="I876" s="3" t="s">
        <v>57</v>
      </c>
      <c r="J876" s="3" t="s">
        <v>6039</v>
      </c>
      <c r="K876" s="3" t="s">
        <v>6040</v>
      </c>
      <c r="L876" s="4" t="s">
        <v>133</v>
      </c>
      <c r="M876" s="3" t="s">
        <v>60</v>
      </c>
      <c r="N876" s="4"/>
      <c r="O876" s="4"/>
      <c r="P876" s="3" t="s">
        <v>62</v>
      </c>
      <c r="Q876" s="3"/>
      <c r="R876" s="3" t="s">
        <v>5827</v>
      </c>
      <c r="S876" s="3" t="s">
        <v>64</v>
      </c>
      <c r="T876">
        <v>227</v>
      </c>
      <c r="U876">
        <v>208.5</v>
      </c>
      <c r="V876">
        <f t="shared" si="26"/>
        <v>217.75</v>
      </c>
      <c r="W876">
        <f t="shared" si="27"/>
        <v>18.5</v>
      </c>
      <c r="X876" s="5">
        <v>-53.45</v>
      </c>
      <c r="Y876" s="5">
        <v>-29.56</v>
      </c>
      <c r="Z876" s="3"/>
      <c r="AA876" s="3" t="s">
        <v>783</v>
      </c>
      <c r="AB876" s="3" t="s">
        <v>5828</v>
      </c>
      <c r="AC876" s="3" t="s">
        <v>6041</v>
      </c>
      <c r="AD876" s="3" t="s">
        <v>785</v>
      </c>
      <c r="AE876" s="3" t="s">
        <v>5830</v>
      </c>
      <c r="AF876" s="3" t="s">
        <v>944</v>
      </c>
      <c r="AG876" s="4" t="s">
        <v>1173</v>
      </c>
      <c r="AH876" s="4"/>
      <c r="AI876" s="3" t="s">
        <v>6042</v>
      </c>
      <c r="AJ876" s="3">
        <v>2011</v>
      </c>
      <c r="AK876" s="10" t="s">
        <v>5832</v>
      </c>
      <c r="AL876" s="11" t="s">
        <v>6047</v>
      </c>
      <c r="AM876" s="5"/>
      <c r="AN876" s="5"/>
      <c r="AO876" s="3"/>
      <c r="AP876" s="3"/>
      <c r="AQ876" s="3"/>
      <c r="AR876" s="3"/>
      <c r="AS876" s="3"/>
      <c r="AT876" s="3"/>
      <c r="AU876" s="3"/>
      <c r="AV876" s="3"/>
      <c r="AW876" s="3"/>
      <c r="AX876" s="3"/>
      <c r="AY876" s="3"/>
      <c r="AZ876" s="3"/>
      <c r="BA876" s="3"/>
      <c r="BB876" s="3"/>
    </row>
    <row r="877" spans="1:54" x14ac:dyDescent="0.4">
      <c r="A877" s="2" t="s">
        <v>6048</v>
      </c>
      <c r="B877" s="2"/>
      <c r="C877" s="2"/>
      <c r="D877" s="2" t="s">
        <v>54</v>
      </c>
      <c r="E877" s="2"/>
      <c r="F877" s="2" t="s">
        <v>5720</v>
      </c>
      <c r="G877" s="2">
        <v>1</v>
      </c>
      <c r="H877" s="2" t="s">
        <v>5718</v>
      </c>
      <c r="I877" s="3" t="s">
        <v>57</v>
      </c>
      <c r="J877" s="3" t="s">
        <v>6039</v>
      </c>
      <c r="K877" s="3" t="s">
        <v>6040</v>
      </c>
      <c r="L877" s="4" t="s">
        <v>133</v>
      </c>
      <c r="M877" s="3" t="s">
        <v>60</v>
      </c>
      <c r="N877" s="4"/>
      <c r="O877" s="4"/>
      <c r="P877" s="3" t="s">
        <v>62</v>
      </c>
      <c r="Q877" s="3"/>
      <c r="R877" s="3" t="s">
        <v>5827</v>
      </c>
      <c r="S877" s="3" t="s">
        <v>64</v>
      </c>
      <c r="T877">
        <v>227</v>
      </c>
      <c r="U877">
        <v>208.5</v>
      </c>
      <c r="V877">
        <f t="shared" si="26"/>
        <v>217.75</v>
      </c>
      <c r="W877">
        <f t="shared" si="27"/>
        <v>18.5</v>
      </c>
      <c r="X877" s="5">
        <v>-53.45</v>
      </c>
      <c r="Y877" s="5">
        <v>-29.56</v>
      </c>
      <c r="Z877" s="3"/>
      <c r="AA877" s="3" t="s">
        <v>783</v>
      </c>
      <c r="AB877" s="3" t="s">
        <v>5828</v>
      </c>
      <c r="AC877" s="3" t="s">
        <v>6041</v>
      </c>
      <c r="AD877" s="3" t="s">
        <v>785</v>
      </c>
      <c r="AE877" s="3" t="s">
        <v>5830</v>
      </c>
      <c r="AF877" s="3" t="s">
        <v>944</v>
      </c>
      <c r="AG877" s="4" t="s">
        <v>1173</v>
      </c>
      <c r="AH877" s="4"/>
      <c r="AI877" s="3" t="s">
        <v>6042</v>
      </c>
      <c r="AJ877" s="3">
        <v>2011</v>
      </c>
      <c r="AK877" s="10" t="s">
        <v>5832</v>
      </c>
      <c r="AL877" s="11" t="s">
        <v>6049</v>
      </c>
      <c r="AM877" s="5"/>
      <c r="AN877" s="5"/>
      <c r="AO877" s="3"/>
      <c r="AP877" s="3"/>
      <c r="AQ877" s="3"/>
      <c r="AR877" s="3"/>
      <c r="AS877" s="3"/>
      <c r="AT877" s="3"/>
      <c r="AU877" s="3"/>
      <c r="AV877" s="3"/>
      <c r="AW877" s="3"/>
      <c r="AX877" s="3"/>
      <c r="AY877" s="3"/>
      <c r="AZ877" s="3"/>
      <c r="BA877" s="3"/>
      <c r="BB877" s="3"/>
    </row>
    <row r="878" spans="1:54" x14ac:dyDescent="0.4">
      <c r="A878" s="2" t="s">
        <v>6050</v>
      </c>
      <c r="B878" s="2"/>
      <c r="C878" s="2"/>
      <c r="D878" s="2" t="s">
        <v>54</v>
      </c>
      <c r="E878" s="2"/>
      <c r="F878" s="2" t="s">
        <v>5720</v>
      </c>
      <c r="G878" s="2">
        <v>1</v>
      </c>
      <c r="H878" s="2" t="s">
        <v>5718</v>
      </c>
      <c r="I878" s="3" t="s">
        <v>57</v>
      </c>
      <c r="J878" s="3" t="s">
        <v>6039</v>
      </c>
      <c r="K878" s="3" t="s">
        <v>6040</v>
      </c>
      <c r="L878" s="4" t="s">
        <v>133</v>
      </c>
      <c r="M878" s="3" t="s">
        <v>60</v>
      </c>
      <c r="N878" s="4"/>
      <c r="O878" s="4"/>
      <c r="P878" s="3" t="s">
        <v>62</v>
      </c>
      <c r="Q878" s="3"/>
      <c r="R878" s="3" t="s">
        <v>5827</v>
      </c>
      <c r="S878" s="3" t="s">
        <v>64</v>
      </c>
      <c r="T878">
        <v>227</v>
      </c>
      <c r="U878">
        <v>208.5</v>
      </c>
      <c r="V878">
        <f t="shared" si="26"/>
        <v>217.75</v>
      </c>
      <c r="W878">
        <f t="shared" si="27"/>
        <v>18.5</v>
      </c>
      <c r="X878" s="5">
        <v>-53.45</v>
      </c>
      <c r="Y878" s="5">
        <v>-29.56</v>
      </c>
      <c r="Z878" s="3"/>
      <c r="AA878" s="3" t="s">
        <v>783</v>
      </c>
      <c r="AB878" s="3" t="s">
        <v>5828</v>
      </c>
      <c r="AC878" s="3" t="s">
        <v>6041</v>
      </c>
      <c r="AD878" s="3" t="s">
        <v>785</v>
      </c>
      <c r="AE878" s="3" t="s">
        <v>5830</v>
      </c>
      <c r="AF878" s="3" t="s">
        <v>944</v>
      </c>
      <c r="AG878" s="4" t="s">
        <v>1173</v>
      </c>
      <c r="AH878" s="4"/>
      <c r="AI878" s="3" t="s">
        <v>6042</v>
      </c>
      <c r="AJ878" s="3">
        <v>2011</v>
      </c>
      <c r="AK878" s="10" t="s">
        <v>5832</v>
      </c>
      <c r="AL878" s="11" t="s">
        <v>6051</v>
      </c>
      <c r="AM878" s="5"/>
      <c r="AN878" s="5"/>
      <c r="AO878" s="3"/>
      <c r="AP878" s="3"/>
      <c r="AQ878" s="3"/>
      <c r="AR878" s="3"/>
      <c r="AS878" s="3"/>
      <c r="AT878" s="3"/>
      <c r="AU878" s="3"/>
      <c r="AV878" s="3"/>
      <c r="AW878" s="3"/>
      <c r="AX878" s="3"/>
      <c r="AY878" s="3"/>
      <c r="AZ878" s="3"/>
      <c r="BA878" s="3"/>
      <c r="BB878" s="3"/>
    </row>
    <row r="879" spans="1:54" x14ac:dyDescent="0.4">
      <c r="A879" s="2" t="s">
        <v>6052</v>
      </c>
      <c r="B879" s="2"/>
      <c r="C879" s="2"/>
      <c r="D879" s="2" t="s">
        <v>54</v>
      </c>
      <c r="E879" s="2"/>
      <c r="F879" s="2" t="s">
        <v>5720</v>
      </c>
      <c r="G879" s="2">
        <v>1</v>
      </c>
      <c r="H879" s="2" t="s">
        <v>5718</v>
      </c>
      <c r="I879" s="3" t="s">
        <v>57</v>
      </c>
      <c r="J879" s="3" t="s">
        <v>6039</v>
      </c>
      <c r="K879" s="3" t="s">
        <v>6040</v>
      </c>
      <c r="L879" s="4" t="s">
        <v>133</v>
      </c>
      <c r="M879" s="3" t="s">
        <v>60</v>
      </c>
      <c r="N879" s="4"/>
      <c r="O879" s="4"/>
      <c r="P879" s="3" t="s">
        <v>62</v>
      </c>
      <c r="Q879" s="3"/>
      <c r="R879" s="3" t="s">
        <v>5827</v>
      </c>
      <c r="S879" s="3" t="s">
        <v>64</v>
      </c>
      <c r="T879">
        <v>227</v>
      </c>
      <c r="U879">
        <v>208.5</v>
      </c>
      <c r="V879">
        <f t="shared" si="26"/>
        <v>217.75</v>
      </c>
      <c r="W879">
        <f t="shared" si="27"/>
        <v>18.5</v>
      </c>
      <c r="X879" s="5">
        <v>-53.45</v>
      </c>
      <c r="Y879" s="5">
        <v>-29.56</v>
      </c>
      <c r="Z879" s="3"/>
      <c r="AA879" s="3" t="s">
        <v>783</v>
      </c>
      <c r="AB879" s="3" t="s">
        <v>5828</v>
      </c>
      <c r="AC879" s="3" t="s">
        <v>6041</v>
      </c>
      <c r="AD879" s="3" t="s">
        <v>785</v>
      </c>
      <c r="AE879" s="3" t="s">
        <v>5830</v>
      </c>
      <c r="AF879" s="3" t="s">
        <v>944</v>
      </c>
      <c r="AG879" s="4" t="s">
        <v>1173</v>
      </c>
      <c r="AH879" s="4"/>
      <c r="AI879" s="3" t="s">
        <v>6042</v>
      </c>
      <c r="AJ879" s="3">
        <v>2011</v>
      </c>
      <c r="AK879" s="10" t="s">
        <v>5832</v>
      </c>
      <c r="AL879" s="11" t="s">
        <v>6053</v>
      </c>
      <c r="AM879" s="5"/>
      <c r="AN879" s="5"/>
      <c r="AO879" s="3"/>
      <c r="AP879" s="3"/>
      <c r="AQ879" s="3"/>
      <c r="AR879" s="3"/>
      <c r="AS879" s="3"/>
      <c r="AT879" s="3"/>
      <c r="AU879" s="3"/>
      <c r="AV879" s="3"/>
      <c r="AW879" s="3"/>
      <c r="AX879" s="3"/>
      <c r="AY879" s="3"/>
      <c r="AZ879" s="3"/>
      <c r="BA879" s="3"/>
      <c r="BB879" s="3"/>
    </row>
    <row r="880" spans="1:54" x14ac:dyDescent="0.4">
      <c r="A880" s="2" t="s">
        <v>6054</v>
      </c>
      <c r="B880" s="2"/>
      <c r="C880" s="2"/>
      <c r="D880" s="2" t="s">
        <v>54</v>
      </c>
      <c r="E880" s="2"/>
      <c r="F880" s="2" t="s">
        <v>5720</v>
      </c>
      <c r="G880" s="2">
        <v>1</v>
      </c>
      <c r="H880" s="2" t="s">
        <v>5718</v>
      </c>
      <c r="I880" s="3" t="s">
        <v>57</v>
      </c>
      <c r="J880" s="3" t="s">
        <v>6039</v>
      </c>
      <c r="K880" s="3" t="s">
        <v>6040</v>
      </c>
      <c r="L880" s="4" t="s">
        <v>133</v>
      </c>
      <c r="M880" s="3" t="s">
        <v>60</v>
      </c>
      <c r="N880" s="4"/>
      <c r="O880" s="4"/>
      <c r="P880" s="3" t="s">
        <v>62</v>
      </c>
      <c r="Q880" s="3"/>
      <c r="R880" s="3" t="s">
        <v>5827</v>
      </c>
      <c r="S880" s="3" t="s">
        <v>64</v>
      </c>
      <c r="T880">
        <v>227</v>
      </c>
      <c r="U880">
        <v>208.5</v>
      </c>
      <c r="V880">
        <f t="shared" si="26"/>
        <v>217.75</v>
      </c>
      <c r="W880">
        <f t="shared" si="27"/>
        <v>18.5</v>
      </c>
      <c r="X880" s="5">
        <v>-52.85</v>
      </c>
      <c r="Y880" s="5">
        <v>-29.69</v>
      </c>
      <c r="Z880" s="3"/>
      <c r="AA880" s="3" t="s">
        <v>783</v>
      </c>
      <c r="AB880" s="3" t="s">
        <v>5828</v>
      </c>
      <c r="AC880" s="3" t="s">
        <v>6055</v>
      </c>
      <c r="AD880" s="3" t="s">
        <v>785</v>
      </c>
      <c r="AE880" s="3" t="s">
        <v>5830</v>
      </c>
      <c r="AF880" s="3" t="s">
        <v>944</v>
      </c>
      <c r="AG880" s="4" t="s">
        <v>1173</v>
      </c>
      <c r="AH880" s="4"/>
      <c r="AI880" s="3" t="s">
        <v>5720</v>
      </c>
      <c r="AJ880" s="3">
        <v>2022</v>
      </c>
      <c r="AK880" s="10" t="s">
        <v>6056</v>
      </c>
      <c r="AL880" s="11" t="s">
        <v>6057</v>
      </c>
      <c r="AM880" s="5"/>
      <c r="AN880" s="5"/>
      <c r="AO880" s="3"/>
      <c r="AP880" s="3"/>
      <c r="AQ880" s="3"/>
      <c r="AR880" s="3"/>
      <c r="AS880" s="3"/>
      <c r="AT880" s="3"/>
      <c r="AU880" s="3"/>
      <c r="AV880" s="3"/>
      <c r="AW880" s="3"/>
      <c r="AX880" s="3"/>
      <c r="AY880" s="3"/>
      <c r="AZ880" s="3"/>
      <c r="BA880" s="3"/>
      <c r="BB880" s="3"/>
    </row>
    <row r="881" spans="1:54" x14ac:dyDescent="0.4">
      <c r="A881" s="2" t="s">
        <v>6058</v>
      </c>
      <c r="B881" s="2"/>
      <c r="C881" s="2"/>
      <c r="D881" s="2" t="s">
        <v>54</v>
      </c>
      <c r="E881" s="2"/>
      <c r="F881" s="2" t="s">
        <v>6059</v>
      </c>
      <c r="G881" s="2">
        <v>1</v>
      </c>
      <c r="H881" s="2" t="s">
        <v>5718</v>
      </c>
      <c r="I881" s="3" t="s">
        <v>57</v>
      </c>
      <c r="J881" s="3" t="s">
        <v>6039</v>
      </c>
      <c r="K881" s="3" t="s">
        <v>6040</v>
      </c>
      <c r="L881" s="4" t="s">
        <v>133</v>
      </c>
      <c r="M881" s="3" t="s">
        <v>60</v>
      </c>
      <c r="N881" s="4"/>
      <c r="O881" s="4"/>
      <c r="P881" s="3" t="s">
        <v>62</v>
      </c>
      <c r="Q881" s="3"/>
      <c r="R881" s="3" t="s">
        <v>5827</v>
      </c>
      <c r="S881" s="3" t="s">
        <v>64</v>
      </c>
      <c r="T881">
        <v>227</v>
      </c>
      <c r="U881">
        <v>208.5</v>
      </c>
      <c r="V881">
        <f t="shared" si="26"/>
        <v>217.75</v>
      </c>
      <c r="W881">
        <f t="shared" si="27"/>
        <v>18.5</v>
      </c>
      <c r="X881" s="5">
        <v>-53.45</v>
      </c>
      <c r="Y881" s="5">
        <v>-29.56</v>
      </c>
      <c r="Z881" s="3"/>
      <c r="AA881" s="3" t="s">
        <v>783</v>
      </c>
      <c r="AB881" s="3" t="s">
        <v>5828</v>
      </c>
      <c r="AC881" s="3" t="s">
        <v>6041</v>
      </c>
      <c r="AD881" s="3" t="s">
        <v>785</v>
      </c>
      <c r="AE881" s="3" t="s">
        <v>5830</v>
      </c>
      <c r="AF881" s="3" t="s">
        <v>944</v>
      </c>
      <c r="AG881" s="4" t="s">
        <v>1173</v>
      </c>
      <c r="AH881" s="4"/>
      <c r="AI881" s="3" t="s">
        <v>6060</v>
      </c>
      <c r="AJ881" s="3">
        <v>2015</v>
      </c>
      <c r="AK881" s="10" t="s">
        <v>6056</v>
      </c>
      <c r="AL881" s="11" t="s">
        <v>6061</v>
      </c>
      <c r="AM881" s="5"/>
      <c r="AN881" s="5"/>
      <c r="AO881" s="3"/>
      <c r="AP881" s="3"/>
      <c r="AQ881" s="3"/>
      <c r="AR881" s="3"/>
      <c r="AS881" s="3"/>
      <c r="AT881" s="3"/>
      <c r="AU881" s="3"/>
      <c r="AV881" s="3"/>
      <c r="AW881" s="3"/>
      <c r="AX881" s="3"/>
      <c r="AY881" s="3"/>
      <c r="AZ881" s="3"/>
      <c r="BA881" s="3"/>
      <c r="BB881" s="3"/>
    </row>
    <row r="882" spans="1:54" x14ac:dyDescent="0.4">
      <c r="A882" s="2" t="s">
        <v>6062</v>
      </c>
      <c r="B882" s="2"/>
      <c r="C882" s="2"/>
      <c r="D882" s="2" t="s">
        <v>54</v>
      </c>
      <c r="E882" s="2"/>
      <c r="F882" s="2" t="s">
        <v>6063</v>
      </c>
      <c r="G882" s="2">
        <v>1</v>
      </c>
      <c r="H882" s="2" t="s">
        <v>5718</v>
      </c>
      <c r="I882" s="3" t="s">
        <v>57</v>
      </c>
      <c r="J882" s="3" t="s">
        <v>5719</v>
      </c>
      <c r="K882" s="3" t="s">
        <v>992</v>
      </c>
      <c r="L882" s="4" t="s">
        <v>1050</v>
      </c>
      <c r="M882" s="3" t="s">
        <v>60</v>
      </c>
      <c r="N882" s="4"/>
      <c r="O882" s="4"/>
      <c r="P882" s="3" t="s">
        <v>62</v>
      </c>
      <c r="Q882" s="3"/>
      <c r="R882" s="3" t="s">
        <v>63</v>
      </c>
      <c r="S882" s="3" t="s">
        <v>64</v>
      </c>
      <c r="T882">
        <v>227</v>
      </c>
      <c r="U882">
        <v>208.5</v>
      </c>
      <c r="V882">
        <f t="shared" si="26"/>
        <v>217.75</v>
      </c>
      <c r="W882">
        <f t="shared" si="27"/>
        <v>18.5</v>
      </c>
      <c r="X882" s="5">
        <v>-66.083312000000006</v>
      </c>
      <c r="Y882" s="5">
        <v>-30.416713999999999</v>
      </c>
      <c r="Z882" s="3"/>
      <c r="AA882" s="3" t="s">
        <v>185</v>
      </c>
      <c r="AB882" s="3" t="s">
        <v>186</v>
      </c>
      <c r="AC882" s="3" t="s">
        <v>6064</v>
      </c>
      <c r="AD882" s="3" t="s">
        <v>551</v>
      </c>
      <c r="AE882" s="3" t="s">
        <v>5720</v>
      </c>
      <c r="AF882" s="3" t="s">
        <v>5720</v>
      </c>
      <c r="AG882" s="3" t="s">
        <v>5720</v>
      </c>
      <c r="AH882" s="3"/>
      <c r="AI882" s="3" t="s">
        <v>5720</v>
      </c>
      <c r="AJ882" s="3" t="s">
        <v>5720</v>
      </c>
      <c r="AK882" s="10" t="s">
        <v>6065</v>
      </c>
      <c r="AL882" s="11" t="s">
        <v>6066</v>
      </c>
      <c r="AM882" s="5"/>
      <c r="AN882" s="5"/>
      <c r="AO882" s="3"/>
      <c r="AP882" s="3"/>
      <c r="AQ882" s="3"/>
      <c r="AR882" s="3"/>
      <c r="AS882" s="3"/>
      <c r="AT882" s="3"/>
      <c r="AU882" s="3"/>
      <c r="AV882" s="3"/>
      <c r="AW882" s="3"/>
      <c r="AX882" s="3"/>
      <c r="AY882" s="3"/>
      <c r="AZ882" s="3"/>
      <c r="BA882" s="3"/>
      <c r="BB882" s="3"/>
    </row>
    <row r="883" spans="1:54" x14ac:dyDescent="0.4">
      <c r="A883" s="2" t="s">
        <v>6067</v>
      </c>
      <c r="B883" s="2"/>
      <c r="C883" s="2"/>
      <c r="D883" s="2" t="s">
        <v>54</v>
      </c>
      <c r="E883" s="2"/>
      <c r="F883" s="2" t="s">
        <v>5720</v>
      </c>
      <c r="G883" s="2">
        <v>1</v>
      </c>
      <c r="H883" s="2" t="s">
        <v>5718</v>
      </c>
      <c r="I883" s="3" t="s">
        <v>57</v>
      </c>
      <c r="J883" s="3" t="s">
        <v>5719</v>
      </c>
      <c r="K883" s="3" t="s">
        <v>293</v>
      </c>
      <c r="L883" s="4" t="s">
        <v>5452</v>
      </c>
      <c r="M883" s="3" t="s">
        <v>60</v>
      </c>
      <c r="N883" s="4"/>
      <c r="O883" s="4"/>
      <c r="P883" s="3" t="s">
        <v>62</v>
      </c>
      <c r="Q883" s="3"/>
      <c r="R883" s="3" t="s">
        <v>5827</v>
      </c>
      <c r="S883" s="3" t="s">
        <v>64</v>
      </c>
      <c r="T883">
        <v>227</v>
      </c>
      <c r="U883">
        <v>208.5</v>
      </c>
      <c r="V883">
        <f t="shared" si="26"/>
        <v>217.75</v>
      </c>
      <c r="W883">
        <f t="shared" si="27"/>
        <v>18.5</v>
      </c>
      <c r="X883" s="5">
        <v>-53.45</v>
      </c>
      <c r="Y883" s="5">
        <v>-29.63</v>
      </c>
      <c r="Z883" s="3"/>
      <c r="AA883" s="3" t="s">
        <v>783</v>
      </c>
      <c r="AB883" s="3" t="s">
        <v>5828</v>
      </c>
      <c r="AC883" s="3" t="s">
        <v>6068</v>
      </c>
      <c r="AD883" s="3" t="s">
        <v>943</v>
      </c>
      <c r="AE883" s="3" t="s">
        <v>5830</v>
      </c>
      <c r="AF883" s="3" t="s">
        <v>944</v>
      </c>
      <c r="AG883" s="4" t="s">
        <v>841</v>
      </c>
      <c r="AH883" s="4"/>
      <c r="AI883" s="3" t="s">
        <v>6069</v>
      </c>
      <c r="AJ883" s="3">
        <v>2019</v>
      </c>
      <c r="AK883" s="10" t="s">
        <v>5849</v>
      </c>
      <c r="AL883" s="11" t="s">
        <v>6070</v>
      </c>
      <c r="AM883" s="5"/>
      <c r="AN883" s="5"/>
      <c r="AO883" s="3"/>
      <c r="AP883" s="3"/>
      <c r="AQ883" s="3"/>
      <c r="AR883" s="3"/>
      <c r="AS883" s="3"/>
      <c r="AT883" s="3"/>
      <c r="AU883" s="3"/>
      <c r="AV883" s="3"/>
      <c r="AW883" s="3"/>
      <c r="AX883" s="3"/>
      <c r="AY883" s="3"/>
      <c r="AZ883" s="3"/>
      <c r="BA883" s="3"/>
      <c r="BB883" s="3"/>
    </row>
    <row r="884" spans="1:54" x14ac:dyDescent="0.4">
      <c r="A884" s="2" t="s">
        <v>6071</v>
      </c>
      <c r="B884" s="2"/>
      <c r="C884" s="2"/>
      <c r="D884" s="2" t="s">
        <v>54</v>
      </c>
      <c r="E884" s="2"/>
      <c r="F884" s="2" t="s">
        <v>6072</v>
      </c>
      <c r="G884" s="2">
        <v>1</v>
      </c>
      <c r="H884" s="2" t="s">
        <v>5718</v>
      </c>
      <c r="I884" s="3" t="s">
        <v>57</v>
      </c>
      <c r="J884" s="3" t="s">
        <v>5719</v>
      </c>
      <c r="K884" s="3" t="s">
        <v>306</v>
      </c>
      <c r="L884" s="4" t="s">
        <v>1177</v>
      </c>
      <c r="M884" s="3" t="s">
        <v>60</v>
      </c>
      <c r="N884" s="4"/>
      <c r="O884" s="4"/>
      <c r="P884" s="3" t="s">
        <v>62</v>
      </c>
      <c r="Q884" s="3"/>
      <c r="R884" s="3" t="s">
        <v>5827</v>
      </c>
      <c r="S884" s="3" t="s">
        <v>64</v>
      </c>
      <c r="T884">
        <v>227</v>
      </c>
      <c r="U884">
        <v>208.5</v>
      </c>
      <c r="V884">
        <f t="shared" si="26"/>
        <v>217.75</v>
      </c>
      <c r="W884">
        <f t="shared" si="27"/>
        <v>18.5</v>
      </c>
      <c r="X884" s="5">
        <v>-52.84</v>
      </c>
      <c r="Y884" s="5">
        <v>-29.68</v>
      </c>
      <c r="Z884" s="3"/>
      <c r="AA884" s="3" t="s">
        <v>783</v>
      </c>
      <c r="AB884" s="3" t="s">
        <v>5828</v>
      </c>
      <c r="AC884" s="3" t="s">
        <v>6073</v>
      </c>
      <c r="AD884" s="3" t="s">
        <v>785</v>
      </c>
      <c r="AE884" s="3" t="s">
        <v>5830</v>
      </c>
      <c r="AF884" s="3" t="s">
        <v>944</v>
      </c>
      <c r="AG884" s="4" t="s">
        <v>1173</v>
      </c>
      <c r="AH884" s="4"/>
      <c r="AI884" s="3" t="s">
        <v>6074</v>
      </c>
      <c r="AJ884" s="3">
        <v>2011</v>
      </c>
      <c r="AK884" s="22" t="s">
        <v>6014</v>
      </c>
      <c r="AL884" s="14" t="s">
        <v>6075</v>
      </c>
      <c r="AM884" s="5"/>
      <c r="AN884" s="5"/>
      <c r="AO884" s="3"/>
      <c r="AP884" s="3"/>
      <c r="AQ884" s="3"/>
      <c r="AR884" s="3"/>
      <c r="AS884" s="3"/>
      <c r="AT884" s="3"/>
      <c r="AU884" s="3"/>
      <c r="AV884" s="3"/>
      <c r="AW884" s="3"/>
      <c r="AX884" s="3"/>
      <c r="AY884" s="3"/>
      <c r="AZ884" s="3"/>
      <c r="BA884" s="3"/>
      <c r="BB884" s="3"/>
    </row>
    <row r="885" spans="1:54" x14ac:dyDescent="0.4">
      <c r="A885" s="2" t="s">
        <v>6076</v>
      </c>
      <c r="B885" s="2"/>
      <c r="C885" s="2"/>
      <c r="D885" s="2" t="s">
        <v>54</v>
      </c>
      <c r="E885" s="2"/>
      <c r="F885" s="2" t="s">
        <v>6077</v>
      </c>
      <c r="G885" s="2">
        <v>1</v>
      </c>
      <c r="H885" s="2" t="s">
        <v>5718</v>
      </c>
      <c r="I885" s="3" t="s">
        <v>57</v>
      </c>
      <c r="J885" s="3" t="s">
        <v>5719</v>
      </c>
      <c r="K885" s="3" t="s">
        <v>306</v>
      </c>
      <c r="L885" s="4" t="s">
        <v>1177</v>
      </c>
      <c r="M885" s="3" t="s">
        <v>60</v>
      </c>
      <c r="N885" s="4"/>
      <c r="O885" s="4"/>
      <c r="P885" s="3" t="s">
        <v>62</v>
      </c>
      <c r="Q885" s="3"/>
      <c r="R885" s="3" t="s">
        <v>5827</v>
      </c>
      <c r="S885" s="3" t="s">
        <v>64</v>
      </c>
      <c r="T885">
        <v>227</v>
      </c>
      <c r="U885">
        <v>208.5</v>
      </c>
      <c r="V885">
        <f t="shared" si="26"/>
        <v>217.75</v>
      </c>
      <c r="W885">
        <f t="shared" si="27"/>
        <v>18.5</v>
      </c>
      <c r="X885" s="5">
        <v>-53.45</v>
      </c>
      <c r="Y885" s="5">
        <v>-29.56</v>
      </c>
      <c r="Z885" s="3"/>
      <c r="AA885" s="3" t="s">
        <v>783</v>
      </c>
      <c r="AB885" s="3" t="s">
        <v>5828</v>
      </c>
      <c r="AC885" s="3" t="s">
        <v>6041</v>
      </c>
      <c r="AD885" s="3" t="s">
        <v>785</v>
      </c>
      <c r="AE885" s="3" t="s">
        <v>5830</v>
      </c>
      <c r="AF885" s="3" t="s">
        <v>944</v>
      </c>
      <c r="AG885" s="4" t="s">
        <v>1173</v>
      </c>
      <c r="AH885" s="4"/>
      <c r="AI885" s="3" t="s">
        <v>6074</v>
      </c>
      <c r="AJ885" s="3">
        <v>2011</v>
      </c>
      <c r="AK885" s="10" t="s">
        <v>6014</v>
      </c>
      <c r="AL885" s="11" t="s">
        <v>6078</v>
      </c>
      <c r="AM885" s="5"/>
      <c r="AN885" s="5"/>
      <c r="AO885" s="3"/>
      <c r="AP885" s="3"/>
      <c r="AQ885" s="3"/>
      <c r="AR885" s="3"/>
      <c r="AS885" s="3"/>
      <c r="AT885" s="3"/>
      <c r="AU885" s="3"/>
      <c r="AV885" s="3"/>
      <c r="AW885" s="3"/>
      <c r="AX885" s="3"/>
      <c r="AY885" s="3"/>
      <c r="AZ885" s="3"/>
      <c r="BA885" s="3"/>
      <c r="BB885" s="3"/>
    </row>
    <row r="886" spans="1:54" x14ac:dyDescent="0.4">
      <c r="A886" s="2" t="s">
        <v>6079</v>
      </c>
      <c r="B886" s="2"/>
      <c r="C886" s="2"/>
      <c r="D886" s="2" t="s">
        <v>54</v>
      </c>
      <c r="E886" s="2"/>
      <c r="F886" s="2" t="s">
        <v>5720</v>
      </c>
      <c r="G886" s="2">
        <v>1</v>
      </c>
      <c r="H886" s="2" t="s">
        <v>5718</v>
      </c>
      <c r="I886" s="3" t="s">
        <v>57</v>
      </c>
      <c r="J886" s="3" t="s">
        <v>5719</v>
      </c>
      <c r="K886" s="3" t="s">
        <v>840</v>
      </c>
      <c r="L886" s="4" t="s">
        <v>841</v>
      </c>
      <c r="M886" s="3" t="s">
        <v>60</v>
      </c>
      <c r="N886" s="4"/>
      <c r="O886" s="4"/>
      <c r="P886" s="3" t="s">
        <v>62</v>
      </c>
      <c r="Q886" s="3"/>
      <c r="R886" s="3" t="s">
        <v>5827</v>
      </c>
      <c r="S886" s="3" t="s">
        <v>64</v>
      </c>
      <c r="T886">
        <v>227</v>
      </c>
      <c r="U886">
        <v>208.5</v>
      </c>
      <c r="V886">
        <f t="shared" si="26"/>
        <v>217.75</v>
      </c>
      <c r="W886">
        <f t="shared" si="27"/>
        <v>18.5</v>
      </c>
      <c r="X886" s="5">
        <v>-53.77</v>
      </c>
      <c r="Y886" s="5">
        <v>-29.7</v>
      </c>
      <c r="Z886" s="3"/>
      <c r="AA886" s="3" t="s">
        <v>783</v>
      </c>
      <c r="AB886" s="3" t="s">
        <v>5828</v>
      </c>
      <c r="AC886" s="3" t="s">
        <v>5862</v>
      </c>
      <c r="AD886" s="3" t="s">
        <v>943</v>
      </c>
      <c r="AE886" s="3" t="s">
        <v>5830</v>
      </c>
      <c r="AF886" s="3" t="s">
        <v>944</v>
      </c>
      <c r="AG886" s="4" t="s">
        <v>841</v>
      </c>
      <c r="AH886" s="4"/>
      <c r="AI886" s="3" t="s">
        <v>5947</v>
      </c>
      <c r="AJ886" s="3">
        <v>2022</v>
      </c>
      <c r="AK886" s="10" t="s">
        <v>5947</v>
      </c>
      <c r="AL886" s="18" t="s">
        <v>6080</v>
      </c>
      <c r="AM886" s="5"/>
      <c r="AN886" s="5"/>
      <c r="AO886" s="3"/>
      <c r="AP886" s="3"/>
      <c r="AQ886" s="3"/>
      <c r="AR886" s="3"/>
      <c r="AS886" s="3"/>
      <c r="AT886" s="3"/>
      <c r="AU886" s="3"/>
      <c r="AV886" s="3"/>
      <c r="AW886" s="3"/>
      <c r="AX886" s="3"/>
      <c r="AY886" s="3"/>
      <c r="AZ886" s="3"/>
      <c r="BA886" s="3"/>
      <c r="BB886" s="3"/>
    </row>
    <row r="887" spans="1:54" x14ac:dyDescent="0.4">
      <c r="A887" s="2" t="s">
        <v>6081</v>
      </c>
      <c r="B887" s="2"/>
      <c r="C887" s="2"/>
      <c r="D887" s="2" t="s">
        <v>54</v>
      </c>
      <c r="E887" s="2"/>
      <c r="F887" s="2" t="s">
        <v>5720</v>
      </c>
      <c r="G887" s="2">
        <v>1</v>
      </c>
      <c r="H887" s="2" t="s">
        <v>5718</v>
      </c>
      <c r="I887" s="3" t="s">
        <v>57</v>
      </c>
      <c r="J887" s="3" t="s">
        <v>5719</v>
      </c>
      <c r="K887" s="3" t="s">
        <v>840</v>
      </c>
      <c r="L887" s="4" t="s">
        <v>841</v>
      </c>
      <c r="M887" s="3" t="s">
        <v>60</v>
      </c>
      <c r="N887" s="4"/>
      <c r="O887" s="4"/>
      <c r="P887" s="3" t="s">
        <v>62</v>
      </c>
      <c r="Q887" s="3"/>
      <c r="R887" s="3" t="s">
        <v>5827</v>
      </c>
      <c r="S887" s="3" t="s">
        <v>64</v>
      </c>
      <c r="T887">
        <v>227</v>
      </c>
      <c r="U887">
        <v>208.5</v>
      </c>
      <c r="V887">
        <f t="shared" si="26"/>
        <v>217.75</v>
      </c>
      <c r="W887">
        <f t="shared" si="27"/>
        <v>18.5</v>
      </c>
      <c r="X887" s="5">
        <v>-53.77</v>
      </c>
      <c r="Y887" s="5">
        <v>-29.7</v>
      </c>
      <c r="Z887" s="3"/>
      <c r="AA887" s="3" t="s">
        <v>783</v>
      </c>
      <c r="AB887" s="3" t="s">
        <v>5828</v>
      </c>
      <c r="AC887" s="3" t="s">
        <v>5862</v>
      </c>
      <c r="AD887" s="3" t="s">
        <v>943</v>
      </c>
      <c r="AE887" s="3" t="s">
        <v>5830</v>
      </c>
      <c r="AF887" s="3" t="s">
        <v>944</v>
      </c>
      <c r="AG887" s="4" t="s">
        <v>841</v>
      </c>
      <c r="AH887" s="4"/>
      <c r="AI887" s="3" t="s">
        <v>5947</v>
      </c>
      <c r="AJ887" s="3">
        <v>2022</v>
      </c>
      <c r="AK887" s="10" t="s">
        <v>5947</v>
      </c>
      <c r="AL887" s="18" t="s">
        <v>6082</v>
      </c>
      <c r="AM887" s="5"/>
      <c r="AN887" s="5"/>
      <c r="AO887" s="3"/>
      <c r="AP887" s="3"/>
      <c r="AQ887" s="3"/>
      <c r="AR887" s="3"/>
      <c r="AS887" s="3"/>
      <c r="AT887" s="3"/>
      <c r="AU887" s="3"/>
      <c r="AV887" s="3"/>
      <c r="AW887" s="3"/>
      <c r="AX887" s="3"/>
      <c r="AY887" s="3"/>
      <c r="AZ887" s="3"/>
      <c r="BA887" s="3"/>
      <c r="BB887" s="3"/>
    </row>
    <row r="888" spans="1:54" x14ac:dyDescent="0.4">
      <c r="A888" s="2" t="s">
        <v>6083</v>
      </c>
      <c r="B888" s="2"/>
      <c r="C888" s="2"/>
      <c r="D888" s="2" t="s">
        <v>54</v>
      </c>
      <c r="E888" s="2"/>
      <c r="F888" s="15" t="s">
        <v>6084</v>
      </c>
      <c r="G888" s="2">
        <v>1</v>
      </c>
      <c r="H888" s="2" t="s">
        <v>5718</v>
      </c>
      <c r="I888" s="3" t="s">
        <v>57</v>
      </c>
      <c r="J888" s="3" t="s">
        <v>5719</v>
      </c>
      <c r="K888" s="3" t="s">
        <v>840</v>
      </c>
      <c r="L888" s="4" t="s">
        <v>841</v>
      </c>
      <c r="M888" s="3" t="s">
        <v>60</v>
      </c>
      <c r="N888" s="4"/>
      <c r="O888" s="4"/>
      <c r="P888" s="3" t="s">
        <v>62</v>
      </c>
      <c r="Q888" s="3"/>
      <c r="R888" s="3" t="s">
        <v>5827</v>
      </c>
      <c r="S888" s="3" t="s">
        <v>64</v>
      </c>
      <c r="T888">
        <v>227</v>
      </c>
      <c r="U888">
        <v>208.5</v>
      </c>
      <c r="V888">
        <f t="shared" si="26"/>
        <v>217.75</v>
      </c>
      <c r="W888">
        <f t="shared" si="27"/>
        <v>18.5</v>
      </c>
      <c r="X888" s="5">
        <v>-53.77</v>
      </c>
      <c r="Y888" s="5">
        <v>-29.7</v>
      </c>
      <c r="Z888" s="3"/>
      <c r="AA888" s="3" t="s">
        <v>783</v>
      </c>
      <c r="AB888" s="3" t="s">
        <v>5828</v>
      </c>
      <c r="AC888" s="3" t="s">
        <v>5862</v>
      </c>
      <c r="AD888" s="3" t="s">
        <v>943</v>
      </c>
      <c r="AE888" s="3" t="s">
        <v>5830</v>
      </c>
      <c r="AF888" s="3" t="s">
        <v>944</v>
      </c>
      <c r="AG888" s="4" t="s">
        <v>841</v>
      </c>
      <c r="AH888" s="4"/>
      <c r="AI888" s="3" t="s">
        <v>5947</v>
      </c>
      <c r="AJ888" s="3">
        <v>2022</v>
      </c>
      <c r="AK888" s="10" t="s">
        <v>5947</v>
      </c>
      <c r="AL888" s="18" t="s">
        <v>6085</v>
      </c>
      <c r="AM888" s="5"/>
      <c r="AN888" s="5"/>
      <c r="AO888" s="3"/>
      <c r="AP888" s="3"/>
      <c r="AQ888" s="3"/>
      <c r="AR888" s="3"/>
      <c r="AS888" s="3"/>
      <c r="AT888" s="3"/>
      <c r="AU888" s="3"/>
      <c r="AV888" s="3"/>
      <c r="AW888" s="3"/>
      <c r="AX888" s="3"/>
      <c r="AY888" s="3"/>
      <c r="AZ888" s="3"/>
      <c r="BA888" s="3"/>
      <c r="BB888" s="3"/>
    </row>
    <row r="889" spans="1:54" x14ac:dyDescent="0.4">
      <c r="A889" s="2" t="s">
        <v>6086</v>
      </c>
      <c r="B889" s="2"/>
      <c r="C889" s="2"/>
      <c r="D889" s="2" t="s">
        <v>54</v>
      </c>
      <c r="E889" s="2"/>
      <c r="F889" s="2" t="s">
        <v>6087</v>
      </c>
      <c r="G889" s="2">
        <v>1</v>
      </c>
      <c r="H889" s="2" t="s">
        <v>5718</v>
      </c>
      <c r="I889" s="3" t="s">
        <v>57</v>
      </c>
      <c r="J889" s="3" t="s">
        <v>5719</v>
      </c>
      <c r="K889" s="3" t="s">
        <v>840</v>
      </c>
      <c r="L889" s="4" t="s">
        <v>841</v>
      </c>
      <c r="M889" s="3" t="s">
        <v>60</v>
      </c>
      <c r="N889" s="4"/>
      <c r="O889" s="4"/>
      <c r="P889" s="3" t="s">
        <v>62</v>
      </c>
      <c r="Q889" s="3"/>
      <c r="R889" s="3" t="s">
        <v>5827</v>
      </c>
      <c r="S889" s="3" t="s">
        <v>64</v>
      </c>
      <c r="T889">
        <v>227</v>
      </c>
      <c r="U889">
        <v>208.5</v>
      </c>
      <c r="V889">
        <f t="shared" si="26"/>
        <v>217.75</v>
      </c>
      <c r="W889">
        <f t="shared" si="27"/>
        <v>18.5</v>
      </c>
      <c r="X889" s="5">
        <v>-53.8</v>
      </c>
      <c r="Y889" s="5">
        <v>-29.8</v>
      </c>
      <c r="Z889" s="3"/>
      <c r="AA889" s="3" t="s">
        <v>783</v>
      </c>
      <c r="AB889" s="3" t="s">
        <v>5828</v>
      </c>
      <c r="AC889" s="3" t="s">
        <v>5720</v>
      </c>
      <c r="AD889" s="3" t="s">
        <v>943</v>
      </c>
      <c r="AE889" s="3" t="s">
        <v>5830</v>
      </c>
      <c r="AF889" s="3" t="s">
        <v>944</v>
      </c>
      <c r="AG889" s="4" t="s">
        <v>841</v>
      </c>
      <c r="AH889" s="4"/>
      <c r="AI889" s="3" t="s">
        <v>5720</v>
      </c>
      <c r="AJ889" s="3">
        <v>2022</v>
      </c>
      <c r="AK889" s="10" t="s">
        <v>5947</v>
      </c>
      <c r="AL889" s="18" t="s">
        <v>6088</v>
      </c>
      <c r="AM889" s="5"/>
      <c r="AN889" s="5"/>
      <c r="AO889" s="3"/>
      <c r="AP889" s="3"/>
      <c r="AQ889" s="3"/>
      <c r="AR889" s="3"/>
      <c r="AS889" s="3"/>
      <c r="AT889" s="3"/>
      <c r="AU889" s="3"/>
      <c r="AV889" s="3"/>
      <c r="AW889" s="3"/>
      <c r="AX889" s="3"/>
      <c r="AY889" s="3"/>
      <c r="AZ889" s="3"/>
      <c r="BA889" s="3"/>
      <c r="BB889" s="3"/>
    </row>
    <row r="890" spans="1:54" x14ac:dyDescent="0.4">
      <c r="A890" s="2" t="s">
        <v>6089</v>
      </c>
      <c r="B890" s="2"/>
      <c r="C890" s="2"/>
      <c r="D890" s="2" t="s">
        <v>54</v>
      </c>
      <c r="E890" s="2"/>
      <c r="F890" s="15" t="s">
        <v>6090</v>
      </c>
      <c r="G890" s="2">
        <v>1</v>
      </c>
      <c r="H890" s="2" t="s">
        <v>5718</v>
      </c>
      <c r="I890" s="3" t="s">
        <v>57</v>
      </c>
      <c r="J890" s="3" t="s">
        <v>5719</v>
      </c>
      <c r="K890" s="3" t="s">
        <v>840</v>
      </c>
      <c r="L890" s="4" t="s">
        <v>841</v>
      </c>
      <c r="M890" s="3" t="s">
        <v>60</v>
      </c>
      <c r="N890" s="4"/>
      <c r="O890" s="4"/>
      <c r="P890" s="3" t="s">
        <v>62</v>
      </c>
      <c r="Q890" s="3"/>
      <c r="R890" s="3" t="s">
        <v>5827</v>
      </c>
      <c r="S890" s="3" t="s">
        <v>64</v>
      </c>
      <c r="T890">
        <v>227</v>
      </c>
      <c r="U890">
        <v>208.5</v>
      </c>
      <c r="V890">
        <f t="shared" si="26"/>
        <v>217.75</v>
      </c>
      <c r="W890">
        <f t="shared" si="27"/>
        <v>18.5</v>
      </c>
      <c r="X890" s="5">
        <v>-53.77</v>
      </c>
      <c r="Y890" s="5">
        <v>-29.7</v>
      </c>
      <c r="Z890" s="3"/>
      <c r="AA890" s="3" t="s">
        <v>783</v>
      </c>
      <c r="AB890" s="3" t="s">
        <v>5828</v>
      </c>
      <c r="AC890" s="3" t="s">
        <v>5862</v>
      </c>
      <c r="AD890" s="3" t="s">
        <v>943</v>
      </c>
      <c r="AE890" s="3" t="s">
        <v>5830</v>
      </c>
      <c r="AF890" s="3" t="s">
        <v>944</v>
      </c>
      <c r="AG890" s="4" t="s">
        <v>841</v>
      </c>
      <c r="AH890" s="4"/>
      <c r="AI890" s="3" t="s">
        <v>5947</v>
      </c>
      <c r="AJ890" s="3">
        <v>2022</v>
      </c>
      <c r="AK890" s="10" t="s">
        <v>5947</v>
      </c>
      <c r="AL890" s="18" t="s">
        <v>6091</v>
      </c>
      <c r="AM890" s="5"/>
      <c r="AN890" s="5"/>
      <c r="AO890" s="3"/>
      <c r="AP890" s="3"/>
      <c r="AQ890" s="3"/>
      <c r="AR890" s="3"/>
      <c r="AS890" s="3"/>
      <c r="AT890" s="3"/>
      <c r="AU890" s="3"/>
      <c r="AV890" s="3"/>
      <c r="AW890" s="3"/>
      <c r="AX890" s="3"/>
      <c r="AY890" s="3"/>
      <c r="AZ890" s="3"/>
      <c r="BA890" s="3"/>
      <c r="BB890" s="3"/>
    </row>
    <row r="891" spans="1:54" x14ac:dyDescent="0.4">
      <c r="A891" s="2" t="s">
        <v>6092</v>
      </c>
      <c r="B891" s="2"/>
      <c r="C891" s="2"/>
      <c r="D891" s="2" t="s">
        <v>54</v>
      </c>
      <c r="E891" s="2"/>
      <c r="F891" s="15" t="s">
        <v>6090</v>
      </c>
      <c r="G891" s="2">
        <v>1</v>
      </c>
      <c r="H891" s="2" t="s">
        <v>5718</v>
      </c>
      <c r="I891" s="3" t="s">
        <v>57</v>
      </c>
      <c r="J891" s="3" t="s">
        <v>5719</v>
      </c>
      <c r="K891" s="3" t="s">
        <v>840</v>
      </c>
      <c r="L891" s="4" t="s">
        <v>841</v>
      </c>
      <c r="M891" s="3" t="s">
        <v>60</v>
      </c>
      <c r="N891" s="4"/>
      <c r="O891" s="4"/>
      <c r="P891" s="3" t="s">
        <v>62</v>
      </c>
      <c r="Q891" s="3"/>
      <c r="R891" s="3" t="s">
        <v>5827</v>
      </c>
      <c r="S891" s="3" t="s">
        <v>64</v>
      </c>
      <c r="T891">
        <v>227</v>
      </c>
      <c r="U891">
        <v>208.5</v>
      </c>
      <c r="V891">
        <f t="shared" si="26"/>
        <v>217.75</v>
      </c>
      <c r="W891">
        <f t="shared" si="27"/>
        <v>18.5</v>
      </c>
      <c r="X891" s="5">
        <v>-53.77</v>
      </c>
      <c r="Y891" s="5">
        <v>-29.7</v>
      </c>
      <c r="Z891" s="3"/>
      <c r="AA891" s="3" t="s">
        <v>783</v>
      </c>
      <c r="AB891" s="3" t="s">
        <v>5828</v>
      </c>
      <c r="AC891" s="3" t="s">
        <v>5862</v>
      </c>
      <c r="AD891" s="3" t="s">
        <v>943</v>
      </c>
      <c r="AE891" s="3" t="s">
        <v>5830</v>
      </c>
      <c r="AF891" s="3" t="s">
        <v>944</v>
      </c>
      <c r="AG891" s="4" t="s">
        <v>841</v>
      </c>
      <c r="AH891" s="4"/>
      <c r="AI891" s="3" t="s">
        <v>5947</v>
      </c>
      <c r="AJ891" s="3">
        <v>2022</v>
      </c>
      <c r="AK891" s="10" t="s">
        <v>5947</v>
      </c>
      <c r="AL891" s="18" t="s">
        <v>6093</v>
      </c>
      <c r="AM891" s="5"/>
      <c r="AN891" s="5"/>
      <c r="AO891" s="3"/>
      <c r="AP891" s="3"/>
      <c r="AQ891" s="3"/>
      <c r="AR891" s="3"/>
      <c r="AS891" s="3"/>
      <c r="AT891" s="3"/>
      <c r="AU891" s="3"/>
      <c r="AV891" s="3"/>
      <c r="AW891" s="3"/>
      <c r="AX891" s="3"/>
      <c r="AY891" s="3"/>
      <c r="AZ891" s="3"/>
      <c r="BA891" s="3"/>
      <c r="BB891" s="3"/>
    </row>
    <row r="892" spans="1:54" x14ac:dyDescent="0.4">
      <c r="A892" s="2" t="s">
        <v>6094</v>
      </c>
      <c r="B892" s="2"/>
      <c r="C892" s="2"/>
      <c r="D892" s="2" t="s">
        <v>54</v>
      </c>
      <c r="E892" s="2"/>
      <c r="F892" s="2" t="s">
        <v>6095</v>
      </c>
      <c r="G892" s="2">
        <v>1</v>
      </c>
      <c r="H892" s="2" t="s">
        <v>5718</v>
      </c>
      <c r="I892" s="3" t="s">
        <v>57</v>
      </c>
      <c r="J892" s="3" t="s">
        <v>5719</v>
      </c>
      <c r="K892" s="3" t="s">
        <v>840</v>
      </c>
      <c r="L892" s="4" t="s">
        <v>841</v>
      </c>
      <c r="M892" s="3" t="s">
        <v>60</v>
      </c>
      <c r="N892" s="4"/>
      <c r="O892" s="4"/>
      <c r="P892" s="3" t="s">
        <v>62</v>
      </c>
      <c r="Q892" s="3"/>
      <c r="R892" s="3" t="s">
        <v>5827</v>
      </c>
      <c r="S892" s="3" t="s">
        <v>64</v>
      </c>
      <c r="T892">
        <v>227</v>
      </c>
      <c r="U892">
        <v>208.5</v>
      </c>
      <c r="V892">
        <f t="shared" si="26"/>
        <v>217.75</v>
      </c>
      <c r="W892">
        <f t="shared" si="27"/>
        <v>18.5</v>
      </c>
      <c r="X892" s="5">
        <v>-53.77</v>
      </c>
      <c r="Y892" s="5">
        <v>-29.7</v>
      </c>
      <c r="Z892" s="3"/>
      <c r="AA892" s="3" t="s">
        <v>783</v>
      </c>
      <c r="AB892" s="3" t="s">
        <v>5828</v>
      </c>
      <c r="AC892" s="3" t="s">
        <v>5862</v>
      </c>
      <c r="AD892" s="3" t="s">
        <v>943</v>
      </c>
      <c r="AE892" s="3" t="s">
        <v>5830</v>
      </c>
      <c r="AF892" s="3" t="s">
        <v>944</v>
      </c>
      <c r="AG892" s="4" t="s">
        <v>841</v>
      </c>
      <c r="AH892" s="4"/>
      <c r="AI892" s="3" t="s">
        <v>5947</v>
      </c>
      <c r="AJ892" s="3">
        <v>2022</v>
      </c>
      <c r="AK892" s="10" t="s">
        <v>5947</v>
      </c>
      <c r="AL892" s="18" t="s">
        <v>6096</v>
      </c>
      <c r="AM892" s="5"/>
      <c r="AN892" s="5"/>
      <c r="AO892" s="3"/>
      <c r="AP892" s="3"/>
      <c r="AQ892" s="3"/>
      <c r="AR892" s="3"/>
      <c r="AS892" s="3"/>
      <c r="AT892" s="3"/>
      <c r="AU892" s="3"/>
      <c r="AV892" s="3"/>
      <c r="AW892" s="3"/>
      <c r="AX892" s="3"/>
      <c r="AY892" s="3"/>
      <c r="AZ892" s="3"/>
      <c r="BA892" s="3"/>
      <c r="BB892" s="3"/>
    </row>
    <row r="893" spans="1:54" x14ac:dyDescent="0.4">
      <c r="A893" s="2" t="s">
        <v>6097</v>
      </c>
      <c r="B893" s="2"/>
      <c r="C893" s="2"/>
      <c r="D893" s="2" t="s">
        <v>54</v>
      </c>
      <c r="E893" s="2"/>
      <c r="F893" s="2" t="s">
        <v>6098</v>
      </c>
      <c r="G893" s="2">
        <v>1</v>
      </c>
      <c r="H893" s="2" t="s">
        <v>5718</v>
      </c>
      <c r="I893" s="3" t="s">
        <v>57</v>
      </c>
      <c r="J893" s="3" t="s">
        <v>5719</v>
      </c>
      <c r="K893" s="3" t="s">
        <v>840</v>
      </c>
      <c r="L893" s="4" t="s">
        <v>841</v>
      </c>
      <c r="M893" s="3" t="s">
        <v>60</v>
      </c>
      <c r="N893" s="4"/>
      <c r="O893" s="4"/>
      <c r="P893" s="3" t="s">
        <v>62</v>
      </c>
      <c r="Q893" s="3"/>
      <c r="R893" s="3" t="s">
        <v>5827</v>
      </c>
      <c r="S893" s="3" t="s">
        <v>64</v>
      </c>
      <c r="T893">
        <v>227</v>
      </c>
      <c r="U893">
        <v>208.5</v>
      </c>
      <c r="V893">
        <f t="shared" si="26"/>
        <v>217.75</v>
      </c>
      <c r="W893">
        <f t="shared" si="27"/>
        <v>18.5</v>
      </c>
      <c r="X893" s="5">
        <v>-53.77</v>
      </c>
      <c r="Y893" s="5">
        <v>-29.7</v>
      </c>
      <c r="Z893" s="3"/>
      <c r="AA893" s="3" t="s">
        <v>783</v>
      </c>
      <c r="AB893" s="3" t="s">
        <v>5828</v>
      </c>
      <c r="AC893" s="3" t="s">
        <v>5862</v>
      </c>
      <c r="AD893" s="3" t="s">
        <v>943</v>
      </c>
      <c r="AE893" s="3" t="s">
        <v>5830</v>
      </c>
      <c r="AF893" s="3" t="s">
        <v>944</v>
      </c>
      <c r="AG893" s="4" t="s">
        <v>841</v>
      </c>
      <c r="AH893" s="4"/>
      <c r="AI893" s="3" t="s">
        <v>5947</v>
      </c>
      <c r="AJ893" s="3">
        <v>2022</v>
      </c>
      <c r="AK893" s="10" t="s">
        <v>5947</v>
      </c>
      <c r="AL893" s="18" t="s">
        <v>6099</v>
      </c>
      <c r="AM893" s="5"/>
      <c r="AN893" s="5"/>
      <c r="AO893" s="3"/>
      <c r="AP893" s="3"/>
      <c r="AQ893" s="3"/>
      <c r="AR893" s="3"/>
      <c r="AS893" s="3"/>
      <c r="AT893" s="3"/>
      <c r="AU893" s="3"/>
      <c r="AV893" s="3"/>
      <c r="AW893" s="3"/>
      <c r="AX893" s="3"/>
      <c r="AY893" s="3"/>
      <c r="AZ893" s="3"/>
      <c r="BA893" s="3"/>
      <c r="BB893" s="3"/>
    </row>
    <row r="894" spans="1:54" x14ac:dyDescent="0.4">
      <c r="A894" s="2" t="s">
        <v>6100</v>
      </c>
      <c r="B894" s="2"/>
      <c r="C894" s="2"/>
      <c r="D894" s="2" t="s">
        <v>54</v>
      </c>
      <c r="E894" s="2"/>
      <c r="F894" s="15" t="s">
        <v>6101</v>
      </c>
      <c r="G894" s="2">
        <v>1</v>
      </c>
      <c r="H894" s="2" t="s">
        <v>5718</v>
      </c>
      <c r="I894" s="3" t="s">
        <v>57</v>
      </c>
      <c r="J894" s="3" t="s">
        <v>5719</v>
      </c>
      <c r="K894" s="3" t="s">
        <v>840</v>
      </c>
      <c r="L894" s="4" t="s">
        <v>841</v>
      </c>
      <c r="M894" s="3" t="s">
        <v>60</v>
      </c>
      <c r="N894" s="4"/>
      <c r="O894" s="4"/>
      <c r="P894" s="3" t="s">
        <v>62</v>
      </c>
      <c r="Q894" s="3"/>
      <c r="R894" s="3" t="s">
        <v>5827</v>
      </c>
      <c r="S894" s="3" t="s">
        <v>64</v>
      </c>
      <c r="T894">
        <v>227</v>
      </c>
      <c r="U894">
        <v>208.5</v>
      </c>
      <c r="V894">
        <f t="shared" si="26"/>
        <v>217.75</v>
      </c>
      <c r="W894">
        <f t="shared" si="27"/>
        <v>18.5</v>
      </c>
      <c r="X894" s="5">
        <v>-53.77</v>
      </c>
      <c r="Y894" s="5">
        <v>-29.7</v>
      </c>
      <c r="Z894" s="3"/>
      <c r="AA894" s="3" t="s">
        <v>783</v>
      </c>
      <c r="AB894" s="3" t="s">
        <v>5828</v>
      </c>
      <c r="AC894" s="3" t="s">
        <v>5862</v>
      </c>
      <c r="AD894" s="3" t="s">
        <v>943</v>
      </c>
      <c r="AE894" s="3" t="s">
        <v>5830</v>
      </c>
      <c r="AF894" s="3" t="s">
        <v>944</v>
      </c>
      <c r="AG894" s="4" t="s">
        <v>841</v>
      </c>
      <c r="AH894" s="4"/>
      <c r="AI894" s="3" t="s">
        <v>5947</v>
      </c>
      <c r="AJ894" s="3">
        <v>2022</v>
      </c>
      <c r="AK894" s="10" t="s">
        <v>5947</v>
      </c>
      <c r="AL894" s="18" t="s">
        <v>6102</v>
      </c>
      <c r="AM894" s="5"/>
      <c r="AN894" s="5"/>
      <c r="AO894" s="3"/>
      <c r="AP894" s="3"/>
      <c r="AQ894" s="3"/>
      <c r="AR894" s="3"/>
      <c r="AS894" s="3"/>
      <c r="AT894" s="3"/>
      <c r="AU894" s="3"/>
      <c r="AV894" s="3"/>
      <c r="AW894" s="3"/>
      <c r="AX894" s="3"/>
      <c r="AY894" s="3"/>
      <c r="AZ894" s="3"/>
      <c r="BA894" s="3"/>
      <c r="BB894" s="3"/>
    </row>
    <row r="895" spans="1:54" x14ac:dyDescent="0.4">
      <c r="A895" s="2" t="s">
        <v>6103</v>
      </c>
      <c r="B895" s="2"/>
      <c r="C895" s="2"/>
      <c r="D895" s="2" t="s">
        <v>54</v>
      </c>
      <c r="E895" s="2"/>
      <c r="F895" s="2" t="s">
        <v>6095</v>
      </c>
      <c r="G895" s="2">
        <v>1</v>
      </c>
      <c r="H895" s="2" t="s">
        <v>5718</v>
      </c>
      <c r="I895" s="3" t="s">
        <v>57</v>
      </c>
      <c r="J895" s="3" t="s">
        <v>5719</v>
      </c>
      <c r="K895" s="3" t="s">
        <v>840</v>
      </c>
      <c r="L895" s="4" t="s">
        <v>841</v>
      </c>
      <c r="M895" s="3" t="s">
        <v>60</v>
      </c>
      <c r="N895" s="4"/>
      <c r="O895" s="4"/>
      <c r="P895" s="3" t="s">
        <v>62</v>
      </c>
      <c r="Q895" s="3"/>
      <c r="R895" s="3" t="s">
        <v>5827</v>
      </c>
      <c r="S895" s="3" t="s">
        <v>64</v>
      </c>
      <c r="T895">
        <v>227</v>
      </c>
      <c r="U895">
        <v>208.5</v>
      </c>
      <c r="V895">
        <f t="shared" si="26"/>
        <v>217.75</v>
      </c>
      <c r="W895">
        <f t="shared" si="27"/>
        <v>18.5</v>
      </c>
      <c r="X895" s="5">
        <v>-53.77</v>
      </c>
      <c r="Y895" s="5">
        <v>-29.7</v>
      </c>
      <c r="Z895" s="3"/>
      <c r="AA895" s="3" t="s">
        <v>783</v>
      </c>
      <c r="AB895" s="3" t="s">
        <v>5828</v>
      </c>
      <c r="AC895" s="3" t="s">
        <v>5862</v>
      </c>
      <c r="AD895" s="3" t="s">
        <v>943</v>
      </c>
      <c r="AE895" s="3" t="s">
        <v>5830</v>
      </c>
      <c r="AF895" s="3" t="s">
        <v>944</v>
      </c>
      <c r="AG895" s="4" t="s">
        <v>841</v>
      </c>
      <c r="AH895" s="4"/>
      <c r="AI895" s="3" t="s">
        <v>5947</v>
      </c>
      <c r="AJ895" s="3">
        <v>2022</v>
      </c>
      <c r="AK895" s="10" t="s">
        <v>5947</v>
      </c>
      <c r="AL895" s="11" t="s">
        <v>6104</v>
      </c>
      <c r="AM895" s="5"/>
      <c r="AN895" s="5"/>
      <c r="AO895" s="3"/>
      <c r="AP895" s="3"/>
      <c r="AQ895" s="3"/>
      <c r="AR895" s="3"/>
      <c r="AS895" s="3"/>
      <c r="AT895" s="3"/>
      <c r="AU895" s="3"/>
      <c r="AV895" s="3"/>
      <c r="AW895" s="3"/>
      <c r="AX895" s="3"/>
      <c r="AY895" s="3"/>
      <c r="AZ895" s="3"/>
      <c r="BA895" s="3"/>
      <c r="BB895" s="3"/>
    </row>
    <row r="896" spans="1:54" x14ac:dyDescent="0.4">
      <c r="A896" s="2" t="s">
        <v>6105</v>
      </c>
      <c r="B896" s="2"/>
      <c r="C896" s="2"/>
      <c r="D896" s="2" t="s">
        <v>54</v>
      </c>
      <c r="E896" s="2"/>
      <c r="F896" s="2" t="s">
        <v>6106</v>
      </c>
      <c r="G896" s="2">
        <v>1</v>
      </c>
      <c r="H896" s="2" t="s">
        <v>5718</v>
      </c>
      <c r="I896" s="3" t="s">
        <v>57</v>
      </c>
      <c r="J896" s="3" t="s">
        <v>5719</v>
      </c>
      <c r="K896" s="3" t="s">
        <v>840</v>
      </c>
      <c r="L896" s="4" t="s">
        <v>841</v>
      </c>
      <c r="M896" s="3" t="s">
        <v>60</v>
      </c>
      <c r="N896" s="4"/>
      <c r="O896" s="4"/>
      <c r="P896" s="3" t="s">
        <v>62</v>
      </c>
      <c r="Q896" s="3"/>
      <c r="R896" s="3" t="s">
        <v>5827</v>
      </c>
      <c r="S896" s="3" t="s">
        <v>64</v>
      </c>
      <c r="T896">
        <v>227</v>
      </c>
      <c r="U896">
        <v>208.5</v>
      </c>
      <c r="V896">
        <f t="shared" si="26"/>
        <v>217.75</v>
      </c>
      <c r="W896">
        <f t="shared" si="27"/>
        <v>18.5</v>
      </c>
      <c r="X896" s="5">
        <v>-53.77</v>
      </c>
      <c r="Y896" s="5">
        <v>-29.7</v>
      </c>
      <c r="Z896" s="3"/>
      <c r="AA896" s="3" t="s">
        <v>783</v>
      </c>
      <c r="AB896" s="3" t="s">
        <v>5828</v>
      </c>
      <c r="AC896" s="3" t="s">
        <v>5862</v>
      </c>
      <c r="AD896" s="3" t="s">
        <v>943</v>
      </c>
      <c r="AE896" s="3" t="s">
        <v>5830</v>
      </c>
      <c r="AF896" s="3" t="s">
        <v>944</v>
      </c>
      <c r="AG896" s="4" t="s">
        <v>841</v>
      </c>
      <c r="AH896" s="4"/>
      <c r="AI896" s="3" t="s">
        <v>5947</v>
      </c>
      <c r="AJ896" s="3">
        <v>2022</v>
      </c>
      <c r="AK896" s="10" t="s">
        <v>5947</v>
      </c>
      <c r="AL896" s="11" t="s">
        <v>6107</v>
      </c>
      <c r="AM896" s="5"/>
      <c r="AN896" s="5"/>
      <c r="AO896" s="3"/>
      <c r="AP896" s="3"/>
      <c r="AQ896" s="3"/>
      <c r="AR896" s="3"/>
      <c r="AS896" s="3"/>
      <c r="AT896" s="3"/>
      <c r="AU896" s="3"/>
      <c r="AV896" s="3"/>
      <c r="AW896" s="3"/>
      <c r="AX896" s="3"/>
      <c r="AY896" s="3"/>
      <c r="AZ896" s="3"/>
      <c r="BA896" s="3"/>
      <c r="BB896" s="3"/>
    </row>
    <row r="897" spans="1:54" x14ac:dyDescent="0.4">
      <c r="A897" s="2" t="s">
        <v>6108</v>
      </c>
      <c r="B897" s="2"/>
      <c r="C897" s="2"/>
      <c r="D897" s="2" t="s">
        <v>54</v>
      </c>
      <c r="E897" s="2"/>
      <c r="F897" s="15" t="s">
        <v>6109</v>
      </c>
      <c r="G897" s="2">
        <v>1</v>
      </c>
      <c r="H897" s="2" t="s">
        <v>5718</v>
      </c>
      <c r="I897" s="3" t="s">
        <v>57</v>
      </c>
      <c r="J897" s="3" t="s">
        <v>5719</v>
      </c>
      <c r="K897" s="3" t="s">
        <v>840</v>
      </c>
      <c r="L897" s="4" t="s">
        <v>841</v>
      </c>
      <c r="M897" s="3" t="s">
        <v>60</v>
      </c>
      <c r="N897" s="4"/>
      <c r="O897" s="4"/>
      <c r="P897" s="3" t="s">
        <v>62</v>
      </c>
      <c r="Q897" s="3"/>
      <c r="R897" s="3" t="s">
        <v>5827</v>
      </c>
      <c r="S897" s="3" t="s">
        <v>64</v>
      </c>
      <c r="T897">
        <v>227</v>
      </c>
      <c r="U897">
        <v>208.5</v>
      </c>
      <c r="V897">
        <f t="shared" si="26"/>
        <v>217.75</v>
      </c>
      <c r="W897">
        <f t="shared" si="27"/>
        <v>18.5</v>
      </c>
      <c r="X897" s="5">
        <v>-53.77</v>
      </c>
      <c r="Y897" s="5">
        <v>-29.7</v>
      </c>
      <c r="Z897" s="3"/>
      <c r="AA897" s="3" t="s">
        <v>783</v>
      </c>
      <c r="AB897" s="3" t="s">
        <v>5828</v>
      </c>
      <c r="AC897" s="3" t="s">
        <v>5862</v>
      </c>
      <c r="AD897" s="3" t="s">
        <v>943</v>
      </c>
      <c r="AE897" s="3" t="s">
        <v>5830</v>
      </c>
      <c r="AF897" s="3" t="s">
        <v>944</v>
      </c>
      <c r="AG897" s="4" t="s">
        <v>841</v>
      </c>
      <c r="AH897" s="4"/>
      <c r="AI897" s="3" t="s">
        <v>5947</v>
      </c>
      <c r="AJ897" s="3">
        <v>2022</v>
      </c>
      <c r="AK897" s="10" t="s">
        <v>5947</v>
      </c>
      <c r="AL897" s="18" t="s">
        <v>6110</v>
      </c>
      <c r="AM897" s="5"/>
      <c r="AN897" s="5"/>
      <c r="AO897" s="3"/>
      <c r="AP897" s="3"/>
      <c r="AQ897" s="3"/>
      <c r="AR897" s="3"/>
      <c r="AS897" s="3"/>
      <c r="AT897" s="3"/>
      <c r="AU897" s="3"/>
      <c r="AV897" s="3"/>
      <c r="AW897" s="3"/>
      <c r="AX897" s="3"/>
      <c r="AY897" s="3"/>
      <c r="AZ897" s="3"/>
      <c r="BA897" s="3"/>
      <c r="BB897" s="3"/>
    </row>
    <row r="898" spans="1:54" x14ac:dyDescent="0.4">
      <c r="A898" s="2" t="s">
        <v>6111</v>
      </c>
      <c r="B898" s="2"/>
      <c r="C898" s="2"/>
      <c r="D898" s="2" t="s">
        <v>54</v>
      </c>
      <c r="E898" s="2"/>
      <c r="F898" s="2" t="s">
        <v>6112</v>
      </c>
      <c r="G898" s="2">
        <v>1</v>
      </c>
      <c r="H898" s="2" t="s">
        <v>5718</v>
      </c>
      <c r="I898" s="3" t="s">
        <v>57</v>
      </c>
      <c r="J898" s="3" t="s">
        <v>5719</v>
      </c>
      <c r="K898" s="3" t="s">
        <v>840</v>
      </c>
      <c r="L898" s="4" t="s">
        <v>841</v>
      </c>
      <c r="M898" s="3" t="s">
        <v>60</v>
      </c>
      <c r="N898" s="4"/>
      <c r="O898" s="4"/>
      <c r="P898" s="3" t="s">
        <v>62</v>
      </c>
      <c r="Q898" s="3"/>
      <c r="R898" s="3" t="s">
        <v>5827</v>
      </c>
      <c r="S898" s="3" t="s">
        <v>64</v>
      </c>
      <c r="T898">
        <v>227</v>
      </c>
      <c r="U898">
        <v>208.5</v>
      </c>
      <c r="V898">
        <f t="shared" si="26"/>
        <v>217.75</v>
      </c>
      <c r="W898">
        <f t="shared" si="27"/>
        <v>18.5</v>
      </c>
      <c r="X898" s="5">
        <v>-53.8</v>
      </c>
      <c r="Y898" s="5">
        <v>-29.68</v>
      </c>
      <c r="Z898" s="3"/>
      <c r="AA898" s="3" t="s">
        <v>783</v>
      </c>
      <c r="AB898" s="3" t="s">
        <v>5828</v>
      </c>
      <c r="AC898" s="3" t="s">
        <v>5862</v>
      </c>
      <c r="AD898" s="3" t="s">
        <v>943</v>
      </c>
      <c r="AE898" s="3" t="s">
        <v>5830</v>
      </c>
      <c r="AF898" s="3" t="s">
        <v>944</v>
      </c>
      <c r="AG898" s="4" t="s">
        <v>841</v>
      </c>
      <c r="AH898" s="4"/>
      <c r="AI898" s="3" t="s">
        <v>5947</v>
      </c>
      <c r="AJ898" s="3">
        <v>2022</v>
      </c>
      <c r="AK898" s="10" t="s">
        <v>5947</v>
      </c>
      <c r="AL898" s="11" t="s">
        <v>6113</v>
      </c>
      <c r="AM898" s="5"/>
      <c r="AN898" s="5"/>
      <c r="AO898" s="3"/>
      <c r="AP898" s="3"/>
      <c r="AQ898" s="3"/>
      <c r="AR898" s="3"/>
      <c r="AS898" s="3"/>
      <c r="AT898" s="3"/>
      <c r="AU898" s="3"/>
      <c r="AV898" s="3"/>
      <c r="AW898" s="3"/>
      <c r="AX898" s="3"/>
      <c r="AY898" s="3"/>
      <c r="AZ898" s="3"/>
      <c r="BA898" s="3"/>
      <c r="BB898" s="3"/>
    </row>
    <row r="899" spans="1:54" x14ac:dyDescent="0.4">
      <c r="A899" s="2" t="s">
        <v>6114</v>
      </c>
      <c r="B899" s="2"/>
      <c r="C899" s="2"/>
      <c r="D899" s="2" t="s">
        <v>54</v>
      </c>
      <c r="E899" s="2"/>
      <c r="F899" s="2" t="s">
        <v>6098</v>
      </c>
      <c r="G899" s="2">
        <v>1</v>
      </c>
      <c r="H899" s="2" t="s">
        <v>5718</v>
      </c>
      <c r="I899" s="3" t="s">
        <v>57</v>
      </c>
      <c r="J899" s="3" t="s">
        <v>5719</v>
      </c>
      <c r="K899" s="3" t="s">
        <v>840</v>
      </c>
      <c r="L899" s="4" t="s">
        <v>841</v>
      </c>
      <c r="M899" s="3" t="s">
        <v>60</v>
      </c>
      <c r="N899" s="4"/>
      <c r="O899" s="4"/>
      <c r="P899" s="3" t="s">
        <v>62</v>
      </c>
      <c r="Q899" s="3"/>
      <c r="R899" s="3" t="s">
        <v>5827</v>
      </c>
      <c r="S899" s="3" t="s">
        <v>64</v>
      </c>
      <c r="T899">
        <v>227</v>
      </c>
      <c r="U899">
        <v>208.5</v>
      </c>
      <c r="V899">
        <f t="shared" ref="V899:V962" si="28">(T899+U899)/2</f>
        <v>217.75</v>
      </c>
      <c r="W899">
        <f t="shared" ref="W899:W962" si="29">T899-U899</f>
        <v>18.5</v>
      </c>
      <c r="X899" s="5">
        <v>-53.8</v>
      </c>
      <c r="Y899" s="5">
        <v>-29.68</v>
      </c>
      <c r="Z899" s="3"/>
      <c r="AA899" s="3" t="s">
        <v>783</v>
      </c>
      <c r="AB899" s="3" t="s">
        <v>5828</v>
      </c>
      <c r="AC899" s="3" t="s">
        <v>5862</v>
      </c>
      <c r="AD899" s="3" t="s">
        <v>943</v>
      </c>
      <c r="AE899" s="3" t="s">
        <v>5830</v>
      </c>
      <c r="AF899" s="3" t="s">
        <v>944</v>
      </c>
      <c r="AG899" s="4" t="s">
        <v>841</v>
      </c>
      <c r="AH899" s="4"/>
      <c r="AI899" s="3" t="s">
        <v>5947</v>
      </c>
      <c r="AJ899" s="3">
        <v>2022</v>
      </c>
      <c r="AK899" s="10" t="s">
        <v>5947</v>
      </c>
      <c r="AL899" s="11" t="s">
        <v>6115</v>
      </c>
      <c r="AM899" s="5"/>
      <c r="AN899" s="5"/>
      <c r="AO899" s="3"/>
      <c r="AP899" s="3"/>
      <c r="AQ899" s="3"/>
      <c r="AR899" s="3"/>
      <c r="AS899" s="3"/>
      <c r="AT899" s="3"/>
      <c r="AU899" s="3"/>
      <c r="AV899" s="3"/>
      <c r="AW899" s="3"/>
      <c r="AX899" s="3"/>
      <c r="AY899" s="3"/>
      <c r="AZ899" s="3"/>
      <c r="BA899" s="3"/>
      <c r="BB899" s="3"/>
    </row>
    <row r="900" spans="1:54" x14ac:dyDescent="0.4">
      <c r="A900" s="2" t="s">
        <v>6116</v>
      </c>
      <c r="B900" s="2"/>
      <c r="C900" s="2"/>
      <c r="D900" s="2" t="s">
        <v>54</v>
      </c>
      <c r="E900" s="2"/>
      <c r="F900" s="2" t="s">
        <v>6117</v>
      </c>
      <c r="G900" s="2">
        <v>1</v>
      </c>
      <c r="H900" s="2" t="s">
        <v>5718</v>
      </c>
      <c r="I900" s="3" t="s">
        <v>57</v>
      </c>
      <c r="J900" s="3" t="s">
        <v>5719</v>
      </c>
      <c r="K900" s="3" t="s">
        <v>840</v>
      </c>
      <c r="L900" s="4" t="s">
        <v>841</v>
      </c>
      <c r="M900" s="3" t="s">
        <v>60</v>
      </c>
      <c r="N900" s="4"/>
      <c r="O900" s="4"/>
      <c r="P900" s="3" t="s">
        <v>62</v>
      </c>
      <c r="Q900" s="3"/>
      <c r="R900" s="3" t="s">
        <v>5827</v>
      </c>
      <c r="S900" s="3" t="s">
        <v>64</v>
      </c>
      <c r="T900">
        <v>227</v>
      </c>
      <c r="U900">
        <v>208.5</v>
      </c>
      <c r="V900">
        <f t="shared" si="28"/>
        <v>217.75</v>
      </c>
      <c r="W900">
        <f t="shared" si="29"/>
        <v>18.5</v>
      </c>
      <c r="X900" s="5">
        <v>-53.8</v>
      </c>
      <c r="Y900" s="5">
        <v>-29.68</v>
      </c>
      <c r="Z900" s="3"/>
      <c r="AA900" s="3" t="s">
        <v>783</v>
      </c>
      <c r="AB900" s="3" t="s">
        <v>5828</v>
      </c>
      <c r="AC900" s="3" t="s">
        <v>5862</v>
      </c>
      <c r="AD900" s="3" t="s">
        <v>943</v>
      </c>
      <c r="AE900" s="3" t="s">
        <v>5830</v>
      </c>
      <c r="AF900" s="3" t="s">
        <v>944</v>
      </c>
      <c r="AG900" s="4" t="s">
        <v>841</v>
      </c>
      <c r="AH900" s="4"/>
      <c r="AI900" s="3" t="s">
        <v>5947</v>
      </c>
      <c r="AJ900" s="3">
        <v>2022</v>
      </c>
      <c r="AK900" s="10" t="s">
        <v>5947</v>
      </c>
      <c r="AL900" s="11" t="s">
        <v>6118</v>
      </c>
      <c r="AM900" s="5"/>
      <c r="AN900" s="5"/>
      <c r="AO900" s="3"/>
      <c r="AP900" s="3"/>
      <c r="AQ900" s="3"/>
      <c r="AR900" s="3"/>
      <c r="AS900" s="3"/>
      <c r="AT900" s="3"/>
      <c r="AU900" s="3"/>
      <c r="AV900" s="3"/>
      <c r="AW900" s="3"/>
      <c r="AX900" s="3"/>
      <c r="AY900" s="3"/>
      <c r="AZ900" s="3"/>
      <c r="BA900" s="3"/>
      <c r="BB900" s="3"/>
    </row>
    <row r="901" spans="1:54" x14ac:dyDescent="0.4">
      <c r="A901" s="2" t="s">
        <v>6119</v>
      </c>
      <c r="B901" s="2"/>
      <c r="C901" s="2"/>
      <c r="D901" s="2" t="s">
        <v>54</v>
      </c>
      <c r="E901" s="2"/>
      <c r="F901" s="2" t="s">
        <v>6120</v>
      </c>
      <c r="G901" s="2">
        <v>1</v>
      </c>
      <c r="H901" s="2" t="s">
        <v>5718</v>
      </c>
      <c r="I901" s="3" t="s">
        <v>57</v>
      </c>
      <c r="J901" s="3" t="s">
        <v>5719</v>
      </c>
      <c r="K901" s="3" t="s">
        <v>840</v>
      </c>
      <c r="L901" s="4" t="s">
        <v>841</v>
      </c>
      <c r="M901" s="3" t="s">
        <v>60</v>
      </c>
      <c r="N901" s="4"/>
      <c r="O901" s="4"/>
      <c r="P901" s="3" t="s">
        <v>62</v>
      </c>
      <c r="Q901" s="3"/>
      <c r="R901" s="3" t="s">
        <v>5827</v>
      </c>
      <c r="S901" s="3" t="s">
        <v>64</v>
      </c>
      <c r="T901">
        <v>227</v>
      </c>
      <c r="U901">
        <v>208.5</v>
      </c>
      <c r="V901">
        <f t="shared" si="28"/>
        <v>217.75</v>
      </c>
      <c r="W901">
        <f t="shared" si="29"/>
        <v>18.5</v>
      </c>
      <c r="X901" s="5">
        <v>-53.8</v>
      </c>
      <c r="Y901" s="5">
        <v>-29.68</v>
      </c>
      <c r="Z901" s="3"/>
      <c r="AA901" s="3" t="s">
        <v>783</v>
      </c>
      <c r="AB901" s="3" t="s">
        <v>5828</v>
      </c>
      <c r="AC901" s="3" t="s">
        <v>5862</v>
      </c>
      <c r="AD901" s="3" t="s">
        <v>943</v>
      </c>
      <c r="AE901" s="3" t="s">
        <v>5830</v>
      </c>
      <c r="AF901" s="3" t="s">
        <v>944</v>
      </c>
      <c r="AG901" s="4" t="s">
        <v>841</v>
      </c>
      <c r="AH901" s="4"/>
      <c r="AI901" s="3" t="s">
        <v>5947</v>
      </c>
      <c r="AJ901" s="3">
        <v>2022</v>
      </c>
      <c r="AK901" s="10" t="s">
        <v>5947</v>
      </c>
      <c r="AL901" s="11" t="s">
        <v>6121</v>
      </c>
      <c r="AM901" s="5"/>
      <c r="AN901" s="5"/>
      <c r="AO901" s="3"/>
      <c r="AP901" s="3"/>
      <c r="AQ901" s="3"/>
      <c r="AR901" s="3"/>
      <c r="AS901" s="3"/>
      <c r="AT901" s="3"/>
      <c r="AU901" s="3"/>
      <c r="AV901" s="3"/>
      <c r="AW901" s="3"/>
      <c r="AX901" s="3"/>
      <c r="AY901" s="3"/>
      <c r="AZ901" s="3"/>
      <c r="BA901" s="3"/>
      <c r="BB901" s="3"/>
    </row>
    <row r="902" spans="1:54" x14ac:dyDescent="0.4">
      <c r="A902" s="2" t="s">
        <v>6122</v>
      </c>
      <c r="B902" s="2"/>
      <c r="C902" s="2"/>
      <c r="D902" s="2" t="s">
        <v>54</v>
      </c>
      <c r="E902" s="2"/>
      <c r="F902" s="2" t="s">
        <v>6123</v>
      </c>
      <c r="G902" s="2">
        <v>1</v>
      </c>
      <c r="H902" s="2" t="s">
        <v>5718</v>
      </c>
      <c r="I902" s="3" t="s">
        <v>57</v>
      </c>
      <c r="J902" s="3" t="s">
        <v>5719</v>
      </c>
      <c r="K902" s="3" t="s">
        <v>840</v>
      </c>
      <c r="L902" s="4" t="s">
        <v>841</v>
      </c>
      <c r="M902" s="3" t="s">
        <v>60</v>
      </c>
      <c r="N902" s="4"/>
      <c r="O902" s="4"/>
      <c r="P902" s="3" t="s">
        <v>62</v>
      </c>
      <c r="Q902" s="3"/>
      <c r="R902" s="3" t="s">
        <v>5827</v>
      </c>
      <c r="S902" s="3" t="s">
        <v>64</v>
      </c>
      <c r="T902">
        <v>227</v>
      </c>
      <c r="U902">
        <v>208.5</v>
      </c>
      <c r="V902">
        <f t="shared" si="28"/>
        <v>217.75</v>
      </c>
      <c r="W902">
        <f t="shared" si="29"/>
        <v>18.5</v>
      </c>
      <c r="X902" s="5">
        <v>-53.79</v>
      </c>
      <c r="Y902" s="5">
        <v>-29.7</v>
      </c>
      <c r="Z902" s="3"/>
      <c r="AA902" s="3" t="s">
        <v>783</v>
      </c>
      <c r="AB902" s="3" t="s">
        <v>5828</v>
      </c>
      <c r="AC902" s="3" t="s">
        <v>5862</v>
      </c>
      <c r="AD902" s="3" t="s">
        <v>943</v>
      </c>
      <c r="AE902" s="3" t="s">
        <v>5830</v>
      </c>
      <c r="AF902" s="3" t="s">
        <v>944</v>
      </c>
      <c r="AG902" s="4" t="s">
        <v>841</v>
      </c>
      <c r="AH902" s="4"/>
      <c r="AI902" s="3" t="s">
        <v>5720</v>
      </c>
      <c r="AJ902" s="3" t="s">
        <v>5720</v>
      </c>
      <c r="AK902" s="10" t="s">
        <v>6124</v>
      </c>
      <c r="AL902" s="11" t="s">
        <v>6125</v>
      </c>
      <c r="AM902" s="5"/>
      <c r="AN902" s="5"/>
      <c r="AO902" s="3"/>
      <c r="AP902" s="3"/>
      <c r="AQ902" s="3"/>
      <c r="AR902" s="3"/>
      <c r="AS902" s="3"/>
      <c r="AT902" s="3"/>
      <c r="AU902" s="3"/>
      <c r="AV902" s="3"/>
      <c r="AW902" s="3"/>
      <c r="AX902" s="3"/>
      <c r="AY902" s="3"/>
      <c r="AZ902" s="3"/>
      <c r="BA902" s="3"/>
      <c r="BB902" s="3"/>
    </row>
    <row r="903" spans="1:54" x14ac:dyDescent="0.4">
      <c r="A903" s="2" t="s">
        <v>6126</v>
      </c>
      <c r="B903" s="2"/>
      <c r="C903" s="2"/>
      <c r="D903" s="2" t="s">
        <v>54</v>
      </c>
      <c r="E903" s="2"/>
      <c r="F903" s="2" t="s">
        <v>6127</v>
      </c>
      <c r="G903" s="2">
        <v>1</v>
      </c>
      <c r="H903" s="2" t="s">
        <v>5718</v>
      </c>
      <c r="I903" s="3" t="s">
        <v>57</v>
      </c>
      <c r="J903" s="3" t="s">
        <v>5719</v>
      </c>
      <c r="K903" s="3" t="s">
        <v>840</v>
      </c>
      <c r="L903" s="4" t="s">
        <v>841</v>
      </c>
      <c r="M903" s="3" t="s">
        <v>60</v>
      </c>
      <c r="N903" s="4"/>
      <c r="O903" s="4"/>
      <c r="P903" s="3" t="s">
        <v>62</v>
      </c>
      <c r="Q903" s="3"/>
      <c r="R903" s="3" t="s">
        <v>5827</v>
      </c>
      <c r="S903" s="3" t="s">
        <v>64</v>
      </c>
      <c r="T903">
        <v>227</v>
      </c>
      <c r="U903">
        <v>208.5</v>
      </c>
      <c r="V903">
        <f t="shared" si="28"/>
        <v>217.75</v>
      </c>
      <c r="W903">
        <f t="shared" si="29"/>
        <v>18.5</v>
      </c>
      <c r="X903" s="5">
        <v>-53.8</v>
      </c>
      <c r="Y903" s="5">
        <v>-29.8</v>
      </c>
      <c r="Z903" s="3"/>
      <c r="AA903" s="3" t="s">
        <v>783</v>
      </c>
      <c r="AB903" s="3" t="s">
        <v>5828</v>
      </c>
      <c r="AC903" s="3" t="s">
        <v>5720</v>
      </c>
      <c r="AD903" s="3" t="s">
        <v>943</v>
      </c>
      <c r="AE903" s="3" t="s">
        <v>5830</v>
      </c>
      <c r="AF903" s="3" t="s">
        <v>944</v>
      </c>
      <c r="AG903" s="4" t="s">
        <v>841</v>
      </c>
      <c r="AH903" s="4"/>
      <c r="AI903" s="3" t="s">
        <v>6128</v>
      </c>
      <c r="AJ903" s="3">
        <v>2013</v>
      </c>
      <c r="AK903" s="10" t="s">
        <v>5832</v>
      </c>
      <c r="AL903" s="11" t="s">
        <v>6129</v>
      </c>
      <c r="AM903" s="5"/>
      <c r="AN903" s="5"/>
      <c r="AO903" s="3"/>
      <c r="AP903" s="3"/>
      <c r="AQ903" s="3"/>
      <c r="AR903" s="3"/>
      <c r="AS903" s="3"/>
      <c r="AT903" s="3"/>
      <c r="AU903" s="3"/>
      <c r="AV903" s="3"/>
      <c r="AW903" s="3"/>
      <c r="AX903" s="3"/>
      <c r="AY903" s="3"/>
      <c r="AZ903" s="3"/>
      <c r="BA903" s="3"/>
      <c r="BB903" s="3"/>
    </row>
    <row r="904" spans="1:54" x14ac:dyDescent="0.4">
      <c r="A904" s="2" t="s">
        <v>6130</v>
      </c>
      <c r="B904" s="2"/>
      <c r="C904" s="2"/>
      <c r="D904" s="2" t="s">
        <v>54</v>
      </c>
      <c r="E904" s="2"/>
      <c r="F904" s="23" t="s">
        <v>6131</v>
      </c>
      <c r="G904" s="2">
        <v>1</v>
      </c>
      <c r="H904" s="2" t="s">
        <v>5718</v>
      </c>
      <c r="I904" s="3" t="s">
        <v>57</v>
      </c>
      <c r="J904" s="3" t="s">
        <v>5719</v>
      </c>
      <c r="K904" s="3" t="s">
        <v>840</v>
      </c>
      <c r="L904" s="4" t="s">
        <v>841</v>
      </c>
      <c r="M904" s="3" t="s">
        <v>60</v>
      </c>
      <c r="N904" s="4"/>
      <c r="O904" s="4"/>
      <c r="P904" s="3" t="s">
        <v>62</v>
      </c>
      <c r="Q904" s="3"/>
      <c r="R904" s="3" t="s">
        <v>5827</v>
      </c>
      <c r="S904" s="3" t="s">
        <v>64</v>
      </c>
      <c r="T904">
        <v>227</v>
      </c>
      <c r="U904">
        <v>208.5</v>
      </c>
      <c r="V904">
        <f t="shared" si="28"/>
        <v>217.75</v>
      </c>
      <c r="W904">
        <f t="shared" si="29"/>
        <v>18.5</v>
      </c>
      <c r="X904" s="5">
        <v>-53.77</v>
      </c>
      <c r="Y904" s="5">
        <v>-29.7</v>
      </c>
      <c r="Z904" s="3"/>
      <c r="AA904" s="3" t="s">
        <v>783</v>
      </c>
      <c r="AB904" s="3" t="s">
        <v>5828</v>
      </c>
      <c r="AC904" s="3" t="s">
        <v>5862</v>
      </c>
      <c r="AD904" s="3" t="s">
        <v>943</v>
      </c>
      <c r="AE904" s="3" t="s">
        <v>5830</v>
      </c>
      <c r="AF904" s="3" t="s">
        <v>944</v>
      </c>
      <c r="AG904" s="4" t="s">
        <v>841</v>
      </c>
      <c r="AH904" s="4"/>
      <c r="AI904" s="3" t="s">
        <v>5947</v>
      </c>
      <c r="AJ904" s="3">
        <v>2022</v>
      </c>
      <c r="AK904" s="10" t="s">
        <v>5947</v>
      </c>
      <c r="AL904" s="11" t="s">
        <v>6132</v>
      </c>
      <c r="AM904" s="5"/>
      <c r="AN904" s="5"/>
      <c r="AO904" s="3"/>
      <c r="AP904" s="3"/>
      <c r="AQ904" s="3"/>
      <c r="AR904" s="3"/>
      <c r="AS904" s="3"/>
      <c r="AT904" s="3"/>
      <c r="AU904" s="3"/>
      <c r="AV904" s="3"/>
      <c r="AW904" s="3"/>
      <c r="AX904" s="3"/>
      <c r="AY904" s="3"/>
      <c r="AZ904" s="3"/>
      <c r="BA904" s="3"/>
      <c r="BB904" s="3"/>
    </row>
    <row r="905" spans="1:54" x14ac:dyDescent="0.4">
      <c r="A905" s="2" t="s">
        <v>6133</v>
      </c>
      <c r="B905" s="2"/>
      <c r="C905" s="2"/>
      <c r="D905" s="2" t="s">
        <v>54</v>
      </c>
      <c r="E905" s="2"/>
      <c r="F905" s="2" t="s">
        <v>6134</v>
      </c>
      <c r="G905" s="2">
        <v>1</v>
      </c>
      <c r="H905" s="2" t="s">
        <v>5718</v>
      </c>
      <c r="I905" s="3" t="s">
        <v>57</v>
      </c>
      <c r="J905" s="3" t="s">
        <v>5719</v>
      </c>
      <c r="K905" s="3" t="s">
        <v>840</v>
      </c>
      <c r="L905" s="4" t="s">
        <v>841</v>
      </c>
      <c r="M905" s="3" t="s">
        <v>60</v>
      </c>
      <c r="N905" s="4"/>
      <c r="O905" s="4"/>
      <c r="P905" s="3" t="s">
        <v>62</v>
      </c>
      <c r="Q905" s="3"/>
      <c r="R905" s="3" t="s">
        <v>5827</v>
      </c>
      <c r="S905" s="3" t="s">
        <v>64</v>
      </c>
      <c r="T905">
        <v>227</v>
      </c>
      <c r="U905">
        <v>208.5</v>
      </c>
      <c r="V905">
        <f t="shared" si="28"/>
        <v>217.75</v>
      </c>
      <c r="W905">
        <f t="shared" si="29"/>
        <v>18.5</v>
      </c>
      <c r="X905" s="5">
        <v>-53.43</v>
      </c>
      <c r="Y905" s="5">
        <v>-29.66</v>
      </c>
      <c r="Z905" s="3"/>
      <c r="AA905" s="3" t="s">
        <v>783</v>
      </c>
      <c r="AB905" s="3" t="s">
        <v>5828</v>
      </c>
      <c r="AC905" s="3" t="s">
        <v>4632</v>
      </c>
      <c r="AD905" s="3" t="s">
        <v>943</v>
      </c>
      <c r="AE905" s="3" t="s">
        <v>5830</v>
      </c>
      <c r="AF905" s="3" t="s">
        <v>944</v>
      </c>
      <c r="AG905" s="4" t="s">
        <v>841</v>
      </c>
      <c r="AH905" s="4"/>
      <c r="AI905" s="3" t="s">
        <v>5720</v>
      </c>
      <c r="AJ905" s="3" t="s">
        <v>5720</v>
      </c>
      <c r="AK905" s="10" t="s">
        <v>6124</v>
      </c>
      <c r="AL905" s="11" t="s">
        <v>6135</v>
      </c>
      <c r="AM905" s="5"/>
      <c r="AN905" s="5"/>
      <c r="AO905" s="3"/>
      <c r="AP905" s="3"/>
      <c r="AQ905" s="3"/>
      <c r="AR905" s="3"/>
      <c r="AS905" s="3"/>
      <c r="AT905" s="3"/>
      <c r="AU905" s="3"/>
      <c r="AV905" s="3"/>
      <c r="AW905" s="3"/>
      <c r="AX905" s="3"/>
      <c r="AY905" s="3"/>
      <c r="AZ905" s="3"/>
      <c r="BA905" s="3"/>
      <c r="BB905" s="3"/>
    </row>
    <row r="906" spans="1:54" x14ac:dyDescent="0.4">
      <c r="A906" s="2" t="s">
        <v>6136</v>
      </c>
      <c r="B906" s="2"/>
      <c r="C906" s="2"/>
      <c r="D906" s="2" t="s">
        <v>54</v>
      </c>
      <c r="E906" s="2"/>
      <c r="F906" s="2" t="s">
        <v>6134</v>
      </c>
      <c r="G906" s="2">
        <v>1</v>
      </c>
      <c r="H906" s="2" t="s">
        <v>5718</v>
      </c>
      <c r="I906" s="3" t="s">
        <v>57</v>
      </c>
      <c r="J906" s="3" t="s">
        <v>5719</v>
      </c>
      <c r="K906" s="3" t="s">
        <v>840</v>
      </c>
      <c r="L906" s="4" t="s">
        <v>841</v>
      </c>
      <c r="M906" s="3" t="s">
        <v>60</v>
      </c>
      <c r="N906" s="4"/>
      <c r="O906" s="4"/>
      <c r="P906" s="3" t="s">
        <v>62</v>
      </c>
      <c r="Q906" s="3"/>
      <c r="R906" s="3" t="s">
        <v>5827</v>
      </c>
      <c r="S906" s="3" t="s">
        <v>64</v>
      </c>
      <c r="T906">
        <v>227</v>
      </c>
      <c r="U906">
        <v>208.5</v>
      </c>
      <c r="V906">
        <f t="shared" si="28"/>
        <v>217.75</v>
      </c>
      <c r="W906">
        <f t="shared" si="29"/>
        <v>18.5</v>
      </c>
      <c r="X906" s="5">
        <v>-53.43</v>
      </c>
      <c r="Y906" s="5">
        <v>-29.66</v>
      </c>
      <c r="Z906" s="3"/>
      <c r="AA906" s="3" t="s">
        <v>783</v>
      </c>
      <c r="AB906" s="3" t="s">
        <v>5828</v>
      </c>
      <c r="AC906" s="3" t="s">
        <v>4632</v>
      </c>
      <c r="AD906" s="3" t="s">
        <v>943</v>
      </c>
      <c r="AE906" s="3" t="s">
        <v>5830</v>
      </c>
      <c r="AF906" s="3" t="s">
        <v>944</v>
      </c>
      <c r="AG906" s="4" t="s">
        <v>841</v>
      </c>
      <c r="AH906" s="4"/>
      <c r="AI906" s="3" t="s">
        <v>5720</v>
      </c>
      <c r="AJ906" s="3" t="s">
        <v>5720</v>
      </c>
      <c r="AK906" s="10" t="s">
        <v>6124</v>
      </c>
      <c r="AL906" s="11" t="s">
        <v>6137</v>
      </c>
      <c r="AM906" s="5"/>
      <c r="AN906" s="5"/>
      <c r="AO906" s="3"/>
      <c r="AP906" s="3"/>
      <c r="AQ906" s="3"/>
      <c r="AR906" s="3"/>
      <c r="AS906" s="3"/>
      <c r="AT906" s="3"/>
      <c r="AU906" s="3"/>
      <c r="AV906" s="3"/>
      <c r="AW906" s="3"/>
      <c r="AX906" s="3"/>
      <c r="AY906" s="3"/>
      <c r="AZ906" s="3"/>
      <c r="BA906" s="3"/>
      <c r="BB906" s="3"/>
    </row>
    <row r="907" spans="1:54" x14ac:dyDescent="0.4">
      <c r="A907" s="2" t="s">
        <v>6138</v>
      </c>
      <c r="B907" s="2"/>
      <c r="C907" s="2"/>
      <c r="D907" s="2" t="s">
        <v>54</v>
      </c>
      <c r="E907" s="2"/>
      <c r="F907" s="15" t="s">
        <v>6139</v>
      </c>
      <c r="G907" s="2">
        <v>1</v>
      </c>
      <c r="H907" s="2" t="s">
        <v>5718</v>
      </c>
      <c r="I907" s="3" t="s">
        <v>57</v>
      </c>
      <c r="J907" s="3" t="s">
        <v>5719</v>
      </c>
      <c r="K907" s="3" t="s">
        <v>840</v>
      </c>
      <c r="L907" s="4" t="s">
        <v>841</v>
      </c>
      <c r="M907" s="3" t="s">
        <v>60</v>
      </c>
      <c r="N907" s="4"/>
      <c r="O907" s="4"/>
      <c r="P907" s="3" t="s">
        <v>62</v>
      </c>
      <c r="Q907" s="3"/>
      <c r="R907" s="3" t="s">
        <v>5827</v>
      </c>
      <c r="S907" s="3" t="s">
        <v>64</v>
      </c>
      <c r="T907">
        <v>227</v>
      </c>
      <c r="U907">
        <v>208.5</v>
      </c>
      <c r="V907">
        <f t="shared" si="28"/>
        <v>217.75</v>
      </c>
      <c r="W907">
        <f t="shared" si="29"/>
        <v>18.5</v>
      </c>
      <c r="X907" s="5">
        <v>-53.8</v>
      </c>
      <c r="Y907" s="5">
        <v>-29.8</v>
      </c>
      <c r="Z907" s="3"/>
      <c r="AA907" s="3" t="s">
        <v>783</v>
      </c>
      <c r="AB907" s="3" t="s">
        <v>5828</v>
      </c>
      <c r="AC907" s="3" t="s">
        <v>6140</v>
      </c>
      <c r="AD907" s="3" t="s">
        <v>943</v>
      </c>
      <c r="AE907" s="3" t="s">
        <v>5830</v>
      </c>
      <c r="AF907" s="3" t="s">
        <v>944</v>
      </c>
      <c r="AG907" s="4" t="s">
        <v>841</v>
      </c>
      <c r="AH907" s="4"/>
      <c r="AI907" s="3" t="s">
        <v>5947</v>
      </c>
      <c r="AJ907" s="3">
        <v>2022</v>
      </c>
      <c r="AK907" s="10" t="s">
        <v>6141</v>
      </c>
      <c r="AL907" s="11" t="s">
        <v>6142</v>
      </c>
      <c r="AM907" s="5"/>
      <c r="AN907" s="5"/>
      <c r="AO907" s="3"/>
      <c r="AP907" s="3"/>
      <c r="AQ907" s="3"/>
      <c r="AR907" s="3"/>
      <c r="AS907" s="3"/>
      <c r="AT907" s="3"/>
      <c r="AU907" s="3"/>
      <c r="AV907" s="3"/>
      <c r="AW907" s="3"/>
      <c r="AX907" s="3"/>
      <c r="AY907" s="3"/>
      <c r="AZ907" s="3"/>
      <c r="BA907" s="3"/>
      <c r="BB907" s="3"/>
    </row>
    <row r="908" spans="1:54" x14ac:dyDescent="0.4">
      <c r="A908" s="2" t="s">
        <v>6143</v>
      </c>
      <c r="B908" s="2"/>
      <c r="C908" s="2"/>
      <c r="D908" s="2" t="s">
        <v>54</v>
      </c>
      <c r="E908" s="2"/>
      <c r="F908" s="15" t="s">
        <v>6144</v>
      </c>
      <c r="G908" s="2">
        <v>1</v>
      </c>
      <c r="H908" s="2" t="s">
        <v>5718</v>
      </c>
      <c r="I908" s="3" t="s">
        <v>57</v>
      </c>
      <c r="J908" s="3" t="s">
        <v>5719</v>
      </c>
      <c r="K908" s="3" t="s">
        <v>840</v>
      </c>
      <c r="L908" s="4" t="s">
        <v>841</v>
      </c>
      <c r="M908" s="3" t="s">
        <v>60</v>
      </c>
      <c r="N908" s="4"/>
      <c r="O908" s="4"/>
      <c r="P908" s="3" t="s">
        <v>62</v>
      </c>
      <c r="Q908" s="3"/>
      <c r="R908" s="3" t="s">
        <v>5827</v>
      </c>
      <c r="S908" s="3" t="s">
        <v>64</v>
      </c>
      <c r="T908">
        <v>227</v>
      </c>
      <c r="U908">
        <v>208.5</v>
      </c>
      <c r="V908">
        <f t="shared" si="28"/>
        <v>217.75</v>
      </c>
      <c r="W908">
        <f t="shared" si="29"/>
        <v>18.5</v>
      </c>
      <c r="X908" s="5">
        <v>-53.77</v>
      </c>
      <c r="Y908" s="5">
        <v>-29.7</v>
      </c>
      <c r="Z908" s="3"/>
      <c r="AA908" s="3" t="s">
        <v>783</v>
      </c>
      <c r="AB908" s="3" t="s">
        <v>5828</v>
      </c>
      <c r="AC908" s="3" t="s">
        <v>5862</v>
      </c>
      <c r="AD908" s="3" t="s">
        <v>943</v>
      </c>
      <c r="AE908" s="3" t="s">
        <v>5830</v>
      </c>
      <c r="AF908" s="3" t="s">
        <v>944</v>
      </c>
      <c r="AG908" s="4" t="s">
        <v>841</v>
      </c>
      <c r="AH908" s="4"/>
      <c r="AI908" s="3" t="s">
        <v>5947</v>
      </c>
      <c r="AJ908" s="3">
        <v>2022</v>
      </c>
      <c r="AK908" s="10" t="s">
        <v>5947</v>
      </c>
      <c r="AL908" s="11" t="s">
        <v>6145</v>
      </c>
      <c r="AM908" s="5"/>
      <c r="AN908" s="5"/>
      <c r="AO908" s="3"/>
      <c r="AP908" s="3"/>
      <c r="AQ908" s="3"/>
      <c r="AR908" s="3"/>
      <c r="AS908" s="3"/>
      <c r="AT908" s="3"/>
      <c r="AU908" s="3"/>
      <c r="AV908" s="3"/>
      <c r="AW908" s="3"/>
      <c r="AX908" s="3"/>
      <c r="AY908" s="3"/>
      <c r="AZ908" s="3"/>
      <c r="BA908" s="3"/>
      <c r="BB908" s="3"/>
    </row>
    <row r="909" spans="1:54" x14ac:dyDescent="0.4">
      <c r="A909" s="2" t="s">
        <v>6146</v>
      </c>
      <c r="B909" s="2"/>
      <c r="C909" s="2"/>
      <c r="D909" s="2" t="s">
        <v>54</v>
      </c>
      <c r="E909" s="2"/>
      <c r="F909" s="2" t="s">
        <v>6147</v>
      </c>
      <c r="G909" s="2">
        <v>1</v>
      </c>
      <c r="H909" s="2" t="s">
        <v>5718</v>
      </c>
      <c r="I909" s="3" t="s">
        <v>57</v>
      </c>
      <c r="J909" s="3" t="s">
        <v>5719</v>
      </c>
      <c r="K909" s="3" t="s">
        <v>840</v>
      </c>
      <c r="L909" s="4" t="s">
        <v>841</v>
      </c>
      <c r="M909" s="3" t="s">
        <v>60</v>
      </c>
      <c r="N909" s="4"/>
      <c r="O909" s="4"/>
      <c r="P909" s="3" t="s">
        <v>62</v>
      </c>
      <c r="Q909" s="3"/>
      <c r="R909" s="3" t="s">
        <v>5827</v>
      </c>
      <c r="S909" s="3" t="s">
        <v>64</v>
      </c>
      <c r="T909">
        <v>227</v>
      </c>
      <c r="U909">
        <v>208.5</v>
      </c>
      <c r="V909">
        <f t="shared" si="28"/>
        <v>217.75</v>
      </c>
      <c r="W909">
        <f t="shared" si="29"/>
        <v>18.5</v>
      </c>
      <c r="X909" s="5">
        <v>-53.77</v>
      </c>
      <c r="Y909" s="5">
        <v>-29.7</v>
      </c>
      <c r="Z909" s="3"/>
      <c r="AA909" s="3" t="s">
        <v>783</v>
      </c>
      <c r="AB909" s="3" t="s">
        <v>5828</v>
      </c>
      <c r="AC909" s="3" t="s">
        <v>5862</v>
      </c>
      <c r="AD909" s="3" t="s">
        <v>943</v>
      </c>
      <c r="AE909" s="3" t="s">
        <v>5830</v>
      </c>
      <c r="AF909" s="3" t="s">
        <v>944</v>
      </c>
      <c r="AG909" s="4" t="s">
        <v>841</v>
      </c>
      <c r="AH909" s="4"/>
      <c r="AI909" s="3" t="s">
        <v>5947</v>
      </c>
      <c r="AJ909" s="3">
        <v>2022</v>
      </c>
      <c r="AK909" s="10" t="s">
        <v>5947</v>
      </c>
      <c r="AL909" s="11" t="s">
        <v>6148</v>
      </c>
      <c r="AM909" s="5"/>
      <c r="AN909" s="5"/>
      <c r="AO909" s="3"/>
      <c r="AP909" s="3"/>
      <c r="AQ909" s="3"/>
      <c r="AR909" s="3"/>
      <c r="AS909" s="3"/>
      <c r="AT909" s="3"/>
      <c r="AU909" s="3"/>
      <c r="AV909" s="3"/>
      <c r="AW909" s="3"/>
      <c r="AX909" s="3"/>
      <c r="AY909" s="3"/>
      <c r="AZ909" s="3"/>
      <c r="BA909" s="3"/>
      <c r="BB909" s="3"/>
    </row>
    <row r="910" spans="1:54" x14ac:dyDescent="0.4">
      <c r="A910" s="2" t="s">
        <v>6149</v>
      </c>
      <c r="B910" s="2"/>
      <c r="C910" s="2"/>
      <c r="D910" s="2" t="s">
        <v>54</v>
      </c>
      <c r="E910" s="2"/>
      <c r="F910" s="2" t="s">
        <v>6150</v>
      </c>
      <c r="G910" s="2">
        <v>1</v>
      </c>
      <c r="H910" s="2" t="s">
        <v>5718</v>
      </c>
      <c r="I910" s="3" t="s">
        <v>57</v>
      </c>
      <c r="J910" s="3" t="s">
        <v>5719</v>
      </c>
      <c r="K910" s="3" t="s">
        <v>840</v>
      </c>
      <c r="L910" s="4" t="s">
        <v>841</v>
      </c>
      <c r="M910" s="3" t="s">
        <v>60</v>
      </c>
      <c r="N910" s="4"/>
      <c r="O910" s="4"/>
      <c r="P910" s="3" t="s">
        <v>62</v>
      </c>
      <c r="Q910" s="3"/>
      <c r="R910" s="3" t="s">
        <v>5827</v>
      </c>
      <c r="S910" s="3" t="s">
        <v>64</v>
      </c>
      <c r="T910">
        <v>227</v>
      </c>
      <c r="U910">
        <v>208.5</v>
      </c>
      <c r="V910">
        <f t="shared" si="28"/>
        <v>217.75</v>
      </c>
      <c r="W910">
        <f t="shared" si="29"/>
        <v>18.5</v>
      </c>
      <c r="X910" s="5">
        <v>-53.77</v>
      </c>
      <c r="Y910" s="5">
        <v>-29.7</v>
      </c>
      <c r="Z910" s="3"/>
      <c r="AA910" s="3" t="s">
        <v>783</v>
      </c>
      <c r="AB910" s="3" t="s">
        <v>5828</v>
      </c>
      <c r="AC910" s="3" t="s">
        <v>5862</v>
      </c>
      <c r="AD910" s="3" t="s">
        <v>943</v>
      </c>
      <c r="AE910" s="3" t="s">
        <v>5830</v>
      </c>
      <c r="AF910" s="3" t="s">
        <v>944</v>
      </c>
      <c r="AG910" s="4" t="s">
        <v>841</v>
      </c>
      <c r="AH910" s="4"/>
      <c r="AI910" s="3" t="s">
        <v>5947</v>
      </c>
      <c r="AJ910" s="3">
        <v>2022</v>
      </c>
      <c r="AK910" s="10" t="s">
        <v>5947</v>
      </c>
      <c r="AL910" s="11" t="s">
        <v>6151</v>
      </c>
      <c r="AM910" s="5"/>
      <c r="AN910" s="5"/>
      <c r="AO910" s="3"/>
      <c r="AP910" s="3"/>
      <c r="AQ910" s="3"/>
      <c r="AR910" s="3"/>
      <c r="AS910" s="3"/>
      <c r="AT910" s="3"/>
      <c r="AU910" s="3"/>
      <c r="AV910" s="3"/>
      <c r="AW910" s="3"/>
      <c r="AX910" s="3"/>
      <c r="AY910" s="3"/>
      <c r="AZ910" s="3"/>
      <c r="BA910" s="3"/>
      <c r="BB910" s="3"/>
    </row>
    <row r="911" spans="1:54" x14ac:dyDescent="0.4">
      <c r="A911" s="2" t="s">
        <v>6152</v>
      </c>
      <c r="B911" s="2"/>
      <c r="C911" s="2"/>
      <c r="D911" s="2" t="s">
        <v>54</v>
      </c>
      <c r="E911" s="2"/>
      <c r="F911" s="2" t="s">
        <v>6150</v>
      </c>
      <c r="G911" s="2">
        <v>1</v>
      </c>
      <c r="H911" s="2" t="s">
        <v>5718</v>
      </c>
      <c r="I911" s="3" t="s">
        <v>57</v>
      </c>
      <c r="J911" s="3" t="s">
        <v>5719</v>
      </c>
      <c r="K911" s="3" t="s">
        <v>840</v>
      </c>
      <c r="L911" s="4" t="s">
        <v>841</v>
      </c>
      <c r="M911" s="3" t="s">
        <v>60</v>
      </c>
      <c r="N911" s="4"/>
      <c r="O911" s="4"/>
      <c r="P911" s="3" t="s">
        <v>62</v>
      </c>
      <c r="Q911" s="3"/>
      <c r="R911" s="3" t="s">
        <v>5827</v>
      </c>
      <c r="S911" s="3" t="s">
        <v>64</v>
      </c>
      <c r="T911">
        <v>227</v>
      </c>
      <c r="U911">
        <v>208.5</v>
      </c>
      <c r="V911">
        <f t="shared" si="28"/>
        <v>217.75</v>
      </c>
      <c r="W911">
        <f t="shared" si="29"/>
        <v>18.5</v>
      </c>
      <c r="X911" s="5">
        <v>-53.77</v>
      </c>
      <c r="Y911" s="5">
        <v>-29.7</v>
      </c>
      <c r="Z911" s="3"/>
      <c r="AA911" s="3" t="s">
        <v>783</v>
      </c>
      <c r="AB911" s="3" t="s">
        <v>5828</v>
      </c>
      <c r="AC911" s="3" t="s">
        <v>5862</v>
      </c>
      <c r="AD911" s="3" t="s">
        <v>943</v>
      </c>
      <c r="AE911" s="3" t="s">
        <v>5830</v>
      </c>
      <c r="AF911" s="3" t="s">
        <v>944</v>
      </c>
      <c r="AG911" s="4" t="s">
        <v>841</v>
      </c>
      <c r="AH911" s="4"/>
      <c r="AI911" s="3" t="s">
        <v>5947</v>
      </c>
      <c r="AJ911" s="3">
        <v>2022</v>
      </c>
      <c r="AK911" s="10" t="s">
        <v>5947</v>
      </c>
      <c r="AL911" s="11" t="s">
        <v>6153</v>
      </c>
      <c r="AM911" s="5"/>
      <c r="AN911" s="5"/>
      <c r="AO911" s="3"/>
      <c r="AP911" s="3"/>
      <c r="AQ911" s="3"/>
      <c r="AR911" s="3"/>
      <c r="AS911" s="3"/>
      <c r="AT911" s="3"/>
      <c r="AU911" s="3"/>
      <c r="AV911" s="3"/>
      <c r="AW911" s="3"/>
      <c r="AX911" s="3"/>
      <c r="AY911" s="3"/>
      <c r="AZ911" s="3"/>
      <c r="BA911" s="3"/>
      <c r="BB911" s="3"/>
    </row>
    <row r="912" spans="1:54" x14ac:dyDescent="0.4">
      <c r="A912" s="2" t="s">
        <v>6154</v>
      </c>
      <c r="B912" s="2"/>
      <c r="C912" s="2"/>
      <c r="D912" s="2" t="s">
        <v>54</v>
      </c>
      <c r="E912" s="2"/>
      <c r="F912" s="2" t="s">
        <v>6150</v>
      </c>
      <c r="G912" s="2">
        <v>1</v>
      </c>
      <c r="H912" s="2" t="s">
        <v>5718</v>
      </c>
      <c r="I912" s="3" t="s">
        <v>57</v>
      </c>
      <c r="J912" s="3" t="s">
        <v>5719</v>
      </c>
      <c r="K912" s="3" t="s">
        <v>840</v>
      </c>
      <c r="L912" s="4" t="s">
        <v>841</v>
      </c>
      <c r="M912" s="3" t="s">
        <v>60</v>
      </c>
      <c r="N912" s="4"/>
      <c r="O912" s="4"/>
      <c r="P912" s="3" t="s">
        <v>62</v>
      </c>
      <c r="Q912" s="3"/>
      <c r="R912" s="3" t="s">
        <v>5827</v>
      </c>
      <c r="S912" s="3" t="s">
        <v>64</v>
      </c>
      <c r="T912">
        <v>227</v>
      </c>
      <c r="U912">
        <v>208.5</v>
      </c>
      <c r="V912">
        <f t="shared" si="28"/>
        <v>217.75</v>
      </c>
      <c r="W912">
        <f t="shared" si="29"/>
        <v>18.5</v>
      </c>
      <c r="X912" s="5">
        <v>-53.77</v>
      </c>
      <c r="Y912" s="5">
        <v>-29.7</v>
      </c>
      <c r="Z912" s="3"/>
      <c r="AA912" s="3" t="s">
        <v>783</v>
      </c>
      <c r="AB912" s="3" t="s">
        <v>5828</v>
      </c>
      <c r="AC912" s="3" t="s">
        <v>5862</v>
      </c>
      <c r="AD912" s="3" t="s">
        <v>943</v>
      </c>
      <c r="AE912" s="3" t="s">
        <v>5830</v>
      </c>
      <c r="AF912" s="3" t="s">
        <v>944</v>
      </c>
      <c r="AG912" s="4" t="s">
        <v>841</v>
      </c>
      <c r="AH912" s="4"/>
      <c r="AI912" s="3" t="s">
        <v>5947</v>
      </c>
      <c r="AJ912" s="3">
        <v>2022</v>
      </c>
      <c r="AK912" s="10" t="s">
        <v>5947</v>
      </c>
      <c r="AL912" s="11" t="s">
        <v>6155</v>
      </c>
      <c r="AM912" s="5"/>
      <c r="AN912" s="5"/>
      <c r="AO912" s="3"/>
      <c r="AP912" s="3"/>
      <c r="AQ912" s="3"/>
      <c r="AR912" s="3"/>
      <c r="AS912" s="3"/>
      <c r="AT912" s="3"/>
      <c r="AU912" s="3"/>
      <c r="AV912" s="3"/>
      <c r="AW912" s="3"/>
      <c r="AX912" s="3"/>
      <c r="AY912" s="3"/>
      <c r="AZ912" s="3"/>
      <c r="BA912" s="3"/>
      <c r="BB912" s="3"/>
    </row>
    <row r="913" spans="1:54" x14ac:dyDescent="0.4">
      <c r="A913" s="2" t="s">
        <v>6156</v>
      </c>
      <c r="B913" s="2"/>
      <c r="C913" s="2"/>
      <c r="D913" s="2" t="s">
        <v>54</v>
      </c>
      <c r="E913" s="2"/>
      <c r="F913" s="2" t="s">
        <v>6150</v>
      </c>
      <c r="G913" s="2">
        <v>1</v>
      </c>
      <c r="H913" s="2" t="s">
        <v>5718</v>
      </c>
      <c r="I913" s="3" t="s">
        <v>57</v>
      </c>
      <c r="J913" s="3" t="s">
        <v>5719</v>
      </c>
      <c r="K913" s="3" t="s">
        <v>840</v>
      </c>
      <c r="L913" s="4" t="s">
        <v>841</v>
      </c>
      <c r="M913" s="3" t="s">
        <v>60</v>
      </c>
      <c r="N913" s="4"/>
      <c r="O913" s="4"/>
      <c r="P913" s="3" t="s">
        <v>62</v>
      </c>
      <c r="Q913" s="3"/>
      <c r="R913" s="3" t="s">
        <v>5827</v>
      </c>
      <c r="S913" s="3" t="s">
        <v>64</v>
      </c>
      <c r="T913">
        <v>227</v>
      </c>
      <c r="U913">
        <v>208.5</v>
      </c>
      <c r="V913">
        <f t="shared" si="28"/>
        <v>217.75</v>
      </c>
      <c r="W913">
        <f t="shared" si="29"/>
        <v>18.5</v>
      </c>
      <c r="X913" s="5">
        <v>-53.77</v>
      </c>
      <c r="Y913" s="5">
        <v>-29.7</v>
      </c>
      <c r="Z913" s="3"/>
      <c r="AA913" s="3" t="s">
        <v>783</v>
      </c>
      <c r="AB913" s="3" t="s">
        <v>5828</v>
      </c>
      <c r="AC913" s="3" t="s">
        <v>5862</v>
      </c>
      <c r="AD913" s="3" t="s">
        <v>943</v>
      </c>
      <c r="AE913" s="3" t="s">
        <v>5830</v>
      </c>
      <c r="AF913" s="3" t="s">
        <v>944</v>
      </c>
      <c r="AG913" s="4" t="s">
        <v>841</v>
      </c>
      <c r="AH913" s="4"/>
      <c r="AI913" s="3" t="s">
        <v>5947</v>
      </c>
      <c r="AJ913" s="3">
        <v>2022</v>
      </c>
      <c r="AK913" s="10" t="s">
        <v>5947</v>
      </c>
      <c r="AL913" s="11" t="s">
        <v>6157</v>
      </c>
      <c r="AM913" s="5"/>
      <c r="AN913" s="5"/>
      <c r="AO913" s="3"/>
      <c r="AP913" s="3"/>
      <c r="AQ913" s="3"/>
      <c r="AR913" s="3"/>
      <c r="AS913" s="3"/>
      <c r="AT913" s="3"/>
      <c r="AU913" s="3"/>
      <c r="AV913" s="3"/>
      <c r="AW913" s="3"/>
      <c r="AX913" s="3"/>
      <c r="AY913" s="3"/>
      <c r="AZ913" s="3"/>
      <c r="BA913" s="3"/>
      <c r="BB913" s="3"/>
    </row>
    <row r="914" spans="1:54" x14ac:dyDescent="0.4">
      <c r="A914" s="2" t="s">
        <v>6158</v>
      </c>
      <c r="B914" s="2"/>
      <c r="C914" s="2"/>
      <c r="D914" s="2" t="s">
        <v>54</v>
      </c>
      <c r="E914" s="2"/>
      <c r="F914" s="2" t="s">
        <v>6159</v>
      </c>
      <c r="G914" s="2">
        <v>1</v>
      </c>
      <c r="H914" s="2" t="s">
        <v>5718</v>
      </c>
      <c r="I914" s="3" t="s">
        <v>57</v>
      </c>
      <c r="J914" s="3" t="s">
        <v>5719</v>
      </c>
      <c r="K914" s="3" t="s">
        <v>840</v>
      </c>
      <c r="L914" s="4" t="s">
        <v>841</v>
      </c>
      <c r="M914" s="3" t="s">
        <v>60</v>
      </c>
      <c r="N914" s="4"/>
      <c r="O914" s="4"/>
      <c r="P914" s="3" t="s">
        <v>62</v>
      </c>
      <c r="Q914" s="3"/>
      <c r="R914" s="3" t="s">
        <v>5827</v>
      </c>
      <c r="S914" s="3" t="s">
        <v>64</v>
      </c>
      <c r="T914">
        <v>227</v>
      </c>
      <c r="U914">
        <v>208.5</v>
      </c>
      <c r="V914">
        <f t="shared" si="28"/>
        <v>217.75</v>
      </c>
      <c r="W914">
        <f t="shared" si="29"/>
        <v>18.5</v>
      </c>
      <c r="X914" s="5">
        <v>-53.8</v>
      </c>
      <c r="Y914" s="5">
        <v>-29.68</v>
      </c>
      <c r="Z914" s="3"/>
      <c r="AA914" s="3" t="s">
        <v>783</v>
      </c>
      <c r="AB914" s="3" t="s">
        <v>5828</v>
      </c>
      <c r="AC914" s="3" t="s">
        <v>5862</v>
      </c>
      <c r="AD914" s="3" t="s">
        <v>943</v>
      </c>
      <c r="AE914" s="3" t="s">
        <v>5830</v>
      </c>
      <c r="AF914" s="3" t="s">
        <v>944</v>
      </c>
      <c r="AG914" s="4" t="s">
        <v>841</v>
      </c>
      <c r="AH914" s="4"/>
      <c r="AI914" s="3" t="s">
        <v>5947</v>
      </c>
      <c r="AJ914" s="3">
        <v>2022</v>
      </c>
      <c r="AK914" s="10" t="s">
        <v>5947</v>
      </c>
      <c r="AL914" s="11" t="s">
        <v>6160</v>
      </c>
      <c r="AM914" s="5"/>
      <c r="AN914" s="5"/>
      <c r="AO914" s="3"/>
      <c r="AP914" s="3"/>
      <c r="AQ914" s="3"/>
      <c r="AR914" s="3"/>
      <c r="AS914" s="3"/>
      <c r="AT914" s="3"/>
      <c r="AU914" s="3"/>
      <c r="AV914" s="3"/>
      <c r="AW914" s="3"/>
      <c r="AX914" s="3"/>
      <c r="AY914" s="3"/>
      <c r="AZ914" s="3"/>
      <c r="BA914" s="3"/>
      <c r="BB914" s="3"/>
    </row>
    <row r="915" spans="1:54" x14ac:dyDescent="0.4">
      <c r="A915" s="2" t="s">
        <v>6161</v>
      </c>
      <c r="B915" s="2"/>
      <c r="C915" s="2"/>
      <c r="D915" s="2" t="s">
        <v>54</v>
      </c>
      <c r="E915" s="2"/>
      <c r="F915" s="2" t="s">
        <v>6162</v>
      </c>
      <c r="G915" s="2">
        <v>1</v>
      </c>
      <c r="H915" s="2" t="s">
        <v>5718</v>
      </c>
      <c r="I915" s="3" t="s">
        <v>57</v>
      </c>
      <c r="J915" s="3" t="s">
        <v>5719</v>
      </c>
      <c r="K915" s="3" t="s">
        <v>840</v>
      </c>
      <c r="L915" s="4" t="s">
        <v>841</v>
      </c>
      <c r="M915" s="3" t="s">
        <v>60</v>
      </c>
      <c r="N915" s="4"/>
      <c r="O915" s="4"/>
      <c r="P915" s="3" t="s">
        <v>62</v>
      </c>
      <c r="Q915" s="3"/>
      <c r="R915" s="3" t="s">
        <v>5827</v>
      </c>
      <c r="S915" s="3" t="s">
        <v>64</v>
      </c>
      <c r="T915">
        <v>227</v>
      </c>
      <c r="U915">
        <v>208.5</v>
      </c>
      <c r="V915">
        <f t="shared" si="28"/>
        <v>217.75</v>
      </c>
      <c r="W915">
        <f t="shared" si="29"/>
        <v>18.5</v>
      </c>
      <c r="X915" s="5">
        <v>-53.8</v>
      </c>
      <c r="Y915" s="5">
        <v>-29.8</v>
      </c>
      <c r="Z915" s="3"/>
      <c r="AA915" s="3" t="s">
        <v>783</v>
      </c>
      <c r="AB915" s="3" t="s">
        <v>5828</v>
      </c>
      <c r="AC915" s="3" t="s">
        <v>5720</v>
      </c>
      <c r="AD915" s="3" t="s">
        <v>943</v>
      </c>
      <c r="AE915" s="3" t="s">
        <v>5830</v>
      </c>
      <c r="AF915" s="3" t="s">
        <v>944</v>
      </c>
      <c r="AG915" s="4" t="s">
        <v>841</v>
      </c>
      <c r="AH915" s="4"/>
      <c r="AI915" s="3" t="s">
        <v>5841</v>
      </c>
      <c r="AJ915" s="3" t="s">
        <v>5720</v>
      </c>
      <c r="AK915" s="10" t="s">
        <v>5841</v>
      </c>
      <c r="AL915" s="11" t="s">
        <v>6163</v>
      </c>
      <c r="AM915" s="5"/>
      <c r="AN915" s="5"/>
      <c r="AO915" s="3"/>
      <c r="AP915" s="3"/>
      <c r="AQ915" s="3"/>
      <c r="AR915" s="3"/>
      <c r="AS915" s="3"/>
      <c r="AT915" s="3"/>
      <c r="AU915" s="3"/>
      <c r="AV915" s="3"/>
      <c r="AW915" s="3"/>
      <c r="AX915" s="3"/>
      <c r="AY915" s="3"/>
      <c r="AZ915" s="3"/>
      <c r="BA915" s="3"/>
      <c r="BB915" s="3"/>
    </row>
    <row r="916" spans="1:54" x14ac:dyDescent="0.4">
      <c r="A916" s="2" t="s">
        <v>6164</v>
      </c>
      <c r="B916" s="2"/>
      <c r="C916" s="2"/>
      <c r="D916" s="2" t="s">
        <v>54</v>
      </c>
      <c r="E916" s="2"/>
      <c r="F916" s="2" t="s">
        <v>6165</v>
      </c>
      <c r="G916" s="2">
        <v>1</v>
      </c>
      <c r="H916" s="2" t="s">
        <v>5718</v>
      </c>
      <c r="I916" s="3" t="s">
        <v>57</v>
      </c>
      <c r="J916" s="3" t="s">
        <v>5719</v>
      </c>
      <c r="K916" s="3" t="s">
        <v>840</v>
      </c>
      <c r="L916" s="3" t="s">
        <v>841</v>
      </c>
      <c r="M916" s="3" t="s">
        <v>60</v>
      </c>
      <c r="N916" s="3"/>
      <c r="O916" s="3"/>
      <c r="P916" s="3" t="s">
        <v>62</v>
      </c>
      <c r="Q916" s="3"/>
      <c r="R916" s="3" t="s">
        <v>5827</v>
      </c>
      <c r="S916" s="3" t="s">
        <v>64</v>
      </c>
      <c r="T916">
        <v>227</v>
      </c>
      <c r="U916">
        <v>208.5</v>
      </c>
      <c r="V916">
        <f t="shared" si="28"/>
        <v>217.75</v>
      </c>
      <c r="W916">
        <f t="shared" si="29"/>
        <v>18.5</v>
      </c>
      <c r="X916" s="5">
        <v>-53.8</v>
      </c>
      <c r="Y916" s="5">
        <v>-29.8</v>
      </c>
      <c r="Z916" s="3"/>
      <c r="AA916" s="3" t="s">
        <v>783</v>
      </c>
      <c r="AB916" s="3" t="s">
        <v>5828</v>
      </c>
      <c r="AC916" s="3" t="s">
        <v>5720</v>
      </c>
      <c r="AD916" s="3" t="s">
        <v>943</v>
      </c>
      <c r="AE916" s="3" t="s">
        <v>5830</v>
      </c>
      <c r="AF916" s="3" t="s">
        <v>944</v>
      </c>
      <c r="AG916" s="4" t="s">
        <v>841</v>
      </c>
      <c r="AH916" s="4"/>
      <c r="AI916" s="3" t="s">
        <v>5841</v>
      </c>
      <c r="AJ916" s="3" t="s">
        <v>5720</v>
      </c>
      <c r="AK916" s="10" t="s">
        <v>5841</v>
      </c>
      <c r="AL916" s="11" t="s">
        <v>6166</v>
      </c>
      <c r="AM916" s="5"/>
      <c r="AN916" s="5"/>
      <c r="AO916" s="3"/>
      <c r="AP916" s="3"/>
      <c r="AQ916" s="3"/>
      <c r="AR916" s="3"/>
      <c r="AS916" s="3"/>
      <c r="AT916" s="3"/>
      <c r="AU916" s="3"/>
      <c r="AV916" s="3"/>
      <c r="AW916" s="3"/>
      <c r="AX916" s="3"/>
      <c r="AY916" s="3"/>
      <c r="AZ916" s="3"/>
      <c r="BA916" s="3"/>
      <c r="BB916" s="3"/>
    </row>
    <row r="917" spans="1:54" x14ac:dyDescent="0.4">
      <c r="A917" s="2" t="s">
        <v>6167</v>
      </c>
      <c r="B917" s="2"/>
      <c r="C917" s="2"/>
      <c r="D917" s="2" t="s">
        <v>54</v>
      </c>
      <c r="E917" s="2"/>
      <c r="F917" s="2" t="s">
        <v>6168</v>
      </c>
      <c r="G917" s="2">
        <v>1</v>
      </c>
      <c r="H917" s="2" t="s">
        <v>5718</v>
      </c>
      <c r="I917" s="3" t="s">
        <v>57</v>
      </c>
      <c r="J917" s="3" t="s">
        <v>5719</v>
      </c>
      <c r="K917" s="3" t="s">
        <v>840</v>
      </c>
      <c r="L917" s="4" t="s">
        <v>841</v>
      </c>
      <c r="M917" s="3" t="s">
        <v>60</v>
      </c>
      <c r="N917" s="4"/>
      <c r="O917" s="4"/>
      <c r="P917" s="3" t="s">
        <v>62</v>
      </c>
      <c r="Q917" s="3"/>
      <c r="R917" s="3" t="s">
        <v>5827</v>
      </c>
      <c r="S917" s="3" t="s">
        <v>64</v>
      </c>
      <c r="T917">
        <v>227</v>
      </c>
      <c r="U917">
        <v>208.5</v>
      </c>
      <c r="V917">
        <f t="shared" si="28"/>
        <v>217.75</v>
      </c>
      <c r="W917">
        <f t="shared" si="29"/>
        <v>18.5</v>
      </c>
      <c r="X917" s="5">
        <v>-53.47</v>
      </c>
      <c r="Y917" s="5">
        <v>-29.65</v>
      </c>
      <c r="Z917" s="3"/>
      <c r="AA917" s="3" t="s">
        <v>783</v>
      </c>
      <c r="AB917" s="3" t="s">
        <v>5828</v>
      </c>
      <c r="AC917" s="3" t="s">
        <v>6169</v>
      </c>
      <c r="AD917" s="3" t="s">
        <v>943</v>
      </c>
      <c r="AE917" s="3" t="s">
        <v>5830</v>
      </c>
      <c r="AF917" s="3" t="s">
        <v>944</v>
      </c>
      <c r="AG917" s="4" t="s">
        <v>841</v>
      </c>
      <c r="AH917" s="4"/>
      <c r="AI917" s="3" t="s">
        <v>5841</v>
      </c>
      <c r="AJ917" s="3" t="s">
        <v>5720</v>
      </c>
      <c r="AK917" s="10" t="s">
        <v>5841</v>
      </c>
      <c r="AL917" s="11" t="s">
        <v>6170</v>
      </c>
      <c r="AM917" s="5"/>
      <c r="AN917" s="5"/>
      <c r="AO917" s="3"/>
      <c r="AP917" s="3"/>
      <c r="AQ917" s="3"/>
      <c r="AR917" s="3"/>
      <c r="AS917" s="3"/>
      <c r="AT917" s="3"/>
      <c r="AU917" s="3"/>
      <c r="AV917" s="3"/>
      <c r="AW917" s="3"/>
      <c r="AX917" s="3"/>
      <c r="AY917" s="3"/>
      <c r="AZ917" s="3"/>
      <c r="BA917" s="3"/>
      <c r="BB917" s="3"/>
    </row>
    <row r="918" spans="1:54" x14ac:dyDescent="0.4">
      <c r="A918" s="2" t="s">
        <v>6171</v>
      </c>
      <c r="B918" s="2"/>
      <c r="C918" s="2"/>
      <c r="D918" s="2" t="s">
        <v>54</v>
      </c>
      <c r="E918" s="2"/>
      <c r="F918" s="2" t="s">
        <v>6172</v>
      </c>
      <c r="G918" s="2">
        <v>1</v>
      </c>
      <c r="H918" s="2" t="s">
        <v>5718</v>
      </c>
      <c r="I918" s="3" t="s">
        <v>57</v>
      </c>
      <c r="J918" s="3" t="s">
        <v>5719</v>
      </c>
      <c r="K918" s="3" t="s">
        <v>840</v>
      </c>
      <c r="L918" s="3" t="s">
        <v>841</v>
      </c>
      <c r="M918" s="3" t="s">
        <v>60</v>
      </c>
      <c r="N918" s="3"/>
      <c r="O918" s="3"/>
      <c r="P918" s="3" t="s">
        <v>62</v>
      </c>
      <c r="Q918" s="3"/>
      <c r="R918" s="3" t="s">
        <v>5827</v>
      </c>
      <c r="S918" s="3" t="s">
        <v>64</v>
      </c>
      <c r="T918">
        <v>227</v>
      </c>
      <c r="U918">
        <v>208.5</v>
      </c>
      <c r="V918">
        <f t="shared" si="28"/>
        <v>217.75</v>
      </c>
      <c r="W918">
        <f t="shared" si="29"/>
        <v>18.5</v>
      </c>
      <c r="X918" s="5">
        <v>-53.43</v>
      </c>
      <c r="Y918" s="5">
        <v>-29.66</v>
      </c>
      <c r="Z918" s="3"/>
      <c r="AA918" s="3" t="s">
        <v>783</v>
      </c>
      <c r="AB918" s="3" t="s">
        <v>5828</v>
      </c>
      <c r="AC918" s="3" t="s">
        <v>4632</v>
      </c>
      <c r="AD918" s="3" t="s">
        <v>943</v>
      </c>
      <c r="AE918" s="3" t="s">
        <v>5830</v>
      </c>
      <c r="AF918" s="3" t="s">
        <v>944</v>
      </c>
      <c r="AG918" s="4" t="s">
        <v>841</v>
      </c>
      <c r="AH918" s="4"/>
      <c r="AI918" s="3" t="s">
        <v>5720</v>
      </c>
      <c r="AJ918" s="3" t="s">
        <v>5720</v>
      </c>
      <c r="AK918" s="10" t="s">
        <v>5849</v>
      </c>
      <c r="AL918" s="11" t="s">
        <v>6173</v>
      </c>
      <c r="AM918" s="5"/>
      <c r="AN918" s="5"/>
      <c r="AO918" s="3"/>
      <c r="AP918" s="3"/>
      <c r="AQ918" s="3"/>
      <c r="AR918" s="3"/>
      <c r="AS918" s="3"/>
      <c r="AT918" s="3"/>
      <c r="AU918" s="3"/>
      <c r="AV918" s="3"/>
      <c r="AW918" s="3"/>
      <c r="AX918" s="3"/>
      <c r="AY918" s="3"/>
      <c r="AZ918" s="3"/>
      <c r="BA918" s="3"/>
      <c r="BB918" s="3"/>
    </row>
    <row r="919" spans="1:54" x14ac:dyDescent="0.4">
      <c r="A919" s="2" t="s">
        <v>6174</v>
      </c>
      <c r="B919" s="2"/>
      <c r="C919" s="2"/>
      <c r="D919" s="2" t="s">
        <v>54</v>
      </c>
      <c r="E919" s="2"/>
      <c r="F919" s="2" t="s">
        <v>6172</v>
      </c>
      <c r="G919" s="2">
        <v>1</v>
      </c>
      <c r="H919" s="2" t="s">
        <v>5718</v>
      </c>
      <c r="I919" s="3" t="s">
        <v>57</v>
      </c>
      <c r="J919" s="3" t="s">
        <v>5719</v>
      </c>
      <c r="K919" s="3" t="s">
        <v>840</v>
      </c>
      <c r="L919" s="3" t="s">
        <v>841</v>
      </c>
      <c r="M919" s="3" t="s">
        <v>60</v>
      </c>
      <c r="N919" s="3"/>
      <c r="O919" s="3"/>
      <c r="P919" s="3" t="s">
        <v>62</v>
      </c>
      <c r="Q919" s="3"/>
      <c r="R919" s="3" t="s">
        <v>5827</v>
      </c>
      <c r="S919" s="3" t="s">
        <v>64</v>
      </c>
      <c r="T919">
        <v>227</v>
      </c>
      <c r="U919">
        <v>208.5</v>
      </c>
      <c r="V919">
        <f t="shared" si="28"/>
        <v>217.75</v>
      </c>
      <c r="W919">
        <f t="shared" si="29"/>
        <v>18.5</v>
      </c>
      <c r="X919" s="5">
        <v>-53.43</v>
      </c>
      <c r="Y919" s="5">
        <v>-29.66</v>
      </c>
      <c r="Z919" s="3"/>
      <c r="AA919" s="3" t="s">
        <v>783</v>
      </c>
      <c r="AB919" s="3" t="s">
        <v>5828</v>
      </c>
      <c r="AC919" s="3" t="s">
        <v>4632</v>
      </c>
      <c r="AD919" s="3" t="s">
        <v>943</v>
      </c>
      <c r="AE919" s="3" t="s">
        <v>5830</v>
      </c>
      <c r="AF919" s="3" t="s">
        <v>944</v>
      </c>
      <c r="AG919" s="4" t="s">
        <v>841</v>
      </c>
      <c r="AH919" s="4"/>
      <c r="AI919" s="3" t="s">
        <v>5720</v>
      </c>
      <c r="AJ919" s="3" t="s">
        <v>5720</v>
      </c>
      <c r="AK919" s="10" t="s">
        <v>5849</v>
      </c>
      <c r="AL919" s="11" t="s">
        <v>6175</v>
      </c>
      <c r="AM919" s="5"/>
      <c r="AN919" s="5"/>
      <c r="AO919" s="3"/>
      <c r="AP919" s="3"/>
      <c r="AQ919" s="3"/>
      <c r="AR919" s="3"/>
      <c r="AS919" s="3"/>
      <c r="AT919" s="3"/>
      <c r="AU919" s="3"/>
      <c r="AV919" s="3"/>
      <c r="AW919" s="3"/>
      <c r="AX919" s="3"/>
      <c r="AY919" s="3"/>
      <c r="AZ919" s="3"/>
      <c r="BA919" s="3"/>
      <c r="BB919" s="3"/>
    </row>
    <row r="920" spans="1:54" x14ac:dyDescent="0.4">
      <c r="A920" s="2" t="s">
        <v>6176</v>
      </c>
      <c r="B920" s="2"/>
      <c r="C920" s="2"/>
      <c r="D920" s="2" t="s">
        <v>54</v>
      </c>
      <c r="E920" s="2"/>
      <c r="F920" s="2" t="s">
        <v>6172</v>
      </c>
      <c r="G920" s="2">
        <v>1</v>
      </c>
      <c r="H920" s="2" t="s">
        <v>5718</v>
      </c>
      <c r="I920" s="3" t="s">
        <v>57</v>
      </c>
      <c r="J920" s="3" t="s">
        <v>5719</v>
      </c>
      <c r="K920" s="3" t="s">
        <v>840</v>
      </c>
      <c r="L920" s="3" t="s">
        <v>841</v>
      </c>
      <c r="M920" s="3" t="s">
        <v>60</v>
      </c>
      <c r="N920" s="3"/>
      <c r="O920" s="3"/>
      <c r="P920" s="3" t="s">
        <v>62</v>
      </c>
      <c r="Q920" s="3"/>
      <c r="R920" s="3" t="s">
        <v>5827</v>
      </c>
      <c r="S920" s="3" t="s">
        <v>64</v>
      </c>
      <c r="T920">
        <v>227</v>
      </c>
      <c r="U920">
        <v>208.5</v>
      </c>
      <c r="V920">
        <f t="shared" si="28"/>
        <v>217.75</v>
      </c>
      <c r="W920">
        <f t="shared" si="29"/>
        <v>18.5</v>
      </c>
      <c r="X920" s="5">
        <v>-53.43</v>
      </c>
      <c r="Y920" s="5">
        <v>-29.66</v>
      </c>
      <c r="Z920" s="3"/>
      <c r="AA920" s="3" t="s">
        <v>783</v>
      </c>
      <c r="AB920" s="3" t="s">
        <v>5828</v>
      </c>
      <c r="AC920" s="3" t="s">
        <v>4632</v>
      </c>
      <c r="AD920" s="3" t="s">
        <v>943</v>
      </c>
      <c r="AE920" s="3" t="s">
        <v>5830</v>
      </c>
      <c r="AF920" s="3" t="s">
        <v>944</v>
      </c>
      <c r="AG920" s="4" t="s">
        <v>841</v>
      </c>
      <c r="AH920" s="4"/>
      <c r="AI920" s="3" t="s">
        <v>5720</v>
      </c>
      <c r="AJ920" s="3" t="s">
        <v>5720</v>
      </c>
      <c r="AK920" s="10" t="s">
        <v>5849</v>
      </c>
      <c r="AL920" s="11" t="s">
        <v>6177</v>
      </c>
      <c r="AM920" s="5"/>
      <c r="AN920" s="5"/>
      <c r="AO920" s="3"/>
      <c r="AP920" s="3"/>
      <c r="AQ920" s="3"/>
      <c r="AR920" s="3"/>
      <c r="AS920" s="3"/>
      <c r="AT920" s="3"/>
      <c r="AU920" s="3"/>
      <c r="AV920" s="3"/>
      <c r="AW920" s="3"/>
      <c r="AX920" s="3"/>
      <c r="AY920" s="3"/>
      <c r="AZ920" s="3"/>
      <c r="BA920" s="3"/>
      <c r="BB920" s="3"/>
    </row>
    <row r="921" spans="1:54" x14ac:dyDescent="0.4">
      <c r="A921" s="2" t="s">
        <v>6178</v>
      </c>
      <c r="B921" s="2"/>
      <c r="C921" s="2"/>
      <c r="D921" s="2" t="s">
        <v>54</v>
      </c>
      <c r="E921" s="2"/>
      <c r="F921" s="2" t="s">
        <v>6172</v>
      </c>
      <c r="G921" s="2">
        <v>1</v>
      </c>
      <c r="H921" s="2" t="s">
        <v>5718</v>
      </c>
      <c r="I921" s="3" t="s">
        <v>57</v>
      </c>
      <c r="J921" s="3" t="s">
        <v>5719</v>
      </c>
      <c r="K921" s="3" t="s">
        <v>840</v>
      </c>
      <c r="L921" s="3" t="s">
        <v>841</v>
      </c>
      <c r="M921" s="3" t="s">
        <v>60</v>
      </c>
      <c r="N921" s="3"/>
      <c r="O921" s="3"/>
      <c r="P921" s="3" t="s">
        <v>62</v>
      </c>
      <c r="Q921" s="3"/>
      <c r="R921" s="3" t="s">
        <v>5827</v>
      </c>
      <c r="S921" s="3" t="s">
        <v>64</v>
      </c>
      <c r="T921">
        <v>227</v>
      </c>
      <c r="U921">
        <v>208.5</v>
      </c>
      <c r="V921">
        <f t="shared" si="28"/>
        <v>217.75</v>
      </c>
      <c r="W921">
        <f t="shared" si="29"/>
        <v>18.5</v>
      </c>
      <c r="X921" s="5">
        <v>-53.43</v>
      </c>
      <c r="Y921" s="5">
        <v>-29.66</v>
      </c>
      <c r="Z921" s="3"/>
      <c r="AA921" s="3" t="s">
        <v>783</v>
      </c>
      <c r="AB921" s="3" t="s">
        <v>5828</v>
      </c>
      <c r="AC921" s="3" t="s">
        <v>4632</v>
      </c>
      <c r="AD921" s="3" t="s">
        <v>943</v>
      </c>
      <c r="AE921" s="3" t="s">
        <v>5830</v>
      </c>
      <c r="AF921" s="3" t="s">
        <v>944</v>
      </c>
      <c r="AG921" s="4" t="s">
        <v>841</v>
      </c>
      <c r="AH921" s="4"/>
      <c r="AI921" s="3" t="s">
        <v>5720</v>
      </c>
      <c r="AJ921" s="3" t="s">
        <v>5720</v>
      </c>
      <c r="AK921" s="10" t="s">
        <v>5849</v>
      </c>
      <c r="AL921" s="11" t="s">
        <v>6179</v>
      </c>
      <c r="AM921" s="5"/>
      <c r="AN921" s="5"/>
      <c r="AO921" s="3"/>
      <c r="AP921" s="3"/>
      <c r="AQ921" s="3"/>
      <c r="AR921" s="3"/>
      <c r="AS921" s="3"/>
      <c r="AT921" s="3"/>
      <c r="AU921" s="3"/>
      <c r="AV921" s="3"/>
      <c r="AW921" s="3"/>
      <c r="AX921" s="3"/>
      <c r="AY921" s="3"/>
      <c r="AZ921" s="3"/>
      <c r="BA921" s="3"/>
      <c r="BB921" s="3"/>
    </row>
    <row r="922" spans="1:54" x14ac:dyDescent="0.4">
      <c r="A922" s="2" t="s">
        <v>6180</v>
      </c>
      <c r="B922" s="2"/>
      <c r="C922" s="2"/>
      <c r="D922" s="2" t="s">
        <v>54</v>
      </c>
      <c r="E922" s="2"/>
      <c r="F922" s="2" t="s">
        <v>6181</v>
      </c>
      <c r="G922" s="2">
        <v>1</v>
      </c>
      <c r="H922" s="2" t="s">
        <v>5718</v>
      </c>
      <c r="I922" s="3" t="s">
        <v>57</v>
      </c>
      <c r="J922" s="3" t="s">
        <v>5719</v>
      </c>
      <c r="K922" s="3" t="s">
        <v>840</v>
      </c>
      <c r="L922" s="4" t="s">
        <v>841</v>
      </c>
      <c r="M922" s="3" t="s">
        <v>60</v>
      </c>
      <c r="N922" s="4"/>
      <c r="O922" s="4"/>
      <c r="P922" s="3" t="s">
        <v>62</v>
      </c>
      <c r="Q922" s="3"/>
      <c r="R922" s="3" t="s">
        <v>5827</v>
      </c>
      <c r="S922" s="3" t="s">
        <v>64</v>
      </c>
      <c r="T922">
        <v>227</v>
      </c>
      <c r="U922">
        <v>208.5</v>
      </c>
      <c r="V922">
        <f t="shared" si="28"/>
        <v>217.75</v>
      </c>
      <c r="W922">
        <f t="shared" si="29"/>
        <v>18.5</v>
      </c>
      <c r="X922" s="5">
        <v>-53.83</v>
      </c>
      <c r="Y922" s="5">
        <v>-29.67</v>
      </c>
      <c r="Z922" s="3"/>
      <c r="AA922" s="3" t="s">
        <v>783</v>
      </c>
      <c r="AB922" s="3" t="s">
        <v>5828</v>
      </c>
      <c r="AC922" s="3" t="s">
        <v>6182</v>
      </c>
      <c r="AD922" s="3" t="s">
        <v>943</v>
      </c>
      <c r="AE922" s="3" t="s">
        <v>5830</v>
      </c>
      <c r="AF922" s="3" t="s">
        <v>944</v>
      </c>
      <c r="AG922" s="4" t="s">
        <v>841</v>
      </c>
      <c r="AH922" s="4"/>
      <c r="AI922" s="3" t="s">
        <v>6183</v>
      </c>
      <c r="AJ922" s="3" t="s">
        <v>5720</v>
      </c>
      <c r="AK922" s="3" t="s">
        <v>6184</v>
      </c>
      <c r="AL922" s="11" t="s">
        <v>6185</v>
      </c>
      <c r="AM922" s="5"/>
      <c r="AN922" s="5"/>
      <c r="AO922" s="3"/>
      <c r="AP922" s="3"/>
      <c r="AQ922" s="3"/>
      <c r="AR922" s="3"/>
      <c r="AS922" s="3"/>
      <c r="AT922" s="3"/>
      <c r="AU922" s="3"/>
      <c r="AV922" s="3"/>
      <c r="AW922" s="3"/>
      <c r="AX922" s="3"/>
      <c r="AY922" s="3"/>
      <c r="AZ922" s="3"/>
      <c r="BA922" s="3"/>
      <c r="BB922" s="3"/>
    </row>
    <row r="923" spans="1:54" x14ac:dyDescent="0.4">
      <c r="A923" s="2" t="s">
        <v>6186</v>
      </c>
      <c r="B923" s="2"/>
      <c r="C923" s="2"/>
      <c r="D923" s="2" t="s">
        <v>54</v>
      </c>
      <c r="E923" s="2"/>
      <c r="F923" s="2" t="s">
        <v>6187</v>
      </c>
      <c r="G923" s="2">
        <v>1</v>
      </c>
      <c r="H923" s="2" t="s">
        <v>5718</v>
      </c>
      <c r="I923" s="3" t="s">
        <v>57</v>
      </c>
      <c r="J923" s="3" t="s">
        <v>5719</v>
      </c>
      <c r="K923" s="3" t="s">
        <v>840</v>
      </c>
      <c r="L923" s="4" t="s">
        <v>841</v>
      </c>
      <c r="M923" s="3" t="s">
        <v>60</v>
      </c>
      <c r="N923" s="4"/>
      <c r="O923" s="4"/>
      <c r="P923" s="3" t="s">
        <v>62</v>
      </c>
      <c r="Q923" s="3"/>
      <c r="R923" s="3" t="s">
        <v>5827</v>
      </c>
      <c r="S923" s="3" t="s">
        <v>64</v>
      </c>
      <c r="T923">
        <v>227</v>
      </c>
      <c r="U923">
        <v>208.5</v>
      </c>
      <c r="V923">
        <f t="shared" si="28"/>
        <v>217.75</v>
      </c>
      <c r="W923">
        <f t="shared" si="29"/>
        <v>18.5</v>
      </c>
      <c r="X923" s="5">
        <v>-53.8</v>
      </c>
      <c r="Y923" s="5">
        <v>-29.8</v>
      </c>
      <c r="Z923" s="3"/>
      <c r="AA923" s="3" t="s">
        <v>783</v>
      </c>
      <c r="AB923" s="3" t="s">
        <v>5828</v>
      </c>
      <c r="AC923" s="3" t="s">
        <v>5720</v>
      </c>
      <c r="AD923" s="3" t="s">
        <v>943</v>
      </c>
      <c r="AE923" s="3" t="s">
        <v>5830</v>
      </c>
      <c r="AF923" s="3" t="s">
        <v>944</v>
      </c>
      <c r="AG923" s="4" t="s">
        <v>841</v>
      </c>
      <c r="AH923" s="4"/>
      <c r="AI923" s="3" t="s">
        <v>6183</v>
      </c>
      <c r="AJ923" s="3" t="s">
        <v>5720</v>
      </c>
      <c r="AK923" s="3" t="s">
        <v>6184</v>
      </c>
      <c r="AL923" s="11" t="s">
        <v>6188</v>
      </c>
      <c r="AM923" s="5"/>
      <c r="AN923" s="5"/>
      <c r="AO923" s="3"/>
      <c r="AP923" s="3"/>
      <c r="AQ923" s="3"/>
      <c r="AR923" s="3"/>
      <c r="AS923" s="3"/>
      <c r="AT923" s="3"/>
      <c r="AU923" s="3"/>
      <c r="AV923" s="3"/>
      <c r="AW923" s="3"/>
      <c r="AX923" s="3"/>
      <c r="AY923" s="3"/>
      <c r="AZ923" s="3"/>
      <c r="BA923" s="3"/>
      <c r="BB923" s="3"/>
    </row>
    <row r="924" spans="1:54" x14ac:dyDescent="0.4">
      <c r="A924" s="2" t="s">
        <v>6189</v>
      </c>
      <c r="B924" s="2"/>
      <c r="C924" s="2"/>
      <c r="D924" s="2" t="s">
        <v>54</v>
      </c>
      <c r="E924" s="2"/>
      <c r="F924" s="2" t="s">
        <v>6190</v>
      </c>
      <c r="G924" s="2">
        <v>1</v>
      </c>
      <c r="H924" s="2" t="s">
        <v>5718</v>
      </c>
      <c r="I924" s="3" t="s">
        <v>57</v>
      </c>
      <c r="J924" s="3" t="s">
        <v>5719</v>
      </c>
      <c r="K924" s="3" t="s">
        <v>840</v>
      </c>
      <c r="L924" s="4" t="s">
        <v>841</v>
      </c>
      <c r="M924" s="3" t="s">
        <v>60</v>
      </c>
      <c r="N924" s="4"/>
      <c r="O924" s="4"/>
      <c r="P924" s="3" t="s">
        <v>62</v>
      </c>
      <c r="Q924" s="3"/>
      <c r="R924" s="3" t="s">
        <v>5827</v>
      </c>
      <c r="S924" s="3" t="s">
        <v>64</v>
      </c>
      <c r="T924">
        <v>227</v>
      </c>
      <c r="U924">
        <v>208.5</v>
      </c>
      <c r="V924">
        <f t="shared" si="28"/>
        <v>217.75</v>
      </c>
      <c r="W924">
        <f t="shared" si="29"/>
        <v>18.5</v>
      </c>
      <c r="X924" s="5">
        <v>-53.04</v>
      </c>
      <c r="Y924" s="5">
        <v>-30.96</v>
      </c>
      <c r="Z924" s="3"/>
      <c r="AA924" s="3" t="s">
        <v>783</v>
      </c>
      <c r="AB924" s="3" t="s">
        <v>5828</v>
      </c>
      <c r="AC924" s="3" t="s">
        <v>6191</v>
      </c>
      <c r="AD924" s="3" t="s">
        <v>943</v>
      </c>
      <c r="AE924" s="3" t="s">
        <v>5830</v>
      </c>
      <c r="AF924" s="3" t="s">
        <v>944</v>
      </c>
      <c r="AG924" s="4" t="s">
        <v>841</v>
      </c>
      <c r="AH924" s="4"/>
      <c r="AI924" s="3" t="s">
        <v>6183</v>
      </c>
      <c r="AJ924" s="3" t="s">
        <v>5720</v>
      </c>
      <c r="AK924" s="3" t="s">
        <v>6184</v>
      </c>
      <c r="AL924" s="11" t="s">
        <v>6192</v>
      </c>
      <c r="AM924" s="5"/>
      <c r="AN924" s="5"/>
      <c r="AO924" s="3"/>
      <c r="AP924" s="3"/>
      <c r="AQ924" s="3"/>
      <c r="AR924" s="3"/>
      <c r="AS924" s="3"/>
      <c r="AT924" s="3"/>
      <c r="AU924" s="3"/>
      <c r="AV924" s="3"/>
      <c r="AW924" s="3"/>
      <c r="AX924" s="3"/>
      <c r="AY924" s="3"/>
      <c r="AZ924" s="3"/>
      <c r="BA924" s="3"/>
      <c r="BB924" s="3"/>
    </row>
    <row r="925" spans="1:54" x14ac:dyDescent="0.4">
      <c r="A925" s="2" t="s">
        <v>6193</v>
      </c>
      <c r="B925" s="2"/>
      <c r="C925" s="2"/>
      <c r="D925" s="2" t="s">
        <v>54</v>
      </c>
      <c r="E925" s="2"/>
      <c r="F925" s="2" t="s">
        <v>6112</v>
      </c>
      <c r="G925" s="2">
        <v>1</v>
      </c>
      <c r="H925" s="2" t="s">
        <v>5718</v>
      </c>
      <c r="I925" s="3" t="s">
        <v>57</v>
      </c>
      <c r="J925" s="3" t="s">
        <v>5719</v>
      </c>
      <c r="K925" s="3" t="s">
        <v>840</v>
      </c>
      <c r="L925" s="4" t="s">
        <v>841</v>
      </c>
      <c r="M925" s="3" t="s">
        <v>60</v>
      </c>
      <c r="N925" s="4"/>
      <c r="O925" s="4"/>
      <c r="P925" s="3" t="s">
        <v>62</v>
      </c>
      <c r="Q925" s="3"/>
      <c r="R925" s="3" t="s">
        <v>5827</v>
      </c>
      <c r="S925" s="3" t="s">
        <v>64</v>
      </c>
      <c r="T925">
        <v>227</v>
      </c>
      <c r="U925">
        <v>208.5</v>
      </c>
      <c r="V925">
        <f t="shared" si="28"/>
        <v>217.75</v>
      </c>
      <c r="W925">
        <f t="shared" si="29"/>
        <v>18.5</v>
      </c>
      <c r="X925" s="5">
        <v>-53.83</v>
      </c>
      <c r="Y925" s="5">
        <v>-29.67</v>
      </c>
      <c r="Z925" s="3"/>
      <c r="AA925" s="3" t="s">
        <v>783</v>
      </c>
      <c r="AB925" s="3" t="s">
        <v>5828</v>
      </c>
      <c r="AC925" s="3" t="s">
        <v>6182</v>
      </c>
      <c r="AD925" s="3" t="s">
        <v>943</v>
      </c>
      <c r="AE925" s="3" t="s">
        <v>5830</v>
      </c>
      <c r="AF925" s="3" t="s">
        <v>944</v>
      </c>
      <c r="AG925" s="4" t="s">
        <v>841</v>
      </c>
      <c r="AH925" s="4"/>
      <c r="AI925" s="3" t="s">
        <v>6183</v>
      </c>
      <c r="AJ925" s="3" t="s">
        <v>5720</v>
      </c>
      <c r="AK925" s="3" t="s">
        <v>6184</v>
      </c>
      <c r="AL925" s="11" t="s">
        <v>6194</v>
      </c>
      <c r="AM925" s="5"/>
      <c r="AN925" s="5"/>
      <c r="AO925" s="3"/>
      <c r="AP925" s="3"/>
      <c r="AQ925" s="3"/>
      <c r="AR925" s="3"/>
      <c r="AS925" s="3"/>
      <c r="AT925" s="3"/>
      <c r="AU925" s="3"/>
      <c r="AV925" s="3"/>
      <c r="AW925" s="3"/>
      <c r="AX925" s="3"/>
      <c r="AY925" s="3"/>
      <c r="AZ925" s="3"/>
      <c r="BA925" s="3"/>
      <c r="BB925" s="3"/>
    </row>
    <row r="926" spans="1:54" x14ac:dyDescent="0.4">
      <c r="A926" s="2" t="s">
        <v>6195</v>
      </c>
      <c r="B926" s="2"/>
      <c r="C926" s="2"/>
      <c r="D926" s="2" t="s">
        <v>54</v>
      </c>
      <c r="E926" s="2"/>
      <c r="F926" s="2" t="s">
        <v>6196</v>
      </c>
      <c r="G926" s="2">
        <v>1</v>
      </c>
      <c r="H926" s="2" t="s">
        <v>5718</v>
      </c>
      <c r="I926" s="3" t="s">
        <v>57</v>
      </c>
      <c r="J926" s="3" t="s">
        <v>5719</v>
      </c>
      <c r="K926" s="3" t="s">
        <v>840</v>
      </c>
      <c r="L926" s="4" t="s">
        <v>841</v>
      </c>
      <c r="M926" s="3" t="s">
        <v>60</v>
      </c>
      <c r="N926" s="4"/>
      <c r="O926" s="4"/>
      <c r="P926" s="3" t="s">
        <v>62</v>
      </c>
      <c r="Q926" s="3"/>
      <c r="R926" s="3" t="s">
        <v>5827</v>
      </c>
      <c r="S926" s="3" t="s">
        <v>64</v>
      </c>
      <c r="T926">
        <v>227</v>
      </c>
      <c r="U926">
        <v>208.5</v>
      </c>
      <c r="V926">
        <f t="shared" si="28"/>
        <v>217.75</v>
      </c>
      <c r="W926">
        <f t="shared" si="29"/>
        <v>18.5</v>
      </c>
      <c r="X926" s="5">
        <v>-53.83</v>
      </c>
      <c r="Y926" s="5">
        <v>-29.67</v>
      </c>
      <c r="Z926" s="3"/>
      <c r="AA926" s="3" t="s">
        <v>783</v>
      </c>
      <c r="AB926" s="3" t="s">
        <v>5828</v>
      </c>
      <c r="AC926" s="3" t="s">
        <v>6182</v>
      </c>
      <c r="AD926" s="3" t="s">
        <v>943</v>
      </c>
      <c r="AE926" s="3" t="s">
        <v>5830</v>
      </c>
      <c r="AF926" s="3" t="s">
        <v>944</v>
      </c>
      <c r="AG926" s="4" t="s">
        <v>841</v>
      </c>
      <c r="AH926" s="4"/>
      <c r="AI926" s="3" t="s">
        <v>5720</v>
      </c>
      <c r="AJ926" s="3" t="s">
        <v>5720</v>
      </c>
      <c r="AK926" s="3" t="s">
        <v>6184</v>
      </c>
      <c r="AL926" s="11" t="s">
        <v>6197</v>
      </c>
      <c r="AM926" s="5"/>
      <c r="AN926" s="5"/>
      <c r="AO926" s="3"/>
      <c r="AP926" s="3"/>
      <c r="AQ926" s="3"/>
      <c r="AR926" s="3"/>
      <c r="AS926" s="3"/>
      <c r="AT926" s="3"/>
      <c r="AU926" s="3"/>
      <c r="AV926" s="3"/>
      <c r="AW926" s="3"/>
      <c r="AX926" s="3"/>
      <c r="AY926" s="3"/>
      <c r="AZ926" s="3"/>
      <c r="BA926" s="3"/>
      <c r="BB926" s="3"/>
    </row>
    <row r="927" spans="1:54" x14ac:dyDescent="0.4">
      <c r="A927" s="2" t="s">
        <v>6198</v>
      </c>
      <c r="B927" s="2"/>
      <c r="C927" s="2"/>
      <c r="D927" s="2" t="s">
        <v>54</v>
      </c>
      <c r="E927" s="2"/>
      <c r="F927" s="2" t="s">
        <v>6199</v>
      </c>
      <c r="G927" s="2">
        <v>1</v>
      </c>
      <c r="H927" s="2" t="s">
        <v>5718</v>
      </c>
      <c r="I927" s="3" t="s">
        <v>57</v>
      </c>
      <c r="J927" s="3" t="s">
        <v>5719</v>
      </c>
      <c r="K927" s="3" t="s">
        <v>840</v>
      </c>
      <c r="L927" s="4" t="s">
        <v>841</v>
      </c>
      <c r="M927" s="3" t="s">
        <v>60</v>
      </c>
      <c r="N927" s="4"/>
      <c r="O927" s="4"/>
      <c r="P927" s="3" t="s">
        <v>62</v>
      </c>
      <c r="Q927" s="3"/>
      <c r="R927" s="3" t="s">
        <v>5827</v>
      </c>
      <c r="S927" s="3" t="s">
        <v>64</v>
      </c>
      <c r="T927">
        <v>227</v>
      </c>
      <c r="U927">
        <v>208.5</v>
      </c>
      <c r="V927">
        <f t="shared" si="28"/>
        <v>217.75</v>
      </c>
      <c r="W927">
        <f t="shared" si="29"/>
        <v>18.5</v>
      </c>
      <c r="X927" s="5">
        <v>-53.79</v>
      </c>
      <c r="Y927" s="5">
        <v>-29.7</v>
      </c>
      <c r="Z927" s="3"/>
      <c r="AA927" s="3" t="s">
        <v>783</v>
      </c>
      <c r="AB927" s="3" t="s">
        <v>5828</v>
      </c>
      <c r="AC927" s="3" t="s">
        <v>5862</v>
      </c>
      <c r="AD927" s="3" t="s">
        <v>943</v>
      </c>
      <c r="AE927" s="3" t="s">
        <v>5830</v>
      </c>
      <c r="AF927" s="3" t="s">
        <v>944</v>
      </c>
      <c r="AG927" s="4" t="s">
        <v>841</v>
      </c>
      <c r="AH927" s="4"/>
      <c r="AI927" s="3" t="s">
        <v>6183</v>
      </c>
      <c r="AJ927" s="3" t="s">
        <v>5720</v>
      </c>
      <c r="AK927" s="3" t="s">
        <v>6184</v>
      </c>
      <c r="AL927" s="11" t="s">
        <v>6200</v>
      </c>
      <c r="AM927" s="5"/>
      <c r="AN927" s="5"/>
      <c r="AO927" s="3"/>
      <c r="AP927" s="3"/>
      <c r="AQ927" s="3"/>
      <c r="AR927" s="3"/>
      <c r="AS927" s="3"/>
      <c r="AT927" s="3"/>
      <c r="AU927" s="3"/>
      <c r="AV927" s="3"/>
      <c r="AW927" s="3"/>
      <c r="AX927" s="3"/>
      <c r="AY927" s="3"/>
      <c r="AZ927" s="3"/>
      <c r="BA927" s="3"/>
      <c r="BB927" s="3"/>
    </row>
    <row r="928" spans="1:54" x14ac:dyDescent="0.4">
      <c r="A928" s="2" t="s">
        <v>6201</v>
      </c>
      <c r="B928" s="2"/>
      <c r="C928" s="2"/>
      <c r="D928" s="2" t="s">
        <v>54</v>
      </c>
      <c r="E928" s="2"/>
      <c r="F928" s="2" t="s">
        <v>6202</v>
      </c>
      <c r="G928" s="2">
        <v>1</v>
      </c>
      <c r="H928" s="2" t="s">
        <v>5718</v>
      </c>
      <c r="I928" s="3" t="s">
        <v>57</v>
      </c>
      <c r="J928" s="3" t="s">
        <v>5719</v>
      </c>
      <c r="K928" s="3" t="s">
        <v>840</v>
      </c>
      <c r="L928" s="4" t="s">
        <v>841</v>
      </c>
      <c r="M928" s="3" t="s">
        <v>60</v>
      </c>
      <c r="N928" s="4"/>
      <c r="O928" s="4"/>
      <c r="P928" s="3" t="s">
        <v>62</v>
      </c>
      <c r="Q928" s="3"/>
      <c r="R928" s="3" t="s">
        <v>5827</v>
      </c>
      <c r="S928" s="3" t="s">
        <v>64</v>
      </c>
      <c r="T928">
        <v>227</v>
      </c>
      <c r="U928">
        <v>208.5</v>
      </c>
      <c r="V928">
        <f t="shared" si="28"/>
        <v>217.75</v>
      </c>
      <c r="W928">
        <f t="shared" si="29"/>
        <v>18.5</v>
      </c>
      <c r="X928" s="5">
        <v>-53.77</v>
      </c>
      <c r="Y928" s="5">
        <v>-29.7</v>
      </c>
      <c r="Z928" s="3"/>
      <c r="AA928" s="3" t="s">
        <v>783</v>
      </c>
      <c r="AB928" s="3" t="s">
        <v>5828</v>
      </c>
      <c r="AC928" s="3" t="s">
        <v>5862</v>
      </c>
      <c r="AD928" s="3" t="s">
        <v>943</v>
      </c>
      <c r="AE928" s="3" t="s">
        <v>5830</v>
      </c>
      <c r="AF928" s="3" t="s">
        <v>944</v>
      </c>
      <c r="AG928" s="4" t="s">
        <v>841</v>
      </c>
      <c r="AH928" s="4"/>
      <c r="AI928" s="3" t="s">
        <v>6183</v>
      </c>
      <c r="AJ928" s="3" t="s">
        <v>5720</v>
      </c>
      <c r="AK928" s="3" t="s">
        <v>6184</v>
      </c>
      <c r="AL928" s="11" t="s">
        <v>6203</v>
      </c>
      <c r="AM928" s="5"/>
      <c r="AN928" s="5"/>
      <c r="AO928" s="3"/>
      <c r="AP928" s="3"/>
      <c r="AQ928" s="3"/>
      <c r="AR928" s="3"/>
      <c r="AS928" s="3"/>
      <c r="AT928" s="3"/>
      <c r="AU928" s="3"/>
      <c r="AV928" s="3"/>
      <c r="AW928" s="3"/>
      <c r="AX928" s="3"/>
      <c r="AY928" s="3"/>
      <c r="AZ928" s="3"/>
      <c r="BA928" s="3"/>
      <c r="BB928" s="3"/>
    </row>
    <row r="929" spans="1:54" x14ac:dyDescent="0.4">
      <c r="A929" s="2" t="s">
        <v>6204</v>
      </c>
      <c r="B929" s="2"/>
      <c r="C929" s="2"/>
      <c r="D929" s="2" t="s">
        <v>54</v>
      </c>
      <c r="E929" s="2"/>
      <c r="F929" s="2" t="s">
        <v>6205</v>
      </c>
      <c r="G929" s="2">
        <v>1</v>
      </c>
      <c r="H929" s="2" t="s">
        <v>5718</v>
      </c>
      <c r="I929" s="3" t="s">
        <v>57</v>
      </c>
      <c r="J929" s="3" t="s">
        <v>5719</v>
      </c>
      <c r="K929" s="3" t="s">
        <v>840</v>
      </c>
      <c r="L929" s="3" t="s">
        <v>841</v>
      </c>
      <c r="M929" s="3" t="s">
        <v>60</v>
      </c>
      <c r="N929" s="3"/>
      <c r="O929" s="3"/>
      <c r="P929" s="3" t="s">
        <v>62</v>
      </c>
      <c r="Q929" s="3"/>
      <c r="R929" s="3" t="s">
        <v>5827</v>
      </c>
      <c r="S929" s="3" t="s">
        <v>64</v>
      </c>
      <c r="T929">
        <v>227</v>
      </c>
      <c r="U929">
        <v>208.5</v>
      </c>
      <c r="V929">
        <f t="shared" si="28"/>
        <v>217.75</v>
      </c>
      <c r="W929">
        <f t="shared" si="29"/>
        <v>18.5</v>
      </c>
      <c r="X929" s="5">
        <v>-53.57</v>
      </c>
      <c r="Y929" s="5">
        <v>-29.8</v>
      </c>
      <c r="Z929" s="3"/>
      <c r="AA929" s="3" t="s">
        <v>783</v>
      </c>
      <c r="AB929" s="3" t="s">
        <v>5828</v>
      </c>
      <c r="AC929" s="3" t="s">
        <v>6206</v>
      </c>
      <c r="AD929" s="3" t="s">
        <v>943</v>
      </c>
      <c r="AE929" s="3" t="s">
        <v>5830</v>
      </c>
      <c r="AF929" s="3" t="s">
        <v>944</v>
      </c>
      <c r="AG929" s="4" t="s">
        <v>841</v>
      </c>
      <c r="AH929" s="4"/>
      <c r="AI929" s="3" t="s">
        <v>6183</v>
      </c>
      <c r="AJ929" s="3" t="s">
        <v>5720</v>
      </c>
      <c r="AK929" s="3" t="s">
        <v>6184</v>
      </c>
      <c r="AL929" s="11" t="s">
        <v>6207</v>
      </c>
      <c r="AM929" s="5"/>
      <c r="AN929" s="5"/>
      <c r="AO929" s="3"/>
      <c r="AP929" s="3"/>
      <c r="AQ929" s="3"/>
      <c r="AR929" s="3"/>
      <c r="AS929" s="3"/>
      <c r="AT929" s="3"/>
      <c r="AU929" s="3"/>
      <c r="AV929" s="3"/>
      <c r="AW929" s="3"/>
      <c r="AX929" s="3"/>
      <c r="AY929" s="3"/>
      <c r="AZ929" s="3"/>
      <c r="BA929" s="3"/>
      <c r="BB929" s="3"/>
    </row>
    <row r="930" spans="1:54" x14ac:dyDescent="0.4">
      <c r="A930" s="2" t="s">
        <v>6208</v>
      </c>
      <c r="B930" s="2"/>
      <c r="C930" s="2"/>
      <c r="D930" s="2" t="s">
        <v>54</v>
      </c>
      <c r="E930" s="2"/>
      <c r="F930" s="2" t="s">
        <v>6209</v>
      </c>
      <c r="G930" s="2">
        <v>1</v>
      </c>
      <c r="H930" s="2" t="s">
        <v>5718</v>
      </c>
      <c r="I930" s="3" t="s">
        <v>57</v>
      </c>
      <c r="J930" s="3" t="s">
        <v>5719</v>
      </c>
      <c r="K930" s="3" t="s">
        <v>840</v>
      </c>
      <c r="L930" s="3" t="s">
        <v>841</v>
      </c>
      <c r="M930" s="3" t="s">
        <v>60</v>
      </c>
      <c r="N930" s="3"/>
      <c r="O930" s="3"/>
      <c r="P930" s="3" t="s">
        <v>62</v>
      </c>
      <c r="Q930" s="3"/>
      <c r="R930" s="3" t="s">
        <v>5827</v>
      </c>
      <c r="S930" s="3" t="s">
        <v>64</v>
      </c>
      <c r="T930">
        <v>227</v>
      </c>
      <c r="U930">
        <v>208.5</v>
      </c>
      <c r="V930">
        <f t="shared" si="28"/>
        <v>217.75</v>
      </c>
      <c r="W930">
        <f t="shared" si="29"/>
        <v>18.5</v>
      </c>
      <c r="X930" s="5">
        <v>-53.77</v>
      </c>
      <c r="Y930" s="5">
        <v>-29.7</v>
      </c>
      <c r="Z930" s="3"/>
      <c r="AA930" s="3" t="s">
        <v>783</v>
      </c>
      <c r="AB930" s="3" t="s">
        <v>5828</v>
      </c>
      <c r="AC930" s="3" t="s">
        <v>5862</v>
      </c>
      <c r="AD930" s="3" t="s">
        <v>943</v>
      </c>
      <c r="AE930" s="3" t="s">
        <v>5830</v>
      </c>
      <c r="AF930" s="3" t="s">
        <v>944</v>
      </c>
      <c r="AG930" s="4" t="s">
        <v>841</v>
      </c>
      <c r="AH930" s="4"/>
      <c r="AI930" s="3" t="s">
        <v>6183</v>
      </c>
      <c r="AJ930" s="3" t="s">
        <v>5720</v>
      </c>
      <c r="AK930" s="3" t="s">
        <v>6184</v>
      </c>
      <c r="AL930" s="11" t="s">
        <v>6210</v>
      </c>
      <c r="AM930" s="5"/>
      <c r="AN930" s="5"/>
      <c r="AO930" s="3"/>
      <c r="AP930" s="3"/>
      <c r="AQ930" s="3"/>
      <c r="AR930" s="3"/>
      <c r="AS930" s="3"/>
      <c r="AT930" s="3"/>
      <c r="AU930" s="3"/>
      <c r="AV930" s="3"/>
      <c r="AW930" s="3"/>
      <c r="AX930" s="3"/>
      <c r="AY930" s="3"/>
      <c r="AZ930" s="3"/>
      <c r="BA930" s="3"/>
      <c r="BB930" s="3"/>
    </row>
    <row r="931" spans="1:54" x14ac:dyDescent="0.4">
      <c r="A931" s="2" t="s">
        <v>6211</v>
      </c>
      <c r="B931" s="2"/>
      <c r="C931" s="2"/>
      <c r="D931" s="2" t="s">
        <v>54</v>
      </c>
      <c r="E931" s="2"/>
      <c r="F931" s="2" t="s">
        <v>6187</v>
      </c>
      <c r="G931" s="2">
        <v>1</v>
      </c>
      <c r="H931" s="2" t="s">
        <v>5718</v>
      </c>
      <c r="I931" s="3" t="s">
        <v>57</v>
      </c>
      <c r="J931" s="3" t="s">
        <v>5719</v>
      </c>
      <c r="K931" s="3" t="s">
        <v>840</v>
      </c>
      <c r="L931" s="3" t="s">
        <v>841</v>
      </c>
      <c r="M931" s="3" t="s">
        <v>60</v>
      </c>
      <c r="N931" s="3"/>
      <c r="O931" s="3"/>
      <c r="P931" s="3" t="s">
        <v>62</v>
      </c>
      <c r="Q931" s="3"/>
      <c r="R931" s="3" t="s">
        <v>5827</v>
      </c>
      <c r="S931" s="3" t="s">
        <v>64</v>
      </c>
      <c r="T931">
        <v>227</v>
      </c>
      <c r="U931">
        <v>208.5</v>
      </c>
      <c r="V931">
        <f t="shared" si="28"/>
        <v>217.75</v>
      </c>
      <c r="W931">
        <f t="shared" si="29"/>
        <v>18.5</v>
      </c>
      <c r="X931" s="5">
        <v>-53.57</v>
      </c>
      <c r="Y931" s="5">
        <v>-29.8</v>
      </c>
      <c r="Z931" s="3"/>
      <c r="AA931" s="3" t="s">
        <v>783</v>
      </c>
      <c r="AB931" s="3" t="s">
        <v>5828</v>
      </c>
      <c r="AC931" s="3" t="s">
        <v>6206</v>
      </c>
      <c r="AD931" s="3" t="s">
        <v>943</v>
      </c>
      <c r="AE931" s="3" t="s">
        <v>5830</v>
      </c>
      <c r="AF931" s="3" t="s">
        <v>944</v>
      </c>
      <c r="AG931" s="4" t="s">
        <v>841</v>
      </c>
      <c r="AH931" s="4"/>
      <c r="AI931" s="3" t="s">
        <v>6183</v>
      </c>
      <c r="AJ931" s="3" t="s">
        <v>5720</v>
      </c>
      <c r="AK931" s="3" t="s">
        <v>6184</v>
      </c>
      <c r="AL931" s="11" t="s">
        <v>6212</v>
      </c>
      <c r="AM931" s="5"/>
      <c r="AN931" s="5"/>
      <c r="AO931" s="3"/>
      <c r="AP931" s="3"/>
      <c r="AQ931" s="3"/>
      <c r="AR931" s="3"/>
      <c r="AS931" s="3"/>
      <c r="AT931" s="3"/>
      <c r="AU931" s="3"/>
      <c r="AV931" s="3"/>
      <c r="AW931" s="3"/>
      <c r="AX931" s="3"/>
      <c r="AY931" s="3"/>
      <c r="AZ931" s="3"/>
      <c r="BA931" s="3"/>
      <c r="BB931" s="3"/>
    </row>
    <row r="932" spans="1:54" x14ac:dyDescent="0.4">
      <c r="A932" s="2" t="s">
        <v>6213</v>
      </c>
      <c r="B932" s="2"/>
      <c r="C932" s="2"/>
      <c r="D932" s="2" t="s">
        <v>54</v>
      </c>
      <c r="E932" s="2"/>
      <c r="F932" s="2" t="s">
        <v>6187</v>
      </c>
      <c r="G932" s="2">
        <v>1</v>
      </c>
      <c r="H932" s="2" t="s">
        <v>5718</v>
      </c>
      <c r="I932" s="3" t="s">
        <v>57</v>
      </c>
      <c r="J932" s="3" t="s">
        <v>5719</v>
      </c>
      <c r="K932" s="3" t="s">
        <v>840</v>
      </c>
      <c r="L932" s="3" t="s">
        <v>841</v>
      </c>
      <c r="M932" s="3" t="s">
        <v>60</v>
      </c>
      <c r="N932" s="3"/>
      <c r="O932" s="3"/>
      <c r="P932" s="3" t="s">
        <v>62</v>
      </c>
      <c r="Q932" s="3"/>
      <c r="R932" s="3" t="s">
        <v>5827</v>
      </c>
      <c r="S932" s="3" t="s">
        <v>64</v>
      </c>
      <c r="T932">
        <v>227</v>
      </c>
      <c r="U932">
        <v>208.5</v>
      </c>
      <c r="V932">
        <f t="shared" si="28"/>
        <v>217.75</v>
      </c>
      <c r="W932">
        <f t="shared" si="29"/>
        <v>18.5</v>
      </c>
      <c r="X932" s="5">
        <v>-53.8</v>
      </c>
      <c r="Y932" s="5">
        <v>-29.8</v>
      </c>
      <c r="Z932" s="3"/>
      <c r="AA932" s="3" t="s">
        <v>783</v>
      </c>
      <c r="AB932" s="3" t="s">
        <v>5828</v>
      </c>
      <c r="AC932" s="3" t="s">
        <v>5720</v>
      </c>
      <c r="AD932" s="3" t="s">
        <v>943</v>
      </c>
      <c r="AE932" s="3" t="s">
        <v>5830</v>
      </c>
      <c r="AF932" s="3" t="s">
        <v>944</v>
      </c>
      <c r="AG932" s="4" t="s">
        <v>841</v>
      </c>
      <c r="AH932" s="4"/>
      <c r="AI932" s="3" t="s">
        <v>6183</v>
      </c>
      <c r="AJ932" s="3" t="s">
        <v>5720</v>
      </c>
      <c r="AK932" s="3" t="s">
        <v>6184</v>
      </c>
      <c r="AL932" s="11" t="s">
        <v>6214</v>
      </c>
      <c r="AM932" s="5"/>
      <c r="AN932" s="5"/>
      <c r="AO932" s="3"/>
      <c r="AP932" s="3"/>
      <c r="AQ932" s="3"/>
      <c r="AR932" s="3"/>
      <c r="AS932" s="3"/>
      <c r="AT932" s="3"/>
      <c r="AU932" s="3"/>
      <c r="AV932" s="3"/>
      <c r="AW932" s="3"/>
      <c r="AX932" s="3"/>
      <c r="AY932" s="3"/>
      <c r="AZ932" s="3"/>
      <c r="BA932" s="3"/>
      <c r="BB932" s="3"/>
    </row>
    <row r="933" spans="1:54" x14ac:dyDescent="0.4">
      <c r="A933" s="2" t="s">
        <v>6215</v>
      </c>
      <c r="B933" s="2"/>
      <c r="C933" s="2"/>
      <c r="D933" s="2" t="s">
        <v>54</v>
      </c>
      <c r="E933" s="2"/>
      <c r="F933" s="2" t="s">
        <v>6216</v>
      </c>
      <c r="G933" s="2">
        <v>1</v>
      </c>
      <c r="H933" s="2" t="s">
        <v>5718</v>
      </c>
      <c r="I933" s="3" t="s">
        <v>57</v>
      </c>
      <c r="J933" s="3" t="s">
        <v>5719</v>
      </c>
      <c r="K933" s="3" t="s">
        <v>840</v>
      </c>
      <c r="L933" s="4" t="s">
        <v>841</v>
      </c>
      <c r="M933" s="3" t="s">
        <v>60</v>
      </c>
      <c r="N933" s="4"/>
      <c r="O933" s="4"/>
      <c r="P933" s="3" t="s">
        <v>62</v>
      </c>
      <c r="Q933" s="3"/>
      <c r="R933" s="3" t="s">
        <v>5827</v>
      </c>
      <c r="S933" s="3" t="s">
        <v>64</v>
      </c>
      <c r="T933">
        <v>227</v>
      </c>
      <c r="U933">
        <v>208.5</v>
      </c>
      <c r="V933">
        <f t="shared" si="28"/>
        <v>217.75</v>
      </c>
      <c r="W933">
        <f t="shared" si="29"/>
        <v>18.5</v>
      </c>
      <c r="X933" s="5">
        <v>-53.83</v>
      </c>
      <c r="Y933" s="5">
        <v>-29.67</v>
      </c>
      <c r="Z933" s="3"/>
      <c r="AA933" s="3" t="s">
        <v>783</v>
      </c>
      <c r="AB933" s="3" t="s">
        <v>5828</v>
      </c>
      <c r="AC933" s="3" t="s">
        <v>6182</v>
      </c>
      <c r="AD933" s="3" t="s">
        <v>943</v>
      </c>
      <c r="AE933" s="3" t="s">
        <v>5830</v>
      </c>
      <c r="AF933" s="3" t="s">
        <v>944</v>
      </c>
      <c r="AG933" s="4" t="s">
        <v>841</v>
      </c>
      <c r="AH933" s="4"/>
      <c r="AI933" s="3" t="s">
        <v>6183</v>
      </c>
      <c r="AJ933" s="3" t="s">
        <v>5720</v>
      </c>
      <c r="AK933" s="3" t="s">
        <v>6184</v>
      </c>
      <c r="AL933" s="11" t="s">
        <v>6217</v>
      </c>
      <c r="AM933" s="5"/>
      <c r="AN933" s="5"/>
      <c r="AO933" s="3"/>
      <c r="AP933" s="3"/>
      <c r="AQ933" s="3"/>
      <c r="AR933" s="3"/>
      <c r="AS933" s="3"/>
      <c r="AT933" s="3"/>
      <c r="AU933" s="3"/>
      <c r="AV933" s="3"/>
      <c r="AW933" s="3"/>
      <c r="AX933" s="3"/>
      <c r="AY933" s="3"/>
      <c r="AZ933" s="3"/>
      <c r="BA933" s="3"/>
      <c r="BB933" s="3"/>
    </row>
    <row r="934" spans="1:54" x14ac:dyDescent="0.4">
      <c r="A934" s="2" t="s">
        <v>6218</v>
      </c>
      <c r="B934" s="2"/>
      <c r="C934" s="2"/>
      <c r="D934" s="2" t="s">
        <v>54</v>
      </c>
      <c r="E934" s="2"/>
      <c r="F934" s="2" t="s">
        <v>6159</v>
      </c>
      <c r="G934" s="2">
        <v>1</v>
      </c>
      <c r="H934" s="2" t="s">
        <v>5718</v>
      </c>
      <c r="I934" s="3" t="s">
        <v>57</v>
      </c>
      <c r="J934" s="3" t="s">
        <v>5719</v>
      </c>
      <c r="K934" s="3" t="s">
        <v>840</v>
      </c>
      <c r="L934" s="4" t="s">
        <v>841</v>
      </c>
      <c r="M934" s="3" t="s">
        <v>60</v>
      </c>
      <c r="N934" s="4"/>
      <c r="O934" s="4"/>
      <c r="P934" s="3" t="s">
        <v>62</v>
      </c>
      <c r="Q934" s="3"/>
      <c r="R934" s="3" t="s">
        <v>5827</v>
      </c>
      <c r="S934" s="3" t="s">
        <v>64</v>
      </c>
      <c r="T934">
        <v>227</v>
      </c>
      <c r="U934">
        <v>208.5</v>
      </c>
      <c r="V934">
        <f t="shared" si="28"/>
        <v>217.75</v>
      </c>
      <c r="W934">
        <f t="shared" si="29"/>
        <v>18.5</v>
      </c>
      <c r="X934" s="5">
        <v>-53.83</v>
      </c>
      <c r="Y934" s="5">
        <v>-29.67</v>
      </c>
      <c r="Z934" s="3"/>
      <c r="AA934" s="3" t="s">
        <v>783</v>
      </c>
      <c r="AB934" s="3" t="s">
        <v>5828</v>
      </c>
      <c r="AC934" s="3" t="s">
        <v>6182</v>
      </c>
      <c r="AD934" s="3" t="s">
        <v>943</v>
      </c>
      <c r="AE934" s="3" t="s">
        <v>5830</v>
      </c>
      <c r="AF934" s="3" t="s">
        <v>944</v>
      </c>
      <c r="AG934" s="4" t="s">
        <v>841</v>
      </c>
      <c r="AH934" s="4"/>
      <c r="AI934" s="3" t="s">
        <v>6183</v>
      </c>
      <c r="AJ934" s="3" t="s">
        <v>5720</v>
      </c>
      <c r="AK934" s="3" t="s">
        <v>6184</v>
      </c>
      <c r="AL934" s="11" t="s">
        <v>6219</v>
      </c>
      <c r="AM934" s="5"/>
      <c r="AN934" s="5"/>
      <c r="AO934" s="3"/>
      <c r="AP934" s="3"/>
      <c r="AQ934" s="3"/>
      <c r="AR934" s="3"/>
      <c r="AS934" s="3"/>
      <c r="AT934" s="3"/>
      <c r="AU934" s="3"/>
      <c r="AV934" s="3"/>
      <c r="AW934" s="3"/>
      <c r="AX934" s="3"/>
      <c r="AY934" s="3"/>
      <c r="AZ934" s="3"/>
      <c r="BA934" s="3"/>
      <c r="BB934" s="3"/>
    </row>
    <row r="935" spans="1:54" x14ac:dyDescent="0.4">
      <c r="A935" s="2" t="s">
        <v>6220</v>
      </c>
      <c r="B935" s="2"/>
      <c r="C935" s="2"/>
      <c r="D935" s="2" t="s">
        <v>54</v>
      </c>
      <c r="E935" s="2"/>
      <c r="F935" s="2" t="s">
        <v>6221</v>
      </c>
      <c r="G935" s="2">
        <v>1</v>
      </c>
      <c r="H935" s="2" t="s">
        <v>5718</v>
      </c>
      <c r="I935" s="3" t="s">
        <v>57</v>
      </c>
      <c r="J935" s="3" t="s">
        <v>5719</v>
      </c>
      <c r="K935" s="3" t="s">
        <v>840</v>
      </c>
      <c r="L935" s="4" t="s">
        <v>841</v>
      </c>
      <c r="M935" s="3" t="s">
        <v>60</v>
      </c>
      <c r="N935" s="4"/>
      <c r="O935" s="4"/>
      <c r="P935" s="3" t="s">
        <v>62</v>
      </c>
      <c r="Q935" s="3"/>
      <c r="R935" s="3" t="s">
        <v>5827</v>
      </c>
      <c r="S935" s="3" t="s">
        <v>64</v>
      </c>
      <c r="T935">
        <v>227</v>
      </c>
      <c r="U935">
        <v>208.5</v>
      </c>
      <c r="V935">
        <f t="shared" si="28"/>
        <v>217.75</v>
      </c>
      <c r="W935">
        <f t="shared" si="29"/>
        <v>18.5</v>
      </c>
      <c r="X935" s="5">
        <v>-53.8</v>
      </c>
      <c r="Y935" s="5">
        <v>-29.8</v>
      </c>
      <c r="Z935" s="3"/>
      <c r="AA935" s="3" t="s">
        <v>783</v>
      </c>
      <c r="AB935" s="3" t="s">
        <v>5828</v>
      </c>
      <c r="AC935" s="3" t="s">
        <v>5720</v>
      </c>
      <c r="AD935" s="3" t="s">
        <v>943</v>
      </c>
      <c r="AE935" s="3" t="s">
        <v>5830</v>
      </c>
      <c r="AF935" s="3" t="s">
        <v>944</v>
      </c>
      <c r="AG935" s="4" t="s">
        <v>841</v>
      </c>
      <c r="AH935" s="4"/>
      <c r="AI935" s="10" t="s">
        <v>5951</v>
      </c>
      <c r="AJ935" s="3" t="s">
        <v>5720</v>
      </c>
      <c r="AK935" s="10" t="s">
        <v>5951</v>
      </c>
      <c r="AL935" s="11" t="s">
        <v>6222</v>
      </c>
      <c r="AM935" s="5"/>
      <c r="AN935" s="5"/>
      <c r="AO935" s="3"/>
      <c r="AP935" s="3"/>
      <c r="AQ935" s="3"/>
      <c r="AR935" s="3"/>
      <c r="AS935" s="3"/>
      <c r="AT935" s="3"/>
      <c r="AU935" s="3"/>
      <c r="AV935" s="3"/>
      <c r="AW935" s="3"/>
      <c r="AX935" s="3"/>
      <c r="AY935" s="3"/>
      <c r="AZ935" s="3"/>
      <c r="BA935" s="3"/>
      <c r="BB935" s="3"/>
    </row>
    <row r="936" spans="1:54" x14ac:dyDescent="0.4">
      <c r="A936" s="2" t="s">
        <v>6223</v>
      </c>
      <c r="B936" s="2"/>
      <c r="C936" s="2"/>
      <c r="D936" s="2" t="s">
        <v>54</v>
      </c>
      <c r="E936" s="2"/>
      <c r="F936" s="2" t="s">
        <v>6224</v>
      </c>
      <c r="G936" s="2">
        <v>1</v>
      </c>
      <c r="H936" s="2" t="s">
        <v>5718</v>
      </c>
      <c r="I936" s="3" t="s">
        <v>57</v>
      </c>
      <c r="J936" s="3" t="s">
        <v>5719</v>
      </c>
      <c r="K936" s="3" t="s">
        <v>840</v>
      </c>
      <c r="L936" s="4" t="s">
        <v>841</v>
      </c>
      <c r="M936" s="3" t="s">
        <v>60</v>
      </c>
      <c r="N936" s="4"/>
      <c r="O936" s="4"/>
      <c r="P936" s="3" t="s">
        <v>62</v>
      </c>
      <c r="Q936" s="3"/>
      <c r="R936" s="3" t="s">
        <v>5827</v>
      </c>
      <c r="S936" s="3" t="s">
        <v>64</v>
      </c>
      <c r="T936">
        <v>227</v>
      </c>
      <c r="U936">
        <v>208.5</v>
      </c>
      <c r="V936">
        <f t="shared" si="28"/>
        <v>217.75</v>
      </c>
      <c r="W936">
        <f t="shared" si="29"/>
        <v>18.5</v>
      </c>
      <c r="X936" s="5">
        <v>-53.8</v>
      </c>
      <c r="Y936" s="5">
        <v>-29.8</v>
      </c>
      <c r="Z936" s="3"/>
      <c r="AA936" s="3" t="s">
        <v>783</v>
      </c>
      <c r="AB936" s="3" t="s">
        <v>5828</v>
      </c>
      <c r="AC936" s="3" t="s">
        <v>5720</v>
      </c>
      <c r="AD936" s="3" t="s">
        <v>943</v>
      </c>
      <c r="AE936" s="3" t="s">
        <v>5830</v>
      </c>
      <c r="AF936" s="3" t="s">
        <v>944</v>
      </c>
      <c r="AG936" s="4" t="s">
        <v>841</v>
      </c>
      <c r="AH936" s="4"/>
      <c r="AI936" s="10" t="s">
        <v>5951</v>
      </c>
      <c r="AJ936" s="3" t="s">
        <v>5720</v>
      </c>
      <c r="AK936" s="10" t="s">
        <v>5951</v>
      </c>
      <c r="AL936" s="11" t="s">
        <v>6225</v>
      </c>
      <c r="AM936" s="5"/>
      <c r="AN936" s="5"/>
      <c r="AO936" s="3"/>
      <c r="AP936" s="3"/>
      <c r="AQ936" s="3"/>
      <c r="AR936" s="3"/>
      <c r="AS936" s="3"/>
      <c r="AT936" s="3"/>
      <c r="AU936" s="3"/>
      <c r="AV936" s="3"/>
      <c r="AW936" s="3"/>
      <c r="AX936" s="3"/>
      <c r="AY936" s="3"/>
      <c r="AZ936" s="3"/>
      <c r="BA936" s="3"/>
      <c r="BB936" s="3"/>
    </row>
    <row r="937" spans="1:54" x14ac:dyDescent="0.4">
      <c r="A937" s="2" t="s">
        <v>6226</v>
      </c>
      <c r="B937" s="2"/>
      <c r="C937" s="2"/>
      <c r="D937" s="2" t="s">
        <v>54</v>
      </c>
      <c r="E937" s="2"/>
      <c r="F937" s="2" t="s">
        <v>6227</v>
      </c>
      <c r="G937" s="2">
        <v>1</v>
      </c>
      <c r="H937" s="2" t="s">
        <v>5718</v>
      </c>
      <c r="I937" s="3" t="s">
        <v>57</v>
      </c>
      <c r="J937" s="3" t="s">
        <v>5719</v>
      </c>
      <c r="K937" s="3" t="s">
        <v>840</v>
      </c>
      <c r="L937" s="4" t="s">
        <v>841</v>
      </c>
      <c r="M937" s="3" t="s">
        <v>60</v>
      </c>
      <c r="N937" s="4"/>
      <c r="O937" s="4"/>
      <c r="P937" s="3" t="s">
        <v>62</v>
      </c>
      <c r="Q937" s="3"/>
      <c r="R937" s="3" t="s">
        <v>5827</v>
      </c>
      <c r="S937" s="3" t="s">
        <v>64</v>
      </c>
      <c r="T937">
        <v>227</v>
      </c>
      <c r="U937">
        <v>208.5</v>
      </c>
      <c r="V937">
        <f t="shared" si="28"/>
        <v>217.75</v>
      </c>
      <c r="W937">
        <f t="shared" si="29"/>
        <v>18.5</v>
      </c>
      <c r="X937" s="5">
        <v>-53.8</v>
      </c>
      <c r="Y937" s="5">
        <v>-29.8</v>
      </c>
      <c r="Z937" s="3"/>
      <c r="AA937" s="3" t="s">
        <v>783</v>
      </c>
      <c r="AB937" s="3" t="s">
        <v>5828</v>
      </c>
      <c r="AC937" s="3" t="s">
        <v>5720</v>
      </c>
      <c r="AD937" s="3" t="s">
        <v>943</v>
      </c>
      <c r="AE937" s="3" t="s">
        <v>5830</v>
      </c>
      <c r="AF937" s="3" t="s">
        <v>944</v>
      </c>
      <c r="AG937" s="4" t="s">
        <v>841</v>
      </c>
      <c r="AH937" s="4"/>
      <c r="AI937" s="10" t="s">
        <v>5951</v>
      </c>
      <c r="AJ937" s="3" t="s">
        <v>5720</v>
      </c>
      <c r="AK937" s="10" t="s">
        <v>5951</v>
      </c>
      <c r="AL937" s="11" t="s">
        <v>6228</v>
      </c>
      <c r="AM937" s="5"/>
      <c r="AN937" s="5"/>
      <c r="AO937" s="3"/>
      <c r="AP937" s="3"/>
      <c r="AQ937" s="3"/>
      <c r="AR937" s="3"/>
      <c r="AS937" s="3"/>
      <c r="AT937" s="3"/>
      <c r="AU937" s="3"/>
      <c r="AV937" s="3"/>
      <c r="AW937" s="3"/>
      <c r="AX937" s="3"/>
      <c r="AY937" s="3"/>
      <c r="AZ937" s="3"/>
      <c r="BA937" s="3"/>
      <c r="BB937" s="3"/>
    </row>
    <row r="938" spans="1:54" x14ac:dyDescent="0.4">
      <c r="A938" s="2" t="s">
        <v>6229</v>
      </c>
      <c r="B938" s="2"/>
      <c r="C938" s="2"/>
      <c r="D938" s="2" t="s">
        <v>54</v>
      </c>
      <c r="E938" s="2"/>
      <c r="F938" s="2" t="s">
        <v>6230</v>
      </c>
      <c r="G938" s="2">
        <v>1</v>
      </c>
      <c r="H938" s="2" t="s">
        <v>5718</v>
      </c>
      <c r="I938" s="3" t="s">
        <v>57</v>
      </c>
      <c r="J938" s="3" t="s">
        <v>5719</v>
      </c>
      <c r="K938" s="3" t="s">
        <v>840</v>
      </c>
      <c r="L938" s="4" t="s">
        <v>841</v>
      </c>
      <c r="M938" s="3" t="s">
        <v>60</v>
      </c>
      <c r="N938" s="4"/>
      <c r="O938" s="4"/>
      <c r="P938" s="3" t="s">
        <v>62</v>
      </c>
      <c r="Q938" s="3"/>
      <c r="R938" s="3" t="s">
        <v>5827</v>
      </c>
      <c r="S938" s="3" t="s">
        <v>64</v>
      </c>
      <c r="T938">
        <v>227</v>
      </c>
      <c r="U938">
        <v>208.5</v>
      </c>
      <c r="V938">
        <f t="shared" si="28"/>
        <v>217.75</v>
      </c>
      <c r="W938">
        <f t="shared" si="29"/>
        <v>18.5</v>
      </c>
      <c r="X938" s="5">
        <v>-53.77</v>
      </c>
      <c r="Y938" s="5">
        <v>-29.7</v>
      </c>
      <c r="Z938" s="3"/>
      <c r="AA938" s="3" t="s">
        <v>783</v>
      </c>
      <c r="AB938" s="3" t="s">
        <v>5828</v>
      </c>
      <c r="AC938" s="3" t="s">
        <v>6231</v>
      </c>
      <c r="AD938" s="3" t="s">
        <v>943</v>
      </c>
      <c r="AE938" s="3" t="s">
        <v>5830</v>
      </c>
      <c r="AF938" s="3" t="s">
        <v>944</v>
      </c>
      <c r="AG938" s="4" t="s">
        <v>841</v>
      </c>
      <c r="AH938" s="4"/>
      <c r="AI938" s="3" t="s">
        <v>5720</v>
      </c>
      <c r="AJ938" s="3" t="s">
        <v>5720</v>
      </c>
      <c r="AK938" s="10" t="s">
        <v>5951</v>
      </c>
      <c r="AL938" s="11" t="s">
        <v>6232</v>
      </c>
      <c r="AM938" s="5"/>
      <c r="AN938" s="5"/>
      <c r="AO938" s="3"/>
      <c r="AP938" s="3"/>
      <c r="AQ938" s="3"/>
      <c r="AR938" s="3"/>
      <c r="AS938" s="3"/>
      <c r="AT938" s="3"/>
      <c r="AU938" s="3"/>
      <c r="AV938" s="3"/>
      <c r="AW938" s="3"/>
      <c r="AX938" s="3"/>
      <c r="AY938" s="3"/>
      <c r="AZ938" s="3"/>
      <c r="BA938" s="3"/>
      <c r="BB938" s="3"/>
    </row>
    <row r="939" spans="1:54" x14ac:dyDescent="0.4">
      <c r="A939" s="2" t="s">
        <v>6233</v>
      </c>
      <c r="B939" s="2"/>
      <c r="C939" s="2"/>
      <c r="D939" s="2" t="s">
        <v>54</v>
      </c>
      <c r="E939" s="2"/>
      <c r="F939" s="2" t="s">
        <v>6234</v>
      </c>
      <c r="G939" s="2">
        <v>1</v>
      </c>
      <c r="H939" s="2" t="s">
        <v>5718</v>
      </c>
      <c r="I939" s="3" t="s">
        <v>57</v>
      </c>
      <c r="J939" s="3" t="s">
        <v>5719</v>
      </c>
      <c r="K939" s="3" t="s">
        <v>840</v>
      </c>
      <c r="L939" s="4" t="s">
        <v>841</v>
      </c>
      <c r="M939" s="3" t="s">
        <v>60</v>
      </c>
      <c r="N939" s="4"/>
      <c r="O939" s="4"/>
      <c r="P939" s="3" t="s">
        <v>62</v>
      </c>
      <c r="Q939" s="3"/>
      <c r="R939" s="3" t="s">
        <v>5827</v>
      </c>
      <c r="S939" s="3" t="s">
        <v>64</v>
      </c>
      <c r="T939">
        <v>227</v>
      </c>
      <c r="U939">
        <v>208.5</v>
      </c>
      <c r="V939">
        <f t="shared" si="28"/>
        <v>217.75</v>
      </c>
      <c r="W939">
        <f t="shared" si="29"/>
        <v>18.5</v>
      </c>
      <c r="X939" s="5">
        <v>-53.77</v>
      </c>
      <c r="Y939" s="5">
        <v>-29.7</v>
      </c>
      <c r="Z939" s="3"/>
      <c r="AA939" s="3" t="s">
        <v>783</v>
      </c>
      <c r="AB939" s="3" t="s">
        <v>5828</v>
      </c>
      <c r="AC939" s="3" t="s">
        <v>6235</v>
      </c>
      <c r="AD939" s="3" t="s">
        <v>943</v>
      </c>
      <c r="AE939" s="3" t="s">
        <v>5830</v>
      </c>
      <c r="AF939" s="3" t="s">
        <v>944</v>
      </c>
      <c r="AG939" s="4" t="s">
        <v>841</v>
      </c>
      <c r="AH939" s="4"/>
      <c r="AI939" s="3" t="s">
        <v>5720</v>
      </c>
      <c r="AJ939" s="3" t="s">
        <v>5720</v>
      </c>
      <c r="AK939" s="10" t="s">
        <v>5951</v>
      </c>
      <c r="AL939" s="11" t="s">
        <v>6236</v>
      </c>
      <c r="AM939" s="5"/>
      <c r="AN939" s="5"/>
      <c r="AO939" s="3"/>
      <c r="AP939" s="3"/>
      <c r="AQ939" s="3"/>
      <c r="AR939" s="3"/>
      <c r="AS939" s="3"/>
      <c r="AT939" s="3"/>
      <c r="AU939" s="3"/>
      <c r="AV939" s="3"/>
      <c r="AW939" s="3"/>
      <c r="AX939" s="3"/>
      <c r="AY939" s="3"/>
      <c r="AZ939" s="3"/>
      <c r="BA939" s="3"/>
      <c r="BB939" s="3"/>
    </row>
    <row r="940" spans="1:54" x14ac:dyDescent="0.4">
      <c r="A940" s="2" t="s">
        <v>6237</v>
      </c>
      <c r="B940" s="2"/>
      <c r="C940" s="2"/>
      <c r="D940" s="2" t="s">
        <v>54</v>
      </c>
      <c r="E940" s="2"/>
      <c r="F940" s="2" t="s">
        <v>6238</v>
      </c>
      <c r="G940" s="2">
        <v>1</v>
      </c>
      <c r="H940" s="2" t="s">
        <v>5718</v>
      </c>
      <c r="I940" s="3" t="s">
        <v>57</v>
      </c>
      <c r="J940" s="3" t="s">
        <v>5719</v>
      </c>
      <c r="K940" s="3" t="s">
        <v>840</v>
      </c>
      <c r="L940" s="4" t="s">
        <v>841</v>
      </c>
      <c r="M940" s="3" t="s">
        <v>60</v>
      </c>
      <c r="N940" s="4"/>
      <c r="O940" s="4"/>
      <c r="P940" s="3" t="s">
        <v>62</v>
      </c>
      <c r="Q940" s="3"/>
      <c r="R940" s="3" t="s">
        <v>5827</v>
      </c>
      <c r="S940" s="3" t="s">
        <v>64</v>
      </c>
      <c r="T940">
        <v>227</v>
      </c>
      <c r="U940">
        <v>208.5</v>
      </c>
      <c r="V940">
        <f t="shared" si="28"/>
        <v>217.75</v>
      </c>
      <c r="W940">
        <f t="shared" si="29"/>
        <v>18.5</v>
      </c>
      <c r="X940" s="5">
        <v>-53.77</v>
      </c>
      <c r="Y940" s="5">
        <v>-29.7</v>
      </c>
      <c r="Z940" s="3"/>
      <c r="AA940" s="3" t="s">
        <v>783</v>
      </c>
      <c r="AB940" s="3" t="s">
        <v>5828</v>
      </c>
      <c r="AC940" s="3" t="s">
        <v>5862</v>
      </c>
      <c r="AD940" s="3" t="s">
        <v>943</v>
      </c>
      <c r="AE940" s="3" t="s">
        <v>5830</v>
      </c>
      <c r="AF940" s="3" t="s">
        <v>944</v>
      </c>
      <c r="AG940" s="4" t="s">
        <v>841</v>
      </c>
      <c r="AH940" s="4"/>
      <c r="AI940" s="3" t="s">
        <v>5720</v>
      </c>
      <c r="AJ940" s="3" t="s">
        <v>5720</v>
      </c>
      <c r="AK940" s="10" t="s">
        <v>5951</v>
      </c>
      <c r="AL940" s="11" t="s">
        <v>6239</v>
      </c>
      <c r="AM940" s="5"/>
      <c r="AN940" s="5"/>
      <c r="AO940" s="3"/>
      <c r="AP940" s="3"/>
      <c r="AQ940" s="3"/>
      <c r="AR940" s="3"/>
      <c r="AS940" s="3"/>
      <c r="AT940" s="3"/>
      <c r="AU940" s="3"/>
      <c r="AV940" s="3"/>
      <c r="AW940" s="3"/>
      <c r="AX940" s="3"/>
      <c r="AY940" s="3"/>
      <c r="AZ940" s="3"/>
      <c r="BA940" s="3"/>
      <c r="BB940" s="3"/>
    </row>
    <row r="941" spans="1:54" x14ac:dyDescent="0.4">
      <c r="A941" s="2" t="s">
        <v>6240</v>
      </c>
      <c r="B941" s="2"/>
      <c r="C941" s="2"/>
      <c r="D941" s="2" t="s">
        <v>54</v>
      </c>
      <c r="E941" s="2"/>
      <c r="F941" s="2" t="s">
        <v>6241</v>
      </c>
      <c r="G941" s="2">
        <v>1</v>
      </c>
      <c r="H941" s="2" t="s">
        <v>5718</v>
      </c>
      <c r="I941" s="3" t="s">
        <v>57</v>
      </c>
      <c r="J941" s="3" t="s">
        <v>5719</v>
      </c>
      <c r="K941" s="3" t="s">
        <v>840</v>
      </c>
      <c r="L941" s="4" t="s">
        <v>841</v>
      </c>
      <c r="M941" s="3" t="s">
        <v>60</v>
      </c>
      <c r="N941" s="4"/>
      <c r="O941" s="4"/>
      <c r="P941" s="3" t="s">
        <v>62</v>
      </c>
      <c r="Q941" s="3"/>
      <c r="R941" s="3" t="s">
        <v>5827</v>
      </c>
      <c r="S941" s="3" t="s">
        <v>64</v>
      </c>
      <c r="T941">
        <v>227</v>
      </c>
      <c r="U941">
        <v>208.5</v>
      </c>
      <c r="V941">
        <f t="shared" si="28"/>
        <v>217.75</v>
      </c>
      <c r="W941">
        <f t="shared" si="29"/>
        <v>18.5</v>
      </c>
      <c r="X941" s="5">
        <v>-53.77</v>
      </c>
      <c r="Y941" s="5">
        <v>-29.7</v>
      </c>
      <c r="Z941" s="3"/>
      <c r="AA941" s="3" t="s">
        <v>783</v>
      </c>
      <c r="AB941" s="3" t="s">
        <v>5828</v>
      </c>
      <c r="AC941" s="3" t="s">
        <v>6242</v>
      </c>
      <c r="AD941" s="3" t="s">
        <v>943</v>
      </c>
      <c r="AE941" s="3" t="s">
        <v>5830</v>
      </c>
      <c r="AF941" s="3" t="s">
        <v>944</v>
      </c>
      <c r="AG941" s="4" t="s">
        <v>841</v>
      </c>
      <c r="AH941" s="4"/>
      <c r="AI941" s="3" t="s">
        <v>6243</v>
      </c>
      <c r="AJ941" s="3">
        <v>1989</v>
      </c>
      <c r="AK941" s="10" t="s">
        <v>5951</v>
      </c>
      <c r="AL941" s="11" t="s">
        <v>6244</v>
      </c>
      <c r="AM941" s="5"/>
      <c r="AN941" s="5"/>
      <c r="AO941" s="3"/>
      <c r="AP941" s="3"/>
      <c r="AQ941" s="3"/>
      <c r="AR941" s="3"/>
      <c r="AS941" s="3"/>
      <c r="AT941" s="3"/>
      <c r="AU941" s="3"/>
      <c r="AV941" s="3"/>
      <c r="AW941" s="3"/>
      <c r="AX941" s="3"/>
      <c r="AY941" s="3"/>
      <c r="AZ941" s="3"/>
      <c r="BA941" s="3"/>
      <c r="BB941" s="3"/>
    </row>
    <row r="942" spans="1:54" x14ac:dyDescent="0.4">
      <c r="A942" s="2" t="s">
        <v>6245</v>
      </c>
      <c r="B942" s="2"/>
      <c r="C942" s="2"/>
      <c r="D942" s="2" t="s">
        <v>54</v>
      </c>
      <c r="E942" s="2"/>
      <c r="F942" s="2" t="s">
        <v>6187</v>
      </c>
      <c r="G942" s="2">
        <v>1</v>
      </c>
      <c r="H942" s="2" t="s">
        <v>5718</v>
      </c>
      <c r="I942" s="3" t="s">
        <v>57</v>
      </c>
      <c r="J942" s="3" t="s">
        <v>5719</v>
      </c>
      <c r="K942" s="3" t="s">
        <v>840</v>
      </c>
      <c r="L942" s="4" t="s">
        <v>841</v>
      </c>
      <c r="M942" s="3" t="s">
        <v>60</v>
      </c>
      <c r="N942" s="4"/>
      <c r="O942" s="4"/>
      <c r="P942" s="3" t="s">
        <v>62</v>
      </c>
      <c r="Q942" s="3"/>
      <c r="R942" s="3" t="s">
        <v>5827</v>
      </c>
      <c r="S942" s="3" t="s">
        <v>64</v>
      </c>
      <c r="T942">
        <v>227</v>
      </c>
      <c r="U942">
        <v>208.5</v>
      </c>
      <c r="V942">
        <f t="shared" si="28"/>
        <v>217.75</v>
      </c>
      <c r="W942">
        <f t="shared" si="29"/>
        <v>18.5</v>
      </c>
      <c r="X942" s="5">
        <v>-52.69</v>
      </c>
      <c r="Y942" s="5">
        <v>-29.6</v>
      </c>
      <c r="Z942" s="3"/>
      <c r="AA942" s="3" t="s">
        <v>783</v>
      </c>
      <c r="AB942" s="3" t="s">
        <v>5828</v>
      </c>
      <c r="AC942" s="3" t="s">
        <v>6246</v>
      </c>
      <c r="AD942" s="3" t="s">
        <v>943</v>
      </c>
      <c r="AE942" s="3" t="s">
        <v>5830</v>
      </c>
      <c r="AF942" s="3" t="s">
        <v>944</v>
      </c>
      <c r="AG942" s="4" t="s">
        <v>841</v>
      </c>
      <c r="AH942" s="4"/>
      <c r="AI942" s="3" t="s">
        <v>5720</v>
      </c>
      <c r="AJ942" s="3" t="s">
        <v>5720</v>
      </c>
      <c r="AK942" s="10" t="s">
        <v>6247</v>
      </c>
      <c r="AL942" s="11" t="s">
        <v>6248</v>
      </c>
      <c r="AM942" s="5"/>
      <c r="AN942" s="5"/>
      <c r="AO942" s="3"/>
      <c r="AP942" s="3"/>
      <c r="AQ942" s="3"/>
      <c r="AR942" s="3"/>
      <c r="AS942" s="3"/>
      <c r="AT942" s="3"/>
      <c r="AU942" s="3"/>
      <c r="AV942" s="3"/>
      <c r="AW942" s="3"/>
      <c r="AX942" s="3"/>
      <c r="AY942" s="3"/>
      <c r="AZ942" s="3"/>
      <c r="BA942" s="3"/>
      <c r="BB942" s="3"/>
    </row>
    <row r="943" spans="1:54" x14ac:dyDescent="0.4">
      <c r="A943" s="2" t="s">
        <v>6249</v>
      </c>
      <c r="B943" s="2"/>
      <c r="C943" s="2"/>
      <c r="D943" s="2" t="s">
        <v>54</v>
      </c>
      <c r="E943" s="2"/>
      <c r="F943" s="2" t="s">
        <v>6250</v>
      </c>
      <c r="G943" s="2">
        <v>1</v>
      </c>
      <c r="H943" s="2" t="s">
        <v>5718</v>
      </c>
      <c r="I943" s="3" t="s">
        <v>57</v>
      </c>
      <c r="J943" s="3" t="s">
        <v>5719</v>
      </c>
      <c r="K943" s="3" t="s">
        <v>840</v>
      </c>
      <c r="L943" s="3" t="s">
        <v>841</v>
      </c>
      <c r="M943" s="3" t="s">
        <v>60</v>
      </c>
      <c r="N943" s="3"/>
      <c r="O943" s="3"/>
      <c r="P943" s="3" t="s">
        <v>62</v>
      </c>
      <c r="Q943" s="3"/>
      <c r="R943" s="3" t="s">
        <v>5827</v>
      </c>
      <c r="S943" s="3" t="s">
        <v>64</v>
      </c>
      <c r="T943">
        <v>227</v>
      </c>
      <c r="U943">
        <v>208.5</v>
      </c>
      <c r="V943">
        <f t="shared" si="28"/>
        <v>217.75</v>
      </c>
      <c r="W943">
        <f t="shared" si="29"/>
        <v>18.5</v>
      </c>
      <c r="X943" s="5">
        <v>-52.84</v>
      </c>
      <c r="Y943" s="5">
        <v>-29.68</v>
      </c>
      <c r="Z943" s="3"/>
      <c r="AA943" s="3" t="s">
        <v>783</v>
      </c>
      <c r="AB943" s="3" t="s">
        <v>5828</v>
      </c>
      <c r="AC943" s="3" t="s">
        <v>5720</v>
      </c>
      <c r="AD943" s="3" t="s">
        <v>943</v>
      </c>
      <c r="AE943" s="3" t="s">
        <v>5830</v>
      </c>
      <c r="AF943" s="3" t="s">
        <v>944</v>
      </c>
      <c r="AG943" s="4" t="s">
        <v>841</v>
      </c>
      <c r="AH943" s="4"/>
      <c r="AI943" s="3" t="s">
        <v>6251</v>
      </c>
      <c r="AJ943" s="3">
        <v>2013</v>
      </c>
      <c r="AK943" s="3" t="s">
        <v>6247</v>
      </c>
      <c r="AL943" s="11" t="s">
        <v>6252</v>
      </c>
      <c r="AM943" s="5"/>
      <c r="AN943" s="5"/>
      <c r="AO943" s="3"/>
      <c r="AP943" s="3"/>
      <c r="AQ943" s="3"/>
      <c r="AR943" s="3"/>
      <c r="AS943" s="3"/>
      <c r="AT943" s="3"/>
      <c r="AU943" s="3"/>
      <c r="AV943" s="3"/>
      <c r="AW943" s="3"/>
      <c r="AX943" s="3"/>
      <c r="AY943" s="3"/>
      <c r="AZ943" s="3"/>
      <c r="BA943" s="3"/>
      <c r="BB943" s="3"/>
    </row>
    <row r="944" spans="1:54" x14ac:dyDescent="0.4">
      <c r="A944" s="2" t="s">
        <v>6253</v>
      </c>
      <c r="B944" s="2"/>
      <c r="C944" s="2"/>
      <c r="D944" s="2" t="s">
        <v>54</v>
      </c>
      <c r="E944" s="2"/>
      <c r="F944" s="2" t="s">
        <v>6181</v>
      </c>
      <c r="G944" s="2">
        <v>1</v>
      </c>
      <c r="H944" s="2" t="s">
        <v>5718</v>
      </c>
      <c r="I944" s="3" t="s">
        <v>57</v>
      </c>
      <c r="J944" s="3" t="s">
        <v>5719</v>
      </c>
      <c r="K944" s="3" t="s">
        <v>840</v>
      </c>
      <c r="L944" s="3" t="s">
        <v>841</v>
      </c>
      <c r="M944" s="3" t="s">
        <v>60</v>
      </c>
      <c r="N944" s="3"/>
      <c r="O944" s="3"/>
      <c r="P944" s="3" t="s">
        <v>62</v>
      </c>
      <c r="Q944" s="3"/>
      <c r="R944" s="3" t="s">
        <v>5827</v>
      </c>
      <c r="S944" s="3" t="s">
        <v>64</v>
      </c>
      <c r="T944">
        <v>227</v>
      </c>
      <c r="U944">
        <v>208.5</v>
      </c>
      <c r="V944">
        <f t="shared" si="28"/>
        <v>217.75</v>
      </c>
      <c r="W944">
        <f t="shared" si="29"/>
        <v>18.5</v>
      </c>
      <c r="X944" s="5">
        <v>-53.18</v>
      </c>
      <c r="Y944" s="5">
        <v>-29.73</v>
      </c>
      <c r="Z944" s="3"/>
      <c r="AA944" s="3" t="s">
        <v>783</v>
      </c>
      <c r="AB944" s="3" t="s">
        <v>5828</v>
      </c>
      <c r="AC944" s="3" t="s">
        <v>5720</v>
      </c>
      <c r="AD944" s="3" t="s">
        <v>943</v>
      </c>
      <c r="AE944" s="3" t="s">
        <v>5830</v>
      </c>
      <c r="AF944" s="3" t="s">
        <v>944</v>
      </c>
      <c r="AG944" s="4" t="s">
        <v>841</v>
      </c>
      <c r="AH944" s="4"/>
      <c r="AI944" s="3" t="s">
        <v>5720</v>
      </c>
      <c r="AJ944" s="3" t="s">
        <v>5720</v>
      </c>
      <c r="AK944" s="10" t="s">
        <v>5956</v>
      </c>
      <c r="AL944" s="11" t="s">
        <v>6254</v>
      </c>
      <c r="AM944" s="5"/>
      <c r="AN944" s="5"/>
      <c r="AO944" s="3"/>
      <c r="AP944" s="3"/>
      <c r="AQ944" s="3"/>
      <c r="AR944" s="3"/>
      <c r="AS944" s="3"/>
      <c r="AT944" s="3"/>
      <c r="AU944" s="3"/>
      <c r="AV944" s="3"/>
      <c r="AW944" s="3"/>
      <c r="AX944" s="3"/>
      <c r="AY944" s="3"/>
      <c r="AZ944" s="3"/>
      <c r="BA944" s="3"/>
      <c r="BB944" s="3"/>
    </row>
    <row r="945" spans="1:54" x14ac:dyDescent="0.4">
      <c r="A945" s="2" t="s">
        <v>6255</v>
      </c>
      <c r="B945" s="2"/>
      <c r="C945" s="2"/>
      <c r="D945" s="2" t="s">
        <v>54</v>
      </c>
      <c r="E945" s="2"/>
      <c r="F945" s="2" t="s">
        <v>6256</v>
      </c>
      <c r="G945" s="2">
        <v>1</v>
      </c>
      <c r="H945" s="2" t="s">
        <v>5718</v>
      </c>
      <c r="I945" s="3" t="s">
        <v>57</v>
      </c>
      <c r="J945" s="3" t="s">
        <v>5719</v>
      </c>
      <c r="K945" s="3" t="s">
        <v>840</v>
      </c>
      <c r="L945" s="4" t="s">
        <v>841</v>
      </c>
      <c r="M945" s="3" t="s">
        <v>60</v>
      </c>
      <c r="N945" s="4"/>
      <c r="O945" s="4"/>
      <c r="P945" s="3" t="s">
        <v>62</v>
      </c>
      <c r="Q945" s="3"/>
      <c r="R945" s="3" t="s">
        <v>5827</v>
      </c>
      <c r="S945" s="3" t="s">
        <v>64</v>
      </c>
      <c r="T945">
        <v>227</v>
      </c>
      <c r="U945">
        <v>208.5</v>
      </c>
      <c r="V945">
        <f t="shared" si="28"/>
        <v>217.75</v>
      </c>
      <c r="W945">
        <f t="shared" si="29"/>
        <v>18.5</v>
      </c>
      <c r="X945" s="5">
        <v>-53.77</v>
      </c>
      <c r="Y945" s="5">
        <v>-29.7</v>
      </c>
      <c r="Z945" s="3"/>
      <c r="AA945" s="3" t="s">
        <v>783</v>
      </c>
      <c r="AB945" s="3" t="s">
        <v>5828</v>
      </c>
      <c r="AC945" s="3" t="s">
        <v>5862</v>
      </c>
      <c r="AD945" s="3" t="s">
        <v>943</v>
      </c>
      <c r="AE945" s="3" t="s">
        <v>5830</v>
      </c>
      <c r="AF945" s="3" t="s">
        <v>944</v>
      </c>
      <c r="AG945" s="4" t="s">
        <v>841</v>
      </c>
      <c r="AH945" s="4"/>
      <c r="AI945" s="3" t="s">
        <v>5720</v>
      </c>
      <c r="AJ945" s="3" t="s">
        <v>5720</v>
      </c>
      <c r="AK945" s="3" t="s">
        <v>5841</v>
      </c>
      <c r="AL945" s="11" t="s">
        <v>6257</v>
      </c>
      <c r="AM945" s="5"/>
      <c r="AN945" s="5"/>
      <c r="AO945" s="3"/>
      <c r="AP945" s="3"/>
      <c r="AQ945" s="3"/>
      <c r="AR945" s="3"/>
      <c r="AS945" s="3"/>
      <c r="AT945" s="3"/>
      <c r="AU945" s="3"/>
      <c r="AV945" s="3"/>
      <c r="AW945" s="3"/>
      <c r="AX945" s="3"/>
      <c r="AY945" s="3"/>
      <c r="AZ945" s="3"/>
      <c r="BA945" s="3"/>
      <c r="BB945" s="3"/>
    </row>
    <row r="946" spans="1:54" x14ac:dyDescent="0.4">
      <c r="A946" s="2" t="s">
        <v>6258</v>
      </c>
      <c r="B946" s="2"/>
      <c r="C946" s="2"/>
      <c r="D946" s="2" t="s">
        <v>54</v>
      </c>
      <c r="E946" s="2"/>
      <c r="F946" s="2" t="s">
        <v>6259</v>
      </c>
      <c r="G946" s="2">
        <v>1</v>
      </c>
      <c r="H946" s="2" t="s">
        <v>5718</v>
      </c>
      <c r="I946" s="3" t="s">
        <v>57</v>
      </c>
      <c r="J946" s="3" t="s">
        <v>5719</v>
      </c>
      <c r="K946" s="3" t="s">
        <v>840</v>
      </c>
      <c r="L946" s="4" t="s">
        <v>841</v>
      </c>
      <c r="M946" s="3" t="s">
        <v>60</v>
      </c>
      <c r="N946" s="4"/>
      <c r="O946" s="4"/>
      <c r="P946" s="3" t="s">
        <v>62</v>
      </c>
      <c r="Q946" s="3"/>
      <c r="R946" s="3" t="s">
        <v>5827</v>
      </c>
      <c r="S946" s="3" t="s">
        <v>64</v>
      </c>
      <c r="T946">
        <v>227</v>
      </c>
      <c r="U946">
        <v>208.5</v>
      </c>
      <c r="V946">
        <f t="shared" si="28"/>
        <v>217.75</v>
      </c>
      <c r="W946">
        <f t="shared" si="29"/>
        <v>18.5</v>
      </c>
      <c r="X946" s="5">
        <v>-53.77</v>
      </c>
      <c r="Y946" s="5">
        <v>-29.7</v>
      </c>
      <c r="Z946" s="3"/>
      <c r="AA946" s="3" t="s">
        <v>783</v>
      </c>
      <c r="AB946" s="3" t="s">
        <v>5828</v>
      </c>
      <c r="AC946" s="3" t="s">
        <v>5862</v>
      </c>
      <c r="AD946" s="3" t="s">
        <v>943</v>
      </c>
      <c r="AE946" s="3" t="s">
        <v>5830</v>
      </c>
      <c r="AF946" s="3" t="s">
        <v>944</v>
      </c>
      <c r="AG946" s="4" t="s">
        <v>841</v>
      </c>
      <c r="AH946" s="4"/>
      <c r="AI946" s="3" t="s">
        <v>6260</v>
      </c>
      <c r="AJ946" s="3" t="s">
        <v>5720</v>
      </c>
      <c r="AK946" s="3" t="s">
        <v>6261</v>
      </c>
      <c r="AL946" s="11" t="s">
        <v>6262</v>
      </c>
      <c r="AM946" s="5"/>
      <c r="AN946" s="5"/>
      <c r="AO946" s="3"/>
      <c r="AP946" s="3"/>
      <c r="AQ946" s="3"/>
      <c r="AR946" s="3"/>
      <c r="AS946" s="3"/>
      <c r="AT946" s="3"/>
      <c r="AU946" s="3"/>
      <c r="AV946" s="3"/>
      <c r="AW946" s="3"/>
      <c r="AX946" s="3"/>
      <c r="AY946" s="3"/>
      <c r="AZ946" s="3"/>
      <c r="BA946" s="3"/>
      <c r="BB946" s="3"/>
    </row>
    <row r="947" spans="1:54" x14ac:dyDescent="0.4">
      <c r="A947" s="2" t="s">
        <v>6263</v>
      </c>
      <c r="B947" s="2"/>
      <c r="C947" s="2"/>
      <c r="D947" s="2" t="s">
        <v>54</v>
      </c>
      <c r="E947" s="2"/>
      <c r="F947" s="2" t="s">
        <v>6264</v>
      </c>
      <c r="G947" s="2">
        <v>1</v>
      </c>
      <c r="H947" s="2" t="s">
        <v>5718</v>
      </c>
      <c r="I947" s="3" t="s">
        <v>57</v>
      </c>
      <c r="J947" s="3" t="s">
        <v>5719</v>
      </c>
      <c r="K947" s="3" t="s">
        <v>840</v>
      </c>
      <c r="L947" s="4" t="s">
        <v>841</v>
      </c>
      <c r="M947" s="3" t="s">
        <v>60</v>
      </c>
      <c r="N947" s="4"/>
      <c r="O947" s="4"/>
      <c r="P947" s="3" t="s">
        <v>62</v>
      </c>
      <c r="Q947" s="3"/>
      <c r="R947" s="3" t="s">
        <v>5827</v>
      </c>
      <c r="S947" s="3" t="s">
        <v>64</v>
      </c>
      <c r="T947">
        <v>227</v>
      </c>
      <c r="U947">
        <v>208.5</v>
      </c>
      <c r="V947">
        <f t="shared" si="28"/>
        <v>217.75</v>
      </c>
      <c r="W947">
        <f t="shared" si="29"/>
        <v>18.5</v>
      </c>
      <c r="X947" s="5">
        <v>-53.77</v>
      </c>
      <c r="Y947" s="5">
        <v>-29.7</v>
      </c>
      <c r="Z947" s="3"/>
      <c r="AA947" s="3" t="s">
        <v>783</v>
      </c>
      <c r="AB947" s="3" t="s">
        <v>5828</v>
      </c>
      <c r="AC947" s="3" t="s">
        <v>5862</v>
      </c>
      <c r="AD947" s="3" t="s">
        <v>943</v>
      </c>
      <c r="AE947" s="3" t="s">
        <v>5830</v>
      </c>
      <c r="AF947" s="3" t="s">
        <v>944</v>
      </c>
      <c r="AG947" s="4" t="s">
        <v>841</v>
      </c>
      <c r="AH947" s="4"/>
      <c r="AI947" s="3" t="s">
        <v>6260</v>
      </c>
      <c r="AJ947" s="3" t="s">
        <v>5720</v>
      </c>
      <c r="AK947" s="3" t="s">
        <v>6261</v>
      </c>
      <c r="AL947" s="11" t="s">
        <v>6265</v>
      </c>
      <c r="AM947" s="5"/>
      <c r="AN947" s="5"/>
      <c r="AO947" s="3"/>
      <c r="AP947" s="3"/>
      <c r="AQ947" s="3"/>
      <c r="AR947" s="3"/>
      <c r="AS947" s="3"/>
      <c r="AT947" s="3"/>
      <c r="AU947" s="3"/>
      <c r="AV947" s="3"/>
      <c r="AW947" s="3"/>
      <c r="AX947" s="3"/>
      <c r="AY947" s="3"/>
      <c r="AZ947" s="3"/>
      <c r="BA947" s="3"/>
      <c r="BB947" s="3"/>
    </row>
    <row r="948" spans="1:54" x14ac:dyDescent="0.4">
      <c r="A948" s="2" t="s">
        <v>6266</v>
      </c>
      <c r="B948" s="2"/>
      <c r="C948" s="2"/>
      <c r="D948" s="2" t="s">
        <v>54</v>
      </c>
      <c r="E948" s="2"/>
      <c r="F948" s="2" t="s">
        <v>6267</v>
      </c>
      <c r="G948" s="2">
        <v>1</v>
      </c>
      <c r="H948" s="2" t="s">
        <v>5718</v>
      </c>
      <c r="I948" s="3" t="s">
        <v>57</v>
      </c>
      <c r="J948" s="3" t="s">
        <v>5719</v>
      </c>
      <c r="K948" s="3" t="s">
        <v>840</v>
      </c>
      <c r="L948" s="4" t="s">
        <v>841</v>
      </c>
      <c r="M948" s="3" t="s">
        <v>60</v>
      </c>
      <c r="N948" s="4"/>
      <c r="O948" s="4"/>
      <c r="P948" s="3" t="s">
        <v>62</v>
      </c>
      <c r="Q948" s="3"/>
      <c r="R948" s="3" t="s">
        <v>5827</v>
      </c>
      <c r="S948" s="3" t="s">
        <v>64</v>
      </c>
      <c r="T948">
        <v>227</v>
      </c>
      <c r="U948">
        <v>208.5</v>
      </c>
      <c r="V948">
        <f t="shared" si="28"/>
        <v>217.75</v>
      </c>
      <c r="W948">
        <f t="shared" si="29"/>
        <v>18.5</v>
      </c>
      <c r="X948" s="5">
        <v>-53.79</v>
      </c>
      <c r="Y948" s="5">
        <v>-29.7</v>
      </c>
      <c r="Z948" s="3"/>
      <c r="AA948" s="3" t="s">
        <v>783</v>
      </c>
      <c r="AB948" s="3" t="s">
        <v>5828</v>
      </c>
      <c r="AC948" s="3" t="s">
        <v>5862</v>
      </c>
      <c r="AD948" s="3" t="s">
        <v>943</v>
      </c>
      <c r="AE948" s="3" t="s">
        <v>5830</v>
      </c>
      <c r="AF948" s="3" t="s">
        <v>944</v>
      </c>
      <c r="AG948" s="4" t="s">
        <v>841</v>
      </c>
      <c r="AH948" s="4"/>
      <c r="AI948" s="3" t="s">
        <v>6260</v>
      </c>
      <c r="AJ948" s="3" t="s">
        <v>5720</v>
      </c>
      <c r="AK948" s="3" t="s">
        <v>6261</v>
      </c>
      <c r="AL948" s="11" t="s">
        <v>6268</v>
      </c>
      <c r="AM948" s="5"/>
      <c r="AN948" s="5"/>
      <c r="AO948" s="3"/>
      <c r="AP948" s="3"/>
      <c r="AQ948" s="3"/>
      <c r="AR948" s="3"/>
      <c r="AS948" s="3"/>
      <c r="AT948" s="3"/>
      <c r="AU948" s="3"/>
      <c r="AV948" s="3"/>
      <c r="AW948" s="3"/>
      <c r="AX948" s="3"/>
      <c r="AY948" s="3"/>
      <c r="AZ948" s="3"/>
      <c r="BA948" s="3"/>
      <c r="BB948" s="3"/>
    </row>
    <row r="949" spans="1:54" x14ac:dyDescent="0.4">
      <c r="A949" s="2" t="s">
        <v>6269</v>
      </c>
      <c r="B949" s="2"/>
      <c r="C949" s="2"/>
      <c r="D949" s="2" t="s">
        <v>54</v>
      </c>
      <c r="E949" s="2"/>
      <c r="F949" s="2" t="s">
        <v>6270</v>
      </c>
      <c r="G949" s="2">
        <v>1</v>
      </c>
      <c r="H949" s="2" t="s">
        <v>5718</v>
      </c>
      <c r="I949" s="3" t="s">
        <v>57</v>
      </c>
      <c r="J949" s="3" t="s">
        <v>5719</v>
      </c>
      <c r="K949" s="3" t="s">
        <v>840</v>
      </c>
      <c r="L949" s="4" t="s">
        <v>841</v>
      </c>
      <c r="M949" s="3" t="s">
        <v>60</v>
      </c>
      <c r="N949" s="4"/>
      <c r="O949" s="4"/>
      <c r="P949" s="3" t="s">
        <v>62</v>
      </c>
      <c r="Q949" s="3"/>
      <c r="R949" s="3" t="s">
        <v>5827</v>
      </c>
      <c r="S949" s="3" t="s">
        <v>64</v>
      </c>
      <c r="T949">
        <v>227</v>
      </c>
      <c r="U949">
        <v>208.5</v>
      </c>
      <c r="V949">
        <f t="shared" si="28"/>
        <v>217.75</v>
      </c>
      <c r="W949">
        <f t="shared" si="29"/>
        <v>18.5</v>
      </c>
      <c r="X949" s="5">
        <v>-53.77</v>
      </c>
      <c r="Y949" s="5">
        <v>-29.7</v>
      </c>
      <c r="Z949" s="3"/>
      <c r="AA949" s="3" t="s">
        <v>783</v>
      </c>
      <c r="AB949" s="3" t="s">
        <v>5828</v>
      </c>
      <c r="AC949" s="3" t="s">
        <v>5862</v>
      </c>
      <c r="AD949" s="3" t="s">
        <v>943</v>
      </c>
      <c r="AE949" s="3" t="s">
        <v>5830</v>
      </c>
      <c r="AF949" s="3" t="s">
        <v>944</v>
      </c>
      <c r="AG949" s="4" t="s">
        <v>841</v>
      </c>
      <c r="AH949" s="4"/>
      <c r="AI949" s="3" t="s">
        <v>5720</v>
      </c>
      <c r="AJ949" s="3" t="s">
        <v>5720</v>
      </c>
      <c r="AK949" s="3" t="s">
        <v>5841</v>
      </c>
      <c r="AL949" s="11" t="s">
        <v>6271</v>
      </c>
      <c r="AM949" s="5"/>
      <c r="AN949" s="5"/>
      <c r="AO949" s="3"/>
      <c r="AP949" s="3"/>
      <c r="AQ949" s="3"/>
      <c r="AR949" s="3"/>
      <c r="AS949" s="3"/>
      <c r="AT949" s="3"/>
      <c r="AU949" s="3"/>
      <c r="AV949" s="3"/>
      <c r="AW949" s="3"/>
      <c r="AX949" s="3"/>
      <c r="AY949" s="3"/>
      <c r="AZ949" s="3"/>
      <c r="BA949" s="3"/>
      <c r="BB949" s="3"/>
    </row>
    <row r="950" spans="1:54" x14ac:dyDescent="0.4">
      <c r="A950" s="2" t="s">
        <v>6272</v>
      </c>
      <c r="B950" s="2"/>
      <c r="C950" s="2"/>
      <c r="D950" s="2" t="s">
        <v>54</v>
      </c>
      <c r="E950" s="2"/>
      <c r="F950" s="2" t="s">
        <v>6273</v>
      </c>
      <c r="G950" s="2">
        <v>1</v>
      </c>
      <c r="H950" s="2" t="s">
        <v>5718</v>
      </c>
      <c r="I950" s="3" t="s">
        <v>57</v>
      </c>
      <c r="J950" s="3" t="s">
        <v>5719</v>
      </c>
      <c r="K950" s="3" t="s">
        <v>840</v>
      </c>
      <c r="L950" s="4" t="s">
        <v>841</v>
      </c>
      <c r="M950" s="3" t="s">
        <v>60</v>
      </c>
      <c r="N950" s="4"/>
      <c r="O950" s="4"/>
      <c r="P950" s="3" t="s">
        <v>62</v>
      </c>
      <c r="Q950" s="3"/>
      <c r="R950" s="3" t="s">
        <v>5827</v>
      </c>
      <c r="S950" s="3" t="s">
        <v>64</v>
      </c>
      <c r="T950">
        <v>227</v>
      </c>
      <c r="U950">
        <v>208.5</v>
      </c>
      <c r="V950">
        <f t="shared" si="28"/>
        <v>217.75</v>
      </c>
      <c r="W950">
        <f t="shared" si="29"/>
        <v>18.5</v>
      </c>
      <c r="X950" s="5">
        <v>-53.79</v>
      </c>
      <c r="Y950" s="5">
        <v>-29.7</v>
      </c>
      <c r="Z950" s="3"/>
      <c r="AA950" s="3" t="s">
        <v>783</v>
      </c>
      <c r="AB950" s="3" t="s">
        <v>5828</v>
      </c>
      <c r="AC950" s="3" t="s">
        <v>5862</v>
      </c>
      <c r="AD950" s="3" t="s">
        <v>943</v>
      </c>
      <c r="AE950" s="3" t="s">
        <v>5830</v>
      </c>
      <c r="AF950" s="3" t="s">
        <v>944</v>
      </c>
      <c r="AG950" s="4" t="s">
        <v>841</v>
      </c>
      <c r="AH950" s="4"/>
      <c r="AI950" s="3" t="s">
        <v>5720</v>
      </c>
      <c r="AJ950" s="3" t="s">
        <v>5720</v>
      </c>
      <c r="AK950" s="3" t="s">
        <v>5841</v>
      </c>
      <c r="AL950" s="11" t="s">
        <v>6274</v>
      </c>
      <c r="AM950" s="5"/>
      <c r="AN950" s="5"/>
      <c r="AO950" s="3"/>
      <c r="AP950" s="3"/>
      <c r="AQ950" s="3"/>
      <c r="AR950" s="3"/>
      <c r="AS950" s="3"/>
      <c r="AT950" s="3"/>
      <c r="AU950" s="3"/>
      <c r="AV950" s="3"/>
      <c r="AW950" s="3"/>
      <c r="AX950" s="3"/>
      <c r="AY950" s="3"/>
      <c r="AZ950" s="3"/>
      <c r="BA950" s="3"/>
      <c r="BB950" s="3"/>
    </row>
    <row r="951" spans="1:54" x14ac:dyDescent="0.4">
      <c r="A951" s="2" t="s">
        <v>6275</v>
      </c>
      <c r="B951" s="2"/>
      <c r="C951" s="2"/>
      <c r="D951" s="2" t="s">
        <v>54</v>
      </c>
      <c r="E951" s="2"/>
      <c r="F951" s="2" t="s">
        <v>6112</v>
      </c>
      <c r="G951" s="2">
        <v>1</v>
      </c>
      <c r="H951" s="2" t="s">
        <v>5718</v>
      </c>
      <c r="I951" s="3" t="s">
        <v>57</v>
      </c>
      <c r="J951" s="3" t="s">
        <v>5719</v>
      </c>
      <c r="K951" s="3" t="s">
        <v>840</v>
      </c>
      <c r="L951" s="4" t="s">
        <v>841</v>
      </c>
      <c r="M951" s="3" t="s">
        <v>60</v>
      </c>
      <c r="N951" s="4"/>
      <c r="O951" s="4"/>
      <c r="P951" s="3" t="s">
        <v>62</v>
      </c>
      <c r="Q951" s="3"/>
      <c r="R951" s="3" t="s">
        <v>5827</v>
      </c>
      <c r="S951" s="3" t="s">
        <v>64</v>
      </c>
      <c r="T951">
        <v>227</v>
      </c>
      <c r="U951">
        <v>208.5</v>
      </c>
      <c r="V951">
        <f t="shared" si="28"/>
        <v>217.75</v>
      </c>
      <c r="W951">
        <f t="shared" si="29"/>
        <v>18.5</v>
      </c>
      <c r="X951" s="5">
        <v>-53.77</v>
      </c>
      <c r="Y951" s="5">
        <v>-29.7</v>
      </c>
      <c r="Z951" s="3"/>
      <c r="AA951" s="3" t="s">
        <v>783</v>
      </c>
      <c r="AB951" s="3" t="s">
        <v>5828</v>
      </c>
      <c r="AC951" s="3" t="s">
        <v>5862</v>
      </c>
      <c r="AD951" s="3" t="s">
        <v>943</v>
      </c>
      <c r="AE951" s="3" t="s">
        <v>5830</v>
      </c>
      <c r="AF951" s="3" t="s">
        <v>944</v>
      </c>
      <c r="AG951" s="4" t="s">
        <v>841</v>
      </c>
      <c r="AH951" s="4"/>
      <c r="AI951" s="3" t="s">
        <v>5720</v>
      </c>
      <c r="AJ951" s="3" t="s">
        <v>5720</v>
      </c>
      <c r="AK951" s="3" t="s">
        <v>5841</v>
      </c>
      <c r="AL951" s="11" t="s">
        <v>6276</v>
      </c>
      <c r="AM951" s="5"/>
      <c r="AN951" s="5"/>
      <c r="AO951" s="3"/>
      <c r="AP951" s="3"/>
      <c r="AQ951" s="3"/>
      <c r="AR951" s="3"/>
      <c r="AS951" s="3"/>
      <c r="AT951" s="3"/>
      <c r="AU951" s="3"/>
      <c r="AV951" s="3"/>
      <c r="AW951" s="3"/>
      <c r="AX951" s="3"/>
      <c r="AY951" s="3"/>
      <c r="AZ951" s="3"/>
      <c r="BA951" s="3"/>
      <c r="BB951" s="3"/>
    </row>
    <row r="952" spans="1:54" x14ac:dyDescent="0.4">
      <c r="A952" s="2" t="s">
        <v>6277</v>
      </c>
      <c r="B952" s="2"/>
      <c r="C952" s="2"/>
      <c r="D952" s="2" t="s">
        <v>54</v>
      </c>
      <c r="E952" s="2"/>
      <c r="F952" s="2" t="s">
        <v>6278</v>
      </c>
      <c r="G952" s="2">
        <v>1</v>
      </c>
      <c r="H952" s="2" t="s">
        <v>5718</v>
      </c>
      <c r="I952" s="3" t="s">
        <v>57</v>
      </c>
      <c r="J952" s="3" t="s">
        <v>5719</v>
      </c>
      <c r="K952" s="3" t="s">
        <v>1214</v>
      </c>
      <c r="L952" s="4" t="s">
        <v>5325</v>
      </c>
      <c r="M952" s="3" t="s">
        <v>60</v>
      </c>
      <c r="N952" s="4"/>
      <c r="O952" s="4"/>
      <c r="P952" s="3" t="s">
        <v>62</v>
      </c>
      <c r="Q952" s="3"/>
      <c r="R952" s="3" t="s">
        <v>63</v>
      </c>
      <c r="S952" s="3" t="s">
        <v>64</v>
      </c>
      <c r="T952">
        <v>227</v>
      </c>
      <c r="U952">
        <v>208.5</v>
      </c>
      <c r="V952">
        <f t="shared" si="28"/>
        <v>217.75</v>
      </c>
      <c r="W952">
        <f t="shared" si="29"/>
        <v>18.5</v>
      </c>
      <c r="X952" s="5">
        <v>-67.400002000000001</v>
      </c>
      <c r="Y952" s="5">
        <v>-31.6</v>
      </c>
      <c r="Z952" s="3"/>
      <c r="AA952" s="3" t="s">
        <v>185</v>
      </c>
      <c r="AB952" s="3" t="s">
        <v>285</v>
      </c>
      <c r="AC952" s="3" t="s">
        <v>5720</v>
      </c>
      <c r="AD952" s="3" t="s">
        <v>6279</v>
      </c>
      <c r="AE952" s="3"/>
      <c r="AF952" s="3" t="s">
        <v>5720</v>
      </c>
      <c r="AG952" s="3" t="s">
        <v>5720</v>
      </c>
      <c r="AH952" s="3"/>
      <c r="AI952" s="3" t="s">
        <v>5720</v>
      </c>
      <c r="AJ952" s="3" t="s">
        <v>5720</v>
      </c>
      <c r="AK952" s="3" t="s">
        <v>6280</v>
      </c>
      <c r="AL952" s="11" t="s">
        <v>6281</v>
      </c>
      <c r="AM952" s="3"/>
      <c r="AN952" s="3"/>
      <c r="AO952" s="3"/>
      <c r="AP952" s="3"/>
      <c r="AQ952" s="3"/>
      <c r="AR952" s="3"/>
      <c r="AS952" s="3"/>
      <c r="AT952" s="3"/>
      <c r="AU952" s="3"/>
      <c r="AV952" s="3"/>
      <c r="AW952" s="3"/>
      <c r="AX952" s="3"/>
      <c r="AY952" s="3"/>
      <c r="AZ952" s="3"/>
      <c r="BA952" s="3"/>
      <c r="BB952" s="3"/>
    </row>
    <row r="953" spans="1:54" x14ac:dyDescent="0.4">
      <c r="A953" s="2" t="s">
        <v>6282</v>
      </c>
      <c r="B953" s="2"/>
      <c r="C953" s="2"/>
      <c r="D953" s="2" t="s">
        <v>54</v>
      </c>
      <c r="E953" s="2"/>
      <c r="F953" s="2" t="s">
        <v>6283</v>
      </c>
      <c r="G953" s="2">
        <v>1</v>
      </c>
      <c r="H953" s="2" t="s">
        <v>5718</v>
      </c>
      <c r="I953" s="3" t="s">
        <v>57</v>
      </c>
      <c r="J953" s="3" t="s">
        <v>5719</v>
      </c>
      <c r="K953" s="3" t="s">
        <v>194</v>
      </c>
      <c r="L953" s="4" t="s">
        <v>4771</v>
      </c>
      <c r="M953" s="3" t="s">
        <v>60</v>
      </c>
      <c r="N953" s="4"/>
      <c r="O953" s="4"/>
      <c r="P953" s="3" t="s">
        <v>62</v>
      </c>
      <c r="Q953" s="3"/>
      <c r="R953" s="3" t="s">
        <v>5827</v>
      </c>
      <c r="S953" s="3" t="s">
        <v>64</v>
      </c>
      <c r="T953">
        <v>227</v>
      </c>
      <c r="U953">
        <v>208.5</v>
      </c>
      <c r="V953">
        <f t="shared" si="28"/>
        <v>217.75</v>
      </c>
      <c r="W953">
        <f t="shared" si="29"/>
        <v>18.5</v>
      </c>
      <c r="X953" s="5">
        <v>-53.44</v>
      </c>
      <c r="Y953" s="5">
        <v>-29.66</v>
      </c>
      <c r="Z953" s="3"/>
      <c r="AA953" s="3" t="s">
        <v>783</v>
      </c>
      <c r="AB953" s="3" t="s">
        <v>5828</v>
      </c>
      <c r="AC953" s="3" t="s">
        <v>4632</v>
      </c>
      <c r="AD953" s="3" t="s">
        <v>943</v>
      </c>
      <c r="AE953" s="3" t="s">
        <v>5830</v>
      </c>
      <c r="AF953" s="3" t="s">
        <v>944</v>
      </c>
      <c r="AG953" s="4" t="s">
        <v>841</v>
      </c>
      <c r="AH953" s="4"/>
      <c r="AI953" s="3" t="s">
        <v>6025</v>
      </c>
      <c r="AJ953" s="3">
        <v>2016</v>
      </c>
      <c r="AK953" s="10" t="s">
        <v>6004</v>
      </c>
      <c r="AL953" s="11" t="s">
        <v>6284</v>
      </c>
      <c r="AM953" s="5"/>
      <c r="AN953" s="5"/>
      <c r="AO953" s="3"/>
      <c r="AP953" s="3"/>
      <c r="AQ953" s="3"/>
      <c r="AR953" s="3"/>
      <c r="AS953" s="3"/>
      <c r="AT953" s="3"/>
      <c r="AU953" s="3"/>
      <c r="AV953" s="3"/>
      <c r="AW953" s="3"/>
      <c r="AX953" s="3"/>
      <c r="AY953" s="3"/>
      <c r="AZ953" s="3"/>
      <c r="BA953" s="3"/>
      <c r="BB953" s="3"/>
    </row>
    <row r="954" spans="1:54" x14ac:dyDescent="0.4">
      <c r="A954" s="2" t="s">
        <v>6285</v>
      </c>
      <c r="B954" s="2"/>
      <c r="C954" s="2"/>
      <c r="D954" s="2" t="s">
        <v>54</v>
      </c>
      <c r="E954" s="2"/>
      <c r="F954" s="2" t="s">
        <v>5791</v>
      </c>
      <c r="G954" s="2">
        <v>1</v>
      </c>
      <c r="H954" s="2" t="s">
        <v>5718</v>
      </c>
      <c r="I954" s="3" t="s">
        <v>57</v>
      </c>
      <c r="J954" s="3" t="s">
        <v>5719</v>
      </c>
      <c r="K954" s="3" t="s">
        <v>1214</v>
      </c>
      <c r="L954" s="4" t="s">
        <v>1215</v>
      </c>
      <c r="M954" s="3" t="s">
        <v>60</v>
      </c>
      <c r="N954" s="4"/>
      <c r="O954" s="4"/>
      <c r="P954" s="3" t="s">
        <v>62</v>
      </c>
      <c r="Q954" s="3"/>
      <c r="R954" s="3" t="s">
        <v>63</v>
      </c>
      <c r="S954" s="3" t="s">
        <v>64</v>
      </c>
      <c r="T954">
        <v>227</v>
      </c>
      <c r="U954">
        <v>208.5</v>
      </c>
      <c r="V954">
        <f t="shared" si="28"/>
        <v>217.75</v>
      </c>
      <c r="W954">
        <f t="shared" si="29"/>
        <v>18.5</v>
      </c>
      <c r="X954" s="5">
        <v>-66.083297999999999</v>
      </c>
      <c r="Y954" s="5">
        <v>-30.416699999999999</v>
      </c>
      <c r="Z954" s="3"/>
      <c r="AA954" s="3" t="s">
        <v>185</v>
      </c>
      <c r="AB954" s="3" t="s">
        <v>186</v>
      </c>
      <c r="AC954" s="3" t="s">
        <v>6064</v>
      </c>
      <c r="AD954" s="3" t="s">
        <v>551</v>
      </c>
      <c r="AE954" s="3" t="s">
        <v>5720</v>
      </c>
      <c r="AF954" s="3" t="s">
        <v>5720</v>
      </c>
      <c r="AG954" s="3" t="s">
        <v>5720</v>
      </c>
      <c r="AH954" s="3"/>
      <c r="AI954" s="3" t="s">
        <v>5720</v>
      </c>
      <c r="AJ954" s="3" t="s">
        <v>5720</v>
      </c>
      <c r="AK954" s="10" t="s">
        <v>6065</v>
      </c>
      <c r="AL954" s="11" t="s">
        <v>6286</v>
      </c>
      <c r="AM954" s="3"/>
      <c r="AN954" s="3"/>
      <c r="AO954" s="3"/>
      <c r="AP954" s="3"/>
      <c r="AQ954" s="3"/>
      <c r="AR954" s="3"/>
      <c r="AS954" s="3"/>
      <c r="AT954" s="3"/>
      <c r="AU954" s="3"/>
      <c r="AV954" s="3"/>
      <c r="AW954" s="3"/>
      <c r="AX954" s="3"/>
      <c r="AY954" s="3"/>
      <c r="AZ954" s="3"/>
      <c r="BA954" s="3"/>
      <c r="BB954" s="3"/>
    </row>
    <row r="955" spans="1:54" x14ac:dyDescent="0.4">
      <c r="A955" s="2" t="s">
        <v>6287</v>
      </c>
      <c r="B955" s="2"/>
      <c r="C955" s="2"/>
      <c r="D955" s="2" t="s">
        <v>54</v>
      </c>
      <c r="E955" s="2"/>
      <c r="F955" s="2" t="s">
        <v>6288</v>
      </c>
      <c r="G955" s="2">
        <v>1</v>
      </c>
      <c r="H955" s="2" t="s">
        <v>5718</v>
      </c>
      <c r="I955" s="3" t="s">
        <v>57</v>
      </c>
      <c r="J955" s="3" t="s">
        <v>5719</v>
      </c>
      <c r="K955" s="3" t="s">
        <v>1214</v>
      </c>
      <c r="L955" s="4" t="s">
        <v>1215</v>
      </c>
      <c r="M955" s="3" t="s">
        <v>60</v>
      </c>
      <c r="N955" s="4"/>
      <c r="O955" s="4"/>
      <c r="P955" s="3" t="s">
        <v>62</v>
      </c>
      <c r="Q955" s="3"/>
      <c r="R955" s="3" t="s">
        <v>63</v>
      </c>
      <c r="S955" s="3" t="s">
        <v>64</v>
      </c>
      <c r="T955">
        <v>227</v>
      </c>
      <c r="U955">
        <v>208.5</v>
      </c>
      <c r="V955">
        <f t="shared" si="28"/>
        <v>217.75</v>
      </c>
      <c r="W955">
        <f t="shared" si="29"/>
        <v>18.5</v>
      </c>
      <c r="X955" s="5">
        <v>-66.083297999999999</v>
      </c>
      <c r="Y955" s="5">
        <v>-30.416699999999999</v>
      </c>
      <c r="Z955" s="3"/>
      <c r="AA955" s="3" t="s">
        <v>185</v>
      </c>
      <c r="AB955" s="3" t="s">
        <v>186</v>
      </c>
      <c r="AC955" s="3" t="s">
        <v>6064</v>
      </c>
      <c r="AD955" s="3" t="s">
        <v>551</v>
      </c>
      <c r="AE955" s="3" t="s">
        <v>5720</v>
      </c>
      <c r="AF955" s="3" t="s">
        <v>5720</v>
      </c>
      <c r="AG955" s="3" t="s">
        <v>5720</v>
      </c>
      <c r="AH955" s="3"/>
      <c r="AI955" s="3" t="s">
        <v>5720</v>
      </c>
      <c r="AJ955" s="3" t="s">
        <v>5720</v>
      </c>
      <c r="AK955" s="10" t="s">
        <v>6065</v>
      </c>
      <c r="AL955" s="11" t="s">
        <v>6289</v>
      </c>
      <c r="AM955" s="3"/>
      <c r="AN955" s="3"/>
      <c r="AO955" s="3"/>
      <c r="AP955" s="3"/>
      <c r="AQ955" s="3"/>
      <c r="AR955" s="3"/>
      <c r="AS955" s="3"/>
      <c r="AT955" s="3"/>
      <c r="AU955" s="3"/>
      <c r="AV955" s="3"/>
      <c r="AW955" s="3"/>
      <c r="AX955" s="3"/>
      <c r="AY955" s="3"/>
      <c r="AZ955" s="3"/>
      <c r="BA955" s="3"/>
      <c r="BB955" s="3"/>
    </row>
    <row r="956" spans="1:54" x14ac:dyDescent="0.4">
      <c r="A956" s="2" t="s">
        <v>6290</v>
      </c>
      <c r="B956" s="2"/>
      <c r="C956" s="2"/>
      <c r="D956" s="2" t="s">
        <v>54</v>
      </c>
      <c r="E956" s="2"/>
      <c r="F956" s="2" t="s">
        <v>6291</v>
      </c>
      <c r="G956" s="2">
        <v>1</v>
      </c>
      <c r="H956" s="2" t="s">
        <v>5718</v>
      </c>
      <c r="I956" s="3" t="s">
        <v>57</v>
      </c>
      <c r="J956" s="3" t="s">
        <v>5719</v>
      </c>
      <c r="K956" s="3" t="s">
        <v>1214</v>
      </c>
      <c r="L956" s="4" t="s">
        <v>1215</v>
      </c>
      <c r="M956" s="3" t="s">
        <v>60</v>
      </c>
      <c r="N956" s="4"/>
      <c r="O956" s="4"/>
      <c r="P956" s="3" t="s">
        <v>62</v>
      </c>
      <c r="Q956" s="3"/>
      <c r="R956" s="3" t="s">
        <v>63</v>
      </c>
      <c r="S956" s="3" t="s">
        <v>64</v>
      </c>
      <c r="T956">
        <v>227</v>
      </c>
      <c r="U956">
        <v>208.5</v>
      </c>
      <c r="V956">
        <f t="shared" si="28"/>
        <v>217.75</v>
      </c>
      <c r="W956">
        <f t="shared" si="29"/>
        <v>18.5</v>
      </c>
      <c r="X956" s="5">
        <v>-66.083297999999999</v>
      </c>
      <c r="Y956" s="5">
        <v>-30.416699999999999</v>
      </c>
      <c r="Z956" s="3"/>
      <c r="AA956" s="3" t="s">
        <v>185</v>
      </c>
      <c r="AB956" s="3" t="s">
        <v>186</v>
      </c>
      <c r="AC956" s="3" t="s">
        <v>6064</v>
      </c>
      <c r="AD956" s="3" t="s">
        <v>551</v>
      </c>
      <c r="AE956" s="3" t="s">
        <v>5720</v>
      </c>
      <c r="AF956" s="3" t="s">
        <v>5720</v>
      </c>
      <c r="AG956" s="3" t="s">
        <v>5720</v>
      </c>
      <c r="AH956" s="3"/>
      <c r="AI956" s="3" t="s">
        <v>5720</v>
      </c>
      <c r="AJ956" s="3" t="s">
        <v>5720</v>
      </c>
      <c r="AK956" s="10" t="s">
        <v>6065</v>
      </c>
      <c r="AL956" s="11" t="s">
        <v>6066</v>
      </c>
      <c r="AM956" s="3"/>
      <c r="AN956" s="3"/>
      <c r="AO956" s="3"/>
      <c r="AP956" s="3"/>
      <c r="AQ956" s="3"/>
      <c r="AR956" s="3"/>
      <c r="AS956" s="3"/>
      <c r="AT956" s="3"/>
      <c r="AU956" s="3"/>
      <c r="AV956" s="3"/>
      <c r="AW956" s="3"/>
      <c r="AX956" s="3"/>
      <c r="AY956" s="3"/>
      <c r="AZ956" s="3"/>
      <c r="BA956" s="3"/>
      <c r="BB956" s="3"/>
    </row>
    <row r="957" spans="1:54" x14ac:dyDescent="0.4">
      <c r="A957" s="2" t="s">
        <v>6292</v>
      </c>
      <c r="B957" s="2"/>
      <c r="C957" s="2"/>
      <c r="D957" s="2" t="s">
        <v>54</v>
      </c>
      <c r="E957" s="2"/>
      <c r="F957" s="2" t="s">
        <v>6293</v>
      </c>
      <c r="G957" s="2">
        <v>1</v>
      </c>
      <c r="H957" s="2" t="s">
        <v>5718</v>
      </c>
      <c r="I957" s="3" t="s">
        <v>57</v>
      </c>
      <c r="J957" s="3" t="s">
        <v>5719</v>
      </c>
      <c r="K957" s="3" t="s">
        <v>1214</v>
      </c>
      <c r="L957" s="4" t="s">
        <v>1215</v>
      </c>
      <c r="M957" s="3" t="s">
        <v>60</v>
      </c>
      <c r="N957" s="4"/>
      <c r="O957" s="4"/>
      <c r="P957" s="3" t="s">
        <v>62</v>
      </c>
      <c r="Q957" s="3"/>
      <c r="R957" s="3" t="s">
        <v>63</v>
      </c>
      <c r="S957" s="3" t="s">
        <v>64</v>
      </c>
      <c r="T957">
        <v>227</v>
      </c>
      <c r="U957">
        <v>208.5</v>
      </c>
      <c r="V957">
        <f t="shared" si="28"/>
        <v>217.75</v>
      </c>
      <c r="W957">
        <f t="shared" si="29"/>
        <v>18.5</v>
      </c>
      <c r="X957" s="5">
        <v>-66.083298999999997</v>
      </c>
      <c r="Y957" s="5">
        <v>-30.416701</v>
      </c>
      <c r="Z957" s="3"/>
      <c r="AA957" s="3" t="s">
        <v>185</v>
      </c>
      <c r="AB957" s="3" t="s">
        <v>186</v>
      </c>
      <c r="AC957" s="3" t="s">
        <v>6064</v>
      </c>
      <c r="AD957" s="3" t="s">
        <v>551</v>
      </c>
      <c r="AE957" s="3" t="s">
        <v>5720</v>
      </c>
      <c r="AF957" s="3" t="s">
        <v>5720</v>
      </c>
      <c r="AG957" s="3" t="s">
        <v>5720</v>
      </c>
      <c r="AH957" s="3"/>
      <c r="AI957" s="3" t="s">
        <v>5720</v>
      </c>
      <c r="AJ957" s="3" t="s">
        <v>5720</v>
      </c>
      <c r="AK957" s="10" t="s">
        <v>6065</v>
      </c>
      <c r="AL957" s="11" t="s">
        <v>6294</v>
      </c>
      <c r="AM957" s="3"/>
      <c r="AN957" s="3"/>
      <c r="AO957" s="3"/>
      <c r="AP957" s="3"/>
      <c r="AQ957" s="3"/>
      <c r="AR957" s="3"/>
      <c r="AS957" s="3"/>
      <c r="AT957" s="3"/>
      <c r="AU957" s="3"/>
      <c r="AV957" s="3"/>
      <c r="AW957" s="3"/>
      <c r="AX957" s="3"/>
      <c r="AY957" s="3"/>
      <c r="AZ957" s="3"/>
      <c r="BA957" s="3"/>
      <c r="BB957" s="3"/>
    </row>
    <row r="958" spans="1:54" x14ac:dyDescent="0.4">
      <c r="A958" s="2" t="s">
        <v>6295</v>
      </c>
      <c r="B958" s="2"/>
      <c r="C958" s="2"/>
      <c r="D958" s="2" t="s">
        <v>54</v>
      </c>
      <c r="E958" s="2"/>
      <c r="F958" s="2" t="s">
        <v>6296</v>
      </c>
      <c r="G958" s="2">
        <v>1</v>
      </c>
      <c r="H958" s="2" t="s">
        <v>5718</v>
      </c>
      <c r="I958" s="3" t="s">
        <v>57</v>
      </c>
      <c r="J958" s="3" t="s">
        <v>5719</v>
      </c>
      <c r="K958" s="3" t="s">
        <v>1214</v>
      </c>
      <c r="L958" s="4" t="s">
        <v>1215</v>
      </c>
      <c r="M958" s="3" t="s">
        <v>60</v>
      </c>
      <c r="N958" s="4"/>
      <c r="O958" s="4"/>
      <c r="P958" s="3" t="s">
        <v>62</v>
      </c>
      <c r="Q958" s="3"/>
      <c r="R958" s="3" t="s">
        <v>63</v>
      </c>
      <c r="S958" s="3" t="s">
        <v>64</v>
      </c>
      <c r="T958">
        <v>227</v>
      </c>
      <c r="U958">
        <v>208.5</v>
      </c>
      <c r="V958">
        <f t="shared" si="28"/>
        <v>217.75</v>
      </c>
      <c r="W958">
        <f t="shared" si="29"/>
        <v>18.5</v>
      </c>
      <c r="X958" s="5">
        <v>-66.083299999999994</v>
      </c>
      <c r="Y958" s="5">
        <v>-30.416702000000001</v>
      </c>
      <c r="Z958" s="3"/>
      <c r="AA958" s="3" t="s">
        <v>185</v>
      </c>
      <c r="AB958" s="3" t="s">
        <v>186</v>
      </c>
      <c r="AC958" s="3" t="s">
        <v>6064</v>
      </c>
      <c r="AD958" s="3" t="s">
        <v>551</v>
      </c>
      <c r="AE958" s="3" t="s">
        <v>5720</v>
      </c>
      <c r="AF958" s="3" t="s">
        <v>5720</v>
      </c>
      <c r="AG958" s="3" t="s">
        <v>5720</v>
      </c>
      <c r="AH958" s="3"/>
      <c r="AI958" s="3" t="s">
        <v>5720</v>
      </c>
      <c r="AJ958" s="3" t="s">
        <v>5720</v>
      </c>
      <c r="AK958" s="10" t="s">
        <v>6065</v>
      </c>
      <c r="AL958" s="11" t="s">
        <v>6297</v>
      </c>
      <c r="AM958" s="3"/>
      <c r="AN958" s="3"/>
      <c r="AO958" s="3"/>
      <c r="AP958" s="3"/>
      <c r="AQ958" s="3"/>
      <c r="AR958" s="3"/>
      <c r="AS958" s="3"/>
      <c r="AT958" s="3"/>
      <c r="AU958" s="3"/>
      <c r="AV958" s="3"/>
      <c r="AW958" s="3"/>
      <c r="AX958" s="3"/>
      <c r="AY958" s="3"/>
      <c r="AZ958" s="3"/>
      <c r="BA958" s="3"/>
      <c r="BB958" s="3"/>
    </row>
    <row r="959" spans="1:54" x14ac:dyDescent="0.4">
      <c r="A959" s="2" t="s">
        <v>6298</v>
      </c>
      <c r="B959" s="2"/>
      <c r="C959" s="2"/>
      <c r="D959" s="2" t="s">
        <v>54</v>
      </c>
      <c r="E959" s="2"/>
      <c r="F959" s="2" t="s">
        <v>6299</v>
      </c>
      <c r="G959" s="2">
        <v>1</v>
      </c>
      <c r="H959" s="2" t="s">
        <v>5718</v>
      </c>
      <c r="I959" s="3" t="s">
        <v>57</v>
      </c>
      <c r="J959" s="3" t="s">
        <v>5719</v>
      </c>
      <c r="K959" s="3" t="s">
        <v>1214</v>
      </c>
      <c r="L959" s="4" t="s">
        <v>1215</v>
      </c>
      <c r="M959" s="3" t="s">
        <v>60</v>
      </c>
      <c r="N959" s="4"/>
      <c r="O959" s="4"/>
      <c r="P959" s="3" t="s">
        <v>62</v>
      </c>
      <c r="Q959" s="3"/>
      <c r="R959" s="3" t="s">
        <v>63</v>
      </c>
      <c r="S959" s="3" t="s">
        <v>64</v>
      </c>
      <c r="T959">
        <v>227</v>
      </c>
      <c r="U959">
        <v>208.5</v>
      </c>
      <c r="V959">
        <f t="shared" si="28"/>
        <v>217.75</v>
      </c>
      <c r="W959">
        <f t="shared" si="29"/>
        <v>18.5</v>
      </c>
      <c r="X959" s="5">
        <v>-66.083301000000006</v>
      </c>
      <c r="Y959" s="5">
        <v>-30.416702999999998</v>
      </c>
      <c r="Z959" s="3"/>
      <c r="AA959" s="3" t="s">
        <v>185</v>
      </c>
      <c r="AB959" s="3" t="s">
        <v>186</v>
      </c>
      <c r="AC959" s="3" t="s">
        <v>6064</v>
      </c>
      <c r="AD959" s="3" t="s">
        <v>551</v>
      </c>
      <c r="AE959" s="3" t="s">
        <v>5720</v>
      </c>
      <c r="AF959" s="3" t="s">
        <v>5720</v>
      </c>
      <c r="AG959" s="3" t="s">
        <v>5720</v>
      </c>
      <c r="AH959" s="3"/>
      <c r="AI959" s="3" t="s">
        <v>5720</v>
      </c>
      <c r="AJ959" s="3" t="s">
        <v>5720</v>
      </c>
      <c r="AK959" s="10" t="s">
        <v>6065</v>
      </c>
      <c r="AL959" s="11" t="s">
        <v>6300</v>
      </c>
      <c r="AM959" s="3"/>
      <c r="AN959" s="3"/>
      <c r="AO959" s="3"/>
      <c r="AP959" s="3"/>
      <c r="AQ959" s="3"/>
      <c r="AR959" s="3"/>
      <c r="AS959" s="3"/>
      <c r="AT959" s="3"/>
      <c r="AU959" s="3"/>
      <c r="AV959" s="3"/>
      <c r="AW959" s="3"/>
      <c r="AX959" s="3"/>
      <c r="AY959" s="3"/>
      <c r="AZ959" s="3"/>
      <c r="BA959" s="3"/>
      <c r="BB959" s="3"/>
    </row>
    <row r="960" spans="1:54" x14ac:dyDescent="0.4">
      <c r="A960" s="2" t="s">
        <v>6301</v>
      </c>
      <c r="B960" s="2"/>
      <c r="C960" s="2"/>
      <c r="D960" s="2" t="s">
        <v>54</v>
      </c>
      <c r="E960" s="2"/>
      <c r="F960" s="2" t="s">
        <v>6302</v>
      </c>
      <c r="G960" s="2">
        <v>1</v>
      </c>
      <c r="H960" s="2" t="s">
        <v>5718</v>
      </c>
      <c r="I960" s="3" t="s">
        <v>57</v>
      </c>
      <c r="J960" s="3" t="s">
        <v>5719</v>
      </c>
      <c r="K960" s="3" t="s">
        <v>1214</v>
      </c>
      <c r="L960" s="4" t="s">
        <v>1215</v>
      </c>
      <c r="M960" s="3" t="s">
        <v>60</v>
      </c>
      <c r="N960" s="4"/>
      <c r="O960" s="4"/>
      <c r="P960" s="3" t="s">
        <v>62</v>
      </c>
      <c r="Q960" s="3"/>
      <c r="R960" s="3" t="s">
        <v>63</v>
      </c>
      <c r="S960" s="3" t="s">
        <v>64</v>
      </c>
      <c r="T960">
        <v>227</v>
      </c>
      <c r="U960">
        <v>208.5</v>
      </c>
      <c r="V960">
        <f t="shared" si="28"/>
        <v>217.75</v>
      </c>
      <c r="W960">
        <f t="shared" si="29"/>
        <v>18.5</v>
      </c>
      <c r="X960" s="5">
        <v>-66.083302000000003</v>
      </c>
      <c r="Y960" s="5">
        <v>-30.416703999999999</v>
      </c>
      <c r="Z960" s="3"/>
      <c r="AA960" s="3" t="s">
        <v>185</v>
      </c>
      <c r="AB960" s="3" t="s">
        <v>186</v>
      </c>
      <c r="AC960" s="3" t="s">
        <v>6064</v>
      </c>
      <c r="AD960" s="3" t="s">
        <v>551</v>
      </c>
      <c r="AE960" s="3" t="s">
        <v>5720</v>
      </c>
      <c r="AF960" s="3" t="s">
        <v>5720</v>
      </c>
      <c r="AG960" s="3" t="s">
        <v>5720</v>
      </c>
      <c r="AH960" s="3"/>
      <c r="AI960" s="3" t="s">
        <v>5720</v>
      </c>
      <c r="AJ960" s="3" t="s">
        <v>5720</v>
      </c>
      <c r="AK960" s="10" t="s">
        <v>6065</v>
      </c>
      <c r="AL960" s="11" t="s">
        <v>6303</v>
      </c>
      <c r="AM960" s="3"/>
      <c r="AN960" s="3"/>
      <c r="AO960" s="3"/>
      <c r="AP960" s="3"/>
      <c r="AQ960" s="3"/>
      <c r="AR960" s="3"/>
      <c r="AS960" s="3"/>
      <c r="AT960" s="3"/>
      <c r="AU960" s="3"/>
      <c r="AV960" s="3"/>
      <c r="AW960" s="3"/>
      <c r="AX960" s="3"/>
      <c r="AY960" s="3"/>
      <c r="AZ960" s="3"/>
      <c r="BA960" s="3"/>
      <c r="BB960" s="3"/>
    </row>
    <row r="961" spans="1:54" x14ac:dyDescent="0.4">
      <c r="A961" s="2" t="s">
        <v>6304</v>
      </c>
      <c r="B961" s="2"/>
      <c r="C961" s="2"/>
      <c r="D961" s="2" t="s">
        <v>54</v>
      </c>
      <c r="E961" s="2"/>
      <c r="F961" s="2" t="s">
        <v>6305</v>
      </c>
      <c r="G961" s="2">
        <v>1</v>
      </c>
      <c r="H961" s="2" t="s">
        <v>5718</v>
      </c>
      <c r="I961" s="3" t="s">
        <v>57</v>
      </c>
      <c r="J961" s="3" t="s">
        <v>5719</v>
      </c>
      <c r="K961" s="3" t="s">
        <v>1214</v>
      </c>
      <c r="L961" s="4" t="s">
        <v>1215</v>
      </c>
      <c r="M961" s="3" t="s">
        <v>60</v>
      </c>
      <c r="N961" s="4"/>
      <c r="O961" s="4"/>
      <c r="P961" s="3" t="s">
        <v>62</v>
      </c>
      <c r="Q961" s="3"/>
      <c r="R961" s="3" t="s">
        <v>63</v>
      </c>
      <c r="S961" s="3" t="s">
        <v>64</v>
      </c>
      <c r="T961">
        <v>227</v>
      </c>
      <c r="U961">
        <v>208.5</v>
      </c>
      <c r="V961">
        <f t="shared" si="28"/>
        <v>217.75</v>
      </c>
      <c r="W961">
        <f t="shared" si="29"/>
        <v>18.5</v>
      </c>
      <c r="X961" s="5">
        <v>-66.083303000000001</v>
      </c>
      <c r="Y961" s="5">
        <v>-30.416705</v>
      </c>
      <c r="Z961" s="3"/>
      <c r="AA961" s="3" t="s">
        <v>185</v>
      </c>
      <c r="AB961" s="3" t="s">
        <v>186</v>
      </c>
      <c r="AC961" s="3" t="s">
        <v>6064</v>
      </c>
      <c r="AD961" s="3" t="s">
        <v>551</v>
      </c>
      <c r="AE961" s="3" t="s">
        <v>5720</v>
      </c>
      <c r="AF961" s="3" t="s">
        <v>5720</v>
      </c>
      <c r="AG961" s="3" t="s">
        <v>5720</v>
      </c>
      <c r="AH961" s="3"/>
      <c r="AI961" s="3" t="s">
        <v>5720</v>
      </c>
      <c r="AJ961" s="3" t="s">
        <v>5720</v>
      </c>
      <c r="AK961" s="10" t="s">
        <v>6065</v>
      </c>
      <c r="AL961" s="11" t="s">
        <v>6306</v>
      </c>
      <c r="AM961" s="3"/>
      <c r="AN961" s="3"/>
      <c r="AO961" s="3"/>
      <c r="AP961" s="3"/>
      <c r="AQ961" s="3"/>
      <c r="AR961" s="3"/>
      <c r="AS961" s="3"/>
      <c r="AT961" s="3"/>
      <c r="AU961" s="3"/>
      <c r="AV961" s="3"/>
      <c r="AW961" s="3"/>
      <c r="AX961" s="3"/>
      <c r="AY961" s="3"/>
      <c r="AZ961" s="3"/>
      <c r="BA961" s="3"/>
      <c r="BB961" s="3"/>
    </row>
    <row r="962" spans="1:54" x14ac:dyDescent="0.4">
      <c r="A962" s="2" t="s">
        <v>6307</v>
      </c>
      <c r="B962" s="2"/>
      <c r="C962" s="2"/>
      <c r="D962" s="2" t="s">
        <v>54</v>
      </c>
      <c r="E962" s="2"/>
      <c r="F962" s="2" t="s">
        <v>6308</v>
      </c>
      <c r="G962" s="2">
        <v>1</v>
      </c>
      <c r="H962" s="2" t="s">
        <v>5718</v>
      </c>
      <c r="I962" s="3" t="s">
        <v>57</v>
      </c>
      <c r="J962" s="3" t="s">
        <v>5719</v>
      </c>
      <c r="K962" s="3" t="s">
        <v>1214</v>
      </c>
      <c r="L962" s="4" t="s">
        <v>1215</v>
      </c>
      <c r="M962" s="3" t="s">
        <v>60</v>
      </c>
      <c r="N962" s="4"/>
      <c r="O962" s="4"/>
      <c r="P962" s="3" t="s">
        <v>62</v>
      </c>
      <c r="Q962" s="3"/>
      <c r="R962" s="3" t="s">
        <v>63</v>
      </c>
      <c r="S962" s="3" t="s">
        <v>64</v>
      </c>
      <c r="T962">
        <v>227</v>
      </c>
      <c r="U962">
        <v>208.5</v>
      </c>
      <c r="V962">
        <f t="shared" si="28"/>
        <v>217.75</v>
      </c>
      <c r="W962">
        <f t="shared" si="29"/>
        <v>18.5</v>
      </c>
      <c r="X962" s="5">
        <v>-66.083303999999998</v>
      </c>
      <c r="Y962" s="5">
        <v>-30.416706000000001</v>
      </c>
      <c r="Z962" s="3"/>
      <c r="AA962" s="3" t="s">
        <v>185</v>
      </c>
      <c r="AB962" s="3" t="s">
        <v>186</v>
      </c>
      <c r="AC962" s="3" t="s">
        <v>6064</v>
      </c>
      <c r="AD962" s="3" t="s">
        <v>551</v>
      </c>
      <c r="AE962" s="3" t="s">
        <v>5720</v>
      </c>
      <c r="AF962" s="3" t="s">
        <v>5720</v>
      </c>
      <c r="AG962" s="3" t="s">
        <v>5720</v>
      </c>
      <c r="AH962" s="3"/>
      <c r="AI962" s="3" t="s">
        <v>5720</v>
      </c>
      <c r="AJ962" s="3" t="s">
        <v>5720</v>
      </c>
      <c r="AK962" s="10" t="s">
        <v>6065</v>
      </c>
      <c r="AL962" s="11" t="s">
        <v>6309</v>
      </c>
      <c r="AM962" s="3"/>
      <c r="AN962" s="3"/>
      <c r="AO962" s="3"/>
      <c r="AP962" s="3"/>
      <c r="AQ962" s="3"/>
      <c r="AR962" s="3"/>
      <c r="AS962" s="3"/>
      <c r="AT962" s="3"/>
      <c r="AU962" s="3"/>
      <c r="AV962" s="3"/>
      <c r="AW962" s="3"/>
      <c r="AX962" s="3"/>
      <c r="AY962" s="3"/>
      <c r="AZ962" s="3"/>
      <c r="BA962" s="3"/>
      <c r="BB962" s="3"/>
    </row>
    <row r="963" spans="1:54" x14ac:dyDescent="0.4">
      <c r="A963" s="2" t="s">
        <v>6310</v>
      </c>
      <c r="B963" s="2"/>
      <c r="C963" s="2"/>
      <c r="D963" s="2" t="s">
        <v>54</v>
      </c>
      <c r="E963" s="2"/>
      <c r="F963" s="2" t="s">
        <v>6311</v>
      </c>
      <c r="G963" s="2">
        <v>1</v>
      </c>
      <c r="H963" s="2" t="s">
        <v>5718</v>
      </c>
      <c r="I963" s="3" t="s">
        <v>57</v>
      </c>
      <c r="J963" s="3" t="s">
        <v>5719</v>
      </c>
      <c r="K963" s="3" t="s">
        <v>1214</v>
      </c>
      <c r="L963" s="4" t="s">
        <v>1215</v>
      </c>
      <c r="M963" s="3" t="s">
        <v>60</v>
      </c>
      <c r="N963" s="4"/>
      <c r="O963" s="4"/>
      <c r="P963" s="3" t="s">
        <v>62</v>
      </c>
      <c r="Q963" s="3"/>
      <c r="R963" s="3" t="s">
        <v>63</v>
      </c>
      <c r="S963" s="3" t="s">
        <v>64</v>
      </c>
      <c r="T963">
        <v>227</v>
      </c>
      <c r="U963">
        <v>208.5</v>
      </c>
      <c r="V963">
        <f t="shared" ref="V963:V1026" si="30">(T963+U963)/2</f>
        <v>217.75</v>
      </c>
      <c r="W963">
        <f t="shared" ref="W963:W1026" si="31">T963-U963</f>
        <v>18.5</v>
      </c>
      <c r="X963" s="5">
        <v>-66.083304999999996</v>
      </c>
      <c r="Y963" s="5">
        <v>-30.416706999999999</v>
      </c>
      <c r="Z963" s="3"/>
      <c r="AA963" s="3" t="s">
        <v>185</v>
      </c>
      <c r="AB963" s="3" t="s">
        <v>186</v>
      </c>
      <c r="AC963" s="3" t="s">
        <v>6064</v>
      </c>
      <c r="AD963" s="3" t="s">
        <v>551</v>
      </c>
      <c r="AE963" s="3" t="s">
        <v>5720</v>
      </c>
      <c r="AF963" s="3" t="s">
        <v>5720</v>
      </c>
      <c r="AG963" s="3" t="s">
        <v>5720</v>
      </c>
      <c r="AH963" s="3"/>
      <c r="AI963" s="3" t="s">
        <v>5720</v>
      </c>
      <c r="AJ963" s="3" t="s">
        <v>5720</v>
      </c>
      <c r="AK963" s="10" t="s">
        <v>6065</v>
      </c>
      <c r="AL963" s="11" t="s">
        <v>6312</v>
      </c>
      <c r="AM963" s="3"/>
      <c r="AN963" s="3"/>
      <c r="AO963" s="3"/>
      <c r="AP963" s="3"/>
      <c r="AQ963" s="3"/>
      <c r="AR963" s="3"/>
      <c r="AS963" s="3"/>
      <c r="AT963" s="3"/>
      <c r="AU963" s="3"/>
      <c r="AV963" s="3"/>
      <c r="AW963" s="3"/>
      <c r="AX963" s="3"/>
      <c r="AY963" s="3"/>
      <c r="AZ963" s="3"/>
      <c r="BA963" s="3"/>
      <c r="BB963" s="3"/>
    </row>
    <row r="964" spans="1:54" x14ac:dyDescent="0.4">
      <c r="A964" s="2" t="s">
        <v>6313</v>
      </c>
      <c r="B964" s="2"/>
      <c r="C964" s="2"/>
      <c r="D964" s="2" t="s">
        <v>54</v>
      </c>
      <c r="E964" s="2"/>
      <c r="F964" s="2" t="s">
        <v>6314</v>
      </c>
      <c r="G964" s="2">
        <v>1</v>
      </c>
      <c r="H964" s="2" t="s">
        <v>5718</v>
      </c>
      <c r="I964" s="3" t="s">
        <v>57</v>
      </c>
      <c r="J964" s="3" t="s">
        <v>5719</v>
      </c>
      <c r="K964" s="3" t="s">
        <v>1214</v>
      </c>
      <c r="L964" s="4" t="s">
        <v>1215</v>
      </c>
      <c r="M964" s="3" t="s">
        <v>60</v>
      </c>
      <c r="N964" s="4"/>
      <c r="O964" s="4"/>
      <c r="P964" s="3" t="s">
        <v>62</v>
      </c>
      <c r="Q964" s="3"/>
      <c r="R964" s="3" t="s">
        <v>63</v>
      </c>
      <c r="S964" s="3" t="s">
        <v>64</v>
      </c>
      <c r="T964">
        <v>227</v>
      </c>
      <c r="U964">
        <v>208.5</v>
      </c>
      <c r="V964">
        <f t="shared" si="30"/>
        <v>217.75</v>
      </c>
      <c r="W964">
        <f t="shared" si="31"/>
        <v>18.5</v>
      </c>
      <c r="X964" s="5">
        <v>-66.083305999999993</v>
      </c>
      <c r="Y964" s="5">
        <v>-30.416708</v>
      </c>
      <c r="Z964" s="3"/>
      <c r="AA964" s="3" t="s">
        <v>185</v>
      </c>
      <c r="AB964" s="3" t="s">
        <v>186</v>
      </c>
      <c r="AC964" s="3" t="s">
        <v>6064</v>
      </c>
      <c r="AD964" s="3" t="s">
        <v>551</v>
      </c>
      <c r="AE964" s="3" t="s">
        <v>5720</v>
      </c>
      <c r="AF964" s="3" t="s">
        <v>5720</v>
      </c>
      <c r="AG964" s="3" t="s">
        <v>5720</v>
      </c>
      <c r="AH964" s="3"/>
      <c r="AI964" s="3" t="s">
        <v>5720</v>
      </c>
      <c r="AJ964" s="3" t="s">
        <v>5720</v>
      </c>
      <c r="AK964" s="10" t="s">
        <v>6065</v>
      </c>
      <c r="AL964" s="11" t="s">
        <v>6315</v>
      </c>
      <c r="AM964" s="3"/>
      <c r="AN964" s="3"/>
      <c r="AO964" s="3"/>
      <c r="AP964" s="3"/>
      <c r="AQ964" s="3"/>
      <c r="AR964" s="3"/>
      <c r="AS964" s="3"/>
      <c r="AT964" s="3"/>
      <c r="AU964" s="3"/>
      <c r="AV964" s="3"/>
      <c r="AW964" s="3"/>
      <c r="AX964" s="3"/>
      <c r="AY964" s="3"/>
      <c r="AZ964" s="3"/>
      <c r="BA964" s="3"/>
      <c r="BB964" s="3"/>
    </row>
    <row r="965" spans="1:54" x14ac:dyDescent="0.4">
      <c r="A965" s="2" t="s">
        <v>6316</v>
      </c>
      <c r="B965" s="2"/>
      <c r="C965" s="2"/>
      <c r="D965" s="2" t="s">
        <v>54</v>
      </c>
      <c r="E965" s="2"/>
      <c r="F965" s="2" t="s">
        <v>6317</v>
      </c>
      <c r="G965" s="2">
        <v>1</v>
      </c>
      <c r="H965" s="2" t="s">
        <v>5718</v>
      </c>
      <c r="I965" s="3" t="s">
        <v>57</v>
      </c>
      <c r="J965" s="3" t="s">
        <v>5719</v>
      </c>
      <c r="K965" s="3" t="s">
        <v>1214</v>
      </c>
      <c r="L965" s="4" t="s">
        <v>1215</v>
      </c>
      <c r="M965" s="3" t="s">
        <v>60</v>
      </c>
      <c r="N965" s="4"/>
      <c r="O965" s="4"/>
      <c r="P965" s="3" t="s">
        <v>62</v>
      </c>
      <c r="Q965" s="3"/>
      <c r="R965" s="3" t="s">
        <v>63</v>
      </c>
      <c r="S965" s="3" t="s">
        <v>64</v>
      </c>
      <c r="T965">
        <v>227</v>
      </c>
      <c r="U965">
        <v>208.5</v>
      </c>
      <c r="V965">
        <f t="shared" si="30"/>
        <v>217.75</v>
      </c>
      <c r="W965">
        <f t="shared" si="31"/>
        <v>18.5</v>
      </c>
      <c r="X965" s="5">
        <v>-66.083307000000005</v>
      </c>
      <c r="Y965" s="5">
        <v>-30.416709000000001</v>
      </c>
      <c r="Z965" s="3"/>
      <c r="AA965" s="3" t="s">
        <v>185</v>
      </c>
      <c r="AB965" s="3" t="s">
        <v>186</v>
      </c>
      <c r="AC965" s="3" t="s">
        <v>6064</v>
      </c>
      <c r="AD965" s="3" t="s">
        <v>551</v>
      </c>
      <c r="AE965" s="3" t="s">
        <v>5720</v>
      </c>
      <c r="AF965" s="3" t="s">
        <v>5720</v>
      </c>
      <c r="AG965" s="3" t="s">
        <v>5720</v>
      </c>
      <c r="AH965" s="3"/>
      <c r="AI965" s="3" t="s">
        <v>5720</v>
      </c>
      <c r="AJ965" s="3" t="s">
        <v>5720</v>
      </c>
      <c r="AK965" s="10" t="s">
        <v>6065</v>
      </c>
      <c r="AL965" s="11" t="s">
        <v>6318</v>
      </c>
      <c r="AM965" s="3"/>
      <c r="AN965" s="3"/>
      <c r="AO965" s="3"/>
      <c r="AP965" s="3"/>
      <c r="AQ965" s="3"/>
      <c r="AR965" s="3"/>
      <c r="AS965" s="3"/>
      <c r="AT965" s="3"/>
      <c r="AU965" s="3"/>
      <c r="AV965" s="3"/>
      <c r="AW965" s="3"/>
      <c r="AX965" s="3"/>
      <c r="AY965" s="3"/>
      <c r="AZ965" s="3"/>
      <c r="BA965" s="3"/>
      <c r="BB965" s="3"/>
    </row>
    <row r="966" spans="1:54" x14ac:dyDescent="0.4">
      <c r="A966" s="2" t="s">
        <v>6319</v>
      </c>
      <c r="B966" s="2"/>
      <c r="C966" s="2"/>
      <c r="D966" s="2" t="s">
        <v>54</v>
      </c>
      <c r="E966" s="2"/>
      <c r="F966" s="2" t="s">
        <v>6320</v>
      </c>
      <c r="G966" s="2">
        <v>1</v>
      </c>
      <c r="H966" s="2" t="s">
        <v>5718</v>
      </c>
      <c r="I966" s="3" t="s">
        <v>57</v>
      </c>
      <c r="J966" s="3" t="s">
        <v>5719</v>
      </c>
      <c r="K966" s="3" t="s">
        <v>1214</v>
      </c>
      <c r="L966" s="4" t="s">
        <v>1215</v>
      </c>
      <c r="M966" s="3" t="s">
        <v>60</v>
      </c>
      <c r="N966" s="4"/>
      <c r="O966" s="4"/>
      <c r="P966" s="3" t="s">
        <v>62</v>
      </c>
      <c r="Q966" s="3"/>
      <c r="R966" s="3" t="s">
        <v>63</v>
      </c>
      <c r="S966" s="3" t="s">
        <v>64</v>
      </c>
      <c r="T966">
        <v>227</v>
      </c>
      <c r="U966">
        <v>208.5</v>
      </c>
      <c r="V966">
        <f t="shared" si="30"/>
        <v>217.75</v>
      </c>
      <c r="W966">
        <f t="shared" si="31"/>
        <v>18.5</v>
      </c>
      <c r="X966" s="5">
        <v>-66.083308000000002</v>
      </c>
      <c r="Y966" s="5">
        <v>-30.416709999999998</v>
      </c>
      <c r="Z966" s="3"/>
      <c r="AA966" s="3" t="s">
        <v>185</v>
      </c>
      <c r="AB966" s="3" t="s">
        <v>186</v>
      </c>
      <c r="AC966" s="3" t="s">
        <v>6064</v>
      </c>
      <c r="AD966" s="3" t="s">
        <v>551</v>
      </c>
      <c r="AE966" s="3" t="s">
        <v>5720</v>
      </c>
      <c r="AF966" s="3" t="s">
        <v>5720</v>
      </c>
      <c r="AG966" s="3" t="s">
        <v>5720</v>
      </c>
      <c r="AH966" s="3"/>
      <c r="AI966" s="3" t="s">
        <v>5720</v>
      </c>
      <c r="AJ966" s="3" t="s">
        <v>5720</v>
      </c>
      <c r="AK966" s="10" t="s">
        <v>6065</v>
      </c>
      <c r="AL966" s="11" t="s">
        <v>6321</v>
      </c>
      <c r="AM966" s="3"/>
      <c r="AN966" s="3"/>
      <c r="AO966" s="3"/>
      <c r="AP966" s="3"/>
      <c r="AQ966" s="3"/>
      <c r="AR966" s="3"/>
      <c r="AS966" s="3"/>
      <c r="AT966" s="3"/>
      <c r="AU966" s="3"/>
      <c r="AV966" s="3"/>
      <c r="AW966" s="3"/>
      <c r="AX966" s="3"/>
      <c r="AY966" s="3"/>
      <c r="AZ966" s="3"/>
      <c r="BA966" s="3"/>
      <c r="BB966" s="3"/>
    </row>
    <row r="967" spans="1:54" x14ac:dyDescent="0.4">
      <c r="A967" s="2" t="s">
        <v>6322</v>
      </c>
      <c r="B967" s="2"/>
      <c r="C967" s="2"/>
      <c r="D967" s="2" t="s">
        <v>54</v>
      </c>
      <c r="E967" s="2"/>
      <c r="F967" s="2" t="s">
        <v>6323</v>
      </c>
      <c r="G967" s="2">
        <v>1</v>
      </c>
      <c r="H967" s="2" t="s">
        <v>5718</v>
      </c>
      <c r="I967" s="3" t="s">
        <v>57</v>
      </c>
      <c r="J967" s="3" t="s">
        <v>5719</v>
      </c>
      <c r="K967" s="3" t="s">
        <v>1214</v>
      </c>
      <c r="L967" s="4" t="s">
        <v>1215</v>
      </c>
      <c r="M967" s="3" t="s">
        <v>60</v>
      </c>
      <c r="N967" s="4"/>
      <c r="O967" s="4"/>
      <c r="P967" s="3" t="s">
        <v>62</v>
      </c>
      <c r="Q967" s="3"/>
      <c r="R967" s="3" t="s">
        <v>63</v>
      </c>
      <c r="S967" s="3" t="s">
        <v>64</v>
      </c>
      <c r="T967">
        <v>227</v>
      </c>
      <c r="U967">
        <v>208.5</v>
      </c>
      <c r="V967">
        <f t="shared" si="30"/>
        <v>217.75</v>
      </c>
      <c r="W967">
        <f t="shared" si="31"/>
        <v>18.5</v>
      </c>
      <c r="X967" s="5">
        <v>-66.083309</v>
      </c>
      <c r="Y967" s="5">
        <v>-30.416710999999999</v>
      </c>
      <c r="Z967" s="3"/>
      <c r="AA967" s="3" t="s">
        <v>185</v>
      </c>
      <c r="AB967" s="3" t="s">
        <v>186</v>
      </c>
      <c r="AC967" s="3" t="s">
        <v>6064</v>
      </c>
      <c r="AD967" s="3" t="s">
        <v>551</v>
      </c>
      <c r="AE967" s="3" t="s">
        <v>5720</v>
      </c>
      <c r="AF967" s="3" t="s">
        <v>5720</v>
      </c>
      <c r="AG967" s="3" t="s">
        <v>5720</v>
      </c>
      <c r="AH967" s="3"/>
      <c r="AI967" s="3" t="s">
        <v>5720</v>
      </c>
      <c r="AJ967" s="3" t="s">
        <v>5720</v>
      </c>
      <c r="AK967" s="10" t="s">
        <v>6065</v>
      </c>
      <c r="AL967" s="11" t="s">
        <v>6324</v>
      </c>
      <c r="AM967" s="3"/>
      <c r="AN967" s="3"/>
      <c r="AO967" s="3"/>
      <c r="AP967" s="3"/>
      <c r="AQ967" s="3"/>
      <c r="AR967" s="3"/>
      <c r="AS967" s="3"/>
      <c r="AT967" s="3"/>
      <c r="AU967" s="3"/>
      <c r="AV967" s="3"/>
      <c r="AW967" s="3"/>
      <c r="AX967" s="3"/>
      <c r="AY967" s="3"/>
      <c r="AZ967" s="3"/>
      <c r="BA967" s="3"/>
      <c r="BB967" s="3"/>
    </row>
    <row r="968" spans="1:54" x14ac:dyDescent="0.4">
      <c r="A968" s="2" t="s">
        <v>6325</v>
      </c>
      <c r="B968" s="2"/>
      <c r="C968" s="2"/>
      <c r="D968" s="2" t="s">
        <v>54</v>
      </c>
      <c r="E968" s="2"/>
      <c r="F968" s="2" t="s">
        <v>6326</v>
      </c>
      <c r="G968" s="2">
        <v>1</v>
      </c>
      <c r="H968" s="2" t="s">
        <v>5718</v>
      </c>
      <c r="I968" s="3" t="s">
        <v>57</v>
      </c>
      <c r="J968" s="3" t="s">
        <v>5719</v>
      </c>
      <c r="K968" s="3" t="s">
        <v>1214</v>
      </c>
      <c r="L968" s="4" t="s">
        <v>1215</v>
      </c>
      <c r="M968" s="3" t="s">
        <v>60</v>
      </c>
      <c r="N968" s="4"/>
      <c r="O968" s="4"/>
      <c r="P968" s="3" t="s">
        <v>62</v>
      </c>
      <c r="Q968" s="3"/>
      <c r="R968" s="3" t="s">
        <v>63</v>
      </c>
      <c r="S968" s="3" t="s">
        <v>64</v>
      </c>
      <c r="T968">
        <v>227</v>
      </c>
      <c r="U968">
        <v>208.5</v>
      </c>
      <c r="V968">
        <f t="shared" si="30"/>
        <v>217.75</v>
      </c>
      <c r="W968">
        <f t="shared" si="31"/>
        <v>18.5</v>
      </c>
      <c r="X968" s="5">
        <v>-66.083309999999997</v>
      </c>
      <c r="Y968" s="5">
        <v>-30.416712</v>
      </c>
      <c r="Z968" s="3"/>
      <c r="AA968" s="3" t="s">
        <v>185</v>
      </c>
      <c r="AB968" s="3" t="s">
        <v>186</v>
      </c>
      <c r="AC968" s="3" t="s">
        <v>6064</v>
      </c>
      <c r="AD968" s="3" t="s">
        <v>551</v>
      </c>
      <c r="AE968" s="3" t="s">
        <v>5720</v>
      </c>
      <c r="AF968" s="3" t="s">
        <v>5720</v>
      </c>
      <c r="AG968" s="3" t="s">
        <v>5720</v>
      </c>
      <c r="AH968" s="3"/>
      <c r="AI968" s="3" t="s">
        <v>5720</v>
      </c>
      <c r="AJ968" s="3" t="s">
        <v>5720</v>
      </c>
      <c r="AK968" s="10" t="s">
        <v>6065</v>
      </c>
      <c r="AL968" s="11" t="s">
        <v>6327</v>
      </c>
      <c r="AM968" s="3"/>
      <c r="AN968" s="3"/>
      <c r="AO968" s="3"/>
      <c r="AP968" s="3"/>
      <c r="AQ968" s="3"/>
      <c r="AR968" s="3"/>
      <c r="AS968" s="3"/>
      <c r="AT968" s="3"/>
      <c r="AU968" s="3"/>
      <c r="AV968" s="3"/>
      <c r="AW968" s="3"/>
      <c r="AX968" s="3"/>
      <c r="AY968" s="3"/>
      <c r="AZ968" s="3"/>
      <c r="BA968" s="3"/>
      <c r="BB968" s="3"/>
    </row>
    <row r="969" spans="1:54" x14ac:dyDescent="0.4">
      <c r="A969" s="2" t="s">
        <v>6328</v>
      </c>
      <c r="B969" s="2"/>
      <c r="C969" s="2"/>
      <c r="D969" s="2" t="s">
        <v>54</v>
      </c>
      <c r="E969" s="2"/>
      <c r="F969" s="2" t="s">
        <v>6329</v>
      </c>
      <c r="G969" s="2">
        <v>1</v>
      </c>
      <c r="H969" s="2" t="s">
        <v>5718</v>
      </c>
      <c r="I969" s="3" t="s">
        <v>57</v>
      </c>
      <c r="J969" s="3" t="s">
        <v>5719</v>
      </c>
      <c r="K969" s="3" t="s">
        <v>1214</v>
      </c>
      <c r="L969" s="4" t="s">
        <v>1215</v>
      </c>
      <c r="M969" s="3" t="s">
        <v>60</v>
      </c>
      <c r="N969" s="4"/>
      <c r="O969" s="4"/>
      <c r="P969" s="3" t="s">
        <v>62</v>
      </c>
      <c r="Q969" s="3"/>
      <c r="R969" s="3" t="s">
        <v>63</v>
      </c>
      <c r="S969" s="3" t="s">
        <v>64</v>
      </c>
      <c r="T969">
        <v>227</v>
      </c>
      <c r="U969">
        <v>208.5</v>
      </c>
      <c r="V969">
        <f t="shared" si="30"/>
        <v>217.75</v>
      </c>
      <c r="W969">
        <f t="shared" si="31"/>
        <v>18.5</v>
      </c>
      <c r="X969" s="5">
        <v>-66.083310999999995</v>
      </c>
      <c r="Y969" s="5">
        <v>-30.416713000000001</v>
      </c>
      <c r="Z969" s="3"/>
      <c r="AA969" s="3" t="s">
        <v>185</v>
      </c>
      <c r="AB969" s="3" t="s">
        <v>186</v>
      </c>
      <c r="AC969" s="3" t="s">
        <v>6064</v>
      </c>
      <c r="AD969" s="3" t="s">
        <v>551</v>
      </c>
      <c r="AE969" s="3" t="s">
        <v>5720</v>
      </c>
      <c r="AF969" s="3" t="s">
        <v>5720</v>
      </c>
      <c r="AG969" s="3" t="s">
        <v>5720</v>
      </c>
      <c r="AH969" s="3"/>
      <c r="AI969" s="3" t="s">
        <v>5720</v>
      </c>
      <c r="AJ969" s="3" t="s">
        <v>5720</v>
      </c>
      <c r="AK969" s="10" t="s">
        <v>6065</v>
      </c>
      <c r="AL969" s="11" t="s">
        <v>6330</v>
      </c>
      <c r="AM969" s="3"/>
      <c r="AN969" s="3"/>
      <c r="AO969" s="3"/>
      <c r="AP969" s="3"/>
      <c r="AQ969" s="3"/>
      <c r="AR969" s="3"/>
      <c r="AS969" s="3"/>
      <c r="AT969" s="3"/>
      <c r="AU969" s="3"/>
      <c r="AV969" s="3"/>
      <c r="AW969" s="3"/>
      <c r="AX969" s="3"/>
      <c r="AY969" s="3"/>
      <c r="AZ969" s="3"/>
      <c r="BA969" s="3"/>
      <c r="BB969" s="3"/>
    </row>
    <row r="970" spans="1:54" x14ac:dyDescent="0.4">
      <c r="A970" s="2" t="s">
        <v>6331</v>
      </c>
      <c r="B970" s="2"/>
      <c r="C970" s="2"/>
      <c r="D970" s="2" t="s">
        <v>54</v>
      </c>
      <c r="E970" s="2"/>
      <c r="F970" s="2" t="s">
        <v>6332</v>
      </c>
      <c r="G970" s="2">
        <v>1</v>
      </c>
      <c r="H970" s="2" t="s">
        <v>5718</v>
      </c>
      <c r="I970" s="3" t="s">
        <v>57</v>
      </c>
      <c r="J970" s="3" t="s">
        <v>5719</v>
      </c>
      <c r="K970" s="3" t="s">
        <v>1214</v>
      </c>
      <c r="L970" s="4" t="s">
        <v>1215</v>
      </c>
      <c r="M970" s="3" t="s">
        <v>60</v>
      </c>
      <c r="N970" s="4"/>
      <c r="O970" s="4"/>
      <c r="P970" s="3" t="s">
        <v>62</v>
      </c>
      <c r="Q970" s="3"/>
      <c r="R970" s="3" t="s">
        <v>63</v>
      </c>
      <c r="S970" s="3" t="s">
        <v>64</v>
      </c>
      <c r="T970">
        <v>227</v>
      </c>
      <c r="U970">
        <v>208.5</v>
      </c>
      <c r="V970">
        <f t="shared" si="30"/>
        <v>217.75</v>
      </c>
      <c r="W970">
        <f t="shared" si="31"/>
        <v>18.5</v>
      </c>
      <c r="X970" s="5">
        <v>-66.083312000000006</v>
      </c>
      <c r="Y970" s="5">
        <v>-30.416713999999999</v>
      </c>
      <c r="Z970" s="3"/>
      <c r="AA970" s="3" t="s">
        <v>185</v>
      </c>
      <c r="AB970" s="3" t="s">
        <v>186</v>
      </c>
      <c r="AC970" s="3" t="s">
        <v>6064</v>
      </c>
      <c r="AD970" s="3" t="s">
        <v>551</v>
      </c>
      <c r="AE970" s="3" t="s">
        <v>5720</v>
      </c>
      <c r="AF970" s="3" t="s">
        <v>5720</v>
      </c>
      <c r="AG970" s="3" t="s">
        <v>5720</v>
      </c>
      <c r="AH970" s="3"/>
      <c r="AI970" s="3" t="s">
        <v>5720</v>
      </c>
      <c r="AJ970" s="3" t="s">
        <v>5720</v>
      </c>
      <c r="AK970" s="10" t="s">
        <v>6065</v>
      </c>
      <c r="AL970" s="11" t="s">
        <v>6333</v>
      </c>
      <c r="AM970" s="3"/>
      <c r="AN970" s="3"/>
      <c r="AO970" s="3"/>
      <c r="AP970" s="3"/>
      <c r="AQ970" s="3"/>
      <c r="AR970" s="3"/>
      <c r="AS970" s="3"/>
      <c r="AT970" s="3"/>
      <c r="AU970" s="3"/>
      <c r="AV970" s="3"/>
      <c r="AW970" s="3"/>
      <c r="AX970" s="3"/>
      <c r="AY970" s="3"/>
      <c r="AZ970" s="3"/>
      <c r="BA970" s="3"/>
      <c r="BB970" s="3"/>
    </row>
    <row r="971" spans="1:54" x14ac:dyDescent="0.4">
      <c r="A971" s="2" t="s">
        <v>6334</v>
      </c>
      <c r="B971" s="2"/>
      <c r="C971" s="2"/>
      <c r="D971" s="2" t="s">
        <v>54</v>
      </c>
      <c r="E971" s="2"/>
      <c r="F971" s="2" t="s">
        <v>6335</v>
      </c>
      <c r="G971" s="2">
        <v>1</v>
      </c>
      <c r="H971" s="2" t="s">
        <v>5718</v>
      </c>
      <c r="I971" s="3" t="s">
        <v>57</v>
      </c>
      <c r="J971" s="3" t="s">
        <v>5719</v>
      </c>
      <c r="K971" s="3" t="s">
        <v>1214</v>
      </c>
      <c r="L971" s="4" t="s">
        <v>1215</v>
      </c>
      <c r="M971" s="3" t="s">
        <v>60</v>
      </c>
      <c r="N971" s="4"/>
      <c r="O971" s="4"/>
      <c r="P971" s="3" t="s">
        <v>62</v>
      </c>
      <c r="Q971" s="3"/>
      <c r="R971" s="3" t="s">
        <v>63</v>
      </c>
      <c r="S971" s="3" t="s">
        <v>64</v>
      </c>
      <c r="T971">
        <v>227</v>
      </c>
      <c r="U971">
        <v>208.5</v>
      </c>
      <c r="V971">
        <f t="shared" si="30"/>
        <v>217.75</v>
      </c>
      <c r="W971">
        <f t="shared" si="31"/>
        <v>18.5</v>
      </c>
      <c r="X971" s="5">
        <v>-66.083312000000006</v>
      </c>
      <c r="Y971" s="5">
        <v>-30.416713999999999</v>
      </c>
      <c r="Z971" s="3"/>
      <c r="AA971" s="3" t="s">
        <v>185</v>
      </c>
      <c r="AB971" s="3" t="s">
        <v>186</v>
      </c>
      <c r="AC971" s="3" t="s">
        <v>6064</v>
      </c>
      <c r="AD971" s="3" t="s">
        <v>551</v>
      </c>
      <c r="AE971" s="3" t="s">
        <v>5720</v>
      </c>
      <c r="AF971" s="3" t="s">
        <v>5720</v>
      </c>
      <c r="AG971" s="3" t="s">
        <v>5720</v>
      </c>
      <c r="AH971" s="3"/>
      <c r="AI971" s="3" t="s">
        <v>5720</v>
      </c>
      <c r="AJ971" s="3" t="s">
        <v>5720</v>
      </c>
      <c r="AK971" s="10" t="s">
        <v>6065</v>
      </c>
      <c r="AL971" s="11" t="s">
        <v>6066</v>
      </c>
      <c r="AM971" s="3"/>
      <c r="AN971" s="3"/>
      <c r="AO971" s="3"/>
      <c r="AP971" s="3"/>
      <c r="AQ971" s="3"/>
      <c r="AR971" s="3"/>
      <c r="AS971" s="3"/>
      <c r="AT971" s="3"/>
      <c r="AU971" s="3"/>
      <c r="AV971" s="3"/>
      <c r="AW971" s="3"/>
      <c r="AX971" s="3"/>
      <c r="AY971" s="3"/>
      <c r="AZ971" s="3"/>
      <c r="BA971" s="3"/>
      <c r="BB971" s="3"/>
    </row>
    <row r="972" spans="1:54" x14ac:dyDescent="0.4">
      <c r="A972" s="2" t="s">
        <v>6336</v>
      </c>
      <c r="B972" s="2"/>
      <c r="C972" s="2"/>
      <c r="D972" s="2" t="s">
        <v>54</v>
      </c>
      <c r="E972" s="2"/>
      <c r="F972" s="2" t="s">
        <v>6337</v>
      </c>
      <c r="G972" s="2">
        <v>1</v>
      </c>
      <c r="H972" s="2" t="s">
        <v>5718</v>
      </c>
      <c r="I972" s="3" t="s">
        <v>57</v>
      </c>
      <c r="J972" s="3" t="s">
        <v>5719</v>
      </c>
      <c r="K972" s="3" t="s">
        <v>992</v>
      </c>
      <c r="L972" s="4" t="s">
        <v>6338</v>
      </c>
      <c r="M972" s="3" t="s">
        <v>60</v>
      </c>
      <c r="N972" s="4"/>
      <c r="O972" s="4"/>
      <c r="P972" s="3" t="s">
        <v>62</v>
      </c>
      <c r="Q972" s="3"/>
      <c r="R972" s="3" t="s">
        <v>63</v>
      </c>
      <c r="S972" s="3" t="s">
        <v>64</v>
      </c>
      <c r="T972">
        <v>227</v>
      </c>
      <c r="U972">
        <v>208.5</v>
      </c>
      <c r="V972">
        <f t="shared" si="30"/>
        <v>217.75</v>
      </c>
      <c r="W972">
        <f t="shared" si="31"/>
        <v>18.5</v>
      </c>
      <c r="X972" s="5">
        <v>-67.400002000000001</v>
      </c>
      <c r="Y972" s="5">
        <v>-31.6</v>
      </c>
      <c r="Z972" s="3"/>
      <c r="AA972" s="3" t="s">
        <v>185</v>
      </c>
      <c r="AB972" s="3" t="s">
        <v>285</v>
      </c>
      <c r="AC972" s="3" t="s">
        <v>6339</v>
      </c>
      <c r="AD972" s="3" t="s">
        <v>6279</v>
      </c>
      <c r="AE972" s="3"/>
      <c r="AF972" s="3" t="s">
        <v>5720</v>
      </c>
      <c r="AG972" s="3" t="s">
        <v>5720</v>
      </c>
      <c r="AH972" s="3"/>
      <c r="AI972" s="3" t="s">
        <v>5720</v>
      </c>
      <c r="AJ972" s="3" t="s">
        <v>5720</v>
      </c>
      <c r="AK972" s="3" t="s">
        <v>6280</v>
      </c>
      <c r="AL972" s="24" t="s">
        <v>6340</v>
      </c>
      <c r="AM972" s="3"/>
      <c r="AN972" s="3"/>
      <c r="AO972" s="3"/>
      <c r="AP972" s="3"/>
      <c r="AQ972" s="3"/>
      <c r="AR972" s="3"/>
      <c r="AS972" s="3"/>
      <c r="AT972" s="3"/>
      <c r="AU972" s="3"/>
      <c r="AV972" s="3"/>
      <c r="AW972" s="3"/>
      <c r="AX972" s="3"/>
      <c r="AY972" s="3"/>
      <c r="AZ972" s="3"/>
      <c r="BA972" s="3"/>
      <c r="BB972" s="3"/>
    </row>
    <row r="973" spans="1:54" x14ac:dyDescent="0.4">
      <c r="A973" s="2" t="s">
        <v>6341</v>
      </c>
      <c r="B973" s="2"/>
      <c r="C973" s="2"/>
      <c r="D973" s="2" t="s">
        <v>54</v>
      </c>
      <c r="E973" s="2"/>
      <c r="F973" s="2" t="s">
        <v>6342</v>
      </c>
      <c r="G973" s="2">
        <v>1</v>
      </c>
      <c r="H973" s="2" t="s">
        <v>5718</v>
      </c>
      <c r="I973" s="3" t="s">
        <v>57</v>
      </c>
      <c r="J973" s="3" t="s">
        <v>5719</v>
      </c>
      <c r="K973" s="3" t="s">
        <v>4025</v>
      </c>
      <c r="L973" s="4" t="s">
        <v>5326</v>
      </c>
      <c r="M973" s="3" t="s">
        <v>60</v>
      </c>
      <c r="N973" s="4"/>
      <c r="O973" s="4"/>
      <c r="P973" s="3" t="s">
        <v>62</v>
      </c>
      <c r="Q973" s="3"/>
      <c r="R973" s="3" t="s">
        <v>5827</v>
      </c>
      <c r="S973" s="3" t="s">
        <v>64</v>
      </c>
      <c r="T973">
        <v>227</v>
      </c>
      <c r="U973">
        <v>208.5</v>
      </c>
      <c r="V973">
        <f t="shared" si="30"/>
        <v>217.75</v>
      </c>
      <c r="W973">
        <f t="shared" si="31"/>
        <v>18.5</v>
      </c>
      <c r="X973" s="5">
        <v>-53.26</v>
      </c>
      <c r="Y973" s="5">
        <v>-29.61</v>
      </c>
      <c r="Z973" s="3"/>
      <c r="AA973" s="3" t="s">
        <v>783</v>
      </c>
      <c r="AB973" s="3" t="s">
        <v>5828</v>
      </c>
      <c r="AC973" s="3" t="s">
        <v>6343</v>
      </c>
      <c r="AD973" s="3" t="s">
        <v>785</v>
      </c>
      <c r="AE973" s="3" t="s">
        <v>5830</v>
      </c>
      <c r="AF973" s="3" t="s">
        <v>944</v>
      </c>
      <c r="AG973" s="4" t="s">
        <v>1173</v>
      </c>
      <c r="AH973" s="4"/>
      <c r="AI973" s="3" t="s">
        <v>5848</v>
      </c>
      <c r="AJ973" s="3">
        <v>2020</v>
      </c>
      <c r="AK973" s="10" t="s">
        <v>5849</v>
      </c>
      <c r="AL973" s="11" t="s">
        <v>6344</v>
      </c>
      <c r="AM973" s="5"/>
      <c r="AN973" s="5"/>
      <c r="AO973" s="3"/>
      <c r="AP973" s="3"/>
      <c r="AQ973" s="3"/>
      <c r="AR973" s="3"/>
      <c r="AS973" s="3"/>
      <c r="AT973" s="3"/>
      <c r="AU973" s="3"/>
      <c r="AV973" s="3"/>
      <c r="AW973" s="3"/>
      <c r="AX973" s="3"/>
      <c r="AY973" s="3"/>
      <c r="AZ973" s="3"/>
      <c r="BA973" s="3"/>
      <c r="BB973" s="3"/>
    </row>
    <row r="974" spans="1:54" x14ac:dyDescent="0.4">
      <c r="A974" s="2" t="s">
        <v>6345</v>
      </c>
      <c r="B974" s="2"/>
      <c r="C974" s="2"/>
      <c r="D974" s="2" t="s">
        <v>54</v>
      </c>
      <c r="E974" s="2"/>
      <c r="F974" s="2" t="s">
        <v>6346</v>
      </c>
      <c r="G974" s="2">
        <v>1</v>
      </c>
      <c r="H974" s="2" t="s">
        <v>5718</v>
      </c>
      <c r="I974" s="3" t="s">
        <v>57</v>
      </c>
      <c r="J974" s="3" t="s">
        <v>5719</v>
      </c>
      <c r="K974" s="3" t="s">
        <v>319</v>
      </c>
      <c r="L974" s="4" t="s">
        <v>5605</v>
      </c>
      <c r="M974" s="3" t="s">
        <v>60</v>
      </c>
      <c r="N974" s="4"/>
      <c r="O974" s="4"/>
      <c r="P974" s="3" t="s">
        <v>62</v>
      </c>
      <c r="Q974" s="3"/>
      <c r="R974" s="3" t="s">
        <v>5827</v>
      </c>
      <c r="S974" s="3" t="s">
        <v>64</v>
      </c>
      <c r="T974">
        <v>227</v>
      </c>
      <c r="U974">
        <v>208.5</v>
      </c>
      <c r="V974">
        <f t="shared" si="30"/>
        <v>217.75</v>
      </c>
      <c r="W974">
        <f t="shared" si="31"/>
        <v>18.5</v>
      </c>
      <c r="X974" s="5">
        <v>-53.45</v>
      </c>
      <c r="Y974" s="5">
        <v>-29.56</v>
      </c>
      <c r="Z974" s="3"/>
      <c r="AA974" s="3" t="s">
        <v>783</v>
      </c>
      <c r="AB974" s="3" t="s">
        <v>5828</v>
      </c>
      <c r="AC974" s="3" t="s">
        <v>6041</v>
      </c>
      <c r="AD974" s="3" t="s">
        <v>785</v>
      </c>
      <c r="AE974" s="3" t="s">
        <v>5830</v>
      </c>
      <c r="AF974" s="3" t="s">
        <v>944</v>
      </c>
      <c r="AG974" s="4" t="s">
        <v>1173</v>
      </c>
      <c r="AH974" s="4"/>
      <c r="AI974" s="3" t="s">
        <v>6347</v>
      </c>
      <c r="AJ974" s="3">
        <v>2022</v>
      </c>
      <c r="AK974" s="10" t="s">
        <v>5849</v>
      </c>
      <c r="AL974" s="11" t="s">
        <v>6348</v>
      </c>
      <c r="AM974" s="5"/>
      <c r="AN974" s="5"/>
      <c r="AO974" s="3"/>
      <c r="AP974" s="3"/>
      <c r="AQ974" s="3"/>
      <c r="AR974" s="3"/>
      <c r="AS974" s="3"/>
      <c r="AT974" s="3"/>
      <c r="AU974" s="3"/>
      <c r="AV974" s="3"/>
      <c r="AW974" s="3"/>
      <c r="AX974" s="3"/>
      <c r="AY974" s="3"/>
      <c r="AZ974" s="3"/>
      <c r="BA974" s="3"/>
      <c r="BB974" s="3"/>
    </row>
    <row r="975" spans="1:54" x14ac:dyDescent="0.4">
      <c r="A975" s="2" t="s">
        <v>6349</v>
      </c>
      <c r="B975" s="2"/>
      <c r="C975" s="2"/>
      <c r="D975" s="2" t="s">
        <v>54</v>
      </c>
      <c r="E975" s="2"/>
      <c r="F975" s="2" t="s">
        <v>6350</v>
      </c>
      <c r="G975" s="2">
        <v>1</v>
      </c>
      <c r="H975" s="2" t="s">
        <v>5718</v>
      </c>
      <c r="I975" s="3" t="s">
        <v>57</v>
      </c>
      <c r="J975" s="3" t="s">
        <v>6039</v>
      </c>
      <c r="K975" s="3" t="s">
        <v>6040</v>
      </c>
      <c r="L975" s="4" t="s">
        <v>5609</v>
      </c>
      <c r="M975" s="3" t="s">
        <v>60</v>
      </c>
      <c r="N975" s="4"/>
      <c r="O975" s="4"/>
      <c r="P975" s="3" t="s">
        <v>62</v>
      </c>
      <c r="Q975" s="3"/>
      <c r="R975" s="3" t="s">
        <v>5827</v>
      </c>
      <c r="S975" s="3" t="s">
        <v>64</v>
      </c>
      <c r="T975">
        <v>227</v>
      </c>
      <c r="U975">
        <v>208.5</v>
      </c>
      <c r="V975">
        <f t="shared" si="30"/>
        <v>217.75</v>
      </c>
      <c r="W975">
        <f t="shared" si="31"/>
        <v>18.5</v>
      </c>
      <c r="X975" s="5">
        <v>-53.45</v>
      </c>
      <c r="Y975" s="5">
        <v>-29.56</v>
      </c>
      <c r="Z975" s="3"/>
      <c r="AA975" s="3" t="s">
        <v>783</v>
      </c>
      <c r="AB975" s="3" t="s">
        <v>5828</v>
      </c>
      <c r="AC975" s="3" t="s">
        <v>6041</v>
      </c>
      <c r="AD975" s="3" t="s">
        <v>785</v>
      </c>
      <c r="AE975" s="3" t="s">
        <v>5830</v>
      </c>
      <c r="AF975" s="3" t="s">
        <v>944</v>
      </c>
      <c r="AG975" s="4" t="s">
        <v>1173</v>
      </c>
      <c r="AH975" s="4"/>
      <c r="AI975" s="3" t="s">
        <v>6042</v>
      </c>
      <c r="AJ975" s="3">
        <v>2011</v>
      </c>
      <c r="AK975" s="10" t="s">
        <v>5832</v>
      </c>
      <c r="AL975" s="11" t="s">
        <v>6351</v>
      </c>
      <c r="AM975" s="5"/>
      <c r="AN975" s="5"/>
      <c r="AO975" s="3"/>
      <c r="AP975" s="3"/>
      <c r="AQ975" s="3"/>
      <c r="AR975" s="3"/>
      <c r="AS975" s="3"/>
      <c r="AT975" s="3"/>
      <c r="AU975" s="3"/>
      <c r="AV975" s="3"/>
      <c r="AW975" s="3"/>
      <c r="AX975" s="3"/>
      <c r="AY975" s="3"/>
      <c r="AZ975" s="3"/>
      <c r="BA975" s="3"/>
      <c r="BB975" s="3"/>
    </row>
    <row r="976" spans="1:54" x14ac:dyDescent="0.4">
      <c r="A976" s="2" t="s">
        <v>6352</v>
      </c>
      <c r="B976" s="2"/>
      <c r="C976" s="2"/>
      <c r="D976" s="2" t="s">
        <v>54</v>
      </c>
      <c r="E976" s="2"/>
      <c r="F976" s="2" t="s">
        <v>6353</v>
      </c>
      <c r="G976" s="2">
        <v>1</v>
      </c>
      <c r="H976" s="2" t="s">
        <v>5718</v>
      </c>
      <c r="I976" s="3" t="s">
        <v>57</v>
      </c>
      <c r="J976" s="3" t="s">
        <v>5719</v>
      </c>
      <c r="K976" s="10" t="s">
        <v>6354</v>
      </c>
      <c r="L976" s="3" t="s">
        <v>6355</v>
      </c>
      <c r="M976" s="3" t="s">
        <v>60</v>
      </c>
      <c r="N976" s="3"/>
      <c r="O976" s="3"/>
      <c r="P976" s="3" t="s">
        <v>62</v>
      </c>
      <c r="Q976" s="3"/>
      <c r="R976" s="3" t="s">
        <v>5827</v>
      </c>
      <c r="S976" s="3" t="s">
        <v>64</v>
      </c>
      <c r="T976">
        <v>227</v>
      </c>
      <c r="U976">
        <v>208.5</v>
      </c>
      <c r="V976">
        <f t="shared" si="30"/>
        <v>217.75</v>
      </c>
      <c r="W976">
        <f t="shared" si="31"/>
        <v>18.5</v>
      </c>
      <c r="X976" s="5">
        <v>-52.84</v>
      </c>
      <c r="Y976" s="5">
        <v>-29.68</v>
      </c>
      <c r="Z976" s="3"/>
      <c r="AA976" s="3" t="s">
        <v>783</v>
      </c>
      <c r="AB976" s="3" t="s">
        <v>5828</v>
      </c>
      <c r="AC976" s="3" t="s">
        <v>6356</v>
      </c>
      <c r="AD976" s="3" t="s">
        <v>785</v>
      </c>
      <c r="AE976" s="3" t="s">
        <v>5830</v>
      </c>
      <c r="AF976" s="3" t="s">
        <v>944</v>
      </c>
      <c r="AG976" s="4" t="s">
        <v>1173</v>
      </c>
      <c r="AH976" s="4"/>
      <c r="AI976" s="3" t="s">
        <v>6357</v>
      </c>
      <c r="AJ976" s="3">
        <v>2016</v>
      </c>
      <c r="AK976" s="10" t="s">
        <v>6247</v>
      </c>
      <c r="AL976" s="11" t="s">
        <v>6358</v>
      </c>
      <c r="AM976" s="5"/>
      <c r="AN976" s="5"/>
      <c r="AO976" s="3"/>
      <c r="AP976" s="3"/>
      <c r="AQ976" s="3"/>
      <c r="AR976" s="3"/>
      <c r="AS976" s="3"/>
      <c r="AT976" s="3"/>
      <c r="AU976" s="3"/>
      <c r="AV976" s="3"/>
      <c r="AW976" s="3"/>
      <c r="AX976" s="3"/>
      <c r="AY976" s="3"/>
      <c r="AZ976" s="3"/>
      <c r="BA976" s="3"/>
      <c r="BB976" s="3"/>
    </row>
    <row r="977" spans="1:54" x14ac:dyDescent="0.4">
      <c r="A977" s="2" t="s">
        <v>6359</v>
      </c>
      <c r="B977" s="2"/>
      <c r="C977" s="2"/>
      <c r="D977" s="2" t="s">
        <v>54</v>
      </c>
      <c r="E977" s="2"/>
      <c r="F977" s="2" t="s">
        <v>5720</v>
      </c>
      <c r="G977" s="2">
        <v>1</v>
      </c>
      <c r="H977" s="2" t="s">
        <v>5718</v>
      </c>
      <c r="I977" s="3" t="s">
        <v>57</v>
      </c>
      <c r="J977" s="3" t="s">
        <v>5720</v>
      </c>
      <c r="K977" s="3" t="s">
        <v>5720</v>
      </c>
      <c r="L977" s="3" t="s">
        <v>6360</v>
      </c>
      <c r="M977" s="3" t="s">
        <v>60</v>
      </c>
      <c r="N977" s="3"/>
      <c r="O977" s="3"/>
      <c r="P977" s="3" t="s">
        <v>62</v>
      </c>
      <c r="Q977" s="3"/>
      <c r="R977" s="3" t="s">
        <v>5827</v>
      </c>
      <c r="S977" s="3" t="s">
        <v>64</v>
      </c>
      <c r="T977">
        <v>227</v>
      </c>
      <c r="U977">
        <v>208.5</v>
      </c>
      <c r="V977">
        <f t="shared" si="30"/>
        <v>217.75</v>
      </c>
      <c r="W977">
        <f t="shared" si="31"/>
        <v>18.5</v>
      </c>
      <c r="X977" s="5">
        <v>-52.63</v>
      </c>
      <c r="Y977" s="5">
        <v>-29.58</v>
      </c>
      <c r="Z977" s="3"/>
      <c r="AA977" s="3" t="s">
        <v>783</v>
      </c>
      <c r="AB977" s="3" t="s">
        <v>5828</v>
      </c>
      <c r="AC977" s="3" t="s">
        <v>6361</v>
      </c>
      <c r="AD977" s="3" t="s">
        <v>943</v>
      </c>
      <c r="AE977" s="3" t="s">
        <v>5830</v>
      </c>
      <c r="AF977" s="3" t="s">
        <v>944</v>
      </c>
      <c r="AG977" s="4" t="s">
        <v>841</v>
      </c>
      <c r="AH977" s="4"/>
      <c r="AI977" s="3" t="s">
        <v>6362</v>
      </c>
      <c r="AJ977" s="3">
        <v>2019</v>
      </c>
      <c r="AK977" s="10" t="s">
        <v>6363</v>
      </c>
      <c r="AL977" s="11" t="s">
        <v>6364</v>
      </c>
      <c r="AM977" s="5"/>
      <c r="AN977" s="5"/>
      <c r="AO977" s="3"/>
      <c r="AP977" s="3"/>
      <c r="AQ977" s="3"/>
      <c r="AR977" s="3"/>
      <c r="AS977" s="3"/>
      <c r="AT977" s="3"/>
      <c r="AU977" s="3"/>
      <c r="AV977" s="3"/>
      <c r="AW977" s="3"/>
      <c r="AX977" s="3"/>
      <c r="AY977" s="3"/>
      <c r="AZ977" s="3"/>
      <c r="BA977" s="3"/>
      <c r="BB977" s="3"/>
    </row>
    <row r="978" spans="1:54" x14ac:dyDescent="0.4">
      <c r="A978" s="2" t="s">
        <v>6365</v>
      </c>
      <c r="B978" s="2"/>
      <c r="C978" s="2"/>
      <c r="D978" s="2" t="s">
        <v>54</v>
      </c>
      <c r="E978" s="2"/>
      <c r="F978" s="2" t="s">
        <v>6366</v>
      </c>
      <c r="G978" s="2">
        <v>1</v>
      </c>
      <c r="H978" s="2" t="s">
        <v>5718</v>
      </c>
      <c r="I978" s="3" t="s">
        <v>57</v>
      </c>
      <c r="J978" s="3" t="s">
        <v>5719</v>
      </c>
      <c r="K978" s="3" t="s">
        <v>6367</v>
      </c>
      <c r="L978" s="4" t="s">
        <v>5425</v>
      </c>
      <c r="M978" s="3" t="s">
        <v>60</v>
      </c>
      <c r="N978" s="4"/>
      <c r="O978" s="4"/>
      <c r="P978" s="3" t="s">
        <v>62</v>
      </c>
      <c r="Q978" s="3"/>
      <c r="R978" s="3" t="s">
        <v>5827</v>
      </c>
      <c r="S978" s="3" t="s">
        <v>64</v>
      </c>
      <c r="T978">
        <v>227</v>
      </c>
      <c r="U978">
        <v>208.5</v>
      </c>
      <c r="V978">
        <f t="shared" si="30"/>
        <v>217.75</v>
      </c>
      <c r="W978">
        <f t="shared" si="31"/>
        <v>18.5</v>
      </c>
      <c r="X978" s="5">
        <v>-53.77</v>
      </c>
      <c r="Y978" s="5">
        <v>-29.7</v>
      </c>
      <c r="Z978" s="3"/>
      <c r="AA978" s="3" t="s">
        <v>783</v>
      </c>
      <c r="AB978" s="3" t="s">
        <v>5828</v>
      </c>
      <c r="AC978" s="3" t="s">
        <v>5862</v>
      </c>
      <c r="AD978" s="3" t="s">
        <v>943</v>
      </c>
      <c r="AE978" s="3" t="s">
        <v>5830</v>
      </c>
      <c r="AF978" s="3" t="s">
        <v>944</v>
      </c>
      <c r="AG978" s="4" t="s">
        <v>841</v>
      </c>
      <c r="AH978" s="4"/>
      <c r="AI978" s="3" t="s">
        <v>6368</v>
      </c>
      <c r="AJ978" s="3">
        <v>2019</v>
      </c>
      <c r="AK978" s="10" t="s">
        <v>6369</v>
      </c>
      <c r="AL978" s="11" t="s">
        <v>6370</v>
      </c>
      <c r="AM978" s="5"/>
      <c r="AN978" s="5"/>
      <c r="AO978" s="3"/>
      <c r="AP978" s="3"/>
      <c r="AQ978" s="3"/>
      <c r="AR978" s="3"/>
      <c r="AS978" s="3"/>
      <c r="AT978" s="3"/>
      <c r="AU978" s="3"/>
      <c r="AV978" s="3"/>
      <c r="AW978" s="3"/>
      <c r="AX978" s="3"/>
      <c r="AY978" s="3"/>
      <c r="AZ978" s="3"/>
      <c r="BA978" s="3"/>
      <c r="BB978" s="3"/>
    </row>
    <row r="979" spans="1:54" x14ac:dyDescent="0.4">
      <c r="A979" s="2" t="s">
        <v>6371</v>
      </c>
      <c r="B979" s="2"/>
      <c r="C979" s="2"/>
      <c r="D979" s="2" t="s">
        <v>54</v>
      </c>
      <c r="E979" s="2"/>
      <c r="F979" s="2" t="s">
        <v>6372</v>
      </c>
      <c r="G979" s="2">
        <v>1</v>
      </c>
      <c r="H979" s="2" t="s">
        <v>5718</v>
      </c>
      <c r="I979" s="3" t="s">
        <v>57</v>
      </c>
      <c r="J979" s="3" t="s">
        <v>5719</v>
      </c>
      <c r="K979" s="3" t="s">
        <v>901</v>
      </c>
      <c r="L979" s="4" t="s">
        <v>5434</v>
      </c>
      <c r="M979" s="3" t="s">
        <v>60</v>
      </c>
      <c r="N979" s="4"/>
      <c r="O979" s="4"/>
      <c r="P979" s="3" t="s">
        <v>62</v>
      </c>
      <c r="Q979" s="3"/>
      <c r="R979" s="3" t="s">
        <v>5827</v>
      </c>
      <c r="S979" s="3" t="s">
        <v>64</v>
      </c>
      <c r="T979">
        <v>227</v>
      </c>
      <c r="U979">
        <v>208.5</v>
      </c>
      <c r="V979">
        <f t="shared" si="30"/>
        <v>217.75</v>
      </c>
      <c r="W979">
        <f t="shared" si="31"/>
        <v>18.5</v>
      </c>
      <c r="X979" s="5">
        <v>-52.81</v>
      </c>
      <c r="Y979" s="5">
        <v>-29.66</v>
      </c>
      <c r="Z979" s="3"/>
      <c r="AA979" s="3" t="s">
        <v>783</v>
      </c>
      <c r="AB979" s="3" t="s">
        <v>5828</v>
      </c>
      <c r="AC979" s="3" t="s">
        <v>5846</v>
      </c>
      <c r="AD979" s="3" t="s">
        <v>943</v>
      </c>
      <c r="AE979" s="3" t="s">
        <v>5830</v>
      </c>
      <c r="AF979" s="3" t="s">
        <v>944</v>
      </c>
      <c r="AG979" s="4" t="s">
        <v>5847</v>
      </c>
      <c r="AH979" s="4"/>
      <c r="AI979" s="3" t="s">
        <v>6373</v>
      </c>
      <c r="AJ979" s="3">
        <v>2017</v>
      </c>
      <c r="AK979" s="10" t="s">
        <v>5849</v>
      </c>
      <c r="AL979" s="11" t="s">
        <v>6374</v>
      </c>
      <c r="AM979" s="5"/>
      <c r="AN979" s="5"/>
      <c r="AO979" s="3"/>
      <c r="AP979" s="3"/>
      <c r="AQ979" s="3"/>
      <c r="AR979" s="3"/>
      <c r="AS979" s="3"/>
      <c r="AT979" s="3"/>
      <c r="AU979" s="3"/>
      <c r="AV979" s="3"/>
      <c r="AW979" s="3"/>
      <c r="AX979" s="3"/>
      <c r="AY979" s="3"/>
      <c r="AZ979" s="3"/>
      <c r="BA979" s="3"/>
      <c r="BB979" s="3"/>
    </row>
    <row r="980" spans="1:54" x14ac:dyDescent="0.4">
      <c r="A980" s="2" t="s">
        <v>6375</v>
      </c>
      <c r="B980" s="2"/>
      <c r="C980" s="2"/>
      <c r="D980" s="2" t="s">
        <v>54</v>
      </c>
      <c r="E980" s="2"/>
      <c r="F980" s="2" t="s">
        <v>6376</v>
      </c>
      <c r="G980" s="2">
        <v>1</v>
      </c>
      <c r="H980" s="2" t="s">
        <v>5718</v>
      </c>
      <c r="I980" s="3" t="s">
        <v>57</v>
      </c>
      <c r="J980" s="3" t="s">
        <v>5719</v>
      </c>
      <c r="K980" s="3" t="s">
        <v>901</v>
      </c>
      <c r="L980" s="4" t="s">
        <v>902</v>
      </c>
      <c r="M980" s="3" t="s">
        <v>60</v>
      </c>
      <c r="N980" s="4"/>
      <c r="O980" s="4"/>
      <c r="P980" s="3" t="s">
        <v>62</v>
      </c>
      <c r="Q980" s="3"/>
      <c r="R980" s="3" t="s">
        <v>5827</v>
      </c>
      <c r="S980" s="3" t="s">
        <v>64</v>
      </c>
      <c r="T980">
        <v>227</v>
      </c>
      <c r="U980">
        <v>208.5</v>
      </c>
      <c r="V980">
        <f t="shared" si="30"/>
        <v>217.75</v>
      </c>
      <c r="W980">
        <f t="shared" si="31"/>
        <v>18.5</v>
      </c>
      <c r="X980" s="5">
        <v>-53.77</v>
      </c>
      <c r="Y980" s="5">
        <v>-29.7</v>
      </c>
      <c r="Z980" s="3"/>
      <c r="AA980" s="3" t="s">
        <v>783</v>
      </c>
      <c r="AB980" s="3" t="s">
        <v>5828</v>
      </c>
      <c r="AC980" s="3" t="s">
        <v>5862</v>
      </c>
      <c r="AD980" s="3" t="s">
        <v>943</v>
      </c>
      <c r="AE980" s="3" t="s">
        <v>5830</v>
      </c>
      <c r="AF980" s="3" t="s">
        <v>944</v>
      </c>
      <c r="AG980" s="4" t="s">
        <v>841</v>
      </c>
      <c r="AH980" s="4"/>
      <c r="AI980" s="3" t="s">
        <v>6377</v>
      </c>
      <c r="AJ980" s="3">
        <v>1999</v>
      </c>
      <c r="AK980" s="3" t="s">
        <v>6184</v>
      </c>
      <c r="AL980" s="11" t="s">
        <v>6378</v>
      </c>
      <c r="AM980" s="5"/>
      <c r="AN980" s="5"/>
      <c r="AO980" s="3"/>
      <c r="AP980" s="3"/>
      <c r="AQ980" s="3"/>
      <c r="AR980" s="3"/>
      <c r="AS980" s="3"/>
      <c r="AT980" s="3"/>
      <c r="AU980" s="3"/>
      <c r="AV980" s="3"/>
      <c r="AW980" s="3"/>
      <c r="AX980" s="3"/>
      <c r="AY980" s="3"/>
      <c r="AZ980" s="3"/>
      <c r="BA980" s="3"/>
      <c r="BB980" s="3"/>
    </row>
    <row r="981" spans="1:54" x14ac:dyDescent="0.4">
      <c r="A981" s="2" t="s">
        <v>6379</v>
      </c>
      <c r="B981" s="2"/>
      <c r="C981" s="2"/>
      <c r="D981" s="2" t="s">
        <v>54</v>
      </c>
      <c r="E981" s="2"/>
      <c r="F981" s="2" t="s">
        <v>5791</v>
      </c>
      <c r="G981" s="2">
        <v>1</v>
      </c>
      <c r="H981" s="2" t="s">
        <v>5718</v>
      </c>
      <c r="I981" s="3" t="s">
        <v>57</v>
      </c>
      <c r="J981" s="3" t="s">
        <v>5719</v>
      </c>
      <c r="K981" s="3" t="s">
        <v>316</v>
      </c>
      <c r="L981" s="4" t="s">
        <v>6380</v>
      </c>
      <c r="M981" s="3" t="s">
        <v>60</v>
      </c>
      <c r="N981" s="4"/>
      <c r="O981" s="4"/>
      <c r="P981" s="3" t="s">
        <v>62</v>
      </c>
      <c r="Q981" s="3"/>
      <c r="R981" s="3" t="s">
        <v>5827</v>
      </c>
      <c r="S981" s="3" t="s">
        <v>64</v>
      </c>
      <c r="T981">
        <v>227</v>
      </c>
      <c r="U981">
        <v>208.5</v>
      </c>
      <c r="V981">
        <f t="shared" si="30"/>
        <v>217.75</v>
      </c>
      <c r="W981">
        <f t="shared" si="31"/>
        <v>18.5</v>
      </c>
      <c r="X981" s="5">
        <v>-53.29</v>
      </c>
      <c r="Y981" s="5">
        <v>-29.65</v>
      </c>
      <c r="Z981" s="3"/>
      <c r="AA981" s="3" t="s">
        <v>783</v>
      </c>
      <c r="AB981" s="3" t="s">
        <v>5828</v>
      </c>
      <c r="AC981" s="3" t="s">
        <v>5846</v>
      </c>
      <c r="AD981" s="3" t="s">
        <v>943</v>
      </c>
      <c r="AE981" s="3" t="s">
        <v>5830</v>
      </c>
      <c r="AF981" s="3" t="s">
        <v>944</v>
      </c>
      <c r="AG981" s="4" t="s">
        <v>5847</v>
      </c>
      <c r="AH981" s="4"/>
      <c r="AI981" s="3" t="s">
        <v>6381</v>
      </c>
      <c r="AJ981" s="3">
        <v>2022</v>
      </c>
      <c r="AK981" s="10" t="s">
        <v>5849</v>
      </c>
      <c r="AL981" s="11" t="s">
        <v>6382</v>
      </c>
      <c r="AM981" s="5"/>
      <c r="AN981" s="5"/>
      <c r="AO981" s="3"/>
      <c r="AP981" s="3"/>
      <c r="AQ981" s="3"/>
      <c r="AR981" s="3"/>
      <c r="AS981" s="3"/>
      <c r="AT981" s="3"/>
      <c r="AU981" s="3"/>
      <c r="AV981" s="3"/>
      <c r="AW981" s="3"/>
      <c r="AX981" s="3"/>
      <c r="AY981" s="3"/>
      <c r="AZ981" s="3"/>
      <c r="BA981" s="3"/>
      <c r="BB981" s="3"/>
    </row>
    <row r="982" spans="1:54" x14ac:dyDescent="0.4">
      <c r="A982" s="2" t="s">
        <v>6383</v>
      </c>
      <c r="B982" s="2"/>
      <c r="C982" s="2"/>
      <c r="D982" s="2" t="s">
        <v>54</v>
      </c>
      <c r="E982" s="2"/>
      <c r="F982" s="2" t="s">
        <v>6181</v>
      </c>
      <c r="G982" s="2">
        <v>1</v>
      </c>
      <c r="H982" s="2" t="s">
        <v>5718</v>
      </c>
      <c r="I982" s="3" t="s">
        <v>57</v>
      </c>
      <c r="J982" s="3" t="s">
        <v>5719</v>
      </c>
      <c r="K982" s="3" t="s">
        <v>840</v>
      </c>
      <c r="L982" s="4" t="s">
        <v>1437</v>
      </c>
      <c r="M982" s="3" t="s">
        <v>60</v>
      </c>
      <c r="N982" s="4"/>
      <c r="O982" s="4"/>
      <c r="P982" s="3" t="s">
        <v>62</v>
      </c>
      <c r="Q982" s="3"/>
      <c r="R982" s="3" t="s">
        <v>5827</v>
      </c>
      <c r="S982" s="3" t="s">
        <v>64</v>
      </c>
      <c r="T982">
        <v>227</v>
      </c>
      <c r="U982">
        <v>208.5</v>
      </c>
      <c r="V982">
        <f t="shared" si="30"/>
        <v>217.75</v>
      </c>
      <c r="W982">
        <f t="shared" si="31"/>
        <v>18.5</v>
      </c>
      <c r="X982" s="5">
        <v>-53.77</v>
      </c>
      <c r="Y982" s="5">
        <v>-29.7</v>
      </c>
      <c r="Z982" s="3"/>
      <c r="AA982" s="3" t="s">
        <v>783</v>
      </c>
      <c r="AB982" s="3" t="s">
        <v>5828</v>
      </c>
      <c r="AC982" s="3" t="s">
        <v>5720</v>
      </c>
      <c r="AD982" s="3" t="s">
        <v>943</v>
      </c>
      <c r="AE982" s="3" t="s">
        <v>5830</v>
      </c>
      <c r="AF982" s="3" t="s">
        <v>944</v>
      </c>
      <c r="AG982" s="4" t="s">
        <v>5847</v>
      </c>
      <c r="AH982" s="4"/>
      <c r="AI982" s="3" t="s">
        <v>6183</v>
      </c>
      <c r="AJ982" s="3" t="s">
        <v>5720</v>
      </c>
      <c r="AK982" s="3" t="s">
        <v>6184</v>
      </c>
      <c r="AL982" s="11" t="s">
        <v>6384</v>
      </c>
      <c r="AM982" s="5"/>
      <c r="AN982" s="5"/>
      <c r="AO982" s="3"/>
      <c r="AP982" s="3"/>
      <c r="AQ982" s="3"/>
      <c r="AR982" s="3"/>
      <c r="AS982" s="3"/>
      <c r="AT982" s="3"/>
      <c r="AU982" s="3"/>
      <c r="AV982" s="3"/>
      <c r="AW982" s="3"/>
      <c r="AX982" s="3"/>
      <c r="AY982" s="3"/>
      <c r="AZ982" s="3"/>
      <c r="BA982" s="3"/>
      <c r="BB982" s="3"/>
    </row>
    <row r="983" spans="1:54" x14ac:dyDescent="0.4">
      <c r="A983" s="2" t="s">
        <v>6385</v>
      </c>
      <c r="B983" s="2"/>
      <c r="C983" s="2"/>
      <c r="D983" s="2" t="s">
        <v>54</v>
      </c>
      <c r="E983" s="2"/>
      <c r="F983" s="2" t="s">
        <v>6386</v>
      </c>
      <c r="G983" s="2">
        <v>1</v>
      </c>
      <c r="H983" s="2" t="s">
        <v>5718</v>
      </c>
      <c r="I983" s="3" t="s">
        <v>57</v>
      </c>
      <c r="J983" s="3" t="s">
        <v>5719</v>
      </c>
      <c r="K983" s="3" t="s">
        <v>840</v>
      </c>
      <c r="L983" s="4" t="s">
        <v>1437</v>
      </c>
      <c r="M983" s="3" t="s">
        <v>60</v>
      </c>
      <c r="N983" s="4"/>
      <c r="O983" s="4"/>
      <c r="P983" s="3" t="s">
        <v>62</v>
      </c>
      <c r="Q983" s="3"/>
      <c r="R983" s="3" t="s">
        <v>5827</v>
      </c>
      <c r="S983" s="3" t="s">
        <v>64</v>
      </c>
      <c r="T983">
        <v>227</v>
      </c>
      <c r="U983">
        <v>208.5</v>
      </c>
      <c r="V983">
        <f t="shared" si="30"/>
        <v>217.75</v>
      </c>
      <c r="W983">
        <f t="shared" si="31"/>
        <v>18.5</v>
      </c>
      <c r="X983" s="5">
        <v>-53.23</v>
      </c>
      <c r="Y983" s="5">
        <v>-29.67</v>
      </c>
      <c r="Z983" s="3"/>
      <c r="AA983" s="3" t="s">
        <v>783</v>
      </c>
      <c r="AB983" s="3" t="s">
        <v>5828</v>
      </c>
      <c r="AC983" s="3" t="s">
        <v>5720</v>
      </c>
      <c r="AD983" s="3" t="s">
        <v>943</v>
      </c>
      <c r="AE983" s="3" t="s">
        <v>5830</v>
      </c>
      <c r="AF983" s="3" t="s">
        <v>944</v>
      </c>
      <c r="AG983" s="4" t="s">
        <v>5847</v>
      </c>
      <c r="AH983" s="4"/>
      <c r="AI983" s="3" t="s">
        <v>6387</v>
      </c>
      <c r="AJ983" s="3">
        <v>2024</v>
      </c>
      <c r="AK983" s="10" t="s">
        <v>5849</v>
      </c>
      <c r="AL983" s="6" t="s">
        <v>6388</v>
      </c>
      <c r="AM983" s="5"/>
      <c r="AN983" s="5"/>
      <c r="AO983" s="3"/>
      <c r="AP983" s="3"/>
      <c r="AQ983" s="3"/>
      <c r="AR983" s="3"/>
      <c r="AS983" s="3"/>
      <c r="AT983" s="3"/>
      <c r="AU983" s="3"/>
      <c r="AV983" s="3"/>
      <c r="AW983" s="3"/>
      <c r="AX983" s="3"/>
      <c r="AY983" s="3"/>
      <c r="AZ983" s="3"/>
      <c r="BA983" s="3"/>
      <c r="BB983" s="3"/>
    </row>
    <row r="984" spans="1:54" x14ac:dyDescent="0.4">
      <c r="A984" s="2" t="s">
        <v>6389</v>
      </c>
      <c r="B984" s="2"/>
      <c r="C984" s="2"/>
      <c r="D984" s="2" t="s">
        <v>54</v>
      </c>
      <c r="E984" s="2"/>
      <c r="F984" s="2" t="s">
        <v>6390</v>
      </c>
      <c r="G984" s="2">
        <v>1</v>
      </c>
      <c r="H984" s="2" t="s">
        <v>5718</v>
      </c>
      <c r="I984" s="3" t="s">
        <v>57</v>
      </c>
      <c r="J984" s="3" t="s">
        <v>5719</v>
      </c>
      <c r="K984" s="3" t="s">
        <v>4025</v>
      </c>
      <c r="L984" s="4" t="s">
        <v>782</v>
      </c>
      <c r="M984" s="3" t="s">
        <v>60</v>
      </c>
      <c r="N984" s="4"/>
      <c r="O984" s="4"/>
      <c r="P984" s="3" t="s">
        <v>62</v>
      </c>
      <c r="Q984" s="3"/>
      <c r="R984" s="3" t="s">
        <v>5827</v>
      </c>
      <c r="S984" s="3" t="s">
        <v>64</v>
      </c>
      <c r="T984">
        <v>227</v>
      </c>
      <c r="U984">
        <v>208.5</v>
      </c>
      <c r="V984">
        <f t="shared" si="30"/>
        <v>217.75</v>
      </c>
      <c r="W984">
        <f t="shared" si="31"/>
        <v>18.5</v>
      </c>
      <c r="X984" s="5">
        <v>-53.86</v>
      </c>
      <c r="Y984" s="5">
        <v>-29.6</v>
      </c>
      <c r="Z984" s="3"/>
      <c r="AA984" s="3" t="s">
        <v>783</v>
      </c>
      <c r="AB984" s="3" t="s">
        <v>5828</v>
      </c>
      <c r="AC984" s="3" t="s">
        <v>6391</v>
      </c>
      <c r="AD984" s="3" t="s">
        <v>785</v>
      </c>
      <c r="AE984" s="3" t="s">
        <v>5830</v>
      </c>
      <c r="AF984" s="3" t="s">
        <v>944</v>
      </c>
      <c r="AG984" s="4" t="s">
        <v>1173</v>
      </c>
      <c r="AH984" s="4"/>
      <c r="AI984" s="3" t="s">
        <v>6392</v>
      </c>
      <c r="AJ984" s="3">
        <v>2023</v>
      </c>
      <c r="AK984" s="10" t="s">
        <v>5841</v>
      </c>
      <c r="AL984" s="11" t="s">
        <v>6393</v>
      </c>
      <c r="AM984" s="5"/>
      <c r="AN984" s="5"/>
      <c r="AO984" s="3"/>
      <c r="AP984" s="3"/>
      <c r="AQ984" s="3"/>
      <c r="AR984" s="3"/>
      <c r="AS984" s="3"/>
      <c r="AT984" s="3"/>
      <c r="AU984" s="3"/>
      <c r="AV984" s="3"/>
      <c r="AW984" s="3"/>
      <c r="AX984" s="3"/>
      <c r="AY984" s="3"/>
      <c r="AZ984" s="3"/>
      <c r="BA984" s="3"/>
      <c r="BB984" s="3"/>
    </row>
    <row r="985" spans="1:54" x14ac:dyDescent="0.4">
      <c r="A985" s="2" t="s">
        <v>6394</v>
      </c>
      <c r="B985" s="2"/>
      <c r="C985" s="2"/>
      <c r="D985" s="2" t="s">
        <v>54</v>
      </c>
      <c r="E985" s="2"/>
      <c r="F985" s="2" t="s">
        <v>6395</v>
      </c>
      <c r="G985" s="2">
        <v>1</v>
      </c>
      <c r="H985" s="2" t="s">
        <v>5718</v>
      </c>
      <c r="I985" s="3" t="s">
        <v>57</v>
      </c>
      <c r="J985" s="3" t="s">
        <v>5719</v>
      </c>
      <c r="K985" s="3" t="s">
        <v>194</v>
      </c>
      <c r="L985" s="4" t="s">
        <v>5660</v>
      </c>
      <c r="M985" s="3" t="s">
        <v>60</v>
      </c>
      <c r="N985" s="4"/>
      <c r="O985" s="4"/>
      <c r="P985" s="3" t="s">
        <v>62</v>
      </c>
      <c r="Q985" s="3"/>
      <c r="R985" s="3" t="s">
        <v>5827</v>
      </c>
      <c r="S985" s="3" t="s">
        <v>64</v>
      </c>
      <c r="T985">
        <v>227</v>
      </c>
      <c r="U985">
        <v>208.5</v>
      </c>
      <c r="V985">
        <f t="shared" si="30"/>
        <v>217.75</v>
      </c>
      <c r="W985">
        <f t="shared" si="31"/>
        <v>18.5</v>
      </c>
      <c r="X985" s="5">
        <v>-53.43</v>
      </c>
      <c r="Y985" s="5">
        <v>-29.66</v>
      </c>
      <c r="Z985" s="5"/>
      <c r="AA985" s="3" t="s">
        <v>783</v>
      </c>
      <c r="AB985" s="3" t="s">
        <v>5828</v>
      </c>
      <c r="AC985" s="3" t="s">
        <v>4632</v>
      </c>
      <c r="AD985" s="3" t="s">
        <v>943</v>
      </c>
      <c r="AE985" s="3" t="s">
        <v>5830</v>
      </c>
      <c r="AF985" s="3" t="s">
        <v>944</v>
      </c>
      <c r="AG985" s="4" t="s">
        <v>841</v>
      </c>
      <c r="AH985" s="4"/>
      <c r="AI985" s="3" t="s">
        <v>6392</v>
      </c>
      <c r="AJ985" s="3">
        <v>2023</v>
      </c>
      <c r="AK985" s="5" t="s">
        <v>6396</v>
      </c>
      <c r="AL985" s="11" t="s">
        <v>6397</v>
      </c>
      <c r="AM985" s="5"/>
      <c r="AN985" s="5"/>
      <c r="AO985" s="3"/>
      <c r="AP985" s="3"/>
      <c r="AQ985" s="3"/>
      <c r="AR985" s="3"/>
      <c r="AS985" s="3"/>
      <c r="AT985" s="3"/>
      <c r="AU985" s="3"/>
      <c r="AV985" s="3"/>
      <c r="AW985" s="3"/>
      <c r="AX985" s="3"/>
      <c r="AY985" s="3"/>
      <c r="AZ985" s="3"/>
      <c r="BA985" s="3"/>
      <c r="BB985" s="3"/>
    </row>
    <row r="986" spans="1:54" x14ac:dyDescent="0.4">
      <c r="A986" s="2" t="s">
        <v>6398</v>
      </c>
      <c r="B986" s="2"/>
      <c r="C986" s="2"/>
      <c r="D986" s="2" t="s">
        <v>54</v>
      </c>
      <c r="E986" s="2"/>
      <c r="F986" s="2" t="s">
        <v>6399</v>
      </c>
      <c r="G986" s="2">
        <v>1</v>
      </c>
      <c r="H986" s="2" t="s">
        <v>5718</v>
      </c>
      <c r="I986" s="3" t="s">
        <v>57</v>
      </c>
      <c r="J986" s="3" t="s">
        <v>6400</v>
      </c>
      <c r="K986" s="3" t="s">
        <v>5607</v>
      </c>
      <c r="L986" s="4" t="s">
        <v>6401</v>
      </c>
      <c r="M986" s="3" t="s">
        <v>60</v>
      </c>
      <c r="N986" s="4"/>
      <c r="O986" s="4"/>
      <c r="P986" s="3" t="s">
        <v>62</v>
      </c>
      <c r="Q986" s="3"/>
      <c r="R986" s="3" t="s">
        <v>5827</v>
      </c>
      <c r="S986" s="3" t="s">
        <v>64</v>
      </c>
      <c r="T986">
        <v>227</v>
      </c>
      <c r="U986">
        <v>208.5</v>
      </c>
      <c r="V986">
        <f t="shared" si="30"/>
        <v>217.75</v>
      </c>
      <c r="W986">
        <f t="shared" si="31"/>
        <v>18.5</v>
      </c>
      <c r="X986" s="5">
        <v>-67.2667</v>
      </c>
      <c r="Y986" s="5">
        <v>-31.633299999999998</v>
      </c>
      <c r="Z986" s="5"/>
      <c r="AA986" s="3" t="s">
        <v>185</v>
      </c>
      <c r="AB986" s="3" t="s">
        <v>285</v>
      </c>
      <c r="AC986" s="3" t="s">
        <v>5720</v>
      </c>
      <c r="AD986" s="4" t="s">
        <v>551</v>
      </c>
      <c r="AE986" s="3" t="s">
        <v>5720</v>
      </c>
      <c r="AF986" s="3" t="s">
        <v>5720</v>
      </c>
      <c r="AG986" s="4" t="s">
        <v>551</v>
      </c>
      <c r="AH986" s="4"/>
      <c r="AI986" s="3" t="s">
        <v>6402</v>
      </c>
      <c r="AJ986" s="3">
        <v>2022</v>
      </c>
      <c r="AK986" s="5" t="s">
        <v>6280</v>
      </c>
      <c r="AL986" s="9" t="s">
        <v>6403</v>
      </c>
      <c r="AM986" s="5"/>
      <c r="AN986" s="5"/>
      <c r="AO986" s="3"/>
      <c r="AP986" s="3"/>
      <c r="AQ986" s="3"/>
      <c r="AR986" s="3"/>
      <c r="AS986" s="3"/>
      <c r="AT986" s="3"/>
      <c r="AU986" s="3"/>
      <c r="AV986" s="3"/>
      <c r="AW986" s="3"/>
      <c r="AX986" s="3"/>
      <c r="AY986" s="3"/>
      <c r="AZ986" s="3"/>
      <c r="BA986" s="3"/>
      <c r="BB986" s="3"/>
    </row>
    <row r="987" spans="1:54" x14ac:dyDescent="0.4">
      <c r="A987" s="2" t="s">
        <v>6404</v>
      </c>
      <c r="B987" s="2"/>
      <c r="C987" s="2"/>
      <c r="D987" s="2" t="s">
        <v>54</v>
      </c>
      <c r="E987" s="2"/>
      <c r="F987" s="2" t="s">
        <v>5744</v>
      </c>
      <c r="G987" s="2">
        <v>1</v>
      </c>
      <c r="H987" s="2" t="s">
        <v>5718</v>
      </c>
      <c r="I987" s="3" t="s">
        <v>57</v>
      </c>
      <c r="J987" s="3" t="s">
        <v>5719</v>
      </c>
      <c r="K987" s="3" t="s">
        <v>5720</v>
      </c>
      <c r="L987" s="4" t="s">
        <v>6405</v>
      </c>
      <c r="M987" s="3" t="s">
        <v>60</v>
      </c>
      <c r="N987" s="4"/>
      <c r="O987" s="4"/>
      <c r="P987" s="3" t="s">
        <v>62</v>
      </c>
      <c r="Q987" s="3"/>
      <c r="R987" s="3" t="s">
        <v>5827</v>
      </c>
      <c r="S987" s="3" t="s">
        <v>64</v>
      </c>
      <c r="T987">
        <v>227</v>
      </c>
      <c r="U987">
        <v>208.5</v>
      </c>
      <c r="V987">
        <f t="shared" si="30"/>
        <v>217.75</v>
      </c>
      <c r="W987">
        <f t="shared" si="31"/>
        <v>18.5</v>
      </c>
      <c r="X987" s="13" t="s">
        <v>6406</v>
      </c>
      <c r="Y987" s="5" t="s">
        <v>6407</v>
      </c>
      <c r="Z987" s="5"/>
      <c r="AA987" s="3" t="s">
        <v>5871</v>
      </c>
      <c r="AB987" s="3" t="s">
        <v>583</v>
      </c>
      <c r="AC987" s="3" t="s">
        <v>5720</v>
      </c>
      <c r="AD987" s="3" t="s">
        <v>174</v>
      </c>
      <c r="AE987" s="3" t="s">
        <v>1068</v>
      </c>
      <c r="AF987" s="3" t="s">
        <v>5720</v>
      </c>
      <c r="AG987" s="4" t="s">
        <v>5720</v>
      </c>
      <c r="AH987" s="4"/>
      <c r="AI987" s="3" t="s">
        <v>6408</v>
      </c>
      <c r="AJ987" s="3">
        <v>2022</v>
      </c>
      <c r="AK987" s="5" t="s">
        <v>1239</v>
      </c>
      <c r="AL987" s="9" t="s">
        <v>6409</v>
      </c>
      <c r="AM987" s="5"/>
      <c r="AN987" s="5"/>
      <c r="AO987" s="3"/>
      <c r="AP987" s="3"/>
      <c r="AQ987" s="3"/>
      <c r="AR987" s="3"/>
      <c r="AS987" s="3"/>
      <c r="AT987" s="3"/>
      <c r="AU987" s="3"/>
      <c r="AV987" s="3"/>
      <c r="AW987" s="3"/>
      <c r="AX987" s="3"/>
      <c r="AY987" s="3"/>
      <c r="AZ987" s="3"/>
      <c r="BA987" s="3"/>
      <c r="BB987" s="3"/>
    </row>
    <row r="988" spans="1:54" x14ac:dyDescent="0.4">
      <c r="A988" s="2" t="s">
        <v>6410</v>
      </c>
      <c r="B988" s="2"/>
      <c r="C988" s="2"/>
      <c r="D988" s="2" t="s">
        <v>54</v>
      </c>
      <c r="E988" s="2"/>
      <c r="F988" s="2" t="s">
        <v>6411</v>
      </c>
      <c r="G988" s="2">
        <v>1</v>
      </c>
      <c r="H988" s="2" t="s">
        <v>5718</v>
      </c>
      <c r="I988" s="3" t="s">
        <v>57</v>
      </c>
      <c r="J988" s="3" t="s">
        <v>5719</v>
      </c>
      <c r="K988" s="3" t="s">
        <v>85</v>
      </c>
      <c r="L988" s="7" t="s">
        <v>6412</v>
      </c>
      <c r="M988" s="3" t="s">
        <v>60</v>
      </c>
      <c r="N988" s="7"/>
      <c r="O988" s="7"/>
      <c r="P988" s="3" t="s">
        <v>62</v>
      </c>
      <c r="Q988" s="3"/>
      <c r="R988" s="3" t="s">
        <v>5827</v>
      </c>
      <c r="S988" s="3" t="s">
        <v>64</v>
      </c>
      <c r="T988">
        <v>227</v>
      </c>
      <c r="U988">
        <v>208.5</v>
      </c>
      <c r="V988">
        <f t="shared" si="30"/>
        <v>217.75</v>
      </c>
      <c r="W988">
        <f t="shared" si="31"/>
        <v>18.5</v>
      </c>
      <c r="X988" s="5" t="s">
        <v>6413</v>
      </c>
      <c r="Y988" s="5" t="s">
        <v>6414</v>
      </c>
      <c r="Z988" s="5"/>
      <c r="AA988" s="3" t="s">
        <v>6415</v>
      </c>
      <c r="AB988" s="8" t="s">
        <v>1457</v>
      </c>
      <c r="AC988" s="8" t="s">
        <v>6416</v>
      </c>
      <c r="AD988" s="3" t="s">
        <v>2264</v>
      </c>
      <c r="AE988" s="3" t="s">
        <v>5720</v>
      </c>
      <c r="AF988" s="3" t="s">
        <v>6417</v>
      </c>
      <c r="AG988" s="4" t="s">
        <v>5720</v>
      </c>
      <c r="AH988" s="4"/>
      <c r="AI988" s="3" t="s">
        <v>6418</v>
      </c>
      <c r="AJ988" s="3">
        <v>2023</v>
      </c>
      <c r="AK988" s="5" t="s">
        <v>6419</v>
      </c>
      <c r="AL988" s="9" t="s">
        <v>6420</v>
      </c>
      <c r="AM988" s="5"/>
      <c r="AN988" s="5"/>
      <c r="AO988" s="3"/>
      <c r="AP988" s="3"/>
      <c r="AQ988" s="3"/>
      <c r="AR988" s="3"/>
      <c r="AS988" s="3"/>
      <c r="AT988" s="3"/>
      <c r="AU988" s="3"/>
      <c r="AV988" s="3"/>
      <c r="AW988" s="3"/>
      <c r="AX988" s="3"/>
      <c r="AY988" s="3"/>
      <c r="AZ988" s="3"/>
      <c r="BA988" s="3"/>
      <c r="BB988" s="3"/>
    </row>
    <row r="989" spans="1:54" x14ac:dyDescent="0.4">
      <c r="A989">
        <v>832057</v>
      </c>
      <c r="D989" t="s">
        <v>54</v>
      </c>
      <c r="E989" t="s">
        <v>55</v>
      </c>
      <c r="I989" t="s">
        <v>57</v>
      </c>
      <c r="K989" t="s">
        <v>206</v>
      </c>
      <c r="L989" t="s">
        <v>851</v>
      </c>
      <c r="M989" t="s">
        <v>60</v>
      </c>
      <c r="O989" t="s">
        <v>170</v>
      </c>
      <c r="P989" t="s">
        <v>62</v>
      </c>
      <c r="R989" t="s">
        <v>63</v>
      </c>
      <c r="S989" t="s">
        <v>64</v>
      </c>
      <c r="T989">
        <v>227</v>
      </c>
      <c r="U989">
        <v>213.2</v>
      </c>
      <c r="V989">
        <f t="shared" si="30"/>
        <v>220.1</v>
      </c>
      <c r="W989">
        <f t="shared" si="31"/>
        <v>13.800000000000011</v>
      </c>
      <c r="X989">
        <v>-103.400002</v>
      </c>
      <c r="Y989">
        <v>35.099997999999999</v>
      </c>
      <c r="Z989" t="s">
        <v>124</v>
      </c>
      <c r="AA989" t="s">
        <v>66</v>
      </c>
      <c r="AB989" t="s">
        <v>846</v>
      </c>
      <c r="AC989" t="s">
        <v>906</v>
      </c>
      <c r="AD989" t="s">
        <v>907</v>
      </c>
      <c r="AE989" t="s">
        <v>201</v>
      </c>
      <c r="AH989" t="s">
        <v>11</v>
      </c>
      <c r="AI989" t="s">
        <v>2532</v>
      </c>
      <c r="AJ989">
        <v>1998</v>
      </c>
      <c r="AK989" t="s">
        <v>2533</v>
      </c>
      <c r="AN989" t="s">
        <v>192</v>
      </c>
      <c r="AO989" t="s">
        <v>160</v>
      </c>
      <c r="AR989" t="s">
        <v>80</v>
      </c>
      <c r="AS989">
        <v>101</v>
      </c>
      <c r="AT989" t="s">
        <v>81</v>
      </c>
      <c r="AU989">
        <v>-32.46</v>
      </c>
      <c r="AV989">
        <v>9.5</v>
      </c>
      <c r="AW989" t="s">
        <v>82</v>
      </c>
      <c r="AX989">
        <v>101</v>
      </c>
      <c r="AY989" t="s">
        <v>81</v>
      </c>
      <c r="AZ989">
        <v>-43.31</v>
      </c>
      <c r="BA989">
        <v>10.050000000000001</v>
      </c>
      <c r="BB989" t="s">
        <v>83</v>
      </c>
    </row>
    <row r="990" spans="1:54" x14ac:dyDescent="0.4">
      <c r="A990" s="2" t="s">
        <v>5909</v>
      </c>
      <c r="B990" s="2"/>
      <c r="C990" s="2"/>
      <c r="D990" s="2" t="s">
        <v>54</v>
      </c>
      <c r="E990" s="2"/>
      <c r="F990" s="2" t="s">
        <v>5910</v>
      </c>
      <c r="G990" s="2">
        <v>1</v>
      </c>
      <c r="H990" s="2" t="s">
        <v>5718</v>
      </c>
      <c r="I990" s="3" t="s">
        <v>57</v>
      </c>
      <c r="J990" s="3" t="s">
        <v>5911</v>
      </c>
      <c r="K990" s="3" t="s">
        <v>275</v>
      </c>
      <c r="L990" s="4" t="s">
        <v>5912</v>
      </c>
      <c r="M990" s="3" t="s">
        <v>60</v>
      </c>
      <c r="N990" s="4"/>
      <c r="O990" s="4"/>
      <c r="P990" s="3" t="s">
        <v>277</v>
      </c>
      <c r="Q990" s="3"/>
      <c r="R990" s="3" t="s">
        <v>122</v>
      </c>
      <c r="S990" s="3" t="s">
        <v>123</v>
      </c>
      <c r="T990">
        <v>283.5</v>
      </c>
      <c r="U990">
        <v>274.39999999999998</v>
      </c>
      <c r="V990">
        <f t="shared" si="30"/>
        <v>278.95</v>
      </c>
      <c r="W990">
        <f t="shared" si="31"/>
        <v>9.1000000000000227</v>
      </c>
      <c r="X990" s="5" t="s">
        <v>5913</v>
      </c>
      <c r="Y990" s="5" t="s">
        <v>5914</v>
      </c>
      <c r="Z990" s="5"/>
      <c r="AA990" s="3" t="s">
        <v>5871</v>
      </c>
      <c r="AB990" s="3" t="s">
        <v>125</v>
      </c>
      <c r="AC990" s="3" t="s">
        <v>5915</v>
      </c>
      <c r="AD990" s="3" t="s">
        <v>5916</v>
      </c>
      <c r="AE990" s="4" t="s">
        <v>5917</v>
      </c>
      <c r="AF990" s="3" t="s">
        <v>5720</v>
      </c>
      <c r="AG990" s="4" t="s">
        <v>5720</v>
      </c>
      <c r="AH990" s="4"/>
      <c r="AI990" s="3" t="s">
        <v>5918</v>
      </c>
      <c r="AJ990" s="3">
        <v>2024</v>
      </c>
      <c r="AK990" s="5" t="s">
        <v>5919</v>
      </c>
      <c r="AL990" s="9" t="s">
        <v>5920</v>
      </c>
      <c r="AM990" s="5"/>
      <c r="AN990" s="5"/>
      <c r="AO990" s="3"/>
      <c r="AP990" s="3"/>
      <c r="AQ990" s="3"/>
      <c r="AR990" s="3"/>
      <c r="AS990" s="3"/>
      <c r="AT990" s="3"/>
      <c r="AU990" s="3"/>
      <c r="AV990" s="3"/>
      <c r="AW990" s="3"/>
      <c r="AX990" s="3"/>
      <c r="AY990" s="3"/>
      <c r="AZ990" s="3"/>
      <c r="BA990" s="3"/>
      <c r="BB990" s="3"/>
    </row>
    <row r="991" spans="1:54" x14ac:dyDescent="0.4">
      <c r="A991">
        <v>221283</v>
      </c>
      <c r="D991" t="s">
        <v>54</v>
      </c>
      <c r="G991">
        <v>1</v>
      </c>
      <c r="H991" t="s">
        <v>56</v>
      </c>
      <c r="I991" t="s">
        <v>57</v>
      </c>
      <c r="K991" t="s">
        <v>275</v>
      </c>
      <c r="L991" t="s">
        <v>276</v>
      </c>
      <c r="M991" t="s">
        <v>60</v>
      </c>
      <c r="N991" t="s">
        <v>119</v>
      </c>
      <c r="O991" t="s">
        <v>134</v>
      </c>
      <c r="P991" t="s">
        <v>277</v>
      </c>
      <c r="R991" t="s">
        <v>122</v>
      </c>
      <c r="S991" t="s">
        <v>123</v>
      </c>
      <c r="T991">
        <v>283.5</v>
      </c>
      <c r="U991">
        <v>274.39999999999998</v>
      </c>
      <c r="V991">
        <f t="shared" si="30"/>
        <v>278.95</v>
      </c>
      <c r="W991">
        <f t="shared" si="31"/>
        <v>9.1000000000000227</v>
      </c>
      <c r="X991">
        <v>-99.236900000000006</v>
      </c>
      <c r="Y991">
        <v>33.797699000000001</v>
      </c>
      <c r="Z991" t="s">
        <v>124</v>
      </c>
      <c r="AA991" t="s">
        <v>66</v>
      </c>
      <c r="AB991" t="s">
        <v>125</v>
      </c>
      <c r="AC991" t="s">
        <v>278</v>
      </c>
      <c r="AD991" t="s">
        <v>279</v>
      </c>
      <c r="AE991" t="s">
        <v>280</v>
      </c>
      <c r="AH991" t="s">
        <v>11</v>
      </c>
      <c r="AI991" t="s">
        <v>281</v>
      </c>
      <c r="AJ991">
        <v>1939</v>
      </c>
      <c r="AK991" t="s">
        <v>282</v>
      </c>
      <c r="AM991" t="s">
        <v>283</v>
      </c>
      <c r="AO991">
        <v>4</v>
      </c>
      <c r="AR991" t="s">
        <v>80</v>
      </c>
      <c r="AS991">
        <v>101</v>
      </c>
      <c r="AT991" t="s">
        <v>81</v>
      </c>
      <c r="AU991">
        <v>-28.93</v>
      </c>
      <c r="AV991">
        <v>1.81</v>
      </c>
      <c r="AW991" t="s">
        <v>82</v>
      </c>
      <c r="AX991">
        <v>101</v>
      </c>
      <c r="AY991" t="s">
        <v>81</v>
      </c>
      <c r="AZ991">
        <v>-28</v>
      </c>
      <c r="BA991">
        <v>3.61</v>
      </c>
      <c r="BB991" t="s">
        <v>83</v>
      </c>
    </row>
    <row r="992" spans="1:54" x14ac:dyDescent="0.4">
      <c r="A992">
        <v>221283</v>
      </c>
      <c r="D992" t="s">
        <v>54</v>
      </c>
      <c r="G992">
        <v>1</v>
      </c>
      <c r="H992" t="s">
        <v>56</v>
      </c>
      <c r="I992" t="s">
        <v>57</v>
      </c>
      <c r="K992" t="s">
        <v>275</v>
      </c>
      <c r="L992" t="s">
        <v>276</v>
      </c>
      <c r="M992" t="s">
        <v>60</v>
      </c>
      <c r="N992" t="s">
        <v>119</v>
      </c>
      <c r="O992" t="s">
        <v>134</v>
      </c>
      <c r="P992" t="s">
        <v>277</v>
      </c>
      <c r="R992" t="s">
        <v>122</v>
      </c>
      <c r="S992" t="s">
        <v>123</v>
      </c>
      <c r="T992">
        <v>283.5</v>
      </c>
      <c r="U992">
        <v>274.39999999999998</v>
      </c>
      <c r="V992">
        <f t="shared" si="30"/>
        <v>278.95</v>
      </c>
      <c r="W992">
        <f t="shared" si="31"/>
        <v>9.1000000000000227</v>
      </c>
      <c r="X992">
        <v>-99.236900000000006</v>
      </c>
      <c r="Y992">
        <v>33.797699000000001</v>
      </c>
      <c r="Z992" t="s">
        <v>124</v>
      </c>
      <c r="AA992" t="s">
        <v>66</v>
      </c>
      <c r="AB992" t="s">
        <v>125</v>
      </c>
      <c r="AC992" t="s">
        <v>278</v>
      </c>
      <c r="AD992" t="s">
        <v>279</v>
      </c>
      <c r="AE992" t="s">
        <v>280</v>
      </c>
      <c r="AH992" t="s">
        <v>11</v>
      </c>
      <c r="AI992" t="s">
        <v>281</v>
      </c>
      <c r="AJ992">
        <v>1939</v>
      </c>
      <c r="AK992" t="s">
        <v>282</v>
      </c>
      <c r="AM992" t="s">
        <v>283</v>
      </c>
      <c r="AO992">
        <v>4</v>
      </c>
      <c r="AR992" t="s">
        <v>80</v>
      </c>
      <c r="AS992">
        <v>101</v>
      </c>
      <c r="AT992" t="s">
        <v>81</v>
      </c>
      <c r="AU992">
        <v>-28.93</v>
      </c>
      <c r="AV992">
        <v>1.81</v>
      </c>
      <c r="AW992" t="s">
        <v>82</v>
      </c>
      <c r="AX992">
        <v>101</v>
      </c>
      <c r="AY992" t="s">
        <v>81</v>
      </c>
      <c r="AZ992">
        <v>-28</v>
      </c>
      <c r="BA992">
        <v>3.61</v>
      </c>
      <c r="BB992" t="s">
        <v>83</v>
      </c>
    </row>
    <row r="993" spans="1:54" x14ac:dyDescent="0.4">
      <c r="A993">
        <v>290383</v>
      </c>
      <c r="D993" t="s">
        <v>179</v>
      </c>
      <c r="E993" t="s">
        <v>154</v>
      </c>
      <c r="G993">
        <v>1</v>
      </c>
      <c r="H993" t="s">
        <v>56</v>
      </c>
      <c r="I993" t="s">
        <v>57</v>
      </c>
      <c r="K993" t="s">
        <v>275</v>
      </c>
      <c r="L993" t="s">
        <v>438</v>
      </c>
      <c r="M993" t="s">
        <v>60</v>
      </c>
      <c r="N993" t="s">
        <v>119</v>
      </c>
      <c r="O993" t="s">
        <v>134</v>
      </c>
      <c r="P993" t="s">
        <v>277</v>
      </c>
      <c r="R993" t="s">
        <v>122</v>
      </c>
      <c r="S993" t="s">
        <v>123</v>
      </c>
      <c r="T993">
        <v>283.5</v>
      </c>
      <c r="U993">
        <v>274.39999999999998</v>
      </c>
      <c r="V993">
        <f t="shared" si="30"/>
        <v>278.95</v>
      </c>
      <c r="W993">
        <f t="shared" si="31"/>
        <v>9.1000000000000227</v>
      </c>
      <c r="X993">
        <v>-99.557777000000002</v>
      </c>
      <c r="Y993">
        <v>33.731667000000002</v>
      </c>
      <c r="Z993" t="s">
        <v>432</v>
      </c>
      <c r="AA993" t="s">
        <v>66</v>
      </c>
      <c r="AB993" t="s">
        <v>125</v>
      </c>
      <c r="AC993" t="s">
        <v>439</v>
      </c>
      <c r="AD993" t="s">
        <v>440</v>
      </c>
      <c r="AE993" t="s">
        <v>280</v>
      </c>
      <c r="AH993" t="s">
        <v>72</v>
      </c>
      <c r="AI993" t="s">
        <v>411</v>
      </c>
      <c r="AJ993">
        <v>1951</v>
      </c>
      <c r="AK993" t="s">
        <v>441</v>
      </c>
      <c r="AM993" t="s">
        <v>442</v>
      </c>
      <c r="AN993" t="s">
        <v>192</v>
      </c>
      <c r="AO993" t="s">
        <v>77</v>
      </c>
      <c r="AP993" t="s">
        <v>115</v>
      </c>
      <c r="AQ993" t="s">
        <v>443</v>
      </c>
      <c r="AR993" t="s">
        <v>80</v>
      </c>
      <c r="AS993">
        <v>101</v>
      </c>
      <c r="AT993" t="s">
        <v>81</v>
      </c>
      <c r="AU993">
        <v>-29.19</v>
      </c>
      <c r="AV993">
        <v>1.89</v>
      </c>
      <c r="AW993" t="s">
        <v>82</v>
      </c>
      <c r="AX993">
        <v>101</v>
      </c>
      <c r="AY993" t="s">
        <v>81</v>
      </c>
      <c r="AZ993">
        <v>-28.26</v>
      </c>
      <c r="BA993">
        <v>3.68</v>
      </c>
      <c r="BB993" t="s">
        <v>83</v>
      </c>
    </row>
    <row r="994" spans="1:54" x14ac:dyDescent="0.4">
      <c r="A994">
        <v>296008</v>
      </c>
      <c r="D994" t="s">
        <v>54</v>
      </c>
      <c r="G994">
        <v>1</v>
      </c>
      <c r="H994" t="s">
        <v>84</v>
      </c>
      <c r="I994" t="s">
        <v>57</v>
      </c>
      <c r="K994" t="s">
        <v>275</v>
      </c>
      <c r="L994" t="s">
        <v>453</v>
      </c>
      <c r="M994" t="s">
        <v>60</v>
      </c>
      <c r="N994" t="s">
        <v>119</v>
      </c>
      <c r="O994" t="s">
        <v>134</v>
      </c>
      <c r="P994" t="s">
        <v>277</v>
      </c>
      <c r="R994" t="s">
        <v>122</v>
      </c>
      <c r="S994" t="s">
        <v>123</v>
      </c>
      <c r="T994">
        <v>283.5</v>
      </c>
      <c r="U994">
        <v>274.39999999999998</v>
      </c>
      <c r="V994">
        <f t="shared" si="30"/>
        <v>278.95</v>
      </c>
      <c r="W994">
        <f t="shared" si="31"/>
        <v>9.1000000000000227</v>
      </c>
      <c r="X994">
        <v>-99.144997000000004</v>
      </c>
      <c r="Y994">
        <v>33.755001</v>
      </c>
      <c r="Z994" t="s">
        <v>124</v>
      </c>
      <c r="AA994" t="s">
        <v>66</v>
      </c>
      <c r="AB994" t="s">
        <v>125</v>
      </c>
      <c r="AC994" t="s">
        <v>454</v>
      </c>
      <c r="AD994" t="s">
        <v>455</v>
      </c>
      <c r="AE994" t="s">
        <v>128</v>
      </c>
      <c r="AH994" t="s">
        <v>72</v>
      </c>
      <c r="AI994" t="s">
        <v>456</v>
      </c>
      <c r="AJ994">
        <v>1966</v>
      </c>
      <c r="AK994" t="s">
        <v>457</v>
      </c>
      <c r="AM994" t="s">
        <v>458</v>
      </c>
      <c r="AN994" t="s">
        <v>114</v>
      </c>
      <c r="AO994" t="s">
        <v>77</v>
      </c>
      <c r="AP994" t="s">
        <v>359</v>
      </c>
      <c r="AQ994" t="s">
        <v>459</v>
      </c>
      <c r="AR994" t="s">
        <v>80</v>
      </c>
      <c r="AS994">
        <v>101</v>
      </c>
      <c r="AT994" t="s">
        <v>81</v>
      </c>
      <c r="AU994">
        <v>-28.88</v>
      </c>
      <c r="AV994">
        <v>1.73</v>
      </c>
      <c r="AW994" t="s">
        <v>82</v>
      </c>
      <c r="AX994">
        <v>101</v>
      </c>
      <c r="AY994" t="s">
        <v>81</v>
      </c>
      <c r="AZ994">
        <v>-27.95</v>
      </c>
      <c r="BA994">
        <v>3.53</v>
      </c>
      <c r="BB994" t="s">
        <v>83</v>
      </c>
    </row>
    <row r="995" spans="1:54" x14ac:dyDescent="0.4">
      <c r="A995">
        <v>296038</v>
      </c>
      <c r="D995" t="s">
        <v>54</v>
      </c>
      <c r="G995">
        <v>1</v>
      </c>
      <c r="H995" t="s">
        <v>56</v>
      </c>
      <c r="I995" t="s">
        <v>57</v>
      </c>
      <c r="K995" t="s">
        <v>275</v>
      </c>
      <c r="L995" t="s">
        <v>276</v>
      </c>
      <c r="M995" t="s">
        <v>60</v>
      </c>
      <c r="N995" t="s">
        <v>119</v>
      </c>
      <c r="O995" t="s">
        <v>134</v>
      </c>
      <c r="P995" t="s">
        <v>277</v>
      </c>
      <c r="R995" t="s">
        <v>122</v>
      </c>
      <c r="S995" t="s">
        <v>123</v>
      </c>
      <c r="T995">
        <v>283.5</v>
      </c>
      <c r="U995">
        <v>274.39999999999998</v>
      </c>
      <c r="V995">
        <f t="shared" si="30"/>
        <v>278.95</v>
      </c>
      <c r="W995">
        <f t="shared" si="31"/>
        <v>9.1000000000000227</v>
      </c>
      <c r="X995">
        <v>-99.216667000000001</v>
      </c>
      <c r="Y995">
        <v>33.766666000000001</v>
      </c>
      <c r="Z995" t="s">
        <v>124</v>
      </c>
      <c r="AA995" t="s">
        <v>66</v>
      </c>
      <c r="AB995" t="s">
        <v>125</v>
      </c>
      <c r="AC995" t="s">
        <v>460</v>
      </c>
      <c r="AD995" t="s">
        <v>279</v>
      </c>
      <c r="AE995" t="s">
        <v>280</v>
      </c>
      <c r="AH995" t="s">
        <v>72</v>
      </c>
      <c r="AI995" t="s">
        <v>461</v>
      </c>
      <c r="AJ995">
        <v>1896</v>
      </c>
      <c r="AK995" t="s">
        <v>462</v>
      </c>
      <c r="AM995" t="s">
        <v>463</v>
      </c>
      <c r="AN995" t="s">
        <v>114</v>
      </c>
      <c r="AO995" t="s">
        <v>160</v>
      </c>
      <c r="AP995" t="s">
        <v>359</v>
      </c>
      <c r="AQ995" t="s">
        <v>464</v>
      </c>
      <c r="AR995" t="s">
        <v>80</v>
      </c>
      <c r="AS995">
        <v>101</v>
      </c>
      <c r="AT995" t="s">
        <v>81</v>
      </c>
      <c r="AU995">
        <v>-28.93</v>
      </c>
      <c r="AV995">
        <v>1.77</v>
      </c>
      <c r="AW995" t="s">
        <v>82</v>
      </c>
      <c r="AX995">
        <v>101</v>
      </c>
      <c r="AY995" t="s">
        <v>81</v>
      </c>
      <c r="AZ995">
        <v>-28</v>
      </c>
      <c r="BA995">
        <v>3.57</v>
      </c>
      <c r="BB995" t="s">
        <v>83</v>
      </c>
    </row>
    <row r="996" spans="1:54" x14ac:dyDescent="0.4">
      <c r="A996">
        <v>296039</v>
      </c>
      <c r="D996" t="s">
        <v>54</v>
      </c>
      <c r="G996">
        <v>1</v>
      </c>
      <c r="H996" t="s">
        <v>56</v>
      </c>
      <c r="I996" t="s">
        <v>57</v>
      </c>
      <c r="K996" t="s">
        <v>275</v>
      </c>
      <c r="L996" t="s">
        <v>276</v>
      </c>
      <c r="M996" t="s">
        <v>60</v>
      </c>
      <c r="N996" t="s">
        <v>119</v>
      </c>
      <c r="O996" t="s">
        <v>134</v>
      </c>
      <c r="P996" t="s">
        <v>277</v>
      </c>
      <c r="R996" t="s">
        <v>122</v>
      </c>
      <c r="S996" t="s">
        <v>123</v>
      </c>
      <c r="T996">
        <v>283.5</v>
      </c>
      <c r="U996">
        <v>274.39999999999998</v>
      </c>
      <c r="V996">
        <f t="shared" si="30"/>
        <v>278.95</v>
      </c>
      <c r="W996">
        <f t="shared" si="31"/>
        <v>9.1000000000000227</v>
      </c>
      <c r="X996">
        <v>-99.216667000000001</v>
      </c>
      <c r="Y996">
        <v>33.766666000000001</v>
      </c>
      <c r="Z996" t="s">
        <v>124</v>
      </c>
      <c r="AA996" t="s">
        <v>66</v>
      </c>
      <c r="AB996" t="s">
        <v>125</v>
      </c>
      <c r="AC996" t="s">
        <v>460</v>
      </c>
      <c r="AD996" t="s">
        <v>279</v>
      </c>
      <c r="AE996" t="s">
        <v>280</v>
      </c>
      <c r="AH996" t="s">
        <v>72</v>
      </c>
      <c r="AI996" t="s">
        <v>461</v>
      </c>
      <c r="AJ996">
        <v>1882</v>
      </c>
      <c r="AK996" t="s">
        <v>462</v>
      </c>
      <c r="AM996" t="s">
        <v>463</v>
      </c>
      <c r="AN996" t="s">
        <v>114</v>
      </c>
      <c r="AO996" t="s">
        <v>160</v>
      </c>
      <c r="AP996" t="s">
        <v>359</v>
      </c>
      <c r="AQ996" t="s">
        <v>464</v>
      </c>
      <c r="AR996" t="s">
        <v>80</v>
      </c>
      <c r="AS996">
        <v>101</v>
      </c>
      <c r="AT996" t="s">
        <v>81</v>
      </c>
      <c r="AU996">
        <v>-28.93</v>
      </c>
      <c r="AV996">
        <v>1.77</v>
      </c>
      <c r="AW996" t="s">
        <v>82</v>
      </c>
      <c r="AX996">
        <v>101</v>
      </c>
      <c r="AY996" t="s">
        <v>81</v>
      </c>
      <c r="AZ996">
        <v>-28</v>
      </c>
      <c r="BA996">
        <v>3.57</v>
      </c>
      <c r="BB996" t="s">
        <v>83</v>
      </c>
    </row>
    <row r="997" spans="1:54" x14ac:dyDescent="0.4">
      <c r="A997">
        <v>296040</v>
      </c>
      <c r="D997" t="s">
        <v>54</v>
      </c>
      <c r="G997">
        <v>37</v>
      </c>
      <c r="H997" t="s">
        <v>84</v>
      </c>
      <c r="I997" t="s">
        <v>57</v>
      </c>
      <c r="K997" t="s">
        <v>275</v>
      </c>
      <c r="L997" t="s">
        <v>276</v>
      </c>
      <c r="M997" t="s">
        <v>60</v>
      </c>
      <c r="N997" t="s">
        <v>119</v>
      </c>
      <c r="O997" t="s">
        <v>134</v>
      </c>
      <c r="P997" t="s">
        <v>277</v>
      </c>
      <c r="R997" t="s">
        <v>122</v>
      </c>
      <c r="S997" t="s">
        <v>123</v>
      </c>
      <c r="T997">
        <v>283.5</v>
      </c>
      <c r="U997">
        <v>274.39999999999998</v>
      </c>
      <c r="V997">
        <f t="shared" si="30"/>
        <v>278.95</v>
      </c>
      <c r="W997">
        <f t="shared" si="31"/>
        <v>9.1000000000000227</v>
      </c>
      <c r="X997">
        <v>-99.216667000000001</v>
      </c>
      <c r="Y997">
        <v>33.766666000000001</v>
      </c>
      <c r="Z997" t="s">
        <v>124</v>
      </c>
      <c r="AA997" t="s">
        <v>66</v>
      </c>
      <c r="AB997" t="s">
        <v>125</v>
      </c>
      <c r="AC997" t="s">
        <v>460</v>
      </c>
      <c r="AD997" t="s">
        <v>279</v>
      </c>
      <c r="AE997" t="s">
        <v>280</v>
      </c>
      <c r="AH997" t="s">
        <v>72</v>
      </c>
      <c r="AI997" t="s">
        <v>461</v>
      </c>
      <c r="AJ997">
        <v>1896</v>
      </c>
      <c r="AK997" t="s">
        <v>462</v>
      </c>
      <c r="AM997" t="s">
        <v>463</v>
      </c>
      <c r="AN997" t="s">
        <v>114</v>
      </c>
      <c r="AO997" t="s">
        <v>160</v>
      </c>
      <c r="AP997" t="s">
        <v>359</v>
      </c>
      <c r="AQ997" t="s">
        <v>464</v>
      </c>
      <c r="AR997" t="s">
        <v>80</v>
      </c>
      <c r="AS997">
        <v>101</v>
      </c>
      <c r="AT997" t="s">
        <v>81</v>
      </c>
      <c r="AU997">
        <v>-28.93</v>
      </c>
      <c r="AV997">
        <v>1.77</v>
      </c>
      <c r="AW997" t="s">
        <v>82</v>
      </c>
      <c r="AX997">
        <v>101</v>
      </c>
      <c r="AY997" t="s">
        <v>81</v>
      </c>
      <c r="AZ997">
        <v>-28</v>
      </c>
      <c r="BA997">
        <v>3.57</v>
      </c>
      <c r="BB997" t="s">
        <v>83</v>
      </c>
    </row>
    <row r="998" spans="1:54" x14ac:dyDescent="0.4">
      <c r="A998">
        <v>296041</v>
      </c>
      <c r="D998" t="s">
        <v>54</v>
      </c>
      <c r="G998">
        <v>1</v>
      </c>
      <c r="H998" t="s">
        <v>56</v>
      </c>
      <c r="I998" t="s">
        <v>57</v>
      </c>
      <c r="K998" t="s">
        <v>275</v>
      </c>
      <c r="L998" t="s">
        <v>276</v>
      </c>
      <c r="M998" t="s">
        <v>60</v>
      </c>
      <c r="N998" t="s">
        <v>119</v>
      </c>
      <c r="O998" t="s">
        <v>134</v>
      </c>
      <c r="P998" t="s">
        <v>277</v>
      </c>
      <c r="R998" t="s">
        <v>122</v>
      </c>
      <c r="S998" t="s">
        <v>123</v>
      </c>
      <c r="T998">
        <v>283.5</v>
      </c>
      <c r="U998">
        <v>274.39999999999998</v>
      </c>
      <c r="V998">
        <f t="shared" si="30"/>
        <v>278.95</v>
      </c>
      <c r="W998">
        <f t="shared" si="31"/>
        <v>9.1000000000000227</v>
      </c>
      <c r="X998">
        <v>-99.216667000000001</v>
      </c>
      <c r="Y998">
        <v>33.766666000000001</v>
      </c>
      <c r="Z998" t="s">
        <v>124</v>
      </c>
      <c r="AA998" t="s">
        <v>66</v>
      </c>
      <c r="AB998" t="s">
        <v>125</v>
      </c>
      <c r="AC998" t="s">
        <v>460</v>
      </c>
      <c r="AD998" t="s">
        <v>279</v>
      </c>
      <c r="AE998" t="s">
        <v>280</v>
      </c>
      <c r="AH998" t="s">
        <v>72</v>
      </c>
      <c r="AI998" t="s">
        <v>189</v>
      </c>
      <c r="AJ998">
        <v>1928</v>
      </c>
      <c r="AK998" t="s">
        <v>462</v>
      </c>
      <c r="AM998" t="s">
        <v>463</v>
      </c>
      <c r="AN998" t="s">
        <v>114</v>
      </c>
      <c r="AO998" t="s">
        <v>160</v>
      </c>
      <c r="AP998" t="s">
        <v>359</v>
      </c>
      <c r="AQ998" t="s">
        <v>464</v>
      </c>
      <c r="AR998" t="s">
        <v>80</v>
      </c>
      <c r="AS998">
        <v>101</v>
      </c>
      <c r="AT998" t="s">
        <v>81</v>
      </c>
      <c r="AU998">
        <v>-28.93</v>
      </c>
      <c r="AV998">
        <v>1.77</v>
      </c>
      <c r="AW998" t="s">
        <v>82</v>
      </c>
      <c r="AX998">
        <v>101</v>
      </c>
      <c r="AY998" t="s">
        <v>81</v>
      </c>
      <c r="AZ998">
        <v>-28</v>
      </c>
      <c r="BA998">
        <v>3.57</v>
      </c>
      <c r="BB998" t="s">
        <v>83</v>
      </c>
    </row>
    <row r="999" spans="1:54" x14ac:dyDescent="0.4">
      <c r="A999">
        <v>296041</v>
      </c>
      <c r="D999" t="s">
        <v>54</v>
      </c>
      <c r="G999">
        <v>1</v>
      </c>
      <c r="H999" t="s">
        <v>56</v>
      </c>
      <c r="I999" t="s">
        <v>57</v>
      </c>
      <c r="K999" t="s">
        <v>275</v>
      </c>
      <c r="L999" t="s">
        <v>276</v>
      </c>
      <c r="M999" t="s">
        <v>60</v>
      </c>
      <c r="N999" t="s">
        <v>119</v>
      </c>
      <c r="O999" t="s">
        <v>134</v>
      </c>
      <c r="P999" t="s">
        <v>277</v>
      </c>
      <c r="R999" t="s">
        <v>122</v>
      </c>
      <c r="S999" t="s">
        <v>123</v>
      </c>
      <c r="T999">
        <v>283.5</v>
      </c>
      <c r="U999">
        <v>274.39999999999998</v>
      </c>
      <c r="V999">
        <f t="shared" si="30"/>
        <v>278.95</v>
      </c>
      <c r="W999">
        <f t="shared" si="31"/>
        <v>9.1000000000000227</v>
      </c>
      <c r="X999">
        <v>-99.216667000000001</v>
      </c>
      <c r="Y999">
        <v>33.766666000000001</v>
      </c>
      <c r="Z999" t="s">
        <v>124</v>
      </c>
      <c r="AA999" t="s">
        <v>66</v>
      </c>
      <c r="AB999" t="s">
        <v>125</v>
      </c>
      <c r="AC999" t="s">
        <v>460</v>
      </c>
      <c r="AD999" t="s">
        <v>279</v>
      </c>
      <c r="AE999" t="s">
        <v>280</v>
      </c>
      <c r="AH999" t="s">
        <v>72</v>
      </c>
      <c r="AI999" t="s">
        <v>189</v>
      </c>
      <c r="AJ999">
        <v>1928</v>
      </c>
      <c r="AK999" t="s">
        <v>462</v>
      </c>
      <c r="AM999" t="s">
        <v>463</v>
      </c>
      <c r="AN999" t="s">
        <v>114</v>
      </c>
      <c r="AO999" t="s">
        <v>160</v>
      </c>
      <c r="AP999" t="s">
        <v>359</v>
      </c>
      <c r="AQ999" t="s">
        <v>464</v>
      </c>
      <c r="AR999" t="s">
        <v>80</v>
      </c>
      <c r="AS999">
        <v>101</v>
      </c>
      <c r="AT999" t="s">
        <v>81</v>
      </c>
      <c r="AU999">
        <v>-28.93</v>
      </c>
      <c r="AV999">
        <v>1.77</v>
      </c>
      <c r="AW999" t="s">
        <v>82</v>
      </c>
      <c r="AX999">
        <v>101</v>
      </c>
      <c r="AY999" t="s">
        <v>81</v>
      </c>
      <c r="AZ999">
        <v>-28</v>
      </c>
      <c r="BA999">
        <v>3.57</v>
      </c>
      <c r="BB999" t="s">
        <v>83</v>
      </c>
    </row>
    <row r="1000" spans="1:54" x14ac:dyDescent="0.4">
      <c r="A1000">
        <v>296042</v>
      </c>
      <c r="D1000" t="s">
        <v>54</v>
      </c>
      <c r="G1000">
        <v>1</v>
      </c>
      <c r="H1000" t="s">
        <v>56</v>
      </c>
      <c r="I1000" t="s">
        <v>57</v>
      </c>
      <c r="K1000" t="s">
        <v>275</v>
      </c>
      <c r="L1000" t="s">
        <v>453</v>
      </c>
      <c r="M1000" t="s">
        <v>60</v>
      </c>
      <c r="N1000" t="s">
        <v>119</v>
      </c>
      <c r="O1000" t="s">
        <v>134</v>
      </c>
      <c r="P1000" t="s">
        <v>277</v>
      </c>
      <c r="R1000" t="s">
        <v>122</v>
      </c>
      <c r="S1000" t="s">
        <v>123</v>
      </c>
      <c r="T1000">
        <v>283.5</v>
      </c>
      <c r="U1000">
        <v>274.39999999999998</v>
      </c>
      <c r="V1000">
        <f t="shared" si="30"/>
        <v>278.95</v>
      </c>
      <c r="W1000">
        <f t="shared" si="31"/>
        <v>9.1000000000000227</v>
      </c>
      <c r="X1000">
        <v>-99.216667000000001</v>
      </c>
      <c r="Y1000">
        <v>33.766666000000001</v>
      </c>
      <c r="Z1000" t="s">
        <v>124</v>
      </c>
      <c r="AA1000" t="s">
        <v>66</v>
      </c>
      <c r="AB1000" t="s">
        <v>125</v>
      </c>
      <c r="AC1000" t="s">
        <v>460</v>
      </c>
      <c r="AD1000" t="s">
        <v>279</v>
      </c>
      <c r="AE1000" t="s">
        <v>280</v>
      </c>
      <c r="AH1000" t="s">
        <v>72</v>
      </c>
      <c r="AI1000" t="s">
        <v>465</v>
      </c>
      <c r="AJ1000">
        <v>1959</v>
      </c>
      <c r="AK1000" t="s">
        <v>462</v>
      </c>
      <c r="AM1000" t="s">
        <v>463</v>
      </c>
      <c r="AN1000" t="s">
        <v>114</v>
      </c>
      <c r="AO1000" t="s">
        <v>160</v>
      </c>
      <c r="AP1000" t="s">
        <v>359</v>
      </c>
      <c r="AQ1000" t="s">
        <v>464</v>
      </c>
      <c r="AR1000" t="s">
        <v>80</v>
      </c>
      <c r="AS1000">
        <v>101</v>
      </c>
      <c r="AT1000" t="s">
        <v>81</v>
      </c>
      <c r="AU1000">
        <v>-28.93</v>
      </c>
      <c r="AV1000">
        <v>1.77</v>
      </c>
      <c r="AW1000" t="s">
        <v>82</v>
      </c>
      <c r="AX1000">
        <v>101</v>
      </c>
      <c r="AY1000" t="s">
        <v>81</v>
      </c>
      <c r="AZ1000">
        <v>-28</v>
      </c>
      <c r="BA1000">
        <v>3.57</v>
      </c>
      <c r="BB1000" t="s">
        <v>83</v>
      </c>
    </row>
    <row r="1001" spans="1:54" x14ac:dyDescent="0.4">
      <c r="A1001">
        <v>296043</v>
      </c>
      <c r="D1001" t="s">
        <v>54</v>
      </c>
      <c r="G1001">
        <v>1</v>
      </c>
      <c r="H1001" t="s">
        <v>56</v>
      </c>
      <c r="I1001" t="s">
        <v>57</v>
      </c>
      <c r="K1001" t="s">
        <v>275</v>
      </c>
      <c r="L1001" t="s">
        <v>453</v>
      </c>
      <c r="M1001" t="s">
        <v>60</v>
      </c>
      <c r="N1001" t="s">
        <v>119</v>
      </c>
      <c r="O1001" t="s">
        <v>134</v>
      </c>
      <c r="P1001" t="s">
        <v>277</v>
      </c>
      <c r="R1001" t="s">
        <v>122</v>
      </c>
      <c r="S1001" t="s">
        <v>123</v>
      </c>
      <c r="T1001">
        <v>283.5</v>
      </c>
      <c r="U1001">
        <v>274.39999999999998</v>
      </c>
      <c r="V1001">
        <f t="shared" si="30"/>
        <v>278.95</v>
      </c>
      <c r="W1001">
        <f t="shared" si="31"/>
        <v>9.1000000000000227</v>
      </c>
      <c r="X1001">
        <v>-99.216667000000001</v>
      </c>
      <c r="Y1001">
        <v>33.766666000000001</v>
      </c>
      <c r="Z1001" t="s">
        <v>124</v>
      </c>
      <c r="AA1001" t="s">
        <v>66</v>
      </c>
      <c r="AB1001" t="s">
        <v>125</v>
      </c>
      <c r="AC1001" t="s">
        <v>460</v>
      </c>
      <c r="AD1001" t="s">
        <v>279</v>
      </c>
      <c r="AE1001" t="s">
        <v>280</v>
      </c>
      <c r="AH1001" t="s">
        <v>72</v>
      </c>
      <c r="AI1001" t="s">
        <v>466</v>
      </c>
      <c r="AJ1001">
        <v>1911</v>
      </c>
      <c r="AK1001" t="s">
        <v>462</v>
      </c>
      <c r="AM1001" t="s">
        <v>463</v>
      </c>
      <c r="AN1001" t="s">
        <v>114</v>
      </c>
      <c r="AO1001" t="s">
        <v>160</v>
      </c>
      <c r="AP1001" t="s">
        <v>359</v>
      </c>
      <c r="AQ1001" t="s">
        <v>464</v>
      </c>
      <c r="AR1001" t="s">
        <v>80</v>
      </c>
      <c r="AS1001">
        <v>101</v>
      </c>
      <c r="AT1001" t="s">
        <v>81</v>
      </c>
      <c r="AU1001">
        <v>-28.93</v>
      </c>
      <c r="AV1001">
        <v>1.77</v>
      </c>
      <c r="AW1001" t="s">
        <v>82</v>
      </c>
      <c r="AX1001">
        <v>101</v>
      </c>
      <c r="AY1001" t="s">
        <v>81</v>
      </c>
      <c r="AZ1001">
        <v>-28</v>
      </c>
      <c r="BA1001">
        <v>3.57</v>
      </c>
      <c r="BB1001" t="s">
        <v>83</v>
      </c>
    </row>
    <row r="1002" spans="1:54" x14ac:dyDescent="0.4">
      <c r="A1002">
        <v>296060</v>
      </c>
      <c r="D1002" t="s">
        <v>54</v>
      </c>
      <c r="G1002">
        <v>1</v>
      </c>
      <c r="H1002" t="s">
        <v>84</v>
      </c>
      <c r="I1002" t="s">
        <v>57</v>
      </c>
      <c r="K1002" t="s">
        <v>275</v>
      </c>
      <c r="L1002" t="s">
        <v>276</v>
      </c>
      <c r="M1002" t="s">
        <v>60</v>
      </c>
      <c r="N1002" t="s">
        <v>119</v>
      </c>
      <c r="O1002" t="s">
        <v>134</v>
      </c>
      <c r="P1002" t="s">
        <v>277</v>
      </c>
      <c r="R1002" t="s">
        <v>122</v>
      </c>
      <c r="S1002" t="s">
        <v>123</v>
      </c>
      <c r="T1002">
        <v>283.5</v>
      </c>
      <c r="U1002">
        <v>274.39999999999998</v>
      </c>
      <c r="V1002">
        <f t="shared" si="30"/>
        <v>278.95</v>
      </c>
      <c r="W1002">
        <f t="shared" si="31"/>
        <v>9.1000000000000227</v>
      </c>
      <c r="X1002">
        <v>-99.233329999999995</v>
      </c>
      <c r="Y1002">
        <v>33.755833000000003</v>
      </c>
      <c r="Z1002" t="s">
        <v>124</v>
      </c>
      <c r="AA1002" t="s">
        <v>66</v>
      </c>
      <c r="AB1002" t="s">
        <v>125</v>
      </c>
      <c r="AC1002" t="s">
        <v>278</v>
      </c>
      <c r="AD1002" t="s">
        <v>279</v>
      </c>
      <c r="AE1002" t="s">
        <v>280</v>
      </c>
      <c r="AH1002" t="s">
        <v>72</v>
      </c>
      <c r="AI1002" t="s">
        <v>461</v>
      </c>
      <c r="AJ1002">
        <v>1896</v>
      </c>
      <c r="AK1002" t="s">
        <v>467</v>
      </c>
      <c r="AM1002" t="s">
        <v>468</v>
      </c>
      <c r="AN1002" t="s">
        <v>114</v>
      </c>
      <c r="AO1002" t="s">
        <v>77</v>
      </c>
      <c r="AP1002" t="s">
        <v>359</v>
      </c>
      <c r="AQ1002" t="s">
        <v>469</v>
      </c>
      <c r="AR1002" t="s">
        <v>80</v>
      </c>
      <c r="AS1002">
        <v>101</v>
      </c>
      <c r="AT1002" t="s">
        <v>81</v>
      </c>
      <c r="AU1002">
        <v>-28.95</v>
      </c>
      <c r="AV1002">
        <v>1.77</v>
      </c>
      <c r="AW1002" t="s">
        <v>82</v>
      </c>
      <c r="AX1002">
        <v>101</v>
      </c>
      <c r="AY1002" t="s">
        <v>81</v>
      </c>
      <c r="AZ1002">
        <v>-28.02</v>
      </c>
      <c r="BA1002">
        <v>3.57</v>
      </c>
      <c r="BB1002" t="s">
        <v>83</v>
      </c>
    </row>
    <row r="1003" spans="1:54" x14ac:dyDescent="0.4">
      <c r="A1003">
        <v>296063</v>
      </c>
      <c r="D1003" t="s">
        <v>54</v>
      </c>
      <c r="G1003">
        <v>4</v>
      </c>
      <c r="H1003" t="s">
        <v>84</v>
      </c>
      <c r="I1003" t="s">
        <v>57</v>
      </c>
      <c r="K1003" t="s">
        <v>275</v>
      </c>
      <c r="L1003" t="s">
        <v>276</v>
      </c>
      <c r="M1003" t="s">
        <v>60</v>
      </c>
      <c r="N1003" t="s">
        <v>119</v>
      </c>
      <c r="O1003" t="s">
        <v>134</v>
      </c>
      <c r="P1003" t="s">
        <v>277</v>
      </c>
      <c r="R1003" t="s">
        <v>122</v>
      </c>
      <c r="S1003" t="s">
        <v>123</v>
      </c>
      <c r="T1003">
        <v>283.5</v>
      </c>
      <c r="U1003">
        <v>274.39999999999998</v>
      </c>
      <c r="V1003">
        <f t="shared" si="30"/>
        <v>278.95</v>
      </c>
      <c r="W1003">
        <f t="shared" si="31"/>
        <v>9.1000000000000227</v>
      </c>
      <c r="X1003">
        <v>-99.233329999999995</v>
      </c>
      <c r="Y1003">
        <v>33.755833000000003</v>
      </c>
      <c r="Z1003" t="s">
        <v>124</v>
      </c>
      <c r="AA1003" t="s">
        <v>66</v>
      </c>
      <c r="AB1003" t="s">
        <v>125</v>
      </c>
      <c r="AC1003" t="s">
        <v>278</v>
      </c>
      <c r="AD1003" t="s">
        <v>279</v>
      </c>
      <c r="AE1003" t="s">
        <v>280</v>
      </c>
      <c r="AH1003" t="s">
        <v>11</v>
      </c>
      <c r="AI1003" t="s">
        <v>189</v>
      </c>
      <c r="AJ1003">
        <v>1928</v>
      </c>
      <c r="AK1003" t="s">
        <v>467</v>
      </c>
      <c r="AM1003" t="s">
        <v>468</v>
      </c>
      <c r="AN1003" t="s">
        <v>114</v>
      </c>
      <c r="AO1003" t="s">
        <v>77</v>
      </c>
      <c r="AP1003" t="s">
        <v>359</v>
      </c>
      <c r="AQ1003" t="s">
        <v>469</v>
      </c>
      <c r="AR1003" t="s">
        <v>80</v>
      </c>
      <c r="AS1003">
        <v>101</v>
      </c>
      <c r="AT1003" t="s">
        <v>81</v>
      </c>
      <c r="AU1003">
        <v>-28.95</v>
      </c>
      <c r="AV1003">
        <v>1.77</v>
      </c>
      <c r="AW1003" t="s">
        <v>82</v>
      </c>
      <c r="AX1003">
        <v>101</v>
      </c>
      <c r="AY1003" t="s">
        <v>81</v>
      </c>
      <c r="AZ1003">
        <v>-28.02</v>
      </c>
      <c r="BA1003">
        <v>3.57</v>
      </c>
      <c r="BB1003" t="s">
        <v>83</v>
      </c>
    </row>
    <row r="1004" spans="1:54" x14ac:dyDescent="0.4">
      <c r="A1004">
        <v>296064</v>
      </c>
      <c r="D1004" t="s">
        <v>54</v>
      </c>
      <c r="G1004">
        <v>1</v>
      </c>
      <c r="H1004" t="s">
        <v>84</v>
      </c>
      <c r="I1004" t="s">
        <v>57</v>
      </c>
      <c r="K1004" t="s">
        <v>275</v>
      </c>
      <c r="L1004" t="s">
        <v>453</v>
      </c>
      <c r="M1004" t="s">
        <v>60</v>
      </c>
      <c r="N1004" t="s">
        <v>119</v>
      </c>
      <c r="O1004" t="s">
        <v>134</v>
      </c>
      <c r="P1004" t="s">
        <v>277</v>
      </c>
      <c r="R1004" t="s">
        <v>122</v>
      </c>
      <c r="S1004" t="s">
        <v>123</v>
      </c>
      <c r="T1004">
        <v>283.5</v>
      </c>
      <c r="U1004">
        <v>274.39999999999998</v>
      </c>
      <c r="V1004">
        <f t="shared" si="30"/>
        <v>278.95</v>
      </c>
      <c r="W1004">
        <f t="shared" si="31"/>
        <v>9.1000000000000227</v>
      </c>
      <c r="X1004">
        <v>-99.233329999999995</v>
      </c>
      <c r="Y1004">
        <v>33.755833000000003</v>
      </c>
      <c r="Z1004" t="s">
        <v>124</v>
      </c>
      <c r="AA1004" t="s">
        <v>66</v>
      </c>
      <c r="AB1004" t="s">
        <v>125</v>
      </c>
      <c r="AC1004" t="s">
        <v>278</v>
      </c>
      <c r="AD1004" t="s">
        <v>279</v>
      </c>
      <c r="AE1004" t="s">
        <v>280</v>
      </c>
      <c r="AH1004" t="s">
        <v>11</v>
      </c>
      <c r="AI1004" t="s">
        <v>189</v>
      </c>
      <c r="AJ1004">
        <v>1928</v>
      </c>
      <c r="AK1004" t="s">
        <v>467</v>
      </c>
      <c r="AM1004" t="s">
        <v>468</v>
      </c>
      <c r="AN1004" t="s">
        <v>114</v>
      </c>
      <c r="AO1004" t="s">
        <v>77</v>
      </c>
      <c r="AP1004" t="s">
        <v>359</v>
      </c>
      <c r="AQ1004" t="s">
        <v>469</v>
      </c>
      <c r="AR1004" t="s">
        <v>80</v>
      </c>
      <c r="AS1004">
        <v>101</v>
      </c>
      <c r="AT1004" t="s">
        <v>81</v>
      </c>
      <c r="AU1004">
        <v>-28.95</v>
      </c>
      <c r="AV1004">
        <v>1.77</v>
      </c>
      <c r="AW1004" t="s">
        <v>82</v>
      </c>
      <c r="AX1004">
        <v>101</v>
      </c>
      <c r="AY1004" t="s">
        <v>81</v>
      </c>
      <c r="AZ1004">
        <v>-28.02</v>
      </c>
      <c r="BA1004">
        <v>3.57</v>
      </c>
      <c r="BB1004" t="s">
        <v>83</v>
      </c>
    </row>
    <row r="1005" spans="1:54" x14ac:dyDescent="0.4">
      <c r="A1005">
        <v>296073</v>
      </c>
      <c r="D1005" t="s">
        <v>54</v>
      </c>
      <c r="G1005">
        <v>1</v>
      </c>
      <c r="H1005" t="s">
        <v>84</v>
      </c>
      <c r="I1005" t="s">
        <v>57</v>
      </c>
      <c r="K1005" t="s">
        <v>275</v>
      </c>
      <c r="L1005" t="s">
        <v>276</v>
      </c>
      <c r="M1005" t="s">
        <v>60</v>
      </c>
      <c r="N1005" t="s">
        <v>119</v>
      </c>
      <c r="O1005" t="s">
        <v>134</v>
      </c>
      <c r="P1005" t="s">
        <v>277</v>
      </c>
      <c r="R1005" t="s">
        <v>122</v>
      </c>
      <c r="S1005" t="s">
        <v>123</v>
      </c>
      <c r="T1005">
        <v>283.5</v>
      </c>
      <c r="U1005">
        <v>274.39999999999998</v>
      </c>
      <c r="V1005">
        <f t="shared" si="30"/>
        <v>278.95</v>
      </c>
      <c r="W1005">
        <f t="shared" si="31"/>
        <v>9.1000000000000227</v>
      </c>
      <c r="X1005">
        <v>-99.144997000000004</v>
      </c>
      <c r="Y1005">
        <v>33.755001</v>
      </c>
      <c r="Z1005" t="s">
        <v>124</v>
      </c>
      <c r="AA1005" t="s">
        <v>66</v>
      </c>
      <c r="AB1005" t="s">
        <v>125</v>
      </c>
      <c r="AC1005" t="s">
        <v>278</v>
      </c>
      <c r="AD1005" t="s">
        <v>279</v>
      </c>
      <c r="AE1005" t="s">
        <v>280</v>
      </c>
      <c r="AH1005" t="s">
        <v>11</v>
      </c>
      <c r="AI1005" t="s">
        <v>189</v>
      </c>
      <c r="AJ1005">
        <v>1928</v>
      </c>
      <c r="AK1005" t="s">
        <v>470</v>
      </c>
      <c r="AM1005" t="s">
        <v>471</v>
      </c>
      <c r="AN1005" t="s">
        <v>114</v>
      </c>
      <c r="AO1005" t="s">
        <v>77</v>
      </c>
      <c r="AP1005" t="s">
        <v>78</v>
      </c>
      <c r="AQ1005" t="s">
        <v>472</v>
      </c>
      <c r="AR1005" t="s">
        <v>80</v>
      </c>
      <c r="AS1005">
        <v>101</v>
      </c>
      <c r="AT1005" t="s">
        <v>81</v>
      </c>
      <c r="AU1005">
        <v>-28.88</v>
      </c>
      <c r="AV1005">
        <v>1.73</v>
      </c>
      <c r="AW1005" t="s">
        <v>82</v>
      </c>
      <c r="AX1005">
        <v>101</v>
      </c>
      <c r="AY1005" t="s">
        <v>81</v>
      </c>
      <c r="AZ1005">
        <v>-27.95</v>
      </c>
      <c r="BA1005">
        <v>3.53</v>
      </c>
      <c r="BB1005" t="s">
        <v>83</v>
      </c>
    </row>
    <row r="1006" spans="1:54" x14ac:dyDescent="0.4">
      <c r="A1006">
        <v>296074</v>
      </c>
      <c r="D1006" t="s">
        <v>54</v>
      </c>
      <c r="G1006">
        <v>1</v>
      </c>
      <c r="H1006" t="s">
        <v>56</v>
      </c>
      <c r="I1006" t="s">
        <v>57</v>
      </c>
      <c r="K1006" t="s">
        <v>275</v>
      </c>
      <c r="L1006" t="s">
        <v>453</v>
      </c>
      <c r="M1006" t="s">
        <v>60</v>
      </c>
      <c r="N1006" t="s">
        <v>119</v>
      </c>
      <c r="O1006" t="s">
        <v>134</v>
      </c>
      <c r="P1006" t="s">
        <v>277</v>
      </c>
      <c r="R1006" t="s">
        <v>122</v>
      </c>
      <c r="S1006" t="s">
        <v>123</v>
      </c>
      <c r="T1006">
        <v>283.5</v>
      </c>
      <c r="U1006">
        <v>274.39999999999998</v>
      </c>
      <c r="V1006">
        <f t="shared" si="30"/>
        <v>278.95</v>
      </c>
      <c r="W1006">
        <f t="shared" si="31"/>
        <v>9.1000000000000227</v>
      </c>
      <c r="X1006">
        <v>-99.144997000000004</v>
      </c>
      <c r="Y1006">
        <v>33.755001</v>
      </c>
      <c r="Z1006" t="s">
        <v>124</v>
      </c>
      <c r="AA1006" t="s">
        <v>66</v>
      </c>
      <c r="AB1006" t="s">
        <v>125</v>
      </c>
      <c r="AC1006" t="s">
        <v>278</v>
      </c>
      <c r="AD1006" t="s">
        <v>279</v>
      </c>
      <c r="AE1006" t="s">
        <v>280</v>
      </c>
      <c r="AH1006" t="s">
        <v>72</v>
      </c>
      <c r="AI1006" t="s">
        <v>465</v>
      </c>
      <c r="AJ1006">
        <v>1959</v>
      </c>
      <c r="AK1006" t="s">
        <v>470</v>
      </c>
      <c r="AM1006" t="s">
        <v>471</v>
      </c>
      <c r="AN1006" t="s">
        <v>114</v>
      </c>
      <c r="AO1006" t="s">
        <v>77</v>
      </c>
      <c r="AP1006" t="s">
        <v>78</v>
      </c>
      <c r="AQ1006" t="s">
        <v>472</v>
      </c>
      <c r="AR1006" t="s">
        <v>80</v>
      </c>
      <c r="AS1006">
        <v>101</v>
      </c>
      <c r="AT1006" t="s">
        <v>81</v>
      </c>
      <c r="AU1006">
        <v>-28.88</v>
      </c>
      <c r="AV1006">
        <v>1.73</v>
      </c>
      <c r="AW1006" t="s">
        <v>82</v>
      </c>
      <c r="AX1006">
        <v>101</v>
      </c>
      <c r="AY1006" t="s">
        <v>81</v>
      </c>
      <c r="AZ1006">
        <v>-27.95</v>
      </c>
      <c r="BA1006">
        <v>3.53</v>
      </c>
      <c r="BB1006" t="s">
        <v>83</v>
      </c>
    </row>
    <row r="1007" spans="1:54" x14ac:dyDescent="0.4">
      <c r="A1007">
        <v>296099</v>
      </c>
      <c r="D1007" t="s">
        <v>54</v>
      </c>
      <c r="E1007" t="s">
        <v>55</v>
      </c>
      <c r="I1007" t="s">
        <v>57</v>
      </c>
      <c r="K1007" t="s">
        <v>397</v>
      </c>
      <c r="L1007" t="s">
        <v>444</v>
      </c>
      <c r="M1007" t="s">
        <v>60</v>
      </c>
      <c r="N1007" t="s">
        <v>119</v>
      </c>
      <c r="O1007" t="s">
        <v>134</v>
      </c>
      <c r="P1007" t="s">
        <v>277</v>
      </c>
      <c r="R1007" t="s">
        <v>122</v>
      </c>
      <c r="S1007" t="s">
        <v>123</v>
      </c>
      <c r="T1007">
        <v>283.5</v>
      </c>
      <c r="U1007">
        <v>274.39999999999998</v>
      </c>
      <c r="V1007">
        <f t="shared" si="30"/>
        <v>278.95</v>
      </c>
      <c r="W1007">
        <f t="shared" si="31"/>
        <v>9.1000000000000227</v>
      </c>
      <c r="X1007">
        <v>-99.266670000000005</v>
      </c>
      <c r="Y1007">
        <v>33.700001</v>
      </c>
      <c r="Z1007" t="s">
        <v>124</v>
      </c>
      <c r="AA1007" t="s">
        <v>66</v>
      </c>
      <c r="AB1007" t="s">
        <v>125</v>
      </c>
      <c r="AC1007" t="s">
        <v>278</v>
      </c>
      <c r="AD1007" t="s">
        <v>279</v>
      </c>
      <c r="AE1007" t="s">
        <v>280</v>
      </c>
      <c r="AH1007" t="s">
        <v>11</v>
      </c>
      <c r="AI1007" t="s">
        <v>189</v>
      </c>
      <c r="AJ1007">
        <v>1928</v>
      </c>
      <c r="AK1007" t="s">
        <v>473</v>
      </c>
      <c r="AM1007" t="s">
        <v>474</v>
      </c>
      <c r="AN1007" t="s">
        <v>114</v>
      </c>
      <c r="AO1007" t="s">
        <v>160</v>
      </c>
      <c r="AP1007" t="s">
        <v>359</v>
      </c>
      <c r="AQ1007" t="s">
        <v>475</v>
      </c>
      <c r="AR1007" t="s">
        <v>80</v>
      </c>
      <c r="AS1007">
        <v>101</v>
      </c>
      <c r="AT1007" t="s">
        <v>81</v>
      </c>
      <c r="AU1007">
        <v>-29</v>
      </c>
      <c r="AV1007">
        <v>1.73</v>
      </c>
      <c r="AW1007" t="s">
        <v>82</v>
      </c>
      <c r="AX1007">
        <v>101</v>
      </c>
      <c r="AY1007" t="s">
        <v>81</v>
      </c>
      <c r="AZ1007">
        <v>-28.07</v>
      </c>
      <c r="BA1007">
        <v>3.54</v>
      </c>
      <c r="BB1007" t="s">
        <v>83</v>
      </c>
    </row>
    <row r="1008" spans="1:54" x14ac:dyDescent="0.4">
      <c r="A1008">
        <v>296100</v>
      </c>
      <c r="D1008" t="s">
        <v>54</v>
      </c>
      <c r="E1008" t="s">
        <v>55</v>
      </c>
      <c r="G1008">
        <v>1</v>
      </c>
      <c r="H1008" t="s">
        <v>56</v>
      </c>
      <c r="I1008" t="s">
        <v>57</v>
      </c>
      <c r="K1008" t="s">
        <v>117</v>
      </c>
      <c r="L1008" t="s">
        <v>118</v>
      </c>
      <c r="M1008" t="s">
        <v>60</v>
      </c>
      <c r="N1008" t="s">
        <v>119</v>
      </c>
      <c r="O1008" t="s">
        <v>120</v>
      </c>
      <c r="P1008" t="s">
        <v>277</v>
      </c>
      <c r="R1008" t="s">
        <v>122</v>
      </c>
      <c r="S1008" t="s">
        <v>123</v>
      </c>
      <c r="T1008">
        <v>283.5</v>
      </c>
      <c r="U1008">
        <v>274.39999999999998</v>
      </c>
      <c r="V1008">
        <f t="shared" si="30"/>
        <v>278.95</v>
      </c>
      <c r="W1008">
        <f t="shared" si="31"/>
        <v>9.1000000000000227</v>
      </c>
      <c r="X1008">
        <v>-99.266670000000005</v>
      </c>
      <c r="Y1008">
        <v>33.700001</v>
      </c>
      <c r="Z1008" t="s">
        <v>124</v>
      </c>
      <c r="AA1008" t="s">
        <v>66</v>
      </c>
      <c r="AB1008" t="s">
        <v>125</v>
      </c>
      <c r="AC1008" t="s">
        <v>278</v>
      </c>
      <c r="AD1008" t="s">
        <v>279</v>
      </c>
      <c r="AE1008" t="s">
        <v>280</v>
      </c>
      <c r="AH1008" t="s">
        <v>72</v>
      </c>
      <c r="AI1008" t="s">
        <v>476</v>
      </c>
      <c r="AJ1008">
        <v>1955</v>
      </c>
      <c r="AK1008" t="s">
        <v>473</v>
      </c>
      <c r="AM1008" t="s">
        <v>474</v>
      </c>
      <c r="AN1008" t="s">
        <v>114</v>
      </c>
      <c r="AO1008" t="s">
        <v>160</v>
      </c>
      <c r="AP1008" t="s">
        <v>359</v>
      </c>
      <c r="AQ1008" t="s">
        <v>475</v>
      </c>
      <c r="AR1008" t="s">
        <v>80</v>
      </c>
      <c r="AS1008">
        <v>101</v>
      </c>
      <c r="AT1008" t="s">
        <v>81</v>
      </c>
      <c r="AU1008">
        <v>-29</v>
      </c>
      <c r="AV1008">
        <v>1.73</v>
      </c>
      <c r="AW1008" t="s">
        <v>82</v>
      </c>
      <c r="AX1008">
        <v>101</v>
      </c>
      <c r="AY1008" t="s">
        <v>81</v>
      </c>
      <c r="AZ1008">
        <v>-28.07</v>
      </c>
      <c r="BA1008">
        <v>3.54</v>
      </c>
      <c r="BB1008" t="s">
        <v>83</v>
      </c>
    </row>
    <row r="1009" spans="1:54" x14ac:dyDescent="0.4">
      <c r="A1009">
        <v>296100</v>
      </c>
      <c r="D1009" t="s">
        <v>54</v>
      </c>
      <c r="E1009" t="s">
        <v>55</v>
      </c>
      <c r="G1009">
        <v>1</v>
      </c>
      <c r="H1009" t="s">
        <v>56</v>
      </c>
      <c r="I1009" t="s">
        <v>57</v>
      </c>
      <c r="K1009" t="s">
        <v>117</v>
      </c>
      <c r="L1009" t="s">
        <v>118</v>
      </c>
      <c r="M1009" t="s">
        <v>60</v>
      </c>
      <c r="N1009" t="s">
        <v>119</v>
      </c>
      <c r="O1009" t="s">
        <v>120</v>
      </c>
      <c r="P1009" t="s">
        <v>277</v>
      </c>
      <c r="R1009" t="s">
        <v>122</v>
      </c>
      <c r="S1009" t="s">
        <v>123</v>
      </c>
      <c r="T1009">
        <v>283.5</v>
      </c>
      <c r="U1009">
        <v>274.39999999999998</v>
      </c>
      <c r="V1009">
        <f t="shared" si="30"/>
        <v>278.95</v>
      </c>
      <c r="W1009">
        <f t="shared" si="31"/>
        <v>9.1000000000000227</v>
      </c>
      <c r="X1009">
        <v>-99.266670000000005</v>
      </c>
      <c r="Y1009">
        <v>33.700001</v>
      </c>
      <c r="Z1009" t="s">
        <v>124</v>
      </c>
      <c r="AA1009" t="s">
        <v>66</v>
      </c>
      <c r="AB1009" t="s">
        <v>125</v>
      </c>
      <c r="AC1009" t="s">
        <v>278</v>
      </c>
      <c r="AD1009" t="s">
        <v>279</v>
      </c>
      <c r="AE1009" t="s">
        <v>280</v>
      </c>
      <c r="AH1009" t="s">
        <v>72</v>
      </c>
      <c r="AI1009" t="s">
        <v>476</v>
      </c>
      <c r="AJ1009">
        <v>1955</v>
      </c>
      <c r="AK1009" t="s">
        <v>473</v>
      </c>
      <c r="AM1009" t="s">
        <v>474</v>
      </c>
      <c r="AN1009" t="s">
        <v>114</v>
      </c>
      <c r="AO1009" t="s">
        <v>160</v>
      </c>
      <c r="AP1009" t="s">
        <v>359</v>
      </c>
      <c r="AQ1009" t="s">
        <v>475</v>
      </c>
      <c r="AR1009" t="s">
        <v>80</v>
      </c>
      <c r="AS1009">
        <v>101</v>
      </c>
      <c r="AT1009" t="s">
        <v>81</v>
      </c>
      <c r="AU1009">
        <v>-29</v>
      </c>
      <c r="AV1009">
        <v>1.73</v>
      </c>
      <c r="AW1009" t="s">
        <v>82</v>
      </c>
      <c r="AX1009">
        <v>101</v>
      </c>
      <c r="AY1009" t="s">
        <v>81</v>
      </c>
      <c r="AZ1009">
        <v>-28.07</v>
      </c>
      <c r="BA1009">
        <v>3.54</v>
      </c>
      <c r="BB1009" t="s">
        <v>83</v>
      </c>
    </row>
    <row r="1010" spans="1:54" x14ac:dyDescent="0.4">
      <c r="A1010">
        <v>296100</v>
      </c>
      <c r="D1010" t="s">
        <v>54</v>
      </c>
      <c r="E1010" t="s">
        <v>55</v>
      </c>
      <c r="G1010">
        <v>1</v>
      </c>
      <c r="H1010" t="s">
        <v>56</v>
      </c>
      <c r="I1010" t="s">
        <v>57</v>
      </c>
      <c r="K1010" t="s">
        <v>117</v>
      </c>
      <c r="L1010" t="s">
        <v>118</v>
      </c>
      <c r="M1010" t="s">
        <v>60</v>
      </c>
      <c r="N1010" t="s">
        <v>119</v>
      </c>
      <c r="O1010" t="s">
        <v>120</v>
      </c>
      <c r="P1010" t="s">
        <v>277</v>
      </c>
      <c r="R1010" t="s">
        <v>122</v>
      </c>
      <c r="S1010" t="s">
        <v>123</v>
      </c>
      <c r="T1010">
        <v>283.5</v>
      </c>
      <c r="U1010">
        <v>274.39999999999998</v>
      </c>
      <c r="V1010">
        <f t="shared" si="30"/>
        <v>278.95</v>
      </c>
      <c r="W1010">
        <f t="shared" si="31"/>
        <v>9.1000000000000227</v>
      </c>
      <c r="X1010">
        <v>-99.266670000000005</v>
      </c>
      <c r="Y1010">
        <v>33.700001</v>
      </c>
      <c r="Z1010" t="s">
        <v>124</v>
      </c>
      <c r="AA1010" t="s">
        <v>66</v>
      </c>
      <c r="AB1010" t="s">
        <v>125</v>
      </c>
      <c r="AC1010" t="s">
        <v>278</v>
      </c>
      <c r="AD1010" t="s">
        <v>279</v>
      </c>
      <c r="AE1010" t="s">
        <v>280</v>
      </c>
      <c r="AH1010" t="s">
        <v>72</v>
      </c>
      <c r="AI1010" t="s">
        <v>476</v>
      </c>
      <c r="AJ1010">
        <v>1955</v>
      </c>
      <c r="AK1010" t="s">
        <v>473</v>
      </c>
      <c r="AM1010" t="s">
        <v>474</v>
      </c>
      <c r="AN1010" t="s">
        <v>114</v>
      </c>
      <c r="AO1010" t="s">
        <v>160</v>
      </c>
      <c r="AP1010" t="s">
        <v>359</v>
      </c>
      <c r="AQ1010" t="s">
        <v>475</v>
      </c>
      <c r="AR1010" t="s">
        <v>80</v>
      </c>
      <c r="AS1010">
        <v>101</v>
      </c>
      <c r="AT1010" t="s">
        <v>81</v>
      </c>
      <c r="AU1010">
        <v>-29</v>
      </c>
      <c r="AV1010">
        <v>1.73</v>
      </c>
      <c r="AW1010" t="s">
        <v>82</v>
      </c>
      <c r="AX1010">
        <v>101</v>
      </c>
      <c r="AY1010" t="s">
        <v>81</v>
      </c>
      <c r="AZ1010">
        <v>-28.07</v>
      </c>
      <c r="BA1010">
        <v>3.54</v>
      </c>
      <c r="BB1010" t="s">
        <v>83</v>
      </c>
    </row>
    <row r="1011" spans="1:54" x14ac:dyDescent="0.4">
      <c r="A1011">
        <v>296100</v>
      </c>
      <c r="D1011" t="s">
        <v>54</v>
      </c>
      <c r="E1011" t="s">
        <v>55</v>
      </c>
      <c r="G1011">
        <v>1</v>
      </c>
      <c r="H1011" t="s">
        <v>56</v>
      </c>
      <c r="I1011" t="s">
        <v>57</v>
      </c>
      <c r="K1011" t="s">
        <v>117</v>
      </c>
      <c r="L1011" t="s">
        <v>118</v>
      </c>
      <c r="M1011" t="s">
        <v>60</v>
      </c>
      <c r="N1011" t="s">
        <v>119</v>
      </c>
      <c r="O1011" t="s">
        <v>120</v>
      </c>
      <c r="P1011" t="s">
        <v>277</v>
      </c>
      <c r="R1011" t="s">
        <v>122</v>
      </c>
      <c r="S1011" t="s">
        <v>123</v>
      </c>
      <c r="T1011">
        <v>283.5</v>
      </c>
      <c r="U1011">
        <v>274.39999999999998</v>
      </c>
      <c r="V1011">
        <f t="shared" si="30"/>
        <v>278.95</v>
      </c>
      <c r="W1011">
        <f t="shared" si="31"/>
        <v>9.1000000000000227</v>
      </c>
      <c r="X1011">
        <v>-99.266670000000005</v>
      </c>
      <c r="Y1011">
        <v>33.700001</v>
      </c>
      <c r="Z1011" t="s">
        <v>124</v>
      </c>
      <c r="AA1011" t="s">
        <v>66</v>
      </c>
      <c r="AB1011" t="s">
        <v>125</v>
      </c>
      <c r="AC1011" t="s">
        <v>278</v>
      </c>
      <c r="AD1011" t="s">
        <v>279</v>
      </c>
      <c r="AE1011" t="s">
        <v>280</v>
      </c>
      <c r="AH1011" t="s">
        <v>72</v>
      </c>
      <c r="AI1011" t="s">
        <v>476</v>
      </c>
      <c r="AJ1011">
        <v>1955</v>
      </c>
      <c r="AK1011" t="s">
        <v>473</v>
      </c>
      <c r="AM1011" t="s">
        <v>474</v>
      </c>
      <c r="AN1011" t="s">
        <v>114</v>
      </c>
      <c r="AO1011" t="s">
        <v>160</v>
      </c>
      <c r="AP1011" t="s">
        <v>359</v>
      </c>
      <c r="AQ1011" t="s">
        <v>475</v>
      </c>
      <c r="AR1011" t="s">
        <v>80</v>
      </c>
      <c r="AS1011">
        <v>101</v>
      </c>
      <c r="AT1011" t="s">
        <v>81</v>
      </c>
      <c r="AU1011">
        <v>-29</v>
      </c>
      <c r="AV1011">
        <v>1.73</v>
      </c>
      <c r="AW1011" t="s">
        <v>82</v>
      </c>
      <c r="AX1011">
        <v>101</v>
      </c>
      <c r="AY1011" t="s">
        <v>81</v>
      </c>
      <c r="AZ1011">
        <v>-28.07</v>
      </c>
      <c r="BA1011">
        <v>3.54</v>
      </c>
      <c r="BB1011" t="s">
        <v>83</v>
      </c>
    </row>
    <row r="1012" spans="1:54" x14ac:dyDescent="0.4">
      <c r="A1012">
        <v>296100</v>
      </c>
      <c r="D1012" t="s">
        <v>54</v>
      </c>
      <c r="E1012" t="s">
        <v>55</v>
      </c>
      <c r="G1012">
        <v>1</v>
      </c>
      <c r="H1012" t="s">
        <v>56</v>
      </c>
      <c r="I1012" t="s">
        <v>57</v>
      </c>
      <c r="K1012" t="s">
        <v>117</v>
      </c>
      <c r="L1012" t="s">
        <v>118</v>
      </c>
      <c r="M1012" t="s">
        <v>60</v>
      </c>
      <c r="N1012" t="s">
        <v>119</v>
      </c>
      <c r="O1012" t="s">
        <v>120</v>
      </c>
      <c r="P1012" t="s">
        <v>277</v>
      </c>
      <c r="R1012" t="s">
        <v>122</v>
      </c>
      <c r="S1012" t="s">
        <v>123</v>
      </c>
      <c r="T1012">
        <v>283.5</v>
      </c>
      <c r="U1012">
        <v>274.39999999999998</v>
      </c>
      <c r="V1012">
        <f t="shared" si="30"/>
        <v>278.95</v>
      </c>
      <c r="W1012">
        <f t="shared" si="31"/>
        <v>9.1000000000000227</v>
      </c>
      <c r="X1012">
        <v>-99.266670000000005</v>
      </c>
      <c r="Y1012">
        <v>33.700001</v>
      </c>
      <c r="Z1012" t="s">
        <v>124</v>
      </c>
      <c r="AA1012" t="s">
        <v>66</v>
      </c>
      <c r="AB1012" t="s">
        <v>125</v>
      </c>
      <c r="AC1012" t="s">
        <v>278</v>
      </c>
      <c r="AD1012" t="s">
        <v>279</v>
      </c>
      <c r="AE1012" t="s">
        <v>280</v>
      </c>
      <c r="AH1012" t="s">
        <v>72</v>
      </c>
      <c r="AI1012" t="s">
        <v>476</v>
      </c>
      <c r="AJ1012">
        <v>1955</v>
      </c>
      <c r="AK1012" t="s">
        <v>473</v>
      </c>
      <c r="AM1012" t="s">
        <v>474</v>
      </c>
      <c r="AN1012" t="s">
        <v>114</v>
      </c>
      <c r="AO1012" t="s">
        <v>160</v>
      </c>
      <c r="AP1012" t="s">
        <v>359</v>
      </c>
      <c r="AQ1012" t="s">
        <v>475</v>
      </c>
      <c r="AR1012" t="s">
        <v>80</v>
      </c>
      <c r="AS1012">
        <v>101</v>
      </c>
      <c r="AT1012" t="s">
        <v>81</v>
      </c>
      <c r="AU1012">
        <v>-29</v>
      </c>
      <c r="AV1012">
        <v>1.73</v>
      </c>
      <c r="AW1012" t="s">
        <v>82</v>
      </c>
      <c r="AX1012">
        <v>101</v>
      </c>
      <c r="AY1012" t="s">
        <v>81</v>
      </c>
      <c r="AZ1012">
        <v>-28.07</v>
      </c>
      <c r="BA1012">
        <v>3.54</v>
      </c>
      <c r="BB1012" t="s">
        <v>83</v>
      </c>
    </row>
    <row r="1013" spans="1:54" x14ac:dyDescent="0.4">
      <c r="A1013">
        <v>296107</v>
      </c>
      <c r="D1013" t="s">
        <v>54</v>
      </c>
      <c r="G1013">
        <v>1</v>
      </c>
      <c r="H1013" t="s">
        <v>84</v>
      </c>
      <c r="I1013" t="s">
        <v>57</v>
      </c>
      <c r="K1013" t="s">
        <v>275</v>
      </c>
      <c r="L1013" t="s">
        <v>276</v>
      </c>
      <c r="M1013" t="s">
        <v>60</v>
      </c>
      <c r="N1013" t="s">
        <v>119</v>
      </c>
      <c r="O1013" t="s">
        <v>134</v>
      </c>
      <c r="P1013" t="s">
        <v>277</v>
      </c>
      <c r="R1013" t="s">
        <v>122</v>
      </c>
      <c r="S1013" t="s">
        <v>123</v>
      </c>
      <c r="T1013">
        <v>283.5</v>
      </c>
      <c r="U1013">
        <v>274.39999999999998</v>
      </c>
      <c r="V1013">
        <f t="shared" si="30"/>
        <v>278.95</v>
      </c>
      <c r="W1013">
        <f t="shared" si="31"/>
        <v>9.1000000000000227</v>
      </c>
      <c r="X1013">
        <v>-99.312775000000002</v>
      </c>
      <c r="Y1013">
        <v>33.714722000000002</v>
      </c>
      <c r="Z1013" t="s">
        <v>124</v>
      </c>
      <c r="AA1013" t="s">
        <v>66</v>
      </c>
      <c r="AB1013" t="s">
        <v>125</v>
      </c>
      <c r="AC1013" t="s">
        <v>278</v>
      </c>
      <c r="AD1013" t="s">
        <v>279</v>
      </c>
      <c r="AE1013" t="s">
        <v>280</v>
      </c>
      <c r="AH1013" t="s">
        <v>72</v>
      </c>
      <c r="AI1013" t="s">
        <v>465</v>
      </c>
      <c r="AJ1013">
        <v>1959</v>
      </c>
      <c r="AK1013" t="s">
        <v>477</v>
      </c>
      <c r="AM1013" t="s">
        <v>478</v>
      </c>
      <c r="AN1013" t="s">
        <v>114</v>
      </c>
      <c r="AO1013" t="s">
        <v>77</v>
      </c>
      <c r="AP1013" t="s">
        <v>78</v>
      </c>
      <c r="AQ1013" t="s">
        <v>479</v>
      </c>
      <c r="AR1013" t="s">
        <v>80</v>
      </c>
      <c r="AS1013">
        <v>101</v>
      </c>
      <c r="AT1013" t="s">
        <v>81</v>
      </c>
      <c r="AU1013">
        <v>-29.02</v>
      </c>
      <c r="AV1013">
        <v>1.77</v>
      </c>
      <c r="AW1013" t="s">
        <v>82</v>
      </c>
      <c r="AX1013">
        <v>101</v>
      </c>
      <c r="AY1013" t="s">
        <v>81</v>
      </c>
      <c r="AZ1013">
        <v>-28.09</v>
      </c>
      <c r="BA1013">
        <v>3.57</v>
      </c>
      <c r="BB1013" t="s">
        <v>83</v>
      </c>
    </row>
    <row r="1014" spans="1:54" x14ac:dyDescent="0.4">
      <c r="A1014">
        <v>296108</v>
      </c>
      <c r="D1014" t="s">
        <v>54</v>
      </c>
      <c r="G1014">
        <v>1</v>
      </c>
      <c r="H1014" t="s">
        <v>84</v>
      </c>
      <c r="I1014" t="s">
        <v>57</v>
      </c>
      <c r="K1014" t="s">
        <v>275</v>
      </c>
      <c r="L1014" t="s">
        <v>453</v>
      </c>
      <c r="M1014" t="s">
        <v>60</v>
      </c>
      <c r="N1014" t="s">
        <v>119</v>
      </c>
      <c r="O1014" t="s">
        <v>134</v>
      </c>
      <c r="P1014" t="s">
        <v>277</v>
      </c>
      <c r="R1014" t="s">
        <v>122</v>
      </c>
      <c r="S1014" t="s">
        <v>123</v>
      </c>
      <c r="T1014">
        <v>283.5</v>
      </c>
      <c r="U1014">
        <v>274.39999999999998</v>
      </c>
      <c r="V1014">
        <f t="shared" si="30"/>
        <v>278.95</v>
      </c>
      <c r="W1014">
        <f t="shared" si="31"/>
        <v>9.1000000000000227</v>
      </c>
      <c r="X1014">
        <v>-99.312775000000002</v>
      </c>
      <c r="Y1014">
        <v>33.714722000000002</v>
      </c>
      <c r="Z1014" t="s">
        <v>124</v>
      </c>
      <c r="AA1014" t="s">
        <v>66</v>
      </c>
      <c r="AB1014" t="s">
        <v>125</v>
      </c>
      <c r="AC1014" t="s">
        <v>278</v>
      </c>
      <c r="AD1014" t="s">
        <v>279</v>
      </c>
      <c r="AE1014" t="s">
        <v>280</v>
      </c>
      <c r="AH1014" t="s">
        <v>11</v>
      </c>
      <c r="AI1014" t="s">
        <v>189</v>
      </c>
      <c r="AJ1014">
        <v>1928</v>
      </c>
      <c r="AK1014" t="s">
        <v>477</v>
      </c>
      <c r="AM1014" t="s">
        <v>478</v>
      </c>
      <c r="AN1014" t="s">
        <v>114</v>
      </c>
      <c r="AO1014" t="s">
        <v>77</v>
      </c>
      <c r="AP1014" t="s">
        <v>78</v>
      </c>
      <c r="AQ1014" t="s">
        <v>479</v>
      </c>
      <c r="AR1014" t="s">
        <v>80</v>
      </c>
      <c r="AS1014">
        <v>101</v>
      </c>
      <c r="AT1014" t="s">
        <v>81</v>
      </c>
      <c r="AU1014">
        <v>-29.02</v>
      </c>
      <c r="AV1014">
        <v>1.77</v>
      </c>
      <c r="AW1014" t="s">
        <v>82</v>
      </c>
      <c r="AX1014">
        <v>101</v>
      </c>
      <c r="AY1014" t="s">
        <v>81</v>
      </c>
      <c r="AZ1014">
        <v>-28.09</v>
      </c>
      <c r="BA1014">
        <v>3.57</v>
      </c>
      <c r="BB1014" t="s">
        <v>83</v>
      </c>
    </row>
    <row r="1015" spans="1:54" x14ac:dyDescent="0.4">
      <c r="A1015">
        <v>296109</v>
      </c>
      <c r="D1015" t="s">
        <v>54</v>
      </c>
      <c r="G1015">
        <v>1</v>
      </c>
      <c r="H1015" t="s">
        <v>56</v>
      </c>
      <c r="I1015" t="s">
        <v>57</v>
      </c>
      <c r="K1015" t="s">
        <v>275</v>
      </c>
      <c r="L1015" t="s">
        <v>453</v>
      </c>
      <c r="M1015" t="s">
        <v>60</v>
      </c>
      <c r="N1015" t="s">
        <v>119</v>
      </c>
      <c r="O1015" t="s">
        <v>134</v>
      </c>
      <c r="P1015" t="s">
        <v>277</v>
      </c>
      <c r="R1015" t="s">
        <v>122</v>
      </c>
      <c r="S1015" t="s">
        <v>123</v>
      </c>
      <c r="T1015">
        <v>283.5</v>
      </c>
      <c r="U1015">
        <v>274.39999999999998</v>
      </c>
      <c r="V1015">
        <f t="shared" si="30"/>
        <v>278.95</v>
      </c>
      <c r="W1015">
        <f t="shared" si="31"/>
        <v>9.1000000000000227</v>
      </c>
      <c r="X1015">
        <v>-99.312775000000002</v>
      </c>
      <c r="Y1015">
        <v>33.714722000000002</v>
      </c>
      <c r="Z1015" t="s">
        <v>124</v>
      </c>
      <c r="AA1015" t="s">
        <v>66</v>
      </c>
      <c r="AB1015" t="s">
        <v>125</v>
      </c>
      <c r="AC1015" t="s">
        <v>278</v>
      </c>
      <c r="AD1015" t="s">
        <v>279</v>
      </c>
      <c r="AE1015" t="s">
        <v>280</v>
      </c>
      <c r="AH1015" t="s">
        <v>72</v>
      </c>
      <c r="AI1015" t="s">
        <v>465</v>
      </c>
      <c r="AJ1015">
        <v>1959</v>
      </c>
      <c r="AK1015" t="s">
        <v>477</v>
      </c>
      <c r="AM1015" t="s">
        <v>478</v>
      </c>
      <c r="AN1015" t="s">
        <v>114</v>
      </c>
      <c r="AO1015" t="s">
        <v>77</v>
      </c>
      <c r="AP1015" t="s">
        <v>78</v>
      </c>
      <c r="AQ1015" t="s">
        <v>479</v>
      </c>
      <c r="AR1015" t="s">
        <v>80</v>
      </c>
      <c r="AS1015">
        <v>101</v>
      </c>
      <c r="AT1015" t="s">
        <v>81</v>
      </c>
      <c r="AU1015">
        <v>-29.02</v>
      </c>
      <c r="AV1015">
        <v>1.77</v>
      </c>
      <c r="AW1015" t="s">
        <v>82</v>
      </c>
      <c r="AX1015">
        <v>101</v>
      </c>
      <c r="AY1015" t="s">
        <v>81</v>
      </c>
      <c r="AZ1015">
        <v>-28.09</v>
      </c>
      <c r="BA1015">
        <v>3.57</v>
      </c>
      <c r="BB1015" t="s">
        <v>83</v>
      </c>
    </row>
    <row r="1016" spans="1:54" x14ac:dyDescent="0.4">
      <c r="A1016">
        <v>296117</v>
      </c>
      <c r="D1016" t="s">
        <v>54</v>
      </c>
      <c r="G1016">
        <v>2</v>
      </c>
      <c r="H1016" t="s">
        <v>84</v>
      </c>
      <c r="I1016" t="s">
        <v>57</v>
      </c>
      <c r="K1016" t="s">
        <v>275</v>
      </c>
      <c r="L1016" t="s">
        <v>276</v>
      </c>
      <c r="M1016" t="s">
        <v>60</v>
      </c>
      <c r="N1016" t="s">
        <v>119</v>
      </c>
      <c r="O1016" t="s">
        <v>134</v>
      </c>
      <c r="P1016" t="s">
        <v>277</v>
      </c>
      <c r="R1016" t="s">
        <v>122</v>
      </c>
      <c r="S1016" t="s">
        <v>123</v>
      </c>
      <c r="T1016">
        <v>283.5</v>
      </c>
      <c r="U1016">
        <v>274.39999999999998</v>
      </c>
      <c r="V1016">
        <f t="shared" si="30"/>
        <v>278.95</v>
      </c>
      <c r="W1016">
        <f t="shared" si="31"/>
        <v>9.1000000000000227</v>
      </c>
      <c r="X1016">
        <v>-99.260002</v>
      </c>
      <c r="Y1016">
        <v>33.594166000000001</v>
      </c>
      <c r="Z1016" t="s">
        <v>124</v>
      </c>
      <c r="AA1016" t="s">
        <v>66</v>
      </c>
      <c r="AB1016" t="s">
        <v>125</v>
      </c>
      <c r="AC1016" t="s">
        <v>278</v>
      </c>
      <c r="AD1016" t="s">
        <v>279</v>
      </c>
      <c r="AE1016" t="s">
        <v>280</v>
      </c>
      <c r="AH1016" t="s">
        <v>11</v>
      </c>
      <c r="AI1016" t="s">
        <v>189</v>
      </c>
      <c r="AJ1016">
        <v>1928</v>
      </c>
      <c r="AK1016" t="s">
        <v>480</v>
      </c>
      <c r="AM1016" t="s">
        <v>481</v>
      </c>
      <c r="AN1016" t="s">
        <v>114</v>
      </c>
      <c r="AO1016" t="s">
        <v>77</v>
      </c>
      <c r="AP1016" t="s">
        <v>359</v>
      </c>
      <c r="AQ1016" t="s">
        <v>482</v>
      </c>
      <c r="AR1016" t="s">
        <v>80</v>
      </c>
      <c r="AS1016">
        <v>101</v>
      </c>
      <c r="AT1016" t="s">
        <v>81</v>
      </c>
      <c r="AU1016">
        <v>-29.05</v>
      </c>
      <c r="AV1016">
        <v>1.64</v>
      </c>
      <c r="AW1016" t="s">
        <v>82</v>
      </c>
      <c r="AX1016">
        <v>101</v>
      </c>
      <c r="AY1016" t="s">
        <v>81</v>
      </c>
      <c r="AZ1016">
        <v>-28.11</v>
      </c>
      <c r="BA1016">
        <v>3.44</v>
      </c>
      <c r="BB1016" t="s">
        <v>83</v>
      </c>
    </row>
    <row r="1017" spans="1:54" x14ac:dyDescent="0.4">
      <c r="A1017">
        <v>367508</v>
      </c>
      <c r="D1017" t="s">
        <v>54</v>
      </c>
      <c r="E1017" t="s">
        <v>55</v>
      </c>
      <c r="G1017">
        <v>1</v>
      </c>
      <c r="H1017" t="s">
        <v>56</v>
      </c>
      <c r="I1017" t="s">
        <v>57</v>
      </c>
      <c r="K1017" t="s">
        <v>275</v>
      </c>
      <c r="L1017" t="s">
        <v>276</v>
      </c>
      <c r="M1017" t="s">
        <v>60</v>
      </c>
      <c r="N1017" t="s">
        <v>119</v>
      </c>
      <c r="O1017" t="s">
        <v>134</v>
      </c>
      <c r="P1017" t="s">
        <v>277</v>
      </c>
      <c r="R1017" t="s">
        <v>122</v>
      </c>
      <c r="S1017" t="s">
        <v>123</v>
      </c>
      <c r="T1017">
        <v>283.5</v>
      </c>
      <c r="U1017">
        <v>274.39999999999998</v>
      </c>
      <c r="V1017">
        <f t="shared" si="30"/>
        <v>278.95</v>
      </c>
      <c r="W1017">
        <f t="shared" si="31"/>
        <v>9.1000000000000227</v>
      </c>
      <c r="X1017">
        <v>-99.266670000000005</v>
      </c>
      <c r="Y1017">
        <v>33.700001</v>
      </c>
      <c r="Z1017" t="s">
        <v>124</v>
      </c>
      <c r="AA1017" t="s">
        <v>66</v>
      </c>
      <c r="AB1017" t="s">
        <v>125</v>
      </c>
      <c r="AC1017" t="s">
        <v>278</v>
      </c>
      <c r="AD1017" t="s">
        <v>279</v>
      </c>
      <c r="AE1017" t="s">
        <v>280</v>
      </c>
      <c r="AH1017" t="s">
        <v>72</v>
      </c>
      <c r="AI1017" t="s">
        <v>465</v>
      </c>
      <c r="AJ1017">
        <v>1959</v>
      </c>
      <c r="AK1017" t="s">
        <v>473</v>
      </c>
      <c r="AM1017" t="s">
        <v>474</v>
      </c>
      <c r="AN1017" t="s">
        <v>114</v>
      </c>
      <c r="AO1017" t="s">
        <v>160</v>
      </c>
      <c r="AP1017" t="s">
        <v>359</v>
      </c>
      <c r="AQ1017" t="s">
        <v>475</v>
      </c>
      <c r="AR1017" t="s">
        <v>80</v>
      </c>
      <c r="AS1017">
        <v>101</v>
      </c>
      <c r="AT1017" t="s">
        <v>81</v>
      </c>
      <c r="AU1017">
        <v>-29</v>
      </c>
      <c r="AV1017">
        <v>1.73</v>
      </c>
      <c r="AW1017" t="s">
        <v>82</v>
      </c>
      <c r="AX1017">
        <v>101</v>
      </c>
      <c r="AY1017" t="s">
        <v>81</v>
      </c>
      <c r="AZ1017">
        <v>-28.07</v>
      </c>
      <c r="BA1017">
        <v>3.54</v>
      </c>
      <c r="BB1017" t="s">
        <v>83</v>
      </c>
    </row>
    <row r="1018" spans="1:54" x14ac:dyDescent="0.4">
      <c r="A1018">
        <v>631445</v>
      </c>
      <c r="D1018" t="s">
        <v>179</v>
      </c>
      <c r="G1018">
        <v>20</v>
      </c>
      <c r="H1018" t="s">
        <v>84</v>
      </c>
      <c r="I1018" t="s">
        <v>57</v>
      </c>
      <c r="K1018" t="s">
        <v>275</v>
      </c>
      <c r="L1018" t="s">
        <v>276</v>
      </c>
      <c r="M1018" t="s">
        <v>60</v>
      </c>
      <c r="N1018" t="s">
        <v>119</v>
      </c>
      <c r="O1018" t="s">
        <v>134</v>
      </c>
      <c r="P1018" t="s">
        <v>277</v>
      </c>
      <c r="R1018" t="s">
        <v>122</v>
      </c>
      <c r="S1018" t="s">
        <v>123</v>
      </c>
      <c r="T1018">
        <v>283.5</v>
      </c>
      <c r="U1018">
        <v>274.39999999999998</v>
      </c>
      <c r="V1018">
        <f t="shared" si="30"/>
        <v>278.95</v>
      </c>
      <c r="W1018">
        <f t="shared" si="31"/>
        <v>9.1000000000000227</v>
      </c>
      <c r="X1018">
        <v>-98.787780999999995</v>
      </c>
      <c r="Y1018">
        <v>34.189720000000001</v>
      </c>
      <c r="Z1018" t="s">
        <v>105</v>
      </c>
      <c r="AA1018" t="s">
        <v>66</v>
      </c>
      <c r="AB1018" t="s">
        <v>407</v>
      </c>
      <c r="AC1018" t="s">
        <v>1406</v>
      </c>
      <c r="AD1018" t="s">
        <v>1407</v>
      </c>
      <c r="AH1018" t="s">
        <v>72</v>
      </c>
      <c r="AI1018" t="s">
        <v>1408</v>
      </c>
      <c r="AJ1018">
        <v>1973</v>
      </c>
      <c r="AK1018" t="s">
        <v>1409</v>
      </c>
      <c r="AN1018" t="s">
        <v>76</v>
      </c>
      <c r="AO1018" t="s">
        <v>77</v>
      </c>
      <c r="AP1018" t="s">
        <v>115</v>
      </c>
      <c r="AQ1018" t="s">
        <v>1410</v>
      </c>
      <c r="AR1018" t="s">
        <v>80</v>
      </c>
      <c r="AS1018">
        <v>101</v>
      </c>
      <c r="AT1018" t="s">
        <v>81</v>
      </c>
      <c r="AU1018">
        <v>-28.41</v>
      </c>
      <c r="AV1018">
        <v>1.95</v>
      </c>
      <c r="AW1018" t="s">
        <v>82</v>
      </c>
      <c r="AX1018">
        <v>101</v>
      </c>
      <c r="AY1018" t="s">
        <v>81</v>
      </c>
      <c r="AZ1018">
        <v>-27.48</v>
      </c>
      <c r="BA1018">
        <v>3.77</v>
      </c>
      <c r="BB1018" t="s">
        <v>83</v>
      </c>
    </row>
    <row r="1019" spans="1:54" x14ac:dyDescent="0.4">
      <c r="A1019">
        <v>631446</v>
      </c>
      <c r="D1019" t="s">
        <v>179</v>
      </c>
      <c r="G1019">
        <v>1</v>
      </c>
      <c r="H1019" t="s">
        <v>435</v>
      </c>
      <c r="I1019" t="s">
        <v>57</v>
      </c>
      <c r="K1019" t="s">
        <v>275</v>
      </c>
      <c r="L1019" t="s">
        <v>453</v>
      </c>
      <c r="M1019" t="s">
        <v>60</v>
      </c>
      <c r="N1019" t="s">
        <v>119</v>
      </c>
      <c r="O1019" t="s">
        <v>134</v>
      </c>
      <c r="P1019" t="s">
        <v>277</v>
      </c>
      <c r="R1019" t="s">
        <v>122</v>
      </c>
      <c r="S1019" t="s">
        <v>123</v>
      </c>
      <c r="T1019">
        <v>283.5</v>
      </c>
      <c r="U1019">
        <v>274.39999999999998</v>
      </c>
      <c r="V1019">
        <f t="shared" si="30"/>
        <v>278.95</v>
      </c>
      <c r="W1019">
        <f t="shared" si="31"/>
        <v>9.1000000000000227</v>
      </c>
      <c r="X1019">
        <v>-98.787780999999995</v>
      </c>
      <c r="Y1019">
        <v>34.189720000000001</v>
      </c>
      <c r="Z1019" t="s">
        <v>105</v>
      </c>
      <c r="AA1019" t="s">
        <v>66</v>
      </c>
      <c r="AB1019" t="s">
        <v>407</v>
      </c>
      <c r="AC1019" t="s">
        <v>1406</v>
      </c>
      <c r="AD1019" t="s">
        <v>1407</v>
      </c>
      <c r="AH1019" t="s">
        <v>11</v>
      </c>
      <c r="AI1019" t="s">
        <v>1408</v>
      </c>
      <c r="AJ1019">
        <v>1973</v>
      </c>
      <c r="AK1019" t="s">
        <v>1409</v>
      </c>
      <c r="AN1019" t="s">
        <v>76</v>
      </c>
      <c r="AO1019" t="s">
        <v>77</v>
      </c>
      <c r="AP1019" t="s">
        <v>115</v>
      </c>
      <c r="AQ1019" t="s">
        <v>1410</v>
      </c>
      <c r="AR1019" t="s">
        <v>80</v>
      </c>
      <c r="AS1019">
        <v>101</v>
      </c>
      <c r="AT1019" t="s">
        <v>81</v>
      </c>
      <c r="AU1019">
        <v>-28.41</v>
      </c>
      <c r="AV1019">
        <v>1.95</v>
      </c>
      <c r="AW1019" t="s">
        <v>82</v>
      </c>
      <c r="AX1019">
        <v>101</v>
      </c>
      <c r="AY1019" t="s">
        <v>81</v>
      </c>
      <c r="AZ1019">
        <v>-27.48</v>
      </c>
      <c r="BA1019">
        <v>3.77</v>
      </c>
      <c r="BB1019" t="s">
        <v>83</v>
      </c>
    </row>
    <row r="1020" spans="1:54" x14ac:dyDescent="0.4">
      <c r="A1020">
        <v>631447</v>
      </c>
      <c r="D1020" t="s">
        <v>179</v>
      </c>
      <c r="G1020">
        <v>1</v>
      </c>
      <c r="H1020" t="s">
        <v>56</v>
      </c>
      <c r="I1020" t="s">
        <v>57</v>
      </c>
      <c r="K1020" t="s">
        <v>1393</v>
      </c>
      <c r="L1020" t="s">
        <v>1411</v>
      </c>
      <c r="M1020" t="s">
        <v>60</v>
      </c>
      <c r="N1020" t="s">
        <v>119</v>
      </c>
      <c r="O1020" t="s">
        <v>120</v>
      </c>
      <c r="P1020" t="s">
        <v>277</v>
      </c>
      <c r="R1020" t="s">
        <v>122</v>
      </c>
      <c r="S1020" t="s">
        <v>123</v>
      </c>
      <c r="T1020">
        <v>283.5</v>
      </c>
      <c r="U1020">
        <v>274.39999999999998</v>
      </c>
      <c r="V1020">
        <f t="shared" si="30"/>
        <v>278.95</v>
      </c>
      <c r="W1020">
        <f t="shared" si="31"/>
        <v>9.1000000000000227</v>
      </c>
      <c r="X1020">
        <v>-98.787780999999995</v>
      </c>
      <c r="Y1020">
        <v>34.189720000000001</v>
      </c>
      <c r="Z1020" t="s">
        <v>105</v>
      </c>
      <c r="AA1020" t="s">
        <v>66</v>
      </c>
      <c r="AB1020" t="s">
        <v>407</v>
      </c>
      <c r="AC1020" t="s">
        <v>1406</v>
      </c>
      <c r="AD1020" t="s">
        <v>1407</v>
      </c>
      <c r="AH1020" t="s">
        <v>72</v>
      </c>
      <c r="AI1020" t="s">
        <v>1408</v>
      </c>
      <c r="AJ1020">
        <v>1973</v>
      </c>
      <c r="AK1020" t="s">
        <v>1409</v>
      </c>
      <c r="AN1020" t="s">
        <v>76</v>
      </c>
      <c r="AO1020" t="s">
        <v>77</v>
      </c>
      <c r="AP1020" t="s">
        <v>115</v>
      </c>
      <c r="AQ1020" t="s">
        <v>1410</v>
      </c>
      <c r="AR1020" t="s">
        <v>80</v>
      </c>
      <c r="AS1020">
        <v>101</v>
      </c>
      <c r="AT1020" t="s">
        <v>81</v>
      </c>
      <c r="AU1020">
        <v>-28.41</v>
      </c>
      <c r="AV1020">
        <v>1.95</v>
      </c>
      <c r="AW1020" t="s">
        <v>82</v>
      </c>
      <c r="AX1020">
        <v>101</v>
      </c>
      <c r="AY1020" t="s">
        <v>81</v>
      </c>
      <c r="AZ1020">
        <v>-27.48</v>
      </c>
      <c r="BA1020">
        <v>3.77</v>
      </c>
      <c r="BB1020" t="s">
        <v>83</v>
      </c>
    </row>
    <row r="1021" spans="1:54" x14ac:dyDescent="0.4">
      <c r="A1021">
        <v>739839</v>
      </c>
      <c r="D1021" t="s">
        <v>167</v>
      </c>
      <c r="E1021" t="s">
        <v>154</v>
      </c>
      <c r="G1021">
        <v>32</v>
      </c>
      <c r="H1021" t="s">
        <v>84</v>
      </c>
      <c r="I1021" t="s">
        <v>57</v>
      </c>
      <c r="K1021" t="s">
        <v>275</v>
      </c>
      <c r="L1021" t="s">
        <v>1558</v>
      </c>
      <c r="M1021" t="s">
        <v>60</v>
      </c>
      <c r="N1021" t="s">
        <v>119</v>
      </c>
      <c r="O1021" t="s">
        <v>134</v>
      </c>
      <c r="P1021" t="s">
        <v>277</v>
      </c>
      <c r="R1021" t="s">
        <v>122</v>
      </c>
      <c r="S1021" t="s">
        <v>123</v>
      </c>
      <c r="T1021">
        <v>283.5</v>
      </c>
      <c r="U1021">
        <v>274.39999999999998</v>
      </c>
      <c r="V1021">
        <f t="shared" si="30"/>
        <v>278.95</v>
      </c>
      <c r="W1021">
        <f t="shared" si="31"/>
        <v>9.1000000000000227</v>
      </c>
      <c r="X1021">
        <v>-97.368613999999994</v>
      </c>
      <c r="Y1021">
        <v>35.169445000000003</v>
      </c>
      <c r="Z1021" t="s">
        <v>184</v>
      </c>
      <c r="AA1021" t="s">
        <v>66</v>
      </c>
      <c r="AB1021" t="s">
        <v>407</v>
      </c>
      <c r="AC1021" t="s">
        <v>1559</v>
      </c>
      <c r="AD1021" t="s">
        <v>1407</v>
      </c>
      <c r="AF1021" t="s">
        <v>1560</v>
      </c>
      <c r="AH1021" t="s">
        <v>72</v>
      </c>
      <c r="AI1021" t="s">
        <v>411</v>
      </c>
      <c r="AJ1021">
        <v>1970</v>
      </c>
      <c r="AK1021" t="s">
        <v>1561</v>
      </c>
      <c r="AM1021" t="s">
        <v>1562</v>
      </c>
      <c r="AN1021" t="s">
        <v>76</v>
      </c>
      <c r="AO1021" t="s">
        <v>77</v>
      </c>
      <c r="AP1021" t="s">
        <v>78</v>
      </c>
      <c r="AQ1021" t="s">
        <v>1563</v>
      </c>
      <c r="AR1021" t="s">
        <v>80</v>
      </c>
      <c r="AS1021">
        <v>101</v>
      </c>
      <c r="AT1021" t="s">
        <v>81</v>
      </c>
      <c r="AU1021">
        <v>-26.9</v>
      </c>
      <c r="AV1021">
        <v>2.21</v>
      </c>
      <c r="AW1021" t="s">
        <v>82</v>
      </c>
      <c r="AX1021">
        <v>101</v>
      </c>
      <c r="AY1021" t="s">
        <v>81</v>
      </c>
      <c r="AZ1021">
        <v>-25.98</v>
      </c>
      <c r="BA1021">
        <v>4.05</v>
      </c>
      <c r="BB1021" t="s">
        <v>83</v>
      </c>
    </row>
    <row r="1022" spans="1:54" x14ac:dyDescent="0.4">
      <c r="A1022">
        <v>739840</v>
      </c>
      <c r="D1022" t="s">
        <v>167</v>
      </c>
      <c r="E1022" t="s">
        <v>154</v>
      </c>
      <c r="G1022">
        <v>1</v>
      </c>
      <c r="H1022" t="s">
        <v>56</v>
      </c>
      <c r="I1022" t="s">
        <v>57</v>
      </c>
      <c r="K1022" t="s">
        <v>275</v>
      </c>
      <c r="L1022" t="s">
        <v>1558</v>
      </c>
      <c r="M1022" t="s">
        <v>60</v>
      </c>
      <c r="N1022" t="s">
        <v>119</v>
      </c>
      <c r="O1022" t="s">
        <v>134</v>
      </c>
      <c r="P1022" t="s">
        <v>277</v>
      </c>
      <c r="R1022" t="s">
        <v>122</v>
      </c>
      <c r="S1022" t="s">
        <v>123</v>
      </c>
      <c r="T1022">
        <v>283.5</v>
      </c>
      <c r="U1022">
        <v>274.39999999999998</v>
      </c>
      <c r="V1022">
        <f t="shared" si="30"/>
        <v>278.95</v>
      </c>
      <c r="W1022">
        <f t="shared" si="31"/>
        <v>9.1000000000000227</v>
      </c>
      <c r="X1022">
        <v>-97.368613999999994</v>
      </c>
      <c r="Y1022">
        <v>35.169445000000003</v>
      </c>
      <c r="Z1022" t="s">
        <v>184</v>
      </c>
      <c r="AA1022" t="s">
        <v>66</v>
      </c>
      <c r="AB1022" t="s">
        <v>407</v>
      </c>
      <c r="AC1022" t="s">
        <v>1559</v>
      </c>
      <c r="AD1022" t="s">
        <v>1407</v>
      </c>
      <c r="AF1022" t="s">
        <v>1560</v>
      </c>
      <c r="AH1022" t="s">
        <v>72</v>
      </c>
      <c r="AI1022" t="s">
        <v>411</v>
      </c>
      <c r="AJ1022">
        <v>1970</v>
      </c>
      <c r="AK1022" t="s">
        <v>1561</v>
      </c>
      <c r="AM1022" t="s">
        <v>1562</v>
      </c>
      <c r="AN1022" t="s">
        <v>76</v>
      </c>
      <c r="AO1022" t="s">
        <v>77</v>
      </c>
      <c r="AP1022" t="s">
        <v>78</v>
      </c>
      <c r="AQ1022" t="s">
        <v>1563</v>
      </c>
      <c r="AR1022" t="s">
        <v>80</v>
      </c>
      <c r="AS1022">
        <v>101</v>
      </c>
      <c r="AT1022" t="s">
        <v>81</v>
      </c>
      <c r="AU1022">
        <v>-26.9</v>
      </c>
      <c r="AV1022">
        <v>2.21</v>
      </c>
      <c r="AW1022" t="s">
        <v>82</v>
      </c>
      <c r="AX1022">
        <v>101</v>
      </c>
      <c r="AY1022" t="s">
        <v>81</v>
      </c>
      <c r="AZ1022">
        <v>-25.98</v>
      </c>
      <c r="BA1022">
        <v>4.05</v>
      </c>
      <c r="BB1022" t="s">
        <v>83</v>
      </c>
    </row>
    <row r="1023" spans="1:54" x14ac:dyDescent="0.4">
      <c r="A1023">
        <v>739840</v>
      </c>
      <c r="D1023" t="s">
        <v>167</v>
      </c>
      <c r="E1023" t="s">
        <v>154</v>
      </c>
      <c r="G1023">
        <v>1</v>
      </c>
      <c r="H1023" t="s">
        <v>56</v>
      </c>
      <c r="I1023" t="s">
        <v>57</v>
      </c>
      <c r="K1023" t="s">
        <v>275</v>
      </c>
      <c r="L1023" t="s">
        <v>1558</v>
      </c>
      <c r="M1023" t="s">
        <v>60</v>
      </c>
      <c r="N1023" t="s">
        <v>119</v>
      </c>
      <c r="O1023" t="s">
        <v>134</v>
      </c>
      <c r="P1023" t="s">
        <v>277</v>
      </c>
      <c r="R1023" t="s">
        <v>122</v>
      </c>
      <c r="S1023" t="s">
        <v>123</v>
      </c>
      <c r="T1023">
        <v>283.5</v>
      </c>
      <c r="U1023">
        <v>274.39999999999998</v>
      </c>
      <c r="V1023">
        <f t="shared" si="30"/>
        <v>278.95</v>
      </c>
      <c r="W1023">
        <f t="shared" si="31"/>
        <v>9.1000000000000227</v>
      </c>
      <c r="X1023">
        <v>-97.368613999999994</v>
      </c>
      <c r="Y1023">
        <v>35.169445000000003</v>
      </c>
      <c r="Z1023" t="s">
        <v>184</v>
      </c>
      <c r="AA1023" t="s">
        <v>66</v>
      </c>
      <c r="AB1023" t="s">
        <v>407</v>
      </c>
      <c r="AC1023" t="s">
        <v>1559</v>
      </c>
      <c r="AD1023" t="s">
        <v>1407</v>
      </c>
      <c r="AF1023" t="s">
        <v>1560</v>
      </c>
      <c r="AH1023" t="s">
        <v>72</v>
      </c>
      <c r="AI1023" t="s">
        <v>411</v>
      </c>
      <c r="AJ1023">
        <v>1970</v>
      </c>
      <c r="AK1023" t="s">
        <v>1561</v>
      </c>
      <c r="AM1023" t="s">
        <v>1562</v>
      </c>
      <c r="AN1023" t="s">
        <v>76</v>
      </c>
      <c r="AO1023" t="s">
        <v>77</v>
      </c>
      <c r="AP1023" t="s">
        <v>78</v>
      </c>
      <c r="AQ1023" t="s">
        <v>1563</v>
      </c>
      <c r="AR1023" t="s">
        <v>80</v>
      </c>
      <c r="AS1023">
        <v>101</v>
      </c>
      <c r="AT1023" t="s">
        <v>81</v>
      </c>
      <c r="AU1023">
        <v>-26.9</v>
      </c>
      <c r="AV1023">
        <v>2.21</v>
      </c>
      <c r="AW1023" t="s">
        <v>82</v>
      </c>
      <c r="AX1023">
        <v>101</v>
      </c>
      <c r="AY1023" t="s">
        <v>81</v>
      </c>
      <c r="AZ1023">
        <v>-25.98</v>
      </c>
      <c r="BA1023">
        <v>4.05</v>
      </c>
      <c r="BB1023" t="s">
        <v>83</v>
      </c>
    </row>
    <row r="1024" spans="1:54" x14ac:dyDescent="0.4">
      <c r="A1024">
        <v>740384</v>
      </c>
      <c r="D1024" t="s">
        <v>54</v>
      </c>
      <c r="E1024" t="s">
        <v>55</v>
      </c>
      <c r="G1024">
        <v>1</v>
      </c>
      <c r="H1024" t="s">
        <v>56</v>
      </c>
      <c r="I1024" t="s">
        <v>57</v>
      </c>
      <c r="K1024" t="s">
        <v>275</v>
      </c>
      <c r="L1024" t="s">
        <v>1571</v>
      </c>
      <c r="M1024" t="s">
        <v>60</v>
      </c>
      <c r="N1024" t="s">
        <v>119</v>
      </c>
      <c r="O1024" t="s">
        <v>134</v>
      </c>
      <c r="P1024" t="s">
        <v>277</v>
      </c>
      <c r="R1024" t="s">
        <v>122</v>
      </c>
      <c r="S1024" t="s">
        <v>123</v>
      </c>
      <c r="T1024">
        <v>283.5</v>
      </c>
      <c r="U1024">
        <v>274.39999999999998</v>
      </c>
      <c r="V1024">
        <f t="shared" si="30"/>
        <v>278.95</v>
      </c>
      <c r="W1024">
        <f t="shared" si="31"/>
        <v>9.1000000000000227</v>
      </c>
      <c r="X1024">
        <v>-97.583336000000003</v>
      </c>
      <c r="Y1024">
        <v>35.950001</v>
      </c>
      <c r="Z1024" t="s">
        <v>124</v>
      </c>
      <c r="AA1024" t="s">
        <v>66</v>
      </c>
      <c r="AB1024" t="s">
        <v>407</v>
      </c>
      <c r="AC1024" t="s">
        <v>1572</v>
      </c>
      <c r="AD1024" t="s">
        <v>1407</v>
      </c>
      <c r="AH1024" t="s">
        <v>72</v>
      </c>
      <c r="AI1024" t="s">
        <v>1573</v>
      </c>
      <c r="AJ1024">
        <v>1991</v>
      </c>
      <c r="AK1024" t="s">
        <v>1574</v>
      </c>
      <c r="AN1024" t="s">
        <v>114</v>
      </c>
      <c r="AO1024" t="s">
        <v>160</v>
      </c>
      <c r="AP1024" t="s">
        <v>115</v>
      </c>
      <c r="AQ1024" t="s">
        <v>1575</v>
      </c>
      <c r="AR1024" t="s">
        <v>80</v>
      </c>
      <c r="AS1024">
        <v>101</v>
      </c>
      <c r="AT1024" t="s">
        <v>81</v>
      </c>
      <c r="AU1024">
        <v>-26.67</v>
      </c>
      <c r="AV1024">
        <v>2.98</v>
      </c>
      <c r="AW1024" t="s">
        <v>82</v>
      </c>
      <c r="AX1024">
        <v>101</v>
      </c>
      <c r="AY1024" t="s">
        <v>81</v>
      </c>
      <c r="AZ1024">
        <v>-25.75</v>
      </c>
      <c r="BA1024">
        <v>4.82</v>
      </c>
      <c r="BB1024" t="s">
        <v>83</v>
      </c>
    </row>
    <row r="1025" spans="1:54" x14ac:dyDescent="0.4">
      <c r="A1025">
        <v>748676</v>
      </c>
      <c r="D1025" t="s">
        <v>54</v>
      </c>
      <c r="G1025">
        <v>1</v>
      </c>
      <c r="H1025" t="s">
        <v>84</v>
      </c>
      <c r="I1025" t="s">
        <v>57</v>
      </c>
      <c r="K1025" t="s">
        <v>275</v>
      </c>
      <c r="L1025" t="s">
        <v>1571</v>
      </c>
      <c r="M1025" t="s">
        <v>60</v>
      </c>
      <c r="N1025" t="s">
        <v>119</v>
      </c>
      <c r="O1025" t="s">
        <v>134</v>
      </c>
      <c r="P1025" t="s">
        <v>277</v>
      </c>
      <c r="R1025" t="s">
        <v>122</v>
      </c>
      <c r="S1025" t="s">
        <v>123</v>
      </c>
      <c r="T1025">
        <v>283.5</v>
      </c>
      <c r="U1025">
        <v>274.39999999999998</v>
      </c>
      <c r="V1025">
        <f t="shared" si="30"/>
        <v>278.95</v>
      </c>
      <c r="W1025">
        <f t="shared" si="31"/>
        <v>9.1000000000000227</v>
      </c>
      <c r="X1025">
        <v>-99.585555999999997</v>
      </c>
      <c r="Y1025">
        <v>33.721111000000001</v>
      </c>
      <c r="Z1025" t="s">
        <v>124</v>
      </c>
      <c r="AA1025" t="s">
        <v>66</v>
      </c>
      <c r="AB1025" t="s">
        <v>125</v>
      </c>
      <c r="AC1025" t="s">
        <v>439</v>
      </c>
      <c r="AD1025" t="s">
        <v>440</v>
      </c>
      <c r="AE1025" t="s">
        <v>280</v>
      </c>
      <c r="AH1025" t="s">
        <v>72</v>
      </c>
      <c r="AI1025" t="s">
        <v>411</v>
      </c>
      <c r="AJ1025">
        <v>1954</v>
      </c>
      <c r="AK1025" t="s">
        <v>1619</v>
      </c>
      <c r="AN1025" t="s">
        <v>114</v>
      </c>
      <c r="AO1025" t="s">
        <v>77</v>
      </c>
      <c r="AP1025" t="s">
        <v>115</v>
      </c>
      <c r="AQ1025" t="s">
        <v>1620</v>
      </c>
      <c r="AR1025" t="s">
        <v>80</v>
      </c>
      <c r="AS1025">
        <v>101</v>
      </c>
      <c r="AT1025" t="s">
        <v>81</v>
      </c>
      <c r="AU1025">
        <v>-29.21</v>
      </c>
      <c r="AV1025">
        <v>1.89</v>
      </c>
      <c r="AW1025" t="s">
        <v>82</v>
      </c>
      <c r="AX1025">
        <v>101</v>
      </c>
      <c r="AY1025" t="s">
        <v>81</v>
      </c>
      <c r="AZ1025">
        <v>-28.29</v>
      </c>
      <c r="BA1025">
        <v>3.69</v>
      </c>
      <c r="BB1025" t="s">
        <v>83</v>
      </c>
    </row>
    <row r="1026" spans="1:54" x14ac:dyDescent="0.4">
      <c r="A1026">
        <v>748677</v>
      </c>
      <c r="D1026" t="s">
        <v>54</v>
      </c>
      <c r="G1026">
        <v>1</v>
      </c>
      <c r="H1026" t="s">
        <v>84</v>
      </c>
      <c r="I1026" t="s">
        <v>57</v>
      </c>
      <c r="K1026" t="s">
        <v>275</v>
      </c>
      <c r="L1026" t="s">
        <v>1558</v>
      </c>
      <c r="M1026" t="s">
        <v>60</v>
      </c>
      <c r="N1026" t="s">
        <v>119</v>
      </c>
      <c r="O1026" t="s">
        <v>134</v>
      </c>
      <c r="P1026" t="s">
        <v>277</v>
      </c>
      <c r="R1026" t="s">
        <v>122</v>
      </c>
      <c r="S1026" t="s">
        <v>123</v>
      </c>
      <c r="T1026">
        <v>283.5</v>
      </c>
      <c r="U1026">
        <v>274.39999999999998</v>
      </c>
      <c r="V1026">
        <f t="shared" si="30"/>
        <v>278.95</v>
      </c>
      <c r="W1026">
        <f t="shared" si="31"/>
        <v>9.1000000000000227</v>
      </c>
      <c r="X1026">
        <v>-99.585555999999997</v>
      </c>
      <c r="Y1026">
        <v>33.721111000000001</v>
      </c>
      <c r="Z1026" t="s">
        <v>124</v>
      </c>
      <c r="AA1026" t="s">
        <v>66</v>
      </c>
      <c r="AB1026" t="s">
        <v>125</v>
      </c>
      <c r="AC1026" t="s">
        <v>439</v>
      </c>
      <c r="AD1026" t="s">
        <v>440</v>
      </c>
      <c r="AE1026" t="s">
        <v>280</v>
      </c>
      <c r="AH1026" t="s">
        <v>72</v>
      </c>
      <c r="AI1026" t="s">
        <v>411</v>
      </c>
      <c r="AJ1026">
        <v>1954</v>
      </c>
      <c r="AK1026" t="s">
        <v>1619</v>
      </c>
      <c r="AN1026" t="s">
        <v>114</v>
      </c>
      <c r="AO1026" t="s">
        <v>77</v>
      </c>
      <c r="AP1026" t="s">
        <v>115</v>
      </c>
      <c r="AQ1026" t="s">
        <v>1620</v>
      </c>
      <c r="AR1026" t="s">
        <v>80</v>
      </c>
      <c r="AS1026">
        <v>101</v>
      </c>
      <c r="AT1026" t="s">
        <v>81</v>
      </c>
      <c r="AU1026">
        <v>-29.21</v>
      </c>
      <c r="AV1026">
        <v>1.89</v>
      </c>
      <c r="AW1026" t="s">
        <v>82</v>
      </c>
      <c r="AX1026">
        <v>101</v>
      </c>
      <c r="AY1026" t="s">
        <v>81</v>
      </c>
      <c r="AZ1026">
        <v>-28.29</v>
      </c>
      <c r="BA1026">
        <v>3.69</v>
      </c>
      <c r="BB1026" t="s">
        <v>83</v>
      </c>
    </row>
    <row r="1027" spans="1:54" x14ac:dyDescent="0.4">
      <c r="A1027">
        <v>748678</v>
      </c>
      <c r="D1027" t="s">
        <v>179</v>
      </c>
      <c r="E1027" t="s">
        <v>154</v>
      </c>
      <c r="G1027">
        <v>1</v>
      </c>
      <c r="H1027" t="s">
        <v>56</v>
      </c>
      <c r="I1027" t="s">
        <v>57</v>
      </c>
      <c r="K1027" t="s">
        <v>275</v>
      </c>
      <c r="L1027" t="s">
        <v>1558</v>
      </c>
      <c r="M1027" t="s">
        <v>60</v>
      </c>
      <c r="N1027" t="s">
        <v>119</v>
      </c>
      <c r="O1027" t="s">
        <v>134</v>
      </c>
      <c r="P1027" t="s">
        <v>277</v>
      </c>
      <c r="R1027" t="s">
        <v>122</v>
      </c>
      <c r="S1027" t="s">
        <v>123</v>
      </c>
      <c r="T1027">
        <v>283.5</v>
      </c>
      <c r="U1027">
        <v>274.39999999999998</v>
      </c>
      <c r="V1027">
        <f t="shared" ref="V1027:V1090" si="32">(T1027+U1027)/2</f>
        <v>278.95</v>
      </c>
      <c r="W1027">
        <f t="shared" ref="W1027:W1090" si="33">T1027-U1027</f>
        <v>9.1000000000000227</v>
      </c>
      <c r="X1027">
        <v>-99.557777000000002</v>
      </c>
      <c r="Y1027">
        <v>33.731667000000002</v>
      </c>
      <c r="Z1027" t="s">
        <v>432</v>
      </c>
      <c r="AA1027" t="s">
        <v>66</v>
      </c>
      <c r="AB1027" t="s">
        <v>125</v>
      </c>
      <c r="AC1027" t="s">
        <v>439</v>
      </c>
      <c r="AD1027" t="s">
        <v>440</v>
      </c>
      <c r="AE1027" t="s">
        <v>280</v>
      </c>
      <c r="AH1027" t="s">
        <v>72</v>
      </c>
      <c r="AI1027" t="s">
        <v>411</v>
      </c>
      <c r="AJ1027">
        <v>1954</v>
      </c>
      <c r="AK1027" t="s">
        <v>441</v>
      </c>
      <c r="AM1027" t="s">
        <v>442</v>
      </c>
      <c r="AN1027" t="s">
        <v>192</v>
      </c>
      <c r="AO1027" t="s">
        <v>77</v>
      </c>
      <c r="AP1027" t="s">
        <v>115</v>
      </c>
      <c r="AQ1027" t="s">
        <v>443</v>
      </c>
      <c r="AR1027" t="s">
        <v>80</v>
      </c>
      <c r="AS1027">
        <v>101</v>
      </c>
      <c r="AT1027" t="s">
        <v>81</v>
      </c>
      <c r="AU1027">
        <v>-29.19</v>
      </c>
      <c r="AV1027">
        <v>1.89</v>
      </c>
      <c r="AW1027" t="s">
        <v>82</v>
      </c>
      <c r="AX1027">
        <v>101</v>
      </c>
      <c r="AY1027" t="s">
        <v>81</v>
      </c>
      <c r="AZ1027">
        <v>-28.26</v>
      </c>
      <c r="BA1027">
        <v>3.68</v>
      </c>
      <c r="BB1027" t="s">
        <v>83</v>
      </c>
    </row>
    <row r="1028" spans="1:54" x14ac:dyDescent="0.4">
      <c r="A1028">
        <v>788176</v>
      </c>
      <c r="D1028" t="s">
        <v>54</v>
      </c>
      <c r="G1028">
        <v>1</v>
      </c>
      <c r="H1028" t="s">
        <v>56</v>
      </c>
      <c r="I1028" t="s">
        <v>57</v>
      </c>
      <c r="K1028" t="s">
        <v>275</v>
      </c>
      <c r="L1028" t="s">
        <v>1571</v>
      </c>
      <c r="M1028" t="s">
        <v>60</v>
      </c>
      <c r="N1028" t="s">
        <v>119</v>
      </c>
      <c r="O1028" t="s">
        <v>134</v>
      </c>
      <c r="P1028" t="s">
        <v>277</v>
      </c>
      <c r="R1028" t="s">
        <v>122</v>
      </c>
      <c r="S1028" t="s">
        <v>123</v>
      </c>
      <c r="T1028">
        <v>283.5</v>
      </c>
      <c r="U1028">
        <v>274.39999999999998</v>
      </c>
      <c r="V1028">
        <f t="shared" si="32"/>
        <v>278.95</v>
      </c>
      <c r="W1028">
        <f t="shared" si="33"/>
        <v>9.1000000000000227</v>
      </c>
      <c r="X1028">
        <v>-99.371666000000005</v>
      </c>
      <c r="Y1028">
        <v>33.760277000000002</v>
      </c>
      <c r="Z1028" t="s">
        <v>124</v>
      </c>
      <c r="AA1028" t="s">
        <v>66</v>
      </c>
      <c r="AB1028" t="s">
        <v>125</v>
      </c>
      <c r="AC1028" t="s">
        <v>278</v>
      </c>
      <c r="AD1028" t="s">
        <v>440</v>
      </c>
      <c r="AE1028" t="s">
        <v>280</v>
      </c>
      <c r="AH1028" t="s">
        <v>72</v>
      </c>
      <c r="AI1028" t="s">
        <v>411</v>
      </c>
      <c r="AJ1028">
        <v>1954</v>
      </c>
      <c r="AK1028" t="s">
        <v>1805</v>
      </c>
      <c r="AN1028" t="s">
        <v>192</v>
      </c>
      <c r="AO1028" t="s">
        <v>77</v>
      </c>
      <c r="AP1028" t="s">
        <v>78</v>
      </c>
      <c r="AQ1028" t="s">
        <v>1806</v>
      </c>
      <c r="AR1028" t="s">
        <v>80</v>
      </c>
      <c r="AS1028">
        <v>101</v>
      </c>
      <c r="AT1028" t="s">
        <v>81</v>
      </c>
      <c r="AU1028">
        <v>-29.04</v>
      </c>
      <c r="AV1028">
        <v>1.83</v>
      </c>
      <c r="AW1028" t="s">
        <v>82</v>
      </c>
      <c r="AX1028">
        <v>101</v>
      </c>
      <c r="AY1028" t="s">
        <v>81</v>
      </c>
      <c r="AZ1028">
        <v>-28.11</v>
      </c>
      <c r="BA1028">
        <v>3.63</v>
      </c>
      <c r="BB1028" t="s">
        <v>83</v>
      </c>
    </row>
    <row r="1029" spans="1:54" x14ac:dyDescent="0.4">
      <c r="A1029">
        <v>788176</v>
      </c>
      <c r="D1029" t="s">
        <v>54</v>
      </c>
      <c r="G1029">
        <v>1</v>
      </c>
      <c r="H1029" t="s">
        <v>56</v>
      </c>
      <c r="I1029" t="s">
        <v>57</v>
      </c>
      <c r="K1029" t="s">
        <v>275</v>
      </c>
      <c r="L1029" t="s">
        <v>1571</v>
      </c>
      <c r="M1029" t="s">
        <v>60</v>
      </c>
      <c r="N1029" t="s">
        <v>119</v>
      </c>
      <c r="O1029" t="s">
        <v>134</v>
      </c>
      <c r="P1029" t="s">
        <v>277</v>
      </c>
      <c r="R1029" t="s">
        <v>122</v>
      </c>
      <c r="S1029" t="s">
        <v>123</v>
      </c>
      <c r="T1029">
        <v>283.5</v>
      </c>
      <c r="U1029">
        <v>274.39999999999998</v>
      </c>
      <c r="V1029">
        <f t="shared" si="32"/>
        <v>278.95</v>
      </c>
      <c r="W1029">
        <f t="shared" si="33"/>
        <v>9.1000000000000227</v>
      </c>
      <c r="X1029">
        <v>-99.371666000000005</v>
      </c>
      <c r="Y1029">
        <v>33.760277000000002</v>
      </c>
      <c r="Z1029" t="s">
        <v>124</v>
      </c>
      <c r="AA1029" t="s">
        <v>66</v>
      </c>
      <c r="AB1029" t="s">
        <v>125</v>
      </c>
      <c r="AC1029" t="s">
        <v>278</v>
      </c>
      <c r="AD1029" t="s">
        <v>440</v>
      </c>
      <c r="AE1029" t="s">
        <v>280</v>
      </c>
      <c r="AH1029" t="s">
        <v>72</v>
      </c>
      <c r="AI1029" t="s">
        <v>411</v>
      </c>
      <c r="AJ1029">
        <v>1954</v>
      </c>
      <c r="AK1029" t="s">
        <v>1805</v>
      </c>
      <c r="AN1029" t="s">
        <v>192</v>
      </c>
      <c r="AO1029" t="s">
        <v>77</v>
      </c>
      <c r="AP1029" t="s">
        <v>78</v>
      </c>
      <c r="AQ1029" t="s">
        <v>1806</v>
      </c>
      <c r="AR1029" t="s">
        <v>80</v>
      </c>
      <c r="AS1029">
        <v>101</v>
      </c>
      <c r="AT1029" t="s">
        <v>81</v>
      </c>
      <c r="AU1029">
        <v>-29.04</v>
      </c>
      <c r="AV1029">
        <v>1.83</v>
      </c>
      <c r="AW1029" t="s">
        <v>82</v>
      </c>
      <c r="AX1029">
        <v>101</v>
      </c>
      <c r="AY1029" t="s">
        <v>81</v>
      </c>
      <c r="AZ1029">
        <v>-28.11</v>
      </c>
      <c r="BA1029">
        <v>3.63</v>
      </c>
      <c r="BB1029" t="s">
        <v>83</v>
      </c>
    </row>
    <row r="1030" spans="1:54" x14ac:dyDescent="0.4">
      <c r="A1030">
        <v>789396</v>
      </c>
      <c r="D1030" t="s">
        <v>54</v>
      </c>
      <c r="E1030" t="s">
        <v>152</v>
      </c>
      <c r="G1030">
        <v>1</v>
      </c>
      <c r="H1030" t="s">
        <v>56</v>
      </c>
      <c r="I1030" t="s">
        <v>57</v>
      </c>
      <c r="K1030" t="s">
        <v>275</v>
      </c>
      <c r="L1030" t="s">
        <v>276</v>
      </c>
      <c r="M1030" t="s">
        <v>60</v>
      </c>
      <c r="N1030" t="s">
        <v>119</v>
      </c>
      <c r="O1030" t="s">
        <v>134</v>
      </c>
      <c r="P1030" t="s">
        <v>277</v>
      </c>
      <c r="R1030" t="s">
        <v>122</v>
      </c>
      <c r="S1030" t="s">
        <v>123</v>
      </c>
      <c r="T1030">
        <v>283.5</v>
      </c>
      <c r="U1030">
        <v>274.39999999999998</v>
      </c>
      <c r="V1030">
        <f t="shared" si="32"/>
        <v>278.95</v>
      </c>
      <c r="W1030">
        <f t="shared" si="33"/>
        <v>9.1000000000000227</v>
      </c>
      <c r="X1030">
        <v>-99.316665999999998</v>
      </c>
      <c r="Y1030">
        <v>33.75</v>
      </c>
      <c r="Z1030" t="s">
        <v>124</v>
      </c>
      <c r="AA1030" t="s">
        <v>66</v>
      </c>
      <c r="AB1030" t="s">
        <v>125</v>
      </c>
      <c r="AC1030" t="s">
        <v>278</v>
      </c>
      <c r="AD1030" t="s">
        <v>279</v>
      </c>
      <c r="AE1030" t="s">
        <v>280</v>
      </c>
      <c r="AH1030" t="s">
        <v>72</v>
      </c>
      <c r="AI1030" t="s">
        <v>456</v>
      </c>
      <c r="AJ1030">
        <v>1966</v>
      </c>
      <c r="AK1030" t="s">
        <v>1847</v>
      </c>
      <c r="AN1030" t="s">
        <v>192</v>
      </c>
      <c r="AO1030" t="s">
        <v>160</v>
      </c>
      <c r="AP1030" t="s">
        <v>115</v>
      </c>
      <c r="AQ1030" t="s">
        <v>1848</v>
      </c>
      <c r="AR1030" t="s">
        <v>80</v>
      </c>
      <c r="AS1030">
        <v>101</v>
      </c>
      <c r="AT1030" t="s">
        <v>81</v>
      </c>
      <c r="AU1030">
        <v>-29.01</v>
      </c>
      <c r="AV1030">
        <v>1.8</v>
      </c>
      <c r="AW1030" t="s">
        <v>82</v>
      </c>
      <c r="AX1030">
        <v>101</v>
      </c>
      <c r="AY1030" t="s">
        <v>81</v>
      </c>
      <c r="AZ1030">
        <v>-28.08</v>
      </c>
      <c r="BA1030">
        <v>3.6</v>
      </c>
      <c r="BB1030" t="s">
        <v>83</v>
      </c>
    </row>
    <row r="1031" spans="1:54" x14ac:dyDescent="0.4">
      <c r="A1031">
        <v>789397</v>
      </c>
      <c r="D1031" t="s">
        <v>54</v>
      </c>
      <c r="G1031">
        <v>6</v>
      </c>
      <c r="H1031" t="s">
        <v>84</v>
      </c>
      <c r="I1031" t="s">
        <v>57</v>
      </c>
      <c r="K1031" t="s">
        <v>275</v>
      </c>
      <c r="L1031" t="s">
        <v>453</v>
      </c>
      <c r="M1031" t="s">
        <v>60</v>
      </c>
      <c r="N1031" t="s">
        <v>119</v>
      </c>
      <c r="O1031" t="s">
        <v>134</v>
      </c>
      <c r="P1031" t="s">
        <v>277</v>
      </c>
      <c r="R1031" t="s">
        <v>122</v>
      </c>
      <c r="S1031" t="s">
        <v>123</v>
      </c>
      <c r="T1031">
        <v>283.5</v>
      </c>
      <c r="U1031">
        <v>274.39999999999998</v>
      </c>
      <c r="V1031">
        <f t="shared" si="32"/>
        <v>278.95</v>
      </c>
      <c r="W1031">
        <f t="shared" si="33"/>
        <v>9.1000000000000227</v>
      </c>
      <c r="X1031">
        <v>-99.233329999999995</v>
      </c>
      <c r="Y1031">
        <v>33.755833000000003</v>
      </c>
      <c r="Z1031" t="s">
        <v>124</v>
      </c>
      <c r="AA1031" t="s">
        <v>66</v>
      </c>
      <c r="AB1031" t="s">
        <v>125</v>
      </c>
      <c r="AC1031" t="s">
        <v>278</v>
      </c>
      <c r="AD1031" t="s">
        <v>279</v>
      </c>
      <c r="AE1031" t="s">
        <v>280</v>
      </c>
      <c r="AH1031" t="s">
        <v>72</v>
      </c>
      <c r="AI1031" t="s">
        <v>1849</v>
      </c>
      <c r="AJ1031">
        <v>1917</v>
      </c>
      <c r="AK1031" t="s">
        <v>467</v>
      </c>
      <c r="AM1031" t="s">
        <v>468</v>
      </c>
      <c r="AN1031" t="s">
        <v>114</v>
      </c>
      <c r="AO1031" t="s">
        <v>77</v>
      </c>
      <c r="AP1031" t="s">
        <v>359</v>
      </c>
      <c r="AQ1031" t="s">
        <v>469</v>
      </c>
      <c r="AR1031" t="s">
        <v>80</v>
      </c>
      <c r="AS1031">
        <v>101</v>
      </c>
      <c r="AT1031" t="s">
        <v>81</v>
      </c>
      <c r="AU1031">
        <v>-28.95</v>
      </c>
      <c r="AV1031">
        <v>1.77</v>
      </c>
      <c r="AW1031" t="s">
        <v>82</v>
      </c>
      <c r="AX1031">
        <v>101</v>
      </c>
      <c r="AY1031" t="s">
        <v>81</v>
      </c>
      <c r="AZ1031">
        <v>-28.02</v>
      </c>
      <c r="BA1031">
        <v>3.57</v>
      </c>
      <c r="BB1031" t="s">
        <v>83</v>
      </c>
    </row>
    <row r="1032" spans="1:54" x14ac:dyDescent="0.4">
      <c r="A1032">
        <v>789398</v>
      </c>
      <c r="D1032" t="s">
        <v>54</v>
      </c>
      <c r="G1032">
        <v>1</v>
      </c>
      <c r="H1032" t="s">
        <v>56</v>
      </c>
      <c r="I1032" t="s">
        <v>57</v>
      </c>
      <c r="K1032" t="s">
        <v>275</v>
      </c>
      <c r="L1032" t="s">
        <v>276</v>
      </c>
      <c r="M1032" t="s">
        <v>60</v>
      </c>
      <c r="N1032" t="s">
        <v>119</v>
      </c>
      <c r="O1032" t="s">
        <v>134</v>
      </c>
      <c r="P1032" t="s">
        <v>277</v>
      </c>
      <c r="R1032" t="s">
        <v>122</v>
      </c>
      <c r="S1032" t="s">
        <v>123</v>
      </c>
      <c r="T1032">
        <v>283.5</v>
      </c>
      <c r="U1032">
        <v>274.39999999999998</v>
      </c>
      <c r="V1032">
        <f t="shared" si="32"/>
        <v>278.95</v>
      </c>
      <c r="W1032">
        <f t="shared" si="33"/>
        <v>9.1000000000000227</v>
      </c>
      <c r="X1032">
        <v>-99.233329999999995</v>
      </c>
      <c r="Y1032">
        <v>33.755833000000003</v>
      </c>
      <c r="Z1032" t="s">
        <v>124</v>
      </c>
      <c r="AA1032" t="s">
        <v>66</v>
      </c>
      <c r="AB1032" t="s">
        <v>125</v>
      </c>
      <c r="AC1032" t="s">
        <v>278</v>
      </c>
      <c r="AD1032" t="s">
        <v>279</v>
      </c>
      <c r="AE1032" t="s">
        <v>280</v>
      </c>
      <c r="AH1032" t="s">
        <v>72</v>
      </c>
      <c r="AI1032" t="s">
        <v>465</v>
      </c>
      <c r="AJ1032">
        <v>1959</v>
      </c>
      <c r="AK1032" t="s">
        <v>467</v>
      </c>
      <c r="AM1032" t="s">
        <v>468</v>
      </c>
      <c r="AN1032" t="s">
        <v>114</v>
      </c>
      <c r="AO1032" t="s">
        <v>77</v>
      </c>
      <c r="AP1032" t="s">
        <v>359</v>
      </c>
      <c r="AQ1032" t="s">
        <v>469</v>
      </c>
      <c r="AR1032" t="s">
        <v>80</v>
      </c>
      <c r="AS1032">
        <v>101</v>
      </c>
      <c r="AT1032" t="s">
        <v>81</v>
      </c>
      <c r="AU1032">
        <v>-28.95</v>
      </c>
      <c r="AV1032">
        <v>1.77</v>
      </c>
      <c r="AW1032" t="s">
        <v>82</v>
      </c>
      <c r="AX1032">
        <v>101</v>
      </c>
      <c r="AY1032" t="s">
        <v>81</v>
      </c>
      <c r="AZ1032">
        <v>-28.02</v>
      </c>
      <c r="BA1032">
        <v>3.57</v>
      </c>
      <c r="BB1032" t="s">
        <v>83</v>
      </c>
    </row>
    <row r="1033" spans="1:54" x14ac:dyDescent="0.4">
      <c r="A1033">
        <v>789398</v>
      </c>
      <c r="D1033" t="s">
        <v>54</v>
      </c>
      <c r="G1033">
        <v>1</v>
      </c>
      <c r="H1033" t="s">
        <v>56</v>
      </c>
      <c r="I1033" t="s">
        <v>57</v>
      </c>
      <c r="K1033" t="s">
        <v>275</v>
      </c>
      <c r="L1033" t="s">
        <v>276</v>
      </c>
      <c r="M1033" t="s">
        <v>60</v>
      </c>
      <c r="N1033" t="s">
        <v>119</v>
      </c>
      <c r="O1033" t="s">
        <v>134</v>
      </c>
      <c r="P1033" t="s">
        <v>277</v>
      </c>
      <c r="R1033" t="s">
        <v>122</v>
      </c>
      <c r="S1033" t="s">
        <v>123</v>
      </c>
      <c r="T1033">
        <v>283.5</v>
      </c>
      <c r="U1033">
        <v>274.39999999999998</v>
      </c>
      <c r="V1033">
        <f t="shared" si="32"/>
        <v>278.95</v>
      </c>
      <c r="W1033">
        <f t="shared" si="33"/>
        <v>9.1000000000000227</v>
      </c>
      <c r="X1033">
        <v>-99.233329999999995</v>
      </c>
      <c r="Y1033">
        <v>33.755833000000003</v>
      </c>
      <c r="Z1033" t="s">
        <v>124</v>
      </c>
      <c r="AA1033" t="s">
        <v>66</v>
      </c>
      <c r="AB1033" t="s">
        <v>125</v>
      </c>
      <c r="AC1033" t="s">
        <v>278</v>
      </c>
      <c r="AD1033" t="s">
        <v>279</v>
      </c>
      <c r="AE1033" t="s">
        <v>280</v>
      </c>
      <c r="AH1033" t="s">
        <v>72</v>
      </c>
      <c r="AI1033" t="s">
        <v>465</v>
      </c>
      <c r="AJ1033">
        <v>1959</v>
      </c>
      <c r="AK1033" t="s">
        <v>467</v>
      </c>
      <c r="AM1033" t="s">
        <v>468</v>
      </c>
      <c r="AN1033" t="s">
        <v>114</v>
      </c>
      <c r="AO1033" t="s">
        <v>77</v>
      </c>
      <c r="AP1033" t="s">
        <v>359</v>
      </c>
      <c r="AQ1033" t="s">
        <v>469</v>
      </c>
      <c r="AR1033" t="s">
        <v>80</v>
      </c>
      <c r="AS1033">
        <v>101</v>
      </c>
      <c r="AT1033" t="s">
        <v>81</v>
      </c>
      <c r="AU1033">
        <v>-28.95</v>
      </c>
      <c r="AV1033">
        <v>1.77</v>
      </c>
      <c r="AW1033" t="s">
        <v>82</v>
      </c>
      <c r="AX1033">
        <v>101</v>
      </c>
      <c r="AY1033" t="s">
        <v>81</v>
      </c>
      <c r="AZ1033">
        <v>-28.02</v>
      </c>
      <c r="BA1033">
        <v>3.57</v>
      </c>
      <c r="BB1033" t="s">
        <v>83</v>
      </c>
    </row>
    <row r="1034" spans="1:54" x14ac:dyDescent="0.4">
      <c r="A1034">
        <v>789746</v>
      </c>
      <c r="D1034" t="s">
        <v>54</v>
      </c>
      <c r="E1034" t="s">
        <v>55</v>
      </c>
      <c r="G1034">
        <v>1</v>
      </c>
      <c r="H1034" t="s">
        <v>56</v>
      </c>
      <c r="I1034" t="s">
        <v>57</v>
      </c>
      <c r="K1034" t="s">
        <v>275</v>
      </c>
      <c r="L1034" t="s">
        <v>276</v>
      </c>
      <c r="M1034" t="s">
        <v>60</v>
      </c>
      <c r="N1034" t="s">
        <v>119</v>
      </c>
      <c r="O1034" t="s">
        <v>134</v>
      </c>
      <c r="P1034" t="s">
        <v>277</v>
      </c>
      <c r="R1034" t="s">
        <v>122</v>
      </c>
      <c r="S1034" t="s">
        <v>123</v>
      </c>
      <c r="T1034">
        <v>283.5</v>
      </c>
      <c r="U1034">
        <v>274.39999999999998</v>
      </c>
      <c r="V1034">
        <f t="shared" si="32"/>
        <v>278.95</v>
      </c>
      <c r="W1034">
        <f t="shared" si="33"/>
        <v>9.1000000000000227</v>
      </c>
      <c r="X1034">
        <v>-99.266670000000005</v>
      </c>
      <c r="Y1034">
        <v>33.700001</v>
      </c>
      <c r="Z1034" t="s">
        <v>124</v>
      </c>
      <c r="AA1034" t="s">
        <v>66</v>
      </c>
      <c r="AB1034" t="s">
        <v>125</v>
      </c>
      <c r="AC1034" t="s">
        <v>278</v>
      </c>
      <c r="AD1034" t="s">
        <v>279</v>
      </c>
      <c r="AE1034" t="s">
        <v>280</v>
      </c>
      <c r="AH1034" t="s">
        <v>72</v>
      </c>
      <c r="AI1034" t="s">
        <v>1855</v>
      </c>
      <c r="AJ1034">
        <v>1982</v>
      </c>
      <c r="AK1034" t="s">
        <v>473</v>
      </c>
      <c r="AM1034" t="s">
        <v>474</v>
      </c>
      <c r="AN1034" t="s">
        <v>114</v>
      </c>
      <c r="AO1034" t="s">
        <v>160</v>
      </c>
      <c r="AP1034" t="s">
        <v>359</v>
      </c>
      <c r="AQ1034" t="s">
        <v>475</v>
      </c>
      <c r="AR1034" t="s">
        <v>80</v>
      </c>
      <c r="AS1034">
        <v>101</v>
      </c>
      <c r="AT1034" t="s">
        <v>81</v>
      </c>
      <c r="AU1034">
        <v>-29</v>
      </c>
      <c r="AV1034">
        <v>1.73</v>
      </c>
      <c r="AW1034" t="s">
        <v>82</v>
      </c>
      <c r="AX1034">
        <v>101</v>
      </c>
      <c r="AY1034" t="s">
        <v>81</v>
      </c>
      <c r="AZ1034">
        <v>-28.07</v>
      </c>
      <c r="BA1034">
        <v>3.54</v>
      </c>
      <c r="BB1034" t="s">
        <v>83</v>
      </c>
    </row>
    <row r="1035" spans="1:54" x14ac:dyDescent="0.4">
      <c r="A1035">
        <v>790356</v>
      </c>
      <c r="D1035" t="s">
        <v>54</v>
      </c>
      <c r="E1035" t="s">
        <v>154</v>
      </c>
      <c r="I1035" t="s">
        <v>57</v>
      </c>
      <c r="K1035" t="s">
        <v>275</v>
      </c>
      <c r="L1035" t="s">
        <v>276</v>
      </c>
      <c r="M1035" t="s">
        <v>60</v>
      </c>
      <c r="N1035" t="s">
        <v>119</v>
      </c>
      <c r="O1035" t="s">
        <v>134</v>
      </c>
      <c r="P1035" t="s">
        <v>277</v>
      </c>
      <c r="R1035" t="s">
        <v>122</v>
      </c>
      <c r="S1035" t="s">
        <v>123</v>
      </c>
      <c r="T1035">
        <v>283.5</v>
      </c>
      <c r="U1035">
        <v>274.39999999999998</v>
      </c>
      <c r="V1035">
        <f t="shared" si="32"/>
        <v>278.95</v>
      </c>
      <c r="W1035">
        <f t="shared" si="33"/>
        <v>9.1000000000000227</v>
      </c>
      <c r="X1035">
        <v>-99.576942000000003</v>
      </c>
      <c r="Y1035">
        <v>33.676108999999997</v>
      </c>
      <c r="Z1035" t="s">
        <v>1447</v>
      </c>
      <c r="AA1035" t="s">
        <v>66</v>
      </c>
      <c r="AB1035" t="s">
        <v>125</v>
      </c>
      <c r="AC1035" t="s">
        <v>439</v>
      </c>
      <c r="AD1035" t="s">
        <v>440</v>
      </c>
      <c r="AE1035" t="s">
        <v>280</v>
      </c>
      <c r="AF1035" t="s">
        <v>1942</v>
      </c>
      <c r="AH1035" t="s">
        <v>11</v>
      </c>
      <c r="AI1035" t="s">
        <v>411</v>
      </c>
      <c r="AJ1035">
        <v>1948</v>
      </c>
      <c r="AK1035" t="s">
        <v>1943</v>
      </c>
      <c r="AN1035" t="s">
        <v>192</v>
      </c>
      <c r="AO1035" t="s">
        <v>77</v>
      </c>
      <c r="AP1035" t="s">
        <v>115</v>
      </c>
      <c r="AQ1035" t="s">
        <v>1944</v>
      </c>
      <c r="AR1035" t="s">
        <v>80</v>
      </c>
      <c r="AS1035">
        <v>101</v>
      </c>
      <c r="AT1035" t="s">
        <v>81</v>
      </c>
      <c r="AU1035">
        <v>-29.23</v>
      </c>
      <c r="AV1035">
        <v>1.85</v>
      </c>
      <c r="AW1035" t="s">
        <v>82</v>
      </c>
      <c r="AX1035">
        <v>101</v>
      </c>
      <c r="AY1035" t="s">
        <v>81</v>
      </c>
      <c r="AZ1035">
        <v>-28.3</v>
      </c>
      <c r="BA1035">
        <v>3.64</v>
      </c>
      <c r="BB1035" t="s">
        <v>83</v>
      </c>
    </row>
    <row r="1036" spans="1:54" x14ac:dyDescent="0.4">
      <c r="A1036">
        <v>790366</v>
      </c>
      <c r="D1036" t="s">
        <v>54</v>
      </c>
      <c r="E1036" t="s">
        <v>154</v>
      </c>
      <c r="I1036" t="s">
        <v>57</v>
      </c>
      <c r="K1036" t="s">
        <v>275</v>
      </c>
      <c r="L1036" t="s">
        <v>453</v>
      </c>
      <c r="M1036" t="s">
        <v>60</v>
      </c>
      <c r="N1036" t="s">
        <v>119</v>
      </c>
      <c r="O1036" t="s">
        <v>134</v>
      </c>
      <c r="P1036" t="s">
        <v>277</v>
      </c>
      <c r="R1036" t="s">
        <v>122</v>
      </c>
      <c r="S1036" t="s">
        <v>123</v>
      </c>
      <c r="T1036">
        <v>283.5</v>
      </c>
      <c r="U1036">
        <v>274.39999999999998</v>
      </c>
      <c r="V1036">
        <f t="shared" si="32"/>
        <v>278.95</v>
      </c>
      <c r="W1036">
        <f t="shared" si="33"/>
        <v>9.1000000000000227</v>
      </c>
      <c r="X1036">
        <v>-99.599997999999999</v>
      </c>
      <c r="Y1036">
        <v>33.703335000000003</v>
      </c>
      <c r="Z1036" t="s">
        <v>836</v>
      </c>
      <c r="AA1036" t="s">
        <v>66</v>
      </c>
      <c r="AB1036" t="s">
        <v>125</v>
      </c>
      <c r="AC1036" t="s">
        <v>439</v>
      </c>
      <c r="AD1036" t="s">
        <v>440</v>
      </c>
      <c r="AE1036" t="s">
        <v>280</v>
      </c>
      <c r="AF1036" t="s">
        <v>1942</v>
      </c>
      <c r="AH1036" t="s">
        <v>11</v>
      </c>
      <c r="AI1036" t="s">
        <v>411</v>
      </c>
      <c r="AJ1036">
        <v>1948</v>
      </c>
      <c r="AK1036" t="s">
        <v>1945</v>
      </c>
      <c r="AM1036" t="s">
        <v>1946</v>
      </c>
      <c r="AN1036" t="s">
        <v>192</v>
      </c>
      <c r="AO1036" t="s">
        <v>77</v>
      </c>
      <c r="AP1036" t="s">
        <v>78</v>
      </c>
      <c r="AQ1036" t="s">
        <v>1947</v>
      </c>
      <c r="AR1036" t="s">
        <v>80</v>
      </c>
      <c r="AS1036">
        <v>101</v>
      </c>
      <c r="AT1036" t="s">
        <v>81</v>
      </c>
      <c r="AU1036">
        <v>-29.23</v>
      </c>
      <c r="AV1036">
        <v>1.88</v>
      </c>
      <c r="AW1036" t="s">
        <v>82</v>
      </c>
      <c r="AX1036">
        <v>101</v>
      </c>
      <c r="AY1036" t="s">
        <v>81</v>
      </c>
      <c r="AZ1036">
        <v>-28.31</v>
      </c>
      <c r="BA1036">
        <v>3.68</v>
      </c>
      <c r="BB1036" t="s">
        <v>83</v>
      </c>
    </row>
    <row r="1037" spans="1:54" x14ac:dyDescent="0.4">
      <c r="A1037">
        <v>790369</v>
      </c>
      <c r="D1037" t="s">
        <v>54</v>
      </c>
      <c r="E1037" t="s">
        <v>154</v>
      </c>
      <c r="G1037">
        <v>1</v>
      </c>
      <c r="H1037" t="s">
        <v>56</v>
      </c>
      <c r="I1037" t="s">
        <v>57</v>
      </c>
      <c r="K1037" t="s">
        <v>275</v>
      </c>
      <c r="L1037" t="s">
        <v>276</v>
      </c>
      <c r="M1037" t="s">
        <v>60</v>
      </c>
      <c r="N1037" t="s">
        <v>119</v>
      </c>
      <c r="O1037" t="s">
        <v>134</v>
      </c>
      <c r="P1037" t="s">
        <v>277</v>
      </c>
      <c r="R1037" t="s">
        <v>122</v>
      </c>
      <c r="S1037" t="s">
        <v>123</v>
      </c>
      <c r="T1037">
        <v>283.5</v>
      </c>
      <c r="U1037">
        <v>274.39999999999998</v>
      </c>
      <c r="V1037">
        <f t="shared" si="32"/>
        <v>278.95</v>
      </c>
      <c r="W1037">
        <f t="shared" si="33"/>
        <v>9.1000000000000227</v>
      </c>
      <c r="X1037">
        <v>-99.575835999999995</v>
      </c>
      <c r="Y1037">
        <v>33.665000999999997</v>
      </c>
      <c r="Z1037" t="s">
        <v>1447</v>
      </c>
      <c r="AA1037" t="s">
        <v>66</v>
      </c>
      <c r="AB1037" t="s">
        <v>125</v>
      </c>
      <c r="AC1037" t="s">
        <v>439</v>
      </c>
      <c r="AD1037" t="s">
        <v>440</v>
      </c>
      <c r="AE1037" t="s">
        <v>280</v>
      </c>
      <c r="AF1037" t="s">
        <v>1942</v>
      </c>
      <c r="AH1037" t="s">
        <v>72</v>
      </c>
      <c r="AI1037" t="s">
        <v>411</v>
      </c>
      <c r="AJ1037">
        <v>1954</v>
      </c>
      <c r="AK1037" t="s">
        <v>1948</v>
      </c>
      <c r="AN1037" t="s">
        <v>192</v>
      </c>
      <c r="AO1037" t="s">
        <v>77</v>
      </c>
      <c r="AP1037" t="s">
        <v>115</v>
      </c>
      <c r="AQ1037" t="s">
        <v>1949</v>
      </c>
      <c r="AR1037" t="s">
        <v>80</v>
      </c>
      <c r="AS1037">
        <v>101</v>
      </c>
      <c r="AT1037" t="s">
        <v>81</v>
      </c>
      <c r="AU1037">
        <v>-29.24</v>
      </c>
      <c r="AV1037">
        <v>1.84</v>
      </c>
      <c r="AW1037" t="s">
        <v>82</v>
      </c>
      <c r="AX1037">
        <v>101</v>
      </c>
      <c r="AY1037" t="s">
        <v>81</v>
      </c>
      <c r="AZ1037">
        <v>-28.31</v>
      </c>
      <c r="BA1037">
        <v>3.63</v>
      </c>
      <c r="BB1037" t="s">
        <v>83</v>
      </c>
    </row>
    <row r="1038" spans="1:54" x14ac:dyDescent="0.4">
      <c r="A1038">
        <v>790388</v>
      </c>
      <c r="D1038" t="s">
        <v>54</v>
      </c>
      <c r="E1038" t="s">
        <v>152</v>
      </c>
      <c r="G1038">
        <v>1</v>
      </c>
      <c r="H1038" t="s">
        <v>56</v>
      </c>
      <c r="I1038" t="s">
        <v>57</v>
      </c>
      <c r="K1038" t="s">
        <v>275</v>
      </c>
      <c r="L1038" t="s">
        <v>1571</v>
      </c>
      <c r="M1038" t="s">
        <v>60</v>
      </c>
      <c r="N1038" t="s">
        <v>119</v>
      </c>
      <c r="O1038" t="s">
        <v>134</v>
      </c>
      <c r="P1038" t="s">
        <v>277</v>
      </c>
      <c r="R1038" t="s">
        <v>122</v>
      </c>
      <c r="S1038" t="s">
        <v>123</v>
      </c>
      <c r="T1038">
        <v>283.5</v>
      </c>
      <c r="U1038">
        <v>274.39999999999998</v>
      </c>
      <c r="V1038">
        <f t="shared" si="32"/>
        <v>278.95</v>
      </c>
      <c r="W1038">
        <f t="shared" si="33"/>
        <v>9.1000000000000227</v>
      </c>
      <c r="X1038">
        <v>-99.406670000000005</v>
      </c>
      <c r="Y1038">
        <v>33.736941999999999</v>
      </c>
      <c r="Z1038" t="s">
        <v>124</v>
      </c>
      <c r="AA1038" t="s">
        <v>66</v>
      </c>
      <c r="AB1038" t="s">
        <v>125</v>
      </c>
      <c r="AC1038" t="s">
        <v>278</v>
      </c>
      <c r="AD1038" t="s">
        <v>440</v>
      </c>
      <c r="AE1038" t="s">
        <v>280</v>
      </c>
      <c r="AH1038" t="s">
        <v>72</v>
      </c>
      <c r="AI1038" t="s">
        <v>411</v>
      </c>
      <c r="AJ1038">
        <v>1954</v>
      </c>
      <c r="AK1038" t="s">
        <v>1950</v>
      </c>
      <c r="AN1038" t="s">
        <v>192</v>
      </c>
      <c r="AO1038" t="s">
        <v>77</v>
      </c>
      <c r="AP1038" t="s">
        <v>78</v>
      </c>
      <c r="AQ1038" t="s">
        <v>1951</v>
      </c>
      <c r="AR1038" t="s">
        <v>80</v>
      </c>
      <c r="AS1038">
        <v>101</v>
      </c>
      <c r="AT1038" t="s">
        <v>81</v>
      </c>
      <c r="AU1038">
        <v>-29.08</v>
      </c>
      <c r="AV1038">
        <v>1.83</v>
      </c>
      <c r="AW1038" t="s">
        <v>82</v>
      </c>
      <c r="AX1038">
        <v>101</v>
      </c>
      <c r="AY1038" t="s">
        <v>81</v>
      </c>
      <c r="AZ1038">
        <v>-28.15</v>
      </c>
      <c r="BA1038">
        <v>3.63</v>
      </c>
      <c r="BB1038" t="s">
        <v>83</v>
      </c>
    </row>
    <row r="1039" spans="1:54" x14ac:dyDescent="0.4">
      <c r="A1039">
        <v>790388</v>
      </c>
      <c r="D1039" t="s">
        <v>54</v>
      </c>
      <c r="E1039" t="s">
        <v>152</v>
      </c>
      <c r="G1039">
        <v>1</v>
      </c>
      <c r="H1039" t="s">
        <v>56</v>
      </c>
      <c r="I1039" t="s">
        <v>57</v>
      </c>
      <c r="K1039" t="s">
        <v>275</v>
      </c>
      <c r="L1039" t="s">
        <v>1571</v>
      </c>
      <c r="M1039" t="s">
        <v>60</v>
      </c>
      <c r="N1039" t="s">
        <v>119</v>
      </c>
      <c r="O1039" t="s">
        <v>134</v>
      </c>
      <c r="P1039" t="s">
        <v>277</v>
      </c>
      <c r="R1039" t="s">
        <v>122</v>
      </c>
      <c r="S1039" t="s">
        <v>123</v>
      </c>
      <c r="T1039">
        <v>283.5</v>
      </c>
      <c r="U1039">
        <v>274.39999999999998</v>
      </c>
      <c r="V1039">
        <f t="shared" si="32"/>
        <v>278.95</v>
      </c>
      <c r="W1039">
        <f t="shared" si="33"/>
        <v>9.1000000000000227</v>
      </c>
      <c r="X1039">
        <v>-99.406670000000005</v>
      </c>
      <c r="Y1039">
        <v>33.736941999999999</v>
      </c>
      <c r="Z1039" t="s">
        <v>124</v>
      </c>
      <c r="AA1039" t="s">
        <v>66</v>
      </c>
      <c r="AB1039" t="s">
        <v>125</v>
      </c>
      <c r="AC1039" t="s">
        <v>278</v>
      </c>
      <c r="AD1039" t="s">
        <v>440</v>
      </c>
      <c r="AE1039" t="s">
        <v>280</v>
      </c>
      <c r="AH1039" t="s">
        <v>72</v>
      </c>
      <c r="AI1039" t="s">
        <v>411</v>
      </c>
      <c r="AJ1039">
        <v>1954</v>
      </c>
      <c r="AK1039" t="s">
        <v>1950</v>
      </c>
      <c r="AN1039" t="s">
        <v>192</v>
      </c>
      <c r="AO1039" t="s">
        <v>77</v>
      </c>
      <c r="AP1039" t="s">
        <v>78</v>
      </c>
      <c r="AQ1039" t="s">
        <v>1951</v>
      </c>
      <c r="AR1039" t="s">
        <v>80</v>
      </c>
      <c r="AS1039">
        <v>101</v>
      </c>
      <c r="AT1039" t="s">
        <v>81</v>
      </c>
      <c r="AU1039">
        <v>-29.08</v>
      </c>
      <c r="AV1039">
        <v>1.83</v>
      </c>
      <c r="AW1039" t="s">
        <v>82</v>
      </c>
      <c r="AX1039">
        <v>101</v>
      </c>
      <c r="AY1039" t="s">
        <v>81</v>
      </c>
      <c r="AZ1039">
        <v>-28.15</v>
      </c>
      <c r="BA1039">
        <v>3.63</v>
      </c>
      <c r="BB1039" t="s">
        <v>83</v>
      </c>
    </row>
    <row r="1040" spans="1:54" x14ac:dyDescent="0.4">
      <c r="A1040">
        <v>790389</v>
      </c>
      <c r="D1040" t="s">
        <v>54</v>
      </c>
      <c r="E1040" t="s">
        <v>154</v>
      </c>
      <c r="G1040">
        <v>1</v>
      </c>
      <c r="H1040" t="s">
        <v>56</v>
      </c>
      <c r="I1040" t="s">
        <v>57</v>
      </c>
      <c r="K1040" t="s">
        <v>275</v>
      </c>
      <c r="L1040" t="s">
        <v>1571</v>
      </c>
      <c r="M1040" t="s">
        <v>60</v>
      </c>
      <c r="N1040" t="s">
        <v>119</v>
      </c>
      <c r="O1040" t="s">
        <v>134</v>
      </c>
      <c r="P1040" t="s">
        <v>277</v>
      </c>
      <c r="R1040" t="s">
        <v>122</v>
      </c>
      <c r="S1040" t="s">
        <v>123</v>
      </c>
      <c r="T1040">
        <v>283.5</v>
      </c>
      <c r="U1040">
        <v>274.39999999999998</v>
      </c>
      <c r="V1040">
        <f t="shared" si="32"/>
        <v>278.95</v>
      </c>
      <c r="W1040">
        <f t="shared" si="33"/>
        <v>9.1000000000000227</v>
      </c>
      <c r="X1040">
        <v>-99.548614999999998</v>
      </c>
      <c r="Y1040">
        <v>33.7575</v>
      </c>
      <c r="Z1040" t="s">
        <v>1447</v>
      </c>
      <c r="AA1040" t="s">
        <v>66</v>
      </c>
      <c r="AB1040" t="s">
        <v>125</v>
      </c>
      <c r="AC1040" t="s">
        <v>439</v>
      </c>
      <c r="AD1040" t="s">
        <v>440</v>
      </c>
      <c r="AE1040" t="s">
        <v>280</v>
      </c>
      <c r="AH1040" t="s">
        <v>72</v>
      </c>
      <c r="AI1040" t="s">
        <v>411</v>
      </c>
      <c r="AJ1040">
        <v>1954</v>
      </c>
      <c r="AK1040" t="s">
        <v>1952</v>
      </c>
      <c r="AN1040" t="s">
        <v>192</v>
      </c>
      <c r="AO1040" t="s">
        <v>77</v>
      </c>
      <c r="AP1040" t="s">
        <v>78</v>
      </c>
      <c r="AQ1040" t="s">
        <v>1953</v>
      </c>
      <c r="AR1040" t="s">
        <v>80</v>
      </c>
      <c r="AS1040">
        <v>101</v>
      </c>
      <c r="AT1040" t="s">
        <v>81</v>
      </c>
      <c r="AU1040">
        <v>-29.17</v>
      </c>
      <c r="AV1040">
        <v>1.9</v>
      </c>
      <c r="AW1040" t="s">
        <v>82</v>
      </c>
      <c r="AX1040">
        <v>101</v>
      </c>
      <c r="AY1040" t="s">
        <v>81</v>
      </c>
      <c r="AZ1040">
        <v>-28.24</v>
      </c>
      <c r="BA1040">
        <v>3.7</v>
      </c>
      <c r="BB1040" t="s">
        <v>83</v>
      </c>
    </row>
    <row r="1041" spans="1:54" x14ac:dyDescent="0.4">
      <c r="A1041">
        <v>790482</v>
      </c>
      <c r="D1041" t="s">
        <v>54</v>
      </c>
      <c r="E1041" t="s">
        <v>154</v>
      </c>
      <c r="G1041">
        <v>1</v>
      </c>
      <c r="H1041" t="s">
        <v>56</v>
      </c>
      <c r="I1041" t="s">
        <v>57</v>
      </c>
      <c r="K1041" t="s">
        <v>275</v>
      </c>
      <c r="L1041" t="s">
        <v>1558</v>
      </c>
      <c r="M1041" t="s">
        <v>60</v>
      </c>
      <c r="N1041" t="s">
        <v>119</v>
      </c>
      <c r="O1041" t="s">
        <v>134</v>
      </c>
      <c r="P1041" t="s">
        <v>277</v>
      </c>
      <c r="R1041" t="s">
        <v>122</v>
      </c>
      <c r="S1041" t="s">
        <v>123</v>
      </c>
      <c r="T1041">
        <v>283.5</v>
      </c>
      <c r="U1041">
        <v>274.39999999999998</v>
      </c>
      <c r="V1041">
        <f t="shared" si="32"/>
        <v>278.95</v>
      </c>
      <c r="W1041">
        <f t="shared" si="33"/>
        <v>9.1000000000000227</v>
      </c>
      <c r="X1041">
        <v>-99.548614999999998</v>
      </c>
      <c r="Y1041">
        <v>33.7575</v>
      </c>
      <c r="Z1041" t="s">
        <v>1447</v>
      </c>
      <c r="AA1041" t="s">
        <v>66</v>
      </c>
      <c r="AB1041" t="s">
        <v>125</v>
      </c>
      <c r="AC1041" t="s">
        <v>439</v>
      </c>
      <c r="AD1041" t="s">
        <v>440</v>
      </c>
      <c r="AE1041" t="s">
        <v>280</v>
      </c>
      <c r="AH1041" t="s">
        <v>72</v>
      </c>
      <c r="AI1041" t="s">
        <v>411</v>
      </c>
      <c r="AJ1041">
        <v>1954</v>
      </c>
      <c r="AK1041" t="s">
        <v>1952</v>
      </c>
      <c r="AN1041" t="s">
        <v>192</v>
      </c>
      <c r="AO1041" t="s">
        <v>77</v>
      </c>
      <c r="AP1041" t="s">
        <v>78</v>
      </c>
      <c r="AQ1041" t="s">
        <v>1953</v>
      </c>
      <c r="AR1041" t="s">
        <v>80</v>
      </c>
      <c r="AS1041">
        <v>101</v>
      </c>
      <c r="AT1041" t="s">
        <v>81</v>
      </c>
      <c r="AU1041">
        <v>-29.17</v>
      </c>
      <c r="AV1041">
        <v>1.9</v>
      </c>
      <c r="AW1041" t="s">
        <v>82</v>
      </c>
      <c r="AX1041">
        <v>101</v>
      </c>
      <c r="AY1041" t="s">
        <v>81</v>
      </c>
      <c r="AZ1041">
        <v>-28.24</v>
      </c>
      <c r="BA1041">
        <v>3.7</v>
      </c>
      <c r="BB1041" t="s">
        <v>83</v>
      </c>
    </row>
    <row r="1042" spans="1:54" x14ac:dyDescent="0.4">
      <c r="A1042">
        <v>790483</v>
      </c>
      <c r="D1042" t="s">
        <v>54</v>
      </c>
      <c r="E1042" t="s">
        <v>154</v>
      </c>
      <c r="G1042">
        <v>1</v>
      </c>
      <c r="H1042" t="s">
        <v>56</v>
      </c>
      <c r="I1042" t="s">
        <v>57</v>
      </c>
      <c r="K1042" t="s">
        <v>275</v>
      </c>
      <c r="L1042" t="s">
        <v>1558</v>
      </c>
      <c r="M1042" t="s">
        <v>60</v>
      </c>
      <c r="N1042" t="s">
        <v>119</v>
      </c>
      <c r="O1042" t="s">
        <v>134</v>
      </c>
      <c r="P1042" t="s">
        <v>277</v>
      </c>
      <c r="R1042" t="s">
        <v>122</v>
      </c>
      <c r="S1042" t="s">
        <v>123</v>
      </c>
      <c r="T1042">
        <v>283.5</v>
      </c>
      <c r="U1042">
        <v>274.39999999999998</v>
      </c>
      <c r="V1042">
        <f t="shared" si="32"/>
        <v>278.95</v>
      </c>
      <c r="W1042">
        <f t="shared" si="33"/>
        <v>9.1000000000000227</v>
      </c>
      <c r="X1042">
        <v>-99.576942000000003</v>
      </c>
      <c r="Y1042">
        <v>33.676108999999997</v>
      </c>
      <c r="Z1042" t="s">
        <v>1447</v>
      </c>
      <c r="AA1042" t="s">
        <v>66</v>
      </c>
      <c r="AB1042" t="s">
        <v>125</v>
      </c>
      <c r="AC1042" t="s">
        <v>439</v>
      </c>
      <c r="AD1042" t="s">
        <v>440</v>
      </c>
      <c r="AE1042" t="s">
        <v>280</v>
      </c>
      <c r="AF1042" t="s">
        <v>1942</v>
      </c>
      <c r="AH1042" t="s">
        <v>72</v>
      </c>
      <c r="AI1042" t="s">
        <v>411</v>
      </c>
      <c r="AJ1042">
        <v>1954</v>
      </c>
      <c r="AK1042" t="s">
        <v>1943</v>
      </c>
      <c r="AN1042" t="s">
        <v>192</v>
      </c>
      <c r="AO1042" t="s">
        <v>77</v>
      </c>
      <c r="AP1042" t="s">
        <v>115</v>
      </c>
      <c r="AQ1042" t="s">
        <v>1944</v>
      </c>
      <c r="AR1042" t="s">
        <v>80</v>
      </c>
      <c r="AS1042">
        <v>101</v>
      </c>
      <c r="AT1042" t="s">
        <v>81</v>
      </c>
      <c r="AU1042">
        <v>-29.23</v>
      </c>
      <c r="AV1042">
        <v>1.85</v>
      </c>
      <c r="AW1042" t="s">
        <v>82</v>
      </c>
      <c r="AX1042">
        <v>101</v>
      </c>
      <c r="AY1042" t="s">
        <v>81</v>
      </c>
      <c r="AZ1042">
        <v>-28.3</v>
      </c>
      <c r="BA1042">
        <v>3.64</v>
      </c>
      <c r="BB1042" t="s">
        <v>83</v>
      </c>
    </row>
    <row r="1043" spans="1:54" x14ac:dyDescent="0.4">
      <c r="A1043">
        <v>800077</v>
      </c>
      <c r="D1043" t="s">
        <v>54</v>
      </c>
      <c r="E1043" t="s">
        <v>152</v>
      </c>
      <c r="G1043">
        <v>1</v>
      </c>
      <c r="H1043" t="s">
        <v>56</v>
      </c>
      <c r="I1043" t="s">
        <v>57</v>
      </c>
      <c r="K1043" t="s">
        <v>275</v>
      </c>
      <c r="L1043" t="s">
        <v>1558</v>
      </c>
      <c r="M1043" t="s">
        <v>60</v>
      </c>
      <c r="N1043" t="s">
        <v>119</v>
      </c>
      <c r="O1043" t="s">
        <v>134</v>
      </c>
      <c r="P1043" t="s">
        <v>277</v>
      </c>
      <c r="R1043" t="s">
        <v>122</v>
      </c>
      <c r="S1043" t="s">
        <v>123</v>
      </c>
      <c r="T1043">
        <v>283.5</v>
      </c>
      <c r="U1043">
        <v>274.39999999999998</v>
      </c>
      <c r="V1043">
        <f t="shared" si="32"/>
        <v>278.95</v>
      </c>
      <c r="W1043">
        <f t="shared" si="33"/>
        <v>9.1000000000000227</v>
      </c>
      <c r="X1043">
        <v>-97.433334000000002</v>
      </c>
      <c r="Y1043">
        <v>35.233333999999999</v>
      </c>
      <c r="Z1043" t="s">
        <v>124</v>
      </c>
      <c r="AA1043" t="s">
        <v>66</v>
      </c>
      <c r="AB1043" t="s">
        <v>407</v>
      </c>
      <c r="AC1043" t="s">
        <v>1559</v>
      </c>
      <c r="AD1043" t="s">
        <v>1407</v>
      </c>
      <c r="AH1043" t="s">
        <v>72</v>
      </c>
      <c r="AI1043" t="s">
        <v>411</v>
      </c>
      <c r="AJ1043">
        <v>1962</v>
      </c>
      <c r="AK1043" t="s">
        <v>1561</v>
      </c>
      <c r="AN1043" t="s">
        <v>76</v>
      </c>
      <c r="AO1043" t="s">
        <v>77</v>
      </c>
      <c r="AP1043" t="s">
        <v>115</v>
      </c>
      <c r="AQ1043" t="s">
        <v>2121</v>
      </c>
      <c r="AR1043" t="s">
        <v>80</v>
      </c>
      <c r="AS1043">
        <v>101</v>
      </c>
      <c r="AT1043" t="s">
        <v>81</v>
      </c>
      <c r="AU1043">
        <v>-26.92</v>
      </c>
      <c r="AV1043">
        <v>2.2999999999999998</v>
      </c>
      <c r="AW1043" t="s">
        <v>82</v>
      </c>
      <c r="AX1043">
        <v>101</v>
      </c>
      <c r="AY1043" t="s">
        <v>81</v>
      </c>
      <c r="AZ1043">
        <v>-25.99</v>
      </c>
      <c r="BA1043">
        <v>4.13</v>
      </c>
      <c r="BB1043" t="s">
        <v>83</v>
      </c>
    </row>
    <row r="1044" spans="1:54" x14ac:dyDescent="0.4">
      <c r="A1044">
        <v>800077</v>
      </c>
      <c r="D1044" t="s">
        <v>54</v>
      </c>
      <c r="E1044" t="s">
        <v>152</v>
      </c>
      <c r="G1044">
        <v>1</v>
      </c>
      <c r="H1044" t="s">
        <v>56</v>
      </c>
      <c r="I1044" t="s">
        <v>57</v>
      </c>
      <c r="K1044" t="s">
        <v>275</v>
      </c>
      <c r="L1044" t="s">
        <v>1558</v>
      </c>
      <c r="M1044" t="s">
        <v>60</v>
      </c>
      <c r="N1044" t="s">
        <v>119</v>
      </c>
      <c r="O1044" t="s">
        <v>134</v>
      </c>
      <c r="P1044" t="s">
        <v>277</v>
      </c>
      <c r="R1044" t="s">
        <v>122</v>
      </c>
      <c r="S1044" t="s">
        <v>123</v>
      </c>
      <c r="T1044">
        <v>283.5</v>
      </c>
      <c r="U1044">
        <v>274.39999999999998</v>
      </c>
      <c r="V1044">
        <f t="shared" si="32"/>
        <v>278.95</v>
      </c>
      <c r="W1044">
        <f t="shared" si="33"/>
        <v>9.1000000000000227</v>
      </c>
      <c r="X1044">
        <v>-97.433334000000002</v>
      </c>
      <c r="Y1044">
        <v>35.233333999999999</v>
      </c>
      <c r="Z1044" t="s">
        <v>124</v>
      </c>
      <c r="AA1044" t="s">
        <v>66</v>
      </c>
      <c r="AB1044" t="s">
        <v>407</v>
      </c>
      <c r="AC1044" t="s">
        <v>1559</v>
      </c>
      <c r="AD1044" t="s">
        <v>1407</v>
      </c>
      <c r="AH1044" t="s">
        <v>72</v>
      </c>
      <c r="AI1044" t="s">
        <v>411</v>
      </c>
      <c r="AJ1044">
        <v>1962</v>
      </c>
      <c r="AK1044" t="s">
        <v>1561</v>
      </c>
      <c r="AN1044" t="s">
        <v>76</v>
      </c>
      <c r="AO1044" t="s">
        <v>77</v>
      </c>
      <c r="AP1044" t="s">
        <v>115</v>
      </c>
      <c r="AQ1044" t="s">
        <v>2121</v>
      </c>
      <c r="AR1044" t="s">
        <v>80</v>
      </c>
      <c r="AS1044">
        <v>101</v>
      </c>
      <c r="AT1044" t="s">
        <v>81</v>
      </c>
      <c r="AU1044">
        <v>-26.92</v>
      </c>
      <c r="AV1044">
        <v>2.2999999999999998</v>
      </c>
      <c r="AW1044" t="s">
        <v>82</v>
      </c>
      <c r="AX1044">
        <v>101</v>
      </c>
      <c r="AY1044" t="s">
        <v>81</v>
      </c>
      <c r="AZ1044">
        <v>-25.99</v>
      </c>
      <c r="BA1044">
        <v>4.13</v>
      </c>
      <c r="BB1044" t="s">
        <v>83</v>
      </c>
    </row>
    <row r="1045" spans="1:54" x14ac:dyDescent="0.4">
      <c r="A1045">
        <v>800077</v>
      </c>
      <c r="D1045" t="s">
        <v>54</v>
      </c>
      <c r="E1045" t="s">
        <v>152</v>
      </c>
      <c r="G1045">
        <v>1</v>
      </c>
      <c r="H1045" t="s">
        <v>56</v>
      </c>
      <c r="I1045" t="s">
        <v>57</v>
      </c>
      <c r="K1045" t="s">
        <v>275</v>
      </c>
      <c r="L1045" t="s">
        <v>1558</v>
      </c>
      <c r="M1045" t="s">
        <v>60</v>
      </c>
      <c r="N1045" t="s">
        <v>119</v>
      </c>
      <c r="O1045" t="s">
        <v>134</v>
      </c>
      <c r="P1045" t="s">
        <v>277</v>
      </c>
      <c r="R1045" t="s">
        <v>122</v>
      </c>
      <c r="S1045" t="s">
        <v>123</v>
      </c>
      <c r="T1045">
        <v>283.5</v>
      </c>
      <c r="U1045">
        <v>274.39999999999998</v>
      </c>
      <c r="V1045">
        <f t="shared" si="32"/>
        <v>278.95</v>
      </c>
      <c r="W1045">
        <f t="shared" si="33"/>
        <v>9.1000000000000227</v>
      </c>
      <c r="X1045">
        <v>-97.433334000000002</v>
      </c>
      <c r="Y1045">
        <v>35.233333999999999</v>
      </c>
      <c r="Z1045" t="s">
        <v>124</v>
      </c>
      <c r="AA1045" t="s">
        <v>66</v>
      </c>
      <c r="AB1045" t="s">
        <v>407</v>
      </c>
      <c r="AC1045" t="s">
        <v>1559</v>
      </c>
      <c r="AD1045" t="s">
        <v>1407</v>
      </c>
      <c r="AH1045" t="s">
        <v>72</v>
      </c>
      <c r="AI1045" t="s">
        <v>411</v>
      </c>
      <c r="AJ1045">
        <v>1962</v>
      </c>
      <c r="AK1045" t="s">
        <v>1561</v>
      </c>
      <c r="AN1045" t="s">
        <v>76</v>
      </c>
      <c r="AO1045" t="s">
        <v>77</v>
      </c>
      <c r="AP1045" t="s">
        <v>115</v>
      </c>
      <c r="AQ1045" t="s">
        <v>2121</v>
      </c>
      <c r="AR1045" t="s">
        <v>80</v>
      </c>
      <c r="AS1045">
        <v>101</v>
      </c>
      <c r="AT1045" t="s">
        <v>81</v>
      </c>
      <c r="AU1045">
        <v>-26.92</v>
      </c>
      <c r="AV1045">
        <v>2.2999999999999998</v>
      </c>
      <c r="AW1045" t="s">
        <v>82</v>
      </c>
      <c r="AX1045">
        <v>101</v>
      </c>
      <c r="AY1045" t="s">
        <v>81</v>
      </c>
      <c r="AZ1045">
        <v>-25.99</v>
      </c>
      <c r="BA1045">
        <v>4.13</v>
      </c>
      <c r="BB1045" t="s">
        <v>83</v>
      </c>
    </row>
    <row r="1046" spans="1:54" x14ac:dyDescent="0.4">
      <c r="A1046">
        <v>800078</v>
      </c>
      <c r="D1046" t="s">
        <v>54</v>
      </c>
      <c r="E1046" t="s">
        <v>55</v>
      </c>
      <c r="G1046">
        <v>1</v>
      </c>
      <c r="H1046" t="s">
        <v>56</v>
      </c>
      <c r="I1046" t="s">
        <v>57</v>
      </c>
      <c r="K1046" t="s">
        <v>275</v>
      </c>
      <c r="L1046" t="s">
        <v>1558</v>
      </c>
      <c r="M1046" t="s">
        <v>60</v>
      </c>
      <c r="N1046" t="s">
        <v>119</v>
      </c>
      <c r="O1046" t="s">
        <v>134</v>
      </c>
      <c r="P1046" t="s">
        <v>277</v>
      </c>
      <c r="R1046" t="s">
        <v>122</v>
      </c>
      <c r="S1046" t="s">
        <v>123</v>
      </c>
      <c r="T1046">
        <v>283.5</v>
      </c>
      <c r="U1046">
        <v>274.39999999999998</v>
      </c>
      <c r="V1046">
        <f t="shared" si="32"/>
        <v>278.95</v>
      </c>
      <c r="W1046">
        <f t="shared" si="33"/>
        <v>9.1000000000000227</v>
      </c>
      <c r="X1046">
        <v>-97.358329999999995</v>
      </c>
      <c r="Y1046">
        <v>35.141666000000001</v>
      </c>
      <c r="Z1046" t="s">
        <v>124</v>
      </c>
      <c r="AA1046" t="s">
        <v>66</v>
      </c>
      <c r="AB1046" t="s">
        <v>407</v>
      </c>
      <c r="AC1046" t="s">
        <v>1559</v>
      </c>
      <c r="AD1046" t="s">
        <v>1407</v>
      </c>
      <c r="AH1046" t="s">
        <v>72</v>
      </c>
      <c r="AI1046" t="s">
        <v>476</v>
      </c>
      <c r="AJ1046">
        <v>1958</v>
      </c>
      <c r="AK1046" t="s">
        <v>1553</v>
      </c>
      <c r="AM1046" t="s">
        <v>2122</v>
      </c>
      <c r="AN1046" t="s">
        <v>76</v>
      </c>
      <c r="AO1046" t="s">
        <v>77</v>
      </c>
      <c r="AP1046" t="s">
        <v>636</v>
      </c>
      <c r="AQ1046" t="s">
        <v>2123</v>
      </c>
      <c r="AR1046" t="s">
        <v>80</v>
      </c>
      <c r="AS1046">
        <v>101</v>
      </c>
      <c r="AT1046" t="s">
        <v>81</v>
      </c>
      <c r="AU1046">
        <v>-26.91</v>
      </c>
      <c r="AV1046">
        <v>2.19</v>
      </c>
      <c r="AW1046" t="s">
        <v>82</v>
      </c>
      <c r="AX1046">
        <v>101</v>
      </c>
      <c r="AY1046" t="s">
        <v>81</v>
      </c>
      <c r="AZ1046">
        <v>-25.98</v>
      </c>
      <c r="BA1046">
        <v>4.0199999999999996</v>
      </c>
      <c r="BB1046" t="s">
        <v>83</v>
      </c>
    </row>
    <row r="1047" spans="1:54" x14ac:dyDescent="0.4">
      <c r="A1047">
        <v>806953</v>
      </c>
      <c r="D1047" t="s">
        <v>54</v>
      </c>
      <c r="G1047">
        <v>32</v>
      </c>
      <c r="H1047" t="s">
        <v>84</v>
      </c>
      <c r="I1047" t="s">
        <v>57</v>
      </c>
      <c r="K1047" t="s">
        <v>275</v>
      </c>
      <c r="L1047" t="s">
        <v>453</v>
      </c>
      <c r="M1047" t="s">
        <v>60</v>
      </c>
      <c r="N1047" t="s">
        <v>119</v>
      </c>
      <c r="O1047" t="s">
        <v>134</v>
      </c>
      <c r="P1047" t="s">
        <v>277</v>
      </c>
      <c r="R1047" t="s">
        <v>122</v>
      </c>
      <c r="S1047" t="s">
        <v>123</v>
      </c>
      <c r="T1047">
        <v>283.5</v>
      </c>
      <c r="U1047">
        <v>274.39999999999998</v>
      </c>
      <c r="V1047">
        <f t="shared" si="32"/>
        <v>278.95</v>
      </c>
      <c r="W1047">
        <f t="shared" si="33"/>
        <v>9.1000000000000227</v>
      </c>
      <c r="X1047">
        <v>-99.216667000000001</v>
      </c>
      <c r="Y1047">
        <v>33.766666000000001</v>
      </c>
      <c r="Z1047" t="s">
        <v>124</v>
      </c>
      <c r="AA1047" t="s">
        <v>66</v>
      </c>
      <c r="AB1047" t="s">
        <v>125</v>
      </c>
      <c r="AC1047" t="s">
        <v>460</v>
      </c>
      <c r="AD1047" t="s">
        <v>279</v>
      </c>
      <c r="AE1047" t="s">
        <v>280</v>
      </c>
      <c r="AH1047" t="s">
        <v>72</v>
      </c>
      <c r="AI1047" t="s">
        <v>189</v>
      </c>
      <c r="AJ1047">
        <v>1928</v>
      </c>
      <c r="AK1047" t="s">
        <v>462</v>
      </c>
      <c r="AM1047" t="s">
        <v>463</v>
      </c>
      <c r="AN1047" t="s">
        <v>114</v>
      </c>
      <c r="AO1047" t="s">
        <v>160</v>
      </c>
      <c r="AP1047" t="s">
        <v>359</v>
      </c>
      <c r="AQ1047" t="s">
        <v>464</v>
      </c>
      <c r="AR1047" t="s">
        <v>80</v>
      </c>
      <c r="AS1047">
        <v>101</v>
      </c>
      <c r="AT1047" t="s">
        <v>81</v>
      </c>
      <c r="AU1047">
        <v>-28.93</v>
      </c>
      <c r="AV1047">
        <v>1.77</v>
      </c>
      <c r="AW1047" t="s">
        <v>82</v>
      </c>
      <c r="AX1047">
        <v>101</v>
      </c>
      <c r="AY1047" t="s">
        <v>81</v>
      </c>
      <c r="AZ1047">
        <v>-28</v>
      </c>
      <c r="BA1047">
        <v>3.57</v>
      </c>
      <c r="BB1047" t="s">
        <v>83</v>
      </c>
    </row>
    <row r="1048" spans="1:54" x14ac:dyDescent="0.4">
      <c r="A1048">
        <v>1317922</v>
      </c>
      <c r="D1048" t="s">
        <v>54</v>
      </c>
      <c r="E1048" t="s">
        <v>154</v>
      </c>
      <c r="I1048" t="s">
        <v>57</v>
      </c>
      <c r="K1048" t="s">
        <v>275</v>
      </c>
      <c r="L1048" t="s">
        <v>1571</v>
      </c>
      <c r="M1048" t="s">
        <v>60</v>
      </c>
      <c r="N1048" t="s">
        <v>119</v>
      </c>
      <c r="O1048" t="s">
        <v>134</v>
      </c>
      <c r="P1048" t="s">
        <v>277</v>
      </c>
      <c r="R1048" t="s">
        <v>122</v>
      </c>
      <c r="S1048" t="s">
        <v>123</v>
      </c>
      <c r="T1048">
        <v>283.5</v>
      </c>
      <c r="U1048">
        <v>274.39999999999998</v>
      </c>
      <c r="V1048">
        <f t="shared" si="32"/>
        <v>278.95</v>
      </c>
      <c r="W1048">
        <f t="shared" si="33"/>
        <v>9.1000000000000227</v>
      </c>
      <c r="X1048">
        <v>-99.571113999999994</v>
      </c>
      <c r="Y1048">
        <v>33.667499999999997</v>
      </c>
      <c r="Z1048" t="s">
        <v>1447</v>
      </c>
      <c r="AA1048" t="s">
        <v>66</v>
      </c>
      <c r="AB1048" t="s">
        <v>125</v>
      </c>
      <c r="AC1048" t="s">
        <v>439</v>
      </c>
      <c r="AD1048" t="s">
        <v>440</v>
      </c>
      <c r="AE1048" t="s">
        <v>280</v>
      </c>
      <c r="AF1048" t="s">
        <v>1942</v>
      </c>
      <c r="AH1048" t="s">
        <v>72</v>
      </c>
      <c r="AI1048" t="s">
        <v>411</v>
      </c>
      <c r="AJ1048">
        <v>1958</v>
      </c>
      <c r="AK1048" t="s">
        <v>4678</v>
      </c>
      <c r="AN1048" t="s">
        <v>192</v>
      </c>
      <c r="AO1048" t="s">
        <v>77</v>
      </c>
      <c r="AP1048" t="s">
        <v>115</v>
      </c>
      <c r="AQ1048" t="s">
        <v>4679</v>
      </c>
      <c r="AR1048" t="s">
        <v>80</v>
      </c>
      <c r="AS1048">
        <v>101</v>
      </c>
      <c r="AT1048" t="s">
        <v>81</v>
      </c>
      <c r="AU1048">
        <v>-29.23</v>
      </c>
      <c r="AV1048">
        <v>1.84</v>
      </c>
      <c r="AW1048" t="s">
        <v>82</v>
      </c>
      <c r="AX1048">
        <v>101</v>
      </c>
      <c r="AY1048" t="s">
        <v>81</v>
      </c>
      <c r="AZ1048">
        <v>-28.3</v>
      </c>
      <c r="BA1048">
        <v>3.63</v>
      </c>
      <c r="BB1048" t="s">
        <v>83</v>
      </c>
    </row>
    <row r="1049" spans="1:54" x14ac:dyDescent="0.4">
      <c r="A1049">
        <v>1317923</v>
      </c>
      <c r="D1049" t="s">
        <v>54</v>
      </c>
      <c r="E1049" t="s">
        <v>154</v>
      </c>
      <c r="I1049" t="s">
        <v>57</v>
      </c>
      <c r="K1049" t="s">
        <v>275</v>
      </c>
      <c r="L1049" t="s">
        <v>276</v>
      </c>
      <c r="M1049" t="s">
        <v>60</v>
      </c>
      <c r="N1049" t="s">
        <v>119</v>
      </c>
      <c r="O1049" t="s">
        <v>134</v>
      </c>
      <c r="P1049" t="s">
        <v>277</v>
      </c>
      <c r="R1049" t="s">
        <v>122</v>
      </c>
      <c r="S1049" t="s">
        <v>123</v>
      </c>
      <c r="T1049">
        <v>283.5</v>
      </c>
      <c r="U1049">
        <v>274.39999999999998</v>
      </c>
      <c r="V1049">
        <f t="shared" si="32"/>
        <v>278.95</v>
      </c>
      <c r="W1049">
        <f t="shared" si="33"/>
        <v>9.1000000000000227</v>
      </c>
      <c r="X1049">
        <v>-99.571113999999994</v>
      </c>
      <c r="Y1049">
        <v>33.667499999999997</v>
      </c>
      <c r="Z1049" t="s">
        <v>1447</v>
      </c>
      <c r="AA1049" t="s">
        <v>66</v>
      </c>
      <c r="AB1049" t="s">
        <v>125</v>
      </c>
      <c r="AC1049" t="s">
        <v>439</v>
      </c>
      <c r="AD1049" t="s">
        <v>440</v>
      </c>
      <c r="AE1049" t="s">
        <v>280</v>
      </c>
      <c r="AF1049" t="s">
        <v>1942</v>
      </c>
      <c r="AH1049" t="s">
        <v>72</v>
      </c>
      <c r="AI1049" t="s">
        <v>456</v>
      </c>
      <c r="AJ1049">
        <v>1966</v>
      </c>
      <c r="AK1049" t="s">
        <v>4678</v>
      </c>
      <c r="AN1049" t="s">
        <v>192</v>
      </c>
      <c r="AO1049" t="s">
        <v>77</v>
      </c>
      <c r="AP1049" t="s">
        <v>115</v>
      </c>
      <c r="AQ1049" t="s">
        <v>4679</v>
      </c>
      <c r="AR1049" t="s">
        <v>80</v>
      </c>
      <c r="AS1049">
        <v>101</v>
      </c>
      <c r="AT1049" t="s">
        <v>81</v>
      </c>
      <c r="AU1049">
        <v>-29.23</v>
      </c>
      <c r="AV1049">
        <v>1.84</v>
      </c>
      <c r="AW1049" t="s">
        <v>82</v>
      </c>
      <c r="AX1049">
        <v>101</v>
      </c>
      <c r="AY1049" t="s">
        <v>81</v>
      </c>
      <c r="AZ1049">
        <v>-28.3</v>
      </c>
      <c r="BA1049">
        <v>3.63</v>
      </c>
      <c r="BB1049" t="s">
        <v>83</v>
      </c>
    </row>
    <row r="1050" spans="1:54" x14ac:dyDescent="0.4">
      <c r="A1050">
        <v>1317925</v>
      </c>
      <c r="D1050" t="s">
        <v>54</v>
      </c>
      <c r="E1050" t="s">
        <v>154</v>
      </c>
      <c r="I1050" t="s">
        <v>57</v>
      </c>
      <c r="K1050" t="s">
        <v>275</v>
      </c>
      <c r="L1050" t="s">
        <v>1558</v>
      </c>
      <c r="M1050" t="s">
        <v>60</v>
      </c>
      <c r="N1050" t="s">
        <v>119</v>
      </c>
      <c r="O1050" t="s">
        <v>134</v>
      </c>
      <c r="P1050" t="s">
        <v>277</v>
      </c>
      <c r="R1050" t="s">
        <v>122</v>
      </c>
      <c r="S1050" t="s">
        <v>123</v>
      </c>
      <c r="T1050">
        <v>283.5</v>
      </c>
      <c r="U1050">
        <v>274.39999999999998</v>
      </c>
      <c r="V1050">
        <f t="shared" si="32"/>
        <v>278.95</v>
      </c>
      <c r="W1050">
        <f t="shared" si="33"/>
        <v>9.1000000000000227</v>
      </c>
      <c r="X1050">
        <v>-99.571113999999994</v>
      </c>
      <c r="Y1050">
        <v>33.667499999999997</v>
      </c>
      <c r="Z1050" t="s">
        <v>1447</v>
      </c>
      <c r="AA1050" t="s">
        <v>66</v>
      </c>
      <c r="AB1050" t="s">
        <v>125</v>
      </c>
      <c r="AC1050" t="s">
        <v>439</v>
      </c>
      <c r="AD1050" t="s">
        <v>440</v>
      </c>
      <c r="AE1050" t="s">
        <v>280</v>
      </c>
      <c r="AF1050" t="s">
        <v>1942</v>
      </c>
      <c r="AH1050" t="s">
        <v>72</v>
      </c>
      <c r="AI1050" t="s">
        <v>411</v>
      </c>
      <c r="AJ1050">
        <v>1954</v>
      </c>
      <c r="AK1050" t="s">
        <v>4678</v>
      </c>
      <c r="AN1050" t="s">
        <v>192</v>
      </c>
      <c r="AO1050" t="s">
        <v>77</v>
      </c>
      <c r="AP1050" t="s">
        <v>115</v>
      </c>
      <c r="AQ1050" t="s">
        <v>4679</v>
      </c>
      <c r="AR1050" t="s">
        <v>80</v>
      </c>
      <c r="AS1050">
        <v>101</v>
      </c>
      <c r="AT1050" t="s">
        <v>81</v>
      </c>
      <c r="AU1050">
        <v>-29.23</v>
      </c>
      <c r="AV1050">
        <v>1.84</v>
      </c>
      <c r="AW1050" t="s">
        <v>82</v>
      </c>
      <c r="AX1050">
        <v>101</v>
      </c>
      <c r="AY1050" t="s">
        <v>81</v>
      </c>
      <c r="AZ1050">
        <v>-28.3</v>
      </c>
      <c r="BA1050">
        <v>3.63</v>
      </c>
      <c r="BB1050" t="s">
        <v>83</v>
      </c>
    </row>
    <row r="1051" spans="1:54" x14ac:dyDescent="0.4">
      <c r="A1051">
        <v>1317975</v>
      </c>
      <c r="D1051" t="s">
        <v>54</v>
      </c>
      <c r="E1051" t="s">
        <v>154</v>
      </c>
      <c r="I1051" t="s">
        <v>57</v>
      </c>
      <c r="K1051" t="s">
        <v>275</v>
      </c>
      <c r="L1051" t="s">
        <v>1558</v>
      </c>
      <c r="M1051" t="s">
        <v>60</v>
      </c>
      <c r="N1051" t="s">
        <v>119</v>
      </c>
      <c r="O1051" t="s">
        <v>134</v>
      </c>
      <c r="P1051" t="s">
        <v>277</v>
      </c>
      <c r="R1051" t="s">
        <v>122</v>
      </c>
      <c r="S1051" t="s">
        <v>123</v>
      </c>
      <c r="T1051">
        <v>283.5</v>
      </c>
      <c r="U1051">
        <v>274.39999999999998</v>
      </c>
      <c r="V1051">
        <f t="shared" si="32"/>
        <v>278.95</v>
      </c>
      <c r="W1051">
        <f t="shared" si="33"/>
        <v>9.1000000000000227</v>
      </c>
      <c r="X1051">
        <v>-99.599997999999999</v>
      </c>
      <c r="Y1051">
        <v>33.703335000000003</v>
      </c>
      <c r="Z1051" t="s">
        <v>836</v>
      </c>
      <c r="AA1051" t="s">
        <v>66</v>
      </c>
      <c r="AB1051" t="s">
        <v>125</v>
      </c>
      <c r="AC1051" t="s">
        <v>439</v>
      </c>
      <c r="AD1051" t="s">
        <v>440</v>
      </c>
      <c r="AE1051" t="s">
        <v>280</v>
      </c>
      <c r="AF1051" t="s">
        <v>1942</v>
      </c>
      <c r="AH1051" t="s">
        <v>72</v>
      </c>
      <c r="AI1051" t="s">
        <v>411</v>
      </c>
      <c r="AJ1051">
        <v>1958</v>
      </c>
      <c r="AK1051" t="s">
        <v>4680</v>
      </c>
      <c r="AN1051" t="s">
        <v>192</v>
      </c>
      <c r="AO1051" t="s">
        <v>77</v>
      </c>
      <c r="AP1051" t="s">
        <v>115</v>
      </c>
      <c r="AQ1051" t="s">
        <v>1947</v>
      </c>
      <c r="AR1051" t="s">
        <v>80</v>
      </c>
      <c r="AS1051">
        <v>101</v>
      </c>
      <c r="AT1051" t="s">
        <v>81</v>
      </c>
      <c r="AU1051">
        <v>-29.23</v>
      </c>
      <c r="AV1051">
        <v>1.88</v>
      </c>
      <c r="AW1051" t="s">
        <v>82</v>
      </c>
      <c r="AX1051">
        <v>101</v>
      </c>
      <c r="AY1051" t="s">
        <v>81</v>
      </c>
      <c r="AZ1051">
        <v>-28.31</v>
      </c>
      <c r="BA1051">
        <v>3.68</v>
      </c>
      <c r="BB1051" t="s">
        <v>83</v>
      </c>
    </row>
    <row r="1052" spans="1:54" x14ac:dyDescent="0.4">
      <c r="A1052">
        <v>1317976</v>
      </c>
      <c r="D1052" t="s">
        <v>54</v>
      </c>
      <c r="E1052" t="s">
        <v>154</v>
      </c>
      <c r="I1052" t="s">
        <v>57</v>
      </c>
      <c r="K1052" t="s">
        <v>275</v>
      </c>
      <c r="L1052" t="s">
        <v>276</v>
      </c>
      <c r="M1052" t="s">
        <v>60</v>
      </c>
      <c r="N1052" t="s">
        <v>119</v>
      </c>
      <c r="O1052" t="s">
        <v>134</v>
      </c>
      <c r="P1052" t="s">
        <v>277</v>
      </c>
      <c r="R1052" t="s">
        <v>122</v>
      </c>
      <c r="S1052" t="s">
        <v>123</v>
      </c>
      <c r="T1052">
        <v>283.5</v>
      </c>
      <c r="U1052">
        <v>274.39999999999998</v>
      </c>
      <c r="V1052">
        <f t="shared" si="32"/>
        <v>278.95</v>
      </c>
      <c r="W1052">
        <f t="shared" si="33"/>
        <v>9.1000000000000227</v>
      </c>
      <c r="X1052">
        <v>-99.599997999999999</v>
      </c>
      <c r="Y1052">
        <v>33.703335000000003</v>
      </c>
      <c r="Z1052" t="s">
        <v>836</v>
      </c>
      <c r="AA1052" t="s">
        <v>66</v>
      </c>
      <c r="AB1052" t="s">
        <v>125</v>
      </c>
      <c r="AC1052" t="s">
        <v>439</v>
      </c>
      <c r="AD1052" t="s">
        <v>440</v>
      </c>
      <c r="AE1052" t="s">
        <v>280</v>
      </c>
      <c r="AF1052" t="s">
        <v>1942</v>
      </c>
      <c r="AH1052" t="s">
        <v>11</v>
      </c>
      <c r="AI1052" t="s">
        <v>411</v>
      </c>
      <c r="AJ1052">
        <v>1958</v>
      </c>
      <c r="AK1052" t="s">
        <v>4680</v>
      </c>
      <c r="AN1052" t="s">
        <v>192</v>
      </c>
      <c r="AO1052" t="s">
        <v>77</v>
      </c>
      <c r="AP1052" t="s">
        <v>115</v>
      </c>
      <c r="AQ1052" t="s">
        <v>1947</v>
      </c>
      <c r="AR1052" t="s">
        <v>80</v>
      </c>
      <c r="AS1052">
        <v>101</v>
      </c>
      <c r="AT1052" t="s">
        <v>81</v>
      </c>
      <c r="AU1052">
        <v>-29.23</v>
      </c>
      <c r="AV1052">
        <v>1.88</v>
      </c>
      <c r="AW1052" t="s">
        <v>82</v>
      </c>
      <c r="AX1052">
        <v>101</v>
      </c>
      <c r="AY1052" t="s">
        <v>81</v>
      </c>
      <c r="AZ1052">
        <v>-28.31</v>
      </c>
      <c r="BA1052">
        <v>3.68</v>
      </c>
      <c r="BB1052" t="s">
        <v>83</v>
      </c>
    </row>
    <row r="1053" spans="1:54" x14ac:dyDescent="0.4">
      <c r="A1053">
        <v>1317988</v>
      </c>
      <c r="D1053" t="s">
        <v>54</v>
      </c>
      <c r="I1053" t="s">
        <v>57</v>
      </c>
      <c r="K1053" t="s">
        <v>275</v>
      </c>
      <c r="L1053" t="s">
        <v>1571</v>
      </c>
      <c r="M1053" t="s">
        <v>60</v>
      </c>
      <c r="N1053" t="s">
        <v>119</v>
      </c>
      <c r="O1053" t="s">
        <v>134</v>
      </c>
      <c r="P1053" t="s">
        <v>277</v>
      </c>
      <c r="R1053" t="s">
        <v>122</v>
      </c>
      <c r="S1053" t="s">
        <v>123</v>
      </c>
      <c r="T1053">
        <v>283.5</v>
      </c>
      <c r="U1053">
        <v>274.39999999999998</v>
      </c>
      <c r="V1053">
        <f t="shared" si="32"/>
        <v>278.95</v>
      </c>
      <c r="W1053">
        <f t="shared" si="33"/>
        <v>9.1000000000000227</v>
      </c>
      <c r="X1053">
        <v>-99.25</v>
      </c>
      <c r="Y1053">
        <v>33.599997999999999</v>
      </c>
      <c r="Z1053" t="s">
        <v>836</v>
      </c>
      <c r="AA1053" t="s">
        <v>66</v>
      </c>
      <c r="AB1053" t="s">
        <v>125</v>
      </c>
      <c r="AC1053" t="s">
        <v>278</v>
      </c>
      <c r="AD1053" t="s">
        <v>440</v>
      </c>
      <c r="AE1053" t="s">
        <v>280</v>
      </c>
      <c r="AH1053" t="s">
        <v>72</v>
      </c>
      <c r="AI1053" t="s">
        <v>411</v>
      </c>
      <c r="AJ1053">
        <v>1958</v>
      </c>
      <c r="AK1053" t="s">
        <v>4681</v>
      </c>
      <c r="AN1053" t="s">
        <v>114</v>
      </c>
      <c r="AO1053" t="s">
        <v>160</v>
      </c>
      <c r="AP1053" t="s">
        <v>115</v>
      </c>
      <c r="AQ1053" t="s">
        <v>4682</v>
      </c>
      <c r="AR1053" t="s">
        <v>80</v>
      </c>
      <c r="AS1053">
        <v>101</v>
      </c>
      <c r="AT1053" t="s">
        <v>81</v>
      </c>
      <c r="AU1053">
        <v>-29.04</v>
      </c>
      <c r="AV1053">
        <v>1.64</v>
      </c>
      <c r="AW1053" t="s">
        <v>82</v>
      </c>
      <c r="AX1053">
        <v>101</v>
      </c>
      <c r="AY1053" t="s">
        <v>81</v>
      </c>
      <c r="AZ1053">
        <v>-28.1</v>
      </c>
      <c r="BA1053">
        <v>3.44</v>
      </c>
      <c r="BB1053" t="s">
        <v>83</v>
      </c>
    </row>
    <row r="1054" spans="1:54" x14ac:dyDescent="0.4">
      <c r="A1054">
        <v>1328473</v>
      </c>
      <c r="D1054" t="s">
        <v>54</v>
      </c>
      <c r="E1054" t="s">
        <v>154</v>
      </c>
      <c r="I1054" t="s">
        <v>57</v>
      </c>
      <c r="K1054" t="s">
        <v>275</v>
      </c>
      <c r="L1054" t="s">
        <v>276</v>
      </c>
      <c r="M1054" t="s">
        <v>60</v>
      </c>
      <c r="N1054" t="s">
        <v>119</v>
      </c>
      <c r="O1054" t="s">
        <v>134</v>
      </c>
      <c r="P1054" t="s">
        <v>277</v>
      </c>
      <c r="R1054" t="s">
        <v>122</v>
      </c>
      <c r="S1054" t="s">
        <v>123</v>
      </c>
      <c r="T1054">
        <v>283.5</v>
      </c>
      <c r="U1054">
        <v>274.39999999999998</v>
      </c>
      <c r="V1054">
        <f t="shared" si="32"/>
        <v>278.95</v>
      </c>
      <c r="W1054">
        <f t="shared" si="33"/>
        <v>9.1000000000000227</v>
      </c>
      <c r="X1054">
        <v>-99.75</v>
      </c>
      <c r="Y1054">
        <v>32.130001</v>
      </c>
      <c r="Z1054" t="s">
        <v>969</v>
      </c>
      <c r="AA1054" t="s">
        <v>66</v>
      </c>
      <c r="AB1054" t="s">
        <v>125</v>
      </c>
      <c r="AC1054" t="s">
        <v>4695</v>
      </c>
      <c r="AD1054" t="s">
        <v>440</v>
      </c>
      <c r="AH1054" t="s">
        <v>72</v>
      </c>
      <c r="AI1054" t="s">
        <v>4696</v>
      </c>
      <c r="AJ1054">
        <v>1982</v>
      </c>
      <c r="AK1054" t="s">
        <v>4697</v>
      </c>
      <c r="AM1054" t="s">
        <v>4698</v>
      </c>
      <c r="AN1054" t="s">
        <v>114</v>
      </c>
      <c r="AO1054">
        <v>2</v>
      </c>
      <c r="AP1054" t="s">
        <v>78</v>
      </c>
      <c r="AQ1054" t="s">
        <v>4699</v>
      </c>
      <c r="AR1054" t="s">
        <v>80</v>
      </c>
      <c r="AS1054">
        <v>101</v>
      </c>
      <c r="AT1054" t="s">
        <v>81</v>
      </c>
      <c r="AU1054">
        <v>-30.15</v>
      </c>
      <c r="AV1054">
        <v>0.6</v>
      </c>
      <c r="AW1054" t="s">
        <v>82</v>
      </c>
      <c r="AX1054">
        <v>101</v>
      </c>
      <c r="AY1054" t="s">
        <v>81</v>
      </c>
      <c r="AZ1054">
        <v>-29.2</v>
      </c>
      <c r="BA1054">
        <v>2.38</v>
      </c>
      <c r="BB1054" t="s">
        <v>83</v>
      </c>
    </row>
    <row r="1055" spans="1:54" x14ac:dyDescent="0.4">
      <c r="A1055">
        <v>1328474</v>
      </c>
      <c r="D1055" t="s">
        <v>54</v>
      </c>
      <c r="E1055" t="s">
        <v>154</v>
      </c>
      <c r="I1055" t="s">
        <v>57</v>
      </c>
      <c r="K1055" t="s">
        <v>275</v>
      </c>
      <c r="L1055" t="s">
        <v>1558</v>
      </c>
      <c r="M1055" t="s">
        <v>60</v>
      </c>
      <c r="N1055" t="s">
        <v>119</v>
      </c>
      <c r="O1055" t="s">
        <v>134</v>
      </c>
      <c r="P1055" t="s">
        <v>277</v>
      </c>
      <c r="R1055" t="s">
        <v>122</v>
      </c>
      <c r="S1055" t="s">
        <v>123</v>
      </c>
      <c r="T1055">
        <v>283.5</v>
      </c>
      <c r="U1055">
        <v>274.39999999999998</v>
      </c>
      <c r="V1055">
        <f t="shared" si="32"/>
        <v>278.95</v>
      </c>
      <c r="W1055">
        <f t="shared" si="33"/>
        <v>9.1000000000000227</v>
      </c>
      <c r="X1055">
        <v>-99.75</v>
      </c>
      <c r="Y1055">
        <v>32.130001</v>
      </c>
      <c r="Z1055" t="s">
        <v>969</v>
      </c>
      <c r="AA1055" t="s">
        <v>66</v>
      </c>
      <c r="AB1055" t="s">
        <v>125</v>
      </c>
      <c r="AC1055" t="s">
        <v>4695</v>
      </c>
      <c r="AD1055" t="s">
        <v>440</v>
      </c>
      <c r="AH1055" t="s">
        <v>72</v>
      </c>
      <c r="AI1055" t="s">
        <v>4696</v>
      </c>
      <c r="AJ1055">
        <v>1982</v>
      </c>
      <c r="AK1055" t="s">
        <v>4697</v>
      </c>
      <c r="AM1055" t="s">
        <v>4698</v>
      </c>
      <c r="AN1055" t="s">
        <v>114</v>
      </c>
      <c r="AO1055">
        <v>2</v>
      </c>
      <c r="AP1055" t="s">
        <v>78</v>
      </c>
      <c r="AQ1055" t="s">
        <v>4699</v>
      </c>
      <c r="AR1055" t="s">
        <v>80</v>
      </c>
      <c r="AS1055">
        <v>101</v>
      </c>
      <c r="AT1055" t="s">
        <v>81</v>
      </c>
      <c r="AU1055">
        <v>-30.15</v>
      </c>
      <c r="AV1055">
        <v>0.6</v>
      </c>
      <c r="AW1055" t="s">
        <v>82</v>
      </c>
      <c r="AX1055">
        <v>101</v>
      </c>
      <c r="AY1055" t="s">
        <v>81</v>
      </c>
      <c r="AZ1055">
        <v>-29.2</v>
      </c>
      <c r="BA1055">
        <v>2.38</v>
      </c>
      <c r="BB1055" t="s">
        <v>83</v>
      </c>
    </row>
    <row r="1056" spans="1:54" x14ac:dyDescent="0.4">
      <c r="A1056">
        <v>1328475</v>
      </c>
      <c r="D1056" t="s">
        <v>54</v>
      </c>
      <c r="E1056" t="s">
        <v>154</v>
      </c>
      <c r="I1056" t="s">
        <v>57</v>
      </c>
      <c r="K1056" t="s">
        <v>275</v>
      </c>
      <c r="L1056" t="s">
        <v>438</v>
      </c>
      <c r="M1056" t="s">
        <v>60</v>
      </c>
      <c r="N1056" t="s">
        <v>119</v>
      </c>
      <c r="O1056" t="s">
        <v>134</v>
      </c>
      <c r="P1056" t="s">
        <v>277</v>
      </c>
      <c r="R1056" t="s">
        <v>122</v>
      </c>
      <c r="S1056" t="s">
        <v>123</v>
      </c>
      <c r="T1056">
        <v>283.5</v>
      </c>
      <c r="U1056">
        <v>274.39999999999998</v>
      </c>
      <c r="V1056">
        <f t="shared" si="32"/>
        <v>278.95</v>
      </c>
      <c r="W1056">
        <f t="shared" si="33"/>
        <v>9.1000000000000227</v>
      </c>
      <c r="X1056">
        <v>-99.75</v>
      </c>
      <c r="Y1056">
        <v>32.130001</v>
      </c>
      <c r="Z1056" t="s">
        <v>969</v>
      </c>
      <c r="AA1056" t="s">
        <v>66</v>
      </c>
      <c r="AB1056" t="s">
        <v>125</v>
      </c>
      <c r="AC1056" t="s">
        <v>4695</v>
      </c>
      <c r="AD1056" t="s">
        <v>440</v>
      </c>
      <c r="AH1056" t="s">
        <v>72</v>
      </c>
      <c r="AI1056" t="s">
        <v>4696</v>
      </c>
      <c r="AJ1056">
        <v>1982</v>
      </c>
      <c r="AK1056" t="s">
        <v>4697</v>
      </c>
      <c r="AM1056" t="s">
        <v>4698</v>
      </c>
      <c r="AN1056" t="s">
        <v>114</v>
      </c>
      <c r="AO1056">
        <v>2</v>
      </c>
      <c r="AP1056" t="s">
        <v>78</v>
      </c>
      <c r="AQ1056" t="s">
        <v>4699</v>
      </c>
      <c r="AR1056" t="s">
        <v>80</v>
      </c>
      <c r="AS1056">
        <v>101</v>
      </c>
      <c r="AT1056" t="s">
        <v>81</v>
      </c>
      <c r="AU1056">
        <v>-30.15</v>
      </c>
      <c r="AV1056">
        <v>0.6</v>
      </c>
      <c r="AW1056" t="s">
        <v>82</v>
      </c>
      <c r="AX1056">
        <v>101</v>
      </c>
      <c r="AY1056" t="s">
        <v>81</v>
      </c>
      <c r="AZ1056">
        <v>-29.2</v>
      </c>
      <c r="BA1056">
        <v>2.38</v>
      </c>
      <c r="BB1056" t="s">
        <v>83</v>
      </c>
    </row>
    <row r="1057" spans="1:54" x14ac:dyDescent="0.4">
      <c r="A1057">
        <v>1328476</v>
      </c>
      <c r="D1057" t="s">
        <v>54</v>
      </c>
      <c r="E1057" t="s">
        <v>154</v>
      </c>
      <c r="I1057" t="s">
        <v>57</v>
      </c>
      <c r="K1057" t="s">
        <v>275</v>
      </c>
      <c r="L1057" t="s">
        <v>1571</v>
      </c>
      <c r="M1057" t="s">
        <v>60</v>
      </c>
      <c r="N1057" t="s">
        <v>119</v>
      </c>
      <c r="O1057" t="s">
        <v>134</v>
      </c>
      <c r="P1057" t="s">
        <v>277</v>
      </c>
      <c r="R1057" t="s">
        <v>122</v>
      </c>
      <c r="S1057" t="s">
        <v>123</v>
      </c>
      <c r="T1057">
        <v>283.5</v>
      </c>
      <c r="U1057">
        <v>274.39999999999998</v>
      </c>
      <c r="V1057">
        <f t="shared" si="32"/>
        <v>278.95</v>
      </c>
      <c r="W1057">
        <f t="shared" si="33"/>
        <v>9.1000000000000227</v>
      </c>
      <c r="X1057">
        <v>-99.75</v>
      </c>
      <c r="Y1057">
        <v>32.130001</v>
      </c>
      <c r="Z1057" t="s">
        <v>969</v>
      </c>
      <c r="AA1057" t="s">
        <v>66</v>
      </c>
      <c r="AB1057" t="s">
        <v>125</v>
      </c>
      <c r="AC1057" t="s">
        <v>4695</v>
      </c>
      <c r="AD1057" t="s">
        <v>440</v>
      </c>
      <c r="AH1057" t="s">
        <v>72</v>
      </c>
      <c r="AI1057" t="s">
        <v>4696</v>
      </c>
      <c r="AJ1057">
        <v>1982</v>
      </c>
      <c r="AK1057" t="s">
        <v>4697</v>
      </c>
      <c r="AM1057" t="s">
        <v>4698</v>
      </c>
      <c r="AN1057" t="s">
        <v>114</v>
      </c>
      <c r="AO1057">
        <v>2</v>
      </c>
      <c r="AP1057" t="s">
        <v>78</v>
      </c>
      <c r="AQ1057" t="s">
        <v>4699</v>
      </c>
      <c r="AR1057" t="s">
        <v>80</v>
      </c>
      <c r="AS1057">
        <v>101</v>
      </c>
      <c r="AT1057" t="s">
        <v>81</v>
      </c>
      <c r="AU1057">
        <v>-30.15</v>
      </c>
      <c r="AV1057">
        <v>0.6</v>
      </c>
      <c r="AW1057" t="s">
        <v>82</v>
      </c>
      <c r="AX1057">
        <v>101</v>
      </c>
      <c r="AY1057" t="s">
        <v>81</v>
      </c>
      <c r="AZ1057">
        <v>-29.2</v>
      </c>
      <c r="BA1057">
        <v>2.38</v>
      </c>
      <c r="BB1057" t="s">
        <v>83</v>
      </c>
    </row>
    <row r="1058" spans="1:54" x14ac:dyDescent="0.4">
      <c r="A1058">
        <v>1328484</v>
      </c>
      <c r="D1058" t="s">
        <v>54</v>
      </c>
      <c r="I1058" t="s">
        <v>57</v>
      </c>
      <c r="K1058" t="s">
        <v>275</v>
      </c>
      <c r="L1058" t="s">
        <v>1571</v>
      </c>
      <c r="M1058" t="s">
        <v>60</v>
      </c>
      <c r="N1058" t="s">
        <v>119</v>
      </c>
      <c r="O1058" t="s">
        <v>134</v>
      </c>
      <c r="P1058" t="s">
        <v>277</v>
      </c>
      <c r="R1058" t="s">
        <v>122</v>
      </c>
      <c r="S1058" t="s">
        <v>123</v>
      </c>
      <c r="T1058">
        <v>283.5</v>
      </c>
      <c r="U1058">
        <v>274.39999999999998</v>
      </c>
      <c r="V1058">
        <f t="shared" si="32"/>
        <v>278.95</v>
      </c>
      <c r="W1058">
        <f t="shared" si="33"/>
        <v>9.1000000000000227</v>
      </c>
      <c r="X1058">
        <v>-99.830100999999999</v>
      </c>
      <c r="Y1058">
        <v>32.234524</v>
      </c>
      <c r="Z1058" t="s">
        <v>734</v>
      </c>
      <c r="AA1058" t="s">
        <v>66</v>
      </c>
      <c r="AB1058" t="s">
        <v>125</v>
      </c>
      <c r="AC1058" t="s">
        <v>4695</v>
      </c>
      <c r="AD1058" t="s">
        <v>440</v>
      </c>
      <c r="AE1058" t="s">
        <v>280</v>
      </c>
      <c r="AH1058" t="s">
        <v>11</v>
      </c>
      <c r="AI1058" t="s">
        <v>4696</v>
      </c>
      <c r="AJ1058">
        <v>1982</v>
      </c>
      <c r="AK1058" t="s">
        <v>4700</v>
      </c>
      <c r="AM1058" t="s">
        <v>4701</v>
      </c>
      <c r="AN1058" t="s">
        <v>114</v>
      </c>
      <c r="AO1058">
        <v>6</v>
      </c>
      <c r="AP1058" t="s">
        <v>78</v>
      </c>
      <c r="AQ1058" t="s">
        <v>4702</v>
      </c>
      <c r="AR1058" t="s">
        <v>80</v>
      </c>
      <c r="AS1058">
        <v>101</v>
      </c>
      <c r="AT1058" t="s">
        <v>81</v>
      </c>
      <c r="AU1058">
        <v>-30.16</v>
      </c>
      <c r="AV1058">
        <v>0.72</v>
      </c>
      <c r="AW1058" t="s">
        <v>82</v>
      </c>
      <c r="AX1058">
        <v>101</v>
      </c>
      <c r="AY1058" t="s">
        <v>81</v>
      </c>
      <c r="AZ1058">
        <v>-29.21</v>
      </c>
      <c r="BA1058">
        <v>2.5</v>
      </c>
      <c r="BB1058" t="s">
        <v>83</v>
      </c>
    </row>
    <row r="1059" spans="1:54" x14ac:dyDescent="0.4">
      <c r="A1059">
        <v>1328485</v>
      </c>
      <c r="D1059" t="s">
        <v>54</v>
      </c>
      <c r="I1059" t="s">
        <v>57</v>
      </c>
      <c r="K1059" t="s">
        <v>275</v>
      </c>
      <c r="L1059" t="s">
        <v>276</v>
      </c>
      <c r="M1059" t="s">
        <v>60</v>
      </c>
      <c r="N1059" t="s">
        <v>119</v>
      </c>
      <c r="O1059" t="s">
        <v>134</v>
      </c>
      <c r="P1059" t="s">
        <v>277</v>
      </c>
      <c r="R1059" t="s">
        <v>122</v>
      </c>
      <c r="S1059" t="s">
        <v>123</v>
      </c>
      <c r="T1059">
        <v>283.5</v>
      </c>
      <c r="U1059">
        <v>274.39999999999998</v>
      </c>
      <c r="V1059">
        <f t="shared" si="32"/>
        <v>278.95</v>
      </c>
      <c r="W1059">
        <f t="shared" si="33"/>
        <v>9.1000000000000227</v>
      </c>
      <c r="X1059">
        <v>-99.830100999999999</v>
      </c>
      <c r="Y1059">
        <v>32.234524</v>
      </c>
      <c r="Z1059" t="s">
        <v>734</v>
      </c>
      <c r="AA1059" t="s">
        <v>66</v>
      </c>
      <c r="AB1059" t="s">
        <v>125</v>
      </c>
      <c r="AC1059" t="s">
        <v>4695</v>
      </c>
      <c r="AD1059" t="s">
        <v>440</v>
      </c>
      <c r="AE1059" t="s">
        <v>280</v>
      </c>
      <c r="AH1059" t="s">
        <v>72</v>
      </c>
      <c r="AI1059" t="s">
        <v>4696</v>
      </c>
      <c r="AJ1059">
        <v>1982</v>
      </c>
      <c r="AK1059" t="s">
        <v>4700</v>
      </c>
      <c r="AM1059" t="s">
        <v>4701</v>
      </c>
      <c r="AN1059" t="s">
        <v>114</v>
      </c>
      <c r="AO1059">
        <v>6</v>
      </c>
      <c r="AP1059" t="s">
        <v>78</v>
      </c>
      <c r="AQ1059" t="s">
        <v>4702</v>
      </c>
      <c r="AR1059" t="s">
        <v>80</v>
      </c>
      <c r="AS1059">
        <v>101</v>
      </c>
      <c r="AT1059" t="s">
        <v>81</v>
      </c>
      <c r="AU1059">
        <v>-30.16</v>
      </c>
      <c r="AV1059">
        <v>0.72</v>
      </c>
      <c r="AW1059" t="s">
        <v>82</v>
      </c>
      <c r="AX1059">
        <v>101</v>
      </c>
      <c r="AY1059" t="s">
        <v>81</v>
      </c>
      <c r="AZ1059">
        <v>-29.21</v>
      </c>
      <c r="BA1059">
        <v>2.5</v>
      </c>
      <c r="BB1059" t="s">
        <v>83</v>
      </c>
    </row>
    <row r="1060" spans="1:54" x14ac:dyDescent="0.4">
      <c r="A1060">
        <v>1328486</v>
      </c>
      <c r="D1060" t="s">
        <v>54</v>
      </c>
      <c r="I1060" t="s">
        <v>57</v>
      </c>
      <c r="K1060" t="s">
        <v>275</v>
      </c>
      <c r="L1060" t="s">
        <v>1558</v>
      </c>
      <c r="M1060" t="s">
        <v>60</v>
      </c>
      <c r="N1060" t="s">
        <v>119</v>
      </c>
      <c r="O1060" t="s">
        <v>134</v>
      </c>
      <c r="P1060" t="s">
        <v>277</v>
      </c>
      <c r="R1060" t="s">
        <v>122</v>
      </c>
      <c r="S1060" t="s">
        <v>123</v>
      </c>
      <c r="T1060">
        <v>283.5</v>
      </c>
      <c r="U1060">
        <v>274.39999999999998</v>
      </c>
      <c r="V1060">
        <f t="shared" si="32"/>
        <v>278.95</v>
      </c>
      <c r="W1060">
        <f t="shared" si="33"/>
        <v>9.1000000000000227</v>
      </c>
      <c r="X1060">
        <v>-99.830100999999999</v>
      </c>
      <c r="Y1060">
        <v>32.234524</v>
      </c>
      <c r="Z1060" t="s">
        <v>734</v>
      </c>
      <c r="AA1060" t="s">
        <v>66</v>
      </c>
      <c r="AB1060" t="s">
        <v>125</v>
      </c>
      <c r="AC1060" t="s">
        <v>4695</v>
      </c>
      <c r="AD1060" t="s">
        <v>440</v>
      </c>
      <c r="AE1060" t="s">
        <v>280</v>
      </c>
      <c r="AH1060" t="s">
        <v>72</v>
      </c>
      <c r="AI1060" t="s">
        <v>4696</v>
      </c>
      <c r="AJ1060">
        <v>1982</v>
      </c>
      <c r="AK1060" t="s">
        <v>4700</v>
      </c>
      <c r="AM1060" t="s">
        <v>4701</v>
      </c>
      <c r="AN1060" t="s">
        <v>114</v>
      </c>
      <c r="AO1060">
        <v>6</v>
      </c>
      <c r="AP1060" t="s">
        <v>78</v>
      </c>
      <c r="AQ1060" t="s">
        <v>4702</v>
      </c>
      <c r="AR1060" t="s">
        <v>80</v>
      </c>
      <c r="AS1060">
        <v>101</v>
      </c>
      <c r="AT1060" t="s">
        <v>81</v>
      </c>
      <c r="AU1060">
        <v>-30.16</v>
      </c>
      <c r="AV1060">
        <v>0.72</v>
      </c>
      <c r="AW1060" t="s">
        <v>82</v>
      </c>
      <c r="AX1060">
        <v>101</v>
      </c>
      <c r="AY1060" t="s">
        <v>81</v>
      </c>
      <c r="AZ1060">
        <v>-29.21</v>
      </c>
      <c r="BA1060">
        <v>2.5</v>
      </c>
      <c r="BB1060" t="s">
        <v>83</v>
      </c>
    </row>
    <row r="1061" spans="1:54" x14ac:dyDescent="0.4">
      <c r="A1061">
        <v>1328487</v>
      </c>
      <c r="D1061" t="s">
        <v>54</v>
      </c>
      <c r="I1061" t="s">
        <v>57</v>
      </c>
      <c r="K1061" t="s">
        <v>275</v>
      </c>
      <c r="L1061" t="s">
        <v>1571</v>
      </c>
      <c r="M1061" t="s">
        <v>60</v>
      </c>
      <c r="N1061" t="s">
        <v>119</v>
      </c>
      <c r="O1061" t="s">
        <v>134</v>
      </c>
      <c r="P1061" t="s">
        <v>277</v>
      </c>
      <c r="R1061" t="s">
        <v>122</v>
      </c>
      <c r="S1061" t="s">
        <v>123</v>
      </c>
      <c r="T1061">
        <v>283.5</v>
      </c>
      <c r="U1061">
        <v>274.39999999999998</v>
      </c>
      <c r="V1061">
        <f t="shared" si="32"/>
        <v>278.95</v>
      </c>
      <c r="W1061">
        <f t="shared" si="33"/>
        <v>9.1000000000000227</v>
      </c>
      <c r="X1061">
        <v>-99.830100999999999</v>
      </c>
      <c r="Y1061">
        <v>32.234524</v>
      </c>
      <c r="Z1061" t="s">
        <v>734</v>
      </c>
      <c r="AA1061" t="s">
        <v>66</v>
      </c>
      <c r="AB1061" t="s">
        <v>125</v>
      </c>
      <c r="AC1061" t="s">
        <v>4695</v>
      </c>
      <c r="AD1061" t="s">
        <v>440</v>
      </c>
      <c r="AE1061" t="s">
        <v>280</v>
      </c>
      <c r="AH1061" t="s">
        <v>72</v>
      </c>
      <c r="AI1061" t="s">
        <v>4696</v>
      </c>
      <c r="AJ1061">
        <v>1982</v>
      </c>
      <c r="AK1061" t="s">
        <v>4700</v>
      </c>
      <c r="AM1061" t="s">
        <v>4701</v>
      </c>
      <c r="AN1061" t="s">
        <v>114</v>
      </c>
      <c r="AO1061">
        <v>6</v>
      </c>
      <c r="AP1061" t="s">
        <v>78</v>
      </c>
      <c r="AQ1061" t="s">
        <v>4702</v>
      </c>
      <c r="AR1061" t="s">
        <v>80</v>
      </c>
      <c r="AS1061">
        <v>101</v>
      </c>
      <c r="AT1061" t="s">
        <v>81</v>
      </c>
      <c r="AU1061">
        <v>-30.16</v>
      </c>
      <c r="AV1061">
        <v>0.72</v>
      </c>
      <c r="AW1061" t="s">
        <v>82</v>
      </c>
      <c r="AX1061">
        <v>101</v>
      </c>
      <c r="AY1061" t="s">
        <v>81</v>
      </c>
      <c r="AZ1061">
        <v>-29.21</v>
      </c>
      <c r="BA1061">
        <v>2.5</v>
      </c>
      <c r="BB1061" t="s">
        <v>83</v>
      </c>
    </row>
    <row r="1062" spans="1:54" x14ac:dyDescent="0.4">
      <c r="A1062">
        <v>1328488</v>
      </c>
      <c r="D1062" t="s">
        <v>54</v>
      </c>
      <c r="I1062" t="s">
        <v>57</v>
      </c>
      <c r="K1062" t="s">
        <v>275</v>
      </c>
      <c r="L1062" t="s">
        <v>453</v>
      </c>
      <c r="M1062" t="s">
        <v>60</v>
      </c>
      <c r="N1062" t="s">
        <v>119</v>
      </c>
      <c r="O1062" t="s">
        <v>134</v>
      </c>
      <c r="P1062" t="s">
        <v>277</v>
      </c>
      <c r="R1062" t="s">
        <v>122</v>
      </c>
      <c r="S1062" t="s">
        <v>123</v>
      </c>
      <c r="T1062">
        <v>283.5</v>
      </c>
      <c r="U1062">
        <v>274.39999999999998</v>
      </c>
      <c r="V1062">
        <f t="shared" si="32"/>
        <v>278.95</v>
      </c>
      <c r="W1062">
        <f t="shared" si="33"/>
        <v>9.1000000000000227</v>
      </c>
      <c r="X1062">
        <v>-99.830100999999999</v>
      </c>
      <c r="Y1062">
        <v>32.234524</v>
      </c>
      <c r="Z1062" t="s">
        <v>734</v>
      </c>
      <c r="AA1062" t="s">
        <v>66</v>
      </c>
      <c r="AB1062" t="s">
        <v>125</v>
      </c>
      <c r="AC1062" t="s">
        <v>4695</v>
      </c>
      <c r="AD1062" t="s">
        <v>440</v>
      </c>
      <c r="AE1062" t="s">
        <v>280</v>
      </c>
      <c r="AH1062" t="s">
        <v>72</v>
      </c>
      <c r="AI1062" t="s">
        <v>4696</v>
      </c>
      <c r="AJ1062">
        <v>1982</v>
      </c>
      <c r="AK1062" t="s">
        <v>4700</v>
      </c>
      <c r="AM1062" t="s">
        <v>4701</v>
      </c>
      <c r="AN1062" t="s">
        <v>114</v>
      </c>
      <c r="AO1062">
        <v>6</v>
      </c>
      <c r="AP1062" t="s">
        <v>78</v>
      </c>
      <c r="AQ1062" t="s">
        <v>4702</v>
      </c>
      <c r="AR1062" t="s">
        <v>80</v>
      </c>
      <c r="AS1062">
        <v>101</v>
      </c>
      <c r="AT1062" t="s">
        <v>81</v>
      </c>
      <c r="AU1062">
        <v>-30.16</v>
      </c>
      <c r="AV1062">
        <v>0.72</v>
      </c>
      <c r="AW1062" t="s">
        <v>82</v>
      </c>
      <c r="AX1062">
        <v>101</v>
      </c>
      <c r="AY1062" t="s">
        <v>81</v>
      </c>
      <c r="AZ1062">
        <v>-29.21</v>
      </c>
      <c r="BA1062">
        <v>2.5</v>
      </c>
      <c r="BB1062" t="s">
        <v>83</v>
      </c>
    </row>
    <row r="1063" spans="1:54" x14ac:dyDescent="0.4">
      <c r="A1063">
        <v>1640637</v>
      </c>
      <c r="D1063" t="s">
        <v>54</v>
      </c>
      <c r="I1063" t="s">
        <v>57</v>
      </c>
      <c r="K1063" t="s">
        <v>1592</v>
      </c>
      <c r="L1063" t="s">
        <v>1593</v>
      </c>
      <c r="M1063" t="s">
        <v>60</v>
      </c>
      <c r="P1063" t="s">
        <v>277</v>
      </c>
      <c r="R1063" t="s">
        <v>122</v>
      </c>
      <c r="S1063" t="s">
        <v>123</v>
      </c>
      <c r="T1063">
        <v>283.5</v>
      </c>
      <c r="U1063">
        <v>274.39999999999998</v>
      </c>
      <c r="V1063">
        <f t="shared" si="32"/>
        <v>278.95</v>
      </c>
      <c r="W1063">
        <f t="shared" si="33"/>
        <v>9.1000000000000227</v>
      </c>
      <c r="X1063">
        <v>56.799500000000002</v>
      </c>
      <c r="Y1063">
        <v>62.029899999999998</v>
      </c>
      <c r="Z1063" t="s">
        <v>198</v>
      </c>
      <c r="AA1063" t="s">
        <v>239</v>
      </c>
      <c r="AB1063" t="s">
        <v>5670</v>
      </c>
      <c r="AH1063" t="s">
        <v>72</v>
      </c>
      <c r="AI1063" t="s">
        <v>5671</v>
      </c>
      <c r="AJ1063">
        <v>2022</v>
      </c>
      <c r="AK1063" t="s">
        <v>5672</v>
      </c>
      <c r="AO1063">
        <v>4</v>
      </c>
      <c r="AQ1063" t="s">
        <v>5673</v>
      </c>
      <c r="AR1063" t="s">
        <v>80</v>
      </c>
      <c r="AS1063">
        <v>302</v>
      </c>
      <c r="AT1063" t="s">
        <v>81</v>
      </c>
      <c r="AU1063">
        <v>40.619999999999997</v>
      </c>
      <c r="AV1063">
        <v>32.1</v>
      </c>
      <c r="AW1063" t="s">
        <v>82</v>
      </c>
      <c r="AX1063">
        <v>301</v>
      </c>
      <c r="AY1063" t="s">
        <v>81</v>
      </c>
      <c r="AZ1063">
        <v>42.48</v>
      </c>
      <c r="BA1063">
        <v>33.61</v>
      </c>
      <c r="BB1063" t="s">
        <v>83</v>
      </c>
    </row>
    <row r="1064" spans="1:54" x14ac:dyDescent="0.4">
      <c r="A1064">
        <v>900302</v>
      </c>
      <c r="D1064" t="s">
        <v>54</v>
      </c>
      <c r="I1064" t="s">
        <v>57</v>
      </c>
      <c r="K1064" t="s">
        <v>537</v>
      </c>
      <c r="L1064" t="s">
        <v>538</v>
      </c>
      <c r="M1064" t="s">
        <v>223</v>
      </c>
      <c r="N1064" t="s">
        <v>234</v>
      </c>
      <c r="O1064" t="s">
        <v>87</v>
      </c>
      <c r="P1064" t="s">
        <v>62</v>
      </c>
      <c r="R1064" t="s">
        <v>63</v>
      </c>
      <c r="S1064" t="s">
        <v>64</v>
      </c>
      <c r="T1064">
        <v>227</v>
      </c>
      <c r="U1064">
        <v>216.7</v>
      </c>
      <c r="V1064">
        <f t="shared" si="32"/>
        <v>221.85</v>
      </c>
      <c r="W1064">
        <f t="shared" si="33"/>
        <v>10.300000000000011</v>
      </c>
      <c r="X1064">
        <v>-118.016998</v>
      </c>
      <c r="Y1064">
        <v>38.402000000000001</v>
      </c>
      <c r="Z1064" t="s">
        <v>3447</v>
      </c>
      <c r="AA1064" t="s">
        <v>66</v>
      </c>
      <c r="AB1064" t="s">
        <v>558</v>
      </c>
      <c r="AD1064" t="s">
        <v>3448</v>
      </c>
      <c r="AH1064" t="s">
        <v>11</v>
      </c>
      <c r="AI1064" t="s">
        <v>3449</v>
      </c>
      <c r="AJ1064">
        <v>1979</v>
      </c>
      <c r="AK1064" t="s">
        <v>3453</v>
      </c>
      <c r="AN1064" t="s">
        <v>192</v>
      </c>
      <c r="AO1064">
        <v>3</v>
      </c>
      <c r="AP1064" t="s">
        <v>78</v>
      </c>
      <c r="AQ1064" t="s">
        <v>3454</v>
      </c>
      <c r="AR1064" t="s">
        <v>80</v>
      </c>
      <c r="AS1064">
        <v>101</v>
      </c>
      <c r="AT1064" t="s">
        <v>81</v>
      </c>
      <c r="AU1064">
        <v>-43.21</v>
      </c>
      <c r="AV1064">
        <v>15.55</v>
      </c>
      <c r="AW1064" t="s">
        <v>82</v>
      </c>
      <c r="AX1064">
        <v>131</v>
      </c>
      <c r="AY1064" t="s">
        <v>81</v>
      </c>
      <c r="AZ1064">
        <v>-55.11</v>
      </c>
      <c r="BA1064">
        <v>12.76</v>
      </c>
      <c r="BB1064" t="s">
        <v>83</v>
      </c>
    </row>
    <row r="1065" spans="1:54" x14ac:dyDescent="0.4">
      <c r="A1065">
        <v>908629</v>
      </c>
      <c r="D1065" t="s">
        <v>54</v>
      </c>
      <c r="E1065" t="s">
        <v>152</v>
      </c>
      <c r="G1065">
        <v>1</v>
      </c>
      <c r="H1065" t="s">
        <v>56</v>
      </c>
      <c r="I1065" t="s">
        <v>57</v>
      </c>
      <c r="K1065" t="s">
        <v>1816</v>
      </c>
      <c r="L1065" t="s">
        <v>3405</v>
      </c>
      <c r="M1065" t="s">
        <v>223</v>
      </c>
      <c r="N1065" t="s">
        <v>234</v>
      </c>
      <c r="O1065" t="s">
        <v>345</v>
      </c>
      <c r="P1065" t="s">
        <v>62</v>
      </c>
      <c r="R1065" t="s">
        <v>63</v>
      </c>
      <c r="S1065" t="s">
        <v>64</v>
      </c>
      <c r="T1065">
        <v>227</v>
      </c>
      <c r="U1065">
        <v>216.7</v>
      </c>
      <c r="V1065">
        <f t="shared" si="32"/>
        <v>221.85</v>
      </c>
      <c r="W1065">
        <f t="shared" si="33"/>
        <v>10.300000000000011</v>
      </c>
      <c r="X1065">
        <v>-117.591393</v>
      </c>
      <c r="Y1065">
        <v>38.876666999999998</v>
      </c>
      <c r="Z1065" t="s">
        <v>1361</v>
      </c>
      <c r="AA1065" t="s">
        <v>66</v>
      </c>
      <c r="AB1065" t="s">
        <v>558</v>
      </c>
      <c r="AC1065" t="s">
        <v>3540</v>
      </c>
      <c r="AD1065" t="s">
        <v>3448</v>
      </c>
      <c r="AG1065" t="s">
        <v>3541</v>
      </c>
      <c r="AH1065" t="s">
        <v>72</v>
      </c>
      <c r="AI1065" t="s">
        <v>3542</v>
      </c>
      <c r="AJ1065">
        <v>1989</v>
      </c>
      <c r="AK1065" t="s">
        <v>3543</v>
      </c>
      <c r="AN1065" t="s">
        <v>76</v>
      </c>
      <c r="AO1065" t="s">
        <v>77</v>
      </c>
      <c r="AP1065" t="s">
        <v>115</v>
      </c>
      <c r="AQ1065" t="s">
        <v>3544</v>
      </c>
      <c r="AR1065" t="s">
        <v>80</v>
      </c>
      <c r="AS1065">
        <v>101</v>
      </c>
      <c r="AT1065" t="s">
        <v>81</v>
      </c>
      <c r="AU1065">
        <v>-42.75</v>
      </c>
      <c r="AV1065">
        <v>15.92</v>
      </c>
      <c r="AW1065" t="s">
        <v>82</v>
      </c>
      <c r="AX1065">
        <v>131</v>
      </c>
      <c r="AY1065" t="s">
        <v>81</v>
      </c>
      <c r="AZ1065">
        <v>-54.7</v>
      </c>
      <c r="BA1065">
        <v>13.17</v>
      </c>
      <c r="BB1065" t="s">
        <v>83</v>
      </c>
    </row>
    <row r="1066" spans="1:54" x14ac:dyDescent="0.4">
      <c r="A1066">
        <v>1419479</v>
      </c>
      <c r="D1066" t="s">
        <v>54</v>
      </c>
      <c r="E1066" t="s">
        <v>152</v>
      </c>
      <c r="I1066" t="s">
        <v>57</v>
      </c>
      <c r="K1066" t="s">
        <v>1816</v>
      </c>
      <c r="L1066" t="s">
        <v>3405</v>
      </c>
      <c r="M1066" t="s">
        <v>223</v>
      </c>
      <c r="N1066" t="s">
        <v>234</v>
      </c>
      <c r="O1066" t="s">
        <v>345</v>
      </c>
      <c r="P1066" t="s">
        <v>62</v>
      </c>
      <c r="R1066" t="s">
        <v>63</v>
      </c>
      <c r="S1066" t="s">
        <v>64</v>
      </c>
      <c r="T1066">
        <v>227</v>
      </c>
      <c r="U1066">
        <v>216.7</v>
      </c>
      <c r="V1066">
        <f t="shared" si="32"/>
        <v>221.85</v>
      </c>
      <c r="W1066">
        <f t="shared" si="33"/>
        <v>10.300000000000011</v>
      </c>
      <c r="X1066">
        <v>-117.591393</v>
      </c>
      <c r="Y1066">
        <v>38.876666999999998</v>
      </c>
      <c r="Z1066" t="s">
        <v>1361</v>
      </c>
      <c r="AA1066" t="s">
        <v>66</v>
      </c>
      <c r="AB1066" t="s">
        <v>558</v>
      </c>
      <c r="AC1066" t="s">
        <v>3540</v>
      </c>
      <c r="AD1066" t="s">
        <v>3448</v>
      </c>
      <c r="AG1066" t="s">
        <v>3541</v>
      </c>
      <c r="AH1066" t="s">
        <v>11</v>
      </c>
      <c r="AI1066" t="s">
        <v>5277</v>
      </c>
      <c r="AJ1066">
        <v>1993</v>
      </c>
      <c r="AK1066" t="s">
        <v>3543</v>
      </c>
      <c r="AN1066" t="s">
        <v>76</v>
      </c>
      <c r="AO1066" t="s">
        <v>77</v>
      </c>
      <c r="AP1066" t="s">
        <v>115</v>
      </c>
      <c r="AQ1066" t="s">
        <v>3544</v>
      </c>
      <c r="AR1066" t="s">
        <v>80</v>
      </c>
      <c r="AS1066">
        <v>101</v>
      </c>
      <c r="AT1066" t="s">
        <v>81</v>
      </c>
      <c r="AU1066">
        <v>-42.75</v>
      </c>
      <c r="AV1066">
        <v>15.92</v>
      </c>
      <c r="AW1066" t="s">
        <v>82</v>
      </c>
      <c r="AX1066">
        <v>131</v>
      </c>
      <c r="AY1066" t="s">
        <v>81</v>
      </c>
      <c r="AZ1066">
        <v>-54.7</v>
      </c>
      <c r="BA1066">
        <v>13.17</v>
      </c>
      <c r="BB1066" t="s">
        <v>83</v>
      </c>
    </row>
    <row r="1067" spans="1:54" x14ac:dyDescent="0.4">
      <c r="A1067">
        <v>1419480</v>
      </c>
      <c r="D1067" t="s">
        <v>54</v>
      </c>
      <c r="E1067" t="s">
        <v>152</v>
      </c>
      <c r="I1067" t="s">
        <v>57</v>
      </c>
      <c r="K1067" t="s">
        <v>1816</v>
      </c>
      <c r="L1067" t="s">
        <v>3405</v>
      </c>
      <c r="M1067" t="s">
        <v>223</v>
      </c>
      <c r="N1067" t="s">
        <v>234</v>
      </c>
      <c r="O1067" t="s">
        <v>345</v>
      </c>
      <c r="P1067" t="s">
        <v>62</v>
      </c>
      <c r="R1067" t="s">
        <v>63</v>
      </c>
      <c r="S1067" t="s">
        <v>64</v>
      </c>
      <c r="T1067">
        <v>227</v>
      </c>
      <c r="U1067">
        <v>216.7</v>
      </c>
      <c r="V1067">
        <f t="shared" si="32"/>
        <v>221.85</v>
      </c>
      <c r="W1067">
        <f t="shared" si="33"/>
        <v>10.300000000000011</v>
      </c>
      <c r="X1067">
        <v>-117.591393</v>
      </c>
      <c r="Y1067">
        <v>38.876666999999998</v>
      </c>
      <c r="Z1067" t="s">
        <v>1361</v>
      </c>
      <c r="AA1067" t="s">
        <v>66</v>
      </c>
      <c r="AB1067" t="s">
        <v>558</v>
      </c>
      <c r="AC1067" t="s">
        <v>3540</v>
      </c>
      <c r="AD1067" t="s">
        <v>3448</v>
      </c>
      <c r="AG1067" t="s">
        <v>3541</v>
      </c>
      <c r="AH1067" t="s">
        <v>11</v>
      </c>
      <c r="AI1067" t="s">
        <v>5277</v>
      </c>
      <c r="AJ1067">
        <v>1993</v>
      </c>
      <c r="AK1067" t="s">
        <v>3543</v>
      </c>
      <c r="AN1067" t="s">
        <v>76</v>
      </c>
      <c r="AO1067" t="s">
        <v>77</v>
      </c>
      <c r="AP1067" t="s">
        <v>115</v>
      </c>
      <c r="AQ1067" t="s">
        <v>3544</v>
      </c>
      <c r="AR1067" t="s">
        <v>80</v>
      </c>
      <c r="AS1067">
        <v>101</v>
      </c>
      <c r="AT1067" t="s">
        <v>81</v>
      </c>
      <c r="AU1067">
        <v>-42.75</v>
      </c>
      <c r="AV1067">
        <v>15.92</v>
      </c>
      <c r="AW1067" t="s">
        <v>82</v>
      </c>
      <c r="AX1067">
        <v>131</v>
      </c>
      <c r="AY1067" t="s">
        <v>81</v>
      </c>
      <c r="AZ1067">
        <v>-54.7</v>
      </c>
      <c r="BA1067">
        <v>13.17</v>
      </c>
      <c r="BB1067" t="s">
        <v>83</v>
      </c>
    </row>
    <row r="1068" spans="1:54" x14ac:dyDescent="0.4">
      <c r="A1068">
        <v>150315</v>
      </c>
      <c r="D1068" t="s">
        <v>54</v>
      </c>
      <c r="E1068" t="s">
        <v>55</v>
      </c>
      <c r="I1068" t="s">
        <v>57</v>
      </c>
      <c r="K1068" t="s">
        <v>221</v>
      </c>
      <c r="L1068" t="s">
        <v>222</v>
      </c>
      <c r="M1068" t="s">
        <v>223</v>
      </c>
      <c r="P1068" t="s">
        <v>224</v>
      </c>
      <c r="Q1068" t="s">
        <v>182</v>
      </c>
      <c r="R1068" t="s">
        <v>183</v>
      </c>
      <c r="S1068" t="s">
        <v>64</v>
      </c>
      <c r="T1068">
        <v>246.7</v>
      </c>
      <c r="U1068">
        <v>237</v>
      </c>
      <c r="V1068">
        <f t="shared" si="32"/>
        <v>241.85</v>
      </c>
      <c r="W1068">
        <f t="shared" si="33"/>
        <v>9.6999999999999886</v>
      </c>
      <c r="X1068">
        <v>9.233333</v>
      </c>
      <c r="Y1068">
        <v>45.150002000000001</v>
      </c>
      <c r="Z1068" t="s">
        <v>225</v>
      </c>
      <c r="AA1068" t="s">
        <v>226</v>
      </c>
      <c r="AD1068" t="s">
        <v>227</v>
      </c>
      <c r="AH1068" t="s">
        <v>11</v>
      </c>
      <c r="AI1068" t="s">
        <v>228</v>
      </c>
      <c r="AJ1068">
        <v>1988</v>
      </c>
      <c r="AK1068" t="s">
        <v>229</v>
      </c>
      <c r="AN1068" t="s">
        <v>114</v>
      </c>
      <c r="AO1068" t="s">
        <v>160</v>
      </c>
      <c r="AP1068" t="s">
        <v>230</v>
      </c>
      <c r="AQ1068" t="s">
        <v>231</v>
      </c>
      <c r="AR1068" t="s">
        <v>80</v>
      </c>
      <c r="AS1068">
        <v>307</v>
      </c>
      <c r="AT1068" t="s">
        <v>81</v>
      </c>
      <c r="AU1068">
        <v>33.28</v>
      </c>
      <c r="AV1068">
        <v>16.98</v>
      </c>
      <c r="AW1068" t="s">
        <v>82</v>
      </c>
      <c r="AX1068">
        <v>307</v>
      </c>
      <c r="AY1068" t="s">
        <v>81</v>
      </c>
      <c r="AZ1068">
        <v>20.88</v>
      </c>
      <c r="BA1068">
        <v>6.94</v>
      </c>
      <c r="BB1068" t="s">
        <v>83</v>
      </c>
    </row>
    <row r="1069" spans="1:54" x14ac:dyDescent="0.4">
      <c r="A1069">
        <v>150316</v>
      </c>
      <c r="D1069" t="s">
        <v>54</v>
      </c>
      <c r="E1069" t="s">
        <v>55</v>
      </c>
      <c r="I1069" t="s">
        <v>57</v>
      </c>
      <c r="K1069" t="s">
        <v>232</v>
      </c>
      <c r="L1069" t="s">
        <v>233</v>
      </c>
      <c r="M1069" t="s">
        <v>223</v>
      </c>
      <c r="N1069" t="s">
        <v>234</v>
      </c>
      <c r="O1069" t="s">
        <v>87</v>
      </c>
      <c r="P1069" t="s">
        <v>224</v>
      </c>
      <c r="Q1069" t="s">
        <v>182</v>
      </c>
      <c r="R1069" t="s">
        <v>183</v>
      </c>
      <c r="S1069" t="s">
        <v>64</v>
      </c>
      <c r="T1069">
        <v>246.7</v>
      </c>
      <c r="U1069">
        <v>237</v>
      </c>
      <c r="V1069">
        <f t="shared" si="32"/>
        <v>241.85</v>
      </c>
      <c r="W1069">
        <f t="shared" si="33"/>
        <v>9.6999999999999886</v>
      </c>
      <c r="X1069">
        <v>9.233333</v>
      </c>
      <c r="Y1069">
        <v>45.150002000000001</v>
      </c>
      <c r="Z1069" t="s">
        <v>225</v>
      </c>
      <c r="AA1069" t="s">
        <v>226</v>
      </c>
      <c r="AD1069" t="s">
        <v>227</v>
      </c>
      <c r="AH1069" t="s">
        <v>11</v>
      </c>
      <c r="AI1069" t="s">
        <v>228</v>
      </c>
      <c r="AJ1069">
        <v>1988</v>
      </c>
      <c r="AK1069" t="s">
        <v>229</v>
      </c>
      <c r="AN1069" t="s">
        <v>114</v>
      </c>
      <c r="AO1069" t="s">
        <v>160</v>
      </c>
      <c r="AP1069" t="s">
        <v>230</v>
      </c>
      <c r="AQ1069" t="s">
        <v>231</v>
      </c>
      <c r="AR1069" t="s">
        <v>80</v>
      </c>
      <c r="AS1069">
        <v>307</v>
      </c>
      <c r="AT1069" t="s">
        <v>81</v>
      </c>
      <c r="AU1069">
        <v>33.28</v>
      </c>
      <c r="AV1069">
        <v>16.98</v>
      </c>
      <c r="AW1069" t="s">
        <v>82</v>
      </c>
      <c r="AX1069">
        <v>307</v>
      </c>
      <c r="AY1069" t="s">
        <v>81</v>
      </c>
      <c r="AZ1069">
        <v>20.88</v>
      </c>
      <c r="BA1069">
        <v>6.94</v>
      </c>
      <c r="BB1069" t="s">
        <v>83</v>
      </c>
    </row>
    <row r="1070" spans="1:54" x14ac:dyDescent="0.4">
      <c r="A1070">
        <v>337694</v>
      </c>
      <c r="D1070" t="s">
        <v>54</v>
      </c>
      <c r="I1070" t="s">
        <v>57</v>
      </c>
      <c r="K1070" t="s">
        <v>221</v>
      </c>
      <c r="L1070" t="s">
        <v>222</v>
      </c>
      <c r="M1070" t="s">
        <v>223</v>
      </c>
      <c r="P1070" t="s">
        <v>224</v>
      </c>
      <c r="Q1070" t="s">
        <v>182</v>
      </c>
      <c r="R1070" t="s">
        <v>183</v>
      </c>
      <c r="S1070" t="s">
        <v>64</v>
      </c>
      <c r="T1070">
        <v>246.7</v>
      </c>
      <c r="U1070">
        <v>237</v>
      </c>
      <c r="V1070">
        <f t="shared" si="32"/>
        <v>241.85</v>
      </c>
      <c r="W1070">
        <f t="shared" si="33"/>
        <v>9.6999999999999886</v>
      </c>
      <c r="X1070">
        <v>6.0333329999999998</v>
      </c>
      <c r="Y1070">
        <v>43.099997999999999</v>
      </c>
      <c r="Z1070" t="s">
        <v>520</v>
      </c>
      <c r="AA1070" t="s">
        <v>521</v>
      </c>
      <c r="AB1070" t="s">
        <v>522</v>
      </c>
      <c r="AC1070" t="s">
        <v>523</v>
      </c>
      <c r="AH1070" t="s">
        <v>72</v>
      </c>
      <c r="AI1070" t="s">
        <v>524</v>
      </c>
      <c r="AJ1070">
        <v>1934</v>
      </c>
      <c r="AK1070" t="s">
        <v>525</v>
      </c>
      <c r="AM1070" t="s">
        <v>526</v>
      </c>
      <c r="AN1070" t="s">
        <v>192</v>
      </c>
      <c r="AO1070" t="s">
        <v>160</v>
      </c>
      <c r="AP1070" t="s">
        <v>78</v>
      </c>
      <c r="AQ1070" t="s">
        <v>527</v>
      </c>
      <c r="AR1070" t="s">
        <v>80</v>
      </c>
      <c r="AS1070" t="s">
        <v>528</v>
      </c>
      <c r="AT1070" t="s">
        <v>81</v>
      </c>
      <c r="AW1070" t="s">
        <v>82</v>
      </c>
      <c r="AX1070">
        <v>305</v>
      </c>
      <c r="AY1070" t="s">
        <v>81</v>
      </c>
      <c r="AZ1070">
        <v>18.510000000000002</v>
      </c>
      <c r="BA1070">
        <v>8.69</v>
      </c>
      <c r="BB1070" t="s">
        <v>83</v>
      </c>
    </row>
    <row r="1071" spans="1:54" x14ac:dyDescent="0.4">
      <c r="A1071">
        <v>337705</v>
      </c>
      <c r="D1071" t="s">
        <v>54</v>
      </c>
      <c r="I1071" t="s">
        <v>57</v>
      </c>
      <c r="K1071" t="s">
        <v>141</v>
      </c>
      <c r="L1071" t="s">
        <v>529</v>
      </c>
      <c r="M1071" t="s">
        <v>223</v>
      </c>
      <c r="P1071" t="s">
        <v>224</v>
      </c>
      <c r="Q1071" t="s">
        <v>182</v>
      </c>
      <c r="R1071" t="s">
        <v>183</v>
      </c>
      <c r="S1071" t="s">
        <v>64</v>
      </c>
      <c r="T1071">
        <v>246.7</v>
      </c>
      <c r="U1071">
        <v>237</v>
      </c>
      <c r="V1071">
        <f t="shared" si="32"/>
        <v>241.85</v>
      </c>
      <c r="W1071">
        <f t="shared" si="33"/>
        <v>9.6999999999999886</v>
      </c>
      <c r="X1071">
        <v>6.0666669999999998</v>
      </c>
      <c r="Y1071">
        <v>43.233333999999999</v>
      </c>
      <c r="Z1071" t="s">
        <v>520</v>
      </c>
      <c r="AA1071" t="s">
        <v>521</v>
      </c>
      <c r="AB1071" t="s">
        <v>522</v>
      </c>
      <c r="AC1071" t="s">
        <v>523</v>
      </c>
      <c r="AH1071" t="s">
        <v>11</v>
      </c>
      <c r="AI1071" t="s">
        <v>524</v>
      </c>
      <c r="AJ1071">
        <v>1934</v>
      </c>
      <c r="AK1071" t="s">
        <v>530</v>
      </c>
      <c r="AM1071" t="s">
        <v>531</v>
      </c>
      <c r="AN1071" t="s">
        <v>192</v>
      </c>
      <c r="AO1071" t="s">
        <v>160</v>
      </c>
      <c r="AP1071" t="s">
        <v>78</v>
      </c>
      <c r="AQ1071" t="s">
        <v>532</v>
      </c>
      <c r="AR1071" t="s">
        <v>80</v>
      </c>
      <c r="AS1071" t="s">
        <v>528</v>
      </c>
      <c r="AT1071" t="s">
        <v>81</v>
      </c>
      <c r="AW1071" t="s">
        <v>82</v>
      </c>
      <c r="AX1071">
        <v>305</v>
      </c>
      <c r="AY1071" t="s">
        <v>81</v>
      </c>
      <c r="AZ1071">
        <v>18.489999999999998</v>
      </c>
      <c r="BA1071">
        <v>8.82</v>
      </c>
      <c r="BB1071" t="s">
        <v>83</v>
      </c>
    </row>
    <row r="1072" spans="1:54" x14ac:dyDescent="0.4">
      <c r="A1072">
        <v>361674</v>
      </c>
      <c r="D1072" t="s">
        <v>54</v>
      </c>
      <c r="E1072" t="s">
        <v>55</v>
      </c>
      <c r="G1072">
        <v>1</v>
      </c>
      <c r="H1072" t="s">
        <v>56</v>
      </c>
      <c r="I1072" t="s">
        <v>57</v>
      </c>
      <c r="K1072" t="s">
        <v>556</v>
      </c>
      <c r="L1072" t="s">
        <v>557</v>
      </c>
      <c r="M1072" t="s">
        <v>223</v>
      </c>
      <c r="N1072" t="s">
        <v>234</v>
      </c>
      <c r="O1072" t="s">
        <v>87</v>
      </c>
      <c r="P1072" t="s">
        <v>224</v>
      </c>
      <c r="Q1072" t="s">
        <v>182</v>
      </c>
      <c r="R1072" t="s">
        <v>183</v>
      </c>
      <c r="S1072" t="s">
        <v>64</v>
      </c>
      <c r="T1072">
        <v>246.7</v>
      </c>
      <c r="U1072">
        <v>237</v>
      </c>
      <c r="V1072">
        <f t="shared" si="32"/>
        <v>241.85</v>
      </c>
      <c r="W1072">
        <f t="shared" si="33"/>
        <v>9.6999999999999886</v>
      </c>
      <c r="X1072">
        <v>-118.300003</v>
      </c>
      <c r="Y1072">
        <v>40.133330999999998</v>
      </c>
      <c r="Z1072" t="s">
        <v>520</v>
      </c>
      <c r="AA1072" t="s">
        <v>66</v>
      </c>
      <c r="AB1072" t="s">
        <v>558</v>
      </c>
      <c r="AC1072" t="s">
        <v>559</v>
      </c>
      <c r="AD1072" t="s">
        <v>560</v>
      </c>
      <c r="AH1072" t="s">
        <v>72</v>
      </c>
      <c r="AI1072" t="s">
        <v>561</v>
      </c>
      <c r="AJ1072">
        <v>1906</v>
      </c>
      <c r="AK1072" t="s">
        <v>562</v>
      </c>
      <c r="AM1072" t="s">
        <v>563</v>
      </c>
      <c r="AN1072" t="s">
        <v>114</v>
      </c>
      <c r="AO1072" t="s">
        <v>160</v>
      </c>
      <c r="AP1072" t="s">
        <v>359</v>
      </c>
      <c r="AQ1072" t="s">
        <v>564</v>
      </c>
      <c r="AR1072" t="s">
        <v>80</v>
      </c>
      <c r="AS1072">
        <v>101</v>
      </c>
      <c r="AT1072" t="s">
        <v>81</v>
      </c>
      <c r="AU1072">
        <v>-39.08</v>
      </c>
      <c r="AV1072">
        <v>24.35</v>
      </c>
      <c r="AW1072" t="s">
        <v>82</v>
      </c>
      <c r="AX1072">
        <v>131</v>
      </c>
      <c r="AY1072" t="s">
        <v>81</v>
      </c>
      <c r="AZ1072">
        <v>-44.33</v>
      </c>
      <c r="BA1072">
        <v>7.99</v>
      </c>
      <c r="BB1072" t="s">
        <v>83</v>
      </c>
    </row>
    <row r="1073" spans="1:54" x14ac:dyDescent="0.4">
      <c r="A1073">
        <v>361674</v>
      </c>
      <c r="D1073" t="s">
        <v>54</v>
      </c>
      <c r="E1073" t="s">
        <v>55</v>
      </c>
      <c r="G1073">
        <v>1</v>
      </c>
      <c r="H1073" t="s">
        <v>56</v>
      </c>
      <c r="I1073" t="s">
        <v>57</v>
      </c>
      <c r="K1073" t="s">
        <v>556</v>
      </c>
      <c r="L1073" t="s">
        <v>557</v>
      </c>
      <c r="M1073" t="s">
        <v>223</v>
      </c>
      <c r="N1073" t="s">
        <v>234</v>
      </c>
      <c r="O1073" t="s">
        <v>87</v>
      </c>
      <c r="P1073" t="s">
        <v>224</v>
      </c>
      <c r="Q1073" t="s">
        <v>182</v>
      </c>
      <c r="R1073" t="s">
        <v>183</v>
      </c>
      <c r="S1073" t="s">
        <v>64</v>
      </c>
      <c r="T1073">
        <v>246.7</v>
      </c>
      <c r="U1073">
        <v>237</v>
      </c>
      <c r="V1073">
        <f t="shared" si="32"/>
        <v>241.85</v>
      </c>
      <c r="W1073">
        <f t="shared" si="33"/>
        <v>9.6999999999999886</v>
      </c>
      <c r="X1073">
        <v>-118.300003</v>
      </c>
      <c r="Y1073">
        <v>40.133330999999998</v>
      </c>
      <c r="Z1073" t="s">
        <v>520</v>
      </c>
      <c r="AA1073" t="s">
        <v>66</v>
      </c>
      <c r="AB1073" t="s">
        <v>558</v>
      </c>
      <c r="AC1073" t="s">
        <v>559</v>
      </c>
      <c r="AD1073" t="s">
        <v>560</v>
      </c>
      <c r="AH1073" t="s">
        <v>72</v>
      </c>
      <c r="AI1073" t="s">
        <v>561</v>
      </c>
      <c r="AJ1073">
        <v>1906</v>
      </c>
      <c r="AK1073" t="s">
        <v>562</v>
      </c>
      <c r="AM1073" t="s">
        <v>563</v>
      </c>
      <c r="AN1073" t="s">
        <v>114</v>
      </c>
      <c r="AO1073" t="s">
        <v>160</v>
      </c>
      <c r="AP1073" t="s">
        <v>359</v>
      </c>
      <c r="AQ1073" t="s">
        <v>564</v>
      </c>
      <c r="AR1073" t="s">
        <v>80</v>
      </c>
      <c r="AS1073">
        <v>101</v>
      </c>
      <c r="AT1073" t="s">
        <v>81</v>
      </c>
      <c r="AU1073">
        <v>-39.08</v>
      </c>
      <c r="AV1073">
        <v>24.35</v>
      </c>
      <c r="AW1073" t="s">
        <v>82</v>
      </c>
      <c r="AX1073">
        <v>131</v>
      </c>
      <c r="AY1073" t="s">
        <v>81</v>
      </c>
      <c r="AZ1073">
        <v>-44.33</v>
      </c>
      <c r="BA1073">
        <v>7.99</v>
      </c>
      <c r="BB1073" t="s">
        <v>83</v>
      </c>
    </row>
    <row r="1074" spans="1:54" x14ac:dyDescent="0.4">
      <c r="A1074">
        <v>391980</v>
      </c>
      <c r="D1074" t="s">
        <v>54</v>
      </c>
      <c r="E1074" t="s">
        <v>152</v>
      </c>
      <c r="G1074">
        <v>1</v>
      </c>
      <c r="H1074" t="s">
        <v>56</v>
      </c>
      <c r="I1074" t="s">
        <v>57</v>
      </c>
      <c r="K1074" t="s">
        <v>232</v>
      </c>
      <c r="L1074" t="s">
        <v>681</v>
      </c>
      <c r="M1074" t="s">
        <v>223</v>
      </c>
      <c r="N1074" t="s">
        <v>234</v>
      </c>
      <c r="O1074" t="s">
        <v>87</v>
      </c>
      <c r="P1074" t="s">
        <v>224</v>
      </c>
      <c r="Q1074" t="s">
        <v>182</v>
      </c>
      <c r="R1074" t="s">
        <v>183</v>
      </c>
      <c r="S1074" t="s">
        <v>64</v>
      </c>
      <c r="T1074">
        <v>246.7</v>
      </c>
      <c r="U1074">
        <v>237</v>
      </c>
      <c r="V1074">
        <f t="shared" si="32"/>
        <v>241.85</v>
      </c>
      <c r="W1074">
        <f t="shared" si="33"/>
        <v>9.6999999999999886</v>
      </c>
      <c r="X1074">
        <v>106.366997</v>
      </c>
      <c r="Y1074">
        <v>27.856999999999999</v>
      </c>
      <c r="Z1074" t="s">
        <v>520</v>
      </c>
      <c r="AA1074" t="s">
        <v>379</v>
      </c>
      <c r="AB1074" t="s">
        <v>682</v>
      </c>
      <c r="AH1074" t="s">
        <v>72</v>
      </c>
      <c r="AI1074" t="s">
        <v>683</v>
      </c>
      <c r="AJ1074">
        <v>1965</v>
      </c>
      <c r="AK1074" t="s">
        <v>684</v>
      </c>
      <c r="AN1074" t="s">
        <v>114</v>
      </c>
      <c r="AO1074">
        <v>3</v>
      </c>
      <c r="AP1074" t="s">
        <v>78</v>
      </c>
      <c r="AQ1074" t="s">
        <v>685</v>
      </c>
      <c r="AR1074" t="s">
        <v>80</v>
      </c>
      <c r="AS1074">
        <v>611</v>
      </c>
      <c r="AT1074" t="s">
        <v>81</v>
      </c>
      <c r="AU1074">
        <v>109.25</v>
      </c>
      <c r="AV1074">
        <v>-6.45</v>
      </c>
      <c r="AW1074" t="s">
        <v>82</v>
      </c>
      <c r="AX1074">
        <v>611</v>
      </c>
      <c r="AY1074" t="s">
        <v>81</v>
      </c>
      <c r="AZ1074">
        <v>94.43</v>
      </c>
      <c r="BA1074">
        <v>17.29</v>
      </c>
      <c r="BB1074" t="s">
        <v>83</v>
      </c>
    </row>
    <row r="1075" spans="1:54" x14ac:dyDescent="0.4">
      <c r="A1075">
        <v>411325</v>
      </c>
      <c r="D1075" t="s">
        <v>54</v>
      </c>
      <c r="I1075" t="s">
        <v>57</v>
      </c>
      <c r="K1075" t="s">
        <v>755</v>
      </c>
      <c r="L1075" t="s">
        <v>756</v>
      </c>
      <c r="M1075" t="s">
        <v>223</v>
      </c>
      <c r="P1075" t="s">
        <v>224</v>
      </c>
      <c r="Q1075" t="s">
        <v>182</v>
      </c>
      <c r="R1075" t="s">
        <v>183</v>
      </c>
      <c r="S1075" t="s">
        <v>64</v>
      </c>
      <c r="T1075">
        <v>246.7</v>
      </c>
      <c r="U1075">
        <v>237</v>
      </c>
      <c r="V1075">
        <f t="shared" si="32"/>
        <v>241.85</v>
      </c>
      <c r="W1075">
        <f t="shared" si="33"/>
        <v>9.6999999999999886</v>
      </c>
      <c r="X1075">
        <v>10.083333</v>
      </c>
      <c r="Y1075">
        <v>49.150002000000001</v>
      </c>
      <c r="Z1075" t="s">
        <v>520</v>
      </c>
      <c r="AA1075" t="s">
        <v>211</v>
      </c>
      <c r="AB1075" t="s">
        <v>212</v>
      </c>
      <c r="AH1075" t="s">
        <v>11</v>
      </c>
      <c r="AI1075" t="s">
        <v>757</v>
      </c>
      <c r="AJ1075">
        <v>1959</v>
      </c>
      <c r="AK1075" t="s">
        <v>758</v>
      </c>
      <c r="AN1075" t="s">
        <v>114</v>
      </c>
      <c r="AO1075" t="s">
        <v>160</v>
      </c>
      <c r="AQ1075" t="s">
        <v>759</v>
      </c>
      <c r="AR1075" t="s">
        <v>80</v>
      </c>
      <c r="AS1075">
        <v>305</v>
      </c>
      <c r="AT1075" t="s">
        <v>81</v>
      </c>
      <c r="AU1075">
        <v>28.69</v>
      </c>
      <c r="AV1075">
        <v>28.48</v>
      </c>
      <c r="AW1075" t="s">
        <v>82</v>
      </c>
      <c r="AX1075">
        <v>305</v>
      </c>
      <c r="AY1075" t="s">
        <v>81</v>
      </c>
      <c r="AZ1075">
        <v>18.690000000000001</v>
      </c>
      <c r="BA1075">
        <v>15.35</v>
      </c>
      <c r="BB1075" t="s">
        <v>83</v>
      </c>
    </row>
    <row r="1076" spans="1:54" x14ac:dyDescent="0.4">
      <c r="A1076">
        <v>467069</v>
      </c>
      <c r="D1076" t="s">
        <v>54</v>
      </c>
      <c r="E1076" t="s">
        <v>55</v>
      </c>
      <c r="G1076">
        <v>24</v>
      </c>
      <c r="H1076" t="s">
        <v>84</v>
      </c>
      <c r="I1076" t="s">
        <v>57</v>
      </c>
      <c r="K1076" t="s">
        <v>802</v>
      </c>
      <c r="L1076" t="s">
        <v>803</v>
      </c>
      <c r="M1076" t="s">
        <v>223</v>
      </c>
      <c r="N1076" t="s">
        <v>234</v>
      </c>
      <c r="O1076" t="s">
        <v>87</v>
      </c>
      <c r="P1076" t="s">
        <v>224</v>
      </c>
      <c r="Q1076" t="s">
        <v>182</v>
      </c>
      <c r="R1076" t="s">
        <v>183</v>
      </c>
      <c r="S1076" t="s">
        <v>64</v>
      </c>
      <c r="T1076">
        <v>246.7</v>
      </c>
      <c r="U1076">
        <v>237</v>
      </c>
      <c r="V1076">
        <f t="shared" si="32"/>
        <v>241.85</v>
      </c>
      <c r="W1076">
        <f t="shared" si="33"/>
        <v>9.6999999999999886</v>
      </c>
      <c r="X1076">
        <v>-118.300003</v>
      </c>
      <c r="Y1076">
        <v>40.133330999999998</v>
      </c>
      <c r="Z1076" t="s">
        <v>520</v>
      </c>
      <c r="AA1076" t="s">
        <v>66</v>
      </c>
      <c r="AB1076" t="s">
        <v>558</v>
      </c>
      <c r="AC1076" t="s">
        <v>559</v>
      </c>
      <c r="AD1076" t="s">
        <v>560</v>
      </c>
      <c r="AH1076" t="s">
        <v>11</v>
      </c>
      <c r="AI1076" t="s">
        <v>561</v>
      </c>
      <c r="AJ1076">
        <v>1906</v>
      </c>
      <c r="AK1076" t="s">
        <v>562</v>
      </c>
      <c r="AM1076" t="s">
        <v>563</v>
      </c>
      <c r="AN1076" t="s">
        <v>114</v>
      </c>
      <c r="AO1076" t="s">
        <v>160</v>
      </c>
      <c r="AP1076" t="s">
        <v>359</v>
      </c>
      <c r="AQ1076" t="s">
        <v>564</v>
      </c>
      <c r="AR1076" t="s">
        <v>80</v>
      </c>
      <c r="AS1076">
        <v>101</v>
      </c>
      <c r="AT1076" t="s">
        <v>81</v>
      </c>
      <c r="AU1076">
        <v>-39.08</v>
      </c>
      <c r="AV1076">
        <v>24.35</v>
      </c>
      <c r="AW1076" t="s">
        <v>82</v>
      </c>
      <c r="AX1076">
        <v>131</v>
      </c>
      <c r="AY1076" t="s">
        <v>81</v>
      </c>
      <c r="AZ1076">
        <v>-44.33</v>
      </c>
      <c r="BA1076">
        <v>7.99</v>
      </c>
      <c r="BB1076" t="s">
        <v>83</v>
      </c>
    </row>
    <row r="1077" spans="1:54" x14ac:dyDescent="0.4">
      <c r="A1077">
        <v>467070</v>
      </c>
      <c r="D1077" t="s">
        <v>54</v>
      </c>
      <c r="E1077" t="s">
        <v>55</v>
      </c>
      <c r="G1077">
        <v>6</v>
      </c>
      <c r="H1077" t="s">
        <v>84</v>
      </c>
      <c r="I1077" t="s">
        <v>57</v>
      </c>
      <c r="K1077" t="s">
        <v>802</v>
      </c>
      <c r="L1077" t="s">
        <v>803</v>
      </c>
      <c r="M1077" t="s">
        <v>223</v>
      </c>
      <c r="N1077" t="s">
        <v>234</v>
      </c>
      <c r="O1077" t="s">
        <v>87</v>
      </c>
      <c r="P1077" t="s">
        <v>224</v>
      </c>
      <c r="Q1077" t="s">
        <v>182</v>
      </c>
      <c r="R1077" t="s">
        <v>183</v>
      </c>
      <c r="S1077" t="s">
        <v>64</v>
      </c>
      <c r="T1077">
        <v>246.7</v>
      </c>
      <c r="U1077">
        <v>237</v>
      </c>
      <c r="V1077">
        <f t="shared" si="32"/>
        <v>241.85</v>
      </c>
      <c r="W1077">
        <f t="shared" si="33"/>
        <v>9.6999999999999886</v>
      </c>
      <c r="X1077">
        <v>-118.300003</v>
      </c>
      <c r="Y1077">
        <v>40.133330999999998</v>
      </c>
      <c r="Z1077" t="s">
        <v>520</v>
      </c>
      <c r="AA1077" t="s">
        <v>66</v>
      </c>
      <c r="AB1077" t="s">
        <v>558</v>
      </c>
      <c r="AC1077" t="s">
        <v>559</v>
      </c>
      <c r="AD1077" t="s">
        <v>560</v>
      </c>
      <c r="AH1077" t="s">
        <v>72</v>
      </c>
      <c r="AI1077" t="s">
        <v>561</v>
      </c>
      <c r="AJ1077">
        <v>1906</v>
      </c>
      <c r="AK1077" t="s">
        <v>562</v>
      </c>
      <c r="AM1077" t="s">
        <v>563</v>
      </c>
      <c r="AN1077" t="s">
        <v>114</v>
      </c>
      <c r="AO1077" t="s">
        <v>160</v>
      </c>
      <c r="AP1077" t="s">
        <v>359</v>
      </c>
      <c r="AQ1077" t="s">
        <v>564</v>
      </c>
      <c r="AR1077" t="s">
        <v>80</v>
      </c>
      <c r="AS1077">
        <v>101</v>
      </c>
      <c r="AT1077" t="s">
        <v>81</v>
      </c>
      <c r="AU1077">
        <v>-39.08</v>
      </c>
      <c r="AV1077">
        <v>24.35</v>
      </c>
      <c r="AW1077" t="s">
        <v>82</v>
      </c>
      <c r="AX1077">
        <v>131</v>
      </c>
      <c r="AY1077" t="s">
        <v>81</v>
      </c>
      <c r="AZ1077">
        <v>-44.33</v>
      </c>
      <c r="BA1077">
        <v>7.99</v>
      </c>
      <c r="BB1077" t="s">
        <v>83</v>
      </c>
    </row>
    <row r="1078" spans="1:54" x14ac:dyDescent="0.4">
      <c r="A1078">
        <v>467071</v>
      </c>
      <c r="D1078" t="s">
        <v>54</v>
      </c>
      <c r="E1078" t="s">
        <v>55</v>
      </c>
      <c r="G1078">
        <v>3</v>
      </c>
      <c r="H1078" t="s">
        <v>84</v>
      </c>
      <c r="I1078" t="s">
        <v>57</v>
      </c>
      <c r="K1078" t="s">
        <v>802</v>
      </c>
      <c r="L1078" t="s">
        <v>803</v>
      </c>
      <c r="M1078" t="s">
        <v>223</v>
      </c>
      <c r="N1078" t="s">
        <v>234</v>
      </c>
      <c r="O1078" t="s">
        <v>87</v>
      </c>
      <c r="P1078" t="s">
        <v>224</v>
      </c>
      <c r="Q1078" t="s">
        <v>182</v>
      </c>
      <c r="R1078" t="s">
        <v>183</v>
      </c>
      <c r="S1078" t="s">
        <v>64</v>
      </c>
      <c r="T1078">
        <v>246.7</v>
      </c>
      <c r="U1078">
        <v>237</v>
      </c>
      <c r="V1078">
        <f t="shared" si="32"/>
        <v>241.85</v>
      </c>
      <c r="W1078">
        <f t="shared" si="33"/>
        <v>9.6999999999999886</v>
      </c>
      <c r="X1078">
        <v>-118.300003</v>
      </c>
      <c r="Y1078">
        <v>40.133330999999998</v>
      </c>
      <c r="Z1078" t="s">
        <v>520</v>
      </c>
      <c r="AA1078" t="s">
        <v>66</v>
      </c>
      <c r="AB1078" t="s">
        <v>558</v>
      </c>
      <c r="AC1078" t="s">
        <v>559</v>
      </c>
      <c r="AD1078" t="s">
        <v>560</v>
      </c>
      <c r="AH1078" t="s">
        <v>72</v>
      </c>
      <c r="AI1078" t="s">
        <v>561</v>
      </c>
      <c r="AJ1078">
        <v>1906</v>
      </c>
      <c r="AK1078" t="s">
        <v>562</v>
      </c>
      <c r="AM1078" t="s">
        <v>563</v>
      </c>
      <c r="AN1078" t="s">
        <v>114</v>
      </c>
      <c r="AO1078" t="s">
        <v>160</v>
      </c>
      <c r="AP1078" t="s">
        <v>359</v>
      </c>
      <c r="AQ1078" t="s">
        <v>564</v>
      </c>
      <c r="AR1078" t="s">
        <v>80</v>
      </c>
      <c r="AS1078">
        <v>101</v>
      </c>
      <c r="AT1078" t="s">
        <v>81</v>
      </c>
      <c r="AU1078">
        <v>-39.08</v>
      </c>
      <c r="AV1078">
        <v>24.35</v>
      </c>
      <c r="AW1078" t="s">
        <v>82</v>
      </c>
      <c r="AX1078">
        <v>131</v>
      </c>
      <c r="AY1078" t="s">
        <v>81</v>
      </c>
      <c r="AZ1078">
        <v>-44.33</v>
      </c>
      <c r="BA1078">
        <v>7.99</v>
      </c>
      <c r="BB1078" t="s">
        <v>83</v>
      </c>
    </row>
    <row r="1079" spans="1:54" x14ac:dyDescent="0.4">
      <c r="A1079">
        <v>467073</v>
      </c>
      <c r="D1079" t="s">
        <v>54</v>
      </c>
      <c r="E1079" t="s">
        <v>55</v>
      </c>
      <c r="G1079">
        <v>1</v>
      </c>
      <c r="H1079" t="s">
        <v>84</v>
      </c>
      <c r="I1079" t="s">
        <v>57</v>
      </c>
      <c r="K1079" t="s">
        <v>232</v>
      </c>
      <c r="L1079" t="s">
        <v>804</v>
      </c>
      <c r="M1079" t="s">
        <v>223</v>
      </c>
      <c r="N1079" t="s">
        <v>234</v>
      </c>
      <c r="O1079" t="s">
        <v>87</v>
      </c>
      <c r="P1079" t="s">
        <v>224</v>
      </c>
      <c r="Q1079" t="s">
        <v>182</v>
      </c>
      <c r="R1079" t="s">
        <v>183</v>
      </c>
      <c r="S1079" t="s">
        <v>64</v>
      </c>
      <c r="T1079">
        <v>246.7</v>
      </c>
      <c r="U1079">
        <v>237</v>
      </c>
      <c r="V1079">
        <f t="shared" si="32"/>
        <v>241.85</v>
      </c>
      <c r="W1079">
        <f t="shared" si="33"/>
        <v>9.6999999999999886</v>
      </c>
      <c r="X1079">
        <v>-118.300003</v>
      </c>
      <c r="Y1079">
        <v>40.133330999999998</v>
      </c>
      <c r="Z1079" t="s">
        <v>520</v>
      </c>
      <c r="AA1079" t="s">
        <v>66</v>
      </c>
      <c r="AB1079" t="s">
        <v>558</v>
      </c>
      <c r="AC1079" t="s">
        <v>559</v>
      </c>
      <c r="AD1079" t="s">
        <v>560</v>
      </c>
      <c r="AH1079" t="s">
        <v>72</v>
      </c>
      <c r="AI1079" t="s">
        <v>561</v>
      </c>
      <c r="AJ1079">
        <v>1906</v>
      </c>
      <c r="AK1079" t="s">
        <v>562</v>
      </c>
      <c r="AM1079" t="s">
        <v>563</v>
      </c>
      <c r="AN1079" t="s">
        <v>114</v>
      </c>
      <c r="AO1079" t="s">
        <v>160</v>
      </c>
      <c r="AP1079" t="s">
        <v>359</v>
      </c>
      <c r="AQ1079" t="s">
        <v>564</v>
      </c>
      <c r="AR1079" t="s">
        <v>80</v>
      </c>
      <c r="AS1079">
        <v>101</v>
      </c>
      <c r="AT1079" t="s">
        <v>81</v>
      </c>
      <c r="AU1079">
        <v>-39.08</v>
      </c>
      <c r="AV1079">
        <v>24.35</v>
      </c>
      <c r="AW1079" t="s">
        <v>82</v>
      </c>
      <c r="AX1079">
        <v>131</v>
      </c>
      <c r="AY1079" t="s">
        <v>81</v>
      </c>
      <c r="AZ1079">
        <v>-44.33</v>
      </c>
      <c r="BA1079">
        <v>7.99</v>
      </c>
      <c r="BB1079" t="s">
        <v>83</v>
      </c>
    </row>
    <row r="1080" spans="1:54" x14ac:dyDescent="0.4">
      <c r="A1080">
        <v>690412</v>
      </c>
      <c r="D1080" t="s">
        <v>54</v>
      </c>
      <c r="G1080">
        <v>1</v>
      </c>
      <c r="H1080" t="s">
        <v>84</v>
      </c>
      <c r="I1080" t="s">
        <v>57</v>
      </c>
      <c r="K1080" t="s">
        <v>141</v>
      </c>
      <c r="L1080" t="s">
        <v>1243</v>
      </c>
      <c r="M1080" t="s">
        <v>60</v>
      </c>
      <c r="P1080" t="s">
        <v>224</v>
      </c>
      <c r="Q1080" t="s">
        <v>182</v>
      </c>
      <c r="R1080" t="s">
        <v>183</v>
      </c>
      <c r="S1080" t="s">
        <v>64</v>
      </c>
      <c r="T1080">
        <v>246.7</v>
      </c>
      <c r="U1080">
        <v>237</v>
      </c>
      <c r="V1080">
        <f t="shared" si="32"/>
        <v>241.85</v>
      </c>
      <c r="W1080">
        <f t="shared" si="33"/>
        <v>9.6999999999999886</v>
      </c>
      <c r="X1080">
        <v>-1.52485</v>
      </c>
      <c r="Y1080">
        <v>52.296581000000003</v>
      </c>
      <c r="Z1080" t="s">
        <v>124</v>
      </c>
      <c r="AA1080" t="s">
        <v>91</v>
      </c>
      <c r="AB1080" t="s">
        <v>92</v>
      </c>
      <c r="AC1080" t="s">
        <v>690</v>
      </c>
      <c r="AD1080" t="s">
        <v>1244</v>
      </c>
      <c r="AE1080" t="s">
        <v>1245</v>
      </c>
      <c r="AH1080" t="s">
        <v>72</v>
      </c>
      <c r="AI1080" t="s">
        <v>1045</v>
      </c>
      <c r="AJ1080">
        <v>1842</v>
      </c>
      <c r="AK1080" t="s">
        <v>1483</v>
      </c>
      <c r="AN1080" t="s">
        <v>76</v>
      </c>
      <c r="AO1080">
        <v>5</v>
      </c>
      <c r="AP1080" t="s">
        <v>78</v>
      </c>
      <c r="AQ1080" t="s">
        <v>1484</v>
      </c>
      <c r="AR1080" t="s">
        <v>80</v>
      </c>
      <c r="AS1080">
        <v>315</v>
      </c>
      <c r="AT1080" t="s">
        <v>81</v>
      </c>
      <c r="AU1080">
        <v>19.71</v>
      </c>
      <c r="AV1080">
        <v>30.02</v>
      </c>
      <c r="AW1080" t="s">
        <v>82</v>
      </c>
      <c r="AX1080">
        <v>315</v>
      </c>
      <c r="AY1080" t="s">
        <v>81</v>
      </c>
      <c r="AZ1080">
        <v>10.41</v>
      </c>
      <c r="BA1080">
        <v>15.58</v>
      </c>
      <c r="BB1080" t="s">
        <v>83</v>
      </c>
    </row>
    <row r="1081" spans="1:54" x14ac:dyDescent="0.4">
      <c r="A1081">
        <v>690413</v>
      </c>
      <c r="D1081" t="s">
        <v>54</v>
      </c>
      <c r="G1081">
        <v>1</v>
      </c>
      <c r="H1081" t="s">
        <v>84</v>
      </c>
      <c r="I1081" t="s">
        <v>57</v>
      </c>
      <c r="K1081" t="s">
        <v>840</v>
      </c>
      <c r="L1081" t="s">
        <v>1268</v>
      </c>
      <c r="M1081" t="s">
        <v>60</v>
      </c>
      <c r="O1081" t="s">
        <v>170</v>
      </c>
      <c r="P1081" t="s">
        <v>224</v>
      </c>
      <c r="Q1081" t="s">
        <v>182</v>
      </c>
      <c r="R1081" t="s">
        <v>183</v>
      </c>
      <c r="S1081" t="s">
        <v>64</v>
      </c>
      <c r="T1081">
        <v>246.7</v>
      </c>
      <c r="U1081">
        <v>237</v>
      </c>
      <c r="V1081">
        <f t="shared" si="32"/>
        <v>241.85</v>
      </c>
      <c r="W1081">
        <f t="shared" si="33"/>
        <v>9.6999999999999886</v>
      </c>
      <c r="X1081">
        <v>-1.52485</v>
      </c>
      <c r="Y1081">
        <v>52.296581000000003</v>
      </c>
      <c r="Z1081" t="s">
        <v>124</v>
      </c>
      <c r="AA1081" t="s">
        <v>91</v>
      </c>
      <c r="AB1081" t="s">
        <v>92</v>
      </c>
      <c r="AC1081" t="s">
        <v>690</v>
      </c>
      <c r="AD1081" t="s">
        <v>1244</v>
      </c>
      <c r="AE1081" t="s">
        <v>1245</v>
      </c>
      <c r="AH1081" t="s">
        <v>72</v>
      </c>
      <c r="AI1081" t="s">
        <v>1269</v>
      </c>
      <c r="AJ1081">
        <v>1990</v>
      </c>
      <c r="AK1081" t="s">
        <v>1483</v>
      </c>
      <c r="AN1081" t="s">
        <v>76</v>
      </c>
      <c r="AO1081">
        <v>5</v>
      </c>
      <c r="AP1081" t="s">
        <v>78</v>
      </c>
      <c r="AQ1081" t="s">
        <v>1484</v>
      </c>
      <c r="AR1081" t="s">
        <v>80</v>
      </c>
      <c r="AS1081">
        <v>315</v>
      </c>
      <c r="AT1081" t="s">
        <v>81</v>
      </c>
      <c r="AU1081">
        <v>19.71</v>
      </c>
      <c r="AV1081">
        <v>30.02</v>
      </c>
      <c r="AW1081" t="s">
        <v>82</v>
      </c>
      <c r="AX1081">
        <v>315</v>
      </c>
      <c r="AY1081" t="s">
        <v>81</v>
      </c>
      <c r="AZ1081">
        <v>10.41</v>
      </c>
      <c r="BA1081">
        <v>15.58</v>
      </c>
      <c r="BB1081" t="s">
        <v>83</v>
      </c>
    </row>
    <row r="1082" spans="1:54" x14ac:dyDescent="0.4">
      <c r="A1082">
        <v>700604</v>
      </c>
      <c r="D1082" t="s">
        <v>54</v>
      </c>
      <c r="G1082">
        <v>3</v>
      </c>
      <c r="H1082" t="s">
        <v>84</v>
      </c>
      <c r="I1082" t="s">
        <v>57</v>
      </c>
      <c r="K1082" t="s">
        <v>141</v>
      </c>
      <c r="L1082" t="s">
        <v>1355</v>
      </c>
      <c r="M1082" t="s">
        <v>223</v>
      </c>
      <c r="P1082" t="s">
        <v>224</v>
      </c>
      <c r="Q1082" t="s">
        <v>182</v>
      </c>
      <c r="R1082" t="s">
        <v>183</v>
      </c>
      <c r="S1082" t="s">
        <v>64</v>
      </c>
      <c r="T1082">
        <v>246.7</v>
      </c>
      <c r="U1082">
        <v>237</v>
      </c>
      <c r="V1082">
        <f t="shared" si="32"/>
        <v>241.85</v>
      </c>
      <c r="W1082">
        <f t="shared" si="33"/>
        <v>9.6999999999999886</v>
      </c>
      <c r="X1082">
        <v>34.442501</v>
      </c>
      <c r="Y1082">
        <v>30.358609999999999</v>
      </c>
      <c r="Z1082" t="s">
        <v>520</v>
      </c>
      <c r="AA1082" t="s">
        <v>1485</v>
      </c>
      <c r="AB1082" t="s">
        <v>1486</v>
      </c>
      <c r="AH1082" t="s">
        <v>72</v>
      </c>
      <c r="AI1082" t="s">
        <v>1487</v>
      </c>
      <c r="AJ1082">
        <v>1959</v>
      </c>
      <c r="AK1082" t="s">
        <v>1488</v>
      </c>
      <c r="AN1082" t="s">
        <v>114</v>
      </c>
      <c r="AO1082">
        <v>5</v>
      </c>
      <c r="AP1082" t="s">
        <v>78</v>
      </c>
      <c r="AQ1082" t="s">
        <v>1489</v>
      </c>
      <c r="AR1082" t="s">
        <v>80</v>
      </c>
      <c r="AS1082">
        <v>508</v>
      </c>
      <c r="AT1082" t="s">
        <v>81</v>
      </c>
      <c r="AU1082">
        <v>38.619999999999997</v>
      </c>
      <c r="AV1082">
        <v>-2.56</v>
      </c>
      <c r="AW1082" t="s">
        <v>82</v>
      </c>
      <c r="AX1082">
        <v>508</v>
      </c>
      <c r="AY1082" t="s">
        <v>81</v>
      </c>
      <c r="AZ1082">
        <v>34.32</v>
      </c>
      <c r="BA1082">
        <v>-13.2</v>
      </c>
      <c r="BB1082" t="s">
        <v>83</v>
      </c>
    </row>
    <row r="1083" spans="1:54" x14ac:dyDescent="0.4">
      <c r="A1083">
        <v>700605</v>
      </c>
      <c r="D1083" t="s">
        <v>54</v>
      </c>
      <c r="G1083">
        <v>6</v>
      </c>
      <c r="H1083" t="s">
        <v>84</v>
      </c>
      <c r="I1083" t="s">
        <v>57</v>
      </c>
      <c r="K1083" t="s">
        <v>141</v>
      </c>
      <c r="L1083" t="s">
        <v>1355</v>
      </c>
      <c r="M1083" t="s">
        <v>223</v>
      </c>
      <c r="P1083" t="s">
        <v>224</v>
      </c>
      <c r="Q1083" t="s">
        <v>182</v>
      </c>
      <c r="R1083" t="s">
        <v>183</v>
      </c>
      <c r="S1083" t="s">
        <v>64</v>
      </c>
      <c r="T1083">
        <v>246.7</v>
      </c>
      <c r="U1083">
        <v>237</v>
      </c>
      <c r="V1083">
        <f t="shared" si="32"/>
        <v>241.85</v>
      </c>
      <c r="W1083">
        <f t="shared" si="33"/>
        <v>9.6999999999999886</v>
      </c>
      <c r="X1083">
        <v>34.442501</v>
      </c>
      <c r="Y1083">
        <v>30.358609999999999</v>
      </c>
      <c r="Z1083" t="s">
        <v>520</v>
      </c>
      <c r="AA1083" t="s">
        <v>1485</v>
      </c>
      <c r="AB1083" t="s">
        <v>1486</v>
      </c>
      <c r="AH1083" t="s">
        <v>72</v>
      </c>
      <c r="AI1083" t="s">
        <v>1487</v>
      </c>
      <c r="AJ1083">
        <v>1959</v>
      </c>
      <c r="AK1083" t="s">
        <v>1490</v>
      </c>
      <c r="AN1083" t="s">
        <v>114</v>
      </c>
      <c r="AO1083">
        <v>5</v>
      </c>
      <c r="AP1083" t="s">
        <v>78</v>
      </c>
      <c r="AQ1083" t="s">
        <v>1489</v>
      </c>
      <c r="AR1083" t="s">
        <v>80</v>
      </c>
      <c r="AS1083">
        <v>508</v>
      </c>
      <c r="AT1083" t="s">
        <v>81</v>
      </c>
      <c r="AU1083">
        <v>38.619999999999997</v>
      </c>
      <c r="AV1083">
        <v>-2.56</v>
      </c>
      <c r="AW1083" t="s">
        <v>82</v>
      </c>
      <c r="AX1083">
        <v>508</v>
      </c>
      <c r="AY1083" t="s">
        <v>81</v>
      </c>
      <c r="AZ1083">
        <v>34.32</v>
      </c>
      <c r="BA1083">
        <v>-13.2</v>
      </c>
      <c r="BB1083" t="s">
        <v>83</v>
      </c>
    </row>
    <row r="1084" spans="1:54" x14ac:dyDescent="0.4">
      <c r="A1084">
        <v>725442</v>
      </c>
      <c r="D1084" t="s">
        <v>54</v>
      </c>
      <c r="G1084">
        <v>1</v>
      </c>
      <c r="H1084" t="s">
        <v>84</v>
      </c>
      <c r="I1084" t="s">
        <v>57</v>
      </c>
      <c r="K1084" t="s">
        <v>196</v>
      </c>
      <c r="L1084" t="s">
        <v>862</v>
      </c>
      <c r="M1084" t="s">
        <v>60</v>
      </c>
      <c r="O1084" t="s">
        <v>87</v>
      </c>
      <c r="P1084" t="s">
        <v>224</v>
      </c>
      <c r="Q1084" t="s">
        <v>182</v>
      </c>
      <c r="R1084" t="s">
        <v>183</v>
      </c>
      <c r="S1084" t="s">
        <v>64</v>
      </c>
      <c r="T1084">
        <v>246.7</v>
      </c>
      <c r="U1084">
        <v>237</v>
      </c>
      <c r="V1084">
        <f t="shared" si="32"/>
        <v>241.85</v>
      </c>
      <c r="W1084">
        <f t="shared" si="33"/>
        <v>9.6999999999999886</v>
      </c>
      <c r="X1084">
        <v>9.7341669999999993</v>
      </c>
      <c r="Y1084">
        <v>49.105831000000002</v>
      </c>
      <c r="Z1084" t="s">
        <v>1512</v>
      </c>
      <c r="AA1084" t="s">
        <v>211</v>
      </c>
      <c r="AB1084" t="s">
        <v>212</v>
      </c>
      <c r="AD1084" t="s">
        <v>1513</v>
      </c>
      <c r="AE1084" t="s">
        <v>1378</v>
      </c>
      <c r="AH1084" t="s">
        <v>72</v>
      </c>
      <c r="AI1084" t="s">
        <v>260</v>
      </c>
      <c r="AJ1084">
        <v>1900</v>
      </c>
      <c r="AK1084" t="s">
        <v>1514</v>
      </c>
      <c r="AN1084" t="s">
        <v>114</v>
      </c>
      <c r="AO1084">
        <v>5</v>
      </c>
      <c r="AP1084" t="s">
        <v>115</v>
      </c>
      <c r="AQ1084" t="s">
        <v>1515</v>
      </c>
      <c r="AR1084" t="s">
        <v>80</v>
      </c>
      <c r="AS1084">
        <v>305</v>
      </c>
      <c r="AT1084" t="s">
        <v>81</v>
      </c>
      <c r="AU1084">
        <v>28.45</v>
      </c>
      <c r="AV1084">
        <v>28.38</v>
      </c>
      <c r="AW1084" t="s">
        <v>82</v>
      </c>
      <c r="AX1084">
        <v>305</v>
      </c>
      <c r="AY1084" t="s">
        <v>81</v>
      </c>
      <c r="AZ1084">
        <v>18.5</v>
      </c>
      <c r="BA1084">
        <v>15.22</v>
      </c>
      <c r="BB1084" t="s">
        <v>83</v>
      </c>
    </row>
    <row r="1085" spans="1:54" x14ac:dyDescent="0.4">
      <c r="A1085">
        <v>797372</v>
      </c>
      <c r="D1085" t="s">
        <v>54</v>
      </c>
      <c r="E1085" t="s">
        <v>310</v>
      </c>
      <c r="G1085">
        <v>1</v>
      </c>
      <c r="H1085" t="s">
        <v>56</v>
      </c>
      <c r="I1085" t="s">
        <v>57</v>
      </c>
      <c r="K1085" t="s">
        <v>746</v>
      </c>
      <c r="L1085" t="s">
        <v>2072</v>
      </c>
      <c r="M1085" t="s">
        <v>60</v>
      </c>
      <c r="P1085" t="s">
        <v>224</v>
      </c>
      <c r="Q1085" t="s">
        <v>182</v>
      </c>
      <c r="R1085" t="s">
        <v>183</v>
      </c>
      <c r="S1085" t="s">
        <v>64</v>
      </c>
      <c r="T1085">
        <v>246.7</v>
      </c>
      <c r="U1085">
        <v>237</v>
      </c>
      <c r="V1085">
        <f t="shared" si="32"/>
        <v>241.85</v>
      </c>
      <c r="W1085">
        <f t="shared" si="33"/>
        <v>9.6999999999999886</v>
      </c>
      <c r="X1085">
        <v>8.8902780000000003</v>
      </c>
      <c r="Y1085">
        <v>45.888888999999999</v>
      </c>
      <c r="Z1085" t="s">
        <v>1415</v>
      </c>
      <c r="AA1085" t="s">
        <v>593</v>
      </c>
      <c r="AB1085" t="s">
        <v>2073</v>
      </c>
      <c r="AC1085" t="s">
        <v>2074</v>
      </c>
      <c r="AD1085" t="s">
        <v>2075</v>
      </c>
      <c r="AH1085" t="s">
        <v>72</v>
      </c>
      <c r="AI1085" t="s">
        <v>757</v>
      </c>
      <c r="AJ1085">
        <v>1962</v>
      </c>
      <c r="AK1085" t="s">
        <v>2076</v>
      </c>
      <c r="AM1085" t="s">
        <v>2077</v>
      </c>
      <c r="AN1085" t="s">
        <v>192</v>
      </c>
      <c r="AO1085" t="s">
        <v>77</v>
      </c>
      <c r="AP1085" t="s">
        <v>115</v>
      </c>
      <c r="AQ1085" t="s">
        <v>2078</v>
      </c>
      <c r="AR1085" t="s">
        <v>80</v>
      </c>
      <c r="AS1085">
        <v>307</v>
      </c>
      <c r="AT1085" t="s">
        <v>81</v>
      </c>
      <c r="AU1085">
        <v>33.86</v>
      </c>
      <c r="AV1085">
        <v>17.52</v>
      </c>
      <c r="AW1085" t="s">
        <v>82</v>
      </c>
      <c r="AX1085">
        <v>307</v>
      </c>
      <c r="AY1085" t="s">
        <v>81</v>
      </c>
      <c r="AZ1085">
        <v>21.15</v>
      </c>
      <c r="BA1085">
        <v>7.67</v>
      </c>
      <c r="BB1085" t="s">
        <v>83</v>
      </c>
    </row>
    <row r="1086" spans="1:54" x14ac:dyDescent="0.4">
      <c r="A1086">
        <v>797372</v>
      </c>
      <c r="D1086" t="s">
        <v>54</v>
      </c>
      <c r="E1086" t="s">
        <v>310</v>
      </c>
      <c r="G1086">
        <v>1</v>
      </c>
      <c r="H1086" t="s">
        <v>56</v>
      </c>
      <c r="I1086" t="s">
        <v>57</v>
      </c>
      <c r="K1086" t="s">
        <v>746</v>
      </c>
      <c r="L1086" t="s">
        <v>2072</v>
      </c>
      <c r="M1086" t="s">
        <v>60</v>
      </c>
      <c r="P1086" t="s">
        <v>224</v>
      </c>
      <c r="Q1086" t="s">
        <v>182</v>
      </c>
      <c r="R1086" t="s">
        <v>183</v>
      </c>
      <c r="S1086" t="s">
        <v>64</v>
      </c>
      <c r="T1086">
        <v>246.7</v>
      </c>
      <c r="U1086">
        <v>237</v>
      </c>
      <c r="V1086">
        <f t="shared" si="32"/>
        <v>241.85</v>
      </c>
      <c r="W1086">
        <f t="shared" si="33"/>
        <v>9.6999999999999886</v>
      </c>
      <c r="X1086">
        <v>8.8902780000000003</v>
      </c>
      <c r="Y1086">
        <v>45.888888999999999</v>
      </c>
      <c r="Z1086" t="s">
        <v>1415</v>
      </c>
      <c r="AA1086" t="s">
        <v>593</v>
      </c>
      <c r="AB1086" t="s">
        <v>2073</v>
      </c>
      <c r="AC1086" t="s">
        <v>2074</v>
      </c>
      <c r="AD1086" t="s">
        <v>2075</v>
      </c>
      <c r="AH1086" t="s">
        <v>72</v>
      </c>
      <c r="AI1086" t="s">
        <v>757</v>
      </c>
      <c r="AJ1086">
        <v>1962</v>
      </c>
      <c r="AK1086" t="s">
        <v>2076</v>
      </c>
      <c r="AM1086" t="s">
        <v>2077</v>
      </c>
      <c r="AN1086" t="s">
        <v>192</v>
      </c>
      <c r="AO1086" t="s">
        <v>77</v>
      </c>
      <c r="AP1086" t="s">
        <v>115</v>
      </c>
      <c r="AQ1086" t="s">
        <v>2078</v>
      </c>
      <c r="AR1086" t="s">
        <v>80</v>
      </c>
      <c r="AS1086">
        <v>307</v>
      </c>
      <c r="AT1086" t="s">
        <v>81</v>
      </c>
      <c r="AU1086">
        <v>33.86</v>
      </c>
      <c r="AV1086">
        <v>17.52</v>
      </c>
      <c r="AW1086" t="s">
        <v>82</v>
      </c>
      <c r="AX1086">
        <v>307</v>
      </c>
      <c r="AY1086" t="s">
        <v>81</v>
      </c>
      <c r="AZ1086">
        <v>21.15</v>
      </c>
      <c r="BA1086">
        <v>7.67</v>
      </c>
      <c r="BB1086" t="s">
        <v>83</v>
      </c>
    </row>
    <row r="1087" spans="1:54" x14ac:dyDescent="0.4">
      <c r="A1087">
        <v>797372</v>
      </c>
      <c r="D1087" t="s">
        <v>54</v>
      </c>
      <c r="E1087" t="s">
        <v>310</v>
      </c>
      <c r="G1087">
        <v>1</v>
      </c>
      <c r="H1087" t="s">
        <v>56</v>
      </c>
      <c r="I1087" t="s">
        <v>57</v>
      </c>
      <c r="K1087" t="s">
        <v>746</v>
      </c>
      <c r="L1087" t="s">
        <v>2072</v>
      </c>
      <c r="M1087" t="s">
        <v>60</v>
      </c>
      <c r="P1087" t="s">
        <v>224</v>
      </c>
      <c r="Q1087" t="s">
        <v>182</v>
      </c>
      <c r="R1087" t="s">
        <v>183</v>
      </c>
      <c r="S1087" t="s">
        <v>64</v>
      </c>
      <c r="T1087">
        <v>246.7</v>
      </c>
      <c r="U1087">
        <v>237</v>
      </c>
      <c r="V1087">
        <f t="shared" si="32"/>
        <v>241.85</v>
      </c>
      <c r="W1087">
        <f t="shared" si="33"/>
        <v>9.6999999999999886</v>
      </c>
      <c r="X1087">
        <v>8.8902780000000003</v>
      </c>
      <c r="Y1087">
        <v>45.888888999999999</v>
      </c>
      <c r="Z1087" t="s">
        <v>1415</v>
      </c>
      <c r="AA1087" t="s">
        <v>593</v>
      </c>
      <c r="AB1087" t="s">
        <v>2073</v>
      </c>
      <c r="AC1087" t="s">
        <v>2074</v>
      </c>
      <c r="AD1087" t="s">
        <v>2075</v>
      </c>
      <c r="AH1087" t="s">
        <v>72</v>
      </c>
      <c r="AI1087" t="s">
        <v>757</v>
      </c>
      <c r="AJ1087">
        <v>1962</v>
      </c>
      <c r="AK1087" t="s">
        <v>2076</v>
      </c>
      <c r="AM1087" t="s">
        <v>2077</v>
      </c>
      <c r="AN1087" t="s">
        <v>192</v>
      </c>
      <c r="AO1087" t="s">
        <v>77</v>
      </c>
      <c r="AP1087" t="s">
        <v>115</v>
      </c>
      <c r="AQ1087" t="s">
        <v>2078</v>
      </c>
      <c r="AR1087" t="s">
        <v>80</v>
      </c>
      <c r="AS1087">
        <v>307</v>
      </c>
      <c r="AT1087" t="s">
        <v>81</v>
      </c>
      <c r="AU1087">
        <v>33.86</v>
      </c>
      <c r="AV1087">
        <v>17.52</v>
      </c>
      <c r="AW1087" t="s">
        <v>82</v>
      </c>
      <c r="AX1087">
        <v>307</v>
      </c>
      <c r="AY1087" t="s">
        <v>81</v>
      </c>
      <c r="AZ1087">
        <v>21.15</v>
      </c>
      <c r="BA1087">
        <v>7.67</v>
      </c>
      <c r="BB1087" t="s">
        <v>83</v>
      </c>
    </row>
    <row r="1088" spans="1:54" x14ac:dyDescent="0.4">
      <c r="A1088">
        <v>797952</v>
      </c>
      <c r="D1088" t="s">
        <v>2097</v>
      </c>
      <c r="E1088" t="s">
        <v>310</v>
      </c>
      <c r="G1088">
        <v>1</v>
      </c>
      <c r="H1088" t="s">
        <v>56</v>
      </c>
      <c r="I1088" t="s">
        <v>57</v>
      </c>
      <c r="K1088" t="s">
        <v>221</v>
      </c>
      <c r="L1088" t="s">
        <v>2086</v>
      </c>
      <c r="M1088" t="s">
        <v>223</v>
      </c>
      <c r="P1088" t="s">
        <v>224</v>
      </c>
      <c r="Q1088" t="s">
        <v>182</v>
      </c>
      <c r="R1088" t="s">
        <v>183</v>
      </c>
      <c r="S1088" t="s">
        <v>64</v>
      </c>
      <c r="T1088">
        <v>246.7</v>
      </c>
      <c r="U1088">
        <v>237</v>
      </c>
      <c r="V1088">
        <f t="shared" si="32"/>
        <v>241.85</v>
      </c>
      <c r="W1088">
        <f t="shared" si="33"/>
        <v>9.6999999999999886</v>
      </c>
      <c r="X1088">
        <v>8.9413889999999991</v>
      </c>
      <c r="Y1088">
        <v>45.907223000000002</v>
      </c>
      <c r="Z1088" t="s">
        <v>1415</v>
      </c>
      <c r="AA1088" t="s">
        <v>226</v>
      </c>
      <c r="AB1088" t="s">
        <v>2098</v>
      </c>
      <c r="AC1088" t="s">
        <v>2080</v>
      </c>
      <c r="AD1088" t="s">
        <v>2075</v>
      </c>
      <c r="AF1088" t="s">
        <v>2099</v>
      </c>
      <c r="AH1088" t="s">
        <v>72</v>
      </c>
      <c r="AI1088" t="s">
        <v>2013</v>
      </c>
      <c r="AJ1088">
        <v>1989</v>
      </c>
      <c r="AK1088" t="s">
        <v>2100</v>
      </c>
      <c r="AM1088" t="s">
        <v>2101</v>
      </c>
      <c r="AN1088" t="s">
        <v>192</v>
      </c>
      <c r="AO1088" t="s">
        <v>77</v>
      </c>
      <c r="AP1088" t="s">
        <v>115</v>
      </c>
      <c r="AQ1088" t="s">
        <v>2102</v>
      </c>
      <c r="AR1088" t="s">
        <v>80</v>
      </c>
      <c r="AS1088">
        <v>307</v>
      </c>
      <c r="AT1088" t="s">
        <v>81</v>
      </c>
      <c r="AU1088">
        <v>33.9</v>
      </c>
      <c r="AV1088">
        <v>17.5</v>
      </c>
      <c r="AW1088" t="s">
        <v>82</v>
      </c>
      <c r="AX1088">
        <v>307</v>
      </c>
      <c r="AY1088" t="s">
        <v>81</v>
      </c>
      <c r="AZ1088">
        <v>21.19</v>
      </c>
      <c r="BA1088">
        <v>7.66</v>
      </c>
      <c r="BB1088" t="s">
        <v>83</v>
      </c>
    </row>
    <row r="1089" spans="1:54" x14ac:dyDescent="0.4">
      <c r="A1089">
        <v>797952</v>
      </c>
      <c r="D1089" t="s">
        <v>2097</v>
      </c>
      <c r="E1089" t="s">
        <v>310</v>
      </c>
      <c r="G1089">
        <v>1</v>
      </c>
      <c r="H1089" t="s">
        <v>56</v>
      </c>
      <c r="I1089" t="s">
        <v>57</v>
      </c>
      <c r="K1089" t="s">
        <v>221</v>
      </c>
      <c r="L1089" t="s">
        <v>2086</v>
      </c>
      <c r="M1089" t="s">
        <v>223</v>
      </c>
      <c r="P1089" t="s">
        <v>224</v>
      </c>
      <c r="Q1089" t="s">
        <v>182</v>
      </c>
      <c r="R1089" t="s">
        <v>183</v>
      </c>
      <c r="S1089" t="s">
        <v>64</v>
      </c>
      <c r="T1089">
        <v>246.7</v>
      </c>
      <c r="U1089">
        <v>237</v>
      </c>
      <c r="V1089">
        <f t="shared" si="32"/>
        <v>241.85</v>
      </c>
      <c r="W1089">
        <f t="shared" si="33"/>
        <v>9.6999999999999886</v>
      </c>
      <c r="X1089">
        <v>8.9413889999999991</v>
      </c>
      <c r="Y1089">
        <v>45.907223000000002</v>
      </c>
      <c r="Z1089" t="s">
        <v>1415</v>
      </c>
      <c r="AA1089" t="s">
        <v>226</v>
      </c>
      <c r="AB1089" t="s">
        <v>2098</v>
      </c>
      <c r="AC1089" t="s">
        <v>2080</v>
      </c>
      <c r="AD1089" t="s">
        <v>2075</v>
      </c>
      <c r="AF1089" t="s">
        <v>2099</v>
      </c>
      <c r="AH1089" t="s">
        <v>72</v>
      </c>
      <c r="AI1089" t="s">
        <v>2013</v>
      </c>
      <c r="AJ1089">
        <v>1989</v>
      </c>
      <c r="AK1089" t="s">
        <v>2100</v>
      </c>
      <c r="AM1089" t="s">
        <v>2101</v>
      </c>
      <c r="AN1089" t="s">
        <v>192</v>
      </c>
      <c r="AO1089" t="s">
        <v>77</v>
      </c>
      <c r="AP1089" t="s">
        <v>115</v>
      </c>
      <c r="AQ1089" t="s">
        <v>2102</v>
      </c>
      <c r="AR1089" t="s">
        <v>80</v>
      </c>
      <c r="AS1089">
        <v>307</v>
      </c>
      <c r="AT1089" t="s">
        <v>81</v>
      </c>
      <c r="AU1089">
        <v>33.9</v>
      </c>
      <c r="AV1089">
        <v>17.5</v>
      </c>
      <c r="AW1089" t="s">
        <v>82</v>
      </c>
      <c r="AX1089">
        <v>307</v>
      </c>
      <c r="AY1089" t="s">
        <v>81</v>
      </c>
      <c r="AZ1089">
        <v>21.19</v>
      </c>
      <c r="BA1089">
        <v>7.66</v>
      </c>
      <c r="BB1089" t="s">
        <v>83</v>
      </c>
    </row>
    <row r="1090" spans="1:54" x14ac:dyDescent="0.4">
      <c r="A1090">
        <v>797952</v>
      </c>
      <c r="D1090" t="s">
        <v>2097</v>
      </c>
      <c r="E1090" t="s">
        <v>310</v>
      </c>
      <c r="G1090">
        <v>1</v>
      </c>
      <c r="H1090" t="s">
        <v>56</v>
      </c>
      <c r="I1090" t="s">
        <v>57</v>
      </c>
      <c r="K1090" t="s">
        <v>221</v>
      </c>
      <c r="L1090" t="s">
        <v>2086</v>
      </c>
      <c r="M1090" t="s">
        <v>223</v>
      </c>
      <c r="P1090" t="s">
        <v>224</v>
      </c>
      <c r="Q1090" t="s">
        <v>182</v>
      </c>
      <c r="R1090" t="s">
        <v>183</v>
      </c>
      <c r="S1090" t="s">
        <v>64</v>
      </c>
      <c r="T1090">
        <v>246.7</v>
      </c>
      <c r="U1090">
        <v>237</v>
      </c>
      <c r="V1090">
        <f t="shared" si="32"/>
        <v>241.85</v>
      </c>
      <c r="W1090">
        <f t="shared" si="33"/>
        <v>9.6999999999999886</v>
      </c>
      <c r="X1090">
        <v>8.9413889999999991</v>
      </c>
      <c r="Y1090">
        <v>45.907223000000002</v>
      </c>
      <c r="Z1090" t="s">
        <v>1415</v>
      </c>
      <c r="AA1090" t="s">
        <v>226</v>
      </c>
      <c r="AB1090" t="s">
        <v>2098</v>
      </c>
      <c r="AC1090" t="s">
        <v>2080</v>
      </c>
      <c r="AD1090" t="s">
        <v>2075</v>
      </c>
      <c r="AF1090" t="s">
        <v>2099</v>
      </c>
      <c r="AH1090" t="s">
        <v>72</v>
      </c>
      <c r="AI1090" t="s">
        <v>2013</v>
      </c>
      <c r="AJ1090">
        <v>1989</v>
      </c>
      <c r="AK1090" t="s">
        <v>2100</v>
      </c>
      <c r="AM1090" t="s">
        <v>2101</v>
      </c>
      <c r="AN1090" t="s">
        <v>192</v>
      </c>
      <c r="AO1090" t="s">
        <v>77</v>
      </c>
      <c r="AP1090" t="s">
        <v>115</v>
      </c>
      <c r="AQ1090" t="s">
        <v>2102</v>
      </c>
      <c r="AR1090" t="s">
        <v>80</v>
      </c>
      <c r="AS1090">
        <v>307</v>
      </c>
      <c r="AT1090" t="s">
        <v>81</v>
      </c>
      <c r="AU1090">
        <v>33.9</v>
      </c>
      <c r="AV1090">
        <v>17.5</v>
      </c>
      <c r="AW1090" t="s">
        <v>82</v>
      </c>
      <c r="AX1090">
        <v>307</v>
      </c>
      <c r="AY1090" t="s">
        <v>81</v>
      </c>
      <c r="AZ1090">
        <v>21.19</v>
      </c>
      <c r="BA1090">
        <v>7.66</v>
      </c>
      <c r="BB1090" t="s">
        <v>83</v>
      </c>
    </row>
    <row r="1091" spans="1:54" x14ac:dyDescent="0.4">
      <c r="A1091">
        <v>797952</v>
      </c>
      <c r="D1091" t="s">
        <v>2097</v>
      </c>
      <c r="E1091" t="s">
        <v>310</v>
      </c>
      <c r="G1091">
        <v>1</v>
      </c>
      <c r="H1091" t="s">
        <v>56</v>
      </c>
      <c r="I1091" t="s">
        <v>57</v>
      </c>
      <c r="K1091" t="s">
        <v>221</v>
      </c>
      <c r="L1091" t="s">
        <v>2086</v>
      </c>
      <c r="M1091" t="s">
        <v>223</v>
      </c>
      <c r="P1091" t="s">
        <v>224</v>
      </c>
      <c r="Q1091" t="s">
        <v>182</v>
      </c>
      <c r="R1091" t="s">
        <v>183</v>
      </c>
      <c r="S1091" t="s">
        <v>64</v>
      </c>
      <c r="T1091">
        <v>246.7</v>
      </c>
      <c r="U1091">
        <v>237</v>
      </c>
      <c r="V1091">
        <f t="shared" ref="V1091:V1154" si="34">(T1091+U1091)/2</f>
        <v>241.85</v>
      </c>
      <c r="W1091">
        <f t="shared" ref="W1091:W1154" si="35">T1091-U1091</f>
        <v>9.6999999999999886</v>
      </c>
      <c r="X1091">
        <v>8.9413889999999991</v>
      </c>
      <c r="Y1091">
        <v>45.907223000000002</v>
      </c>
      <c r="Z1091" t="s">
        <v>1415</v>
      </c>
      <c r="AA1091" t="s">
        <v>226</v>
      </c>
      <c r="AB1091" t="s">
        <v>2098</v>
      </c>
      <c r="AC1091" t="s">
        <v>2080</v>
      </c>
      <c r="AD1091" t="s">
        <v>2075</v>
      </c>
      <c r="AF1091" t="s">
        <v>2099</v>
      </c>
      <c r="AH1091" t="s">
        <v>72</v>
      </c>
      <c r="AI1091" t="s">
        <v>2013</v>
      </c>
      <c r="AJ1091">
        <v>1989</v>
      </c>
      <c r="AK1091" t="s">
        <v>2100</v>
      </c>
      <c r="AM1091" t="s">
        <v>2101</v>
      </c>
      <c r="AN1091" t="s">
        <v>192</v>
      </c>
      <c r="AO1091" t="s">
        <v>77</v>
      </c>
      <c r="AP1091" t="s">
        <v>115</v>
      </c>
      <c r="AQ1091" t="s">
        <v>2102</v>
      </c>
      <c r="AR1091" t="s">
        <v>80</v>
      </c>
      <c r="AS1091">
        <v>307</v>
      </c>
      <c r="AT1091" t="s">
        <v>81</v>
      </c>
      <c r="AU1091">
        <v>33.9</v>
      </c>
      <c r="AV1091">
        <v>17.5</v>
      </c>
      <c r="AW1091" t="s">
        <v>82</v>
      </c>
      <c r="AX1091">
        <v>307</v>
      </c>
      <c r="AY1091" t="s">
        <v>81</v>
      </c>
      <c r="AZ1091">
        <v>21.19</v>
      </c>
      <c r="BA1091">
        <v>7.66</v>
      </c>
      <c r="BB1091" t="s">
        <v>83</v>
      </c>
    </row>
    <row r="1092" spans="1:54" x14ac:dyDescent="0.4">
      <c r="A1092">
        <v>797952</v>
      </c>
      <c r="D1092" t="s">
        <v>2097</v>
      </c>
      <c r="E1092" t="s">
        <v>310</v>
      </c>
      <c r="G1092">
        <v>1</v>
      </c>
      <c r="H1092" t="s">
        <v>56</v>
      </c>
      <c r="I1092" t="s">
        <v>57</v>
      </c>
      <c r="K1092" t="s">
        <v>221</v>
      </c>
      <c r="L1092" t="s">
        <v>2086</v>
      </c>
      <c r="M1092" t="s">
        <v>223</v>
      </c>
      <c r="P1092" t="s">
        <v>224</v>
      </c>
      <c r="Q1092" t="s">
        <v>182</v>
      </c>
      <c r="R1092" t="s">
        <v>183</v>
      </c>
      <c r="S1092" t="s">
        <v>64</v>
      </c>
      <c r="T1092">
        <v>246.7</v>
      </c>
      <c r="U1092">
        <v>237</v>
      </c>
      <c r="V1092">
        <f t="shared" si="34"/>
        <v>241.85</v>
      </c>
      <c r="W1092">
        <f t="shared" si="35"/>
        <v>9.6999999999999886</v>
      </c>
      <c r="X1092">
        <v>8.9413889999999991</v>
      </c>
      <c r="Y1092">
        <v>45.907223000000002</v>
      </c>
      <c r="Z1092" t="s">
        <v>1415</v>
      </c>
      <c r="AA1092" t="s">
        <v>226</v>
      </c>
      <c r="AB1092" t="s">
        <v>2098</v>
      </c>
      <c r="AC1092" t="s">
        <v>2080</v>
      </c>
      <c r="AD1092" t="s">
        <v>2075</v>
      </c>
      <c r="AF1092" t="s">
        <v>2099</v>
      </c>
      <c r="AH1092" t="s">
        <v>72</v>
      </c>
      <c r="AI1092" t="s">
        <v>2013</v>
      </c>
      <c r="AJ1092">
        <v>1989</v>
      </c>
      <c r="AK1092" t="s">
        <v>2100</v>
      </c>
      <c r="AM1092" t="s">
        <v>2101</v>
      </c>
      <c r="AN1092" t="s">
        <v>192</v>
      </c>
      <c r="AO1092" t="s">
        <v>77</v>
      </c>
      <c r="AP1092" t="s">
        <v>115</v>
      </c>
      <c r="AQ1092" t="s">
        <v>2102</v>
      </c>
      <c r="AR1092" t="s">
        <v>80</v>
      </c>
      <c r="AS1092">
        <v>307</v>
      </c>
      <c r="AT1092" t="s">
        <v>81</v>
      </c>
      <c r="AU1092">
        <v>33.9</v>
      </c>
      <c r="AV1092">
        <v>17.5</v>
      </c>
      <c r="AW1092" t="s">
        <v>82</v>
      </c>
      <c r="AX1092">
        <v>307</v>
      </c>
      <c r="AY1092" t="s">
        <v>81</v>
      </c>
      <c r="AZ1092">
        <v>21.19</v>
      </c>
      <c r="BA1092">
        <v>7.66</v>
      </c>
      <c r="BB1092" t="s">
        <v>83</v>
      </c>
    </row>
    <row r="1093" spans="1:54" x14ac:dyDescent="0.4">
      <c r="A1093">
        <v>797953</v>
      </c>
      <c r="D1093" t="s">
        <v>2097</v>
      </c>
      <c r="E1093" t="s">
        <v>310</v>
      </c>
      <c r="G1093">
        <v>1</v>
      </c>
      <c r="H1093" t="s">
        <v>56</v>
      </c>
      <c r="I1093" t="s">
        <v>57</v>
      </c>
      <c r="K1093" t="s">
        <v>746</v>
      </c>
      <c r="L1093" t="s">
        <v>2072</v>
      </c>
      <c r="M1093" t="s">
        <v>60</v>
      </c>
      <c r="P1093" t="s">
        <v>224</v>
      </c>
      <c r="Q1093" t="s">
        <v>182</v>
      </c>
      <c r="R1093" t="s">
        <v>183</v>
      </c>
      <c r="S1093" t="s">
        <v>64</v>
      </c>
      <c r="T1093">
        <v>246.7</v>
      </c>
      <c r="U1093">
        <v>237</v>
      </c>
      <c r="V1093">
        <f t="shared" si="34"/>
        <v>241.85</v>
      </c>
      <c r="W1093">
        <f t="shared" si="35"/>
        <v>9.6999999999999886</v>
      </c>
      <c r="X1093">
        <v>8.9413889999999991</v>
      </c>
      <c r="Y1093">
        <v>45.907223000000002</v>
      </c>
      <c r="Z1093" t="s">
        <v>1415</v>
      </c>
      <c r="AA1093" t="s">
        <v>226</v>
      </c>
      <c r="AB1093" t="s">
        <v>2098</v>
      </c>
      <c r="AC1093" t="s">
        <v>2080</v>
      </c>
      <c r="AD1093" t="s">
        <v>2075</v>
      </c>
      <c r="AF1093" t="s">
        <v>2099</v>
      </c>
      <c r="AH1093" t="s">
        <v>72</v>
      </c>
      <c r="AI1093" t="s">
        <v>757</v>
      </c>
      <c r="AJ1093">
        <v>1962</v>
      </c>
      <c r="AK1093" t="s">
        <v>2100</v>
      </c>
      <c r="AM1093" t="s">
        <v>2101</v>
      </c>
      <c r="AN1093" t="s">
        <v>192</v>
      </c>
      <c r="AO1093" t="s">
        <v>77</v>
      </c>
      <c r="AP1093" t="s">
        <v>115</v>
      </c>
      <c r="AQ1093" t="s">
        <v>2102</v>
      </c>
      <c r="AR1093" t="s">
        <v>80</v>
      </c>
      <c r="AS1093">
        <v>307</v>
      </c>
      <c r="AT1093" t="s">
        <v>81</v>
      </c>
      <c r="AU1093">
        <v>33.9</v>
      </c>
      <c r="AV1093">
        <v>17.5</v>
      </c>
      <c r="AW1093" t="s">
        <v>82</v>
      </c>
      <c r="AX1093">
        <v>307</v>
      </c>
      <c r="AY1093" t="s">
        <v>81</v>
      </c>
      <c r="AZ1093">
        <v>21.19</v>
      </c>
      <c r="BA1093">
        <v>7.66</v>
      </c>
      <c r="BB1093" t="s">
        <v>83</v>
      </c>
    </row>
    <row r="1094" spans="1:54" x14ac:dyDescent="0.4">
      <c r="A1094">
        <v>797954</v>
      </c>
      <c r="D1094" t="s">
        <v>853</v>
      </c>
      <c r="E1094" t="s">
        <v>310</v>
      </c>
      <c r="G1094">
        <v>1</v>
      </c>
      <c r="H1094" t="s">
        <v>56</v>
      </c>
      <c r="I1094" t="s">
        <v>57</v>
      </c>
      <c r="K1094" t="s">
        <v>221</v>
      </c>
      <c r="L1094" t="s">
        <v>2086</v>
      </c>
      <c r="M1094" t="s">
        <v>223</v>
      </c>
      <c r="P1094" t="s">
        <v>224</v>
      </c>
      <c r="Q1094" t="s">
        <v>182</v>
      </c>
      <c r="R1094" t="s">
        <v>183</v>
      </c>
      <c r="S1094" t="s">
        <v>64</v>
      </c>
      <c r="T1094">
        <v>246.7</v>
      </c>
      <c r="U1094">
        <v>237</v>
      </c>
      <c r="V1094">
        <f t="shared" si="34"/>
        <v>241.85</v>
      </c>
      <c r="W1094">
        <f t="shared" si="35"/>
        <v>9.6999999999999886</v>
      </c>
      <c r="X1094">
        <v>8.9413889999999991</v>
      </c>
      <c r="Y1094">
        <v>45.907223000000002</v>
      </c>
      <c r="Z1094" t="s">
        <v>1415</v>
      </c>
      <c r="AA1094" t="s">
        <v>226</v>
      </c>
      <c r="AB1094" t="s">
        <v>2079</v>
      </c>
      <c r="AC1094" t="s">
        <v>2080</v>
      </c>
      <c r="AD1094" t="s">
        <v>2075</v>
      </c>
      <c r="AH1094" t="s">
        <v>72</v>
      </c>
      <c r="AI1094" t="s">
        <v>2013</v>
      </c>
      <c r="AJ1094">
        <v>1989</v>
      </c>
      <c r="AK1094" t="s">
        <v>2103</v>
      </c>
      <c r="AL1094">
        <v>86837</v>
      </c>
      <c r="AM1094" t="s">
        <v>2101</v>
      </c>
      <c r="AN1094" t="s">
        <v>192</v>
      </c>
      <c r="AO1094" t="s">
        <v>77</v>
      </c>
      <c r="AP1094" t="s">
        <v>115</v>
      </c>
      <c r="AQ1094" t="s">
        <v>2102</v>
      </c>
      <c r="AR1094" t="s">
        <v>80</v>
      </c>
      <c r="AS1094">
        <v>307</v>
      </c>
      <c r="AT1094" t="s">
        <v>81</v>
      </c>
      <c r="AU1094">
        <v>33.9</v>
      </c>
      <c r="AV1094">
        <v>17.5</v>
      </c>
      <c r="AW1094" t="s">
        <v>82</v>
      </c>
      <c r="AX1094">
        <v>307</v>
      </c>
      <c r="AY1094" t="s">
        <v>81</v>
      </c>
      <c r="AZ1094">
        <v>21.19</v>
      </c>
      <c r="BA1094">
        <v>7.66</v>
      </c>
      <c r="BB1094" t="s">
        <v>83</v>
      </c>
    </row>
    <row r="1095" spans="1:54" x14ac:dyDescent="0.4">
      <c r="A1095">
        <v>797955</v>
      </c>
      <c r="D1095" t="s">
        <v>853</v>
      </c>
      <c r="E1095" t="s">
        <v>310</v>
      </c>
      <c r="G1095">
        <v>1</v>
      </c>
      <c r="H1095" t="s">
        <v>56</v>
      </c>
      <c r="I1095" t="s">
        <v>57</v>
      </c>
      <c r="K1095" t="s">
        <v>221</v>
      </c>
      <c r="L1095" t="s">
        <v>2086</v>
      </c>
      <c r="M1095" t="s">
        <v>223</v>
      </c>
      <c r="P1095" t="s">
        <v>224</v>
      </c>
      <c r="Q1095" t="s">
        <v>182</v>
      </c>
      <c r="R1095" t="s">
        <v>183</v>
      </c>
      <c r="S1095" t="s">
        <v>64</v>
      </c>
      <c r="T1095">
        <v>246.7</v>
      </c>
      <c r="U1095">
        <v>237</v>
      </c>
      <c r="V1095">
        <f t="shared" si="34"/>
        <v>241.85</v>
      </c>
      <c r="W1095">
        <f t="shared" si="35"/>
        <v>9.6999999999999886</v>
      </c>
      <c r="X1095">
        <v>8.9413889999999991</v>
      </c>
      <c r="Y1095">
        <v>45.907223000000002</v>
      </c>
      <c r="Z1095" t="s">
        <v>1415</v>
      </c>
      <c r="AA1095" t="s">
        <v>226</v>
      </c>
      <c r="AB1095" t="s">
        <v>2079</v>
      </c>
      <c r="AC1095" t="s">
        <v>2080</v>
      </c>
      <c r="AD1095" t="s">
        <v>2075</v>
      </c>
      <c r="AH1095" t="s">
        <v>72</v>
      </c>
      <c r="AI1095" t="s">
        <v>2013</v>
      </c>
      <c r="AJ1095">
        <v>1989</v>
      </c>
      <c r="AK1095" t="s">
        <v>2104</v>
      </c>
      <c r="AL1095">
        <v>86837</v>
      </c>
      <c r="AM1095" t="s">
        <v>2101</v>
      </c>
      <c r="AN1095" t="s">
        <v>192</v>
      </c>
      <c r="AO1095" t="s">
        <v>77</v>
      </c>
      <c r="AP1095" t="s">
        <v>115</v>
      </c>
      <c r="AQ1095" t="s">
        <v>2102</v>
      </c>
      <c r="AR1095" t="s">
        <v>80</v>
      </c>
      <c r="AS1095">
        <v>307</v>
      </c>
      <c r="AT1095" t="s">
        <v>81</v>
      </c>
      <c r="AU1095">
        <v>33.9</v>
      </c>
      <c r="AV1095">
        <v>17.5</v>
      </c>
      <c r="AW1095" t="s">
        <v>82</v>
      </c>
      <c r="AX1095">
        <v>307</v>
      </c>
      <c r="AY1095" t="s">
        <v>81</v>
      </c>
      <c r="AZ1095">
        <v>21.19</v>
      </c>
      <c r="BA1095">
        <v>7.66</v>
      </c>
      <c r="BB1095" t="s">
        <v>83</v>
      </c>
    </row>
    <row r="1096" spans="1:54" x14ac:dyDescent="0.4">
      <c r="A1096">
        <v>797956</v>
      </c>
      <c r="D1096" t="s">
        <v>853</v>
      </c>
      <c r="E1096" t="s">
        <v>310</v>
      </c>
      <c r="G1096">
        <v>1</v>
      </c>
      <c r="H1096" t="s">
        <v>56</v>
      </c>
      <c r="I1096" t="s">
        <v>57</v>
      </c>
      <c r="K1096" t="s">
        <v>221</v>
      </c>
      <c r="L1096" t="s">
        <v>2086</v>
      </c>
      <c r="M1096" t="s">
        <v>223</v>
      </c>
      <c r="P1096" t="s">
        <v>224</v>
      </c>
      <c r="Q1096" t="s">
        <v>182</v>
      </c>
      <c r="R1096" t="s">
        <v>183</v>
      </c>
      <c r="S1096" t="s">
        <v>64</v>
      </c>
      <c r="T1096">
        <v>246.7</v>
      </c>
      <c r="U1096">
        <v>237</v>
      </c>
      <c r="V1096">
        <f t="shared" si="34"/>
        <v>241.85</v>
      </c>
      <c r="W1096">
        <f t="shared" si="35"/>
        <v>9.6999999999999886</v>
      </c>
      <c r="X1096">
        <v>8.9413889999999991</v>
      </c>
      <c r="Y1096">
        <v>45.907223000000002</v>
      </c>
      <c r="Z1096" t="s">
        <v>1415</v>
      </c>
      <c r="AA1096" t="s">
        <v>226</v>
      </c>
      <c r="AB1096" t="s">
        <v>2079</v>
      </c>
      <c r="AC1096" t="s">
        <v>2080</v>
      </c>
      <c r="AD1096" t="s">
        <v>2075</v>
      </c>
      <c r="AH1096" t="s">
        <v>72</v>
      </c>
      <c r="AI1096" t="s">
        <v>2013</v>
      </c>
      <c r="AJ1096">
        <v>1989</v>
      </c>
      <c r="AK1096" t="s">
        <v>2105</v>
      </c>
      <c r="AL1096">
        <v>86837</v>
      </c>
      <c r="AM1096" t="s">
        <v>2101</v>
      </c>
      <c r="AN1096" t="s">
        <v>192</v>
      </c>
      <c r="AO1096" t="s">
        <v>77</v>
      </c>
      <c r="AP1096" t="s">
        <v>115</v>
      </c>
      <c r="AQ1096" t="s">
        <v>2102</v>
      </c>
      <c r="AR1096" t="s">
        <v>80</v>
      </c>
      <c r="AS1096">
        <v>307</v>
      </c>
      <c r="AT1096" t="s">
        <v>81</v>
      </c>
      <c r="AU1096">
        <v>33.9</v>
      </c>
      <c r="AV1096">
        <v>17.5</v>
      </c>
      <c r="AW1096" t="s">
        <v>82</v>
      </c>
      <c r="AX1096">
        <v>307</v>
      </c>
      <c r="AY1096" t="s">
        <v>81</v>
      </c>
      <c r="AZ1096">
        <v>21.19</v>
      </c>
      <c r="BA1096">
        <v>7.66</v>
      </c>
      <c r="BB1096" t="s">
        <v>83</v>
      </c>
    </row>
    <row r="1097" spans="1:54" x14ac:dyDescent="0.4">
      <c r="A1097">
        <v>797956</v>
      </c>
      <c r="D1097" t="s">
        <v>853</v>
      </c>
      <c r="E1097" t="s">
        <v>310</v>
      </c>
      <c r="G1097">
        <v>1</v>
      </c>
      <c r="H1097" t="s">
        <v>56</v>
      </c>
      <c r="I1097" t="s">
        <v>57</v>
      </c>
      <c r="K1097" t="s">
        <v>221</v>
      </c>
      <c r="L1097" t="s">
        <v>2086</v>
      </c>
      <c r="M1097" t="s">
        <v>223</v>
      </c>
      <c r="P1097" t="s">
        <v>224</v>
      </c>
      <c r="Q1097" t="s">
        <v>182</v>
      </c>
      <c r="R1097" t="s">
        <v>183</v>
      </c>
      <c r="S1097" t="s">
        <v>64</v>
      </c>
      <c r="T1097">
        <v>246.7</v>
      </c>
      <c r="U1097">
        <v>237</v>
      </c>
      <c r="V1097">
        <f t="shared" si="34"/>
        <v>241.85</v>
      </c>
      <c r="W1097">
        <f t="shared" si="35"/>
        <v>9.6999999999999886</v>
      </c>
      <c r="X1097">
        <v>8.9413889999999991</v>
      </c>
      <c r="Y1097">
        <v>45.907223000000002</v>
      </c>
      <c r="Z1097" t="s">
        <v>1415</v>
      </c>
      <c r="AA1097" t="s">
        <v>226</v>
      </c>
      <c r="AB1097" t="s">
        <v>2079</v>
      </c>
      <c r="AC1097" t="s">
        <v>2080</v>
      </c>
      <c r="AD1097" t="s">
        <v>2075</v>
      </c>
      <c r="AH1097" t="s">
        <v>72</v>
      </c>
      <c r="AI1097" t="s">
        <v>2013</v>
      </c>
      <c r="AJ1097">
        <v>1989</v>
      </c>
      <c r="AK1097" t="s">
        <v>2105</v>
      </c>
      <c r="AL1097">
        <v>86837</v>
      </c>
      <c r="AM1097" t="s">
        <v>2101</v>
      </c>
      <c r="AN1097" t="s">
        <v>192</v>
      </c>
      <c r="AO1097" t="s">
        <v>77</v>
      </c>
      <c r="AP1097" t="s">
        <v>115</v>
      </c>
      <c r="AQ1097" t="s">
        <v>2102</v>
      </c>
      <c r="AR1097" t="s">
        <v>80</v>
      </c>
      <c r="AS1097">
        <v>307</v>
      </c>
      <c r="AT1097" t="s">
        <v>81</v>
      </c>
      <c r="AU1097">
        <v>33.9</v>
      </c>
      <c r="AV1097">
        <v>17.5</v>
      </c>
      <c r="AW1097" t="s">
        <v>82</v>
      </c>
      <c r="AX1097">
        <v>307</v>
      </c>
      <c r="AY1097" t="s">
        <v>81</v>
      </c>
      <c r="AZ1097">
        <v>21.19</v>
      </c>
      <c r="BA1097">
        <v>7.66</v>
      </c>
      <c r="BB1097" t="s">
        <v>83</v>
      </c>
    </row>
    <row r="1098" spans="1:54" x14ac:dyDescent="0.4">
      <c r="A1098">
        <v>797956</v>
      </c>
      <c r="D1098" t="s">
        <v>853</v>
      </c>
      <c r="E1098" t="s">
        <v>310</v>
      </c>
      <c r="G1098">
        <v>1</v>
      </c>
      <c r="H1098" t="s">
        <v>56</v>
      </c>
      <c r="I1098" t="s">
        <v>57</v>
      </c>
      <c r="K1098" t="s">
        <v>221</v>
      </c>
      <c r="L1098" t="s">
        <v>2086</v>
      </c>
      <c r="M1098" t="s">
        <v>223</v>
      </c>
      <c r="P1098" t="s">
        <v>224</v>
      </c>
      <c r="Q1098" t="s">
        <v>182</v>
      </c>
      <c r="R1098" t="s">
        <v>183</v>
      </c>
      <c r="S1098" t="s">
        <v>64</v>
      </c>
      <c r="T1098">
        <v>246.7</v>
      </c>
      <c r="U1098">
        <v>237</v>
      </c>
      <c r="V1098">
        <f t="shared" si="34"/>
        <v>241.85</v>
      </c>
      <c r="W1098">
        <f t="shared" si="35"/>
        <v>9.6999999999999886</v>
      </c>
      <c r="X1098">
        <v>8.9413889999999991</v>
      </c>
      <c r="Y1098">
        <v>45.907223000000002</v>
      </c>
      <c r="Z1098" t="s">
        <v>1415</v>
      </c>
      <c r="AA1098" t="s">
        <v>226</v>
      </c>
      <c r="AB1098" t="s">
        <v>2079</v>
      </c>
      <c r="AC1098" t="s">
        <v>2080</v>
      </c>
      <c r="AD1098" t="s">
        <v>2075</v>
      </c>
      <c r="AH1098" t="s">
        <v>72</v>
      </c>
      <c r="AI1098" t="s">
        <v>2013</v>
      </c>
      <c r="AJ1098">
        <v>1989</v>
      </c>
      <c r="AK1098" t="s">
        <v>2105</v>
      </c>
      <c r="AL1098">
        <v>86837</v>
      </c>
      <c r="AM1098" t="s">
        <v>2101</v>
      </c>
      <c r="AN1098" t="s">
        <v>192</v>
      </c>
      <c r="AO1098" t="s">
        <v>77</v>
      </c>
      <c r="AP1098" t="s">
        <v>115</v>
      </c>
      <c r="AQ1098" t="s">
        <v>2102</v>
      </c>
      <c r="AR1098" t="s">
        <v>80</v>
      </c>
      <c r="AS1098">
        <v>307</v>
      </c>
      <c r="AT1098" t="s">
        <v>81</v>
      </c>
      <c r="AU1098">
        <v>33.9</v>
      </c>
      <c r="AV1098">
        <v>17.5</v>
      </c>
      <c r="AW1098" t="s">
        <v>82</v>
      </c>
      <c r="AX1098">
        <v>307</v>
      </c>
      <c r="AY1098" t="s">
        <v>81</v>
      </c>
      <c r="AZ1098">
        <v>21.19</v>
      </c>
      <c r="BA1098">
        <v>7.66</v>
      </c>
      <c r="BB1098" t="s">
        <v>83</v>
      </c>
    </row>
    <row r="1099" spans="1:54" x14ac:dyDescent="0.4">
      <c r="A1099">
        <v>797956</v>
      </c>
      <c r="D1099" t="s">
        <v>853</v>
      </c>
      <c r="E1099" t="s">
        <v>310</v>
      </c>
      <c r="G1099">
        <v>1</v>
      </c>
      <c r="H1099" t="s">
        <v>56</v>
      </c>
      <c r="I1099" t="s">
        <v>57</v>
      </c>
      <c r="K1099" t="s">
        <v>221</v>
      </c>
      <c r="L1099" t="s">
        <v>2086</v>
      </c>
      <c r="M1099" t="s">
        <v>223</v>
      </c>
      <c r="P1099" t="s">
        <v>224</v>
      </c>
      <c r="Q1099" t="s">
        <v>182</v>
      </c>
      <c r="R1099" t="s">
        <v>183</v>
      </c>
      <c r="S1099" t="s">
        <v>64</v>
      </c>
      <c r="T1099">
        <v>246.7</v>
      </c>
      <c r="U1099">
        <v>237</v>
      </c>
      <c r="V1099">
        <f t="shared" si="34"/>
        <v>241.85</v>
      </c>
      <c r="W1099">
        <f t="shared" si="35"/>
        <v>9.6999999999999886</v>
      </c>
      <c r="X1099">
        <v>8.9413889999999991</v>
      </c>
      <c r="Y1099">
        <v>45.907223000000002</v>
      </c>
      <c r="Z1099" t="s">
        <v>1415</v>
      </c>
      <c r="AA1099" t="s">
        <v>226</v>
      </c>
      <c r="AB1099" t="s">
        <v>2079</v>
      </c>
      <c r="AC1099" t="s">
        <v>2080</v>
      </c>
      <c r="AD1099" t="s">
        <v>2075</v>
      </c>
      <c r="AH1099" t="s">
        <v>72</v>
      </c>
      <c r="AI1099" t="s">
        <v>2013</v>
      </c>
      <c r="AJ1099">
        <v>1989</v>
      </c>
      <c r="AK1099" t="s">
        <v>2105</v>
      </c>
      <c r="AL1099">
        <v>86837</v>
      </c>
      <c r="AM1099" t="s">
        <v>2101</v>
      </c>
      <c r="AN1099" t="s">
        <v>192</v>
      </c>
      <c r="AO1099" t="s">
        <v>77</v>
      </c>
      <c r="AP1099" t="s">
        <v>115</v>
      </c>
      <c r="AQ1099" t="s">
        <v>2102</v>
      </c>
      <c r="AR1099" t="s">
        <v>80</v>
      </c>
      <c r="AS1099">
        <v>307</v>
      </c>
      <c r="AT1099" t="s">
        <v>81</v>
      </c>
      <c r="AU1099">
        <v>33.9</v>
      </c>
      <c r="AV1099">
        <v>17.5</v>
      </c>
      <c r="AW1099" t="s">
        <v>82</v>
      </c>
      <c r="AX1099">
        <v>307</v>
      </c>
      <c r="AY1099" t="s">
        <v>81</v>
      </c>
      <c r="AZ1099">
        <v>21.19</v>
      </c>
      <c r="BA1099">
        <v>7.66</v>
      </c>
      <c r="BB1099" t="s">
        <v>83</v>
      </c>
    </row>
    <row r="1100" spans="1:54" x14ac:dyDescent="0.4">
      <c r="A1100">
        <v>883957</v>
      </c>
      <c r="D1100" t="s">
        <v>54</v>
      </c>
      <c r="G1100">
        <v>43</v>
      </c>
      <c r="H1100" t="s">
        <v>421</v>
      </c>
      <c r="I1100" t="s">
        <v>57</v>
      </c>
      <c r="K1100" t="s">
        <v>141</v>
      </c>
      <c r="L1100" t="s">
        <v>3329</v>
      </c>
      <c r="M1100" t="s">
        <v>223</v>
      </c>
      <c r="P1100" t="s">
        <v>224</v>
      </c>
      <c r="Q1100" t="s">
        <v>182</v>
      </c>
      <c r="R1100" t="s">
        <v>183</v>
      </c>
      <c r="S1100" t="s">
        <v>64</v>
      </c>
      <c r="T1100">
        <v>246.7</v>
      </c>
      <c r="U1100">
        <v>237</v>
      </c>
      <c r="V1100">
        <f t="shared" si="34"/>
        <v>241.85</v>
      </c>
      <c r="W1100">
        <f t="shared" si="35"/>
        <v>9.6999999999999886</v>
      </c>
      <c r="X1100">
        <v>106.333336</v>
      </c>
      <c r="Y1100">
        <v>26.566668</v>
      </c>
      <c r="Z1100" t="s">
        <v>520</v>
      </c>
      <c r="AA1100" t="s">
        <v>379</v>
      </c>
      <c r="AB1100" t="s">
        <v>682</v>
      </c>
      <c r="AH1100" t="s">
        <v>72</v>
      </c>
      <c r="AI1100" t="s">
        <v>2013</v>
      </c>
      <c r="AJ1100">
        <v>1999</v>
      </c>
      <c r="AK1100" t="s">
        <v>3330</v>
      </c>
      <c r="AN1100" t="s">
        <v>192</v>
      </c>
      <c r="AO1100" t="s">
        <v>160</v>
      </c>
      <c r="AP1100" t="s">
        <v>359</v>
      </c>
      <c r="AQ1100" t="s">
        <v>3331</v>
      </c>
      <c r="AR1100" t="s">
        <v>80</v>
      </c>
      <c r="AS1100">
        <v>611</v>
      </c>
      <c r="AT1100" t="s">
        <v>81</v>
      </c>
      <c r="AU1100">
        <v>109.25</v>
      </c>
      <c r="AV1100">
        <v>-7.74</v>
      </c>
      <c r="AW1100" t="s">
        <v>82</v>
      </c>
      <c r="AX1100">
        <v>611</v>
      </c>
      <c r="AY1100" t="s">
        <v>81</v>
      </c>
      <c r="AZ1100">
        <v>95.1</v>
      </c>
      <c r="BA1100">
        <v>16.170000000000002</v>
      </c>
      <c r="BB1100" t="s">
        <v>83</v>
      </c>
    </row>
    <row r="1101" spans="1:54" x14ac:dyDescent="0.4">
      <c r="A1101">
        <v>895625</v>
      </c>
      <c r="D1101" t="s">
        <v>54</v>
      </c>
      <c r="E1101" t="s">
        <v>152</v>
      </c>
      <c r="G1101">
        <v>1</v>
      </c>
      <c r="H1101" t="s">
        <v>84</v>
      </c>
      <c r="I1101" t="s">
        <v>57</v>
      </c>
      <c r="K1101" t="s">
        <v>141</v>
      </c>
      <c r="L1101" t="s">
        <v>3400</v>
      </c>
      <c r="M1101" t="s">
        <v>223</v>
      </c>
      <c r="P1101" t="s">
        <v>224</v>
      </c>
      <c r="Q1101" t="s">
        <v>182</v>
      </c>
      <c r="R1101" t="s">
        <v>183</v>
      </c>
      <c r="S1101" t="s">
        <v>64</v>
      </c>
      <c r="T1101">
        <v>246.7</v>
      </c>
      <c r="U1101">
        <v>237</v>
      </c>
      <c r="V1101">
        <f t="shared" si="34"/>
        <v>241.85</v>
      </c>
      <c r="W1101">
        <f t="shared" si="35"/>
        <v>9.6999999999999886</v>
      </c>
      <c r="X1101">
        <v>11.283333000000001</v>
      </c>
      <c r="Y1101">
        <v>45.983333999999999</v>
      </c>
      <c r="Z1101" t="s">
        <v>520</v>
      </c>
      <c r="AA1101" t="s">
        <v>593</v>
      </c>
      <c r="AB1101" t="s">
        <v>3401</v>
      </c>
      <c r="AD1101" t="s">
        <v>3402</v>
      </c>
      <c r="AH1101" t="s">
        <v>72</v>
      </c>
      <c r="AI1101" t="s">
        <v>3394</v>
      </c>
      <c r="AJ1101">
        <v>2002</v>
      </c>
      <c r="AK1101" t="s">
        <v>3403</v>
      </c>
      <c r="AN1101" t="s">
        <v>192</v>
      </c>
      <c r="AO1101" t="s">
        <v>160</v>
      </c>
      <c r="AP1101" t="s">
        <v>115</v>
      </c>
      <c r="AQ1101" t="s">
        <v>3404</v>
      </c>
      <c r="AR1101" t="s">
        <v>80</v>
      </c>
      <c r="AS1101">
        <v>307</v>
      </c>
      <c r="AT1101" t="s">
        <v>81</v>
      </c>
      <c r="AU1101">
        <v>34.729999999999997</v>
      </c>
      <c r="AV1101">
        <v>16.07</v>
      </c>
      <c r="AW1101" t="s">
        <v>82</v>
      </c>
      <c r="AX1101">
        <v>307</v>
      </c>
      <c r="AY1101" t="s">
        <v>81</v>
      </c>
      <c r="AZ1101">
        <v>22.54</v>
      </c>
      <c r="BA1101">
        <v>6.73</v>
      </c>
      <c r="BB1101" t="s">
        <v>83</v>
      </c>
    </row>
    <row r="1102" spans="1:54" x14ac:dyDescent="0.4">
      <c r="A1102">
        <v>908660</v>
      </c>
      <c r="D1102" t="s">
        <v>54</v>
      </c>
      <c r="E1102" t="s">
        <v>152</v>
      </c>
      <c r="I1102" t="s">
        <v>57</v>
      </c>
      <c r="K1102" t="s">
        <v>232</v>
      </c>
      <c r="L1102" t="s">
        <v>233</v>
      </c>
      <c r="M1102" t="s">
        <v>223</v>
      </c>
      <c r="N1102" t="s">
        <v>234</v>
      </c>
      <c r="O1102" t="s">
        <v>87</v>
      </c>
      <c r="P1102" t="s">
        <v>224</v>
      </c>
      <c r="Q1102" t="s">
        <v>182</v>
      </c>
      <c r="R1102" t="s">
        <v>183</v>
      </c>
      <c r="S1102" t="s">
        <v>64</v>
      </c>
      <c r="T1102">
        <v>246.7</v>
      </c>
      <c r="U1102">
        <v>237</v>
      </c>
      <c r="V1102">
        <f t="shared" si="34"/>
        <v>241.85</v>
      </c>
      <c r="W1102">
        <f t="shared" si="35"/>
        <v>9.6999999999999886</v>
      </c>
      <c r="X1102">
        <v>-117.558891</v>
      </c>
      <c r="Y1102">
        <v>40.059165999999998</v>
      </c>
      <c r="Z1102" t="s">
        <v>1361</v>
      </c>
      <c r="AA1102" t="s">
        <v>66</v>
      </c>
      <c r="AB1102" t="s">
        <v>558</v>
      </c>
      <c r="AC1102" t="s">
        <v>559</v>
      </c>
      <c r="AD1102" t="s">
        <v>3344</v>
      </c>
      <c r="AE1102" t="s">
        <v>3345</v>
      </c>
      <c r="AF1102" t="s">
        <v>3346</v>
      </c>
      <c r="AH1102" t="s">
        <v>11</v>
      </c>
      <c r="AI1102" t="s">
        <v>3202</v>
      </c>
      <c r="AJ1102">
        <v>1994</v>
      </c>
      <c r="AK1102" t="s">
        <v>3545</v>
      </c>
      <c r="AN1102" t="s">
        <v>114</v>
      </c>
      <c r="AO1102" t="s">
        <v>77</v>
      </c>
      <c r="AP1102" t="s">
        <v>78</v>
      </c>
      <c r="AQ1102" t="s">
        <v>3546</v>
      </c>
      <c r="AR1102" t="s">
        <v>80</v>
      </c>
      <c r="AS1102">
        <v>101</v>
      </c>
      <c r="AT1102" t="s">
        <v>81</v>
      </c>
      <c r="AU1102">
        <v>-38.53</v>
      </c>
      <c r="AV1102">
        <v>24.07</v>
      </c>
      <c r="AW1102" t="s">
        <v>82</v>
      </c>
      <c r="AX1102">
        <v>131</v>
      </c>
      <c r="AY1102" t="s">
        <v>81</v>
      </c>
      <c r="AZ1102">
        <v>-43.84</v>
      </c>
      <c r="BA1102">
        <v>7.68</v>
      </c>
      <c r="BB1102" t="s">
        <v>83</v>
      </c>
    </row>
    <row r="1103" spans="1:54" x14ac:dyDescent="0.4">
      <c r="A1103">
        <v>908661</v>
      </c>
      <c r="D1103" t="s">
        <v>54</v>
      </c>
      <c r="E1103" t="s">
        <v>152</v>
      </c>
      <c r="G1103">
        <v>1</v>
      </c>
      <c r="H1103" t="s">
        <v>56</v>
      </c>
      <c r="I1103" t="s">
        <v>57</v>
      </c>
      <c r="K1103" t="s">
        <v>232</v>
      </c>
      <c r="L1103" t="s">
        <v>233</v>
      </c>
      <c r="M1103" t="s">
        <v>223</v>
      </c>
      <c r="N1103" t="s">
        <v>234</v>
      </c>
      <c r="O1103" t="s">
        <v>87</v>
      </c>
      <c r="P1103" t="s">
        <v>224</v>
      </c>
      <c r="Q1103" t="s">
        <v>182</v>
      </c>
      <c r="R1103" t="s">
        <v>183</v>
      </c>
      <c r="S1103" t="s">
        <v>64</v>
      </c>
      <c r="T1103">
        <v>246.7</v>
      </c>
      <c r="U1103">
        <v>237</v>
      </c>
      <c r="V1103">
        <f t="shared" si="34"/>
        <v>241.85</v>
      </c>
      <c r="W1103">
        <f t="shared" si="35"/>
        <v>9.6999999999999886</v>
      </c>
      <c r="X1103">
        <v>-117.633888</v>
      </c>
      <c r="Y1103">
        <v>40.224997999999999</v>
      </c>
      <c r="Z1103" t="s">
        <v>1361</v>
      </c>
      <c r="AA1103" t="s">
        <v>66</v>
      </c>
      <c r="AB1103" t="s">
        <v>558</v>
      </c>
      <c r="AC1103" t="s">
        <v>559</v>
      </c>
      <c r="AD1103" t="s">
        <v>3344</v>
      </c>
      <c r="AE1103" t="s">
        <v>3345</v>
      </c>
      <c r="AF1103" t="s">
        <v>3346</v>
      </c>
      <c r="AH1103" t="s">
        <v>11</v>
      </c>
      <c r="AI1103" t="s">
        <v>3202</v>
      </c>
      <c r="AJ1103">
        <v>1994</v>
      </c>
      <c r="AK1103" t="s">
        <v>3547</v>
      </c>
      <c r="AN1103" t="s">
        <v>114</v>
      </c>
      <c r="AO1103" t="s">
        <v>77</v>
      </c>
      <c r="AP1103" t="s">
        <v>78</v>
      </c>
      <c r="AR1103" t="s">
        <v>80</v>
      </c>
      <c r="AS1103">
        <v>101</v>
      </c>
      <c r="AT1103" t="s">
        <v>81</v>
      </c>
      <c r="AU1103">
        <v>-38.520000000000003</v>
      </c>
      <c r="AV1103">
        <v>24.25</v>
      </c>
      <c r="AW1103" t="s">
        <v>82</v>
      </c>
      <c r="AX1103">
        <v>131</v>
      </c>
      <c r="AY1103" t="s">
        <v>81</v>
      </c>
      <c r="AZ1103">
        <v>-43.82</v>
      </c>
      <c r="BA1103">
        <v>7.85</v>
      </c>
      <c r="BB1103" t="s">
        <v>83</v>
      </c>
    </row>
    <row r="1104" spans="1:54" x14ac:dyDescent="0.4">
      <c r="A1104">
        <v>921260</v>
      </c>
      <c r="D1104" t="s">
        <v>54</v>
      </c>
      <c r="E1104" t="s">
        <v>55</v>
      </c>
      <c r="I1104" t="s">
        <v>57</v>
      </c>
      <c r="K1104" t="s">
        <v>755</v>
      </c>
      <c r="L1104" t="s">
        <v>756</v>
      </c>
      <c r="M1104" t="s">
        <v>223</v>
      </c>
      <c r="P1104" t="s">
        <v>224</v>
      </c>
      <c r="Q1104" t="s">
        <v>182</v>
      </c>
      <c r="R1104" t="s">
        <v>183</v>
      </c>
      <c r="S1104" t="s">
        <v>64</v>
      </c>
      <c r="T1104">
        <v>246.7</v>
      </c>
      <c r="U1104">
        <v>237</v>
      </c>
      <c r="V1104">
        <f t="shared" si="34"/>
        <v>241.85</v>
      </c>
      <c r="W1104">
        <f t="shared" si="35"/>
        <v>9.6999999999999886</v>
      </c>
      <c r="X1104">
        <v>11.566667000000001</v>
      </c>
      <c r="Y1104">
        <v>49.933334000000002</v>
      </c>
      <c r="Z1104" t="s">
        <v>520</v>
      </c>
      <c r="AA1104" t="s">
        <v>211</v>
      </c>
      <c r="AB1104" t="s">
        <v>953</v>
      </c>
      <c r="AC1104" t="s">
        <v>3634</v>
      </c>
      <c r="AE1104" t="s">
        <v>1378</v>
      </c>
      <c r="AH1104" t="s">
        <v>72</v>
      </c>
      <c r="AI1104" t="s">
        <v>1045</v>
      </c>
      <c r="AJ1104">
        <v>1859</v>
      </c>
      <c r="AK1104" t="s">
        <v>3635</v>
      </c>
      <c r="AN1104" t="s">
        <v>341</v>
      </c>
      <c r="AO1104" t="s">
        <v>160</v>
      </c>
      <c r="AP1104" t="s">
        <v>359</v>
      </c>
      <c r="AR1104" t="s">
        <v>80</v>
      </c>
      <c r="AS1104">
        <v>305</v>
      </c>
      <c r="AT1104" t="s">
        <v>81</v>
      </c>
      <c r="AU1104">
        <v>29.53</v>
      </c>
      <c r="AV1104">
        <v>29.48</v>
      </c>
      <c r="AW1104" t="s">
        <v>82</v>
      </c>
      <c r="AX1104">
        <v>305</v>
      </c>
      <c r="AY1104" t="s">
        <v>81</v>
      </c>
      <c r="AZ1104">
        <v>19.25</v>
      </c>
      <c r="BA1104">
        <v>16.47</v>
      </c>
      <c r="BB1104" t="s">
        <v>83</v>
      </c>
    </row>
    <row r="1105" spans="1:54" x14ac:dyDescent="0.4">
      <c r="A1105">
        <v>921261</v>
      </c>
      <c r="D1105" t="s">
        <v>54</v>
      </c>
      <c r="E1105" t="s">
        <v>55</v>
      </c>
      <c r="G1105">
        <v>1</v>
      </c>
      <c r="H1105" t="s">
        <v>84</v>
      </c>
      <c r="I1105" t="s">
        <v>57</v>
      </c>
      <c r="K1105" t="s">
        <v>1347</v>
      </c>
      <c r="L1105" t="s">
        <v>1348</v>
      </c>
      <c r="M1105" t="s">
        <v>223</v>
      </c>
      <c r="N1105" t="s">
        <v>485</v>
      </c>
      <c r="O1105" t="s">
        <v>1349</v>
      </c>
      <c r="P1105" t="s">
        <v>224</v>
      </c>
      <c r="Q1105" t="s">
        <v>182</v>
      </c>
      <c r="R1105" t="s">
        <v>183</v>
      </c>
      <c r="S1105" t="s">
        <v>64</v>
      </c>
      <c r="T1105">
        <v>246.7</v>
      </c>
      <c r="U1105">
        <v>237</v>
      </c>
      <c r="V1105">
        <f t="shared" si="34"/>
        <v>241.85</v>
      </c>
      <c r="W1105">
        <f t="shared" si="35"/>
        <v>9.6999999999999886</v>
      </c>
      <c r="X1105">
        <v>11.566667000000001</v>
      </c>
      <c r="Y1105">
        <v>49.933334000000002</v>
      </c>
      <c r="Z1105" t="s">
        <v>520</v>
      </c>
      <c r="AA1105" t="s">
        <v>211</v>
      </c>
      <c r="AB1105" t="s">
        <v>953</v>
      </c>
      <c r="AC1105" t="s">
        <v>3634</v>
      </c>
      <c r="AE1105" t="s">
        <v>1378</v>
      </c>
      <c r="AH1105" t="s">
        <v>11</v>
      </c>
      <c r="AI1105" t="s">
        <v>1045</v>
      </c>
      <c r="AJ1105">
        <v>1859</v>
      </c>
      <c r="AK1105" t="s">
        <v>3635</v>
      </c>
      <c r="AN1105" t="s">
        <v>341</v>
      </c>
      <c r="AO1105" t="s">
        <v>160</v>
      </c>
      <c r="AP1105" t="s">
        <v>359</v>
      </c>
      <c r="AR1105" t="s">
        <v>80</v>
      </c>
      <c r="AS1105">
        <v>305</v>
      </c>
      <c r="AT1105" t="s">
        <v>81</v>
      </c>
      <c r="AU1105">
        <v>29.53</v>
      </c>
      <c r="AV1105">
        <v>29.48</v>
      </c>
      <c r="AW1105" t="s">
        <v>82</v>
      </c>
      <c r="AX1105">
        <v>305</v>
      </c>
      <c r="AY1105" t="s">
        <v>81</v>
      </c>
      <c r="AZ1105">
        <v>19.25</v>
      </c>
      <c r="BA1105">
        <v>16.47</v>
      </c>
      <c r="BB1105" t="s">
        <v>83</v>
      </c>
    </row>
    <row r="1106" spans="1:54" x14ac:dyDescent="0.4">
      <c r="A1106">
        <v>921262</v>
      </c>
      <c r="D1106" t="s">
        <v>54</v>
      </c>
      <c r="E1106" t="s">
        <v>55</v>
      </c>
      <c r="G1106">
        <v>1</v>
      </c>
      <c r="H1106" t="s">
        <v>84</v>
      </c>
      <c r="I1106" t="s">
        <v>57</v>
      </c>
      <c r="K1106" t="s">
        <v>1347</v>
      </c>
      <c r="L1106" t="s">
        <v>1348</v>
      </c>
      <c r="M1106" t="s">
        <v>223</v>
      </c>
      <c r="N1106" t="s">
        <v>485</v>
      </c>
      <c r="O1106" t="s">
        <v>1349</v>
      </c>
      <c r="P1106" t="s">
        <v>224</v>
      </c>
      <c r="Q1106" t="s">
        <v>182</v>
      </c>
      <c r="R1106" t="s">
        <v>183</v>
      </c>
      <c r="S1106" t="s">
        <v>64</v>
      </c>
      <c r="T1106">
        <v>246.7</v>
      </c>
      <c r="U1106">
        <v>237</v>
      </c>
      <c r="V1106">
        <f t="shared" si="34"/>
        <v>241.85</v>
      </c>
      <c r="W1106">
        <f t="shared" si="35"/>
        <v>9.6999999999999886</v>
      </c>
      <c r="X1106">
        <v>11.566667000000001</v>
      </c>
      <c r="Y1106">
        <v>49.933334000000002</v>
      </c>
      <c r="Z1106" t="s">
        <v>520</v>
      </c>
      <c r="AA1106" t="s">
        <v>211</v>
      </c>
      <c r="AB1106" t="s">
        <v>953</v>
      </c>
      <c r="AC1106" t="s">
        <v>3634</v>
      </c>
      <c r="AE1106" t="s">
        <v>1378</v>
      </c>
      <c r="AH1106" t="s">
        <v>11</v>
      </c>
      <c r="AI1106" t="s">
        <v>1045</v>
      </c>
      <c r="AJ1106">
        <v>1859</v>
      </c>
      <c r="AK1106" t="s">
        <v>3635</v>
      </c>
      <c r="AN1106" t="s">
        <v>341</v>
      </c>
      <c r="AO1106" t="s">
        <v>160</v>
      </c>
      <c r="AP1106" t="s">
        <v>359</v>
      </c>
      <c r="AR1106" t="s">
        <v>80</v>
      </c>
      <c r="AS1106">
        <v>305</v>
      </c>
      <c r="AT1106" t="s">
        <v>81</v>
      </c>
      <c r="AU1106">
        <v>29.53</v>
      </c>
      <c r="AV1106">
        <v>29.48</v>
      </c>
      <c r="AW1106" t="s">
        <v>82</v>
      </c>
      <c r="AX1106">
        <v>305</v>
      </c>
      <c r="AY1106" t="s">
        <v>81</v>
      </c>
      <c r="AZ1106">
        <v>19.25</v>
      </c>
      <c r="BA1106">
        <v>16.47</v>
      </c>
      <c r="BB1106" t="s">
        <v>83</v>
      </c>
    </row>
    <row r="1107" spans="1:54" x14ac:dyDescent="0.4">
      <c r="A1107">
        <v>921263</v>
      </c>
      <c r="D1107" t="s">
        <v>54</v>
      </c>
      <c r="E1107" t="s">
        <v>55</v>
      </c>
      <c r="G1107">
        <v>1</v>
      </c>
      <c r="H1107" t="s">
        <v>84</v>
      </c>
      <c r="I1107" t="s">
        <v>57</v>
      </c>
      <c r="K1107" t="s">
        <v>1347</v>
      </c>
      <c r="L1107" t="s">
        <v>1348</v>
      </c>
      <c r="M1107" t="s">
        <v>223</v>
      </c>
      <c r="N1107" t="s">
        <v>485</v>
      </c>
      <c r="O1107" t="s">
        <v>1349</v>
      </c>
      <c r="P1107" t="s">
        <v>224</v>
      </c>
      <c r="Q1107" t="s">
        <v>182</v>
      </c>
      <c r="R1107" t="s">
        <v>183</v>
      </c>
      <c r="S1107" t="s">
        <v>64</v>
      </c>
      <c r="T1107">
        <v>246.7</v>
      </c>
      <c r="U1107">
        <v>237</v>
      </c>
      <c r="V1107">
        <f t="shared" si="34"/>
        <v>241.85</v>
      </c>
      <c r="W1107">
        <f t="shared" si="35"/>
        <v>9.6999999999999886</v>
      </c>
      <c r="X1107">
        <v>11.566667000000001</v>
      </c>
      <c r="Y1107">
        <v>49.933334000000002</v>
      </c>
      <c r="Z1107" t="s">
        <v>520</v>
      </c>
      <c r="AA1107" t="s">
        <v>211</v>
      </c>
      <c r="AB1107" t="s">
        <v>953</v>
      </c>
      <c r="AC1107" t="s">
        <v>3634</v>
      </c>
      <c r="AE1107" t="s">
        <v>1378</v>
      </c>
      <c r="AH1107" t="s">
        <v>11</v>
      </c>
      <c r="AI1107" t="s">
        <v>1045</v>
      </c>
      <c r="AJ1107">
        <v>1859</v>
      </c>
      <c r="AK1107" t="s">
        <v>3635</v>
      </c>
      <c r="AN1107" t="s">
        <v>341</v>
      </c>
      <c r="AO1107" t="s">
        <v>160</v>
      </c>
      <c r="AP1107" t="s">
        <v>359</v>
      </c>
      <c r="AR1107" t="s">
        <v>80</v>
      </c>
      <c r="AS1107">
        <v>305</v>
      </c>
      <c r="AT1107" t="s">
        <v>81</v>
      </c>
      <c r="AU1107">
        <v>29.53</v>
      </c>
      <c r="AV1107">
        <v>29.48</v>
      </c>
      <c r="AW1107" t="s">
        <v>82</v>
      </c>
      <c r="AX1107">
        <v>305</v>
      </c>
      <c r="AY1107" t="s">
        <v>81</v>
      </c>
      <c r="AZ1107">
        <v>19.25</v>
      </c>
      <c r="BA1107">
        <v>16.47</v>
      </c>
      <c r="BB1107" t="s">
        <v>83</v>
      </c>
    </row>
    <row r="1108" spans="1:54" x14ac:dyDescent="0.4">
      <c r="A1108">
        <v>934002</v>
      </c>
      <c r="D1108" t="s">
        <v>54</v>
      </c>
      <c r="E1108" t="s">
        <v>55</v>
      </c>
      <c r="G1108">
        <v>1</v>
      </c>
      <c r="H1108" t="s">
        <v>84</v>
      </c>
      <c r="I1108" t="s">
        <v>57</v>
      </c>
      <c r="K1108" t="s">
        <v>802</v>
      </c>
      <c r="L1108" t="s">
        <v>803</v>
      </c>
      <c r="M1108" t="s">
        <v>223</v>
      </c>
      <c r="N1108" t="s">
        <v>234</v>
      </c>
      <c r="O1108" t="s">
        <v>87</v>
      </c>
      <c r="P1108" t="s">
        <v>224</v>
      </c>
      <c r="Q1108" t="s">
        <v>182</v>
      </c>
      <c r="R1108" t="s">
        <v>183</v>
      </c>
      <c r="S1108" t="s">
        <v>64</v>
      </c>
      <c r="T1108">
        <v>246.7</v>
      </c>
      <c r="U1108">
        <v>237</v>
      </c>
      <c r="V1108">
        <f t="shared" si="34"/>
        <v>241.85</v>
      </c>
      <c r="W1108">
        <f t="shared" si="35"/>
        <v>9.6999999999999886</v>
      </c>
      <c r="X1108">
        <v>-118.136673</v>
      </c>
      <c r="Y1108">
        <v>40.405665999999997</v>
      </c>
      <c r="Z1108" t="s">
        <v>1596</v>
      </c>
      <c r="AA1108" t="s">
        <v>66</v>
      </c>
      <c r="AB1108" t="s">
        <v>558</v>
      </c>
      <c r="AC1108" t="s">
        <v>559</v>
      </c>
      <c r="AH1108" t="s">
        <v>72</v>
      </c>
      <c r="AI1108" t="s">
        <v>561</v>
      </c>
      <c r="AJ1108">
        <v>1905</v>
      </c>
      <c r="AK1108" t="s">
        <v>3849</v>
      </c>
      <c r="AN1108" t="s">
        <v>114</v>
      </c>
      <c r="AO1108">
        <v>6</v>
      </c>
      <c r="AP1108" t="s">
        <v>115</v>
      </c>
      <c r="AR1108" t="s">
        <v>80</v>
      </c>
      <c r="AS1108">
        <v>101</v>
      </c>
      <c r="AT1108" t="s">
        <v>81</v>
      </c>
      <c r="AU1108">
        <v>-38.840000000000003</v>
      </c>
      <c r="AV1108">
        <v>24.56</v>
      </c>
      <c r="AW1108" t="s">
        <v>82</v>
      </c>
      <c r="AX1108">
        <v>131</v>
      </c>
      <c r="AY1108" t="s">
        <v>81</v>
      </c>
      <c r="AZ1108">
        <v>-44.1</v>
      </c>
      <c r="BA1108">
        <v>8.18</v>
      </c>
      <c r="BB1108" t="s">
        <v>83</v>
      </c>
    </row>
    <row r="1109" spans="1:54" x14ac:dyDescent="0.4">
      <c r="A1109">
        <v>943015</v>
      </c>
      <c r="D1109" t="s">
        <v>54</v>
      </c>
      <c r="G1109">
        <v>1</v>
      </c>
      <c r="H1109" t="s">
        <v>84</v>
      </c>
      <c r="I1109" t="s">
        <v>57</v>
      </c>
      <c r="K1109" t="s">
        <v>771</v>
      </c>
      <c r="L1109" t="s">
        <v>772</v>
      </c>
      <c r="M1109" t="s">
        <v>223</v>
      </c>
      <c r="P1109" t="s">
        <v>224</v>
      </c>
      <c r="Q1109" t="s">
        <v>182</v>
      </c>
      <c r="R1109" t="s">
        <v>183</v>
      </c>
      <c r="S1109" t="s">
        <v>64</v>
      </c>
      <c r="T1109">
        <v>246.7</v>
      </c>
      <c r="U1109">
        <v>237</v>
      </c>
      <c r="V1109">
        <f t="shared" si="34"/>
        <v>241.85</v>
      </c>
      <c r="W1109">
        <f t="shared" si="35"/>
        <v>9.6999999999999886</v>
      </c>
      <c r="X1109">
        <v>34.790278999999998</v>
      </c>
      <c r="Y1109">
        <v>30.345832999999999</v>
      </c>
      <c r="Z1109" t="s">
        <v>520</v>
      </c>
      <c r="AA1109" t="s">
        <v>1351</v>
      </c>
      <c r="AD1109" t="s">
        <v>1378</v>
      </c>
      <c r="AH1109" t="s">
        <v>72</v>
      </c>
      <c r="AI1109" t="s">
        <v>1487</v>
      </c>
      <c r="AJ1109">
        <v>1980</v>
      </c>
      <c r="AK1109" t="s">
        <v>3868</v>
      </c>
      <c r="AN1109" t="s">
        <v>114</v>
      </c>
      <c r="AO1109" t="s">
        <v>77</v>
      </c>
      <c r="AP1109" t="s">
        <v>359</v>
      </c>
      <c r="AQ1109" t="s">
        <v>3869</v>
      </c>
      <c r="AR1109" t="s">
        <v>80</v>
      </c>
      <c r="AS1109">
        <v>508</v>
      </c>
      <c r="AT1109" t="s">
        <v>81</v>
      </c>
      <c r="AU1109">
        <v>38.880000000000003</v>
      </c>
      <c r="AV1109">
        <v>-2.7</v>
      </c>
      <c r="AW1109" t="s">
        <v>82</v>
      </c>
      <c r="AX1109">
        <v>508</v>
      </c>
      <c r="AY1109" t="s">
        <v>81</v>
      </c>
      <c r="AZ1109">
        <v>34.61</v>
      </c>
      <c r="BA1109">
        <v>-13.29</v>
      </c>
      <c r="BB1109" t="s">
        <v>83</v>
      </c>
    </row>
    <row r="1110" spans="1:54" x14ac:dyDescent="0.4">
      <c r="A1110">
        <v>950445</v>
      </c>
      <c r="D1110" t="s">
        <v>2097</v>
      </c>
      <c r="E1110" t="s">
        <v>310</v>
      </c>
      <c r="G1110">
        <v>1</v>
      </c>
      <c r="H1110" t="s">
        <v>56</v>
      </c>
      <c r="I1110" t="s">
        <v>57</v>
      </c>
      <c r="K1110" t="s">
        <v>755</v>
      </c>
      <c r="L1110" t="s">
        <v>756</v>
      </c>
      <c r="M1110" t="s">
        <v>223</v>
      </c>
      <c r="P1110" t="s">
        <v>224</v>
      </c>
      <c r="Q1110" t="s">
        <v>182</v>
      </c>
      <c r="R1110" t="s">
        <v>183</v>
      </c>
      <c r="S1110" t="s">
        <v>64</v>
      </c>
      <c r="T1110">
        <v>246.7</v>
      </c>
      <c r="U1110">
        <v>237</v>
      </c>
      <c r="V1110">
        <f t="shared" si="34"/>
        <v>241.85</v>
      </c>
      <c r="W1110">
        <f t="shared" si="35"/>
        <v>9.6999999999999886</v>
      </c>
      <c r="X1110">
        <v>8.9413889999999991</v>
      </c>
      <c r="Y1110">
        <v>45.907223000000002</v>
      </c>
      <c r="Z1110" t="s">
        <v>1415</v>
      </c>
      <c r="AA1110" t="s">
        <v>226</v>
      </c>
      <c r="AB1110" t="s">
        <v>2098</v>
      </c>
      <c r="AC1110" t="s">
        <v>2080</v>
      </c>
      <c r="AD1110" t="s">
        <v>2075</v>
      </c>
      <c r="AF1110" t="s">
        <v>2099</v>
      </c>
      <c r="AH1110" t="s">
        <v>72</v>
      </c>
      <c r="AI1110" t="s">
        <v>2013</v>
      </c>
      <c r="AJ1110">
        <v>2001</v>
      </c>
      <c r="AK1110" t="s">
        <v>2100</v>
      </c>
      <c r="AM1110" t="s">
        <v>2101</v>
      </c>
      <c r="AN1110" t="s">
        <v>192</v>
      </c>
      <c r="AO1110" t="s">
        <v>77</v>
      </c>
      <c r="AP1110" t="s">
        <v>115</v>
      </c>
      <c r="AQ1110" t="s">
        <v>2102</v>
      </c>
      <c r="AR1110" t="s">
        <v>80</v>
      </c>
      <c r="AS1110">
        <v>307</v>
      </c>
      <c r="AT1110" t="s">
        <v>81</v>
      </c>
      <c r="AU1110">
        <v>33.9</v>
      </c>
      <c r="AV1110">
        <v>17.5</v>
      </c>
      <c r="AW1110" t="s">
        <v>82</v>
      </c>
      <c r="AX1110">
        <v>307</v>
      </c>
      <c r="AY1110" t="s">
        <v>81</v>
      </c>
      <c r="AZ1110">
        <v>21.19</v>
      </c>
      <c r="BA1110">
        <v>7.66</v>
      </c>
      <c r="BB1110" t="s">
        <v>83</v>
      </c>
    </row>
    <row r="1111" spans="1:54" x14ac:dyDescent="0.4">
      <c r="A1111">
        <v>950446</v>
      </c>
      <c r="D1111" t="s">
        <v>2097</v>
      </c>
      <c r="E1111" t="s">
        <v>310</v>
      </c>
      <c r="G1111">
        <v>1</v>
      </c>
      <c r="H1111" t="s">
        <v>56</v>
      </c>
      <c r="I1111" t="s">
        <v>57</v>
      </c>
      <c r="K1111" t="s">
        <v>675</v>
      </c>
      <c r="L1111" t="s">
        <v>676</v>
      </c>
      <c r="M1111" t="s">
        <v>223</v>
      </c>
      <c r="P1111" t="s">
        <v>224</v>
      </c>
      <c r="Q1111" t="s">
        <v>182</v>
      </c>
      <c r="R1111" t="s">
        <v>183</v>
      </c>
      <c r="S1111" t="s">
        <v>64</v>
      </c>
      <c r="T1111">
        <v>246.7</v>
      </c>
      <c r="U1111">
        <v>237</v>
      </c>
      <c r="V1111">
        <f t="shared" si="34"/>
        <v>241.85</v>
      </c>
      <c r="W1111">
        <f t="shared" si="35"/>
        <v>9.6999999999999886</v>
      </c>
      <c r="X1111">
        <v>8.9413889999999991</v>
      </c>
      <c r="Y1111">
        <v>45.907223000000002</v>
      </c>
      <c r="Z1111" t="s">
        <v>1415</v>
      </c>
      <c r="AA1111" t="s">
        <v>226</v>
      </c>
      <c r="AB1111" t="s">
        <v>2098</v>
      </c>
      <c r="AC1111" t="s">
        <v>2080</v>
      </c>
      <c r="AD1111" t="s">
        <v>2075</v>
      </c>
      <c r="AF1111" t="s">
        <v>2099</v>
      </c>
      <c r="AH1111" t="s">
        <v>72</v>
      </c>
      <c r="AI1111" t="s">
        <v>2013</v>
      </c>
      <c r="AJ1111">
        <v>2000</v>
      </c>
      <c r="AK1111" t="s">
        <v>2100</v>
      </c>
      <c r="AM1111" t="s">
        <v>2101</v>
      </c>
      <c r="AN1111" t="s">
        <v>192</v>
      </c>
      <c r="AO1111" t="s">
        <v>77</v>
      </c>
      <c r="AP1111" t="s">
        <v>115</v>
      </c>
      <c r="AQ1111" t="s">
        <v>2102</v>
      </c>
      <c r="AR1111" t="s">
        <v>80</v>
      </c>
      <c r="AS1111">
        <v>307</v>
      </c>
      <c r="AT1111" t="s">
        <v>81</v>
      </c>
      <c r="AU1111">
        <v>33.9</v>
      </c>
      <c r="AV1111">
        <v>17.5</v>
      </c>
      <c r="AW1111" t="s">
        <v>82</v>
      </c>
      <c r="AX1111">
        <v>307</v>
      </c>
      <c r="AY1111" t="s">
        <v>81</v>
      </c>
      <c r="AZ1111">
        <v>21.19</v>
      </c>
      <c r="BA1111">
        <v>7.66</v>
      </c>
      <c r="BB1111" t="s">
        <v>83</v>
      </c>
    </row>
    <row r="1112" spans="1:54" x14ac:dyDescent="0.4">
      <c r="A1112">
        <v>950446</v>
      </c>
      <c r="D1112" t="s">
        <v>2097</v>
      </c>
      <c r="E1112" t="s">
        <v>310</v>
      </c>
      <c r="G1112">
        <v>1</v>
      </c>
      <c r="H1112" t="s">
        <v>56</v>
      </c>
      <c r="I1112" t="s">
        <v>57</v>
      </c>
      <c r="K1112" t="s">
        <v>675</v>
      </c>
      <c r="L1112" t="s">
        <v>676</v>
      </c>
      <c r="M1112" t="s">
        <v>223</v>
      </c>
      <c r="P1112" t="s">
        <v>224</v>
      </c>
      <c r="Q1112" t="s">
        <v>182</v>
      </c>
      <c r="R1112" t="s">
        <v>183</v>
      </c>
      <c r="S1112" t="s">
        <v>64</v>
      </c>
      <c r="T1112">
        <v>246.7</v>
      </c>
      <c r="U1112">
        <v>237</v>
      </c>
      <c r="V1112">
        <f t="shared" si="34"/>
        <v>241.85</v>
      </c>
      <c r="W1112">
        <f t="shared" si="35"/>
        <v>9.6999999999999886</v>
      </c>
      <c r="X1112">
        <v>8.9413889999999991</v>
      </c>
      <c r="Y1112">
        <v>45.907223000000002</v>
      </c>
      <c r="Z1112" t="s">
        <v>1415</v>
      </c>
      <c r="AA1112" t="s">
        <v>226</v>
      </c>
      <c r="AB1112" t="s">
        <v>2098</v>
      </c>
      <c r="AC1112" t="s">
        <v>2080</v>
      </c>
      <c r="AD1112" t="s">
        <v>2075</v>
      </c>
      <c r="AF1112" t="s">
        <v>2099</v>
      </c>
      <c r="AH1112" t="s">
        <v>72</v>
      </c>
      <c r="AI1112" t="s">
        <v>2013</v>
      </c>
      <c r="AJ1112">
        <v>2000</v>
      </c>
      <c r="AK1112" t="s">
        <v>2100</v>
      </c>
      <c r="AM1112" t="s">
        <v>2101</v>
      </c>
      <c r="AN1112" t="s">
        <v>192</v>
      </c>
      <c r="AO1112" t="s">
        <v>77</v>
      </c>
      <c r="AP1112" t="s">
        <v>115</v>
      </c>
      <c r="AQ1112" t="s">
        <v>2102</v>
      </c>
      <c r="AR1112" t="s">
        <v>80</v>
      </c>
      <c r="AS1112">
        <v>307</v>
      </c>
      <c r="AT1112" t="s">
        <v>81</v>
      </c>
      <c r="AU1112">
        <v>33.9</v>
      </c>
      <c r="AV1112">
        <v>17.5</v>
      </c>
      <c r="AW1112" t="s">
        <v>82</v>
      </c>
      <c r="AX1112">
        <v>307</v>
      </c>
      <c r="AY1112" t="s">
        <v>81</v>
      </c>
      <c r="AZ1112">
        <v>21.19</v>
      </c>
      <c r="BA1112">
        <v>7.66</v>
      </c>
      <c r="BB1112" t="s">
        <v>83</v>
      </c>
    </row>
    <row r="1113" spans="1:54" x14ac:dyDescent="0.4">
      <c r="A1113">
        <v>950446</v>
      </c>
      <c r="D1113" t="s">
        <v>2097</v>
      </c>
      <c r="E1113" t="s">
        <v>310</v>
      </c>
      <c r="G1113">
        <v>1</v>
      </c>
      <c r="H1113" t="s">
        <v>56</v>
      </c>
      <c r="I1113" t="s">
        <v>57</v>
      </c>
      <c r="K1113" t="s">
        <v>675</v>
      </c>
      <c r="L1113" t="s">
        <v>676</v>
      </c>
      <c r="M1113" t="s">
        <v>223</v>
      </c>
      <c r="P1113" t="s">
        <v>224</v>
      </c>
      <c r="Q1113" t="s">
        <v>182</v>
      </c>
      <c r="R1113" t="s">
        <v>183</v>
      </c>
      <c r="S1113" t="s">
        <v>64</v>
      </c>
      <c r="T1113">
        <v>246.7</v>
      </c>
      <c r="U1113">
        <v>237</v>
      </c>
      <c r="V1113">
        <f t="shared" si="34"/>
        <v>241.85</v>
      </c>
      <c r="W1113">
        <f t="shared" si="35"/>
        <v>9.6999999999999886</v>
      </c>
      <c r="X1113">
        <v>8.9413889999999991</v>
      </c>
      <c r="Y1113">
        <v>45.907223000000002</v>
      </c>
      <c r="Z1113" t="s">
        <v>1415</v>
      </c>
      <c r="AA1113" t="s">
        <v>226</v>
      </c>
      <c r="AB1113" t="s">
        <v>2098</v>
      </c>
      <c r="AC1113" t="s">
        <v>2080</v>
      </c>
      <c r="AD1113" t="s">
        <v>2075</v>
      </c>
      <c r="AF1113" t="s">
        <v>2099</v>
      </c>
      <c r="AH1113" t="s">
        <v>72</v>
      </c>
      <c r="AI1113" t="s">
        <v>2013</v>
      </c>
      <c r="AJ1113">
        <v>2000</v>
      </c>
      <c r="AK1113" t="s">
        <v>2100</v>
      </c>
      <c r="AM1113" t="s">
        <v>2101</v>
      </c>
      <c r="AN1113" t="s">
        <v>192</v>
      </c>
      <c r="AO1113" t="s">
        <v>77</v>
      </c>
      <c r="AP1113" t="s">
        <v>115</v>
      </c>
      <c r="AQ1113" t="s">
        <v>2102</v>
      </c>
      <c r="AR1113" t="s">
        <v>80</v>
      </c>
      <c r="AS1113">
        <v>307</v>
      </c>
      <c r="AT1113" t="s">
        <v>81</v>
      </c>
      <c r="AU1113">
        <v>33.9</v>
      </c>
      <c r="AV1113">
        <v>17.5</v>
      </c>
      <c r="AW1113" t="s">
        <v>82</v>
      </c>
      <c r="AX1113">
        <v>307</v>
      </c>
      <c r="AY1113" t="s">
        <v>81</v>
      </c>
      <c r="AZ1113">
        <v>21.19</v>
      </c>
      <c r="BA1113">
        <v>7.66</v>
      </c>
      <c r="BB1113" t="s">
        <v>83</v>
      </c>
    </row>
    <row r="1114" spans="1:54" x14ac:dyDescent="0.4">
      <c r="A1114">
        <v>950446</v>
      </c>
      <c r="D1114" t="s">
        <v>2097</v>
      </c>
      <c r="E1114" t="s">
        <v>310</v>
      </c>
      <c r="G1114">
        <v>1</v>
      </c>
      <c r="H1114" t="s">
        <v>56</v>
      </c>
      <c r="I1114" t="s">
        <v>57</v>
      </c>
      <c r="K1114" t="s">
        <v>675</v>
      </c>
      <c r="L1114" t="s">
        <v>676</v>
      </c>
      <c r="M1114" t="s">
        <v>223</v>
      </c>
      <c r="P1114" t="s">
        <v>224</v>
      </c>
      <c r="Q1114" t="s">
        <v>182</v>
      </c>
      <c r="R1114" t="s">
        <v>183</v>
      </c>
      <c r="S1114" t="s">
        <v>64</v>
      </c>
      <c r="T1114">
        <v>246.7</v>
      </c>
      <c r="U1114">
        <v>237</v>
      </c>
      <c r="V1114">
        <f t="shared" si="34"/>
        <v>241.85</v>
      </c>
      <c r="W1114">
        <f t="shared" si="35"/>
        <v>9.6999999999999886</v>
      </c>
      <c r="X1114">
        <v>8.9413889999999991</v>
      </c>
      <c r="Y1114">
        <v>45.907223000000002</v>
      </c>
      <c r="Z1114" t="s">
        <v>1415</v>
      </c>
      <c r="AA1114" t="s">
        <v>226</v>
      </c>
      <c r="AB1114" t="s">
        <v>2098</v>
      </c>
      <c r="AC1114" t="s">
        <v>2080</v>
      </c>
      <c r="AD1114" t="s">
        <v>2075</v>
      </c>
      <c r="AF1114" t="s">
        <v>2099</v>
      </c>
      <c r="AH1114" t="s">
        <v>72</v>
      </c>
      <c r="AI1114" t="s">
        <v>2013</v>
      </c>
      <c r="AJ1114">
        <v>2000</v>
      </c>
      <c r="AK1114" t="s">
        <v>2100</v>
      </c>
      <c r="AM1114" t="s">
        <v>2101</v>
      </c>
      <c r="AN1114" t="s">
        <v>192</v>
      </c>
      <c r="AO1114" t="s">
        <v>77</v>
      </c>
      <c r="AP1114" t="s">
        <v>115</v>
      </c>
      <c r="AQ1114" t="s">
        <v>2102</v>
      </c>
      <c r="AR1114" t="s">
        <v>80</v>
      </c>
      <c r="AS1114">
        <v>307</v>
      </c>
      <c r="AT1114" t="s">
        <v>81</v>
      </c>
      <c r="AU1114">
        <v>33.9</v>
      </c>
      <c r="AV1114">
        <v>17.5</v>
      </c>
      <c r="AW1114" t="s">
        <v>82</v>
      </c>
      <c r="AX1114">
        <v>307</v>
      </c>
      <c r="AY1114" t="s">
        <v>81</v>
      </c>
      <c r="AZ1114">
        <v>21.19</v>
      </c>
      <c r="BA1114">
        <v>7.66</v>
      </c>
      <c r="BB1114" t="s">
        <v>83</v>
      </c>
    </row>
    <row r="1115" spans="1:54" x14ac:dyDescent="0.4">
      <c r="A1115">
        <v>950446</v>
      </c>
      <c r="D1115" t="s">
        <v>2097</v>
      </c>
      <c r="E1115" t="s">
        <v>310</v>
      </c>
      <c r="G1115">
        <v>1</v>
      </c>
      <c r="H1115" t="s">
        <v>56</v>
      </c>
      <c r="I1115" t="s">
        <v>57</v>
      </c>
      <c r="K1115" t="s">
        <v>675</v>
      </c>
      <c r="L1115" t="s">
        <v>676</v>
      </c>
      <c r="M1115" t="s">
        <v>223</v>
      </c>
      <c r="P1115" t="s">
        <v>224</v>
      </c>
      <c r="Q1115" t="s">
        <v>182</v>
      </c>
      <c r="R1115" t="s">
        <v>183</v>
      </c>
      <c r="S1115" t="s">
        <v>64</v>
      </c>
      <c r="T1115">
        <v>246.7</v>
      </c>
      <c r="U1115">
        <v>237</v>
      </c>
      <c r="V1115">
        <f t="shared" si="34"/>
        <v>241.85</v>
      </c>
      <c r="W1115">
        <f t="shared" si="35"/>
        <v>9.6999999999999886</v>
      </c>
      <c r="X1115">
        <v>8.9413889999999991</v>
      </c>
      <c r="Y1115">
        <v>45.907223000000002</v>
      </c>
      <c r="Z1115" t="s">
        <v>1415</v>
      </c>
      <c r="AA1115" t="s">
        <v>226</v>
      </c>
      <c r="AB1115" t="s">
        <v>2098</v>
      </c>
      <c r="AC1115" t="s">
        <v>2080</v>
      </c>
      <c r="AD1115" t="s">
        <v>2075</v>
      </c>
      <c r="AF1115" t="s">
        <v>2099</v>
      </c>
      <c r="AH1115" t="s">
        <v>72</v>
      </c>
      <c r="AI1115" t="s">
        <v>2013</v>
      </c>
      <c r="AJ1115">
        <v>2000</v>
      </c>
      <c r="AK1115" t="s">
        <v>2100</v>
      </c>
      <c r="AM1115" t="s">
        <v>2101</v>
      </c>
      <c r="AN1115" t="s">
        <v>192</v>
      </c>
      <c r="AO1115" t="s">
        <v>77</v>
      </c>
      <c r="AP1115" t="s">
        <v>115</v>
      </c>
      <c r="AQ1115" t="s">
        <v>2102</v>
      </c>
      <c r="AR1115" t="s">
        <v>80</v>
      </c>
      <c r="AS1115">
        <v>307</v>
      </c>
      <c r="AT1115" t="s">
        <v>81</v>
      </c>
      <c r="AU1115">
        <v>33.9</v>
      </c>
      <c r="AV1115">
        <v>17.5</v>
      </c>
      <c r="AW1115" t="s">
        <v>82</v>
      </c>
      <c r="AX1115">
        <v>307</v>
      </c>
      <c r="AY1115" t="s">
        <v>81</v>
      </c>
      <c r="AZ1115">
        <v>21.19</v>
      </c>
      <c r="BA1115">
        <v>7.66</v>
      </c>
      <c r="BB1115" t="s">
        <v>83</v>
      </c>
    </row>
    <row r="1116" spans="1:54" x14ac:dyDescent="0.4">
      <c r="A1116">
        <v>950446</v>
      </c>
      <c r="D1116" t="s">
        <v>2097</v>
      </c>
      <c r="E1116" t="s">
        <v>310</v>
      </c>
      <c r="G1116">
        <v>1</v>
      </c>
      <c r="H1116" t="s">
        <v>56</v>
      </c>
      <c r="I1116" t="s">
        <v>57</v>
      </c>
      <c r="K1116" t="s">
        <v>675</v>
      </c>
      <c r="L1116" t="s">
        <v>676</v>
      </c>
      <c r="M1116" t="s">
        <v>223</v>
      </c>
      <c r="P1116" t="s">
        <v>224</v>
      </c>
      <c r="Q1116" t="s">
        <v>182</v>
      </c>
      <c r="R1116" t="s">
        <v>183</v>
      </c>
      <c r="S1116" t="s">
        <v>64</v>
      </c>
      <c r="T1116">
        <v>246.7</v>
      </c>
      <c r="U1116">
        <v>237</v>
      </c>
      <c r="V1116">
        <f t="shared" si="34"/>
        <v>241.85</v>
      </c>
      <c r="W1116">
        <f t="shared" si="35"/>
        <v>9.6999999999999886</v>
      </c>
      <c r="X1116">
        <v>8.9413889999999991</v>
      </c>
      <c r="Y1116">
        <v>45.907223000000002</v>
      </c>
      <c r="Z1116" t="s">
        <v>1415</v>
      </c>
      <c r="AA1116" t="s">
        <v>226</v>
      </c>
      <c r="AB1116" t="s">
        <v>2098</v>
      </c>
      <c r="AC1116" t="s">
        <v>2080</v>
      </c>
      <c r="AD1116" t="s">
        <v>2075</v>
      </c>
      <c r="AF1116" t="s">
        <v>2099</v>
      </c>
      <c r="AH1116" t="s">
        <v>72</v>
      </c>
      <c r="AI1116" t="s">
        <v>2013</v>
      </c>
      <c r="AJ1116">
        <v>2000</v>
      </c>
      <c r="AK1116" t="s">
        <v>2100</v>
      </c>
      <c r="AM1116" t="s">
        <v>2101</v>
      </c>
      <c r="AN1116" t="s">
        <v>192</v>
      </c>
      <c r="AO1116" t="s">
        <v>77</v>
      </c>
      <c r="AP1116" t="s">
        <v>115</v>
      </c>
      <c r="AQ1116" t="s">
        <v>2102</v>
      </c>
      <c r="AR1116" t="s">
        <v>80</v>
      </c>
      <c r="AS1116">
        <v>307</v>
      </c>
      <c r="AT1116" t="s">
        <v>81</v>
      </c>
      <c r="AU1116">
        <v>33.9</v>
      </c>
      <c r="AV1116">
        <v>17.5</v>
      </c>
      <c r="AW1116" t="s">
        <v>82</v>
      </c>
      <c r="AX1116">
        <v>307</v>
      </c>
      <c r="AY1116" t="s">
        <v>81</v>
      </c>
      <c r="AZ1116">
        <v>21.19</v>
      </c>
      <c r="BA1116">
        <v>7.66</v>
      </c>
      <c r="BB1116" t="s">
        <v>83</v>
      </c>
    </row>
    <row r="1117" spans="1:54" x14ac:dyDescent="0.4">
      <c r="A1117">
        <v>950447</v>
      </c>
      <c r="D1117" t="s">
        <v>2097</v>
      </c>
      <c r="E1117" t="s">
        <v>310</v>
      </c>
      <c r="G1117">
        <v>1</v>
      </c>
      <c r="H1117" t="s">
        <v>56</v>
      </c>
      <c r="I1117" t="s">
        <v>57</v>
      </c>
      <c r="K1117" t="s">
        <v>232</v>
      </c>
      <c r="L1117" t="s">
        <v>233</v>
      </c>
      <c r="M1117" t="s">
        <v>223</v>
      </c>
      <c r="N1117" t="s">
        <v>234</v>
      </c>
      <c r="O1117" t="s">
        <v>87</v>
      </c>
      <c r="P1117" t="s">
        <v>224</v>
      </c>
      <c r="Q1117" t="s">
        <v>182</v>
      </c>
      <c r="R1117" t="s">
        <v>183</v>
      </c>
      <c r="S1117" t="s">
        <v>64</v>
      </c>
      <c r="T1117">
        <v>246.7</v>
      </c>
      <c r="U1117">
        <v>237</v>
      </c>
      <c r="V1117">
        <f t="shared" si="34"/>
        <v>241.85</v>
      </c>
      <c r="W1117">
        <f t="shared" si="35"/>
        <v>9.6999999999999886</v>
      </c>
      <c r="X1117">
        <v>8.9413889999999991</v>
      </c>
      <c r="Y1117">
        <v>45.907223000000002</v>
      </c>
      <c r="Z1117" t="s">
        <v>1415</v>
      </c>
      <c r="AA1117" t="s">
        <v>226</v>
      </c>
      <c r="AB1117" t="s">
        <v>2098</v>
      </c>
      <c r="AC1117" t="s">
        <v>2080</v>
      </c>
      <c r="AD1117" t="s">
        <v>2075</v>
      </c>
      <c r="AF1117" t="s">
        <v>2099</v>
      </c>
      <c r="AH1117" t="s">
        <v>11</v>
      </c>
      <c r="AI1117" t="s">
        <v>3898</v>
      </c>
      <c r="AJ1117">
        <v>1979</v>
      </c>
      <c r="AK1117" t="s">
        <v>2100</v>
      </c>
      <c r="AM1117" t="s">
        <v>2101</v>
      </c>
      <c r="AN1117" t="s">
        <v>192</v>
      </c>
      <c r="AO1117" t="s">
        <v>77</v>
      </c>
      <c r="AP1117" t="s">
        <v>115</v>
      </c>
      <c r="AQ1117" t="s">
        <v>2102</v>
      </c>
      <c r="AR1117" t="s">
        <v>80</v>
      </c>
      <c r="AS1117">
        <v>307</v>
      </c>
      <c r="AT1117" t="s">
        <v>81</v>
      </c>
      <c r="AU1117">
        <v>33.9</v>
      </c>
      <c r="AV1117">
        <v>17.5</v>
      </c>
      <c r="AW1117" t="s">
        <v>82</v>
      </c>
      <c r="AX1117">
        <v>307</v>
      </c>
      <c r="AY1117" t="s">
        <v>81</v>
      </c>
      <c r="AZ1117">
        <v>21.19</v>
      </c>
      <c r="BA1117">
        <v>7.66</v>
      </c>
      <c r="BB1117" t="s">
        <v>83</v>
      </c>
    </row>
    <row r="1118" spans="1:54" x14ac:dyDescent="0.4">
      <c r="A1118">
        <v>950447</v>
      </c>
      <c r="D1118" t="s">
        <v>2097</v>
      </c>
      <c r="E1118" t="s">
        <v>310</v>
      </c>
      <c r="G1118">
        <v>1</v>
      </c>
      <c r="H1118" t="s">
        <v>56</v>
      </c>
      <c r="I1118" t="s">
        <v>57</v>
      </c>
      <c r="K1118" t="s">
        <v>232</v>
      </c>
      <c r="L1118" t="s">
        <v>233</v>
      </c>
      <c r="M1118" t="s">
        <v>223</v>
      </c>
      <c r="N1118" t="s">
        <v>234</v>
      </c>
      <c r="O1118" t="s">
        <v>87</v>
      </c>
      <c r="P1118" t="s">
        <v>224</v>
      </c>
      <c r="Q1118" t="s">
        <v>182</v>
      </c>
      <c r="R1118" t="s">
        <v>183</v>
      </c>
      <c r="S1118" t="s">
        <v>64</v>
      </c>
      <c r="T1118">
        <v>246.7</v>
      </c>
      <c r="U1118">
        <v>237</v>
      </c>
      <c r="V1118">
        <f t="shared" si="34"/>
        <v>241.85</v>
      </c>
      <c r="W1118">
        <f t="shared" si="35"/>
        <v>9.6999999999999886</v>
      </c>
      <c r="X1118">
        <v>8.9413889999999991</v>
      </c>
      <c r="Y1118">
        <v>45.907223000000002</v>
      </c>
      <c r="Z1118" t="s">
        <v>1415</v>
      </c>
      <c r="AA1118" t="s">
        <v>226</v>
      </c>
      <c r="AB1118" t="s">
        <v>2098</v>
      </c>
      <c r="AC1118" t="s">
        <v>2080</v>
      </c>
      <c r="AD1118" t="s">
        <v>2075</v>
      </c>
      <c r="AF1118" t="s">
        <v>2099</v>
      </c>
      <c r="AH1118" t="s">
        <v>11</v>
      </c>
      <c r="AI1118" t="s">
        <v>3898</v>
      </c>
      <c r="AJ1118">
        <v>1979</v>
      </c>
      <c r="AK1118" t="s">
        <v>2100</v>
      </c>
      <c r="AM1118" t="s">
        <v>2101</v>
      </c>
      <c r="AN1118" t="s">
        <v>192</v>
      </c>
      <c r="AO1118" t="s">
        <v>77</v>
      </c>
      <c r="AP1118" t="s">
        <v>115</v>
      </c>
      <c r="AQ1118" t="s">
        <v>2102</v>
      </c>
      <c r="AR1118" t="s">
        <v>80</v>
      </c>
      <c r="AS1118">
        <v>307</v>
      </c>
      <c r="AT1118" t="s">
        <v>81</v>
      </c>
      <c r="AU1118">
        <v>33.9</v>
      </c>
      <c r="AV1118">
        <v>17.5</v>
      </c>
      <c r="AW1118" t="s">
        <v>82</v>
      </c>
      <c r="AX1118">
        <v>307</v>
      </c>
      <c r="AY1118" t="s">
        <v>81</v>
      </c>
      <c r="AZ1118">
        <v>21.19</v>
      </c>
      <c r="BA1118">
        <v>7.66</v>
      </c>
      <c r="BB1118" t="s">
        <v>83</v>
      </c>
    </row>
    <row r="1119" spans="1:54" x14ac:dyDescent="0.4">
      <c r="A1119">
        <v>950448</v>
      </c>
      <c r="D1119" t="s">
        <v>2097</v>
      </c>
      <c r="E1119" t="s">
        <v>310</v>
      </c>
      <c r="G1119">
        <v>1</v>
      </c>
      <c r="H1119" t="s">
        <v>84</v>
      </c>
      <c r="I1119" t="s">
        <v>57</v>
      </c>
      <c r="K1119" t="s">
        <v>771</v>
      </c>
      <c r="L1119" t="s">
        <v>772</v>
      </c>
      <c r="M1119" t="s">
        <v>223</v>
      </c>
      <c r="P1119" t="s">
        <v>224</v>
      </c>
      <c r="Q1119" t="s">
        <v>182</v>
      </c>
      <c r="R1119" t="s">
        <v>183</v>
      </c>
      <c r="S1119" t="s">
        <v>64</v>
      </c>
      <c r="T1119">
        <v>246.7</v>
      </c>
      <c r="U1119">
        <v>237</v>
      </c>
      <c r="V1119">
        <f t="shared" si="34"/>
        <v>241.85</v>
      </c>
      <c r="W1119">
        <f t="shared" si="35"/>
        <v>9.6999999999999886</v>
      </c>
      <c r="X1119">
        <v>8.9413889999999991</v>
      </c>
      <c r="Y1119">
        <v>45.907223000000002</v>
      </c>
      <c r="Z1119" t="s">
        <v>1415</v>
      </c>
      <c r="AA1119" t="s">
        <v>226</v>
      </c>
      <c r="AB1119" t="s">
        <v>2098</v>
      </c>
      <c r="AC1119" t="s">
        <v>2080</v>
      </c>
      <c r="AD1119" t="s">
        <v>2075</v>
      </c>
      <c r="AF1119" t="s">
        <v>2099</v>
      </c>
      <c r="AH1119" t="s">
        <v>72</v>
      </c>
      <c r="AI1119" t="s">
        <v>3898</v>
      </c>
      <c r="AJ1119">
        <v>1979</v>
      </c>
      <c r="AK1119" t="s">
        <v>2100</v>
      </c>
      <c r="AM1119" t="s">
        <v>2101</v>
      </c>
      <c r="AN1119" t="s">
        <v>192</v>
      </c>
      <c r="AO1119" t="s">
        <v>77</v>
      </c>
      <c r="AP1119" t="s">
        <v>115</v>
      </c>
      <c r="AQ1119" t="s">
        <v>2102</v>
      </c>
      <c r="AR1119" t="s">
        <v>80</v>
      </c>
      <c r="AS1119">
        <v>307</v>
      </c>
      <c r="AT1119" t="s">
        <v>81</v>
      </c>
      <c r="AU1119">
        <v>33.9</v>
      </c>
      <c r="AV1119">
        <v>17.5</v>
      </c>
      <c r="AW1119" t="s">
        <v>82</v>
      </c>
      <c r="AX1119">
        <v>307</v>
      </c>
      <c r="AY1119" t="s">
        <v>81</v>
      </c>
      <c r="AZ1119">
        <v>21.19</v>
      </c>
      <c r="BA1119">
        <v>7.66</v>
      </c>
      <c r="BB1119" t="s">
        <v>83</v>
      </c>
    </row>
    <row r="1120" spans="1:54" x14ac:dyDescent="0.4">
      <c r="A1120">
        <v>950449</v>
      </c>
      <c r="D1120" t="s">
        <v>2097</v>
      </c>
      <c r="E1120" t="s">
        <v>310</v>
      </c>
      <c r="G1120">
        <v>2</v>
      </c>
      <c r="H1120" t="s">
        <v>84</v>
      </c>
      <c r="I1120" t="s">
        <v>57</v>
      </c>
      <c r="K1120" t="s">
        <v>746</v>
      </c>
      <c r="L1120" t="s">
        <v>1357</v>
      </c>
      <c r="M1120" t="s">
        <v>60</v>
      </c>
      <c r="N1120" t="s">
        <v>119</v>
      </c>
      <c r="O1120" t="s">
        <v>345</v>
      </c>
      <c r="P1120" t="s">
        <v>224</v>
      </c>
      <c r="Q1120" t="s">
        <v>182</v>
      </c>
      <c r="R1120" t="s">
        <v>183</v>
      </c>
      <c r="S1120" t="s">
        <v>64</v>
      </c>
      <c r="T1120">
        <v>246.7</v>
      </c>
      <c r="U1120">
        <v>237</v>
      </c>
      <c r="V1120">
        <f t="shared" si="34"/>
        <v>241.85</v>
      </c>
      <c r="W1120">
        <f t="shared" si="35"/>
        <v>9.6999999999999886</v>
      </c>
      <c r="X1120">
        <v>8.9413889999999991</v>
      </c>
      <c r="Y1120">
        <v>45.907223000000002</v>
      </c>
      <c r="Z1120" t="s">
        <v>1415</v>
      </c>
      <c r="AA1120" t="s">
        <v>226</v>
      </c>
      <c r="AB1120" t="s">
        <v>2098</v>
      </c>
      <c r="AC1120" t="s">
        <v>2080</v>
      </c>
      <c r="AD1120" t="s">
        <v>2075</v>
      </c>
      <c r="AF1120" t="s">
        <v>2099</v>
      </c>
      <c r="AH1120" t="s">
        <v>72</v>
      </c>
      <c r="AI1120" t="s">
        <v>3898</v>
      </c>
      <c r="AJ1120">
        <v>1979</v>
      </c>
      <c r="AK1120" t="s">
        <v>2100</v>
      </c>
      <c r="AM1120" t="s">
        <v>2101</v>
      </c>
      <c r="AN1120" t="s">
        <v>192</v>
      </c>
      <c r="AO1120" t="s">
        <v>77</v>
      </c>
      <c r="AP1120" t="s">
        <v>115</v>
      </c>
      <c r="AQ1120" t="s">
        <v>2102</v>
      </c>
      <c r="AR1120" t="s">
        <v>80</v>
      </c>
      <c r="AS1120">
        <v>307</v>
      </c>
      <c r="AT1120" t="s">
        <v>81</v>
      </c>
      <c r="AU1120">
        <v>33.9</v>
      </c>
      <c r="AV1120">
        <v>17.5</v>
      </c>
      <c r="AW1120" t="s">
        <v>82</v>
      </c>
      <c r="AX1120">
        <v>307</v>
      </c>
      <c r="AY1120" t="s">
        <v>81</v>
      </c>
      <c r="AZ1120">
        <v>21.19</v>
      </c>
      <c r="BA1120">
        <v>7.66</v>
      </c>
      <c r="BB1120" t="s">
        <v>83</v>
      </c>
    </row>
    <row r="1121" spans="1:54" x14ac:dyDescent="0.4">
      <c r="A1121">
        <v>966703</v>
      </c>
      <c r="D1121" t="s">
        <v>54</v>
      </c>
      <c r="G1121">
        <v>1</v>
      </c>
      <c r="H1121" t="s">
        <v>56</v>
      </c>
      <c r="I1121" t="s">
        <v>57</v>
      </c>
      <c r="K1121" t="s">
        <v>3908</v>
      </c>
      <c r="L1121" t="s">
        <v>3909</v>
      </c>
      <c r="M1121" t="s">
        <v>60</v>
      </c>
      <c r="P1121" t="s">
        <v>224</v>
      </c>
      <c r="Q1121" t="s">
        <v>182</v>
      </c>
      <c r="R1121" t="s">
        <v>183</v>
      </c>
      <c r="S1121" t="s">
        <v>64</v>
      </c>
      <c r="T1121">
        <v>246.7</v>
      </c>
      <c r="U1121">
        <v>237</v>
      </c>
      <c r="V1121">
        <f t="shared" si="34"/>
        <v>241.85</v>
      </c>
      <c r="W1121">
        <f t="shared" si="35"/>
        <v>9.6999999999999886</v>
      </c>
      <c r="X1121">
        <v>111.620003</v>
      </c>
      <c r="Y1121">
        <v>31.379999000000002</v>
      </c>
      <c r="Z1121" t="s">
        <v>520</v>
      </c>
      <c r="AA1121" t="s">
        <v>379</v>
      </c>
      <c r="AB1121" t="s">
        <v>3239</v>
      </c>
      <c r="AC1121" t="s">
        <v>3910</v>
      </c>
      <c r="AH1121" t="s">
        <v>72</v>
      </c>
      <c r="AI1121" t="s">
        <v>3911</v>
      </c>
      <c r="AJ1121">
        <v>1991</v>
      </c>
      <c r="AK1121" t="s">
        <v>3912</v>
      </c>
      <c r="AM1121" t="s">
        <v>3913</v>
      </c>
      <c r="AN1121" t="s">
        <v>114</v>
      </c>
      <c r="AO1121">
        <v>2</v>
      </c>
      <c r="AP1121" t="s">
        <v>115</v>
      </c>
      <c r="AQ1121" t="s">
        <v>3914</v>
      </c>
      <c r="AR1121" t="s">
        <v>80</v>
      </c>
      <c r="AS1121">
        <v>611</v>
      </c>
      <c r="AT1121" t="s">
        <v>81</v>
      </c>
      <c r="AU1121">
        <v>113.67</v>
      </c>
      <c r="AV1121">
        <v>-2.72</v>
      </c>
      <c r="AW1121" t="s">
        <v>82</v>
      </c>
      <c r="AX1121">
        <v>611</v>
      </c>
      <c r="AY1121" t="s">
        <v>81</v>
      </c>
      <c r="AZ1121">
        <v>96.54</v>
      </c>
      <c r="BA1121">
        <v>22.71</v>
      </c>
      <c r="BB1121" t="s">
        <v>83</v>
      </c>
    </row>
    <row r="1122" spans="1:54" x14ac:dyDescent="0.4">
      <c r="A1122">
        <v>966703</v>
      </c>
      <c r="D1122" t="s">
        <v>54</v>
      </c>
      <c r="G1122">
        <v>1</v>
      </c>
      <c r="H1122" t="s">
        <v>56</v>
      </c>
      <c r="I1122" t="s">
        <v>57</v>
      </c>
      <c r="K1122" t="s">
        <v>3908</v>
      </c>
      <c r="L1122" t="s">
        <v>3909</v>
      </c>
      <c r="M1122" t="s">
        <v>60</v>
      </c>
      <c r="P1122" t="s">
        <v>224</v>
      </c>
      <c r="Q1122" t="s">
        <v>182</v>
      </c>
      <c r="R1122" t="s">
        <v>183</v>
      </c>
      <c r="S1122" t="s">
        <v>64</v>
      </c>
      <c r="T1122">
        <v>246.7</v>
      </c>
      <c r="U1122">
        <v>237</v>
      </c>
      <c r="V1122">
        <f t="shared" si="34"/>
        <v>241.85</v>
      </c>
      <c r="W1122">
        <f t="shared" si="35"/>
        <v>9.6999999999999886</v>
      </c>
      <c r="X1122">
        <v>111.620003</v>
      </c>
      <c r="Y1122">
        <v>31.379999000000002</v>
      </c>
      <c r="Z1122" t="s">
        <v>520</v>
      </c>
      <c r="AA1122" t="s">
        <v>379</v>
      </c>
      <c r="AB1122" t="s">
        <v>3239</v>
      </c>
      <c r="AC1122" t="s">
        <v>3910</v>
      </c>
      <c r="AH1122" t="s">
        <v>72</v>
      </c>
      <c r="AI1122" t="s">
        <v>3911</v>
      </c>
      <c r="AJ1122">
        <v>1991</v>
      </c>
      <c r="AK1122" t="s">
        <v>3912</v>
      </c>
      <c r="AM1122" t="s">
        <v>3913</v>
      </c>
      <c r="AN1122" t="s">
        <v>114</v>
      </c>
      <c r="AO1122">
        <v>2</v>
      </c>
      <c r="AP1122" t="s">
        <v>115</v>
      </c>
      <c r="AQ1122" t="s">
        <v>3914</v>
      </c>
      <c r="AR1122" t="s">
        <v>80</v>
      </c>
      <c r="AS1122">
        <v>611</v>
      </c>
      <c r="AT1122" t="s">
        <v>81</v>
      </c>
      <c r="AU1122">
        <v>113.67</v>
      </c>
      <c r="AV1122">
        <v>-2.72</v>
      </c>
      <c r="AW1122" t="s">
        <v>82</v>
      </c>
      <c r="AX1122">
        <v>611</v>
      </c>
      <c r="AY1122" t="s">
        <v>81</v>
      </c>
      <c r="AZ1122">
        <v>96.54</v>
      </c>
      <c r="BA1122">
        <v>22.71</v>
      </c>
      <c r="BB1122" t="s">
        <v>83</v>
      </c>
    </row>
    <row r="1123" spans="1:54" x14ac:dyDescent="0.4">
      <c r="A1123">
        <v>966703</v>
      </c>
      <c r="D1123" t="s">
        <v>54</v>
      </c>
      <c r="G1123">
        <v>1</v>
      </c>
      <c r="H1123" t="s">
        <v>56</v>
      </c>
      <c r="I1123" t="s">
        <v>57</v>
      </c>
      <c r="K1123" t="s">
        <v>3908</v>
      </c>
      <c r="L1123" t="s">
        <v>3909</v>
      </c>
      <c r="M1123" t="s">
        <v>60</v>
      </c>
      <c r="P1123" t="s">
        <v>224</v>
      </c>
      <c r="Q1123" t="s">
        <v>182</v>
      </c>
      <c r="R1123" t="s">
        <v>183</v>
      </c>
      <c r="S1123" t="s">
        <v>64</v>
      </c>
      <c r="T1123">
        <v>246.7</v>
      </c>
      <c r="U1123">
        <v>237</v>
      </c>
      <c r="V1123">
        <f t="shared" si="34"/>
        <v>241.85</v>
      </c>
      <c r="W1123">
        <f t="shared" si="35"/>
        <v>9.6999999999999886</v>
      </c>
      <c r="X1123">
        <v>111.620003</v>
      </c>
      <c r="Y1123">
        <v>31.379999000000002</v>
      </c>
      <c r="Z1123" t="s">
        <v>520</v>
      </c>
      <c r="AA1123" t="s">
        <v>379</v>
      </c>
      <c r="AB1123" t="s">
        <v>3239</v>
      </c>
      <c r="AC1123" t="s">
        <v>3910</v>
      </c>
      <c r="AH1123" t="s">
        <v>72</v>
      </c>
      <c r="AI1123" t="s">
        <v>3911</v>
      </c>
      <c r="AJ1123">
        <v>1991</v>
      </c>
      <c r="AK1123" t="s">
        <v>3912</v>
      </c>
      <c r="AM1123" t="s">
        <v>3913</v>
      </c>
      <c r="AN1123" t="s">
        <v>114</v>
      </c>
      <c r="AO1123">
        <v>2</v>
      </c>
      <c r="AP1123" t="s">
        <v>115</v>
      </c>
      <c r="AQ1123" t="s">
        <v>3914</v>
      </c>
      <c r="AR1123" t="s">
        <v>80</v>
      </c>
      <c r="AS1123">
        <v>611</v>
      </c>
      <c r="AT1123" t="s">
        <v>81</v>
      </c>
      <c r="AU1123">
        <v>113.67</v>
      </c>
      <c r="AV1123">
        <v>-2.72</v>
      </c>
      <c r="AW1123" t="s">
        <v>82</v>
      </c>
      <c r="AX1123">
        <v>611</v>
      </c>
      <c r="AY1123" t="s">
        <v>81</v>
      </c>
      <c r="AZ1123">
        <v>96.54</v>
      </c>
      <c r="BA1123">
        <v>22.71</v>
      </c>
      <c r="BB1123" t="s">
        <v>83</v>
      </c>
    </row>
    <row r="1124" spans="1:54" x14ac:dyDescent="0.4">
      <c r="A1124">
        <v>966703</v>
      </c>
      <c r="D1124" t="s">
        <v>54</v>
      </c>
      <c r="G1124">
        <v>1</v>
      </c>
      <c r="H1124" t="s">
        <v>56</v>
      </c>
      <c r="I1124" t="s">
        <v>57</v>
      </c>
      <c r="K1124" t="s">
        <v>3908</v>
      </c>
      <c r="L1124" t="s">
        <v>3909</v>
      </c>
      <c r="M1124" t="s">
        <v>60</v>
      </c>
      <c r="P1124" t="s">
        <v>224</v>
      </c>
      <c r="Q1124" t="s">
        <v>182</v>
      </c>
      <c r="R1124" t="s">
        <v>183</v>
      </c>
      <c r="S1124" t="s">
        <v>64</v>
      </c>
      <c r="T1124">
        <v>246.7</v>
      </c>
      <c r="U1124">
        <v>237</v>
      </c>
      <c r="V1124">
        <f t="shared" si="34"/>
        <v>241.85</v>
      </c>
      <c r="W1124">
        <f t="shared" si="35"/>
        <v>9.6999999999999886</v>
      </c>
      <c r="X1124">
        <v>111.620003</v>
      </c>
      <c r="Y1124">
        <v>31.379999000000002</v>
      </c>
      <c r="Z1124" t="s">
        <v>520</v>
      </c>
      <c r="AA1124" t="s">
        <v>379</v>
      </c>
      <c r="AB1124" t="s">
        <v>3239</v>
      </c>
      <c r="AC1124" t="s">
        <v>3910</v>
      </c>
      <c r="AH1124" t="s">
        <v>72</v>
      </c>
      <c r="AI1124" t="s">
        <v>3911</v>
      </c>
      <c r="AJ1124">
        <v>1991</v>
      </c>
      <c r="AK1124" t="s">
        <v>3912</v>
      </c>
      <c r="AM1124" t="s">
        <v>3913</v>
      </c>
      <c r="AN1124" t="s">
        <v>114</v>
      </c>
      <c r="AO1124">
        <v>2</v>
      </c>
      <c r="AP1124" t="s">
        <v>115</v>
      </c>
      <c r="AQ1124" t="s">
        <v>3914</v>
      </c>
      <c r="AR1124" t="s">
        <v>80</v>
      </c>
      <c r="AS1124">
        <v>611</v>
      </c>
      <c r="AT1124" t="s">
        <v>81</v>
      </c>
      <c r="AU1124">
        <v>113.67</v>
      </c>
      <c r="AV1124">
        <v>-2.72</v>
      </c>
      <c r="AW1124" t="s">
        <v>82</v>
      </c>
      <c r="AX1124">
        <v>611</v>
      </c>
      <c r="AY1124" t="s">
        <v>81</v>
      </c>
      <c r="AZ1124">
        <v>96.54</v>
      </c>
      <c r="BA1124">
        <v>22.71</v>
      </c>
      <c r="BB1124" t="s">
        <v>83</v>
      </c>
    </row>
    <row r="1125" spans="1:54" x14ac:dyDescent="0.4">
      <c r="A1125">
        <v>1091664</v>
      </c>
      <c r="D1125" t="s">
        <v>54</v>
      </c>
      <c r="G1125">
        <v>1</v>
      </c>
      <c r="H1125" t="s">
        <v>84</v>
      </c>
      <c r="I1125" t="s">
        <v>57</v>
      </c>
      <c r="K1125" t="s">
        <v>746</v>
      </c>
      <c r="L1125" t="s">
        <v>1357</v>
      </c>
      <c r="M1125" t="s">
        <v>60</v>
      </c>
      <c r="N1125" t="s">
        <v>119</v>
      </c>
      <c r="O1125" t="s">
        <v>345</v>
      </c>
      <c r="P1125" t="s">
        <v>224</v>
      </c>
      <c r="Q1125" t="s">
        <v>182</v>
      </c>
      <c r="R1125" t="s">
        <v>183</v>
      </c>
      <c r="S1125" t="s">
        <v>64</v>
      </c>
      <c r="T1125">
        <v>246.7</v>
      </c>
      <c r="U1125">
        <v>237</v>
      </c>
      <c r="V1125">
        <f t="shared" si="34"/>
        <v>241.85</v>
      </c>
      <c r="W1125">
        <f t="shared" si="35"/>
        <v>9.6999999999999886</v>
      </c>
      <c r="X1125">
        <v>10.083333</v>
      </c>
      <c r="Y1125">
        <v>49.150002000000001</v>
      </c>
      <c r="Z1125" t="s">
        <v>520</v>
      </c>
      <c r="AA1125" t="s">
        <v>211</v>
      </c>
      <c r="AB1125" t="s">
        <v>212</v>
      </c>
      <c r="AH1125" t="s">
        <v>11</v>
      </c>
      <c r="AI1125" t="s">
        <v>260</v>
      </c>
      <c r="AJ1125">
        <v>1896</v>
      </c>
      <c r="AK1125" t="s">
        <v>758</v>
      </c>
      <c r="AN1125" t="s">
        <v>114</v>
      </c>
      <c r="AO1125" t="s">
        <v>160</v>
      </c>
      <c r="AQ1125" t="s">
        <v>759</v>
      </c>
      <c r="AR1125" t="s">
        <v>80</v>
      </c>
      <c r="AS1125">
        <v>305</v>
      </c>
      <c r="AT1125" t="s">
        <v>81</v>
      </c>
      <c r="AU1125">
        <v>28.69</v>
      </c>
      <c r="AV1125">
        <v>28.48</v>
      </c>
      <c r="AW1125" t="s">
        <v>82</v>
      </c>
      <c r="AX1125">
        <v>305</v>
      </c>
      <c r="AY1125" t="s">
        <v>81</v>
      </c>
      <c r="AZ1125">
        <v>18.690000000000001</v>
      </c>
      <c r="BA1125">
        <v>15.35</v>
      </c>
      <c r="BB1125" t="s">
        <v>83</v>
      </c>
    </row>
    <row r="1126" spans="1:54" x14ac:dyDescent="0.4">
      <c r="A1126">
        <v>1091665</v>
      </c>
      <c r="D1126" t="s">
        <v>54</v>
      </c>
      <c r="G1126">
        <v>1</v>
      </c>
      <c r="H1126" t="s">
        <v>84</v>
      </c>
      <c r="I1126" t="s">
        <v>57</v>
      </c>
      <c r="K1126" t="s">
        <v>802</v>
      </c>
      <c r="L1126" t="s">
        <v>4081</v>
      </c>
      <c r="M1126" t="s">
        <v>223</v>
      </c>
      <c r="N1126" t="s">
        <v>234</v>
      </c>
      <c r="O1126" t="s">
        <v>87</v>
      </c>
      <c r="P1126" t="s">
        <v>224</v>
      </c>
      <c r="Q1126" t="s">
        <v>182</v>
      </c>
      <c r="R1126" t="s">
        <v>183</v>
      </c>
      <c r="S1126" t="s">
        <v>64</v>
      </c>
      <c r="T1126">
        <v>246.7</v>
      </c>
      <c r="U1126">
        <v>237</v>
      </c>
      <c r="V1126">
        <f t="shared" si="34"/>
        <v>241.85</v>
      </c>
      <c r="W1126">
        <f t="shared" si="35"/>
        <v>9.6999999999999886</v>
      </c>
      <c r="X1126">
        <v>10.083333</v>
      </c>
      <c r="Y1126">
        <v>49.150002000000001</v>
      </c>
      <c r="Z1126" t="s">
        <v>520</v>
      </c>
      <c r="AA1126" t="s">
        <v>211</v>
      </c>
      <c r="AB1126" t="s">
        <v>212</v>
      </c>
      <c r="AH1126" t="s">
        <v>72</v>
      </c>
      <c r="AI1126" t="s">
        <v>260</v>
      </c>
      <c r="AJ1126">
        <v>1896</v>
      </c>
      <c r="AK1126" t="s">
        <v>758</v>
      </c>
      <c r="AN1126" t="s">
        <v>114</v>
      </c>
      <c r="AO1126" t="s">
        <v>160</v>
      </c>
      <c r="AQ1126" t="s">
        <v>759</v>
      </c>
      <c r="AR1126" t="s">
        <v>80</v>
      </c>
      <c r="AS1126">
        <v>305</v>
      </c>
      <c r="AT1126" t="s">
        <v>81</v>
      </c>
      <c r="AU1126">
        <v>28.69</v>
      </c>
      <c r="AV1126">
        <v>28.48</v>
      </c>
      <c r="AW1126" t="s">
        <v>82</v>
      </c>
      <c r="AX1126">
        <v>305</v>
      </c>
      <c r="AY1126" t="s">
        <v>81</v>
      </c>
      <c r="AZ1126">
        <v>18.690000000000001</v>
      </c>
      <c r="BA1126">
        <v>15.35</v>
      </c>
      <c r="BB1126" t="s">
        <v>83</v>
      </c>
    </row>
    <row r="1127" spans="1:54" x14ac:dyDescent="0.4">
      <c r="A1127">
        <v>1091666</v>
      </c>
      <c r="D1127" t="s">
        <v>54</v>
      </c>
      <c r="G1127">
        <v>2</v>
      </c>
      <c r="H1127" t="s">
        <v>84</v>
      </c>
      <c r="I1127" t="s">
        <v>57</v>
      </c>
      <c r="K1127" t="s">
        <v>771</v>
      </c>
      <c r="L1127" t="s">
        <v>772</v>
      </c>
      <c r="M1127" t="s">
        <v>223</v>
      </c>
      <c r="P1127" t="s">
        <v>224</v>
      </c>
      <c r="Q1127" t="s">
        <v>182</v>
      </c>
      <c r="R1127" t="s">
        <v>183</v>
      </c>
      <c r="S1127" t="s">
        <v>64</v>
      </c>
      <c r="T1127">
        <v>246.7</v>
      </c>
      <c r="U1127">
        <v>237</v>
      </c>
      <c r="V1127">
        <f t="shared" si="34"/>
        <v>241.85</v>
      </c>
      <c r="W1127">
        <f t="shared" si="35"/>
        <v>9.6999999999999886</v>
      </c>
      <c r="X1127">
        <v>10.083333</v>
      </c>
      <c r="Y1127">
        <v>49.150002000000001</v>
      </c>
      <c r="Z1127" t="s">
        <v>520</v>
      </c>
      <c r="AA1127" t="s">
        <v>211</v>
      </c>
      <c r="AB1127" t="s">
        <v>212</v>
      </c>
      <c r="AH1127" t="s">
        <v>11</v>
      </c>
      <c r="AI1127" t="s">
        <v>260</v>
      </c>
      <c r="AJ1127">
        <v>1896</v>
      </c>
      <c r="AK1127" t="s">
        <v>758</v>
      </c>
      <c r="AN1127" t="s">
        <v>114</v>
      </c>
      <c r="AO1127" t="s">
        <v>160</v>
      </c>
      <c r="AQ1127" t="s">
        <v>759</v>
      </c>
      <c r="AR1127" t="s">
        <v>80</v>
      </c>
      <c r="AS1127">
        <v>305</v>
      </c>
      <c r="AT1127" t="s">
        <v>81</v>
      </c>
      <c r="AU1127">
        <v>28.69</v>
      </c>
      <c r="AV1127">
        <v>28.48</v>
      </c>
      <c r="AW1127" t="s">
        <v>82</v>
      </c>
      <c r="AX1127">
        <v>305</v>
      </c>
      <c r="AY1127" t="s">
        <v>81</v>
      </c>
      <c r="AZ1127">
        <v>18.690000000000001</v>
      </c>
      <c r="BA1127">
        <v>15.35</v>
      </c>
      <c r="BB1127" t="s">
        <v>83</v>
      </c>
    </row>
    <row r="1128" spans="1:54" x14ac:dyDescent="0.4">
      <c r="A1128">
        <v>1091667</v>
      </c>
      <c r="D1128" t="s">
        <v>54</v>
      </c>
      <c r="I1128" t="s">
        <v>57</v>
      </c>
      <c r="K1128" t="s">
        <v>2470</v>
      </c>
      <c r="L1128" t="s">
        <v>2471</v>
      </c>
      <c r="M1128" t="s">
        <v>223</v>
      </c>
      <c r="P1128" t="s">
        <v>224</v>
      </c>
      <c r="Q1128" t="s">
        <v>182</v>
      </c>
      <c r="R1128" t="s">
        <v>183</v>
      </c>
      <c r="S1128" t="s">
        <v>64</v>
      </c>
      <c r="T1128">
        <v>246.7</v>
      </c>
      <c r="U1128">
        <v>237</v>
      </c>
      <c r="V1128">
        <f t="shared" si="34"/>
        <v>241.85</v>
      </c>
      <c r="W1128">
        <f t="shared" si="35"/>
        <v>9.6999999999999886</v>
      </c>
      <c r="X1128">
        <v>10.083333</v>
      </c>
      <c r="Y1128">
        <v>49.150002000000001</v>
      </c>
      <c r="Z1128" t="s">
        <v>520</v>
      </c>
      <c r="AA1128" t="s">
        <v>211</v>
      </c>
      <c r="AB1128" t="s">
        <v>212</v>
      </c>
      <c r="AH1128" t="s">
        <v>72</v>
      </c>
      <c r="AI1128" t="s">
        <v>260</v>
      </c>
      <c r="AJ1128">
        <v>1896</v>
      </c>
      <c r="AK1128" t="s">
        <v>758</v>
      </c>
      <c r="AN1128" t="s">
        <v>114</v>
      </c>
      <c r="AO1128" t="s">
        <v>160</v>
      </c>
      <c r="AQ1128" t="s">
        <v>759</v>
      </c>
      <c r="AR1128" t="s">
        <v>80</v>
      </c>
      <c r="AS1128">
        <v>305</v>
      </c>
      <c r="AT1128" t="s">
        <v>81</v>
      </c>
      <c r="AU1128">
        <v>28.69</v>
      </c>
      <c r="AV1128">
        <v>28.48</v>
      </c>
      <c r="AW1128" t="s">
        <v>82</v>
      </c>
      <c r="AX1128">
        <v>305</v>
      </c>
      <c r="AY1128" t="s">
        <v>81</v>
      </c>
      <c r="AZ1128">
        <v>18.690000000000001</v>
      </c>
      <c r="BA1128">
        <v>15.35</v>
      </c>
      <c r="BB1128" t="s">
        <v>83</v>
      </c>
    </row>
    <row r="1129" spans="1:54" x14ac:dyDescent="0.4">
      <c r="A1129">
        <v>1091733</v>
      </c>
      <c r="D1129" t="s">
        <v>54</v>
      </c>
      <c r="I1129" t="s">
        <v>57</v>
      </c>
      <c r="K1129" t="s">
        <v>771</v>
      </c>
      <c r="L1129" t="s">
        <v>772</v>
      </c>
      <c r="M1129" t="s">
        <v>223</v>
      </c>
      <c r="P1129" t="s">
        <v>224</v>
      </c>
      <c r="Q1129" t="s">
        <v>182</v>
      </c>
      <c r="R1129" t="s">
        <v>183</v>
      </c>
      <c r="S1129" t="s">
        <v>64</v>
      </c>
      <c r="T1129">
        <v>246.7</v>
      </c>
      <c r="U1129">
        <v>237</v>
      </c>
      <c r="V1129">
        <f t="shared" si="34"/>
        <v>241.85</v>
      </c>
      <c r="W1129">
        <f t="shared" si="35"/>
        <v>9.6999999999999886</v>
      </c>
      <c r="X1129">
        <v>10.083333</v>
      </c>
      <c r="Y1129">
        <v>49.150002000000001</v>
      </c>
      <c r="Z1129" t="s">
        <v>520</v>
      </c>
      <c r="AA1129" t="s">
        <v>211</v>
      </c>
      <c r="AB1129" t="s">
        <v>212</v>
      </c>
      <c r="AH1129" t="s">
        <v>72</v>
      </c>
      <c r="AI1129" t="s">
        <v>260</v>
      </c>
      <c r="AJ1129">
        <v>1896</v>
      </c>
      <c r="AK1129" t="s">
        <v>758</v>
      </c>
      <c r="AN1129" t="s">
        <v>114</v>
      </c>
      <c r="AO1129" t="s">
        <v>160</v>
      </c>
      <c r="AQ1129" t="s">
        <v>759</v>
      </c>
      <c r="AR1129" t="s">
        <v>80</v>
      </c>
      <c r="AS1129">
        <v>305</v>
      </c>
      <c r="AT1129" t="s">
        <v>81</v>
      </c>
      <c r="AU1129">
        <v>28.69</v>
      </c>
      <c r="AV1129">
        <v>28.48</v>
      </c>
      <c r="AW1129" t="s">
        <v>82</v>
      </c>
      <c r="AX1129">
        <v>305</v>
      </c>
      <c r="AY1129" t="s">
        <v>81</v>
      </c>
      <c r="AZ1129">
        <v>18.690000000000001</v>
      </c>
      <c r="BA1129">
        <v>15.35</v>
      </c>
      <c r="BB1129" t="s">
        <v>83</v>
      </c>
    </row>
    <row r="1130" spans="1:54" x14ac:dyDescent="0.4">
      <c r="A1130">
        <v>1091751</v>
      </c>
      <c r="D1130" t="s">
        <v>54</v>
      </c>
      <c r="I1130" t="s">
        <v>57</v>
      </c>
      <c r="K1130" t="s">
        <v>746</v>
      </c>
      <c r="L1130" t="s">
        <v>1357</v>
      </c>
      <c r="M1130" t="s">
        <v>60</v>
      </c>
      <c r="N1130" t="s">
        <v>119</v>
      </c>
      <c r="O1130" t="s">
        <v>345</v>
      </c>
      <c r="P1130" t="s">
        <v>224</v>
      </c>
      <c r="Q1130" t="s">
        <v>182</v>
      </c>
      <c r="R1130" t="s">
        <v>183</v>
      </c>
      <c r="S1130" t="s">
        <v>64</v>
      </c>
      <c r="T1130">
        <v>246.7</v>
      </c>
      <c r="U1130">
        <v>237</v>
      </c>
      <c r="V1130">
        <f t="shared" si="34"/>
        <v>241.85</v>
      </c>
      <c r="W1130">
        <f t="shared" si="35"/>
        <v>9.6999999999999886</v>
      </c>
      <c r="X1130">
        <v>10.083333</v>
      </c>
      <c r="Y1130">
        <v>49.150002000000001</v>
      </c>
      <c r="Z1130" t="s">
        <v>520</v>
      </c>
      <c r="AA1130" t="s">
        <v>211</v>
      </c>
      <c r="AB1130" t="s">
        <v>212</v>
      </c>
      <c r="AH1130" t="s">
        <v>72</v>
      </c>
      <c r="AI1130" t="s">
        <v>260</v>
      </c>
      <c r="AJ1130">
        <v>1896</v>
      </c>
      <c r="AK1130" t="s">
        <v>758</v>
      </c>
      <c r="AN1130" t="s">
        <v>114</v>
      </c>
      <c r="AO1130" t="s">
        <v>160</v>
      </c>
      <c r="AQ1130" t="s">
        <v>759</v>
      </c>
      <c r="AR1130" t="s">
        <v>80</v>
      </c>
      <c r="AS1130">
        <v>305</v>
      </c>
      <c r="AT1130" t="s">
        <v>81</v>
      </c>
      <c r="AU1130">
        <v>28.69</v>
      </c>
      <c r="AV1130">
        <v>28.48</v>
      </c>
      <c r="AW1130" t="s">
        <v>82</v>
      </c>
      <c r="AX1130">
        <v>305</v>
      </c>
      <c r="AY1130" t="s">
        <v>81</v>
      </c>
      <c r="AZ1130">
        <v>18.690000000000001</v>
      </c>
      <c r="BA1130">
        <v>15.35</v>
      </c>
      <c r="BB1130" t="s">
        <v>83</v>
      </c>
    </row>
    <row r="1131" spans="1:54" x14ac:dyDescent="0.4">
      <c r="A1131">
        <v>1094789</v>
      </c>
      <c r="D1131" t="s">
        <v>54</v>
      </c>
      <c r="E1131" t="s">
        <v>55</v>
      </c>
      <c r="G1131">
        <v>1</v>
      </c>
      <c r="H1131" t="s">
        <v>56</v>
      </c>
      <c r="I1131" t="s">
        <v>57</v>
      </c>
      <c r="K1131" t="s">
        <v>1347</v>
      </c>
      <c r="L1131" t="s">
        <v>1348</v>
      </c>
      <c r="M1131" t="s">
        <v>223</v>
      </c>
      <c r="N1131" t="s">
        <v>485</v>
      </c>
      <c r="O1131" t="s">
        <v>1349</v>
      </c>
      <c r="P1131" t="s">
        <v>224</v>
      </c>
      <c r="Q1131" t="s">
        <v>182</v>
      </c>
      <c r="R1131" t="s">
        <v>183</v>
      </c>
      <c r="S1131" t="s">
        <v>64</v>
      </c>
      <c r="T1131">
        <v>246.7</v>
      </c>
      <c r="U1131">
        <v>237</v>
      </c>
      <c r="V1131">
        <f t="shared" si="34"/>
        <v>241.85</v>
      </c>
      <c r="W1131">
        <f t="shared" si="35"/>
        <v>9.6999999999999886</v>
      </c>
      <c r="X1131">
        <v>11.566667000000001</v>
      </c>
      <c r="Y1131">
        <v>49.933334000000002</v>
      </c>
      <c r="Z1131" t="s">
        <v>520</v>
      </c>
      <c r="AA1131" t="s">
        <v>211</v>
      </c>
      <c r="AB1131" t="s">
        <v>953</v>
      </c>
      <c r="AC1131" t="s">
        <v>3634</v>
      </c>
      <c r="AE1131" t="s">
        <v>1378</v>
      </c>
      <c r="AH1131" t="s">
        <v>72</v>
      </c>
      <c r="AI1131" t="s">
        <v>2013</v>
      </c>
      <c r="AJ1131">
        <v>1994</v>
      </c>
      <c r="AK1131" t="s">
        <v>3635</v>
      </c>
      <c r="AN1131" t="s">
        <v>341</v>
      </c>
      <c r="AO1131" t="s">
        <v>160</v>
      </c>
      <c r="AP1131" t="s">
        <v>359</v>
      </c>
      <c r="AR1131" t="s">
        <v>80</v>
      </c>
      <c r="AS1131">
        <v>305</v>
      </c>
      <c r="AT1131" t="s">
        <v>81</v>
      </c>
      <c r="AU1131">
        <v>29.53</v>
      </c>
      <c r="AV1131">
        <v>29.48</v>
      </c>
      <c r="AW1131" t="s">
        <v>82</v>
      </c>
      <c r="AX1131">
        <v>305</v>
      </c>
      <c r="AY1131" t="s">
        <v>81</v>
      </c>
      <c r="AZ1131">
        <v>19.25</v>
      </c>
      <c r="BA1131">
        <v>16.47</v>
      </c>
      <c r="BB1131" t="s">
        <v>83</v>
      </c>
    </row>
    <row r="1132" spans="1:54" x14ac:dyDescent="0.4">
      <c r="A1132">
        <v>1094789</v>
      </c>
      <c r="D1132" t="s">
        <v>54</v>
      </c>
      <c r="E1132" t="s">
        <v>55</v>
      </c>
      <c r="G1132">
        <v>1</v>
      </c>
      <c r="H1132" t="s">
        <v>56</v>
      </c>
      <c r="I1132" t="s">
        <v>57</v>
      </c>
      <c r="K1132" t="s">
        <v>1347</v>
      </c>
      <c r="L1132" t="s">
        <v>1348</v>
      </c>
      <c r="M1132" t="s">
        <v>223</v>
      </c>
      <c r="N1132" t="s">
        <v>485</v>
      </c>
      <c r="O1132" t="s">
        <v>1349</v>
      </c>
      <c r="P1132" t="s">
        <v>224</v>
      </c>
      <c r="Q1132" t="s">
        <v>182</v>
      </c>
      <c r="R1132" t="s">
        <v>183</v>
      </c>
      <c r="S1132" t="s">
        <v>64</v>
      </c>
      <c r="T1132">
        <v>246.7</v>
      </c>
      <c r="U1132">
        <v>237</v>
      </c>
      <c r="V1132">
        <f t="shared" si="34"/>
        <v>241.85</v>
      </c>
      <c r="W1132">
        <f t="shared" si="35"/>
        <v>9.6999999999999886</v>
      </c>
      <c r="X1132">
        <v>11.566667000000001</v>
      </c>
      <c r="Y1132">
        <v>49.933334000000002</v>
      </c>
      <c r="Z1132" t="s">
        <v>520</v>
      </c>
      <c r="AA1132" t="s">
        <v>211</v>
      </c>
      <c r="AB1132" t="s">
        <v>953</v>
      </c>
      <c r="AC1132" t="s">
        <v>3634</v>
      </c>
      <c r="AE1132" t="s">
        <v>1378</v>
      </c>
      <c r="AH1132" t="s">
        <v>72</v>
      </c>
      <c r="AI1132" t="s">
        <v>2013</v>
      </c>
      <c r="AJ1132">
        <v>1994</v>
      </c>
      <c r="AK1132" t="s">
        <v>3635</v>
      </c>
      <c r="AN1132" t="s">
        <v>341</v>
      </c>
      <c r="AO1132" t="s">
        <v>160</v>
      </c>
      <c r="AP1132" t="s">
        <v>359</v>
      </c>
      <c r="AR1132" t="s">
        <v>80</v>
      </c>
      <c r="AS1132">
        <v>305</v>
      </c>
      <c r="AT1132" t="s">
        <v>81</v>
      </c>
      <c r="AU1132">
        <v>29.53</v>
      </c>
      <c r="AV1132">
        <v>29.48</v>
      </c>
      <c r="AW1132" t="s">
        <v>82</v>
      </c>
      <c r="AX1132">
        <v>305</v>
      </c>
      <c r="AY1132" t="s">
        <v>81</v>
      </c>
      <c r="AZ1132">
        <v>19.25</v>
      </c>
      <c r="BA1132">
        <v>16.47</v>
      </c>
      <c r="BB1132" t="s">
        <v>83</v>
      </c>
    </row>
    <row r="1133" spans="1:54" x14ac:dyDescent="0.4">
      <c r="A1133">
        <v>1094789</v>
      </c>
      <c r="D1133" t="s">
        <v>54</v>
      </c>
      <c r="E1133" t="s">
        <v>55</v>
      </c>
      <c r="G1133">
        <v>1</v>
      </c>
      <c r="H1133" t="s">
        <v>56</v>
      </c>
      <c r="I1133" t="s">
        <v>57</v>
      </c>
      <c r="K1133" t="s">
        <v>1347</v>
      </c>
      <c r="L1133" t="s">
        <v>1348</v>
      </c>
      <c r="M1133" t="s">
        <v>223</v>
      </c>
      <c r="N1133" t="s">
        <v>485</v>
      </c>
      <c r="O1133" t="s">
        <v>1349</v>
      </c>
      <c r="P1133" t="s">
        <v>224</v>
      </c>
      <c r="Q1133" t="s">
        <v>182</v>
      </c>
      <c r="R1133" t="s">
        <v>183</v>
      </c>
      <c r="S1133" t="s">
        <v>64</v>
      </c>
      <c r="T1133">
        <v>246.7</v>
      </c>
      <c r="U1133">
        <v>237</v>
      </c>
      <c r="V1133">
        <f t="shared" si="34"/>
        <v>241.85</v>
      </c>
      <c r="W1133">
        <f t="shared" si="35"/>
        <v>9.6999999999999886</v>
      </c>
      <c r="X1133">
        <v>11.566667000000001</v>
      </c>
      <c r="Y1133">
        <v>49.933334000000002</v>
      </c>
      <c r="Z1133" t="s">
        <v>520</v>
      </c>
      <c r="AA1133" t="s">
        <v>211</v>
      </c>
      <c r="AB1133" t="s">
        <v>953</v>
      </c>
      <c r="AC1133" t="s">
        <v>3634</v>
      </c>
      <c r="AE1133" t="s">
        <v>1378</v>
      </c>
      <c r="AH1133" t="s">
        <v>72</v>
      </c>
      <c r="AI1133" t="s">
        <v>2013</v>
      </c>
      <c r="AJ1133">
        <v>1994</v>
      </c>
      <c r="AK1133" t="s">
        <v>3635</v>
      </c>
      <c r="AN1133" t="s">
        <v>341</v>
      </c>
      <c r="AO1133" t="s">
        <v>160</v>
      </c>
      <c r="AP1133" t="s">
        <v>359</v>
      </c>
      <c r="AR1133" t="s">
        <v>80</v>
      </c>
      <c r="AS1133">
        <v>305</v>
      </c>
      <c r="AT1133" t="s">
        <v>81</v>
      </c>
      <c r="AU1133">
        <v>29.53</v>
      </c>
      <c r="AV1133">
        <v>29.48</v>
      </c>
      <c r="AW1133" t="s">
        <v>82</v>
      </c>
      <c r="AX1133">
        <v>305</v>
      </c>
      <c r="AY1133" t="s">
        <v>81</v>
      </c>
      <c r="AZ1133">
        <v>19.25</v>
      </c>
      <c r="BA1133">
        <v>16.47</v>
      </c>
      <c r="BB1133" t="s">
        <v>83</v>
      </c>
    </row>
    <row r="1134" spans="1:54" x14ac:dyDescent="0.4">
      <c r="A1134">
        <v>1094789</v>
      </c>
      <c r="D1134" t="s">
        <v>54</v>
      </c>
      <c r="E1134" t="s">
        <v>55</v>
      </c>
      <c r="G1134">
        <v>1</v>
      </c>
      <c r="H1134" t="s">
        <v>56</v>
      </c>
      <c r="I1134" t="s">
        <v>57</v>
      </c>
      <c r="K1134" t="s">
        <v>1347</v>
      </c>
      <c r="L1134" t="s">
        <v>1348</v>
      </c>
      <c r="M1134" t="s">
        <v>223</v>
      </c>
      <c r="N1134" t="s">
        <v>485</v>
      </c>
      <c r="O1134" t="s">
        <v>1349</v>
      </c>
      <c r="P1134" t="s">
        <v>224</v>
      </c>
      <c r="Q1134" t="s">
        <v>182</v>
      </c>
      <c r="R1134" t="s">
        <v>183</v>
      </c>
      <c r="S1134" t="s">
        <v>64</v>
      </c>
      <c r="T1134">
        <v>246.7</v>
      </c>
      <c r="U1134">
        <v>237</v>
      </c>
      <c r="V1134">
        <f t="shared" si="34"/>
        <v>241.85</v>
      </c>
      <c r="W1134">
        <f t="shared" si="35"/>
        <v>9.6999999999999886</v>
      </c>
      <c r="X1134">
        <v>11.566667000000001</v>
      </c>
      <c r="Y1134">
        <v>49.933334000000002</v>
      </c>
      <c r="Z1134" t="s">
        <v>520</v>
      </c>
      <c r="AA1134" t="s">
        <v>211</v>
      </c>
      <c r="AB1134" t="s">
        <v>953</v>
      </c>
      <c r="AC1134" t="s">
        <v>3634</v>
      </c>
      <c r="AE1134" t="s">
        <v>1378</v>
      </c>
      <c r="AH1134" t="s">
        <v>72</v>
      </c>
      <c r="AI1134" t="s">
        <v>2013</v>
      </c>
      <c r="AJ1134">
        <v>1994</v>
      </c>
      <c r="AK1134" t="s">
        <v>3635</v>
      </c>
      <c r="AN1134" t="s">
        <v>341</v>
      </c>
      <c r="AO1134" t="s">
        <v>160</v>
      </c>
      <c r="AP1134" t="s">
        <v>359</v>
      </c>
      <c r="AR1134" t="s">
        <v>80</v>
      </c>
      <c r="AS1134">
        <v>305</v>
      </c>
      <c r="AT1134" t="s">
        <v>81</v>
      </c>
      <c r="AU1134">
        <v>29.53</v>
      </c>
      <c r="AV1134">
        <v>29.48</v>
      </c>
      <c r="AW1134" t="s">
        <v>82</v>
      </c>
      <c r="AX1134">
        <v>305</v>
      </c>
      <c r="AY1134" t="s">
        <v>81</v>
      </c>
      <c r="AZ1134">
        <v>19.25</v>
      </c>
      <c r="BA1134">
        <v>16.47</v>
      </c>
      <c r="BB1134" t="s">
        <v>83</v>
      </c>
    </row>
    <row r="1135" spans="1:54" x14ac:dyDescent="0.4">
      <c r="A1135">
        <v>1094847</v>
      </c>
      <c r="D1135" t="s">
        <v>54</v>
      </c>
      <c r="E1135" t="s">
        <v>152</v>
      </c>
      <c r="G1135">
        <v>1</v>
      </c>
      <c r="H1135" t="s">
        <v>84</v>
      </c>
      <c r="I1135" t="s">
        <v>57</v>
      </c>
      <c r="K1135" t="s">
        <v>771</v>
      </c>
      <c r="L1135" t="s">
        <v>772</v>
      </c>
      <c r="M1135" t="s">
        <v>223</v>
      </c>
      <c r="P1135" t="s">
        <v>224</v>
      </c>
      <c r="Q1135" t="s">
        <v>182</v>
      </c>
      <c r="R1135" t="s">
        <v>183</v>
      </c>
      <c r="S1135" t="s">
        <v>64</v>
      </c>
      <c r="T1135">
        <v>246.7</v>
      </c>
      <c r="U1135">
        <v>237</v>
      </c>
      <c r="V1135">
        <f t="shared" si="34"/>
        <v>241.85</v>
      </c>
      <c r="W1135">
        <f t="shared" si="35"/>
        <v>9.6999999999999886</v>
      </c>
      <c r="X1135">
        <v>22.683610999999999</v>
      </c>
      <c r="Y1135">
        <v>43.627220000000001</v>
      </c>
      <c r="Z1135" t="s">
        <v>520</v>
      </c>
      <c r="AA1135" t="s">
        <v>4175</v>
      </c>
      <c r="AH1135" t="s">
        <v>72</v>
      </c>
      <c r="AI1135" t="s">
        <v>4147</v>
      </c>
      <c r="AJ1135">
        <v>1996</v>
      </c>
      <c r="AK1135" t="s">
        <v>4176</v>
      </c>
      <c r="AL1135">
        <v>77800</v>
      </c>
      <c r="AN1135" t="s">
        <v>114</v>
      </c>
      <c r="AO1135" t="s">
        <v>77</v>
      </c>
      <c r="AP1135" t="s">
        <v>115</v>
      </c>
      <c r="AR1135" t="s">
        <v>80</v>
      </c>
      <c r="AS1135">
        <v>308</v>
      </c>
      <c r="AT1135" t="s">
        <v>81</v>
      </c>
      <c r="AU1135">
        <v>36.93</v>
      </c>
      <c r="AV1135">
        <v>7.94</v>
      </c>
      <c r="AW1135" t="s">
        <v>82</v>
      </c>
      <c r="AX1135" t="s">
        <v>528</v>
      </c>
      <c r="AY1135" t="s">
        <v>81</v>
      </c>
      <c r="BB1135" t="s">
        <v>83</v>
      </c>
    </row>
    <row r="1136" spans="1:54" x14ac:dyDescent="0.4">
      <c r="A1136">
        <v>1094901</v>
      </c>
      <c r="D1136" t="s">
        <v>54</v>
      </c>
      <c r="G1136">
        <v>3</v>
      </c>
      <c r="H1136" t="s">
        <v>84</v>
      </c>
      <c r="I1136" t="s">
        <v>57</v>
      </c>
      <c r="K1136" t="s">
        <v>1347</v>
      </c>
      <c r="L1136" t="s">
        <v>1348</v>
      </c>
      <c r="M1136" t="s">
        <v>223</v>
      </c>
      <c r="N1136" t="s">
        <v>485</v>
      </c>
      <c r="O1136" t="s">
        <v>1349</v>
      </c>
      <c r="P1136" t="s">
        <v>224</v>
      </c>
      <c r="Q1136" t="s">
        <v>182</v>
      </c>
      <c r="R1136" t="s">
        <v>183</v>
      </c>
      <c r="S1136" t="s">
        <v>64</v>
      </c>
      <c r="T1136">
        <v>246.7</v>
      </c>
      <c r="U1136">
        <v>237</v>
      </c>
      <c r="V1136">
        <f t="shared" si="34"/>
        <v>241.85</v>
      </c>
      <c r="W1136">
        <f t="shared" si="35"/>
        <v>9.6999999999999886</v>
      </c>
      <c r="X1136">
        <v>11.57</v>
      </c>
      <c r="Y1136">
        <v>49.950001</v>
      </c>
      <c r="Z1136" t="s">
        <v>520</v>
      </c>
      <c r="AA1136" t="s">
        <v>211</v>
      </c>
      <c r="AC1136" t="s">
        <v>2654</v>
      </c>
      <c r="AH1136" t="s">
        <v>72</v>
      </c>
      <c r="AI1136" t="s">
        <v>2013</v>
      </c>
      <c r="AJ1136">
        <v>1995</v>
      </c>
      <c r="AK1136" t="s">
        <v>4207</v>
      </c>
      <c r="AO1136">
        <v>2</v>
      </c>
      <c r="AR1136" t="s">
        <v>80</v>
      </c>
      <c r="AS1136">
        <v>305</v>
      </c>
      <c r="AT1136" t="s">
        <v>81</v>
      </c>
      <c r="AU1136">
        <v>29.53</v>
      </c>
      <c r="AV1136">
        <v>29.5</v>
      </c>
      <c r="AW1136" t="s">
        <v>82</v>
      </c>
      <c r="AX1136">
        <v>305</v>
      </c>
      <c r="AY1136" t="s">
        <v>81</v>
      </c>
      <c r="AZ1136">
        <v>19.239999999999998</v>
      </c>
      <c r="BA1136">
        <v>16.489999999999998</v>
      </c>
      <c r="BB1136" t="s">
        <v>83</v>
      </c>
    </row>
    <row r="1137" spans="1:54" x14ac:dyDescent="0.4">
      <c r="A1137">
        <v>1134404</v>
      </c>
      <c r="D1137" t="s">
        <v>54</v>
      </c>
      <c r="E1137" t="s">
        <v>55</v>
      </c>
      <c r="I1137" t="s">
        <v>57</v>
      </c>
      <c r="K1137" t="s">
        <v>232</v>
      </c>
      <c r="L1137" t="s">
        <v>4375</v>
      </c>
      <c r="M1137" t="s">
        <v>223</v>
      </c>
      <c r="N1137" t="s">
        <v>234</v>
      </c>
      <c r="O1137" t="s">
        <v>87</v>
      </c>
      <c r="P1137" t="s">
        <v>224</v>
      </c>
      <c r="Q1137" t="s">
        <v>182</v>
      </c>
      <c r="R1137" t="s">
        <v>183</v>
      </c>
      <c r="S1137" t="s">
        <v>64</v>
      </c>
      <c r="T1137">
        <v>246.7</v>
      </c>
      <c r="U1137">
        <v>237</v>
      </c>
      <c r="V1137">
        <f t="shared" si="34"/>
        <v>241.85</v>
      </c>
      <c r="W1137">
        <f t="shared" si="35"/>
        <v>9.6999999999999886</v>
      </c>
      <c r="X1137">
        <v>9.233333</v>
      </c>
      <c r="Y1137">
        <v>45.150002000000001</v>
      </c>
      <c r="Z1137" t="s">
        <v>225</v>
      </c>
      <c r="AA1137" t="s">
        <v>226</v>
      </c>
      <c r="AD1137" t="s">
        <v>227</v>
      </c>
      <c r="AH1137" t="s">
        <v>11</v>
      </c>
      <c r="AI1137" t="s">
        <v>228</v>
      </c>
      <c r="AJ1137">
        <v>2000</v>
      </c>
      <c r="AK1137" t="s">
        <v>229</v>
      </c>
      <c r="AN1137" t="s">
        <v>114</v>
      </c>
      <c r="AO1137" t="s">
        <v>160</v>
      </c>
      <c r="AP1137" t="s">
        <v>230</v>
      </c>
      <c r="AQ1137" t="s">
        <v>231</v>
      </c>
      <c r="AR1137" t="s">
        <v>80</v>
      </c>
      <c r="AS1137">
        <v>307</v>
      </c>
      <c r="AT1137" t="s">
        <v>81</v>
      </c>
      <c r="AU1137">
        <v>33.28</v>
      </c>
      <c r="AV1137">
        <v>16.98</v>
      </c>
      <c r="AW1137" t="s">
        <v>82</v>
      </c>
      <c r="AX1137">
        <v>307</v>
      </c>
      <c r="AY1137" t="s">
        <v>81</v>
      </c>
      <c r="AZ1137">
        <v>20.88</v>
      </c>
      <c r="BA1137">
        <v>6.94</v>
      </c>
      <c r="BB1137" t="s">
        <v>83</v>
      </c>
    </row>
    <row r="1138" spans="1:54" x14ac:dyDescent="0.4">
      <c r="A1138">
        <v>1134405</v>
      </c>
      <c r="D1138" t="s">
        <v>54</v>
      </c>
      <c r="E1138" t="s">
        <v>55</v>
      </c>
      <c r="I1138" t="s">
        <v>57</v>
      </c>
      <c r="K1138" t="s">
        <v>232</v>
      </c>
      <c r="L1138" t="s">
        <v>233</v>
      </c>
      <c r="M1138" t="s">
        <v>223</v>
      </c>
      <c r="N1138" t="s">
        <v>234</v>
      </c>
      <c r="O1138" t="s">
        <v>87</v>
      </c>
      <c r="P1138" t="s">
        <v>224</v>
      </c>
      <c r="Q1138" t="s">
        <v>182</v>
      </c>
      <c r="R1138" t="s">
        <v>183</v>
      </c>
      <c r="S1138" t="s">
        <v>64</v>
      </c>
      <c r="T1138">
        <v>246.7</v>
      </c>
      <c r="U1138">
        <v>237</v>
      </c>
      <c r="V1138">
        <f t="shared" si="34"/>
        <v>241.85</v>
      </c>
      <c r="W1138">
        <f t="shared" si="35"/>
        <v>9.6999999999999886</v>
      </c>
      <c r="X1138">
        <v>9.233333</v>
      </c>
      <c r="Y1138">
        <v>45.150002000000001</v>
      </c>
      <c r="Z1138" t="s">
        <v>225</v>
      </c>
      <c r="AA1138" t="s">
        <v>226</v>
      </c>
      <c r="AD1138" t="s">
        <v>227</v>
      </c>
      <c r="AH1138" t="s">
        <v>11</v>
      </c>
      <c r="AI1138" t="s">
        <v>228</v>
      </c>
      <c r="AJ1138">
        <v>2000</v>
      </c>
      <c r="AK1138" t="s">
        <v>229</v>
      </c>
      <c r="AN1138" t="s">
        <v>114</v>
      </c>
      <c r="AO1138" t="s">
        <v>160</v>
      </c>
      <c r="AP1138" t="s">
        <v>230</v>
      </c>
      <c r="AQ1138" t="s">
        <v>231</v>
      </c>
      <c r="AR1138" t="s">
        <v>80</v>
      </c>
      <c r="AS1138">
        <v>307</v>
      </c>
      <c r="AT1138" t="s">
        <v>81</v>
      </c>
      <c r="AU1138">
        <v>33.28</v>
      </c>
      <c r="AV1138">
        <v>16.98</v>
      </c>
      <c r="AW1138" t="s">
        <v>82</v>
      </c>
      <c r="AX1138">
        <v>307</v>
      </c>
      <c r="AY1138" t="s">
        <v>81</v>
      </c>
      <c r="AZ1138">
        <v>20.88</v>
      </c>
      <c r="BA1138">
        <v>6.94</v>
      </c>
      <c r="BB1138" t="s">
        <v>83</v>
      </c>
    </row>
    <row r="1139" spans="1:54" x14ac:dyDescent="0.4">
      <c r="A1139">
        <v>1134406</v>
      </c>
      <c r="D1139" t="s">
        <v>54</v>
      </c>
      <c r="I1139" t="s">
        <v>57</v>
      </c>
      <c r="K1139" t="s">
        <v>556</v>
      </c>
      <c r="L1139" t="s">
        <v>4376</v>
      </c>
      <c r="M1139" t="s">
        <v>223</v>
      </c>
      <c r="N1139" t="s">
        <v>234</v>
      </c>
      <c r="O1139" t="s">
        <v>87</v>
      </c>
      <c r="P1139" t="s">
        <v>224</v>
      </c>
      <c r="Q1139" t="s">
        <v>182</v>
      </c>
      <c r="R1139" t="s">
        <v>183</v>
      </c>
      <c r="S1139" t="s">
        <v>64</v>
      </c>
      <c r="T1139">
        <v>246.7</v>
      </c>
      <c r="U1139">
        <v>237</v>
      </c>
      <c r="V1139">
        <f t="shared" si="34"/>
        <v>241.85</v>
      </c>
      <c r="W1139">
        <f t="shared" si="35"/>
        <v>9.6999999999999886</v>
      </c>
      <c r="X1139">
        <v>18.328610999999999</v>
      </c>
      <c r="Y1139">
        <v>44.149723000000002</v>
      </c>
      <c r="Z1139" t="s">
        <v>520</v>
      </c>
      <c r="AA1139" t="s">
        <v>4377</v>
      </c>
      <c r="AB1139" t="s">
        <v>4378</v>
      </c>
      <c r="AH1139" t="s">
        <v>72</v>
      </c>
      <c r="AI1139" t="s">
        <v>228</v>
      </c>
      <c r="AJ1139">
        <v>2000</v>
      </c>
      <c r="AK1139" t="s">
        <v>1378</v>
      </c>
      <c r="AO1139" t="s">
        <v>77</v>
      </c>
      <c r="AR1139" t="s">
        <v>80</v>
      </c>
      <c r="AS1139">
        <v>307</v>
      </c>
      <c r="AT1139" t="s">
        <v>81</v>
      </c>
      <c r="AU1139">
        <v>35.619999999999997</v>
      </c>
      <c r="AV1139">
        <v>10.85</v>
      </c>
      <c r="AW1139" t="s">
        <v>82</v>
      </c>
      <c r="AX1139">
        <v>307</v>
      </c>
      <c r="AY1139" t="s">
        <v>81</v>
      </c>
      <c r="AZ1139">
        <v>25.63</v>
      </c>
      <c r="BA1139">
        <v>2.42</v>
      </c>
      <c r="BB1139" t="s">
        <v>83</v>
      </c>
    </row>
    <row r="1140" spans="1:54" x14ac:dyDescent="0.4">
      <c r="A1140">
        <v>1134407</v>
      </c>
      <c r="D1140" t="s">
        <v>54</v>
      </c>
      <c r="E1140" t="s">
        <v>55</v>
      </c>
      <c r="I1140" t="s">
        <v>57</v>
      </c>
      <c r="K1140" t="s">
        <v>4379</v>
      </c>
      <c r="L1140" t="s">
        <v>4380</v>
      </c>
      <c r="M1140" t="s">
        <v>223</v>
      </c>
      <c r="N1140" t="s">
        <v>234</v>
      </c>
      <c r="O1140" t="s">
        <v>87</v>
      </c>
      <c r="P1140" t="s">
        <v>224</v>
      </c>
      <c r="Q1140" t="s">
        <v>182</v>
      </c>
      <c r="R1140" t="s">
        <v>183</v>
      </c>
      <c r="S1140" t="s">
        <v>64</v>
      </c>
      <c r="T1140">
        <v>246.7</v>
      </c>
      <c r="U1140">
        <v>237</v>
      </c>
      <c r="V1140">
        <f t="shared" si="34"/>
        <v>241.85</v>
      </c>
      <c r="W1140">
        <f t="shared" si="35"/>
        <v>9.6999999999999886</v>
      </c>
      <c r="X1140">
        <v>9.233333</v>
      </c>
      <c r="Y1140">
        <v>45.150002000000001</v>
      </c>
      <c r="Z1140" t="s">
        <v>225</v>
      </c>
      <c r="AA1140" t="s">
        <v>226</v>
      </c>
      <c r="AD1140" t="s">
        <v>227</v>
      </c>
      <c r="AH1140" t="s">
        <v>72</v>
      </c>
      <c r="AI1140" t="s">
        <v>228</v>
      </c>
      <c r="AJ1140">
        <v>2000</v>
      </c>
      <c r="AK1140" t="s">
        <v>229</v>
      </c>
      <c r="AN1140" t="s">
        <v>114</v>
      </c>
      <c r="AO1140" t="s">
        <v>160</v>
      </c>
      <c r="AP1140" t="s">
        <v>230</v>
      </c>
      <c r="AQ1140" t="s">
        <v>231</v>
      </c>
      <c r="AR1140" t="s">
        <v>80</v>
      </c>
      <c r="AS1140">
        <v>307</v>
      </c>
      <c r="AT1140" t="s">
        <v>81</v>
      </c>
      <c r="AU1140">
        <v>33.28</v>
      </c>
      <c r="AV1140">
        <v>16.98</v>
      </c>
      <c r="AW1140" t="s">
        <v>82</v>
      </c>
      <c r="AX1140">
        <v>307</v>
      </c>
      <c r="AY1140" t="s">
        <v>81</v>
      </c>
      <c r="AZ1140">
        <v>20.88</v>
      </c>
      <c r="BA1140">
        <v>6.94</v>
      </c>
      <c r="BB1140" t="s">
        <v>83</v>
      </c>
    </row>
    <row r="1141" spans="1:54" x14ac:dyDescent="0.4">
      <c r="A1141">
        <v>1134409</v>
      </c>
      <c r="D1141" t="s">
        <v>54</v>
      </c>
      <c r="E1141" t="s">
        <v>55</v>
      </c>
      <c r="I1141" t="s">
        <v>57</v>
      </c>
      <c r="K1141" t="s">
        <v>4385</v>
      </c>
      <c r="L1141" t="s">
        <v>4386</v>
      </c>
      <c r="M1141" t="s">
        <v>223</v>
      </c>
      <c r="N1141" t="s">
        <v>234</v>
      </c>
      <c r="O1141" t="s">
        <v>87</v>
      </c>
      <c r="P1141" t="s">
        <v>224</v>
      </c>
      <c r="Q1141" t="s">
        <v>182</v>
      </c>
      <c r="R1141" t="s">
        <v>183</v>
      </c>
      <c r="S1141" t="s">
        <v>64</v>
      </c>
      <c r="T1141">
        <v>246.7</v>
      </c>
      <c r="U1141">
        <v>237</v>
      </c>
      <c r="V1141">
        <f t="shared" si="34"/>
        <v>241.85</v>
      </c>
      <c r="W1141">
        <f t="shared" si="35"/>
        <v>9.6999999999999886</v>
      </c>
      <c r="X1141">
        <v>9.233333</v>
      </c>
      <c r="Y1141">
        <v>45.150002000000001</v>
      </c>
      <c r="Z1141" t="s">
        <v>225</v>
      </c>
      <c r="AA1141" t="s">
        <v>226</v>
      </c>
      <c r="AD1141" t="s">
        <v>227</v>
      </c>
      <c r="AH1141" t="s">
        <v>11</v>
      </c>
      <c r="AI1141" t="s">
        <v>228</v>
      </c>
      <c r="AJ1141">
        <v>2000</v>
      </c>
      <c r="AK1141" t="s">
        <v>229</v>
      </c>
      <c r="AN1141" t="s">
        <v>114</v>
      </c>
      <c r="AO1141" t="s">
        <v>160</v>
      </c>
      <c r="AP1141" t="s">
        <v>230</v>
      </c>
      <c r="AQ1141" t="s">
        <v>231</v>
      </c>
      <c r="AR1141" t="s">
        <v>80</v>
      </c>
      <c r="AS1141">
        <v>307</v>
      </c>
      <c r="AT1141" t="s">
        <v>81</v>
      </c>
      <c r="AU1141">
        <v>33.28</v>
      </c>
      <c r="AV1141">
        <v>16.98</v>
      </c>
      <c r="AW1141" t="s">
        <v>82</v>
      </c>
      <c r="AX1141">
        <v>307</v>
      </c>
      <c r="AY1141" t="s">
        <v>81</v>
      </c>
      <c r="AZ1141">
        <v>20.88</v>
      </c>
      <c r="BA1141">
        <v>6.94</v>
      </c>
      <c r="BB1141" t="s">
        <v>83</v>
      </c>
    </row>
    <row r="1142" spans="1:54" x14ac:dyDescent="0.4">
      <c r="A1142">
        <v>1134410</v>
      </c>
      <c r="D1142" t="s">
        <v>54</v>
      </c>
      <c r="E1142" t="s">
        <v>55</v>
      </c>
      <c r="I1142" t="s">
        <v>57</v>
      </c>
      <c r="K1142" t="s">
        <v>4387</v>
      </c>
      <c r="L1142" t="s">
        <v>4388</v>
      </c>
      <c r="M1142" t="s">
        <v>223</v>
      </c>
      <c r="N1142" t="s">
        <v>234</v>
      </c>
      <c r="O1142" t="s">
        <v>87</v>
      </c>
      <c r="P1142" t="s">
        <v>224</v>
      </c>
      <c r="Q1142" t="s">
        <v>182</v>
      </c>
      <c r="R1142" t="s">
        <v>183</v>
      </c>
      <c r="S1142" t="s">
        <v>64</v>
      </c>
      <c r="T1142">
        <v>246.7</v>
      </c>
      <c r="U1142">
        <v>237</v>
      </c>
      <c r="V1142">
        <f t="shared" si="34"/>
        <v>241.85</v>
      </c>
      <c r="W1142">
        <f t="shared" si="35"/>
        <v>9.6999999999999886</v>
      </c>
      <c r="X1142">
        <v>9.233333</v>
      </c>
      <c r="Y1142">
        <v>45.150002000000001</v>
      </c>
      <c r="Z1142" t="s">
        <v>225</v>
      </c>
      <c r="AA1142" t="s">
        <v>226</v>
      </c>
      <c r="AD1142" t="s">
        <v>227</v>
      </c>
      <c r="AH1142" t="s">
        <v>72</v>
      </c>
      <c r="AI1142" t="s">
        <v>4389</v>
      </c>
      <c r="AJ1142">
        <v>1999</v>
      </c>
      <c r="AK1142" t="s">
        <v>229</v>
      </c>
      <c r="AN1142" t="s">
        <v>114</v>
      </c>
      <c r="AO1142" t="s">
        <v>160</v>
      </c>
      <c r="AP1142" t="s">
        <v>230</v>
      </c>
      <c r="AQ1142" t="s">
        <v>231</v>
      </c>
      <c r="AR1142" t="s">
        <v>80</v>
      </c>
      <c r="AS1142">
        <v>307</v>
      </c>
      <c r="AT1142" t="s">
        <v>81</v>
      </c>
      <c r="AU1142">
        <v>33.28</v>
      </c>
      <c r="AV1142">
        <v>16.98</v>
      </c>
      <c r="AW1142" t="s">
        <v>82</v>
      </c>
      <c r="AX1142">
        <v>307</v>
      </c>
      <c r="AY1142" t="s">
        <v>81</v>
      </c>
      <c r="AZ1142">
        <v>20.88</v>
      </c>
      <c r="BA1142">
        <v>6.94</v>
      </c>
      <c r="BB1142" t="s">
        <v>83</v>
      </c>
    </row>
    <row r="1143" spans="1:54" x14ac:dyDescent="0.4">
      <c r="A1143">
        <v>1181754</v>
      </c>
      <c r="D1143" t="s">
        <v>54</v>
      </c>
      <c r="G1143">
        <v>1</v>
      </c>
      <c r="H1143" t="s">
        <v>84</v>
      </c>
      <c r="I1143" t="s">
        <v>57</v>
      </c>
      <c r="K1143" t="s">
        <v>141</v>
      </c>
      <c r="L1143" t="s">
        <v>4476</v>
      </c>
      <c r="M1143" t="s">
        <v>223</v>
      </c>
      <c r="P1143" t="s">
        <v>224</v>
      </c>
      <c r="Q1143" t="s">
        <v>182</v>
      </c>
      <c r="R1143" t="s">
        <v>183</v>
      </c>
      <c r="S1143" t="s">
        <v>64</v>
      </c>
      <c r="T1143">
        <v>246.7</v>
      </c>
      <c r="U1143">
        <v>237</v>
      </c>
      <c r="V1143">
        <f t="shared" si="34"/>
        <v>241.85</v>
      </c>
      <c r="W1143">
        <f t="shared" si="35"/>
        <v>9.6999999999999886</v>
      </c>
      <c r="X1143">
        <v>-120.721947</v>
      </c>
      <c r="Y1143">
        <v>54.519444</v>
      </c>
      <c r="Z1143" t="s">
        <v>520</v>
      </c>
      <c r="AA1143" t="s">
        <v>1456</v>
      </c>
      <c r="AB1143" t="s">
        <v>1858</v>
      </c>
      <c r="AD1143" t="s">
        <v>1859</v>
      </c>
      <c r="AH1143" t="s">
        <v>11</v>
      </c>
      <c r="AI1143" t="s">
        <v>4477</v>
      </c>
      <c r="AJ1143">
        <v>1993</v>
      </c>
      <c r="AK1143" t="s">
        <v>4481</v>
      </c>
      <c r="AM1143" t="s">
        <v>4482</v>
      </c>
      <c r="AN1143" t="s">
        <v>76</v>
      </c>
      <c r="AO1143" t="s">
        <v>77</v>
      </c>
      <c r="AP1143" t="s">
        <v>115</v>
      </c>
      <c r="AQ1143" t="s">
        <v>4483</v>
      </c>
      <c r="AR1143" t="s">
        <v>80</v>
      </c>
      <c r="AS1143">
        <v>101</v>
      </c>
      <c r="AT1143" t="s">
        <v>81</v>
      </c>
      <c r="AU1143">
        <v>-34.06</v>
      </c>
      <c r="AV1143">
        <v>38.19</v>
      </c>
      <c r="AW1143" t="s">
        <v>82</v>
      </c>
      <c r="AX1143">
        <v>124</v>
      </c>
      <c r="AY1143" t="s">
        <v>81</v>
      </c>
      <c r="AZ1143">
        <v>-39.700000000000003</v>
      </c>
      <c r="BA1143">
        <v>24.07</v>
      </c>
      <c r="BB1143" t="s">
        <v>83</v>
      </c>
    </row>
    <row r="1144" spans="1:54" x14ac:dyDescent="0.4">
      <c r="A1144">
        <v>1181755</v>
      </c>
      <c r="D1144" t="s">
        <v>54</v>
      </c>
      <c r="G1144">
        <v>1</v>
      </c>
      <c r="H1144" t="s">
        <v>84</v>
      </c>
      <c r="I1144" t="s">
        <v>57</v>
      </c>
      <c r="K1144" t="s">
        <v>141</v>
      </c>
      <c r="L1144" t="s">
        <v>4475</v>
      </c>
      <c r="M1144" t="s">
        <v>223</v>
      </c>
      <c r="P1144" t="s">
        <v>224</v>
      </c>
      <c r="Q1144" t="s">
        <v>182</v>
      </c>
      <c r="R1144" t="s">
        <v>183</v>
      </c>
      <c r="S1144" t="s">
        <v>64</v>
      </c>
      <c r="T1144">
        <v>246.7</v>
      </c>
      <c r="U1144">
        <v>237</v>
      </c>
      <c r="V1144">
        <f t="shared" si="34"/>
        <v>241.85</v>
      </c>
      <c r="W1144">
        <f t="shared" si="35"/>
        <v>9.6999999999999886</v>
      </c>
      <c r="X1144">
        <v>-120.721947</v>
      </c>
      <c r="Y1144">
        <v>54.519444</v>
      </c>
      <c r="Z1144" t="s">
        <v>520</v>
      </c>
      <c r="AA1144" t="s">
        <v>1456</v>
      </c>
      <c r="AB1144" t="s">
        <v>1858</v>
      </c>
      <c r="AD1144" t="s">
        <v>1859</v>
      </c>
      <c r="AH1144" t="s">
        <v>72</v>
      </c>
      <c r="AI1144" t="s">
        <v>4477</v>
      </c>
      <c r="AJ1144">
        <v>1993</v>
      </c>
      <c r="AK1144" t="s">
        <v>4481</v>
      </c>
      <c r="AM1144" t="s">
        <v>4482</v>
      </c>
      <c r="AN1144" t="s">
        <v>76</v>
      </c>
      <c r="AO1144" t="s">
        <v>77</v>
      </c>
      <c r="AP1144" t="s">
        <v>115</v>
      </c>
      <c r="AQ1144" t="s">
        <v>4483</v>
      </c>
      <c r="AR1144" t="s">
        <v>80</v>
      </c>
      <c r="AS1144">
        <v>101</v>
      </c>
      <c r="AT1144" t="s">
        <v>81</v>
      </c>
      <c r="AU1144">
        <v>-34.06</v>
      </c>
      <c r="AV1144">
        <v>38.19</v>
      </c>
      <c r="AW1144" t="s">
        <v>82</v>
      </c>
      <c r="AX1144">
        <v>124</v>
      </c>
      <c r="AY1144" t="s">
        <v>81</v>
      </c>
      <c r="AZ1144">
        <v>-39.700000000000003</v>
      </c>
      <c r="BA1144">
        <v>24.07</v>
      </c>
      <c r="BB1144" t="s">
        <v>83</v>
      </c>
    </row>
    <row r="1145" spans="1:54" x14ac:dyDescent="0.4">
      <c r="A1145">
        <v>1181757</v>
      </c>
      <c r="D1145" t="s">
        <v>54</v>
      </c>
      <c r="G1145">
        <v>1</v>
      </c>
      <c r="H1145" t="s">
        <v>84</v>
      </c>
      <c r="I1145" t="s">
        <v>57</v>
      </c>
      <c r="K1145" t="s">
        <v>141</v>
      </c>
      <c r="L1145" t="s">
        <v>4475</v>
      </c>
      <c r="M1145" t="s">
        <v>223</v>
      </c>
      <c r="P1145" t="s">
        <v>224</v>
      </c>
      <c r="Q1145" t="s">
        <v>182</v>
      </c>
      <c r="R1145" t="s">
        <v>183</v>
      </c>
      <c r="S1145" t="s">
        <v>64</v>
      </c>
      <c r="T1145">
        <v>246.7</v>
      </c>
      <c r="U1145">
        <v>237</v>
      </c>
      <c r="V1145">
        <f t="shared" si="34"/>
        <v>241.85</v>
      </c>
      <c r="W1145">
        <f t="shared" si="35"/>
        <v>9.6999999999999886</v>
      </c>
      <c r="X1145">
        <v>-120.721947</v>
      </c>
      <c r="Y1145">
        <v>54.519444</v>
      </c>
      <c r="Z1145" t="s">
        <v>520</v>
      </c>
      <c r="AA1145" t="s">
        <v>1456</v>
      </c>
      <c r="AB1145" t="s">
        <v>1858</v>
      </c>
      <c r="AD1145" t="s">
        <v>1859</v>
      </c>
      <c r="AH1145" t="s">
        <v>11</v>
      </c>
      <c r="AI1145" t="s">
        <v>4477</v>
      </c>
      <c r="AJ1145">
        <v>1993</v>
      </c>
      <c r="AK1145" t="s">
        <v>4481</v>
      </c>
      <c r="AM1145" t="s">
        <v>4482</v>
      </c>
      <c r="AN1145" t="s">
        <v>76</v>
      </c>
      <c r="AO1145" t="s">
        <v>77</v>
      </c>
      <c r="AP1145" t="s">
        <v>115</v>
      </c>
      <c r="AQ1145" t="s">
        <v>4483</v>
      </c>
      <c r="AR1145" t="s">
        <v>80</v>
      </c>
      <c r="AS1145">
        <v>101</v>
      </c>
      <c r="AT1145" t="s">
        <v>81</v>
      </c>
      <c r="AU1145">
        <v>-34.06</v>
      </c>
      <c r="AV1145">
        <v>38.19</v>
      </c>
      <c r="AW1145" t="s">
        <v>82</v>
      </c>
      <c r="AX1145">
        <v>124</v>
      </c>
      <c r="AY1145" t="s">
        <v>81</v>
      </c>
      <c r="AZ1145">
        <v>-39.700000000000003</v>
      </c>
      <c r="BA1145">
        <v>24.07</v>
      </c>
      <c r="BB1145" t="s">
        <v>83</v>
      </c>
    </row>
    <row r="1146" spans="1:54" x14ac:dyDescent="0.4">
      <c r="A1146">
        <v>1277671</v>
      </c>
      <c r="D1146" t="s">
        <v>54</v>
      </c>
      <c r="E1146" t="s">
        <v>310</v>
      </c>
      <c r="G1146">
        <v>1</v>
      </c>
      <c r="H1146" t="s">
        <v>84</v>
      </c>
      <c r="I1146" t="s">
        <v>57</v>
      </c>
      <c r="K1146" t="s">
        <v>3200</v>
      </c>
      <c r="L1146" t="s">
        <v>3201</v>
      </c>
      <c r="M1146" t="s">
        <v>60</v>
      </c>
      <c r="P1146" t="s">
        <v>224</v>
      </c>
      <c r="Q1146" t="s">
        <v>182</v>
      </c>
      <c r="R1146" t="s">
        <v>183</v>
      </c>
      <c r="S1146" t="s">
        <v>64</v>
      </c>
      <c r="T1146">
        <v>246.7</v>
      </c>
      <c r="U1146">
        <v>237</v>
      </c>
      <c r="V1146">
        <f t="shared" si="34"/>
        <v>241.85</v>
      </c>
      <c r="W1146">
        <f t="shared" si="35"/>
        <v>9.6999999999999886</v>
      </c>
      <c r="X1146">
        <v>8.8902780000000003</v>
      </c>
      <c r="Y1146">
        <v>45.888888999999999</v>
      </c>
      <c r="Z1146" t="s">
        <v>1415</v>
      </c>
      <c r="AA1146" t="s">
        <v>593</v>
      </c>
      <c r="AB1146" t="s">
        <v>2073</v>
      </c>
      <c r="AC1146" t="s">
        <v>2074</v>
      </c>
      <c r="AD1146" t="s">
        <v>2075</v>
      </c>
      <c r="AH1146" t="s">
        <v>72</v>
      </c>
      <c r="AI1146" t="s">
        <v>4526</v>
      </c>
      <c r="AJ1146">
        <v>2003</v>
      </c>
      <c r="AK1146" t="s">
        <v>2076</v>
      </c>
      <c r="AM1146" t="s">
        <v>2077</v>
      </c>
      <c r="AN1146" t="s">
        <v>192</v>
      </c>
      <c r="AO1146" t="s">
        <v>77</v>
      </c>
      <c r="AP1146" t="s">
        <v>115</v>
      </c>
      <c r="AQ1146" t="s">
        <v>2078</v>
      </c>
      <c r="AR1146" t="s">
        <v>80</v>
      </c>
      <c r="AS1146">
        <v>307</v>
      </c>
      <c r="AT1146" t="s">
        <v>81</v>
      </c>
      <c r="AU1146">
        <v>33.86</v>
      </c>
      <c r="AV1146">
        <v>17.52</v>
      </c>
      <c r="AW1146" t="s">
        <v>82</v>
      </c>
      <c r="AX1146">
        <v>307</v>
      </c>
      <c r="AY1146" t="s">
        <v>81</v>
      </c>
      <c r="AZ1146">
        <v>21.15</v>
      </c>
      <c r="BA1146">
        <v>7.67</v>
      </c>
      <c r="BB1146" t="s">
        <v>83</v>
      </c>
    </row>
    <row r="1147" spans="1:54" x14ac:dyDescent="0.4">
      <c r="A1147">
        <v>1306716</v>
      </c>
      <c r="D1147" t="s">
        <v>54</v>
      </c>
      <c r="I1147" t="s">
        <v>57</v>
      </c>
      <c r="K1147" t="s">
        <v>1822</v>
      </c>
      <c r="L1147" t="s">
        <v>4620</v>
      </c>
      <c r="M1147" t="s">
        <v>223</v>
      </c>
      <c r="N1147" t="s">
        <v>1126</v>
      </c>
      <c r="O1147" t="s">
        <v>345</v>
      </c>
      <c r="P1147" t="s">
        <v>224</v>
      </c>
      <c r="Q1147" t="s">
        <v>182</v>
      </c>
      <c r="R1147" t="s">
        <v>183</v>
      </c>
      <c r="S1147" t="s">
        <v>64</v>
      </c>
      <c r="T1147">
        <v>246.7</v>
      </c>
      <c r="U1147">
        <v>237</v>
      </c>
      <c r="V1147">
        <f t="shared" si="34"/>
        <v>241.85</v>
      </c>
      <c r="W1147">
        <f t="shared" si="35"/>
        <v>9.6999999999999886</v>
      </c>
      <c r="X1147">
        <v>8.9333329999999993</v>
      </c>
      <c r="Y1147">
        <v>45.900002000000001</v>
      </c>
      <c r="Z1147" t="s">
        <v>520</v>
      </c>
      <c r="AA1147" t="s">
        <v>226</v>
      </c>
      <c r="AD1147" t="s">
        <v>2075</v>
      </c>
      <c r="AH1147" t="s">
        <v>72</v>
      </c>
      <c r="AI1147" t="s">
        <v>4621</v>
      </c>
      <c r="AJ1147">
        <v>2005</v>
      </c>
      <c r="AK1147" t="s">
        <v>4622</v>
      </c>
      <c r="AO1147" t="s">
        <v>160</v>
      </c>
      <c r="AR1147" t="s">
        <v>80</v>
      </c>
      <c r="AS1147">
        <v>307</v>
      </c>
      <c r="AT1147" t="s">
        <v>81</v>
      </c>
      <c r="AU1147">
        <v>33.89</v>
      </c>
      <c r="AV1147">
        <v>17.5</v>
      </c>
      <c r="AW1147" t="s">
        <v>82</v>
      </c>
      <c r="AX1147">
        <v>307</v>
      </c>
      <c r="AY1147" t="s">
        <v>81</v>
      </c>
      <c r="AZ1147">
        <v>21.18</v>
      </c>
      <c r="BA1147">
        <v>7.66</v>
      </c>
      <c r="BB1147" t="s">
        <v>83</v>
      </c>
    </row>
    <row r="1148" spans="1:54" x14ac:dyDescent="0.4">
      <c r="A1148">
        <v>1374079</v>
      </c>
      <c r="D1148" t="s">
        <v>54</v>
      </c>
      <c r="E1148" t="s">
        <v>152</v>
      </c>
      <c r="G1148">
        <v>1</v>
      </c>
      <c r="H1148" t="s">
        <v>84</v>
      </c>
      <c r="I1148" t="s">
        <v>57</v>
      </c>
      <c r="K1148" t="s">
        <v>746</v>
      </c>
      <c r="L1148" t="s">
        <v>1357</v>
      </c>
      <c r="M1148" t="s">
        <v>60</v>
      </c>
      <c r="N1148" t="s">
        <v>119</v>
      </c>
      <c r="O1148" t="s">
        <v>345</v>
      </c>
      <c r="P1148" t="s">
        <v>224</v>
      </c>
      <c r="Q1148" t="s">
        <v>182</v>
      </c>
      <c r="R1148" t="s">
        <v>183</v>
      </c>
      <c r="S1148" t="s">
        <v>64</v>
      </c>
      <c r="T1148">
        <v>246.7</v>
      </c>
      <c r="U1148">
        <v>237</v>
      </c>
      <c r="V1148">
        <f t="shared" si="34"/>
        <v>241.85</v>
      </c>
      <c r="W1148">
        <f t="shared" si="35"/>
        <v>9.6999999999999886</v>
      </c>
      <c r="X1148">
        <v>10.055129000000001</v>
      </c>
      <c r="Y1148">
        <v>49.142696000000001</v>
      </c>
      <c r="Z1148" t="s">
        <v>124</v>
      </c>
      <c r="AA1148" t="s">
        <v>211</v>
      </c>
      <c r="AB1148" t="s">
        <v>212</v>
      </c>
      <c r="AE1148" t="s">
        <v>1378</v>
      </c>
      <c r="AH1148" t="s">
        <v>72</v>
      </c>
      <c r="AI1148" t="s">
        <v>693</v>
      </c>
      <c r="AJ1148">
        <v>1902</v>
      </c>
      <c r="AK1148" t="s">
        <v>4829</v>
      </c>
      <c r="AM1148" t="s">
        <v>4830</v>
      </c>
      <c r="AN1148" t="s">
        <v>114</v>
      </c>
      <c r="AO1148">
        <v>6</v>
      </c>
      <c r="AP1148" t="s">
        <v>115</v>
      </c>
      <c r="AQ1148" t="s">
        <v>4831</v>
      </c>
      <c r="AR1148" t="s">
        <v>80</v>
      </c>
      <c r="AS1148">
        <v>305</v>
      </c>
      <c r="AT1148" t="s">
        <v>81</v>
      </c>
      <c r="AU1148">
        <v>28.67</v>
      </c>
      <c r="AV1148">
        <v>28.47</v>
      </c>
      <c r="AW1148" t="s">
        <v>82</v>
      </c>
      <c r="AX1148">
        <v>305</v>
      </c>
      <c r="AY1148" t="s">
        <v>81</v>
      </c>
      <c r="AZ1148">
        <v>18.68</v>
      </c>
      <c r="BA1148">
        <v>15.34</v>
      </c>
      <c r="BB1148" t="s">
        <v>83</v>
      </c>
    </row>
    <row r="1149" spans="1:54" x14ac:dyDescent="0.4">
      <c r="A1149">
        <v>1374080</v>
      </c>
      <c r="D1149" t="s">
        <v>54</v>
      </c>
      <c r="E1149" t="s">
        <v>152</v>
      </c>
      <c r="I1149" t="s">
        <v>57</v>
      </c>
      <c r="K1149" t="s">
        <v>141</v>
      </c>
      <c r="L1149" t="s">
        <v>1043</v>
      </c>
      <c r="M1149" t="s">
        <v>60</v>
      </c>
      <c r="P1149" t="s">
        <v>224</v>
      </c>
      <c r="Q1149" t="s">
        <v>182</v>
      </c>
      <c r="R1149" t="s">
        <v>183</v>
      </c>
      <c r="S1149" t="s">
        <v>64</v>
      </c>
      <c r="T1149">
        <v>246.7</v>
      </c>
      <c r="U1149">
        <v>237</v>
      </c>
      <c r="V1149">
        <f t="shared" si="34"/>
        <v>241.85</v>
      </c>
      <c r="W1149">
        <f t="shared" si="35"/>
        <v>9.6999999999999886</v>
      </c>
      <c r="X1149">
        <v>10.055129000000001</v>
      </c>
      <c r="Y1149">
        <v>49.142696000000001</v>
      </c>
      <c r="Z1149" t="s">
        <v>124</v>
      </c>
      <c r="AA1149" t="s">
        <v>211</v>
      </c>
      <c r="AB1149" t="s">
        <v>212</v>
      </c>
      <c r="AE1149" t="s">
        <v>1378</v>
      </c>
      <c r="AH1149" t="s">
        <v>11</v>
      </c>
      <c r="AI1149" t="s">
        <v>693</v>
      </c>
      <c r="AJ1149">
        <v>1914</v>
      </c>
      <c r="AK1149" t="s">
        <v>4829</v>
      </c>
      <c r="AM1149" t="s">
        <v>4830</v>
      </c>
      <c r="AN1149" t="s">
        <v>114</v>
      </c>
      <c r="AO1149">
        <v>6</v>
      </c>
      <c r="AP1149" t="s">
        <v>115</v>
      </c>
      <c r="AQ1149" t="s">
        <v>4831</v>
      </c>
      <c r="AR1149" t="s">
        <v>80</v>
      </c>
      <c r="AS1149">
        <v>305</v>
      </c>
      <c r="AT1149" t="s">
        <v>81</v>
      </c>
      <c r="AU1149">
        <v>28.67</v>
      </c>
      <c r="AV1149">
        <v>28.47</v>
      </c>
      <c r="AW1149" t="s">
        <v>82</v>
      </c>
      <c r="AX1149">
        <v>305</v>
      </c>
      <c r="AY1149" t="s">
        <v>81</v>
      </c>
      <c r="AZ1149">
        <v>18.68</v>
      </c>
      <c r="BA1149">
        <v>15.34</v>
      </c>
      <c r="BB1149" t="s">
        <v>83</v>
      </c>
    </row>
    <row r="1150" spans="1:54" x14ac:dyDescent="0.4">
      <c r="A1150">
        <v>1382838</v>
      </c>
      <c r="D1150" t="s">
        <v>54</v>
      </c>
      <c r="F1150" t="s">
        <v>719</v>
      </c>
      <c r="I1150" t="s">
        <v>57</v>
      </c>
      <c r="K1150" t="s">
        <v>141</v>
      </c>
      <c r="L1150" t="s">
        <v>3834</v>
      </c>
      <c r="M1150" t="s">
        <v>60</v>
      </c>
      <c r="O1150" t="s">
        <v>87</v>
      </c>
      <c r="P1150" t="s">
        <v>224</v>
      </c>
      <c r="Q1150" t="s">
        <v>182</v>
      </c>
      <c r="R1150" t="s">
        <v>183</v>
      </c>
      <c r="S1150" t="s">
        <v>64</v>
      </c>
      <c r="T1150">
        <v>246.7</v>
      </c>
      <c r="U1150">
        <v>237</v>
      </c>
      <c r="V1150">
        <f t="shared" si="34"/>
        <v>241.85</v>
      </c>
      <c r="W1150">
        <f t="shared" si="35"/>
        <v>9.6999999999999886</v>
      </c>
      <c r="X1150">
        <v>-53.368609999999997</v>
      </c>
      <c r="Y1150">
        <v>-29.627222</v>
      </c>
      <c r="Z1150" t="s">
        <v>65</v>
      </c>
      <c r="AA1150" t="s">
        <v>783</v>
      </c>
      <c r="AB1150" t="s">
        <v>784</v>
      </c>
      <c r="AD1150" t="s">
        <v>943</v>
      </c>
      <c r="AH1150" t="s">
        <v>72</v>
      </c>
      <c r="AI1150" t="s">
        <v>4871</v>
      </c>
      <c r="AJ1150">
        <v>2013</v>
      </c>
      <c r="AK1150" t="s">
        <v>4872</v>
      </c>
      <c r="AO1150" t="s">
        <v>77</v>
      </c>
      <c r="AR1150" t="s">
        <v>80</v>
      </c>
      <c r="AS1150">
        <v>201</v>
      </c>
      <c r="AT1150" t="s">
        <v>81</v>
      </c>
      <c r="AU1150">
        <v>-12.78</v>
      </c>
      <c r="AV1150">
        <v>-35.049999999999997</v>
      </c>
      <c r="AW1150" t="s">
        <v>82</v>
      </c>
      <c r="AX1150">
        <v>202</v>
      </c>
      <c r="AY1150" t="s">
        <v>81</v>
      </c>
      <c r="AZ1150">
        <v>-19.239999999999998</v>
      </c>
      <c r="BA1150">
        <v>-51.07</v>
      </c>
      <c r="BB1150" t="s">
        <v>83</v>
      </c>
    </row>
    <row r="1151" spans="1:54" x14ac:dyDescent="0.4">
      <c r="A1151">
        <v>1412685</v>
      </c>
      <c r="D1151" t="s">
        <v>54</v>
      </c>
      <c r="I1151" t="s">
        <v>57</v>
      </c>
      <c r="K1151" t="s">
        <v>565</v>
      </c>
      <c r="L1151" t="s">
        <v>651</v>
      </c>
      <c r="M1151" t="s">
        <v>223</v>
      </c>
      <c r="N1151" t="s">
        <v>234</v>
      </c>
      <c r="O1151" t="s">
        <v>87</v>
      </c>
      <c r="P1151" t="s">
        <v>224</v>
      </c>
      <c r="Q1151" t="s">
        <v>182</v>
      </c>
      <c r="R1151" t="s">
        <v>183</v>
      </c>
      <c r="S1151" t="s">
        <v>64</v>
      </c>
      <c r="T1151">
        <v>246.7</v>
      </c>
      <c r="U1151">
        <v>237</v>
      </c>
      <c r="V1151">
        <f t="shared" si="34"/>
        <v>241.85</v>
      </c>
      <c r="W1151">
        <f t="shared" si="35"/>
        <v>9.6999999999999886</v>
      </c>
      <c r="X1151">
        <v>111.620003</v>
      </c>
      <c r="Y1151">
        <v>31.379999000000002</v>
      </c>
      <c r="Z1151" t="s">
        <v>520</v>
      </c>
      <c r="AA1151" t="s">
        <v>379</v>
      </c>
      <c r="AB1151" t="s">
        <v>3239</v>
      </c>
      <c r="AC1151" t="s">
        <v>3910</v>
      </c>
      <c r="AH1151" t="s">
        <v>72</v>
      </c>
      <c r="AI1151" t="s">
        <v>4393</v>
      </c>
      <c r="AJ1151">
        <v>2013</v>
      </c>
      <c r="AK1151" t="s">
        <v>3912</v>
      </c>
      <c r="AM1151" t="s">
        <v>3913</v>
      </c>
      <c r="AN1151" t="s">
        <v>114</v>
      </c>
      <c r="AO1151">
        <v>2</v>
      </c>
      <c r="AP1151" t="s">
        <v>115</v>
      </c>
      <c r="AQ1151" t="s">
        <v>3914</v>
      </c>
      <c r="AR1151" t="s">
        <v>80</v>
      </c>
      <c r="AS1151">
        <v>611</v>
      </c>
      <c r="AT1151" t="s">
        <v>81</v>
      </c>
      <c r="AU1151">
        <v>113.67</v>
      </c>
      <c r="AV1151">
        <v>-2.72</v>
      </c>
      <c r="AW1151" t="s">
        <v>82</v>
      </c>
      <c r="AX1151">
        <v>611</v>
      </c>
      <c r="AY1151" t="s">
        <v>81</v>
      </c>
      <c r="AZ1151">
        <v>96.54</v>
      </c>
      <c r="BA1151">
        <v>22.71</v>
      </c>
      <c r="BB1151" t="s">
        <v>83</v>
      </c>
    </row>
    <row r="1152" spans="1:54" x14ac:dyDescent="0.4">
      <c r="A1152">
        <v>1412687</v>
      </c>
      <c r="D1152" t="s">
        <v>54</v>
      </c>
      <c r="I1152" t="s">
        <v>57</v>
      </c>
      <c r="K1152" t="s">
        <v>3908</v>
      </c>
      <c r="L1152" t="s">
        <v>5022</v>
      </c>
      <c r="M1152" t="s">
        <v>60</v>
      </c>
      <c r="P1152" t="s">
        <v>224</v>
      </c>
      <c r="Q1152" t="s">
        <v>182</v>
      </c>
      <c r="R1152" t="s">
        <v>183</v>
      </c>
      <c r="S1152" t="s">
        <v>64</v>
      </c>
      <c r="T1152">
        <v>246.7</v>
      </c>
      <c r="U1152">
        <v>237</v>
      </c>
      <c r="V1152">
        <f t="shared" si="34"/>
        <v>241.85</v>
      </c>
      <c r="W1152">
        <f t="shared" si="35"/>
        <v>9.6999999999999886</v>
      </c>
      <c r="X1152">
        <v>111.620003</v>
      </c>
      <c r="Y1152">
        <v>31.379999000000002</v>
      </c>
      <c r="Z1152" t="s">
        <v>520</v>
      </c>
      <c r="AA1152" t="s">
        <v>379</v>
      </c>
      <c r="AB1152" t="s">
        <v>3239</v>
      </c>
      <c r="AC1152" t="s">
        <v>3910</v>
      </c>
      <c r="AH1152" t="s">
        <v>72</v>
      </c>
      <c r="AI1152" t="s">
        <v>4393</v>
      </c>
      <c r="AJ1152">
        <v>2015</v>
      </c>
      <c r="AK1152" t="s">
        <v>3912</v>
      </c>
      <c r="AM1152" t="s">
        <v>3913</v>
      </c>
      <c r="AN1152" t="s">
        <v>114</v>
      </c>
      <c r="AO1152">
        <v>2</v>
      </c>
      <c r="AP1152" t="s">
        <v>115</v>
      </c>
      <c r="AQ1152" t="s">
        <v>3914</v>
      </c>
      <c r="AR1152" t="s">
        <v>80</v>
      </c>
      <c r="AS1152">
        <v>611</v>
      </c>
      <c r="AT1152" t="s">
        <v>81</v>
      </c>
      <c r="AU1152">
        <v>113.67</v>
      </c>
      <c r="AV1152">
        <v>-2.72</v>
      </c>
      <c r="AW1152" t="s">
        <v>82</v>
      </c>
      <c r="AX1152">
        <v>611</v>
      </c>
      <c r="AY1152" t="s">
        <v>81</v>
      </c>
      <c r="AZ1152">
        <v>96.54</v>
      </c>
      <c r="BA1152">
        <v>22.71</v>
      </c>
      <c r="BB1152" t="s">
        <v>83</v>
      </c>
    </row>
    <row r="1153" spans="1:54" x14ac:dyDescent="0.4">
      <c r="A1153">
        <v>1417420</v>
      </c>
      <c r="D1153" t="s">
        <v>54</v>
      </c>
      <c r="E1153" t="s">
        <v>310</v>
      </c>
      <c r="G1153">
        <v>1</v>
      </c>
      <c r="H1153" t="s">
        <v>84</v>
      </c>
      <c r="I1153" t="s">
        <v>57</v>
      </c>
      <c r="K1153" t="s">
        <v>755</v>
      </c>
      <c r="L1153" t="s">
        <v>756</v>
      </c>
      <c r="M1153" t="s">
        <v>223</v>
      </c>
      <c r="P1153" t="s">
        <v>224</v>
      </c>
      <c r="Q1153" t="s">
        <v>182</v>
      </c>
      <c r="R1153" t="s">
        <v>183</v>
      </c>
      <c r="S1153" t="s">
        <v>64</v>
      </c>
      <c r="T1153">
        <v>246.7</v>
      </c>
      <c r="U1153">
        <v>237</v>
      </c>
      <c r="V1153">
        <f t="shared" si="34"/>
        <v>241.85</v>
      </c>
      <c r="W1153">
        <f t="shared" si="35"/>
        <v>9.6999999999999886</v>
      </c>
      <c r="X1153">
        <v>8.8902780000000003</v>
      </c>
      <c r="Y1153">
        <v>45.888888999999999</v>
      </c>
      <c r="Z1153" t="s">
        <v>1415</v>
      </c>
      <c r="AA1153" t="s">
        <v>593</v>
      </c>
      <c r="AB1153" t="s">
        <v>2073</v>
      </c>
      <c r="AC1153" t="s">
        <v>2074</v>
      </c>
      <c r="AD1153" t="s">
        <v>2075</v>
      </c>
      <c r="AH1153" t="s">
        <v>72</v>
      </c>
      <c r="AI1153" t="s">
        <v>5149</v>
      </c>
      <c r="AJ1153">
        <v>2010</v>
      </c>
      <c r="AK1153" t="s">
        <v>2076</v>
      </c>
      <c r="AM1153" t="s">
        <v>2077</v>
      </c>
      <c r="AN1153" t="s">
        <v>192</v>
      </c>
      <c r="AO1153" t="s">
        <v>77</v>
      </c>
      <c r="AP1153" t="s">
        <v>115</v>
      </c>
      <c r="AQ1153" t="s">
        <v>2078</v>
      </c>
      <c r="AR1153" t="s">
        <v>80</v>
      </c>
      <c r="AS1153">
        <v>307</v>
      </c>
      <c r="AT1153" t="s">
        <v>81</v>
      </c>
      <c r="AU1153">
        <v>33.86</v>
      </c>
      <c r="AV1153">
        <v>17.52</v>
      </c>
      <c r="AW1153" t="s">
        <v>82</v>
      </c>
      <c r="AX1153">
        <v>307</v>
      </c>
      <c r="AY1153" t="s">
        <v>81</v>
      </c>
      <c r="AZ1153">
        <v>21.15</v>
      </c>
      <c r="BA1153">
        <v>7.67</v>
      </c>
      <c r="BB1153" t="s">
        <v>83</v>
      </c>
    </row>
    <row r="1154" spans="1:54" x14ac:dyDescent="0.4">
      <c r="A1154">
        <v>1418845</v>
      </c>
      <c r="D1154" t="s">
        <v>54</v>
      </c>
      <c r="I1154" t="s">
        <v>57</v>
      </c>
      <c r="K1154" t="s">
        <v>141</v>
      </c>
      <c r="L1154" t="s">
        <v>4595</v>
      </c>
      <c r="M1154" t="s">
        <v>60</v>
      </c>
      <c r="P1154" t="s">
        <v>224</v>
      </c>
      <c r="Q1154" t="s">
        <v>182</v>
      </c>
      <c r="R1154" t="s">
        <v>183</v>
      </c>
      <c r="S1154" t="s">
        <v>64</v>
      </c>
      <c r="T1154">
        <v>246.7</v>
      </c>
      <c r="U1154">
        <v>237</v>
      </c>
      <c r="V1154">
        <f t="shared" si="34"/>
        <v>241.85</v>
      </c>
      <c r="W1154">
        <f t="shared" si="35"/>
        <v>9.6999999999999886</v>
      </c>
      <c r="X1154">
        <v>111.620003</v>
      </c>
      <c r="Y1154">
        <v>31.379999000000002</v>
      </c>
      <c r="Z1154" t="s">
        <v>520</v>
      </c>
      <c r="AA1154" t="s">
        <v>379</v>
      </c>
      <c r="AB1154" t="s">
        <v>3239</v>
      </c>
      <c r="AC1154" t="s">
        <v>3910</v>
      </c>
      <c r="AH1154" t="s">
        <v>72</v>
      </c>
      <c r="AI1154" t="s">
        <v>3911</v>
      </c>
      <c r="AJ1154">
        <v>1991</v>
      </c>
      <c r="AK1154" t="s">
        <v>3912</v>
      </c>
      <c r="AM1154" t="s">
        <v>3913</v>
      </c>
      <c r="AN1154" t="s">
        <v>114</v>
      </c>
      <c r="AO1154">
        <v>2</v>
      </c>
      <c r="AP1154" t="s">
        <v>115</v>
      </c>
      <c r="AQ1154" t="s">
        <v>3914</v>
      </c>
      <c r="AR1154" t="s">
        <v>80</v>
      </c>
      <c r="AS1154">
        <v>611</v>
      </c>
      <c r="AT1154" t="s">
        <v>81</v>
      </c>
      <c r="AU1154">
        <v>113.67</v>
      </c>
      <c r="AV1154">
        <v>-2.72</v>
      </c>
      <c r="AW1154" t="s">
        <v>82</v>
      </c>
      <c r="AX1154">
        <v>611</v>
      </c>
      <c r="AY1154" t="s">
        <v>81</v>
      </c>
      <c r="AZ1154">
        <v>96.54</v>
      </c>
      <c r="BA1154">
        <v>22.71</v>
      </c>
      <c r="BB1154" t="s">
        <v>83</v>
      </c>
    </row>
    <row r="1155" spans="1:54" x14ac:dyDescent="0.4">
      <c r="A1155">
        <v>1418949</v>
      </c>
      <c r="D1155" t="s">
        <v>54</v>
      </c>
      <c r="E1155" t="s">
        <v>310</v>
      </c>
      <c r="G1155">
        <v>1</v>
      </c>
      <c r="H1155" t="s">
        <v>84</v>
      </c>
      <c r="I1155" t="s">
        <v>57</v>
      </c>
      <c r="K1155" t="s">
        <v>771</v>
      </c>
      <c r="L1155" t="s">
        <v>3368</v>
      </c>
      <c r="M1155" t="s">
        <v>223</v>
      </c>
      <c r="P1155" t="s">
        <v>224</v>
      </c>
      <c r="Q1155" t="s">
        <v>182</v>
      </c>
      <c r="R1155" t="s">
        <v>183</v>
      </c>
      <c r="S1155" t="s">
        <v>64</v>
      </c>
      <c r="T1155">
        <v>246.7</v>
      </c>
      <c r="U1155">
        <v>237</v>
      </c>
      <c r="V1155">
        <f t="shared" ref="V1155:V1218" si="36">(T1155+U1155)/2</f>
        <v>241.85</v>
      </c>
      <c r="W1155">
        <f t="shared" ref="W1155:W1218" si="37">T1155-U1155</f>
        <v>9.6999999999999886</v>
      </c>
      <c r="X1155">
        <v>8.8902780000000003</v>
      </c>
      <c r="Y1155">
        <v>45.888888999999999</v>
      </c>
      <c r="Z1155" t="s">
        <v>1415</v>
      </c>
      <c r="AA1155" t="s">
        <v>593</v>
      </c>
      <c r="AB1155" t="s">
        <v>2073</v>
      </c>
      <c r="AC1155" t="s">
        <v>2074</v>
      </c>
      <c r="AD1155" t="s">
        <v>2075</v>
      </c>
      <c r="AH1155" t="s">
        <v>72</v>
      </c>
      <c r="AI1155" t="s">
        <v>3094</v>
      </c>
      <c r="AJ1155">
        <v>2010</v>
      </c>
      <c r="AK1155" t="s">
        <v>2076</v>
      </c>
      <c r="AM1155" t="s">
        <v>2077</v>
      </c>
      <c r="AN1155" t="s">
        <v>192</v>
      </c>
      <c r="AO1155" t="s">
        <v>77</v>
      </c>
      <c r="AP1155" t="s">
        <v>115</v>
      </c>
      <c r="AQ1155" t="s">
        <v>2078</v>
      </c>
      <c r="AR1155" t="s">
        <v>80</v>
      </c>
      <c r="AS1155">
        <v>307</v>
      </c>
      <c r="AT1155" t="s">
        <v>81</v>
      </c>
      <c r="AU1155">
        <v>33.86</v>
      </c>
      <c r="AV1155">
        <v>17.52</v>
      </c>
      <c r="AW1155" t="s">
        <v>82</v>
      </c>
      <c r="AX1155">
        <v>307</v>
      </c>
      <c r="AY1155" t="s">
        <v>81</v>
      </c>
      <c r="AZ1155">
        <v>21.15</v>
      </c>
      <c r="BA1155">
        <v>7.67</v>
      </c>
      <c r="BB1155" t="s">
        <v>83</v>
      </c>
    </row>
    <row r="1156" spans="1:54" x14ac:dyDescent="0.4">
      <c r="A1156">
        <v>1419046</v>
      </c>
      <c r="D1156" t="s">
        <v>54</v>
      </c>
      <c r="E1156" t="s">
        <v>310</v>
      </c>
      <c r="I1156" t="s">
        <v>57</v>
      </c>
      <c r="K1156" t="s">
        <v>221</v>
      </c>
      <c r="L1156" t="s">
        <v>3745</v>
      </c>
      <c r="M1156" t="s">
        <v>223</v>
      </c>
      <c r="P1156" t="s">
        <v>224</v>
      </c>
      <c r="Q1156" t="s">
        <v>182</v>
      </c>
      <c r="R1156" t="s">
        <v>183</v>
      </c>
      <c r="S1156" t="s">
        <v>64</v>
      </c>
      <c r="T1156">
        <v>246.7</v>
      </c>
      <c r="U1156">
        <v>237</v>
      </c>
      <c r="V1156">
        <f t="shared" si="36"/>
        <v>241.85</v>
      </c>
      <c r="W1156">
        <f t="shared" si="37"/>
        <v>9.6999999999999886</v>
      </c>
      <c r="X1156">
        <v>8.8902780000000003</v>
      </c>
      <c r="Y1156">
        <v>45.888888999999999</v>
      </c>
      <c r="Z1156" t="s">
        <v>1415</v>
      </c>
      <c r="AA1156" t="s">
        <v>593</v>
      </c>
      <c r="AB1156" t="s">
        <v>2073</v>
      </c>
      <c r="AC1156" t="s">
        <v>2074</v>
      </c>
      <c r="AD1156" t="s">
        <v>2075</v>
      </c>
      <c r="AH1156" t="s">
        <v>72</v>
      </c>
      <c r="AI1156" t="s">
        <v>5228</v>
      </c>
      <c r="AJ1156">
        <v>1985</v>
      </c>
      <c r="AK1156" t="s">
        <v>2076</v>
      </c>
      <c r="AM1156" t="s">
        <v>2077</v>
      </c>
      <c r="AN1156" t="s">
        <v>192</v>
      </c>
      <c r="AO1156" t="s">
        <v>77</v>
      </c>
      <c r="AP1156" t="s">
        <v>115</v>
      </c>
      <c r="AQ1156" t="s">
        <v>2078</v>
      </c>
      <c r="AR1156" t="s">
        <v>80</v>
      </c>
      <c r="AS1156">
        <v>307</v>
      </c>
      <c r="AT1156" t="s">
        <v>81</v>
      </c>
      <c r="AU1156">
        <v>33.86</v>
      </c>
      <c r="AV1156">
        <v>17.52</v>
      </c>
      <c r="AW1156" t="s">
        <v>82</v>
      </c>
      <c r="AX1156">
        <v>307</v>
      </c>
      <c r="AY1156" t="s">
        <v>81</v>
      </c>
      <c r="AZ1156">
        <v>21.15</v>
      </c>
      <c r="BA1156">
        <v>7.67</v>
      </c>
      <c r="BB1156" t="s">
        <v>83</v>
      </c>
    </row>
    <row r="1157" spans="1:54" x14ac:dyDescent="0.4">
      <c r="A1157">
        <v>1419120</v>
      </c>
      <c r="D1157" t="s">
        <v>54</v>
      </c>
      <c r="I1157" t="s">
        <v>57</v>
      </c>
      <c r="K1157" t="s">
        <v>232</v>
      </c>
      <c r="L1157" t="s">
        <v>804</v>
      </c>
      <c r="M1157" t="s">
        <v>223</v>
      </c>
      <c r="N1157" t="s">
        <v>234</v>
      </c>
      <c r="O1157" t="s">
        <v>87</v>
      </c>
      <c r="P1157" t="s">
        <v>224</v>
      </c>
      <c r="Q1157" t="s">
        <v>182</v>
      </c>
      <c r="R1157" t="s">
        <v>183</v>
      </c>
      <c r="S1157" t="s">
        <v>64</v>
      </c>
      <c r="T1157">
        <v>246.7</v>
      </c>
      <c r="U1157">
        <v>237</v>
      </c>
      <c r="V1157">
        <f t="shared" si="36"/>
        <v>241.85</v>
      </c>
      <c r="W1157">
        <f t="shared" si="37"/>
        <v>9.6999999999999886</v>
      </c>
      <c r="X1157">
        <v>-120.721947</v>
      </c>
      <c r="Y1157">
        <v>54.519444</v>
      </c>
      <c r="Z1157" t="s">
        <v>520</v>
      </c>
      <c r="AA1157" t="s">
        <v>1456</v>
      </c>
      <c r="AB1157" t="s">
        <v>1858</v>
      </c>
      <c r="AD1157" t="s">
        <v>1859</v>
      </c>
      <c r="AH1157" t="s">
        <v>72</v>
      </c>
      <c r="AI1157" t="s">
        <v>3320</v>
      </c>
      <c r="AJ1157">
        <v>1999</v>
      </c>
      <c r="AK1157" t="s">
        <v>4481</v>
      </c>
      <c r="AM1157" t="s">
        <v>4482</v>
      </c>
      <c r="AN1157" t="s">
        <v>76</v>
      </c>
      <c r="AO1157" t="s">
        <v>77</v>
      </c>
      <c r="AP1157" t="s">
        <v>115</v>
      </c>
      <c r="AQ1157" t="s">
        <v>4483</v>
      </c>
      <c r="AR1157" t="s">
        <v>80</v>
      </c>
      <c r="AS1157">
        <v>101</v>
      </c>
      <c r="AT1157" t="s">
        <v>81</v>
      </c>
      <c r="AU1157">
        <v>-34.06</v>
      </c>
      <c r="AV1157">
        <v>38.19</v>
      </c>
      <c r="AW1157" t="s">
        <v>82</v>
      </c>
      <c r="AX1157">
        <v>124</v>
      </c>
      <c r="AY1157" t="s">
        <v>81</v>
      </c>
      <c r="AZ1157">
        <v>-39.700000000000003</v>
      </c>
      <c r="BA1157">
        <v>24.07</v>
      </c>
      <c r="BB1157" t="s">
        <v>83</v>
      </c>
    </row>
    <row r="1158" spans="1:54" x14ac:dyDescent="0.4">
      <c r="A1158">
        <v>1561500</v>
      </c>
      <c r="D1158" t="s">
        <v>2097</v>
      </c>
      <c r="E1158" t="s">
        <v>310</v>
      </c>
      <c r="G1158">
        <v>8</v>
      </c>
      <c r="H1158" t="s">
        <v>84</v>
      </c>
      <c r="I1158" t="s">
        <v>57</v>
      </c>
      <c r="K1158" t="s">
        <v>746</v>
      </c>
      <c r="L1158" t="s">
        <v>1357</v>
      </c>
      <c r="M1158" t="s">
        <v>60</v>
      </c>
      <c r="N1158" t="s">
        <v>119</v>
      </c>
      <c r="O1158" t="s">
        <v>345</v>
      </c>
      <c r="P1158" t="s">
        <v>224</v>
      </c>
      <c r="Q1158" t="s">
        <v>182</v>
      </c>
      <c r="R1158" t="s">
        <v>183</v>
      </c>
      <c r="S1158" t="s">
        <v>64</v>
      </c>
      <c r="T1158">
        <v>246.7</v>
      </c>
      <c r="U1158">
        <v>237</v>
      </c>
      <c r="V1158">
        <f t="shared" si="36"/>
        <v>241.85</v>
      </c>
      <c r="W1158">
        <f t="shared" si="37"/>
        <v>9.6999999999999886</v>
      </c>
      <c r="X1158">
        <v>8.9413889999999991</v>
      </c>
      <c r="Y1158">
        <v>45.907223000000002</v>
      </c>
      <c r="Z1158" t="s">
        <v>1415</v>
      </c>
      <c r="AA1158" t="s">
        <v>226</v>
      </c>
      <c r="AB1158" t="s">
        <v>2098</v>
      </c>
      <c r="AC1158" t="s">
        <v>2080</v>
      </c>
      <c r="AD1158" t="s">
        <v>2075</v>
      </c>
      <c r="AH1158" t="s">
        <v>72</v>
      </c>
      <c r="AI1158" t="s">
        <v>5551</v>
      </c>
      <c r="AJ1158">
        <v>2020</v>
      </c>
      <c r="AK1158" t="s">
        <v>5552</v>
      </c>
      <c r="AN1158" t="s">
        <v>192</v>
      </c>
      <c r="AO1158" t="s">
        <v>77</v>
      </c>
      <c r="AP1158" t="s">
        <v>115</v>
      </c>
      <c r="AQ1158" t="s">
        <v>5553</v>
      </c>
      <c r="AR1158" t="s">
        <v>80</v>
      </c>
      <c r="AS1158">
        <v>307</v>
      </c>
      <c r="AT1158" t="s">
        <v>81</v>
      </c>
      <c r="AU1158">
        <v>33.9</v>
      </c>
      <c r="AV1158">
        <v>17.5</v>
      </c>
      <c r="AW1158" t="s">
        <v>82</v>
      </c>
      <c r="AX1158">
        <v>307</v>
      </c>
      <c r="AY1158" t="s">
        <v>81</v>
      </c>
      <c r="AZ1158">
        <v>21.19</v>
      </c>
      <c r="BA1158">
        <v>7.66</v>
      </c>
      <c r="BB1158" t="s">
        <v>83</v>
      </c>
    </row>
    <row r="1159" spans="1:54" x14ac:dyDescent="0.4">
      <c r="A1159">
        <v>1639892</v>
      </c>
      <c r="D1159" t="s">
        <v>54</v>
      </c>
      <c r="I1159" t="s">
        <v>57</v>
      </c>
      <c r="K1159" t="s">
        <v>141</v>
      </c>
      <c r="L1159" t="s">
        <v>591</v>
      </c>
      <c r="M1159" t="s">
        <v>60</v>
      </c>
      <c r="P1159" t="s">
        <v>224</v>
      </c>
      <c r="Q1159" t="s">
        <v>182</v>
      </c>
      <c r="R1159" t="s">
        <v>183</v>
      </c>
      <c r="S1159" t="s">
        <v>64</v>
      </c>
      <c r="T1159">
        <v>246.7</v>
      </c>
      <c r="U1159">
        <v>237</v>
      </c>
      <c r="V1159">
        <f t="shared" si="36"/>
        <v>241.85</v>
      </c>
      <c r="W1159">
        <f t="shared" si="37"/>
        <v>9.6999999999999886</v>
      </c>
      <c r="X1159">
        <v>-110.244179</v>
      </c>
      <c r="Y1159">
        <v>34.917029999999997</v>
      </c>
      <c r="Z1159" t="s">
        <v>124</v>
      </c>
      <c r="AA1159" t="s">
        <v>66</v>
      </c>
      <c r="AB1159" t="s">
        <v>583</v>
      </c>
      <c r="AH1159" t="s">
        <v>72</v>
      </c>
      <c r="AI1159" t="s">
        <v>4660</v>
      </c>
      <c r="AJ1159">
        <v>2023</v>
      </c>
      <c r="AK1159" t="s">
        <v>5664</v>
      </c>
      <c r="AO1159">
        <v>6</v>
      </c>
      <c r="AR1159" t="s">
        <v>80</v>
      </c>
      <c r="AS1159">
        <v>101</v>
      </c>
      <c r="AT1159" t="s">
        <v>81</v>
      </c>
      <c r="AU1159">
        <v>-34.549999999999997</v>
      </c>
      <c r="AV1159">
        <v>17.28</v>
      </c>
      <c r="AW1159" t="s">
        <v>82</v>
      </c>
      <c r="AX1159">
        <v>133</v>
      </c>
      <c r="AY1159" t="s">
        <v>81</v>
      </c>
      <c r="AZ1159">
        <v>-43.16</v>
      </c>
      <c r="BA1159">
        <v>3.42</v>
      </c>
      <c r="BB1159" t="s">
        <v>83</v>
      </c>
    </row>
    <row r="1160" spans="1:54" x14ac:dyDescent="0.4">
      <c r="A1160">
        <v>1639894</v>
      </c>
      <c r="D1160" t="s">
        <v>54</v>
      </c>
      <c r="I1160" t="s">
        <v>57</v>
      </c>
      <c r="K1160" t="s">
        <v>141</v>
      </c>
      <c r="L1160" t="s">
        <v>591</v>
      </c>
      <c r="M1160" t="s">
        <v>60</v>
      </c>
      <c r="P1160" t="s">
        <v>224</v>
      </c>
      <c r="Q1160" t="s">
        <v>182</v>
      </c>
      <c r="R1160" t="s">
        <v>183</v>
      </c>
      <c r="S1160" t="s">
        <v>64</v>
      </c>
      <c r="T1160">
        <v>246.7</v>
      </c>
      <c r="U1160">
        <v>237</v>
      </c>
      <c r="V1160">
        <f t="shared" si="36"/>
        <v>241.85</v>
      </c>
      <c r="W1160">
        <f t="shared" si="37"/>
        <v>9.6999999999999886</v>
      </c>
      <c r="X1160">
        <v>-110.823021</v>
      </c>
      <c r="Y1160">
        <v>35.082957999999998</v>
      </c>
      <c r="Z1160" t="s">
        <v>124</v>
      </c>
      <c r="AA1160" t="s">
        <v>66</v>
      </c>
      <c r="AB1160" t="s">
        <v>583</v>
      </c>
      <c r="AH1160" t="s">
        <v>72</v>
      </c>
      <c r="AI1160" t="s">
        <v>4660</v>
      </c>
      <c r="AJ1160">
        <v>2023</v>
      </c>
      <c r="AK1160" t="s">
        <v>5665</v>
      </c>
      <c r="AO1160">
        <v>6</v>
      </c>
      <c r="AR1160" t="s">
        <v>80</v>
      </c>
      <c r="AS1160">
        <v>101</v>
      </c>
      <c r="AT1160" t="s">
        <v>81</v>
      </c>
      <c r="AU1160">
        <v>-34.97</v>
      </c>
      <c r="AV1160">
        <v>17.579999999999998</v>
      </c>
      <c r="AW1160" t="s">
        <v>82</v>
      </c>
      <c r="AX1160">
        <v>133</v>
      </c>
      <c r="AY1160" t="s">
        <v>81</v>
      </c>
      <c r="AZ1160">
        <v>-43.52</v>
      </c>
      <c r="BA1160">
        <v>3.78</v>
      </c>
      <c r="BB1160" t="s">
        <v>83</v>
      </c>
    </row>
    <row r="1161" spans="1:54" x14ac:dyDescent="0.4">
      <c r="A1161">
        <v>299716</v>
      </c>
      <c r="D1161" t="s">
        <v>54</v>
      </c>
      <c r="E1161" t="s">
        <v>152</v>
      </c>
      <c r="I1161" t="s">
        <v>57</v>
      </c>
      <c r="K1161" t="s">
        <v>499</v>
      </c>
      <c r="L1161" t="s">
        <v>510</v>
      </c>
      <c r="M1161" t="s">
        <v>60</v>
      </c>
      <c r="O1161" t="s">
        <v>170</v>
      </c>
      <c r="P1161" t="s">
        <v>333</v>
      </c>
      <c r="Q1161" t="s">
        <v>511</v>
      </c>
      <c r="R1161" t="s">
        <v>512</v>
      </c>
      <c r="S1161" t="s">
        <v>123</v>
      </c>
      <c r="T1161">
        <v>264.27999999999997</v>
      </c>
      <c r="U1161">
        <v>254.14</v>
      </c>
      <c r="V1161">
        <f t="shared" si="36"/>
        <v>259.20999999999998</v>
      </c>
      <c r="W1161">
        <f t="shared" si="37"/>
        <v>10.139999999999986</v>
      </c>
      <c r="X1161">
        <v>48.828609</v>
      </c>
      <c r="Y1161">
        <v>55.017223000000001</v>
      </c>
      <c r="Z1161" t="s">
        <v>124</v>
      </c>
      <c r="AA1161" t="s">
        <v>239</v>
      </c>
      <c r="AB1161" t="s">
        <v>513</v>
      </c>
      <c r="AC1161" t="s">
        <v>514</v>
      </c>
      <c r="AG1161" t="s">
        <v>515</v>
      </c>
      <c r="AH1161" t="s">
        <v>11</v>
      </c>
      <c r="AI1161" t="s">
        <v>516</v>
      </c>
      <c r="AJ1161">
        <v>1940</v>
      </c>
      <c r="AK1161" t="s">
        <v>517</v>
      </c>
      <c r="AM1161" t="s">
        <v>518</v>
      </c>
      <c r="AN1161" t="s">
        <v>114</v>
      </c>
      <c r="AO1161" t="s">
        <v>77</v>
      </c>
      <c r="AP1161" t="s">
        <v>78</v>
      </c>
      <c r="AQ1161" t="s">
        <v>519</v>
      </c>
      <c r="AR1161" t="s">
        <v>80</v>
      </c>
      <c r="AS1161">
        <v>302</v>
      </c>
      <c r="AT1161" t="s">
        <v>81</v>
      </c>
      <c r="AU1161">
        <v>52.2</v>
      </c>
      <c r="AV1161">
        <v>34.99</v>
      </c>
      <c r="AW1161" t="s">
        <v>82</v>
      </c>
      <c r="AX1161">
        <v>301</v>
      </c>
      <c r="AY1161" t="s">
        <v>81</v>
      </c>
      <c r="AZ1161">
        <v>43.37</v>
      </c>
      <c r="BA1161">
        <v>29.51</v>
      </c>
      <c r="BB1161" t="s">
        <v>83</v>
      </c>
    </row>
    <row r="1162" spans="1:54" x14ac:dyDescent="0.4">
      <c r="A1162">
        <v>1320530</v>
      </c>
      <c r="D1162" t="s">
        <v>54</v>
      </c>
      <c r="I1162" t="s">
        <v>57</v>
      </c>
      <c r="K1162" t="s">
        <v>141</v>
      </c>
      <c r="L1162" t="s">
        <v>332</v>
      </c>
      <c r="M1162" t="s">
        <v>60</v>
      </c>
      <c r="O1162" t="s">
        <v>170</v>
      </c>
      <c r="P1162" t="s">
        <v>333</v>
      </c>
      <c r="Q1162" t="s">
        <v>511</v>
      </c>
      <c r="R1162" t="s">
        <v>512</v>
      </c>
      <c r="S1162" t="s">
        <v>123</v>
      </c>
      <c r="T1162">
        <v>264.27999999999997</v>
      </c>
      <c r="U1162">
        <v>254.14</v>
      </c>
      <c r="V1162">
        <f t="shared" si="36"/>
        <v>259.20999999999998</v>
      </c>
      <c r="W1162">
        <f t="shared" si="37"/>
        <v>10.139999999999986</v>
      </c>
      <c r="X1162">
        <v>21.686111</v>
      </c>
      <c r="Y1162">
        <v>-32.985000999999997</v>
      </c>
      <c r="Z1162" t="s">
        <v>124</v>
      </c>
      <c r="AA1162" t="s">
        <v>106</v>
      </c>
      <c r="AB1162" t="s">
        <v>334</v>
      </c>
      <c r="AC1162" t="s">
        <v>2369</v>
      </c>
      <c r="AE1162" t="s">
        <v>110</v>
      </c>
      <c r="AG1162" t="s">
        <v>2281</v>
      </c>
      <c r="AH1162" t="s">
        <v>72</v>
      </c>
      <c r="AI1162" t="s">
        <v>3650</v>
      </c>
      <c r="AJ1162">
        <v>1977</v>
      </c>
      <c r="AK1162" t="s">
        <v>4685</v>
      </c>
      <c r="AN1162" t="s">
        <v>114</v>
      </c>
      <c r="AO1162" t="s">
        <v>77</v>
      </c>
      <c r="AQ1162" t="s">
        <v>4686</v>
      </c>
      <c r="AR1162" t="s">
        <v>80</v>
      </c>
      <c r="AS1162">
        <v>701</v>
      </c>
      <c r="AT1162" t="s">
        <v>81</v>
      </c>
      <c r="AU1162">
        <v>-25.35</v>
      </c>
      <c r="AV1162">
        <v>-51.39</v>
      </c>
      <c r="AW1162" t="s">
        <v>82</v>
      </c>
      <c r="AX1162">
        <v>701</v>
      </c>
      <c r="AY1162" t="s">
        <v>81</v>
      </c>
      <c r="AZ1162">
        <v>-34.21</v>
      </c>
      <c r="BA1162">
        <v>-59.47</v>
      </c>
      <c r="BB1162" t="s">
        <v>83</v>
      </c>
    </row>
    <row r="1163" spans="1:54" x14ac:dyDescent="0.4">
      <c r="A1163">
        <v>149237</v>
      </c>
      <c r="D1163" t="s">
        <v>54</v>
      </c>
      <c r="E1163" t="s">
        <v>55</v>
      </c>
      <c r="G1163">
        <v>1</v>
      </c>
      <c r="H1163" t="s">
        <v>84</v>
      </c>
      <c r="I1163" t="s">
        <v>57</v>
      </c>
      <c r="K1163" t="s">
        <v>132</v>
      </c>
      <c r="L1163" t="s">
        <v>133</v>
      </c>
      <c r="M1163" t="s">
        <v>60</v>
      </c>
      <c r="N1163" t="s">
        <v>119</v>
      </c>
      <c r="O1163" t="s">
        <v>134</v>
      </c>
      <c r="P1163" t="s">
        <v>135</v>
      </c>
      <c r="R1163" t="s">
        <v>63</v>
      </c>
      <c r="S1163" t="s">
        <v>64</v>
      </c>
      <c r="T1163">
        <v>237</v>
      </c>
      <c r="U1163">
        <v>227</v>
      </c>
      <c r="V1163">
        <f t="shared" si="36"/>
        <v>232</v>
      </c>
      <c r="W1163">
        <f t="shared" si="37"/>
        <v>10</v>
      </c>
      <c r="X1163">
        <v>-2.4283329999999999</v>
      </c>
      <c r="Y1163">
        <v>51.623055000000001</v>
      </c>
      <c r="Z1163" t="s">
        <v>90</v>
      </c>
      <c r="AA1163" t="s">
        <v>91</v>
      </c>
      <c r="AB1163" t="s">
        <v>92</v>
      </c>
      <c r="AC1163" t="s">
        <v>136</v>
      </c>
      <c r="AH1163" t="s">
        <v>72</v>
      </c>
      <c r="AI1163" t="s">
        <v>137</v>
      </c>
      <c r="AJ1163">
        <v>1983</v>
      </c>
      <c r="AK1163" t="s">
        <v>138</v>
      </c>
      <c r="AM1163" t="s">
        <v>139</v>
      </c>
      <c r="AN1163" t="s">
        <v>76</v>
      </c>
      <c r="AO1163" t="s">
        <v>77</v>
      </c>
      <c r="AP1163" t="s">
        <v>115</v>
      </c>
      <c r="AQ1163" t="s">
        <v>140</v>
      </c>
      <c r="AR1163" t="s">
        <v>80</v>
      </c>
      <c r="AS1163">
        <v>315</v>
      </c>
      <c r="AT1163" t="s">
        <v>81</v>
      </c>
      <c r="AU1163">
        <v>8.9700000000000006</v>
      </c>
      <c r="AV1163">
        <v>34.380000000000003</v>
      </c>
      <c r="AW1163" t="s">
        <v>82</v>
      </c>
      <c r="AX1163">
        <v>315</v>
      </c>
      <c r="AY1163" t="s">
        <v>81</v>
      </c>
      <c r="AZ1163">
        <v>-1.55</v>
      </c>
      <c r="BA1163">
        <v>37.049999999999997</v>
      </c>
      <c r="BB1163" t="s">
        <v>83</v>
      </c>
    </row>
    <row r="1164" spans="1:54" x14ac:dyDescent="0.4">
      <c r="A1164">
        <v>149239</v>
      </c>
      <c r="D1164" t="s">
        <v>54</v>
      </c>
      <c r="E1164" t="s">
        <v>55</v>
      </c>
      <c r="I1164" t="s">
        <v>57</v>
      </c>
      <c r="K1164" t="s">
        <v>141</v>
      </c>
      <c r="L1164" t="s">
        <v>142</v>
      </c>
      <c r="M1164" t="s">
        <v>60</v>
      </c>
      <c r="P1164" t="s">
        <v>135</v>
      </c>
      <c r="R1164" t="s">
        <v>63</v>
      </c>
      <c r="S1164" t="s">
        <v>64</v>
      </c>
      <c r="T1164">
        <v>237</v>
      </c>
      <c r="U1164">
        <v>227</v>
      </c>
      <c r="V1164">
        <f t="shared" si="36"/>
        <v>232</v>
      </c>
      <c r="W1164">
        <f t="shared" si="37"/>
        <v>10</v>
      </c>
      <c r="X1164">
        <v>-2.4283329999999999</v>
      </c>
      <c r="Y1164">
        <v>51.623055000000001</v>
      </c>
      <c r="Z1164" t="s">
        <v>90</v>
      </c>
      <c r="AA1164" t="s">
        <v>91</v>
      </c>
      <c r="AB1164" t="s">
        <v>92</v>
      </c>
      <c r="AC1164" t="s">
        <v>136</v>
      </c>
      <c r="AH1164" t="s">
        <v>11</v>
      </c>
      <c r="AI1164" t="s">
        <v>143</v>
      </c>
      <c r="AJ1164">
        <v>1994</v>
      </c>
      <c r="AK1164" t="s">
        <v>138</v>
      </c>
      <c r="AM1164" t="s">
        <v>139</v>
      </c>
      <c r="AN1164" t="s">
        <v>76</v>
      </c>
      <c r="AO1164" t="s">
        <v>77</v>
      </c>
      <c r="AP1164" t="s">
        <v>115</v>
      </c>
      <c r="AQ1164" t="s">
        <v>140</v>
      </c>
      <c r="AR1164" t="s">
        <v>80</v>
      </c>
      <c r="AS1164">
        <v>315</v>
      </c>
      <c r="AT1164" t="s">
        <v>81</v>
      </c>
      <c r="AU1164">
        <v>8.9700000000000006</v>
      </c>
      <c r="AV1164">
        <v>34.380000000000003</v>
      </c>
      <c r="AW1164" t="s">
        <v>82</v>
      </c>
      <c r="AX1164">
        <v>315</v>
      </c>
      <c r="AY1164" t="s">
        <v>81</v>
      </c>
      <c r="AZ1164">
        <v>-1.55</v>
      </c>
      <c r="BA1164">
        <v>37.049999999999997</v>
      </c>
      <c r="BB1164" t="s">
        <v>83</v>
      </c>
    </row>
    <row r="1165" spans="1:54" x14ac:dyDescent="0.4">
      <c r="A1165">
        <v>149241</v>
      </c>
      <c r="D1165" t="s">
        <v>54</v>
      </c>
      <c r="E1165" t="s">
        <v>55</v>
      </c>
      <c r="I1165" t="s">
        <v>57</v>
      </c>
      <c r="K1165" t="s">
        <v>141</v>
      </c>
      <c r="L1165" t="s">
        <v>142</v>
      </c>
      <c r="M1165" t="s">
        <v>60</v>
      </c>
      <c r="P1165" t="s">
        <v>135</v>
      </c>
      <c r="R1165" t="s">
        <v>63</v>
      </c>
      <c r="S1165" t="s">
        <v>64</v>
      </c>
      <c r="T1165">
        <v>237</v>
      </c>
      <c r="U1165">
        <v>227</v>
      </c>
      <c r="V1165">
        <f t="shared" si="36"/>
        <v>232</v>
      </c>
      <c r="W1165">
        <f t="shared" si="37"/>
        <v>10</v>
      </c>
      <c r="X1165">
        <v>-2.4283329999999999</v>
      </c>
      <c r="Y1165">
        <v>51.623055000000001</v>
      </c>
      <c r="Z1165" t="s">
        <v>90</v>
      </c>
      <c r="AA1165" t="s">
        <v>91</v>
      </c>
      <c r="AB1165" t="s">
        <v>92</v>
      </c>
      <c r="AC1165" t="s">
        <v>136</v>
      </c>
      <c r="AH1165" t="s">
        <v>11</v>
      </c>
      <c r="AI1165" t="s">
        <v>143</v>
      </c>
      <c r="AJ1165">
        <v>1994</v>
      </c>
      <c r="AK1165" t="s">
        <v>144</v>
      </c>
      <c r="AM1165" t="s">
        <v>139</v>
      </c>
      <c r="AN1165" t="s">
        <v>76</v>
      </c>
      <c r="AO1165" t="s">
        <v>77</v>
      </c>
      <c r="AP1165" t="s">
        <v>115</v>
      </c>
      <c r="AQ1165" t="s">
        <v>145</v>
      </c>
      <c r="AR1165" t="s">
        <v>80</v>
      </c>
      <c r="AS1165">
        <v>315</v>
      </c>
      <c r="AT1165" t="s">
        <v>81</v>
      </c>
      <c r="AU1165">
        <v>8.9700000000000006</v>
      </c>
      <c r="AV1165">
        <v>34.380000000000003</v>
      </c>
      <c r="AW1165" t="s">
        <v>82</v>
      </c>
      <c r="AX1165">
        <v>315</v>
      </c>
      <c r="AY1165" t="s">
        <v>81</v>
      </c>
      <c r="AZ1165">
        <v>-1.55</v>
      </c>
      <c r="BA1165">
        <v>37.049999999999997</v>
      </c>
      <c r="BB1165" t="s">
        <v>83</v>
      </c>
    </row>
    <row r="1166" spans="1:54" x14ac:dyDescent="0.4">
      <c r="A1166">
        <v>149242</v>
      </c>
      <c r="D1166" t="s">
        <v>54</v>
      </c>
      <c r="E1166" t="s">
        <v>55</v>
      </c>
      <c r="I1166" t="s">
        <v>57</v>
      </c>
      <c r="K1166" t="s">
        <v>141</v>
      </c>
      <c r="L1166" t="s">
        <v>146</v>
      </c>
      <c r="M1166" t="s">
        <v>60</v>
      </c>
      <c r="O1166" t="s">
        <v>87</v>
      </c>
      <c r="P1166" t="s">
        <v>135</v>
      </c>
      <c r="R1166" t="s">
        <v>63</v>
      </c>
      <c r="S1166" t="s">
        <v>64</v>
      </c>
      <c r="T1166">
        <v>237</v>
      </c>
      <c r="U1166">
        <v>227</v>
      </c>
      <c r="V1166">
        <f t="shared" si="36"/>
        <v>232</v>
      </c>
      <c r="W1166">
        <f t="shared" si="37"/>
        <v>10</v>
      </c>
      <c r="X1166">
        <v>-2.4283329999999999</v>
      </c>
      <c r="Y1166">
        <v>51.623055000000001</v>
      </c>
      <c r="Z1166" t="s">
        <v>90</v>
      </c>
      <c r="AA1166" t="s">
        <v>91</v>
      </c>
      <c r="AB1166" t="s">
        <v>92</v>
      </c>
      <c r="AC1166" t="s">
        <v>136</v>
      </c>
      <c r="AH1166" t="s">
        <v>11</v>
      </c>
      <c r="AI1166" t="s">
        <v>147</v>
      </c>
      <c r="AJ1166">
        <v>2008</v>
      </c>
      <c r="AK1166" t="s">
        <v>144</v>
      </c>
      <c r="AM1166" t="s">
        <v>139</v>
      </c>
      <c r="AN1166" t="s">
        <v>76</v>
      </c>
      <c r="AO1166" t="s">
        <v>77</v>
      </c>
      <c r="AP1166" t="s">
        <v>115</v>
      </c>
      <c r="AQ1166" t="s">
        <v>145</v>
      </c>
      <c r="AR1166" t="s">
        <v>80</v>
      </c>
      <c r="AS1166">
        <v>315</v>
      </c>
      <c r="AT1166" t="s">
        <v>81</v>
      </c>
      <c r="AU1166">
        <v>8.9700000000000006</v>
      </c>
      <c r="AV1166">
        <v>34.380000000000003</v>
      </c>
      <c r="AW1166" t="s">
        <v>82</v>
      </c>
      <c r="AX1166">
        <v>315</v>
      </c>
      <c r="AY1166" t="s">
        <v>81</v>
      </c>
      <c r="AZ1166">
        <v>-1.55</v>
      </c>
      <c r="BA1166">
        <v>37.049999999999997</v>
      </c>
      <c r="BB1166" t="s">
        <v>83</v>
      </c>
    </row>
    <row r="1167" spans="1:54" x14ac:dyDescent="0.4">
      <c r="A1167">
        <v>149243</v>
      </c>
      <c r="D1167" t="s">
        <v>54</v>
      </c>
      <c r="E1167" t="s">
        <v>55</v>
      </c>
      <c r="I1167" t="s">
        <v>57</v>
      </c>
      <c r="K1167" t="s">
        <v>141</v>
      </c>
      <c r="L1167" t="s">
        <v>148</v>
      </c>
      <c r="M1167" t="s">
        <v>60</v>
      </c>
      <c r="P1167" t="s">
        <v>135</v>
      </c>
      <c r="R1167" t="s">
        <v>63</v>
      </c>
      <c r="S1167" t="s">
        <v>64</v>
      </c>
      <c r="T1167">
        <v>237</v>
      </c>
      <c r="U1167">
        <v>227</v>
      </c>
      <c r="V1167">
        <f t="shared" si="36"/>
        <v>232</v>
      </c>
      <c r="W1167">
        <f t="shared" si="37"/>
        <v>10</v>
      </c>
      <c r="X1167">
        <v>-2.4283329999999999</v>
      </c>
      <c r="Y1167">
        <v>51.623055000000001</v>
      </c>
      <c r="Z1167" t="s">
        <v>90</v>
      </c>
      <c r="AA1167" t="s">
        <v>91</v>
      </c>
      <c r="AB1167" t="s">
        <v>92</v>
      </c>
      <c r="AC1167" t="s">
        <v>136</v>
      </c>
      <c r="AH1167" t="s">
        <v>72</v>
      </c>
      <c r="AI1167" t="s">
        <v>143</v>
      </c>
      <c r="AJ1167">
        <v>1994</v>
      </c>
      <c r="AK1167" t="s">
        <v>144</v>
      </c>
      <c r="AM1167" t="s">
        <v>139</v>
      </c>
      <c r="AN1167" t="s">
        <v>76</v>
      </c>
      <c r="AO1167" t="s">
        <v>77</v>
      </c>
      <c r="AP1167" t="s">
        <v>115</v>
      </c>
      <c r="AQ1167" t="s">
        <v>145</v>
      </c>
      <c r="AR1167" t="s">
        <v>80</v>
      </c>
      <c r="AS1167">
        <v>315</v>
      </c>
      <c r="AT1167" t="s">
        <v>81</v>
      </c>
      <c r="AU1167">
        <v>8.9700000000000006</v>
      </c>
      <c r="AV1167">
        <v>34.380000000000003</v>
      </c>
      <c r="AW1167" t="s">
        <v>82</v>
      </c>
      <c r="AX1167">
        <v>315</v>
      </c>
      <c r="AY1167" t="s">
        <v>81</v>
      </c>
      <c r="AZ1167">
        <v>-1.55</v>
      </c>
      <c r="BA1167">
        <v>37.049999999999997</v>
      </c>
      <c r="BB1167" t="s">
        <v>83</v>
      </c>
    </row>
    <row r="1168" spans="1:54" x14ac:dyDescent="0.4">
      <c r="A1168">
        <v>149244</v>
      </c>
      <c r="D1168" t="s">
        <v>54</v>
      </c>
      <c r="E1168" t="s">
        <v>55</v>
      </c>
      <c r="G1168">
        <v>1</v>
      </c>
      <c r="H1168" t="s">
        <v>84</v>
      </c>
      <c r="I1168" t="s">
        <v>57</v>
      </c>
      <c r="K1168" t="s">
        <v>149</v>
      </c>
      <c r="L1168" t="s">
        <v>150</v>
      </c>
      <c r="M1168" t="s">
        <v>60</v>
      </c>
      <c r="P1168" t="s">
        <v>135</v>
      </c>
      <c r="R1168" t="s">
        <v>63</v>
      </c>
      <c r="S1168" t="s">
        <v>64</v>
      </c>
      <c r="T1168">
        <v>237</v>
      </c>
      <c r="U1168">
        <v>227</v>
      </c>
      <c r="V1168">
        <f t="shared" si="36"/>
        <v>232</v>
      </c>
      <c r="W1168">
        <f t="shared" si="37"/>
        <v>10</v>
      </c>
      <c r="X1168">
        <v>-2.4283329999999999</v>
      </c>
      <c r="Y1168">
        <v>51.623055000000001</v>
      </c>
      <c r="Z1168" t="s">
        <v>90</v>
      </c>
      <c r="AA1168" t="s">
        <v>91</v>
      </c>
      <c r="AB1168" t="s">
        <v>92</v>
      </c>
      <c r="AC1168" t="s">
        <v>136</v>
      </c>
      <c r="AH1168" t="s">
        <v>72</v>
      </c>
      <c r="AI1168" t="s">
        <v>143</v>
      </c>
      <c r="AJ1168">
        <v>1986</v>
      </c>
      <c r="AK1168" t="s">
        <v>144</v>
      </c>
      <c r="AM1168" t="s">
        <v>139</v>
      </c>
      <c r="AN1168" t="s">
        <v>76</v>
      </c>
      <c r="AO1168" t="s">
        <v>77</v>
      </c>
      <c r="AP1168" t="s">
        <v>115</v>
      </c>
      <c r="AQ1168" t="s">
        <v>145</v>
      </c>
      <c r="AR1168" t="s">
        <v>80</v>
      </c>
      <c r="AS1168">
        <v>315</v>
      </c>
      <c r="AT1168" t="s">
        <v>81</v>
      </c>
      <c r="AU1168">
        <v>8.9700000000000006</v>
      </c>
      <c r="AV1168">
        <v>34.380000000000003</v>
      </c>
      <c r="AW1168" t="s">
        <v>82</v>
      </c>
      <c r="AX1168">
        <v>315</v>
      </c>
      <c r="AY1168" t="s">
        <v>81</v>
      </c>
      <c r="AZ1168">
        <v>-1.55</v>
      </c>
      <c r="BA1168">
        <v>37.049999999999997</v>
      </c>
      <c r="BB1168" t="s">
        <v>83</v>
      </c>
    </row>
    <row r="1169" spans="1:54" x14ac:dyDescent="0.4">
      <c r="A1169">
        <v>149246</v>
      </c>
      <c r="D1169" t="s">
        <v>54</v>
      </c>
      <c r="E1169" t="s">
        <v>55</v>
      </c>
      <c r="I1169" t="s">
        <v>57</v>
      </c>
      <c r="K1169" t="s">
        <v>58</v>
      </c>
      <c r="L1169" t="s">
        <v>97</v>
      </c>
      <c r="M1169" t="s">
        <v>60</v>
      </c>
      <c r="P1169" t="s">
        <v>135</v>
      </c>
      <c r="R1169" t="s">
        <v>63</v>
      </c>
      <c r="S1169" t="s">
        <v>64</v>
      </c>
      <c r="T1169">
        <v>237</v>
      </c>
      <c r="U1169">
        <v>227</v>
      </c>
      <c r="V1169">
        <f t="shared" si="36"/>
        <v>232</v>
      </c>
      <c r="W1169">
        <f t="shared" si="37"/>
        <v>10</v>
      </c>
      <c r="X1169">
        <v>-2.4283329999999999</v>
      </c>
      <c r="Y1169">
        <v>51.623055000000001</v>
      </c>
      <c r="Z1169" t="s">
        <v>90</v>
      </c>
      <c r="AA1169" t="s">
        <v>91</v>
      </c>
      <c r="AB1169" t="s">
        <v>92</v>
      </c>
      <c r="AC1169" t="s">
        <v>136</v>
      </c>
      <c r="AH1169" t="s">
        <v>11</v>
      </c>
      <c r="AI1169" t="s">
        <v>143</v>
      </c>
      <c r="AJ1169">
        <v>1994</v>
      </c>
      <c r="AK1169" t="s">
        <v>144</v>
      </c>
      <c r="AM1169" t="s">
        <v>139</v>
      </c>
      <c r="AN1169" t="s">
        <v>76</v>
      </c>
      <c r="AO1169" t="s">
        <v>77</v>
      </c>
      <c r="AP1169" t="s">
        <v>115</v>
      </c>
      <c r="AQ1169" t="s">
        <v>145</v>
      </c>
      <c r="AR1169" t="s">
        <v>80</v>
      </c>
      <c r="AS1169">
        <v>315</v>
      </c>
      <c r="AT1169" t="s">
        <v>81</v>
      </c>
      <c r="AU1169">
        <v>8.9700000000000006</v>
      </c>
      <c r="AV1169">
        <v>34.380000000000003</v>
      </c>
      <c r="AW1169" t="s">
        <v>82</v>
      </c>
      <c r="AX1169">
        <v>315</v>
      </c>
      <c r="AY1169" t="s">
        <v>81</v>
      </c>
      <c r="AZ1169">
        <v>-1.55</v>
      </c>
      <c r="BA1169">
        <v>37.049999999999997</v>
      </c>
      <c r="BB1169" t="s">
        <v>83</v>
      </c>
    </row>
    <row r="1170" spans="1:54" x14ac:dyDescent="0.4">
      <c r="A1170">
        <v>149247</v>
      </c>
      <c r="D1170" t="s">
        <v>54</v>
      </c>
      <c r="E1170" t="s">
        <v>55</v>
      </c>
      <c r="I1170" t="s">
        <v>57</v>
      </c>
      <c r="K1170" t="s">
        <v>132</v>
      </c>
      <c r="L1170" t="s">
        <v>133</v>
      </c>
      <c r="M1170" t="s">
        <v>60</v>
      </c>
      <c r="N1170" t="s">
        <v>119</v>
      </c>
      <c r="O1170" t="s">
        <v>134</v>
      </c>
      <c r="P1170" t="s">
        <v>135</v>
      </c>
      <c r="R1170" t="s">
        <v>63</v>
      </c>
      <c r="S1170" t="s">
        <v>64</v>
      </c>
      <c r="T1170">
        <v>237</v>
      </c>
      <c r="U1170">
        <v>227</v>
      </c>
      <c r="V1170">
        <f t="shared" si="36"/>
        <v>232</v>
      </c>
      <c r="W1170">
        <f t="shared" si="37"/>
        <v>10</v>
      </c>
      <c r="X1170">
        <v>-2.4283329999999999</v>
      </c>
      <c r="Y1170">
        <v>51.623055000000001</v>
      </c>
      <c r="Z1170" t="s">
        <v>90</v>
      </c>
      <c r="AA1170" t="s">
        <v>91</v>
      </c>
      <c r="AB1170" t="s">
        <v>92</v>
      </c>
      <c r="AC1170" t="s">
        <v>136</v>
      </c>
      <c r="AH1170" t="s">
        <v>72</v>
      </c>
      <c r="AI1170" t="s">
        <v>143</v>
      </c>
      <c r="AJ1170">
        <v>1994</v>
      </c>
      <c r="AK1170" t="s">
        <v>151</v>
      </c>
      <c r="AM1170" t="s">
        <v>139</v>
      </c>
      <c r="AN1170" t="s">
        <v>76</v>
      </c>
      <c r="AO1170" t="s">
        <v>77</v>
      </c>
      <c r="AP1170" t="s">
        <v>115</v>
      </c>
      <c r="AQ1170" t="s">
        <v>145</v>
      </c>
      <c r="AR1170" t="s">
        <v>80</v>
      </c>
      <c r="AS1170">
        <v>315</v>
      </c>
      <c r="AT1170" t="s">
        <v>81</v>
      </c>
      <c r="AU1170">
        <v>8.9700000000000006</v>
      </c>
      <c r="AV1170">
        <v>34.380000000000003</v>
      </c>
      <c r="AW1170" t="s">
        <v>82</v>
      </c>
      <c r="AX1170">
        <v>315</v>
      </c>
      <c r="AY1170" t="s">
        <v>81</v>
      </c>
      <c r="AZ1170">
        <v>-1.55</v>
      </c>
      <c r="BA1170">
        <v>37.049999999999997</v>
      </c>
      <c r="BB1170" t="s">
        <v>83</v>
      </c>
    </row>
    <row r="1171" spans="1:54" x14ac:dyDescent="0.4">
      <c r="A1171">
        <v>149249</v>
      </c>
      <c r="D1171" t="s">
        <v>54</v>
      </c>
      <c r="E1171" t="s">
        <v>55</v>
      </c>
      <c r="I1171" t="s">
        <v>57</v>
      </c>
      <c r="K1171" t="s">
        <v>141</v>
      </c>
      <c r="L1171" t="s">
        <v>148</v>
      </c>
      <c r="M1171" t="s">
        <v>60</v>
      </c>
      <c r="P1171" t="s">
        <v>135</v>
      </c>
      <c r="R1171" t="s">
        <v>63</v>
      </c>
      <c r="S1171" t="s">
        <v>64</v>
      </c>
      <c r="T1171">
        <v>237</v>
      </c>
      <c r="U1171">
        <v>227</v>
      </c>
      <c r="V1171">
        <f t="shared" si="36"/>
        <v>232</v>
      </c>
      <c r="W1171">
        <f t="shared" si="37"/>
        <v>10</v>
      </c>
      <c r="X1171">
        <v>-2.4283329999999999</v>
      </c>
      <c r="Y1171">
        <v>51.623055000000001</v>
      </c>
      <c r="Z1171" t="s">
        <v>90</v>
      </c>
      <c r="AA1171" t="s">
        <v>91</v>
      </c>
      <c r="AB1171" t="s">
        <v>92</v>
      </c>
      <c r="AC1171" t="s">
        <v>136</v>
      </c>
      <c r="AH1171" t="s">
        <v>72</v>
      </c>
      <c r="AI1171" t="s">
        <v>143</v>
      </c>
      <c r="AJ1171">
        <v>1994</v>
      </c>
      <c r="AK1171" t="s">
        <v>151</v>
      </c>
      <c r="AM1171" t="s">
        <v>139</v>
      </c>
      <c r="AN1171" t="s">
        <v>76</v>
      </c>
      <c r="AO1171" t="s">
        <v>77</v>
      </c>
      <c r="AP1171" t="s">
        <v>115</v>
      </c>
      <c r="AQ1171" t="s">
        <v>145</v>
      </c>
      <c r="AR1171" t="s">
        <v>80</v>
      </c>
      <c r="AS1171">
        <v>315</v>
      </c>
      <c r="AT1171" t="s">
        <v>81</v>
      </c>
      <c r="AU1171">
        <v>8.9700000000000006</v>
      </c>
      <c r="AV1171">
        <v>34.380000000000003</v>
      </c>
      <c r="AW1171" t="s">
        <v>82</v>
      </c>
      <c r="AX1171">
        <v>315</v>
      </c>
      <c r="AY1171" t="s">
        <v>81</v>
      </c>
      <c r="AZ1171">
        <v>-1.55</v>
      </c>
      <c r="BA1171">
        <v>37.049999999999997</v>
      </c>
      <c r="BB1171" t="s">
        <v>83</v>
      </c>
    </row>
    <row r="1172" spans="1:54" x14ac:dyDescent="0.4">
      <c r="A1172">
        <v>149250</v>
      </c>
      <c r="D1172" t="s">
        <v>54</v>
      </c>
      <c r="E1172" t="s">
        <v>55</v>
      </c>
      <c r="I1172" t="s">
        <v>57</v>
      </c>
      <c r="K1172" t="s">
        <v>141</v>
      </c>
      <c r="L1172" t="s">
        <v>146</v>
      </c>
      <c r="M1172" t="s">
        <v>60</v>
      </c>
      <c r="O1172" t="s">
        <v>87</v>
      </c>
      <c r="P1172" t="s">
        <v>135</v>
      </c>
      <c r="R1172" t="s">
        <v>63</v>
      </c>
      <c r="S1172" t="s">
        <v>64</v>
      </c>
      <c r="T1172">
        <v>237</v>
      </c>
      <c r="U1172">
        <v>227</v>
      </c>
      <c r="V1172">
        <f t="shared" si="36"/>
        <v>232</v>
      </c>
      <c r="W1172">
        <f t="shared" si="37"/>
        <v>10</v>
      </c>
      <c r="X1172">
        <v>-2.4283329999999999</v>
      </c>
      <c r="Y1172">
        <v>51.623055000000001</v>
      </c>
      <c r="Z1172" t="s">
        <v>90</v>
      </c>
      <c r="AA1172" t="s">
        <v>91</v>
      </c>
      <c r="AB1172" t="s">
        <v>92</v>
      </c>
      <c r="AC1172" t="s">
        <v>136</v>
      </c>
      <c r="AH1172" t="s">
        <v>11</v>
      </c>
      <c r="AI1172" t="s">
        <v>147</v>
      </c>
      <c r="AJ1172">
        <v>2008</v>
      </c>
      <c r="AK1172" t="s">
        <v>151</v>
      </c>
      <c r="AM1172" t="s">
        <v>139</v>
      </c>
      <c r="AN1172" t="s">
        <v>76</v>
      </c>
      <c r="AO1172" t="s">
        <v>77</v>
      </c>
      <c r="AP1172" t="s">
        <v>115</v>
      </c>
      <c r="AQ1172" t="s">
        <v>145</v>
      </c>
      <c r="AR1172" t="s">
        <v>80</v>
      </c>
      <c r="AS1172">
        <v>315</v>
      </c>
      <c r="AT1172" t="s">
        <v>81</v>
      </c>
      <c r="AU1172">
        <v>8.9700000000000006</v>
      </c>
      <c r="AV1172">
        <v>34.380000000000003</v>
      </c>
      <c r="AW1172" t="s">
        <v>82</v>
      </c>
      <c r="AX1172">
        <v>315</v>
      </c>
      <c r="AY1172" t="s">
        <v>81</v>
      </c>
      <c r="AZ1172">
        <v>-1.55</v>
      </c>
      <c r="BA1172">
        <v>37.049999999999997</v>
      </c>
      <c r="BB1172" t="s">
        <v>83</v>
      </c>
    </row>
    <row r="1173" spans="1:54" x14ac:dyDescent="0.4">
      <c r="A1173">
        <v>149251</v>
      </c>
      <c r="D1173" t="s">
        <v>54</v>
      </c>
      <c r="E1173" t="s">
        <v>55</v>
      </c>
      <c r="I1173" t="s">
        <v>57</v>
      </c>
      <c r="K1173" t="s">
        <v>141</v>
      </c>
      <c r="L1173" t="s">
        <v>142</v>
      </c>
      <c r="M1173" t="s">
        <v>60</v>
      </c>
      <c r="P1173" t="s">
        <v>135</v>
      </c>
      <c r="R1173" t="s">
        <v>63</v>
      </c>
      <c r="S1173" t="s">
        <v>64</v>
      </c>
      <c r="T1173">
        <v>237</v>
      </c>
      <c r="U1173">
        <v>227</v>
      </c>
      <c r="V1173">
        <f t="shared" si="36"/>
        <v>232</v>
      </c>
      <c r="W1173">
        <f t="shared" si="37"/>
        <v>10</v>
      </c>
      <c r="X1173">
        <v>-2.4283329999999999</v>
      </c>
      <c r="Y1173">
        <v>51.623055000000001</v>
      </c>
      <c r="Z1173" t="s">
        <v>90</v>
      </c>
      <c r="AA1173" t="s">
        <v>91</v>
      </c>
      <c r="AB1173" t="s">
        <v>92</v>
      </c>
      <c r="AC1173" t="s">
        <v>136</v>
      </c>
      <c r="AH1173" t="s">
        <v>11</v>
      </c>
      <c r="AI1173" t="s">
        <v>143</v>
      </c>
      <c r="AJ1173">
        <v>1994</v>
      </c>
      <c r="AK1173" t="s">
        <v>151</v>
      </c>
      <c r="AM1173" t="s">
        <v>139</v>
      </c>
      <c r="AN1173" t="s">
        <v>76</v>
      </c>
      <c r="AO1173" t="s">
        <v>77</v>
      </c>
      <c r="AP1173" t="s">
        <v>115</v>
      </c>
      <c r="AQ1173" t="s">
        <v>145</v>
      </c>
      <c r="AR1173" t="s">
        <v>80</v>
      </c>
      <c r="AS1173">
        <v>315</v>
      </c>
      <c r="AT1173" t="s">
        <v>81</v>
      </c>
      <c r="AU1173">
        <v>8.9700000000000006</v>
      </c>
      <c r="AV1173">
        <v>34.380000000000003</v>
      </c>
      <c r="AW1173" t="s">
        <v>82</v>
      </c>
      <c r="AX1173">
        <v>315</v>
      </c>
      <c r="AY1173" t="s">
        <v>81</v>
      </c>
      <c r="AZ1173">
        <v>-1.55</v>
      </c>
      <c r="BA1173">
        <v>37.049999999999997</v>
      </c>
      <c r="BB1173" t="s">
        <v>83</v>
      </c>
    </row>
    <row r="1174" spans="1:54" x14ac:dyDescent="0.4">
      <c r="A1174">
        <v>149253</v>
      </c>
      <c r="D1174" t="s">
        <v>54</v>
      </c>
      <c r="E1174" t="s">
        <v>55</v>
      </c>
      <c r="G1174">
        <v>10</v>
      </c>
      <c r="H1174" t="s">
        <v>84</v>
      </c>
      <c r="I1174" t="s">
        <v>57</v>
      </c>
      <c r="K1174" t="s">
        <v>149</v>
      </c>
      <c r="L1174" t="s">
        <v>150</v>
      </c>
      <c r="M1174" t="s">
        <v>60</v>
      </c>
      <c r="P1174" t="s">
        <v>135</v>
      </c>
      <c r="R1174" t="s">
        <v>63</v>
      </c>
      <c r="S1174" t="s">
        <v>64</v>
      </c>
      <c r="T1174">
        <v>237</v>
      </c>
      <c r="U1174">
        <v>227</v>
      </c>
      <c r="V1174">
        <f t="shared" si="36"/>
        <v>232</v>
      </c>
      <c r="W1174">
        <f t="shared" si="37"/>
        <v>10</v>
      </c>
      <c r="X1174">
        <v>-2.4283329999999999</v>
      </c>
      <c r="Y1174">
        <v>51.623055000000001</v>
      </c>
      <c r="Z1174" t="s">
        <v>90</v>
      </c>
      <c r="AA1174" t="s">
        <v>91</v>
      </c>
      <c r="AB1174" t="s">
        <v>92</v>
      </c>
      <c r="AC1174" t="s">
        <v>136</v>
      </c>
      <c r="AH1174" t="s">
        <v>72</v>
      </c>
      <c r="AI1174" t="s">
        <v>143</v>
      </c>
      <c r="AJ1174">
        <v>1986</v>
      </c>
      <c r="AK1174" t="s">
        <v>151</v>
      </c>
      <c r="AM1174" t="s">
        <v>139</v>
      </c>
      <c r="AN1174" t="s">
        <v>76</v>
      </c>
      <c r="AO1174" t="s">
        <v>77</v>
      </c>
      <c r="AP1174" t="s">
        <v>115</v>
      </c>
      <c r="AQ1174" t="s">
        <v>145</v>
      </c>
      <c r="AR1174" t="s">
        <v>80</v>
      </c>
      <c r="AS1174">
        <v>315</v>
      </c>
      <c r="AT1174" t="s">
        <v>81</v>
      </c>
      <c r="AU1174">
        <v>8.9700000000000006</v>
      </c>
      <c r="AV1174">
        <v>34.380000000000003</v>
      </c>
      <c r="AW1174" t="s">
        <v>82</v>
      </c>
      <c r="AX1174">
        <v>315</v>
      </c>
      <c r="AY1174" t="s">
        <v>81</v>
      </c>
      <c r="AZ1174">
        <v>-1.55</v>
      </c>
      <c r="BA1174">
        <v>37.049999999999997</v>
      </c>
      <c r="BB1174" t="s">
        <v>83</v>
      </c>
    </row>
    <row r="1175" spans="1:54" x14ac:dyDescent="0.4">
      <c r="A1175">
        <v>149254</v>
      </c>
      <c r="D1175" t="s">
        <v>54</v>
      </c>
      <c r="E1175" t="s">
        <v>152</v>
      </c>
      <c r="I1175" t="s">
        <v>57</v>
      </c>
      <c r="K1175" t="s">
        <v>141</v>
      </c>
      <c r="L1175" t="s">
        <v>148</v>
      </c>
      <c r="M1175" t="s">
        <v>60</v>
      </c>
      <c r="P1175" t="s">
        <v>135</v>
      </c>
      <c r="R1175" t="s">
        <v>63</v>
      </c>
      <c r="S1175" t="s">
        <v>64</v>
      </c>
      <c r="T1175">
        <v>237</v>
      </c>
      <c r="U1175">
        <v>227</v>
      </c>
      <c r="V1175">
        <f t="shared" si="36"/>
        <v>232</v>
      </c>
      <c r="W1175">
        <f t="shared" si="37"/>
        <v>10</v>
      </c>
      <c r="X1175">
        <v>-2.4283329999999999</v>
      </c>
      <c r="Y1175">
        <v>51.623055000000001</v>
      </c>
      <c r="Z1175" t="s">
        <v>90</v>
      </c>
      <c r="AA1175" t="s">
        <v>91</v>
      </c>
      <c r="AB1175" t="s">
        <v>92</v>
      </c>
      <c r="AC1175" t="s">
        <v>136</v>
      </c>
      <c r="AH1175" t="s">
        <v>72</v>
      </c>
      <c r="AI1175" t="s">
        <v>143</v>
      </c>
      <c r="AJ1175">
        <v>1994</v>
      </c>
      <c r="AK1175" t="s">
        <v>153</v>
      </c>
      <c r="AM1175" t="s">
        <v>139</v>
      </c>
      <c r="AN1175" t="s">
        <v>76</v>
      </c>
      <c r="AO1175" t="s">
        <v>77</v>
      </c>
      <c r="AP1175" t="s">
        <v>115</v>
      </c>
      <c r="AQ1175" t="s">
        <v>145</v>
      </c>
      <c r="AR1175" t="s">
        <v>80</v>
      </c>
      <c r="AS1175">
        <v>315</v>
      </c>
      <c r="AT1175" t="s">
        <v>81</v>
      </c>
      <c r="AU1175">
        <v>8.9700000000000006</v>
      </c>
      <c r="AV1175">
        <v>34.380000000000003</v>
      </c>
      <c r="AW1175" t="s">
        <v>82</v>
      </c>
      <c r="AX1175">
        <v>315</v>
      </c>
      <c r="AY1175" t="s">
        <v>81</v>
      </c>
      <c r="AZ1175">
        <v>-1.55</v>
      </c>
      <c r="BA1175">
        <v>37.049999999999997</v>
      </c>
      <c r="BB1175" t="s">
        <v>83</v>
      </c>
    </row>
    <row r="1176" spans="1:54" x14ac:dyDescent="0.4">
      <c r="A1176">
        <v>149255</v>
      </c>
      <c r="D1176" t="s">
        <v>54</v>
      </c>
      <c r="E1176" t="s">
        <v>152</v>
      </c>
      <c r="I1176" t="s">
        <v>57</v>
      </c>
      <c r="K1176" t="s">
        <v>132</v>
      </c>
      <c r="L1176" t="s">
        <v>133</v>
      </c>
      <c r="M1176" t="s">
        <v>60</v>
      </c>
      <c r="N1176" t="s">
        <v>119</v>
      </c>
      <c r="O1176" t="s">
        <v>134</v>
      </c>
      <c r="P1176" t="s">
        <v>135</v>
      </c>
      <c r="R1176" t="s">
        <v>63</v>
      </c>
      <c r="S1176" t="s">
        <v>64</v>
      </c>
      <c r="T1176">
        <v>237</v>
      </c>
      <c r="U1176">
        <v>227</v>
      </c>
      <c r="V1176">
        <f t="shared" si="36"/>
        <v>232</v>
      </c>
      <c r="W1176">
        <f t="shared" si="37"/>
        <v>10</v>
      </c>
      <c r="X1176">
        <v>-2.4283329999999999</v>
      </c>
      <c r="Y1176">
        <v>51.623055000000001</v>
      </c>
      <c r="Z1176" t="s">
        <v>90</v>
      </c>
      <c r="AA1176" t="s">
        <v>91</v>
      </c>
      <c r="AB1176" t="s">
        <v>92</v>
      </c>
      <c r="AC1176" t="s">
        <v>136</v>
      </c>
      <c r="AH1176" t="s">
        <v>72</v>
      </c>
      <c r="AI1176" t="s">
        <v>143</v>
      </c>
      <c r="AJ1176">
        <v>1994</v>
      </c>
      <c r="AK1176" t="s">
        <v>153</v>
      </c>
      <c r="AM1176" t="s">
        <v>139</v>
      </c>
      <c r="AN1176" t="s">
        <v>76</v>
      </c>
      <c r="AO1176" t="s">
        <v>77</v>
      </c>
      <c r="AP1176" t="s">
        <v>115</v>
      </c>
      <c r="AQ1176" t="s">
        <v>145</v>
      </c>
      <c r="AR1176" t="s">
        <v>80</v>
      </c>
      <c r="AS1176">
        <v>315</v>
      </c>
      <c r="AT1176" t="s">
        <v>81</v>
      </c>
      <c r="AU1176">
        <v>8.9700000000000006</v>
      </c>
      <c r="AV1176">
        <v>34.380000000000003</v>
      </c>
      <c r="AW1176" t="s">
        <v>82</v>
      </c>
      <c r="AX1176">
        <v>315</v>
      </c>
      <c r="AY1176" t="s">
        <v>81</v>
      </c>
      <c r="AZ1176">
        <v>-1.55</v>
      </c>
      <c r="BA1176">
        <v>37.049999999999997</v>
      </c>
      <c r="BB1176" t="s">
        <v>83</v>
      </c>
    </row>
    <row r="1177" spans="1:54" x14ac:dyDescent="0.4">
      <c r="A1177">
        <v>149257</v>
      </c>
      <c r="D1177" t="s">
        <v>54</v>
      </c>
      <c r="E1177" t="s">
        <v>152</v>
      </c>
      <c r="G1177">
        <v>1</v>
      </c>
      <c r="H1177" t="s">
        <v>84</v>
      </c>
      <c r="I1177" t="s">
        <v>57</v>
      </c>
      <c r="K1177" t="s">
        <v>141</v>
      </c>
      <c r="L1177" t="s">
        <v>146</v>
      </c>
      <c r="M1177" t="s">
        <v>60</v>
      </c>
      <c r="O1177" t="s">
        <v>87</v>
      </c>
      <c r="P1177" t="s">
        <v>135</v>
      </c>
      <c r="R1177" t="s">
        <v>63</v>
      </c>
      <c r="S1177" t="s">
        <v>64</v>
      </c>
      <c r="T1177">
        <v>237</v>
      </c>
      <c r="U1177">
        <v>227</v>
      </c>
      <c r="V1177">
        <f t="shared" si="36"/>
        <v>232</v>
      </c>
      <c r="W1177">
        <f t="shared" si="37"/>
        <v>10</v>
      </c>
      <c r="X1177">
        <v>-2.4283329999999999</v>
      </c>
      <c r="Y1177">
        <v>51.623055000000001</v>
      </c>
      <c r="Z1177" t="s">
        <v>90</v>
      </c>
      <c r="AA1177" t="s">
        <v>91</v>
      </c>
      <c r="AB1177" t="s">
        <v>92</v>
      </c>
      <c r="AC1177" t="s">
        <v>136</v>
      </c>
      <c r="AH1177" t="s">
        <v>11</v>
      </c>
      <c r="AI1177" t="s">
        <v>147</v>
      </c>
      <c r="AJ1177">
        <v>2008</v>
      </c>
      <c r="AK1177" t="s">
        <v>153</v>
      </c>
      <c r="AM1177" t="s">
        <v>139</v>
      </c>
      <c r="AN1177" t="s">
        <v>76</v>
      </c>
      <c r="AO1177" t="s">
        <v>77</v>
      </c>
      <c r="AP1177" t="s">
        <v>115</v>
      </c>
      <c r="AQ1177" t="s">
        <v>145</v>
      </c>
      <c r="AR1177" t="s">
        <v>80</v>
      </c>
      <c r="AS1177">
        <v>315</v>
      </c>
      <c r="AT1177" t="s">
        <v>81</v>
      </c>
      <c r="AU1177">
        <v>8.9700000000000006</v>
      </c>
      <c r="AV1177">
        <v>34.380000000000003</v>
      </c>
      <c r="AW1177" t="s">
        <v>82</v>
      </c>
      <c r="AX1177">
        <v>315</v>
      </c>
      <c r="AY1177" t="s">
        <v>81</v>
      </c>
      <c r="AZ1177">
        <v>-1.55</v>
      </c>
      <c r="BA1177">
        <v>37.049999999999997</v>
      </c>
      <c r="BB1177" t="s">
        <v>83</v>
      </c>
    </row>
    <row r="1178" spans="1:54" x14ac:dyDescent="0.4">
      <c r="A1178">
        <v>149258</v>
      </c>
      <c r="D1178" t="s">
        <v>54</v>
      </c>
      <c r="E1178" t="s">
        <v>152</v>
      </c>
      <c r="I1178" t="s">
        <v>57</v>
      </c>
      <c r="K1178" t="s">
        <v>141</v>
      </c>
      <c r="L1178" t="s">
        <v>142</v>
      </c>
      <c r="M1178" t="s">
        <v>60</v>
      </c>
      <c r="P1178" t="s">
        <v>135</v>
      </c>
      <c r="R1178" t="s">
        <v>63</v>
      </c>
      <c r="S1178" t="s">
        <v>64</v>
      </c>
      <c r="T1178">
        <v>237</v>
      </c>
      <c r="U1178">
        <v>227</v>
      </c>
      <c r="V1178">
        <f t="shared" si="36"/>
        <v>232</v>
      </c>
      <c r="W1178">
        <f t="shared" si="37"/>
        <v>10</v>
      </c>
      <c r="X1178">
        <v>-2.4283329999999999</v>
      </c>
      <c r="Y1178">
        <v>51.623055000000001</v>
      </c>
      <c r="Z1178" t="s">
        <v>90</v>
      </c>
      <c r="AA1178" t="s">
        <v>91</v>
      </c>
      <c r="AB1178" t="s">
        <v>92</v>
      </c>
      <c r="AC1178" t="s">
        <v>136</v>
      </c>
      <c r="AH1178" t="s">
        <v>11</v>
      </c>
      <c r="AI1178" t="s">
        <v>143</v>
      </c>
      <c r="AJ1178">
        <v>1994</v>
      </c>
      <c r="AK1178" t="s">
        <v>153</v>
      </c>
      <c r="AM1178" t="s">
        <v>139</v>
      </c>
      <c r="AN1178" t="s">
        <v>76</v>
      </c>
      <c r="AO1178" t="s">
        <v>77</v>
      </c>
      <c r="AP1178" t="s">
        <v>115</v>
      </c>
      <c r="AQ1178" t="s">
        <v>145</v>
      </c>
      <c r="AR1178" t="s">
        <v>80</v>
      </c>
      <c r="AS1178">
        <v>315</v>
      </c>
      <c r="AT1178" t="s">
        <v>81</v>
      </c>
      <c r="AU1178">
        <v>8.9700000000000006</v>
      </c>
      <c r="AV1178">
        <v>34.380000000000003</v>
      </c>
      <c r="AW1178" t="s">
        <v>82</v>
      </c>
      <c r="AX1178">
        <v>315</v>
      </c>
      <c r="AY1178" t="s">
        <v>81</v>
      </c>
      <c r="AZ1178">
        <v>-1.55</v>
      </c>
      <c r="BA1178">
        <v>37.049999999999997</v>
      </c>
      <c r="BB1178" t="s">
        <v>83</v>
      </c>
    </row>
    <row r="1179" spans="1:54" x14ac:dyDescent="0.4">
      <c r="A1179">
        <v>149260</v>
      </c>
      <c r="D1179" t="s">
        <v>54</v>
      </c>
      <c r="E1179" t="s">
        <v>152</v>
      </c>
      <c r="G1179">
        <v>11</v>
      </c>
      <c r="H1179" t="s">
        <v>84</v>
      </c>
      <c r="I1179" t="s">
        <v>57</v>
      </c>
      <c r="K1179" t="s">
        <v>149</v>
      </c>
      <c r="L1179" t="s">
        <v>150</v>
      </c>
      <c r="M1179" t="s">
        <v>60</v>
      </c>
      <c r="P1179" t="s">
        <v>135</v>
      </c>
      <c r="R1179" t="s">
        <v>63</v>
      </c>
      <c r="S1179" t="s">
        <v>64</v>
      </c>
      <c r="T1179">
        <v>237</v>
      </c>
      <c r="U1179">
        <v>227</v>
      </c>
      <c r="V1179">
        <f t="shared" si="36"/>
        <v>232</v>
      </c>
      <c r="W1179">
        <f t="shared" si="37"/>
        <v>10</v>
      </c>
      <c r="X1179">
        <v>-2.4283329999999999</v>
      </c>
      <c r="Y1179">
        <v>51.623055000000001</v>
      </c>
      <c r="Z1179" t="s">
        <v>90</v>
      </c>
      <c r="AA1179" t="s">
        <v>91</v>
      </c>
      <c r="AB1179" t="s">
        <v>92</v>
      </c>
      <c r="AC1179" t="s">
        <v>136</v>
      </c>
      <c r="AH1179" t="s">
        <v>72</v>
      </c>
      <c r="AI1179" t="s">
        <v>143</v>
      </c>
      <c r="AJ1179">
        <v>1986</v>
      </c>
      <c r="AK1179" t="s">
        <v>153</v>
      </c>
      <c r="AM1179" t="s">
        <v>139</v>
      </c>
      <c r="AN1179" t="s">
        <v>76</v>
      </c>
      <c r="AO1179" t="s">
        <v>77</v>
      </c>
      <c r="AP1179" t="s">
        <v>115</v>
      </c>
      <c r="AQ1179" t="s">
        <v>145</v>
      </c>
      <c r="AR1179" t="s">
        <v>80</v>
      </c>
      <c r="AS1179">
        <v>315</v>
      </c>
      <c r="AT1179" t="s">
        <v>81</v>
      </c>
      <c r="AU1179">
        <v>8.9700000000000006</v>
      </c>
      <c r="AV1179">
        <v>34.380000000000003</v>
      </c>
      <c r="AW1179" t="s">
        <v>82</v>
      </c>
      <c r="AX1179">
        <v>315</v>
      </c>
      <c r="AY1179" t="s">
        <v>81</v>
      </c>
      <c r="AZ1179">
        <v>-1.55</v>
      </c>
      <c r="BA1179">
        <v>37.049999999999997</v>
      </c>
      <c r="BB1179" t="s">
        <v>83</v>
      </c>
    </row>
    <row r="1180" spans="1:54" x14ac:dyDescent="0.4">
      <c r="A1180">
        <v>149261</v>
      </c>
      <c r="D1180" t="s">
        <v>54</v>
      </c>
      <c r="E1180" t="s">
        <v>152</v>
      </c>
      <c r="I1180" t="s">
        <v>57</v>
      </c>
      <c r="K1180" t="s">
        <v>58</v>
      </c>
      <c r="L1180" t="s">
        <v>97</v>
      </c>
      <c r="M1180" t="s">
        <v>60</v>
      </c>
      <c r="P1180" t="s">
        <v>135</v>
      </c>
      <c r="R1180" t="s">
        <v>63</v>
      </c>
      <c r="S1180" t="s">
        <v>64</v>
      </c>
      <c r="T1180">
        <v>237</v>
      </c>
      <c r="U1180">
        <v>227</v>
      </c>
      <c r="V1180">
        <f t="shared" si="36"/>
        <v>232</v>
      </c>
      <c r="W1180">
        <f t="shared" si="37"/>
        <v>10</v>
      </c>
      <c r="X1180">
        <v>-2.4283329999999999</v>
      </c>
      <c r="Y1180">
        <v>51.623055000000001</v>
      </c>
      <c r="Z1180" t="s">
        <v>90</v>
      </c>
      <c r="AA1180" t="s">
        <v>91</v>
      </c>
      <c r="AB1180" t="s">
        <v>92</v>
      </c>
      <c r="AC1180" t="s">
        <v>136</v>
      </c>
      <c r="AH1180" t="s">
        <v>11</v>
      </c>
      <c r="AI1180" t="s">
        <v>137</v>
      </c>
      <c r="AJ1180">
        <v>1983</v>
      </c>
      <c r="AK1180" t="s">
        <v>153</v>
      </c>
      <c r="AM1180" t="s">
        <v>139</v>
      </c>
      <c r="AN1180" t="s">
        <v>76</v>
      </c>
      <c r="AO1180" t="s">
        <v>77</v>
      </c>
      <c r="AP1180" t="s">
        <v>115</v>
      </c>
      <c r="AQ1180" t="s">
        <v>145</v>
      </c>
      <c r="AR1180" t="s">
        <v>80</v>
      </c>
      <c r="AS1180">
        <v>315</v>
      </c>
      <c r="AT1180" t="s">
        <v>81</v>
      </c>
      <c r="AU1180">
        <v>8.9700000000000006</v>
      </c>
      <c r="AV1180">
        <v>34.380000000000003</v>
      </c>
      <c r="AW1180" t="s">
        <v>82</v>
      </c>
      <c r="AX1180">
        <v>315</v>
      </c>
      <c r="AY1180" t="s">
        <v>81</v>
      </c>
      <c r="AZ1180">
        <v>-1.55</v>
      </c>
      <c r="BA1180">
        <v>37.049999999999997</v>
      </c>
      <c r="BB1180" t="s">
        <v>83</v>
      </c>
    </row>
    <row r="1181" spans="1:54" x14ac:dyDescent="0.4">
      <c r="A1181">
        <v>149262</v>
      </c>
      <c r="D1181" t="s">
        <v>54</v>
      </c>
      <c r="E1181" t="s">
        <v>154</v>
      </c>
      <c r="G1181">
        <v>3</v>
      </c>
      <c r="H1181" t="s">
        <v>84</v>
      </c>
      <c r="I1181" t="s">
        <v>57</v>
      </c>
      <c r="K1181" t="s">
        <v>149</v>
      </c>
      <c r="L1181" t="s">
        <v>150</v>
      </c>
      <c r="M1181" t="s">
        <v>60</v>
      </c>
      <c r="P1181" t="s">
        <v>135</v>
      </c>
      <c r="R1181" t="s">
        <v>63</v>
      </c>
      <c r="S1181" t="s">
        <v>64</v>
      </c>
      <c r="T1181">
        <v>237</v>
      </c>
      <c r="U1181">
        <v>227</v>
      </c>
      <c r="V1181">
        <f t="shared" si="36"/>
        <v>232</v>
      </c>
      <c r="W1181">
        <f t="shared" si="37"/>
        <v>10</v>
      </c>
      <c r="X1181">
        <v>-2.4283329999999999</v>
      </c>
      <c r="Y1181">
        <v>51.623055000000001</v>
      </c>
      <c r="Z1181" t="s">
        <v>90</v>
      </c>
      <c r="AA1181" t="s">
        <v>91</v>
      </c>
      <c r="AB1181" t="s">
        <v>92</v>
      </c>
      <c r="AC1181" t="s">
        <v>136</v>
      </c>
      <c r="AH1181" t="s">
        <v>72</v>
      </c>
      <c r="AI1181" t="s">
        <v>143</v>
      </c>
      <c r="AJ1181">
        <v>1986</v>
      </c>
      <c r="AK1181" t="s">
        <v>155</v>
      </c>
      <c r="AM1181" t="s">
        <v>156</v>
      </c>
      <c r="AN1181" t="s">
        <v>76</v>
      </c>
      <c r="AO1181" t="s">
        <v>77</v>
      </c>
      <c r="AP1181" t="s">
        <v>78</v>
      </c>
      <c r="AQ1181" t="s">
        <v>145</v>
      </c>
      <c r="AR1181" t="s">
        <v>80</v>
      </c>
      <c r="AS1181">
        <v>315</v>
      </c>
      <c r="AT1181" t="s">
        <v>81</v>
      </c>
      <c r="AU1181">
        <v>8.9700000000000006</v>
      </c>
      <c r="AV1181">
        <v>34.380000000000003</v>
      </c>
      <c r="AW1181" t="s">
        <v>82</v>
      </c>
      <c r="AX1181">
        <v>315</v>
      </c>
      <c r="AY1181" t="s">
        <v>81</v>
      </c>
      <c r="AZ1181">
        <v>-1.55</v>
      </c>
      <c r="BA1181">
        <v>37.049999999999997</v>
      </c>
      <c r="BB1181" t="s">
        <v>83</v>
      </c>
    </row>
    <row r="1182" spans="1:54" x14ac:dyDescent="0.4">
      <c r="A1182">
        <v>149263</v>
      </c>
      <c r="D1182" t="s">
        <v>54</v>
      </c>
      <c r="E1182" t="s">
        <v>154</v>
      </c>
      <c r="G1182">
        <v>3</v>
      </c>
      <c r="H1182" t="s">
        <v>84</v>
      </c>
      <c r="I1182" t="s">
        <v>57</v>
      </c>
      <c r="K1182" t="s">
        <v>141</v>
      </c>
      <c r="L1182" t="s">
        <v>157</v>
      </c>
      <c r="M1182" t="s">
        <v>60</v>
      </c>
      <c r="P1182" t="s">
        <v>135</v>
      </c>
      <c r="R1182" t="s">
        <v>63</v>
      </c>
      <c r="S1182" t="s">
        <v>64</v>
      </c>
      <c r="T1182">
        <v>237</v>
      </c>
      <c r="U1182">
        <v>227</v>
      </c>
      <c r="V1182">
        <f t="shared" si="36"/>
        <v>232</v>
      </c>
      <c r="W1182">
        <f t="shared" si="37"/>
        <v>10</v>
      </c>
      <c r="X1182">
        <v>-2.4283329999999999</v>
      </c>
      <c r="Y1182">
        <v>51.623055000000001</v>
      </c>
      <c r="Z1182" t="s">
        <v>90</v>
      </c>
      <c r="AA1182" t="s">
        <v>91</v>
      </c>
      <c r="AB1182" t="s">
        <v>92</v>
      </c>
      <c r="AC1182" t="s">
        <v>136</v>
      </c>
      <c r="AH1182" t="s">
        <v>72</v>
      </c>
      <c r="AI1182" t="s">
        <v>143</v>
      </c>
      <c r="AJ1182">
        <v>1986</v>
      </c>
      <c r="AK1182" t="s">
        <v>155</v>
      </c>
      <c r="AM1182" t="s">
        <v>156</v>
      </c>
      <c r="AN1182" t="s">
        <v>76</v>
      </c>
      <c r="AO1182" t="s">
        <v>77</v>
      </c>
      <c r="AP1182" t="s">
        <v>78</v>
      </c>
      <c r="AQ1182" t="s">
        <v>145</v>
      </c>
      <c r="AR1182" t="s">
        <v>80</v>
      </c>
      <c r="AS1182">
        <v>315</v>
      </c>
      <c r="AT1182" t="s">
        <v>81</v>
      </c>
      <c r="AU1182">
        <v>8.9700000000000006</v>
      </c>
      <c r="AV1182">
        <v>34.380000000000003</v>
      </c>
      <c r="AW1182" t="s">
        <v>82</v>
      </c>
      <c r="AX1182">
        <v>315</v>
      </c>
      <c r="AY1182" t="s">
        <v>81</v>
      </c>
      <c r="AZ1182">
        <v>-1.55</v>
      </c>
      <c r="BA1182">
        <v>37.049999999999997</v>
      </c>
      <c r="BB1182" t="s">
        <v>83</v>
      </c>
    </row>
    <row r="1183" spans="1:54" x14ac:dyDescent="0.4">
      <c r="A1183">
        <v>149264</v>
      </c>
      <c r="D1183" t="s">
        <v>54</v>
      </c>
      <c r="E1183" t="s">
        <v>154</v>
      </c>
      <c r="I1183" t="s">
        <v>57</v>
      </c>
      <c r="K1183" t="s">
        <v>141</v>
      </c>
      <c r="L1183" t="s">
        <v>148</v>
      </c>
      <c r="M1183" t="s">
        <v>60</v>
      </c>
      <c r="P1183" t="s">
        <v>135</v>
      </c>
      <c r="R1183" t="s">
        <v>63</v>
      </c>
      <c r="S1183" t="s">
        <v>64</v>
      </c>
      <c r="T1183">
        <v>237</v>
      </c>
      <c r="U1183">
        <v>227</v>
      </c>
      <c r="V1183">
        <f t="shared" si="36"/>
        <v>232</v>
      </c>
      <c r="W1183">
        <f t="shared" si="37"/>
        <v>10</v>
      </c>
      <c r="X1183">
        <v>-2.4283329999999999</v>
      </c>
      <c r="Y1183">
        <v>51.623055000000001</v>
      </c>
      <c r="Z1183" t="s">
        <v>90</v>
      </c>
      <c r="AA1183" t="s">
        <v>91</v>
      </c>
      <c r="AB1183" t="s">
        <v>92</v>
      </c>
      <c r="AC1183" t="s">
        <v>136</v>
      </c>
      <c r="AH1183" t="s">
        <v>72</v>
      </c>
      <c r="AI1183" t="s">
        <v>143</v>
      </c>
      <c r="AJ1183">
        <v>1982</v>
      </c>
      <c r="AK1183" t="s">
        <v>155</v>
      </c>
      <c r="AM1183" t="s">
        <v>156</v>
      </c>
      <c r="AN1183" t="s">
        <v>76</v>
      </c>
      <c r="AO1183" t="s">
        <v>77</v>
      </c>
      <c r="AP1183" t="s">
        <v>78</v>
      </c>
      <c r="AQ1183" t="s">
        <v>145</v>
      </c>
      <c r="AR1183" t="s">
        <v>80</v>
      </c>
      <c r="AS1183">
        <v>315</v>
      </c>
      <c r="AT1183" t="s">
        <v>81</v>
      </c>
      <c r="AU1183">
        <v>8.9700000000000006</v>
      </c>
      <c r="AV1183">
        <v>34.380000000000003</v>
      </c>
      <c r="AW1183" t="s">
        <v>82</v>
      </c>
      <c r="AX1183">
        <v>315</v>
      </c>
      <c r="AY1183" t="s">
        <v>81</v>
      </c>
      <c r="AZ1183">
        <v>-1.55</v>
      </c>
      <c r="BA1183">
        <v>37.049999999999997</v>
      </c>
      <c r="BB1183" t="s">
        <v>83</v>
      </c>
    </row>
    <row r="1184" spans="1:54" x14ac:dyDescent="0.4">
      <c r="A1184">
        <v>149267</v>
      </c>
      <c r="D1184" t="s">
        <v>54</v>
      </c>
      <c r="E1184" t="s">
        <v>152</v>
      </c>
      <c r="I1184" t="s">
        <v>57</v>
      </c>
      <c r="K1184" t="s">
        <v>141</v>
      </c>
      <c r="L1184" t="s">
        <v>148</v>
      </c>
      <c r="M1184" t="s">
        <v>60</v>
      </c>
      <c r="P1184" t="s">
        <v>135</v>
      </c>
      <c r="R1184" t="s">
        <v>63</v>
      </c>
      <c r="S1184" t="s">
        <v>64</v>
      </c>
      <c r="T1184">
        <v>237</v>
      </c>
      <c r="U1184">
        <v>227</v>
      </c>
      <c r="V1184">
        <f t="shared" si="36"/>
        <v>232</v>
      </c>
      <c r="W1184">
        <f t="shared" si="37"/>
        <v>10</v>
      </c>
      <c r="X1184">
        <v>-2.4500000000000002</v>
      </c>
      <c r="Y1184">
        <v>51.616669000000002</v>
      </c>
      <c r="Z1184" t="s">
        <v>158</v>
      </c>
      <c r="AA1184" t="s">
        <v>91</v>
      </c>
      <c r="AB1184" t="s">
        <v>92</v>
      </c>
      <c r="AC1184" t="s">
        <v>136</v>
      </c>
      <c r="AH1184" t="s">
        <v>11</v>
      </c>
      <c r="AI1184" t="s">
        <v>137</v>
      </c>
      <c r="AJ1184">
        <v>1983</v>
      </c>
      <c r="AK1184" t="s">
        <v>159</v>
      </c>
      <c r="AM1184" t="s">
        <v>156</v>
      </c>
      <c r="AN1184" t="s">
        <v>114</v>
      </c>
      <c r="AO1184" t="s">
        <v>160</v>
      </c>
      <c r="AP1184" t="s">
        <v>78</v>
      </c>
      <c r="AQ1184" t="s">
        <v>161</v>
      </c>
      <c r="AR1184" t="s">
        <v>80</v>
      </c>
      <c r="AS1184">
        <v>315</v>
      </c>
      <c r="AT1184" t="s">
        <v>81</v>
      </c>
      <c r="AU1184">
        <v>8.9600000000000009</v>
      </c>
      <c r="AV1184">
        <v>34.369999999999997</v>
      </c>
      <c r="AW1184" t="s">
        <v>82</v>
      </c>
      <c r="AX1184">
        <v>315</v>
      </c>
      <c r="AY1184" t="s">
        <v>81</v>
      </c>
      <c r="AZ1184">
        <v>-1.56</v>
      </c>
      <c r="BA1184">
        <v>37.04</v>
      </c>
      <c r="BB1184" t="s">
        <v>83</v>
      </c>
    </row>
    <row r="1185" spans="1:54" x14ac:dyDescent="0.4">
      <c r="A1185">
        <v>149268</v>
      </c>
      <c r="D1185" t="s">
        <v>54</v>
      </c>
      <c r="E1185" t="s">
        <v>152</v>
      </c>
      <c r="I1185" t="s">
        <v>57</v>
      </c>
      <c r="K1185" t="s">
        <v>132</v>
      </c>
      <c r="L1185" t="s">
        <v>133</v>
      </c>
      <c r="M1185" t="s">
        <v>60</v>
      </c>
      <c r="N1185" t="s">
        <v>119</v>
      </c>
      <c r="O1185" t="s">
        <v>134</v>
      </c>
      <c r="P1185" t="s">
        <v>135</v>
      </c>
      <c r="R1185" t="s">
        <v>63</v>
      </c>
      <c r="S1185" t="s">
        <v>64</v>
      </c>
      <c r="T1185">
        <v>237</v>
      </c>
      <c r="U1185">
        <v>227</v>
      </c>
      <c r="V1185">
        <f t="shared" si="36"/>
        <v>232</v>
      </c>
      <c r="W1185">
        <f t="shared" si="37"/>
        <v>10</v>
      </c>
      <c r="X1185">
        <v>-2.4500000000000002</v>
      </c>
      <c r="Y1185">
        <v>51.616669000000002</v>
      </c>
      <c r="Z1185" t="s">
        <v>158</v>
      </c>
      <c r="AA1185" t="s">
        <v>91</v>
      </c>
      <c r="AB1185" t="s">
        <v>92</v>
      </c>
      <c r="AC1185" t="s">
        <v>136</v>
      </c>
      <c r="AH1185" t="s">
        <v>11</v>
      </c>
      <c r="AI1185" t="s">
        <v>137</v>
      </c>
      <c r="AJ1185">
        <v>1983</v>
      </c>
      <c r="AK1185" t="s">
        <v>159</v>
      </c>
      <c r="AM1185" t="s">
        <v>156</v>
      </c>
      <c r="AN1185" t="s">
        <v>114</v>
      </c>
      <c r="AO1185" t="s">
        <v>160</v>
      </c>
      <c r="AP1185" t="s">
        <v>78</v>
      </c>
      <c r="AQ1185" t="s">
        <v>161</v>
      </c>
      <c r="AR1185" t="s">
        <v>80</v>
      </c>
      <c r="AS1185">
        <v>315</v>
      </c>
      <c r="AT1185" t="s">
        <v>81</v>
      </c>
      <c r="AU1185">
        <v>8.9600000000000009</v>
      </c>
      <c r="AV1185">
        <v>34.369999999999997</v>
      </c>
      <c r="AW1185" t="s">
        <v>82</v>
      </c>
      <c r="AX1185">
        <v>315</v>
      </c>
      <c r="AY1185" t="s">
        <v>81</v>
      </c>
      <c r="AZ1185">
        <v>-1.56</v>
      </c>
      <c r="BA1185">
        <v>37.04</v>
      </c>
      <c r="BB1185" t="s">
        <v>83</v>
      </c>
    </row>
    <row r="1186" spans="1:54" x14ac:dyDescent="0.4">
      <c r="A1186">
        <v>149271</v>
      </c>
      <c r="D1186" t="s">
        <v>54</v>
      </c>
      <c r="E1186" t="s">
        <v>152</v>
      </c>
      <c r="I1186" t="s">
        <v>57</v>
      </c>
      <c r="K1186" t="s">
        <v>149</v>
      </c>
      <c r="L1186" t="s">
        <v>150</v>
      </c>
      <c r="M1186" t="s">
        <v>60</v>
      </c>
      <c r="P1186" t="s">
        <v>135</v>
      </c>
      <c r="R1186" t="s">
        <v>63</v>
      </c>
      <c r="S1186" t="s">
        <v>64</v>
      </c>
      <c r="T1186">
        <v>237</v>
      </c>
      <c r="U1186">
        <v>227</v>
      </c>
      <c r="V1186">
        <f t="shared" si="36"/>
        <v>232</v>
      </c>
      <c r="W1186">
        <f t="shared" si="37"/>
        <v>10</v>
      </c>
      <c r="X1186">
        <v>-2.4500000000000002</v>
      </c>
      <c r="Y1186">
        <v>51.616669000000002</v>
      </c>
      <c r="Z1186" t="s">
        <v>158</v>
      </c>
      <c r="AA1186" t="s">
        <v>91</v>
      </c>
      <c r="AB1186" t="s">
        <v>92</v>
      </c>
      <c r="AC1186" t="s">
        <v>136</v>
      </c>
      <c r="AH1186" t="s">
        <v>11</v>
      </c>
      <c r="AI1186" t="s">
        <v>137</v>
      </c>
      <c r="AJ1186">
        <v>1983</v>
      </c>
      <c r="AK1186" t="s">
        <v>159</v>
      </c>
      <c r="AM1186" t="s">
        <v>156</v>
      </c>
      <c r="AN1186" t="s">
        <v>114</v>
      </c>
      <c r="AO1186" t="s">
        <v>160</v>
      </c>
      <c r="AP1186" t="s">
        <v>78</v>
      </c>
      <c r="AQ1186" t="s">
        <v>161</v>
      </c>
      <c r="AR1186" t="s">
        <v>80</v>
      </c>
      <c r="AS1186">
        <v>315</v>
      </c>
      <c r="AT1186" t="s">
        <v>81</v>
      </c>
      <c r="AU1186">
        <v>8.9600000000000009</v>
      </c>
      <c r="AV1186">
        <v>34.369999999999997</v>
      </c>
      <c r="AW1186" t="s">
        <v>82</v>
      </c>
      <c r="AX1186">
        <v>315</v>
      </c>
      <c r="AY1186" t="s">
        <v>81</v>
      </c>
      <c r="AZ1186">
        <v>-1.56</v>
      </c>
      <c r="BA1186">
        <v>37.04</v>
      </c>
      <c r="BB1186" t="s">
        <v>83</v>
      </c>
    </row>
    <row r="1187" spans="1:54" x14ac:dyDescent="0.4">
      <c r="A1187">
        <v>149272</v>
      </c>
      <c r="D1187" t="s">
        <v>54</v>
      </c>
      <c r="E1187" t="s">
        <v>152</v>
      </c>
      <c r="I1187" t="s">
        <v>57</v>
      </c>
      <c r="K1187" t="s">
        <v>58</v>
      </c>
      <c r="L1187" t="s">
        <v>97</v>
      </c>
      <c r="M1187" t="s">
        <v>60</v>
      </c>
      <c r="P1187" t="s">
        <v>135</v>
      </c>
      <c r="R1187" t="s">
        <v>63</v>
      </c>
      <c r="S1187" t="s">
        <v>64</v>
      </c>
      <c r="T1187">
        <v>237</v>
      </c>
      <c r="U1187">
        <v>227</v>
      </c>
      <c r="V1187">
        <f t="shared" si="36"/>
        <v>232</v>
      </c>
      <c r="W1187">
        <f t="shared" si="37"/>
        <v>10</v>
      </c>
      <c r="X1187">
        <v>-2.4500000000000002</v>
      </c>
      <c r="Y1187">
        <v>51.616669000000002</v>
      </c>
      <c r="Z1187" t="s">
        <v>158</v>
      </c>
      <c r="AA1187" t="s">
        <v>91</v>
      </c>
      <c r="AB1187" t="s">
        <v>92</v>
      </c>
      <c r="AC1187" t="s">
        <v>136</v>
      </c>
      <c r="AH1187" t="s">
        <v>11</v>
      </c>
      <c r="AI1187" t="s">
        <v>137</v>
      </c>
      <c r="AJ1187">
        <v>1983</v>
      </c>
      <c r="AK1187" t="s">
        <v>159</v>
      </c>
      <c r="AM1187" t="s">
        <v>156</v>
      </c>
      <c r="AN1187" t="s">
        <v>114</v>
      </c>
      <c r="AO1187" t="s">
        <v>160</v>
      </c>
      <c r="AP1187" t="s">
        <v>78</v>
      </c>
      <c r="AQ1187" t="s">
        <v>161</v>
      </c>
      <c r="AR1187" t="s">
        <v>80</v>
      </c>
      <c r="AS1187">
        <v>315</v>
      </c>
      <c r="AT1187" t="s">
        <v>81</v>
      </c>
      <c r="AU1187">
        <v>8.9600000000000009</v>
      </c>
      <c r="AV1187">
        <v>34.369999999999997</v>
      </c>
      <c r="AW1187" t="s">
        <v>82</v>
      </c>
      <c r="AX1187">
        <v>315</v>
      </c>
      <c r="AY1187" t="s">
        <v>81</v>
      </c>
      <c r="AZ1187">
        <v>-1.56</v>
      </c>
      <c r="BA1187">
        <v>37.04</v>
      </c>
      <c r="BB1187" t="s">
        <v>83</v>
      </c>
    </row>
    <row r="1188" spans="1:54" x14ac:dyDescent="0.4">
      <c r="A1188">
        <v>149273</v>
      </c>
      <c r="D1188" t="s">
        <v>54</v>
      </c>
      <c r="E1188" t="s">
        <v>152</v>
      </c>
      <c r="I1188" t="s">
        <v>57</v>
      </c>
      <c r="K1188" t="s">
        <v>141</v>
      </c>
      <c r="L1188" t="s">
        <v>148</v>
      </c>
      <c r="M1188" t="s">
        <v>60</v>
      </c>
      <c r="P1188" t="s">
        <v>135</v>
      </c>
      <c r="R1188" t="s">
        <v>63</v>
      </c>
      <c r="S1188" t="s">
        <v>64</v>
      </c>
      <c r="T1188">
        <v>237</v>
      </c>
      <c r="U1188">
        <v>227</v>
      </c>
      <c r="V1188">
        <f t="shared" si="36"/>
        <v>232</v>
      </c>
      <c r="W1188">
        <f t="shared" si="37"/>
        <v>10</v>
      </c>
      <c r="X1188">
        <v>-2.4500000000000002</v>
      </c>
      <c r="Y1188">
        <v>51.616669000000002</v>
      </c>
      <c r="Z1188" t="s">
        <v>158</v>
      </c>
      <c r="AA1188" t="s">
        <v>91</v>
      </c>
      <c r="AB1188" t="s">
        <v>92</v>
      </c>
      <c r="AC1188" t="s">
        <v>136</v>
      </c>
      <c r="AH1188" t="s">
        <v>11</v>
      </c>
      <c r="AI1188" t="s">
        <v>137</v>
      </c>
      <c r="AJ1188">
        <v>1983</v>
      </c>
      <c r="AK1188" t="s">
        <v>162</v>
      </c>
      <c r="AM1188" t="s">
        <v>156</v>
      </c>
      <c r="AN1188" t="s">
        <v>114</v>
      </c>
      <c r="AO1188" t="s">
        <v>160</v>
      </c>
      <c r="AP1188" t="s">
        <v>78</v>
      </c>
      <c r="AQ1188" t="s">
        <v>161</v>
      </c>
      <c r="AR1188" t="s">
        <v>80</v>
      </c>
      <c r="AS1188">
        <v>315</v>
      </c>
      <c r="AT1188" t="s">
        <v>81</v>
      </c>
      <c r="AU1188">
        <v>8.9600000000000009</v>
      </c>
      <c r="AV1188">
        <v>34.369999999999997</v>
      </c>
      <c r="AW1188" t="s">
        <v>82</v>
      </c>
      <c r="AX1188">
        <v>315</v>
      </c>
      <c r="AY1188" t="s">
        <v>81</v>
      </c>
      <c r="AZ1188">
        <v>-1.56</v>
      </c>
      <c r="BA1188">
        <v>37.04</v>
      </c>
      <c r="BB1188" t="s">
        <v>83</v>
      </c>
    </row>
    <row r="1189" spans="1:54" x14ac:dyDescent="0.4">
      <c r="A1189">
        <v>149274</v>
      </c>
      <c r="D1189" t="s">
        <v>54</v>
      </c>
      <c r="E1189" t="s">
        <v>152</v>
      </c>
      <c r="I1189" t="s">
        <v>57</v>
      </c>
      <c r="K1189" t="s">
        <v>132</v>
      </c>
      <c r="L1189" t="s">
        <v>133</v>
      </c>
      <c r="M1189" t="s">
        <v>60</v>
      </c>
      <c r="N1189" t="s">
        <v>119</v>
      </c>
      <c r="O1189" t="s">
        <v>134</v>
      </c>
      <c r="P1189" t="s">
        <v>135</v>
      </c>
      <c r="R1189" t="s">
        <v>63</v>
      </c>
      <c r="S1189" t="s">
        <v>64</v>
      </c>
      <c r="T1189">
        <v>237</v>
      </c>
      <c r="U1189">
        <v>227</v>
      </c>
      <c r="V1189">
        <f t="shared" si="36"/>
        <v>232</v>
      </c>
      <c r="W1189">
        <f t="shared" si="37"/>
        <v>10</v>
      </c>
      <c r="X1189">
        <v>-2.4500000000000002</v>
      </c>
      <c r="Y1189">
        <v>51.616669000000002</v>
      </c>
      <c r="Z1189" t="s">
        <v>158</v>
      </c>
      <c r="AA1189" t="s">
        <v>91</v>
      </c>
      <c r="AB1189" t="s">
        <v>92</v>
      </c>
      <c r="AC1189" t="s">
        <v>136</v>
      </c>
      <c r="AH1189" t="s">
        <v>11</v>
      </c>
      <c r="AI1189" t="s">
        <v>137</v>
      </c>
      <c r="AJ1189">
        <v>1983</v>
      </c>
      <c r="AK1189" t="s">
        <v>162</v>
      </c>
      <c r="AM1189" t="s">
        <v>156</v>
      </c>
      <c r="AN1189" t="s">
        <v>114</v>
      </c>
      <c r="AO1189" t="s">
        <v>160</v>
      </c>
      <c r="AP1189" t="s">
        <v>78</v>
      </c>
      <c r="AQ1189" t="s">
        <v>161</v>
      </c>
      <c r="AR1189" t="s">
        <v>80</v>
      </c>
      <c r="AS1189">
        <v>315</v>
      </c>
      <c r="AT1189" t="s">
        <v>81</v>
      </c>
      <c r="AU1189">
        <v>8.9600000000000009</v>
      </c>
      <c r="AV1189">
        <v>34.369999999999997</v>
      </c>
      <c r="AW1189" t="s">
        <v>82</v>
      </c>
      <c r="AX1189">
        <v>315</v>
      </c>
      <c r="AY1189" t="s">
        <v>81</v>
      </c>
      <c r="AZ1189">
        <v>-1.56</v>
      </c>
      <c r="BA1189">
        <v>37.04</v>
      </c>
      <c r="BB1189" t="s">
        <v>83</v>
      </c>
    </row>
    <row r="1190" spans="1:54" x14ac:dyDescent="0.4">
      <c r="A1190">
        <v>149276</v>
      </c>
      <c r="D1190" t="s">
        <v>54</v>
      </c>
      <c r="E1190" t="s">
        <v>152</v>
      </c>
      <c r="I1190" t="s">
        <v>57</v>
      </c>
      <c r="K1190" t="s">
        <v>149</v>
      </c>
      <c r="L1190" t="s">
        <v>150</v>
      </c>
      <c r="M1190" t="s">
        <v>60</v>
      </c>
      <c r="P1190" t="s">
        <v>135</v>
      </c>
      <c r="R1190" t="s">
        <v>63</v>
      </c>
      <c r="S1190" t="s">
        <v>64</v>
      </c>
      <c r="T1190">
        <v>237</v>
      </c>
      <c r="U1190">
        <v>227</v>
      </c>
      <c r="V1190">
        <f t="shared" si="36"/>
        <v>232</v>
      </c>
      <c r="W1190">
        <f t="shared" si="37"/>
        <v>10</v>
      </c>
      <c r="X1190">
        <v>-2.4500000000000002</v>
      </c>
      <c r="Y1190">
        <v>51.616669000000002</v>
      </c>
      <c r="Z1190" t="s">
        <v>158</v>
      </c>
      <c r="AA1190" t="s">
        <v>91</v>
      </c>
      <c r="AB1190" t="s">
        <v>92</v>
      </c>
      <c r="AC1190" t="s">
        <v>136</v>
      </c>
      <c r="AH1190" t="s">
        <v>11</v>
      </c>
      <c r="AI1190" t="s">
        <v>137</v>
      </c>
      <c r="AJ1190">
        <v>1983</v>
      </c>
      <c r="AK1190" t="s">
        <v>162</v>
      </c>
      <c r="AM1190" t="s">
        <v>156</v>
      </c>
      <c r="AN1190" t="s">
        <v>114</v>
      </c>
      <c r="AO1190" t="s">
        <v>160</v>
      </c>
      <c r="AP1190" t="s">
        <v>78</v>
      </c>
      <c r="AQ1190" t="s">
        <v>161</v>
      </c>
      <c r="AR1190" t="s">
        <v>80</v>
      </c>
      <c r="AS1190">
        <v>315</v>
      </c>
      <c r="AT1190" t="s">
        <v>81</v>
      </c>
      <c r="AU1190">
        <v>8.9600000000000009</v>
      </c>
      <c r="AV1190">
        <v>34.369999999999997</v>
      </c>
      <c r="AW1190" t="s">
        <v>82</v>
      </c>
      <c r="AX1190">
        <v>315</v>
      </c>
      <c r="AY1190" t="s">
        <v>81</v>
      </c>
      <c r="AZ1190">
        <v>-1.56</v>
      </c>
      <c r="BA1190">
        <v>37.04</v>
      </c>
      <c r="BB1190" t="s">
        <v>83</v>
      </c>
    </row>
    <row r="1191" spans="1:54" x14ac:dyDescent="0.4">
      <c r="A1191">
        <v>149277</v>
      </c>
      <c r="D1191" t="s">
        <v>54</v>
      </c>
      <c r="E1191" t="s">
        <v>152</v>
      </c>
      <c r="I1191" t="s">
        <v>57</v>
      </c>
      <c r="K1191" t="s">
        <v>58</v>
      </c>
      <c r="L1191" t="s">
        <v>97</v>
      </c>
      <c r="M1191" t="s">
        <v>60</v>
      </c>
      <c r="P1191" t="s">
        <v>135</v>
      </c>
      <c r="R1191" t="s">
        <v>63</v>
      </c>
      <c r="S1191" t="s">
        <v>64</v>
      </c>
      <c r="T1191">
        <v>237</v>
      </c>
      <c r="U1191">
        <v>227</v>
      </c>
      <c r="V1191">
        <f t="shared" si="36"/>
        <v>232</v>
      </c>
      <c r="W1191">
        <f t="shared" si="37"/>
        <v>10</v>
      </c>
      <c r="X1191">
        <v>-2.4500000000000002</v>
      </c>
      <c r="Y1191">
        <v>51.616669000000002</v>
      </c>
      <c r="Z1191" t="s">
        <v>158</v>
      </c>
      <c r="AA1191" t="s">
        <v>91</v>
      </c>
      <c r="AB1191" t="s">
        <v>92</v>
      </c>
      <c r="AC1191" t="s">
        <v>136</v>
      </c>
      <c r="AH1191" t="s">
        <v>11</v>
      </c>
      <c r="AI1191" t="s">
        <v>137</v>
      </c>
      <c r="AJ1191">
        <v>1983</v>
      </c>
      <c r="AK1191" t="s">
        <v>162</v>
      </c>
      <c r="AM1191" t="s">
        <v>156</v>
      </c>
      <c r="AN1191" t="s">
        <v>114</v>
      </c>
      <c r="AO1191" t="s">
        <v>160</v>
      </c>
      <c r="AP1191" t="s">
        <v>78</v>
      </c>
      <c r="AQ1191" t="s">
        <v>161</v>
      </c>
      <c r="AR1191" t="s">
        <v>80</v>
      </c>
      <c r="AS1191">
        <v>315</v>
      </c>
      <c r="AT1191" t="s">
        <v>81</v>
      </c>
      <c r="AU1191">
        <v>8.9600000000000009</v>
      </c>
      <c r="AV1191">
        <v>34.369999999999997</v>
      </c>
      <c r="AW1191" t="s">
        <v>82</v>
      </c>
      <c r="AX1191">
        <v>315</v>
      </c>
      <c r="AY1191" t="s">
        <v>81</v>
      </c>
      <c r="AZ1191">
        <v>-1.56</v>
      </c>
      <c r="BA1191">
        <v>37.04</v>
      </c>
      <c r="BB1191" t="s">
        <v>83</v>
      </c>
    </row>
    <row r="1192" spans="1:54" x14ac:dyDescent="0.4">
      <c r="A1192">
        <v>149278</v>
      </c>
      <c r="D1192" t="s">
        <v>54</v>
      </c>
      <c r="E1192" t="s">
        <v>152</v>
      </c>
      <c r="I1192" t="s">
        <v>57</v>
      </c>
      <c r="K1192" t="s">
        <v>141</v>
      </c>
      <c r="L1192" t="s">
        <v>148</v>
      </c>
      <c r="M1192" t="s">
        <v>60</v>
      </c>
      <c r="P1192" t="s">
        <v>135</v>
      </c>
      <c r="R1192" t="s">
        <v>63</v>
      </c>
      <c r="S1192" t="s">
        <v>64</v>
      </c>
      <c r="T1192">
        <v>237</v>
      </c>
      <c r="U1192">
        <v>227</v>
      </c>
      <c r="V1192">
        <f t="shared" si="36"/>
        <v>232</v>
      </c>
      <c r="W1192">
        <f t="shared" si="37"/>
        <v>10</v>
      </c>
      <c r="X1192">
        <v>-2.4500000000000002</v>
      </c>
      <c r="Y1192">
        <v>51.616669000000002</v>
      </c>
      <c r="Z1192" t="s">
        <v>158</v>
      </c>
      <c r="AA1192" t="s">
        <v>91</v>
      </c>
      <c r="AB1192" t="s">
        <v>92</v>
      </c>
      <c r="AC1192" t="s">
        <v>136</v>
      </c>
      <c r="AH1192" t="s">
        <v>11</v>
      </c>
      <c r="AI1192" t="s">
        <v>137</v>
      </c>
      <c r="AJ1192">
        <v>1983</v>
      </c>
      <c r="AK1192" t="s">
        <v>163</v>
      </c>
      <c r="AM1192" t="s">
        <v>156</v>
      </c>
      <c r="AN1192" t="s">
        <v>114</v>
      </c>
      <c r="AO1192" t="s">
        <v>160</v>
      </c>
      <c r="AP1192" t="s">
        <v>78</v>
      </c>
      <c r="AQ1192" t="s">
        <v>161</v>
      </c>
      <c r="AR1192" t="s">
        <v>80</v>
      </c>
      <c r="AS1192">
        <v>315</v>
      </c>
      <c r="AT1192" t="s">
        <v>81</v>
      </c>
      <c r="AU1192">
        <v>8.9600000000000009</v>
      </c>
      <c r="AV1192">
        <v>34.369999999999997</v>
      </c>
      <c r="AW1192" t="s">
        <v>82</v>
      </c>
      <c r="AX1192">
        <v>315</v>
      </c>
      <c r="AY1192" t="s">
        <v>81</v>
      </c>
      <c r="AZ1192">
        <v>-1.56</v>
      </c>
      <c r="BA1192">
        <v>37.04</v>
      </c>
      <c r="BB1192" t="s">
        <v>83</v>
      </c>
    </row>
    <row r="1193" spans="1:54" x14ac:dyDescent="0.4">
      <c r="A1193">
        <v>149279</v>
      </c>
      <c r="D1193" t="s">
        <v>54</v>
      </c>
      <c r="E1193" t="s">
        <v>152</v>
      </c>
      <c r="I1193" t="s">
        <v>57</v>
      </c>
      <c r="K1193" t="s">
        <v>132</v>
      </c>
      <c r="L1193" t="s">
        <v>133</v>
      </c>
      <c r="M1193" t="s">
        <v>60</v>
      </c>
      <c r="N1193" t="s">
        <v>119</v>
      </c>
      <c r="O1193" t="s">
        <v>134</v>
      </c>
      <c r="P1193" t="s">
        <v>135</v>
      </c>
      <c r="R1193" t="s">
        <v>63</v>
      </c>
      <c r="S1193" t="s">
        <v>64</v>
      </c>
      <c r="T1193">
        <v>237</v>
      </c>
      <c r="U1193">
        <v>227</v>
      </c>
      <c r="V1193">
        <f t="shared" si="36"/>
        <v>232</v>
      </c>
      <c r="W1193">
        <f t="shared" si="37"/>
        <v>10</v>
      </c>
      <c r="X1193">
        <v>-2.4500000000000002</v>
      </c>
      <c r="Y1193">
        <v>51.616669000000002</v>
      </c>
      <c r="Z1193" t="s">
        <v>158</v>
      </c>
      <c r="AA1193" t="s">
        <v>91</v>
      </c>
      <c r="AB1193" t="s">
        <v>92</v>
      </c>
      <c r="AC1193" t="s">
        <v>136</v>
      </c>
      <c r="AH1193" t="s">
        <v>11</v>
      </c>
      <c r="AI1193" t="s">
        <v>137</v>
      </c>
      <c r="AJ1193">
        <v>1983</v>
      </c>
      <c r="AK1193" t="s">
        <v>163</v>
      </c>
      <c r="AM1193" t="s">
        <v>156</v>
      </c>
      <c r="AN1193" t="s">
        <v>114</v>
      </c>
      <c r="AO1193" t="s">
        <v>160</v>
      </c>
      <c r="AP1193" t="s">
        <v>78</v>
      </c>
      <c r="AQ1193" t="s">
        <v>161</v>
      </c>
      <c r="AR1193" t="s">
        <v>80</v>
      </c>
      <c r="AS1193">
        <v>315</v>
      </c>
      <c r="AT1193" t="s">
        <v>81</v>
      </c>
      <c r="AU1193">
        <v>8.9600000000000009</v>
      </c>
      <c r="AV1193">
        <v>34.369999999999997</v>
      </c>
      <c r="AW1193" t="s">
        <v>82</v>
      </c>
      <c r="AX1193">
        <v>315</v>
      </c>
      <c r="AY1193" t="s">
        <v>81</v>
      </c>
      <c r="AZ1193">
        <v>-1.56</v>
      </c>
      <c r="BA1193">
        <v>37.04</v>
      </c>
      <c r="BB1193" t="s">
        <v>83</v>
      </c>
    </row>
    <row r="1194" spans="1:54" x14ac:dyDescent="0.4">
      <c r="A1194">
        <v>149283</v>
      </c>
      <c r="D1194" t="s">
        <v>54</v>
      </c>
      <c r="E1194" t="s">
        <v>152</v>
      </c>
      <c r="I1194" t="s">
        <v>57</v>
      </c>
      <c r="K1194" t="s">
        <v>149</v>
      </c>
      <c r="L1194" t="s">
        <v>150</v>
      </c>
      <c r="M1194" t="s">
        <v>60</v>
      </c>
      <c r="P1194" t="s">
        <v>135</v>
      </c>
      <c r="R1194" t="s">
        <v>63</v>
      </c>
      <c r="S1194" t="s">
        <v>64</v>
      </c>
      <c r="T1194">
        <v>237</v>
      </c>
      <c r="U1194">
        <v>227</v>
      </c>
      <c r="V1194">
        <f t="shared" si="36"/>
        <v>232</v>
      </c>
      <c r="W1194">
        <f t="shared" si="37"/>
        <v>10</v>
      </c>
      <c r="X1194">
        <v>-2.4500000000000002</v>
      </c>
      <c r="Y1194">
        <v>51.616669000000002</v>
      </c>
      <c r="Z1194" t="s">
        <v>158</v>
      </c>
      <c r="AA1194" t="s">
        <v>91</v>
      </c>
      <c r="AB1194" t="s">
        <v>92</v>
      </c>
      <c r="AC1194" t="s">
        <v>136</v>
      </c>
      <c r="AH1194" t="s">
        <v>11</v>
      </c>
      <c r="AI1194" t="s">
        <v>137</v>
      </c>
      <c r="AJ1194">
        <v>1983</v>
      </c>
      <c r="AK1194" t="s">
        <v>163</v>
      </c>
      <c r="AM1194" t="s">
        <v>156</v>
      </c>
      <c r="AN1194" t="s">
        <v>114</v>
      </c>
      <c r="AO1194" t="s">
        <v>160</v>
      </c>
      <c r="AP1194" t="s">
        <v>78</v>
      </c>
      <c r="AQ1194" t="s">
        <v>161</v>
      </c>
      <c r="AR1194" t="s">
        <v>80</v>
      </c>
      <c r="AS1194">
        <v>315</v>
      </c>
      <c r="AT1194" t="s">
        <v>81</v>
      </c>
      <c r="AU1194">
        <v>8.9600000000000009</v>
      </c>
      <c r="AV1194">
        <v>34.369999999999997</v>
      </c>
      <c r="AW1194" t="s">
        <v>82</v>
      </c>
      <c r="AX1194">
        <v>315</v>
      </c>
      <c r="AY1194" t="s">
        <v>81</v>
      </c>
      <c r="AZ1194">
        <v>-1.56</v>
      </c>
      <c r="BA1194">
        <v>37.04</v>
      </c>
      <c r="BB1194" t="s">
        <v>83</v>
      </c>
    </row>
    <row r="1195" spans="1:54" x14ac:dyDescent="0.4">
      <c r="A1195">
        <v>149284</v>
      </c>
      <c r="D1195" t="s">
        <v>54</v>
      </c>
      <c r="E1195" t="s">
        <v>152</v>
      </c>
      <c r="I1195" t="s">
        <v>57</v>
      </c>
      <c r="K1195" t="s">
        <v>58</v>
      </c>
      <c r="L1195" t="s">
        <v>97</v>
      </c>
      <c r="M1195" t="s">
        <v>60</v>
      </c>
      <c r="P1195" t="s">
        <v>135</v>
      </c>
      <c r="R1195" t="s">
        <v>63</v>
      </c>
      <c r="S1195" t="s">
        <v>64</v>
      </c>
      <c r="T1195">
        <v>237</v>
      </c>
      <c r="U1195">
        <v>227</v>
      </c>
      <c r="V1195">
        <f t="shared" si="36"/>
        <v>232</v>
      </c>
      <c r="W1195">
        <f t="shared" si="37"/>
        <v>10</v>
      </c>
      <c r="X1195">
        <v>-2.4500000000000002</v>
      </c>
      <c r="Y1195">
        <v>51.616669000000002</v>
      </c>
      <c r="Z1195" t="s">
        <v>158</v>
      </c>
      <c r="AA1195" t="s">
        <v>91</v>
      </c>
      <c r="AB1195" t="s">
        <v>92</v>
      </c>
      <c r="AC1195" t="s">
        <v>136</v>
      </c>
      <c r="AH1195" t="s">
        <v>11</v>
      </c>
      <c r="AI1195" t="s">
        <v>137</v>
      </c>
      <c r="AJ1195">
        <v>1983</v>
      </c>
      <c r="AK1195" t="s">
        <v>163</v>
      </c>
      <c r="AM1195" t="s">
        <v>156</v>
      </c>
      <c r="AN1195" t="s">
        <v>114</v>
      </c>
      <c r="AO1195" t="s">
        <v>160</v>
      </c>
      <c r="AP1195" t="s">
        <v>78</v>
      </c>
      <c r="AQ1195" t="s">
        <v>161</v>
      </c>
      <c r="AR1195" t="s">
        <v>80</v>
      </c>
      <c r="AS1195">
        <v>315</v>
      </c>
      <c r="AT1195" t="s">
        <v>81</v>
      </c>
      <c r="AU1195">
        <v>8.9600000000000009</v>
      </c>
      <c r="AV1195">
        <v>34.369999999999997</v>
      </c>
      <c r="AW1195" t="s">
        <v>82</v>
      </c>
      <c r="AX1195">
        <v>315</v>
      </c>
      <c r="AY1195" t="s">
        <v>81</v>
      </c>
      <c r="AZ1195">
        <v>-1.56</v>
      </c>
      <c r="BA1195">
        <v>37.04</v>
      </c>
      <c r="BB1195" t="s">
        <v>83</v>
      </c>
    </row>
    <row r="1196" spans="1:54" x14ac:dyDescent="0.4">
      <c r="A1196">
        <v>149285</v>
      </c>
      <c r="D1196" t="s">
        <v>54</v>
      </c>
      <c r="E1196" t="s">
        <v>152</v>
      </c>
      <c r="I1196" t="s">
        <v>57</v>
      </c>
      <c r="K1196" t="s">
        <v>141</v>
      </c>
      <c r="L1196" t="s">
        <v>148</v>
      </c>
      <c r="M1196" t="s">
        <v>60</v>
      </c>
      <c r="P1196" t="s">
        <v>135</v>
      </c>
      <c r="R1196" t="s">
        <v>63</v>
      </c>
      <c r="S1196" t="s">
        <v>64</v>
      </c>
      <c r="T1196">
        <v>237</v>
      </c>
      <c r="U1196">
        <v>227</v>
      </c>
      <c r="V1196">
        <f t="shared" si="36"/>
        <v>232</v>
      </c>
      <c r="W1196">
        <f t="shared" si="37"/>
        <v>10</v>
      </c>
      <c r="X1196">
        <v>-2.4500000000000002</v>
      </c>
      <c r="Y1196">
        <v>51.616669000000002</v>
      </c>
      <c r="Z1196" t="s">
        <v>158</v>
      </c>
      <c r="AA1196" t="s">
        <v>91</v>
      </c>
      <c r="AB1196" t="s">
        <v>92</v>
      </c>
      <c r="AC1196" t="s">
        <v>136</v>
      </c>
      <c r="AH1196" t="s">
        <v>11</v>
      </c>
      <c r="AI1196" t="s">
        <v>137</v>
      </c>
      <c r="AJ1196">
        <v>1983</v>
      </c>
      <c r="AK1196" t="s">
        <v>164</v>
      </c>
      <c r="AM1196" t="s">
        <v>156</v>
      </c>
      <c r="AN1196" t="s">
        <v>114</v>
      </c>
      <c r="AO1196" t="s">
        <v>160</v>
      </c>
      <c r="AP1196" t="s">
        <v>78</v>
      </c>
      <c r="AQ1196" t="s">
        <v>161</v>
      </c>
      <c r="AR1196" t="s">
        <v>80</v>
      </c>
      <c r="AS1196">
        <v>315</v>
      </c>
      <c r="AT1196" t="s">
        <v>81</v>
      </c>
      <c r="AU1196">
        <v>8.9600000000000009</v>
      </c>
      <c r="AV1196">
        <v>34.369999999999997</v>
      </c>
      <c r="AW1196" t="s">
        <v>82</v>
      </c>
      <c r="AX1196">
        <v>315</v>
      </c>
      <c r="AY1196" t="s">
        <v>81</v>
      </c>
      <c r="AZ1196">
        <v>-1.56</v>
      </c>
      <c r="BA1196">
        <v>37.04</v>
      </c>
      <c r="BB1196" t="s">
        <v>83</v>
      </c>
    </row>
    <row r="1197" spans="1:54" x14ac:dyDescent="0.4">
      <c r="A1197">
        <v>149286</v>
      </c>
      <c r="D1197" t="s">
        <v>54</v>
      </c>
      <c r="E1197" t="s">
        <v>152</v>
      </c>
      <c r="I1197" t="s">
        <v>57</v>
      </c>
      <c r="K1197" t="s">
        <v>132</v>
      </c>
      <c r="L1197" t="s">
        <v>133</v>
      </c>
      <c r="M1197" t="s">
        <v>60</v>
      </c>
      <c r="N1197" t="s">
        <v>119</v>
      </c>
      <c r="O1197" t="s">
        <v>134</v>
      </c>
      <c r="P1197" t="s">
        <v>135</v>
      </c>
      <c r="R1197" t="s">
        <v>63</v>
      </c>
      <c r="S1197" t="s">
        <v>64</v>
      </c>
      <c r="T1197">
        <v>237</v>
      </c>
      <c r="U1197">
        <v>227</v>
      </c>
      <c r="V1197">
        <f t="shared" si="36"/>
        <v>232</v>
      </c>
      <c r="W1197">
        <f t="shared" si="37"/>
        <v>10</v>
      </c>
      <c r="X1197">
        <v>-2.4500000000000002</v>
      </c>
      <c r="Y1197">
        <v>51.616669000000002</v>
      </c>
      <c r="Z1197" t="s">
        <v>158</v>
      </c>
      <c r="AA1197" t="s">
        <v>91</v>
      </c>
      <c r="AB1197" t="s">
        <v>92</v>
      </c>
      <c r="AC1197" t="s">
        <v>136</v>
      </c>
      <c r="AH1197" t="s">
        <v>11</v>
      </c>
      <c r="AI1197" t="s">
        <v>137</v>
      </c>
      <c r="AJ1197">
        <v>1983</v>
      </c>
      <c r="AK1197" t="s">
        <v>164</v>
      </c>
      <c r="AM1197" t="s">
        <v>156</v>
      </c>
      <c r="AN1197" t="s">
        <v>114</v>
      </c>
      <c r="AO1197" t="s">
        <v>160</v>
      </c>
      <c r="AP1197" t="s">
        <v>78</v>
      </c>
      <c r="AQ1197" t="s">
        <v>161</v>
      </c>
      <c r="AR1197" t="s">
        <v>80</v>
      </c>
      <c r="AS1197">
        <v>315</v>
      </c>
      <c r="AT1197" t="s">
        <v>81</v>
      </c>
      <c r="AU1197">
        <v>8.9600000000000009</v>
      </c>
      <c r="AV1197">
        <v>34.369999999999997</v>
      </c>
      <c r="AW1197" t="s">
        <v>82</v>
      </c>
      <c r="AX1197">
        <v>315</v>
      </c>
      <c r="AY1197" t="s">
        <v>81</v>
      </c>
      <c r="AZ1197">
        <v>-1.56</v>
      </c>
      <c r="BA1197">
        <v>37.04</v>
      </c>
      <c r="BB1197" t="s">
        <v>83</v>
      </c>
    </row>
    <row r="1198" spans="1:54" x14ac:dyDescent="0.4">
      <c r="A1198">
        <v>149289</v>
      </c>
      <c r="D1198" t="s">
        <v>54</v>
      </c>
      <c r="E1198" t="s">
        <v>152</v>
      </c>
      <c r="I1198" t="s">
        <v>57</v>
      </c>
      <c r="K1198" t="s">
        <v>149</v>
      </c>
      <c r="L1198" t="s">
        <v>150</v>
      </c>
      <c r="M1198" t="s">
        <v>60</v>
      </c>
      <c r="P1198" t="s">
        <v>135</v>
      </c>
      <c r="R1198" t="s">
        <v>63</v>
      </c>
      <c r="S1198" t="s">
        <v>64</v>
      </c>
      <c r="T1198">
        <v>237</v>
      </c>
      <c r="U1198">
        <v>227</v>
      </c>
      <c r="V1198">
        <f t="shared" si="36"/>
        <v>232</v>
      </c>
      <c r="W1198">
        <f t="shared" si="37"/>
        <v>10</v>
      </c>
      <c r="X1198">
        <v>-2.4500000000000002</v>
      </c>
      <c r="Y1198">
        <v>51.616669000000002</v>
      </c>
      <c r="Z1198" t="s">
        <v>158</v>
      </c>
      <c r="AA1198" t="s">
        <v>91</v>
      </c>
      <c r="AB1198" t="s">
        <v>92</v>
      </c>
      <c r="AC1198" t="s">
        <v>136</v>
      </c>
      <c r="AH1198" t="s">
        <v>11</v>
      </c>
      <c r="AI1198" t="s">
        <v>137</v>
      </c>
      <c r="AJ1198">
        <v>1983</v>
      </c>
      <c r="AK1198" t="s">
        <v>164</v>
      </c>
      <c r="AM1198" t="s">
        <v>156</v>
      </c>
      <c r="AN1198" t="s">
        <v>114</v>
      </c>
      <c r="AO1198" t="s">
        <v>160</v>
      </c>
      <c r="AP1198" t="s">
        <v>78</v>
      </c>
      <c r="AQ1198" t="s">
        <v>161</v>
      </c>
      <c r="AR1198" t="s">
        <v>80</v>
      </c>
      <c r="AS1198">
        <v>315</v>
      </c>
      <c r="AT1198" t="s">
        <v>81</v>
      </c>
      <c r="AU1198">
        <v>8.9600000000000009</v>
      </c>
      <c r="AV1198">
        <v>34.369999999999997</v>
      </c>
      <c r="AW1198" t="s">
        <v>82</v>
      </c>
      <c r="AX1198">
        <v>315</v>
      </c>
      <c r="AY1198" t="s">
        <v>81</v>
      </c>
      <c r="AZ1198">
        <v>-1.56</v>
      </c>
      <c r="BA1198">
        <v>37.04</v>
      </c>
      <c r="BB1198" t="s">
        <v>83</v>
      </c>
    </row>
    <row r="1199" spans="1:54" x14ac:dyDescent="0.4">
      <c r="A1199">
        <v>149290</v>
      </c>
      <c r="D1199" t="s">
        <v>54</v>
      </c>
      <c r="E1199" t="s">
        <v>152</v>
      </c>
      <c r="I1199" t="s">
        <v>57</v>
      </c>
      <c r="K1199" t="s">
        <v>141</v>
      </c>
      <c r="L1199" t="s">
        <v>148</v>
      </c>
      <c r="M1199" t="s">
        <v>60</v>
      </c>
      <c r="P1199" t="s">
        <v>135</v>
      </c>
      <c r="R1199" t="s">
        <v>63</v>
      </c>
      <c r="S1199" t="s">
        <v>64</v>
      </c>
      <c r="T1199">
        <v>237</v>
      </c>
      <c r="U1199">
        <v>227</v>
      </c>
      <c r="V1199">
        <f t="shared" si="36"/>
        <v>232</v>
      </c>
      <c r="W1199">
        <f t="shared" si="37"/>
        <v>10</v>
      </c>
      <c r="X1199">
        <v>-2.4283329999999999</v>
      </c>
      <c r="Y1199">
        <v>51.623055000000001</v>
      </c>
      <c r="Z1199" t="s">
        <v>90</v>
      </c>
      <c r="AA1199" t="s">
        <v>91</v>
      </c>
      <c r="AB1199" t="s">
        <v>92</v>
      </c>
      <c r="AC1199" t="s">
        <v>136</v>
      </c>
      <c r="AH1199" t="s">
        <v>72</v>
      </c>
      <c r="AI1199" t="s">
        <v>143</v>
      </c>
      <c r="AJ1199">
        <v>1994</v>
      </c>
      <c r="AK1199" t="s">
        <v>165</v>
      </c>
      <c r="AM1199" t="s">
        <v>156</v>
      </c>
      <c r="AN1199" t="s">
        <v>76</v>
      </c>
      <c r="AO1199" t="s">
        <v>77</v>
      </c>
      <c r="AP1199" t="s">
        <v>115</v>
      </c>
      <c r="AQ1199" t="s">
        <v>145</v>
      </c>
      <c r="AR1199" t="s">
        <v>80</v>
      </c>
      <c r="AS1199">
        <v>315</v>
      </c>
      <c r="AT1199" t="s">
        <v>81</v>
      </c>
      <c r="AU1199">
        <v>8.9700000000000006</v>
      </c>
      <c r="AV1199">
        <v>34.380000000000003</v>
      </c>
      <c r="AW1199" t="s">
        <v>82</v>
      </c>
      <c r="AX1199">
        <v>315</v>
      </c>
      <c r="AY1199" t="s">
        <v>81</v>
      </c>
      <c r="AZ1199">
        <v>-1.55</v>
      </c>
      <c r="BA1199">
        <v>37.049999999999997</v>
      </c>
      <c r="BB1199" t="s">
        <v>83</v>
      </c>
    </row>
    <row r="1200" spans="1:54" x14ac:dyDescent="0.4">
      <c r="A1200">
        <v>149293</v>
      </c>
      <c r="D1200" t="s">
        <v>54</v>
      </c>
      <c r="E1200" t="s">
        <v>152</v>
      </c>
      <c r="I1200" t="s">
        <v>57</v>
      </c>
      <c r="K1200" t="s">
        <v>141</v>
      </c>
      <c r="L1200" t="s">
        <v>148</v>
      </c>
      <c r="M1200" t="s">
        <v>60</v>
      </c>
      <c r="P1200" t="s">
        <v>135</v>
      </c>
      <c r="R1200" t="s">
        <v>63</v>
      </c>
      <c r="S1200" t="s">
        <v>64</v>
      </c>
      <c r="T1200">
        <v>237</v>
      </c>
      <c r="U1200">
        <v>227</v>
      </c>
      <c r="V1200">
        <f t="shared" si="36"/>
        <v>232</v>
      </c>
      <c r="W1200">
        <f t="shared" si="37"/>
        <v>10</v>
      </c>
      <c r="X1200">
        <v>-2.4283329999999999</v>
      </c>
      <c r="Y1200">
        <v>51.623055000000001</v>
      </c>
      <c r="Z1200" t="s">
        <v>90</v>
      </c>
      <c r="AA1200" t="s">
        <v>91</v>
      </c>
      <c r="AB1200" t="s">
        <v>92</v>
      </c>
      <c r="AC1200" t="s">
        <v>136</v>
      </c>
      <c r="AH1200" t="s">
        <v>72</v>
      </c>
      <c r="AI1200" t="s">
        <v>143</v>
      </c>
      <c r="AJ1200">
        <v>1994</v>
      </c>
      <c r="AK1200" t="s">
        <v>166</v>
      </c>
      <c r="AM1200" t="s">
        <v>156</v>
      </c>
      <c r="AN1200" t="s">
        <v>76</v>
      </c>
      <c r="AO1200" t="s">
        <v>77</v>
      </c>
      <c r="AP1200" t="s">
        <v>115</v>
      </c>
      <c r="AQ1200" t="s">
        <v>145</v>
      </c>
      <c r="AR1200" t="s">
        <v>80</v>
      </c>
      <c r="AS1200">
        <v>315</v>
      </c>
      <c r="AT1200" t="s">
        <v>81</v>
      </c>
      <c r="AU1200">
        <v>8.9700000000000006</v>
      </c>
      <c r="AV1200">
        <v>34.380000000000003</v>
      </c>
      <c r="AW1200" t="s">
        <v>82</v>
      </c>
      <c r="AX1200">
        <v>315</v>
      </c>
      <c r="AY1200" t="s">
        <v>81</v>
      </c>
      <c r="AZ1200">
        <v>-1.55</v>
      </c>
      <c r="BA1200">
        <v>37.049999999999997</v>
      </c>
      <c r="BB1200" t="s">
        <v>83</v>
      </c>
    </row>
    <row r="1201" spans="1:54" x14ac:dyDescent="0.4">
      <c r="A1201">
        <v>149294</v>
      </c>
      <c r="D1201" t="s">
        <v>54</v>
      </c>
      <c r="E1201" t="s">
        <v>152</v>
      </c>
      <c r="I1201" t="s">
        <v>57</v>
      </c>
      <c r="K1201" t="s">
        <v>132</v>
      </c>
      <c r="L1201" t="s">
        <v>133</v>
      </c>
      <c r="M1201" t="s">
        <v>60</v>
      </c>
      <c r="N1201" t="s">
        <v>119</v>
      </c>
      <c r="O1201" t="s">
        <v>134</v>
      </c>
      <c r="P1201" t="s">
        <v>135</v>
      </c>
      <c r="R1201" t="s">
        <v>63</v>
      </c>
      <c r="S1201" t="s">
        <v>64</v>
      </c>
      <c r="T1201">
        <v>237</v>
      </c>
      <c r="U1201">
        <v>227</v>
      </c>
      <c r="V1201">
        <f t="shared" si="36"/>
        <v>232</v>
      </c>
      <c r="W1201">
        <f t="shared" si="37"/>
        <v>10</v>
      </c>
      <c r="X1201">
        <v>-2.4283329999999999</v>
      </c>
      <c r="Y1201">
        <v>51.623055000000001</v>
      </c>
      <c r="Z1201" t="s">
        <v>90</v>
      </c>
      <c r="AA1201" t="s">
        <v>91</v>
      </c>
      <c r="AB1201" t="s">
        <v>92</v>
      </c>
      <c r="AC1201" t="s">
        <v>136</v>
      </c>
      <c r="AH1201" t="s">
        <v>72</v>
      </c>
      <c r="AI1201" t="s">
        <v>143</v>
      </c>
      <c r="AJ1201">
        <v>1994</v>
      </c>
      <c r="AK1201" t="s">
        <v>166</v>
      </c>
      <c r="AM1201" t="s">
        <v>156</v>
      </c>
      <c r="AN1201" t="s">
        <v>76</v>
      </c>
      <c r="AO1201" t="s">
        <v>77</v>
      </c>
      <c r="AP1201" t="s">
        <v>115</v>
      </c>
      <c r="AQ1201" t="s">
        <v>145</v>
      </c>
      <c r="AR1201" t="s">
        <v>80</v>
      </c>
      <c r="AS1201">
        <v>315</v>
      </c>
      <c r="AT1201" t="s">
        <v>81</v>
      </c>
      <c r="AU1201">
        <v>8.9700000000000006</v>
      </c>
      <c r="AV1201">
        <v>34.380000000000003</v>
      </c>
      <c r="AW1201" t="s">
        <v>82</v>
      </c>
      <c r="AX1201">
        <v>315</v>
      </c>
      <c r="AY1201" t="s">
        <v>81</v>
      </c>
      <c r="AZ1201">
        <v>-1.55</v>
      </c>
      <c r="BA1201">
        <v>37.049999999999997</v>
      </c>
      <c r="BB1201" t="s">
        <v>83</v>
      </c>
    </row>
    <row r="1202" spans="1:54" x14ac:dyDescent="0.4">
      <c r="A1202">
        <v>149295</v>
      </c>
      <c r="D1202" t="s">
        <v>54</v>
      </c>
      <c r="E1202" t="s">
        <v>152</v>
      </c>
      <c r="I1202" t="s">
        <v>57</v>
      </c>
      <c r="K1202" t="s">
        <v>141</v>
      </c>
      <c r="L1202" t="s">
        <v>146</v>
      </c>
      <c r="M1202" t="s">
        <v>60</v>
      </c>
      <c r="O1202" t="s">
        <v>87</v>
      </c>
      <c r="P1202" t="s">
        <v>135</v>
      </c>
      <c r="R1202" t="s">
        <v>63</v>
      </c>
      <c r="S1202" t="s">
        <v>64</v>
      </c>
      <c r="T1202">
        <v>237</v>
      </c>
      <c r="U1202">
        <v>227</v>
      </c>
      <c r="V1202">
        <f t="shared" si="36"/>
        <v>232</v>
      </c>
      <c r="W1202">
        <f t="shared" si="37"/>
        <v>10</v>
      </c>
      <c r="X1202">
        <v>-2.4283329999999999</v>
      </c>
      <c r="Y1202">
        <v>51.623055000000001</v>
      </c>
      <c r="Z1202" t="s">
        <v>90</v>
      </c>
      <c r="AA1202" t="s">
        <v>91</v>
      </c>
      <c r="AB1202" t="s">
        <v>92</v>
      </c>
      <c r="AC1202" t="s">
        <v>136</v>
      </c>
      <c r="AH1202" t="s">
        <v>11</v>
      </c>
      <c r="AI1202" t="s">
        <v>147</v>
      </c>
      <c r="AJ1202">
        <v>2008</v>
      </c>
      <c r="AK1202" t="s">
        <v>166</v>
      </c>
      <c r="AM1202" t="s">
        <v>156</v>
      </c>
      <c r="AN1202" t="s">
        <v>76</v>
      </c>
      <c r="AO1202" t="s">
        <v>77</v>
      </c>
      <c r="AP1202" t="s">
        <v>115</v>
      </c>
      <c r="AQ1202" t="s">
        <v>145</v>
      </c>
      <c r="AR1202" t="s">
        <v>80</v>
      </c>
      <c r="AS1202">
        <v>315</v>
      </c>
      <c r="AT1202" t="s">
        <v>81</v>
      </c>
      <c r="AU1202">
        <v>8.9700000000000006</v>
      </c>
      <c r="AV1202">
        <v>34.380000000000003</v>
      </c>
      <c r="AW1202" t="s">
        <v>82</v>
      </c>
      <c r="AX1202">
        <v>315</v>
      </c>
      <c r="AY1202" t="s">
        <v>81</v>
      </c>
      <c r="AZ1202">
        <v>-1.55</v>
      </c>
      <c r="BA1202">
        <v>37.049999999999997</v>
      </c>
      <c r="BB1202" t="s">
        <v>83</v>
      </c>
    </row>
    <row r="1203" spans="1:54" x14ac:dyDescent="0.4">
      <c r="A1203">
        <v>149296</v>
      </c>
      <c r="D1203" t="s">
        <v>54</v>
      </c>
      <c r="E1203" t="s">
        <v>152</v>
      </c>
      <c r="I1203" t="s">
        <v>57</v>
      </c>
      <c r="K1203" t="s">
        <v>141</v>
      </c>
      <c r="L1203" t="s">
        <v>142</v>
      </c>
      <c r="M1203" t="s">
        <v>60</v>
      </c>
      <c r="P1203" t="s">
        <v>135</v>
      </c>
      <c r="R1203" t="s">
        <v>63</v>
      </c>
      <c r="S1203" t="s">
        <v>64</v>
      </c>
      <c r="T1203">
        <v>237</v>
      </c>
      <c r="U1203">
        <v>227</v>
      </c>
      <c r="V1203">
        <f t="shared" si="36"/>
        <v>232</v>
      </c>
      <c r="W1203">
        <f t="shared" si="37"/>
        <v>10</v>
      </c>
      <c r="X1203">
        <v>-2.4283329999999999</v>
      </c>
      <c r="Y1203">
        <v>51.623055000000001</v>
      </c>
      <c r="Z1203" t="s">
        <v>90</v>
      </c>
      <c r="AA1203" t="s">
        <v>91</v>
      </c>
      <c r="AB1203" t="s">
        <v>92</v>
      </c>
      <c r="AC1203" t="s">
        <v>136</v>
      </c>
      <c r="AH1203" t="s">
        <v>11</v>
      </c>
      <c r="AI1203" t="s">
        <v>143</v>
      </c>
      <c r="AJ1203">
        <v>1994</v>
      </c>
      <c r="AK1203" t="s">
        <v>166</v>
      </c>
      <c r="AM1203" t="s">
        <v>156</v>
      </c>
      <c r="AN1203" t="s">
        <v>76</v>
      </c>
      <c r="AO1203" t="s">
        <v>77</v>
      </c>
      <c r="AP1203" t="s">
        <v>115</v>
      </c>
      <c r="AQ1203" t="s">
        <v>145</v>
      </c>
      <c r="AR1203" t="s">
        <v>80</v>
      </c>
      <c r="AS1203">
        <v>315</v>
      </c>
      <c r="AT1203" t="s">
        <v>81</v>
      </c>
      <c r="AU1203">
        <v>8.9700000000000006</v>
      </c>
      <c r="AV1203">
        <v>34.380000000000003</v>
      </c>
      <c r="AW1203" t="s">
        <v>82</v>
      </c>
      <c r="AX1203">
        <v>315</v>
      </c>
      <c r="AY1203" t="s">
        <v>81</v>
      </c>
      <c r="AZ1203">
        <v>-1.55</v>
      </c>
      <c r="BA1203">
        <v>37.049999999999997</v>
      </c>
      <c r="BB1203" t="s">
        <v>83</v>
      </c>
    </row>
    <row r="1204" spans="1:54" x14ac:dyDescent="0.4">
      <c r="A1204">
        <v>256434</v>
      </c>
      <c r="D1204" t="s">
        <v>54</v>
      </c>
      <c r="E1204" t="s">
        <v>55</v>
      </c>
      <c r="G1204">
        <v>1</v>
      </c>
      <c r="H1204" t="s">
        <v>56</v>
      </c>
      <c r="I1204" t="s">
        <v>57</v>
      </c>
      <c r="K1204" t="s">
        <v>141</v>
      </c>
      <c r="L1204" t="s">
        <v>284</v>
      </c>
      <c r="M1204" t="s">
        <v>60</v>
      </c>
      <c r="P1204" t="s">
        <v>135</v>
      </c>
      <c r="R1204" t="s">
        <v>63</v>
      </c>
      <c r="S1204" t="s">
        <v>64</v>
      </c>
      <c r="T1204">
        <v>237</v>
      </c>
      <c r="U1204">
        <v>227</v>
      </c>
      <c r="V1204">
        <f t="shared" si="36"/>
        <v>232</v>
      </c>
      <c r="W1204">
        <f t="shared" si="37"/>
        <v>10</v>
      </c>
      <c r="X1204">
        <v>-68.904999000000004</v>
      </c>
      <c r="Y1204">
        <v>-31.101109999999998</v>
      </c>
      <c r="Z1204" t="s">
        <v>124</v>
      </c>
      <c r="AA1204" t="s">
        <v>185</v>
      </c>
      <c r="AB1204" t="s">
        <v>285</v>
      </c>
      <c r="AD1204" t="s">
        <v>286</v>
      </c>
      <c r="AF1204" t="s">
        <v>287</v>
      </c>
      <c r="AG1204" t="s">
        <v>288</v>
      </c>
      <c r="AH1204" t="s">
        <v>72</v>
      </c>
      <c r="AI1204" t="s">
        <v>289</v>
      </c>
      <c r="AJ1204">
        <v>1993</v>
      </c>
      <c r="AK1204" t="s">
        <v>290</v>
      </c>
      <c r="AM1204" t="s">
        <v>291</v>
      </c>
      <c r="AN1204" t="s">
        <v>76</v>
      </c>
      <c r="AO1204" t="s">
        <v>77</v>
      </c>
      <c r="AP1204" t="s">
        <v>115</v>
      </c>
      <c r="AQ1204" t="s">
        <v>292</v>
      </c>
      <c r="AR1204" t="s">
        <v>80</v>
      </c>
      <c r="AS1204">
        <v>291</v>
      </c>
      <c r="AT1204" t="s">
        <v>81</v>
      </c>
      <c r="AU1204">
        <v>-27.45</v>
      </c>
      <c r="AV1204">
        <v>-37.31</v>
      </c>
      <c r="AW1204" t="s">
        <v>82</v>
      </c>
      <c r="AX1204">
        <v>291</v>
      </c>
      <c r="AY1204" t="s">
        <v>81</v>
      </c>
      <c r="AZ1204">
        <v>-36.409999999999997</v>
      </c>
      <c r="BA1204">
        <v>-47.32</v>
      </c>
      <c r="BB1204" t="s">
        <v>83</v>
      </c>
    </row>
    <row r="1205" spans="1:54" x14ac:dyDescent="0.4">
      <c r="A1205">
        <v>256434</v>
      </c>
      <c r="D1205" t="s">
        <v>54</v>
      </c>
      <c r="E1205" t="s">
        <v>55</v>
      </c>
      <c r="G1205">
        <v>1</v>
      </c>
      <c r="H1205" t="s">
        <v>56</v>
      </c>
      <c r="I1205" t="s">
        <v>57</v>
      </c>
      <c r="K1205" t="s">
        <v>141</v>
      </c>
      <c r="L1205" t="s">
        <v>284</v>
      </c>
      <c r="M1205" t="s">
        <v>60</v>
      </c>
      <c r="P1205" t="s">
        <v>135</v>
      </c>
      <c r="R1205" t="s">
        <v>63</v>
      </c>
      <c r="S1205" t="s">
        <v>64</v>
      </c>
      <c r="T1205">
        <v>237</v>
      </c>
      <c r="U1205">
        <v>227</v>
      </c>
      <c r="V1205">
        <f t="shared" si="36"/>
        <v>232</v>
      </c>
      <c r="W1205">
        <f t="shared" si="37"/>
        <v>10</v>
      </c>
      <c r="X1205">
        <v>-68.904999000000004</v>
      </c>
      <c r="Y1205">
        <v>-31.101109999999998</v>
      </c>
      <c r="Z1205" t="s">
        <v>124</v>
      </c>
      <c r="AA1205" t="s">
        <v>185</v>
      </c>
      <c r="AB1205" t="s">
        <v>285</v>
      </c>
      <c r="AD1205" t="s">
        <v>286</v>
      </c>
      <c r="AF1205" t="s">
        <v>287</v>
      </c>
      <c r="AG1205" t="s">
        <v>288</v>
      </c>
      <c r="AH1205" t="s">
        <v>72</v>
      </c>
      <c r="AI1205" t="s">
        <v>289</v>
      </c>
      <c r="AJ1205">
        <v>1993</v>
      </c>
      <c r="AK1205" t="s">
        <v>290</v>
      </c>
      <c r="AM1205" t="s">
        <v>291</v>
      </c>
      <c r="AN1205" t="s">
        <v>76</v>
      </c>
      <c r="AO1205" t="s">
        <v>77</v>
      </c>
      <c r="AP1205" t="s">
        <v>115</v>
      </c>
      <c r="AQ1205" t="s">
        <v>292</v>
      </c>
      <c r="AR1205" t="s">
        <v>80</v>
      </c>
      <c r="AS1205">
        <v>291</v>
      </c>
      <c r="AT1205" t="s">
        <v>81</v>
      </c>
      <c r="AU1205">
        <v>-27.45</v>
      </c>
      <c r="AV1205">
        <v>-37.31</v>
      </c>
      <c r="AW1205" t="s">
        <v>82</v>
      </c>
      <c r="AX1205">
        <v>291</v>
      </c>
      <c r="AY1205" t="s">
        <v>81</v>
      </c>
      <c r="AZ1205">
        <v>-36.409999999999997</v>
      </c>
      <c r="BA1205">
        <v>-47.32</v>
      </c>
      <c r="BB1205" t="s">
        <v>83</v>
      </c>
    </row>
    <row r="1206" spans="1:54" x14ac:dyDescent="0.4">
      <c r="A1206">
        <v>256435</v>
      </c>
      <c r="D1206" t="s">
        <v>54</v>
      </c>
      <c r="E1206" t="s">
        <v>55</v>
      </c>
      <c r="I1206" t="s">
        <v>57</v>
      </c>
      <c r="K1206" t="s">
        <v>293</v>
      </c>
      <c r="L1206" t="s">
        <v>294</v>
      </c>
      <c r="M1206" t="s">
        <v>60</v>
      </c>
      <c r="N1206" t="s">
        <v>256</v>
      </c>
      <c r="O1206" t="s">
        <v>87</v>
      </c>
      <c r="P1206" t="s">
        <v>135</v>
      </c>
      <c r="R1206" t="s">
        <v>63</v>
      </c>
      <c r="S1206" t="s">
        <v>64</v>
      </c>
      <c r="T1206">
        <v>237</v>
      </c>
      <c r="U1206">
        <v>227</v>
      </c>
      <c r="V1206">
        <f t="shared" si="36"/>
        <v>232</v>
      </c>
      <c r="W1206">
        <f t="shared" si="37"/>
        <v>10</v>
      </c>
      <c r="X1206">
        <v>-68.904999000000004</v>
      </c>
      <c r="Y1206">
        <v>-31.101109999999998</v>
      </c>
      <c r="Z1206" t="s">
        <v>124</v>
      </c>
      <c r="AA1206" t="s">
        <v>185</v>
      </c>
      <c r="AB1206" t="s">
        <v>285</v>
      </c>
      <c r="AD1206" t="s">
        <v>286</v>
      </c>
      <c r="AF1206" t="s">
        <v>287</v>
      </c>
      <c r="AG1206" t="s">
        <v>288</v>
      </c>
      <c r="AH1206" t="s">
        <v>72</v>
      </c>
      <c r="AI1206" t="s">
        <v>289</v>
      </c>
      <c r="AJ1206">
        <v>1993</v>
      </c>
      <c r="AK1206" t="s">
        <v>290</v>
      </c>
      <c r="AM1206" t="s">
        <v>291</v>
      </c>
      <c r="AN1206" t="s">
        <v>76</v>
      </c>
      <c r="AO1206" t="s">
        <v>77</v>
      </c>
      <c r="AP1206" t="s">
        <v>115</v>
      </c>
      <c r="AQ1206" t="s">
        <v>292</v>
      </c>
      <c r="AR1206" t="s">
        <v>80</v>
      </c>
      <c r="AS1206">
        <v>291</v>
      </c>
      <c r="AT1206" t="s">
        <v>81</v>
      </c>
      <c r="AU1206">
        <v>-27.45</v>
      </c>
      <c r="AV1206">
        <v>-37.31</v>
      </c>
      <c r="AW1206" t="s">
        <v>82</v>
      </c>
      <c r="AX1206">
        <v>291</v>
      </c>
      <c r="AY1206" t="s">
        <v>81</v>
      </c>
      <c r="AZ1206">
        <v>-36.409999999999997</v>
      </c>
      <c r="BA1206">
        <v>-47.32</v>
      </c>
      <c r="BB1206" t="s">
        <v>83</v>
      </c>
    </row>
    <row r="1207" spans="1:54" x14ac:dyDescent="0.4">
      <c r="A1207">
        <v>256436</v>
      </c>
      <c r="D1207" t="s">
        <v>54</v>
      </c>
      <c r="E1207" t="s">
        <v>55</v>
      </c>
      <c r="I1207" t="s">
        <v>57</v>
      </c>
      <c r="K1207" t="s">
        <v>141</v>
      </c>
      <c r="L1207" t="s">
        <v>295</v>
      </c>
      <c r="M1207" t="s">
        <v>60</v>
      </c>
      <c r="O1207" t="s">
        <v>87</v>
      </c>
      <c r="P1207" t="s">
        <v>135</v>
      </c>
      <c r="R1207" t="s">
        <v>63</v>
      </c>
      <c r="S1207" t="s">
        <v>64</v>
      </c>
      <c r="T1207">
        <v>237</v>
      </c>
      <c r="U1207">
        <v>227</v>
      </c>
      <c r="V1207">
        <f t="shared" si="36"/>
        <v>232</v>
      </c>
      <c r="W1207">
        <f t="shared" si="37"/>
        <v>10</v>
      </c>
      <c r="X1207">
        <v>-68.904999000000004</v>
      </c>
      <c r="Y1207">
        <v>-31.101109999999998</v>
      </c>
      <c r="Z1207" t="s">
        <v>124</v>
      </c>
      <c r="AA1207" t="s">
        <v>185</v>
      </c>
      <c r="AB1207" t="s">
        <v>285</v>
      </c>
      <c r="AD1207" t="s">
        <v>286</v>
      </c>
      <c r="AF1207" t="s">
        <v>287</v>
      </c>
      <c r="AG1207" t="s">
        <v>288</v>
      </c>
      <c r="AH1207" t="s">
        <v>72</v>
      </c>
      <c r="AI1207" t="s">
        <v>289</v>
      </c>
      <c r="AJ1207">
        <v>1993</v>
      </c>
      <c r="AK1207" t="s">
        <v>290</v>
      </c>
      <c r="AM1207" t="s">
        <v>291</v>
      </c>
      <c r="AN1207" t="s">
        <v>76</v>
      </c>
      <c r="AO1207" t="s">
        <v>77</v>
      </c>
      <c r="AP1207" t="s">
        <v>115</v>
      </c>
      <c r="AQ1207" t="s">
        <v>292</v>
      </c>
      <c r="AR1207" t="s">
        <v>80</v>
      </c>
      <c r="AS1207">
        <v>291</v>
      </c>
      <c r="AT1207" t="s">
        <v>81</v>
      </c>
      <c r="AU1207">
        <v>-27.45</v>
      </c>
      <c r="AV1207">
        <v>-37.31</v>
      </c>
      <c r="AW1207" t="s">
        <v>82</v>
      </c>
      <c r="AX1207">
        <v>291</v>
      </c>
      <c r="AY1207" t="s">
        <v>81</v>
      </c>
      <c r="AZ1207">
        <v>-36.409999999999997</v>
      </c>
      <c r="BA1207">
        <v>-47.32</v>
      </c>
      <c r="BB1207" t="s">
        <v>83</v>
      </c>
    </row>
    <row r="1208" spans="1:54" x14ac:dyDescent="0.4">
      <c r="A1208">
        <v>256437</v>
      </c>
      <c r="D1208" t="s">
        <v>54</v>
      </c>
      <c r="E1208" t="s">
        <v>55</v>
      </c>
      <c r="I1208" t="s">
        <v>57</v>
      </c>
      <c r="K1208" t="s">
        <v>141</v>
      </c>
      <c r="L1208" t="s">
        <v>296</v>
      </c>
      <c r="M1208" t="s">
        <v>60</v>
      </c>
      <c r="O1208" t="s">
        <v>170</v>
      </c>
      <c r="P1208" t="s">
        <v>135</v>
      </c>
      <c r="R1208" t="s">
        <v>63</v>
      </c>
      <c r="S1208" t="s">
        <v>64</v>
      </c>
      <c r="T1208">
        <v>237</v>
      </c>
      <c r="U1208">
        <v>227</v>
      </c>
      <c r="V1208">
        <f t="shared" si="36"/>
        <v>232</v>
      </c>
      <c r="W1208">
        <f t="shared" si="37"/>
        <v>10</v>
      </c>
      <c r="X1208">
        <v>-68.904999000000004</v>
      </c>
      <c r="Y1208">
        <v>-31.101109999999998</v>
      </c>
      <c r="Z1208" t="s">
        <v>124</v>
      </c>
      <c r="AA1208" t="s">
        <v>185</v>
      </c>
      <c r="AB1208" t="s">
        <v>285</v>
      </c>
      <c r="AD1208" t="s">
        <v>286</v>
      </c>
      <c r="AF1208" t="s">
        <v>287</v>
      </c>
      <c r="AG1208" t="s">
        <v>288</v>
      </c>
      <c r="AH1208" t="s">
        <v>11</v>
      </c>
      <c r="AI1208" t="s">
        <v>289</v>
      </c>
      <c r="AJ1208">
        <v>1993</v>
      </c>
      <c r="AK1208" t="s">
        <v>290</v>
      </c>
      <c r="AM1208" t="s">
        <v>291</v>
      </c>
      <c r="AN1208" t="s">
        <v>76</v>
      </c>
      <c r="AO1208" t="s">
        <v>77</v>
      </c>
      <c r="AP1208" t="s">
        <v>115</v>
      </c>
      <c r="AQ1208" t="s">
        <v>292</v>
      </c>
      <c r="AR1208" t="s">
        <v>80</v>
      </c>
      <c r="AS1208">
        <v>291</v>
      </c>
      <c r="AT1208" t="s">
        <v>81</v>
      </c>
      <c r="AU1208">
        <v>-27.45</v>
      </c>
      <c r="AV1208">
        <v>-37.31</v>
      </c>
      <c r="AW1208" t="s">
        <v>82</v>
      </c>
      <c r="AX1208">
        <v>291</v>
      </c>
      <c r="AY1208" t="s">
        <v>81</v>
      </c>
      <c r="AZ1208">
        <v>-36.409999999999997</v>
      </c>
      <c r="BA1208">
        <v>-47.32</v>
      </c>
      <c r="BB1208" t="s">
        <v>83</v>
      </c>
    </row>
    <row r="1209" spans="1:54" x14ac:dyDescent="0.4">
      <c r="A1209">
        <v>256441</v>
      </c>
      <c r="D1209" t="s">
        <v>54</v>
      </c>
      <c r="E1209" t="s">
        <v>297</v>
      </c>
      <c r="G1209">
        <v>1</v>
      </c>
      <c r="H1209" t="s">
        <v>56</v>
      </c>
      <c r="I1209" t="s">
        <v>57</v>
      </c>
      <c r="K1209" t="s">
        <v>293</v>
      </c>
      <c r="L1209" t="s">
        <v>294</v>
      </c>
      <c r="M1209" t="s">
        <v>60</v>
      </c>
      <c r="N1209" t="s">
        <v>256</v>
      </c>
      <c r="O1209" t="s">
        <v>87</v>
      </c>
      <c r="P1209" t="s">
        <v>135</v>
      </c>
      <c r="R1209" t="s">
        <v>63</v>
      </c>
      <c r="S1209" t="s">
        <v>64</v>
      </c>
      <c r="T1209">
        <v>237</v>
      </c>
      <c r="U1209">
        <v>227</v>
      </c>
      <c r="V1209">
        <f t="shared" si="36"/>
        <v>232</v>
      </c>
      <c r="W1209">
        <f t="shared" si="37"/>
        <v>10</v>
      </c>
      <c r="X1209">
        <v>-68.283332999999999</v>
      </c>
      <c r="Y1209">
        <v>-30.133333</v>
      </c>
      <c r="Z1209" t="s">
        <v>124</v>
      </c>
      <c r="AA1209" t="s">
        <v>185</v>
      </c>
      <c r="AB1209" t="s">
        <v>285</v>
      </c>
      <c r="AD1209" t="s">
        <v>298</v>
      </c>
      <c r="AH1209" t="s">
        <v>72</v>
      </c>
      <c r="AI1209" t="s">
        <v>299</v>
      </c>
      <c r="AJ1209">
        <v>1994</v>
      </c>
      <c r="AK1209" t="s">
        <v>300</v>
      </c>
      <c r="AM1209" t="s">
        <v>301</v>
      </c>
      <c r="AN1209" t="s">
        <v>192</v>
      </c>
      <c r="AO1209" t="s">
        <v>160</v>
      </c>
      <c r="AP1209" t="s">
        <v>115</v>
      </c>
      <c r="AQ1209" t="s">
        <v>302</v>
      </c>
      <c r="AR1209" t="s">
        <v>80</v>
      </c>
      <c r="AS1209">
        <v>291</v>
      </c>
      <c r="AT1209" t="s">
        <v>81</v>
      </c>
      <c r="AU1209">
        <v>-26.82</v>
      </c>
      <c r="AV1209">
        <v>-36.32</v>
      </c>
      <c r="AW1209" t="s">
        <v>82</v>
      </c>
      <c r="AX1209">
        <v>291</v>
      </c>
      <c r="AY1209" t="s">
        <v>81</v>
      </c>
      <c r="AZ1209">
        <v>-35.630000000000003</v>
      </c>
      <c r="BA1209">
        <v>-46.35</v>
      </c>
      <c r="BB1209" t="s">
        <v>83</v>
      </c>
    </row>
    <row r="1210" spans="1:54" x14ac:dyDescent="0.4">
      <c r="A1210">
        <v>261808</v>
      </c>
      <c r="D1210" t="s">
        <v>54</v>
      </c>
      <c r="E1210" t="s">
        <v>154</v>
      </c>
      <c r="I1210" t="s">
        <v>57</v>
      </c>
      <c r="K1210" t="s">
        <v>141</v>
      </c>
      <c r="L1210" t="s">
        <v>146</v>
      </c>
      <c r="M1210" t="s">
        <v>60</v>
      </c>
      <c r="O1210" t="s">
        <v>87</v>
      </c>
      <c r="P1210" t="s">
        <v>135</v>
      </c>
      <c r="R1210" t="s">
        <v>63</v>
      </c>
      <c r="S1210" t="s">
        <v>64</v>
      </c>
      <c r="T1210">
        <v>237</v>
      </c>
      <c r="U1210">
        <v>227</v>
      </c>
      <c r="V1210">
        <f t="shared" si="36"/>
        <v>232</v>
      </c>
      <c r="W1210">
        <f t="shared" si="37"/>
        <v>10</v>
      </c>
      <c r="X1210">
        <v>-2.4283329999999999</v>
      </c>
      <c r="Y1210">
        <v>51.623055000000001</v>
      </c>
      <c r="Z1210" t="s">
        <v>90</v>
      </c>
      <c r="AA1210" t="s">
        <v>91</v>
      </c>
      <c r="AB1210" t="s">
        <v>92</v>
      </c>
      <c r="AC1210" t="s">
        <v>136</v>
      </c>
      <c r="AH1210" t="s">
        <v>11</v>
      </c>
      <c r="AI1210" t="s">
        <v>303</v>
      </c>
      <c r="AJ1210">
        <v>1995</v>
      </c>
      <c r="AK1210" t="s">
        <v>304</v>
      </c>
      <c r="AM1210" t="s">
        <v>156</v>
      </c>
      <c r="AN1210" t="s">
        <v>76</v>
      </c>
      <c r="AO1210" t="s">
        <v>77</v>
      </c>
      <c r="AP1210" t="s">
        <v>115</v>
      </c>
      <c r="AQ1210" t="s">
        <v>305</v>
      </c>
      <c r="AR1210" t="s">
        <v>80</v>
      </c>
      <c r="AS1210">
        <v>315</v>
      </c>
      <c r="AT1210" t="s">
        <v>81</v>
      </c>
      <c r="AU1210">
        <v>8.9700000000000006</v>
      </c>
      <c r="AV1210">
        <v>34.380000000000003</v>
      </c>
      <c r="AW1210" t="s">
        <v>82</v>
      </c>
      <c r="AX1210">
        <v>315</v>
      </c>
      <c r="AY1210" t="s">
        <v>81</v>
      </c>
      <c r="AZ1210">
        <v>-1.55</v>
      </c>
      <c r="BA1210">
        <v>37.049999999999997</v>
      </c>
      <c r="BB1210" t="s">
        <v>83</v>
      </c>
    </row>
    <row r="1211" spans="1:54" x14ac:dyDescent="0.4">
      <c r="A1211">
        <v>261810</v>
      </c>
      <c r="D1211" t="s">
        <v>54</v>
      </c>
      <c r="E1211" t="s">
        <v>154</v>
      </c>
      <c r="I1211" t="s">
        <v>57</v>
      </c>
      <c r="K1211" t="s">
        <v>306</v>
      </c>
      <c r="L1211" t="s">
        <v>307</v>
      </c>
      <c r="M1211" t="s">
        <v>60</v>
      </c>
      <c r="P1211" t="s">
        <v>135</v>
      </c>
      <c r="R1211" t="s">
        <v>63</v>
      </c>
      <c r="S1211" t="s">
        <v>64</v>
      </c>
      <c r="T1211">
        <v>237</v>
      </c>
      <c r="U1211">
        <v>227</v>
      </c>
      <c r="V1211">
        <f t="shared" si="36"/>
        <v>232</v>
      </c>
      <c r="W1211">
        <f t="shared" si="37"/>
        <v>10</v>
      </c>
      <c r="X1211">
        <v>-2.4283329999999999</v>
      </c>
      <c r="Y1211">
        <v>51.623055000000001</v>
      </c>
      <c r="Z1211" t="s">
        <v>90</v>
      </c>
      <c r="AA1211" t="s">
        <v>91</v>
      </c>
      <c r="AB1211" t="s">
        <v>92</v>
      </c>
      <c r="AC1211" t="s">
        <v>136</v>
      </c>
      <c r="AH1211" t="s">
        <v>72</v>
      </c>
      <c r="AI1211" t="s">
        <v>308</v>
      </c>
      <c r="AJ1211">
        <v>2002</v>
      </c>
      <c r="AK1211" t="s">
        <v>304</v>
      </c>
      <c r="AM1211" t="s">
        <v>156</v>
      </c>
      <c r="AN1211" t="s">
        <v>76</v>
      </c>
      <c r="AO1211" t="s">
        <v>77</v>
      </c>
      <c r="AP1211" t="s">
        <v>115</v>
      </c>
      <c r="AQ1211" t="s">
        <v>305</v>
      </c>
      <c r="AR1211" t="s">
        <v>80</v>
      </c>
      <c r="AS1211">
        <v>315</v>
      </c>
      <c r="AT1211" t="s">
        <v>81</v>
      </c>
      <c r="AU1211">
        <v>8.9700000000000006</v>
      </c>
      <c r="AV1211">
        <v>34.380000000000003</v>
      </c>
      <c r="AW1211" t="s">
        <v>82</v>
      </c>
      <c r="AX1211">
        <v>315</v>
      </c>
      <c r="AY1211" t="s">
        <v>81</v>
      </c>
      <c r="AZ1211">
        <v>-1.55</v>
      </c>
      <c r="BA1211">
        <v>37.049999999999997</v>
      </c>
      <c r="BB1211" t="s">
        <v>83</v>
      </c>
    </row>
    <row r="1212" spans="1:54" x14ac:dyDescent="0.4">
      <c r="A1212">
        <v>277109</v>
      </c>
      <c r="D1212" t="s">
        <v>54</v>
      </c>
      <c r="E1212" t="s">
        <v>152</v>
      </c>
      <c r="G1212">
        <v>1</v>
      </c>
      <c r="H1212" t="s">
        <v>56</v>
      </c>
      <c r="I1212" t="s">
        <v>57</v>
      </c>
      <c r="K1212" t="s">
        <v>141</v>
      </c>
      <c r="L1212" t="s">
        <v>325</v>
      </c>
      <c r="M1212" t="s">
        <v>60</v>
      </c>
      <c r="N1212" t="s">
        <v>326</v>
      </c>
      <c r="O1212" t="s">
        <v>170</v>
      </c>
      <c r="P1212" t="s">
        <v>135</v>
      </c>
      <c r="R1212" t="s">
        <v>63</v>
      </c>
      <c r="S1212" t="s">
        <v>64</v>
      </c>
      <c r="T1212">
        <v>237</v>
      </c>
      <c r="U1212">
        <v>227</v>
      </c>
      <c r="V1212">
        <f t="shared" si="36"/>
        <v>232</v>
      </c>
      <c r="W1212">
        <f t="shared" si="37"/>
        <v>10</v>
      </c>
      <c r="X1212">
        <v>-68</v>
      </c>
      <c r="Y1212">
        <v>-30</v>
      </c>
      <c r="Z1212" t="s">
        <v>124</v>
      </c>
      <c r="AA1212" t="s">
        <v>185</v>
      </c>
      <c r="AB1212" t="s">
        <v>186</v>
      </c>
      <c r="AC1212" t="s">
        <v>327</v>
      </c>
      <c r="AD1212" t="s">
        <v>286</v>
      </c>
      <c r="AG1212" t="s">
        <v>288</v>
      </c>
      <c r="AH1212" t="s">
        <v>72</v>
      </c>
      <c r="AI1212" t="s">
        <v>328</v>
      </c>
      <c r="AJ1212">
        <v>1967</v>
      </c>
      <c r="AK1212" t="s">
        <v>329</v>
      </c>
      <c r="AM1212" t="s">
        <v>330</v>
      </c>
      <c r="AN1212" t="s">
        <v>114</v>
      </c>
      <c r="AO1212" t="s">
        <v>160</v>
      </c>
      <c r="AP1212" t="s">
        <v>78</v>
      </c>
      <c r="AQ1212" t="s">
        <v>331</v>
      </c>
      <c r="AR1212" t="s">
        <v>80</v>
      </c>
      <c r="AS1212">
        <v>291</v>
      </c>
      <c r="AT1212" t="s">
        <v>81</v>
      </c>
      <c r="AU1212">
        <v>-26.52</v>
      </c>
      <c r="AV1212">
        <v>-36.18</v>
      </c>
      <c r="AW1212" t="s">
        <v>82</v>
      </c>
      <c r="AX1212">
        <v>291</v>
      </c>
      <c r="AY1212" t="s">
        <v>81</v>
      </c>
      <c r="AZ1212">
        <v>-35.28</v>
      </c>
      <c r="BA1212">
        <v>-46.21</v>
      </c>
      <c r="BB1212" t="s">
        <v>83</v>
      </c>
    </row>
    <row r="1213" spans="1:54" x14ac:dyDescent="0.4">
      <c r="A1213">
        <v>284027</v>
      </c>
      <c r="D1213" t="s">
        <v>54</v>
      </c>
      <c r="E1213" t="s">
        <v>55</v>
      </c>
      <c r="G1213">
        <v>37</v>
      </c>
      <c r="H1213" t="s">
        <v>84</v>
      </c>
      <c r="I1213" t="s">
        <v>57</v>
      </c>
      <c r="K1213" t="s">
        <v>141</v>
      </c>
      <c r="L1213" t="s">
        <v>372</v>
      </c>
      <c r="M1213" t="s">
        <v>60</v>
      </c>
      <c r="P1213" t="s">
        <v>135</v>
      </c>
      <c r="R1213" t="s">
        <v>63</v>
      </c>
      <c r="S1213" t="s">
        <v>64</v>
      </c>
      <c r="T1213">
        <v>237</v>
      </c>
      <c r="U1213">
        <v>227</v>
      </c>
      <c r="V1213">
        <f t="shared" si="36"/>
        <v>232</v>
      </c>
      <c r="W1213">
        <f t="shared" si="37"/>
        <v>10</v>
      </c>
      <c r="X1213">
        <v>-3.3755000000000002</v>
      </c>
      <c r="Y1213">
        <v>51.459000000000003</v>
      </c>
      <c r="Z1213" t="s">
        <v>90</v>
      </c>
      <c r="AA1213" t="s">
        <v>91</v>
      </c>
      <c r="AB1213" t="s">
        <v>373</v>
      </c>
      <c r="AC1213" t="s">
        <v>374</v>
      </c>
      <c r="AH1213" t="s">
        <v>72</v>
      </c>
      <c r="AI1213" t="s">
        <v>217</v>
      </c>
      <c r="AJ1213">
        <v>2003</v>
      </c>
      <c r="AK1213" t="s">
        <v>375</v>
      </c>
      <c r="AM1213" t="s">
        <v>376</v>
      </c>
      <c r="AN1213" t="s">
        <v>76</v>
      </c>
      <c r="AO1213">
        <v>4</v>
      </c>
      <c r="AP1213" t="s">
        <v>78</v>
      </c>
      <c r="AQ1213" t="s">
        <v>377</v>
      </c>
      <c r="AR1213" t="s">
        <v>80</v>
      </c>
      <c r="AS1213">
        <v>315</v>
      </c>
      <c r="AT1213" t="s">
        <v>81</v>
      </c>
      <c r="AU1213">
        <v>8.41</v>
      </c>
      <c r="AV1213">
        <v>33.979999999999997</v>
      </c>
      <c r="AW1213" t="s">
        <v>82</v>
      </c>
      <c r="AX1213">
        <v>315</v>
      </c>
      <c r="AY1213" t="s">
        <v>81</v>
      </c>
      <c r="AZ1213">
        <v>-2.14</v>
      </c>
      <c r="BA1213">
        <v>36.659999999999997</v>
      </c>
      <c r="BB1213" t="s">
        <v>83</v>
      </c>
    </row>
    <row r="1214" spans="1:54" x14ac:dyDescent="0.4">
      <c r="A1214">
        <v>382568</v>
      </c>
      <c r="D1214" t="s">
        <v>54</v>
      </c>
      <c r="I1214" t="s">
        <v>57</v>
      </c>
      <c r="K1214" t="s">
        <v>141</v>
      </c>
      <c r="L1214" t="s">
        <v>592</v>
      </c>
      <c r="M1214" t="s">
        <v>223</v>
      </c>
      <c r="P1214" t="s">
        <v>135</v>
      </c>
      <c r="R1214" t="s">
        <v>63</v>
      </c>
      <c r="S1214" t="s">
        <v>64</v>
      </c>
      <c r="T1214">
        <v>237</v>
      </c>
      <c r="U1214">
        <v>227</v>
      </c>
      <c r="V1214">
        <f t="shared" si="36"/>
        <v>232</v>
      </c>
      <c r="W1214">
        <f t="shared" si="37"/>
        <v>10</v>
      </c>
      <c r="X1214">
        <v>13.0175</v>
      </c>
      <c r="Y1214">
        <v>46.407501000000003</v>
      </c>
      <c r="Z1214" t="s">
        <v>520</v>
      </c>
      <c r="AA1214" t="s">
        <v>593</v>
      </c>
      <c r="AB1214" t="s">
        <v>594</v>
      </c>
      <c r="AC1214" t="s">
        <v>595</v>
      </c>
      <c r="AH1214" t="s">
        <v>72</v>
      </c>
      <c r="AI1214" t="s">
        <v>596</v>
      </c>
      <c r="AJ1214">
        <v>1975</v>
      </c>
      <c r="AK1214" t="s">
        <v>597</v>
      </c>
      <c r="AN1214" t="s">
        <v>114</v>
      </c>
      <c r="AO1214">
        <v>4</v>
      </c>
      <c r="AP1214" t="s">
        <v>115</v>
      </c>
      <c r="AQ1214" t="s">
        <v>598</v>
      </c>
      <c r="AR1214" t="s">
        <v>80</v>
      </c>
      <c r="AS1214">
        <v>307</v>
      </c>
      <c r="AT1214" t="s">
        <v>81</v>
      </c>
      <c r="AU1214">
        <v>33.96</v>
      </c>
      <c r="AV1214">
        <v>16.41</v>
      </c>
      <c r="AW1214" t="s">
        <v>82</v>
      </c>
      <c r="AX1214">
        <v>307</v>
      </c>
      <c r="AY1214" t="s">
        <v>81</v>
      </c>
      <c r="AZ1214">
        <v>20.440000000000001</v>
      </c>
      <c r="BA1214">
        <v>13.18</v>
      </c>
      <c r="BB1214" t="s">
        <v>83</v>
      </c>
    </row>
    <row r="1215" spans="1:54" x14ac:dyDescent="0.4">
      <c r="A1215">
        <v>389769</v>
      </c>
      <c r="D1215" t="s">
        <v>54</v>
      </c>
      <c r="E1215" t="s">
        <v>55</v>
      </c>
      <c r="G1215">
        <v>1</v>
      </c>
      <c r="H1215" t="s">
        <v>84</v>
      </c>
      <c r="I1215" t="s">
        <v>57</v>
      </c>
      <c r="K1215" t="s">
        <v>141</v>
      </c>
      <c r="L1215" t="s">
        <v>592</v>
      </c>
      <c r="M1215" t="s">
        <v>223</v>
      </c>
      <c r="P1215" t="s">
        <v>135</v>
      </c>
      <c r="R1215" t="s">
        <v>63</v>
      </c>
      <c r="S1215" t="s">
        <v>64</v>
      </c>
      <c r="T1215">
        <v>237</v>
      </c>
      <c r="U1215">
        <v>227</v>
      </c>
      <c r="V1215">
        <f t="shared" si="36"/>
        <v>232</v>
      </c>
      <c r="W1215">
        <f t="shared" si="37"/>
        <v>10</v>
      </c>
      <c r="X1215">
        <v>9.9166670000000003</v>
      </c>
      <c r="Y1215">
        <v>45.916668000000001</v>
      </c>
      <c r="Z1215" t="s">
        <v>520</v>
      </c>
      <c r="AA1215" t="s">
        <v>593</v>
      </c>
      <c r="AB1215" t="s">
        <v>603</v>
      </c>
      <c r="AD1215" t="s">
        <v>663</v>
      </c>
      <c r="AH1215" t="s">
        <v>72</v>
      </c>
      <c r="AI1215" t="s">
        <v>664</v>
      </c>
      <c r="AJ1215">
        <v>1986</v>
      </c>
      <c r="AK1215" t="s">
        <v>665</v>
      </c>
      <c r="AM1215" t="s">
        <v>666</v>
      </c>
      <c r="AN1215" t="s">
        <v>114</v>
      </c>
      <c r="AO1215" t="s">
        <v>160</v>
      </c>
      <c r="AP1215" t="s">
        <v>115</v>
      </c>
      <c r="AQ1215" t="s">
        <v>667</v>
      </c>
      <c r="AR1215" t="s">
        <v>80</v>
      </c>
      <c r="AS1215">
        <v>307</v>
      </c>
      <c r="AT1215" t="s">
        <v>81</v>
      </c>
      <c r="AU1215">
        <v>32.36</v>
      </c>
      <c r="AV1215">
        <v>18</v>
      </c>
      <c r="AW1215" t="s">
        <v>82</v>
      </c>
      <c r="AX1215">
        <v>307</v>
      </c>
      <c r="AY1215" t="s">
        <v>81</v>
      </c>
      <c r="AZ1215">
        <v>18.350000000000001</v>
      </c>
      <c r="BA1215">
        <v>14.03</v>
      </c>
      <c r="BB1215" t="s">
        <v>83</v>
      </c>
    </row>
    <row r="1216" spans="1:54" x14ac:dyDescent="0.4">
      <c r="A1216">
        <v>406854</v>
      </c>
      <c r="D1216" t="s">
        <v>54</v>
      </c>
      <c r="E1216" t="s">
        <v>310</v>
      </c>
      <c r="F1216" t="s">
        <v>719</v>
      </c>
      <c r="G1216">
        <v>10</v>
      </c>
      <c r="H1216" t="s">
        <v>84</v>
      </c>
      <c r="I1216" t="s">
        <v>57</v>
      </c>
      <c r="K1216" t="s">
        <v>141</v>
      </c>
      <c r="L1216" t="s">
        <v>720</v>
      </c>
      <c r="M1216" t="s">
        <v>60</v>
      </c>
      <c r="P1216" t="s">
        <v>135</v>
      </c>
      <c r="R1216" t="s">
        <v>63</v>
      </c>
      <c r="S1216" t="s">
        <v>64</v>
      </c>
      <c r="T1216">
        <v>237</v>
      </c>
      <c r="U1216">
        <v>227</v>
      </c>
      <c r="V1216">
        <f t="shared" si="36"/>
        <v>232</v>
      </c>
      <c r="W1216">
        <f t="shared" si="37"/>
        <v>10</v>
      </c>
      <c r="X1216">
        <v>-77.671386999999996</v>
      </c>
      <c r="Y1216">
        <v>37.463889999999999</v>
      </c>
      <c r="Z1216" t="s">
        <v>346</v>
      </c>
      <c r="AA1216" t="s">
        <v>66</v>
      </c>
      <c r="AB1216" t="s">
        <v>721</v>
      </c>
      <c r="AC1216" t="s">
        <v>722</v>
      </c>
      <c r="AD1216" t="s">
        <v>723</v>
      </c>
      <c r="AE1216" t="s">
        <v>722</v>
      </c>
      <c r="AF1216" t="s">
        <v>724</v>
      </c>
      <c r="AH1216" t="s">
        <v>72</v>
      </c>
      <c r="AI1216" t="s">
        <v>725</v>
      </c>
      <c r="AJ1216">
        <v>1992</v>
      </c>
      <c r="AK1216" t="s">
        <v>726</v>
      </c>
      <c r="AM1216" t="s">
        <v>727</v>
      </c>
      <c r="AN1216" t="s">
        <v>76</v>
      </c>
      <c r="AO1216" t="s">
        <v>77</v>
      </c>
      <c r="AP1216" t="s">
        <v>78</v>
      </c>
      <c r="AQ1216" t="s">
        <v>728</v>
      </c>
      <c r="AR1216" t="s">
        <v>80</v>
      </c>
      <c r="AS1216">
        <v>109</v>
      </c>
      <c r="AT1216" t="s">
        <v>81</v>
      </c>
      <c r="AU1216">
        <v>-8.8699999999999992</v>
      </c>
      <c r="AV1216">
        <v>12.64</v>
      </c>
      <c r="AW1216" t="s">
        <v>82</v>
      </c>
      <c r="AX1216">
        <v>109</v>
      </c>
      <c r="AY1216" t="s">
        <v>81</v>
      </c>
      <c r="AZ1216">
        <v>-16.760000000000002</v>
      </c>
      <c r="BA1216">
        <v>2.7</v>
      </c>
      <c r="BB1216" t="s">
        <v>83</v>
      </c>
    </row>
    <row r="1217" spans="1:54" x14ac:dyDescent="0.4">
      <c r="A1217">
        <v>406855</v>
      </c>
      <c r="D1217" t="s">
        <v>54</v>
      </c>
      <c r="E1217" t="s">
        <v>310</v>
      </c>
      <c r="F1217" t="s">
        <v>719</v>
      </c>
      <c r="G1217">
        <v>12</v>
      </c>
      <c r="H1217" t="s">
        <v>84</v>
      </c>
      <c r="I1217" t="s">
        <v>57</v>
      </c>
      <c r="K1217" t="s">
        <v>141</v>
      </c>
      <c r="L1217" t="s">
        <v>729</v>
      </c>
      <c r="M1217" t="s">
        <v>60</v>
      </c>
      <c r="P1217" t="s">
        <v>135</v>
      </c>
      <c r="R1217" t="s">
        <v>63</v>
      </c>
      <c r="S1217" t="s">
        <v>64</v>
      </c>
      <c r="T1217">
        <v>237</v>
      </c>
      <c r="U1217">
        <v>227</v>
      </c>
      <c r="V1217">
        <f t="shared" si="36"/>
        <v>232</v>
      </c>
      <c r="W1217">
        <f t="shared" si="37"/>
        <v>10</v>
      </c>
      <c r="X1217">
        <v>-77.671386999999996</v>
      </c>
      <c r="Y1217">
        <v>37.463889999999999</v>
      </c>
      <c r="Z1217" t="s">
        <v>346</v>
      </c>
      <c r="AA1217" t="s">
        <v>66</v>
      </c>
      <c r="AB1217" t="s">
        <v>721</v>
      </c>
      <c r="AC1217" t="s">
        <v>722</v>
      </c>
      <c r="AD1217" t="s">
        <v>723</v>
      </c>
      <c r="AE1217" t="s">
        <v>722</v>
      </c>
      <c r="AF1217" t="s">
        <v>724</v>
      </c>
      <c r="AH1217" t="s">
        <v>72</v>
      </c>
      <c r="AI1217" t="s">
        <v>730</v>
      </c>
      <c r="AJ1217">
        <v>1994</v>
      </c>
      <c r="AK1217" t="s">
        <v>726</v>
      </c>
      <c r="AM1217" t="s">
        <v>727</v>
      </c>
      <c r="AN1217" t="s">
        <v>76</v>
      </c>
      <c r="AO1217" t="s">
        <v>77</v>
      </c>
      <c r="AP1217" t="s">
        <v>78</v>
      </c>
      <c r="AQ1217" t="s">
        <v>728</v>
      </c>
      <c r="AR1217" t="s">
        <v>80</v>
      </c>
      <c r="AS1217">
        <v>109</v>
      </c>
      <c r="AT1217" t="s">
        <v>81</v>
      </c>
      <c r="AU1217">
        <v>-8.8699999999999992</v>
      </c>
      <c r="AV1217">
        <v>12.64</v>
      </c>
      <c r="AW1217" t="s">
        <v>82</v>
      </c>
      <c r="AX1217">
        <v>109</v>
      </c>
      <c r="AY1217" t="s">
        <v>81</v>
      </c>
      <c r="AZ1217">
        <v>-16.760000000000002</v>
      </c>
      <c r="BA1217">
        <v>2.7</v>
      </c>
      <c r="BB1217" t="s">
        <v>83</v>
      </c>
    </row>
    <row r="1218" spans="1:54" x14ac:dyDescent="0.4">
      <c r="A1218">
        <v>406858</v>
      </c>
      <c r="D1218" t="s">
        <v>54</v>
      </c>
      <c r="E1218" t="s">
        <v>310</v>
      </c>
      <c r="F1218" t="s">
        <v>719</v>
      </c>
      <c r="G1218">
        <v>1</v>
      </c>
      <c r="H1218" t="s">
        <v>84</v>
      </c>
      <c r="I1218" t="s">
        <v>57</v>
      </c>
      <c r="K1218" t="s">
        <v>100</v>
      </c>
      <c r="L1218" t="s">
        <v>731</v>
      </c>
      <c r="M1218" t="s">
        <v>60</v>
      </c>
      <c r="P1218" t="s">
        <v>135</v>
      </c>
      <c r="R1218" t="s">
        <v>63</v>
      </c>
      <c r="S1218" t="s">
        <v>64</v>
      </c>
      <c r="T1218">
        <v>237</v>
      </c>
      <c r="U1218">
        <v>227</v>
      </c>
      <c r="V1218">
        <f t="shared" si="36"/>
        <v>232</v>
      </c>
      <c r="W1218">
        <f t="shared" si="37"/>
        <v>10</v>
      </c>
      <c r="X1218">
        <v>-77.671386999999996</v>
      </c>
      <c r="Y1218">
        <v>37.463889999999999</v>
      </c>
      <c r="Z1218" t="s">
        <v>346</v>
      </c>
      <c r="AA1218" t="s">
        <v>66</v>
      </c>
      <c r="AB1218" t="s">
        <v>721</v>
      </c>
      <c r="AC1218" t="s">
        <v>722</v>
      </c>
      <c r="AD1218" t="s">
        <v>723</v>
      </c>
      <c r="AE1218" t="s">
        <v>722</v>
      </c>
      <c r="AF1218" t="s">
        <v>724</v>
      </c>
      <c r="AH1218" t="s">
        <v>72</v>
      </c>
      <c r="AI1218" t="s">
        <v>732</v>
      </c>
      <c r="AJ1218">
        <v>1993</v>
      </c>
      <c r="AK1218" t="s">
        <v>726</v>
      </c>
      <c r="AM1218" t="s">
        <v>727</v>
      </c>
      <c r="AN1218" t="s">
        <v>76</v>
      </c>
      <c r="AO1218" t="s">
        <v>77</v>
      </c>
      <c r="AP1218" t="s">
        <v>78</v>
      </c>
      <c r="AQ1218" t="s">
        <v>728</v>
      </c>
      <c r="AR1218" t="s">
        <v>80</v>
      </c>
      <c r="AS1218">
        <v>109</v>
      </c>
      <c r="AT1218" t="s">
        <v>81</v>
      </c>
      <c r="AU1218">
        <v>-8.8699999999999992</v>
      </c>
      <c r="AV1218">
        <v>12.64</v>
      </c>
      <c r="AW1218" t="s">
        <v>82</v>
      </c>
      <c r="AX1218">
        <v>109</v>
      </c>
      <c r="AY1218" t="s">
        <v>81</v>
      </c>
      <c r="AZ1218">
        <v>-16.760000000000002</v>
      </c>
      <c r="BA1218">
        <v>2.7</v>
      </c>
      <c r="BB1218" t="s">
        <v>83</v>
      </c>
    </row>
    <row r="1219" spans="1:54" x14ac:dyDescent="0.4">
      <c r="A1219">
        <v>406859</v>
      </c>
      <c r="D1219" t="s">
        <v>54</v>
      </c>
      <c r="E1219" t="s">
        <v>310</v>
      </c>
      <c r="F1219" t="s">
        <v>719</v>
      </c>
      <c r="G1219">
        <v>1</v>
      </c>
      <c r="H1219" t="s">
        <v>84</v>
      </c>
      <c r="I1219" t="s">
        <v>57</v>
      </c>
      <c r="K1219" t="s">
        <v>141</v>
      </c>
      <c r="L1219" t="s">
        <v>733</v>
      </c>
      <c r="M1219" t="s">
        <v>60</v>
      </c>
      <c r="P1219" t="s">
        <v>135</v>
      </c>
      <c r="R1219" t="s">
        <v>63</v>
      </c>
      <c r="S1219" t="s">
        <v>64</v>
      </c>
      <c r="T1219">
        <v>237</v>
      </c>
      <c r="U1219">
        <v>227</v>
      </c>
      <c r="V1219">
        <f t="shared" ref="V1219:V1282" si="38">(T1219+U1219)/2</f>
        <v>232</v>
      </c>
      <c r="W1219">
        <f t="shared" ref="W1219:W1282" si="39">T1219-U1219</f>
        <v>10</v>
      </c>
      <c r="X1219">
        <v>-77.671386999999996</v>
      </c>
      <c r="Y1219">
        <v>37.463889999999999</v>
      </c>
      <c r="Z1219" t="s">
        <v>346</v>
      </c>
      <c r="AA1219" t="s">
        <v>66</v>
      </c>
      <c r="AB1219" t="s">
        <v>721</v>
      </c>
      <c r="AC1219" t="s">
        <v>722</v>
      </c>
      <c r="AD1219" t="s">
        <v>723</v>
      </c>
      <c r="AE1219" t="s">
        <v>722</v>
      </c>
      <c r="AF1219" t="s">
        <v>724</v>
      </c>
      <c r="AH1219" t="s">
        <v>72</v>
      </c>
      <c r="AI1219" t="s">
        <v>732</v>
      </c>
      <c r="AJ1219">
        <v>1993</v>
      </c>
      <c r="AK1219" t="s">
        <v>726</v>
      </c>
      <c r="AM1219" t="s">
        <v>727</v>
      </c>
      <c r="AN1219" t="s">
        <v>76</v>
      </c>
      <c r="AO1219" t="s">
        <v>77</v>
      </c>
      <c r="AP1219" t="s">
        <v>78</v>
      </c>
      <c r="AQ1219" t="s">
        <v>728</v>
      </c>
      <c r="AR1219" t="s">
        <v>80</v>
      </c>
      <c r="AS1219">
        <v>109</v>
      </c>
      <c r="AT1219" t="s">
        <v>81</v>
      </c>
      <c r="AU1219">
        <v>-8.8699999999999992</v>
      </c>
      <c r="AV1219">
        <v>12.64</v>
      </c>
      <c r="AW1219" t="s">
        <v>82</v>
      </c>
      <c r="AX1219">
        <v>109</v>
      </c>
      <c r="AY1219" t="s">
        <v>81</v>
      </c>
      <c r="AZ1219">
        <v>-16.760000000000002</v>
      </c>
      <c r="BA1219">
        <v>2.7</v>
      </c>
      <c r="BB1219" t="s">
        <v>83</v>
      </c>
    </row>
    <row r="1220" spans="1:54" x14ac:dyDescent="0.4">
      <c r="A1220">
        <v>460787</v>
      </c>
      <c r="D1220" t="s">
        <v>54</v>
      </c>
      <c r="E1220" t="s">
        <v>55</v>
      </c>
      <c r="G1220">
        <v>1</v>
      </c>
      <c r="H1220" t="s">
        <v>84</v>
      </c>
      <c r="I1220" t="s">
        <v>57</v>
      </c>
      <c r="K1220" t="s">
        <v>85</v>
      </c>
      <c r="L1220" t="s">
        <v>753</v>
      </c>
      <c r="M1220" t="s">
        <v>60</v>
      </c>
      <c r="O1220" t="s">
        <v>87</v>
      </c>
      <c r="P1220" t="s">
        <v>135</v>
      </c>
      <c r="R1220" t="s">
        <v>63</v>
      </c>
      <c r="S1220" t="s">
        <v>64</v>
      </c>
      <c r="T1220">
        <v>237</v>
      </c>
      <c r="U1220">
        <v>227</v>
      </c>
      <c r="V1220">
        <f t="shared" si="38"/>
        <v>232</v>
      </c>
      <c r="W1220">
        <f t="shared" si="39"/>
        <v>10</v>
      </c>
      <c r="X1220">
        <v>-101.664421</v>
      </c>
      <c r="Y1220">
        <v>34.983803000000002</v>
      </c>
      <c r="Z1220" t="s">
        <v>124</v>
      </c>
      <c r="AA1220" t="s">
        <v>66</v>
      </c>
      <c r="AB1220" t="s">
        <v>125</v>
      </c>
      <c r="AC1220" t="s">
        <v>777</v>
      </c>
      <c r="AD1220" t="s">
        <v>173</v>
      </c>
      <c r="AF1220" t="s">
        <v>778</v>
      </c>
      <c r="AH1220" t="s">
        <v>72</v>
      </c>
      <c r="AI1220" t="s">
        <v>779</v>
      </c>
      <c r="AJ1220">
        <v>1991</v>
      </c>
      <c r="AK1220" t="s">
        <v>780</v>
      </c>
      <c r="AN1220" t="s">
        <v>76</v>
      </c>
      <c r="AO1220">
        <v>6</v>
      </c>
      <c r="AP1220" t="s">
        <v>115</v>
      </c>
      <c r="AQ1220" t="s">
        <v>781</v>
      </c>
      <c r="AR1220" t="s">
        <v>80</v>
      </c>
      <c r="AS1220">
        <v>101</v>
      </c>
      <c r="AT1220" t="s">
        <v>81</v>
      </c>
      <c r="AU1220">
        <v>-28.83</v>
      </c>
      <c r="AV1220">
        <v>13.02</v>
      </c>
      <c r="AW1220" t="s">
        <v>82</v>
      </c>
      <c r="AX1220">
        <v>101</v>
      </c>
      <c r="AY1220" t="s">
        <v>81</v>
      </c>
      <c r="AZ1220">
        <v>-36.24</v>
      </c>
      <c r="BA1220">
        <v>3.02</v>
      </c>
      <c r="BB1220" t="s">
        <v>83</v>
      </c>
    </row>
    <row r="1221" spans="1:54" x14ac:dyDescent="0.4">
      <c r="A1221">
        <v>465571</v>
      </c>
      <c r="D1221" t="s">
        <v>54</v>
      </c>
      <c r="E1221" t="s">
        <v>55</v>
      </c>
      <c r="G1221">
        <v>2</v>
      </c>
      <c r="H1221" t="s">
        <v>84</v>
      </c>
      <c r="I1221" t="s">
        <v>57</v>
      </c>
      <c r="K1221" t="s">
        <v>141</v>
      </c>
      <c r="L1221" t="s">
        <v>146</v>
      </c>
      <c r="M1221" t="s">
        <v>60</v>
      </c>
      <c r="O1221" t="s">
        <v>87</v>
      </c>
      <c r="P1221" t="s">
        <v>135</v>
      </c>
      <c r="R1221" t="s">
        <v>63</v>
      </c>
      <c r="S1221" t="s">
        <v>64</v>
      </c>
      <c r="T1221">
        <v>237</v>
      </c>
      <c r="U1221">
        <v>227</v>
      </c>
      <c r="V1221">
        <f t="shared" si="38"/>
        <v>232</v>
      </c>
      <c r="W1221">
        <f t="shared" si="39"/>
        <v>10</v>
      </c>
      <c r="X1221">
        <v>-3.3755000000000002</v>
      </c>
      <c r="Y1221">
        <v>51.459000000000003</v>
      </c>
      <c r="Z1221" t="s">
        <v>90</v>
      </c>
      <c r="AA1221" t="s">
        <v>91</v>
      </c>
      <c r="AB1221" t="s">
        <v>373</v>
      </c>
      <c r="AC1221" t="s">
        <v>374</v>
      </c>
      <c r="AH1221" t="s">
        <v>72</v>
      </c>
      <c r="AI1221" t="s">
        <v>792</v>
      </c>
      <c r="AJ1221">
        <v>1953</v>
      </c>
      <c r="AK1221" t="s">
        <v>375</v>
      </c>
      <c r="AM1221" t="s">
        <v>376</v>
      </c>
      <c r="AN1221" t="s">
        <v>76</v>
      </c>
      <c r="AO1221">
        <v>4</v>
      </c>
      <c r="AP1221" t="s">
        <v>78</v>
      </c>
      <c r="AQ1221" t="s">
        <v>377</v>
      </c>
      <c r="AR1221" t="s">
        <v>80</v>
      </c>
      <c r="AS1221">
        <v>315</v>
      </c>
      <c r="AT1221" t="s">
        <v>81</v>
      </c>
      <c r="AU1221">
        <v>8.41</v>
      </c>
      <c r="AV1221">
        <v>33.979999999999997</v>
      </c>
      <c r="AW1221" t="s">
        <v>82</v>
      </c>
      <c r="AX1221">
        <v>315</v>
      </c>
      <c r="AY1221" t="s">
        <v>81</v>
      </c>
      <c r="AZ1221">
        <v>-2.14</v>
      </c>
      <c r="BA1221">
        <v>36.659999999999997</v>
      </c>
      <c r="BB1221" t="s">
        <v>83</v>
      </c>
    </row>
    <row r="1222" spans="1:54" x14ac:dyDescent="0.4">
      <c r="A1222">
        <v>465572</v>
      </c>
      <c r="D1222" t="s">
        <v>54</v>
      </c>
      <c r="E1222" t="s">
        <v>55</v>
      </c>
      <c r="I1222" t="s">
        <v>57</v>
      </c>
      <c r="K1222" t="s">
        <v>58</v>
      </c>
      <c r="L1222" t="s">
        <v>97</v>
      </c>
      <c r="M1222" t="s">
        <v>60</v>
      </c>
      <c r="P1222" t="s">
        <v>135</v>
      </c>
      <c r="R1222" t="s">
        <v>63</v>
      </c>
      <c r="S1222" t="s">
        <v>64</v>
      </c>
      <c r="T1222">
        <v>237</v>
      </c>
      <c r="U1222">
        <v>227</v>
      </c>
      <c r="V1222">
        <f t="shared" si="38"/>
        <v>232</v>
      </c>
      <c r="W1222">
        <f t="shared" si="39"/>
        <v>10</v>
      </c>
      <c r="X1222">
        <v>-3.3755000000000002</v>
      </c>
      <c r="Y1222">
        <v>51.459000000000003</v>
      </c>
      <c r="Z1222" t="s">
        <v>90</v>
      </c>
      <c r="AA1222" t="s">
        <v>91</v>
      </c>
      <c r="AB1222" t="s">
        <v>373</v>
      </c>
      <c r="AC1222" t="s">
        <v>374</v>
      </c>
      <c r="AH1222" t="s">
        <v>11</v>
      </c>
      <c r="AI1222" t="s">
        <v>143</v>
      </c>
      <c r="AJ1222">
        <v>1986</v>
      </c>
      <c r="AK1222" t="s">
        <v>375</v>
      </c>
      <c r="AM1222" t="s">
        <v>376</v>
      </c>
      <c r="AN1222" t="s">
        <v>76</v>
      </c>
      <c r="AO1222">
        <v>4</v>
      </c>
      <c r="AP1222" t="s">
        <v>78</v>
      </c>
      <c r="AQ1222" t="s">
        <v>377</v>
      </c>
      <c r="AR1222" t="s">
        <v>80</v>
      </c>
      <c r="AS1222">
        <v>315</v>
      </c>
      <c r="AT1222" t="s">
        <v>81</v>
      </c>
      <c r="AU1222">
        <v>8.41</v>
      </c>
      <c r="AV1222">
        <v>33.979999999999997</v>
      </c>
      <c r="AW1222" t="s">
        <v>82</v>
      </c>
      <c r="AX1222">
        <v>315</v>
      </c>
      <c r="AY1222" t="s">
        <v>81</v>
      </c>
      <c r="AZ1222">
        <v>-2.14</v>
      </c>
      <c r="BA1222">
        <v>36.659999999999997</v>
      </c>
      <c r="BB1222" t="s">
        <v>83</v>
      </c>
    </row>
    <row r="1223" spans="1:54" x14ac:dyDescent="0.4">
      <c r="A1223">
        <v>465573</v>
      </c>
      <c r="D1223" t="s">
        <v>54</v>
      </c>
      <c r="E1223" t="s">
        <v>55</v>
      </c>
      <c r="I1223" t="s">
        <v>57</v>
      </c>
      <c r="K1223" t="s">
        <v>132</v>
      </c>
      <c r="L1223" t="s">
        <v>133</v>
      </c>
      <c r="M1223" t="s">
        <v>60</v>
      </c>
      <c r="N1223" t="s">
        <v>119</v>
      </c>
      <c r="O1223" t="s">
        <v>134</v>
      </c>
      <c r="P1223" t="s">
        <v>135</v>
      </c>
      <c r="R1223" t="s">
        <v>63</v>
      </c>
      <c r="S1223" t="s">
        <v>64</v>
      </c>
      <c r="T1223">
        <v>237</v>
      </c>
      <c r="U1223">
        <v>227</v>
      </c>
      <c r="V1223">
        <f t="shared" si="38"/>
        <v>232</v>
      </c>
      <c r="W1223">
        <f t="shared" si="39"/>
        <v>10</v>
      </c>
      <c r="X1223">
        <v>-3.3755000000000002</v>
      </c>
      <c r="Y1223">
        <v>51.459000000000003</v>
      </c>
      <c r="Z1223" t="s">
        <v>90</v>
      </c>
      <c r="AA1223" t="s">
        <v>91</v>
      </c>
      <c r="AB1223" t="s">
        <v>373</v>
      </c>
      <c r="AC1223" t="s">
        <v>374</v>
      </c>
      <c r="AH1223" t="s">
        <v>11</v>
      </c>
      <c r="AI1223" t="s">
        <v>143</v>
      </c>
      <c r="AJ1223">
        <v>1986</v>
      </c>
      <c r="AK1223" t="s">
        <v>375</v>
      </c>
      <c r="AM1223" t="s">
        <v>376</v>
      </c>
      <c r="AN1223" t="s">
        <v>76</v>
      </c>
      <c r="AO1223">
        <v>4</v>
      </c>
      <c r="AP1223" t="s">
        <v>78</v>
      </c>
      <c r="AQ1223" t="s">
        <v>377</v>
      </c>
      <c r="AR1223" t="s">
        <v>80</v>
      </c>
      <c r="AS1223">
        <v>315</v>
      </c>
      <c r="AT1223" t="s">
        <v>81</v>
      </c>
      <c r="AU1223">
        <v>8.41</v>
      </c>
      <c r="AV1223">
        <v>33.979999999999997</v>
      </c>
      <c r="AW1223" t="s">
        <v>82</v>
      </c>
      <c r="AX1223">
        <v>315</v>
      </c>
      <c r="AY1223" t="s">
        <v>81</v>
      </c>
      <c r="AZ1223">
        <v>-2.14</v>
      </c>
      <c r="BA1223">
        <v>36.659999999999997</v>
      </c>
      <c r="BB1223" t="s">
        <v>83</v>
      </c>
    </row>
    <row r="1224" spans="1:54" x14ac:dyDescent="0.4">
      <c r="A1224">
        <v>468647</v>
      </c>
      <c r="D1224" t="s">
        <v>54</v>
      </c>
      <c r="E1224" t="s">
        <v>152</v>
      </c>
      <c r="G1224">
        <v>10</v>
      </c>
      <c r="H1224" t="s">
        <v>84</v>
      </c>
      <c r="I1224" t="s">
        <v>57</v>
      </c>
      <c r="K1224" t="s">
        <v>206</v>
      </c>
      <c r="L1224" t="s">
        <v>815</v>
      </c>
      <c r="M1224" t="s">
        <v>60</v>
      </c>
      <c r="O1224" t="s">
        <v>170</v>
      </c>
      <c r="P1224" t="s">
        <v>135</v>
      </c>
      <c r="R1224" t="s">
        <v>63</v>
      </c>
      <c r="S1224" t="s">
        <v>64</v>
      </c>
      <c r="T1224">
        <v>237</v>
      </c>
      <c r="U1224">
        <v>227</v>
      </c>
      <c r="V1224">
        <f t="shared" si="38"/>
        <v>232</v>
      </c>
      <c r="W1224">
        <f t="shared" si="39"/>
        <v>10</v>
      </c>
      <c r="X1224">
        <v>-79.281943999999996</v>
      </c>
      <c r="Y1224">
        <v>35.560279999999999</v>
      </c>
      <c r="Z1224" t="s">
        <v>124</v>
      </c>
      <c r="AA1224" t="s">
        <v>66</v>
      </c>
      <c r="AB1224" t="s">
        <v>816</v>
      </c>
      <c r="AC1224" t="s">
        <v>70</v>
      </c>
      <c r="AD1224" t="s">
        <v>817</v>
      </c>
      <c r="AE1224" t="s">
        <v>70</v>
      </c>
      <c r="AH1224" t="s">
        <v>72</v>
      </c>
      <c r="AI1224" t="s">
        <v>740</v>
      </c>
      <c r="AJ1224">
        <v>1995</v>
      </c>
      <c r="AK1224" t="s">
        <v>818</v>
      </c>
      <c r="AM1224" t="s">
        <v>819</v>
      </c>
      <c r="AN1224" t="s">
        <v>114</v>
      </c>
      <c r="AO1224" t="s">
        <v>77</v>
      </c>
      <c r="AP1224" t="s">
        <v>78</v>
      </c>
      <c r="AQ1224" t="s">
        <v>820</v>
      </c>
      <c r="AR1224" t="s">
        <v>80</v>
      </c>
      <c r="AS1224">
        <v>109</v>
      </c>
      <c r="AT1224" t="s">
        <v>81</v>
      </c>
      <c r="AU1224">
        <v>-10.32</v>
      </c>
      <c r="AV1224">
        <v>10.82</v>
      </c>
      <c r="AW1224" t="s">
        <v>82</v>
      </c>
      <c r="AX1224">
        <v>109</v>
      </c>
      <c r="AY1224" t="s">
        <v>81</v>
      </c>
      <c r="AZ1224">
        <v>-18.12</v>
      </c>
      <c r="BA1224">
        <v>0.84</v>
      </c>
      <c r="BB1224" t="s">
        <v>83</v>
      </c>
    </row>
    <row r="1225" spans="1:54" x14ac:dyDescent="0.4">
      <c r="A1225">
        <v>471885</v>
      </c>
      <c r="D1225" t="s">
        <v>54</v>
      </c>
      <c r="E1225" t="s">
        <v>55</v>
      </c>
      <c r="G1225">
        <v>90</v>
      </c>
      <c r="H1225" t="s">
        <v>821</v>
      </c>
      <c r="I1225" t="s">
        <v>57</v>
      </c>
      <c r="K1225" t="s">
        <v>141</v>
      </c>
      <c r="L1225" t="s">
        <v>142</v>
      </c>
      <c r="M1225" t="s">
        <v>60</v>
      </c>
      <c r="P1225" t="s">
        <v>135</v>
      </c>
      <c r="R1225" t="s">
        <v>63</v>
      </c>
      <c r="S1225" t="s">
        <v>64</v>
      </c>
      <c r="T1225">
        <v>237</v>
      </c>
      <c r="U1225">
        <v>227</v>
      </c>
      <c r="V1225">
        <f t="shared" si="38"/>
        <v>232</v>
      </c>
      <c r="W1225">
        <f t="shared" si="39"/>
        <v>10</v>
      </c>
      <c r="X1225">
        <v>-2.4288889999999999</v>
      </c>
      <c r="Y1225">
        <v>51.622501</v>
      </c>
      <c r="Z1225" t="s">
        <v>90</v>
      </c>
      <c r="AA1225" t="s">
        <v>91</v>
      </c>
      <c r="AB1225" t="s">
        <v>92</v>
      </c>
      <c r="AC1225" t="s">
        <v>822</v>
      </c>
      <c r="AH1225" t="s">
        <v>72</v>
      </c>
      <c r="AI1225" t="s">
        <v>823</v>
      </c>
      <c r="AJ1225">
        <v>1986</v>
      </c>
      <c r="AK1225" t="s">
        <v>824</v>
      </c>
      <c r="AM1225" t="s">
        <v>825</v>
      </c>
      <c r="AN1225" t="s">
        <v>76</v>
      </c>
      <c r="AO1225" t="s">
        <v>77</v>
      </c>
      <c r="AP1225" t="s">
        <v>115</v>
      </c>
      <c r="AQ1225" t="s">
        <v>826</v>
      </c>
      <c r="AR1225" t="s">
        <v>80</v>
      </c>
      <c r="AS1225">
        <v>315</v>
      </c>
      <c r="AT1225" t="s">
        <v>81</v>
      </c>
      <c r="AU1225">
        <v>8.9700000000000006</v>
      </c>
      <c r="AV1225">
        <v>34.380000000000003</v>
      </c>
      <c r="AW1225" t="s">
        <v>82</v>
      </c>
      <c r="AX1225">
        <v>315</v>
      </c>
      <c r="AY1225" t="s">
        <v>81</v>
      </c>
      <c r="AZ1225">
        <v>-1.55</v>
      </c>
      <c r="BA1225">
        <v>37.049999999999997</v>
      </c>
      <c r="BB1225" t="s">
        <v>83</v>
      </c>
    </row>
    <row r="1226" spans="1:54" x14ac:dyDescent="0.4">
      <c r="A1226">
        <v>474116</v>
      </c>
      <c r="D1226" t="s">
        <v>835</v>
      </c>
      <c r="I1226" t="s">
        <v>57</v>
      </c>
      <c r="K1226" t="s">
        <v>293</v>
      </c>
      <c r="L1226" t="s">
        <v>294</v>
      </c>
      <c r="M1226" t="s">
        <v>60</v>
      </c>
      <c r="N1226" t="s">
        <v>256</v>
      </c>
      <c r="O1226" t="s">
        <v>87</v>
      </c>
      <c r="P1226" t="s">
        <v>135</v>
      </c>
      <c r="R1226" t="s">
        <v>63</v>
      </c>
      <c r="S1226" t="s">
        <v>64</v>
      </c>
      <c r="T1226">
        <v>237</v>
      </c>
      <c r="U1226">
        <v>227</v>
      </c>
      <c r="V1226">
        <f t="shared" si="38"/>
        <v>232</v>
      </c>
      <c r="W1226">
        <f t="shared" si="39"/>
        <v>10</v>
      </c>
      <c r="X1226">
        <v>-67.877776999999995</v>
      </c>
      <c r="Y1226">
        <v>-30.136944</v>
      </c>
      <c r="Z1226" t="s">
        <v>836</v>
      </c>
      <c r="AA1226" t="s">
        <v>185</v>
      </c>
      <c r="AB1226" t="s">
        <v>285</v>
      </c>
      <c r="AD1226" t="s">
        <v>286</v>
      </c>
      <c r="AG1226" t="s">
        <v>288</v>
      </c>
      <c r="AH1226" t="s">
        <v>11</v>
      </c>
      <c r="AI1226" t="s">
        <v>837</v>
      </c>
      <c r="AJ1226">
        <v>2005</v>
      </c>
      <c r="AK1226" t="s">
        <v>838</v>
      </c>
      <c r="AN1226" t="s">
        <v>76</v>
      </c>
      <c r="AO1226" t="s">
        <v>77</v>
      </c>
      <c r="AP1226" t="s">
        <v>115</v>
      </c>
      <c r="AQ1226" t="s">
        <v>839</v>
      </c>
      <c r="AR1226" t="s">
        <v>80</v>
      </c>
      <c r="AS1226">
        <v>291</v>
      </c>
      <c r="AT1226" t="s">
        <v>81</v>
      </c>
      <c r="AU1226">
        <v>-26.39</v>
      </c>
      <c r="AV1226">
        <v>-36.31</v>
      </c>
      <c r="AW1226" t="s">
        <v>82</v>
      </c>
      <c r="AX1226">
        <v>291</v>
      </c>
      <c r="AY1226" t="s">
        <v>81</v>
      </c>
      <c r="AZ1226">
        <v>-35.130000000000003</v>
      </c>
      <c r="BA1226">
        <v>-46.35</v>
      </c>
      <c r="BB1226" t="s">
        <v>83</v>
      </c>
    </row>
    <row r="1227" spans="1:54" x14ac:dyDescent="0.4">
      <c r="A1227">
        <v>474117</v>
      </c>
      <c r="D1227" t="s">
        <v>835</v>
      </c>
      <c r="I1227" t="s">
        <v>57</v>
      </c>
      <c r="K1227" t="s">
        <v>840</v>
      </c>
      <c r="L1227" t="s">
        <v>841</v>
      </c>
      <c r="M1227" t="s">
        <v>60</v>
      </c>
      <c r="O1227" t="s">
        <v>170</v>
      </c>
      <c r="P1227" t="s">
        <v>135</v>
      </c>
      <c r="R1227" t="s">
        <v>63</v>
      </c>
      <c r="S1227" t="s">
        <v>64</v>
      </c>
      <c r="T1227">
        <v>237</v>
      </c>
      <c r="U1227">
        <v>227</v>
      </c>
      <c r="V1227">
        <f t="shared" si="38"/>
        <v>232</v>
      </c>
      <c r="W1227">
        <f t="shared" si="39"/>
        <v>10</v>
      </c>
      <c r="X1227">
        <v>-67.877776999999995</v>
      </c>
      <c r="Y1227">
        <v>-30.136944</v>
      </c>
      <c r="Z1227" t="s">
        <v>836</v>
      </c>
      <c r="AA1227" t="s">
        <v>185</v>
      </c>
      <c r="AB1227" t="s">
        <v>285</v>
      </c>
      <c r="AD1227" t="s">
        <v>286</v>
      </c>
      <c r="AG1227" t="s">
        <v>288</v>
      </c>
      <c r="AH1227" t="s">
        <v>11</v>
      </c>
      <c r="AI1227" t="s">
        <v>837</v>
      </c>
      <c r="AJ1227">
        <v>2005</v>
      </c>
      <c r="AK1227" t="s">
        <v>838</v>
      </c>
      <c r="AN1227" t="s">
        <v>76</v>
      </c>
      <c r="AO1227" t="s">
        <v>77</v>
      </c>
      <c r="AP1227" t="s">
        <v>115</v>
      </c>
      <c r="AQ1227" t="s">
        <v>839</v>
      </c>
      <c r="AR1227" t="s">
        <v>80</v>
      </c>
      <c r="AS1227">
        <v>291</v>
      </c>
      <c r="AT1227" t="s">
        <v>81</v>
      </c>
      <c r="AU1227">
        <v>-26.39</v>
      </c>
      <c r="AV1227">
        <v>-36.31</v>
      </c>
      <c r="AW1227" t="s">
        <v>82</v>
      </c>
      <c r="AX1227">
        <v>291</v>
      </c>
      <c r="AY1227" t="s">
        <v>81</v>
      </c>
      <c r="AZ1227">
        <v>-35.130000000000003</v>
      </c>
      <c r="BA1227">
        <v>-46.35</v>
      </c>
      <c r="BB1227" t="s">
        <v>83</v>
      </c>
    </row>
    <row r="1228" spans="1:54" x14ac:dyDescent="0.4">
      <c r="A1228">
        <v>474119</v>
      </c>
      <c r="D1228" t="s">
        <v>54</v>
      </c>
      <c r="I1228" t="s">
        <v>57</v>
      </c>
      <c r="K1228" t="s">
        <v>840</v>
      </c>
      <c r="L1228" t="s">
        <v>841</v>
      </c>
      <c r="M1228" t="s">
        <v>60</v>
      </c>
      <c r="O1228" t="s">
        <v>170</v>
      </c>
      <c r="P1228" t="s">
        <v>135</v>
      </c>
      <c r="R1228" t="s">
        <v>63</v>
      </c>
      <c r="S1228" t="s">
        <v>64</v>
      </c>
      <c r="T1228">
        <v>237</v>
      </c>
      <c r="U1228">
        <v>227</v>
      </c>
      <c r="V1228">
        <f t="shared" si="38"/>
        <v>232</v>
      </c>
      <c r="W1228">
        <f t="shared" si="39"/>
        <v>10</v>
      </c>
      <c r="X1228">
        <v>-67.877776999999995</v>
      </c>
      <c r="Y1228">
        <v>-30.136944</v>
      </c>
      <c r="Z1228" t="s">
        <v>198</v>
      </c>
      <c r="AA1228" t="s">
        <v>185</v>
      </c>
      <c r="AB1228" t="s">
        <v>285</v>
      </c>
      <c r="AD1228" t="s">
        <v>286</v>
      </c>
      <c r="AG1228" t="s">
        <v>288</v>
      </c>
      <c r="AH1228" t="s">
        <v>11</v>
      </c>
      <c r="AI1228" t="s">
        <v>837</v>
      </c>
      <c r="AJ1228">
        <v>2005</v>
      </c>
      <c r="AK1228" t="s">
        <v>842</v>
      </c>
      <c r="AN1228" t="s">
        <v>76</v>
      </c>
      <c r="AO1228" t="s">
        <v>77</v>
      </c>
      <c r="AP1228" t="s">
        <v>115</v>
      </c>
      <c r="AQ1228" t="s">
        <v>843</v>
      </c>
      <c r="AR1228" t="s">
        <v>80</v>
      </c>
      <c r="AS1228">
        <v>291</v>
      </c>
      <c r="AT1228" t="s">
        <v>81</v>
      </c>
      <c r="AU1228">
        <v>-26.39</v>
      </c>
      <c r="AV1228">
        <v>-36.31</v>
      </c>
      <c r="AW1228" t="s">
        <v>82</v>
      </c>
      <c r="AX1228">
        <v>291</v>
      </c>
      <c r="AY1228" t="s">
        <v>81</v>
      </c>
      <c r="AZ1228">
        <v>-35.130000000000003</v>
      </c>
      <c r="BA1228">
        <v>-46.35</v>
      </c>
      <c r="BB1228" t="s">
        <v>83</v>
      </c>
    </row>
    <row r="1229" spans="1:54" x14ac:dyDescent="0.4">
      <c r="A1229">
        <v>484408</v>
      </c>
      <c r="D1229" t="s">
        <v>54</v>
      </c>
      <c r="E1229" t="s">
        <v>152</v>
      </c>
      <c r="I1229" t="s">
        <v>57</v>
      </c>
      <c r="K1229" t="s">
        <v>840</v>
      </c>
      <c r="L1229" t="s">
        <v>841</v>
      </c>
      <c r="M1229" t="s">
        <v>60</v>
      </c>
      <c r="O1229" t="s">
        <v>170</v>
      </c>
      <c r="P1229" t="s">
        <v>135</v>
      </c>
      <c r="R1229" t="s">
        <v>63</v>
      </c>
      <c r="S1229" t="s">
        <v>64</v>
      </c>
      <c r="T1229">
        <v>237</v>
      </c>
      <c r="U1229">
        <v>227</v>
      </c>
      <c r="V1229">
        <f t="shared" si="38"/>
        <v>232</v>
      </c>
      <c r="W1229">
        <f t="shared" si="39"/>
        <v>10</v>
      </c>
      <c r="X1229">
        <v>30.333331999999999</v>
      </c>
      <c r="Y1229">
        <v>-16.233333999999999</v>
      </c>
      <c r="Z1229" t="s">
        <v>198</v>
      </c>
      <c r="AA1229" t="s">
        <v>894</v>
      </c>
      <c r="AB1229" t="s">
        <v>895</v>
      </c>
      <c r="AD1229" t="s">
        <v>896</v>
      </c>
      <c r="AE1229" t="s">
        <v>897</v>
      </c>
      <c r="AH1229" t="s">
        <v>11</v>
      </c>
      <c r="AI1229" t="s">
        <v>898</v>
      </c>
      <c r="AJ1229">
        <v>1992</v>
      </c>
      <c r="AK1229" t="s">
        <v>899</v>
      </c>
      <c r="AN1229" t="s">
        <v>76</v>
      </c>
      <c r="AO1229" t="s">
        <v>160</v>
      </c>
      <c r="AP1229" t="s">
        <v>78</v>
      </c>
      <c r="AQ1229" t="s">
        <v>900</v>
      </c>
      <c r="AR1229" t="s">
        <v>80</v>
      </c>
      <c r="AS1229">
        <v>701</v>
      </c>
      <c r="AT1229" t="s">
        <v>81</v>
      </c>
      <c r="AU1229">
        <v>14.39</v>
      </c>
      <c r="AV1229">
        <v>-42.36</v>
      </c>
      <c r="AW1229" t="s">
        <v>82</v>
      </c>
      <c r="AX1229">
        <v>701</v>
      </c>
      <c r="AY1229" t="s">
        <v>81</v>
      </c>
      <c r="AZ1229">
        <v>13.23</v>
      </c>
      <c r="BA1229">
        <v>-50.41</v>
      </c>
      <c r="BB1229" t="s">
        <v>83</v>
      </c>
    </row>
    <row r="1230" spans="1:54" x14ac:dyDescent="0.4">
      <c r="A1230">
        <v>484409</v>
      </c>
      <c r="D1230" t="s">
        <v>54</v>
      </c>
      <c r="E1230" t="s">
        <v>152</v>
      </c>
      <c r="G1230">
        <v>1</v>
      </c>
      <c r="H1230" t="s">
        <v>84</v>
      </c>
      <c r="I1230" t="s">
        <v>57</v>
      </c>
      <c r="K1230" t="s">
        <v>901</v>
      </c>
      <c r="L1230" t="s">
        <v>902</v>
      </c>
      <c r="M1230" t="s">
        <v>60</v>
      </c>
      <c r="P1230" t="s">
        <v>135</v>
      </c>
      <c r="R1230" t="s">
        <v>63</v>
      </c>
      <c r="S1230" t="s">
        <v>64</v>
      </c>
      <c r="T1230">
        <v>237</v>
      </c>
      <c r="U1230">
        <v>227</v>
      </c>
      <c r="V1230">
        <f t="shared" si="38"/>
        <v>232</v>
      </c>
      <c r="W1230">
        <f t="shared" si="39"/>
        <v>10</v>
      </c>
      <c r="X1230">
        <v>30.333331999999999</v>
      </c>
      <c r="Y1230">
        <v>-16.233333999999999</v>
      </c>
      <c r="Z1230" t="s">
        <v>198</v>
      </c>
      <c r="AA1230" t="s">
        <v>894</v>
      </c>
      <c r="AB1230" t="s">
        <v>895</v>
      </c>
      <c r="AD1230" t="s">
        <v>896</v>
      </c>
      <c r="AE1230" t="s">
        <v>897</v>
      </c>
      <c r="AH1230" t="s">
        <v>11</v>
      </c>
      <c r="AI1230" t="s">
        <v>903</v>
      </c>
      <c r="AJ1230">
        <v>1999</v>
      </c>
      <c r="AK1230" t="s">
        <v>899</v>
      </c>
      <c r="AN1230" t="s">
        <v>76</v>
      </c>
      <c r="AO1230" t="s">
        <v>160</v>
      </c>
      <c r="AP1230" t="s">
        <v>78</v>
      </c>
      <c r="AQ1230" t="s">
        <v>900</v>
      </c>
      <c r="AR1230" t="s">
        <v>80</v>
      </c>
      <c r="AS1230">
        <v>701</v>
      </c>
      <c r="AT1230" t="s">
        <v>81</v>
      </c>
      <c r="AU1230">
        <v>14.39</v>
      </c>
      <c r="AV1230">
        <v>-42.36</v>
      </c>
      <c r="AW1230" t="s">
        <v>82</v>
      </c>
      <c r="AX1230">
        <v>701</v>
      </c>
      <c r="AY1230" t="s">
        <v>81</v>
      </c>
      <c r="AZ1230">
        <v>13.23</v>
      </c>
      <c r="BA1230">
        <v>-50.41</v>
      </c>
      <c r="BB1230" t="s">
        <v>83</v>
      </c>
    </row>
    <row r="1231" spans="1:54" x14ac:dyDescent="0.4">
      <c r="A1231">
        <v>486188</v>
      </c>
      <c r="D1231" t="s">
        <v>54</v>
      </c>
      <c r="E1231" t="s">
        <v>152</v>
      </c>
      <c r="G1231">
        <v>1</v>
      </c>
      <c r="H1231" t="s">
        <v>56</v>
      </c>
      <c r="I1231" t="s">
        <v>57</v>
      </c>
      <c r="K1231" t="s">
        <v>293</v>
      </c>
      <c r="L1231" t="s">
        <v>942</v>
      </c>
      <c r="M1231" t="s">
        <v>60</v>
      </c>
      <c r="N1231" t="s">
        <v>256</v>
      </c>
      <c r="O1231" t="s">
        <v>87</v>
      </c>
      <c r="P1231" t="s">
        <v>135</v>
      </c>
      <c r="R1231" t="s">
        <v>63</v>
      </c>
      <c r="S1231" t="s">
        <v>64</v>
      </c>
      <c r="T1231">
        <v>237</v>
      </c>
      <c r="U1231">
        <v>227</v>
      </c>
      <c r="V1231">
        <f t="shared" si="38"/>
        <v>232</v>
      </c>
      <c r="W1231">
        <f t="shared" si="39"/>
        <v>10</v>
      </c>
      <c r="X1231">
        <v>-53.799999</v>
      </c>
      <c r="Y1231">
        <v>-29.683001000000001</v>
      </c>
      <c r="Z1231" t="s">
        <v>124</v>
      </c>
      <c r="AA1231" t="s">
        <v>783</v>
      </c>
      <c r="AB1231" t="s">
        <v>784</v>
      </c>
      <c r="AD1231" t="s">
        <v>943</v>
      </c>
      <c r="AF1231" t="s">
        <v>944</v>
      </c>
      <c r="AH1231" t="s">
        <v>72</v>
      </c>
      <c r="AI1231" t="s">
        <v>73</v>
      </c>
      <c r="AJ1231">
        <v>1970</v>
      </c>
      <c r="AK1231" t="s">
        <v>945</v>
      </c>
      <c r="AM1231" t="s">
        <v>946</v>
      </c>
      <c r="AN1231" t="s">
        <v>114</v>
      </c>
      <c r="AO1231">
        <v>3</v>
      </c>
      <c r="AP1231" t="s">
        <v>115</v>
      </c>
      <c r="AQ1231" t="s">
        <v>947</v>
      </c>
      <c r="AR1231" t="s">
        <v>80</v>
      </c>
      <c r="AS1231">
        <v>201</v>
      </c>
      <c r="AT1231" t="s">
        <v>81</v>
      </c>
      <c r="AU1231">
        <v>-11.61</v>
      </c>
      <c r="AV1231">
        <v>-36.86</v>
      </c>
      <c r="AW1231" t="s">
        <v>82</v>
      </c>
      <c r="AX1231">
        <v>202</v>
      </c>
      <c r="AY1231" t="s">
        <v>81</v>
      </c>
      <c r="AZ1231">
        <v>-17.52</v>
      </c>
      <c r="BA1231">
        <v>-46.52</v>
      </c>
      <c r="BB1231" t="s">
        <v>83</v>
      </c>
    </row>
    <row r="1232" spans="1:54" x14ac:dyDescent="0.4">
      <c r="A1232">
        <v>518725</v>
      </c>
      <c r="D1232" t="s">
        <v>54</v>
      </c>
      <c r="E1232" t="s">
        <v>152</v>
      </c>
      <c r="G1232">
        <v>1</v>
      </c>
      <c r="H1232" t="s">
        <v>56</v>
      </c>
      <c r="I1232" t="s">
        <v>57</v>
      </c>
      <c r="K1232" t="s">
        <v>293</v>
      </c>
      <c r="L1232" t="s">
        <v>294</v>
      </c>
      <c r="M1232" t="s">
        <v>60</v>
      </c>
      <c r="N1232" t="s">
        <v>256</v>
      </c>
      <c r="O1232" t="s">
        <v>87</v>
      </c>
      <c r="P1232" t="s">
        <v>135</v>
      </c>
      <c r="R1232" t="s">
        <v>63</v>
      </c>
      <c r="S1232" t="s">
        <v>64</v>
      </c>
      <c r="T1232">
        <v>237</v>
      </c>
      <c r="U1232">
        <v>227</v>
      </c>
      <c r="V1232">
        <f t="shared" si="38"/>
        <v>232</v>
      </c>
      <c r="W1232">
        <f t="shared" si="39"/>
        <v>10</v>
      </c>
      <c r="X1232">
        <v>-68.699996999999996</v>
      </c>
      <c r="Y1232">
        <v>-29.216669</v>
      </c>
      <c r="Z1232" t="s">
        <v>124</v>
      </c>
      <c r="AA1232" t="s">
        <v>185</v>
      </c>
      <c r="AB1232" t="s">
        <v>285</v>
      </c>
      <c r="AC1232" t="s">
        <v>1092</v>
      </c>
      <c r="AD1232" t="s">
        <v>286</v>
      </c>
      <c r="AH1232" t="s">
        <v>72</v>
      </c>
      <c r="AI1232" t="s">
        <v>1093</v>
      </c>
      <c r="AJ1232">
        <v>1963</v>
      </c>
      <c r="AK1232" t="s">
        <v>1094</v>
      </c>
      <c r="AM1232" t="s">
        <v>1095</v>
      </c>
      <c r="AN1232" t="s">
        <v>114</v>
      </c>
      <c r="AO1232">
        <v>5</v>
      </c>
      <c r="AP1232" t="s">
        <v>115</v>
      </c>
      <c r="AQ1232" t="s">
        <v>1096</v>
      </c>
      <c r="AR1232" t="s">
        <v>80</v>
      </c>
      <c r="AS1232">
        <v>291</v>
      </c>
      <c r="AT1232" t="s">
        <v>81</v>
      </c>
      <c r="AU1232">
        <v>-27.31</v>
      </c>
      <c r="AV1232">
        <v>-35.42</v>
      </c>
      <c r="AW1232" t="s">
        <v>82</v>
      </c>
      <c r="AX1232">
        <v>291</v>
      </c>
      <c r="AY1232" t="s">
        <v>81</v>
      </c>
      <c r="AZ1232">
        <v>-36.159999999999997</v>
      </c>
      <c r="BA1232">
        <v>-45.43</v>
      </c>
      <c r="BB1232" t="s">
        <v>83</v>
      </c>
    </row>
    <row r="1233" spans="1:54" x14ac:dyDescent="0.4">
      <c r="A1233">
        <v>518725</v>
      </c>
      <c r="D1233" t="s">
        <v>54</v>
      </c>
      <c r="E1233" t="s">
        <v>152</v>
      </c>
      <c r="G1233">
        <v>1</v>
      </c>
      <c r="H1233" t="s">
        <v>56</v>
      </c>
      <c r="I1233" t="s">
        <v>57</v>
      </c>
      <c r="K1233" t="s">
        <v>293</v>
      </c>
      <c r="L1233" t="s">
        <v>294</v>
      </c>
      <c r="M1233" t="s">
        <v>60</v>
      </c>
      <c r="N1233" t="s">
        <v>256</v>
      </c>
      <c r="O1233" t="s">
        <v>87</v>
      </c>
      <c r="P1233" t="s">
        <v>135</v>
      </c>
      <c r="R1233" t="s">
        <v>63</v>
      </c>
      <c r="S1233" t="s">
        <v>64</v>
      </c>
      <c r="T1233">
        <v>237</v>
      </c>
      <c r="U1233">
        <v>227</v>
      </c>
      <c r="V1233">
        <f t="shared" si="38"/>
        <v>232</v>
      </c>
      <c r="W1233">
        <f t="shared" si="39"/>
        <v>10</v>
      </c>
      <c r="X1233">
        <v>-68.699996999999996</v>
      </c>
      <c r="Y1233">
        <v>-29.216669</v>
      </c>
      <c r="Z1233" t="s">
        <v>124</v>
      </c>
      <c r="AA1233" t="s">
        <v>185</v>
      </c>
      <c r="AB1233" t="s">
        <v>285</v>
      </c>
      <c r="AC1233" t="s">
        <v>1092</v>
      </c>
      <c r="AD1233" t="s">
        <v>286</v>
      </c>
      <c r="AH1233" t="s">
        <v>72</v>
      </c>
      <c r="AI1233" t="s">
        <v>1093</v>
      </c>
      <c r="AJ1233">
        <v>1963</v>
      </c>
      <c r="AK1233" t="s">
        <v>1094</v>
      </c>
      <c r="AM1233" t="s">
        <v>1095</v>
      </c>
      <c r="AN1233" t="s">
        <v>114</v>
      </c>
      <c r="AO1233">
        <v>5</v>
      </c>
      <c r="AP1233" t="s">
        <v>115</v>
      </c>
      <c r="AQ1233" t="s">
        <v>1096</v>
      </c>
      <c r="AR1233" t="s">
        <v>80</v>
      </c>
      <c r="AS1233">
        <v>291</v>
      </c>
      <c r="AT1233" t="s">
        <v>81</v>
      </c>
      <c r="AU1233">
        <v>-27.31</v>
      </c>
      <c r="AV1233">
        <v>-35.42</v>
      </c>
      <c r="AW1233" t="s">
        <v>82</v>
      </c>
      <c r="AX1233">
        <v>291</v>
      </c>
      <c r="AY1233" t="s">
        <v>81</v>
      </c>
      <c r="AZ1233">
        <v>-36.159999999999997</v>
      </c>
      <c r="BA1233">
        <v>-45.43</v>
      </c>
      <c r="BB1233" t="s">
        <v>83</v>
      </c>
    </row>
    <row r="1234" spans="1:54" x14ac:dyDescent="0.4">
      <c r="A1234">
        <v>518726</v>
      </c>
      <c r="D1234" t="s">
        <v>54</v>
      </c>
      <c r="E1234" t="s">
        <v>55</v>
      </c>
      <c r="G1234">
        <v>1</v>
      </c>
      <c r="H1234" t="s">
        <v>56</v>
      </c>
      <c r="I1234" t="s">
        <v>57</v>
      </c>
      <c r="K1234" t="s">
        <v>293</v>
      </c>
      <c r="L1234" t="s">
        <v>294</v>
      </c>
      <c r="M1234" t="s">
        <v>60</v>
      </c>
      <c r="N1234" t="s">
        <v>256</v>
      </c>
      <c r="O1234" t="s">
        <v>87</v>
      </c>
      <c r="P1234" t="s">
        <v>135</v>
      </c>
      <c r="R1234" t="s">
        <v>63</v>
      </c>
      <c r="S1234" t="s">
        <v>64</v>
      </c>
      <c r="T1234">
        <v>237</v>
      </c>
      <c r="U1234">
        <v>227</v>
      </c>
      <c r="V1234">
        <f t="shared" si="38"/>
        <v>232</v>
      </c>
      <c r="W1234">
        <f t="shared" si="39"/>
        <v>10</v>
      </c>
      <c r="X1234">
        <v>-68.699996999999996</v>
      </c>
      <c r="Y1234">
        <v>-29.216669</v>
      </c>
      <c r="Z1234" t="s">
        <v>124</v>
      </c>
      <c r="AA1234" t="s">
        <v>185</v>
      </c>
      <c r="AB1234" t="s">
        <v>285</v>
      </c>
      <c r="AC1234" t="s">
        <v>1092</v>
      </c>
      <c r="AD1234" t="s">
        <v>286</v>
      </c>
      <c r="AH1234" t="s">
        <v>72</v>
      </c>
      <c r="AI1234" t="s">
        <v>1093</v>
      </c>
      <c r="AJ1234">
        <v>1963</v>
      </c>
      <c r="AK1234" t="s">
        <v>1097</v>
      </c>
      <c r="AM1234" t="s">
        <v>1098</v>
      </c>
      <c r="AN1234" t="s">
        <v>114</v>
      </c>
      <c r="AO1234">
        <v>5</v>
      </c>
      <c r="AP1234" t="s">
        <v>115</v>
      </c>
      <c r="AQ1234" t="s">
        <v>1099</v>
      </c>
      <c r="AR1234" t="s">
        <v>80</v>
      </c>
      <c r="AS1234">
        <v>291</v>
      </c>
      <c r="AT1234" t="s">
        <v>81</v>
      </c>
      <c r="AU1234">
        <v>-27.31</v>
      </c>
      <c r="AV1234">
        <v>-35.42</v>
      </c>
      <c r="AW1234" t="s">
        <v>82</v>
      </c>
      <c r="AX1234">
        <v>291</v>
      </c>
      <c r="AY1234" t="s">
        <v>81</v>
      </c>
      <c r="AZ1234">
        <v>-36.159999999999997</v>
      </c>
      <c r="BA1234">
        <v>-45.43</v>
      </c>
      <c r="BB1234" t="s">
        <v>83</v>
      </c>
    </row>
    <row r="1235" spans="1:54" x14ac:dyDescent="0.4">
      <c r="A1235">
        <v>518727</v>
      </c>
      <c r="D1235" t="s">
        <v>54</v>
      </c>
      <c r="E1235" t="s">
        <v>55</v>
      </c>
      <c r="G1235">
        <v>1</v>
      </c>
      <c r="H1235" t="s">
        <v>56</v>
      </c>
      <c r="I1235" t="s">
        <v>57</v>
      </c>
      <c r="K1235" t="s">
        <v>293</v>
      </c>
      <c r="L1235" t="s">
        <v>294</v>
      </c>
      <c r="M1235" t="s">
        <v>60</v>
      </c>
      <c r="N1235" t="s">
        <v>256</v>
      </c>
      <c r="O1235" t="s">
        <v>87</v>
      </c>
      <c r="P1235" t="s">
        <v>135</v>
      </c>
      <c r="R1235" t="s">
        <v>63</v>
      </c>
      <c r="S1235" t="s">
        <v>64</v>
      </c>
      <c r="T1235">
        <v>237</v>
      </c>
      <c r="U1235">
        <v>227</v>
      </c>
      <c r="V1235">
        <f t="shared" si="38"/>
        <v>232</v>
      </c>
      <c r="W1235">
        <f t="shared" si="39"/>
        <v>10</v>
      </c>
      <c r="X1235">
        <v>-68.699996999999996</v>
      </c>
      <c r="Y1235">
        <v>-29.216669</v>
      </c>
      <c r="Z1235" t="s">
        <v>124</v>
      </c>
      <c r="AA1235" t="s">
        <v>185</v>
      </c>
      <c r="AB1235" t="s">
        <v>285</v>
      </c>
      <c r="AC1235" t="s">
        <v>1092</v>
      </c>
      <c r="AD1235" t="s">
        <v>286</v>
      </c>
      <c r="AH1235" t="s">
        <v>72</v>
      </c>
      <c r="AI1235" t="s">
        <v>1093</v>
      </c>
      <c r="AJ1235">
        <v>1963</v>
      </c>
      <c r="AK1235" t="s">
        <v>1100</v>
      </c>
      <c r="AM1235" t="s">
        <v>1101</v>
      </c>
      <c r="AN1235" t="s">
        <v>114</v>
      </c>
      <c r="AO1235">
        <v>5</v>
      </c>
      <c r="AP1235" t="s">
        <v>78</v>
      </c>
      <c r="AQ1235" t="s">
        <v>1102</v>
      </c>
      <c r="AR1235" t="s">
        <v>80</v>
      </c>
      <c r="AS1235">
        <v>291</v>
      </c>
      <c r="AT1235" t="s">
        <v>81</v>
      </c>
      <c r="AU1235">
        <v>-27.31</v>
      </c>
      <c r="AV1235">
        <v>-35.42</v>
      </c>
      <c r="AW1235" t="s">
        <v>82</v>
      </c>
      <c r="AX1235">
        <v>291</v>
      </c>
      <c r="AY1235" t="s">
        <v>81</v>
      </c>
      <c r="AZ1235">
        <v>-36.159999999999997</v>
      </c>
      <c r="BA1235">
        <v>-45.43</v>
      </c>
      <c r="BB1235" t="s">
        <v>83</v>
      </c>
    </row>
    <row r="1236" spans="1:54" x14ac:dyDescent="0.4">
      <c r="A1236">
        <v>518731</v>
      </c>
      <c r="D1236" t="s">
        <v>54</v>
      </c>
      <c r="E1236" t="s">
        <v>297</v>
      </c>
      <c r="G1236">
        <v>1</v>
      </c>
      <c r="H1236" t="s">
        <v>56</v>
      </c>
      <c r="I1236" t="s">
        <v>57</v>
      </c>
      <c r="K1236" t="s">
        <v>293</v>
      </c>
      <c r="L1236" t="s">
        <v>294</v>
      </c>
      <c r="M1236" t="s">
        <v>60</v>
      </c>
      <c r="N1236" t="s">
        <v>256</v>
      </c>
      <c r="O1236" t="s">
        <v>87</v>
      </c>
      <c r="P1236" t="s">
        <v>135</v>
      </c>
      <c r="R1236" t="s">
        <v>63</v>
      </c>
      <c r="S1236" t="s">
        <v>64</v>
      </c>
      <c r="T1236">
        <v>237</v>
      </c>
      <c r="U1236">
        <v>227</v>
      </c>
      <c r="V1236">
        <f t="shared" si="38"/>
        <v>232</v>
      </c>
      <c r="W1236">
        <f t="shared" si="39"/>
        <v>10</v>
      </c>
      <c r="X1236">
        <v>-68.699996999999996</v>
      </c>
      <c r="Y1236">
        <v>-29.216669</v>
      </c>
      <c r="Z1236" t="s">
        <v>124</v>
      </c>
      <c r="AA1236" t="s">
        <v>185</v>
      </c>
      <c r="AB1236" t="s">
        <v>285</v>
      </c>
      <c r="AC1236" t="s">
        <v>1092</v>
      </c>
      <c r="AD1236" t="s">
        <v>286</v>
      </c>
      <c r="AH1236" t="s">
        <v>72</v>
      </c>
      <c r="AI1236" t="s">
        <v>1093</v>
      </c>
      <c r="AJ1236">
        <v>1963</v>
      </c>
      <c r="AK1236" t="s">
        <v>1103</v>
      </c>
      <c r="AN1236" t="s">
        <v>114</v>
      </c>
      <c r="AO1236">
        <v>5</v>
      </c>
      <c r="AP1236" t="s">
        <v>115</v>
      </c>
      <c r="AQ1236" t="s">
        <v>1104</v>
      </c>
      <c r="AR1236" t="s">
        <v>80</v>
      </c>
      <c r="AS1236">
        <v>291</v>
      </c>
      <c r="AT1236" t="s">
        <v>81</v>
      </c>
      <c r="AU1236">
        <v>-27.31</v>
      </c>
      <c r="AV1236">
        <v>-35.42</v>
      </c>
      <c r="AW1236" t="s">
        <v>82</v>
      </c>
      <c r="AX1236">
        <v>291</v>
      </c>
      <c r="AY1236" t="s">
        <v>81</v>
      </c>
      <c r="AZ1236">
        <v>-36.159999999999997</v>
      </c>
      <c r="BA1236">
        <v>-45.43</v>
      </c>
      <c r="BB1236" t="s">
        <v>83</v>
      </c>
    </row>
    <row r="1237" spans="1:54" x14ac:dyDescent="0.4">
      <c r="A1237">
        <v>518732</v>
      </c>
      <c r="D1237" t="s">
        <v>54</v>
      </c>
      <c r="E1237" t="s">
        <v>55</v>
      </c>
      <c r="G1237">
        <v>1</v>
      </c>
      <c r="H1237" t="s">
        <v>56</v>
      </c>
      <c r="I1237" t="s">
        <v>57</v>
      </c>
      <c r="K1237" t="s">
        <v>293</v>
      </c>
      <c r="L1237" t="s">
        <v>294</v>
      </c>
      <c r="M1237" t="s">
        <v>60</v>
      </c>
      <c r="N1237" t="s">
        <v>256</v>
      </c>
      <c r="O1237" t="s">
        <v>87</v>
      </c>
      <c r="P1237" t="s">
        <v>135</v>
      </c>
      <c r="R1237" t="s">
        <v>63</v>
      </c>
      <c r="S1237" t="s">
        <v>64</v>
      </c>
      <c r="T1237">
        <v>237</v>
      </c>
      <c r="U1237">
        <v>227</v>
      </c>
      <c r="V1237">
        <f t="shared" si="38"/>
        <v>232</v>
      </c>
      <c r="W1237">
        <f t="shared" si="39"/>
        <v>10</v>
      </c>
      <c r="X1237">
        <v>-68.699996999999996</v>
      </c>
      <c r="Y1237">
        <v>-29.216669</v>
      </c>
      <c r="Z1237" t="s">
        <v>124</v>
      </c>
      <c r="AA1237" t="s">
        <v>185</v>
      </c>
      <c r="AB1237" t="s">
        <v>285</v>
      </c>
      <c r="AC1237" t="s">
        <v>1092</v>
      </c>
      <c r="AD1237" t="s">
        <v>286</v>
      </c>
      <c r="AH1237" t="s">
        <v>72</v>
      </c>
      <c r="AI1237" t="s">
        <v>1093</v>
      </c>
      <c r="AJ1237">
        <v>1963</v>
      </c>
      <c r="AK1237" t="s">
        <v>1105</v>
      </c>
      <c r="AM1237" t="s">
        <v>1106</v>
      </c>
      <c r="AN1237" t="s">
        <v>114</v>
      </c>
      <c r="AO1237">
        <v>5</v>
      </c>
      <c r="AP1237" t="s">
        <v>115</v>
      </c>
      <c r="AQ1237" t="s">
        <v>1107</v>
      </c>
      <c r="AR1237" t="s">
        <v>80</v>
      </c>
      <c r="AS1237">
        <v>291</v>
      </c>
      <c r="AT1237" t="s">
        <v>81</v>
      </c>
      <c r="AU1237">
        <v>-27.31</v>
      </c>
      <c r="AV1237">
        <v>-35.42</v>
      </c>
      <c r="AW1237" t="s">
        <v>82</v>
      </c>
      <c r="AX1237">
        <v>291</v>
      </c>
      <c r="AY1237" t="s">
        <v>81</v>
      </c>
      <c r="AZ1237">
        <v>-36.159999999999997</v>
      </c>
      <c r="BA1237">
        <v>-45.43</v>
      </c>
      <c r="BB1237" t="s">
        <v>83</v>
      </c>
    </row>
    <row r="1238" spans="1:54" x14ac:dyDescent="0.4">
      <c r="A1238">
        <v>518733</v>
      </c>
      <c r="D1238" t="s">
        <v>54</v>
      </c>
      <c r="E1238" t="s">
        <v>55</v>
      </c>
      <c r="G1238">
        <v>1</v>
      </c>
      <c r="H1238" t="s">
        <v>56</v>
      </c>
      <c r="I1238" t="s">
        <v>57</v>
      </c>
      <c r="K1238" t="s">
        <v>293</v>
      </c>
      <c r="L1238" t="s">
        <v>294</v>
      </c>
      <c r="M1238" t="s">
        <v>60</v>
      </c>
      <c r="N1238" t="s">
        <v>256</v>
      </c>
      <c r="O1238" t="s">
        <v>87</v>
      </c>
      <c r="P1238" t="s">
        <v>135</v>
      </c>
      <c r="R1238" t="s">
        <v>63</v>
      </c>
      <c r="S1238" t="s">
        <v>64</v>
      </c>
      <c r="T1238">
        <v>237</v>
      </c>
      <c r="U1238">
        <v>227</v>
      </c>
      <c r="V1238">
        <f t="shared" si="38"/>
        <v>232</v>
      </c>
      <c r="W1238">
        <f t="shared" si="39"/>
        <v>10</v>
      </c>
      <c r="X1238">
        <v>-68.699996999999996</v>
      </c>
      <c r="Y1238">
        <v>-29.216669</v>
      </c>
      <c r="Z1238" t="s">
        <v>124</v>
      </c>
      <c r="AA1238" t="s">
        <v>185</v>
      </c>
      <c r="AB1238" t="s">
        <v>285</v>
      </c>
      <c r="AC1238" t="s">
        <v>1092</v>
      </c>
      <c r="AD1238" t="s">
        <v>286</v>
      </c>
      <c r="AH1238" t="s">
        <v>72</v>
      </c>
      <c r="AI1238" t="s">
        <v>1093</v>
      </c>
      <c r="AJ1238">
        <v>1963</v>
      </c>
      <c r="AK1238" t="s">
        <v>1108</v>
      </c>
      <c r="AM1238" t="s">
        <v>1109</v>
      </c>
      <c r="AN1238" t="s">
        <v>114</v>
      </c>
      <c r="AO1238">
        <v>5</v>
      </c>
      <c r="AP1238" t="s">
        <v>115</v>
      </c>
      <c r="AQ1238" t="s">
        <v>1110</v>
      </c>
      <c r="AR1238" t="s">
        <v>80</v>
      </c>
      <c r="AS1238">
        <v>291</v>
      </c>
      <c r="AT1238" t="s">
        <v>81</v>
      </c>
      <c r="AU1238">
        <v>-27.31</v>
      </c>
      <c r="AV1238">
        <v>-35.42</v>
      </c>
      <c r="AW1238" t="s">
        <v>82</v>
      </c>
      <c r="AX1238">
        <v>291</v>
      </c>
      <c r="AY1238" t="s">
        <v>81</v>
      </c>
      <c r="AZ1238">
        <v>-36.159999999999997</v>
      </c>
      <c r="BA1238">
        <v>-45.43</v>
      </c>
      <c r="BB1238" t="s">
        <v>83</v>
      </c>
    </row>
    <row r="1239" spans="1:54" x14ac:dyDescent="0.4">
      <c r="A1239">
        <v>518734</v>
      </c>
      <c r="D1239" t="s">
        <v>54</v>
      </c>
      <c r="E1239" t="s">
        <v>55</v>
      </c>
      <c r="G1239">
        <v>1</v>
      </c>
      <c r="H1239" t="s">
        <v>56</v>
      </c>
      <c r="I1239" t="s">
        <v>57</v>
      </c>
      <c r="K1239" t="s">
        <v>141</v>
      </c>
      <c r="L1239" t="s">
        <v>1111</v>
      </c>
      <c r="M1239" t="s">
        <v>60</v>
      </c>
      <c r="O1239" t="s">
        <v>87</v>
      </c>
      <c r="P1239" t="s">
        <v>135</v>
      </c>
      <c r="R1239" t="s">
        <v>63</v>
      </c>
      <c r="S1239" t="s">
        <v>64</v>
      </c>
      <c r="T1239">
        <v>237</v>
      </c>
      <c r="U1239">
        <v>227</v>
      </c>
      <c r="V1239">
        <f t="shared" si="38"/>
        <v>232</v>
      </c>
      <c r="W1239">
        <f t="shared" si="39"/>
        <v>10</v>
      </c>
      <c r="X1239">
        <v>-68.699996999999996</v>
      </c>
      <c r="Y1239">
        <v>-29.216669</v>
      </c>
      <c r="Z1239" t="s">
        <v>124</v>
      </c>
      <c r="AA1239" t="s">
        <v>185</v>
      </c>
      <c r="AB1239" t="s">
        <v>285</v>
      </c>
      <c r="AC1239" t="s">
        <v>1092</v>
      </c>
      <c r="AD1239" t="s">
        <v>286</v>
      </c>
      <c r="AF1239" t="s">
        <v>287</v>
      </c>
      <c r="AG1239" t="s">
        <v>288</v>
      </c>
      <c r="AH1239" t="s">
        <v>72</v>
      </c>
      <c r="AI1239" t="s">
        <v>1093</v>
      </c>
      <c r="AJ1239">
        <v>1963</v>
      </c>
      <c r="AK1239" t="s">
        <v>1112</v>
      </c>
      <c r="AM1239" t="s">
        <v>1113</v>
      </c>
      <c r="AN1239" t="s">
        <v>114</v>
      </c>
      <c r="AO1239">
        <v>5</v>
      </c>
      <c r="AP1239" t="s">
        <v>78</v>
      </c>
      <c r="AQ1239" t="s">
        <v>1114</v>
      </c>
      <c r="AR1239" t="s">
        <v>80</v>
      </c>
      <c r="AS1239">
        <v>291</v>
      </c>
      <c r="AT1239" t="s">
        <v>81</v>
      </c>
      <c r="AU1239">
        <v>-27.31</v>
      </c>
      <c r="AV1239">
        <v>-35.42</v>
      </c>
      <c r="AW1239" t="s">
        <v>82</v>
      </c>
      <c r="AX1239">
        <v>291</v>
      </c>
      <c r="AY1239" t="s">
        <v>81</v>
      </c>
      <c r="AZ1239">
        <v>-36.159999999999997</v>
      </c>
      <c r="BA1239">
        <v>-45.43</v>
      </c>
      <c r="BB1239" t="s">
        <v>83</v>
      </c>
    </row>
    <row r="1240" spans="1:54" x14ac:dyDescent="0.4">
      <c r="A1240">
        <v>518737</v>
      </c>
      <c r="D1240" t="s">
        <v>54</v>
      </c>
      <c r="E1240" t="s">
        <v>55</v>
      </c>
      <c r="G1240">
        <v>1</v>
      </c>
      <c r="H1240" t="s">
        <v>56</v>
      </c>
      <c r="I1240" t="s">
        <v>57</v>
      </c>
      <c r="K1240" t="s">
        <v>316</v>
      </c>
      <c r="L1240" t="s">
        <v>1115</v>
      </c>
      <c r="M1240" t="s">
        <v>60</v>
      </c>
      <c r="P1240" t="s">
        <v>135</v>
      </c>
      <c r="R1240" t="s">
        <v>63</v>
      </c>
      <c r="S1240" t="s">
        <v>64</v>
      </c>
      <c r="T1240">
        <v>237</v>
      </c>
      <c r="U1240">
        <v>227</v>
      </c>
      <c r="V1240">
        <f t="shared" si="38"/>
        <v>232</v>
      </c>
      <c r="W1240">
        <f t="shared" si="39"/>
        <v>10</v>
      </c>
      <c r="X1240">
        <v>-68.699996999999996</v>
      </c>
      <c r="Y1240">
        <v>-29.216669</v>
      </c>
      <c r="Z1240" t="s">
        <v>124</v>
      </c>
      <c r="AA1240" t="s">
        <v>185</v>
      </c>
      <c r="AB1240" t="s">
        <v>285</v>
      </c>
      <c r="AC1240" t="s">
        <v>1092</v>
      </c>
      <c r="AD1240" t="s">
        <v>286</v>
      </c>
      <c r="AF1240" t="s">
        <v>287</v>
      </c>
      <c r="AG1240" t="s">
        <v>288</v>
      </c>
      <c r="AH1240" t="s">
        <v>11</v>
      </c>
      <c r="AI1240" t="s">
        <v>1093</v>
      </c>
      <c r="AJ1240">
        <v>1963</v>
      </c>
      <c r="AK1240" t="s">
        <v>1112</v>
      </c>
      <c r="AM1240" t="s">
        <v>1113</v>
      </c>
      <c r="AN1240" t="s">
        <v>114</v>
      </c>
      <c r="AO1240">
        <v>5</v>
      </c>
      <c r="AP1240" t="s">
        <v>78</v>
      </c>
      <c r="AQ1240" t="s">
        <v>1114</v>
      </c>
      <c r="AR1240" t="s">
        <v>80</v>
      </c>
      <c r="AS1240">
        <v>291</v>
      </c>
      <c r="AT1240" t="s">
        <v>81</v>
      </c>
      <c r="AU1240">
        <v>-27.31</v>
      </c>
      <c r="AV1240">
        <v>-35.42</v>
      </c>
      <c r="AW1240" t="s">
        <v>82</v>
      </c>
      <c r="AX1240">
        <v>291</v>
      </c>
      <c r="AY1240" t="s">
        <v>81</v>
      </c>
      <c r="AZ1240">
        <v>-36.159999999999997</v>
      </c>
      <c r="BA1240">
        <v>-45.43</v>
      </c>
      <c r="BB1240" t="s">
        <v>83</v>
      </c>
    </row>
    <row r="1241" spans="1:54" x14ac:dyDescent="0.4">
      <c r="A1241">
        <v>519917</v>
      </c>
      <c r="D1241" t="s">
        <v>54</v>
      </c>
      <c r="E1241" t="s">
        <v>152</v>
      </c>
      <c r="G1241">
        <v>1</v>
      </c>
      <c r="H1241" t="s">
        <v>56</v>
      </c>
      <c r="I1241" t="s">
        <v>57</v>
      </c>
      <c r="K1241" t="s">
        <v>293</v>
      </c>
      <c r="L1241" t="s">
        <v>294</v>
      </c>
      <c r="M1241" t="s">
        <v>60</v>
      </c>
      <c r="N1241" t="s">
        <v>256</v>
      </c>
      <c r="O1241" t="s">
        <v>87</v>
      </c>
      <c r="P1241" t="s">
        <v>135</v>
      </c>
      <c r="R1241" t="s">
        <v>63</v>
      </c>
      <c r="S1241" t="s">
        <v>64</v>
      </c>
      <c r="T1241">
        <v>237</v>
      </c>
      <c r="U1241">
        <v>227</v>
      </c>
      <c r="V1241">
        <f t="shared" si="38"/>
        <v>232</v>
      </c>
      <c r="W1241">
        <f t="shared" si="39"/>
        <v>10</v>
      </c>
      <c r="X1241">
        <v>-67.916663999999997</v>
      </c>
      <c r="Y1241">
        <v>-30.083331999999999</v>
      </c>
      <c r="Z1241" t="s">
        <v>124</v>
      </c>
      <c r="AA1241" t="s">
        <v>185</v>
      </c>
      <c r="AB1241" t="s">
        <v>285</v>
      </c>
      <c r="AC1241" t="s">
        <v>1116</v>
      </c>
      <c r="AD1241" t="s">
        <v>286</v>
      </c>
      <c r="AH1241" t="s">
        <v>72</v>
      </c>
      <c r="AI1241" t="s">
        <v>1117</v>
      </c>
      <c r="AJ1241">
        <v>1986</v>
      </c>
      <c r="AK1241" t="s">
        <v>1118</v>
      </c>
      <c r="AN1241" t="s">
        <v>114</v>
      </c>
      <c r="AO1241">
        <v>6</v>
      </c>
      <c r="AP1241" t="s">
        <v>115</v>
      </c>
      <c r="AQ1241" t="s">
        <v>1119</v>
      </c>
      <c r="AR1241" t="s">
        <v>80</v>
      </c>
      <c r="AS1241">
        <v>291</v>
      </c>
      <c r="AT1241" t="s">
        <v>81</v>
      </c>
      <c r="AU1241">
        <v>-26.43</v>
      </c>
      <c r="AV1241">
        <v>-36.26</v>
      </c>
      <c r="AW1241" t="s">
        <v>82</v>
      </c>
      <c r="AX1241">
        <v>291</v>
      </c>
      <c r="AY1241" t="s">
        <v>81</v>
      </c>
      <c r="AZ1241">
        <v>-35.18</v>
      </c>
      <c r="BA1241">
        <v>-46.29</v>
      </c>
      <c r="BB1241" t="s">
        <v>83</v>
      </c>
    </row>
    <row r="1242" spans="1:54" x14ac:dyDescent="0.4">
      <c r="A1242">
        <v>545075</v>
      </c>
      <c r="D1242" t="s">
        <v>54</v>
      </c>
      <c r="E1242" t="s">
        <v>55</v>
      </c>
      <c r="G1242">
        <v>1</v>
      </c>
      <c r="H1242" t="s">
        <v>56</v>
      </c>
      <c r="I1242" t="s">
        <v>57</v>
      </c>
      <c r="K1242" t="s">
        <v>141</v>
      </c>
      <c r="L1242" t="s">
        <v>1221</v>
      </c>
      <c r="M1242" t="s">
        <v>60</v>
      </c>
      <c r="P1242" t="s">
        <v>135</v>
      </c>
      <c r="R1242" t="s">
        <v>63</v>
      </c>
      <c r="S1242" t="s">
        <v>64</v>
      </c>
      <c r="T1242">
        <v>237</v>
      </c>
      <c r="U1242">
        <v>227</v>
      </c>
      <c r="V1242">
        <f t="shared" si="38"/>
        <v>232</v>
      </c>
      <c r="W1242">
        <f t="shared" si="39"/>
        <v>10</v>
      </c>
      <c r="X1242">
        <v>79.633301000000003</v>
      </c>
      <c r="Y1242">
        <v>19.066700000000001</v>
      </c>
      <c r="Z1242" t="s">
        <v>105</v>
      </c>
      <c r="AA1242" t="s">
        <v>1222</v>
      </c>
      <c r="AB1242" t="s">
        <v>1223</v>
      </c>
      <c r="AC1242" t="s">
        <v>1224</v>
      </c>
      <c r="AD1242" t="s">
        <v>1225</v>
      </c>
      <c r="AE1242" t="s">
        <v>1226</v>
      </c>
      <c r="AH1242" t="s">
        <v>72</v>
      </c>
      <c r="AI1242" t="s">
        <v>202</v>
      </c>
      <c r="AJ1242">
        <v>1987</v>
      </c>
      <c r="AK1242" t="s">
        <v>1227</v>
      </c>
      <c r="AM1242" t="s">
        <v>1228</v>
      </c>
      <c r="AN1242" t="s">
        <v>114</v>
      </c>
      <c r="AO1242">
        <v>4</v>
      </c>
      <c r="AP1242" t="s">
        <v>115</v>
      </c>
      <c r="AQ1242" t="s">
        <v>1229</v>
      </c>
      <c r="AR1242" t="s">
        <v>80</v>
      </c>
      <c r="AS1242">
        <v>501</v>
      </c>
      <c r="AT1242" t="s">
        <v>81</v>
      </c>
      <c r="AU1242">
        <v>42.48</v>
      </c>
      <c r="AV1242">
        <v>-40.130000000000003</v>
      </c>
      <c r="AW1242" t="s">
        <v>82</v>
      </c>
      <c r="AX1242">
        <v>501</v>
      </c>
      <c r="AY1242" t="s">
        <v>81</v>
      </c>
      <c r="AZ1242">
        <v>44.17</v>
      </c>
      <c r="BA1242">
        <v>-43.76</v>
      </c>
      <c r="BB1242" t="s">
        <v>83</v>
      </c>
    </row>
    <row r="1243" spans="1:54" x14ac:dyDescent="0.4">
      <c r="A1243">
        <v>558437</v>
      </c>
      <c r="D1243" t="s">
        <v>54</v>
      </c>
      <c r="E1243" t="s">
        <v>55</v>
      </c>
      <c r="I1243" t="s">
        <v>57</v>
      </c>
      <c r="K1243" t="s">
        <v>141</v>
      </c>
      <c r="L1243" t="s">
        <v>1043</v>
      </c>
      <c r="M1243" t="s">
        <v>60</v>
      </c>
      <c r="P1243" t="s">
        <v>135</v>
      </c>
      <c r="R1243" t="s">
        <v>63</v>
      </c>
      <c r="S1243" t="s">
        <v>64</v>
      </c>
      <c r="T1243">
        <v>237</v>
      </c>
      <c r="U1243">
        <v>227</v>
      </c>
      <c r="V1243">
        <f t="shared" si="38"/>
        <v>232</v>
      </c>
      <c r="W1243">
        <f t="shared" si="39"/>
        <v>10</v>
      </c>
      <c r="X1243">
        <v>-2.4896639999999999</v>
      </c>
      <c r="Y1243">
        <v>51.598281999999998</v>
      </c>
      <c r="Z1243" t="s">
        <v>90</v>
      </c>
      <c r="AA1243" t="s">
        <v>91</v>
      </c>
      <c r="AB1243" t="s">
        <v>92</v>
      </c>
      <c r="AC1243" t="s">
        <v>822</v>
      </c>
      <c r="AH1243" t="s">
        <v>72</v>
      </c>
      <c r="AI1243" t="s">
        <v>1252</v>
      </c>
      <c r="AJ1243">
        <v>1995</v>
      </c>
      <c r="AK1243" t="s">
        <v>1258</v>
      </c>
      <c r="AN1243" t="s">
        <v>76</v>
      </c>
      <c r="AO1243">
        <v>6</v>
      </c>
      <c r="AP1243" t="s">
        <v>115</v>
      </c>
      <c r="AQ1243" t="s">
        <v>1259</v>
      </c>
      <c r="AR1243" t="s">
        <v>80</v>
      </c>
      <c r="AS1243">
        <v>315</v>
      </c>
      <c r="AT1243" t="s">
        <v>81</v>
      </c>
      <c r="AU1243">
        <v>8.94</v>
      </c>
      <c r="AV1243">
        <v>34.340000000000003</v>
      </c>
      <c r="AW1243" t="s">
        <v>82</v>
      </c>
      <c r="AX1243">
        <v>315</v>
      </c>
      <c r="AY1243" t="s">
        <v>81</v>
      </c>
      <c r="AZ1243">
        <v>-1.58</v>
      </c>
      <c r="BA1243">
        <v>37.01</v>
      </c>
      <c r="BB1243" t="s">
        <v>83</v>
      </c>
    </row>
    <row r="1244" spans="1:54" x14ac:dyDescent="0.4">
      <c r="A1244">
        <v>562008</v>
      </c>
      <c r="D1244" t="s">
        <v>54</v>
      </c>
      <c r="E1244" t="s">
        <v>152</v>
      </c>
      <c r="G1244">
        <v>7</v>
      </c>
      <c r="H1244" t="s">
        <v>84</v>
      </c>
      <c r="I1244" t="s">
        <v>57</v>
      </c>
      <c r="K1244" t="s">
        <v>1270</v>
      </c>
      <c r="L1244" t="s">
        <v>1271</v>
      </c>
      <c r="M1244" t="s">
        <v>60</v>
      </c>
      <c r="P1244" t="s">
        <v>135</v>
      </c>
      <c r="R1244" t="s">
        <v>63</v>
      </c>
      <c r="S1244" t="s">
        <v>64</v>
      </c>
      <c r="T1244">
        <v>237</v>
      </c>
      <c r="U1244">
        <v>227</v>
      </c>
      <c r="V1244">
        <f t="shared" si="38"/>
        <v>232</v>
      </c>
      <c r="W1244">
        <f t="shared" si="39"/>
        <v>10</v>
      </c>
      <c r="X1244">
        <v>-9.0076000000000001</v>
      </c>
      <c r="Y1244">
        <v>31.026198999999998</v>
      </c>
      <c r="Z1244" t="s">
        <v>124</v>
      </c>
      <c r="AA1244" t="s">
        <v>1272</v>
      </c>
      <c r="AB1244" t="s">
        <v>1273</v>
      </c>
      <c r="AD1244" t="s">
        <v>1274</v>
      </c>
      <c r="AE1244" t="s">
        <v>1275</v>
      </c>
      <c r="AF1244" t="s">
        <v>1276</v>
      </c>
      <c r="AG1244" t="s">
        <v>1277</v>
      </c>
      <c r="AH1244" t="s">
        <v>72</v>
      </c>
      <c r="AI1244" t="s">
        <v>1278</v>
      </c>
      <c r="AJ1244">
        <v>1972</v>
      </c>
      <c r="AK1244" t="s">
        <v>1279</v>
      </c>
      <c r="AM1244" t="s">
        <v>1280</v>
      </c>
      <c r="AN1244" t="s">
        <v>192</v>
      </c>
      <c r="AO1244">
        <v>4</v>
      </c>
      <c r="AP1244" t="s">
        <v>78</v>
      </c>
      <c r="AQ1244" t="s">
        <v>1281</v>
      </c>
      <c r="AR1244" t="s">
        <v>80</v>
      </c>
      <c r="AS1244">
        <v>707</v>
      </c>
      <c r="AT1244" t="s">
        <v>81</v>
      </c>
      <c r="AU1244">
        <v>3.13</v>
      </c>
      <c r="AV1244">
        <v>16.96</v>
      </c>
      <c r="AW1244" t="s">
        <v>82</v>
      </c>
      <c r="AX1244">
        <v>707</v>
      </c>
      <c r="AY1244" t="s">
        <v>81</v>
      </c>
      <c r="AZ1244">
        <v>-5.35</v>
      </c>
      <c r="BA1244">
        <v>7.61</v>
      </c>
      <c r="BB1244" t="s">
        <v>83</v>
      </c>
    </row>
    <row r="1245" spans="1:54" x14ac:dyDescent="0.4">
      <c r="A1245">
        <v>562009</v>
      </c>
      <c r="D1245" t="s">
        <v>54</v>
      </c>
      <c r="E1245" t="s">
        <v>152</v>
      </c>
      <c r="G1245">
        <v>1</v>
      </c>
      <c r="H1245" t="s">
        <v>84</v>
      </c>
      <c r="I1245" t="s">
        <v>57</v>
      </c>
      <c r="K1245" t="s">
        <v>85</v>
      </c>
      <c r="L1245" t="s">
        <v>753</v>
      </c>
      <c r="M1245" t="s">
        <v>60</v>
      </c>
      <c r="O1245" t="s">
        <v>87</v>
      </c>
      <c r="P1245" t="s">
        <v>135</v>
      </c>
      <c r="R1245" t="s">
        <v>63</v>
      </c>
      <c r="S1245" t="s">
        <v>64</v>
      </c>
      <c r="T1245">
        <v>237</v>
      </c>
      <c r="U1245">
        <v>227</v>
      </c>
      <c r="V1245">
        <f t="shared" si="38"/>
        <v>232</v>
      </c>
      <c r="W1245">
        <f t="shared" si="39"/>
        <v>10</v>
      </c>
      <c r="X1245">
        <v>-9.0076000000000001</v>
      </c>
      <c r="Y1245">
        <v>31.026198999999998</v>
      </c>
      <c r="Z1245" t="s">
        <v>124</v>
      </c>
      <c r="AA1245" t="s">
        <v>1272</v>
      </c>
      <c r="AB1245" t="s">
        <v>1273</v>
      </c>
      <c r="AD1245" t="s">
        <v>1274</v>
      </c>
      <c r="AE1245" t="s">
        <v>1275</v>
      </c>
      <c r="AF1245" t="s">
        <v>1276</v>
      </c>
      <c r="AG1245" t="s">
        <v>1277</v>
      </c>
      <c r="AH1245" t="s">
        <v>72</v>
      </c>
      <c r="AI1245" t="s">
        <v>1282</v>
      </c>
      <c r="AJ1245">
        <v>1993</v>
      </c>
      <c r="AK1245" t="s">
        <v>1279</v>
      </c>
      <c r="AM1245" t="s">
        <v>1280</v>
      </c>
      <c r="AN1245" t="s">
        <v>192</v>
      </c>
      <c r="AO1245">
        <v>4</v>
      </c>
      <c r="AP1245" t="s">
        <v>78</v>
      </c>
      <c r="AQ1245" t="s">
        <v>1281</v>
      </c>
      <c r="AR1245" t="s">
        <v>80</v>
      </c>
      <c r="AS1245">
        <v>707</v>
      </c>
      <c r="AT1245" t="s">
        <v>81</v>
      </c>
      <c r="AU1245">
        <v>3.13</v>
      </c>
      <c r="AV1245">
        <v>16.96</v>
      </c>
      <c r="AW1245" t="s">
        <v>82</v>
      </c>
      <c r="AX1245">
        <v>707</v>
      </c>
      <c r="AY1245" t="s">
        <v>81</v>
      </c>
      <c r="AZ1245">
        <v>-5.35</v>
      </c>
      <c r="BA1245">
        <v>7.61</v>
      </c>
      <c r="BB1245" t="s">
        <v>83</v>
      </c>
    </row>
    <row r="1246" spans="1:54" x14ac:dyDescent="0.4">
      <c r="A1246">
        <v>562010</v>
      </c>
      <c r="D1246" t="s">
        <v>54</v>
      </c>
      <c r="E1246" t="s">
        <v>152</v>
      </c>
      <c r="F1246" t="s">
        <v>1283</v>
      </c>
      <c r="G1246">
        <v>8</v>
      </c>
      <c r="H1246" t="s">
        <v>84</v>
      </c>
      <c r="I1246" t="s">
        <v>57</v>
      </c>
      <c r="K1246" t="s">
        <v>196</v>
      </c>
      <c r="L1246" t="s">
        <v>1284</v>
      </c>
      <c r="M1246" t="s">
        <v>60</v>
      </c>
      <c r="O1246" t="s">
        <v>87</v>
      </c>
      <c r="P1246" t="s">
        <v>135</v>
      </c>
      <c r="R1246" t="s">
        <v>63</v>
      </c>
      <c r="S1246" t="s">
        <v>64</v>
      </c>
      <c r="T1246">
        <v>237</v>
      </c>
      <c r="U1246">
        <v>227</v>
      </c>
      <c r="V1246">
        <f t="shared" si="38"/>
        <v>232</v>
      </c>
      <c r="W1246">
        <f t="shared" si="39"/>
        <v>10</v>
      </c>
      <c r="X1246">
        <v>-8.9333329999999993</v>
      </c>
      <c r="Y1246">
        <v>31.066668</v>
      </c>
      <c r="Z1246" t="s">
        <v>124</v>
      </c>
      <c r="AA1246" t="s">
        <v>1272</v>
      </c>
      <c r="AB1246" t="s">
        <v>1273</v>
      </c>
      <c r="AD1246" t="s">
        <v>1274</v>
      </c>
      <c r="AE1246" t="s">
        <v>1275</v>
      </c>
      <c r="AF1246" t="s">
        <v>1276</v>
      </c>
      <c r="AH1246" t="s">
        <v>72</v>
      </c>
      <c r="AI1246" t="s">
        <v>1285</v>
      </c>
      <c r="AJ1246">
        <v>2007</v>
      </c>
      <c r="AK1246" t="s">
        <v>1286</v>
      </c>
      <c r="AN1246" t="s">
        <v>114</v>
      </c>
      <c r="AO1246" t="s">
        <v>160</v>
      </c>
      <c r="AP1246" t="s">
        <v>115</v>
      </c>
      <c r="AQ1246" t="s">
        <v>1287</v>
      </c>
      <c r="AR1246" t="s">
        <v>80</v>
      </c>
      <c r="AS1246">
        <v>707</v>
      </c>
      <c r="AT1246" t="s">
        <v>81</v>
      </c>
      <c r="AU1246">
        <v>3.21</v>
      </c>
      <c r="AV1246">
        <v>16.96</v>
      </c>
      <c r="AW1246" t="s">
        <v>82</v>
      </c>
      <c r="AX1246">
        <v>707</v>
      </c>
      <c r="AY1246" t="s">
        <v>81</v>
      </c>
      <c r="AZ1246">
        <v>-5.27</v>
      </c>
      <c r="BA1246">
        <v>7.62</v>
      </c>
      <c r="BB1246" t="s">
        <v>83</v>
      </c>
    </row>
    <row r="1247" spans="1:54" x14ac:dyDescent="0.4">
      <c r="A1247">
        <v>640054</v>
      </c>
      <c r="D1247" t="s">
        <v>1422</v>
      </c>
      <c r="E1247" t="s">
        <v>55</v>
      </c>
      <c r="G1247">
        <v>1</v>
      </c>
      <c r="H1247" t="s">
        <v>56</v>
      </c>
      <c r="I1247" t="s">
        <v>57</v>
      </c>
      <c r="K1247" t="s">
        <v>323</v>
      </c>
      <c r="L1247" t="s">
        <v>1423</v>
      </c>
      <c r="M1247" t="s">
        <v>60</v>
      </c>
      <c r="P1247" t="s">
        <v>135</v>
      </c>
      <c r="R1247" t="s">
        <v>63</v>
      </c>
      <c r="S1247" t="s">
        <v>64</v>
      </c>
      <c r="T1247">
        <v>237</v>
      </c>
      <c r="U1247">
        <v>227</v>
      </c>
      <c r="V1247">
        <f t="shared" si="38"/>
        <v>232</v>
      </c>
      <c r="W1247">
        <f t="shared" si="39"/>
        <v>10</v>
      </c>
      <c r="X1247">
        <v>-77.433425999999997</v>
      </c>
      <c r="Y1247">
        <v>37.825980999999999</v>
      </c>
      <c r="Z1247" t="s">
        <v>346</v>
      </c>
      <c r="AA1247" t="s">
        <v>66</v>
      </c>
      <c r="AB1247" t="s">
        <v>721</v>
      </c>
      <c r="AC1247" t="s">
        <v>1424</v>
      </c>
      <c r="AD1247" t="s">
        <v>1425</v>
      </c>
      <c r="AE1247" t="s">
        <v>1426</v>
      </c>
      <c r="AF1247" t="s">
        <v>1427</v>
      </c>
      <c r="AH1247" t="s">
        <v>72</v>
      </c>
      <c r="AI1247" t="s">
        <v>1428</v>
      </c>
      <c r="AJ1247">
        <v>1980</v>
      </c>
      <c r="AK1247" t="s">
        <v>1429</v>
      </c>
      <c r="AM1247" t="s">
        <v>1430</v>
      </c>
      <c r="AN1247" t="s">
        <v>192</v>
      </c>
      <c r="AO1247">
        <v>5</v>
      </c>
      <c r="AP1247" t="s">
        <v>78</v>
      </c>
      <c r="AQ1247" t="s">
        <v>1431</v>
      </c>
      <c r="AR1247" t="s">
        <v>80</v>
      </c>
      <c r="AS1247">
        <v>109</v>
      </c>
      <c r="AT1247" t="s">
        <v>81</v>
      </c>
      <c r="AU1247">
        <v>-8.66</v>
      </c>
      <c r="AV1247">
        <v>12.99</v>
      </c>
      <c r="AW1247" t="s">
        <v>82</v>
      </c>
      <c r="AX1247">
        <v>109</v>
      </c>
      <c r="AY1247" t="s">
        <v>81</v>
      </c>
      <c r="AZ1247">
        <v>-16.559999999999999</v>
      </c>
      <c r="BA1247">
        <v>3.06</v>
      </c>
      <c r="BB1247" t="s">
        <v>83</v>
      </c>
    </row>
    <row r="1248" spans="1:54" x14ac:dyDescent="0.4">
      <c r="A1248">
        <v>640054</v>
      </c>
      <c r="D1248" t="s">
        <v>1422</v>
      </c>
      <c r="E1248" t="s">
        <v>55</v>
      </c>
      <c r="G1248">
        <v>1</v>
      </c>
      <c r="H1248" t="s">
        <v>56</v>
      </c>
      <c r="I1248" t="s">
        <v>57</v>
      </c>
      <c r="K1248" t="s">
        <v>323</v>
      </c>
      <c r="L1248" t="s">
        <v>1423</v>
      </c>
      <c r="M1248" t="s">
        <v>60</v>
      </c>
      <c r="P1248" t="s">
        <v>135</v>
      </c>
      <c r="R1248" t="s">
        <v>63</v>
      </c>
      <c r="S1248" t="s">
        <v>64</v>
      </c>
      <c r="T1248">
        <v>237</v>
      </c>
      <c r="U1248">
        <v>227</v>
      </c>
      <c r="V1248">
        <f t="shared" si="38"/>
        <v>232</v>
      </c>
      <c r="W1248">
        <f t="shared" si="39"/>
        <v>10</v>
      </c>
      <c r="X1248">
        <v>-77.433425999999997</v>
      </c>
      <c r="Y1248">
        <v>37.825980999999999</v>
      </c>
      <c r="Z1248" t="s">
        <v>346</v>
      </c>
      <c r="AA1248" t="s">
        <v>66</v>
      </c>
      <c r="AB1248" t="s">
        <v>721</v>
      </c>
      <c r="AC1248" t="s">
        <v>1424</v>
      </c>
      <c r="AD1248" t="s">
        <v>1425</v>
      </c>
      <c r="AE1248" t="s">
        <v>1426</v>
      </c>
      <c r="AF1248" t="s">
        <v>1427</v>
      </c>
      <c r="AH1248" t="s">
        <v>72</v>
      </c>
      <c r="AI1248" t="s">
        <v>1428</v>
      </c>
      <c r="AJ1248">
        <v>1980</v>
      </c>
      <c r="AK1248" t="s">
        <v>1429</v>
      </c>
      <c r="AM1248" t="s">
        <v>1430</v>
      </c>
      <c r="AN1248" t="s">
        <v>192</v>
      </c>
      <c r="AO1248">
        <v>5</v>
      </c>
      <c r="AP1248" t="s">
        <v>78</v>
      </c>
      <c r="AQ1248" t="s">
        <v>1431</v>
      </c>
      <c r="AR1248" t="s">
        <v>80</v>
      </c>
      <c r="AS1248">
        <v>109</v>
      </c>
      <c r="AT1248" t="s">
        <v>81</v>
      </c>
      <c r="AU1248">
        <v>-8.66</v>
      </c>
      <c r="AV1248">
        <v>12.99</v>
      </c>
      <c r="AW1248" t="s">
        <v>82</v>
      </c>
      <c r="AX1248">
        <v>109</v>
      </c>
      <c r="AY1248" t="s">
        <v>81</v>
      </c>
      <c r="AZ1248">
        <v>-16.559999999999999</v>
      </c>
      <c r="BA1248">
        <v>3.06</v>
      </c>
      <c r="BB1248" t="s">
        <v>83</v>
      </c>
    </row>
    <row r="1249" spans="1:54" x14ac:dyDescent="0.4">
      <c r="A1249">
        <v>640068</v>
      </c>
      <c r="D1249" t="s">
        <v>54</v>
      </c>
      <c r="E1249" t="s">
        <v>297</v>
      </c>
      <c r="I1249" t="s">
        <v>57</v>
      </c>
      <c r="K1249" t="s">
        <v>323</v>
      </c>
      <c r="L1249" t="s">
        <v>1423</v>
      </c>
      <c r="M1249" t="s">
        <v>60</v>
      </c>
      <c r="P1249" t="s">
        <v>135</v>
      </c>
      <c r="R1249" t="s">
        <v>63</v>
      </c>
      <c r="S1249" t="s">
        <v>64</v>
      </c>
      <c r="T1249">
        <v>237</v>
      </c>
      <c r="U1249">
        <v>227</v>
      </c>
      <c r="V1249">
        <f t="shared" si="38"/>
        <v>232</v>
      </c>
      <c r="W1249">
        <f t="shared" si="39"/>
        <v>10</v>
      </c>
      <c r="X1249">
        <v>-77.433425999999997</v>
      </c>
      <c r="Y1249">
        <v>37.825980999999999</v>
      </c>
      <c r="Z1249" t="s">
        <v>432</v>
      </c>
      <c r="AA1249" t="s">
        <v>66</v>
      </c>
      <c r="AB1249" t="s">
        <v>721</v>
      </c>
      <c r="AC1249" t="s">
        <v>1424</v>
      </c>
      <c r="AD1249" t="s">
        <v>1425</v>
      </c>
      <c r="AE1249" t="s">
        <v>1426</v>
      </c>
      <c r="AH1249" t="s">
        <v>72</v>
      </c>
      <c r="AI1249" t="s">
        <v>1428</v>
      </c>
      <c r="AJ1249">
        <v>1980</v>
      </c>
      <c r="AK1249" t="s">
        <v>1432</v>
      </c>
      <c r="AN1249" t="s">
        <v>192</v>
      </c>
      <c r="AO1249">
        <v>5</v>
      </c>
      <c r="AP1249" t="s">
        <v>78</v>
      </c>
      <c r="AQ1249" t="s">
        <v>1431</v>
      </c>
      <c r="AR1249" t="s">
        <v>80</v>
      </c>
      <c r="AS1249">
        <v>109</v>
      </c>
      <c r="AT1249" t="s">
        <v>81</v>
      </c>
      <c r="AU1249">
        <v>-8.66</v>
      </c>
      <c r="AV1249">
        <v>12.99</v>
      </c>
      <c r="AW1249" t="s">
        <v>82</v>
      </c>
      <c r="AX1249">
        <v>109</v>
      </c>
      <c r="AY1249" t="s">
        <v>81</v>
      </c>
      <c r="AZ1249">
        <v>-16.559999999999999</v>
      </c>
      <c r="BA1249">
        <v>3.06</v>
      </c>
      <c r="BB1249" t="s">
        <v>83</v>
      </c>
    </row>
    <row r="1250" spans="1:54" x14ac:dyDescent="0.4">
      <c r="A1250">
        <v>640075</v>
      </c>
      <c r="D1250" t="s">
        <v>54</v>
      </c>
      <c r="I1250" t="s">
        <v>57</v>
      </c>
      <c r="K1250" t="s">
        <v>323</v>
      </c>
      <c r="L1250" t="s">
        <v>1423</v>
      </c>
      <c r="M1250" t="s">
        <v>60</v>
      </c>
      <c r="P1250" t="s">
        <v>135</v>
      </c>
      <c r="R1250" t="s">
        <v>63</v>
      </c>
      <c r="S1250" t="s">
        <v>64</v>
      </c>
      <c r="T1250">
        <v>237</v>
      </c>
      <c r="U1250">
        <v>227</v>
      </c>
      <c r="V1250">
        <f t="shared" si="38"/>
        <v>232</v>
      </c>
      <c r="W1250">
        <f t="shared" si="39"/>
        <v>10</v>
      </c>
      <c r="X1250">
        <v>-77.433425999999997</v>
      </c>
      <c r="Y1250">
        <v>37.825980999999999</v>
      </c>
      <c r="Z1250" t="s">
        <v>432</v>
      </c>
      <c r="AA1250" t="s">
        <v>66</v>
      </c>
      <c r="AB1250" t="s">
        <v>721</v>
      </c>
      <c r="AC1250" t="s">
        <v>1424</v>
      </c>
      <c r="AD1250" t="s">
        <v>1425</v>
      </c>
      <c r="AE1250" t="s">
        <v>1426</v>
      </c>
      <c r="AH1250" t="s">
        <v>72</v>
      </c>
      <c r="AI1250" t="s">
        <v>1428</v>
      </c>
      <c r="AJ1250">
        <v>1980</v>
      </c>
      <c r="AK1250" t="s">
        <v>1433</v>
      </c>
      <c r="AN1250" t="s">
        <v>192</v>
      </c>
      <c r="AO1250">
        <v>5</v>
      </c>
      <c r="AP1250" t="s">
        <v>78</v>
      </c>
      <c r="AQ1250" t="s">
        <v>1431</v>
      </c>
      <c r="AR1250" t="s">
        <v>80</v>
      </c>
      <c r="AS1250">
        <v>109</v>
      </c>
      <c r="AT1250" t="s">
        <v>81</v>
      </c>
      <c r="AU1250">
        <v>-8.66</v>
      </c>
      <c r="AV1250">
        <v>12.99</v>
      </c>
      <c r="AW1250" t="s">
        <v>82</v>
      </c>
      <c r="AX1250">
        <v>109</v>
      </c>
      <c r="AY1250" t="s">
        <v>81</v>
      </c>
      <c r="AZ1250">
        <v>-16.559999999999999</v>
      </c>
      <c r="BA1250">
        <v>3.06</v>
      </c>
      <c r="BB1250" t="s">
        <v>83</v>
      </c>
    </row>
    <row r="1251" spans="1:54" x14ac:dyDescent="0.4">
      <c r="A1251">
        <v>640077</v>
      </c>
      <c r="D1251" t="s">
        <v>54</v>
      </c>
      <c r="I1251" t="s">
        <v>57</v>
      </c>
      <c r="K1251" t="s">
        <v>323</v>
      </c>
      <c r="L1251" t="s">
        <v>1423</v>
      </c>
      <c r="M1251" t="s">
        <v>60</v>
      </c>
      <c r="P1251" t="s">
        <v>135</v>
      </c>
      <c r="R1251" t="s">
        <v>63</v>
      </c>
      <c r="S1251" t="s">
        <v>64</v>
      </c>
      <c r="T1251">
        <v>237</v>
      </c>
      <c r="U1251">
        <v>227</v>
      </c>
      <c r="V1251">
        <f t="shared" si="38"/>
        <v>232</v>
      </c>
      <c r="W1251">
        <f t="shared" si="39"/>
        <v>10</v>
      </c>
      <c r="X1251">
        <v>-77.433425999999997</v>
      </c>
      <c r="Y1251">
        <v>37.825980999999999</v>
      </c>
      <c r="Z1251" t="s">
        <v>184</v>
      </c>
      <c r="AA1251" t="s">
        <v>66</v>
      </c>
      <c r="AB1251" t="s">
        <v>721</v>
      </c>
      <c r="AC1251" t="s">
        <v>1424</v>
      </c>
      <c r="AD1251" t="s">
        <v>1425</v>
      </c>
      <c r="AE1251" t="s">
        <v>1426</v>
      </c>
      <c r="AH1251" t="s">
        <v>72</v>
      </c>
      <c r="AI1251" t="s">
        <v>1428</v>
      </c>
      <c r="AJ1251">
        <v>1980</v>
      </c>
      <c r="AK1251" t="s">
        <v>1434</v>
      </c>
      <c r="AN1251" t="s">
        <v>192</v>
      </c>
      <c r="AO1251">
        <v>5</v>
      </c>
      <c r="AP1251" t="s">
        <v>78</v>
      </c>
      <c r="AQ1251" t="s">
        <v>1431</v>
      </c>
      <c r="AR1251" t="s">
        <v>80</v>
      </c>
      <c r="AS1251">
        <v>109</v>
      </c>
      <c r="AT1251" t="s">
        <v>81</v>
      </c>
      <c r="AU1251">
        <v>-8.66</v>
      </c>
      <c r="AV1251">
        <v>12.99</v>
      </c>
      <c r="AW1251" t="s">
        <v>82</v>
      </c>
      <c r="AX1251">
        <v>109</v>
      </c>
      <c r="AY1251" t="s">
        <v>81</v>
      </c>
      <c r="AZ1251">
        <v>-16.559999999999999</v>
      </c>
      <c r="BA1251">
        <v>3.06</v>
      </c>
      <c r="BB1251" t="s">
        <v>83</v>
      </c>
    </row>
    <row r="1252" spans="1:54" x14ac:dyDescent="0.4">
      <c r="A1252">
        <v>640084</v>
      </c>
      <c r="D1252" t="s">
        <v>54</v>
      </c>
      <c r="G1252">
        <v>1</v>
      </c>
      <c r="H1252" t="s">
        <v>56</v>
      </c>
      <c r="I1252" t="s">
        <v>57</v>
      </c>
      <c r="K1252" t="s">
        <v>323</v>
      </c>
      <c r="L1252" t="s">
        <v>1423</v>
      </c>
      <c r="M1252" t="s">
        <v>60</v>
      </c>
      <c r="P1252" t="s">
        <v>135</v>
      </c>
      <c r="R1252" t="s">
        <v>63</v>
      </c>
      <c r="S1252" t="s">
        <v>64</v>
      </c>
      <c r="T1252">
        <v>237</v>
      </c>
      <c r="U1252">
        <v>227</v>
      </c>
      <c r="V1252">
        <f t="shared" si="38"/>
        <v>232</v>
      </c>
      <c r="W1252">
        <f t="shared" si="39"/>
        <v>10</v>
      </c>
      <c r="X1252">
        <v>-77.473708999999999</v>
      </c>
      <c r="Y1252">
        <v>37.785891999999997</v>
      </c>
      <c r="Z1252" t="s">
        <v>124</v>
      </c>
      <c r="AA1252" t="s">
        <v>66</v>
      </c>
      <c r="AB1252" t="s">
        <v>721</v>
      </c>
      <c r="AC1252" t="s">
        <v>1424</v>
      </c>
      <c r="AD1252" t="s">
        <v>1425</v>
      </c>
      <c r="AE1252" t="s">
        <v>1426</v>
      </c>
      <c r="AH1252" t="s">
        <v>72</v>
      </c>
      <c r="AI1252" t="s">
        <v>1428</v>
      </c>
      <c r="AJ1252">
        <v>1980</v>
      </c>
      <c r="AK1252" t="s">
        <v>1435</v>
      </c>
      <c r="AN1252" t="s">
        <v>192</v>
      </c>
      <c r="AO1252">
        <v>6</v>
      </c>
      <c r="AP1252" t="s">
        <v>115</v>
      </c>
      <c r="AQ1252" t="s">
        <v>1436</v>
      </c>
      <c r="AR1252" t="s">
        <v>80</v>
      </c>
      <c r="AS1252">
        <v>109</v>
      </c>
      <c r="AT1252" t="s">
        <v>81</v>
      </c>
      <c r="AU1252">
        <v>-8.69</v>
      </c>
      <c r="AV1252">
        <v>12.95</v>
      </c>
      <c r="AW1252" t="s">
        <v>82</v>
      </c>
      <c r="AX1252">
        <v>109</v>
      </c>
      <c r="AY1252" t="s">
        <v>81</v>
      </c>
      <c r="AZ1252">
        <v>-16.600000000000001</v>
      </c>
      <c r="BA1252">
        <v>3.02</v>
      </c>
      <c r="BB1252" t="s">
        <v>83</v>
      </c>
    </row>
    <row r="1253" spans="1:54" x14ac:dyDescent="0.4">
      <c r="A1253">
        <v>640084</v>
      </c>
      <c r="D1253" t="s">
        <v>54</v>
      </c>
      <c r="G1253">
        <v>1</v>
      </c>
      <c r="H1253" t="s">
        <v>56</v>
      </c>
      <c r="I1253" t="s">
        <v>57</v>
      </c>
      <c r="K1253" t="s">
        <v>323</v>
      </c>
      <c r="L1253" t="s">
        <v>1423</v>
      </c>
      <c r="M1253" t="s">
        <v>60</v>
      </c>
      <c r="P1253" t="s">
        <v>135</v>
      </c>
      <c r="R1253" t="s">
        <v>63</v>
      </c>
      <c r="S1253" t="s">
        <v>64</v>
      </c>
      <c r="T1253">
        <v>237</v>
      </c>
      <c r="U1253">
        <v>227</v>
      </c>
      <c r="V1253">
        <f t="shared" si="38"/>
        <v>232</v>
      </c>
      <c r="W1253">
        <f t="shared" si="39"/>
        <v>10</v>
      </c>
      <c r="X1253">
        <v>-77.473708999999999</v>
      </c>
      <c r="Y1253">
        <v>37.785891999999997</v>
      </c>
      <c r="Z1253" t="s">
        <v>124</v>
      </c>
      <c r="AA1253" t="s">
        <v>66</v>
      </c>
      <c r="AB1253" t="s">
        <v>721</v>
      </c>
      <c r="AC1253" t="s">
        <v>1424</v>
      </c>
      <c r="AD1253" t="s">
        <v>1425</v>
      </c>
      <c r="AE1253" t="s">
        <v>1426</v>
      </c>
      <c r="AH1253" t="s">
        <v>72</v>
      </c>
      <c r="AI1253" t="s">
        <v>1428</v>
      </c>
      <c r="AJ1253">
        <v>1980</v>
      </c>
      <c r="AK1253" t="s">
        <v>1435</v>
      </c>
      <c r="AN1253" t="s">
        <v>192</v>
      </c>
      <c r="AO1253">
        <v>6</v>
      </c>
      <c r="AP1253" t="s">
        <v>115</v>
      </c>
      <c r="AQ1253" t="s">
        <v>1436</v>
      </c>
      <c r="AR1253" t="s">
        <v>80</v>
      </c>
      <c r="AS1253">
        <v>109</v>
      </c>
      <c r="AT1253" t="s">
        <v>81</v>
      </c>
      <c r="AU1253">
        <v>-8.69</v>
      </c>
      <c r="AV1253">
        <v>12.95</v>
      </c>
      <c r="AW1253" t="s">
        <v>82</v>
      </c>
      <c r="AX1253">
        <v>109</v>
      </c>
      <c r="AY1253" t="s">
        <v>81</v>
      </c>
      <c r="AZ1253">
        <v>-16.600000000000001</v>
      </c>
      <c r="BA1253">
        <v>3.02</v>
      </c>
      <c r="BB1253" t="s">
        <v>83</v>
      </c>
    </row>
    <row r="1254" spans="1:54" x14ac:dyDescent="0.4">
      <c r="A1254">
        <v>690311</v>
      </c>
      <c r="D1254" t="s">
        <v>54</v>
      </c>
      <c r="E1254" t="s">
        <v>55</v>
      </c>
      <c r="G1254">
        <v>4</v>
      </c>
      <c r="H1254" t="s">
        <v>421</v>
      </c>
      <c r="I1254" t="s">
        <v>57</v>
      </c>
      <c r="K1254" t="s">
        <v>141</v>
      </c>
      <c r="L1254" t="s">
        <v>905</v>
      </c>
      <c r="M1254" t="s">
        <v>60</v>
      </c>
      <c r="O1254" t="s">
        <v>170</v>
      </c>
      <c r="P1254" t="s">
        <v>135</v>
      </c>
      <c r="R1254" t="s">
        <v>63</v>
      </c>
      <c r="S1254" t="s">
        <v>64</v>
      </c>
      <c r="T1254">
        <v>237</v>
      </c>
      <c r="U1254">
        <v>227</v>
      </c>
      <c r="V1254">
        <f t="shared" si="38"/>
        <v>232</v>
      </c>
      <c r="W1254">
        <f t="shared" si="39"/>
        <v>10</v>
      </c>
      <c r="X1254">
        <v>-79.827545000000001</v>
      </c>
      <c r="Y1254">
        <v>35.215527000000002</v>
      </c>
      <c r="Z1254" t="s">
        <v>124</v>
      </c>
      <c r="AA1254" t="s">
        <v>66</v>
      </c>
      <c r="AB1254" t="s">
        <v>816</v>
      </c>
      <c r="AC1254" t="s">
        <v>1452</v>
      </c>
      <c r="AD1254" t="s">
        <v>817</v>
      </c>
      <c r="AE1254" t="s">
        <v>70</v>
      </c>
      <c r="AH1254" t="s">
        <v>11</v>
      </c>
      <c r="AI1254" t="s">
        <v>779</v>
      </c>
      <c r="AJ1254">
        <v>1994</v>
      </c>
      <c r="AK1254" t="s">
        <v>1453</v>
      </c>
      <c r="AM1254" t="s">
        <v>1454</v>
      </c>
      <c r="AN1254" t="s">
        <v>114</v>
      </c>
      <c r="AO1254">
        <v>6</v>
      </c>
      <c r="AP1254" t="s">
        <v>115</v>
      </c>
      <c r="AQ1254" t="s">
        <v>1455</v>
      </c>
      <c r="AR1254" t="s">
        <v>80</v>
      </c>
      <c r="AS1254">
        <v>109</v>
      </c>
      <c r="AT1254" t="s">
        <v>81</v>
      </c>
      <c r="AU1254">
        <v>-10.8</v>
      </c>
      <c r="AV1254">
        <v>10.51</v>
      </c>
      <c r="AW1254" t="s">
        <v>82</v>
      </c>
      <c r="AX1254">
        <v>109</v>
      </c>
      <c r="AY1254" t="s">
        <v>81</v>
      </c>
      <c r="AZ1254">
        <v>-18.579999999999998</v>
      </c>
      <c r="BA1254">
        <v>0.52</v>
      </c>
      <c r="BB1254" t="s">
        <v>83</v>
      </c>
    </row>
    <row r="1255" spans="1:54" x14ac:dyDescent="0.4">
      <c r="A1255">
        <v>690337</v>
      </c>
      <c r="D1255" t="s">
        <v>54</v>
      </c>
      <c r="E1255" t="s">
        <v>55</v>
      </c>
      <c r="G1255">
        <v>2</v>
      </c>
      <c r="H1255" t="s">
        <v>84</v>
      </c>
      <c r="I1255" t="s">
        <v>57</v>
      </c>
      <c r="K1255" t="s">
        <v>100</v>
      </c>
      <c r="L1255" t="s">
        <v>1481</v>
      </c>
      <c r="M1255" t="s">
        <v>60</v>
      </c>
      <c r="P1255" t="s">
        <v>135</v>
      </c>
      <c r="R1255" t="s">
        <v>63</v>
      </c>
      <c r="S1255" t="s">
        <v>64</v>
      </c>
      <c r="T1255">
        <v>237</v>
      </c>
      <c r="U1255">
        <v>227</v>
      </c>
      <c r="V1255">
        <f t="shared" si="38"/>
        <v>232</v>
      </c>
      <c r="W1255">
        <f t="shared" si="39"/>
        <v>10</v>
      </c>
      <c r="X1255">
        <v>-2.4283329999999999</v>
      </c>
      <c r="Y1255">
        <v>51.623055000000001</v>
      </c>
      <c r="Z1255" t="s">
        <v>90</v>
      </c>
      <c r="AA1255" t="s">
        <v>91</v>
      </c>
      <c r="AB1255" t="s">
        <v>92</v>
      </c>
      <c r="AC1255" t="s">
        <v>136</v>
      </c>
      <c r="AH1255" t="s">
        <v>72</v>
      </c>
      <c r="AI1255" t="s">
        <v>1482</v>
      </c>
      <c r="AJ1255">
        <v>2023</v>
      </c>
      <c r="AK1255" t="s">
        <v>138</v>
      </c>
      <c r="AM1255" t="s">
        <v>139</v>
      </c>
      <c r="AN1255" t="s">
        <v>76</v>
      </c>
      <c r="AO1255" t="s">
        <v>77</v>
      </c>
      <c r="AP1255" t="s">
        <v>115</v>
      </c>
      <c r="AQ1255" t="s">
        <v>140</v>
      </c>
      <c r="AR1255" t="s">
        <v>80</v>
      </c>
      <c r="AS1255">
        <v>315</v>
      </c>
      <c r="AT1255" t="s">
        <v>81</v>
      </c>
      <c r="AU1255">
        <v>8.9700000000000006</v>
      </c>
      <c r="AV1255">
        <v>34.380000000000003</v>
      </c>
      <c r="AW1255" t="s">
        <v>82</v>
      </c>
      <c r="AX1255">
        <v>315</v>
      </c>
      <c r="AY1255" t="s">
        <v>81</v>
      </c>
      <c r="AZ1255">
        <v>-1.55</v>
      </c>
      <c r="BA1255">
        <v>37.049999999999997</v>
      </c>
      <c r="BB1255" t="s">
        <v>83</v>
      </c>
    </row>
    <row r="1256" spans="1:54" x14ac:dyDescent="0.4">
      <c r="A1256">
        <v>690338</v>
      </c>
      <c r="D1256" t="s">
        <v>54</v>
      </c>
      <c r="E1256" t="s">
        <v>55</v>
      </c>
      <c r="I1256" t="s">
        <v>57</v>
      </c>
      <c r="K1256" t="s">
        <v>141</v>
      </c>
      <c r="L1256" t="s">
        <v>146</v>
      </c>
      <c r="M1256" t="s">
        <v>60</v>
      </c>
      <c r="O1256" t="s">
        <v>87</v>
      </c>
      <c r="P1256" t="s">
        <v>135</v>
      </c>
      <c r="R1256" t="s">
        <v>63</v>
      </c>
      <c r="S1256" t="s">
        <v>64</v>
      </c>
      <c r="T1256">
        <v>237</v>
      </c>
      <c r="U1256">
        <v>227</v>
      </c>
      <c r="V1256">
        <f t="shared" si="38"/>
        <v>232</v>
      </c>
      <c r="W1256">
        <f t="shared" si="39"/>
        <v>10</v>
      </c>
      <c r="X1256">
        <v>-2.4283329999999999</v>
      </c>
      <c r="Y1256">
        <v>51.623055000000001</v>
      </c>
      <c r="Z1256" t="s">
        <v>90</v>
      </c>
      <c r="AA1256" t="s">
        <v>91</v>
      </c>
      <c r="AB1256" t="s">
        <v>92</v>
      </c>
      <c r="AC1256" t="s">
        <v>136</v>
      </c>
      <c r="AH1256" t="s">
        <v>11</v>
      </c>
      <c r="AI1256" t="s">
        <v>147</v>
      </c>
      <c r="AJ1256">
        <v>2008</v>
      </c>
      <c r="AK1256" t="s">
        <v>138</v>
      </c>
      <c r="AM1256" t="s">
        <v>139</v>
      </c>
      <c r="AN1256" t="s">
        <v>76</v>
      </c>
      <c r="AO1256" t="s">
        <v>77</v>
      </c>
      <c r="AP1256" t="s">
        <v>115</v>
      </c>
      <c r="AQ1256" t="s">
        <v>140</v>
      </c>
      <c r="AR1256" t="s">
        <v>80</v>
      </c>
      <c r="AS1256">
        <v>315</v>
      </c>
      <c r="AT1256" t="s">
        <v>81</v>
      </c>
      <c r="AU1256">
        <v>8.9700000000000006</v>
      </c>
      <c r="AV1256">
        <v>34.380000000000003</v>
      </c>
      <c r="AW1256" t="s">
        <v>82</v>
      </c>
      <c r="AX1256">
        <v>315</v>
      </c>
      <c r="AY1256" t="s">
        <v>81</v>
      </c>
      <c r="AZ1256">
        <v>-1.55</v>
      </c>
      <c r="BA1256">
        <v>37.049999999999997</v>
      </c>
      <c r="BB1256" t="s">
        <v>83</v>
      </c>
    </row>
    <row r="1257" spans="1:54" x14ac:dyDescent="0.4">
      <c r="A1257">
        <v>690339</v>
      </c>
      <c r="D1257" t="s">
        <v>54</v>
      </c>
      <c r="E1257" t="s">
        <v>152</v>
      </c>
      <c r="I1257" t="s">
        <v>57</v>
      </c>
      <c r="K1257" t="s">
        <v>141</v>
      </c>
      <c r="L1257" t="s">
        <v>142</v>
      </c>
      <c r="M1257" t="s">
        <v>60</v>
      </c>
      <c r="P1257" t="s">
        <v>135</v>
      </c>
      <c r="R1257" t="s">
        <v>63</v>
      </c>
      <c r="S1257" t="s">
        <v>64</v>
      </c>
      <c r="T1257">
        <v>237</v>
      </c>
      <c r="U1257">
        <v>227</v>
      </c>
      <c r="V1257">
        <f t="shared" si="38"/>
        <v>232</v>
      </c>
      <c r="W1257">
        <f t="shared" si="39"/>
        <v>10</v>
      </c>
      <c r="X1257">
        <v>-2.4283329999999999</v>
      </c>
      <c r="Y1257">
        <v>51.623055000000001</v>
      </c>
      <c r="Z1257" t="s">
        <v>90</v>
      </c>
      <c r="AA1257" t="s">
        <v>91</v>
      </c>
      <c r="AB1257" t="s">
        <v>92</v>
      </c>
      <c r="AC1257" t="s">
        <v>136</v>
      </c>
      <c r="AH1257" t="s">
        <v>11</v>
      </c>
      <c r="AI1257" t="s">
        <v>143</v>
      </c>
      <c r="AJ1257">
        <v>1994</v>
      </c>
      <c r="AK1257" t="s">
        <v>165</v>
      </c>
      <c r="AM1257" t="s">
        <v>156</v>
      </c>
      <c r="AN1257" t="s">
        <v>76</v>
      </c>
      <c r="AO1257" t="s">
        <v>77</v>
      </c>
      <c r="AP1257" t="s">
        <v>115</v>
      </c>
      <c r="AQ1257" t="s">
        <v>145</v>
      </c>
      <c r="AR1257" t="s">
        <v>80</v>
      </c>
      <c r="AS1257">
        <v>315</v>
      </c>
      <c r="AT1257" t="s">
        <v>81</v>
      </c>
      <c r="AU1257">
        <v>8.9700000000000006</v>
      </c>
      <c r="AV1257">
        <v>34.380000000000003</v>
      </c>
      <c r="AW1257" t="s">
        <v>82</v>
      </c>
      <c r="AX1257">
        <v>315</v>
      </c>
      <c r="AY1257" t="s">
        <v>81</v>
      </c>
      <c r="AZ1257">
        <v>-1.55</v>
      </c>
      <c r="BA1257">
        <v>37.049999999999997</v>
      </c>
      <c r="BB1257" t="s">
        <v>83</v>
      </c>
    </row>
    <row r="1258" spans="1:54" x14ac:dyDescent="0.4">
      <c r="A1258">
        <v>690340</v>
      </c>
      <c r="D1258" t="s">
        <v>54</v>
      </c>
      <c r="E1258" t="s">
        <v>152</v>
      </c>
      <c r="I1258" t="s">
        <v>57</v>
      </c>
      <c r="K1258" t="s">
        <v>141</v>
      </c>
      <c r="L1258" t="s">
        <v>146</v>
      </c>
      <c r="M1258" t="s">
        <v>60</v>
      </c>
      <c r="O1258" t="s">
        <v>87</v>
      </c>
      <c r="P1258" t="s">
        <v>135</v>
      </c>
      <c r="R1258" t="s">
        <v>63</v>
      </c>
      <c r="S1258" t="s">
        <v>64</v>
      </c>
      <c r="T1258">
        <v>237</v>
      </c>
      <c r="U1258">
        <v>227</v>
      </c>
      <c r="V1258">
        <f t="shared" si="38"/>
        <v>232</v>
      </c>
      <c r="W1258">
        <f t="shared" si="39"/>
        <v>10</v>
      </c>
      <c r="X1258">
        <v>-2.4283329999999999</v>
      </c>
      <c r="Y1258">
        <v>51.623055000000001</v>
      </c>
      <c r="Z1258" t="s">
        <v>90</v>
      </c>
      <c r="AA1258" t="s">
        <v>91</v>
      </c>
      <c r="AB1258" t="s">
        <v>92</v>
      </c>
      <c r="AC1258" t="s">
        <v>136</v>
      </c>
      <c r="AH1258" t="s">
        <v>11</v>
      </c>
      <c r="AI1258" t="s">
        <v>147</v>
      </c>
      <c r="AJ1258">
        <v>2008</v>
      </c>
      <c r="AK1258" t="s">
        <v>165</v>
      </c>
      <c r="AM1258" t="s">
        <v>156</v>
      </c>
      <c r="AN1258" t="s">
        <v>76</v>
      </c>
      <c r="AO1258" t="s">
        <v>77</v>
      </c>
      <c r="AP1258" t="s">
        <v>115</v>
      </c>
      <c r="AQ1258" t="s">
        <v>145</v>
      </c>
      <c r="AR1258" t="s">
        <v>80</v>
      </c>
      <c r="AS1258">
        <v>315</v>
      </c>
      <c r="AT1258" t="s">
        <v>81</v>
      </c>
      <c r="AU1258">
        <v>8.9700000000000006</v>
      </c>
      <c r="AV1258">
        <v>34.380000000000003</v>
      </c>
      <c r="AW1258" t="s">
        <v>82</v>
      </c>
      <c r="AX1258">
        <v>315</v>
      </c>
      <c r="AY1258" t="s">
        <v>81</v>
      </c>
      <c r="AZ1258">
        <v>-1.55</v>
      </c>
      <c r="BA1258">
        <v>37.049999999999997</v>
      </c>
      <c r="BB1258" t="s">
        <v>83</v>
      </c>
    </row>
    <row r="1259" spans="1:54" x14ac:dyDescent="0.4">
      <c r="A1259">
        <v>690341</v>
      </c>
      <c r="D1259" t="s">
        <v>54</v>
      </c>
      <c r="E1259" t="s">
        <v>152</v>
      </c>
      <c r="I1259" t="s">
        <v>57</v>
      </c>
      <c r="K1259" t="s">
        <v>58</v>
      </c>
      <c r="L1259" t="s">
        <v>97</v>
      </c>
      <c r="M1259" t="s">
        <v>60</v>
      </c>
      <c r="P1259" t="s">
        <v>135</v>
      </c>
      <c r="R1259" t="s">
        <v>63</v>
      </c>
      <c r="S1259" t="s">
        <v>64</v>
      </c>
      <c r="T1259">
        <v>237</v>
      </c>
      <c r="U1259">
        <v>227</v>
      </c>
      <c r="V1259">
        <f t="shared" si="38"/>
        <v>232</v>
      </c>
      <c r="W1259">
        <f t="shared" si="39"/>
        <v>10</v>
      </c>
      <c r="X1259">
        <v>-2.4283329999999999</v>
      </c>
      <c r="Y1259">
        <v>51.623055000000001</v>
      </c>
      <c r="Z1259" t="s">
        <v>90</v>
      </c>
      <c r="AA1259" t="s">
        <v>91</v>
      </c>
      <c r="AB1259" t="s">
        <v>92</v>
      </c>
      <c r="AC1259" t="s">
        <v>136</v>
      </c>
      <c r="AH1259" t="s">
        <v>11</v>
      </c>
      <c r="AI1259" t="s">
        <v>143</v>
      </c>
      <c r="AJ1259">
        <v>1994</v>
      </c>
      <c r="AK1259" t="s">
        <v>165</v>
      </c>
      <c r="AM1259" t="s">
        <v>156</v>
      </c>
      <c r="AN1259" t="s">
        <v>76</v>
      </c>
      <c r="AO1259" t="s">
        <v>77</v>
      </c>
      <c r="AP1259" t="s">
        <v>115</v>
      </c>
      <c r="AQ1259" t="s">
        <v>145</v>
      </c>
      <c r="AR1259" t="s">
        <v>80</v>
      </c>
      <c r="AS1259">
        <v>315</v>
      </c>
      <c r="AT1259" t="s">
        <v>81</v>
      </c>
      <c r="AU1259">
        <v>8.9700000000000006</v>
      </c>
      <c r="AV1259">
        <v>34.380000000000003</v>
      </c>
      <c r="AW1259" t="s">
        <v>82</v>
      </c>
      <c r="AX1259">
        <v>315</v>
      </c>
      <c r="AY1259" t="s">
        <v>81</v>
      </c>
      <c r="AZ1259">
        <v>-1.55</v>
      </c>
      <c r="BA1259">
        <v>37.049999999999997</v>
      </c>
      <c r="BB1259" t="s">
        <v>83</v>
      </c>
    </row>
    <row r="1260" spans="1:54" x14ac:dyDescent="0.4">
      <c r="A1260">
        <v>690343</v>
      </c>
      <c r="D1260" t="s">
        <v>54</v>
      </c>
      <c r="E1260" t="s">
        <v>55</v>
      </c>
      <c r="I1260" t="s">
        <v>57</v>
      </c>
      <c r="K1260" t="s">
        <v>58</v>
      </c>
      <c r="L1260" t="s">
        <v>97</v>
      </c>
      <c r="M1260" t="s">
        <v>60</v>
      </c>
      <c r="P1260" t="s">
        <v>135</v>
      </c>
      <c r="R1260" t="s">
        <v>63</v>
      </c>
      <c r="S1260" t="s">
        <v>64</v>
      </c>
      <c r="T1260">
        <v>237</v>
      </c>
      <c r="U1260">
        <v>227</v>
      </c>
      <c r="V1260">
        <f t="shared" si="38"/>
        <v>232</v>
      </c>
      <c r="W1260">
        <f t="shared" si="39"/>
        <v>10</v>
      </c>
      <c r="X1260">
        <v>-2.4283329999999999</v>
      </c>
      <c r="Y1260">
        <v>51.623055000000001</v>
      </c>
      <c r="Z1260" t="s">
        <v>90</v>
      </c>
      <c r="AA1260" t="s">
        <v>91</v>
      </c>
      <c r="AB1260" t="s">
        <v>92</v>
      </c>
      <c r="AC1260" t="s">
        <v>136</v>
      </c>
      <c r="AH1260" t="s">
        <v>11</v>
      </c>
      <c r="AI1260" t="s">
        <v>143</v>
      </c>
      <c r="AJ1260">
        <v>1994</v>
      </c>
      <c r="AK1260" t="s">
        <v>151</v>
      </c>
      <c r="AM1260" t="s">
        <v>139</v>
      </c>
      <c r="AN1260" t="s">
        <v>76</v>
      </c>
      <c r="AO1260" t="s">
        <v>77</v>
      </c>
      <c r="AP1260" t="s">
        <v>115</v>
      </c>
      <c r="AQ1260" t="s">
        <v>145</v>
      </c>
      <c r="AR1260" t="s">
        <v>80</v>
      </c>
      <c r="AS1260">
        <v>315</v>
      </c>
      <c r="AT1260" t="s">
        <v>81</v>
      </c>
      <c r="AU1260">
        <v>8.9700000000000006</v>
      </c>
      <c r="AV1260">
        <v>34.380000000000003</v>
      </c>
      <c r="AW1260" t="s">
        <v>82</v>
      </c>
      <c r="AX1260">
        <v>315</v>
      </c>
      <c r="AY1260" t="s">
        <v>81</v>
      </c>
      <c r="AZ1260">
        <v>-1.55</v>
      </c>
      <c r="BA1260">
        <v>37.049999999999997</v>
      </c>
      <c r="BB1260" t="s">
        <v>83</v>
      </c>
    </row>
    <row r="1261" spans="1:54" x14ac:dyDescent="0.4">
      <c r="A1261">
        <v>690344</v>
      </c>
      <c r="D1261" t="s">
        <v>54</v>
      </c>
      <c r="E1261" t="s">
        <v>55</v>
      </c>
      <c r="I1261" t="s">
        <v>57</v>
      </c>
      <c r="K1261" t="s">
        <v>141</v>
      </c>
      <c r="L1261" t="s">
        <v>157</v>
      </c>
      <c r="M1261" t="s">
        <v>60</v>
      </c>
      <c r="P1261" t="s">
        <v>135</v>
      </c>
      <c r="R1261" t="s">
        <v>63</v>
      </c>
      <c r="S1261" t="s">
        <v>64</v>
      </c>
      <c r="T1261">
        <v>237</v>
      </c>
      <c r="U1261">
        <v>227</v>
      </c>
      <c r="V1261">
        <f t="shared" si="38"/>
        <v>232</v>
      </c>
      <c r="W1261">
        <f t="shared" si="39"/>
        <v>10</v>
      </c>
      <c r="X1261">
        <v>-2.4283329999999999</v>
      </c>
      <c r="Y1261">
        <v>51.623055000000001</v>
      </c>
      <c r="Z1261" t="s">
        <v>90</v>
      </c>
      <c r="AA1261" t="s">
        <v>91</v>
      </c>
      <c r="AB1261" t="s">
        <v>92</v>
      </c>
      <c r="AC1261" t="s">
        <v>136</v>
      </c>
      <c r="AH1261" t="s">
        <v>72</v>
      </c>
      <c r="AI1261" t="s">
        <v>143</v>
      </c>
      <c r="AJ1261">
        <v>1994</v>
      </c>
      <c r="AK1261" t="s">
        <v>151</v>
      </c>
      <c r="AM1261" t="s">
        <v>139</v>
      </c>
      <c r="AN1261" t="s">
        <v>76</v>
      </c>
      <c r="AO1261" t="s">
        <v>77</v>
      </c>
      <c r="AP1261" t="s">
        <v>115</v>
      </c>
      <c r="AQ1261" t="s">
        <v>145</v>
      </c>
      <c r="AR1261" t="s">
        <v>80</v>
      </c>
      <c r="AS1261">
        <v>315</v>
      </c>
      <c r="AT1261" t="s">
        <v>81</v>
      </c>
      <c r="AU1261">
        <v>8.9700000000000006</v>
      </c>
      <c r="AV1261">
        <v>34.380000000000003</v>
      </c>
      <c r="AW1261" t="s">
        <v>82</v>
      </c>
      <c r="AX1261">
        <v>315</v>
      </c>
      <c r="AY1261" t="s">
        <v>81</v>
      </c>
      <c r="AZ1261">
        <v>-1.55</v>
      </c>
      <c r="BA1261">
        <v>37.049999999999997</v>
      </c>
      <c r="BB1261" t="s">
        <v>83</v>
      </c>
    </row>
    <row r="1262" spans="1:54" x14ac:dyDescent="0.4">
      <c r="A1262">
        <v>690345</v>
      </c>
      <c r="D1262" t="s">
        <v>54</v>
      </c>
      <c r="E1262" t="s">
        <v>152</v>
      </c>
      <c r="I1262" t="s">
        <v>57</v>
      </c>
      <c r="K1262" t="s">
        <v>149</v>
      </c>
      <c r="L1262" t="s">
        <v>150</v>
      </c>
      <c r="M1262" t="s">
        <v>60</v>
      </c>
      <c r="P1262" t="s">
        <v>135</v>
      </c>
      <c r="R1262" t="s">
        <v>63</v>
      </c>
      <c r="S1262" t="s">
        <v>64</v>
      </c>
      <c r="T1262">
        <v>237</v>
      </c>
      <c r="U1262">
        <v>227</v>
      </c>
      <c r="V1262">
        <f t="shared" si="38"/>
        <v>232</v>
      </c>
      <c r="W1262">
        <f t="shared" si="39"/>
        <v>10</v>
      </c>
      <c r="X1262">
        <v>-2.4283329999999999</v>
      </c>
      <c r="Y1262">
        <v>51.623055000000001</v>
      </c>
      <c r="Z1262" t="s">
        <v>90</v>
      </c>
      <c r="AA1262" t="s">
        <v>91</v>
      </c>
      <c r="AB1262" t="s">
        <v>92</v>
      </c>
      <c r="AC1262" t="s">
        <v>136</v>
      </c>
      <c r="AH1262" t="s">
        <v>72</v>
      </c>
      <c r="AI1262" t="s">
        <v>143</v>
      </c>
      <c r="AJ1262">
        <v>1994</v>
      </c>
      <c r="AK1262" t="s">
        <v>166</v>
      </c>
      <c r="AM1262" t="s">
        <v>156</v>
      </c>
      <c r="AN1262" t="s">
        <v>76</v>
      </c>
      <c r="AO1262" t="s">
        <v>77</v>
      </c>
      <c r="AP1262" t="s">
        <v>115</v>
      </c>
      <c r="AQ1262" t="s">
        <v>145</v>
      </c>
      <c r="AR1262" t="s">
        <v>80</v>
      </c>
      <c r="AS1262">
        <v>315</v>
      </c>
      <c r="AT1262" t="s">
        <v>81</v>
      </c>
      <c r="AU1262">
        <v>8.9700000000000006</v>
      </c>
      <c r="AV1262">
        <v>34.380000000000003</v>
      </c>
      <c r="AW1262" t="s">
        <v>82</v>
      </c>
      <c r="AX1262">
        <v>315</v>
      </c>
      <c r="AY1262" t="s">
        <v>81</v>
      </c>
      <c r="AZ1262">
        <v>-1.55</v>
      </c>
      <c r="BA1262">
        <v>37.049999999999997</v>
      </c>
      <c r="BB1262" t="s">
        <v>83</v>
      </c>
    </row>
    <row r="1263" spans="1:54" x14ac:dyDescent="0.4">
      <c r="A1263">
        <v>690346</v>
      </c>
      <c r="D1263" t="s">
        <v>54</v>
      </c>
      <c r="E1263" t="s">
        <v>152</v>
      </c>
      <c r="I1263" t="s">
        <v>57</v>
      </c>
      <c r="K1263" t="s">
        <v>141</v>
      </c>
      <c r="L1263" t="s">
        <v>157</v>
      </c>
      <c r="M1263" t="s">
        <v>60</v>
      </c>
      <c r="P1263" t="s">
        <v>135</v>
      </c>
      <c r="R1263" t="s">
        <v>63</v>
      </c>
      <c r="S1263" t="s">
        <v>64</v>
      </c>
      <c r="T1263">
        <v>237</v>
      </c>
      <c r="U1263">
        <v>227</v>
      </c>
      <c r="V1263">
        <f t="shared" si="38"/>
        <v>232</v>
      </c>
      <c r="W1263">
        <f t="shared" si="39"/>
        <v>10</v>
      </c>
      <c r="X1263">
        <v>-2.4283329999999999</v>
      </c>
      <c r="Y1263">
        <v>51.623055000000001</v>
      </c>
      <c r="Z1263" t="s">
        <v>90</v>
      </c>
      <c r="AA1263" t="s">
        <v>91</v>
      </c>
      <c r="AB1263" t="s">
        <v>92</v>
      </c>
      <c r="AC1263" t="s">
        <v>136</v>
      </c>
      <c r="AH1263" t="s">
        <v>72</v>
      </c>
      <c r="AI1263" t="s">
        <v>143</v>
      </c>
      <c r="AJ1263">
        <v>1994</v>
      </c>
      <c r="AK1263" t="s">
        <v>166</v>
      </c>
      <c r="AM1263" t="s">
        <v>156</v>
      </c>
      <c r="AN1263" t="s">
        <v>76</v>
      </c>
      <c r="AO1263" t="s">
        <v>77</v>
      </c>
      <c r="AP1263" t="s">
        <v>115</v>
      </c>
      <c r="AQ1263" t="s">
        <v>145</v>
      </c>
      <c r="AR1263" t="s">
        <v>80</v>
      </c>
      <c r="AS1263">
        <v>315</v>
      </c>
      <c r="AT1263" t="s">
        <v>81</v>
      </c>
      <c r="AU1263">
        <v>8.9700000000000006</v>
      </c>
      <c r="AV1263">
        <v>34.380000000000003</v>
      </c>
      <c r="AW1263" t="s">
        <v>82</v>
      </c>
      <c r="AX1263">
        <v>315</v>
      </c>
      <c r="AY1263" t="s">
        <v>81</v>
      </c>
      <c r="AZ1263">
        <v>-1.55</v>
      </c>
      <c r="BA1263">
        <v>37.049999999999997</v>
      </c>
      <c r="BB1263" t="s">
        <v>83</v>
      </c>
    </row>
    <row r="1264" spans="1:54" x14ac:dyDescent="0.4">
      <c r="A1264">
        <v>690347</v>
      </c>
      <c r="D1264" t="s">
        <v>54</v>
      </c>
      <c r="E1264" t="s">
        <v>152</v>
      </c>
      <c r="I1264" t="s">
        <v>57</v>
      </c>
      <c r="K1264" t="s">
        <v>58</v>
      </c>
      <c r="L1264" t="s">
        <v>97</v>
      </c>
      <c r="M1264" t="s">
        <v>60</v>
      </c>
      <c r="P1264" t="s">
        <v>135</v>
      </c>
      <c r="R1264" t="s">
        <v>63</v>
      </c>
      <c r="S1264" t="s">
        <v>64</v>
      </c>
      <c r="T1264">
        <v>237</v>
      </c>
      <c r="U1264">
        <v>227</v>
      </c>
      <c r="V1264">
        <f t="shared" si="38"/>
        <v>232</v>
      </c>
      <c r="W1264">
        <f t="shared" si="39"/>
        <v>10</v>
      </c>
      <c r="X1264">
        <v>-2.4283329999999999</v>
      </c>
      <c r="Y1264">
        <v>51.623055000000001</v>
      </c>
      <c r="Z1264" t="s">
        <v>90</v>
      </c>
      <c r="AA1264" t="s">
        <v>91</v>
      </c>
      <c r="AB1264" t="s">
        <v>92</v>
      </c>
      <c r="AC1264" t="s">
        <v>136</v>
      </c>
      <c r="AH1264" t="s">
        <v>11</v>
      </c>
      <c r="AI1264" t="s">
        <v>143</v>
      </c>
      <c r="AJ1264">
        <v>1994</v>
      </c>
      <c r="AK1264" t="s">
        <v>166</v>
      </c>
      <c r="AM1264" t="s">
        <v>156</v>
      </c>
      <c r="AN1264" t="s">
        <v>76</v>
      </c>
      <c r="AO1264" t="s">
        <v>77</v>
      </c>
      <c r="AP1264" t="s">
        <v>115</v>
      </c>
      <c r="AQ1264" t="s">
        <v>145</v>
      </c>
      <c r="AR1264" t="s">
        <v>80</v>
      </c>
      <c r="AS1264">
        <v>315</v>
      </c>
      <c r="AT1264" t="s">
        <v>81</v>
      </c>
      <c r="AU1264">
        <v>8.9700000000000006</v>
      </c>
      <c r="AV1264">
        <v>34.380000000000003</v>
      </c>
      <c r="AW1264" t="s">
        <v>82</v>
      </c>
      <c r="AX1264">
        <v>315</v>
      </c>
      <c r="AY1264" t="s">
        <v>81</v>
      </c>
      <c r="AZ1264">
        <v>-1.55</v>
      </c>
      <c r="BA1264">
        <v>37.049999999999997</v>
      </c>
      <c r="BB1264" t="s">
        <v>83</v>
      </c>
    </row>
    <row r="1265" spans="1:54" x14ac:dyDescent="0.4">
      <c r="A1265">
        <v>712659</v>
      </c>
      <c r="D1265" t="s">
        <v>54</v>
      </c>
      <c r="E1265" t="s">
        <v>55</v>
      </c>
      <c r="I1265" t="s">
        <v>57</v>
      </c>
      <c r="K1265" t="s">
        <v>141</v>
      </c>
      <c r="L1265" t="s">
        <v>146</v>
      </c>
      <c r="M1265" t="s">
        <v>60</v>
      </c>
      <c r="O1265" t="s">
        <v>87</v>
      </c>
      <c r="P1265" t="s">
        <v>135</v>
      </c>
      <c r="R1265" t="s">
        <v>63</v>
      </c>
      <c r="S1265" t="s">
        <v>64</v>
      </c>
      <c r="T1265">
        <v>237</v>
      </c>
      <c r="U1265">
        <v>227</v>
      </c>
      <c r="V1265">
        <f t="shared" si="38"/>
        <v>232</v>
      </c>
      <c r="W1265">
        <f t="shared" si="39"/>
        <v>10</v>
      </c>
      <c r="X1265">
        <v>-2.4288889999999999</v>
      </c>
      <c r="Y1265">
        <v>51.622501</v>
      </c>
      <c r="Z1265" t="s">
        <v>90</v>
      </c>
      <c r="AA1265" t="s">
        <v>91</v>
      </c>
      <c r="AB1265" t="s">
        <v>92</v>
      </c>
      <c r="AC1265" t="s">
        <v>822</v>
      </c>
      <c r="AH1265" t="s">
        <v>11</v>
      </c>
      <c r="AI1265" t="s">
        <v>147</v>
      </c>
      <c r="AJ1265">
        <v>2008</v>
      </c>
      <c r="AK1265" t="s">
        <v>824</v>
      </c>
      <c r="AM1265" t="s">
        <v>825</v>
      </c>
      <c r="AN1265" t="s">
        <v>76</v>
      </c>
      <c r="AO1265" t="s">
        <v>77</v>
      </c>
      <c r="AP1265" t="s">
        <v>115</v>
      </c>
      <c r="AQ1265" t="s">
        <v>826</v>
      </c>
      <c r="AR1265" t="s">
        <v>80</v>
      </c>
      <c r="AS1265">
        <v>315</v>
      </c>
      <c r="AT1265" t="s">
        <v>81</v>
      </c>
      <c r="AU1265">
        <v>8.9700000000000006</v>
      </c>
      <c r="AV1265">
        <v>34.380000000000003</v>
      </c>
      <c r="AW1265" t="s">
        <v>82</v>
      </c>
      <c r="AX1265">
        <v>315</v>
      </c>
      <c r="AY1265" t="s">
        <v>81</v>
      </c>
      <c r="AZ1265">
        <v>-1.55</v>
      </c>
      <c r="BA1265">
        <v>37.049999999999997</v>
      </c>
      <c r="BB1265" t="s">
        <v>83</v>
      </c>
    </row>
    <row r="1266" spans="1:54" x14ac:dyDescent="0.4">
      <c r="A1266">
        <v>712661</v>
      </c>
      <c r="D1266" t="s">
        <v>54</v>
      </c>
      <c r="E1266" t="s">
        <v>55</v>
      </c>
      <c r="G1266">
        <v>1000</v>
      </c>
      <c r="H1266" t="s">
        <v>84</v>
      </c>
      <c r="I1266" t="s">
        <v>57</v>
      </c>
      <c r="K1266" t="s">
        <v>141</v>
      </c>
      <c r="L1266" t="s">
        <v>1043</v>
      </c>
      <c r="M1266" t="s">
        <v>60</v>
      </c>
      <c r="P1266" t="s">
        <v>135</v>
      </c>
      <c r="R1266" t="s">
        <v>63</v>
      </c>
      <c r="S1266" t="s">
        <v>64</v>
      </c>
      <c r="T1266">
        <v>237</v>
      </c>
      <c r="U1266">
        <v>227</v>
      </c>
      <c r="V1266">
        <f t="shared" si="38"/>
        <v>232</v>
      </c>
      <c r="W1266">
        <f t="shared" si="39"/>
        <v>10</v>
      </c>
      <c r="X1266">
        <v>-2.4288889999999999</v>
      </c>
      <c r="Y1266">
        <v>51.622501</v>
      </c>
      <c r="Z1266" t="s">
        <v>90</v>
      </c>
      <c r="AA1266" t="s">
        <v>91</v>
      </c>
      <c r="AB1266" t="s">
        <v>92</v>
      </c>
      <c r="AC1266" t="s">
        <v>822</v>
      </c>
      <c r="AH1266" t="s">
        <v>72</v>
      </c>
      <c r="AI1266" t="s">
        <v>1502</v>
      </c>
      <c r="AJ1266">
        <v>2012</v>
      </c>
      <c r="AK1266" t="s">
        <v>824</v>
      </c>
      <c r="AM1266" t="s">
        <v>825</v>
      </c>
      <c r="AN1266" t="s">
        <v>76</v>
      </c>
      <c r="AO1266" t="s">
        <v>77</v>
      </c>
      <c r="AP1266" t="s">
        <v>115</v>
      </c>
      <c r="AQ1266" t="s">
        <v>826</v>
      </c>
      <c r="AR1266" t="s">
        <v>80</v>
      </c>
      <c r="AS1266">
        <v>315</v>
      </c>
      <c r="AT1266" t="s">
        <v>81</v>
      </c>
      <c r="AU1266">
        <v>8.9700000000000006</v>
      </c>
      <c r="AV1266">
        <v>34.380000000000003</v>
      </c>
      <c r="AW1266" t="s">
        <v>82</v>
      </c>
      <c r="AX1266">
        <v>315</v>
      </c>
      <c r="AY1266" t="s">
        <v>81</v>
      </c>
      <c r="AZ1266">
        <v>-1.55</v>
      </c>
      <c r="BA1266">
        <v>37.049999999999997</v>
      </c>
      <c r="BB1266" t="s">
        <v>83</v>
      </c>
    </row>
    <row r="1267" spans="1:54" x14ac:dyDescent="0.4">
      <c r="A1267">
        <v>712664</v>
      </c>
      <c r="D1267" t="s">
        <v>54</v>
      </c>
      <c r="E1267" t="s">
        <v>55</v>
      </c>
      <c r="I1267" t="s">
        <v>57</v>
      </c>
      <c r="K1267" t="s">
        <v>132</v>
      </c>
      <c r="L1267" t="s">
        <v>133</v>
      </c>
      <c r="M1267" t="s">
        <v>60</v>
      </c>
      <c r="N1267" t="s">
        <v>119</v>
      </c>
      <c r="O1267" t="s">
        <v>134</v>
      </c>
      <c r="P1267" t="s">
        <v>135</v>
      </c>
      <c r="R1267" t="s">
        <v>63</v>
      </c>
      <c r="S1267" t="s">
        <v>64</v>
      </c>
      <c r="T1267">
        <v>237</v>
      </c>
      <c r="U1267">
        <v>227</v>
      </c>
      <c r="V1267">
        <f t="shared" si="38"/>
        <v>232</v>
      </c>
      <c r="W1267">
        <f t="shared" si="39"/>
        <v>10</v>
      </c>
      <c r="X1267">
        <v>-2.4288889999999999</v>
      </c>
      <c r="Y1267">
        <v>51.622501</v>
      </c>
      <c r="Z1267" t="s">
        <v>90</v>
      </c>
      <c r="AA1267" t="s">
        <v>91</v>
      </c>
      <c r="AB1267" t="s">
        <v>92</v>
      </c>
      <c r="AC1267" t="s">
        <v>822</v>
      </c>
      <c r="AH1267" t="s">
        <v>11</v>
      </c>
      <c r="AI1267" t="s">
        <v>1503</v>
      </c>
      <c r="AJ1267">
        <v>1980</v>
      </c>
      <c r="AK1267" t="s">
        <v>824</v>
      </c>
      <c r="AM1267" t="s">
        <v>825</v>
      </c>
      <c r="AN1267" t="s">
        <v>76</v>
      </c>
      <c r="AO1267" t="s">
        <v>77</v>
      </c>
      <c r="AP1267" t="s">
        <v>115</v>
      </c>
      <c r="AQ1267" t="s">
        <v>826</v>
      </c>
      <c r="AR1267" t="s">
        <v>80</v>
      </c>
      <c r="AS1267">
        <v>315</v>
      </c>
      <c r="AT1267" t="s">
        <v>81</v>
      </c>
      <c r="AU1267">
        <v>8.9700000000000006</v>
      </c>
      <c r="AV1267">
        <v>34.380000000000003</v>
      </c>
      <c r="AW1267" t="s">
        <v>82</v>
      </c>
      <c r="AX1267">
        <v>315</v>
      </c>
      <c r="AY1267" t="s">
        <v>81</v>
      </c>
      <c r="AZ1267">
        <v>-1.55</v>
      </c>
      <c r="BA1267">
        <v>37.049999999999997</v>
      </c>
      <c r="BB1267" t="s">
        <v>83</v>
      </c>
    </row>
    <row r="1268" spans="1:54" x14ac:dyDescent="0.4">
      <c r="A1268">
        <v>712665</v>
      </c>
      <c r="D1268" t="s">
        <v>54</v>
      </c>
      <c r="E1268" t="s">
        <v>55</v>
      </c>
      <c r="I1268" t="s">
        <v>57</v>
      </c>
      <c r="K1268" t="s">
        <v>141</v>
      </c>
      <c r="L1268" t="s">
        <v>148</v>
      </c>
      <c r="M1268" t="s">
        <v>60</v>
      </c>
      <c r="P1268" t="s">
        <v>135</v>
      </c>
      <c r="R1268" t="s">
        <v>63</v>
      </c>
      <c r="S1268" t="s">
        <v>64</v>
      </c>
      <c r="T1268">
        <v>237</v>
      </c>
      <c r="U1268">
        <v>227</v>
      </c>
      <c r="V1268">
        <f t="shared" si="38"/>
        <v>232</v>
      </c>
      <c r="W1268">
        <f t="shared" si="39"/>
        <v>10</v>
      </c>
      <c r="X1268">
        <v>-2.4288889999999999</v>
      </c>
      <c r="Y1268">
        <v>51.622501</v>
      </c>
      <c r="Z1268" t="s">
        <v>90</v>
      </c>
      <c r="AA1268" t="s">
        <v>91</v>
      </c>
      <c r="AB1268" t="s">
        <v>92</v>
      </c>
      <c r="AC1268" t="s">
        <v>822</v>
      </c>
      <c r="AH1268" t="s">
        <v>11</v>
      </c>
      <c r="AI1268" t="s">
        <v>147</v>
      </c>
      <c r="AJ1268">
        <v>2008</v>
      </c>
      <c r="AK1268" t="s">
        <v>824</v>
      </c>
      <c r="AM1268" t="s">
        <v>825</v>
      </c>
      <c r="AN1268" t="s">
        <v>76</v>
      </c>
      <c r="AO1268" t="s">
        <v>77</v>
      </c>
      <c r="AP1268" t="s">
        <v>115</v>
      </c>
      <c r="AQ1268" t="s">
        <v>826</v>
      </c>
      <c r="AR1268" t="s">
        <v>80</v>
      </c>
      <c r="AS1268">
        <v>315</v>
      </c>
      <c r="AT1268" t="s">
        <v>81</v>
      </c>
      <c r="AU1268">
        <v>8.9700000000000006</v>
      </c>
      <c r="AV1268">
        <v>34.380000000000003</v>
      </c>
      <c r="AW1268" t="s">
        <v>82</v>
      </c>
      <c r="AX1268">
        <v>315</v>
      </c>
      <c r="AY1268" t="s">
        <v>81</v>
      </c>
      <c r="AZ1268">
        <v>-1.55</v>
      </c>
      <c r="BA1268">
        <v>37.049999999999997</v>
      </c>
      <c r="BB1268" t="s">
        <v>83</v>
      </c>
    </row>
    <row r="1269" spans="1:54" x14ac:dyDescent="0.4">
      <c r="A1269">
        <v>738862</v>
      </c>
      <c r="D1269" t="s">
        <v>54</v>
      </c>
      <c r="E1269" t="s">
        <v>55</v>
      </c>
      <c r="G1269">
        <v>1</v>
      </c>
      <c r="H1269" t="s">
        <v>56</v>
      </c>
      <c r="I1269" t="s">
        <v>57</v>
      </c>
      <c r="K1269" t="s">
        <v>141</v>
      </c>
      <c r="L1269" t="s">
        <v>766</v>
      </c>
      <c r="M1269" t="s">
        <v>60</v>
      </c>
      <c r="O1269" t="s">
        <v>87</v>
      </c>
      <c r="P1269" t="s">
        <v>135</v>
      </c>
      <c r="R1269" t="s">
        <v>63</v>
      </c>
      <c r="S1269" t="s">
        <v>64</v>
      </c>
      <c r="T1269">
        <v>237</v>
      </c>
      <c r="U1269">
        <v>227</v>
      </c>
      <c r="V1269">
        <f t="shared" si="38"/>
        <v>232</v>
      </c>
      <c r="W1269">
        <f t="shared" si="39"/>
        <v>10</v>
      </c>
      <c r="X1269">
        <v>-101.168892</v>
      </c>
      <c r="Y1269">
        <v>33.449165000000001</v>
      </c>
      <c r="Z1269" t="s">
        <v>124</v>
      </c>
      <c r="AA1269" t="s">
        <v>66</v>
      </c>
      <c r="AB1269" t="s">
        <v>125</v>
      </c>
      <c r="AC1269" t="s">
        <v>172</v>
      </c>
      <c r="AD1269" t="s">
        <v>173</v>
      </c>
      <c r="AE1269" t="s">
        <v>174</v>
      </c>
      <c r="AH1269" t="s">
        <v>72</v>
      </c>
      <c r="AI1269" t="s">
        <v>1544</v>
      </c>
      <c r="AJ1269">
        <v>2007</v>
      </c>
      <c r="AK1269" t="s">
        <v>1545</v>
      </c>
      <c r="AM1269" t="s">
        <v>1546</v>
      </c>
      <c r="AN1269" t="s">
        <v>114</v>
      </c>
      <c r="AO1269" t="s">
        <v>77</v>
      </c>
      <c r="AP1269" t="s">
        <v>78</v>
      </c>
      <c r="AQ1269" t="s">
        <v>1547</v>
      </c>
      <c r="AR1269" t="s">
        <v>80</v>
      </c>
      <c r="AS1269">
        <v>101</v>
      </c>
      <c r="AT1269" t="s">
        <v>81</v>
      </c>
      <c r="AU1269">
        <v>-28.78</v>
      </c>
      <c r="AV1269">
        <v>11.43</v>
      </c>
      <c r="AW1269" t="s">
        <v>82</v>
      </c>
      <c r="AX1269">
        <v>101</v>
      </c>
      <c r="AY1269" t="s">
        <v>81</v>
      </c>
      <c r="AZ1269">
        <v>-36.24</v>
      </c>
      <c r="BA1269">
        <v>1.44</v>
      </c>
      <c r="BB1269" t="s">
        <v>83</v>
      </c>
    </row>
    <row r="1270" spans="1:54" x14ac:dyDescent="0.4">
      <c r="A1270">
        <v>748041</v>
      </c>
      <c r="D1270" t="s">
        <v>54</v>
      </c>
      <c r="G1270">
        <v>1</v>
      </c>
      <c r="H1270" t="s">
        <v>56</v>
      </c>
      <c r="I1270" t="s">
        <v>57</v>
      </c>
      <c r="K1270" t="s">
        <v>100</v>
      </c>
      <c r="L1270" t="s">
        <v>1608</v>
      </c>
      <c r="M1270" t="s">
        <v>60</v>
      </c>
      <c r="P1270" t="s">
        <v>135</v>
      </c>
      <c r="R1270" t="s">
        <v>63</v>
      </c>
      <c r="S1270" t="s">
        <v>64</v>
      </c>
      <c r="T1270">
        <v>237</v>
      </c>
      <c r="U1270">
        <v>227</v>
      </c>
      <c r="V1270">
        <f t="shared" si="38"/>
        <v>232</v>
      </c>
      <c r="W1270">
        <f t="shared" si="39"/>
        <v>10</v>
      </c>
      <c r="X1270">
        <v>-64.318054000000004</v>
      </c>
      <c r="Y1270">
        <v>45.138331999999998</v>
      </c>
      <c r="Z1270" t="s">
        <v>105</v>
      </c>
      <c r="AA1270" t="s">
        <v>1456</v>
      </c>
      <c r="AB1270" t="s">
        <v>1457</v>
      </c>
      <c r="AC1270" t="s">
        <v>1609</v>
      </c>
      <c r="AD1270" t="s">
        <v>1610</v>
      </c>
      <c r="AE1270" t="s">
        <v>70</v>
      </c>
      <c r="AH1270" t="s">
        <v>72</v>
      </c>
      <c r="AI1270" t="s">
        <v>1611</v>
      </c>
      <c r="AJ1270">
        <v>1998</v>
      </c>
      <c r="AK1270" t="s">
        <v>1612</v>
      </c>
      <c r="AM1270" t="s">
        <v>1613</v>
      </c>
      <c r="AN1270" t="s">
        <v>114</v>
      </c>
      <c r="AO1270" t="s">
        <v>77</v>
      </c>
      <c r="AP1270" t="s">
        <v>78</v>
      </c>
      <c r="AQ1270" t="s">
        <v>1614</v>
      </c>
      <c r="AR1270" t="s">
        <v>80</v>
      </c>
      <c r="AS1270">
        <v>108</v>
      </c>
      <c r="AT1270" t="s">
        <v>81</v>
      </c>
      <c r="AU1270">
        <v>1.64</v>
      </c>
      <c r="AV1270">
        <v>20.21</v>
      </c>
      <c r="AW1270" t="s">
        <v>82</v>
      </c>
      <c r="AX1270">
        <v>108</v>
      </c>
      <c r="AY1270" t="s">
        <v>81</v>
      </c>
      <c r="AZ1270">
        <v>-7</v>
      </c>
      <c r="BA1270">
        <v>10.76</v>
      </c>
      <c r="BB1270" t="s">
        <v>83</v>
      </c>
    </row>
    <row r="1271" spans="1:54" x14ac:dyDescent="0.4">
      <c r="A1271">
        <v>748059</v>
      </c>
      <c r="D1271" t="s">
        <v>54</v>
      </c>
      <c r="G1271">
        <v>1</v>
      </c>
      <c r="H1271" t="s">
        <v>56</v>
      </c>
      <c r="I1271" t="s">
        <v>57</v>
      </c>
      <c r="K1271" t="s">
        <v>100</v>
      </c>
      <c r="L1271" t="s">
        <v>799</v>
      </c>
      <c r="M1271" t="s">
        <v>60</v>
      </c>
      <c r="P1271" t="s">
        <v>135</v>
      </c>
      <c r="R1271" t="s">
        <v>63</v>
      </c>
      <c r="S1271" t="s">
        <v>64</v>
      </c>
      <c r="T1271">
        <v>237</v>
      </c>
      <c r="U1271">
        <v>227</v>
      </c>
      <c r="V1271">
        <f t="shared" si="38"/>
        <v>232</v>
      </c>
      <c r="W1271">
        <f t="shared" si="39"/>
        <v>10</v>
      </c>
      <c r="X1271">
        <v>-63.789444000000003</v>
      </c>
      <c r="Y1271">
        <v>45.315556000000001</v>
      </c>
      <c r="Z1271" t="s">
        <v>105</v>
      </c>
      <c r="AA1271" t="s">
        <v>1456</v>
      </c>
      <c r="AB1271" t="s">
        <v>1457</v>
      </c>
      <c r="AC1271" t="s">
        <v>1615</v>
      </c>
      <c r="AD1271" t="s">
        <v>1610</v>
      </c>
      <c r="AE1271" t="s">
        <v>70</v>
      </c>
      <c r="AH1271" t="s">
        <v>72</v>
      </c>
      <c r="AI1271" t="s">
        <v>1611</v>
      </c>
      <c r="AJ1271">
        <v>1998</v>
      </c>
      <c r="AK1271" t="s">
        <v>1616</v>
      </c>
      <c r="AM1271" t="s">
        <v>1617</v>
      </c>
      <c r="AN1271" t="s">
        <v>114</v>
      </c>
      <c r="AO1271" t="s">
        <v>77</v>
      </c>
      <c r="AP1271" t="s">
        <v>115</v>
      </c>
      <c r="AQ1271" t="s">
        <v>1618</v>
      </c>
      <c r="AR1271" t="s">
        <v>80</v>
      </c>
      <c r="AS1271">
        <v>108</v>
      </c>
      <c r="AT1271" t="s">
        <v>81</v>
      </c>
      <c r="AU1271">
        <v>2.0299999999999998</v>
      </c>
      <c r="AV1271">
        <v>20.41</v>
      </c>
      <c r="AW1271" t="s">
        <v>82</v>
      </c>
      <c r="AX1271">
        <v>108</v>
      </c>
      <c r="AY1271" t="s">
        <v>81</v>
      </c>
      <c r="AZ1271">
        <v>-6.64</v>
      </c>
      <c r="BA1271">
        <v>10.98</v>
      </c>
      <c r="BB1271" t="s">
        <v>83</v>
      </c>
    </row>
    <row r="1272" spans="1:54" x14ac:dyDescent="0.4">
      <c r="A1272">
        <v>748801</v>
      </c>
      <c r="D1272" t="s">
        <v>54</v>
      </c>
      <c r="G1272">
        <v>1</v>
      </c>
      <c r="H1272" t="s">
        <v>56</v>
      </c>
      <c r="I1272" t="s">
        <v>57</v>
      </c>
      <c r="K1272" t="s">
        <v>100</v>
      </c>
      <c r="L1272" t="s">
        <v>1621</v>
      </c>
      <c r="M1272" t="s">
        <v>60</v>
      </c>
      <c r="P1272" t="s">
        <v>135</v>
      </c>
      <c r="R1272" t="s">
        <v>63</v>
      </c>
      <c r="S1272" t="s">
        <v>64</v>
      </c>
      <c r="T1272">
        <v>237</v>
      </c>
      <c r="U1272">
        <v>227</v>
      </c>
      <c r="V1272">
        <f t="shared" si="38"/>
        <v>232</v>
      </c>
      <c r="W1272">
        <f t="shared" si="39"/>
        <v>10</v>
      </c>
      <c r="X1272">
        <v>-64.271941999999996</v>
      </c>
      <c r="Y1272">
        <v>45.145000000000003</v>
      </c>
      <c r="Z1272" t="s">
        <v>105</v>
      </c>
      <c r="AA1272" t="s">
        <v>1456</v>
      </c>
      <c r="AB1272" t="s">
        <v>1457</v>
      </c>
      <c r="AC1272" t="s">
        <v>1609</v>
      </c>
      <c r="AD1272" t="s">
        <v>1610</v>
      </c>
      <c r="AE1272" t="s">
        <v>70</v>
      </c>
      <c r="AH1272" t="s">
        <v>72</v>
      </c>
      <c r="AI1272" t="s">
        <v>1611</v>
      </c>
      <c r="AJ1272">
        <v>1998</v>
      </c>
      <c r="AK1272" t="s">
        <v>1622</v>
      </c>
      <c r="AM1272" t="s">
        <v>1623</v>
      </c>
      <c r="AN1272" t="s">
        <v>114</v>
      </c>
      <c r="AO1272" t="s">
        <v>77</v>
      </c>
      <c r="AP1272" t="s">
        <v>115</v>
      </c>
      <c r="AQ1272" t="s">
        <v>1624</v>
      </c>
      <c r="AR1272" t="s">
        <v>80</v>
      </c>
      <c r="AS1272">
        <v>108</v>
      </c>
      <c r="AT1272" t="s">
        <v>81</v>
      </c>
      <c r="AU1272">
        <v>1.67</v>
      </c>
      <c r="AV1272">
        <v>20.22</v>
      </c>
      <c r="AW1272" t="s">
        <v>82</v>
      </c>
      <c r="AX1272">
        <v>108</v>
      </c>
      <c r="AY1272" t="s">
        <v>81</v>
      </c>
      <c r="AZ1272">
        <v>-6.97</v>
      </c>
      <c r="BA1272">
        <v>10.78</v>
      </c>
      <c r="BB1272" t="s">
        <v>83</v>
      </c>
    </row>
    <row r="1273" spans="1:54" x14ac:dyDescent="0.4">
      <c r="A1273">
        <v>778896</v>
      </c>
      <c r="D1273" t="s">
        <v>54</v>
      </c>
      <c r="E1273" t="s">
        <v>152</v>
      </c>
      <c r="G1273">
        <v>10</v>
      </c>
      <c r="H1273" t="s">
        <v>84</v>
      </c>
      <c r="I1273" t="s">
        <v>57</v>
      </c>
      <c r="K1273" t="s">
        <v>149</v>
      </c>
      <c r="L1273" t="s">
        <v>1313</v>
      </c>
      <c r="M1273" t="s">
        <v>60</v>
      </c>
      <c r="P1273" t="s">
        <v>135</v>
      </c>
      <c r="R1273" t="s">
        <v>63</v>
      </c>
      <c r="S1273" t="s">
        <v>64</v>
      </c>
      <c r="T1273">
        <v>237</v>
      </c>
      <c r="U1273">
        <v>227</v>
      </c>
      <c r="V1273">
        <f t="shared" si="38"/>
        <v>232</v>
      </c>
      <c r="W1273">
        <f t="shared" si="39"/>
        <v>10</v>
      </c>
      <c r="X1273">
        <v>-2.4283329999999999</v>
      </c>
      <c r="Y1273">
        <v>51.623055000000001</v>
      </c>
      <c r="Z1273" t="s">
        <v>90</v>
      </c>
      <c r="AA1273" t="s">
        <v>91</v>
      </c>
      <c r="AB1273" t="s">
        <v>92</v>
      </c>
      <c r="AC1273" t="s">
        <v>136</v>
      </c>
      <c r="AH1273" t="s">
        <v>72</v>
      </c>
      <c r="AI1273" t="s">
        <v>143</v>
      </c>
      <c r="AJ1273">
        <v>1993</v>
      </c>
      <c r="AK1273" t="s">
        <v>165</v>
      </c>
      <c r="AM1273" t="s">
        <v>156</v>
      </c>
      <c r="AN1273" t="s">
        <v>76</v>
      </c>
      <c r="AO1273" t="s">
        <v>77</v>
      </c>
      <c r="AP1273" t="s">
        <v>115</v>
      </c>
      <c r="AQ1273" t="s">
        <v>145</v>
      </c>
      <c r="AR1273" t="s">
        <v>80</v>
      </c>
      <c r="AS1273">
        <v>315</v>
      </c>
      <c r="AT1273" t="s">
        <v>81</v>
      </c>
      <c r="AU1273">
        <v>8.9700000000000006</v>
      </c>
      <c r="AV1273">
        <v>34.380000000000003</v>
      </c>
      <c r="AW1273" t="s">
        <v>82</v>
      </c>
      <c r="AX1273">
        <v>315</v>
      </c>
      <c r="AY1273" t="s">
        <v>81</v>
      </c>
      <c r="AZ1273">
        <v>-1.55</v>
      </c>
      <c r="BA1273">
        <v>37.049999999999997</v>
      </c>
      <c r="BB1273" t="s">
        <v>83</v>
      </c>
    </row>
    <row r="1274" spans="1:54" x14ac:dyDescent="0.4">
      <c r="A1274">
        <v>800076</v>
      </c>
      <c r="D1274" t="s">
        <v>54</v>
      </c>
      <c r="E1274" t="s">
        <v>55</v>
      </c>
      <c r="G1274">
        <v>1</v>
      </c>
      <c r="H1274" t="s">
        <v>56</v>
      </c>
      <c r="I1274" t="s">
        <v>57</v>
      </c>
      <c r="K1274" t="s">
        <v>901</v>
      </c>
      <c r="L1274" t="s">
        <v>2115</v>
      </c>
      <c r="M1274" t="s">
        <v>60</v>
      </c>
      <c r="N1274" t="s">
        <v>256</v>
      </c>
      <c r="O1274" t="s">
        <v>87</v>
      </c>
      <c r="P1274" t="s">
        <v>135</v>
      </c>
      <c r="R1274" t="s">
        <v>63</v>
      </c>
      <c r="S1274" t="s">
        <v>64</v>
      </c>
      <c r="T1274">
        <v>237</v>
      </c>
      <c r="U1274">
        <v>227</v>
      </c>
      <c r="V1274">
        <f t="shared" si="38"/>
        <v>232</v>
      </c>
      <c r="W1274">
        <f t="shared" si="39"/>
        <v>10</v>
      </c>
      <c r="X1274">
        <v>-67.877502000000007</v>
      </c>
      <c r="Y1274">
        <v>-30.137222000000001</v>
      </c>
      <c r="Z1274" t="s">
        <v>198</v>
      </c>
      <c r="AA1274" t="s">
        <v>185</v>
      </c>
      <c r="AB1274" t="s">
        <v>285</v>
      </c>
      <c r="AD1274" t="s">
        <v>286</v>
      </c>
      <c r="AF1274" t="s">
        <v>2116</v>
      </c>
      <c r="AG1274" t="s">
        <v>288</v>
      </c>
      <c r="AH1274" t="s">
        <v>72</v>
      </c>
      <c r="AI1274" t="s">
        <v>2117</v>
      </c>
      <c r="AJ1274">
        <v>2009</v>
      </c>
      <c r="AK1274" t="s">
        <v>2118</v>
      </c>
      <c r="AM1274" t="s">
        <v>2119</v>
      </c>
      <c r="AN1274" t="s">
        <v>192</v>
      </c>
      <c r="AO1274" t="s">
        <v>77</v>
      </c>
      <c r="AP1274" t="s">
        <v>115</v>
      </c>
      <c r="AQ1274" t="s">
        <v>2120</v>
      </c>
      <c r="AR1274" t="s">
        <v>80</v>
      </c>
      <c r="AS1274">
        <v>291</v>
      </c>
      <c r="AT1274" t="s">
        <v>81</v>
      </c>
      <c r="AU1274">
        <v>-26.39</v>
      </c>
      <c r="AV1274">
        <v>-36.31</v>
      </c>
      <c r="AW1274" t="s">
        <v>82</v>
      </c>
      <c r="AX1274">
        <v>291</v>
      </c>
      <c r="AY1274" t="s">
        <v>81</v>
      </c>
      <c r="AZ1274">
        <v>-35.130000000000003</v>
      </c>
      <c r="BA1274">
        <v>-46.35</v>
      </c>
      <c r="BB1274" t="s">
        <v>83</v>
      </c>
    </row>
    <row r="1275" spans="1:54" x14ac:dyDescent="0.4">
      <c r="A1275">
        <v>806122</v>
      </c>
      <c r="D1275" t="s">
        <v>54</v>
      </c>
      <c r="G1275">
        <v>1</v>
      </c>
      <c r="H1275" t="s">
        <v>56</v>
      </c>
      <c r="I1275" t="s">
        <v>57</v>
      </c>
      <c r="K1275" t="s">
        <v>323</v>
      </c>
      <c r="L1275" t="s">
        <v>1423</v>
      </c>
      <c r="M1275" t="s">
        <v>60</v>
      </c>
      <c r="P1275" t="s">
        <v>135</v>
      </c>
      <c r="R1275" t="s">
        <v>63</v>
      </c>
      <c r="S1275" t="s">
        <v>64</v>
      </c>
      <c r="T1275">
        <v>237</v>
      </c>
      <c r="U1275">
        <v>227</v>
      </c>
      <c r="V1275">
        <f t="shared" si="38"/>
        <v>232</v>
      </c>
      <c r="W1275">
        <f t="shared" si="39"/>
        <v>10</v>
      </c>
      <c r="X1275">
        <v>-77.47139</v>
      </c>
      <c r="Y1275">
        <v>37.759444999999999</v>
      </c>
      <c r="Z1275" t="s">
        <v>124</v>
      </c>
      <c r="AA1275" t="s">
        <v>66</v>
      </c>
      <c r="AB1275" t="s">
        <v>721</v>
      </c>
      <c r="AC1275" t="s">
        <v>1424</v>
      </c>
      <c r="AD1275" t="s">
        <v>1425</v>
      </c>
      <c r="AE1275" t="s">
        <v>1426</v>
      </c>
      <c r="AH1275" t="s">
        <v>72</v>
      </c>
      <c r="AI1275" t="s">
        <v>2156</v>
      </c>
      <c r="AJ1275">
        <v>2009</v>
      </c>
      <c r="AK1275" t="s">
        <v>2157</v>
      </c>
      <c r="AN1275" t="s">
        <v>114</v>
      </c>
      <c r="AO1275" t="s">
        <v>77</v>
      </c>
      <c r="AQ1275" t="s">
        <v>2158</v>
      </c>
      <c r="AR1275" t="s">
        <v>80</v>
      </c>
      <c r="AS1275">
        <v>109</v>
      </c>
      <c r="AT1275" t="s">
        <v>81</v>
      </c>
      <c r="AU1275">
        <v>-8.69</v>
      </c>
      <c r="AV1275">
        <v>12.92</v>
      </c>
      <c r="AW1275" t="s">
        <v>82</v>
      </c>
      <c r="AX1275">
        <v>109</v>
      </c>
      <c r="AY1275" t="s">
        <v>81</v>
      </c>
      <c r="AZ1275">
        <v>-16.600000000000001</v>
      </c>
      <c r="BA1275">
        <v>2.99</v>
      </c>
      <c r="BB1275" t="s">
        <v>83</v>
      </c>
    </row>
    <row r="1276" spans="1:54" x14ac:dyDescent="0.4">
      <c r="A1276">
        <v>811667</v>
      </c>
      <c r="D1276" t="s">
        <v>54</v>
      </c>
      <c r="G1276">
        <v>1</v>
      </c>
      <c r="H1276" t="s">
        <v>84</v>
      </c>
      <c r="I1276" t="s">
        <v>57</v>
      </c>
      <c r="K1276" t="s">
        <v>100</v>
      </c>
      <c r="L1276" t="s">
        <v>1621</v>
      </c>
      <c r="M1276" t="s">
        <v>60</v>
      </c>
      <c r="P1276" t="s">
        <v>135</v>
      </c>
      <c r="R1276" t="s">
        <v>63</v>
      </c>
      <c r="S1276" t="s">
        <v>64</v>
      </c>
      <c r="T1276">
        <v>237</v>
      </c>
      <c r="U1276">
        <v>227</v>
      </c>
      <c r="V1276">
        <f t="shared" si="38"/>
        <v>232</v>
      </c>
      <c r="W1276">
        <f t="shared" si="39"/>
        <v>10</v>
      </c>
      <c r="X1276">
        <v>-63.747779999999999</v>
      </c>
      <c r="Y1276">
        <v>45.295555</v>
      </c>
      <c r="Z1276" t="s">
        <v>105</v>
      </c>
      <c r="AA1276" t="s">
        <v>1456</v>
      </c>
      <c r="AB1276" t="s">
        <v>1457</v>
      </c>
      <c r="AC1276" t="s">
        <v>2252</v>
      </c>
      <c r="AD1276" t="s">
        <v>1610</v>
      </c>
      <c r="AE1276" t="s">
        <v>70</v>
      </c>
      <c r="AH1276" t="s">
        <v>72</v>
      </c>
      <c r="AI1276" t="s">
        <v>1611</v>
      </c>
      <c r="AJ1276">
        <v>1998</v>
      </c>
      <c r="AK1276" t="s">
        <v>2253</v>
      </c>
      <c r="AN1276" t="s">
        <v>114</v>
      </c>
      <c r="AO1276" t="s">
        <v>77</v>
      </c>
      <c r="AP1276" t="s">
        <v>115</v>
      </c>
      <c r="AR1276" t="s">
        <v>80</v>
      </c>
      <c r="AS1276">
        <v>108</v>
      </c>
      <c r="AT1276" t="s">
        <v>81</v>
      </c>
      <c r="AU1276">
        <v>2.06</v>
      </c>
      <c r="AV1276">
        <v>20.39</v>
      </c>
      <c r="AW1276" t="s">
        <v>82</v>
      </c>
      <c r="AX1276">
        <v>108</v>
      </c>
      <c r="AY1276" t="s">
        <v>81</v>
      </c>
      <c r="AZ1276">
        <v>-6.61</v>
      </c>
      <c r="BA1276">
        <v>10.97</v>
      </c>
      <c r="BB1276" t="s">
        <v>83</v>
      </c>
    </row>
    <row r="1277" spans="1:54" x14ac:dyDescent="0.4">
      <c r="A1277">
        <v>820889</v>
      </c>
      <c r="D1277" t="s">
        <v>54</v>
      </c>
      <c r="E1277" t="s">
        <v>55</v>
      </c>
      <c r="G1277">
        <v>1</v>
      </c>
      <c r="H1277" t="s">
        <v>84</v>
      </c>
      <c r="I1277" t="s">
        <v>57</v>
      </c>
      <c r="K1277" t="s">
        <v>767</v>
      </c>
      <c r="L1277" t="s">
        <v>2380</v>
      </c>
      <c r="M1277" t="s">
        <v>60</v>
      </c>
      <c r="N1277" t="s">
        <v>119</v>
      </c>
      <c r="O1277" t="s">
        <v>87</v>
      </c>
      <c r="P1277" t="s">
        <v>135</v>
      </c>
      <c r="R1277" t="s">
        <v>63</v>
      </c>
      <c r="S1277" t="s">
        <v>64</v>
      </c>
      <c r="T1277">
        <v>237</v>
      </c>
      <c r="U1277">
        <v>227</v>
      </c>
      <c r="V1277">
        <f t="shared" si="38"/>
        <v>232</v>
      </c>
      <c r="W1277">
        <f t="shared" si="39"/>
        <v>10</v>
      </c>
      <c r="X1277">
        <v>-67.883330999999998</v>
      </c>
      <c r="Y1277">
        <v>-30.116667</v>
      </c>
      <c r="Z1277" t="s">
        <v>198</v>
      </c>
      <c r="AA1277" t="s">
        <v>185</v>
      </c>
      <c r="AB1277" t="s">
        <v>285</v>
      </c>
      <c r="AD1277" t="s">
        <v>286</v>
      </c>
      <c r="AF1277" t="s">
        <v>287</v>
      </c>
      <c r="AG1277" t="s">
        <v>288</v>
      </c>
      <c r="AH1277" t="s">
        <v>72</v>
      </c>
      <c r="AI1277" t="s">
        <v>2381</v>
      </c>
      <c r="AJ1277">
        <v>1997</v>
      </c>
      <c r="AK1277" t="s">
        <v>2382</v>
      </c>
      <c r="AM1277" t="s">
        <v>2383</v>
      </c>
      <c r="AN1277" t="s">
        <v>192</v>
      </c>
      <c r="AO1277" t="s">
        <v>160</v>
      </c>
      <c r="AP1277" t="s">
        <v>115</v>
      </c>
      <c r="AQ1277" t="s">
        <v>2384</v>
      </c>
      <c r="AR1277" t="s">
        <v>80</v>
      </c>
      <c r="AS1277">
        <v>291</v>
      </c>
      <c r="AT1277" t="s">
        <v>81</v>
      </c>
      <c r="AU1277">
        <v>-26.39</v>
      </c>
      <c r="AV1277">
        <v>-36.29</v>
      </c>
      <c r="AW1277" t="s">
        <v>82</v>
      </c>
      <c r="AX1277">
        <v>291</v>
      </c>
      <c r="AY1277" t="s">
        <v>81</v>
      </c>
      <c r="AZ1277">
        <v>-35.130000000000003</v>
      </c>
      <c r="BA1277">
        <v>-46.33</v>
      </c>
      <c r="BB1277" t="s">
        <v>83</v>
      </c>
    </row>
    <row r="1278" spans="1:54" x14ac:dyDescent="0.4">
      <c r="A1278">
        <v>829103</v>
      </c>
      <c r="D1278" t="s">
        <v>54</v>
      </c>
      <c r="E1278" t="s">
        <v>55</v>
      </c>
      <c r="G1278">
        <v>1</v>
      </c>
      <c r="H1278" t="s">
        <v>56</v>
      </c>
      <c r="I1278" t="s">
        <v>57</v>
      </c>
      <c r="K1278" t="s">
        <v>2475</v>
      </c>
      <c r="L1278" t="s">
        <v>2476</v>
      </c>
      <c r="M1278" t="s">
        <v>60</v>
      </c>
      <c r="O1278" t="s">
        <v>87</v>
      </c>
      <c r="P1278" t="s">
        <v>135</v>
      </c>
      <c r="R1278" t="s">
        <v>63</v>
      </c>
      <c r="S1278" t="s">
        <v>64</v>
      </c>
      <c r="T1278">
        <v>237</v>
      </c>
      <c r="U1278">
        <v>227</v>
      </c>
      <c r="V1278">
        <f t="shared" si="38"/>
        <v>232</v>
      </c>
      <c r="W1278">
        <f t="shared" si="39"/>
        <v>10</v>
      </c>
      <c r="X1278">
        <v>-106.93472300000001</v>
      </c>
      <c r="Y1278">
        <v>43.420555</v>
      </c>
      <c r="Z1278" t="s">
        <v>124</v>
      </c>
      <c r="AA1278" t="s">
        <v>66</v>
      </c>
      <c r="AB1278" t="s">
        <v>2008</v>
      </c>
      <c r="AC1278" t="s">
        <v>2009</v>
      </c>
      <c r="AD1278" t="s">
        <v>2477</v>
      </c>
      <c r="AE1278" t="s">
        <v>2011</v>
      </c>
      <c r="AH1278" t="s">
        <v>72</v>
      </c>
      <c r="AI1278" t="s">
        <v>2478</v>
      </c>
      <c r="AJ1278">
        <v>1979</v>
      </c>
      <c r="AK1278" t="s">
        <v>2479</v>
      </c>
      <c r="AM1278" t="s">
        <v>2480</v>
      </c>
      <c r="AN1278" t="s">
        <v>76</v>
      </c>
      <c r="AO1278" t="s">
        <v>77</v>
      </c>
      <c r="AP1278" t="s">
        <v>115</v>
      </c>
      <c r="AQ1278" t="s">
        <v>2481</v>
      </c>
      <c r="AR1278" t="s">
        <v>80</v>
      </c>
      <c r="AS1278">
        <v>101</v>
      </c>
      <c r="AT1278" t="s">
        <v>81</v>
      </c>
      <c r="AU1278">
        <v>-30.75</v>
      </c>
      <c r="AV1278">
        <v>22.2</v>
      </c>
      <c r="AW1278" t="s">
        <v>82</v>
      </c>
      <c r="AX1278">
        <v>101</v>
      </c>
      <c r="AY1278" t="s">
        <v>81</v>
      </c>
      <c r="AZ1278">
        <v>-37.799999999999997</v>
      </c>
      <c r="BA1278">
        <v>12.26</v>
      </c>
      <c r="BB1278" t="s">
        <v>83</v>
      </c>
    </row>
    <row r="1279" spans="1:54" x14ac:dyDescent="0.4">
      <c r="A1279">
        <v>829424</v>
      </c>
      <c r="D1279" t="s">
        <v>54</v>
      </c>
      <c r="G1279">
        <v>1</v>
      </c>
      <c r="H1279" t="s">
        <v>84</v>
      </c>
      <c r="I1279" t="s">
        <v>57</v>
      </c>
      <c r="K1279" t="s">
        <v>85</v>
      </c>
      <c r="L1279" t="s">
        <v>753</v>
      </c>
      <c r="M1279" t="s">
        <v>60</v>
      </c>
      <c r="O1279" t="s">
        <v>87</v>
      </c>
      <c r="P1279" t="s">
        <v>135</v>
      </c>
      <c r="R1279" t="s">
        <v>63</v>
      </c>
      <c r="S1279" t="s">
        <v>64</v>
      </c>
      <c r="T1279">
        <v>237</v>
      </c>
      <c r="U1279">
        <v>227</v>
      </c>
      <c r="V1279">
        <f t="shared" si="38"/>
        <v>232</v>
      </c>
      <c r="W1279">
        <f t="shared" si="39"/>
        <v>10</v>
      </c>
      <c r="X1279">
        <v>-109.644165</v>
      </c>
      <c r="Y1279">
        <v>43.537497999999999</v>
      </c>
      <c r="Z1279" t="s">
        <v>124</v>
      </c>
      <c r="AA1279" t="s">
        <v>66</v>
      </c>
      <c r="AB1279" t="s">
        <v>2008</v>
      </c>
      <c r="AC1279" t="s">
        <v>2482</v>
      </c>
      <c r="AD1279" t="s">
        <v>2477</v>
      </c>
      <c r="AE1279" t="s">
        <v>2011</v>
      </c>
      <c r="AH1279" t="s">
        <v>11</v>
      </c>
      <c r="AI1279" t="s">
        <v>2483</v>
      </c>
      <c r="AJ1279">
        <v>2007</v>
      </c>
      <c r="AK1279" t="s">
        <v>2484</v>
      </c>
      <c r="AN1279" t="s">
        <v>114</v>
      </c>
      <c r="AO1279" t="s">
        <v>77</v>
      </c>
      <c r="AP1279" t="s">
        <v>115</v>
      </c>
      <c r="AQ1279" t="s">
        <v>2485</v>
      </c>
      <c r="AR1279" t="s">
        <v>80</v>
      </c>
      <c r="AS1279">
        <v>127</v>
      </c>
      <c r="AT1279" t="s">
        <v>81</v>
      </c>
      <c r="AU1279">
        <v>-35.700000000000003</v>
      </c>
      <c r="AV1279">
        <v>25.38</v>
      </c>
      <c r="AW1279" t="s">
        <v>82</v>
      </c>
      <c r="AX1279">
        <v>133</v>
      </c>
      <c r="AY1279" t="s">
        <v>81</v>
      </c>
      <c r="AZ1279">
        <v>-43.36</v>
      </c>
      <c r="BA1279">
        <v>13.68</v>
      </c>
      <c r="BB1279" t="s">
        <v>83</v>
      </c>
    </row>
    <row r="1280" spans="1:54" x14ac:dyDescent="0.4">
      <c r="A1280">
        <v>829485</v>
      </c>
      <c r="D1280" t="s">
        <v>54</v>
      </c>
      <c r="E1280" t="s">
        <v>152</v>
      </c>
      <c r="G1280">
        <v>1</v>
      </c>
      <c r="H1280" t="s">
        <v>56</v>
      </c>
      <c r="I1280" t="s">
        <v>57</v>
      </c>
      <c r="K1280" t="s">
        <v>840</v>
      </c>
      <c r="L1280" t="s">
        <v>841</v>
      </c>
      <c r="M1280" t="s">
        <v>60</v>
      </c>
      <c r="O1280" t="s">
        <v>170</v>
      </c>
      <c r="P1280" t="s">
        <v>135</v>
      </c>
      <c r="R1280" t="s">
        <v>63</v>
      </c>
      <c r="S1280" t="s">
        <v>64</v>
      </c>
      <c r="T1280">
        <v>237</v>
      </c>
      <c r="U1280">
        <v>227</v>
      </c>
      <c r="V1280">
        <f t="shared" si="38"/>
        <v>232</v>
      </c>
      <c r="W1280">
        <f t="shared" si="39"/>
        <v>10</v>
      </c>
      <c r="X1280">
        <v>-106.804169</v>
      </c>
      <c r="Y1280">
        <v>43.534999999999997</v>
      </c>
      <c r="Z1280" t="s">
        <v>124</v>
      </c>
      <c r="AA1280" t="s">
        <v>66</v>
      </c>
      <c r="AB1280" t="s">
        <v>2008</v>
      </c>
      <c r="AC1280" t="s">
        <v>2009</v>
      </c>
      <c r="AD1280" t="s">
        <v>2477</v>
      </c>
      <c r="AE1280" t="s">
        <v>2011</v>
      </c>
      <c r="AH1280" t="s">
        <v>72</v>
      </c>
      <c r="AI1280" t="s">
        <v>2483</v>
      </c>
      <c r="AJ1280">
        <v>2002</v>
      </c>
      <c r="AK1280" t="s">
        <v>2486</v>
      </c>
      <c r="AN1280" t="s">
        <v>76</v>
      </c>
      <c r="AO1280" t="s">
        <v>77</v>
      </c>
      <c r="AP1280" t="s">
        <v>115</v>
      </c>
      <c r="AQ1280" t="s">
        <v>2487</v>
      </c>
      <c r="AR1280" t="s">
        <v>80</v>
      </c>
      <c r="AS1280">
        <v>101</v>
      </c>
      <c r="AT1280" t="s">
        <v>81</v>
      </c>
      <c r="AU1280">
        <v>-30.62</v>
      </c>
      <c r="AV1280">
        <v>22.29</v>
      </c>
      <c r="AW1280" t="s">
        <v>82</v>
      </c>
      <c r="AX1280">
        <v>101</v>
      </c>
      <c r="AY1280" t="s">
        <v>81</v>
      </c>
      <c r="AZ1280">
        <v>-37.67</v>
      </c>
      <c r="BA1280">
        <v>12.34</v>
      </c>
      <c r="BB1280" t="s">
        <v>83</v>
      </c>
    </row>
    <row r="1281" spans="1:54" x14ac:dyDescent="0.4">
      <c r="A1281">
        <v>829496</v>
      </c>
      <c r="D1281" t="s">
        <v>54</v>
      </c>
      <c r="G1281">
        <v>1</v>
      </c>
      <c r="H1281" t="s">
        <v>56</v>
      </c>
      <c r="I1281" t="s">
        <v>57</v>
      </c>
      <c r="K1281" t="s">
        <v>141</v>
      </c>
      <c r="L1281" t="s">
        <v>766</v>
      </c>
      <c r="M1281" t="s">
        <v>60</v>
      </c>
      <c r="O1281" t="s">
        <v>87</v>
      </c>
      <c r="P1281" t="s">
        <v>135</v>
      </c>
      <c r="R1281" t="s">
        <v>63</v>
      </c>
      <c r="S1281" t="s">
        <v>64</v>
      </c>
      <c r="T1281">
        <v>237</v>
      </c>
      <c r="U1281">
        <v>227</v>
      </c>
      <c r="V1281">
        <f t="shared" si="38"/>
        <v>232</v>
      </c>
      <c r="W1281">
        <f t="shared" si="39"/>
        <v>10</v>
      </c>
      <c r="X1281">
        <v>-108.666664</v>
      </c>
      <c r="Y1281">
        <v>42.700001</v>
      </c>
      <c r="Z1281" t="s">
        <v>124</v>
      </c>
      <c r="AA1281" t="s">
        <v>66</v>
      </c>
      <c r="AB1281" t="s">
        <v>2008</v>
      </c>
      <c r="AC1281" t="s">
        <v>2482</v>
      </c>
      <c r="AD1281" t="s">
        <v>2477</v>
      </c>
      <c r="AE1281" t="s">
        <v>2011</v>
      </c>
      <c r="AH1281" t="s">
        <v>72</v>
      </c>
      <c r="AI1281" t="s">
        <v>2488</v>
      </c>
      <c r="AJ1281">
        <v>1915</v>
      </c>
      <c r="AK1281" t="s">
        <v>2489</v>
      </c>
      <c r="AM1281" t="s">
        <v>2490</v>
      </c>
      <c r="AN1281" t="s">
        <v>192</v>
      </c>
      <c r="AO1281" t="s">
        <v>160</v>
      </c>
      <c r="AP1281" t="s">
        <v>115</v>
      </c>
      <c r="AQ1281" t="s">
        <v>2491</v>
      </c>
      <c r="AR1281" t="s">
        <v>80</v>
      </c>
      <c r="AS1281">
        <v>127</v>
      </c>
      <c r="AT1281" t="s">
        <v>81</v>
      </c>
      <c r="AU1281">
        <v>-34.619999999999997</v>
      </c>
      <c r="AV1281">
        <v>24.87</v>
      </c>
      <c r="AW1281" t="s">
        <v>82</v>
      </c>
      <c r="AX1281">
        <v>133</v>
      </c>
      <c r="AY1281" t="s">
        <v>81</v>
      </c>
      <c r="AZ1281">
        <v>-42.97</v>
      </c>
      <c r="BA1281">
        <v>12.64</v>
      </c>
      <c r="BB1281" t="s">
        <v>83</v>
      </c>
    </row>
    <row r="1282" spans="1:54" x14ac:dyDescent="0.4">
      <c r="A1282">
        <v>829496</v>
      </c>
      <c r="D1282" t="s">
        <v>54</v>
      </c>
      <c r="G1282">
        <v>1</v>
      </c>
      <c r="H1282" t="s">
        <v>56</v>
      </c>
      <c r="I1282" t="s">
        <v>57</v>
      </c>
      <c r="K1282" t="s">
        <v>141</v>
      </c>
      <c r="L1282" t="s">
        <v>766</v>
      </c>
      <c r="M1282" t="s">
        <v>60</v>
      </c>
      <c r="O1282" t="s">
        <v>87</v>
      </c>
      <c r="P1282" t="s">
        <v>135</v>
      </c>
      <c r="R1282" t="s">
        <v>63</v>
      </c>
      <c r="S1282" t="s">
        <v>64</v>
      </c>
      <c r="T1282">
        <v>237</v>
      </c>
      <c r="U1282">
        <v>227</v>
      </c>
      <c r="V1282">
        <f t="shared" si="38"/>
        <v>232</v>
      </c>
      <c r="W1282">
        <f t="shared" si="39"/>
        <v>10</v>
      </c>
      <c r="X1282">
        <v>-108.666664</v>
      </c>
      <c r="Y1282">
        <v>42.700001</v>
      </c>
      <c r="Z1282" t="s">
        <v>124</v>
      </c>
      <c r="AA1282" t="s">
        <v>66</v>
      </c>
      <c r="AB1282" t="s">
        <v>2008</v>
      </c>
      <c r="AC1282" t="s">
        <v>2482</v>
      </c>
      <c r="AD1282" t="s">
        <v>2477</v>
      </c>
      <c r="AE1282" t="s">
        <v>2011</v>
      </c>
      <c r="AH1282" t="s">
        <v>72</v>
      </c>
      <c r="AI1282" t="s">
        <v>2488</v>
      </c>
      <c r="AJ1282">
        <v>1915</v>
      </c>
      <c r="AK1282" t="s">
        <v>2489</v>
      </c>
      <c r="AM1282" t="s">
        <v>2490</v>
      </c>
      <c r="AN1282" t="s">
        <v>192</v>
      </c>
      <c r="AO1282" t="s">
        <v>160</v>
      </c>
      <c r="AP1282" t="s">
        <v>115</v>
      </c>
      <c r="AQ1282" t="s">
        <v>2491</v>
      </c>
      <c r="AR1282" t="s">
        <v>80</v>
      </c>
      <c r="AS1282">
        <v>127</v>
      </c>
      <c r="AT1282" t="s">
        <v>81</v>
      </c>
      <c r="AU1282">
        <v>-34.619999999999997</v>
      </c>
      <c r="AV1282">
        <v>24.87</v>
      </c>
      <c r="AW1282" t="s">
        <v>82</v>
      </c>
      <c r="AX1282">
        <v>133</v>
      </c>
      <c r="AY1282" t="s">
        <v>81</v>
      </c>
      <c r="AZ1282">
        <v>-42.97</v>
      </c>
      <c r="BA1282">
        <v>12.64</v>
      </c>
      <c r="BB1282" t="s">
        <v>83</v>
      </c>
    </row>
    <row r="1283" spans="1:54" x14ac:dyDescent="0.4">
      <c r="A1283">
        <v>829679</v>
      </c>
      <c r="D1283" t="s">
        <v>54</v>
      </c>
      <c r="E1283" t="s">
        <v>55</v>
      </c>
      <c r="G1283">
        <v>1</v>
      </c>
      <c r="H1283" t="s">
        <v>56</v>
      </c>
      <c r="I1283" t="s">
        <v>57</v>
      </c>
      <c r="K1283" t="s">
        <v>85</v>
      </c>
      <c r="L1283" t="s">
        <v>2492</v>
      </c>
      <c r="M1283" t="s">
        <v>60</v>
      </c>
      <c r="O1283" t="s">
        <v>87</v>
      </c>
      <c r="P1283" t="s">
        <v>135</v>
      </c>
      <c r="R1283" t="s">
        <v>63</v>
      </c>
      <c r="S1283" t="s">
        <v>64</v>
      </c>
      <c r="T1283">
        <v>237</v>
      </c>
      <c r="U1283">
        <v>227</v>
      </c>
      <c r="V1283">
        <f t="shared" ref="V1283:V1346" si="40">(T1283+U1283)/2</f>
        <v>232</v>
      </c>
      <c r="W1283">
        <f t="shared" ref="W1283:W1346" si="41">T1283-U1283</f>
        <v>10</v>
      </c>
      <c r="X1283">
        <v>-109.150002</v>
      </c>
      <c r="Y1283">
        <v>43.099997999999999</v>
      </c>
      <c r="Z1283" t="s">
        <v>124</v>
      </c>
      <c r="AA1283" t="s">
        <v>66</v>
      </c>
      <c r="AB1283" t="s">
        <v>2008</v>
      </c>
      <c r="AC1283" t="s">
        <v>2482</v>
      </c>
      <c r="AD1283" t="s">
        <v>2477</v>
      </c>
      <c r="AE1283" t="s">
        <v>2011</v>
      </c>
      <c r="AH1283" t="s">
        <v>72</v>
      </c>
      <c r="AI1283" t="s">
        <v>2493</v>
      </c>
      <c r="AJ1283">
        <v>1965</v>
      </c>
      <c r="AK1283" t="s">
        <v>2494</v>
      </c>
      <c r="AN1283" t="s">
        <v>192</v>
      </c>
      <c r="AO1283" t="s">
        <v>160</v>
      </c>
      <c r="AP1283" t="s">
        <v>115</v>
      </c>
      <c r="AQ1283" t="s">
        <v>2495</v>
      </c>
      <c r="AR1283" t="s">
        <v>80</v>
      </c>
      <c r="AS1283">
        <v>127</v>
      </c>
      <c r="AT1283" t="s">
        <v>81</v>
      </c>
      <c r="AU1283">
        <v>-35.15</v>
      </c>
      <c r="AV1283">
        <v>25.11</v>
      </c>
      <c r="AW1283" t="s">
        <v>82</v>
      </c>
      <c r="AX1283">
        <v>133</v>
      </c>
      <c r="AY1283" t="s">
        <v>81</v>
      </c>
      <c r="AZ1283">
        <v>-43.17</v>
      </c>
      <c r="BA1283">
        <v>13.14</v>
      </c>
      <c r="BB1283" t="s">
        <v>83</v>
      </c>
    </row>
    <row r="1284" spans="1:54" x14ac:dyDescent="0.4">
      <c r="A1284">
        <v>829680</v>
      </c>
      <c r="D1284" t="s">
        <v>54</v>
      </c>
      <c r="E1284" t="s">
        <v>55</v>
      </c>
      <c r="G1284">
        <v>1</v>
      </c>
      <c r="H1284" t="s">
        <v>56</v>
      </c>
      <c r="I1284" t="s">
        <v>57</v>
      </c>
      <c r="K1284" t="s">
        <v>85</v>
      </c>
      <c r="L1284" t="s">
        <v>2492</v>
      </c>
      <c r="M1284" t="s">
        <v>60</v>
      </c>
      <c r="O1284" t="s">
        <v>87</v>
      </c>
      <c r="P1284" t="s">
        <v>135</v>
      </c>
      <c r="R1284" t="s">
        <v>63</v>
      </c>
      <c r="S1284" t="s">
        <v>64</v>
      </c>
      <c r="T1284">
        <v>237</v>
      </c>
      <c r="U1284">
        <v>227</v>
      </c>
      <c r="V1284">
        <f t="shared" si="40"/>
        <v>232</v>
      </c>
      <c r="W1284">
        <f t="shared" si="41"/>
        <v>10</v>
      </c>
      <c r="X1284">
        <v>-109.150002</v>
      </c>
      <c r="Y1284">
        <v>43.099997999999999</v>
      </c>
      <c r="Z1284" t="s">
        <v>124</v>
      </c>
      <c r="AA1284" t="s">
        <v>66</v>
      </c>
      <c r="AB1284" t="s">
        <v>2008</v>
      </c>
      <c r="AC1284" t="s">
        <v>2482</v>
      </c>
      <c r="AD1284" t="s">
        <v>2477</v>
      </c>
      <c r="AE1284" t="s">
        <v>2011</v>
      </c>
      <c r="AH1284" t="s">
        <v>11</v>
      </c>
      <c r="AI1284" t="s">
        <v>2493</v>
      </c>
      <c r="AJ1284">
        <v>1965</v>
      </c>
      <c r="AK1284" t="s">
        <v>2494</v>
      </c>
      <c r="AN1284" t="s">
        <v>192</v>
      </c>
      <c r="AO1284" t="s">
        <v>160</v>
      </c>
      <c r="AP1284" t="s">
        <v>115</v>
      </c>
      <c r="AQ1284" t="s">
        <v>2495</v>
      </c>
      <c r="AR1284" t="s">
        <v>80</v>
      </c>
      <c r="AS1284">
        <v>127</v>
      </c>
      <c r="AT1284" t="s">
        <v>81</v>
      </c>
      <c r="AU1284">
        <v>-35.15</v>
      </c>
      <c r="AV1284">
        <v>25.11</v>
      </c>
      <c r="AW1284" t="s">
        <v>82</v>
      </c>
      <c r="AX1284">
        <v>133</v>
      </c>
      <c r="AY1284" t="s">
        <v>81</v>
      </c>
      <c r="AZ1284">
        <v>-43.17</v>
      </c>
      <c r="BA1284">
        <v>13.14</v>
      </c>
      <c r="BB1284" t="s">
        <v>83</v>
      </c>
    </row>
    <row r="1285" spans="1:54" x14ac:dyDescent="0.4">
      <c r="A1285">
        <v>829816</v>
      </c>
      <c r="D1285" t="s">
        <v>54</v>
      </c>
      <c r="E1285" t="s">
        <v>55</v>
      </c>
      <c r="G1285">
        <v>1</v>
      </c>
      <c r="H1285" t="s">
        <v>56</v>
      </c>
      <c r="I1285" t="s">
        <v>57</v>
      </c>
      <c r="K1285" t="s">
        <v>85</v>
      </c>
      <c r="L1285" t="s">
        <v>2492</v>
      </c>
      <c r="M1285" t="s">
        <v>60</v>
      </c>
      <c r="O1285" t="s">
        <v>87</v>
      </c>
      <c r="P1285" t="s">
        <v>135</v>
      </c>
      <c r="R1285" t="s">
        <v>63</v>
      </c>
      <c r="S1285" t="s">
        <v>64</v>
      </c>
      <c r="T1285">
        <v>237</v>
      </c>
      <c r="U1285">
        <v>227</v>
      </c>
      <c r="V1285">
        <f t="shared" si="40"/>
        <v>232</v>
      </c>
      <c r="W1285">
        <f t="shared" si="41"/>
        <v>10</v>
      </c>
      <c r="X1285">
        <v>-109.150002</v>
      </c>
      <c r="Y1285">
        <v>43.099997999999999</v>
      </c>
      <c r="Z1285" t="s">
        <v>124</v>
      </c>
      <c r="AA1285" t="s">
        <v>66</v>
      </c>
      <c r="AB1285" t="s">
        <v>2008</v>
      </c>
      <c r="AC1285" t="s">
        <v>2482</v>
      </c>
      <c r="AD1285" t="s">
        <v>2477</v>
      </c>
      <c r="AE1285" t="s">
        <v>2011</v>
      </c>
      <c r="AH1285" t="s">
        <v>72</v>
      </c>
      <c r="AI1285" t="s">
        <v>2496</v>
      </c>
      <c r="AJ1285">
        <v>1929</v>
      </c>
      <c r="AK1285" t="s">
        <v>2497</v>
      </c>
      <c r="AM1285" t="s">
        <v>2498</v>
      </c>
      <c r="AN1285" t="s">
        <v>76</v>
      </c>
      <c r="AO1285" t="s">
        <v>160</v>
      </c>
      <c r="AP1285" t="s">
        <v>115</v>
      </c>
      <c r="AQ1285" t="s">
        <v>2499</v>
      </c>
      <c r="AR1285" t="s">
        <v>80</v>
      </c>
      <c r="AS1285">
        <v>127</v>
      </c>
      <c r="AT1285" t="s">
        <v>81</v>
      </c>
      <c r="AU1285">
        <v>-35.15</v>
      </c>
      <c r="AV1285">
        <v>25.11</v>
      </c>
      <c r="AW1285" t="s">
        <v>82</v>
      </c>
      <c r="AX1285">
        <v>133</v>
      </c>
      <c r="AY1285" t="s">
        <v>81</v>
      </c>
      <c r="AZ1285">
        <v>-43.17</v>
      </c>
      <c r="BA1285">
        <v>13.14</v>
      </c>
      <c r="BB1285" t="s">
        <v>83</v>
      </c>
    </row>
    <row r="1286" spans="1:54" x14ac:dyDescent="0.4">
      <c r="A1286">
        <v>829989</v>
      </c>
      <c r="D1286" t="s">
        <v>54</v>
      </c>
      <c r="G1286">
        <v>1</v>
      </c>
      <c r="H1286" t="s">
        <v>84</v>
      </c>
      <c r="I1286" t="s">
        <v>57</v>
      </c>
      <c r="K1286" t="s">
        <v>141</v>
      </c>
      <c r="L1286" t="s">
        <v>2500</v>
      </c>
      <c r="M1286" t="s">
        <v>60</v>
      </c>
      <c r="P1286" t="s">
        <v>135</v>
      </c>
      <c r="R1286" t="s">
        <v>63</v>
      </c>
      <c r="S1286" t="s">
        <v>64</v>
      </c>
      <c r="T1286">
        <v>237</v>
      </c>
      <c r="U1286">
        <v>227</v>
      </c>
      <c r="V1286">
        <f t="shared" si="40"/>
        <v>232</v>
      </c>
      <c r="W1286">
        <f t="shared" si="41"/>
        <v>10</v>
      </c>
      <c r="X1286">
        <v>-109</v>
      </c>
      <c r="Y1286">
        <v>43.233333999999999</v>
      </c>
      <c r="Z1286" t="s">
        <v>124</v>
      </c>
      <c r="AA1286" t="s">
        <v>66</v>
      </c>
      <c r="AB1286" t="s">
        <v>2008</v>
      </c>
      <c r="AC1286" t="s">
        <v>2482</v>
      </c>
      <c r="AD1286" t="s">
        <v>2477</v>
      </c>
      <c r="AE1286" t="s">
        <v>2011</v>
      </c>
      <c r="AH1286" t="s">
        <v>72</v>
      </c>
      <c r="AI1286" t="s">
        <v>1849</v>
      </c>
      <c r="AJ1286">
        <v>1904</v>
      </c>
      <c r="AK1286" t="s">
        <v>2501</v>
      </c>
      <c r="AN1286" t="s">
        <v>114</v>
      </c>
      <c r="AO1286" t="s">
        <v>160</v>
      </c>
      <c r="AP1286" t="s">
        <v>230</v>
      </c>
      <c r="AQ1286" t="s">
        <v>2502</v>
      </c>
      <c r="AR1286" t="s">
        <v>80</v>
      </c>
      <c r="AS1286">
        <v>127</v>
      </c>
      <c r="AT1286" t="s">
        <v>81</v>
      </c>
      <c r="AU1286">
        <v>-35.090000000000003</v>
      </c>
      <c r="AV1286">
        <v>25.27</v>
      </c>
      <c r="AW1286" t="s">
        <v>82</v>
      </c>
      <c r="AX1286">
        <v>133</v>
      </c>
      <c r="AY1286" t="s">
        <v>81</v>
      </c>
      <c r="AZ1286">
        <v>-43.02</v>
      </c>
      <c r="BA1286">
        <v>13.23</v>
      </c>
      <c r="BB1286" t="s">
        <v>83</v>
      </c>
    </row>
    <row r="1287" spans="1:54" x14ac:dyDescent="0.4">
      <c r="A1287">
        <v>829996</v>
      </c>
      <c r="D1287" t="s">
        <v>54</v>
      </c>
      <c r="G1287">
        <v>1</v>
      </c>
      <c r="H1287" t="s">
        <v>84</v>
      </c>
      <c r="I1287" t="s">
        <v>57</v>
      </c>
      <c r="K1287" t="s">
        <v>141</v>
      </c>
      <c r="L1287" t="s">
        <v>766</v>
      </c>
      <c r="M1287" t="s">
        <v>60</v>
      </c>
      <c r="O1287" t="s">
        <v>87</v>
      </c>
      <c r="P1287" t="s">
        <v>135</v>
      </c>
      <c r="R1287" t="s">
        <v>63</v>
      </c>
      <c r="S1287" t="s">
        <v>64</v>
      </c>
      <c r="T1287">
        <v>237</v>
      </c>
      <c r="U1287">
        <v>227</v>
      </c>
      <c r="V1287">
        <f t="shared" si="40"/>
        <v>232</v>
      </c>
      <c r="W1287">
        <f t="shared" si="41"/>
        <v>10</v>
      </c>
      <c r="X1287">
        <v>-109</v>
      </c>
      <c r="Y1287">
        <v>43.233333999999999</v>
      </c>
      <c r="Z1287" t="s">
        <v>124</v>
      </c>
      <c r="AA1287" t="s">
        <v>66</v>
      </c>
      <c r="AB1287" t="s">
        <v>2008</v>
      </c>
      <c r="AC1287" t="s">
        <v>2482</v>
      </c>
      <c r="AD1287" t="s">
        <v>2477</v>
      </c>
      <c r="AE1287" t="s">
        <v>2011</v>
      </c>
      <c r="AH1287" t="s">
        <v>72</v>
      </c>
      <c r="AI1287" t="s">
        <v>2488</v>
      </c>
      <c r="AJ1287">
        <v>1915</v>
      </c>
      <c r="AK1287" t="s">
        <v>2501</v>
      </c>
      <c r="AN1287" t="s">
        <v>114</v>
      </c>
      <c r="AO1287" t="s">
        <v>160</v>
      </c>
      <c r="AP1287" t="s">
        <v>230</v>
      </c>
      <c r="AQ1287" t="s">
        <v>2502</v>
      </c>
      <c r="AR1287" t="s">
        <v>80</v>
      </c>
      <c r="AS1287">
        <v>127</v>
      </c>
      <c r="AT1287" t="s">
        <v>81</v>
      </c>
      <c r="AU1287">
        <v>-35.090000000000003</v>
      </c>
      <c r="AV1287">
        <v>25.27</v>
      </c>
      <c r="AW1287" t="s">
        <v>82</v>
      </c>
      <c r="AX1287">
        <v>133</v>
      </c>
      <c r="AY1287" t="s">
        <v>81</v>
      </c>
      <c r="AZ1287">
        <v>-43.02</v>
      </c>
      <c r="BA1287">
        <v>13.23</v>
      </c>
      <c r="BB1287" t="s">
        <v>83</v>
      </c>
    </row>
    <row r="1288" spans="1:54" x14ac:dyDescent="0.4">
      <c r="A1288">
        <v>832678</v>
      </c>
      <c r="D1288" t="s">
        <v>54</v>
      </c>
      <c r="G1288">
        <v>1</v>
      </c>
      <c r="H1288" t="s">
        <v>56</v>
      </c>
      <c r="I1288" t="s">
        <v>57</v>
      </c>
      <c r="K1288" t="s">
        <v>141</v>
      </c>
      <c r="L1288" t="s">
        <v>296</v>
      </c>
      <c r="M1288" t="s">
        <v>60</v>
      </c>
      <c r="O1288" t="s">
        <v>170</v>
      </c>
      <c r="P1288" t="s">
        <v>135</v>
      </c>
      <c r="R1288" t="s">
        <v>63</v>
      </c>
      <c r="S1288" t="s">
        <v>64</v>
      </c>
      <c r="T1288">
        <v>237</v>
      </c>
      <c r="U1288">
        <v>227</v>
      </c>
      <c r="V1288">
        <f t="shared" si="40"/>
        <v>232</v>
      </c>
      <c r="W1288">
        <f t="shared" si="41"/>
        <v>10</v>
      </c>
      <c r="X1288">
        <v>-67.883330999999998</v>
      </c>
      <c r="Y1288">
        <v>-30.116667</v>
      </c>
      <c r="Z1288" t="s">
        <v>124</v>
      </c>
      <c r="AA1288" t="s">
        <v>185</v>
      </c>
      <c r="AB1288" t="s">
        <v>285</v>
      </c>
      <c r="AC1288" t="s">
        <v>1116</v>
      </c>
      <c r="AD1288" t="s">
        <v>286</v>
      </c>
      <c r="AH1288" t="s">
        <v>72</v>
      </c>
      <c r="AI1288" t="s">
        <v>2559</v>
      </c>
      <c r="AJ1288">
        <v>2011</v>
      </c>
      <c r="AK1288" t="s">
        <v>2560</v>
      </c>
      <c r="AM1288" t="s">
        <v>2561</v>
      </c>
      <c r="AN1288" t="s">
        <v>114</v>
      </c>
      <c r="AO1288" t="s">
        <v>160</v>
      </c>
      <c r="AP1288" t="s">
        <v>359</v>
      </c>
      <c r="AQ1288" t="s">
        <v>2562</v>
      </c>
      <c r="AR1288" t="s">
        <v>80</v>
      </c>
      <c r="AS1288">
        <v>291</v>
      </c>
      <c r="AT1288" t="s">
        <v>81</v>
      </c>
      <c r="AU1288">
        <v>-26.39</v>
      </c>
      <c r="AV1288">
        <v>-36.29</v>
      </c>
      <c r="AW1288" t="s">
        <v>82</v>
      </c>
      <c r="AX1288">
        <v>291</v>
      </c>
      <c r="AY1288" t="s">
        <v>81</v>
      </c>
      <c r="AZ1288">
        <v>-35.130000000000003</v>
      </c>
      <c r="BA1288">
        <v>-46.33</v>
      </c>
      <c r="BB1288" t="s">
        <v>83</v>
      </c>
    </row>
    <row r="1289" spans="1:54" x14ac:dyDescent="0.4">
      <c r="A1289">
        <v>842931</v>
      </c>
      <c r="D1289" t="s">
        <v>54</v>
      </c>
      <c r="G1289">
        <v>1</v>
      </c>
      <c r="H1289" t="s">
        <v>421</v>
      </c>
      <c r="I1289" t="s">
        <v>57</v>
      </c>
      <c r="K1289" t="s">
        <v>206</v>
      </c>
      <c r="L1289" t="s">
        <v>815</v>
      </c>
      <c r="M1289" t="s">
        <v>60</v>
      </c>
      <c r="O1289" t="s">
        <v>170</v>
      </c>
      <c r="P1289" t="s">
        <v>135</v>
      </c>
      <c r="R1289" t="s">
        <v>63</v>
      </c>
      <c r="S1289" t="s">
        <v>64</v>
      </c>
      <c r="T1289">
        <v>237</v>
      </c>
      <c r="U1289">
        <v>227</v>
      </c>
      <c r="V1289">
        <f t="shared" si="40"/>
        <v>232</v>
      </c>
      <c r="W1289">
        <f t="shared" si="41"/>
        <v>10</v>
      </c>
      <c r="X1289">
        <v>-79.866669000000002</v>
      </c>
      <c r="Y1289">
        <v>35.200001</v>
      </c>
      <c r="Z1289" t="s">
        <v>124</v>
      </c>
      <c r="AA1289" t="s">
        <v>66</v>
      </c>
      <c r="AB1289" t="s">
        <v>816</v>
      </c>
      <c r="AC1289" t="s">
        <v>1452</v>
      </c>
      <c r="AD1289" t="s">
        <v>817</v>
      </c>
      <c r="AE1289" t="s">
        <v>70</v>
      </c>
      <c r="AH1289" t="s">
        <v>11</v>
      </c>
      <c r="AI1289" t="s">
        <v>208</v>
      </c>
      <c r="AJ1289">
        <v>2008</v>
      </c>
      <c r="AK1289" t="s">
        <v>817</v>
      </c>
      <c r="AN1289" t="s">
        <v>114</v>
      </c>
      <c r="AO1289" t="s">
        <v>160</v>
      </c>
      <c r="AP1289" t="s">
        <v>115</v>
      </c>
      <c r="AQ1289" t="s">
        <v>2990</v>
      </c>
      <c r="AR1289" t="s">
        <v>80</v>
      </c>
      <c r="AS1289">
        <v>109</v>
      </c>
      <c r="AT1289" t="s">
        <v>81</v>
      </c>
      <c r="AU1289">
        <v>-10.83</v>
      </c>
      <c r="AV1289">
        <v>10.5</v>
      </c>
      <c r="AW1289" t="s">
        <v>82</v>
      </c>
      <c r="AX1289">
        <v>109</v>
      </c>
      <c r="AY1289" t="s">
        <v>81</v>
      </c>
      <c r="AZ1289">
        <v>-18.61</v>
      </c>
      <c r="BA1289">
        <v>0.5</v>
      </c>
      <c r="BB1289" t="s">
        <v>83</v>
      </c>
    </row>
    <row r="1290" spans="1:54" x14ac:dyDescent="0.4">
      <c r="A1290">
        <v>853387</v>
      </c>
      <c r="D1290" t="s">
        <v>54</v>
      </c>
      <c r="I1290" t="s">
        <v>57</v>
      </c>
      <c r="K1290" t="s">
        <v>840</v>
      </c>
      <c r="L1290" t="s">
        <v>841</v>
      </c>
      <c r="M1290" t="s">
        <v>60</v>
      </c>
      <c r="O1290" t="s">
        <v>170</v>
      </c>
      <c r="P1290" t="s">
        <v>135</v>
      </c>
      <c r="R1290" t="s">
        <v>63</v>
      </c>
      <c r="S1290" t="s">
        <v>64</v>
      </c>
      <c r="T1290">
        <v>237</v>
      </c>
      <c r="U1290">
        <v>227</v>
      </c>
      <c r="V1290">
        <f t="shared" si="40"/>
        <v>232</v>
      </c>
      <c r="W1290">
        <f t="shared" si="41"/>
        <v>10</v>
      </c>
      <c r="X1290">
        <v>30.283332999999999</v>
      </c>
      <c r="Y1290">
        <v>-16.216667000000001</v>
      </c>
      <c r="Z1290" t="s">
        <v>198</v>
      </c>
      <c r="AA1290" t="s">
        <v>894</v>
      </c>
      <c r="AB1290" t="s">
        <v>895</v>
      </c>
      <c r="AD1290" t="s">
        <v>896</v>
      </c>
      <c r="AE1290" t="s">
        <v>897</v>
      </c>
      <c r="AH1290" t="s">
        <v>11</v>
      </c>
      <c r="AI1290" t="s">
        <v>898</v>
      </c>
      <c r="AJ1290">
        <v>1992</v>
      </c>
      <c r="AK1290" t="s">
        <v>3142</v>
      </c>
      <c r="AN1290" t="s">
        <v>76</v>
      </c>
      <c r="AO1290" t="s">
        <v>160</v>
      </c>
      <c r="AP1290" t="s">
        <v>115</v>
      </c>
      <c r="AQ1290" t="s">
        <v>3143</v>
      </c>
      <c r="AR1290" t="s">
        <v>80</v>
      </c>
      <c r="AS1290">
        <v>701</v>
      </c>
      <c r="AT1290" t="s">
        <v>81</v>
      </c>
      <c r="AU1290">
        <v>14.34</v>
      </c>
      <c r="AV1290">
        <v>-42.32</v>
      </c>
      <c r="AW1290" t="s">
        <v>82</v>
      </c>
      <c r="AX1290">
        <v>701</v>
      </c>
      <c r="AY1290" t="s">
        <v>81</v>
      </c>
      <c r="AZ1290">
        <v>13.17</v>
      </c>
      <c r="BA1290">
        <v>-50.38</v>
      </c>
      <c r="BB1290" t="s">
        <v>83</v>
      </c>
    </row>
    <row r="1291" spans="1:54" x14ac:dyDescent="0.4">
      <c r="A1291">
        <v>853388</v>
      </c>
      <c r="D1291" t="s">
        <v>54</v>
      </c>
      <c r="I1291" t="s">
        <v>57</v>
      </c>
      <c r="K1291" t="s">
        <v>840</v>
      </c>
      <c r="L1291" t="s">
        <v>841</v>
      </c>
      <c r="M1291" t="s">
        <v>60</v>
      </c>
      <c r="O1291" t="s">
        <v>170</v>
      </c>
      <c r="P1291" t="s">
        <v>135</v>
      </c>
      <c r="R1291" t="s">
        <v>63</v>
      </c>
      <c r="S1291" t="s">
        <v>64</v>
      </c>
      <c r="T1291">
        <v>237</v>
      </c>
      <c r="U1291">
        <v>227</v>
      </c>
      <c r="V1291">
        <f t="shared" si="40"/>
        <v>232</v>
      </c>
      <c r="W1291">
        <f t="shared" si="41"/>
        <v>10</v>
      </c>
      <c r="X1291">
        <v>30.049999</v>
      </c>
      <c r="Y1291">
        <v>-16.100000000000001</v>
      </c>
      <c r="Z1291" t="s">
        <v>198</v>
      </c>
      <c r="AA1291" t="s">
        <v>894</v>
      </c>
      <c r="AB1291" t="s">
        <v>895</v>
      </c>
      <c r="AD1291" t="s">
        <v>896</v>
      </c>
      <c r="AE1291" t="s">
        <v>897</v>
      </c>
      <c r="AH1291" t="s">
        <v>11</v>
      </c>
      <c r="AI1291" t="s">
        <v>898</v>
      </c>
      <c r="AJ1291">
        <v>1992</v>
      </c>
      <c r="AK1291" t="s">
        <v>3144</v>
      </c>
      <c r="AN1291" t="s">
        <v>76</v>
      </c>
      <c r="AO1291" t="s">
        <v>160</v>
      </c>
      <c r="AP1291" t="s">
        <v>115</v>
      </c>
      <c r="AQ1291" t="s">
        <v>3143</v>
      </c>
      <c r="AR1291" t="s">
        <v>80</v>
      </c>
      <c r="AS1291">
        <v>701</v>
      </c>
      <c r="AT1291" t="s">
        <v>81</v>
      </c>
      <c r="AU1291">
        <v>14.17</v>
      </c>
      <c r="AV1291">
        <v>-42.1</v>
      </c>
      <c r="AW1291" t="s">
        <v>82</v>
      </c>
      <c r="AX1291">
        <v>701</v>
      </c>
      <c r="AY1291" t="s">
        <v>81</v>
      </c>
      <c r="AZ1291">
        <v>12.91</v>
      </c>
      <c r="BA1291">
        <v>-50.18</v>
      </c>
      <c r="BB1291" t="s">
        <v>83</v>
      </c>
    </row>
    <row r="1292" spans="1:54" x14ac:dyDescent="0.4">
      <c r="A1292">
        <v>853392</v>
      </c>
      <c r="D1292" t="s">
        <v>54</v>
      </c>
      <c r="E1292" t="s">
        <v>152</v>
      </c>
      <c r="G1292">
        <v>6</v>
      </c>
      <c r="H1292" t="s">
        <v>84</v>
      </c>
      <c r="I1292" t="s">
        <v>57</v>
      </c>
      <c r="K1292" t="s">
        <v>196</v>
      </c>
      <c r="L1292" t="s">
        <v>1284</v>
      </c>
      <c r="M1292" t="s">
        <v>60</v>
      </c>
      <c r="O1292" t="s">
        <v>87</v>
      </c>
      <c r="P1292" t="s">
        <v>135</v>
      </c>
      <c r="R1292" t="s">
        <v>63</v>
      </c>
      <c r="S1292" t="s">
        <v>64</v>
      </c>
      <c r="T1292">
        <v>237</v>
      </c>
      <c r="U1292">
        <v>227</v>
      </c>
      <c r="V1292">
        <f t="shared" si="40"/>
        <v>232</v>
      </c>
      <c r="W1292">
        <f t="shared" si="41"/>
        <v>10</v>
      </c>
      <c r="X1292">
        <v>-8.9333329999999993</v>
      </c>
      <c r="Y1292">
        <v>31.066668</v>
      </c>
      <c r="Z1292" t="s">
        <v>124</v>
      </c>
      <c r="AA1292" t="s">
        <v>1272</v>
      </c>
      <c r="AB1292" t="s">
        <v>1273</v>
      </c>
      <c r="AD1292" t="s">
        <v>1274</v>
      </c>
      <c r="AE1292" t="s">
        <v>1275</v>
      </c>
      <c r="AF1292" t="s">
        <v>1276</v>
      </c>
      <c r="AH1292" t="s">
        <v>72</v>
      </c>
      <c r="AI1292" t="s">
        <v>1285</v>
      </c>
      <c r="AJ1292">
        <v>2007</v>
      </c>
      <c r="AK1292" t="s">
        <v>3145</v>
      </c>
      <c r="AM1292" t="s">
        <v>3146</v>
      </c>
      <c r="AN1292" t="s">
        <v>114</v>
      </c>
      <c r="AO1292" t="s">
        <v>160</v>
      </c>
      <c r="AP1292" t="s">
        <v>115</v>
      </c>
      <c r="AQ1292" t="s">
        <v>3147</v>
      </c>
      <c r="AR1292" t="s">
        <v>80</v>
      </c>
      <c r="AS1292">
        <v>707</v>
      </c>
      <c r="AT1292" t="s">
        <v>81</v>
      </c>
      <c r="AU1292">
        <v>3.21</v>
      </c>
      <c r="AV1292">
        <v>16.96</v>
      </c>
      <c r="AW1292" t="s">
        <v>82</v>
      </c>
      <c r="AX1292">
        <v>707</v>
      </c>
      <c r="AY1292" t="s">
        <v>81</v>
      </c>
      <c r="AZ1292">
        <v>-5.27</v>
      </c>
      <c r="BA1292">
        <v>7.62</v>
      </c>
      <c r="BB1292" t="s">
        <v>83</v>
      </c>
    </row>
    <row r="1293" spans="1:54" x14ac:dyDescent="0.4">
      <c r="A1293">
        <v>853397</v>
      </c>
      <c r="D1293" t="s">
        <v>54</v>
      </c>
      <c r="E1293" t="s">
        <v>152</v>
      </c>
      <c r="G1293">
        <v>1</v>
      </c>
      <c r="H1293" t="s">
        <v>56</v>
      </c>
      <c r="I1293" t="s">
        <v>57</v>
      </c>
      <c r="K1293" t="s">
        <v>196</v>
      </c>
      <c r="L1293" t="s">
        <v>3148</v>
      </c>
      <c r="M1293" t="s">
        <v>60</v>
      </c>
      <c r="O1293" t="s">
        <v>87</v>
      </c>
      <c r="P1293" t="s">
        <v>135</v>
      </c>
      <c r="R1293" t="s">
        <v>63</v>
      </c>
      <c r="S1293" t="s">
        <v>64</v>
      </c>
      <c r="T1293">
        <v>237</v>
      </c>
      <c r="U1293">
        <v>227</v>
      </c>
      <c r="V1293">
        <f t="shared" si="40"/>
        <v>232</v>
      </c>
      <c r="W1293">
        <f t="shared" si="41"/>
        <v>10</v>
      </c>
      <c r="X1293">
        <v>81.366669000000002</v>
      </c>
      <c r="Y1293">
        <v>23.916668000000001</v>
      </c>
      <c r="Z1293" t="s">
        <v>124</v>
      </c>
      <c r="AA1293" t="s">
        <v>1222</v>
      </c>
      <c r="AB1293" t="s">
        <v>3149</v>
      </c>
      <c r="AC1293" t="s">
        <v>3150</v>
      </c>
      <c r="AD1293" t="s">
        <v>3151</v>
      </c>
      <c r="AE1293" t="s">
        <v>1226</v>
      </c>
      <c r="AH1293" t="s">
        <v>72</v>
      </c>
      <c r="AI1293" t="s">
        <v>3152</v>
      </c>
      <c r="AJ1293">
        <v>1987</v>
      </c>
      <c r="AK1293" t="s">
        <v>3153</v>
      </c>
      <c r="AM1293" t="s">
        <v>3154</v>
      </c>
      <c r="AN1293" t="s">
        <v>76</v>
      </c>
      <c r="AO1293" t="s">
        <v>160</v>
      </c>
      <c r="AP1293" t="s">
        <v>78</v>
      </c>
      <c r="AQ1293" t="s">
        <v>3155</v>
      </c>
      <c r="AR1293" t="s">
        <v>80</v>
      </c>
      <c r="AS1293">
        <v>501</v>
      </c>
      <c r="AT1293" t="s">
        <v>81</v>
      </c>
      <c r="AU1293">
        <v>49.11</v>
      </c>
      <c r="AV1293">
        <v>-39.659999999999997</v>
      </c>
      <c r="AW1293" t="s">
        <v>82</v>
      </c>
      <c r="AX1293">
        <v>501</v>
      </c>
      <c r="AY1293" t="s">
        <v>81</v>
      </c>
      <c r="AZ1293">
        <v>50.74</v>
      </c>
      <c r="BA1293">
        <v>-42.03</v>
      </c>
      <c r="BB1293" t="s">
        <v>83</v>
      </c>
    </row>
    <row r="1294" spans="1:54" x14ac:dyDescent="0.4">
      <c r="A1294">
        <v>853401</v>
      </c>
      <c r="D1294" t="s">
        <v>54</v>
      </c>
      <c r="E1294" t="s">
        <v>152</v>
      </c>
      <c r="I1294" t="s">
        <v>57</v>
      </c>
      <c r="K1294" t="s">
        <v>840</v>
      </c>
      <c r="L1294" t="s">
        <v>841</v>
      </c>
      <c r="M1294" t="s">
        <v>60</v>
      </c>
      <c r="O1294" t="s">
        <v>170</v>
      </c>
      <c r="P1294" t="s">
        <v>135</v>
      </c>
      <c r="R1294" t="s">
        <v>63</v>
      </c>
      <c r="S1294" t="s">
        <v>64</v>
      </c>
      <c r="T1294">
        <v>237</v>
      </c>
      <c r="U1294">
        <v>227</v>
      </c>
      <c r="V1294">
        <f t="shared" si="40"/>
        <v>232</v>
      </c>
      <c r="W1294">
        <f t="shared" si="41"/>
        <v>10</v>
      </c>
      <c r="X1294">
        <v>81.366669000000002</v>
      </c>
      <c r="Y1294">
        <v>23.916668000000001</v>
      </c>
      <c r="Z1294" t="s">
        <v>124</v>
      </c>
      <c r="AA1294" t="s">
        <v>1222</v>
      </c>
      <c r="AB1294" t="s">
        <v>3149</v>
      </c>
      <c r="AC1294" t="s">
        <v>3150</v>
      </c>
      <c r="AD1294" t="s">
        <v>3151</v>
      </c>
      <c r="AE1294" t="s">
        <v>1226</v>
      </c>
      <c r="AH1294" t="s">
        <v>72</v>
      </c>
      <c r="AI1294" t="s">
        <v>3156</v>
      </c>
      <c r="AJ1294">
        <v>1885</v>
      </c>
      <c r="AK1294" t="s">
        <v>3153</v>
      </c>
      <c r="AM1294" t="s">
        <v>3154</v>
      </c>
      <c r="AN1294" t="s">
        <v>76</v>
      </c>
      <c r="AO1294" t="s">
        <v>160</v>
      </c>
      <c r="AP1294" t="s">
        <v>78</v>
      </c>
      <c r="AQ1294" t="s">
        <v>3155</v>
      </c>
      <c r="AR1294" t="s">
        <v>80</v>
      </c>
      <c r="AS1294">
        <v>501</v>
      </c>
      <c r="AT1294" t="s">
        <v>81</v>
      </c>
      <c r="AU1294">
        <v>49.11</v>
      </c>
      <c r="AV1294">
        <v>-39.659999999999997</v>
      </c>
      <c r="AW1294" t="s">
        <v>82</v>
      </c>
      <c r="AX1294">
        <v>501</v>
      </c>
      <c r="AY1294" t="s">
        <v>81</v>
      </c>
      <c r="AZ1294">
        <v>50.74</v>
      </c>
      <c r="BA1294">
        <v>-42.03</v>
      </c>
      <c r="BB1294" t="s">
        <v>83</v>
      </c>
    </row>
    <row r="1295" spans="1:54" x14ac:dyDescent="0.4">
      <c r="A1295">
        <v>880873</v>
      </c>
      <c r="D1295" t="s">
        <v>853</v>
      </c>
      <c r="F1295" t="s">
        <v>3248</v>
      </c>
      <c r="I1295" t="s">
        <v>57</v>
      </c>
      <c r="K1295" t="s">
        <v>1816</v>
      </c>
      <c r="L1295" t="s">
        <v>1817</v>
      </c>
      <c r="M1295" t="s">
        <v>223</v>
      </c>
      <c r="N1295" t="s">
        <v>234</v>
      </c>
      <c r="O1295" t="s">
        <v>345</v>
      </c>
      <c r="P1295" t="s">
        <v>135</v>
      </c>
      <c r="R1295" t="s">
        <v>63</v>
      </c>
      <c r="S1295" t="s">
        <v>64</v>
      </c>
      <c r="T1295">
        <v>237</v>
      </c>
      <c r="U1295">
        <v>227</v>
      </c>
      <c r="V1295">
        <f t="shared" si="40"/>
        <v>232</v>
      </c>
      <c r="W1295">
        <f t="shared" si="41"/>
        <v>10</v>
      </c>
      <c r="X1295">
        <v>105.199997</v>
      </c>
      <c r="Y1295">
        <v>25.816668</v>
      </c>
      <c r="Z1295" t="s">
        <v>520</v>
      </c>
      <c r="AA1295" t="s">
        <v>379</v>
      </c>
      <c r="AB1295" t="s">
        <v>682</v>
      </c>
      <c r="AC1295" t="s">
        <v>3249</v>
      </c>
      <c r="AD1295" t="s">
        <v>3250</v>
      </c>
      <c r="AF1295" t="s">
        <v>3251</v>
      </c>
      <c r="AH1295" t="s">
        <v>72</v>
      </c>
      <c r="AI1295" t="s">
        <v>3252</v>
      </c>
      <c r="AJ1295">
        <v>2006</v>
      </c>
      <c r="AK1295" t="s">
        <v>3253</v>
      </c>
      <c r="AN1295" t="s">
        <v>192</v>
      </c>
      <c r="AO1295" t="s">
        <v>160</v>
      </c>
      <c r="AP1295" t="s">
        <v>78</v>
      </c>
      <c r="AQ1295" t="s">
        <v>3253</v>
      </c>
      <c r="AR1295" t="s">
        <v>80</v>
      </c>
      <c r="AS1295">
        <v>611</v>
      </c>
      <c r="AT1295" t="s">
        <v>81</v>
      </c>
      <c r="AU1295">
        <v>110.65</v>
      </c>
      <c r="AV1295">
        <v>1.99</v>
      </c>
      <c r="AW1295" t="s">
        <v>82</v>
      </c>
      <c r="AX1295">
        <v>611</v>
      </c>
      <c r="AY1295" t="s">
        <v>81</v>
      </c>
      <c r="AZ1295">
        <v>93.21</v>
      </c>
      <c r="BA1295">
        <v>21.13</v>
      </c>
      <c r="BB1295" t="s">
        <v>83</v>
      </c>
    </row>
    <row r="1296" spans="1:54" x14ac:dyDescent="0.4">
      <c r="A1296">
        <v>880955</v>
      </c>
      <c r="D1296" t="s">
        <v>54</v>
      </c>
      <c r="E1296" t="s">
        <v>55</v>
      </c>
      <c r="F1296" t="s">
        <v>1200</v>
      </c>
      <c r="I1296" t="s">
        <v>57</v>
      </c>
      <c r="K1296" t="s">
        <v>3268</v>
      </c>
      <c r="L1296" t="s">
        <v>3269</v>
      </c>
      <c r="M1296" t="s">
        <v>60</v>
      </c>
      <c r="O1296" t="s">
        <v>87</v>
      </c>
      <c r="P1296" t="s">
        <v>135</v>
      </c>
      <c r="R1296" t="s">
        <v>63</v>
      </c>
      <c r="S1296" t="s">
        <v>64</v>
      </c>
      <c r="T1296">
        <v>237</v>
      </c>
      <c r="U1296">
        <v>227</v>
      </c>
      <c r="V1296">
        <f t="shared" si="40"/>
        <v>232</v>
      </c>
      <c r="W1296">
        <f t="shared" si="41"/>
        <v>10</v>
      </c>
      <c r="X1296">
        <v>10.477778000000001</v>
      </c>
      <c r="Y1296">
        <v>49.841667000000001</v>
      </c>
      <c r="Z1296" t="s">
        <v>356</v>
      </c>
      <c r="AA1296" t="s">
        <v>211</v>
      </c>
      <c r="AB1296" t="s">
        <v>953</v>
      </c>
      <c r="AC1296" t="s">
        <v>3270</v>
      </c>
      <c r="AD1296" t="s">
        <v>3271</v>
      </c>
      <c r="AE1296" t="s">
        <v>215</v>
      </c>
      <c r="AF1296" t="s">
        <v>3272</v>
      </c>
      <c r="AH1296" t="s">
        <v>11</v>
      </c>
      <c r="AI1296" t="s">
        <v>3273</v>
      </c>
      <c r="AJ1296">
        <v>1936</v>
      </c>
      <c r="AK1296" t="s">
        <v>3274</v>
      </c>
      <c r="AM1296" t="s">
        <v>3275</v>
      </c>
      <c r="AN1296" t="s">
        <v>192</v>
      </c>
      <c r="AO1296" t="s">
        <v>77</v>
      </c>
      <c r="AP1296" t="s">
        <v>78</v>
      </c>
      <c r="AQ1296" t="s">
        <v>3276</v>
      </c>
      <c r="AR1296" t="s">
        <v>80</v>
      </c>
      <c r="AS1296">
        <v>305</v>
      </c>
      <c r="AT1296" t="s">
        <v>81</v>
      </c>
      <c r="AU1296">
        <v>26.27</v>
      </c>
      <c r="AV1296">
        <v>29.61</v>
      </c>
      <c r="AW1296" t="s">
        <v>82</v>
      </c>
      <c r="AX1296">
        <v>305</v>
      </c>
      <c r="AY1296" t="s">
        <v>81</v>
      </c>
      <c r="AZ1296">
        <v>15.18</v>
      </c>
      <c r="BA1296">
        <v>22.37</v>
      </c>
      <c r="BB1296" t="s">
        <v>83</v>
      </c>
    </row>
    <row r="1297" spans="1:54" x14ac:dyDescent="0.4">
      <c r="A1297">
        <v>881081</v>
      </c>
      <c r="D1297" t="s">
        <v>54</v>
      </c>
      <c r="E1297" t="s">
        <v>55</v>
      </c>
      <c r="F1297" t="s">
        <v>1200</v>
      </c>
      <c r="G1297">
        <v>1</v>
      </c>
      <c r="H1297" t="s">
        <v>84</v>
      </c>
      <c r="I1297" t="s">
        <v>57</v>
      </c>
      <c r="K1297" t="s">
        <v>85</v>
      </c>
      <c r="L1297" t="s">
        <v>753</v>
      </c>
      <c r="M1297" t="s">
        <v>60</v>
      </c>
      <c r="O1297" t="s">
        <v>87</v>
      </c>
      <c r="P1297" t="s">
        <v>135</v>
      </c>
      <c r="R1297" t="s">
        <v>63</v>
      </c>
      <c r="S1297" t="s">
        <v>64</v>
      </c>
      <c r="T1297">
        <v>237</v>
      </c>
      <c r="U1297">
        <v>227</v>
      </c>
      <c r="V1297">
        <f t="shared" si="40"/>
        <v>232</v>
      </c>
      <c r="W1297">
        <f t="shared" si="41"/>
        <v>10</v>
      </c>
      <c r="X1297">
        <v>10.477778000000001</v>
      </c>
      <c r="Y1297">
        <v>49.841667000000001</v>
      </c>
      <c r="Z1297" t="s">
        <v>356</v>
      </c>
      <c r="AA1297" t="s">
        <v>211</v>
      </c>
      <c r="AB1297" t="s">
        <v>953</v>
      </c>
      <c r="AC1297" t="s">
        <v>3270</v>
      </c>
      <c r="AD1297" t="s">
        <v>3271</v>
      </c>
      <c r="AE1297" t="s">
        <v>215</v>
      </c>
      <c r="AF1297" t="s">
        <v>3272</v>
      </c>
      <c r="AH1297" t="s">
        <v>72</v>
      </c>
      <c r="AI1297" t="s">
        <v>3273</v>
      </c>
      <c r="AJ1297">
        <v>1936</v>
      </c>
      <c r="AK1297" t="s">
        <v>3274</v>
      </c>
      <c r="AM1297" t="s">
        <v>3275</v>
      </c>
      <c r="AN1297" t="s">
        <v>192</v>
      </c>
      <c r="AO1297" t="s">
        <v>77</v>
      </c>
      <c r="AP1297" t="s">
        <v>78</v>
      </c>
      <c r="AQ1297" t="s">
        <v>3276</v>
      </c>
      <c r="AR1297" t="s">
        <v>80</v>
      </c>
      <c r="AS1297">
        <v>305</v>
      </c>
      <c r="AT1297" t="s">
        <v>81</v>
      </c>
      <c r="AU1297">
        <v>26.27</v>
      </c>
      <c r="AV1297">
        <v>29.61</v>
      </c>
      <c r="AW1297" t="s">
        <v>82</v>
      </c>
      <c r="AX1297">
        <v>305</v>
      </c>
      <c r="AY1297" t="s">
        <v>81</v>
      </c>
      <c r="AZ1297">
        <v>15.18</v>
      </c>
      <c r="BA1297">
        <v>22.37</v>
      </c>
      <c r="BB1297" t="s">
        <v>83</v>
      </c>
    </row>
    <row r="1298" spans="1:54" x14ac:dyDescent="0.4">
      <c r="A1298">
        <v>881082</v>
      </c>
      <c r="D1298" t="s">
        <v>54</v>
      </c>
      <c r="E1298" t="s">
        <v>55</v>
      </c>
      <c r="F1298" t="s">
        <v>1200</v>
      </c>
      <c r="G1298">
        <v>1</v>
      </c>
      <c r="H1298" t="s">
        <v>84</v>
      </c>
      <c r="I1298" t="s">
        <v>57</v>
      </c>
      <c r="K1298" t="s">
        <v>85</v>
      </c>
      <c r="L1298" t="s">
        <v>3277</v>
      </c>
      <c r="M1298" t="s">
        <v>60</v>
      </c>
      <c r="O1298" t="s">
        <v>87</v>
      </c>
      <c r="P1298" t="s">
        <v>135</v>
      </c>
      <c r="R1298" t="s">
        <v>63</v>
      </c>
      <c r="S1298" t="s">
        <v>64</v>
      </c>
      <c r="T1298">
        <v>237</v>
      </c>
      <c r="U1298">
        <v>227</v>
      </c>
      <c r="V1298">
        <f t="shared" si="40"/>
        <v>232</v>
      </c>
      <c r="W1298">
        <f t="shared" si="41"/>
        <v>10</v>
      </c>
      <c r="X1298">
        <v>10.477778000000001</v>
      </c>
      <c r="Y1298">
        <v>49.841667000000001</v>
      </c>
      <c r="Z1298" t="s">
        <v>356</v>
      </c>
      <c r="AA1298" t="s">
        <v>211</v>
      </c>
      <c r="AB1298" t="s">
        <v>953</v>
      </c>
      <c r="AC1298" t="s">
        <v>3270</v>
      </c>
      <c r="AD1298" t="s">
        <v>3271</v>
      </c>
      <c r="AE1298" t="s">
        <v>215</v>
      </c>
      <c r="AF1298" t="s">
        <v>3272</v>
      </c>
      <c r="AH1298" t="s">
        <v>72</v>
      </c>
      <c r="AI1298" t="s">
        <v>3273</v>
      </c>
      <c r="AJ1298">
        <v>1936</v>
      </c>
      <c r="AK1298" t="s">
        <v>3274</v>
      </c>
      <c r="AM1298" t="s">
        <v>3275</v>
      </c>
      <c r="AN1298" t="s">
        <v>192</v>
      </c>
      <c r="AO1298" t="s">
        <v>77</v>
      </c>
      <c r="AP1298" t="s">
        <v>78</v>
      </c>
      <c r="AQ1298" t="s">
        <v>3276</v>
      </c>
      <c r="AR1298" t="s">
        <v>80</v>
      </c>
      <c r="AS1298">
        <v>305</v>
      </c>
      <c r="AT1298" t="s">
        <v>81</v>
      </c>
      <c r="AU1298">
        <v>26.27</v>
      </c>
      <c r="AV1298">
        <v>29.61</v>
      </c>
      <c r="AW1298" t="s">
        <v>82</v>
      </c>
      <c r="AX1298">
        <v>305</v>
      </c>
      <c r="AY1298" t="s">
        <v>81</v>
      </c>
      <c r="AZ1298">
        <v>15.18</v>
      </c>
      <c r="BA1298">
        <v>22.37</v>
      </c>
      <c r="BB1298" t="s">
        <v>83</v>
      </c>
    </row>
    <row r="1299" spans="1:54" x14ac:dyDescent="0.4">
      <c r="A1299">
        <v>881088</v>
      </c>
      <c r="D1299" t="s">
        <v>54</v>
      </c>
      <c r="E1299" t="s">
        <v>55</v>
      </c>
      <c r="G1299">
        <v>1</v>
      </c>
      <c r="H1299" t="s">
        <v>56</v>
      </c>
      <c r="I1299" t="s">
        <v>57</v>
      </c>
      <c r="K1299" t="s">
        <v>206</v>
      </c>
      <c r="L1299" t="s">
        <v>1307</v>
      </c>
      <c r="M1299" t="s">
        <v>60</v>
      </c>
      <c r="O1299" t="s">
        <v>170</v>
      </c>
      <c r="P1299" t="s">
        <v>135</v>
      </c>
      <c r="R1299" t="s">
        <v>63</v>
      </c>
      <c r="S1299" t="s">
        <v>64</v>
      </c>
      <c r="T1299">
        <v>237</v>
      </c>
      <c r="U1299">
        <v>227</v>
      </c>
      <c r="V1299">
        <f t="shared" si="40"/>
        <v>232</v>
      </c>
      <c r="W1299">
        <f t="shared" si="41"/>
        <v>10</v>
      </c>
      <c r="X1299">
        <v>10.477778000000001</v>
      </c>
      <c r="Y1299">
        <v>49.841667000000001</v>
      </c>
      <c r="Z1299" t="s">
        <v>356</v>
      </c>
      <c r="AA1299" t="s">
        <v>211</v>
      </c>
      <c r="AB1299" t="s">
        <v>953</v>
      </c>
      <c r="AC1299" t="s">
        <v>3270</v>
      </c>
      <c r="AD1299" t="s">
        <v>3271</v>
      </c>
      <c r="AE1299" t="s">
        <v>215</v>
      </c>
      <c r="AF1299" t="s">
        <v>3272</v>
      </c>
      <c r="AH1299" t="s">
        <v>72</v>
      </c>
      <c r="AI1299" t="s">
        <v>3273</v>
      </c>
      <c r="AJ1299">
        <v>1936</v>
      </c>
      <c r="AK1299" t="s">
        <v>3278</v>
      </c>
      <c r="AN1299" t="s">
        <v>192</v>
      </c>
      <c r="AO1299" t="s">
        <v>77</v>
      </c>
      <c r="AP1299" t="s">
        <v>78</v>
      </c>
      <c r="AQ1299" t="s">
        <v>3279</v>
      </c>
      <c r="AR1299" t="s">
        <v>80</v>
      </c>
      <c r="AS1299">
        <v>305</v>
      </c>
      <c r="AT1299" t="s">
        <v>81</v>
      </c>
      <c r="AU1299">
        <v>26.27</v>
      </c>
      <c r="AV1299">
        <v>29.61</v>
      </c>
      <c r="AW1299" t="s">
        <v>82</v>
      </c>
      <c r="AX1299">
        <v>305</v>
      </c>
      <c r="AY1299" t="s">
        <v>81</v>
      </c>
      <c r="AZ1299">
        <v>15.18</v>
      </c>
      <c r="BA1299">
        <v>22.37</v>
      </c>
      <c r="BB1299" t="s">
        <v>83</v>
      </c>
    </row>
    <row r="1300" spans="1:54" x14ac:dyDescent="0.4">
      <c r="A1300">
        <v>881097</v>
      </c>
      <c r="D1300" t="s">
        <v>54</v>
      </c>
      <c r="E1300" t="s">
        <v>152</v>
      </c>
      <c r="F1300" t="s">
        <v>1200</v>
      </c>
      <c r="G1300">
        <v>1</v>
      </c>
      <c r="H1300" t="s">
        <v>84</v>
      </c>
      <c r="I1300" t="s">
        <v>57</v>
      </c>
      <c r="K1300" t="s">
        <v>85</v>
      </c>
      <c r="L1300" t="s">
        <v>753</v>
      </c>
      <c r="M1300" t="s">
        <v>60</v>
      </c>
      <c r="O1300" t="s">
        <v>87</v>
      </c>
      <c r="P1300" t="s">
        <v>135</v>
      </c>
      <c r="R1300" t="s">
        <v>63</v>
      </c>
      <c r="S1300" t="s">
        <v>64</v>
      </c>
      <c r="T1300">
        <v>237</v>
      </c>
      <c r="U1300">
        <v>227</v>
      </c>
      <c r="V1300">
        <f t="shared" si="40"/>
        <v>232</v>
      </c>
      <c r="W1300">
        <f t="shared" si="41"/>
        <v>10</v>
      </c>
      <c r="X1300">
        <v>10.477778000000001</v>
      </c>
      <c r="Y1300">
        <v>49.841667000000001</v>
      </c>
      <c r="Z1300" t="s">
        <v>356</v>
      </c>
      <c r="AA1300" t="s">
        <v>211</v>
      </c>
      <c r="AB1300" t="s">
        <v>953</v>
      </c>
      <c r="AC1300" t="s">
        <v>3270</v>
      </c>
      <c r="AD1300" t="s">
        <v>3271</v>
      </c>
      <c r="AE1300" t="s">
        <v>215</v>
      </c>
      <c r="AF1300" t="s">
        <v>3272</v>
      </c>
      <c r="AH1300" t="s">
        <v>11</v>
      </c>
      <c r="AI1300" t="s">
        <v>1482</v>
      </c>
      <c r="AJ1300">
        <v>2014</v>
      </c>
      <c r="AK1300" t="s">
        <v>3280</v>
      </c>
      <c r="AM1300" t="s">
        <v>3281</v>
      </c>
      <c r="AN1300" t="s">
        <v>192</v>
      </c>
      <c r="AO1300" t="s">
        <v>77</v>
      </c>
      <c r="AP1300" t="s">
        <v>78</v>
      </c>
      <c r="AQ1300" t="s">
        <v>3279</v>
      </c>
      <c r="AR1300" t="s">
        <v>80</v>
      </c>
      <c r="AS1300">
        <v>305</v>
      </c>
      <c r="AT1300" t="s">
        <v>81</v>
      </c>
      <c r="AU1300">
        <v>26.27</v>
      </c>
      <c r="AV1300">
        <v>29.61</v>
      </c>
      <c r="AW1300" t="s">
        <v>82</v>
      </c>
      <c r="AX1300">
        <v>305</v>
      </c>
      <c r="AY1300" t="s">
        <v>81</v>
      </c>
      <c r="AZ1300">
        <v>15.18</v>
      </c>
      <c r="BA1300">
        <v>22.37</v>
      </c>
      <c r="BB1300" t="s">
        <v>83</v>
      </c>
    </row>
    <row r="1301" spans="1:54" x14ac:dyDescent="0.4">
      <c r="A1301">
        <v>882413</v>
      </c>
      <c r="D1301" t="s">
        <v>3315</v>
      </c>
      <c r="E1301" t="s">
        <v>152</v>
      </c>
      <c r="F1301" t="s">
        <v>719</v>
      </c>
      <c r="G1301">
        <v>1</v>
      </c>
      <c r="H1301" t="s">
        <v>84</v>
      </c>
      <c r="I1301" t="s">
        <v>57</v>
      </c>
      <c r="K1301" t="s">
        <v>141</v>
      </c>
      <c r="L1301" t="s">
        <v>959</v>
      </c>
      <c r="M1301" t="s">
        <v>60</v>
      </c>
      <c r="P1301" t="s">
        <v>135</v>
      </c>
      <c r="R1301" t="s">
        <v>63</v>
      </c>
      <c r="S1301" t="s">
        <v>64</v>
      </c>
      <c r="T1301">
        <v>237</v>
      </c>
      <c r="U1301">
        <v>227</v>
      </c>
      <c r="V1301">
        <f t="shared" si="40"/>
        <v>232</v>
      </c>
      <c r="W1301">
        <f t="shared" si="41"/>
        <v>10</v>
      </c>
      <c r="X1301">
        <v>9.1733329999999995</v>
      </c>
      <c r="Y1301">
        <v>48.805</v>
      </c>
      <c r="Z1301" t="s">
        <v>432</v>
      </c>
      <c r="AA1301" t="s">
        <v>211</v>
      </c>
      <c r="AB1301" t="s">
        <v>212</v>
      </c>
      <c r="AC1301" t="s">
        <v>213</v>
      </c>
      <c r="AD1301" t="s">
        <v>213</v>
      </c>
      <c r="AE1301" t="s">
        <v>215</v>
      </c>
      <c r="AF1301" t="s">
        <v>3316</v>
      </c>
      <c r="AH1301" t="s">
        <v>72</v>
      </c>
      <c r="AI1301" t="s">
        <v>260</v>
      </c>
      <c r="AJ1301">
        <v>1896</v>
      </c>
      <c r="AK1301" t="s">
        <v>3317</v>
      </c>
      <c r="AM1301" t="s">
        <v>3318</v>
      </c>
      <c r="AN1301" t="s">
        <v>114</v>
      </c>
      <c r="AO1301" t="s">
        <v>77</v>
      </c>
      <c r="AP1301" t="s">
        <v>359</v>
      </c>
      <c r="AQ1301" t="s">
        <v>3319</v>
      </c>
      <c r="AR1301" t="s">
        <v>80</v>
      </c>
      <c r="AS1301">
        <v>305</v>
      </c>
      <c r="AT1301" t="s">
        <v>81</v>
      </c>
      <c r="AU1301">
        <v>25.7</v>
      </c>
      <c r="AV1301">
        <v>28.37</v>
      </c>
      <c r="AW1301" t="s">
        <v>82</v>
      </c>
      <c r="AX1301">
        <v>305</v>
      </c>
      <c r="AY1301" t="s">
        <v>81</v>
      </c>
      <c r="AZ1301">
        <v>14.83</v>
      </c>
      <c r="BA1301">
        <v>21.06</v>
      </c>
      <c r="BB1301" t="s">
        <v>83</v>
      </c>
    </row>
    <row r="1302" spans="1:54" x14ac:dyDescent="0.4">
      <c r="A1302">
        <v>882593</v>
      </c>
      <c r="D1302" t="s">
        <v>54</v>
      </c>
      <c r="E1302" t="s">
        <v>310</v>
      </c>
      <c r="F1302" t="s">
        <v>2523</v>
      </c>
      <c r="G1302">
        <v>1</v>
      </c>
      <c r="H1302" t="s">
        <v>56</v>
      </c>
      <c r="I1302" t="s">
        <v>57</v>
      </c>
      <c r="K1302" t="s">
        <v>1813</v>
      </c>
      <c r="L1302" t="s">
        <v>1814</v>
      </c>
      <c r="M1302" t="s">
        <v>223</v>
      </c>
      <c r="N1302" t="s">
        <v>234</v>
      </c>
      <c r="O1302" t="s">
        <v>87</v>
      </c>
      <c r="P1302" t="s">
        <v>135</v>
      </c>
      <c r="R1302" t="s">
        <v>63</v>
      </c>
      <c r="S1302" t="s">
        <v>64</v>
      </c>
      <c r="T1302">
        <v>237</v>
      </c>
      <c r="U1302">
        <v>227</v>
      </c>
      <c r="V1302">
        <f t="shared" si="40"/>
        <v>232</v>
      </c>
      <c r="W1302">
        <f t="shared" si="41"/>
        <v>10</v>
      </c>
      <c r="X1302">
        <v>107.26667</v>
      </c>
      <c r="Y1302">
        <v>26.633333</v>
      </c>
      <c r="Z1302" t="s">
        <v>520</v>
      </c>
      <c r="AA1302" t="s">
        <v>379</v>
      </c>
      <c r="AB1302" t="s">
        <v>682</v>
      </c>
      <c r="AD1302" t="s">
        <v>1809</v>
      </c>
      <c r="AH1302" t="s">
        <v>72</v>
      </c>
      <c r="AI1302" t="s">
        <v>3320</v>
      </c>
      <c r="AJ1302">
        <v>2002</v>
      </c>
      <c r="AK1302" t="s">
        <v>3321</v>
      </c>
      <c r="AN1302" t="s">
        <v>192</v>
      </c>
      <c r="AO1302" t="s">
        <v>160</v>
      </c>
      <c r="AP1302" t="s">
        <v>359</v>
      </c>
      <c r="AR1302" t="s">
        <v>80</v>
      </c>
      <c r="AS1302">
        <v>611</v>
      </c>
      <c r="AT1302" t="s">
        <v>81</v>
      </c>
      <c r="AU1302">
        <v>112.49</v>
      </c>
      <c r="AV1302">
        <v>2.84</v>
      </c>
      <c r="AW1302" t="s">
        <v>82</v>
      </c>
      <c r="AX1302">
        <v>611</v>
      </c>
      <c r="AY1302" t="s">
        <v>81</v>
      </c>
      <c r="AZ1302">
        <v>94.78</v>
      </c>
      <c r="BA1302">
        <v>22.54</v>
      </c>
      <c r="BB1302" t="s">
        <v>83</v>
      </c>
    </row>
    <row r="1303" spans="1:54" x14ac:dyDescent="0.4">
      <c r="A1303">
        <v>882951</v>
      </c>
      <c r="D1303" t="s">
        <v>54</v>
      </c>
      <c r="E1303" t="s">
        <v>55</v>
      </c>
      <c r="F1303" t="s">
        <v>2523</v>
      </c>
      <c r="G1303">
        <v>1</v>
      </c>
      <c r="H1303" t="s">
        <v>56</v>
      </c>
      <c r="I1303" t="s">
        <v>57</v>
      </c>
      <c r="K1303" t="s">
        <v>1822</v>
      </c>
      <c r="L1303" t="s">
        <v>1823</v>
      </c>
      <c r="M1303" t="s">
        <v>223</v>
      </c>
      <c r="N1303" t="s">
        <v>1126</v>
      </c>
      <c r="O1303" t="s">
        <v>345</v>
      </c>
      <c r="P1303" t="s">
        <v>135</v>
      </c>
      <c r="R1303" t="s">
        <v>63</v>
      </c>
      <c r="S1303" t="s">
        <v>64</v>
      </c>
      <c r="T1303">
        <v>237</v>
      </c>
      <c r="U1303">
        <v>227</v>
      </c>
      <c r="V1303">
        <f t="shared" si="40"/>
        <v>232</v>
      </c>
      <c r="W1303">
        <f t="shared" si="41"/>
        <v>10</v>
      </c>
      <c r="X1303">
        <v>105.616669</v>
      </c>
      <c r="Y1303">
        <v>25.883333</v>
      </c>
      <c r="Z1303" t="s">
        <v>520</v>
      </c>
      <c r="AA1303" t="s">
        <v>379</v>
      </c>
      <c r="AB1303" t="s">
        <v>682</v>
      </c>
      <c r="AC1303" t="s">
        <v>3322</v>
      </c>
      <c r="AD1303" t="s">
        <v>1809</v>
      </c>
      <c r="AH1303" t="s">
        <v>72</v>
      </c>
      <c r="AI1303" t="s">
        <v>3261</v>
      </c>
      <c r="AJ1303">
        <v>2000</v>
      </c>
      <c r="AK1303" t="s">
        <v>3323</v>
      </c>
      <c r="AM1303" t="s">
        <v>3324</v>
      </c>
      <c r="AN1303" t="s">
        <v>192</v>
      </c>
      <c r="AO1303" t="s">
        <v>160</v>
      </c>
      <c r="AP1303" t="s">
        <v>359</v>
      </c>
      <c r="AQ1303" t="s">
        <v>3325</v>
      </c>
      <c r="AR1303" t="s">
        <v>80</v>
      </c>
      <c r="AS1303">
        <v>611</v>
      </c>
      <c r="AT1303" t="s">
        <v>81</v>
      </c>
      <c r="AU1303">
        <v>111.02</v>
      </c>
      <c r="AV1303">
        <v>2.06</v>
      </c>
      <c r="AW1303" t="s">
        <v>82</v>
      </c>
      <c r="AX1303">
        <v>611</v>
      </c>
      <c r="AY1303" t="s">
        <v>81</v>
      </c>
      <c r="AZ1303">
        <v>93.56</v>
      </c>
      <c r="BA1303">
        <v>21.32</v>
      </c>
      <c r="BB1303" t="s">
        <v>83</v>
      </c>
    </row>
    <row r="1304" spans="1:54" x14ac:dyDescent="0.4">
      <c r="A1304">
        <v>887799</v>
      </c>
      <c r="D1304" t="s">
        <v>54</v>
      </c>
      <c r="E1304" t="s">
        <v>55</v>
      </c>
      <c r="F1304" t="s">
        <v>2523</v>
      </c>
      <c r="G1304">
        <v>1</v>
      </c>
      <c r="H1304" t="s">
        <v>56</v>
      </c>
      <c r="I1304" t="s">
        <v>57</v>
      </c>
      <c r="K1304" t="s">
        <v>1822</v>
      </c>
      <c r="L1304" t="s">
        <v>3352</v>
      </c>
      <c r="M1304" t="s">
        <v>223</v>
      </c>
      <c r="N1304" t="s">
        <v>1126</v>
      </c>
      <c r="O1304" t="s">
        <v>345</v>
      </c>
      <c r="P1304" t="s">
        <v>135</v>
      </c>
      <c r="R1304" t="s">
        <v>63</v>
      </c>
      <c r="S1304" t="s">
        <v>64</v>
      </c>
      <c r="T1304">
        <v>237</v>
      </c>
      <c r="U1304">
        <v>227</v>
      </c>
      <c r="V1304">
        <f t="shared" si="40"/>
        <v>232</v>
      </c>
      <c r="W1304">
        <f t="shared" si="41"/>
        <v>10</v>
      </c>
      <c r="X1304">
        <v>105.616669</v>
      </c>
      <c r="Y1304">
        <v>25.883333</v>
      </c>
      <c r="Z1304" t="s">
        <v>520</v>
      </c>
      <c r="AA1304" t="s">
        <v>379</v>
      </c>
      <c r="AB1304" t="s">
        <v>682</v>
      </c>
      <c r="AC1304" t="s">
        <v>3322</v>
      </c>
      <c r="AD1304" t="s">
        <v>1809</v>
      </c>
      <c r="AH1304" t="s">
        <v>72</v>
      </c>
      <c r="AI1304" t="s">
        <v>3353</v>
      </c>
      <c r="AJ1304">
        <v>2010</v>
      </c>
      <c r="AK1304" t="s">
        <v>3323</v>
      </c>
      <c r="AM1304" t="s">
        <v>3324</v>
      </c>
      <c r="AN1304" t="s">
        <v>192</v>
      </c>
      <c r="AO1304" t="s">
        <v>160</v>
      </c>
      <c r="AP1304" t="s">
        <v>359</v>
      </c>
      <c r="AQ1304" t="s">
        <v>3325</v>
      </c>
      <c r="AR1304" t="s">
        <v>80</v>
      </c>
      <c r="AS1304">
        <v>611</v>
      </c>
      <c r="AT1304" t="s">
        <v>81</v>
      </c>
      <c r="AU1304">
        <v>111.02</v>
      </c>
      <c r="AV1304">
        <v>2.06</v>
      </c>
      <c r="AW1304" t="s">
        <v>82</v>
      </c>
      <c r="AX1304">
        <v>611</v>
      </c>
      <c r="AY1304" t="s">
        <v>81</v>
      </c>
      <c r="AZ1304">
        <v>93.56</v>
      </c>
      <c r="BA1304">
        <v>21.32</v>
      </c>
      <c r="BB1304" t="s">
        <v>83</v>
      </c>
    </row>
    <row r="1305" spans="1:54" x14ac:dyDescent="0.4">
      <c r="A1305">
        <v>887799</v>
      </c>
      <c r="D1305" t="s">
        <v>54</v>
      </c>
      <c r="E1305" t="s">
        <v>55</v>
      </c>
      <c r="F1305" t="s">
        <v>2523</v>
      </c>
      <c r="G1305">
        <v>1</v>
      </c>
      <c r="H1305" t="s">
        <v>56</v>
      </c>
      <c r="I1305" t="s">
        <v>57</v>
      </c>
      <c r="K1305" t="s">
        <v>1822</v>
      </c>
      <c r="L1305" t="s">
        <v>3352</v>
      </c>
      <c r="M1305" t="s">
        <v>223</v>
      </c>
      <c r="N1305" t="s">
        <v>1126</v>
      </c>
      <c r="O1305" t="s">
        <v>345</v>
      </c>
      <c r="P1305" t="s">
        <v>135</v>
      </c>
      <c r="R1305" t="s">
        <v>63</v>
      </c>
      <c r="S1305" t="s">
        <v>64</v>
      </c>
      <c r="T1305">
        <v>237</v>
      </c>
      <c r="U1305">
        <v>227</v>
      </c>
      <c r="V1305">
        <f t="shared" si="40"/>
        <v>232</v>
      </c>
      <c r="W1305">
        <f t="shared" si="41"/>
        <v>10</v>
      </c>
      <c r="X1305">
        <v>105.616669</v>
      </c>
      <c r="Y1305">
        <v>25.883333</v>
      </c>
      <c r="Z1305" t="s">
        <v>520</v>
      </c>
      <c r="AA1305" t="s">
        <v>379</v>
      </c>
      <c r="AB1305" t="s">
        <v>682</v>
      </c>
      <c r="AC1305" t="s">
        <v>3322</v>
      </c>
      <c r="AD1305" t="s">
        <v>1809</v>
      </c>
      <c r="AH1305" t="s">
        <v>72</v>
      </c>
      <c r="AI1305" t="s">
        <v>3353</v>
      </c>
      <c r="AJ1305">
        <v>2010</v>
      </c>
      <c r="AK1305" t="s">
        <v>3323</v>
      </c>
      <c r="AM1305" t="s">
        <v>3324</v>
      </c>
      <c r="AN1305" t="s">
        <v>192</v>
      </c>
      <c r="AO1305" t="s">
        <v>160</v>
      </c>
      <c r="AP1305" t="s">
        <v>359</v>
      </c>
      <c r="AQ1305" t="s">
        <v>3325</v>
      </c>
      <c r="AR1305" t="s">
        <v>80</v>
      </c>
      <c r="AS1305">
        <v>611</v>
      </c>
      <c r="AT1305" t="s">
        <v>81</v>
      </c>
      <c r="AU1305">
        <v>111.02</v>
      </c>
      <c r="AV1305">
        <v>2.06</v>
      </c>
      <c r="AW1305" t="s">
        <v>82</v>
      </c>
      <c r="AX1305">
        <v>611</v>
      </c>
      <c r="AY1305" t="s">
        <v>81</v>
      </c>
      <c r="AZ1305">
        <v>93.56</v>
      </c>
      <c r="BA1305">
        <v>21.32</v>
      </c>
      <c r="BB1305" t="s">
        <v>83</v>
      </c>
    </row>
    <row r="1306" spans="1:54" x14ac:dyDescent="0.4">
      <c r="A1306">
        <v>892976</v>
      </c>
      <c r="D1306" t="s">
        <v>54</v>
      </c>
      <c r="E1306" t="s">
        <v>55</v>
      </c>
      <c r="F1306" t="s">
        <v>2523</v>
      </c>
      <c r="G1306">
        <v>1</v>
      </c>
      <c r="H1306" t="s">
        <v>56</v>
      </c>
      <c r="I1306" t="s">
        <v>57</v>
      </c>
      <c r="K1306" t="s">
        <v>141</v>
      </c>
      <c r="L1306" t="s">
        <v>1824</v>
      </c>
      <c r="M1306" t="s">
        <v>223</v>
      </c>
      <c r="P1306" t="s">
        <v>135</v>
      </c>
      <c r="R1306" t="s">
        <v>63</v>
      </c>
      <c r="S1306" t="s">
        <v>64</v>
      </c>
      <c r="T1306">
        <v>237</v>
      </c>
      <c r="U1306">
        <v>227</v>
      </c>
      <c r="V1306">
        <f t="shared" si="40"/>
        <v>232</v>
      </c>
      <c r="W1306">
        <f t="shared" si="41"/>
        <v>10</v>
      </c>
      <c r="X1306">
        <v>105.616669</v>
      </c>
      <c r="Y1306">
        <v>25.883333</v>
      </c>
      <c r="Z1306" t="s">
        <v>520</v>
      </c>
      <c r="AA1306" t="s">
        <v>379</v>
      </c>
      <c r="AB1306" t="s">
        <v>682</v>
      </c>
      <c r="AC1306" t="s">
        <v>3322</v>
      </c>
      <c r="AD1306" t="s">
        <v>1809</v>
      </c>
      <c r="AH1306" t="s">
        <v>72</v>
      </c>
      <c r="AI1306" t="s">
        <v>3367</v>
      </c>
      <c r="AJ1306">
        <v>2001</v>
      </c>
      <c r="AK1306" t="s">
        <v>3323</v>
      </c>
      <c r="AM1306" t="s">
        <v>3324</v>
      </c>
      <c r="AN1306" t="s">
        <v>192</v>
      </c>
      <c r="AO1306" t="s">
        <v>160</v>
      </c>
      <c r="AP1306" t="s">
        <v>359</v>
      </c>
      <c r="AQ1306" t="s">
        <v>3325</v>
      </c>
      <c r="AR1306" t="s">
        <v>80</v>
      </c>
      <c r="AS1306">
        <v>611</v>
      </c>
      <c r="AT1306" t="s">
        <v>81</v>
      </c>
      <c r="AU1306">
        <v>111.02</v>
      </c>
      <c r="AV1306">
        <v>2.06</v>
      </c>
      <c r="AW1306" t="s">
        <v>82</v>
      </c>
      <c r="AX1306">
        <v>611</v>
      </c>
      <c r="AY1306" t="s">
        <v>81</v>
      </c>
      <c r="AZ1306">
        <v>93.56</v>
      </c>
      <c r="BA1306">
        <v>21.32</v>
      </c>
      <c r="BB1306" t="s">
        <v>83</v>
      </c>
    </row>
    <row r="1307" spans="1:54" x14ac:dyDescent="0.4">
      <c r="A1307">
        <v>893426</v>
      </c>
      <c r="D1307" t="s">
        <v>54</v>
      </c>
      <c r="E1307" t="s">
        <v>297</v>
      </c>
      <c r="G1307">
        <v>1</v>
      </c>
      <c r="H1307" t="s">
        <v>56</v>
      </c>
      <c r="I1307" t="s">
        <v>57</v>
      </c>
      <c r="K1307" t="s">
        <v>293</v>
      </c>
      <c r="L1307" t="s">
        <v>3370</v>
      </c>
      <c r="M1307" t="s">
        <v>60</v>
      </c>
      <c r="N1307" t="s">
        <v>256</v>
      </c>
      <c r="O1307" t="s">
        <v>87</v>
      </c>
      <c r="P1307" t="s">
        <v>135</v>
      </c>
      <c r="R1307" t="s">
        <v>63</v>
      </c>
      <c r="S1307" t="s">
        <v>64</v>
      </c>
      <c r="T1307">
        <v>237</v>
      </c>
      <c r="U1307">
        <v>227</v>
      </c>
      <c r="V1307">
        <f t="shared" si="40"/>
        <v>232</v>
      </c>
      <c r="W1307">
        <f t="shared" si="41"/>
        <v>10</v>
      </c>
      <c r="X1307">
        <v>-67.897857999999999</v>
      </c>
      <c r="Y1307">
        <v>-30.119198000000001</v>
      </c>
      <c r="Z1307" t="s">
        <v>432</v>
      </c>
      <c r="AA1307" t="s">
        <v>185</v>
      </c>
      <c r="AB1307" t="s">
        <v>285</v>
      </c>
      <c r="AD1307" t="s">
        <v>286</v>
      </c>
      <c r="AF1307" t="s">
        <v>2116</v>
      </c>
      <c r="AG1307" t="s">
        <v>288</v>
      </c>
      <c r="AH1307" t="s">
        <v>72</v>
      </c>
      <c r="AI1307" t="s">
        <v>3371</v>
      </c>
      <c r="AJ1307">
        <v>2010</v>
      </c>
      <c r="AK1307" t="s">
        <v>3372</v>
      </c>
      <c r="AO1307">
        <v>6</v>
      </c>
      <c r="AP1307" t="s">
        <v>115</v>
      </c>
      <c r="AQ1307" t="s">
        <v>3373</v>
      </c>
      <c r="AR1307" t="s">
        <v>80</v>
      </c>
      <c r="AS1307">
        <v>291</v>
      </c>
      <c r="AT1307" t="s">
        <v>81</v>
      </c>
      <c r="AU1307">
        <v>-26.41</v>
      </c>
      <c r="AV1307">
        <v>-36.29</v>
      </c>
      <c r="AW1307" t="s">
        <v>82</v>
      </c>
      <c r="AX1307">
        <v>291</v>
      </c>
      <c r="AY1307" t="s">
        <v>81</v>
      </c>
      <c r="AZ1307">
        <v>-35.15</v>
      </c>
      <c r="BA1307">
        <v>-46.33</v>
      </c>
      <c r="BB1307" t="s">
        <v>83</v>
      </c>
    </row>
    <row r="1308" spans="1:54" x14ac:dyDescent="0.4">
      <c r="A1308">
        <v>893430</v>
      </c>
      <c r="D1308" t="s">
        <v>54</v>
      </c>
      <c r="E1308" t="s">
        <v>55</v>
      </c>
      <c r="F1308" t="s">
        <v>2523</v>
      </c>
      <c r="G1308">
        <v>1</v>
      </c>
      <c r="H1308" t="s">
        <v>56</v>
      </c>
      <c r="I1308" t="s">
        <v>57</v>
      </c>
      <c r="K1308" t="s">
        <v>1816</v>
      </c>
      <c r="L1308" t="s">
        <v>1817</v>
      </c>
      <c r="M1308" t="s">
        <v>223</v>
      </c>
      <c r="N1308" t="s">
        <v>234</v>
      </c>
      <c r="O1308" t="s">
        <v>345</v>
      </c>
      <c r="P1308" t="s">
        <v>135</v>
      </c>
      <c r="R1308" t="s">
        <v>63</v>
      </c>
      <c r="S1308" t="s">
        <v>64</v>
      </c>
      <c r="T1308">
        <v>237</v>
      </c>
      <c r="U1308">
        <v>227</v>
      </c>
      <c r="V1308">
        <f t="shared" si="40"/>
        <v>232</v>
      </c>
      <c r="W1308">
        <f t="shared" si="41"/>
        <v>10</v>
      </c>
      <c r="X1308">
        <v>105.616669</v>
      </c>
      <c r="Y1308">
        <v>25.866667</v>
      </c>
      <c r="Z1308" t="s">
        <v>520</v>
      </c>
      <c r="AA1308" t="s">
        <v>379</v>
      </c>
      <c r="AB1308" t="s">
        <v>682</v>
      </c>
      <c r="AC1308" t="s">
        <v>2161</v>
      </c>
      <c r="AD1308" t="s">
        <v>1809</v>
      </c>
      <c r="AH1308" t="s">
        <v>72</v>
      </c>
      <c r="AI1308" t="s">
        <v>3380</v>
      </c>
      <c r="AJ1308">
        <v>2009</v>
      </c>
      <c r="AK1308" t="s">
        <v>3381</v>
      </c>
      <c r="AN1308" t="s">
        <v>192</v>
      </c>
      <c r="AO1308" t="s">
        <v>160</v>
      </c>
      <c r="AR1308" t="s">
        <v>80</v>
      </c>
      <c r="AS1308">
        <v>611</v>
      </c>
      <c r="AT1308" t="s">
        <v>81</v>
      </c>
      <c r="AU1308">
        <v>111.02</v>
      </c>
      <c r="AV1308">
        <v>2.04</v>
      </c>
      <c r="AW1308" t="s">
        <v>82</v>
      </c>
      <c r="AX1308">
        <v>611</v>
      </c>
      <c r="AY1308" t="s">
        <v>81</v>
      </c>
      <c r="AZ1308">
        <v>93.57</v>
      </c>
      <c r="BA1308">
        <v>21.3</v>
      </c>
      <c r="BB1308" t="s">
        <v>83</v>
      </c>
    </row>
    <row r="1309" spans="1:54" x14ac:dyDescent="0.4">
      <c r="A1309">
        <v>895624</v>
      </c>
      <c r="D1309" t="s">
        <v>54</v>
      </c>
      <c r="E1309" t="s">
        <v>310</v>
      </c>
      <c r="G1309">
        <v>1</v>
      </c>
      <c r="H1309" t="s">
        <v>84</v>
      </c>
      <c r="I1309" t="s">
        <v>57</v>
      </c>
      <c r="K1309" t="s">
        <v>771</v>
      </c>
      <c r="L1309" t="s">
        <v>772</v>
      </c>
      <c r="M1309" t="s">
        <v>223</v>
      </c>
      <c r="P1309" t="s">
        <v>135</v>
      </c>
      <c r="R1309" t="s">
        <v>63</v>
      </c>
      <c r="S1309" t="s">
        <v>64</v>
      </c>
      <c r="T1309">
        <v>237</v>
      </c>
      <c r="U1309">
        <v>227</v>
      </c>
      <c r="V1309">
        <f t="shared" si="40"/>
        <v>232</v>
      </c>
      <c r="W1309">
        <f t="shared" si="41"/>
        <v>10</v>
      </c>
      <c r="X1309">
        <v>12.983333</v>
      </c>
      <c r="Y1309">
        <v>46.416668000000001</v>
      </c>
      <c r="Z1309" t="s">
        <v>1596</v>
      </c>
      <c r="AA1309" t="s">
        <v>593</v>
      </c>
      <c r="AB1309" t="s">
        <v>595</v>
      </c>
      <c r="AE1309" t="s">
        <v>3397</v>
      </c>
      <c r="AH1309" t="s">
        <v>72</v>
      </c>
      <c r="AI1309" t="s">
        <v>3394</v>
      </c>
      <c r="AJ1309">
        <v>2002</v>
      </c>
      <c r="AK1309" t="s">
        <v>3398</v>
      </c>
      <c r="AN1309" t="s">
        <v>341</v>
      </c>
      <c r="AO1309" t="s">
        <v>160</v>
      </c>
      <c r="AP1309" t="s">
        <v>115</v>
      </c>
      <c r="AQ1309" t="s">
        <v>3399</v>
      </c>
      <c r="AR1309" t="s">
        <v>80</v>
      </c>
      <c r="AS1309">
        <v>307</v>
      </c>
      <c r="AT1309" t="s">
        <v>81</v>
      </c>
      <c r="AU1309">
        <v>33.950000000000003</v>
      </c>
      <c r="AV1309">
        <v>16.43</v>
      </c>
      <c r="AW1309" t="s">
        <v>82</v>
      </c>
      <c r="AX1309">
        <v>307</v>
      </c>
      <c r="AY1309" t="s">
        <v>81</v>
      </c>
      <c r="AZ1309">
        <v>20.43</v>
      </c>
      <c r="BA1309">
        <v>13.2</v>
      </c>
      <c r="BB1309" t="s">
        <v>83</v>
      </c>
    </row>
    <row r="1310" spans="1:54" x14ac:dyDescent="0.4">
      <c r="A1310">
        <v>908663</v>
      </c>
      <c r="D1310" t="s">
        <v>54</v>
      </c>
      <c r="E1310" t="s">
        <v>55</v>
      </c>
      <c r="G1310">
        <v>1</v>
      </c>
      <c r="H1310" t="s">
        <v>56</v>
      </c>
      <c r="I1310" t="s">
        <v>57</v>
      </c>
      <c r="K1310" t="s">
        <v>141</v>
      </c>
      <c r="L1310" t="s">
        <v>3548</v>
      </c>
      <c r="M1310" t="s">
        <v>60</v>
      </c>
      <c r="N1310" t="s">
        <v>256</v>
      </c>
      <c r="O1310" t="s">
        <v>87</v>
      </c>
      <c r="P1310" t="s">
        <v>135</v>
      </c>
      <c r="R1310" t="s">
        <v>63</v>
      </c>
      <c r="S1310" t="s">
        <v>64</v>
      </c>
      <c r="T1310">
        <v>237</v>
      </c>
      <c r="U1310">
        <v>227</v>
      </c>
      <c r="V1310">
        <f t="shared" si="40"/>
        <v>232</v>
      </c>
      <c r="W1310">
        <f t="shared" si="41"/>
        <v>10</v>
      </c>
      <c r="X1310">
        <v>-67.936385999999999</v>
      </c>
      <c r="Y1310">
        <v>-30.067778000000001</v>
      </c>
      <c r="Z1310" t="s">
        <v>124</v>
      </c>
      <c r="AA1310" t="s">
        <v>185</v>
      </c>
      <c r="AB1310" t="s">
        <v>285</v>
      </c>
      <c r="AD1310" t="s">
        <v>286</v>
      </c>
      <c r="AF1310" t="s">
        <v>3549</v>
      </c>
      <c r="AG1310" t="s">
        <v>288</v>
      </c>
      <c r="AH1310" t="s">
        <v>72</v>
      </c>
      <c r="AI1310" t="s">
        <v>3550</v>
      </c>
      <c r="AJ1310">
        <v>2011</v>
      </c>
      <c r="AK1310" t="s">
        <v>3551</v>
      </c>
      <c r="AM1310" t="s">
        <v>286</v>
      </c>
      <c r="AN1310" t="s">
        <v>76</v>
      </c>
      <c r="AO1310" t="s">
        <v>77</v>
      </c>
      <c r="AP1310" t="s">
        <v>115</v>
      </c>
      <c r="AQ1310" t="s">
        <v>3552</v>
      </c>
      <c r="AR1310" t="s">
        <v>80</v>
      </c>
      <c r="AS1310">
        <v>291</v>
      </c>
      <c r="AT1310" t="s">
        <v>81</v>
      </c>
      <c r="AU1310">
        <v>-26.45</v>
      </c>
      <c r="AV1310">
        <v>-36.24</v>
      </c>
      <c r="AW1310" t="s">
        <v>82</v>
      </c>
      <c r="AX1310">
        <v>291</v>
      </c>
      <c r="AY1310" t="s">
        <v>81</v>
      </c>
      <c r="AZ1310">
        <v>-35.200000000000003</v>
      </c>
      <c r="BA1310">
        <v>-46.28</v>
      </c>
      <c r="BB1310" t="s">
        <v>83</v>
      </c>
    </row>
    <row r="1311" spans="1:54" x14ac:dyDescent="0.4">
      <c r="A1311">
        <v>909072</v>
      </c>
      <c r="D1311" t="s">
        <v>54</v>
      </c>
      <c r="E1311" t="s">
        <v>55</v>
      </c>
      <c r="G1311">
        <v>1</v>
      </c>
      <c r="H1311" t="s">
        <v>56</v>
      </c>
      <c r="I1311" t="s">
        <v>57</v>
      </c>
      <c r="K1311" t="s">
        <v>1816</v>
      </c>
      <c r="L1311" t="s">
        <v>3300</v>
      </c>
      <c r="M1311" t="s">
        <v>223</v>
      </c>
      <c r="N1311" t="s">
        <v>234</v>
      </c>
      <c r="O1311" t="s">
        <v>345</v>
      </c>
      <c r="P1311" t="s">
        <v>135</v>
      </c>
      <c r="R1311" t="s">
        <v>63</v>
      </c>
      <c r="S1311" t="s">
        <v>64</v>
      </c>
      <c r="T1311">
        <v>237</v>
      </c>
      <c r="U1311">
        <v>227</v>
      </c>
      <c r="V1311">
        <f t="shared" si="40"/>
        <v>232</v>
      </c>
      <c r="W1311">
        <f t="shared" si="41"/>
        <v>10</v>
      </c>
      <c r="X1311">
        <v>-112.599998</v>
      </c>
      <c r="Y1311">
        <v>30.75</v>
      </c>
      <c r="Z1311" t="s">
        <v>520</v>
      </c>
      <c r="AA1311" t="s">
        <v>3553</v>
      </c>
      <c r="AB1311" t="s">
        <v>3554</v>
      </c>
      <c r="AC1311" t="s">
        <v>3555</v>
      </c>
      <c r="AD1311" t="s">
        <v>3556</v>
      </c>
      <c r="AF1311" t="s">
        <v>620</v>
      </c>
      <c r="AG1311" t="s">
        <v>3557</v>
      </c>
      <c r="AH1311" t="s">
        <v>72</v>
      </c>
      <c r="AI1311" t="s">
        <v>3558</v>
      </c>
      <c r="AJ1311">
        <v>1989</v>
      </c>
      <c r="AK1311" t="s">
        <v>3559</v>
      </c>
      <c r="AM1311" t="s">
        <v>3560</v>
      </c>
      <c r="AN1311" t="s">
        <v>76</v>
      </c>
      <c r="AO1311" t="s">
        <v>160</v>
      </c>
      <c r="AP1311" t="s">
        <v>115</v>
      </c>
      <c r="AQ1311" t="s">
        <v>3561</v>
      </c>
      <c r="AR1311" t="s">
        <v>80</v>
      </c>
      <c r="AS1311">
        <v>104</v>
      </c>
      <c r="AT1311" t="s">
        <v>81</v>
      </c>
      <c r="AU1311">
        <v>-41.17</v>
      </c>
      <c r="AV1311">
        <v>16.489999999999998</v>
      </c>
      <c r="AW1311" t="s">
        <v>82</v>
      </c>
      <c r="AX1311">
        <v>134</v>
      </c>
      <c r="AY1311" t="s">
        <v>81</v>
      </c>
      <c r="AZ1311">
        <v>-46.28</v>
      </c>
      <c r="BA1311">
        <v>1.77</v>
      </c>
      <c r="BB1311" t="s">
        <v>83</v>
      </c>
    </row>
    <row r="1312" spans="1:54" x14ac:dyDescent="0.4">
      <c r="A1312">
        <v>909072</v>
      </c>
      <c r="D1312" t="s">
        <v>54</v>
      </c>
      <c r="E1312" t="s">
        <v>55</v>
      </c>
      <c r="G1312">
        <v>1</v>
      </c>
      <c r="H1312" t="s">
        <v>56</v>
      </c>
      <c r="I1312" t="s">
        <v>57</v>
      </c>
      <c r="K1312" t="s">
        <v>1816</v>
      </c>
      <c r="L1312" t="s">
        <v>3300</v>
      </c>
      <c r="M1312" t="s">
        <v>223</v>
      </c>
      <c r="N1312" t="s">
        <v>234</v>
      </c>
      <c r="O1312" t="s">
        <v>345</v>
      </c>
      <c r="P1312" t="s">
        <v>135</v>
      </c>
      <c r="R1312" t="s">
        <v>63</v>
      </c>
      <c r="S1312" t="s">
        <v>64</v>
      </c>
      <c r="T1312">
        <v>237</v>
      </c>
      <c r="U1312">
        <v>227</v>
      </c>
      <c r="V1312">
        <f t="shared" si="40"/>
        <v>232</v>
      </c>
      <c r="W1312">
        <f t="shared" si="41"/>
        <v>10</v>
      </c>
      <c r="X1312">
        <v>-112.599998</v>
      </c>
      <c r="Y1312">
        <v>30.75</v>
      </c>
      <c r="Z1312" t="s">
        <v>520</v>
      </c>
      <c r="AA1312" t="s">
        <v>3553</v>
      </c>
      <c r="AB1312" t="s">
        <v>3554</v>
      </c>
      <c r="AC1312" t="s">
        <v>3555</v>
      </c>
      <c r="AD1312" t="s">
        <v>3556</v>
      </c>
      <c r="AF1312" t="s">
        <v>620</v>
      </c>
      <c r="AG1312" t="s">
        <v>3557</v>
      </c>
      <c r="AH1312" t="s">
        <v>72</v>
      </c>
      <c r="AI1312" t="s">
        <v>3558</v>
      </c>
      <c r="AJ1312">
        <v>1989</v>
      </c>
      <c r="AK1312" t="s">
        <v>3559</v>
      </c>
      <c r="AM1312" t="s">
        <v>3560</v>
      </c>
      <c r="AN1312" t="s">
        <v>76</v>
      </c>
      <c r="AO1312" t="s">
        <v>160</v>
      </c>
      <c r="AP1312" t="s">
        <v>115</v>
      </c>
      <c r="AQ1312" t="s">
        <v>3561</v>
      </c>
      <c r="AR1312" t="s">
        <v>80</v>
      </c>
      <c r="AS1312">
        <v>104</v>
      </c>
      <c r="AT1312" t="s">
        <v>81</v>
      </c>
      <c r="AU1312">
        <v>-41.17</v>
      </c>
      <c r="AV1312">
        <v>16.489999999999998</v>
      </c>
      <c r="AW1312" t="s">
        <v>82</v>
      </c>
      <c r="AX1312">
        <v>134</v>
      </c>
      <c r="AY1312" t="s">
        <v>81</v>
      </c>
      <c r="AZ1312">
        <v>-46.28</v>
      </c>
      <c r="BA1312">
        <v>1.77</v>
      </c>
      <c r="BB1312" t="s">
        <v>83</v>
      </c>
    </row>
    <row r="1313" spans="1:54" x14ac:dyDescent="0.4">
      <c r="A1313">
        <v>909072</v>
      </c>
      <c r="D1313" t="s">
        <v>54</v>
      </c>
      <c r="E1313" t="s">
        <v>55</v>
      </c>
      <c r="G1313">
        <v>1</v>
      </c>
      <c r="H1313" t="s">
        <v>56</v>
      </c>
      <c r="I1313" t="s">
        <v>57</v>
      </c>
      <c r="K1313" t="s">
        <v>1816</v>
      </c>
      <c r="L1313" t="s">
        <v>3300</v>
      </c>
      <c r="M1313" t="s">
        <v>223</v>
      </c>
      <c r="N1313" t="s">
        <v>234</v>
      </c>
      <c r="O1313" t="s">
        <v>345</v>
      </c>
      <c r="P1313" t="s">
        <v>135</v>
      </c>
      <c r="R1313" t="s">
        <v>63</v>
      </c>
      <c r="S1313" t="s">
        <v>64</v>
      </c>
      <c r="T1313">
        <v>237</v>
      </c>
      <c r="U1313">
        <v>227</v>
      </c>
      <c r="V1313">
        <f t="shared" si="40"/>
        <v>232</v>
      </c>
      <c r="W1313">
        <f t="shared" si="41"/>
        <v>10</v>
      </c>
      <c r="X1313">
        <v>-112.599998</v>
      </c>
      <c r="Y1313">
        <v>30.75</v>
      </c>
      <c r="Z1313" t="s">
        <v>520</v>
      </c>
      <c r="AA1313" t="s">
        <v>3553</v>
      </c>
      <c r="AB1313" t="s">
        <v>3554</v>
      </c>
      <c r="AC1313" t="s">
        <v>3555</v>
      </c>
      <c r="AD1313" t="s">
        <v>3556</v>
      </c>
      <c r="AF1313" t="s">
        <v>620</v>
      </c>
      <c r="AG1313" t="s">
        <v>3557</v>
      </c>
      <c r="AH1313" t="s">
        <v>72</v>
      </c>
      <c r="AI1313" t="s">
        <v>3558</v>
      </c>
      <c r="AJ1313">
        <v>1989</v>
      </c>
      <c r="AK1313" t="s">
        <v>3559</v>
      </c>
      <c r="AM1313" t="s">
        <v>3560</v>
      </c>
      <c r="AN1313" t="s">
        <v>76</v>
      </c>
      <c r="AO1313" t="s">
        <v>160</v>
      </c>
      <c r="AP1313" t="s">
        <v>115</v>
      </c>
      <c r="AQ1313" t="s">
        <v>3561</v>
      </c>
      <c r="AR1313" t="s">
        <v>80</v>
      </c>
      <c r="AS1313">
        <v>104</v>
      </c>
      <c r="AT1313" t="s">
        <v>81</v>
      </c>
      <c r="AU1313">
        <v>-41.17</v>
      </c>
      <c r="AV1313">
        <v>16.489999999999998</v>
      </c>
      <c r="AW1313" t="s">
        <v>82</v>
      </c>
      <c r="AX1313">
        <v>134</v>
      </c>
      <c r="AY1313" t="s">
        <v>81</v>
      </c>
      <c r="AZ1313">
        <v>-46.28</v>
      </c>
      <c r="BA1313">
        <v>1.77</v>
      </c>
      <c r="BB1313" t="s">
        <v>83</v>
      </c>
    </row>
    <row r="1314" spans="1:54" x14ac:dyDescent="0.4">
      <c r="A1314">
        <v>911118</v>
      </c>
      <c r="D1314" t="s">
        <v>54</v>
      </c>
      <c r="E1314" t="s">
        <v>310</v>
      </c>
      <c r="G1314">
        <v>1</v>
      </c>
      <c r="H1314" t="s">
        <v>84</v>
      </c>
      <c r="I1314" t="s">
        <v>57</v>
      </c>
      <c r="K1314" t="s">
        <v>1816</v>
      </c>
      <c r="L1314" t="s">
        <v>1817</v>
      </c>
      <c r="M1314" t="s">
        <v>223</v>
      </c>
      <c r="N1314" t="s">
        <v>234</v>
      </c>
      <c r="O1314" t="s">
        <v>345</v>
      </c>
      <c r="P1314" t="s">
        <v>135</v>
      </c>
      <c r="R1314" t="s">
        <v>63</v>
      </c>
      <c r="S1314" t="s">
        <v>64</v>
      </c>
      <c r="T1314">
        <v>237</v>
      </c>
      <c r="U1314">
        <v>227</v>
      </c>
      <c r="V1314">
        <f t="shared" si="40"/>
        <v>232</v>
      </c>
      <c r="W1314">
        <f t="shared" si="41"/>
        <v>10</v>
      </c>
      <c r="X1314">
        <v>105.42832900000001</v>
      </c>
      <c r="Y1314">
        <v>25.883887999999999</v>
      </c>
      <c r="Z1314" t="s">
        <v>1415</v>
      </c>
      <c r="AA1314" t="s">
        <v>379</v>
      </c>
      <c r="AB1314" t="s">
        <v>682</v>
      </c>
      <c r="AC1314" t="s">
        <v>2161</v>
      </c>
      <c r="AD1314" t="s">
        <v>1809</v>
      </c>
      <c r="AF1314" t="s">
        <v>620</v>
      </c>
      <c r="AH1314" t="s">
        <v>72</v>
      </c>
      <c r="AI1314" t="s">
        <v>3565</v>
      </c>
      <c r="AJ1314">
        <v>2006</v>
      </c>
      <c r="AK1314" t="s">
        <v>3566</v>
      </c>
      <c r="AN1314" t="s">
        <v>114</v>
      </c>
      <c r="AO1314" t="s">
        <v>77</v>
      </c>
      <c r="AP1314" t="s">
        <v>115</v>
      </c>
      <c r="AQ1314" t="s">
        <v>3567</v>
      </c>
      <c r="AR1314" t="s">
        <v>80</v>
      </c>
      <c r="AS1314">
        <v>611</v>
      </c>
      <c r="AT1314" t="s">
        <v>81</v>
      </c>
      <c r="AU1314">
        <v>110.85</v>
      </c>
      <c r="AV1314">
        <v>2.06</v>
      </c>
      <c r="AW1314" t="s">
        <v>82</v>
      </c>
      <c r="AX1314">
        <v>611</v>
      </c>
      <c r="AY1314" t="s">
        <v>81</v>
      </c>
      <c r="AZ1314">
        <v>93.39</v>
      </c>
      <c r="BA1314">
        <v>21.26</v>
      </c>
      <c r="BB1314" t="s">
        <v>83</v>
      </c>
    </row>
    <row r="1315" spans="1:54" x14ac:dyDescent="0.4">
      <c r="A1315">
        <v>930893</v>
      </c>
      <c r="D1315" t="s">
        <v>54</v>
      </c>
      <c r="E1315" t="s">
        <v>55</v>
      </c>
      <c r="G1315">
        <v>1</v>
      </c>
      <c r="H1315" t="s">
        <v>56</v>
      </c>
      <c r="I1315" t="s">
        <v>57</v>
      </c>
      <c r="K1315" t="s">
        <v>85</v>
      </c>
      <c r="L1315" t="s">
        <v>3780</v>
      </c>
      <c r="M1315" t="s">
        <v>60</v>
      </c>
      <c r="O1315" t="s">
        <v>87</v>
      </c>
      <c r="P1315" t="s">
        <v>135</v>
      </c>
      <c r="R1315" t="s">
        <v>63</v>
      </c>
      <c r="S1315" t="s">
        <v>64</v>
      </c>
      <c r="T1315">
        <v>237</v>
      </c>
      <c r="U1315">
        <v>227</v>
      </c>
      <c r="V1315">
        <f t="shared" si="40"/>
        <v>232</v>
      </c>
      <c r="W1315">
        <f t="shared" si="41"/>
        <v>10</v>
      </c>
      <c r="X1315">
        <v>81.366669000000002</v>
      </c>
      <c r="Y1315">
        <v>23.933332</v>
      </c>
      <c r="Z1315" t="s">
        <v>124</v>
      </c>
      <c r="AA1315" t="s">
        <v>1222</v>
      </c>
      <c r="AB1315" t="s">
        <v>3149</v>
      </c>
      <c r="AC1315" t="s">
        <v>3150</v>
      </c>
      <c r="AD1315" t="s">
        <v>3151</v>
      </c>
      <c r="AE1315" t="s">
        <v>1226</v>
      </c>
      <c r="AH1315" t="s">
        <v>72</v>
      </c>
      <c r="AI1315" t="s">
        <v>3781</v>
      </c>
      <c r="AJ1315">
        <v>2019</v>
      </c>
      <c r="AK1315" t="s">
        <v>3782</v>
      </c>
      <c r="AN1315" t="s">
        <v>76</v>
      </c>
      <c r="AO1315" t="s">
        <v>160</v>
      </c>
      <c r="AP1315" t="s">
        <v>115</v>
      </c>
      <c r="AR1315" t="s">
        <v>80</v>
      </c>
      <c r="AS1315">
        <v>501</v>
      </c>
      <c r="AT1315" t="s">
        <v>81</v>
      </c>
      <c r="AU1315">
        <v>49.13</v>
      </c>
      <c r="AV1315">
        <v>-39.65</v>
      </c>
      <c r="AW1315" t="s">
        <v>82</v>
      </c>
      <c r="AX1315">
        <v>501</v>
      </c>
      <c r="AY1315" t="s">
        <v>81</v>
      </c>
      <c r="AZ1315">
        <v>50.75</v>
      </c>
      <c r="BA1315">
        <v>-42.02</v>
      </c>
      <c r="BB1315" t="s">
        <v>83</v>
      </c>
    </row>
    <row r="1316" spans="1:54" x14ac:dyDescent="0.4">
      <c r="A1316">
        <v>933482</v>
      </c>
      <c r="D1316" t="s">
        <v>54</v>
      </c>
      <c r="E1316" t="s">
        <v>152</v>
      </c>
      <c r="G1316">
        <v>1</v>
      </c>
      <c r="H1316" t="s">
        <v>56</v>
      </c>
      <c r="I1316" t="s">
        <v>57</v>
      </c>
      <c r="K1316" t="s">
        <v>3814</v>
      </c>
      <c r="L1316" t="s">
        <v>3815</v>
      </c>
      <c r="M1316" t="s">
        <v>60</v>
      </c>
      <c r="P1316" t="s">
        <v>135</v>
      </c>
      <c r="R1316" t="s">
        <v>63</v>
      </c>
      <c r="S1316" t="s">
        <v>64</v>
      </c>
      <c r="T1316">
        <v>237</v>
      </c>
      <c r="U1316">
        <v>227</v>
      </c>
      <c r="V1316">
        <f t="shared" si="40"/>
        <v>232</v>
      </c>
      <c r="W1316">
        <f t="shared" si="41"/>
        <v>10</v>
      </c>
      <c r="X1316">
        <v>-63.804169000000002</v>
      </c>
      <c r="Y1316">
        <v>45.312778000000002</v>
      </c>
      <c r="Z1316" t="s">
        <v>105</v>
      </c>
      <c r="AA1316" t="s">
        <v>1456</v>
      </c>
      <c r="AB1316" t="s">
        <v>1457</v>
      </c>
      <c r="AC1316" t="s">
        <v>1615</v>
      </c>
      <c r="AD1316" t="s">
        <v>1610</v>
      </c>
      <c r="AE1316" t="s">
        <v>70</v>
      </c>
      <c r="AH1316" t="s">
        <v>72</v>
      </c>
      <c r="AI1316" t="s">
        <v>725</v>
      </c>
      <c r="AJ1316">
        <v>2003</v>
      </c>
      <c r="AK1316" t="s">
        <v>3816</v>
      </c>
      <c r="AN1316" t="s">
        <v>76</v>
      </c>
      <c r="AO1316" t="s">
        <v>77</v>
      </c>
      <c r="AP1316" t="s">
        <v>115</v>
      </c>
      <c r="AQ1316" t="s">
        <v>3817</v>
      </c>
      <c r="AR1316" t="s">
        <v>80</v>
      </c>
      <c r="AS1316">
        <v>108</v>
      </c>
      <c r="AT1316" t="s">
        <v>81</v>
      </c>
      <c r="AU1316">
        <v>2.0099999999999998</v>
      </c>
      <c r="AV1316">
        <v>20.399999999999999</v>
      </c>
      <c r="AW1316" t="s">
        <v>82</v>
      </c>
      <c r="AX1316">
        <v>108</v>
      </c>
      <c r="AY1316" t="s">
        <v>81</v>
      </c>
      <c r="AZ1316">
        <v>-6.65</v>
      </c>
      <c r="BA1316">
        <v>10.98</v>
      </c>
      <c r="BB1316" t="s">
        <v>83</v>
      </c>
    </row>
    <row r="1317" spans="1:54" x14ac:dyDescent="0.4">
      <c r="A1317">
        <v>933484</v>
      </c>
      <c r="D1317" t="s">
        <v>2134</v>
      </c>
      <c r="E1317" t="s">
        <v>297</v>
      </c>
      <c r="G1317">
        <v>1</v>
      </c>
      <c r="H1317" t="s">
        <v>84</v>
      </c>
      <c r="I1317" t="s">
        <v>57</v>
      </c>
      <c r="K1317" t="s">
        <v>3814</v>
      </c>
      <c r="L1317" t="s">
        <v>3815</v>
      </c>
      <c r="M1317" t="s">
        <v>60</v>
      </c>
      <c r="P1317" t="s">
        <v>135</v>
      </c>
      <c r="R1317" t="s">
        <v>63</v>
      </c>
      <c r="S1317" t="s">
        <v>64</v>
      </c>
      <c r="T1317">
        <v>237</v>
      </c>
      <c r="U1317">
        <v>227</v>
      </c>
      <c r="V1317">
        <f t="shared" si="40"/>
        <v>232</v>
      </c>
      <c r="W1317">
        <f t="shared" si="41"/>
        <v>10</v>
      </c>
      <c r="X1317">
        <v>-63.766666000000001</v>
      </c>
      <c r="Y1317">
        <v>45.316665999999998</v>
      </c>
      <c r="Z1317" t="s">
        <v>105</v>
      </c>
      <c r="AA1317" t="s">
        <v>1456</v>
      </c>
      <c r="AB1317" t="s">
        <v>1457</v>
      </c>
      <c r="AC1317" t="s">
        <v>1615</v>
      </c>
      <c r="AD1317" t="s">
        <v>1610</v>
      </c>
      <c r="AE1317" t="s">
        <v>70</v>
      </c>
      <c r="AH1317" t="s">
        <v>72</v>
      </c>
      <c r="AI1317" t="s">
        <v>725</v>
      </c>
      <c r="AJ1317">
        <v>2003</v>
      </c>
      <c r="AK1317" t="s">
        <v>3818</v>
      </c>
      <c r="AN1317" t="s">
        <v>192</v>
      </c>
      <c r="AO1317" t="s">
        <v>160</v>
      </c>
      <c r="AP1317" t="s">
        <v>636</v>
      </c>
      <c r="AQ1317" t="s">
        <v>3819</v>
      </c>
      <c r="AR1317" t="s">
        <v>80</v>
      </c>
      <c r="AS1317">
        <v>108</v>
      </c>
      <c r="AT1317" t="s">
        <v>81</v>
      </c>
      <c r="AU1317">
        <v>2.04</v>
      </c>
      <c r="AV1317">
        <v>20.41</v>
      </c>
      <c r="AW1317" t="s">
        <v>82</v>
      </c>
      <c r="AX1317">
        <v>108</v>
      </c>
      <c r="AY1317" t="s">
        <v>81</v>
      </c>
      <c r="AZ1317">
        <v>-6.63</v>
      </c>
      <c r="BA1317">
        <v>10.99</v>
      </c>
      <c r="BB1317" t="s">
        <v>83</v>
      </c>
    </row>
    <row r="1318" spans="1:54" x14ac:dyDescent="0.4">
      <c r="A1318">
        <v>933490</v>
      </c>
      <c r="D1318" t="s">
        <v>54</v>
      </c>
      <c r="I1318" t="s">
        <v>57</v>
      </c>
      <c r="K1318" t="s">
        <v>840</v>
      </c>
      <c r="L1318" t="s">
        <v>841</v>
      </c>
      <c r="M1318" t="s">
        <v>60</v>
      </c>
      <c r="O1318" t="s">
        <v>170</v>
      </c>
      <c r="P1318" t="s">
        <v>135</v>
      </c>
      <c r="R1318" t="s">
        <v>63</v>
      </c>
      <c r="S1318" t="s">
        <v>64</v>
      </c>
      <c r="T1318">
        <v>237</v>
      </c>
      <c r="U1318">
        <v>227</v>
      </c>
      <c r="V1318">
        <f t="shared" si="40"/>
        <v>232</v>
      </c>
      <c r="W1318">
        <f t="shared" si="41"/>
        <v>10</v>
      </c>
      <c r="X1318">
        <v>-64</v>
      </c>
      <c r="Y1318">
        <v>45.216667000000001</v>
      </c>
      <c r="Z1318" t="s">
        <v>105</v>
      </c>
      <c r="AA1318" t="s">
        <v>1456</v>
      </c>
      <c r="AB1318" t="s">
        <v>1457</v>
      </c>
      <c r="AD1318" t="s">
        <v>1610</v>
      </c>
      <c r="AE1318" t="s">
        <v>70</v>
      </c>
      <c r="AH1318" t="s">
        <v>11</v>
      </c>
      <c r="AI1318" t="s">
        <v>779</v>
      </c>
      <c r="AJ1318">
        <v>1991</v>
      </c>
      <c r="AK1318" t="s">
        <v>3820</v>
      </c>
      <c r="AN1318" t="s">
        <v>192</v>
      </c>
      <c r="AO1318" t="s">
        <v>160</v>
      </c>
      <c r="AP1318" t="s">
        <v>359</v>
      </c>
      <c r="AQ1318" t="s">
        <v>3821</v>
      </c>
      <c r="AR1318" t="s">
        <v>80</v>
      </c>
      <c r="AS1318">
        <v>108</v>
      </c>
      <c r="AT1318" t="s">
        <v>81</v>
      </c>
      <c r="AU1318">
        <v>1.87</v>
      </c>
      <c r="AV1318">
        <v>20.3</v>
      </c>
      <c r="AW1318" t="s">
        <v>82</v>
      </c>
      <c r="AX1318">
        <v>108</v>
      </c>
      <c r="AY1318" t="s">
        <v>81</v>
      </c>
      <c r="AZ1318">
        <v>-6.78</v>
      </c>
      <c r="BA1318">
        <v>10.87</v>
      </c>
      <c r="BB1318" t="s">
        <v>83</v>
      </c>
    </row>
    <row r="1319" spans="1:54" x14ac:dyDescent="0.4">
      <c r="A1319">
        <v>933978</v>
      </c>
      <c r="D1319" t="s">
        <v>54</v>
      </c>
      <c r="G1319">
        <v>1</v>
      </c>
      <c r="H1319" t="s">
        <v>56</v>
      </c>
      <c r="I1319" t="s">
        <v>57</v>
      </c>
      <c r="K1319" t="s">
        <v>85</v>
      </c>
      <c r="L1319" t="s">
        <v>2492</v>
      </c>
      <c r="M1319" t="s">
        <v>60</v>
      </c>
      <c r="O1319" t="s">
        <v>87</v>
      </c>
      <c r="P1319" t="s">
        <v>135</v>
      </c>
      <c r="R1319" t="s">
        <v>63</v>
      </c>
      <c r="S1319" t="s">
        <v>64</v>
      </c>
      <c r="T1319">
        <v>237</v>
      </c>
      <c r="U1319">
        <v>227</v>
      </c>
      <c r="V1319">
        <f t="shared" si="40"/>
        <v>232</v>
      </c>
      <c r="W1319">
        <f t="shared" si="41"/>
        <v>10</v>
      </c>
      <c r="X1319">
        <v>-108.666664</v>
      </c>
      <c r="Y1319">
        <v>42.700001</v>
      </c>
      <c r="Z1319" t="s">
        <v>124</v>
      </c>
      <c r="AA1319" t="s">
        <v>66</v>
      </c>
      <c r="AB1319" t="s">
        <v>2008</v>
      </c>
      <c r="AC1319" t="s">
        <v>2482</v>
      </c>
      <c r="AD1319" t="s">
        <v>2477</v>
      </c>
      <c r="AE1319" t="s">
        <v>2011</v>
      </c>
      <c r="AH1319" t="s">
        <v>72</v>
      </c>
      <c r="AI1319" t="s">
        <v>2488</v>
      </c>
      <c r="AJ1319">
        <v>1928</v>
      </c>
      <c r="AK1319" t="s">
        <v>2489</v>
      </c>
      <c r="AN1319" t="s">
        <v>192</v>
      </c>
      <c r="AO1319" t="s">
        <v>160</v>
      </c>
      <c r="AP1319" t="s">
        <v>359</v>
      </c>
      <c r="AQ1319" t="s">
        <v>3841</v>
      </c>
      <c r="AR1319" t="s">
        <v>80</v>
      </c>
      <c r="AS1319">
        <v>127</v>
      </c>
      <c r="AT1319" t="s">
        <v>81</v>
      </c>
      <c r="AU1319">
        <v>-34.619999999999997</v>
      </c>
      <c r="AV1319">
        <v>24.87</v>
      </c>
      <c r="AW1319" t="s">
        <v>82</v>
      </c>
      <c r="AX1319">
        <v>133</v>
      </c>
      <c r="AY1319" t="s">
        <v>81</v>
      </c>
      <c r="AZ1319">
        <v>-42.97</v>
      </c>
      <c r="BA1319">
        <v>12.64</v>
      </c>
      <c r="BB1319" t="s">
        <v>83</v>
      </c>
    </row>
    <row r="1320" spans="1:54" x14ac:dyDescent="0.4">
      <c r="A1320">
        <v>933979</v>
      </c>
      <c r="D1320" t="s">
        <v>54</v>
      </c>
      <c r="G1320">
        <v>1</v>
      </c>
      <c r="H1320" t="s">
        <v>84</v>
      </c>
      <c r="I1320" t="s">
        <v>57</v>
      </c>
      <c r="K1320" t="s">
        <v>85</v>
      </c>
      <c r="L1320" t="s">
        <v>2492</v>
      </c>
      <c r="M1320" t="s">
        <v>60</v>
      </c>
      <c r="O1320" t="s">
        <v>87</v>
      </c>
      <c r="P1320" t="s">
        <v>135</v>
      </c>
      <c r="R1320" t="s">
        <v>63</v>
      </c>
      <c r="S1320" t="s">
        <v>64</v>
      </c>
      <c r="T1320">
        <v>237</v>
      </c>
      <c r="U1320">
        <v>227</v>
      </c>
      <c r="V1320">
        <f t="shared" si="40"/>
        <v>232</v>
      </c>
      <c r="W1320">
        <f t="shared" si="41"/>
        <v>10</v>
      </c>
      <c r="X1320">
        <v>-108.666664</v>
      </c>
      <c r="Y1320">
        <v>42.700001</v>
      </c>
      <c r="Z1320" t="s">
        <v>124</v>
      </c>
      <c r="AA1320" t="s">
        <v>66</v>
      </c>
      <c r="AB1320" t="s">
        <v>2008</v>
      </c>
      <c r="AC1320" t="s">
        <v>2482</v>
      </c>
      <c r="AD1320" t="s">
        <v>2477</v>
      </c>
      <c r="AE1320" t="s">
        <v>2011</v>
      </c>
      <c r="AH1320" t="s">
        <v>11</v>
      </c>
      <c r="AI1320" t="s">
        <v>2488</v>
      </c>
      <c r="AJ1320">
        <v>1928</v>
      </c>
      <c r="AK1320" t="s">
        <v>2489</v>
      </c>
      <c r="AN1320" t="s">
        <v>192</v>
      </c>
      <c r="AO1320" t="s">
        <v>160</v>
      </c>
      <c r="AP1320" t="s">
        <v>359</v>
      </c>
      <c r="AQ1320" t="s">
        <v>3841</v>
      </c>
      <c r="AR1320" t="s">
        <v>80</v>
      </c>
      <c r="AS1320">
        <v>127</v>
      </c>
      <c r="AT1320" t="s">
        <v>81</v>
      </c>
      <c r="AU1320">
        <v>-34.619999999999997</v>
      </c>
      <c r="AV1320">
        <v>24.87</v>
      </c>
      <c r="AW1320" t="s">
        <v>82</v>
      </c>
      <c r="AX1320">
        <v>133</v>
      </c>
      <c r="AY1320" t="s">
        <v>81</v>
      </c>
      <c r="AZ1320">
        <v>-42.97</v>
      </c>
      <c r="BA1320">
        <v>12.64</v>
      </c>
      <c r="BB1320" t="s">
        <v>83</v>
      </c>
    </row>
    <row r="1321" spans="1:54" x14ac:dyDescent="0.4">
      <c r="A1321">
        <v>933983</v>
      </c>
      <c r="D1321" t="s">
        <v>54</v>
      </c>
      <c r="G1321">
        <v>1</v>
      </c>
      <c r="H1321" t="s">
        <v>56</v>
      </c>
      <c r="I1321" t="s">
        <v>57</v>
      </c>
      <c r="K1321" t="s">
        <v>85</v>
      </c>
      <c r="L1321" t="s">
        <v>753</v>
      </c>
      <c r="M1321" t="s">
        <v>60</v>
      </c>
      <c r="O1321" t="s">
        <v>87</v>
      </c>
      <c r="P1321" t="s">
        <v>135</v>
      </c>
      <c r="R1321" t="s">
        <v>63</v>
      </c>
      <c r="S1321" t="s">
        <v>64</v>
      </c>
      <c r="T1321">
        <v>237</v>
      </c>
      <c r="U1321">
        <v>227</v>
      </c>
      <c r="V1321">
        <f t="shared" si="40"/>
        <v>232</v>
      </c>
      <c r="W1321">
        <f t="shared" si="41"/>
        <v>10</v>
      </c>
      <c r="X1321">
        <v>-108.816666</v>
      </c>
      <c r="Y1321">
        <v>42.799999</v>
      </c>
      <c r="Z1321" t="s">
        <v>124</v>
      </c>
      <c r="AA1321" t="s">
        <v>66</v>
      </c>
      <c r="AB1321" t="s">
        <v>2008</v>
      </c>
      <c r="AC1321" t="s">
        <v>2482</v>
      </c>
      <c r="AD1321" t="s">
        <v>2477</v>
      </c>
      <c r="AE1321" t="s">
        <v>2011</v>
      </c>
      <c r="AH1321" t="s">
        <v>72</v>
      </c>
      <c r="AI1321" t="s">
        <v>1849</v>
      </c>
      <c r="AJ1321">
        <v>1904</v>
      </c>
      <c r="AK1321" t="s">
        <v>3842</v>
      </c>
      <c r="AM1321" t="s">
        <v>3843</v>
      </c>
      <c r="AN1321" t="s">
        <v>192</v>
      </c>
      <c r="AO1321" t="s">
        <v>160</v>
      </c>
      <c r="AP1321" t="s">
        <v>115</v>
      </c>
      <c r="AQ1321" t="s">
        <v>3844</v>
      </c>
      <c r="AR1321" t="s">
        <v>80</v>
      </c>
      <c r="AS1321">
        <v>127</v>
      </c>
      <c r="AT1321" t="s">
        <v>81</v>
      </c>
      <c r="AU1321">
        <v>-34.78</v>
      </c>
      <c r="AV1321">
        <v>24.92</v>
      </c>
      <c r="AW1321" t="s">
        <v>82</v>
      </c>
      <c r="AX1321">
        <v>133</v>
      </c>
      <c r="AY1321" t="s">
        <v>81</v>
      </c>
      <c r="AZ1321">
        <v>-43.04</v>
      </c>
      <c r="BA1321">
        <v>12.78</v>
      </c>
      <c r="BB1321" t="s">
        <v>83</v>
      </c>
    </row>
    <row r="1322" spans="1:54" x14ac:dyDescent="0.4">
      <c r="A1322">
        <v>933984</v>
      </c>
      <c r="D1322" t="s">
        <v>54</v>
      </c>
      <c r="G1322">
        <v>1</v>
      </c>
      <c r="H1322" t="s">
        <v>56</v>
      </c>
      <c r="I1322" t="s">
        <v>57</v>
      </c>
      <c r="K1322" t="s">
        <v>85</v>
      </c>
      <c r="L1322" t="s">
        <v>2492</v>
      </c>
      <c r="M1322" t="s">
        <v>60</v>
      </c>
      <c r="O1322" t="s">
        <v>87</v>
      </c>
      <c r="P1322" t="s">
        <v>135</v>
      </c>
      <c r="R1322" t="s">
        <v>63</v>
      </c>
      <c r="S1322" t="s">
        <v>64</v>
      </c>
      <c r="T1322">
        <v>237</v>
      </c>
      <c r="U1322">
        <v>227</v>
      </c>
      <c r="V1322">
        <f t="shared" si="40"/>
        <v>232</v>
      </c>
      <c r="W1322">
        <f t="shared" si="41"/>
        <v>10</v>
      </c>
      <c r="X1322">
        <v>-108.816666</v>
      </c>
      <c r="Y1322">
        <v>42.799999</v>
      </c>
      <c r="Z1322" t="s">
        <v>124</v>
      </c>
      <c r="AA1322" t="s">
        <v>66</v>
      </c>
      <c r="AB1322" t="s">
        <v>2008</v>
      </c>
      <c r="AC1322" t="s">
        <v>2482</v>
      </c>
      <c r="AD1322" t="s">
        <v>2477</v>
      </c>
      <c r="AE1322" t="s">
        <v>2011</v>
      </c>
      <c r="AH1322" t="s">
        <v>72</v>
      </c>
      <c r="AI1322" t="s">
        <v>2488</v>
      </c>
      <c r="AJ1322">
        <v>1913</v>
      </c>
      <c r="AK1322" t="s">
        <v>3845</v>
      </c>
      <c r="AM1322" t="s">
        <v>3846</v>
      </c>
      <c r="AN1322" t="s">
        <v>192</v>
      </c>
      <c r="AO1322" t="s">
        <v>160</v>
      </c>
      <c r="AP1322" t="s">
        <v>115</v>
      </c>
      <c r="AQ1322" t="s">
        <v>3844</v>
      </c>
      <c r="AR1322" t="s">
        <v>80</v>
      </c>
      <c r="AS1322">
        <v>127</v>
      </c>
      <c r="AT1322" t="s">
        <v>81</v>
      </c>
      <c r="AU1322">
        <v>-34.78</v>
      </c>
      <c r="AV1322">
        <v>24.92</v>
      </c>
      <c r="AW1322" t="s">
        <v>82</v>
      </c>
      <c r="AX1322">
        <v>133</v>
      </c>
      <c r="AY1322" t="s">
        <v>81</v>
      </c>
      <c r="AZ1322">
        <v>-43.04</v>
      </c>
      <c r="BA1322">
        <v>12.78</v>
      </c>
      <c r="BB1322" t="s">
        <v>83</v>
      </c>
    </row>
    <row r="1323" spans="1:54" x14ac:dyDescent="0.4">
      <c r="A1323">
        <v>933985</v>
      </c>
      <c r="D1323" t="s">
        <v>54</v>
      </c>
      <c r="G1323">
        <v>3</v>
      </c>
      <c r="H1323" t="s">
        <v>421</v>
      </c>
      <c r="I1323" t="s">
        <v>57</v>
      </c>
      <c r="K1323" t="s">
        <v>85</v>
      </c>
      <c r="L1323" t="s">
        <v>2492</v>
      </c>
      <c r="M1323" t="s">
        <v>60</v>
      </c>
      <c r="O1323" t="s">
        <v>87</v>
      </c>
      <c r="P1323" t="s">
        <v>135</v>
      </c>
      <c r="R1323" t="s">
        <v>63</v>
      </c>
      <c r="S1323" t="s">
        <v>64</v>
      </c>
      <c r="T1323">
        <v>237</v>
      </c>
      <c r="U1323">
        <v>227</v>
      </c>
      <c r="V1323">
        <f t="shared" si="40"/>
        <v>232</v>
      </c>
      <c r="W1323">
        <f t="shared" si="41"/>
        <v>10</v>
      </c>
      <c r="X1323">
        <v>-109.183334</v>
      </c>
      <c r="Y1323">
        <v>43.174999</v>
      </c>
      <c r="Z1323" t="s">
        <v>124</v>
      </c>
      <c r="AA1323" t="s">
        <v>66</v>
      </c>
      <c r="AB1323" t="s">
        <v>2008</v>
      </c>
      <c r="AC1323" t="s">
        <v>2482</v>
      </c>
      <c r="AD1323" t="s">
        <v>2477</v>
      </c>
      <c r="AE1323" t="s">
        <v>2011</v>
      </c>
      <c r="AH1323" t="s">
        <v>11</v>
      </c>
      <c r="AI1323" t="s">
        <v>2488</v>
      </c>
      <c r="AJ1323">
        <v>1928</v>
      </c>
      <c r="AK1323" t="s">
        <v>3847</v>
      </c>
      <c r="AM1323" t="s">
        <v>3848</v>
      </c>
      <c r="AN1323" t="s">
        <v>114</v>
      </c>
      <c r="AO1323" t="s">
        <v>77</v>
      </c>
      <c r="AP1323" t="s">
        <v>359</v>
      </c>
      <c r="AQ1323" t="s">
        <v>3844</v>
      </c>
      <c r="AR1323" t="s">
        <v>80</v>
      </c>
      <c r="AS1323">
        <v>127</v>
      </c>
      <c r="AT1323" t="s">
        <v>81</v>
      </c>
      <c r="AU1323">
        <v>-35.21</v>
      </c>
      <c r="AV1323">
        <v>25.17</v>
      </c>
      <c r="AW1323" t="s">
        <v>82</v>
      </c>
      <c r="AX1323">
        <v>133</v>
      </c>
      <c r="AY1323" t="s">
        <v>81</v>
      </c>
      <c r="AZ1323">
        <v>-43.17</v>
      </c>
      <c r="BA1323">
        <v>13.22</v>
      </c>
      <c r="BB1323" t="s">
        <v>83</v>
      </c>
    </row>
    <row r="1324" spans="1:54" x14ac:dyDescent="0.4">
      <c r="A1324">
        <v>933990</v>
      </c>
      <c r="D1324" t="s">
        <v>54</v>
      </c>
      <c r="G1324">
        <v>1</v>
      </c>
      <c r="H1324" t="s">
        <v>421</v>
      </c>
      <c r="I1324" t="s">
        <v>57</v>
      </c>
      <c r="K1324" t="s">
        <v>206</v>
      </c>
      <c r="L1324" t="s">
        <v>207</v>
      </c>
      <c r="M1324" t="s">
        <v>60</v>
      </c>
      <c r="O1324" t="s">
        <v>170</v>
      </c>
      <c r="P1324" t="s">
        <v>135</v>
      </c>
      <c r="R1324" t="s">
        <v>63</v>
      </c>
      <c r="S1324" t="s">
        <v>64</v>
      </c>
      <c r="T1324">
        <v>237</v>
      </c>
      <c r="U1324">
        <v>227</v>
      </c>
      <c r="V1324">
        <f t="shared" si="40"/>
        <v>232</v>
      </c>
      <c r="W1324">
        <f t="shared" si="41"/>
        <v>10</v>
      </c>
      <c r="X1324">
        <v>-109</v>
      </c>
      <c r="Y1324">
        <v>43.233333999999999</v>
      </c>
      <c r="Z1324" t="s">
        <v>124</v>
      </c>
      <c r="AA1324" t="s">
        <v>66</v>
      </c>
      <c r="AB1324" t="s">
        <v>2008</v>
      </c>
      <c r="AC1324" t="s">
        <v>2482</v>
      </c>
      <c r="AD1324" t="s">
        <v>2477</v>
      </c>
      <c r="AE1324" t="s">
        <v>2011</v>
      </c>
      <c r="AH1324" t="s">
        <v>11</v>
      </c>
      <c r="AI1324" t="s">
        <v>3751</v>
      </c>
      <c r="AJ1324">
        <v>1994</v>
      </c>
      <c r="AK1324" t="s">
        <v>2501</v>
      </c>
      <c r="AN1324" t="s">
        <v>114</v>
      </c>
      <c r="AO1324" t="s">
        <v>160</v>
      </c>
      <c r="AP1324" t="s">
        <v>230</v>
      </c>
      <c r="AQ1324" t="s">
        <v>2502</v>
      </c>
      <c r="AR1324" t="s">
        <v>80</v>
      </c>
      <c r="AS1324">
        <v>127</v>
      </c>
      <c r="AT1324" t="s">
        <v>81</v>
      </c>
      <c r="AU1324">
        <v>-35.090000000000003</v>
      </c>
      <c r="AV1324">
        <v>25.27</v>
      </c>
      <c r="AW1324" t="s">
        <v>82</v>
      </c>
      <c r="AX1324">
        <v>133</v>
      </c>
      <c r="AY1324" t="s">
        <v>81</v>
      </c>
      <c r="AZ1324">
        <v>-43.02</v>
      </c>
      <c r="BA1324">
        <v>13.23</v>
      </c>
      <c r="BB1324" t="s">
        <v>83</v>
      </c>
    </row>
    <row r="1325" spans="1:54" x14ac:dyDescent="0.4">
      <c r="A1325">
        <v>934045</v>
      </c>
      <c r="D1325" t="s">
        <v>54</v>
      </c>
      <c r="E1325" t="s">
        <v>152</v>
      </c>
      <c r="G1325">
        <v>1</v>
      </c>
      <c r="H1325" t="s">
        <v>84</v>
      </c>
      <c r="I1325" t="s">
        <v>57</v>
      </c>
      <c r="K1325" t="s">
        <v>85</v>
      </c>
      <c r="L1325" t="s">
        <v>86</v>
      </c>
      <c r="M1325" t="s">
        <v>60</v>
      </c>
      <c r="O1325" t="s">
        <v>87</v>
      </c>
      <c r="P1325" t="s">
        <v>135</v>
      </c>
      <c r="R1325" t="s">
        <v>63</v>
      </c>
      <c r="S1325" t="s">
        <v>64</v>
      </c>
      <c r="T1325">
        <v>237</v>
      </c>
      <c r="U1325">
        <v>227</v>
      </c>
      <c r="V1325">
        <f t="shared" si="40"/>
        <v>232</v>
      </c>
      <c r="W1325">
        <f t="shared" si="41"/>
        <v>10</v>
      </c>
      <c r="X1325">
        <v>-80.083336000000003</v>
      </c>
      <c r="Y1325">
        <v>35</v>
      </c>
      <c r="Z1325" t="s">
        <v>124</v>
      </c>
      <c r="AA1325" t="s">
        <v>66</v>
      </c>
      <c r="AB1325" t="s">
        <v>816</v>
      </c>
      <c r="AC1325" t="s">
        <v>3852</v>
      </c>
      <c r="AD1325" t="s">
        <v>817</v>
      </c>
      <c r="AE1325" t="s">
        <v>70</v>
      </c>
      <c r="AH1325" t="s">
        <v>11</v>
      </c>
      <c r="AI1325" t="s">
        <v>3850</v>
      </c>
      <c r="AJ1325">
        <v>1857</v>
      </c>
      <c r="AK1325" t="s">
        <v>3853</v>
      </c>
      <c r="AN1325" t="s">
        <v>341</v>
      </c>
      <c r="AO1325" t="s">
        <v>657</v>
      </c>
      <c r="AP1325" t="s">
        <v>115</v>
      </c>
      <c r="AR1325" t="s">
        <v>80</v>
      </c>
      <c r="AS1325">
        <v>109</v>
      </c>
      <c r="AT1325" t="s">
        <v>81</v>
      </c>
      <c r="AU1325">
        <v>-11.02</v>
      </c>
      <c r="AV1325">
        <v>10.31</v>
      </c>
      <c r="AW1325" t="s">
        <v>82</v>
      </c>
      <c r="AX1325">
        <v>109</v>
      </c>
      <c r="AY1325" t="s">
        <v>81</v>
      </c>
      <c r="AZ1325">
        <v>-18.8</v>
      </c>
      <c r="BA1325">
        <v>0.31</v>
      </c>
      <c r="BB1325" t="s">
        <v>83</v>
      </c>
    </row>
    <row r="1326" spans="1:54" x14ac:dyDescent="0.4">
      <c r="A1326">
        <v>1063632</v>
      </c>
      <c r="D1326" t="s">
        <v>54</v>
      </c>
      <c r="E1326" t="s">
        <v>297</v>
      </c>
      <c r="F1326" t="s">
        <v>3063</v>
      </c>
      <c r="G1326">
        <v>1</v>
      </c>
      <c r="H1326" t="s">
        <v>56</v>
      </c>
      <c r="I1326" t="s">
        <v>57</v>
      </c>
      <c r="K1326" t="s">
        <v>901</v>
      </c>
      <c r="L1326" t="s">
        <v>4014</v>
      </c>
      <c r="M1326" t="s">
        <v>60</v>
      </c>
      <c r="N1326" t="s">
        <v>256</v>
      </c>
      <c r="O1326" t="s">
        <v>87</v>
      </c>
      <c r="P1326" t="s">
        <v>135</v>
      </c>
      <c r="R1326" t="s">
        <v>63</v>
      </c>
      <c r="S1326" t="s">
        <v>64</v>
      </c>
      <c r="T1326">
        <v>237</v>
      </c>
      <c r="U1326">
        <v>227</v>
      </c>
      <c r="V1326">
        <f t="shared" si="40"/>
        <v>232</v>
      </c>
      <c r="W1326">
        <f t="shared" si="41"/>
        <v>10</v>
      </c>
      <c r="X1326">
        <v>-67.901259999999994</v>
      </c>
      <c r="Y1326">
        <v>-30.116928000000001</v>
      </c>
      <c r="Z1326" t="s">
        <v>124</v>
      </c>
      <c r="AA1326" t="s">
        <v>185</v>
      </c>
      <c r="AB1326" t="s">
        <v>285</v>
      </c>
      <c r="AD1326" t="s">
        <v>286</v>
      </c>
      <c r="AF1326" t="s">
        <v>287</v>
      </c>
      <c r="AG1326" t="s">
        <v>288</v>
      </c>
      <c r="AH1326" t="s">
        <v>72</v>
      </c>
      <c r="AI1326" t="s">
        <v>4015</v>
      </c>
      <c r="AJ1326">
        <v>2010</v>
      </c>
      <c r="AK1326" t="s">
        <v>4016</v>
      </c>
      <c r="AM1326" t="s">
        <v>4017</v>
      </c>
      <c r="AN1326" t="s">
        <v>192</v>
      </c>
      <c r="AO1326">
        <v>6</v>
      </c>
      <c r="AP1326" t="s">
        <v>115</v>
      </c>
      <c r="AQ1326" t="s">
        <v>4018</v>
      </c>
      <c r="AR1326" t="s">
        <v>80</v>
      </c>
      <c r="AS1326">
        <v>291</v>
      </c>
      <c r="AT1326" t="s">
        <v>81</v>
      </c>
      <c r="AU1326">
        <v>-26.41</v>
      </c>
      <c r="AV1326">
        <v>-36.29</v>
      </c>
      <c r="AW1326" t="s">
        <v>82</v>
      </c>
      <c r="AX1326">
        <v>291</v>
      </c>
      <c r="AY1326" t="s">
        <v>81</v>
      </c>
      <c r="AZ1326">
        <v>-35.159999999999997</v>
      </c>
      <c r="BA1326">
        <v>-46.33</v>
      </c>
      <c r="BB1326" t="s">
        <v>83</v>
      </c>
    </row>
    <row r="1327" spans="1:54" x14ac:dyDescent="0.4">
      <c r="A1327">
        <v>1088563</v>
      </c>
      <c r="D1327" t="s">
        <v>54</v>
      </c>
      <c r="E1327" t="s">
        <v>152</v>
      </c>
      <c r="I1327" t="s">
        <v>57</v>
      </c>
      <c r="K1327" t="s">
        <v>85</v>
      </c>
      <c r="L1327" t="s">
        <v>753</v>
      </c>
      <c r="M1327" t="s">
        <v>60</v>
      </c>
      <c r="O1327" t="s">
        <v>87</v>
      </c>
      <c r="P1327" t="s">
        <v>135</v>
      </c>
      <c r="R1327" t="s">
        <v>63</v>
      </c>
      <c r="S1327" t="s">
        <v>64</v>
      </c>
      <c r="T1327">
        <v>237</v>
      </c>
      <c r="U1327">
        <v>227</v>
      </c>
      <c r="V1327">
        <f t="shared" si="40"/>
        <v>232</v>
      </c>
      <c r="W1327">
        <f t="shared" si="41"/>
        <v>10</v>
      </c>
      <c r="X1327">
        <v>81.366669000000002</v>
      </c>
      <c r="Y1327">
        <v>23.916668000000001</v>
      </c>
      <c r="Z1327" t="s">
        <v>124</v>
      </c>
      <c r="AA1327" t="s">
        <v>1222</v>
      </c>
      <c r="AB1327" t="s">
        <v>3149</v>
      </c>
      <c r="AC1327" t="s">
        <v>3150</v>
      </c>
      <c r="AD1327" t="s">
        <v>3151</v>
      </c>
      <c r="AE1327" t="s">
        <v>1226</v>
      </c>
      <c r="AH1327" t="s">
        <v>72</v>
      </c>
      <c r="AI1327" t="s">
        <v>3152</v>
      </c>
      <c r="AJ1327">
        <v>1987</v>
      </c>
      <c r="AK1327" t="s">
        <v>3153</v>
      </c>
      <c r="AM1327" t="s">
        <v>3154</v>
      </c>
      <c r="AN1327" t="s">
        <v>76</v>
      </c>
      <c r="AO1327" t="s">
        <v>160</v>
      </c>
      <c r="AP1327" t="s">
        <v>78</v>
      </c>
      <c r="AQ1327" t="s">
        <v>3155</v>
      </c>
      <c r="AR1327" t="s">
        <v>80</v>
      </c>
      <c r="AS1327">
        <v>501</v>
      </c>
      <c r="AT1327" t="s">
        <v>81</v>
      </c>
      <c r="AU1327">
        <v>49.11</v>
      </c>
      <c r="AV1327">
        <v>-39.659999999999997</v>
      </c>
      <c r="AW1327" t="s">
        <v>82</v>
      </c>
      <c r="AX1327">
        <v>501</v>
      </c>
      <c r="AY1327" t="s">
        <v>81</v>
      </c>
      <c r="AZ1327">
        <v>50.74</v>
      </c>
      <c r="BA1327">
        <v>-42.03</v>
      </c>
      <c r="BB1327" t="s">
        <v>83</v>
      </c>
    </row>
    <row r="1328" spans="1:54" x14ac:dyDescent="0.4">
      <c r="A1328">
        <v>1093726</v>
      </c>
      <c r="D1328" t="s">
        <v>54</v>
      </c>
      <c r="E1328" t="s">
        <v>152</v>
      </c>
      <c r="I1328" t="s">
        <v>57</v>
      </c>
      <c r="K1328" t="s">
        <v>141</v>
      </c>
      <c r="L1328" t="s">
        <v>157</v>
      </c>
      <c r="M1328" t="s">
        <v>60</v>
      </c>
      <c r="P1328" t="s">
        <v>135</v>
      </c>
      <c r="R1328" t="s">
        <v>63</v>
      </c>
      <c r="S1328" t="s">
        <v>64</v>
      </c>
      <c r="T1328">
        <v>237</v>
      </c>
      <c r="U1328">
        <v>227</v>
      </c>
      <c r="V1328">
        <f t="shared" si="40"/>
        <v>232</v>
      </c>
      <c r="W1328">
        <f t="shared" si="41"/>
        <v>10</v>
      </c>
      <c r="X1328">
        <v>-2.4283329999999999</v>
      </c>
      <c r="Y1328">
        <v>51.623055000000001</v>
      </c>
      <c r="Z1328" t="s">
        <v>90</v>
      </c>
      <c r="AA1328" t="s">
        <v>91</v>
      </c>
      <c r="AB1328" t="s">
        <v>92</v>
      </c>
      <c r="AC1328" t="s">
        <v>136</v>
      </c>
      <c r="AH1328" t="s">
        <v>72</v>
      </c>
      <c r="AI1328" t="s">
        <v>143</v>
      </c>
      <c r="AJ1328">
        <v>1994</v>
      </c>
      <c r="AK1328" t="s">
        <v>153</v>
      </c>
      <c r="AM1328" t="s">
        <v>139</v>
      </c>
      <c r="AN1328" t="s">
        <v>76</v>
      </c>
      <c r="AO1328" t="s">
        <v>77</v>
      </c>
      <c r="AP1328" t="s">
        <v>115</v>
      </c>
      <c r="AQ1328" t="s">
        <v>145</v>
      </c>
      <c r="AR1328" t="s">
        <v>80</v>
      </c>
      <c r="AS1328">
        <v>315</v>
      </c>
      <c r="AT1328" t="s">
        <v>81</v>
      </c>
      <c r="AU1328">
        <v>8.9700000000000006</v>
      </c>
      <c r="AV1328">
        <v>34.380000000000003</v>
      </c>
      <c r="AW1328" t="s">
        <v>82</v>
      </c>
      <c r="AX1328">
        <v>315</v>
      </c>
      <c r="AY1328" t="s">
        <v>81</v>
      </c>
      <c r="AZ1328">
        <v>-1.55</v>
      </c>
      <c r="BA1328">
        <v>37.049999999999997</v>
      </c>
      <c r="BB1328" t="s">
        <v>83</v>
      </c>
    </row>
    <row r="1329" spans="1:54" x14ac:dyDescent="0.4">
      <c r="A1329">
        <v>1093733</v>
      </c>
      <c r="D1329" t="s">
        <v>54</v>
      </c>
      <c r="E1329" t="s">
        <v>152</v>
      </c>
      <c r="G1329">
        <v>1</v>
      </c>
      <c r="H1329" t="s">
        <v>84</v>
      </c>
      <c r="I1329" t="s">
        <v>57</v>
      </c>
      <c r="K1329" t="s">
        <v>149</v>
      </c>
      <c r="L1329" t="s">
        <v>150</v>
      </c>
      <c r="M1329" t="s">
        <v>60</v>
      </c>
      <c r="P1329" t="s">
        <v>135</v>
      </c>
      <c r="R1329" t="s">
        <v>63</v>
      </c>
      <c r="S1329" t="s">
        <v>64</v>
      </c>
      <c r="T1329">
        <v>237</v>
      </c>
      <c r="U1329">
        <v>227</v>
      </c>
      <c r="V1329">
        <f t="shared" si="40"/>
        <v>232</v>
      </c>
      <c r="W1329">
        <f t="shared" si="41"/>
        <v>10</v>
      </c>
      <c r="X1329">
        <v>-2.4283329999999999</v>
      </c>
      <c r="Y1329">
        <v>51.623055000000001</v>
      </c>
      <c r="Z1329" t="s">
        <v>90</v>
      </c>
      <c r="AA1329" t="s">
        <v>91</v>
      </c>
      <c r="AB1329" t="s">
        <v>92</v>
      </c>
      <c r="AC1329" t="s">
        <v>136</v>
      </c>
      <c r="AH1329" t="s">
        <v>72</v>
      </c>
      <c r="AI1329" t="s">
        <v>143</v>
      </c>
      <c r="AJ1329">
        <v>1986</v>
      </c>
      <c r="AK1329" t="s">
        <v>165</v>
      </c>
      <c r="AM1329" t="s">
        <v>156</v>
      </c>
      <c r="AN1329" t="s">
        <v>76</v>
      </c>
      <c r="AO1329" t="s">
        <v>77</v>
      </c>
      <c r="AP1329" t="s">
        <v>115</v>
      </c>
      <c r="AQ1329" t="s">
        <v>145</v>
      </c>
      <c r="AR1329" t="s">
        <v>80</v>
      </c>
      <c r="AS1329">
        <v>315</v>
      </c>
      <c r="AT1329" t="s">
        <v>81</v>
      </c>
      <c r="AU1329">
        <v>8.9700000000000006</v>
      </c>
      <c r="AV1329">
        <v>34.380000000000003</v>
      </c>
      <c r="AW1329" t="s">
        <v>82</v>
      </c>
      <c r="AX1329">
        <v>315</v>
      </c>
      <c r="AY1329" t="s">
        <v>81</v>
      </c>
      <c r="AZ1329">
        <v>-1.55</v>
      </c>
      <c r="BA1329">
        <v>37.049999999999997</v>
      </c>
      <c r="BB1329" t="s">
        <v>83</v>
      </c>
    </row>
    <row r="1330" spans="1:54" x14ac:dyDescent="0.4">
      <c r="A1330">
        <v>1095300</v>
      </c>
      <c r="D1330" t="s">
        <v>54</v>
      </c>
      <c r="G1330">
        <v>1</v>
      </c>
      <c r="H1330" t="s">
        <v>56</v>
      </c>
      <c r="I1330" t="s">
        <v>57</v>
      </c>
      <c r="K1330" t="s">
        <v>141</v>
      </c>
      <c r="L1330" t="s">
        <v>4220</v>
      </c>
      <c r="M1330" t="s">
        <v>223</v>
      </c>
      <c r="P1330" t="s">
        <v>135</v>
      </c>
      <c r="R1330" t="s">
        <v>63</v>
      </c>
      <c r="S1330" t="s">
        <v>64</v>
      </c>
      <c r="T1330">
        <v>237</v>
      </c>
      <c r="U1330">
        <v>227</v>
      </c>
      <c r="V1330">
        <f t="shared" si="40"/>
        <v>232</v>
      </c>
      <c r="W1330">
        <f t="shared" si="41"/>
        <v>10</v>
      </c>
      <c r="X1330">
        <v>9.0850000000000009</v>
      </c>
      <c r="Y1330">
        <v>48.530276999999998</v>
      </c>
      <c r="Z1330" t="s">
        <v>520</v>
      </c>
      <c r="AA1330" t="s">
        <v>211</v>
      </c>
      <c r="AD1330" t="s">
        <v>4221</v>
      </c>
      <c r="AE1330" t="s">
        <v>215</v>
      </c>
      <c r="AF1330" t="s">
        <v>4222</v>
      </c>
      <c r="AH1330" t="s">
        <v>72</v>
      </c>
      <c r="AI1330" t="s">
        <v>693</v>
      </c>
      <c r="AJ1330">
        <v>1936</v>
      </c>
      <c r="AK1330" t="s">
        <v>4223</v>
      </c>
      <c r="AN1330" t="s">
        <v>192</v>
      </c>
      <c r="AO1330" t="s">
        <v>77</v>
      </c>
      <c r="AP1330" t="s">
        <v>115</v>
      </c>
      <c r="AQ1330" t="s">
        <v>4224</v>
      </c>
      <c r="AR1330" t="s">
        <v>80</v>
      </c>
      <c r="AS1330">
        <v>305</v>
      </c>
      <c r="AT1330" t="s">
        <v>81</v>
      </c>
      <c r="AU1330">
        <v>25.73</v>
      </c>
      <c r="AV1330">
        <v>28.09</v>
      </c>
      <c r="AW1330" t="s">
        <v>82</v>
      </c>
      <c r="AX1330">
        <v>305</v>
      </c>
      <c r="AY1330" t="s">
        <v>81</v>
      </c>
      <c r="AZ1330">
        <v>14.9</v>
      </c>
      <c r="BA1330">
        <v>20.79</v>
      </c>
      <c r="BB1330" t="s">
        <v>83</v>
      </c>
    </row>
    <row r="1331" spans="1:54" x14ac:dyDescent="0.4">
      <c r="A1331">
        <v>1095300</v>
      </c>
      <c r="D1331" t="s">
        <v>54</v>
      </c>
      <c r="G1331">
        <v>1</v>
      </c>
      <c r="H1331" t="s">
        <v>56</v>
      </c>
      <c r="I1331" t="s">
        <v>57</v>
      </c>
      <c r="K1331" t="s">
        <v>141</v>
      </c>
      <c r="L1331" t="s">
        <v>4220</v>
      </c>
      <c r="M1331" t="s">
        <v>223</v>
      </c>
      <c r="P1331" t="s">
        <v>135</v>
      </c>
      <c r="R1331" t="s">
        <v>63</v>
      </c>
      <c r="S1331" t="s">
        <v>64</v>
      </c>
      <c r="T1331">
        <v>237</v>
      </c>
      <c r="U1331">
        <v>227</v>
      </c>
      <c r="V1331">
        <f t="shared" si="40"/>
        <v>232</v>
      </c>
      <c r="W1331">
        <f t="shared" si="41"/>
        <v>10</v>
      </c>
      <c r="X1331">
        <v>9.0850000000000009</v>
      </c>
      <c r="Y1331">
        <v>48.530276999999998</v>
      </c>
      <c r="Z1331" t="s">
        <v>520</v>
      </c>
      <c r="AA1331" t="s">
        <v>211</v>
      </c>
      <c r="AD1331" t="s">
        <v>4221</v>
      </c>
      <c r="AE1331" t="s">
        <v>215</v>
      </c>
      <c r="AF1331" t="s">
        <v>4222</v>
      </c>
      <c r="AH1331" t="s">
        <v>72</v>
      </c>
      <c r="AI1331" t="s">
        <v>693</v>
      </c>
      <c r="AJ1331">
        <v>1936</v>
      </c>
      <c r="AK1331" t="s">
        <v>4223</v>
      </c>
      <c r="AN1331" t="s">
        <v>192</v>
      </c>
      <c r="AO1331" t="s">
        <v>77</v>
      </c>
      <c r="AP1331" t="s">
        <v>115</v>
      </c>
      <c r="AQ1331" t="s">
        <v>4224</v>
      </c>
      <c r="AR1331" t="s">
        <v>80</v>
      </c>
      <c r="AS1331">
        <v>305</v>
      </c>
      <c r="AT1331" t="s">
        <v>81</v>
      </c>
      <c r="AU1331">
        <v>25.73</v>
      </c>
      <c r="AV1331">
        <v>28.09</v>
      </c>
      <c r="AW1331" t="s">
        <v>82</v>
      </c>
      <c r="AX1331">
        <v>305</v>
      </c>
      <c r="AY1331" t="s">
        <v>81</v>
      </c>
      <c r="AZ1331">
        <v>14.9</v>
      </c>
      <c r="BA1331">
        <v>20.79</v>
      </c>
      <c r="BB1331" t="s">
        <v>83</v>
      </c>
    </row>
    <row r="1332" spans="1:54" x14ac:dyDescent="0.4">
      <c r="A1332">
        <v>1095300</v>
      </c>
      <c r="D1332" t="s">
        <v>54</v>
      </c>
      <c r="G1332">
        <v>1</v>
      </c>
      <c r="H1332" t="s">
        <v>56</v>
      </c>
      <c r="I1332" t="s">
        <v>57</v>
      </c>
      <c r="K1332" t="s">
        <v>141</v>
      </c>
      <c r="L1332" t="s">
        <v>4220</v>
      </c>
      <c r="M1332" t="s">
        <v>223</v>
      </c>
      <c r="P1332" t="s">
        <v>135</v>
      </c>
      <c r="R1332" t="s">
        <v>63</v>
      </c>
      <c r="S1332" t="s">
        <v>64</v>
      </c>
      <c r="T1332">
        <v>237</v>
      </c>
      <c r="U1332">
        <v>227</v>
      </c>
      <c r="V1332">
        <f t="shared" si="40"/>
        <v>232</v>
      </c>
      <c r="W1332">
        <f t="shared" si="41"/>
        <v>10</v>
      </c>
      <c r="X1332">
        <v>9.0850000000000009</v>
      </c>
      <c r="Y1332">
        <v>48.530276999999998</v>
      </c>
      <c r="Z1332" t="s">
        <v>520</v>
      </c>
      <c r="AA1332" t="s">
        <v>211</v>
      </c>
      <c r="AD1332" t="s">
        <v>4221</v>
      </c>
      <c r="AE1332" t="s">
        <v>215</v>
      </c>
      <c r="AF1332" t="s">
        <v>4222</v>
      </c>
      <c r="AH1332" t="s">
        <v>72</v>
      </c>
      <c r="AI1332" t="s">
        <v>693</v>
      </c>
      <c r="AJ1332">
        <v>1936</v>
      </c>
      <c r="AK1332" t="s">
        <v>4223</v>
      </c>
      <c r="AN1332" t="s">
        <v>192</v>
      </c>
      <c r="AO1332" t="s">
        <v>77</v>
      </c>
      <c r="AP1332" t="s">
        <v>115</v>
      </c>
      <c r="AQ1332" t="s">
        <v>4224</v>
      </c>
      <c r="AR1332" t="s">
        <v>80</v>
      </c>
      <c r="AS1332">
        <v>305</v>
      </c>
      <c r="AT1332" t="s">
        <v>81</v>
      </c>
      <c r="AU1332">
        <v>25.73</v>
      </c>
      <c r="AV1332">
        <v>28.09</v>
      </c>
      <c r="AW1332" t="s">
        <v>82</v>
      </c>
      <c r="AX1332">
        <v>305</v>
      </c>
      <c r="AY1332" t="s">
        <v>81</v>
      </c>
      <c r="AZ1332">
        <v>14.9</v>
      </c>
      <c r="BA1332">
        <v>20.79</v>
      </c>
      <c r="BB1332" t="s">
        <v>83</v>
      </c>
    </row>
    <row r="1333" spans="1:54" x14ac:dyDescent="0.4">
      <c r="A1333">
        <v>1095300</v>
      </c>
      <c r="D1333" t="s">
        <v>54</v>
      </c>
      <c r="G1333">
        <v>1</v>
      </c>
      <c r="H1333" t="s">
        <v>56</v>
      </c>
      <c r="I1333" t="s">
        <v>57</v>
      </c>
      <c r="K1333" t="s">
        <v>141</v>
      </c>
      <c r="L1333" t="s">
        <v>4220</v>
      </c>
      <c r="M1333" t="s">
        <v>223</v>
      </c>
      <c r="P1333" t="s">
        <v>135</v>
      </c>
      <c r="R1333" t="s">
        <v>63</v>
      </c>
      <c r="S1333" t="s">
        <v>64</v>
      </c>
      <c r="T1333">
        <v>237</v>
      </c>
      <c r="U1333">
        <v>227</v>
      </c>
      <c r="V1333">
        <f t="shared" si="40"/>
        <v>232</v>
      </c>
      <c r="W1333">
        <f t="shared" si="41"/>
        <v>10</v>
      </c>
      <c r="X1333">
        <v>9.0850000000000009</v>
      </c>
      <c r="Y1333">
        <v>48.530276999999998</v>
      </c>
      <c r="Z1333" t="s">
        <v>520</v>
      </c>
      <c r="AA1333" t="s">
        <v>211</v>
      </c>
      <c r="AD1333" t="s">
        <v>4221</v>
      </c>
      <c r="AE1333" t="s">
        <v>215</v>
      </c>
      <c r="AF1333" t="s">
        <v>4222</v>
      </c>
      <c r="AH1333" t="s">
        <v>72</v>
      </c>
      <c r="AI1333" t="s">
        <v>693</v>
      </c>
      <c r="AJ1333">
        <v>1936</v>
      </c>
      <c r="AK1333" t="s">
        <v>4223</v>
      </c>
      <c r="AN1333" t="s">
        <v>192</v>
      </c>
      <c r="AO1333" t="s">
        <v>77</v>
      </c>
      <c r="AP1333" t="s">
        <v>115</v>
      </c>
      <c r="AQ1333" t="s">
        <v>4224</v>
      </c>
      <c r="AR1333" t="s">
        <v>80</v>
      </c>
      <c r="AS1333">
        <v>305</v>
      </c>
      <c r="AT1333" t="s">
        <v>81</v>
      </c>
      <c r="AU1333">
        <v>25.73</v>
      </c>
      <c r="AV1333">
        <v>28.09</v>
      </c>
      <c r="AW1333" t="s">
        <v>82</v>
      </c>
      <c r="AX1333">
        <v>305</v>
      </c>
      <c r="AY1333" t="s">
        <v>81</v>
      </c>
      <c r="AZ1333">
        <v>14.9</v>
      </c>
      <c r="BA1333">
        <v>20.79</v>
      </c>
      <c r="BB1333" t="s">
        <v>83</v>
      </c>
    </row>
    <row r="1334" spans="1:54" x14ac:dyDescent="0.4">
      <c r="A1334">
        <v>1095300</v>
      </c>
      <c r="D1334" t="s">
        <v>54</v>
      </c>
      <c r="G1334">
        <v>1</v>
      </c>
      <c r="H1334" t="s">
        <v>56</v>
      </c>
      <c r="I1334" t="s">
        <v>57</v>
      </c>
      <c r="K1334" t="s">
        <v>141</v>
      </c>
      <c r="L1334" t="s">
        <v>4220</v>
      </c>
      <c r="M1334" t="s">
        <v>223</v>
      </c>
      <c r="P1334" t="s">
        <v>135</v>
      </c>
      <c r="R1334" t="s">
        <v>63</v>
      </c>
      <c r="S1334" t="s">
        <v>64</v>
      </c>
      <c r="T1334">
        <v>237</v>
      </c>
      <c r="U1334">
        <v>227</v>
      </c>
      <c r="V1334">
        <f t="shared" si="40"/>
        <v>232</v>
      </c>
      <c r="W1334">
        <f t="shared" si="41"/>
        <v>10</v>
      </c>
      <c r="X1334">
        <v>9.0850000000000009</v>
      </c>
      <c r="Y1334">
        <v>48.530276999999998</v>
      </c>
      <c r="Z1334" t="s">
        <v>520</v>
      </c>
      <c r="AA1334" t="s">
        <v>211</v>
      </c>
      <c r="AD1334" t="s">
        <v>4221</v>
      </c>
      <c r="AE1334" t="s">
        <v>215</v>
      </c>
      <c r="AF1334" t="s">
        <v>4222</v>
      </c>
      <c r="AH1334" t="s">
        <v>72</v>
      </c>
      <c r="AI1334" t="s">
        <v>693</v>
      </c>
      <c r="AJ1334">
        <v>1936</v>
      </c>
      <c r="AK1334" t="s">
        <v>4223</v>
      </c>
      <c r="AN1334" t="s">
        <v>192</v>
      </c>
      <c r="AO1334" t="s">
        <v>77</v>
      </c>
      <c r="AP1334" t="s">
        <v>115</v>
      </c>
      <c r="AQ1334" t="s">
        <v>4224</v>
      </c>
      <c r="AR1334" t="s">
        <v>80</v>
      </c>
      <c r="AS1334">
        <v>305</v>
      </c>
      <c r="AT1334" t="s">
        <v>81</v>
      </c>
      <c r="AU1334">
        <v>25.73</v>
      </c>
      <c r="AV1334">
        <v>28.09</v>
      </c>
      <c r="AW1334" t="s">
        <v>82</v>
      </c>
      <c r="AX1334">
        <v>305</v>
      </c>
      <c r="AY1334" t="s">
        <v>81</v>
      </c>
      <c r="AZ1334">
        <v>14.9</v>
      </c>
      <c r="BA1334">
        <v>20.79</v>
      </c>
      <c r="BB1334" t="s">
        <v>83</v>
      </c>
    </row>
    <row r="1335" spans="1:54" x14ac:dyDescent="0.4">
      <c r="A1335">
        <v>1095300</v>
      </c>
      <c r="D1335" t="s">
        <v>54</v>
      </c>
      <c r="G1335">
        <v>1</v>
      </c>
      <c r="H1335" t="s">
        <v>56</v>
      </c>
      <c r="I1335" t="s">
        <v>57</v>
      </c>
      <c r="K1335" t="s">
        <v>141</v>
      </c>
      <c r="L1335" t="s">
        <v>4220</v>
      </c>
      <c r="M1335" t="s">
        <v>223</v>
      </c>
      <c r="P1335" t="s">
        <v>135</v>
      </c>
      <c r="R1335" t="s">
        <v>63</v>
      </c>
      <c r="S1335" t="s">
        <v>64</v>
      </c>
      <c r="T1335">
        <v>237</v>
      </c>
      <c r="U1335">
        <v>227</v>
      </c>
      <c r="V1335">
        <f t="shared" si="40"/>
        <v>232</v>
      </c>
      <c r="W1335">
        <f t="shared" si="41"/>
        <v>10</v>
      </c>
      <c r="X1335">
        <v>9.0850000000000009</v>
      </c>
      <c r="Y1335">
        <v>48.530276999999998</v>
      </c>
      <c r="Z1335" t="s">
        <v>520</v>
      </c>
      <c r="AA1335" t="s">
        <v>211</v>
      </c>
      <c r="AD1335" t="s">
        <v>4221</v>
      </c>
      <c r="AE1335" t="s">
        <v>215</v>
      </c>
      <c r="AF1335" t="s">
        <v>4222</v>
      </c>
      <c r="AH1335" t="s">
        <v>72</v>
      </c>
      <c r="AI1335" t="s">
        <v>693</v>
      </c>
      <c r="AJ1335">
        <v>1936</v>
      </c>
      <c r="AK1335" t="s">
        <v>4223</v>
      </c>
      <c r="AN1335" t="s">
        <v>192</v>
      </c>
      <c r="AO1335" t="s">
        <v>77</v>
      </c>
      <c r="AP1335" t="s">
        <v>115</v>
      </c>
      <c r="AQ1335" t="s">
        <v>4224</v>
      </c>
      <c r="AR1335" t="s">
        <v>80</v>
      </c>
      <c r="AS1335">
        <v>305</v>
      </c>
      <c r="AT1335" t="s">
        <v>81</v>
      </c>
      <c r="AU1335">
        <v>25.73</v>
      </c>
      <c r="AV1335">
        <v>28.09</v>
      </c>
      <c r="AW1335" t="s">
        <v>82</v>
      </c>
      <c r="AX1335">
        <v>305</v>
      </c>
      <c r="AY1335" t="s">
        <v>81</v>
      </c>
      <c r="AZ1335">
        <v>14.9</v>
      </c>
      <c r="BA1335">
        <v>20.79</v>
      </c>
      <c r="BB1335" t="s">
        <v>83</v>
      </c>
    </row>
    <row r="1336" spans="1:54" x14ac:dyDescent="0.4">
      <c r="A1336">
        <v>1095300</v>
      </c>
      <c r="D1336" t="s">
        <v>54</v>
      </c>
      <c r="G1336">
        <v>1</v>
      </c>
      <c r="H1336" t="s">
        <v>56</v>
      </c>
      <c r="I1336" t="s">
        <v>57</v>
      </c>
      <c r="K1336" t="s">
        <v>141</v>
      </c>
      <c r="L1336" t="s">
        <v>4220</v>
      </c>
      <c r="M1336" t="s">
        <v>223</v>
      </c>
      <c r="P1336" t="s">
        <v>135</v>
      </c>
      <c r="R1336" t="s">
        <v>63</v>
      </c>
      <c r="S1336" t="s">
        <v>64</v>
      </c>
      <c r="T1336">
        <v>237</v>
      </c>
      <c r="U1336">
        <v>227</v>
      </c>
      <c r="V1336">
        <f t="shared" si="40"/>
        <v>232</v>
      </c>
      <c r="W1336">
        <f t="shared" si="41"/>
        <v>10</v>
      </c>
      <c r="X1336">
        <v>9.0850000000000009</v>
      </c>
      <c r="Y1336">
        <v>48.530276999999998</v>
      </c>
      <c r="Z1336" t="s">
        <v>520</v>
      </c>
      <c r="AA1336" t="s">
        <v>211</v>
      </c>
      <c r="AD1336" t="s">
        <v>4221</v>
      </c>
      <c r="AE1336" t="s">
        <v>215</v>
      </c>
      <c r="AF1336" t="s">
        <v>4222</v>
      </c>
      <c r="AH1336" t="s">
        <v>72</v>
      </c>
      <c r="AI1336" t="s">
        <v>693</v>
      </c>
      <c r="AJ1336">
        <v>1936</v>
      </c>
      <c r="AK1336" t="s">
        <v>4223</v>
      </c>
      <c r="AN1336" t="s">
        <v>192</v>
      </c>
      <c r="AO1336" t="s">
        <v>77</v>
      </c>
      <c r="AP1336" t="s">
        <v>115</v>
      </c>
      <c r="AQ1336" t="s">
        <v>4224</v>
      </c>
      <c r="AR1336" t="s">
        <v>80</v>
      </c>
      <c r="AS1336">
        <v>305</v>
      </c>
      <c r="AT1336" t="s">
        <v>81</v>
      </c>
      <c r="AU1336">
        <v>25.73</v>
      </c>
      <c r="AV1336">
        <v>28.09</v>
      </c>
      <c r="AW1336" t="s">
        <v>82</v>
      </c>
      <c r="AX1336">
        <v>305</v>
      </c>
      <c r="AY1336" t="s">
        <v>81</v>
      </c>
      <c r="AZ1336">
        <v>14.9</v>
      </c>
      <c r="BA1336">
        <v>20.79</v>
      </c>
      <c r="BB1336" t="s">
        <v>83</v>
      </c>
    </row>
    <row r="1337" spans="1:54" x14ac:dyDescent="0.4">
      <c r="A1337">
        <v>1095303</v>
      </c>
      <c r="D1337" t="s">
        <v>54</v>
      </c>
      <c r="G1337">
        <v>1</v>
      </c>
      <c r="H1337" t="s">
        <v>84</v>
      </c>
      <c r="I1337" t="s">
        <v>57</v>
      </c>
      <c r="K1337" t="s">
        <v>141</v>
      </c>
      <c r="L1337" t="s">
        <v>592</v>
      </c>
      <c r="M1337" t="s">
        <v>223</v>
      </c>
      <c r="P1337" t="s">
        <v>135</v>
      </c>
      <c r="R1337" t="s">
        <v>63</v>
      </c>
      <c r="S1337" t="s">
        <v>64</v>
      </c>
      <c r="T1337">
        <v>237</v>
      </c>
      <c r="U1337">
        <v>227</v>
      </c>
      <c r="V1337">
        <f t="shared" si="40"/>
        <v>232</v>
      </c>
      <c r="W1337">
        <f t="shared" si="41"/>
        <v>10</v>
      </c>
      <c r="X1337">
        <v>18</v>
      </c>
      <c r="Y1337">
        <v>46</v>
      </c>
      <c r="Z1337" t="s">
        <v>520</v>
      </c>
      <c r="AA1337" t="s">
        <v>4228</v>
      </c>
      <c r="AB1337" t="s">
        <v>4229</v>
      </c>
      <c r="AD1337" t="s">
        <v>4230</v>
      </c>
      <c r="AE1337" t="s">
        <v>4231</v>
      </c>
      <c r="AH1337" t="s">
        <v>72</v>
      </c>
      <c r="AI1337" t="s">
        <v>2013</v>
      </c>
      <c r="AJ1337">
        <v>2001</v>
      </c>
      <c r="AK1337" t="s">
        <v>4232</v>
      </c>
      <c r="AM1337" t="s">
        <v>4233</v>
      </c>
      <c r="AN1337" t="s">
        <v>192</v>
      </c>
      <c r="AO1337" t="s">
        <v>657</v>
      </c>
      <c r="AP1337" t="s">
        <v>78</v>
      </c>
      <c r="AR1337" t="s">
        <v>80</v>
      </c>
      <c r="AS1337">
        <v>308</v>
      </c>
      <c r="AT1337" t="s">
        <v>81</v>
      </c>
      <c r="AU1337">
        <v>35.58</v>
      </c>
      <c r="AV1337">
        <v>13.31</v>
      </c>
      <c r="AW1337" t="s">
        <v>82</v>
      </c>
      <c r="AX1337" t="s">
        <v>528</v>
      </c>
      <c r="AY1337" t="s">
        <v>81</v>
      </c>
      <c r="BB1337" t="s">
        <v>83</v>
      </c>
    </row>
    <row r="1338" spans="1:54" x14ac:dyDescent="0.4">
      <c r="A1338">
        <v>1100594</v>
      </c>
      <c r="D1338" t="s">
        <v>54</v>
      </c>
      <c r="E1338" t="s">
        <v>55</v>
      </c>
      <c r="F1338" t="s">
        <v>2523</v>
      </c>
      <c r="G1338">
        <v>1</v>
      </c>
      <c r="H1338" t="s">
        <v>84</v>
      </c>
      <c r="I1338" t="s">
        <v>57</v>
      </c>
      <c r="K1338" t="s">
        <v>4266</v>
      </c>
      <c r="L1338" t="s">
        <v>4267</v>
      </c>
      <c r="M1338" t="s">
        <v>223</v>
      </c>
      <c r="P1338" t="s">
        <v>135</v>
      </c>
      <c r="R1338" t="s">
        <v>63</v>
      </c>
      <c r="S1338" t="s">
        <v>64</v>
      </c>
      <c r="T1338">
        <v>237</v>
      </c>
      <c r="U1338">
        <v>227</v>
      </c>
      <c r="V1338">
        <f t="shared" si="40"/>
        <v>232</v>
      </c>
      <c r="W1338">
        <f t="shared" si="41"/>
        <v>10</v>
      </c>
      <c r="X1338">
        <v>105.616669</v>
      </c>
      <c r="Y1338">
        <v>25.883333</v>
      </c>
      <c r="Z1338" t="s">
        <v>520</v>
      </c>
      <c r="AA1338" t="s">
        <v>379</v>
      </c>
      <c r="AB1338" t="s">
        <v>682</v>
      </c>
      <c r="AC1338" t="s">
        <v>3322</v>
      </c>
      <c r="AD1338" t="s">
        <v>1809</v>
      </c>
      <c r="AH1338" t="s">
        <v>72</v>
      </c>
      <c r="AI1338" t="s">
        <v>3353</v>
      </c>
      <c r="AJ1338">
        <v>2013</v>
      </c>
      <c r="AK1338" t="s">
        <v>3323</v>
      </c>
      <c r="AM1338" t="s">
        <v>3324</v>
      </c>
      <c r="AN1338" t="s">
        <v>192</v>
      </c>
      <c r="AO1338" t="s">
        <v>160</v>
      </c>
      <c r="AP1338" t="s">
        <v>359</v>
      </c>
      <c r="AQ1338" t="s">
        <v>3325</v>
      </c>
      <c r="AR1338" t="s">
        <v>80</v>
      </c>
      <c r="AS1338">
        <v>611</v>
      </c>
      <c r="AT1338" t="s">
        <v>81</v>
      </c>
      <c r="AU1338">
        <v>111.02</v>
      </c>
      <c r="AV1338">
        <v>2.06</v>
      </c>
      <c r="AW1338" t="s">
        <v>82</v>
      </c>
      <c r="AX1338">
        <v>611</v>
      </c>
      <c r="AY1338" t="s">
        <v>81</v>
      </c>
      <c r="AZ1338">
        <v>93.56</v>
      </c>
      <c r="BA1338">
        <v>21.32</v>
      </c>
      <c r="BB1338" t="s">
        <v>83</v>
      </c>
    </row>
    <row r="1339" spans="1:54" x14ac:dyDescent="0.4">
      <c r="A1339">
        <v>1106819</v>
      </c>
      <c r="D1339" t="s">
        <v>3315</v>
      </c>
      <c r="E1339" t="s">
        <v>152</v>
      </c>
      <c r="F1339" t="s">
        <v>719</v>
      </c>
      <c r="I1339" t="s">
        <v>57</v>
      </c>
      <c r="K1339" t="s">
        <v>141</v>
      </c>
      <c r="L1339" t="s">
        <v>4307</v>
      </c>
      <c r="M1339" t="s">
        <v>60</v>
      </c>
      <c r="O1339" t="s">
        <v>87</v>
      </c>
      <c r="P1339" t="s">
        <v>135</v>
      </c>
      <c r="R1339" t="s">
        <v>63</v>
      </c>
      <c r="S1339" t="s">
        <v>64</v>
      </c>
      <c r="T1339">
        <v>237</v>
      </c>
      <c r="U1339">
        <v>227</v>
      </c>
      <c r="V1339">
        <f t="shared" si="40"/>
        <v>232</v>
      </c>
      <c r="W1339">
        <f t="shared" si="41"/>
        <v>10</v>
      </c>
      <c r="X1339">
        <v>9.1733329999999995</v>
      </c>
      <c r="Y1339">
        <v>48.805</v>
      </c>
      <c r="Z1339" t="s">
        <v>432</v>
      </c>
      <c r="AA1339" t="s">
        <v>211</v>
      </c>
      <c r="AB1339" t="s">
        <v>212</v>
      </c>
      <c r="AC1339" t="s">
        <v>213</v>
      </c>
      <c r="AD1339" t="s">
        <v>213</v>
      </c>
      <c r="AE1339" t="s">
        <v>215</v>
      </c>
      <c r="AF1339" t="s">
        <v>3316</v>
      </c>
      <c r="AH1339" t="s">
        <v>72</v>
      </c>
      <c r="AI1339" t="s">
        <v>693</v>
      </c>
      <c r="AJ1339">
        <v>1905</v>
      </c>
      <c r="AK1339" t="s">
        <v>3317</v>
      </c>
      <c r="AM1339" t="s">
        <v>3318</v>
      </c>
      <c r="AN1339" t="s">
        <v>114</v>
      </c>
      <c r="AO1339" t="s">
        <v>77</v>
      </c>
      <c r="AP1339" t="s">
        <v>359</v>
      </c>
      <c r="AQ1339" t="s">
        <v>3319</v>
      </c>
      <c r="AR1339" t="s">
        <v>80</v>
      </c>
      <c r="AS1339">
        <v>305</v>
      </c>
      <c r="AT1339" t="s">
        <v>81</v>
      </c>
      <c r="AU1339">
        <v>25.7</v>
      </c>
      <c r="AV1339">
        <v>28.37</v>
      </c>
      <c r="AW1339" t="s">
        <v>82</v>
      </c>
      <c r="AX1339">
        <v>305</v>
      </c>
      <c r="AY1339" t="s">
        <v>81</v>
      </c>
      <c r="AZ1339">
        <v>14.83</v>
      </c>
      <c r="BA1339">
        <v>21.06</v>
      </c>
      <c r="BB1339" t="s">
        <v>83</v>
      </c>
    </row>
    <row r="1340" spans="1:54" x14ac:dyDescent="0.4">
      <c r="A1340">
        <v>1108332</v>
      </c>
      <c r="D1340" t="s">
        <v>853</v>
      </c>
      <c r="F1340" t="s">
        <v>3248</v>
      </c>
      <c r="I1340" t="s">
        <v>57</v>
      </c>
      <c r="K1340" t="s">
        <v>1816</v>
      </c>
      <c r="L1340" t="s">
        <v>1818</v>
      </c>
      <c r="M1340" t="s">
        <v>223</v>
      </c>
      <c r="N1340" t="s">
        <v>234</v>
      </c>
      <c r="O1340" t="s">
        <v>345</v>
      </c>
      <c r="P1340" t="s">
        <v>135</v>
      </c>
      <c r="R1340" t="s">
        <v>63</v>
      </c>
      <c r="S1340" t="s">
        <v>64</v>
      </c>
      <c r="T1340">
        <v>237</v>
      </c>
      <c r="U1340">
        <v>227</v>
      </c>
      <c r="V1340">
        <f t="shared" si="40"/>
        <v>232</v>
      </c>
      <c r="W1340">
        <f t="shared" si="41"/>
        <v>10</v>
      </c>
      <c r="X1340">
        <v>105.199997</v>
      </c>
      <c r="Y1340">
        <v>25.816668</v>
      </c>
      <c r="Z1340" t="s">
        <v>520</v>
      </c>
      <c r="AA1340" t="s">
        <v>379</v>
      </c>
      <c r="AB1340" t="s">
        <v>682</v>
      </c>
      <c r="AC1340" t="s">
        <v>3249</v>
      </c>
      <c r="AD1340" t="s">
        <v>3250</v>
      </c>
      <c r="AF1340" t="s">
        <v>3251</v>
      </c>
      <c r="AH1340" t="s">
        <v>72</v>
      </c>
      <c r="AI1340" t="s">
        <v>4318</v>
      </c>
      <c r="AJ1340">
        <v>2013</v>
      </c>
      <c r="AK1340" t="s">
        <v>3253</v>
      </c>
      <c r="AN1340" t="s">
        <v>192</v>
      </c>
      <c r="AO1340" t="s">
        <v>160</v>
      </c>
      <c r="AP1340" t="s">
        <v>78</v>
      </c>
      <c r="AQ1340" t="s">
        <v>3253</v>
      </c>
      <c r="AR1340" t="s">
        <v>80</v>
      </c>
      <c r="AS1340">
        <v>611</v>
      </c>
      <c r="AT1340" t="s">
        <v>81</v>
      </c>
      <c r="AU1340">
        <v>110.65</v>
      </c>
      <c r="AV1340">
        <v>1.99</v>
      </c>
      <c r="AW1340" t="s">
        <v>82</v>
      </c>
      <c r="AX1340">
        <v>611</v>
      </c>
      <c r="AY1340" t="s">
        <v>81</v>
      </c>
      <c r="AZ1340">
        <v>93.21</v>
      </c>
      <c r="BA1340">
        <v>21.13</v>
      </c>
      <c r="BB1340" t="s">
        <v>83</v>
      </c>
    </row>
    <row r="1341" spans="1:54" x14ac:dyDescent="0.4">
      <c r="A1341">
        <v>1134130</v>
      </c>
      <c r="D1341" t="s">
        <v>54</v>
      </c>
      <c r="E1341" t="s">
        <v>55</v>
      </c>
      <c r="I1341" t="s">
        <v>57</v>
      </c>
      <c r="K1341" t="s">
        <v>1813</v>
      </c>
      <c r="L1341" t="s">
        <v>4363</v>
      </c>
      <c r="M1341" t="s">
        <v>223</v>
      </c>
      <c r="N1341" t="s">
        <v>234</v>
      </c>
      <c r="O1341" t="s">
        <v>87</v>
      </c>
      <c r="P1341" t="s">
        <v>135</v>
      </c>
      <c r="R1341" t="s">
        <v>63</v>
      </c>
      <c r="S1341" t="s">
        <v>64</v>
      </c>
      <c r="T1341">
        <v>237</v>
      </c>
      <c r="U1341">
        <v>227</v>
      </c>
      <c r="V1341">
        <f t="shared" si="40"/>
        <v>232</v>
      </c>
      <c r="W1341">
        <f t="shared" si="41"/>
        <v>10</v>
      </c>
      <c r="X1341">
        <v>-112.599998</v>
      </c>
      <c r="Y1341">
        <v>30.75</v>
      </c>
      <c r="Z1341" t="s">
        <v>520</v>
      </c>
      <c r="AA1341" t="s">
        <v>3553</v>
      </c>
      <c r="AB1341" t="s">
        <v>3554</v>
      </c>
      <c r="AC1341" t="s">
        <v>3555</v>
      </c>
      <c r="AD1341" t="s">
        <v>3556</v>
      </c>
      <c r="AF1341" t="s">
        <v>620</v>
      </c>
      <c r="AG1341" t="s">
        <v>3557</v>
      </c>
      <c r="AH1341" t="s">
        <v>72</v>
      </c>
      <c r="AI1341" t="s">
        <v>4364</v>
      </c>
      <c r="AJ1341">
        <v>2006</v>
      </c>
      <c r="AK1341" t="s">
        <v>3559</v>
      </c>
      <c r="AM1341" t="s">
        <v>3560</v>
      </c>
      <c r="AN1341" t="s">
        <v>76</v>
      </c>
      <c r="AO1341" t="s">
        <v>160</v>
      </c>
      <c r="AP1341" t="s">
        <v>115</v>
      </c>
      <c r="AQ1341" t="s">
        <v>3561</v>
      </c>
      <c r="AR1341" t="s">
        <v>80</v>
      </c>
      <c r="AS1341">
        <v>104</v>
      </c>
      <c r="AT1341" t="s">
        <v>81</v>
      </c>
      <c r="AU1341">
        <v>-41.17</v>
      </c>
      <c r="AV1341">
        <v>16.489999999999998</v>
      </c>
      <c r="AW1341" t="s">
        <v>82</v>
      </c>
      <c r="AX1341">
        <v>134</v>
      </c>
      <c r="AY1341" t="s">
        <v>81</v>
      </c>
      <c r="AZ1341">
        <v>-46.28</v>
      </c>
      <c r="BA1341">
        <v>1.77</v>
      </c>
      <c r="BB1341" t="s">
        <v>83</v>
      </c>
    </row>
    <row r="1342" spans="1:54" x14ac:dyDescent="0.4">
      <c r="A1342">
        <v>1134408</v>
      </c>
      <c r="D1342" t="s">
        <v>54</v>
      </c>
      <c r="I1342" t="s">
        <v>57</v>
      </c>
      <c r="K1342" t="s">
        <v>2398</v>
      </c>
      <c r="L1342" t="s">
        <v>4381</v>
      </c>
      <c r="M1342" t="s">
        <v>223</v>
      </c>
      <c r="N1342" t="s">
        <v>234</v>
      </c>
      <c r="O1342" t="s">
        <v>87</v>
      </c>
      <c r="P1342" t="s">
        <v>135</v>
      </c>
      <c r="R1342" t="s">
        <v>63</v>
      </c>
      <c r="S1342" t="s">
        <v>64</v>
      </c>
      <c r="T1342">
        <v>237</v>
      </c>
      <c r="U1342">
        <v>227</v>
      </c>
      <c r="V1342">
        <f t="shared" si="40"/>
        <v>232</v>
      </c>
      <c r="W1342">
        <f t="shared" si="41"/>
        <v>10</v>
      </c>
      <c r="X1342">
        <v>-122.099998</v>
      </c>
      <c r="Y1342">
        <v>40.75</v>
      </c>
      <c r="Z1342" t="s">
        <v>1596</v>
      </c>
      <c r="AA1342" t="s">
        <v>66</v>
      </c>
      <c r="AB1342" t="s">
        <v>4382</v>
      </c>
      <c r="AD1342" t="s">
        <v>4383</v>
      </c>
      <c r="AH1342" t="s">
        <v>11</v>
      </c>
      <c r="AI1342" t="s">
        <v>228</v>
      </c>
      <c r="AJ1342">
        <v>2000</v>
      </c>
      <c r="AK1342" t="s">
        <v>4384</v>
      </c>
      <c r="AN1342" t="s">
        <v>114</v>
      </c>
      <c r="AO1342">
        <v>2</v>
      </c>
      <c r="AP1342" t="s">
        <v>78</v>
      </c>
      <c r="AR1342" t="s">
        <v>80</v>
      </c>
      <c r="AS1342">
        <v>101</v>
      </c>
      <c r="AT1342" t="s">
        <v>81</v>
      </c>
      <c r="AU1342">
        <v>-43.22</v>
      </c>
      <c r="AV1342">
        <v>23.29</v>
      </c>
      <c r="AW1342" t="s">
        <v>82</v>
      </c>
      <c r="AX1342">
        <v>131</v>
      </c>
      <c r="AY1342" t="s">
        <v>81</v>
      </c>
      <c r="AZ1342">
        <v>-51.03</v>
      </c>
      <c r="BA1342">
        <v>11.75</v>
      </c>
      <c r="BB1342" t="s">
        <v>83</v>
      </c>
    </row>
    <row r="1343" spans="1:54" x14ac:dyDescent="0.4">
      <c r="A1343">
        <v>1134552</v>
      </c>
      <c r="D1343" t="s">
        <v>54</v>
      </c>
      <c r="E1343" t="s">
        <v>310</v>
      </c>
      <c r="I1343" t="s">
        <v>57</v>
      </c>
      <c r="K1343" t="s">
        <v>1813</v>
      </c>
      <c r="L1343" t="s">
        <v>1814</v>
      </c>
      <c r="M1343" t="s">
        <v>223</v>
      </c>
      <c r="N1343" t="s">
        <v>234</v>
      </c>
      <c r="O1343" t="s">
        <v>87</v>
      </c>
      <c r="P1343" t="s">
        <v>135</v>
      </c>
      <c r="R1343" t="s">
        <v>63</v>
      </c>
      <c r="S1343" t="s">
        <v>64</v>
      </c>
      <c r="T1343">
        <v>237</v>
      </c>
      <c r="U1343">
        <v>227</v>
      </c>
      <c r="V1343">
        <f t="shared" si="40"/>
        <v>232</v>
      </c>
      <c r="W1343">
        <f t="shared" si="41"/>
        <v>10</v>
      </c>
      <c r="X1343">
        <v>105.42832900000001</v>
      </c>
      <c r="Y1343">
        <v>25.883887999999999</v>
      </c>
      <c r="Z1343" t="s">
        <v>1415</v>
      </c>
      <c r="AA1343" t="s">
        <v>379</v>
      </c>
      <c r="AB1343" t="s">
        <v>682</v>
      </c>
      <c r="AC1343" t="s">
        <v>2161</v>
      </c>
      <c r="AD1343" t="s">
        <v>1809</v>
      </c>
      <c r="AF1343" t="s">
        <v>620</v>
      </c>
      <c r="AH1343" t="s">
        <v>72</v>
      </c>
      <c r="AI1343" t="s">
        <v>3252</v>
      </c>
      <c r="AJ1343">
        <v>2008</v>
      </c>
      <c r="AK1343" t="s">
        <v>3566</v>
      </c>
      <c r="AN1343" t="s">
        <v>114</v>
      </c>
      <c r="AO1343" t="s">
        <v>77</v>
      </c>
      <c r="AP1343" t="s">
        <v>115</v>
      </c>
      <c r="AQ1343" t="s">
        <v>3567</v>
      </c>
      <c r="AR1343" t="s">
        <v>80</v>
      </c>
      <c r="AS1343">
        <v>611</v>
      </c>
      <c r="AT1343" t="s">
        <v>81</v>
      </c>
      <c r="AU1343">
        <v>110.85</v>
      </c>
      <c r="AV1343">
        <v>2.06</v>
      </c>
      <c r="AW1343" t="s">
        <v>82</v>
      </c>
      <c r="AX1343">
        <v>611</v>
      </c>
      <c r="AY1343" t="s">
        <v>81</v>
      </c>
      <c r="AZ1343">
        <v>93.39</v>
      </c>
      <c r="BA1343">
        <v>21.26</v>
      </c>
      <c r="BB1343" t="s">
        <v>83</v>
      </c>
    </row>
    <row r="1344" spans="1:54" x14ac:dyDescent="0.4">
      <c r="A1344">
        <v>1135822</v>
      </c>
      <c r="D1344" t="s">
        <v>54</v>
      </c>
      <c r="E1344" t="s">
        <v>55</v>
      </c>
      <c r="F1344" t="s">
        <v>2523</v>
      </c>
      <c r="I1344" t="s">
        <v>57</v>
      </c>
      <c r="K1344" t="s">
        <v>1816</v>
      </c>
      <c r="L1344" t="s">
        <v>1817</v>
      </c>
      <c r="M1344" t="s">
        <v>223</v>
      </c>
      <c r="N1344" t="s">
        <v>234</v>
      </c>
      <c r="O1344" t="s">
        <v>345</v>
      </c>
      <c r="P1344" t="s">
        <v>135</v>
      </c>
      <c r="R1344" t="s">
        <v>63</v>
      </c>
      <c r="S1344" t="s">
        <v>64</v>
      </c>
      <c r="T1344">
        <v>237</v>
      </c>
      <c r="U1344">
        <v>227</v>
      </c>
      <c r="V1344">
        <f t="shared" si="40"/>
        <v>232</v>
      </c>
      <c r="W1344">
        <f t="shared" si="41"/>
        <v>10</v>
      </c>
      <c r="X1344">
        <v>105.616669</v>
      </c>
      <c r="Y1344">
        <v>25.866667</v>
      </c>
      <c r="Z1344" t="s">
        <v>520</v>
      </c>
      <c r="AA1344" t="s">
        <v>379</v>
      </c>
      <c r="AB1344" t="s">
        <v>682</v>
      </c>
      <c r="AC1344" t="s">
        <v>2161</v>
      </c>
      <c r="AD1344" t="s">
        <v>1809</v>
      </c>
      <c r="AH1344" t="s">
        <v>72</v>
      </c>
      <c r="AI1344" t="s">
        <v>4393</v>
      </c>
      <c r="AJ1344">
        <v>2007</v>
      </c>
      <c r="AK1344" t="s">
        <v>3381</v>
      </c>
      <c r="AN1344" t="s">
        <v>192</v>
      </c>
      <c r="AO1344" t="s">
        <v>160</v>
      </c>
      <c r="AR1344" t="s">
        <v>80</v>
      </c>
      <c r="AS1344">
        <v>611</v>
      </c>
      <c r="AT1344" t="s">
        <v>81</v>
      </c>
      <c r="AU1344">
        <v>111.02</v>
      </c>
      <c r="AV1344">
        <v>2.04</v>
      </c>
      <c r="AW1344" t="s">
        <v>82</v>
      </c>
      <c r="AX1344">
        <v>611</v>
      </c>
      <c r="AY1344" t="s">
        <v>81</v>
      </c>
      <c r="AZ1344">
        <v>93.57</v>
      </c>
      <c r="BA1344">
        <v>21.3</v>
      </c>
      <c r="BB1344" t="s">
        <v>83</v>
      </c>
    </row>
    <row r="1345" spans="1:54" x14ac:dyDescent="0.4">
      <c r="A1345">
        <v>1142068</v>
      </c>
      <c r="D1345" t="s">
        <v>54</v>
      </c>
      <c r="E1345" t="s">
        <v>152</v>
      </c>
      <c r="G1345">
        <v>1</v>
      </c>
      <c r="H1345" t="s">
        <v>56</v>
      </c>
      <c r="I1345" t="s">
        <v>57</v>
      </c>
      <c r="K1345" t="s">
        <v>3685</v>
      </c>
      <c r="L1345" t="s">
        <v>4417</v>
      </c>
      <c r="M1345" t="s">
        <v>60</v>
      </c>
      <c r="O1345" t="s">
        <v>87</v>
      </c>
      <c r="P1345" t="s">
        <v>135</v>
      </c>
      <c r="R1345" t="s">
        <v>63</v>
      </c>
      <c r="S1345" t="s">
        <v>64</v>
      </c>
      <c r="T1345">
        <v>237</v>
      </c>
      <c r="U1345">
        <v>227</v>
      </c>
      <c r="V1345">
        <f t="shared" si="40"/>
        <v>232</v>
      </c>
      <c r="W1345">
        <f t="shared" si="41"/>
        <v>10</v>
      </c>
      <c r="X1345">
        <v>-68</v>
      </c>
      <c r="Y1345">
        <v>-30</v>
      </c>
      <c r="Z1345" t="s">
        <v>124</v>
      </c>
      <c r="AA1345" t="s">
        <v>185</v>
      </c>
      <c r="AB1345" t="s">
        <v>186</v>
      </c>
      <c r="AC1345" t="s">
        <v>327</v>
      </c>
      <c r="AD1345" t="s">
        <v>286</v>
      </c>
      <c r="AG1345" t="s">
        <v>288</v>
      </c>
      <c r="AH1345" t="s">
        <v>72</v>
      </c>
      <c r="AI1345" t="s">
        <v>1051</v>
      </c>
      <c r="AJ1345">
        <v>1975</v>
      </c>
      <c r="AK1345" t="s">
        <v>329</v>
      </c>
      <c r="AM1345" t="s">
        <v>330</v>
      </c>
      <c r="AN1345" t="s">
        <v>114</v>
      </c>
      <c r="AO1345" t="s">
        <v>160</v>
      </c>
      <c r="AP1345" t="s">
        <v>78</v>
      </c>
      <c r="AQ1345" t="s">
        <v>331</v>
      </c>
      <c r="AR1345" t="s">
        <v>80</v>
      </c>
      <c r="AS1345">
        <v>291</v>
      </c>
      <c r="AT1345" t="s">
        <v>81</v>
      </c>
      <c r="AU1345">
        <v>-26.52</v>
      </c>
      <c r="AV1345">
        <v>-36.18</v>
      </c>
      <c r="AW1345" t="s">
        <v>82</v>
      </c>
      <c r="AX1345">
        <v>291</v>
      </c>
      <c r="AY1345" t="s">
        <v>81</v>
      </c>
      <c r="AZ1345">
        <v>-35.28</v>
      </c>
      <c r="BA1345">
        <v>-46.21</v>
      </c>
      <c r="BB1345" t="s">
        <v>83</v>
      </c>
    </row>
    <row r="1346" spans="1:54" x14ac:dyDescent="0.4">
      <c r="A1346">
        <v>1180352</v>
      </c>
      <c r="D1346" t="s">
        <v>54</v>
      </c>
      <c r="E1346" t="s">
        <v>55</v>
      </c>
      <c r="G1346">
        <v>1</v>
      </c>
      <c r="H1346" t="s">
        <v>84</v>
      </c>
      <c r="I1346" t="s">
        <v>57</v>
      </c>
      <c r="K1346" t="s">
        <v>141</v>
      </c>
      <c r="L1346" t="s">
        <v>4467</v>
      </c>
      <c r="M1346" t="s">
        <v>60</v>
      </c>
      <c r="P1346" t="s">
        <v>135</v>
      </c>
      <c r="R1346" t="s">
        <v>63</v>
      </c>
      <c r="S1346" t="s">
        <v>64</v>
      </c>
      <c r="T1346">
        <v>237</v>
      </c>
      <c r="U1346">
        <v>227</v>
      </c>
      <c r="V1346">
        <f t="shared" si="40"/>
        <v>232</v>
      </c>
      <c r="W1346">
        <f t="shared" si="41"/>
        <v>10</v>
      </c>
      <c r="X1346">
        <v>-67.903892999999997</v>
      </c>
      <c r="Y1346">
        <v>-30.114166000000001</v>
      </c>
      <c r="Z1346" t="s">
        <v>124</v>
      </c>
      <c r="AA1346" t="s">
        <v>185</v>
      </c>
      <c r="AB1346" t="s">
        <v>285</v>
      </c>
      <c r="AD1346" t="s">
        <v>286</v>
      </c>
      <c r="AF1346" t="s">
        <v>287</v>
      </c>
      <c r="AG1346" t="s">
        <v>288</v>
      </c>
      <c r="AH1346" t="s">
        <v>72</v>
      </c>
      <c r="AI1346" t="s">
        <v>4468</v>
      </c>
      <c r="AJ1346">
        <v>2013</v>
      </c>
      <c r="AK1346" t="s">
        <v>4469</v>
      </c>
      <c r="AM1346" t="s">
        <v>286</v>
      </c>
      <c r="AN1346" t="s">
        <v>76</v>
      </c>
      <c r="AO1346" t="s">
        <v>77</v>
      </c>
      <c r="AP1346" t="s">
        <v>115</v>
      </c>
      <c r="AQ1346" t="s">
        <v>4470</v>
      </c>
      <c r="AR1346" t="s">
        <v>80</v>
      </c>
      <c r="AS1346">
        <v>291</v>
      </c>
      <c r="AT1346" t="s">
        <v>81</v>
      </c>
      <c r="AU1346">
        <v>-26.41</v>
      </c>
      <c r="AV1346">
        <v>-36.29</v>
      </c>
      <c r="AW1346" t="s">
        <v>82</v>
      </c>
      <c r="AX1346">
        <v>291</v>
      </c>
      <c r="AY1346" t="s">
        <v>81</v>
      </c>
      <c r="AZ1346">
        <v>-35.159999999999997</v>
      </c>
      <c r="BA1346">
        <v>-46.32</v>
      </c>
      <c r="BB1346" t="s">
        <v>83</v>
      </c>
    </row>
    <row r="1347" spans="1:54" x14ac:dyDescent="0.4">
      <c r="A1347">
        <v>1181558</v>
      </c>
      <c r="D1347" t="s">
        <v>54</v>
      </c>
      <c r="E1347" t="s">
        <v>297</v>
      </c>
      <c r="F1347" t="s">
        <v>3063</v>
      </c>
      <c r="G1347">
        <v>1</v>
      </c>
      <c r="H1347" t="s">
        <v>84</v>
      </c>
      <c r="I1347" t="s">
        <v>57</v>
      </c>
      <c r="K1347" t="s">
        <v>840</v>
      </c>
      <c r="L1347" t="s">
        <v>841</v>
      </c>
      <c r="M1347" t="s">
        <v>60</v>
      </c>
      <c r="O1347" t="s">
        <v>170</v>
      </c>
      <c r="P1347" t="s">
        <v>135</v>
      </c>
      <c r="R1347" t="s">
        <v>63</v>
      </c>
      <c r="S1347" t="s">
        <v>64</v>
      </c>
      <c r="T1347">
        <v>237</v>
      </c>
      <c r="U1347">
        <v>227</v>
      </c>
      <c r="V1347">
        <f t="shared" ref="V1347:V1410" si="42">(T1347+U1347)/2</f>
        <v>232</v>
      </c>
      <c r="W1347">
        <f t="shared" ref="W1347:W1410" si="43">T1347-U1347</f>
        <v>10</v>
      </c>
      <c r="X1347">
        <v>-67.901259999999994</v>
      </c>
      <c r="Y1347">
        <v>-30.116928000000001</v>
      </c>
      <c r="Z1347" t="s">
        <v>124</v>
      </c>
      <c r="AA1347" t="s">
        <v>185</v>
      </c>
      <c r="AB1347" t="s">
        <v>285</v>
      </c>
      <c r="AD1347" t="s">
        <v>286</v>
      </c>
      <c r="AF1347" t="s">
        <v>287</v>
      </c>
      <c r="AG1347" t="s">
        <v>288</v>
      </c>
      <c r="AH1347" t="s">
        <v>11</v>
      </c>
      <c r="AI1347" t="s">
        <v>4468</v>
      </c>
      <c r="AJ1347">
        <v>2013</v>
      </c>
      <c r="AK1347" t="s">
        <v>4016</v>
      </c>
      <c r="AM1347" t="s">
        <v>4017</v>
      </c>
      <c r="AN1347" t="s">
        <v>192</v>
      </c>
      <c r="AO1347">
        <v>6</v>
      </c>
      <c r="AP1347" t="s">
        <v>115</v>
      </c>
      <c r="AQ1347" t="s">
        <v>4018</v>
      </c>
      <c r="AR1347" t="s">
        <v>80</v>
      </c>
      <c r="AS1347">
        <v>291</v>
      </c>
      <c r="AT1347" t="s">
        <v>81</v>
      </c>
      <c r="AU1347">
        <v>-26.41</v>
      </c>
      <c r="AV1347">
        <v>-36.29</v>
      </c>
      <c r="AW1347" t="s">
        <v>82</v>
      </c>
      <c r="AX1347">
        <v>291</v>
      </c>
      <c r="AY1347" t="s">
        <v>81</v>
      </c>
      <c r="AZ1347">
        <v>-35.159999999999997</v>
      </c>
      <c r="BA1347">
        <v>-46.33</v>
      </c>
      <c r="BB1347" t="s">
        <v>83</v>
      </c>
    </row>
    <row r="1348" spans="1:54" x14ac:dyDescent="0.4">
      <c r="A1348">
        <v>1181747</v>
      </c>
      <c r="D1348" t="s">
        <v>54</v>
      </c>
      <c r="I1348" t="s">
        <v>57</v>
      </c>
      <c r="K1348" t="s">
        <v>141</v>
      </c>
      <c r="L1348" t="s">
        <v>4471</v>
      </c>
      <c r="M1348" t="s">
        <v>223</v>
      </c>
      <c r="P1348" t="s">
        <v>135</v>
      </c>
      <c r="R1348" t="s">
        <v>63</v>
      </c>
      <c r="S1348" t="s">
        <v>64</v>
      </c>
      <c r="T1348">
        <v>237</v>
      </c>
      <c r="U1348">
        <v>227</v>
      </c>
      <c r="V1348">
        <f t="shared" si="42"/>
        <v>232</v>
      </c>
      <c r="W1348">
        <f t="shared" si="43"/>
        <v>10</v>
      </c>
      <c r="X1348">
        <v>-122.131668</v>
      </c>
      <c r="Y1348">
        <v>40.805</v>
      </c>
      <c r="Z1348" t="s">
        <v>1596</v>
      </c>
      <c r="AA1348" t="s">
        <v>66</v>
      </c>
      <c r="AB1348" t="s">
        <v>4382</v>
      </c>
      <c r="AC1348" t="s">
        <v>4472</v>
      </c>
      <c r="AD1348" t="s">
        <v>4383</v>
      </c>
      <c r="AH1348" t="s">
        <v>11</v>
      </c>
      <c r="AI1348" t="s">
        <v>561</v>
      </c>
      <c r="AJ1348">
        <v>1906</v>
      </c>
      <c r="AK1348" t="s">
        <v>4473</v>
      </c>
      <c r="AN1348" t="s">
        <v>114</v>
      </c>
      <c r="AO1348" t="s">
        <v>77</v>
      </c>
      <c r="AQ1348" t="s">
        <v>4473</v>
      </c>
      <c r="AR1348" t="s">
        <v>80</v>
      </c>
      <c r="AS1348">
        <v>101</v>
      </c>
      <c r="AT1348" t="s">
        <v>81</v>
      </c>
      <c r="AU1348">
        <v>-43.23</v>
      </c>
      <c r="AV1348">
        <v>23.35</v>
      </c>
      <c r="AW1348" t="s">
        <v>82</v>
      </c>
      <c r="AX1348">
        <v>131</v>
      </c>
      <c r="AY1348" t="s">
        <v>81</v>
      </c>
      <c r="AZ1348">
        <v>-51.03</v>
      </c>
      <c r="BA1348">
        <v>11.81</v>
      </c>
      <c r="BB1348" t="s">
        <v>83</v>
      </c>
    </row>
    <row r="1349" spans="1:54" x14ac:dyDescent="0.4">
      <c r="A1349">
        <v>1181748</v>
      </c>
      <c r="D1349" t="s">
        <v>54</v>
      </c>
      <c r="I1349" t="s">
        <v>57</v>
      </c>
      <c r="K1349" t="s">
        <v>141</v>
      </c>
      <c r="L1349" t="s">
        <v>4471</v>
      </c>
      <c r="M1349" t="s">
        <v>223</v>
      </c>
      <c r="P1349" t="s">
        <v>135</v>
      </c>
      <c r="R1349" t="s">
        <v>63</v>
      </c>
      <c r="S1349" t="s">
        <v>64</v>
      </c>
      <c r="T1349">
        <v>237</v>
      </c>
      <c r="U1349">
        <v>227</v>
      </c>
      <c r="V1349">
        <f t="shared" si="42"/>
        <v>232</v>
      </c>
      <c r="W1349">
        <f t="shared" si="43"/>
        <v>10</v>
      </c>
      <c r="X1349">
        <v>-122.115555</v>
      </c>
      <c r="Y1349">
        <v>40.940834000000002</v>
      </c>
      <c r="Z1349" t="s">
        <v>1596</v>
      </c>
      <c r="AA1349" t="s">
        <v>66</v>
      </c>
      <c r="AB1349" t="s">
        <v>4382</v>
      </c>
      <c r="AC1349" t="s">
        <v>4472</v>
      </c>
      <c r="AD1349" t="s">
        <v>4383</v>
      </c>
      <c r="AH1349" t="s">
        <v>11</v>
      </c>
      <c r="AI1349" t="s">
        <v>561</v>
      </c>
      <c r="AJ1349">
        <v>1906</v>
      </c>
      <c r="AK1349" t="s">
        <v>4474</v>
      </c>
      <c r="AN1349" t="s">
        <v>192</v>
      </c>
      <c r="AO1349" t="s">
        <v>77</v>
      </c>
      <c r="AP1349" t="s">
        <v>115</v>
      </c>
      <c r="AR1349" t="s">
        <v>80</v>
      </c>
      <c r="AS1349">
        <v>101</v>
      </c>
      <c r="AT1349" t="s">
        <v>81</v>
      </c>
      <c r="AU1349">
        <v>-43.16</v>
      </c>
      <c r="AV1349">
        <v>23.48</v>
      </c>
      <c r="AW1349" t="s">
        <v>82</v>
      </c>
      <c r="AX1349">
        <v>131</v>
      </c>
      <c r="AY1349" t="s">
        <v>81</v>
      </c>
      <c r="AZ1349">
        <v>-50.97</v>
      </c>
      <c r="BA1349">
        <v>11.93</v>
      </c>
      <c r="BB1349" t="s">
        <v>83</v>
      </c>
    </row>
    <row r="1350" spans="1:54" x14ac:dyDescent="0.4">
      <c r="A1350">
        <v>1181749</v>
      </c>
      <c r="D1350" t="s">
        <v>54</v>
      </c>
      <c r="I1350" t="s">
        <v>57</v>
      </c>
      <c r="K1350" t="s">
        <v>1816</v>
      </c>
      <c r="L1350" t="s">
        <v>3300</v>
      </c>
      <c r="M1350" t="s">
        <v>223</v>
      </c>
      <c r="N1350" t="s">
        <v>234</v>
      </c>
      <c r="O1350" t="s">
        <v>345</v>
      </c>
      <c r="P1350" t="s">
        <v>135</v>
      </c>
      <c r="R1350" t="s">
        <v>63</v>
      </c>
      <c r="S1350" t="s">
        <v>64</v>
      </c>
      <c r="T1350">
        <v>237</v>
      </c>
      <c r="U1350">
        <v>227</v>
      </c>
      <c r="V1350">
        <f t="shared" si="42"/>
        <v>232</v>
      </c>
      <c r="W1350">
        <f t="shared" si="43"/>
        <v>10</v>
      </c>
      <c r="X1350">
        <v>-122.115555</v>
      </c>
      <c r="Y1350">
        <v>40.940834000000002</v>
      </c>
      <c r="Z1350" t="s">
        <v>1596</v>
      </c>
      <c r="AA1350" t="s">
        <v>66</v>
      </c>
      <c r="AB1350" t="s">
        <v>4382</v>
      </c>
      <c r="AC1350" t="s">
        <v>4472</v>
      </c>
      <c r="AD1350" t="s">
        <v>4383</v>
      </c>
      <c r="AH1350" t="s">
        <v>11</v>
      </c>
      <c r="AI1350" t="s">
        <v>561</v>
      </c>
      <c r="AJ1350">
        <v>1906</v>
      </c>
      <c r="AK1350" t="s">
        <v>4474</v>
      </c>
      <c r="AN1350" t="s">
        <v>192</v>
      </c>
      <c r="AO1350" t="s">
        <v>77</v>
      </c>
      <c r="AP1350" t="s">
        <v>115</v>
      </c>
      <c r="AR1350" t="s">
        <v>80</v>
      </c>
      <c r="AS1350">
        <v>101</v>
      </c>
      <c r="AT1350" t="s">
        <v>81</v>
      </c>
      <c r="AU1350">
        <v>-43.16</v>
      </c>
      <c r="AV1350">
        <v>23.48</v>
      </c>
      <c r="AW1350" t="s">
        <v>82</v>
      </c>
      <c r="AX1350">
        <v>131</v>
      </c>
      <c r="AY1350" t="s">
        <v>81</v>
      </c>
      <c r="AZ1350">
        <v>-50.97</v>
      </c>
      <c r="BA1350">
        <v>11.93</v>
      </c>
      <c r="BB1350" t="s">
        <v>83</v>
      </c>
    </row>
    <row r="1351" spans="1:54" x14ac:dyDescent="0.4">
      <c r="A1351">
        <v>1181750</v>
      </c>
      <c r="D1351" t="s">
        <v>54</v>
      </c>
      <c r="I1351" t="s">
        <v>57</v>
      </c>
      <c r="K1351" t="s">
        <v>141</v>
      </c>
      <c r="L1351" t="s">
        <v>4475</v>
      </c>
      <c r="M1351" t="s">
        <v>223</v>
      </c>
      <c r="P1351" t="s">
        <v>135</v>
      </c>
      <c r="R1351" t="s">
        <v>63</v>
      </c>
      <c r="S1351" t="s">
        <v>64</v>
      </c>
      <c r="T1351">
        <v>237</v>
      </c>
      <c r="U1351">
        <v>227</v>
      </c>
      <c r="V1351">
        <f t="shared" si="42"/>
        <v>232</v>
      </c>
      <c r="W1351">
        <f t="shared" si="43"/>
        <v>10</v>
      </c>
      <c r="X1351">
        <v>-122.115555</v>
      </c>
      <c r="Y1351">
        <v>40.940834000000002</v>
      </c>
      <c r="Z1351" t="s">
        <v>1596</v>
      </c>
      <c r="AA1351" t="s">
        <v>66</v>
      </c>
      <c r="AB1351" t="s">
        <v>4382</v>
      </c>
      <c r="AC1351" t="s">
        <v>4472</v>
      </c>
      <c r="AD1351" t="s">
        <v>4383</v>
      </c>
      <c r="AH1351" t="s">
        <v>11</v>
      </c>
      <c r="AI1351" t="s">
        <v>561</v>
      </c>
      <c r="AJ1351">
        <v>1906</v>
      </c>
      <c r="AK1351" t="s">
        <v>4474</v>
      </c>
      <c r="AN1351" t="s">
        <v>192</v>
      </c>
      <c r="AO1351" t="s">
        <v>77</v>
      </c>
      <c r="AP1351" t="s">
        <v>115</v>
      </c>
      <c r="AR1351" t="s">
        <v>80</v>
      </c>
      <c r="AS1351">
        <v>101</v>
      </c>
      <c r="AT1351" t="s">
        <v>81</v>
      </c>
      <c r="AU1351">
        <v>-43.16</v>
      </c>
      <c r="AV1351">
        <v>23.48</v>
      </c>
      <c r="AW1351" t="s">
        <v>82</v>
      </c>
      <c r="AX1351">
        <v>131</v>
      </c>
      <c r="AY1351" t="s">
        <v>81</v>
      </c>
      <c r="AZ1351">
        <v>-50.97</v>
      </c>
      <c r="BA1351">
        <v>11.93</v>
      </c>
      <c r="BB1351" t="s">
        <v>83</v>
      </c>
    </row>
    <row r="1352" spans="1:54" x14ac:dyDescent="0.4">
      <c r="A1352">
        <v>1280502</v>
      </c>
      <c r="D1352" t="s">
        <v>54</v>
      </c>
      <c r="G1352">
        <v>1</v>
      </c>
      <c r="H1352" t="s">
        <v>56</v>
      </c>
      <c r="I1352" t="s">
        <v>57</v>
      </c>
      <c r="K1352" t="s">
        <v>141</v>
      </c>
      <c r="L1352" t="s">
        <v>4527</v>
      </c>
      <c r="M1352" t="s">
        <v>60</v>
      </c>
      <c r="O1352" t="s">
        <v>87</v>
      </c>
      <c r="P1352" t="s">
        <v>135</v>
      </c>
      <c r="R1352" t="s">
        <v>63</v>
      </c>
      <c r="S1352" t="s">
        <v>64</v>
      </c>
      <c r="T1352">
        <v>237</v>
      </c>
      <c r="U1352">
        <v>227</v>
      </c>
      <c r="V1352">
        <f t="shared" si="42"/>
        <v>232</v>
      </c>
      <c r="W1352">
        <f t="shared" si="43"/>
        <v>10</v>
      </c>
      <c r="X1352">
        <v>-79</v>
      </c>
      <c r="Y1352">
        <v>35.641666000000001</v>
      </c>
      <c r="Z1352" t="s">
        <v>105</v>
      </c>
      <c r="AA1352" t="s">
        <v>66</v>
      </c>
      <c r="AB1352" t="s">
        <v>816</v>
      </c>
      <c r="AC1352" t="s">
        <v>70</v>
      </c>
      <c r="AD1352" t="s">
        <v>817</v>
      </c>
      <c r="AE1352" t="s">
        <v>70</v>
      </c>
      <c r="AH1352" t="s">
        <v>72</v>
      </c>
      <c r="AI1352" t="s">
        <v>4528</v>
      </c>
      <c r="AJ1352">
        <v>2015</v>
      </c>
      <c r="AK1352" t="s">
        <v>4529</v>
      </c>
      <c r="AM1352" t="s">
        <v>4530</v>
      </c>
      <c r="AN1352" t="s">
        <v>114</v>
      </c>
      <c r="AO1352" t="s">
        <v>77</v>
      </c>
      <c r="AP1352" t="s">
        <v>78</v>
      </c>
      <c r="AQ1352" t="s">
        <v>4531</v>
      </c>
      <c r="AR1352" t="s">
        <v>80</v>
      </c>
      <c r="AS1352">
        <v>109</v>
      </c>
      <c r="AT1352" t="s">
        <v>81</v>
      </c>
      <c r="AU1352">
        <v>-10.08</v>
      </c>
      <c r="AV1352">
        <v>10.89</v>
      </c>
      <c r="AW1352" t="s">
        <v>82</v>
      </c>
      <c r="AX1352">
        <v>109</v>
      </c>
      <c r="AY1352" t="s">
        <v>81</v>
      </c>
      <c r="AZ1352">
        <v>-17.89</v>
      </c>
      <c r="BA1352">
        <v>0.92</v>
      </c>
      <c r="BB1352" t="s">
        <v>83</v>
      </c>
    </row>
    <row r="1353" spans="1:54" x14ac:dyDescent="0.4">
      <c r="A1353">
        <v>1302049</v>
      </c>
      <c r="D1353" t="s">
        <v>54</v>
      </c>
      <c r="E1353" t="s">
        <v>152</v>
      </c>
      <c r="F1353" t="s">
        <v>4597</v>
      </c>
      <c r="G1353">
        <v>617</v>
      </c>
      <c r="H1353" t="s">
        <v>84</v>
      </c>
      <c r="I1353" t="s">
        <v>57</v>
      </c>
      <c r="K1353" t="s">
        <v>840</v>
      </c>
      <c r="L1353" t="s">
        <v>841</v>
      </c>
      <c r="M1353" t="s">
        <v>60</v>
      </c>
      <c r="O1353" t="s">
        <v>170</v>
      </c>
      <c r="P1353" t="s">
        <v>135</v>
      </c>
      <c r="R1353" t="s">
        <v>63</v>
      </c>
      <c r="S1353" t="s">
        <v>64</v>
      </c>
      <c r="T1353">
        <v>237</v>
      </c>
      <c r="U1353">
        <v>227</v>
      </c>
      <c r="V1353">
        <f t="shared" si="42"/>
        <v>232</v>
      </c>
      <c r="W1353">
        <f t="shared" si="43"/>
        <v>10</v>
      </c>
      <c r="X1353">
        <v>81.348609999999994</v>
      </c>
      <c r="Y1353">
        <v>23.920555</v>
      </c>
      <c r="Z1353" t="s">
        <v>836</v>
      </c>
      <c r="AA1353" t="s">
        <v>1222</v>
      </c>
      <c r="AB1353" t="s">
        <v>3149</v>
      </c>
      <c r="AC1353" t="s">
        <v>4598</v>
      </c>
      <c r="AD1353" t="s">
        <v>3151</v>
      </c>
      <c r="AH1353" t="s">
        <v>72</v>
      </c>
      <c r="AI1353" t="s">
        <v>4599</v>
      </c>
      <c r="AJ1353">
        <v>2015</v>
      </c>
      <c r="AK1353" t="s">
        <v>4600</v>
      </c>
      <c r="AM1353" t="s">
        <v>4601</v>
      </c>
      <c r="AN1353" t="s">
        <v>192</v>
      </c>
      <c r="AO1353" t="s">
        <v>77</v>
      </c>
      <c r="AP1353" t="s">
        <v>78</v>
      </c>
      <c r="AQ1353" t="s">
        <v>4602</v>
      </c>
      <c r="AR1353" t="s">
        <v>80</v>
      </c>
      <c r="AS1353">
        <v>501</v>
      </c>
      <c r="AT1353" t="s">
        <v>81</v>
      </c>
      <c r="AU1353">
        <v>49.11</v>
      </c>
      <c r="AV1353">
        <v>-39.64</v>
      </c>
      <c r="AW1353" t="s">
        <v>82</v>
      </c>
      <c r="AX1353">
        <v>501</v>
      </c>
      <c r="AY1353" t="s">
        <v>81</v>
      </c>
      <c r="AZ1353">
        <v>50.72</v>
      </c>
      <c r="BA1353">
        <v>-42.01</v>
      </c>
      <c r="BB1353" t="s">
        <v>83</v>
      </c>
    </row>
    <row r="1354" spans="1:54" x14ac:dyDescent="0.4">
      <c r="A1354">
        <v>1308719</v>
      </c>
      <c r="D1354" t="s">
        <v>54</v>
      </c>
      <c r="E1354" t="s">
        <v>152</v>
      </c>
      <c r="F1354" t="s">
        <v>3935</v>
      </c>
      <c r="G1354">
        <v>1</v>
      </c>
      <c r="H1354" t="s">
        <v>56</v>
      </c>
      <c r="I1354" t="s">
        <v>57</v>
      </c>
      <c r="K1354" t="s">
        <v>141</v>
      </c>
      <c r="L1354" t="s">
        <v>4623</v>
      </c>
      <c r="M1354" t="s">
        <v>60</v>
      </c>
      <c r="O1354" t="s">
        <v>87</v>
      </c>
      <c r="P1354" t="s">
        <v>135</v>
      </c>
      <c r="R1354" t="s">
        <v>63</v>
      </c>
      <c r="S1354" t="s">
        <v>64</v>
      </c>
      <c r="T1354">
        <v>237</v>
      </c>
      <c r="U1354">
        <v>227</v>
      </c>
      <c r="V1354">
        <f t="shared" si="42"/>
        <v>232</v>
      </c>
      <c r="W1354">
        <f t="shared" si="43"/>
        <v>10</v>
      </c>
      <c r="X1354">
        <v>-52.450279000000002</v>
      </c>
      <c r="Y1354">
        <v>-29.740278</v>
      </c>
      <c r="Z1354" t="s">
        <v>198</v>
      </c>
      <c r="AA1354" t="s">
        <v>783</v>
      </c>
      <c r="AB1354" t="s">
        <v>784</v>
      </c>
      <c r="AD1354" t="s">
        <v>943</v>
      </c>
      <c r="AE1354" t="s">
        <v>786</v>
      </c>
      <c r="AG1354" t="s">
        <v>4624</v>
      </c>
      <c r="AH1354" t="s">
        <v>72</v>
      </c>
      <c r="AI1354" t="s">
        <v>4625</v>
      </c>
      <c r="AJ1354">
        <v>2015</v>
      </c>
      <c r="AK1354" t="s">
        <v>4626</v>
      </c>
      <c r="AM1354" t="s">
        <v>4627</v>
      </c>
      <c r="AN1354" t="s">
        <v>76</v>
      </c>
      <c r="AO1354" t="s">
        <v>77</v>
      </c>
      <c r="AP1354" t="s">
        <v>78</v>
      </c>
      <c r="AQ1354" t="s">
        <v>4628</v>
      </c>
      <c r="AR1354" t="s">
        <v>80</v>
      </c>
      <c r="AS1354">
        <v>201</v>
      </c>
      <c r="AT1354" t="s">
        <v>81</v>
      </c>
      <c r="AU1354">
        <v>-10.15</v>
      </c>
      <c r="AV1354">
        <v>-36.880000000000003</v>
      </c>
      <c r="AW1354" t="s">
        <v>82</v>
      </c>
      <c r="AX1354">
        <v>202</v>
      </c>
      <c r="AY1354" t="s">
        <v>81</v>
      </c>
      <c r="AZ1354">
        <v>-15.82</v>
      </c>
      <c r="BA1354">
        <v>-46.45</v>
      </c>
      <c r="BB1354" t="s">
        <v>83</v>
      </c>
    </row>
    <row r="1355" spans="1:54" x14ac:dyDescent="0.4">
      <c r="A1355">
        <v>1308746</v>
      </c>
      <c r="D1355" t="s">
        <v>54</v>
      </c>
      <c r="G1355">
        <v>1</v>
      </c>
      <c r="H1355" t="s">
        <v>56</v>
      </c>
      <c r="I1355" t="s">
        <v>57</v>
      </c>
      <c r="K1355" t="s">
        <v>206</v>
      </c>
      <c r="L1355" t="s">
        <v>4629</v>
      </c>
      <c r="M1355" t="s">
        <v>60</v>
      </c>
      <c r="O1355" t="s">
        <v>170</v>
      </c>
      <c r="P1355" t="s">
        <v>135</v>
      </c>
      <c r="R1355" t="s">
        <v>63</v>
      </c>
      <c r="S1355" t="s">
        <v>64</v>
      </c>
      <c r="T1355">
        <v>237</v>
      </c>
      <c r="U1355">
        <v>227</v>
      </c>
      <c r="V1355">
        <f t="shared" si="42"/>
        <v>232</v>
      </c>
      <c r="W1355">
        <f t="shared" si="43"/>
        <v>10</v>
      </c>
      <c r="X1355">
        <v>-53.435833000000002</v>
      </c>
      <c r="Y1355">
        <v>-29.658611000000001</v>
      </c>
      <c r="Z1355" t="s">
        <v>124</v>
      </c>
      <c r="AA1355" t="s">
        <v>783</v>
      </c>
      <c r="AB1355" t="s">
        <v>784</v>
      </c>
      <c r="AC1355" t="s">
        <v>4630</v>
      </c>
      <c r="AD1355" t="s">
        <v>943</v>
      </c>
      <c r="AE1355" t="s">
        <v>786</v>
      </c>
      <c r="AF1355" t="s">
        <v>944</v>
      </c>
      <c r="AG1355" t="s">
        <v>841</v>
      </c>
      <c r="AH1355" t="s">
        <v>72</v>
      </c>
      <c r="AI1355" t="s">
        <v>4631</v>
      </c>
      <c r="AJ1355">
        <v>2014</v>
      </c>
      <c r="AK1355" t="s">
        <v>4632</v>
      </c>
      <c r="AM1355" t="s">
        <v>4633</v>
      </c>
      <c r="AN1355" t="s">
        <v>76</v>
      </c>
      <c r="AO1355" t="s">
        <v>77</v>
      </c>
      <c r="AP1355" t="s">
        <v>78</v>
      </c>
      <c r="AQ1355" t="s">
        <v>4634</v>
      </c>
      <c r="AR1355" t="s">
        <v>80</v>
      </c>
      <c r="AS1355">
        <v>201</v>
      </c>
      <c r="AT1355" t="s">
        <v>81</v>
      </c>
      <c r="AU1355">
        <v>-11.22</v>
      </c>
      <c r="AV1355">
        <v>-36.82</v>
      </c>
      <c r="AW1355" t="s">
        <v>82</v>
      </c>
      <c r="AX1355">
        <v>202</v>
      </c>
      <c r="AY1355" t="s">
        <v>81</v>
      </c>
      <c r="AZ1355">
        <v>-17.059999999999999</v>
      </c>
      <c r="BA1355">
        <v>-46.46</v>
      </c>
      <c r="BB1355" t="s">
        <v>83</v>
      </c>
    </row>
    <row r="1356" spans="1:54" x14ac:dyDescent="0.4">
      <c r="A1356">
        <v>1313374</v>
      </c>
      <c r="D1356" t="s">
        <v>54</v>
      </c>
      <c r="E1356" t="s">
        <v>55</v>
      </c>
      <c r="I1356" t="s">
        <v>57</v>
      </c>
      <c r="K1356" t="s">
        <v>132</v>
      </c>
      <c r="L1356" t="s">
        <v>133</v>
      </c>
      <c r="M1356" t="s">
        <v>60</v>
      </c>
      <c r="N1356" t="s">
        <v>119</v>
      </c>
      <c r="O1356" t="s">
        <v>134</v>
      </c>
      <c r="P1356" t="s">
        <v>135</v>
      </c>
      <c r="R1356" t="s">
        <v>63</v>
      </c>
      <c r="S1356" t="s">
        <v>64</v>
      </c>
      <c r="T1356">
        <v>237</v>
      </c>
      <c r="U1356">
        <v>227</v>
      </c>
      <c r="V1356">
        <f t="shared" si="42"/>
        <v>232</v>
      </c>
      <c r="W1356">
        <f t="shared" si="43"/>
        <v>10</v>
      </c>
      <c r="X1356">
        <v>-2.4963890000000002</v>
      </c>
      <c r="Y1356">
        <v>51.595001000000003</v>
      </c>
      <c r="Z1356" t="s">
        <v>90</v>
      </c>
      <c r="AA1356" t="s">
        <v>91</v>
      </c>
      <c r="AB1356" t="s">
        <v>92</v>
      </c>
      <c r="AC1356" t="s">
        <v>4655</v>
      </c>
      <c r="AH1356" t="s">
        <v>72</v>
      </c>
      <c r="AI1356" t="s">
        <v>3204</v>
      </c>
      <c r="AJ1356">
        <v>2015</v>
      </c>
      <c r="AK1356" t="s">
        <v>4656</v>
      </c>
      <c r="AN1356" t="s">
        <v>76</v>
      </c>
      <c r="AO1356" t="s">
        <v>77</v>
      </c>
      <c r="AP1356" t="s">
        <v>115</v>
      </c>
      <c r="AQ1356" t="s">
        <v>4657</v>
      </c>
      <c r="AR1356" t="s">
        <v>80</v>
      </c>
      <c r="AS1356">
        <v>315</v>
      </c>
      <c r="AT1356" t="s">
        <v>81</v>
      </c>
      <c r="AU1356">
        <v>8.94</v>
      </c>
      <c r="AV1356">
        <v>34.340000000000003</v>
      </c>
      <c r="AW1356" t="s">
        <v>82</v>
      </c>
      <c r="AX1356">
        <v>315</v>
      </c>
      <c r="AY1356" t="s">
        <v>81</v>
      </c>
      <c r="AZ1356">
        <v>-1.58</v>
      </c>
      <c r="BA1356">
        <v>37.01</v>
      </c>
      <c r="BB1356" t="s">
        <v>83</v>
      </c>
    </row>
    <row r="1357" spans="1:54" x14ac:dyDescent="0.4">
      <c r="A1357">
        <v>1313375</v>
      </c>
      <c r="D1357" t="s">
        <v>54</v>
      </c>
      <c r="E1357" t="s">
        <v>55</v>
      </c>
      <c r="G1357">
        <v>3</v>
      </c>
      <c r="H1357" t="s">
        <v>84</v>
      </c>
      <c r="I1357" t="s">
        <v>57</v>
      </c>
      <c r="K1357" t="s">
        <v>141</v>
      </c>
      <c r="L1357" t="s">
        <v>142</v>
      </c>
      <c r="M1357" t="s">
        <v>60</v>
      </c>
      <c r="P1357" t="s">
        <v>135</v>
      </c>
      <c r="R1357" t="s">
        <v>63</v>
      </c>
      <c r="S1357" t="s">
        <v>64</v>
      </c>
      <c r="T1357">
        <v>237</v>
      </c>
      <c r="U1357">
        <v>227</v>
      </c>
      <c r="V1357">
        <f t="shared" si="42"/>
        <v>232</v>
      </c>
      <c r="W1357">
        <f t="shared" si="43"/>
        <v>10</v>
      </c>
      <c r="X1357">
        <v>-2.4963890000000002</v>
      </c>
      <c r="Y1357">
        <v>51.595001000000003</v>
      </c>
      <c r="Z1357" t="s">
        <v>90</v>
      </c>
      <c r="AA1357" t="s">
        <v>91</v>
      </c>
      <c r="AB1357" t="s">
        <v>92</v>
      </c>
      <c r="AC1357" t="s">
        <v>4655</v>
      </c>
      <c r="AH1357" t="s">
        <v>72</v>
      </c>
      <c r="AI1357" t="s">
        <v>3204</v>
      </c>
      <c r="AJ1357">
        <v>2015</v>
      </c>
      <c r="AK1357" t="s">
        <v>4656</v>
      </c>
      <c r="AN1357" t="s">
        <v>76</v>
      </c>
      <c r="AO1357" t="s">
        <v>77</v>
      </c>
      <c r="AP1357" t="s">
        <v>115</v>
      </c>
      <c r="AQ1357" t="s">
        <v>4657</v>
      </c>
      <c r="AR1357" t="s">
        <v>80</v>
      </c>
      <c r="AS1357">
        <v>315</v>
      </c>
      <c r="AT1357" t="s">
        <v>81</v>
      </c>
      <c r="AU1357">
        <v>8.94</v>
      </c>
      <c r="AV1357">
        <v>34.340000000000003</v>
      </c>
      <c r="AW1357" t="s">
        <v>82</v>
      </c>
      <c r="AX1357">
        <v>315</v>
      </c>
      <c r="AY1357" t="s">
        <v>81</v>
      </c>
      <c r="AZ1357">
        <v>-1.58</v>
      </c>
      <c r="BA1357">
        <v>37.01</v>
      </c>
      <c r="BB1357" t="s">
        <v>83</v>
      </c>
    </row>
    <row r="1358" spans="1:54" x14ac:dyDescent="0.4">
      <c r="A1358">
        <v>1313378</v>
      </c>
      <c r="D1358" t="s">
        <v>54</v>
      </c>
      <c r="E1358" t="s">
        <v>55</v>
      </c>
      <c r="I1358" t="s">
        <v>57</v>
      </c>
      <c r="K1358" t="s">
        <v>132</v>
      </c>
      <c r="L1358" t="s">
        <v>133</v>
      </c>
      <c r="M1358" t="s">
        <v>60</v>
      </c>
      <c r="N1358" t="s">
        <v>119</v>
      </c>
      <c r="O1358" t="s">
        <v>134</v>
      </c>
      <c r="P1358" t="s">
        <v>135</v>
      </c>
      <c r="R1358" t="s">
        <v>63</v>
      </c>
      <c r="S1358" t="s">
        <v>64</v>
      </c>
      <c r="T1358">
        <v>237</v>
      </c>
      <c r="U1358">
        <v>227</v>
      </c>
      <c r="V1358">
        <f t="shared" si="42"/>
        <v>232</v>
      </c>
      <c r="W1358">
        <f t="shared" si="43"/>
        <v>10</v>
      </c>
      <c r="X1358">
        <v>-2.4963890000000002</v>
      </c>
      <c r="Y1358">
        <v>51.595001000000003</v>
      </c>
      <c r="Z1358" t="s">
        <v>90</v>
      </c>
      <c r="AA1358" t="s">
        <v>91</v>
      </c>
      <c r="AB1358" t="s">
        <v>92</v>
      </c>
      <c r="AC1358" t="s">
        <v>4655</v>
      </c>
      <c r="AH1358" t="s">
        <v>72</v>
      </c>
      <c r="AI1358" t="s">
        <v>3204</v>
      </c>
      <c r="AJ1358">
        <v>2015</v>
      </c>
      <c r="AK1358" t="s">
        <v>4658</v>
      </c>
      <c r="AN1358" t="s">
        <v>76</v>
      </c>
      <c r="AO1358" t="s">
        <v>77</v>
      </c>
      <c r="AP1358" t="s">
        <v>115</v>
      </c>
      <c r="AQ1358" t="s">
        <v>4659</v>
      </c>
      <c r="AR1358" t="s">
        <v>80</v>
      </c>
      <c r="AS1358">
        <v>315</v>
      </c>
      <c r="AT1358" t="s">
        <v>81</v>
      </c>
      <c r="AU1358">
        <v>8.94</v>
      </c>
      <c r="AV1358">
        <v>34.340000000000003</v>
      </c>
      <c r="AW1358" t="s">
        <v>82</v>
      </c>
      <c r="AX1358">
        <v>315</v>
      </c>
      <c r="AY1358" t="s">
        <v>81</v>
      </c>
      <c r="AZ1358">
        <v>-1.58</v>
      </c>
      <c r="BA1358">
        <v>37.01</v>
      </c>
      <c r="BB1358" t="s">
        <v>83</v>
      </c>
    </row>
    <row r="1359" spans="1:54" x14ac:dyDescent="0.4">
      <c r="A1359">
        <v>1313379</v>
      </c>
      <c r="D1359" t="s">
        <v>54</v>
      </c>
      <c r="E1359" t="s">
        <v>55</v>
      </c>
      <c r="G1359">
        <v>1</v>
      </c>
      <c r="H1359" t="s">
        <v>84</v>
      </c>
      <c r="I1359" t="s">
        <v>57</v>
      </c>
      <c r="K1359" t="s">
        <v>141</v>
      </c>
      <c r="L1359" t="s">
        <v>142</v>
      </c>
      <c r="M1359" t="s">
        <v>60</v>
      </c>
      <c r="P1359" t="s">
        <v>135</v>
      </c>
      <c r="R1359" t="s">
        <v>63</v>
      </c>
      <c r="S1359" t="s">
        <v>64</v>
      </c>
      <c r="T1359">
        <v>237</v>
      </c>
      <c r="U1359">
        <v>227</v>
      </c>
      <c r="V1359">
        <f t="shared" si="42"/>
        <v>232</v>
      </c>
      <c r="W1359">
        <f t="shared" si="43"/>
        <v>10</v>
      </c>
      <c r="X1359">
        <v>-2.4963890000000002</v>
      </c>
      <c r="Y1359">
        <v>51.595001000000003</v>
      </c>
      <c r="Z1359" t="s">
        <v>90</v>
      </c>
      <c r="AA1359" t="s">
        <v>91</v>
      </c>
      <c r="AB1359" t="s">
        <v>92</v>
      </c>
      <c r="AC1359" t="s">
        <v>4655</v>
      </c>
      <c r="AH1359" t="s">
        <v>72</v>
      </c>
      <c r="AI1359" t="s">
        <v>3204</v>
      </c>
      <c r="AJ1359">
        <v>2015</v>
      </c>
      <c r="AK1359" t="s">
        <v>4658</v>
      </c>
      <c r="AN1359" t="s">
        <v>76</v>
      </c>
      <c r="AO1359" t="s">
        <v>77</v>
      </c>
      <c r="AP1359" t="s">
        <v>115</v>
      </c>
      <c r="AQ1359" t="s">
        <v>4659</v>
      </c>
      <c r="AR1359" t="s">
        <v>80</v>
      </c>
      <c r="AS1359">
        <v>315</v>
      </c>
      <c r="AT1359" t="s">
        <v>81</v>
      </c>
      <c r="AU1359">
        <v>8.94</v>
      </c>
      <c r="AV1359">
        <v>34.340000000000003</v>
      </c>
      <c r="AW1359" t="s">
        <v>82</v>
      </c>
      <c r="AX1359">
        <v>315</v>
      </c>
      <c r="AY1359" t="s">
        <v>81</v>
      </c>
      <c r="AZ1359">
        <v>-1.58</v>
      </c>
      <c r="BA1359">
        <v>37.01</v>
      </c>
      <c r="BB1359" t="s">
        <v>83</v>
      </c>
    </row>
    <row r="1360" spans="1:54" x14ac:dyDescent="0.4">
      <c r="A1360">
        <v>1347712</v>
      </c>
      <c r="D1360" t="s">
        <v>54</v>
      </c>
      <c r="G1360">
        <v>1</v>
      </c>
      <c r="H1360" t="s">
        <v>56</v>
      </c>
      <c r="I1360" t="s">
        <v>57</v>
      </c>
      <c r="K1360" t="s">
        <v>206</v>
      </c>
      <c r="L1360" t="s">
        <v>4762</v>
      </c>
      <c r="M1360" t="s">
        <v>60</v>
      </c>
      <c r="O1360" t="s">
        <v>170</v>
      </c>
      <c r="P1360" t="s">
        <v>135</v>
      </c>
      <c r="R1360" t="s">
        <v>63</v>
      </c>
      <c r="S1360" t="s">
        <v>64</v>
      </c>
      <c r="T1360">
        <v>237</v>
      </c>
      <c r="U1360">
        <v>227</v>
      </c>
      <c r="V1360">
        <f t="shared" si="42"/>
        <v>232</v>
      </c>
      <c r="W1360">
        <f t="shared" si="43"/>
        <v>10</v>
      </c>
      <c r="X1360">
        <v>-79</v>
      </c>
      <c r="Y1360">
        <v>35.641666000000001</v>
      </c>
      <c r="Z1360" t="s">
        <v>105</v>
      </c>
      <c r="AA1360" t="s">
        <v>66</v>
      </c>
      <c r="AB1360" t="s">
        <v>816</v>
      </c>
      <c r="AC1360" t="s">
        <v>70</v>
      </c>
      <c r="AD1360" t="s">
        <v>817</v>
      </c>
      <c r="AE1360" t="s">
        <v>70</v>
      </c>
      <c r="AH1360" t="s">
        <v>72</v>
      </c>
      <c r="AI1360" t="s">
        <v>1129</v>
      </c>
      <c r="AJ1360">
        <v>2015</v>
      </c>
      <c r="AK1360" t="s">
        <v>4529</v>
      </c>
      <c r="AM1360" t="s">
        <v>4530</v>
      </c>
      <c r="AN1360" t="s">
        <v>114</v>
      </c>
      <c r="AO1360" t="s">
        <v>77</v>
      </c>
      <c r="AP1360" t="s">
        <v>78</v>
      </c>
      <c r="AQ1360" t="s">
        <v>4531</v>
      </c>
      <c r="AR1360" t="s">
        <v>80</v>
      </c>
      <c r="AS1360">
        <v>109</v>
      </c>
      <c r="AT1360" t="s">
        <v>81</v>
      </c>
      <c r="AU1360">
        <v>-10.08</v>
      </c>
      <c r="AV1360">
        <v>10.89</v>
      </c>
      <c r="AW1360" t="s">
        <v>82</v>
      </c>
      <c r="AX1360">
        <v>109</v>
      </c>
      <c r="AY1360" t="s">
        <v>81</v>
      </c>
      <c r="AZ1360">
        <v>-17.89</v>
      </c>
      <c r="BA1360">
        <v>0.92</v>
      </c>
      <c r="BB1360" t="s">
        <v>83</v>
      </c>
    </row>
    <row r="1361" spans="1:54" x14ac:dyDescent="0.4">
      <c r="A1361">
        <v>1347713</v>
      </c>
      <c r="D1361" t="s">
        <v>54</v>
      </c>
      <c r="G1361">
        <v>1</v>
      </c>
      <c r="H1361" t="s">
        <v>84</v>
      </c>
      <c r="I1361" t="s">
        <v>57</v>
      </c>
      <c r="K1361" t="s">
        <v>206</v>
      </c>
      <c r="L1361" t="s">
        <v>815</v>
      </c>
      <c r="M1361" t="s">
        <v>60</v>
      </c>
      <c r="O1361" t="s">
        <v>170</v>
      </c>
      <c r="P1361" t="s">
        <v>135</v>
      </c>
      <c r="R1361" t="s">
        <v>63</v>
      </c>
      <c r="S1361" t="s">
        <v>64</v>
      </c>
      <c r="T1361">
        <v>237</v>
      </c>
      <c r="U1361">
        <v>227</v>
      </c>
      <c r="V1361">
        <f t="shared" si="42"/>
        <v>232</v>
      </c>
      <c r="W1361">
        <f t="shared" si="43"/>
        <v>10</v>
      </c>
      <c r="X1361">
        <v>-79</v>
      </c>
      <c r="Y1361">
        <v>35.641666000000001</v>
      </c>
      <c r="Z1361" t="s">
        <v>105</v>
      </c>
      <c r="AA1361" t="s">
        <v>66</v>
      </c>
      <c r="AB1361" t="s">
        <v>816</v>
      </c>
      <c r="AC1361" t="s">
        <v>70</v>
      </c>
      <c r="AD1361" t="s">
        <v>817</v>
      </c>
      <c r="AE1361" t="s">
        <v>70</v>
      </c>
      <c r="AH1361" t="s">
        <v>11</v>
      </c>
      <c r="AI1361" t="s">
        <v>1129</v>
      </c>
      <c r="AJ1361">
        <v>2015</v>
      </c>
      <c r="AK1361" t="s">
        <v>4529</v>
      </c>
      <c r="AM1361" t="s">
        <v>4530</v>
      </c>
      <c r="AN1361" t="s">
        <v>114</v>
      </c>
      <c r="AO1361" t="s">
        <v>77</v>
      </c>
      <c r="AP1361" t="s">
        <v>78</v>
      </c>
      <c r="AQ1361" t="s">
        <v>4531</v>
      </c>
      <c r="AR1361" t="s">
        <v>80</v>
      </c>
      <c r="AS1361">
        <v>109</v>
      </c>
      <c r="AT1361" t="s">
        <v>81</v>
      </c>
      <c r="AU1361">
        <v>-10.08</v>
      </c>
      <c r="AV1361">
        <v>10.89</v>
      </c>
      <c r="AW1361" t="s">
        <v>82</v>
      </c>
      <c r="AX1361">
        <v>109</v>
      </c>
      <c r="AY1361" t="s">
        <v>81</v>
      </c>
      <c r="AZ1361">
        <v>-17.89</v>
      </c>
      <c r="BA1361">
        <v>0.92</v>
      </c>
      <c r="BB1361" t="s">
        <v>83</v>
      </c>
    </row>
    <row r="1362" spans="1:54" x14ac:dyDescent="0.4">
      <c r="A1362">
        <v>1347716</v>
      </c>
      <c r="D1362" t="s">
        <v>54</v>
      </c>
      <c r="G1362">
        <v>1</v>
      </c>
      <c r="H1362" t="s">
        <v>84</v>
      </c>
      <c r="I1362" t="s">
        <v>57</v>
      </c>
      <c r="K1362" t="s">
        <v>206</v>
      </c>
      <c r="L1362" t="s">
        <v>4763</v>
      </c>
      <c r="M1362" t="s">
        <v>60</v>
      </c>
      <c r="O1362" t="s">
        <v>170</v>
      </c>
      <c r="P1362" t="s">
        <v>135</v>
      </c>
      <c r="R1362" t="s">
        <v>63</v>
      </c>
      <c r="S1362" t="s">
        <v>64</v>
      </c>
      <c r="T1362">
        <v>237</v>
      </c>
      <c r="U1362">
        <v>227</v>
      </c>
      <c r="V1362">
        <f t="shared" si="42"/>
        <v>232</v>
      </c>
      <c r="W1362">
        <f t="shared" si="43"/>
        <v>10</v>
      </c>
      <c r="X1362">
        <v>-79</v>
      </c>
      <c r="Y1362">
        <v>35.641666000000001</v>
      </c>
      <c r="Z1362" t="s">
        <v>105</v>
      </c>
      <c r="AA1362" t="s">
        <v>66</v>
      </c>
      <c r="AB1362" t="s">
        <v>816</v>
      </c>
      <c r="AC1362" t="s">
        <v>70</v>
      </c>
      <c r="AD1362" t="s">
        <v>817</v>
      </c>
      <c r="AE1362" t="s">
        <v>70</v>
      </c>
      <c r="AH1362" t="s">
        <v>72</v>
      </c>
      <c r="AI1362" t="s">
        <v>1129</v>
      </c>
      <c r="AJ1362">
        <v>2017</v>
      </c>
      <c r="AK1362" t="s">
        <v>4529</v>
      </c>
      <c r="AM1362" t="s">
        <v>4530</v>
      </c>
      <c r="AN1362" t="s">
        <v>114</v>
      </c>
      <c r="AO1362" t="s">
        <v>77</v>
      </c>
      <c r="AP1362" t="s">
        <v>78</v>
      </c>
      <c r="AQ1362" t="s">
        <v>4531</v>
      </c>
      <c r="AR1362" t="s">
        <v>80</v>
      </c>
      <c r="AS1362">
        <v>109</v>
      </c>
      <c r="AT1362" t="s">
        <v>81</v>
      </c>
      <c r="AU1362">
        <v>-10.08</v>
      </c>
      <c r="AV1362">
        <v>10.89</v>
      </c>
      <c r="AW1362" t="s">
        <v>82</v>
      </c>
      <c r="AX1362">
        <v>109</v>
      </c>
      <c r="AY1362" t="s">
        <v>81</v>
      </c>
      <c r="AZ1362">
        <v>-17.89</v>
      </c>
      <c r="BA1362">
        <v>0.92</v>
      </c>
      <c r="BB1362" t="s">
        <v>83</v>
      </c>
    </row>
    <row r="1363" spans="1:54" x14ac:dyDescent="0.4">
      <c r="A1363">
        <v>1347761</v>
      </c>
      <c r="D1363" t="s">
        <v>54</v>
      </c>
      <c r="G1363">
        <v>1</v>
      </c>
      <c r="H1363" t="s">
        <v>56</v>
      </c>
      <c r="I1363" t="s">
        <v>57</v>
      </c>
      <c r="K1363" t="s">
        <v>194</v>
      </c>
      <c r="L1363" t="s">
        <v>4771</v>
      </c>
      <c r="M1363" t="s">
        <v>60</v>
      </c>
      <c r="P1363" t="s">
        <v>135</v>
      </c>
      <c r="R1363" t="s">
        <v>63</v>
      </c>
      <c r="S1363" t="s">
        <v>64</v>
      </c>
      <c r="T1363">
        <v>237</v>
      </c>
      <c r="U1363">
        <v>227</v>
      </c>
      <c r="V1363">
        <f t="shared" si="42"/>
        <v>232</v>
      </c>
      <c r="W1363">
        <f t="shared" si="43"/>
        <v>10</v>
      </c>
      <c r="X1363">
        <v>-53.435833000000002</v>
      </c>
      <c r="Y1363">
        <v>-29.658611000000001</v>
      </c>
      <c r="Z1363" t="s">
        <v>124</v>
      </c>
      <c r="AA1363" t="s">
        <v>783</v>
      </c>
      <c r="AB1363" t="s">
        <v>784</v>
      </c>
      <c r="AC1363" t="s">
        <v>4630</v>
      </c>
      <c r="AD1363" t="s">
        <v>943</v>
      </c>
      <c r="AE1363" t="s">
        <v>786</v>
      </c>
      <c r="AF1363" t="s">
        <v>944</v>
      </c>
      <c r="AG1363" t="s">
        <v>841</v>
      </c>
      <c r="AH1363" t="s">
        <v>72</v>
      </c>
      <c r="AI1363" t="s">
        <v>4772</v>
      </c>
      <c r="AJ1363">
        <v>2016</v>
      </c>
      <c r="AK1363" t="s">
        <v>4632</v>
      </c>
      <c r="AM1363" t="s">
        <v>4633</v>
      </c>
      <c r="AN1363" t="s">
        <v>76</v>
      </c>
      <c r="AO1363" t="s">
        <v>77</v>
      </c>
      <c r="AP1363" t="s">
        <v>78</v>
      </c>
      <c r="AQ1363" t="s">
        <v>4634</v>
      </c>
      <c r="AR1363" t="s">
        <v>80</v>
      </c>
      <c r="AS1363">
        <v>201</v>
      </c>
      <c r="AT1363" t="s">
        <v>81</v>
      </c>
      <c r="AU1363">
        <v>-11.22</v>
      </c>
      <c r="AV1363">
        <v>-36.82</v>
      </c>
      <c r="AW1363" t="s">
        <v>82</v>
      </c>
      <c r="AX1363">
        <v>202</v>
      </c>
      <c r="AY1363" t="s">
        <v>81</v>
      </c>
      <c r="AZ1363">
        <v>-17.059999999999999</v>
      </c>
      <c r="BA1363">
        <v>-46.46</v>
      </c>
      <c r="BB1363" t="s">
        <v>83</v>
      </c>
    </row>
    <row r="1364" spans="1:54" x14ac:dyDescent="0.4">
      <c r="A1364">
        <v>1347761</v>
      </c>
      <c r="D1364" t="s">
        <v>54</v>
      </c>
      <c r="G1364">
        <v>1</v>
      </c>
      <c r="H1364" t="s">
        <v>56</v>
      </c>
      <c r="I1364" t="s">
        <v>57</v>
      </c>
      <c r="K1364" t="s">
        <v>194</v>
      </c>
      <c r="L1364" t="s">
        <v>4771</v>
      </c>
      <c r="M1364" t="s">
        <v>60</v>
      </c>
      <c r="P1364" t="s">
        <v>135</v>
      </c>
      <c r="R1364" t="s">
        <v>63</v>
      </c>
      <c r="S1364" t="s">
        <v>64</v>
      </c>
      <c r="T1364">
        <v>237</v>
      </c>
      <c r="U1364">
        <v>227</v>
      </c>
      <c r="V1364">
        <f t="shared" si="42"/>
        <v>232</v>
      </c>
      <c r="W1364">
        <f t="shared" si="43"/>
        <v>10</v>
      </c>
      <c r="X1364">
        <v>-53.435833000000002</v>
      </c>
      <c r="Y1364">
        <v>-29.658611000000001</v>
      </c>
      <c r="Z1364" t="s">
        <v>124</v>
      </c>
      <c r="AA1364" t="s">
        <v>783</v>
      </c>
      <c r="AB1364" t="s">
        <v>784</v>
      </c>
      <c r="AC1364" t="s">
        <v>4630</v>
      </c>
      <c r="AD1364" t="s">
        <v>943</v>
      </c>
      <c r="AE1364" t="s">
        <v>786</v>
      </c>
      <c r="AF1364" t="s">
        <v>944</v>
      </c>
      <c r="AG1364" t="s">
        <v>841</v>
      </c>
      <c r="AH1364" t="s">
        <v>72</v>
      </c>
      <c r="AI1364" t="s">
        <v>4772</v>
      </c>
      <c r="AJ1364">
        <v>2016</v>
      </c>
      <c r="AK1364" t="s">
        <v>4632</v>
      </c>
      <c r="AM1364" t="s">
        <v>4633</v>
      </c>
      <c r="AN1364" t="s">
        <v>76</v>
      </c>
      <c r="AO1364" t="s">
        <v>77</v>
      </c>
      <c r="AP1364" t="s">
        <v>78</v>
      </c>
      <c r="AQ1364" t="s">
        <v>4634</v>
      </c>
      <c r="AR1364" t="s">
        <v>80</v>
      </c>
      <c r="AS1364">
        <v>201</v>
      </c>
      <c r="AT1364" t="s">
        <v>81</v>
      </c>
      <c r="AU1364">
        <v>-11.22</v>
      </c>
      <c r="AV1364">
        <v>-36.82</v>
      </c>
      <c r="AW1364" t="s">
        <v>82</v>
      </c>
      <c r="AX1364">
        <v>202</v>
      </c>
      <c r="AY1364" t="s">
        <v>81</v>
      </c>
      <c r="AZ1364">
        <v>-17.059999999999999</v>
      </c>
      <c r="BA1364">
        <v>-46.46</v>
      </c>
      <c r="BB1364" t="s">
        <v>83</v>
      </c>
    </row>
    <row r="1365" spans="1:54" x14ac:dyDescent="0.4">
      <c r="A1365">
        <v>1347762</v>
      </c>
      <c r="D1365" t="s">
        <v>54</v>
      </c>
      <c r="G1365">
        <v>1</v>
      </c>
      <c r="H1365" t="s">
        <v>56</v>
      </c>
      <c r="I1365" t="s">
        <v>57</v>
      </c>
      <c r="K1365" t="s">
        <v>141</v>
      </c>
      <c r="L1365" t="s">
        <v>4773</v>
      </c>
      <c r="M1365" t="s">
        <v>60</v>
      </c>
      <c r="P1365" t="s">
        <v>135</v>
      </c>
      <c r="R1365" t="s">
        <v>63</v>
      </c>
      <c r="S1365" t="s">
        <v>64</v>
      </c>
      <c r="T1365">
        <v>237</v>
      </c>
      <c r="U1365">
        <v>227</v>
      </c>
      <c r="V1365">
        <f t="shared" si="42"/>
        <v>232</v>
      </c>
      <c r="W1365">
        <f t="shared" si="43"/>
        <v>10</v>
      </c>
      <c r="X1365">
        <v>-53.435833000000002</v>
      </c>
      <c r="Y1365">
        <v>-29.658611000000001</v>
      </c>
      <c r="Z1365" t="s">
        <v>124</v>
      </c>
      <c r="AA1365" t="s">
        <v>783</v>
      </c>
      <c r="AB1365" t="s">
        <v>784</v>
      </c>
      <c r="AC1365" t="s">
        <v>4630</v>
      </c>
      <c r="AD1365" t="s">
        <v>943</v>
      </c>
      <c r="AE1365" t="s">
        <v>786</v>
      </c>
      <c r="AF1365" t="s">
        <v>944</v>
      </c>
      <c r="AG1365" t="s">
        <v>841</v>
      </c>
      <c r="AH1365" t="s">
        <v>72</v>
      </c>
      <c r="AI1365" t="s">
        <v>4772</v>
      </c>
      <c r="AJ1365">
        <v>2016</v>
      </c>
      <c r="AK1365" t="s">
        <v>4632</v>
      </c>
      <c r="AM1365" t="s">
        <v>4633</v>
      </c>
      <c r="AN1365" t="s">
        <v>76</v>
      </c>
      <c r="AO1365" t="s">
        <v>77</v>
      </c>
      <c r="AP1365" t="s">
        <v>78</v>
      </c>
      <c r="AQ1365" t="s">
        <v>4634</v>
      </c>
      <c r="AR1365" t="s">
        <v>80</v>
      </c>
      <c r="AS1365">
        <v>201</v>
      </c>
      <c r="AT1365" t="s">
        <v>81</v>
      </c>
      <c r="AU1365">
        <v>-11.22</v>
      </c>
      <c r="AV1365">
        <v>-36.82</v>
      </c>
      <c r="AW1365" t="s">
        <v>82</v>
      </c>
      <c r="AX1365">
        <v>202</v>
      </c>
      <c r="AY1365" t="s">
        <v>81</v>
      </c>
      <c r="AZ1365">
        <v>-17.059999999999999</v>
      </c>
      <c r="BA1365">
        <v>-46.46</v>
      </c>
      <c r="BB1365" t="s">
        <v>83</v>
      </c>
    </row>
    <row r="1366" spans="1:54" x14ac:dyDescent="0.4">
      <c r="A1366">
        <v>1347762</v>
      </c>
      <c r="D1366" t="s">
        <v>54</v>
      </c>
      <c r="G1366">
        <v>1</v>
      </c>
      <c r="H1366" t="s">
        <v>56</v>
      </c>
      <c r="I1366" t="s">
        <v>57</v>
      </c>
      <c r="K1366" t="s">
        <v>141</v>
      </c>
      <c r="L1366" t="s">
        <v>4773</v>
      </c>
      <c r="M1366" t="s">
        <v>60</v>
      </c>
      <c r="P1366" t="s">
        <v>135</v>
      </c>
      <c r="R1366" t="s">
        <v>63</v>
      </c>
      <c r="S1366" t="s">
        <v>64</v>
      </c>
      <c r="T1366">
        <v>237</v>
      </c>
      <c r="U1366">
        <v>227</v>
      </c>
      <c r="V1366">
        <f t="shared" si="42"/>
        <v>232</v>
      </c>
      <c r="W1366">
        <f t="shared" si="43"/>
        <v>10</v>
      </c>
      <c r="X1366">
        <v>-53.435833000000002</v>
      </c>
      <c r="Y1366">
        <v>-29.658611000000001</v>
      </c>
      <c r="Z1366" t="s">
        <v>124</v>
      </c>
      <c r="AA1366" t="s">
        <v>783</v>
      </c>
      <c r="AB1366" t="s">
        <v>784</v>
      </c>
      <c r="AC1366" t="s">
        <v>4630</v>
      </c>
      <c r="AD1366" t="s">
        <v>943</v>
      </c>
      <c r="AE1366" t="s">
        <v>786</v>
      </c>
      <c r="AF1366" t="s">
        <v>944</v>
      </c>
      <c r="AG1366" t="s">
        <v>841</v>
      </c>
      <c r="AH1366" t="s">
        <v>72</v>
      </c>
      <c r="AI1366" t="s">
        <v>4772</v>
      </c>
      <c r="AJ1366">
        <v>2016</v>
      </c>
      <c r="AK1366" t="s">
        <v>4632</v>
      </c>
      <c r="AM1366" t="s">
        <v>4633</v>
      </c>
      <c r="AN1366" t="s">
        <v>76</v>
      </c>
      <c r="AO1366" t="s">
        <v>77</v>
      </c>
      <c r="AP1366" t="s">
        <v>78</v>
      </c>
      <c r="AQ1366" t="s">
        <v>4634</v>
      </c>
      <c r="AR1366" t="s">
        <v>80</v>
      </c>
      <c r="AS1366">
        <v>201</v>
      </c>
      <c r="AT1366" t="s">
        <v>81</v>
      </c>
      <c r="AU1366">
        <v>-11.22</v>
      </c>
      <c r="AV1366">
        <v>-36.82</v>
      </c>
      <c r="AW1366" t="s">
        <v>82</v>
      </c>
      <c r="AX1366">
        <v>202</v>
      </c>
      <c r="AY1366" t="s">
        <v>81</v>
      </c>
      <c r="AZ1366">
        <v>-17.059999999999999</v>
      </c>
      <c r="BA1366">
        <v>-46.46</v>
      </c>
      <c r="BB1366" t="s">
        <v>83</v>
      </c>
    </row>
    <row r="1367" spans="1:54" x14ac:dyDescent="0.4">
      <c r="A1367">
        <v>1347794</v>
      </c>
      <c r="D1367" t="s">
        <v>54</v>
      </c>
      <c r="E1367" t="s">
        <v>152</v>
      </c>
      <c r="G1367">
        <v>1</v>
      </c>
      <c r="H1367" t="s">
        <v>56</v>
      </c>
      <c r="I1367" t="s">
        <v>57</v>
      </c>
      <c r="K1367" t="s">
        <v>141</v>
      </c>
      <c r="L1367" t="s">
        <v>1111</v>
      </c>
      <c r="M1367" t="s">
        <v>60</v>
      </c>
      <c r="O1367" t="s">
        <v>87</v>
      </c>
      <c r="P1367" t="s">
        <v>135</v>
      </c>
      <c r="R1367" t="s">
        <v>63</v>
      </c>
      <c r="S1367" t="s">
        <v>64</v>
      </c>
      <c r="T1367">
        <v>237</v>
      </c>
      <c r="U1367">
        <v>227</v>
      </c>
      <c r="V1367">
        <f t="shared" si="42"/>
        <v>232</v>
      </c>
      <c r="W1367">
        <f t="shared" si="43"/>
        <v>10</v>
      </c>
      <c r="X1367">
        <v>-68</v>
      </c>
      <c r="Y1367">
        <v>-30</v>
      </c>
      <c r="Z1367" t="s">
        <v>124</v>
      </c>
      <c r="AA1367" t="s">
        <v>185</v>
      </c>
      <c r="AB1367" t="s">
        <v>186</v>
      </c>
      <c r="AC1367" t="s">
        <v>327</v>
      </c>
      <c r="AD1367" t="s">
        <v>286</v>
      </c>
      <c r="AG1367" t="s">
        <v>288</v>
      </c>
      <c r="AH1367" t="s">
        <v>72</v>
      </c>
      <c r="AI1367" t="s">
        <v>4774</v>
      </c>
      <c r="AJ1367">
        <v>2016</v>
      </c>
      <c r="AK1367" t="s">
        <v>329</v>
      </c>
      <c r="AM1367" t="s">
        <v>330</v>
      </c>
      <c r="AN1367" t="s">
        <v>114</v>
      </c>
      <c r="AO1367" t="s">
        <v>160</v>
      </c>
      <c r="AP1367" t="s">
        <v>78</v>
      </c>
      <c r="AQ1367" t="s">
        <v>331</v>
      </c>
      <c r="AR1367" t="s">
        <v>80</v>
      </c>
      <c r="AS1367">
        <v>291</v>
      </c>
      <c r="AT1367" t="s">
        <v>81</v>
      </c>
      <c r="AU1367">
        <v>-26.52</v>
      </c>
      <c r="AV1367">
        <v>-36.18</v>
      </c>
      <c r="AW1367" t="s">
        <v>82</v>
      </c>
      <c r="AX1367">
        <v>291</v>
      </c>
      <c r="AY1367" t="s">
        <v>81</v>
      </c>
      <c r="AZ1367">
        <v>-35.28</v>
      </c>
      <c r="BA1367">
        <v>-46.21</v>
      </c>
      <c r="BB1367" t="s">
        <v>83</v>
      </c>
    </row>
    <row r="1368" spans="1:54" x14ac:dyDescent="0.4">
      <c r="A1368">
        <v>1349988</v>
      </c>
      <c r="D1368" t="s">
        <v>54</v>
      </c>
      <c r="E1368" t="s">
        <v>55</v>
      </c>
      <c r="G1368">
        <v>1</v>
      </c>
      <c r="H1368" t="s">
        <v>56</v>
      </c>
      <c r="I1368" t="s">
        <v>57</v>
      </c>
      <c r="K1368" t="s">
        <v>316</v>
      </c>
      <c r="L1368" t="s">
        <v>4807</v>
      </c>
      <c r="M1368" t="s">
        <v>60</v>
      </c>
      <c r="P1368" t="s">
        <v>135</v>
      </c>
      <c r="R1368" t="s">
        <v>63</v>
      </c>
      <c r="S1368" t="s">
        <v>64</v>
      </c>
      <c r="T1368">
        <v>237</v>
      </c>
      <c r="U1368">
        <v>227</v>
      </c>
      <c r="V1368">
        <f t="shared" si="42"/>
        <v>232</v>
      </c>
      <c r="W1368">
        <f t="shared" si="43"/>
        <v>10</v>
      </c>
      <c r="X1368">
        <v>-67.877502000000007</v>
      </c>
      <c r="Y1368">
        <v>-30.137222000000001</v>
      </c>
      <c r="Z1368" t="s">
        <v>124</v>
      </c>
      <c r="AA1368" t="s">
        <v>185</v>
      </c>
      <c r="AB1368" t="s">
        <v>285</v>
      </c>
      <c r="AD1368" t="s">
        <v>286</v>
      </c>
      <c r="AF1368" t="s">
        <v>287</v>
      </c>
      <c r="AH1368" t="s">
        <v>72</v>
      </c>
      <c r="AI1368" t="s">
        <v>4808</v>
      </c>
      <c r="AJ1368">
        <v>2012</v>
      </c>
      <c r="AK1368" t="s">
        <v>4809</v>
      </c>
      <c r="AM1368" t="s">
        <v>4810</v>
      </c>
      <c r="AN1368" t="s">
        <v>192</v>
      </c>
      <c r="AO1368" t="s">
        <v>77</v>
      </c>
      <c r="AP1368" t="s">
        <v>78</v>
      </c>
      <c r="AQ1368" t="s">
        <v>4811</v>
      </c>
      <c r="AR1368" t="s">
        <v>80</v>
      </c>
      <c r="AS1368">
        <v>291</v>
      </c>
      <c r="AT1368" t="s">
        <v>81</v>
      </c>
      <c r="AU1368">
        <v>-26.39</v>
      </c>
      <c r="AV1368">
        <v>-36.31</v>
      </c>
      <c r="AW1368" t="s">
        <v>82</v>
      </c>
      <c r="AX1368">
        <v>291</v>
      </c>
      <c r="AY1368" t="s">
        <v>81</v>
      </c>
      <c r="AZ1368">
        <v>-35.130000000000003</v>
      </c>
      <c r="BA1368">
        <v>-46.35</v>
      </c>
      <c r="BB1368" t="s">
        <v>83</v>
      </c>
    </row>
    <row r="1369" spans="1:54" x14ac:dyDescent="0.4">
      <c r="A1369">
        <v>1371695</v>
      </c>
      <c r="D1369" t="s">
        <v>54</v>
      </c>
      <c r="I1369" t="s">
        <v>57</v>
      </c>
      <c r="K1369" t="s">
        <v>100</v>
      </c>
      <c r="L1369" t="s">
        <v>2260</v>
      </c>
      <c r="M1369" t="s">
        <v>60</v>
      </c>
      <c r="P1369" t="s">
        <v>135</v>
      </c>
      <c r="R1369" t="s">
        <v>63</v>
      </c>
      <c r="S1369" t="s">
        <v>64</v>
      </c>
      <c r="T1369">
        <v>237</v>
      </c>
      <c r="U1369">
        <v>227</v>
      </c>
      <c r="V1369">
        <f t="shared" si="42"/>
        <v>232</v>
      </c>
      <c r="W1369">
        <f t="shared" si="43"/>
        <v>10</v>
      </c>
      <c r="X1369">
        <v>-64</v>
      </c>
      <c r="Y1369">
        <v>45.216667000000001</v>
      </c>
      <c r="Z1369" t="s">
        <v>105</v>
      </c>
      <c r="AA1369" t="s">
        <v>1456</v>
      </c>
      <c r="AB1369" t="s">
        <v>1457</v>
      </c>
      <c r="AD1369" t="s">
        <v>1610</v>
      </c>
      <c r="AE1369" t="s">
        <v>70</v>
      </c>
      <c r="AH1369" t="s">
        <v>11</v>
      </c>
      <c r="AI1369" t="s">
        <v>4819</v>
      </c>
      <c r="AJ1369">
        <v>1972</v>
      </c>
      <c r="AK1369" t="s">
        <v>3820</v>
      </c>
      <c r="AN1369" t="s">
        <v>192</v>
      </c>
      <c r="AO1369" t="s">
        <v>160</v>
      </c>
      <c r="AP1369" t="s">
        <v>359</v>
      </c>
      <c r="AQ1369" t="s">
        <v>3821</v>
      </c>
      <c r="AR1369" t="s">
        <v>80</v>
      </c>
      <c r="AS1369">
        <v>108</v>
      </c>
      <c r="AT1369" t="s">
        <v>81</v>
      </c>
      <c r="AU1369">
        <v>1.87</v>
      </c>
      <c r="AV1369">
        <v>20.3</v>
      </c>
      <c r="AW1369" t="s">
        <v>82</v>
      </c>
      <c r="AX1369">
        <v>108</v>
      </c>
      <c r="AY1369" t="s">
        <v>81</v>
      </c>
      <c r="AZ1369">
        <v>-6.78</v>
      </c>
      <c r="BA1369">
        <v>10.87</v>
      </c>
      <c r="BB1369" t="s">
        <v>83</v>
      </c>
    </row>
    <row r="1370" spans="1:54" x14ac:dyDescent="0.4">
      <c r="A1370">
        <v>1388419</v>
      </c>
      <c r="D1370" t="s">
        <v>54</v>
      </c>
      <c r="I1370" t="s">
        <v>57</v>
      </c>
      <c r="K1370" t="s">
        <v>141</v>
      </c>
      <c r="L1370" t="s">
        <v>4471</v>
      </c>
      <c r="M1370" t="s">
        <v>223</v>
      </c>
      <c r="P1370" t="s">
        <v>135</v>
      </c>
      <c r="R1370" t="s">
        <v>63</v>
      </c>
      <c r="S1370" t="s">
        <v>64</v>
      </c>
      <c r="T1370">
        <v>237</v>
      </c>
      <c r="U1370">
        <v>227</v>
      </c>
      <c r="V1370">
        <f t="shared" si="42"/>
        <v>232</v>
      </c>
      <c r="W1370">
        <f t="shared" si="43"/>
        <v>10</v>
      </c>
      <c r="X1370">
        <v>-122.051582</v>
      </c>
      <c r="Y1370">
        <v>40.816375999999998</v>
      </c>
      <c r="Z1370" t="s">
        <v>520</v>
      </c>
      <c r="AA1370" t="s">
        <v>66</v>
      </c>
      <c r="AB1370" t="s">
        <v>4382</v>
      </c>
      <c r="AC1370" t="s">
        <v>4472</v>
      </c>
      <c r="AD1370" t="s">
        <v>4383</v>
      </c>
      <c r="AH1370" t="s">
        <v>72</v>
      </c>
      <c r="AI1370" t="s">
        <v>4895</v>
      </c>
      <c r="AJ1370">
        <v>1999</v>
      </c>
      <c r="AK1370" t="s">
        <v>4898</v>
      </c>
      <c r="AN1370" t="s">
        <v>192</v>
      </c>
      <c r="AO1370">
        <v>6</v>
      </c>
      <c r="AQ1370" t="s">
        <v>4899</v>
      </c>
      <c r="AR1370" t="s">
        <v>80</v>
      </c>
      <c r="AS1370">
        <v>101</v>
      </c>
      <c r="AT1370" t="s">
        <v>81</v>
      </c>
      <c r="AU1370">
        <v>-43.16</v>
      </c>
      <c r="AV1370">
        <v>23.34</v>
      </c>
      <c r="AW1370" t="s">
        <v>82</v>
      </c>
      <c r="AX1370">
        <v>131</v>
      </c>
      <c r="AY1370" t="s">
        <v>81</v>
      </c>
      <c r="AZ1370">
        <v>-50.97</v>
      </c>
      <c r="BA1370">
        <v>11.79</v>
      </c>
      <c r="BB1370" t="s">
        <v>83</v>
      </c>
    </row>
    <row r="1371" spans="1:54" x14ac:dyDescent="0.4">
      <c r="A1371">
        <v>1393389</v>
      </c>
      <c r="D1371" t="s">
        <v>54</v>
      </c>
      <c r="E1371" t="s">
        <v>55</v>
      </c>
      <c r="G1371">
        <v>7</v>
      </c>
      <c r="H1371" t="s">
        <v>84</v>
      </c>
      <c r="I1371" t="s">
        <v>57</v>
      </c>
      <c r="K1371" t="s">
        <v>132</v>
      </c>
      <c r="L1371" t="s">
        <v>133</v>
      </c>
      <c r="M1371" t="s">
        <v>60</v>
      </c>
      <c r="N1371" t="s">
        <v>119</v>
      </c>
      <c r="O1371" t="s">
        <v>134</v>
      </c>
      <c r="P1371" t="s">
        <v>135</v>
      </c>
      <c r="R1371" t="s">
        <v>63</v>
      </c>
      <c r="S1371" t="s">
        <v>64</v>
      </c>
      <c r="T1371">
        <v>237</v>
      </c>
      <c r="U1371">
        <v>227</v>
      </c>
      <c r="V1371">
        <f t="shared" si="42"/>
        <v>232</v>
      </c>
      <c r="W1371">
        <f t="shared" si="43"/>
        <v>10</v>
      </c>
      <c r="X1371">
        <v>-3.3755000000000002</v>
      </c>
      <c r="Y1371">
        <v>51.459000000000003</v>
      </c>
      <c r="Z1371" t="s">
        <v>90</v>
      </c>
      <c r="AA1371" t="s">
        <v>91</v>
      </c>
      <c r="AB1371" t="s">
        <v>373</v>
      </c>
      <c r="AC1371" t="s">
        <v>374</v>
      </c>
      <c r="AH1371" t="s">
        <v>72</v>
      </c>
      <c r="AI1371" t="s">
        <v>4905</v>
      </c>
      <c r="AJ1371">
        <v>2018</v>
      </c>
      <c r="AK1371" t="s">
        <v>375</v>
      </c>
      <c r="AM1371" t="s">
        <v>376</v>
      </c>
      <c r="AN1371" t="s">
        <v>76</v>
      </c>
      <c r="AO1371">
        <v>4</v>
      </c>
      <c r="AP1371" t="s">
        <v>78</v>
      </c>
      <c r="AQ1371" t="s">
        <v>377</v>
      </c>
      <c r="AR1371" t="s">
        <v>80</v>
      </c>
      <c r="AS1371">
        <v>315</v>
      </c>
      <c r="AT1371" t="s">
        <v>81</v>
      </c>
      <c r="AU1371">
        <v>8.41</v>
      </c>
      <c r="AV1371">
        <v>33.979999999999997</v>
      </c>
      <c r="AW1371" t="s">
        <v>82</v>
      </c>
      <c r="AX1371">
        <v>315</v>
      </c>
      <c r="AY1371" t="s">
        <v>81</v>
      </c>
      <c r="AZ1371">
        <v>-2.14</v>
      </c>
      <c r="BA1371">
        <v>36.659999999999997</v>
      </c>
      <c r="BB1371" t="s">
        <v>83</v>
      </c>
    </row>
    <row r="1372" spans="1:54" x14ac:dyDescent="0.4">
      <c r="A1372">
        <v>1393401</v>
      </c>
      <c r="D1372" t="s">
        <v>54</v>
      </c>
      <c r="E1372" t="s">
        <v>55</v>
      </c>
      <c r="G1372">
        <v>4</v>
      </c>
      <c r="H1372" t="s">
        <v>84</v>
      </c>
      <c r="I1372" t="s">
        <v>57</v>
      </c>
      <c r="K1372" t="s">
        <v>141</v>
      </c>
      <c r="L1372" t="s">
        <v>142</v>
      </c>
      <c r="M1372" t="s">
        <v>60</v>
      </c>
      <c r="P1372" t="s">
        <v>135</v>
      </c>
      <c r="R1372" t="s">
        <v>63</v>
      </c>
      <c r="S1372" t="s">
        <v>64</v>
      </c>
      <c r="T1372">
        <v>237</v>
      </c>
      <c r="U1372">
        <v>227</v>
      </c>
      <c r="V1372">
        <f t="shared" si="42"/>
        <v>232</v>
      </c>
      <c r="W1372">
        <f t="shared" si="43"/>
        <v>10</v>
      </c>
      <c r="X1372">
        <v>-3.3755000000000002</v>
      </c>
      <c r="Y1372">
        <v>51.459000000000003</v>
      </c>
      <c r="Z1372" t="s">
        <v>90</v>
      </c>
      <c r="AA1372" t="s">
        <v>91</v>
      </c>
      <c r="AB1372" t="s">
        <v>373</v>
      </c>
      <c r="AC1372" t="s">
        <v>374</v>
      </c>
      <c r="AH1372" t="s">
        <v>11</v>
      </c>
      <c r="AI1372" t="s">
        <v>4905</v>
      </c>
      <c r="AJ1372">
        <v>2018</v>
      </c>
      <c r="AK1372" t="s">
        <v>375</v>
      </c>
      <c r="AM1372" t="s">
        <v>376</v>
      </c>
      <c r="AN1372" t="s">
        <v>76</v>
      </c>
      <c r="AO1372">
        <v>4</v>
      </c>
      <c r="AP1372" t="s">
        <v>78</v>
      </c>
      <c r="AQ1372" t="s">
        <v>377</v>
      </c>
      <c r="AR1372" t="s">
        <v>80</v>
      </c>
      <c r="AS1372">
        <v>315</v>
      </c>
      <c r="AT1372" t="s">
        <v>81</v>
      </c>
      <c r="AU1372">
        <v>8.41</v>
      </c>
      <c r="AV1372">
        <v>33.979999999999997</v>
      </c>
      <c r="AW1372" t="s">
        <v>82</v>
      </c>
      <c r="AX1372">
        <v>315</v>
      </c>
      <c r="AY1372" t="s">
        <v>81</v>
      </c>
      <c r="AZ1372">
        <v>-2.14</v>
      </c>
      <c r="BA1372">
        <v>36.659999999999997</v>
      </c>
      <c r="BB1372" t="s">
        <v>83</v>
      </c>
    </row>
    <row r="1373" spans="1:54" x14ac:dyDescent="0.4">
      <c r="A1373">
        <v>1400946</v>
      </c>
      <c r="D1373" t="s">
        <v>54</v>
      </c>
      <c r="G1373">
        <v>1</v>
      </c>
      <c r="H1373" t="s">
        <v>84</v>
      </c>
      <c r="I1373" t="s">
        <v>57</v>
      </c>
      <c r="K1373" t="s">
        <v>141</v>
      </c>
      <c r="L1373" t="s">
        <v>4916</v>
      </c>
      <c r="M1373" t="s">
        <v>60</v>
      </c>
      <c r="O1373" t="s">
        <v>87</v>
      </c>
      <c r="P1373" t="s">
        <v>135</v>
      </c>
      <c r="R1373" t="s">
        <v>63</v>
      </c>
      <c r="S1373" t="s">
        <v>64</v>
      </c>
      <c r="T1373">
        <v>237</v>
      </c>
      <c r="U1373">
        <v>227</v>
      </c>
      <c r="V1373">
        <f t="shared" si="42"/>
        <v>232</v>
      </c>
      <c r="W1373">
        <f t="shared" si="43"/>
        <v>10</v>
      </c>
      <c r="X1373">
        <v>-105.793999</v>
      </c>
      <c r="Y1373">
        <v>35.237400000000001</v>
      </c>
      <c r="Z1373" t="s">
        <v>346</v>
      </c>
      <c r="AA1373" t="s">
        <v>66</v>
      </c>
      <c r="AB1373" t="s">
        <v>846</v>
      </c>
      <c r="AC1373" t="s">
        <v>1086</v>
      </c>
      <c r="AD1373" t="s">
        <v>3014</v>
      </c>
      <c r="AH1373" t="s">
        <v>72</v>
      </c>
      <c r="AI1373" t="s">
        <v>3124</v>
      </c>
      <c r="AJ1373">
        <v>2006</v>
      </c>
      <c r="AK1373" t="s">
        <v>4919</v>
      </c>
      <c r="AM1373" t="s">
        <v>4920</v>
      </c>
      <c r="AN1373" t="s">
        <v>76</v>
      </c>
      <c r="AO1373">
        <v>4</v>
      </c>
      <c r="AP1373" t="s">
        <v>359</v>
      </c>
      <c r="AQ1373" t="s">
        <v>4921</v>
      </c>
      <c r="AR1373" t="s">
        <v>80</v>
      </c>
      <c r="AS1373">
        <v>101</v>
      </c>
      <c r="AT1373" t="s">
        <v>81</v>
      </c>
      <c r="AU1373">
        <v>-32.14</v>
      </c>
      <c r="AV1373">
        <v>14.08</v>
      </c>
      <c r="AW1373" t="s">
        <v>82</v>
      </c>
      <c r="AX1373">
        <v>101</v>
      </c>
      <c r="AY1373" t="s">
        <v>81</v>
      </c>
      <c r="AZ1373">
        <v>-39.43</v>
      </c>
      <c r="BA1373">
        <v>4.1900000000000004</v>
      </c>
      <c r="BB1373" t="s">
        <v>83</v>
      </c>
    </row>
    <row r="1374" spans="1:54" x14ac:dyDescent="0.4">
      <c r="A1374">
        <v>1406776</v>
      </c>
      <c r="D1374" t="s">
        <v>54</v>
      </c>
      <c r="E1374" t="s">
        <v>55</v>
      </c>
      <c r="I1374" t="s">
        <v>57</v>
      </c>
      <c r="K1374" t="s">
        <v>4933</v>
      </c>
      <c r="L1374" t="s">
        <v>4934</v>
      </c>
      <c r="M1374" t="s">
        <v>60</v>
      </c>
      <c r="N1374" t="s">
        <v>119</v>
      </c>
      <c r="O1374" t="s">
        <v>87</v>
      </c>
      <c r="P1374" t="s">
        <v>135</v>
      </c>
      <c r="R1374" t="s">
        <v>63</v>
      </c>
      <c r="S1374" t="s">
        <v>64</v>
      </c>
      <c r="T1374">
        <v>237</v>
      </c>
      <c r="U1374">
        <v>227</v>
      </c>
      <c r="V1374">
        <f t="shared" si="42"/>
        <v>232</v>
      </c>
      <c r="W1374">
        <f t="shared" si="43"/>
        <v>10</v>
      </c>
      <c r="X1374">
        <v>19.046914999999998</v>
      </c>
      <c r="Y1374">
        <v>50.587448000000002</v>
      </c>
      <c r="Z1374" t="s">
        <v>184</v>
      </c>
      <c r="AA1374" t="s">
        <v>697</v>
      </c>
      <c r="AB1374" t="s">
        <v>4955</v>
      </c>
      <c r="AH1374" t="s">
        <v>11</v>
      </c>
      <c r="AI1374" t="s">
        <v>4956</v>
      </c>
      <c r="AJ1374">
        <v>2018</v>
      </c>
      <c r="AK1374" t="s">
        <v>4957</v>
      </c>
      <c r="AN1374" t="s">
        <v>114</v>
      </c>
      <c r="AO1374">
        <v>6</v>
      </c>
      <c r="AP1374" t="s">
        <v>115</v>
      </c>
      <c r="AQ1374" t="s">
        <v>4958</v>
      </c>
      <c r="AR1374" t="s">
        <v>80</v>
      </c>
      <c r="AS1374">
        <v>305</v>
      </c>
      <c r="AT1374" t="s">
        <v>81</v>
      </c>
      <c r="AU1374">
        <v>31.98</v>
      </c>
      <c r="AV1374">
        <v>32.18</v>
      </c>
      <c r="AW1374" t="s">
        <v>82</v>
      </c>
      <c r="AX1374">
        <v>305</v>
      </c>
      <c r="AY1374" t="s">
        <v>81</v>
      </c>
      <c r="AZ1374">
        <v>20.079999999999998</v>
      </c>
      <c r="BA1374">
        <v>25.62</v>
      </c>
      <c r="BB1374" t="s">
        <v>83</v>
      </c>
    </row>
    <row r="1375" spans="1:54" x14ac:dyDescent="0.4">
      <c r="A1375">
        <v>1415556</v>
      </c>
      <c r="D1375" t="s">
        <v>54</v>
      </c>
      <c r="E1375" t="s">
        <v>55</v>
      </c>
      <c r="F1375" t="s">
        <v>2523</v>
      </c>
      <c r="I1375" t="s">
        <v>57</v>
      </c>
      <c r="K1375" t="s">
        <v>141</v>
      </c>
      <c r="L1375" t="s">
        <v>1824</v>
      </c>
      <c r="M1375" t="s">
        <v>223</v>
      </c>
      <c r="P1375" t="s">
        <v>135</v>
      </c>
      <c r="R1375" t="s">
        <v>63</v>
      </c>
      <c r="S1375" t="s">
        <v>64</v>
      </c>
      <c r="T1375">
        <v>237</v>
      </c>
      <c r="U1375">
        <v>227</v>
      </c>
      <c r="V1375">
        <f t="shared" si="42"/>
        <v>232</v>
      </c>
      <c r="W1375">
        <f t="shared" si="43"/>
        <v>10</v>
      </c>
      <c r="X1375">
        <v>105.616669</v>
      </c>
      <c r="Y1375">
        <v>25.883333</v>
      </c>
      <c r="Z1375" t="s">
        <v>520</v>
      </c>
      <c r="AA1375" t="s">
        <v>379</v>
      </c>
      <c r="AB1375" t="s">
        <v>682</v>
      </c>
      <c r="AC1375" t="s">
        <v>3322</v>
      </c>
      <c r="AD1375" t="s">
        <v>1809</v>
      </c>
      <c r="AH1375" t="s">
        <v>72</v>
      </c>
      <c r="AI1375" t="s">
        <v>3571</v>
      </c>
      <c r="AJ1375">
        <v>2004</v>
      </c>
      <c r="AK1375" t="s">
        <v>3323</v>
      </c>
      <c r="AM1375" t="s">
        <v>3324</v>
      </c>
      <c r="AN1375" t="s">
        <v>192</v>
      </c>
      <c r="AO1375" t="s">
        <v>160</v>
      </c>
      <c r="AP1375" t="s">
        <v>359</v>
      </c>
      <c r="AQ1375" t="s">
        <v>3325</v>
      </c>
      <c r="AR1375" t="s">
        <v>80</v>
      </c>
      <c r="AS1375">
        <v>611</v>
      </c>
      <c r="AT1375" t="s">
        <v>81</v>
      </c>
      <c r="AU1375">
        <v>111.02</v>
      </c>
      <c r="AV1375">
        <v>2.06</v>
      </c>
      <c r="AW1375" t="s">
        <v>82</v>
      </c>
      <c r="AX1375">
        <v>611</v>
      </c>
      <c r="AY1375" t="s">
        <v>81</v>
      </c>
      <c r="AZ1375">
        <v>93.56</v>
      </c>
      <c r="BA1375">
        <v>21.32</v>
      </c>
      <c r="BB1375" t="s">
        <v>83</v>
      </c>
    </row>
    <row r="1376" spans="1:54" x14ac:dyDescent="0.4">
      <c r="A1376">
        <v>1415801</v>
      </c>
      <c r="D1376" t="s">
        <v>54</v>
      </c>
      <c r="E1376" t="s">
        <v>310</v>
      </c>
      <c r="F1376" t="s">
        <v>2523</v>
      </c>
      <c r="I1376" t="s">
        <v>57</v>
      </c>
      <c r="K1376" t="s">
        <v>141</v>
      </c>
      <c r="L1376" t="s">
        <v>5063</v>
      </c>
      <c r="M1376" t="s">
        <v>60</v>
      </c>
      <c r="P1376" t="s">
        <v>135</v>
      </c>
      <c r="R1376" t="s">
        <v>63</v>
      </c>
      <c r="S1376" t="s">
        <v>64</v>
      </c>
      <c r="T1376">
        <v>237</v>
      </c>
      <c r="U1376">
        <v>227</v>
      </c>
      <c r="V1376">
        <f t="shared" si="42"/>
        <v>232</v>
      </c>
      <c r="W1376">
        <f t="shared" si="43"/>
        <v>10</v>
      </c>
      <c r="X1376">
        <v>105.422096</v>
      </c>
      <c r="Y1376">
        <v>25.867913999999999</v>
      </c>
      <c r="Z1376" t="s">
        <v>1251</v>
      </c>
      <c r="AA1376" t="s">
        <v>379</v>
      </c>
      <c r="AB1376" t="s">
        <v>682</v>
      </c>
      <c r="AC1376" t="s">
        <v>2161</v>
      </c>
      <c r="AD1376" t="s">
        <v>3251</v>
      </c>
      <c r="AF1376" t="s">
        <v>3250</v>
      </c>
      <c r="AH1376" t="s">
        <v>72</v>
      </c>
      <c r="AI1376" t="s">
        <v>1810</v>
      </c>
      <c r="AJ1376">
        <v>2018</v>
      </c>
      <c r="AK1376" t="s">
        <v>5064</v>
      </c>
      <c r="AN1376" t="s">
        <v>114</v>
      </c>
      <c r="AO1376">
        <v>6</v>
      </c>
      <c r="AR1376" t="s">
        <v>80</v>
      </c>
      <c r="AS1376">
        <v>611</v>
      </c>
      <c r="AT1376" t="s">
        <v>81</v>
      </c>
      <c r="AU1376">
        <v>110.85</v>
      </c>
      <c r="AV1376">
        <v>2.04</v>
      </c>
      <c r="AW1376" t="s">
        <v>82</v>
      </c>
      <c r="AX1376">
        <v>611</v>
      </c>
      <c r="AY1376" t="s">
        <v>81</v>
      </c>
      <c r="AZ1376">
        <v>93.39</v>
      </c>
      <c r="BA1376">
        <v>21.24</v>
      </c>
      <c r="BB1376" t="s">
        <v>83</v>
      </c>
    </row>
    <row r="1377" spans="1:54" x14ac:dyDescent="0.4">
      <c r="A1377">
        <v>1417828</v>
      </c>
      <c r="D1377" t="s">
        <v>54</v>
      </c>
      <c r="I1377" t="s">
        <v>57</v>
      </c>
      <c r="K1377" t="s">
        <v>141</v>
      </c>
      <c r="L1377" t="s">
        <v>5156</v>
      </c>
      <c r="M1377" t="s">
        <v>60</v>
      </c>
      <c r="P1377" t="s">
        <v>135</v>
      </c>
      <c r="R1377" t="s">
        <v>63</v>
      </c>
      <c r="S1377" t="s">
        <v>64</v>
      </c>
      <c r="T1377">
        <v>237</v>
      </c>
      <c r="U1377">
        <v>227</v>
      </c>
      <c r="V1377">
        <f t="shared" si="42"/>
        <v>232</v>
      </c>
      <c r="W1377">
        <f t="shared" si="43"/>
        <v>10</v>
      </c>
      <c r="X1377">
        <v>9.1961110000000001</v>
      </c>
      <c r="Y1377">
        <v>48.765835000000003</v>
      </c>
      <c r="Z1377" t="s">
        <v>356</v>
      </c>
      <c r="AA1377" t="s">
        <v>211</v>
      </c>
      <c r="AB1377" t="s">
        <v>212</v>
      </c>
      <c r="AC1377" t="s">
        <v>213</v>
      </c>
      <c r="AD1377" t="s">
        <v>5157</v>
      </c>
      <c r="AE1377" t="s">
        <v>215</v>
      </c>
      <c r="AF1377" t="s">
        <v>5158</v>
      </c>
      <c r="AH1377" t="s">
        <v>72</v>
      </c>
      <c r="AI1377" t="s">
        <v>3252</v>
      </c>
      <c r="AJ1377">
        <v>2013</v>
      </c>
      <c r="AK1377" t="s">
        <v>5159</v>
      </c>
      <c r="AN1377" t="s">
        <v>76</v>
      </c>
      <c r="AO1377" t="s">
        <v>77</v>
      </c>
      <c r="AP1377" t="s">
        <v>78</v>
      </c>
      <c r="AQ1377" t="s">
        <v>5160</v>
      </c>
      <c r="AR1377" t="s">
        <v>80</v>
      </c>
      <c r="AS1377">
        <v>305</v>
      </c>
      <c r="AT1377" t="s">
        <v>81</v>
      </c>
      <c r="AU1377">
        <v>25.73</v>
      </c>
      <c r="AV1377">
        <v>28.33</v>
      </c>
      <c r="AW1377" t="s">
        <v>82</v>
      </c>
      <c r="AX1377">
        <v>305</v>
      </c>
      <c r="AY1377" t="s">
        <v>81</v>
      </c>
      <c r="AZ1377">
        <v>14.87</v>
      </c>
      <c r="BA1377">
        <v>21.04</v>
      </c>
      <c r="BB1377" t="s">
        <v>83</v>
      </c>
    </row>
    <row r="1378" spans="1:54" x14ac:dyDescent="0.4">
      <c r="A1378">
        <v>1418480</v>
      </c>
      <c r="D1378" t="s">
        <v>54</v>
      </c>
      <c r="I1378" t="s">
        <v>57</v>
      </c>
      <c r="K1378" t="s">
        <v>168</v>
      </c>
      <c r="L1378" t="s">
        <v>169</v>
      </c>
      <c r="M1378" t="s">
        <v>60</v>
      </c>
      <c r="O1378" t="s">
        <v>170</v>
      </c>
      <c r="P1378" t="s">
        <v>135</v>
      </c>
      <c r="R1378" t="s">
        <v>63</v>
      </c>
      <c r="S1378" t="s">
        <v>64</v>
      </c>
      <c r="T1378">
        <v>237</v>
      </c>
      <c r="U1378">
        <v>227</v>
      </c>
      <c r="V1378">
        <f t="shared" si="42"/>
        <v>232</v>
      </c>
      <c r="W1378">
        <f t="shared" si="43"/>
        <v>10</v>
      </c>
      <c r="X1378">
        <v>-102.16110999999999</v>
      </c>
      <c r="Y1378">
        <v>35.384998000000003</v>
      </c>
      <c r="Z1378" t="s">
        <v>1935</v>
      </c>
      <c r="AA1378" t="s">
        <v>66</v>
      </c>
      <c r="AB1378" t="s">
        <v>125</v>
      </c>
      <c r="AC1378" t="s">
        <v>5180</v>
      </c>
      <c r="AD1378" t="s">
        <v>173</v>
      </c>
      <c r="AE1378" t="s">
        <v>174</v>
      </c>
      <c r="AH1378" t="s">
        <v>72</v>
      </c>
      <c r="AI1378" t="s">
        <v>2483</v>
      </c>
      <c r="AJ1378">
        <v>2016</v>
      </c>
      <c r="AK1378" t="s">
        <v>5181</v>
      </c>
      <c r="AM1378" t="s">
        <v>5182</v>
      </c>
      <c r="AN1378" t="s">
        <v>76</v>
      </c>
      <c r="AO1378" t="s">
        <v>77</v>
      </c>
      <c r="AP1378" t="s">
        <v>78</v>
      </c>
      <c r="AQ1378" t="s">
        <v>5183</v>
      </c>
      <c r="AR1378" t="s">
        <v>80</v>
      </c>
      <c r="AS1378">
        <v>101</v>
      </c>
      <c r="AT1378" t="s">
        <v>81</v>
      </c>
      <c r="AU1378">
        <v>-29.14</v>
      </c>
      <c r="AV1378">
        <v>13.5</v>
      </c>
      <c r="AW1378" t="s">
        <v>82</v>
      </c>
      <c r="AX1378">
        <v>101</v>
      </c>
      <c r="AY1378" t="s">
        <v>81</v>
      </c>
      <c r="AZ1378">
        <v>-36.53</v>
      </c>
      <c r="BA1378">
        <v>3.52</v>
      </c>
      <c r="BB1378" t="s">
        <v>83</v>
      </c>
    </row>
    <row r="1379" spans="1:54" x14ac:dyDescent="0.4">
      <c r="A1379">
        <v>1418483</v>
      </c>
      <c r="D1379" t="s">
        <v>54</v>
      </c>
      <c r="I1379" t="s">
        <v>57</v>
      </c>
      <c r="K1379" t="s">
        <v>168</v>
      </c>
      <c r="L1379" t="s">
        <v>5184</v>
      </c>
      <c r="M1379" t="s">
        <v>60</v>
      </c>
      <c r="P1379" t="s">
        <v>135</v>
      </c>
      <c r="R1379" t="s">
        <v>63</v>
      </c>
      <c r="S1379" t="s">
        <v>64</v>
      </c>
      <c r="T1379">
        <v>237</v>
      </c>
      <c r="U1379">
        <v>227</v>
      </c>
      <c r="V1379">
        <f t="shared" si="42"/>
        <v>232</v>
      </c>
      <c r="W1379">
        <f t="shared" si="43"/>
        <v>10</v>
      </c>
      <c r="X1379">
        <v>-102.16110999999999</v>
      </c>
      <c r="Y1379">
        <v>35.384998000000003</v>
      </c>
      <c r="Z1379" t="s">
        <v>1935</v>
      </c>
      <c r="AA1379" t="s">
        <v>66</v>
      </c>
      <c r="AB1379" t="s">
        <v>125</v>
      </c>
      <c r="AC1379" t="s">
        <v>5180</v>
      </c>
      <c r="AD1379" t="s">
        <v>173</v>
      </c>
      <c r="AE1379" t="s">
        <v>174</v>
      </c>
      <c r="AH1379" t="s">
        <v>11</v>
      </c>
      <c r="AI1379" t="s">
        <v>2483</v>
      </c>
      <c r="AJ1379">
        <v>2016</v>
      </c>
      <c r="AK1379" t="s">
        <v>5181</v>
      </c>
      <c r="AM1379" t="s">
        <v>5182</v>
      </c>
      <c r="AN1379" t="s">
        <v>76</v>
      </c>
      <c r="AO1379" t="s">
        <v>77</v>
      </c>
      <c r="AP1379" t="s">
        <v>78</v>
      </c>
      <c r="AQ1379" t="s">
        <v>5183</v>
      </c>
      <c r="AR1379" t="s">
        <v>80</v>
      </c>
      <c r="AS1379">
        <v>101</v>
      </c>
      <c r="AT1379" t="s">
        <v>81</v>
      </c>
      <c r="AU1379">
        <v>-29.14</v>
      </c>
      <c r="AV1379">
        <v>13.5</v>
      </c>
      <c r="AW1379" t="s">
        <v>82</v>
      </c>
      <c r="AX1379">
        <v>101</v>
      </c>
      <c r="AY1379" t="s">
        <v>81</v>
      </c>
      <c r="AZ1379">
        <v>-36.53</v>
      </c>
      <c r="BA1379">
        <v>3.52</v>
      </c>
      <c r="BB1379" t="s">
        <v>83</v>
      </c>
    </row>
    <row r="1380" spans="1:54" x14ac:dyDescent="0.4">
      <c r="A1380">
        <v>1418484</v>
      </c>
      <c r="D1380" t="s">
        <v>54</v>
      </c>
      <c r="I1380" t="s">
        <v>57</v>
      </c>
      <c r="K1380" t="s">
        <v>323</v>
      </c>
      <c r="L1380" t="s">
        <v>1124</v>
      </c>
      <c r="M1380" t="s">
        <v>1125</v>
      </c>
      <c r="N1380" t="s">
        <v>1126</v>
      </c>
      <c r="O1380" t="s">
        <v>87</v>
      </c>
      <c r="P1380" t="s">
        <v>135</v>
      </c>
      <c r="R1380" t="s">
        <v>63</v>
      </c>
      <c r="S1380" t="s">
        <v>64</v>
      </c>
      <c r="T1380">
        <v>237</v>
      </c>
      <c r="U1380">
        <v>227</v>
      </c>
      <c r="V1380">
        <f t="shared" si="42"/>
        <v>232</v>
      </c>
      <c r="W1380">
        <f t="shared" si="43"/>
        <v>10</v>
      </c>
      <c r="X1380">
        <v>-102.16110999999999</v>
      </c>
      <c r="Y1380">
        <v>35.384998000000003</v>
      </c>
      <c r="Z1380" t="s">
        <v>1935</v>
      </c>
      <c r="AA1380" t="s">
        <v>66</v>
      </c>
      <c r="AB1380" t="s">
        <v>125</v>
      </c>
      <c r="AC1380" t="s">
        <v>5180</v>
      </c>
      <c r="AD1380" t="s">
        <v>173</v>
      </c>
      <c r="AE1380" t="s">
        <v>174</v>
      </c>
      <c r="AH1380" t="s">
        <v>72</v>
      </c>
      <c r="AI1380" t="s">
        <v>2483</v>
      </c>
      <c r="AJ1380">
        <v>2016</v>
      </c>
      <c r="AK1380" t="s">
        <v>5181</v>
      </c>
      <c r="AM1380" t="s">
        <v>5182</v>
      </c>
      <c r="AN1380" t="s">
        <v>76</v>
      </c>
      <c r="AO1380" t="s">
        <v>77</v>
      </c>
      <c r="AP1380" t="s">
        <v>78</v>
      </c>
      <c r="AQ1380" t="s">
        <v>5183</v>
      </c>
      <c r="AR1380" t="s">
        <v>80</v>
      </c>
      <c r="AS1380">
        <v>101</v>
      </c>
      <c r="AT1380" t="s">
        <v>81</v>
      </c>
      <c r="AU1380">
        <v>-29.14</v>
      </c>
      <c r="AV1380">
        <v>13.5</v>
      </c>
      <c r="AW1380" t="s">
        <v>82</v>
      </c>
      <c r="AX1380">
        <v>101</v>
      </c>
      <c r="AY1380" t="s">
        <v>81</v>
      </c>
      <c r="AZ1380">
        <v>-36.53</v>
      </c>
      <c r="BA1380">
        <v>3.52</v>
      </c>
      <c r="BB1380" t="s">
        <v>83</v>
      </c>
    </row>
    <row r="1381" spans="1:54" x14ac:dyDescent="0.4">
      <c r="A1381">
        <v>1418485</v>
      </c>
      <c r="D1381" t="s">
        <v>54</v>
      </c>
      <c r="I1381" t="s">
        <v>57</v>
      </c>
      <c r="K1381" t="s">
        <v>196</v>
      </c>
      <c r="L1381" t="s">
        <v>197</v>
      </c>
      <c r="M1381" t="s">
        <v>60</v>
      </c>
      <c r="O1381" t="s">
        <v>87</v>
      </c>
      <c r="P1381" t="s">
        <v>135</v>
      </c>
      <c r="R1381" t="s">
        <v>63</v>
      </c>
      <c r="S1381" t="s">
        <v>64</v>
      </c>
      <c r="T1381">
        <v>237</v>
      </c>
      <c r="U1381">
        <v>227</v>
      </c>
      <c r="V1381">
        <f t="shared" si="42"/>
        <v>232</v>
      </c>
      <c r="W1381">
        <f t="shared" si="43"/>
        <v>10</v>
      </c>
      <c r="X1381">
        <v>-102.16110999999999</v>
      </c>
      <c r="Y1381">
        <v>35.384998000000003</v>
      </c>
      <c r="Z1381" t="s">
        <v>1935</v>
      </c>
      <c r="AA1381" t="s">
        <v>66</v>
      </c>
      <c r="AB1381" t="s">
        <v>125</v>
      </c>
      <c r="AC1381" t="s">
        <v>5180</v>
      </c>
      <c r="AD1381" t="s">
        <v>173</v>
      </c>
      <c r="AE1381" t="s">
        <v>174</v>
      </c>
      <c r="AH1381" t="s">
        <v>11</v>
      </c>
      <c r="AI1381" t="s">
        <v>2483</v>
      </c>
      <c r="AJ1381">
        <v>2016</v>
      </c>
      <c r="AK1381" t="s">
        <v>5181</v>
      </c>
      <c r="AM1381" t="s">
        <v>5182</v>
      </c>
      <c r="AN1381" t="s">
        <v>76</v>
      </c>
      <c r="AO1381" t="s">
        <v>77</v>
      </c>
      <c r="AP1381" t="s">
        <v>78</v>
      </c>
      <c r="AQ1381" t="s">
        <v>5183</v>
      </c>
      <c r="AR1381" t="s">
        <v>80</v>
      </c>
      <c r="AS1381">
        <v>101</v>
      </c>
      <c r="AT1381" t="s">
        <v>81</v>
      </c>
      <c r="AU1381">
        <v>-29.14</v>
      </c>
      <c r="AV1381">
        <v>13.5</v>
      </c>
      <c r="AW1381" t="s">
        <v>82</v>
      </c>
      <c r="AX1381">
        <v>101</v>
      </c>
      <c r="AY1381" t="s">
        <v>81</v>
      </c>
      <c r="AZ1381">
        <v>-36.53</v>
      </c>
      <c r="BA1381">
        <v>3.52</v>
      </c>
      <c r="BB1381" t="s">
        <v>83</v>
      </c>
    </row>
    <row r="1382" spans="1:54" x14ac:dyDescent="0.4">
      <c r="A1382">
        <v>1418487</v>
      </c>
      <c r="D1382" t="s">
        <v>54</v>
      </c>
      <c r="I1382" t="s">
        <v>57</v>
      </c>
      <c r="K1382" t="s">
        <v>85</v>
      </c>
      <c r="L1382" t="s">
        <v>739</v>
      </c>
      <c r="M1382" t="s">
        <v>60</v>
      </c>
      <c r="O1382" t="s">
        <v>87</v>
      </c>
      <c r="P1382" t="s">
        <v>135</v>
      </c>
      <c r="R1382" t="s">
        <v>63</v>
      </c>
      <c r="S1382" t="s">
        <v>64</v>
      </c>
      <c r="T1382">
        <v>237</v>
      </c>
      <c r="U1382">
        <v>227</v>
      </c>
      <c r="V1382">
        <f t="shared" si="42"/>
        <v>232</v>
      </c>
      <c r="W1382">
        <f t="shared" si="43"/>
        <v>10</v>
      </c>
      <c r="X1382">
        <v>-102.16110999999999</v>
      </c>
      <c r="Y1382">
        <v>35.384998000000003</v>
      </c>
      <c r="Z1382" t="s">
        <v>1935</v>
      </c>
      <c r="AA1382" t="s">
        <v>66</v>
      </c>
      <c r="AB1382" t="s">
        <v>125</v>
      </c>
      <c r="AC1382" t="s">
        <v>5180</v>
      </c>
      <c r="AD1382" t="s">
        <v>173</v>
      </c>
      <c r="AE1382" t="s">
        <v>174</v>
      </c>
      <c r="AH1382" t="s">
        <v>72</v>
      </c>
      <c r="AI1382" t="s">
        <v>2483</v>
      </c>
      <c r="AJ1382">
        <v>2016</v>
      </c>
      <c r="AK1382" t="s">
        <v>5181</v>
      </c>
      <c r="AM1382" t="s">
        <v>5182</v>
      </c>
      <c r="AN1382" t="s">
        <v>76</v>
      </c>
      <c r="AO1382" t="s">
        <v>77</v>
      </c>
      <c r="AP1382" t="s">
        <v>78</v>
      </c>
      <c r="AQ1382" t="s">
        <v>5183</v>
      </c>
      <c r="AR1382" t="s">
        <v>80</v>
      </c>
      <c r="AS1382">
        <v>101</v>
      </c>
      <c r="AT1382" t="s">
        <v>81</v>
      </c>
      <c r="AU1382">
        <v>-29.14</v>
      </c>
      <c r="AV1382">
        <v>13.5</v>
      </c>
      <c r="AW1382" t="s">
        <v>82</v>
      </c>
      <c r="AX1382">
        <v>101</v>
      </c>
      <c r="AY1382" t="s">
        <v>81</v>
      </c>
      <c r="AZ1382">
        <v>-36.53</v>
      </c>
      <c r="BA1382">
        <v>3.52</v>
      </c>
      <c r="BB1382" t="s">
        <v>83</v>
      </c>
    </row>
    <row r="1383" spans="1:54" x14ac:dyDescent="0.4">
      <c r="A1383">
        <v>1418489</v>
      </c>
      <c r="D1383" t="s">
        <v>54</v>
      </c>
      <c r="I1383" t="s">
        <v>57</v>
      </c>
      <c r="K1383" t="s">
        <v>206</v>
      </c>
      <c r="L1383" t="s">
        <v>744</v>
      </c>
      <c r="M1383" t="s">
        <v>60</v>
      </c>
      <c r="O1383" t="s">
        <v>170</v>
      </c>
      <c r="P1383" t="s">
        <v>135</v>
      </c>
      <c r="R1383" t="s">
        <v>63</v>
      </c>
      <c r="S1383" t="s">
        <v>64</v>
      </c>
      <c r="T1383">
        <v>237</v>
      </c>
      <c r="U1383">
        <v>227</v>
      </c>
      <c r="V1383">
        <f t="shared" si="42"/>
        <v>232</v>
      </c>
      <c r="W1383">
        <f t="shared" si="43"/>
        <v>10</v>
      </c>
      <c r="X1383">
        <v>-102.16110999999999</v>
      </c>
      <c r="Y1383">
        <v>35.384998000000003</v>
      </c>
      <c r="Z1383" t="s">
        <v>1935</v>
      </c>
      <c r="AA1383" t="s">
        <v>66</v>
      </c>
      <c r="AB1383" t="s">
        <v>125</v>
      </c>
      <c r="AC1383" t="s">
        <v>5180</v>
      </c>
      <c r="AD1383" t="s">
        <v>173</v>
      </c>
      <c r="AE1383" t="s">
        <v>174</v>
      </c>
      <c r="AH1383" t="s">
        <v>72</v>
      </c>
      <c r="AI1383" t="s">
        <v>2483</v>
      </c>
      <c r="AJ1383">
        <v>2016</v>
      </c>
      <c r="AK1383" t="s">
        <v>5181</v>
      </c>
      <c r="AM1383" t="s">
        <v>5182</v>
      </c>
      <c r="AN1383" t="s">
        <v>76</v>
      </c>
      <c r="AO1383" t="s">
        <v>77</v>
      </c>
      <c r="AP1383" t="s">
        <v>78</v>
      </c>
      <c r="AQ1383" t="s">
        <v>5183</v>
      </c>
      <c r="AR1383" t="s">
        <v>80</v>
      </c>
      <c r="AS1383">
        <v>101</v>
      </c>
      <c r="AT1383" t="s">
        <v>81</v>
      </c>
      <c r="AU1383">
        <v>-29.14</v>
      </c>
      <c r="AV1383">
        <v>13.5</v>
      </c>
      <c r="AW1383" t="s">
        <v>82</v>
      </c>
      <c r="AX1383">
        <v>101</v>
      </c>
      <c r="AY1383" t="s">
        <v>81</v>
      </c>
      <c r="AZ1383">
        <v>-36.53</v>
      </c>
      <c r="BA1383">
        <v>3.52</v>
      </c>
      <c r="BB1383" t="s">
        <v>83</v>
      </c>
    </row>
    <row r="1384" spans="1:54" x14ac:dyDescent="0.4">
      <c r="A1384">
        <v>1419303</v>
      </c>
      <c r="D1384" t="s">
        <v>54</v>
      </c>
      <c r="I1384" t="s">
        <v>57</v>
      </c>
      <c r="K1384" t="s">
        <v>141</v>
      </c>
      <c r="L1384" t="s">
        <v>5268</v>
      </c>
      <c r="M1384" t="s">
        <v>60</v>
      </c>
      <c r="N1384" t="s">
        <v>256</v>
      </c>
      <c r="O1384" t="s">
        <v>87</v>
      </c>
      <c r="P1384" t="s">
        <v>135</v>
      </c>
      <c r="R1384" t="s">
        <v>63</v>
      </c>
      <c r="S1384" t="s">
        <v>64</v>
      </c>
      <c r="T1384">
        <v>237</v>
      </c>
      <c r="U1384">
        <v>227</v>
      </c>
      <c r="V1384">
        <f t="shared" si="42"/>
        <v>232</v>
      </c>
      <c r="W1384">
        <f t="shared" si="43"/>
        <v>10</v>
      </c>
      <c r="X1384">
        <v>-53.234444000000003</v>
      </c>
      <c r="Y1384">
        <v>-29.673611000000001</v>
      </c>
      <c r="Z1384" t="s">
        <v>432</v>
      </c>
      <c r="AA1384" t="s">
        <v>783</v>
      </c>
      <c r="AB1384" t="s">
        <v>784</v>
      </c>
      <c r="AD1384" t="s">
        <v>2621</v>
      </c>
      <c r="AE1384" t="s">
        <v>943</v>
      </c>
      <c r="AG1384" t="s">
        <v>841</v>
      </c>
      <c r="AH1384" t="s">
        <v>72</v>
      </c>
      <c r="AI1384" t="s">
        <v>4621</v>
      </c>
      <c r="AJ1384">
        <v>2020</v>
      </c>
      <c r="AK1384" t="s">
        <v>5269</v>
      </c>
      <c r="AN1384" t="s">
        <v>76</v>
      </c>
      <c r="AO1384" t="s">
        <v>77</v>
      </c>
      <c r="AP1384" t="s">
        <v>78</v>
      </c>
      <c r="AQ1384" t="s">
        <v>5270</v>
      </c>
      <c r="AR1384" t="s">
        <v>80</v>
      </c>
      <c r="AS1384">
        <v>201</v>
      </c>
      <c r="AT1384" t="s">
        <v>81</v>
      </c>
      <c r="AU1384">
        <v>-11</v>
      </c>
      <c r="AV1384">
        <v>-36.83</v>
      </c>
      <c r="AW1384" t="s">
        <v>82</v>
      </c>
      <c r="AX1384">
        <v>202</v>
      </c>
      <c r="AY1384" t="s">
        <v>81</v>
      </c>
      <c r="AZ1384">
        <v>-16.809999999999999</v>
      </c>
      <c r="BA1384">
        <v>-46.46</v>
      </c>
      <c r="BB1384" t="s">
        <v>83</v>
      </c>
    </row>
    <row r="1385" spans="1:54" x14ac:dyDescent="0.4">
      <c r="A1385">
        <v>1419468</v>
      </c>
      <c r="D1385" t="s">
        <v>54</v>
      </c>
      <c r="I1385" t="s">
        <v>57</v>
      </c>
      <c r="K1385" t="s">
        <v>1816</v>
      </c>
      <c r="L1385" t="s">
        <v>3300</v>
      </c>
      <c r="M1385" t="s">
        <v>223</v>
      </c>
      <c r="N1385" t="s">
        <v>234</v>
      </c>
      <c r="O1385" t="s">
        <v>345</v>
      </c>
      <c r="P1385" t="s">
        <v>135</v>
      </c>
      <c r="R1385" t="s">
        <v>63</v>
      </c>
      <c r="S1385" t="s">
        <v>64</v>
      </c>
      <c r="T1385">
        <v>237</v>
      </c>
      <c r="U1385">
        <v>227</v>
      </c>
      <c r="V1385">
        <f t="shared" si="42"/>
        <v>232</v>
      </c>
      <c r="W1385">
        <f t="shared" si="43"/>
        <v>10</v>
      </c>
      <c r="X1385">
        <v>-122.190834</v>
      </c>
      <c r="Y1385">
        <v>40.820830999999998</v>
      </c>
      <c r="Z1385" t="s">
        <v>520</v>
      </c>
      <c r="AA1385" t="s">
        <v>66</v>
      </c>
      <c r="AB1385" t="s">
        <v>4382</v>
      </c>
      <c r="AC1385" t="s">
        <v>4472</v>
      </c>
      <c r="AD1385" t="s">
        <v>5273</v>
      </c>
      <c r="AH1385" t="s">
        <v>72</v>
      </c>
      <c r="AI1385" t="s">
        <v>561</v>
      </c>
      <c r="AJ1385">
        <v>1895</v>
      </c>
      <c r="AK1385" t="s">
        <v>5274</v>
      </c>
      <c r="AN1385" t="s">
        <v>76</v>
      </c>
      <c r="AO1385" t="s">
        <v>77</v>
      </c>
      <c r="AP1385" t="s">
        <v>230</v>
      </c>
      <c r="AQ1385" t="s">
        <v>5275</v>
      </c>
      <c r="AR1385" t="s">
        <v>80</v>
      </c>
      <c r="AS1385">
        <v>101</v>
      </c>
      <c r="AT1385" t="s">
        <v>81</v>
      </c>
      <c r="AU1385">
        <v>-43.27</v>
      </c>
      <c r="AV1385">
        <v>23.38</v>
      </c>
      <c r="AW1385" t="s">
        <v>82</v>
      </c>
      <c r="AX1385">
        <v>131</v>
      </c>
      <c r="AY1385" t="s">
        <v>81</v>
      </c>
      <c r="AZ1385">
        <v>-51.07</v>
      </c>
      <c r="BA1385">
        <v>11.84</v>
      </c>
      <c r="BB1385" t="s">
        <v>83</v>
      </c>
    </row>
    <row r="1386" spans="1:54" x14ac:dyDescent="0.4">
      <c r="A1386">
        <v>1419470</v>
      </c>
      <c r="D1386" t="s">
        <v>54</v>
      </c>
      <c r="I1386" t="s">
        <v>57</v>
      </c>
      <c r="K1386" t="s">
        <v>1816</v>
      </c>
      <c r="L1386" t="s">
        <v>3300</v>
      </c>
      <c r="M1386" t="s">
        <v>223</v>
      </c>
      <c r="N1386" t="s">
        <v>234</v>
      </c>
      <c r="O1386" t="s">
        <v>345</v>
      </c>
      <c r="P1386" t="s">
        <v>135</v>
      </c>
      <c r="R1386" t="s">
        <v>63</v>
      </c>
      <c r="S1386" t="s">
        <v>64</v>
      </c>
      <c r="T1386">
        <v>237</v>
      </c>
      <c r="U1386">
        <v>227</v>
      </c>
      <c r="V1386">
        <f t="shared" si="42"/>
        <v>232</v>
      </c>
      <c r="W1386">
        <f t="shared" si="43"/>
        <v>10</v>
      </c>
      <c r="X1386">
        <v>-122.051582</v>
      </c>
      <c r="Y1386">
        <v>40.816375999999998</v>
      </c>
      <c r="Z1386" t="s">
        <v>520</v>
      </c>
      <c r="AA1386" t="s">
        <v>66</v>
      </c>
      <c r="AB1386" t="s">
        <v>4382</v>
      </c>
      <c r="AC1386" t="s">
        <v>4472</v>
      </c>
      <c r="AD1386" t="s">
        <v>4383</v>
      </c>
      <c r="AH1386" t="s">
        <v>72</v>
      </c>
      <c r="AI1386" t="s">
        <v>3558</v>
      </c>
      <c r="AJ1386">
        <v>1989</v>
      </c>
      <c r="AK1386" t="s">
        <v>4898</v>
      </c>
      <c r="AN1386" t="s">
        <v>192</v>
      </c>
      <c r="AO1386">
        <v>6</v>
      </c>
      <c r="AQ1386" t="s">
        <v>4899</v>
      </c>
      <c r="AR1386" t="s">
        <v>80</v>
      </c>
      <c r="AS1386">
        <v>101</v>
      </c>
      <c r="AT1386" t="s">
        <v>81</v>
      </c>
      <c r="AU1386">
        <v>-43.16</v>
      </c>
      <c r="AV1386">
        <v>23.34</v>
      </c>
      <c r="AW1386" t="s">
        <v>82</v>
      </c>
      <c r="AX1386">
        <v>131</v>
      </c>
      <c r="AY1386" t="s">
        <v>81</v>
      </c>
      <c r="AZ1386">
        <v>-50.97</v>
      </c>
      <c r="BA1386">
        <v>11.79</v>
      </c>
      <c r="BB1386" t="s">
        <v>83</v>
      </c>
    </row>
    <row r="1387" spans="1:54" x14ac:dyDescent="0.4">
      <c r="A1387">
        <v>1419476</v>
      </c>
      <c r="D1387" t="s">
        <v>54</v>
      </c>
      <c r="I1387" t="s">
        <v>57</v>
      </c>
      <c r="K1387" t="s">
        <v>2398</v>
      </c>
      <c r="L1387" t="s">
        <v>4381</v>
      </c>
      <c r="M1387" t="s">
        <v>223</v>
      </c>
      <c r="N1387" t="s">
        <v>234</v>
      </c>
      <c r="O1387" t="s">
        <v>87</v>
      </c>
      <c r="P1387" t="s">
        <v>135</v>
      </c>
      <c r="R1387" t="s">
        <v>63</v>
      </c>
      <c r="S1387" t="s">
        <v>64</v>
      </c>
      <c r="T1387">
        <v>237</v>
      </c>
      <c r="U1387">
        <v>227</v>
      </c>
      <c r="V1387">
        <f t="shared" si="42"/>
        <v>232</v>
      </c>
      <c r="W1387">
        <f t="shared" si="43"/>
        <v>10</v>
      </c>
      <c r="X1387">
        <v>-122.190834</v>
      </c>
      <c r="Y1387">
        <v>40.820830999999998</v>
      </c>
      <c r="Z1387" t="s">
        <v>520</v>
      </c>
      <c r="AA1387" t="s">
        <v>66</v>
      </c>
      <c r="AB1387" t="s">
        <v>4382</v>
      </c>
      <c r="AC1387" t="s">
        <v>4472</v>
      </c>
      <c r="AD1387" t="s">
        <v>5273</v>
      </c>
      <c r="AH1387" t="s">
        <v>72</v>
      </c>
      <c r="AI1387" t="s">
        <v>561</v>
      </c>
      <c r="AJ1387">
        <v>1902</v>
      </c>
      <c r="AK1387" t="s">
        <v>5274</v>
      </c>
      <c r="AN1387" t="s">
        <v>76</v>
      </c>
      <c r="AO1387" t="s">
        <v>77</v>
      </c>
      <c r="AP1387" t="s">
        <v>230</v>
      </c>
      <c r="AQ1387" t="s">
        <v>5275</v>
      </c>
      <c r="AR1387" t="s">
        <v>80</v>
      </c>
      <c r="AS1387">
        <v>101</v>
      </c>
      <c r="AT1387" t="s">
        <v>81</v>
      </c>
      <c r="AU1387">
        <v>-43.27</v>
      </c>
      <c r="AV1387">
        <v>23.38</v>
      </c>
      <c r="AW1387" t="s">
        <v>82</v>
      </c>
      <c r="AX1387">
        <v>131</v>
      </c>
      <c r="AY1387" t="s">
        <v>81</v>
      </c>
      <c r="AZ1387">
        <v>-51.07</v>
      </c>
      <c r="BA1387">
        <v>11.84</v>
      </c>
      <c r="BB1387" t="s">
        <v>83</v>
      </c>
    </row>
    <row r="1388" spans="1:54" x14ac:dyDescent="0.4">
      <c r="A1388">
        <v>1430528</v>
      </c>
      <c r="D1388" t="s">
        <v>54</v>
      </c>
      <c r="G1388">
        <v>11</v>
      </c>
      <c r="H1388" t="s">
        <v>84</v>
      </c>
      <c r="I1388" t="s">
        <v>57</v>
      </c>
      <c r="K1388" t="s">
        <v>85</v>
      </c>
      <c r="L1388" t="s">
        <v>2492</v>
      </c>
      <c r="M1388" t="s">
        <v>60</v>
      </c>
      <c r="O1388" t="s">
        <v>87</v>
      </c>
      <c r="P1388" t="s">
        <v>135</v>
      </c>
      <c r="R1388" t="s">
        <v>63</v>
      </c>
      <c r="S1388" t="s">
        <v>64</v>
      </c>
      <c r="T1388">
        <v>237</v>
      </c>
      <c r="U1388">
        <v>227</v>
      </c>
      <c r="V1388">
        <f t="shared" si="42"/>
        <v>232</v>
      </c>
      <c r="W1388">
        <f t="shared" si="43"/>
        <v>10</v>
      </c>
      <c r="X1388">
        <v>-8.9955999999999996</v>
      </c>
      <c r="Y1388">
        <v>31.1982</v>
      </c>
      <c r="Z1388" t="s">
        <v>124</v>
      </c>
      <c r="AA1388" t="s">
        <v>1272</v>
      </c>
      <c r="AB1388" t="s">
        <v>1273</v>
      </c>
      <c r="AD1388" t="s">
        <v>1274</v>
      </c>
      <c r="AE1388" t="s">
        <v>1275</v>
      </c>
      <c r="AF1388" t="s">
        <v>1276</v>
      </c>
      <c r="AH1388" t="s">
        <v>72</v>
      </c>
      <c r="AI1388" t="s">
        <v>1278</v>
      </c>
      <c r="AJ1388">
        <v>1977</v>
      </c>
      <c r="AK1388" t="s">
        <v>5369</v>
      </c>
      <c r="AM1388" t="s">
        <v>5370</v>
      </c>
      <c r="AN1388" t="s">
        <v>114</v>
      </c>
      <c r="AO1388">
        <v>4</v>
      </c>
      <c r="AP1388" t="s">
        <v>115</v>
      </c>
      <c r="AQ1388" t="s">
        <v>5371</v>
      </c>
      <c r="AR1388" t="s">
        <v>80</v>
      </c>
      <c r="AS1388">
        <v>707</v>
      </c>
      <c r="AT1388" t="s">
        <v>81</v>
      </c>
      <c r="AU1388">
        <v>3.24</v>
      </c>
      <c r="AV1388">
        <v>17.100000000000001</v>
      </c>
      <c r="AW1388" t="s">
        <v>82</v>
      </c>
      <c r="AX1388">
        <v>707</v>
      </c>
      <c r="AY1388" t="s">
        <v>81</v>
      </c>
      <c r="AZ1388">
        <v>-5.25</v>
      </c>
      <c r="BA1388">
        <v>7.76</v>
      </c>
      <c r="BB1388" t="s">
        <v>83</v>
      </c>
    </row>
    <row r="1389" spans="1:54" x14ac:dyDescent="0.4">
      <c r="A1389">
        <v>1459722</v>
      </c>
      <c r="D1389" t="s">
        <v>179</v>
      </c>
      <c r="G1389">
        <v>3</v>
      </c>
      <c r="H1389" t="s">
        <v>84</v>
      </c>
      <c r="I1389" t="s">
        <v>57</v>
      </c>
      <c r="K1389" t="s">
        <v>132</v>
      </c>
      <c r="L1389" t="s">
        <v>133</v>
      </c>
      <c r="M1389" t="s">
        <v>60</v>
      </c>
      <c r="N1389" t="s">
        <v>119</v>
      </c>
      <c r="O1389" t="s">
        <v>134</v>
      </c>
      <c r="P1389" t="s">
        <v>135</v>
      </c>
      <c r="R1389" t="s">
        <v>63</v>
      </c>
      <c r="S1389" t="s">
        <v>64</v>
      </c>
      <c r="T1389">
        <v>237</v>
      </c>
      <c r="U1389">
        <v>227</v>
      </c>
      <c r="V1389">
        <f t="shared" si="42"/>
        <v>232</v>
      </c>
      <c r="W1389">
        <f t="shared" si="43"/>
        <v>10</v>
      </c>
      <c r="X1389">
        <v>-52.813450000000003</v>
      </c>
      <c r="Y1389">
        <v>-29.656624000000001</v>
      </c>
      <c r="Z1389" t="s">
        <v>184</v>
      </c>
      <c r="AA1389" t="s">
        <v>783</v>
      </c>
      <c r="AB1389" t="s">
        <v>784</v>
      </c>
      <c r="AC1389" t="s">
        <v>2620</v>
      </c>
      <c r="AD1389" t="s">
        <v>943</v>
      </c>
      <c r="AE1389" t="s">
        <v>786</v>
      </c>
      <c r="AH1389" t="s">
        <v>72</v>
      </c>
      <c r="AI1389" t="s">
        <v>5431</v>
      </c>
      <c r="AJ1389">
        <v>2019</v>
      </c>
      <c r="AK1389" t="s">
        <v>5432</v>
      </c>
      <c r="AN1389" t="s">
        <v>76</v>
      </c>
      <c r="AO1389">
        <v>6</v>
      </c>
      <c r="AP1389" t="s">
        <v>78</v>
      </c>
      <c r="AQ1389" t="s">
        <v>5433</v>
      </c>
      <c r="AR1389" t="s">
        <v>80</v>
      </c>
      <c r="AS1389">
        <v>201</v>
      </c>
      <c r="AT1389" t="s">
        <v>81</v>
      </c>
      <c r="AU1389">
        <v>-10.54</v>
      </c>
      <c r="AV1389">
        <v>-36.799999999999997</v>
      </c>
      <c r="AW1389" t="s">
        <v>82</v>
      </c>
      <c r="AX1389">
        <v>202</v>
      </c>
      <c r="AY1389" t="s">
        <v>81</v>
      </c>
      <c r="AZ1389">
        <v>-16.28</v>
      </c>
      <c r="BA1389">
        <v>-46.4</v>
      </c>
      <c r="BB1389" t="s">
        <v>83</v>
      </c>
    </row>
    <row r="1390" spans="1:54" x14ac:dyDescent="0.4">
      <c r="A1390">
        <v>1459725</v>
      </c>
      <c r="D1390" t="s">
        <v>179</v>
      </c>
      <c r="I1390" t="s">
        <v>57</v>
      </c>
      <c r="K1390" t="s">
        <v>901</v>
      </c>
      <c r="L1390" t="s">
        <v>5434</v>
      </c>
      <c r="M1390" t="s">
        <v>60</v>
      </c>
      <c r="N1390" t="s">
        <v>256</v>
      </c>
      <c r="O1390" t="s">
        <v>87</v>
      </c>
      <c r="P1390" t="s">
        <v>135</v>
      </c>
      <c r="R1390" t="s">
        <v>63</v>
      </c>
      <c r="S1390" t="s">
        <v>64</v>
      </c>
      <c r="T1390">
        <v>237</v>
      </c>
      <c r="U1390">
        <v>227</v>
      </c>
      <c r="V1390">
        <f t="shared" si="42"/>
        <v>232</v>
      </c>
      <c r="W1390">
        <f t="shared" si="43"/>
        <v>10</v>
      </c>
      <c r="X1390">
        <v>-52.813450000000003</v>
      </c>
      <c r="Y1390">
        <v>-29.656624000000001</v>
      </c>
      <c r="Z1390" t="s">
        <v>184</v>
      </c>
      <c r="AA1390" t="s">
        <v>783</v>
      </c>
      <c r="AB1390" t="s">
        <v>784</v>
      </c>
      <c r="AC1390" t="s">
        <v>2620</v>
      </c>
      <c r="AD1390" t="s">
        <v>943</v>
      </c>
      <c r="AE1390" t="s">
        <v>786</v>
      </c>
      <c r="AH1390" t="s">
        <v>11</v>
      </c>
      <c r="AI1390" t="s">
        <v>5431</v>
      </c>
      <c r="AJ1390">
        <v>2019</v>
      </c>
      <c r="AK1390" t="s">
        <v>5432</v>
      </c>
      <c r="AN1390" t="s">
        <v>76</v>
      </c>
      <c r="AO1390">
        <v>6</v>
      </c>
      <c r="AP1390" t="s">
        <v>78</v>
      </c>
      <c r="AQ1390" t="s">
        <v>5433</v>
      </c>
      <c r="AR1390" t="s">
        <v>80</v>
      </c>
      <c r="AS1390">
        <v>201</v>
      </c>
      <c r="AT1390" t="s">
        <v>81</v>
      </c>
      <c r="AU1390">
        <v>-10.54</v>
      </c>
      <c r="AV1390">
        <v>-36.799999999999997</v>
      </c>
      <c r="AW1390" t="s">
        <v>82</v>
      </c>
      <c r="AX1390">
        <v>202</v>
      </c>
      <c r="AY1390" t="s">
        <v>81</v>
      </c>
      <c r="AZ1390">
        <v>-16.28</v>
      </c>
      <c r="BA1390">
        <v>-46.4</v>
      </c>
      <c r="BB1390" t="s">
        <v>83</v>
      </c>
    </row>
    <row r="1391" spans="1:54" x14ac:dyDescent="0.4">
      <c r="A1391">
        <v>1475020</v>
      </c>
      <c r="D1391" t="s">
        <v>54</v>
      </c>
      <c r="G1391">
        <v>1</v>
      </c>
      <c r="H1391" t="s">
        <v>56</v>
      </c>
      <c r="I1391" t="s">
        <v>57</v>
      </c>
      <c r="K1391" t="s">
        <v>180</v>
      </c>
      <c r="L1391" t="s">
        <v>181</v>
      </c>
      <c r="M1391" t="s">
        <v>60</v>
      </c>
      <c r="N1391" t="s">
        <v>119</v>
      </c>
      <c r="P1391" t="s">
        <v>135</v>
      </c>
      <c r="R1391" t="s">
        <v>63</v>
      </c>
      <c r="S1391" t="s">
        <v>64</v>
      </c>
      <c r="T1391">
        <v>237</v>
      </c>
      <c r="U1391">
        <v>227</v>
      </c>
      <c r="V1391">
        <f t="shared" si="42"/>
        <v>232</v>
      </c>
      <c r="W1391">
        <f t="shared" si="43"/>
        <v>10</v>
      </c>
      <c r="X1391">
        <v>-67.75</v>
      </c>
      <c r="Y1391">
        <v>-29.833055000000002</v>
      </c>
      <c r="Z1391" t="s">
        <v>356</v>
      </c>
      <c r="AA1391" t="s">
        <v>185</v>
      </c>
      <c r="AB1391" t="s">
        <v>186</v>
      </c>
      <c r="AD1391" t="s">
        <v>187</v>
      </c>
      <c r="AE1391" t="s">
        <v>188</v>
      </c>
      <c r="AG1391" t="s">
        <v>5435</v>
      </c>
      <c r="AH1391" t="s">
        <v>72</v>
      </c>
      <c r="AI1391" t="s">
        <v>4465</v>
      </c>
      <c r="AJ1391">
        <v>2020</v>
      </c>
      <c r="AK1391" t="s">
        <v>5436</v>
      </c>
      <c r="AM1391" t="s">
        <v>5437</v>
      </c>
      <c r="AN1391" t="s">
        <v>76</v>
      </c>
      <c r="AO1391" t="s">
        <v>77</v>
      </c>
      <c r="AP1391" t="s">
        <v>115</v>
      </c>
      <c r="AQ1391" t="s">
        <v>5438</v>
      </c>
      <c r="AR1391" t="s">
        <v>80</v>
      </c>
      <c r="AS1391">
        <v>291</v>
      </c>
      <c r="AT1391" t="s">
        <v>81</v>
      </c>
      <c r="AU1391">
        <v>-26.26</v>
      </c>
      <c r="AV1391">
        <v>-36</v>
      </c>
      <c r="AW1391" t="s">
        <v>82</v>
      </c>
      <c r="AX1391">
        <v>291</v>
      </c>
      <c r="AY1391" t="s">
        <v>81</v>
      </c>
      <c r="AZ1391">
        <v>-34.97</v>
      </c>
      <c r="BA1391">
        <v>-46.04</v>
      </c>
      <c r="BB1391" t="s">
        <v>83</v>
      </c>
    </row>
    <row r="1392" spans="1:54" x14ac:dyDescent="0.4">
      <c r="A1392">
        <v>1477148</v>
      </c>
      <c r="D1392" t="s">
        <v>54</v>
      </c>
      <c r="I1392" t="s">
        <v>57</v>
      </c>
      <c r="K1392" t="s">
        <v>771</v>
      </c>
      <c r="L1392" t="s">
        <v>772</v>
      </c>
      <c r="M1392" t="s">
        <v>223</v>
      </c>
      <c r="P1392" t="s">
        <v>135</v>
      </c>
      <c r="R1392" t="s">
        <v>63</v>
      </c>
      <c r="S1392" t="s">
        <v>64</v>
      </c>
      <c r="T1392">
        <v>237</v>
      </c>
      <c r="U1392">
        <v>227</v>
      </c>
      <c r="V1392">
        <f t="shared" si="42"/>
        <v>232</v>
      </c>
      <c r="W1392">
        <f t="shared" si="43"/>
        <v>10</v>
      </c>
      <c r="X1392">
        <v>12.596111000000001</v>
      </c>
      <c r="Y1392">
        <v>47.694443</v>
      </c>
      <c r="Z1392" t="s">
        <v>1596</v>
      </c>
      <c r="AA1392" t="s">
        <v>211</v>
      </c>
      <c r="AD1392" t="s">
        <v>3397</v>
      </c>
      <c r="AH1392" t="s">
        <v>11</v>
      </c>
      <c r="AI1392" t="s">
        <v>5445</v>
      </c>
      <c r="AJ1392">
        <v>1889</v>
      </c>
      <c r="AK1392" t="s">
        <v>5446</v>
      </c>
      <c r="AN1392" t="s">
        <v>114</v>
      </c>
      <c r="AO1392" t="s">
        <v>77</v>
      </c>
      <c r="AP1392" t="s">
        <v>78</v>
      </c>
      <c r="AR1392" t="s">
        <v>80</v>
      </c>
      <c r="AS1392">
        <v>307</v>
      </c>
      <c r="AT1392" t="s">
        <v>81</v>
      </c>
      <c r="AU1392">
        <v>34.950000000000003</v>
      </c>
      <c r="AV1392">
        <v>17.329999999999998</v>
      </c>
      <c r="AW1392" t="s">
        <v>82</v>
      </c>
      <c r="AX1392">
        <v>307</v>
      </c>
      <c r="AY1392" t="s">
        <v>81</v>
      </c>
      <c r="AZ1392">
        <v>20.96</v>
      </c>
      <c r="BA1392">
        <v>14.4</v>
      </c>
      <c r="BB1392" t="s">
        <v>83</v>
      </c>
    </row>
    <row r="1393" spans="1:54" x14ac:dyDescent="0.4">
      <c r="A1393">
        <v>1477149</v>
      </c>
      <c r="D1393" t="s">
        <v>54</v>
      </c>
      <c r="I1393" t="s">
        <v>57</v>
      </c>
      <c r="K1393" t="s">
        <v>2470</v>
      </c>
      <c r="L1393" t="s">
        <v>2471</v>
      </c>
      <c r="M1393" t="s">
        <v>223</v>
      </c>
      <c r="P1393" t="s">
        <v>135</v>
      </c>
      <c r="R1393" t="s">
        <v>63</v>
      </c>
      <c r="S1393" t="s">
        <v>64</v>
      </c>
      <c r="T1393">
        <v>237</v>
      </c>
      <c r="U1393">
        <v>227</v>
      </c>
      <c r="V1393">
        <f t="shared" si="42"/>
        <v>232</v>
      </c>
      <c r="W1393">
        <f t="shared" si="43"/>
        <v>10</v>
      </c>
      <c r="X1393">
        <v>12.688333</v>
      </c>
      <c r="Y1393">
        <v>47.731388000000003</v>
      </c>
      <c r="Z1393" t="s">
        <v>1596</v>
      </c>
      <c r="AA1393" t="s">
        <v>211</v>
      </c>
      <c r="AD1393" t="s">
        <v>3397</v>
      </c>
      <c r="AH1393" t="s">
        <v>11</v>
      </c>
      <c r="AI1393" t="s">
        <v>5445</v>
      </c>
      <c r="AJ1393">
        <v>1889</v>
      </c>
      <c r="AK1393" t="s">
        <v>5447</v>
      </c>
      <c r="AM1393" t="s">
        <v>5448</v>
      </c>
      <c r="AN1393" t="s">
        <v>114</v>
      </c>
      <c r="AO1393" t="s">
        <v>77</v>
      </c>
      <c r="AP1393" t="s">
        <v>78</v>
      </c>
      <c r="AR1393" t="s">
        <v>80</v>
      </c>
      <c r="AS1393">
        <v>307</v>
      </c>
      <c r="AT1393" t="s">
        <v>81</v>
      </c>
      <c r="AU1393">
        <v>35.01</v>
      </c>
      <c r="AV1393">
        <v>17.29</v>
      </c>
      <c r="AW1393" t="s">
        <v>82</v>
      </c>
      <c r="AX1393">
        <v>307</v>
      </c>
      <c r="AY1393" t="s">
        <v>81</v>
      </c>
      <c r="AZ1393">
        <v>21.03</v>
      </c>
      <c r="BA1393">
        <v>14.39</v>
      </c>
      <c r="BB1393" t="s">
        <v>83</v>
      </c>
    </row>
    <row r="1394" spans="1:54" x14ac:dyDescent="0.4">
      <c r="A1394">
        <v>1477150</v>
      </c>
      <c r="D1394" t="s">
        <v>54</v>
      </c>
      <c r="I1394" t="s">
        <v>57</v>
      </c>
      <c r="K1394" t="s">
        <v>1347</v>
      </c>
      <c r="L1394" t="s">
        <v>1348</v>
      </c>
      <c r="M1394" t="s">
        <v>223</v>
      </c>
      <c r="N1394" t="s">
        <v>485</v>
      </c>
      <c r="O1394" t="s">
        <v>1349</v>
      </c>
      <c r="P1394" t="s">
        <v>135</v>
      </c>
      <c r="R1394" t="s">
        <v>63</v>
      </c>
      <c r="S1394" t="s">
        <v>64</v>
      </c>
      <c r="T1394">
        <v>237</v>
      </c>
      <c r="U1394">
        <v>227</v>
      </c>
      <c r="V1394">
        <f t="shared" si="42"/>
        <v>232</v>
      </c>
      <c r="W1394">
        <f t="shared" si="43"/>
        <v>10</v>
      </c>
      <c r="X1394">
        <v>12.741389</v>
      </c>
      <c r="Y1394">
        <v>47.745834000000002</v>
      </c>
      <c r="Z1394" t="s">
        <v>1596</v>
      </c>
      <c r="AA1394" t="s">
        <v>211</v>
      </c>
      <c r="AD1394" t="s">
        <v>3397</v>
      </c>
      <c r="AH1394" t="s">
        <v>11</v>
      </c>
      <c r="AI1394" t="s">
        <v>5445</v>
      </c>
      <c r="AJ1394">
        <v>1889</v>
      </c>
      <c r="AK1394" t="s">
        <v>5449</v>
      </c>
      <c r="AN1394" t="s">
        <v>114</v>
      </c>
      <c r="AO1394" t="s">
        <v>77</v>
      </c>
      <c r="AP1394" t="s">
        <v>78</v>
      </c>
      <c r="AR1394" t="s">
        <v>80</v>
      </c>
      <c r="AS1394">
        <v>307</v>
      </c>
      <c r="AT1394" t="s">
        <v>81</v>
      </c>
      <c r="AU1394">
        <v>35.049999999999997</v>
      </c>
      <c r="AV1394">
        <v>17.27</v>
      </c>
      <c r="AW1394" t="s">
        <v>82</v>
      </c>
      <c r="AX1394">
        <v>307</v>
      </c>
      <c r="AY1394" t="s">
        <v>81</v>
      </c>
      <c r="AZ1394">
        <v>21.07</v>
      </c>
      <c r="BA1394">
        <v>14.39</v>
      </c>
      <c r="BB1394" t="s">
        <v>83</v>
      </c>
    </row>
    <row r="1395" spans="1:54" x14ac:dyDescent="0.4">
      <c r="A1395">
        <v>1486217</v>
      </c>
      <c r="D1395" t="s">
        <v>54</v>
      </c>
      <c r="E1395" t="s">
        <v>55</v>
      </c>
      <c r="G1395">
        <v>4</v>
      </c>
      <c r="H1395" t="s">
        <v>84</v>
      </c>
      <c r="I1395" t="s">
        <v>57</v>
      </c>
      <c r="K1395" t="s">
        <v>3685</v>
      </c>
      <c r="L1395" t="s">
        <v>5450</v>
      </c>
      <c r="M1395" t="s">
        <v>60</v>
      </c>
      <c r="O1395" t="s">
        <v>87</v>
      </c>
      <c r="P1395" t="s">
        <v>135</v>
      </c>
      <c r="R1395" t="s">
        <v>63</v>
      </c>
      <c r="S1395" t="s">
        <v>64</v>
      </c>
      <c r="T1395">
        <v>237</v>
      </c>
      <c r="U1395">
        <v>227</v>
      </c>
      <c r="V1395">
        <f t="shared" si="42"/>
        <v>232</v>
      </c>
      <c r="W1395">
        <f t="shared" si="43"/>
        <v>10</v>
      </c>
      <c r="X1395">
        <v>-3.3755000000000002</v>
      </c>
      <c r="Y1395">
        <v>51.459000000000003</v>
      </c>
      <c r="Z1395" t="s">
        <v>90</v>
      </c>
      <c r="AA1395" t="s">
        <v>91</v>
      </c>
      <c r="AB1395" t="s">
        <v>373</v>
      </c>
      <c r="AC1395" t="s">
        <v>374</v>
      </c>
      <c r="AH1395" t="s">
        <v>72</v>
      </c>
      <c r="AI1395" t="s">
        <v>5451</v>
      </c>
      <c r="AJ1395">
        <v>2019</v>
      </c>
      <c r="AK1395" t="s">
        <v>375</v>
      </c>
      <c r="AM1395" t="s">
        <v>376</v>
      </c>
      <c r="AN1395" t="s">
        <v>76</v>
      </c>
      <c r="AO1395">
        <v>4</v>
      </c>
      <c r="AP1395" t="s">
        <v>78</v>
      </c>
      <c r="AQ1395" t="s">
        <v>377</v>
      </c>
      <c r="AR1395" t="s">
        <v>80</v>
      </c>
      <c r="AS1395">
        <v>315</v>
      </c>
      <c r="AT1395" t="s">
        <v>81</v>
      </c>
      <c r="AU1395">
        <v>8.41</v>
      </c>
      <c r="AV1395">
        <v>33.979999999999997</v>
      </c>
      <c r="AW1395" t="s">
        <v>82</v>
      </c>
      <c r="AX1395">
        <v>315</v>
      </c>
      <c r="AY1395" t="s">
        <v>81</v>
      </c>
      <c r="AZ1395">
        <v>-2.14</v>
      </c>
      <c r="BA1395">
        <v>36.659999999999997</v>
      </c>
      <c r="BB1395" t="s">
        <v>83</v>
      </c>
    </row>
    <row r="1396" spans="1:54" x14ac:dyDescent="0.4">
      <c r="A1396">
        <v>1494772</v>
      </c>
      <c r="D1396" t="s">
        <v>54</v>
      </c>
      <c r="G1396">
        <v>8</v>
      </c>
      <c r="H1396" t="s">
        <v>84</v>
      </c>
      <c r="I1396" t="s">
        <v>57</v>
      </c>
      <c r="K1396" t="s">
        <v>85</v>
      </c>
      <c r="L1396" t="s">
        <v>753</v>
      </c>
      <c r="M1396" t="s">
        <v>60</v>
      </c>
      <c r="O1396" t="s">
        <v>87</v>
      </c>
      <c r="P1396" t="s">
        <v>135</v>
      </c>
      <c r="R1396" t="s">
        <v>63</v>
      </c>
      <c r="S1396" t="s">
        <v>64</v>
      </c>
      <c r="T1396">
        <v>237</v>
      </c>
      <c r="U1396">
        <v>227</v>
      </c>
      <c r="V1396">
        <f t="shared" si="42"/>
        <v>232</v>
      </c>
      <c r="W1396">
        <f t="shared" si="43"/>
        <v>10</v>
      </c>
      <c r="X1396">
        <v>81.350311000000005</v>
      </c>
      <c r="Y1396">
        <v>23.898060000000001</v>
      </c>
      <c r="Z1396" t="s">
        <v>105</v>
      </c>
      <c r="AA1396" t="s">
        <v>1222</v>
      </c>
      <c r="AB1396" t="s">
        <v>3149</v>
      </c>
      <c r="AC1396" t="s">
        <v>4598</v>
      </c>
      <c r="AD1396" t="s">
        <v>3151</v>
      </c>
      <c r="AF1396" t="s">
        <v>5457</v>
      </c>
      <c r="AH1396" t="s">
        <v>72</v>
      </c>
      <c r="AI1396" t="s">
        <v>5458</v>
      </c>
      <c r="AJ1396">
        <v>2019</v>
      </c>
      <c r="AK1396" t="s">
        <v>5459</v>
      </c>
      <c r="AN1396" t="s">
        <v>76</v>
      </c>
      <c r="AO1396">
        <v>5</v>
      </c>
      <c r="AQ1396" t="s">
        <v>5460</v>
      </c>
      <c r="AR1396" t="s">
        <v>80</v>
      </c>
      <c r="AS1396">
        <v>501</v>
      </c>
      <c r="AT1396" t="s">
        <v>81</v>
      </c>
      <c r="AU1396">
        <v>49.08</v>
      </c>
      <c r="AV1396">
        <v>-39.65</v>
      </c>
      <c r="AW1396" t="s">
        <v>82</v>
      </c>
      <c r="AX1396">
        <v>501</v>
      </c>
      <c r="AY1396" t="s">
        <v>81</v>
      </c>
      <c r="AZ1396">
        <v>50.7</v>
      </c>
      <c r="BA1396">
        <v>-42.03</v>
      </c>
      <c r="BB1396" t="s">
        <v>83</v>
      </c>
    </row>
    <row r="1397" spans="1:54" x14ac:dyDescent="0.4">
      <c r="A1397">
        <v>1494773</v>
      </c>
      <c r="D1397" t="s">
        <v>54</v>
      </c>
      <c r="G1397">
        <v>1</v>
      </c>
      <c r="H1397" t="s">
        <v>84</v>
      </c>
      <c r="I1397" t="s">
        <v>57</v>
      </c>
      <c r="K1397" t="s">
        <v>840</v>
      </c>
      <c r="L1397" t="s">
        <v>841</v>
      </c>
      <c r="M1397" t="s">
        <v>60</v>
      </c>
      <c r="O1397" t="s">
        <v>170</v>
      </c>
      <c r="P1397" t="s">
        <v>135</v>
      </c>
      <c r="R1397" t="s">
        <v>63</v>
      </c>
      <c r="S1397" t="s">
        <v>64</v>
      </c>
      <c r="T1397">
        <v>237</v>
      </c>
      <c r="U1397">
        <v>227</v>
      </c>
      <c r="V1397">
        <f t="shared" si="42"/>
        <v>232</v>
      </c>
      <c r="W1397">
        <f t="shared" si="43"/>
        <v>10</v>
      </c>
      <c r="X1397">
        <v>81.350311000000005</v>
      </c>
      <c r="Y1397">
        <v>23.898060000000001</v>
      </c>
      <c r="Z1397" t="s">
        <v>105</v>
      </c>
      <c r="AA1397" t="s">
        <v>1222</v>
      </c>
      <c r="AB1397" t="s">
        <v>3149</v>
      </c>
      <c r="AC1397" t="s">
        <v>4598</v>
      </c>
      <c r="AD1397" t="s">
        <v>3151</v>
      </c>
      <c r="AF1397" t="s">
        <v>5457</v>
      </c>
      <c r="AH1397" t="s">
        <v>72</v>
      </c>
      <c r="AI1397" t="s">
        <v>5458</v>
      </c>
      <c r="AJ1397">
        <v>2019</v>
      </c>
      <c r="AK1397" t="s">
        <v>5459</v>
      </c>
      <c r="AN1397" t="s">
        <v>76</v>
      </c>
      <c r="AO1397">
        <v>5</v>
      </c>
      <c r="AQ1397" t="s">
        <v>5460</v>
      </c>
      <c r="AR1397" t="s">
        <v>80</v>
      </c>
      <c r="AS1397">
        <v>501</v>
      </c>
      <c r="AT1397" t="s">
        <v>81</v>
      </c>
      <c r="AU1397">
        <v>49.08</v>
      </c>
      <c r="AV1397">
        <v>-39.65</v>
      </c>
      <c r="AW1397" t="s">
        <v>82</v>
      </c>
      <c r="AX1397">
        <v>501</v>
      </c>
      <c r="AY1397" t="s">
        <v>81</v>
      </c>
      <c r="AZ1397">
        <v>50.7</v>
      </c>
      <c r="BA1397">
        <v>-42.03</v>
      </c>
      <c r="BB1397" t="s">
        <v>83</v>
      </c>
    </row>
    <row r="1398" spans="1:54" x14ac:dyDescent="0.4">
      <c r="A1398">
        <v>1494781</v>
      </c>
      <c r="D1398" t="s">
        <v>54</v>
      </c>
      <c r="E1398" t="s">
        <v>55</v>
      </c>
      <c r="G1398">
        <v>1</v>
      </c>
      <c r="H1398" t="s">
        <v>84</v>
      </c>
      <c r="I1398" t="s">
        <v>57</v>
      </c>
      <c r="K1398" t="s">
        <v>840</v>
      </c>
      <c r="L1398" t="s">
        <v>841</v>
      </c>
      <c r="M1398" t="s">
        <v>60</v>
      </c>
      <c r="O1398" t="s">
        <v>170</v>
      </c>
      <c r="P1398" t="s">
        <v>135</v>
      </c>
      <c r="R1398" t="s">
        <v>63</v>
      </c>
      <c r="S1398" t="s">
        <v>64</v>
      </c>
      <c r="T1398">
        <v>237</v>
      </c>
      <c r="U1398">
        <v>227</v>
      </c>
      <c r="V1398">
        <f t="shared" si="42"/>
        <v>232</v>
      </c>
      <c r="W1398">
        <f t="shared" si="43"/>
        <v>10</v>
      </c>
      <c r="X1398">
        <v>81.330032000000003</v>
      </c>
      <c r="Y1398">
        <v>23.911783</v>
      </c>
      <c r="Z1398" t="s">
        <v>105</v>
      </c>
      <c r="AA1398" t="s">
        <v>1222</v>
      </c>
      <c r="AB1398" t="s">
        <v>3149</v>
      </c>
      <c r="AC1398" t="s">
        <v>4598</v>
      </c>
      <c r="AD1398" t="s">
        <v>3151</v>
      </c>
      <c r="AE1398" t="s">
        <v>1226</v>
      </c>
      <c r="AF1398" t="s">
        <v>5457</v>
      </c>
      <c r="AH1398" t="s">
        <v>72</v>
      </c>
      <c r="AI1398" t="s">
        <v>5458</v>
      </c>
      <c r="AJ1398">
        <v>2019</v>
      </c>
      <c r="AK1398" t="s">
        <v>5461</v>
      </c>
      <c r="AM1398" t="s">
        <v>5462</v>
      </c>
      <c r="AN1398" t="s">
        <v>76</v>
      </c>
      <c r="AO1398">
        <v>6</v>
      </c>
      <c r="AP1398" t="s">
        <v>115</v>
      </c>
      <c r="AQ1398" t="s">
        <v>5463</v>
      </c>
      <c r="AR1398" t="s">
        <v>80</v>
      </c>
      <c r="AS1398">
        <v>501</v>
      </c>
      <c r="AT1398" t="s">
        <v>81</v>
      </c>
      <c r="AU1398">
        <v>49.09</v>
      </c>
      <c r="AV1398">
        <v>-39.630000000000003</v>
      </c>
      <c r="AW1398" t="s">
        <v>82</v>
      </c>
      <c r="AX1398">
        <v>501</v>
      </c>
      <c r="AY1398" t="s">
        <v>81</v>
      </c>
      <c r="AZ1398">
        <v>50.7</v>
      </c>
      <c r="BA1398">
        <v>-42.01</v>
      </c>
      <c r="BB1398" t="s">
        <v>83</v>
      </c>
    </row>
    <row r="1399" spans="1:54" x14ac:dyDescent="0.4">
      <c r="A1399">
        <v>1505388</v>
      </c>
      <c r="D1399" t="s">
        <v>54</v>
      </c>
      <c r="G1399">
        <v>2</v>
      </c>
      <c r="H1399" t="s">
        <v>84</v>
      </c>
      <c r="I1399" t="s">
        <v>57</v>
      </c>
      <c r="K1399" t="s">
        <v>1813</v>
      </c>
      <c r="L1399" t="s">
        <v>1814</v>
      </c>
      <c r="M1399" t="s">
        <v>223</v>
      </c>
      <c r="N1399" t="s">
        <v>234</v>
      </c>
      <c r="O1399" t="s">
        <v>87</v>
      </c>
      <c r="P1399" t="s">
        <v>135</v>
      </c>
      <c r="R1399" t="s">
        <v>63</v>
      </c>
      <c r="S1399" t="s">
        <v>64</v>
      </c>
      <c r="T1399">
        <v>237</v>
      </c>
      <c r="U1399">
        <v>227</v>
      </c>
      <c r="V1399">
        <f t="shared" si="42"/>
        <v>232</v>
      </c>
      <c r="W1399">
        <f t="shared" si="43"/>
        <v>10</v>
      </c>
      <c r="X1399">
        <v>108.262001</v>
      </c>
      <c r="Y1399">
        <v>28.703500999999999</v>
      </c>
      <c r="Z1399" t="s">
        <v>520</v>
      </c>
      <c r="AA1399" t="s">
        <v>379</v>
      </c>
      <c r="AB1399" t="s">
        <v>682</v>
      </c>
      <c r="AC1399" t="s">
        <v>2161</v>
      </c>
      <c r="AD1399" t="s">
        <v>3251</v>
      </c>
      <c r="AF1399" t="s">
        <v>3250</v>
      </c>
      <c r="AH1399" t="s">
        <v>72</v>
      </c>
      <c r="AI1399" t="s">
        <v>383</v>
      </c>
      <c r="AJ1399">
        <v>1999</v>
      </c>
      <c r="AK1399" t="s">
        <v>5480</v>
      </c>
      <c r="AN1399" t="s">
        <v>341</v>
      </c>
      <c r="AO1399">
        <v>4</v>
      </c>
      <c r="AQ1399" t="s">
        <v>5481</v>
      </c>
      <c r="AR1399" t="s">
        <v>80</v>
      </c>
      <c r="AS1399">
        <v>611</v>
      </c>
      <c r="AT1399" t="s">
        <v>81</v>
      </c>
      <c r="AU1399">
        <v>113.3</v>
      </c>
      <c r="AV1399">
        <v>4.9400000000000004</v>
      </c>
      <c r="AW1399" t="s">
        <v>82</v>
      </c>
      <c r="AX1399">
        <v>611</v>
      </c>
      <c r="AY1399" t="s">
        <v>81</v>
      </c>
      <c r="AZ1399">
        <v>94.88</v>
      </c>
      <c r="BA1399">
        <v>24.78</v>
      </c>
      <c r="BB1399" t="s">
        <v>83</v>
      </c>
    </row>
    <row r="1400" spans="1:54" x14ac:dyDescent="0.4">
      <c r="A1400">
        <v>1520765</v>
      </c>
      <c r="D1400" t="s">
        <v>54</v>
      </c>
      <c r="G1400">
        <v>16</v>
      </c>
      <c r="H1400" t="s">
        <v>84</v>
      </c>
      <c r="I1400" t="s">
        <v>57</v>
      </c>
      <c r="K1400" t="s">
        <v>840</v>
      </c>
      <c r="L1400" t="s">
        <v>5485</v>
      </c>
      <c r="M1400" t="s">
        <v>60</v>
      </c>
      <c r="O1400" t="s">
        <v>170</v>
      </c>
      <c r="P1400" t="s">
        <v>135</v>
      </c>
      <c r="R1400" t="s">
        <v>63</v>
      </c>
      <c r="S1400" t="s">
        <v>64</v>
      </c>
      <c r="T1400">
        <v>237</v>
      </c>
      <c r="U1400">
        <v>227</v>
      </c>
      <c r="V1400">
        <f t="shared" si="42"/>
        <v>232</v>
      </c>
      <c r="W1400">
        <f t="shared" si="43"/>
        <v>10</v>
      </c>
      <c r="X1400">
        <v>-64.318054000000004</v>
      </c>
      <c r="Y1400">
        <v>45.138331999999998</v>
      </c>
      <c r="Z1400" t="s">
        <v>105</v>
      </c>
      <c r="AA1400" t="s">
        <v>1456</v>
      </c>
      <c r="AB1400" t="s">
        <v>1457</v>
      </c>
      <c r="AC1400" t="s">
        <v>1609</v>
      </c>
      <c r="AD1400" t="s">
        <v>1610</v>
      </c>
      <c r="AE1400" t="s">
        <v>70</v>
      </c>
      <c r="AH1400" t="s">
        <v>72</v>
      </c>
      <c r="AI1400" t="s">
        <v>730</v>
      </c>
      <c r="AJ1400">
        <v>2020</v>
      </c>
      <c r="AK1400" t="s">
        <v>1612</v>
      </c>
      <c r="AM1400" t="s">
        <v>1613</v>
      </c>
      <c r="AN1400" t="s">
        <v>114</v>
      </c>
      <c r="AO1400" t="s">
        <v>77</v>
      </c>
      <c r="AP1400" t="s">
        <v>78</v>
      </c>
      <c r="AQ1400" t="s">
        <v>1614</v>
      </c>
      <c r="AR1400" t="s">
        <v>80</v>
      </c>
      <c r="AS1400">
        <v>108</v>
      </c>
      <c r="AT1400" t="s">
        <v>81</v>
      </c>
      <c r="AU1400">
        <v>1.64</v>
      </c>
      <c r="AV1400">
        <v>20.21</v>
      </c>
      <c r="AW1400" t="s">
        <v>82</v>
      </c>
      <c r="AX1400">
        <v>108</v>
      </c>
      <c r="AY1400" t="s">
        <v>81</v>
      </c>
      <c r="AZ1400">
        <v>-7</v>
      </c>
      <c r="BA1400">
        <v>10.76</v>
      </c>
      <c r="BB1400" t="s">
        <v>83</v>
      </c>
    </row>
    <row r="1401" spans="1:54" x14ac:dyDescent="0.4">
      <c r="A1401">
        <v>1520767</v>
      </c>
      <c r="D1401" t="s">
        <v>54</v>
      </c>
      <c r="G1401">
        <v>1</v>
      </c>
      <c r="H1401" t="s">
        <v>56</v>
      </c>
      <c r="I1401" t="s">
        <v>57</v>
      </c>
      <c r="K1401" t="s">
        <v>840</v>
      </c>
      <c r="L1401" t="s">
        <v>5485</v>
      </c>
      <c r="M1401" t="s">
        <v>60</v>
      </c>
      <c r="O1401" t="s">
        <v>170</v>
      </c>
      <c r="P1401" t="s">
        <v>135</v>
      </c>
      <c r="R1401" t="s">
        <v>63</v>
      </c>
      <c r="S1401" t="s">
        <v>64</v>
      </c>
      <c r="T1401">
        <v>237</v>
      </c>
      <c r="U1401">
        <v>227</v>
      </c>
      <c r="V1401">
        <f t="shared" si="42"/>
        <v>232</v>
      </c>
      <c r="W1401">
        <f t="shared" si="43"/>
        <v>10</v>
      </c>
      <c r="X1401">
        <v>-63.789444000000003</v>
      </c>
      <c r="Y1401">
        <v>45.315556000000001</v>
      </c>
      <c r="Z1401" t="s">
        <v>105</v>
      </c>
      <c r="AA1401" t="s">
        <v>1456</v>
      </c>
      <c r="AB1401" t="s">
        <v>1457</v>
      </c>
      <c r="AC1401" t="s">
        <v>1615</v>
      </c>
      <c r="AD1401" t="s">
        <v>1610</v>
      </c>
      <c r="AE1401" t="s">
        <v>70</v>
      </c>
      <c r="AH1401" t="s">
        <v>72</v>
      </c>
      <c r="AI1401" t="s">
        <v>730</v>
      </c>
      <c r="AJ1401">
        <v>2020</v>
      </c>
      <c r="AK1401" t="s">
        <v>1616</v>
      </c>
      <c r="AM1401" t="s">
        <v>1617</v>
      </c>
      <c r="AN1401" t="s">
        <v>114</v>
      </c>
      <c r="AO1401" t="s">
        <v>77</v>
      </c>
      <c r="AP1401" t="s">
        <v>115</v>
      </c>
      <c r="AQ1401" t="s">
        <v>1618</v>
      </c>
      <c r="AR1401" t="s">
        <v>80</v>
      </c>
      <c r="AS1401">
        <v>108</v>
      </c>
      <c r="AT1401" t="s">
        <v>81</v>
      </c>
      <c r="AU1401">
        <v>2.0299999999999998</v>
      </c>
      <c r="AV1401">
        <v>20.41</v>
      </c>
      <c r="AW1401" t="s">
        <v>82</v>
      </c>
      <c r="AX1401">
        <v>108</v>
      </c>
      <c r="AY1401" t="s">
        <v>81</v>
      </c>
      <c r="AZ1401">
        <v>-6.64</v>
      </c>
      <c r="BA1401">
        <v>10.98</v>
      </c>
      <c r="BB1401" t="s">
        <v>83</v>
      </c>
    </row>
    <row r="1402" spans="1:54" x14ac:dyDescent="0.4">
      <c r="A1402">
        <v>1528938</v>
      </c>
      <c r="D1402" t="s">
        <v>54</v>
      </c>
      <c r="I1402" t="s">
        <v>57</v>
      </c>
      <c r="K1402" t="s">
        <v>1816</v>
      </c>
      <c r="L1402" t="s">
        <v>3300</v>
      </c>
      <c r="M1402" t="s">
        <v>223</v>
      </c>
      <c r="N1402" t="s">
        <v>234</v>
      </c>
      <c r="O1402" t="s">
        <v>345</v>
      </c>
      <c r="P1402" t="s">
        <v>135</v>
      </c>
      <c r="R1402" t="s">
        <v>63</v>
      </c>
      <c r="S1402" t="s">
        <v>64</v>
      </c>
      <c r="T1402">
        <v>237</v>
      </c>
      <c r="U1402">
        <v>227</v>
      </c>
      <c r="V1402">
        <f t="shared" si="42"/>
        <v>232</v>
      </c>
      <c r="W1402">
        <f t="shared" si="43"/>
        <v>10</v>
      </c>
      <c r="X1402">
        <v>-112.604416</v>
      </c>
      <c r="Y1402">
        <v>30.731124999999999</v>
      </c>
      <c r="Z1402" t="s">
        <v>520</v>
      </c>
      <c r="AA1402" t="s">
        <v>3553</v>
      </c>
      <c r="AB1402" t="s">
        <v>3554</v>
      </c>
      <c r="AD1402" t="s">
        <v>3556</v>
      </c>
      <c r="AH1402" t="s">
        <v>72</v>
      </c>
      <c r="AI1402" t="s">
        <v>5490</v>
      </c>
      <c r="AJ1402">
        <v>1995</v>
      </c>
      <c r="AK1402" t="s">
        <v>5491</v>
      </c>
      <c r="AN1402" t="s">
        <v>192</v>
      </c>
      <c r="AO1402">
        <v>6</v>
      </c>
      <c r="AQ1402" t="s">
        <v>5492</v>
      </c>
      <c r="AR1402" t="s">
        <v>80</v>
      </c>
      <c r="AS1402">
        <v>104</v>
      </c>
      <c r="AT1402" t="s">
        <v>81</v>
      </c>
      <c r="AU1402">
        <v>-41.18</v>
      </c>
      <c r="AV1402">
        <v>16.47</v>
      </c>
      <c r="AW1402" t="s">
        <v>82</v>
      </c>
      <c r="AX1402">
        <v>134</v>
      </c>
      <c r="AY1402" t="s">
        <v>81</v>
      </c>
      <c r="AZ1402">
        <v>-46.29</v>
      </c>
      <c r="BA1402">
        <v>1.75</v>
      </c>
      <c r="BB1402" t="s">
        <v>83</v>
      </c>
    </row>
    <row r="1403" spans="1:54" x14ac:dyDescent="0.4">
      <c r="A1403">
        <v>1528939</v>
      </c>
      <c r="D1403" t="s">
        <v>54</v>
      </c>
      <c r="I1403" t="s">
        <v>57</v>
      </c>
      <c r="K1403" t="s">
        <v>1813</v>
      </c>
      <c r="L1403" t="s">
        <v>4363</v>
      </c>
      <c r="M1403" t="s">
        <v>223</v>
      </c>
      <c r="N1403" t="s">
        <v>234</v>
      </c>
      <c r="O1403" t="s">
        <v>87</v>
      </c>
      <c r="P1403" t="s">
        <v>135</v>
      </c>
      <c r="R1403" t="s">
        <v>63</v>
      </c>
      <c r="S1403" t="s">
        <v>64</v>
      </c>
      <c r="T1403">
        <v>237</v>
      </c>
      <c r="U1403">
        <v>227</v>
      </c>
      <c r="V1403">
        <f t="shared" si="42"/>
        <v>232</v>
      </c>
      <c r="W1403">
        <f t="shared" si="43"/>
        <v>10</v>
      </c>
      <c r="X1403">
        <v>-112.604416</v>
      </c>
      <c r="Y1403">
        <v>30.731124999999999</v>
      </c>
      <c r="Z1403" t="s">
        <v>520</v>
      </c>
      <c r="AA1403" t="s">
        <v>3553</v>
      </c>
      <c r="AB1403" t="s">
        <v>3554</v>
      </c>
      <c r="AD1403" t="s">
        <v>3556</v>
      </c>
      <c r="AH1403" t="s">
        <v>72</v>
      </c>
      <c r="AI1403" t="s">
        <v>5490</v>
      </c>
      <c r="AJ1403">
        <v>1995</v>
      </c>
      <c r="AK1403" t="s">
        <v>5491</v>
      </c>
      <c r="AN1403" t="s">
        <v>192</v>
      </c>
      <c r="AO1403">
        <v>6</v>
      </c>
      <c r="AQ1403" t="s">
        <v>5492</v>
      </c>
      <c r="AR1403" t="s">
        <v>80</v>
      </c>
      <c r="AS1403">
        <v>104</v>
      </c>
      <c r="AT1403" t="s">
        <v>81</v>
      </c>
      <c r="AU1403">
        <v>-41.18</v>
      </c>
      <c r="AV1403">
        <v>16.47</v>
      </c>
      <c r="AW1403" t="s">
        <v>82</v>
      </c>
      <c r="AX1403">
        <v>134</v>
      </c>
      <c r="AY1403" t="s">
        <v>81</v>
      </c>
      <c r="AZ1403">
        <v>-46.29</v>
      </c>
      <c r="BA1403">
        <v>1.75</v>
      </c>
      <c r="BB1403" t="s">
        <v>83</v>
      </c>
    </row>
    <row r="1404" spans="1:54" x14ac:dyDescent="0.4">
      <c r="A1404">
        <v>1550422</v>
      </c>
      <c r="D1404" t="s">
        <v>54</v>
      </c>
      <c r="E1404" t="s">
        <v>310</v>
      </c>
      <c r="F1404" t="s">
        <v>719</v>
      </c>
      <c r="I1404" t="s">
        <v>57</v>
      </c>
      <c r="K1404" t="s">
        <v>141</v>
      </c>
      <c r="L1404" t="s">
        <v>5541</v>
      </c>
      <c r="M1404" t="s">
        <v>60</v>
      </c>
      <c r="P1404" t="s">
        <v>135</v>
      </c>
      <c r="R1404" t="s">
        <v>63</v>
      </c>
      <c r="S1404" t="s">
        <v>64</v>
      </c>
      <c r="T1404">
        <v>237</v>
      </c>
      <c r="U1404">
        <v>227</v>
      </c>
      <c r="V1404">
        <f t="shared" si="42"/>
        <v>232</v>
      </c>
      <c r="W1404">
        <f t="shared" si="43"/>
        <v>10</v>
      </c>
      <c r="X1404">
        <v>-77.671386999999996</v>
      </c>
      <c r="Y1404">
        <v>37.463889999999999</v>
      </c>
      <c r="Z1404" t="s">
        <v>346</v>
      </c>
      <c r="AA1404" t="s">
        <v>66</v>
      </c>
      <c r="AB1404" t="s">
        <v>721</v>
      </c>
      <c r="AC1404" t="s">
        <v>722</v>
      </c>
      <c r="AD1404" t="s">
        <v>723</v>
      </c>
      <c r="AE1404" t="s">
        <v>722</v>
      </c>
      <c r="AF1404" t="s">
        <v>724</v>
      </c>
      <c r="AH1404" t="s">
        <v>72</v>
      </c>
      <c r="AI1404" t="s">
        <v>5542</v>
      </c>
      <c r="AJ1404">
        <v>2021</v>
      </c>
      <c r="AK1404" t="s">
        <v>726</v>
      </c>
      <c r="AM1404" t="s">
        <v>727</v>
      </c>
      <c r="AN1404" t="s">
        <v>76</v>
      </c>
      <c r="AO1404" t="s">
        <v>77</v>
      </c>
      <c r="AP1404" t="s">
        <v>78</v>
      </c>
      <c r="AQ1404" t="s">
        <v>728</v>
      </c>
      <c r="AR1404" t="s">
        <v>80</v>
      </c>
      <c r="AS1404">
        <v>109</v>
      </c>
      <c r="AT1404" t="s">
        <v>81</v>
      </c>
      <c r="AU1404">
        <v>-8.8699999999999992</v>
      </c>
      <c r="AV1404">
        <v>12.64</v>
      </c>
      <c r="AW1404" t="s">
        <v>82</v>
      </c>
      <c r="AX1404">
        <v>109</v>
      </c>
      <c r="AY1404" t="s">
        <v>81</v>
      </c>
      <c r="AZ1404">
        <v>-16.760000000000002</v>
      </c>
      <c r="BA1404">
        <v>2.7</v>
      </c>
      <c r="BB1404" t="s">
        <v>83</v>
      </c>
    </row>
    <row r="1405" spans="1:54" x14ac:dyDescent="0.4">
      <c r="A1405">
        <v>1561501</v>
      </c>
      <c r="D1405" t="s">
        <v>54</v>
      </c>
      <c r="G1405">
        <v>1</v>
      </c>
      <c r="H1405" t="s">
        <v>84</v>
      </c>
      <c r="I1405" t="s">
        <v>57</v>
      </c>
      <c r="K1405" t="s">
        <v>746</v>
      </c>
      <c r="L1405" t="s">
        <v>5554</v>
      </c>
      <c r="M1405" t="s">
        <v>60</v>
      </c>
      <c r="P1405" t="s">
        <v>135</v>
      </c>
      <c r="R1405" t="s">
        <v>63</v>
      </c>
      <c r="S1405" t="s">
        <v>64</v>
      </c>
      <c r="T1405">
        <v>237</v>
      </c>
      <c r="U1405">
        <v>227</v>
      </c>
      <c r="V1405">
        <f t="shared" si="42"/>
        <v>232</v>
      </c>
      <c r="W1405">
        <f t="shared" si="43"/>
        <v>10</v>
      </c>
      <c r="X1405">
        <v>13.569167</v>
      </c>
      <c r="Y1405">
        <v>46.441386999999999</v>
      </c>
      <c r="Z1405" t="s">
        <v>520</v>
      </c>
      <c r="AA1405" t="s">
        <v>593</v>
      </c>
      <c r="AF1405" t="s">
        <v>5555</v>
      </c>
      <c r="AG1405" t="s">
        <v>5556</v>
      </c>
      <c r="AH1405" t="s">
        <v>72</v>
      </c>
      <c r="AI1405" t="s">
        <v>1683</v>
      </c>
      <c r="AJ1405">
        <v>2020</v>
      </c>
      <c r="AK1405" t="s">
        <v>5557</v>
      </c>
      <c r="AN1405" t="s">
        <v>114</v>
      </c>
      <c r="AO1405" t="s">
        <v>77</v>
      </c>
      <c r="AP1405" t="s">
        <v>78</v>
      </c>
      <c r="AR1405" t="s">
        <v>80</v>
      </c>
      <c r="AS1405">
        <v>307</v>
      </c>
      <c r="AT1405" t="s">
        <v>81</v>
      </c>
      <c r="AU1405">
        <v>34.200000000000003</v>
      </c>
      <c r="AV1405">
        <v>16.11</v>
      </c>
      <c r="AW1405" t="s">
        <v>82</v>
      </c>
      <c r="AX1405">
        <v>307</v>
      </c>
      <c r="AY1405" t="s">
        <v>81</v>
      </c>
      <c r="AZ1405">
        <v>20.78</v>
      </c>
      <c r="BA1405">
        <v>12.99</v>
      </c>
      <c r="BB1405" t="s">
        <v>83</v>
      </c>
    </row>
    <row r="1406" spans="1:54" x14ac:dyDescent="0.4">
      <c r="A1406">
        <v>1562556</v>
      </c>
      <c r="D1406" t="s">
        <v>54</v>
      </c>
      <c r="G1406">
        <v>1</v>
      </c>
      <c r="H1406" t="s">
        <v>56</v>
      </c>
      <c r="I1406" t="s">
        <v>57</v>
      </c>
      <c r="K1406" t="s">
        <v>992</v>
      </c>
      <c r="L1406" t="s">
        <v>5558</v>
      </c>
      <c r="M1406" t="s">
        <v>60</v>
      </c>
      <c r="P1406" t="s">
        <v>135</v>
      </c>
      <c r="R1406" t="s">
        <v>63</v>
      </c>
      <c r="S1406" t="s">
        <v>64</v>
      </c>
      <c r="T1406">
        <v>237</v>
      </c>
      <c r="U1406">
        <v>227</v>
      </c>
      <c r="V1406">
        <f t="shared" si="42"/>
        <v>232</v>
      </c>
      <c r="W1406">
        <f t="shared" si="43"/>
        <v>10</v>
      </c>
      <c r="X1406">
        <v>28.690999999999999</v>
      </c>
      <c r="Y1406">
        <v>-16.728999999999999</v>
      </c>
      <c r="Z1406" t="s">
        <v>124</v>
      </c>
      <c r="AA1406" t="s">
        <v>894</v>
      </c>
      <c r="AB1406" t="s">
        <v>5559</v>
      </c>
      <c r="AD1406" t="s">
        <v>896</v>
      </c>
      <c r="AE1406" t="s">
        <v>897</v>
      </c>
      <c r="AH1406" t="s">
        <v>11</v>
      </c>
      <c r="AI1406" t="s">
        <v>5560</v>
      </c>
      <c r="AJ1406">
        <v>2021</v>
      </c>
      <c r="AK1406" t="s">
        <v>5561</v>
      </c>
      <c r="AN1406" t="s">
        <v>114</v>
      </c>
      <c r="AO1406">
        <v>3</v>
      </c>
      <c r="AP1406" t="s">
        <v>115</v>
      </c>
      <c r="AQ1406" t="s">
        <v>5561</v>
      </c>
      <c r="AR1406" t="s">
        <v>80</v>
      </c>
      <c r="AS1406">
        <v>701</v>
      </c>
      <c r="AT1406" t="s">
        <v>81</v>
      </c>
      <c r="AU1406">
        <v>12.23</v>
      </c>
      <c r="AV1406">
        <v>-41.95</v>
      </c>
      <c r="AW1406" t="s">
        <v>82</v>
      </c>
      <c r="AX1406">
        <v>701</v>
      </c>
      <c r="AY1406" t="s">
        <v>81</v>
      </c>
      <c r="AZ1406">
        <v>10.65</v>
      </c>
      <c r="BA1406">
        <v>-50.25</v>
      </c>
      <c r="BB1406" t="s">
        <v>83</v>
      </c>
    </row>
    <row r="1407" spans="1:54" x14ac:dyDescent="0.4">
      <c r="A1407">
        <v>1572197</v>
      </c>
      <c r="D1407" t="s">
        <v>54</v>
      </c>
      <c r="G1407">
        <v>1</v>
      </c>
      <c r="H1407" t="s">
        <v>84</v>
      </c>
      <c r="I1407" t="s">
        <v>57</v>
      </c>
      <c r="K1407" t="s">
        <v>141</v>
      </c>
      <c r="L1407" t="s">
        <v>5570</v>
      </c>
      <c r="M1407" t="s">
        <v>60</v>
      </c>
      <c r="P1407" t="s">
        <v>135</v>
      </c>
      <c r="R1407" t="s">
        <v>63</v>
      </c>
      <c r="S1407" t="s">
        <v>64</v>
      </c>
      <c r="T1407">
        <v>237</v>
      </c>
      <c r="U1407">
        <v>227</v>
      </c>
      <c r="V1407">
        <f t="shared" si="42"/>
        <v>232</v>
      </c>
      <c r="W1407">
        <f t="shared" si="43"/>
        <v>10</v>
      </c>
      <c r="X1407">
        <v>-67.883330999999998</v>
      </c>
      <c r="Y1407">
        <v>-30.116667</v>
      </c>
      <c r="Z1407" t="s">
        <v>105</v>
      </c>
      <c r="AA1407" t="s">
        <v>185</v>
      </c>
      <c r="AB1407" t="s">
        <v>285</v>
      </c>
      <c r="AD1407" t="s">
        <v>286</v>
      </c>
      <c r="AF1407" t="s">
        <v>287</v>
      </c>
      <c r="AH1407" t="s">
        <v>72</v>
      </c>
      <c r="AI1407" t="s">
        <v>5571</v>
      </c>
      <c r="AJ1407">
        <v>2021</v>
      </c>
      <c r="AK1407" t="s">
        <v>5572</v>
      </c>
      <c r="AN1407" t="s">
        <v>192</v>
      </c>
      <c r="AO1407" t="s">
        <v>160</v>
      </c>
      <c r="AP1407" t="s">
        <v>359</v>
      </c>
      <c r="AQ1407" t="s">
        <v>5573</v>
      </c>
      <c r="AR1407" t="s">
        <v>80</v>
      </c>
      <c r="AS1407">
        <v>291</v>
      </c>
      <c r="AT1407" t="s">
        <v>81</v>
      </c>
      <c r="AU1407">
        <v>-26.39</v>
      </c>
      <c r="AV1407">
        <v>-36.29</v>
      </c>
      <c r="AW1407" t="s">
        <v>82</v>
      </c>
      <c r="AX1407">
        <v>291</v>
      </c>
      <c r="AY1407" t="s">
        <v>81</v>
      </c>
      <c r="AZ1407">
        <v>-35.130000000000003</v>
      </c>
      <c r="BA1407">
        <v>-46.33</v>
      </c>
      <c r="BB1407" t="s">
        <v>83</v>
      </c>
    </row>
    <row r="1408" spans="1:54" x14ac:dyDescent="0.4">
      <c r="A1408">
        <v>1574570</v>
      </c>
      <c r="D1408" t="s">
        <v>54</v>
      </c>
      <c r="E1408" t="s">
        <v>55</v>
      </c>
      <c r="I1408" t="s">
        <v>57</v>
      </c>
      <c r="K1408" t="s">
        <v>141</v>
      </c>
      <c r="L1408" t="s">
        <v>5577</v>
      </c>
      <c r="M1408" t="s">
        <v>60</v>
      </c>
      <c r="N1408" t="s">
        <v>256</v>
      </c>
      <c r="O1408" t="s">
        <v>87</v>
      </c>
      <c r="P1408" t="s">
        <v>135</v>
      </c>
      <c r="R1408" t="s">
        <v>63</v>
      </c>
      <c r="S1408" t="s">
        <v>64</v>
      </c>
      <c r="T1408">
        <v>237</v>
      </c>
      <c r="U1408">
        <v>227</v>
      </c>
      <c r="V1408">
        <f t="shared" si="42"/>
        <v>232</v>
      </c>
      <c r="W1408">
        <f t="shared" si="43"/>
        <v>10</v>
      </c>
      <c r="X1408">
        <v>-3.3755000000000002</v>
      </c>
      <c r="Y1408">
        <v>51.459000000000003</v>
      </c>
      <c r="Z1408" t="s">
        <v>90</v>
      </c>
      <c r="AA1408" t="s">
        <v>91</v>
      </c>
      <c r="AB1408" t="s">
        <v>373</v>
      </c>
      <c r="AC1408" t="s">
        <v>374</v>
      </c>
      <c r="AH1408" t="s">
        <v>72</v>
      </c>
      <c r="AI1408" t="s">
        <v>5551</v>
      </c>
      <c r="AJ1408">
        <v>2021</v>
      </c>
      <c r="AK1408" t="s">
        <v>375</v>
      </c>
      <c r="AM1408" t="s">
        <v>376</v>
      </c>
      <c r="AN1408" t="s">
        <v>76</v>
      </c>
      <c r="AO1408">
        <v>4</v>
      </c>
      <c r="AP1408" t="s">
        <v>78</v>
      </c>
      <c r="AQ1408" t="s">
        <v>377</v>
      </c>
      <c r="AR1408" t="s">
        <v>80</v>
      </c>
      <c r="AS1408">
        <v>315</v>
      </c>
      <c r="AT1408" t="s">
        <v>81</v>
      </c>
      <c r="AU1408">
        <v>8.41</v>
      </c>
      <c r="AV1408">
        <v>33.979999999999997</v>
      </c>
      <c r="AW1408" t="s">
        <v>82</v>
      </c>
      <c r="AX1408">
        <v>315</v>
      </c>
      <c r="AY1408" t="s">
        <v>81</v>
      </c>
      <c r="AZ1408">
        <v>-2.14</v>
      </c>
      <c r="BA1408">
        <v>36.659999999999997</v>
      </c>
      <c r="BB1408" t="s">
        <v>83</v>
      </c>
    </row>
    <row r="1409" spans="1:54" x14ac:dyDescent="0.4">
      <c r="A1409">
        <v>1580068</v>
      </c>
      <c r="D1409" t="s">
        <v>54</v>
      </c>
      <c r="G1409">
        <v>1</v>
      </c>
      <c r="H1409" t="s">
        <v>84</v>
      </c>
      <c r="I1409" t="s">
        <v>57</v>
      </c>
      <c r="K1409" t="s">
        <v>141</v>
      </c>
      <c r="L1409" t="s">
        <v>1073</v>
      </c>
      <c r="M1409" t="s">
        <v>60</v>
      </c>
      <c r="N1409" t="s">
        <v>326</v>
      </c>
      <c r="O1409" t="s">
        <v>170</v>
      </c>
      <c r="P1409" t="s">
        <v>135</v>
      </c>
      <c r="R1409" t="s">
        <v>63</v>
      </c>
      <c r="S1409" t="s">
        <v>64</v>
      </c>
      <c r="T1409">
        <v>237</v>
      </c>
      <c r="U1409">
        <v>227</v>
      </c>
      <c r="V1409">
        <f t="shared" si="42"/>
        <v>232</v>
      </c>
      <c r="W1409">
        <f t="shared" si="43"/>
        <v>10</v>
      </c>
      <c r="X1409">
        <v>-105.976501</v>
      </c>
      <c r="Y1409">
        <v>35.506500000000003</v>
      </c>
      <c r="Z1409" t="s">
        <v>124</v>
      </c>
      <c r="AA1409" t="s">
        <v>66</v>
      </c>
      <c r="AB1409" t="s">
        <v>846</v>
      </c>
      <c r="AC1409" t="s">
        <v>1086</v>
      </c>
      <c r="AD1409" t="s">
        <v>174</v>
      </c>
      <c r="AF1409" t="s">
        <v>1087</v>
      </c>
      <c r="AH1409" t="s">
        <v>72</v>
      </c>
      <c r="AI1409" t="s">
        <v>175</v>
      </c>
      <c r="AJ1409">
        <v>2002</v>
      </c>
      <c r="AK1409" t="s">
        <v>5583</v>
      </c>
      <c r="AM1409" t="s">
        <v>5584</v>
      </c>
      <c r="AN1409" t="s">
        <v>849</v>
      </c>
      <c r="AO1409">
        <v>4</v>
      </c>
      <c r="AP1409" t="s">
        <v>115</v>
      </c>
      <c r="AR1409" t="s">
        <v>80</v>
      </c>
      <c r="AS1409">
        <v>101</v>
      </c>
      <c r="AT1409" t="s">
        <v>81</v>
      </c>
      <c r="AU1409">
        <v>-32.22</v>
      </c>
      <c r="AV1409">
        <v>14.38</v>
      </c>
      <c r="AW1409" t="s">
        <v>82</v>
      </c>
      <c r="AX1409">
        <v>101</v>
      </c>
      <c r="AY1409" t="s">
        <v>81</v>
      </c>
      <c r="AZ1409">
        <v>-39.49</v>
      </c>
      <c r="BA1409">
        <v>4.49</v>
      </c>
      <c r="BB1409" t="s">
        <v>83</v>
      </c>
    </row>
    <row r="1410" spans="1:54" x14ac:dyDescent="0.4">
      <c r="A1410">
        <v>1580069</v>
      </c>
      <c r="D1410" t="s">
        <v>54</v>
      </c>
      <c r="G1410">
        <v>2</v>
      </c>
      <c r="H1410" t="s">
        <v>84</v>
      </c>
      <c r="I1410" t="s">
        <v>57</v>
      </c>
      <c r="K1410" t="s">
        <v>141</v>
      </c>
      <c r="L1410" t="s">
        <v>1073</v>
      </c>
      <c r="M1410" t="s">
        <v>60</v>
      </c>
      <c r="N1410" t="s">
        <v>326</v>
      </c>
      <c r="O1410" t="s">
        <v>170</v>
      </c>
      <c r="P1410" t="s">
        <v>135</v>
      </c>
      <c r="R1410" t="s">
        <v>63</v>
      </c>
      <c r="S1410" t="s">
        <v>64</v>
      </c>
      <c r="T1410">
        <v>237</v>
      </c>
      <c r="U1410">
        <v>227</v>
      </c>
      <c r="V1410">
        <f t="shared" si="42"/>
        <v>232</v>
      </c>
      <c r="W1410">
        <f t="shared" si="43"/>
        <v>10</v>
      </c>
      <c r="X1410">
        <v>-105.976501</v>
      </c>
      <c r="Y1410">
        <v>35.506500000000003</v>
      </c>
      <c r="Z1410" t="s">
        <v>124</v>
      </c>
      <c r="AA1410" t="s">
        <v>66</v>
      </c>
      <c r="AB1410" t="s">
        <v>846</v>
      </c>
      <c r="AC1410" t="s">
        <v>1086</v>
      </c>
      <c r="AD1410" t="s">
        <v>174</v>
      </c>
      <c r="AF1410" t="s">
        <v>1087</v>
      </c>
      <c r="AH1410" t="s">
        <v>72</v>
      </c>
      <c r="AI1410" t="s">
        <v>175</v>
      </c>
      <c r="AJ1410">
        <v>2002</v>
      </c>
      <c r="AK1410" t="s">
        <v>5583</v>
      </c>
      <c r="AM1410" t="s">
        <v>5584</v>
      </c>
      <c r="AN1410" t="s">
        <v>849</v>
      </c>
      <c r="AO1410">
        <v>4</v>
      </c>
      <c r="AP1410" t="s">
        <v>115</v>
      </c>
      <c r="AR1410" t="s">
        <v>80</v>
      </c>
      <c r="AS1410">
        <v>101</v>
      </c>
      <c r="AT1410" t="s">
        <v>81</v>
      </c>
      <c r="AU1410">
        <v>-32.22</v>
      </c>
      <c r="AV1410">
        <v>14.38</v>
      </c>
      <c r="AW1410" t="s">
        <v>82</v>
      </c>
      <c r="AX1410">
        <v>101</v>
      </c>
      <c r="AY1410" t="s">
        <v>81</v>
      </c>
      <c r="AZ1410">
        <v>-39.49</v>
      </c>
      <c r="BA1410">
        <v>4.49</v>
      </c>
      <c r="BB1410" t="s">
        <v>83</v>
      </c>
    </row>
    <row r="1411" spans="1:54" x14ac:dyDescent="0.4">
      <c r="A1411">
        <v>1583925</v>
      </c>
      <c r="D1411" t="s">
        <v>54</v>
      </c>
      <c r="E1411" t="s">
        <v>55</v>
      </c>
      <c r="G1411">
        <v>1</v>
      </c>
      <c r="H1411" t="s">
        <v>84</v>
      </c>
      <c r="I1411" t="s">
        <v>57</v>
      </c>
      <c r="K1411" t="s">
        <v>141</v>
      </c>
      <c r="L1411" t="s">
        <v>5593</v>
      </c>
      <c r="M1411" t="s">
        <v>60</v>
      </c>
      <c r="P1411" t="s">
        <v>135</v>
      </c>
      <c r="R1411" t="s">
        <v>63</v>
      </c>
      <c r="S1411" t="s">
        <v>64</v>
      </c>
      <c r="T1411">
        <v>237</v>
      </c>
      <c r="U1411">
        <v>227</v>
      </c>
      <c r="V1411">
        <f t="shared" ref="V1411:V1474" si="44">(T1411+U1411)/2</f>
        <v>232</v>
      </c>
      <c r="W1411">
        <f t="shared" ref="W1411:W1474" si="45">T1411-U1411</f>
        <v>10</v>
      </c>
      <c r="X1411">
        <v>-67.883330999999998</v>
      </c>
      <c r="Y1411">
        <v>-30.116667</v>
      </c>
      <c r="Z1411" t="s">
        <v>198</v>
      </c>
      <c r="AA1411" t="s">
        <v>185</v>
      </c>
      <c r="AB1411" t="s">
        <v>285</v>
      </c>
      <c r="AD1411" t="s">
        <v>286</v>
      </c>
      <c r="AF1411" t="s">
        <v>287</v>
      </c>
      <c r="AG1411" t="s">
        <v>288</v>
      </c>
      <c r="AH1411" t="s">
        <v>72</v>
      </c>
      <c r="AI1411" t="s">
        <v>3550</v>
      </c>
      <c r="AJ1411">
        <v>2021</v>
      </c>
      <c r="AK1411" t="s">
        <v>2382</v>
      </c>
      <c r="AM1411" t="s">
        <v>2383</v>
      </c>
      <c r="AN1411" t="s">
        <v>192</v>
      </c>
      <c r="AO1411" t="s">
        <v>160</v>
      </c>
      <c r="AP1411" t="s">
        <v>115</v>
      </c>
      <c r="AQ1411" t="s">
        <v>2384</v>
      </c>
      <c r="AR1411" t="s">
        <v>80</v>
      </c>
      <c r="AS1411">
        <v>291</v>
      </c>
      <c r="AT1411" t="s">
        <v>81</v>
      </c>
      <c r="AU1411">
        <v>-26.39</v>
      </c>
      <c r="AV1411">
        <v>-36.29</v>
      </c>
      <c r="AW1411" t="s">
        <v>82</v>
      </c>
      <c r="AX1411">
        <v>291</v>
      </c>
      <c r="AY1411" t="s">
        <v>81</v>
      </c>
      <c r="AZ1411">
        <v>-35.130000000000003</v>
      </c>
      <c r="BA1411">
        <v>-46.33</v>
      </c>
      <c r="BB1411" t="s">
        <v>83</v>
      </c>
    </row>
    <row r="1412" spans="1:54" x14ac:dyDescent="0.4">
      <c r="A1412">
        <v>1614363</v>
      </c>
      <c r="D1412" t="s">
        <v>54</v>
      </c>
      <c r="G1412">
        <v>1</v>
      </c>
      <c r="H1412" t="s">
        <v>56</v>
      </c>
      <c r="I1412" t="s">
        <v>57</v>
      </c>
      <c r="K1412" t="s">
        <v>141</v>
      </c>
      <c r="L1412" t="s">
        <v>5633</v>
      </c>
      <c r="M1412" t="s">
        <v>60</v>
      </c>
      <c r="P1412" t="s">
        <v>135</v>
      </c>
      <c r="R1412" t="s">
        <v>63</v>
      </c>
      <c r="S1412" t="s">
        <v>64</v>
      </c>
      <c r="T1412">
        <v>237</v>
      </c>
      <c r="U1412">
        <v>227</v>
      </c>
      <c r="V1412">
        <f t="shared" si="44"/>
        <v>232</v>
      </c>
      <c r="W1412">
        <f t="shared" si="45"/>
        <v>10</v>
      </c>
      <c r="X1412">
        <v>30.468299999999999</v>
      </c>
      <c r="Y1412">
        <v>-16.1008</v>
      </c>
      <c r="Z1412" t="s">
        <v>124</v>
      </c>
      <c r="AA1412" t="s">
        <v>894</v>
      </c>
      <c r="AB1412" t="s">
        <v>895</v>
      </c>
      <c r="AD1412" t="s">
        <v>896</v>
      </c>
      <c r="AE1412" t="s">
        <v>897</v>
      </c>
      <c r="AH1412" t="s">
        <v>72</v>
      </c>
      <c r="AI1412" t="s">
        <v>5634</v>
      </c>
      <c r="AJ1412">
        <v>2022</v>
      </c>
      <c r="AK1412" t="s">
        <v>5635</v>
      </c>
      <c r="AM1412" t="s">
        <v>5636</v>
      </c>
      <c r="AN1412" t="s">
        <v>192</v>
      </c>
      <c r="AO1412">
        <v>4</v>
      </c>
      <c r="AP1412" t="s">
        <v>78</v>
      </c>
      <c r="AQ1412" t="s">
        <v>5635</v>
      </c>
      <c r="AR1412" t="s">
        <v>80</v>
      </c>
      <c r="AS1412">
        <v>701</v>
      </c>
      <c r="AT1412" t="s">
        <v>81</v>
      </c>
      <c r="AU1412">
        <v>14.63</v>
      </c>
      <c r="AV1412">
        <v>-42.31</v>
      </c>
      <c r="AW1412" t="s">
        <v>82</v>
      </c>
      <c r="AX1412">
        <v>701</v>
      </c>
      <c r="AY1412" t="s">
        <v>81</v>
      </c>
      <c r="AZ1412">
        <v>13.49</v>
      </c>
      <c r="BA1412">
        <v>-50.34</v>
      </c>
      <c r="BB1412" t="s">
        <v>83</v>
      </c>
    </row>
    <row r="1413" spans="1:54" x14ac:dyDescent="0.4">
      <c r="A1413">
        <v>1614363</v>
      </c>
      <c r="D1413" t="s">
        <v>54</v>
      </c>
      <c r="G1413">
        <v>1</v>
      </c>
      <c r="H1413" t="s">
        <v>56</v>
      </c>
      <c r="I1413" t="s">
        <v>57</v>
      </c>
      <c r="K1413" t="s">
        <v>141</v>
      </c>
      <c r="L1413" t="s">
        <v>5633</v>
      </c>
      <c r="M1413" t="s">
        <v>60</v>
      </c>
      <c r="P1413" t="s">
        <v>135</v>
      </c>
      <c r="R1413" t="s">
        <v>63</v>
      </c>
      <c r="S1413" t="s">
        <v>64</v>
      </c>
      <c r="T1413">
        <v>237</v>
      </c>
      <c r="U1413">
        <v>227</v>
      </c>
      <c r="V1413">
        <f t="shared" si="44"/>
        <v>232</v>
      </c>
      <c r="W1413">
        <f t="shared" si="45"/>
        <v>10</v>
      </c>
      <c r="X1413">
        <v>30.468299999999999</v>
      </c>
      <c r="Y1413">
        <v>-16.1008</v>
      </c>
      <c r="Z1413" t="s">
        <v>124</v>
      </c>
      <c r="AA1413" t="s">
        <v>894</v>
      </c>
      <c r="AB1413" t="s">
        <v>895</v>
      </c>
      <c r="AD1413" t="s">
        <v>896</v>
      </c>
      <c r="AE1413" t="s">
        <v>897</v>
      </c>
      <c r="AH1413" t="s">
        <v>72</v>
      </c>
      <c r="AI1413" t="s">
        <v>5634</v>
      </c>
      <c r="AJ1413">
        <v>2022</v>
      </c>
      <c r="AK1413" t="s">
        <v>5635</v>
      </c>
      <c r="AM1413" t="s">
        <v>5636</v>
      </c>
      <c r="AN1413" t="s">
        <v>192</v>
      </c>
      <c r="AO1413">
        <v>4</v>
      </c>
      <c r="AP1413" t="s">
        <v>78</v>
      </c>
      <c r="AQ1413" t="s">
        <v>5635</v>
      </c>
      <c r="AR1413" t="s">
        <v>80</v>
      </c>
      <c r="AS1413">
        <v>701</v>
      </c>
      <c r="AT1413" t="s">
        <v>81</v>
      </c>
      <c r="AU1413">
        <v>14.63</v>
      </c>
      <c r="AV1413">
        <v>-42.31</v>
      </c>
      <c r="AW1413" t="s">
        <v>82</v>
      </c>
      <c r="AX1413">
        <v>701</v>
      </c>
      <c r="AY1413" t="s">
        <v>81</v>
      </c>
      <c r="AZ1413">
        <v>13.49</v>
      </c>
      <c r="BA1413">
        <v>-50.34</v>
      </c>
      <c r="BB1413" t="s">
        <v>83</v>
      </c>
    </row>
    <row r="1414" spans="1:54" x14ac:dyDescent="0.4">
      <c r="A1414">
        <v>1614367</v>
      </c>
      <c r="D1414" t="s">
        <v>54</v>
      </c>
      <c r="G1414">
        <v>1</v>
      </c>
      <c r="H1414" t="s">
        <v>56</v>
      </c>
      <c r="I1414" t="s">
        <v>57</v>
      </c>
      <c r="K1414" t="s">
        <v>141</v>
      </c>
      <c r="L1414" t="s">
        <v>5633</v>
      </c>
      <c r="M1414" t="s">
        <v>60</v>
      </c>
      <c r="P1414" t="s">
        <v>135</v>
      </c>
      <c r="R1414" t="s">
        <v>63</v>
      </c>
      <c r="S1414" t="s">
        <v>64</v>
      </c>
      <c r="T1414">
        <v>237</v>
      </c>
      <c r="U1414">
        <v>227</v>
      </c>
      <c r="V1414">
        <f t="shared" si="44"/>
        <v>232</v>
      </c>
      <c r="W1414">
        <f t="shared" si="45"/>
        <v>10</v>
      </c>
      <c r="X1414">
        <v>30.468299999999999</v>
      </c>
      <c r="Y1414">
        <v>-16.1008</v>
      </c>
      <c r="Z1414" t="s">
        <v>124</v>
      </c>
      <c r="AA1414" t="s">
        <v>894</v>
      </c>
      <c r="AB1414" t="s">
        <v>895</v>
      </c>
      <c r="AD1414" t="s">
        <v>896</v>
      </c>
      <c r="AE1414" t="s">
        <v>897</v>
      </c>
      <c r="AH1414" t="s">
        <v>72</v>
      </c>
      <c r="AI1414" t="s">
        <v>5634</v>
      </c>
      <c r="AJ1414">
        <v>2022</v>
      </c>
      <c r="AK1414" t="s">
        <v>5637</v>
      </c>
      <c r="AM1414" t="s">
        <v>5638</v>
      </c>
      <c r="AN1414" t="s">
        <v>192</v>
      </c>
      <c r="AO1414">
        <v>4</v>
      </c>
      <c r="AP1414" t="s">
        <v>78</v>
      </c>
      <c r="AQ1414" t="s">
        <v>5637</v>
      </c>
      <c r="AR1414" t="s">
        <v>80</v>
      </c>
      <c r="AS1414">
        <v>701</v>
      </c>
      <c r="AT1414" t="s">
        <v>81</v>
      </c>
      <c r="AU1414">
        <v>14.63</v>
      </c>
      <c r="AV1414">
        <v>-42.31</v>
      </c>
      <c r="AW1414" t="s">
        <v>82</v>
      </c>
      <c r="AX1414">
        <v>701</v>
      </c>
      <c r="AY1414" t="s">
        <v>81</v>
      </c>
      <c r="AZ1414">
        <v>13.49</v>
      </c>
      <c r="BA1414">
        <v>-50.34</v>
      </c>
      <c r="BB1414" t="s">
        <v>83</v>
      </c>
    </row>
    <row r="1415" spans="1:54" x14ac:dyDescent="0.4">
      <c r="A1415">
        <v>1614369</v>
      </c>
      <c r="D1415" t="s">
        <v>54</v>
      </c>
      <c r="G1415">
        <v>1</v>
      </c>
      <c r="H1415" t="s">
        <v>56</v>
      </c>
      <c r="I1415" t="s">
        <v>57</v>
      </c>
      <c r="K1415" t="s">
        <v>141</v>
      </c>
      <c r="L1415" t="s">
        <v>5633</v>
      </c>
      <c r="M1415" t="s">
        <v>60</v>
      </c>
      <c r="P1415" t="s">
        <v>135</v>
      </c>
      <c r="R1415" t="s">
        <v>63</v>
      </c>
      <c r="S1415" t="s">
        <v>64</v>
      </c>
      <c r="T1415">
        <v>237</v>
      </c>
      <c r="U1415">
        <v>227</v>
      </c>
      <c r="V1415">
        <f t="shared" si="44"/>
        <v>232</v>
      </c>
      <c r="W1415">
        <f t="shared" si="45"/>
        <v>10</v>
      </c>
      <c r="X1415">
        <v>30.468299999999999</v>
      </c>
      <c r="Y1415">
        <v>-16.1008</v>
      </c>
      <c r="Z1415" t="s">
        <v>124</v>
      </c>
      <c r="AA1415" t="s">
        <v>894</v>
      </c>
      <c r="AB1415" t="s">
        <v>895</v>
      </c>
      <c r="AD1415" t="s">
        <v>896</v>
      </c>
      <c r="AE1415" t="s">
        <v>897</v>
      </c>
      <c r="AH1415" t="s">
        <v>72</v>
      </c>
      <c r="AI1415" t="s">
        <v>5634</v>
      </c>
      <c r="AJ1415">
        <v>2022</v>
      </c>
      <c r="AK1415" t="s">
        <v>5639</v>
      </c>
      <c r="AM1415" t="s">
        <v>5640</v>
      </c>
      <c r="AN1415" t="s">
        <v>192</v>
      </c>
      <c r="AO1415">
        <v>4</v>
      </c>
      <c r="AP1415" t="s">
        <v>78</v>
      </c>
      <c r="AQ1415" t="s">
        <v>5639</v>
      </c>
      <c r="AR1415" t="s">
        <v>80</v>
      </c>
      <c r="AS1415">
        <v>701</v>
      </c>
      <c r="AT1415" t="s">
        <v>81</v>
      </c>
      <c r="AU1415">
        <v>14.63</v>
      </c>
      <c r="AV1415">
        <v>-42.31</v>
      </c>
      <c r="AW1415" t="s">
        <v>82</v>
      </c>
      <c r="AX1415">
        <v>701</v>
      </c>
      <c r="AY1415" t="s">
        <v>81</v>
      </c>
      <c r="AZ1415">
        <v>13.49</v>
      </c>
      <c r="BA1415">
        <v>-50.34</v>
      </c>
      <c r="BB1415" t="s">
        <v>83</v>
      </c>
    </row>
    <row r="1416" spans="1:54" x14ac:dyDescent="0.4">
      <c r="A1416">
        <v>1614372</v>
      </c>
      <c r="D1416" t="s">
        <v>54</v>
      </c>
      <c r="I1416" t="s">
        <v>57</v>
      </c>
      <c r="K1416" t="s">
        <v>141</v>
      </c>
      <c r="L1416" t="s">
        <v>5633</v>
      </c>
      <c r="M1416" t="s">
        <v>60</v>
      </c>
      <c r="P1416" t="s">
        <v>135</v>
      </c>
      <c r="R1416" t="s">
        <v>63</v>
      </c>
      <c r="S1416" t="s">
        <v>64</v>
      </c>
      <c r="T1416">
        <v>237</v>
      </c>
      <c r="U1416">
        <v>227</v>
      </c>
      <c r="V1416">
        <f t="shared" si="44"/>
        <v>232</v>
      </c>
      <c r="W1416">
        <f t="shared" si="45"/>
        <v>10</v>
      </c>
      <c r="X1416">
        <v>30.468299999999999</v>
      </c>
      <c r="Y1416">
        <v>-16.1008</v>
      </c>
      <c r="Z1416" t="s">
        <v>124</v>
      </c>
      <c r="AA1416" t="s">
        <v>894</v>
      </c>
      <c r="AB1416" t="s">
        <v>895</v>
      </c>
      <c r="AD1416" t="s">
        <v>896</v>
      </c>
      <c r="AE1416" t="s">
        <v>897</v>
      </c>
      <c r="AH1416" t="s">
        <v>72</v>
      </c>
      <c r="AI1416" t="s">
        <v>5634</v>
      </c>
      <c r="AJ1416">
        <v>2022</v>
      </c>
      <c r="AK1416" t="s">
        <v>5641</v>
      </c>
      <c r="AN1416" t="s">
        <v>192</v>
      </c>
      <c r="AO1416">
        <v>4</v>
      </c>
      <c r="AP1416" t="s">
        <v>78</v>
      </c>
      <c r="AQ1416" t="s">
        <v>5642</v>
      </c>
      <c r="AR1416" t="s">
        <v>80</v>
      </c>
      <c r="AS1416">
        <v>701</v>
      </c>
      <c r="AT1416" t="s">
        <v>81</v>
      </c>
      <c r="AU1416">
        <v>14.63</v>
      </c>
      <c r="AV1416">
        <v>-42.31</v>
      </c>
      <c r="AW1416" t="s">
        <v>82</v>
      </c>
      <c r="AX1416">
        <v>701</v>
      </c>
      <c r="AY1416" t="s">
        <v>81</v>
      </c>
      <c r="AZ1416">
        <v>13.49</v>
      </c>
      <c r="BA1416">
        <v>-50.34</v>
      </c>
      <c r="BB1416" t="s">
        <v>83</v>
      </c>
    </row>
    <row r="1417" spans="1:54" x14ac:dyDescent="0.4">
      <c r="A1417">
        <v>1624818</v>
      </c>
      <c r="D1417" t="s">
        <v>54</v>
      </c>
      <c r="G1417">
        <v>2</v>
      </c>
      <c r="H1417" t="s">
        <v>84</v>
      </c>
      <c r="I1417" t="s">
        <v>57</v>
      </c>
      <c r="K1417" t="s">
        <v>180</v>
      </c>
      <c r="L1417" t="s">
        <v>5650</v>
      </c>
      <c r="M1417" t="s">
        <v>60</v>
      </c>
      <c r="N1417" t="s">
        <v>119</v>
      </c>
      <c r="P1417" t="s">
        <v>135</v>
      </c>
      <c r="R1417" t="s">
        <v>63</v>
      </c>
      <c r="S1417" t="s">
        <v>64</v>
      </c>
      <c r="T1417">
        <v>237</v>
      </c>
      <c r="U1417">
        <v>227</v>
      </c>
      <c r="V1417">
        <f t="shared" si="44"/>
        <v>232</v>
      </c>
      <c r="W1417">
        <f t="shared" si="45"/>
        <v>10</v>
      </c>
      <c r="X1417">
        <v>-53.430832000000002</v>
      </c>
      <c r="Y1417">
        <v>-29.660278000000002</v>
      </c>
      <c r="Z1417" t="s">
        <v>124</v>
      </c>
      <c r="AA1417" t="s">
        <v>783</v>
      </c>
      <c r="AB1417" t="s">
        <v>784</v>
      </c>
      <c r="AF1417" t="s">
        <v>5651</v>
      </c>
      <c r="AG1417" t="s">
        <v>841</v>
      </c>
      <c r="AH1417" t="s">
        <v>72</v>
      </c>
      <c r="AI1417" t="s">
        <v>5652</v>
      </c>
      <c r="AJ1417">
        <v>2023</v>
      </c>
      <c r="AK1417" t="s">
        <v>5653</v>
      </c>
      <c r="AN1417" t="s">
        <v>76</v>
      </c>
      <c r="AO1417" t="s">
        <v>77</v>
      </c>
      <c r="AP1417" t="s">
        <v>78</v>
      </c>
      <c r="AQ1417" t="s">
        <v>5654</v>
      </c>
      <c r="AR1417" t="s">
        <v>80</v>
      </c>
      <c r="AS1417">
        <v>201</v>
      </c>
      <c r="AT1417" t="s">
        <v>81</v>
      </c>
      <c r="AU1417">
        <v>-11.21</v>
      </c>
      <c r="AV1417">
        <v>-36.82</v>
      </c>
      <c r="AW1417" t="s">
        <v>82</v>
      </c>
      <c r="AX1417">
        <v>202</v>
      </c>
      <c r="AY1417" t="s">
        <v>81</v>
      </c>
      <c r="AZ1417">
        <v>-17.059999999999999</v>
      </c>
      <c r="BA1417">
        <v>-46.46</v>
      </c>
      <c r="BB1417" t="s">
        <v>83</v>
      </c>
    </row>
    <row r="1418" spans="1:54" x14ac:dyDescent="0.4">
      <c r="A1418">
        <v>1633028</v>
      </c>
      <c r="D1418" t="s">
        <v>54</v>
      </c>
      <c r="I1418" t="s">
        <v>57</v>
      </c>
      <c r="K1418" t="s">
        <v>194</v>
      </c>
      <c r="L1418" t="s">
        <v>5660</v>
      </c>
      <c r="M1418" t="s">
        <v>60</v>
      </c>
      <c r="P1418" t="s">
        <v>135</v>
      </c>
      <c r="R1418" t="s">
        <v>63</v>
      </c>
      <c r="S1418" t="s">
        <v>64</v>
      </c>
      <c r="T1418">
        <v>237</v>
      </c>
      <c r="U1418">
        <v>227</v>
      </c>
      <c r="V1418">
        <f t="shared" si="44"/>
        <v>232</v>
      </c>
      <c r="W1418">
        <f t="shared" si="45"/>
        <v>10</v>
      </c>
      <c r="X1418">
        <v>-53.435833000000002</v>
      </c>
      <c r="Y1418">
        <v>-29.658611000000001</v>
      </c>
      <c r="Z1418" t="s">
        <v>124</v>
      </c>
      <c r="AA1418" t="s">
        <v>783</v>
      </c>
      <c r="AB1418" t="s">
        <v>784</v>
      </c>
      <c r="AC1418" t="s">
        <v>4630</v>
      </c>
      <c r="AD1418" t="s">
        <v>943</v>
      </c>
      <c r="AE1418" t="s">
        <v>786</v>
      </c>
      <c r="AF1418" t="s">
        <v>944</v>
      </c>
      <c r="AG1418" t="s">
        <v>841</v>
      </c>
      <c r="AH1418" t="s">
        <v>72</v>
      </c>
      <c r="AI1418" t="s">
        <v>1840</v>
      </c>
      <c r="AJ1418">
        <v>2023</v>
      </c>
      <c r="AK1418" t="s">
        <v>4632</v>
      </c>
      <c r="AM1418" t="s">
        <v>4633</v>
      </c>
      <c r="AN1418" t="s">
        <v>76</v>
      </c>
      <c r="AO1418" t="s">
        <v>77</v>
      </c>
      <c r="AP1418" t="s">
        <v>78</v>
      </c>
      <c r="AQ1418" t="s">
        <v>4634</v>
      </c>
      <c r="AR1418" t="s">
        <v>80</v>
      </c>
      <c r="AS1418">
        <v>201</v>
      </c>
      <c r="AT1418" t="s">
        <v>81</v>
      </c>
      <c r="AU1418">
        <v>-11.22</v>
      </c>
      <c r="AV1418">
        <v>-36.82</v>
      </c>
      <c r="AW1418" t="s">
        <v>82</v>
      </c>
      <c r="AX1418">
        <v>202</v>
      </c>
      <c r="AY1418" t="s">
        <v>81</v>
      </c>
      <c r="AZ1418">
        <v>-17.059999999999999</v>
      </c>
      <c r="BA1418">
        <v>-46.46</v>
      </c>
      <c r="BB1418" t="s">
        <v>83</v>
      </c>
    </row>
    <row r="1419" spans="1:54" x14ac:dyDescent="0.4">
      <c r="A1419">
        <v>1638608</v>
      </c>
      <c r="D1419" t="s">
        <v>54</v>
      </c>
      <c r="E1419" t="s">
        <v>55</v>
      </c>
      <c r="G1419">
        <v>1</v>
      </c>
      <c r="H1419" t="s">
        <v>56</v>
      </c>
      <c r="I1419" t="s">
        <v>57</v>
      </c>
      <c r="K1419" t="s">
        <v>100</v>
      </c>
      <c r="L1419" t="s">
        <v>1481</v>
      </c>
      <c r="M1419" t="s">
        <v>60</v>
      </c>
      <c r="P1419" t="s">
        <v>135</v>
      </c>
      <c r="R1419" t="s">
        <v>63</v>
      </c>
      <c r="S1419" t="s">
        <v>64</v>
      </c>
      <c r="T1419">
        <v>237</v>
      </c>
      <c r="U1419">
        <v>227</v>
      </c>
      <c r="V1419">
        <f t="shared" si="44"/>
        <v>232</v>
      </c>
      <c r="W1419">
        <f t="shared" si="45"/>
        <v>10</v>
      </c>
      <c r="X1419">
        <v>-2.4288889999999999</v>
      </c>
      <c r="Y1419">
        <v>51.622501</v>
      </c>
      <c r="Z1419" t="s">
        <v>90</v>
      </c>
      <c r="AA1419" t="s">
        <v>91</v>
      </c>
      <c r="AB1419" t="s">
        <v>92</v>
      </c>
      <c r="AC1419" t="s">
        <v>822</v>
      </c>
      <c r="AH1419" t="s">
        <v>72</v>
      </c>
      <c r="AI1419" t="s">
        <v>1482</v>
      </c>
      <c r="AJ1419">
        <v>2023</v>
      </c>
      <c r="AK1419" t="s">
        <v>824</v>
      </c>
      <c r="AM1419" t="s">
        <v>825</v>
      </c>
      <c r="AN1419" t="s">
        <v>76</v>
      </c>
      <c r="AO1419" t="s">
        <v>77</v>
      </c>
      <c r="AP1419" t="s">
        <v>115</v>
      </c>
      <c r="AQ1419" t="s">
        <v>826</v>
      </c>
      <c r="AR1419" t="s">
        <v>80</v>
      </c>
      <c r="AS1419">
        <v>315</v>
      </c>
      <c r="AT1419" t="s">
        <v>81</v>
      </c>
      <c r="AU1419">
        <v>8.9700000000000006</v>
      </c>
      <c r="AV1419">
        <v>34.380000000000003</v>
      </c>
      <c r="AW1419" t="s">
        <v>82</v>
      </c>
      <c r="AX1419">
        <v>315</v>
      </c>
      <c r="AY1419" t="s">
        <v>81</v>
      </c>
      <c r="AZ1419">
        <v>-1.55</v>
      </c>
      <c r="BA1419">
        <v>37.049999999999997</v>
      </c>
      <c r="BB1419" t="s">
        <v>83</v>
      </c>
    </row>
    <row r="1420" spans="1:54" x14ac:dyDescent="0.4">
      <c r="A1420">
        <v>1638608</v>
      </c>
      <c r="D1420" t="s">
        <v>54</v>
      </c>
      <c r="E1420" t="s">
        <v>55</v>
      </c>
      <c r="G1420">
        <v>1</v>
      </c>
      <c r="H1420" t="s">
        <v>56</v>
      </c>
      <c r="I1420" t="s">
        <v>57</v>
      </c>
      <c r="K1420" t="s">
        <v>100</v>
      </c>
      <c r="L1420" t="s">
        <v>1481</v>
      </c>
      <c r="M1420" t="s">
        <v>60</v>
      </c>
      <c r="P1420" t="s">
        <v>135</v>
      </c>
      <c r="R1420" t="s">
        <v>63</v>
      </c>
      <c r="S1420" t="s">
        <v>64</v>
      </c>
      <c r="T1420">
        <v>237</v>
      </c>
      <c r="U1420">
        <v>227</v>
      </c>
      <c r="V1420">
        <f t="shared" si="44"/>
        <v>232</v>
      </c>
      <c r="W1420">
        <f t="shared" si="45"/>
        <v>10</v>
      </c>
      <c r="X1420">
        <v>-2.4288889999999999</v>
      </c>
      <c r="Y1420">
        <v>51.622501</v>
      </c>
      <c r="Z1420" t="s">
        <v>90</v>
      </c>
      <c r="AA1420" t="s">
        <v>91</v>
      </c>
      <c r="AB1420" t="s">
        <v>92</v>
      </c>
      <c r="AC1420" t="s">
        <v>822</v>
      </c>
      <c r="AH1420" t="s">
        <v>72</v>
      </c>
      <c r="AI1420" t="s">
        <v>1482</v>
      </c>
      <c r="AJ1420">
        <v>2023</v>
      </c>
      <c r="AK1420" t="s">
        <v>824</v>
      </c>
      <c r="AM1420" t="s">
        <v>825</v>
      </c>
      <c r="AN1420" t="s">
        <v>76</v>
      </c>
      <c r="AO1420" t="s">
        <v>77</v>
      </c>
      <c r="AP1420" t="s">
        <v>115</v>
      </c>
      <c r="AQ1420" t="s">
        <v>826</v>
      </c>
      <c r="AR1420" t="s">
        <v>80</v>
      </c>
      <c r="AS1420">
        <v>315</v>
      </c>
      <c r="AT1420" t="s">
        <v>81</v>
      </c>
      <c r="AU1420">
        <v>8.9700000000000006</v>
      </c>
      <c r="AV1420">
        <v>34.380000000000003</v>
      </c>
      <c r="AW1420" t="s">
        <v>82</v>
      </c>
      <c r="AX1420">
        <v>315</v>
      </c>
      <c r="AY1420" t="s">
        <v>81</v>
      </c>
      <c r="AZ1420">
        <v>-1.55</v>
      </c>
      <c r="BA1420">
        <v>37.049999999999997</v>
      </c>
      <c r="BB1420" t="s">
        <v>83</v>
      </c>
    </row>
    <row r="1421" spans="1:54" x14ac:dyDescent="0.4">
      <c r="A1421">
        <v>1638608</v>
      </c>
      <c r="D1421" t="s">
        <v>54</v>
      </c>
      <c r="E1421" t="s">
        <v>55</v>
      </c>
      <c r="G1421">
        <v>1</v>
      </c>
      <c r="H1421" t="s">
        <v>56</v>
      </c>
      <c r="I1421" t="s">
        <v>57</v>
      </c>
      <c r="K1421" t="s">
        <v>100</v>
      </c>
      <c r="L1421" t="s">
        <v>1481</v>
      </c>
      <c r="M1421" t="s">
        <v>60</v>
      </c>
      <c r="P1421" t="s">
        <v>135</v>
      </c>
      <c r="R1421" t="s">
        <v>63</v>
      </c>
      <c r="S1421" t="s">
        <v>64</v>
      </c>
      <c r="T1421">
        <v>237</v>
      </c>
      <c r="U1421">
        <v>227</v>
      </c>
      <c r="V1421">
        <f t="shared" si="44"/>
        <v>232</v>
      </c>
      <c r="W1421">
        <f t="shared" si="45"/>
        <v>10</v>
      </c>
      <c r="X1421">
        <v>-2.4288889999999999</v>
      </c>
      <c r="Y1421">
        <v>51.622501</v>
      </c>
      <c r="Z1421" t="s">
        <v>90</v>
      </c>
      <c r="AA1421" t="s">
        <v>91</v>
      </c>
      <c r="AB1421" t="s">
        <v>92</v>
      </c>
      <c r="AC1421" t="s">
        <v>822</v>
      </c>
      <c r="AH1421" t="s">
        <v>72</v>
      </c>
      <c r="AI1421" t="s">
        <v>1482</v>
      </c>
      <c r="AJ1421">
        <v>2023</v>
      </c>
      <c r="AK1421" t="s">
        <v>824</v>
      </c>
      <c r="AM1421" t="s">
        <v>825</v>
      </c>
      <c r="AN1421" t="s">
        <v>76</v>
      </c>
      <c r="AO1421" t="s">
        <v>77</v>
      </c>
      <c r="AP1421" t="s">
        <v>115</v>
      </c>
      <c r="AQ1421" t="s">
        <v>826</v>
      </c>
      <c r="AR1421" t="s">
        <v>80</v>
      </c>
      <c r="AS1421">
        <v>315</v>
      </c>
      <c r="AT1421" t="s">
        <v>81</v>
      </c>
      <c r="AU1421">
        <v>8.9700000000000006</v>
      </c>
      <c r="AV1421">
        <v>34.380000000000003</v>
      </c>
      <c r="AW1421" t="s">
        <v>82</v>
      </c>
      <c r="AX1421">
        <v>315</v>
      </c>
      <c r="AY1421" t="s">
        <v>81</v>
      </c>
      <c r="AZ1421">
        <v>-1.55</v>
      </c>
      <c r="BA1421">
        <v>37.049999999999997</v>
      </c>
      <c r="BB1421" t="s">
        <v>83</v>
      </c>
    </row>
    <row r="1422" spans="1:54" x14ac:dyDescent="0.4">
      <c r="A1422">
        <v>1638608</v>
      </c>
      <c r="D1422" t="s">
        <v>54</v>
      </c>
      <c r="E1422" t="s">
        <v>55</v>
      </c>
      <c r="G1422">
        <v>1</v>
      </c>
      <c r="H1422" t="s">
        <v>56</v>
      </c>
      <c r="I1422" t="s">
        <v>57</v>
      </c>
      <c r="K1422" t="s">
        <v>100</v>
      </c>
      <c r="L1422" t="s">
        <v>1481</v>
      </c>
      <c r="M1422" t="s">
        <v>60</v>
      </c>
      <c r="P1422" t="s">
        <v>135</v>
      </c>
      <c r="R1422" t="s">
        <v>63</v>
      </c>
      <c r="S1422" t="s">
        <v>64</v>
      </c>
      <c r="T1422">
        <v>237</v>
      </c>
      <c r="U1422">
        <v>227</v>
      </c>
      <c r="V1422">
        <f t="shared" si="44"/>
        <v>232</v>
      </c>
      <c r="W1422">
        <f t="shared" si="45"/>
        <v>10</v>
      </c>
      <c r="X1422">
        <v>-2.4288889999999999</v>
      </c>
      <c r="Y1422">
        <v>51.622501</v>
      </c>
      <c r="Z1422" t="s">
        <v>90</v>
      </c>
      <c r="AA1422" t="s">
        <v>91</v>
      </c>
      <c r="AB1422" t="s">
        <v>92</v>
      </c>
      <c r="AC1422" t="s">
        <v>822</v>
      </c>
      <c r="AH1422" t="s">
        <v>72</v>
      </c>
      <c r="AI1422" t="s">
        <v>1482</v>
      </c>
      <c r="AJ1422">
        <v>2023</v>
      </c>
      <c r="AK1422" t="s">
        <v>824</v>
      </c>
      <c r="AM1422" t="s">
        <v>825</v>
      </c>
      <c r="AN1422" t="s">
        <v>76</v>
      </c>
      <c r="AO1422" t="s">
        <v>77</v>
      </c>
      <c r="AP1422" t="s">
        <v>115</v>
      </c>
      <c r="AQ1422" t="s">
        <v>826</v>
      </c>
      <c r="AR1422" t="s">
        <v>80</v>
      </c>
      <c r="AS1422">
        <v>315</v>
      </c>
      <c r="AT1422" t="s">
        <v>81</v>
      </c>
      <c r="AU1422">
        <v>8.9700000000000006</v>
      </c>
      <c r="AV1422">
        <v>34.380000000000003</v>
      </c>
      <c r="AW1422" t="s">
        <v>82</v>
      </c>
      <c r="AX1422">
        <v>315</v>
      </c>
      <c r="AY1422" t="s">
        <v>81</v>
      </c>
      <c r="AZ1422">
        <v>-1.55</v>
      </c>
      <c r="BA1422">
        <v>37.049999999999997</v>
      </c>
      <c r="BB1422" t="s">
        <v>83</v>
      </c>
    </row>
    <row r="1423" spans="1:54" x14ac:dyDescent="0.4">
      <c r="A1423">
        <v>1638608</v>
      </c>
      <c r="D1423" t="s">
        <v>54</v>
      </c>
      <c r="E1423" t="s">
        <v>55</v>
      </c>
      <c r="G1423">
        <v>1</v>
      </c>
      <c r="H1423" t="s">
        <v>56</v>
      </c>
      <c r="I1423" t="s">
        <v>57</v>
      </c>
      <c r="K1423" t="s">
        <v>100</v>
      </c>
      <c r="L1423" t="s">
        <v>1481</v>
      </c>
      <c r="M1423" t="s">
        <v>60</v>
      </c>
      <c r="P1423" t="s">
        <v>135</v>
      </c>
      <c r="R1423" t="s">
        <v>63</v>
      </c>
      <c r="S1423" t="s">
        <v>64</v>
      </c>
      <c r="T1423">
        <v>237</v>
      </c>
      <c r="U1423">
        <v>227</v>
      </c>
      <c r="V1423">
        <f t="shared" si="44"/>
        <v>232</v>
      </c>
      <c r="W1423">
        <f t="shared" si="45"/>
        <v>10</v>
      </c>
      <c r="X1423">
        <v>-2.4288889999999999</v>
      </c>
      <c r="Y1423">
        <v>51.622501</v>
      </c>
      <c r="Z1423" t="s">
        <v>90</v>
      </c>
      <c r="AA1423" t="s">
        <v>91</v>
      </c>
      <c r="AB1423" t="s">
        <v>92</v>
      </c>
      <c r="AC1423" t="s">
        <v>822</v>
      </c>
      <c r="AH1423" t="s">
        <v>72</v>
      </c>
      <c r="AI1423" t="s">
        <v>1482</v>
      </c>
      <c r="AJ1423">
        <v>2023</v>
      </c>
      <c r="AK1423" t="s">
        <v>824</v>
      </c>
      <c r="AM1423" t="s">
        <v>825</v>
      </c>
      <c r="AN1423" t="s">
        <v>76</v>
      </c>
      <c r="AO1423" t="s">
        <v>77</v>
      </c>
      <c r="AP1423" t="s">
        <v>115</v>
      </c>
      <c r="AQ1423" t="s">
        <v>826</v>
      </c>
      <c r="AR1423" t="s">
        <v>80</v>
      </c>
      <c r="AS1423">
        <v>315</v>
      </c>
      <c r="AT1423" t="s">
        <v>81</v>
      </c>
      <c r="AU1423">
        <v>8.9700000000000006</v>
      </c>
      <c r="AV1423">
        <v>34.380000000000003</v>
      </c>
      <c r="AW1423" t="s">
        <v>82</v>
      </c>
      <c r="AX1423">
        <v>315</v>
      </c>
      <c r="AY1423" t="s">
        <v>81</v>
      </c>
      <c r="AZ1423">
        <v>-1.55</v>
      </c>
      <c r="BA1423">
        <v>37.049999999999997</v>
      </c>
      <c r="BB1423" t="s">
        <v>83</v>
      </c>
    </row>
    <row r="1424" spans="1:54" x14ac:dyDescent="0.4">
      <c r="A1424">
        <v>1638608</v>
      </c>
      <c r="D1424" t="s">
        <v>54</v>
      </c>
      <c r="E1424" t="s">
        <v>55</v>
      </c>
      <c r="G1424">
        <v>1</v>
      </c>
      <c r="H1424" t="s">
        <v>56</v>
      </c>
      <c r="I1424" t="s">
        <v>57</v>
      </c>
      <c r="K1424" t="s">
        <v>100</v>
      </c>
      <c r="L1424" t="s">
        <v>1481</v>
      </c>
      <c r="M1424" t="s">
        <v>60</v>
      </c>
      <c r="P1424" t="s">
        <v>135</v>
      </c>
      <c r="R1424" t="s">
        <v>63</v>
      </c>
      <c r="S1424" t="s">
        <v>64</v>
      </c>
      <c r="T1424">
        <v>237</v>
      </c>
      <c r="U1424">
        <v>227</v>
      </c>
      <c r="V1424">
        <f t="shared" si="44"/>
        <v>232</v>
      </c>
      <c r="W1424">
        <f t="shared" si="45"/>
        <v>10</v>
      </c>
      <c r="X1424">
        <v>-2.4288889999999999</v>
      </c>
      <c r="Y1424">
        <v>51.622501</v>
      </c>
      <c r="Z1424" t="s">
        <v>90</v>
      </c>
      <c r="AA1424" t="s">
        <v>91</v>
      </c>
      <c r="AB1424" t="s">
        <v>92</v>
      </c>
      <c r="AC1424" t="s">
        <v>822</v>
      </c>
      <c r="AH1424" t="s">
        <v>72</v>
      </c>
      <c r="AI1424" t="s">
        <v>1482</v>
      </c>
      <c r="AJ1424">
        <v>2023</v>
      </c>
      <c r="AK1424" t="s">
        <v>824</v>
      </c>
      <c r="AM1424" t="s">
        <v>825</v>
      </c>
      <c r="AN1424" t="s">
        <v>76</v>
      </c>
      <c r="AO1424" t="s">
        <v>77</v>
      </c>
      <c r="AP1424" t="s">
        <v>115</v>
      </c>
      <c r="AQ1424" t="s">
        <v>826</v>
      </c>
      <c r="AR1424" t="s">
        <v>80</v>
      </c>
      <c r="AS1424">
        <v>315</v>
      </c>
      <c r="AT1424" t="s">
        <v>81</v>
      </c>
      <c r="AU1424">
        <v>8.9700000000000006</v>
      </c>
      <c r="AV1424">
        <v>34.380000000000003</v>
      </c>
      <c r="AW1424" t="s">
        <v>82</v>
      </c>
      <c r="AX1424">
        <v>315</v>
      </c>
      <c r="AY1424" t="s">
        <v>81</v>
      </c>
      <c r="AZ1424">
        <v>-1.55</v>
      </c>
      <c r="BA1424">
        <v>37.049999999999997</v>
      </c>
      <c r="BB1424" t="s">
        <v>83</v>
      </c>
    </row>
    <row r="1425" spans="1:54" x14ac:dyDescent="0.4">
      <c r="A1425">
        <v>1651915</v>
      </c>
      <c r="D1425" t="s">
        <v>54</v>
      </c>
      <c r="E1425" t="s">
        <v>310</v>
      </c>
      <c r="F1425" t="s">
        <v>5692</v>
      </c>
      <c r="G1425">
        <v>1</v>
      </c>
      <c r="H1425" t="s">
        <v>84</v>
      </c>
      <c r="I1425" t="s">
        <v>57</v>
      </c>
      <c r="K1425" t="s">
        <v>141</v>
      </c>
      <c r="L1425" t="s">
        <v>1442</v>
      </c>
      <c r="M1425" t="s">
        <v>60</v>
      </c>
      <c r="O1425" t="s">
        <v>87</v>
      </c>
      <c r="P1425" t="s">
        <v>135</v>
      </c>
      <c r="R1425" t="s">
        <v>63</v>
      </c>
      <c r="S1425" t="s">
        <v>64</v>
      </c>
      <c r="T1425">
        <v>237</v>
      </c>
      <c r="U1425">
        <v>227</v>
      </c>
      <c r="V1425">
        <f t="shared" si="44"/>
        <v>232</v>
      </c>
      <c r="W1425">
        <f t="shared" si="45"/>
        <v>10</v>
      </c>
      <c r="X1425">
        <v>-53.368609999999997</v>
      </c>
      <c r="Y1425">
        <v>-21.627222</v>
      </c>
      <c r="Z1425" t="s">
        <v>734</v>
      </c>
      <c r="AA1425" t="s">
        <v>783</v>
      </c>
      <c r="AB1425" t="s">
        <v>784</v>
      </c>
      <c r="AH1425" t="s">
        <v>72</v>
      </c>
      <c r="AI1425" t="s">
        <v>5693</v>
      </c>
      <c r="AJ1425">
        <v>2018</v>
      </c>
      <c r="AK1425" t="s">
        <v>5694</v>
      </c>
      <c r="AM1425" t="s">
        <v>5695</v>
      </c>
      <c r="AN1425" t="s">
        <v>76</v>
      </c>
      <c r="AO1425" t="s">
        <v>77</v>
      </c>
      <c r="AP1425" t="s">
        <v>78</v>
      </c>
      <c r="AQ1425" t="s">
        <v>5696</v>
      </c>
      <c r="AR1425" t="s">
        <v>80</v>
      </c>
      <c r="AS1425">
        <v>201</v>
      </c>
      <c r="AT1425" t="s">
        <v>81</v>
      </c>
      <c r="AU1425">
        <v>-11.35</v>
      </c>
      <c r="AV1425">
        <v>-29.03</v>
      </c>
      <c r="AW1425" t="s">
        <v>82</v>
      </c>
      <c r="AX1425">
        <v>201</v>
      </c>
      <c r="AY1425" t="s">
        <v>81</v>
      </c>
      <c r="AZ1425">
        <v>-18.04</v>
      </c>
      <c r="BA1425">
        <v>-38.04</v>
      </c>
      <c r="BB1425" t="s">
        <v>83</v>
      </c>
    </row>
    <row r="1426" spans="1:54" x14ac:dyDescent="0.4">
      <c r="A1426">
        <v>1657016</v>
      </c>
      <c r="D1426" t="s">
        <v>54</v>
      </c>
      <c r="E1426" t="s">
        <v>310</v>
      </c>
      <c r="F1426" t="s">
        <v>719</v>
      </c>
      <c r="I1426" t="s">
        <v>57</v>
      </c>
      <c r="K1426" t="s">
        <v>58</v>
      </c>
      <c r="L1426" t="s">
        <v>5697</v>
      </c>
      <c r="M1426" t="s">
        <v>60</v>
      </c>
      <c r="P1426" t="s">
        <v>135</v>
      </c>
      <c r="R1426" t="s">
        <v>63</v>
      </c>
      <c r="S1426" t="s">
        <v>64</v>
      </c>
      <c r="T1426">
        <v>237</v>
      </c>
      <c r="U1426">
        <v>227</v>
      </c>
      <c r="V1426">
        <f t="shared" si="44"/>
        <v>232</v>
      </c>
      <c r="W1426">
        <f t="shared" si="45"/>
        <v>10</v>
      </c>
      <c r="X1426">
        <v>-77.671386999999996</v>
      </c>
      <c r="Y1426">
        <v>37.463889999999999</v>
      </c>
      <c r="Z1426" t="s">
        <v>346</v>
      </c>
      <c r="AA1426" t="s">
        <v>66</v>
      </c>
      <c r="AB1426" t="s">
        <v>721</v>
      </c>
      <c r="AC1426" t="s">
        <v>722</v>
      </c>
      <c r="AD1426" t="s">
        <v>723</v>
      </c>
      <c r="AE1426" t="s">
        <v>722</v>
      </c>
      <c r="AF1426" t="s">
        <v>724</v>
      </c>
      <c r="AH1426" t="s">
        <v>72</v>
      </c>
      <c r="AI1426" t="s">
        <v>5237</v>
      </c>
      <c r="AJ1426">
        <v>2024</v>
      </c>
      <c r="AK1426" t="s">
        <v>726</v>
      </c>
      <c r="AM1426" t="s">
        <v>727</v>
      </c>
      <c r="AN1426" t="s">
        <v>76</v>
      </c>
      <c r="AO1426" t="s">
        <v>77</v>
      </c>
      <c r="AP1426" t="s">
        <v>78</v>
      </c>
      <c r="AQ1426" t="s">
        <v>728</v>
      </c>
      <c r="AR1426" t="s">
        <v>80</v>
      </c>
      <c r="AS1426">
        <v>109</v>
      </c>
      <c r="AT1426" t="s">
        <v>81</v>
      </c>
      <c r="AU1426">
        <v>-8.8699999999999992</v>
      </c>
      <c r="AV1426">
        <v>12.64</v>
      </c>
      <c r="AW1426" t="s">
        <v>82</v>
      </c>
      <c r="AX1426">
        <v>109</v>
      </c>
      <c r="AY1426" t="s">
        <v>81</v>
      </c>
      <c r="AZ1426">
        <v>-16.760000000000002</v>
      </c>
      <c r="BA1426">
        <v>2.7</v>
      </c>
      <c r="BB1426" t="s">
        <v>83</v>
      </c>
    </row>
    <row r="1427" spans="1:54" x14ac:dyDescent="0.4">
      <c r="A1427" s="2" t="s">
        <v>5824</v>
      </c>
      <c r="B1427" s="2"/>
      <c r="C1427" s="2"/>
      <c r="D1427" s="2" t="s">
        <v>54</v>
      </c>
      <c r="E1427" s="2"/>
      <c r="F1427" s="2" t="s">
        <v>5825</v>
      </c>
      <c r="G1427" s="2">
        <v>1</v>
      </c>
      <c r="H1427" s="2" t="s">
        <v>5718</v>
      </c>
      <c r="I1427" s="3" t="s">
        <v>57</v>
      </c>
      <c r="J1427" s="3" t="s">
        <v>5719</v>
      </c>
      <c r="K1427" s="3" t="s">
        <v>316</v>
      </c>
      <c r="L1427" s="4" t="s">
        <v>5826</v>
      </c>
      <c r="M1427" s="3" t="s">
        <v>60</v>
      </c>
      <c r="N1427" s="4"/>
      <c r="O1427" s="4"/>
      <c r="P1427" s="3" t="s">
        <v>135</v>
      </c>
      <c r="Q1427" s="3"/>
      <c r="R1427" s="3" t="s">
        <v>5827</v>
      </c>
      <c r="S1427" s="3" t="s">
        <v>64</v>
      </c>
      <c r="T1427">
        <v>237</v>
      </c>
      <c r="U1427">
        <v>227</v>
      </c>
      <c r="V1427">
        <f t="shared" si="44"/>
        <v>232</v>
      </c>
      <c r="W1427">
        <f t="shared" si="45"/>
        <v>10</v>
      </c>
      <c r="X1427" s="5">
        <v>-52.45</v>
      </c>
      <c r="Y1427" s="5">
        <v>-29.74</v>
      </c>
      <c r="Z1427" s="3"/>
      <c r="AA1427" s="3" t="s">
        <v>783</v>
      </c>
      <c r="AB1427" s="3" t="s">
        <v>5828</v>
      </c>
      <c r="AC1427" s="3" t="s">
        <v>5829</v>
      </c>
      <c r="AD1427" s="3" t="s">
        <v>943</v>
      </c>
      <c r="AE1427" s="3" t="s">
        <v>5830</v>
      </c>
      <c r="AF1427" s="3" t="s">
        <v>944</v>
      </c>
      <c r="AG1427" s="4" t="s">
        <v>4624</v>
      </c>
      <c r="AH1427" s="4"/>
      <c r="AI1427" s="3" t="s">
        <v>5831</v>
      </c>
      <c r="AJ1427" s="3">
        <v>2013</v>
      </c>
      <c r="AK1427" s="10" t="s">
        <v>5832</v>
      </c>
      <c r="AL1427" s="11" t="s">
        <v>5833</v>
      </c>
      <c r="AM1427" s="5"/>
      <c r="AN1427" s="5"/>
      <c r="AO1427" s="3"/>
      <c r="AP1427" s="3"/>
      <c r="AQ1427" s="3"/>
      <c r="AR1427" s="3"/>
      <c r="AS1427" s="3"/>
      <c r="AT1427" s="3"/>
      <c r="AU1427" s="3"/>
      <c r="AV1427" s="3"/>
      <c r="AW1427" s="3"/>
      <c r="AX1427" s="3"/>
      <c r="AY1427" s="3"/>
      <c r="AZ1427" s="3"/>
      <c r="BA1427" s="3"/>
      <c r="BB1427" s="3"/>
    </row>
    <row r="1428" spans="1:54" x14ac:dyDescent="0.4">
      <c r="A1428" s="2" t="s">
        <v>5834</v>
      </c>
      <c r="B1428" s="2"/>
      <c r="C1428" s="2"/>
      <c r="D1428" s="2" t="s">
        <v>54</v>
      </c>
      <c r="E1428" s="2"/>
      <c r="F1428" s="12" t="s">
        <v>5835</v>
      </c>
      <c r="G1428" s="2">
        <v>1</v>
      </c>
      <c r="H1428" s="2" t="s">
        <v>5718</v>
      </c>
      <c r="I1428" s="3" t="s">
        <v>57</v>
      </c>
      <c r="J1428" s="3" t="s">
        <v>5836</v>
      </c>
      <c r="K1428" s="3" t="s">
        <v>5837</v>
      </c>
      <c r="L1428" s="4" t="s">
        <v>5838</v>
      </c>
      <c r="M1428" s="3" t="s">
        <v>60</v>
      </c>
      <c r="N1428" s="4"/>
      <c r="O1428" s="4"/>
      <c r="P1428" s="3" t="s">
        <v>135</v>
      </c>
      <c r="Q1428" s="3"/>
      <c r="R1428" s="3" t="s">
        <v>5827</v>
      </c>
      <c r="S1428" s="3" t="s">
        <v>64</v>
      </c>
      <c r="T1428">
        <v>237</v>
      </c>
      <c r="U1428">
        <v>227</v>
      </c>
      <c r="V1428">
        <f t="shared" si="44"/>
        <v>232</v>
      </c>
      <c r="W1428">
        <f t="shared" si="45"/>
        <v>10</v>
      </c>
      <c r="X1428" s="5">
        <v>-53.999104671368002</v>
      </c>
      <c r="Y1428" s="5">
        <v>-29.7657010395559</v>
      </c>
      <c r="Z1428" s="3"/>
      <c r="AA1428" s="3" t="s">
        <v>783</v>
      </c>
      <c r="AB1428" s="3" t="s">
        <v>5828</v>
      </c>
      <c r="AC1428" s="3"/>
      <c r="AD1428" s="3" t="s">
        <v>943</v>
      </c>
      <c r="AE1428" s="3" t="s">
        <v>5830</v>
      </c>
      <c r="AF1428" s="3" t="s">
        <v>944</v>
      </c>
      <c r="AG1428" s="4" t="s">
        <v>5839</v>
      </c>
      <c r="AH1428" s="4"/>
      <c r="AI1428" s="3" t="s">
        <v>5840</v>
      </c>
      <c r="AJ1428" s="3">
        <v>2024</v>
      </c>
      <c r="AK1428" s="8" t="s">
        <v>5841</v>
      </c>
      <c r="AL1428" s="6" t="s">
        <v>5842</v>
      </c>
      <c r="AM1428" s="5"/>
      <c r="AN1428" s="5"/>
      <c r="AO1428" s="3"/>
      <c r="AP1428" s="3"/>
      <c r="AQ1428" s="3"/>
      <c r="AR1428" s="3"/>
      <c r="AS1428" s="3"/>
      <c r="AT1428" s="3"/>
      <c r="AU1428" s="3"/>
      <c r="AV1428" s="3"/>
      <c r="AW1428" s="3"/>
      <c r="AX1428" s="3"/>
      <c r="AY1428" s="3"/>
      <c r="AZ1428" s="3"/>
      <c r="BA1428" s="3"/>
      <c r="BB1428" s="3"/>
    </row>
    <row r="1429" spans="1:54" x14ac:dyDescent="0.4">
      <c r="A1429" s="2" t="s">
        <v>5843</v>
      </c>
      <c r="B1429" s="2"/>
      <c r="C1429" s="2"/>
      <c r="D1429" s="2" t="s">
        <v>54</v>
      </c>
      <c r="E1429" s="2"/>
      <c r="F1429" s="2" t="s">
        <v>5844</v>
      </c>
      <c r="G1429" s="2">
        <v>1</v>
      </c>
      <c r="H1429" s="2" t="s">
        <v>5718</v>
      </c>
      <c r="I1429" s="3" t="s">
        <v>57</v>
      </c>
      <c r="J1429" s="3" t="s">
        <v>5719</v>
      </c>
      <c r="K1429" s="3" t="s">
        <v>3685</v>
      </c>
      <c r="L1429" s="4" t="s">
        <v>5845</v>
      </c>
      <c r="M1429" s="3" t="s">
        <v>60</v>
      </c>
      <c r="N1429" s="4"/>
      <c r="O1429" s="4"/>
      <c r="P1429" s="3" t="s">
        <v>135</v>
      </c>
      <c r="Q1429" s="3"/>
      <c r="R1429" s="3" t="s">
        <v>5827</v>
      </c>
      <c r="S1429" s="3" t="s">
        <v>64</v>
      </c>
      <c r="T1429">
        <v>237</v>
      </c>
      <c r="U1429">
        <v>227</v>
      </c>
      <c r="V1429">
        <f t="shared" si="44"/>
        <v>232</v>
      </c>
      <c r="W1429">
        <f t="shared" si="45"/>
        <v>10</v>
      </c>
      <c r="X1429" s="5">
        <v>-53.29</v>
      </c>
      <c r="Y1429" s="5">
        <v>-29.65</v>
      </c>
      <c r="Z1429" s="3"/>
      <c r="AA1429" s="3" t="s">
        <v>783</v>
      </c>
      <c r="AB1429" s="3" t="s">
        <v>5828</v>
      </c>
      <c r="AC1429" s="3" t="s">
        <v>5846</v>
      </c>
      <c r="AD1429" s="3" t="s">
        <v>943</v>
      </c>
      <c r="AE1429" s="3" t="s">
        <v>5830</v>
      </c>
      <c r="AF1429" s="3" t="s">
        <v>944</v>
      </c>
      <c r="AG1429" s="4" t="s">
        <v>5847</v>
      </c>
      <c r="AH1429" s="4"/>
      <c r="AI1429" s="3" t="s">
        <v>5848</v>
      </c>
      <c r="AJ1429" s="5">
        <v>2020</v>
      </c>
      <c r="AK1429" s="3" t="s">
        <v>5849</v>
      </c>
      <c r="AL1429" s="6" t="s">
        <v>5850</v>
      </c>
      <c r="AM1429" s="5"/>
      <c r="AN1429" s="5"/>
      <c r="AO1429" s="3"/>
      <c r="AP1429" s="3"/>
      <c r="AQ1429" s="3"/>
      <c r="AR1429" s="3"/>
      <c r="AS1429" s="3"/>
      <c r="AT1429" s="3"/>
      <c r="AU1429" s="3"/>
      <c r="AV1429" s="3"/>
      <c r="AW1429" s="3"/>
      <c r="AX1429" s="3"/>
      <c r="AY1429" s="3"/>
      <c r="AZ1429" s="3"/>
      <c r="BA1429" s="3"/>
      <c r="BB1429" s="3"/>
    </row>
    <row r="1430" spans="1:54" x14ac:dyDescent="0.4">
      <c r="A1430" s="2" t="s">
        <v>5851</v>
      </c>
      <c r="B1430" s="2"/>
      <c r="C1430" s="2"/>
      <c r="D1430" s="2" t="s">
        <v>54</v>
      </c>
      <c r="E1430" s="2"/>
      <c r="F1430" s="2" t="s">
        <v>5852</v>
      </c>
      <c r="G1430" s="2">
        <v>1</v>
      </c>
      <c r="H1430" s="2" t="s">
        <v>5718</v>
      </c>
      <c r="I1430" s="3" t="s">
        <v>57</v>
      </c>
      <c r="J1430" s="3" t="s">
        <v>5719</v>
      </c>
      <c r="K1430" s="3" t="s">
        <v>5853</v>
      </c>
      <c r="L1430" s="4" t="s">
        <v>5854</v>
      </c>
      <c r="M1430" s="3" t="s">
        <v>60</v>
      </c>
      <c r="N1430" s="4"/>
      <c r="O1430" s="4"/>
      <c r="P1430" s="3" t="s">
        <v>135</v>
      </c>
      <c r="Q1430" s="3"/>
      <c r="R1430" s="3" t="s">
        <v>5827</v>
      </c>
      <c r="S1430" s="3" t="s">
        <v>64</v>
      </c>
      <c r="T1430">
        <v>237</v>
      </c>
      <c r="U1430">
        <v>227</v>
      </c>
      <c r="V1430">
        <f t="shared" si="44"/>
        <v>232</v>
      </c>
      <c r="W1430">
        <f t="shared" si="45"/>
        <v>10</v>
      </c>
      <c r="X1430" s="5">
        <v>-54.13</v>
      </c>
      <c r="Y1430" s="5">
        <v>-29.63</v>
      </c>
      <c r="Z1430" s="3"/>
      <c r="AA1430" s="3" t="s">
        <v>783</v>
      </c>
      <c r="AB1430" s="3" t="s">
        <v>5828</v>
      </c>
      <c r="AC1430" s="3" t="s">
        <v>5855</v>
      </c>
      <c r="AD1430" s="3" t="s">
        <v>943</v>
      </c>
      <c r="AE1430" s="3" t="s">
        <v>5830</v>
      </c>
      <c r="AF1430" s="3" t="s">
        <v>944</v>
      </c>
      <c r="AG1430" s="4" t="s">
        <v>841</v>
      </c>
      <c r="AH1430" s="4"/>
      <c r="AI1430" s="3" t="s">
        <v>5856</v>
      </c>
      <c r="AJ1430" s="5">
        <v>2012</v>
      </c>
      <c r="AK1430" s="3" t="s">
        <v>5857</v>
      </c>
      <c r="AL1430" s="6" t="s">
        <v>5858</v>
      </c>
      <c r="AM1430" s="5"/>
      <c r="AN1430" s="5"/>
      <c r="AO1430" s="3"/>
      <c r="AP1430" s="3"/>
      <c r="AQ1430" s="3"/>
      <c r="AR1430" s="3"/>
      <c r="AS1430" s="3"/>
      <c r="AT1430" s="3"/>
      <c r="AU1430" s="3"/>
      <c r="AV1430" s="3"/>
      <c r="AW1430" s="3"/>
      <c r="AX1430" s="3"/>
      <c r="AY1430" s="3"/>
      <c r="AZ1430" s="3"/>
      <c r="BA1430" s="3"/>
      <c r="BB1430" s="3"/>
    </row>
    <row r="1431" spans="1:54" x14ac:dyDescent="0.4">
      <c r="A1431" s="2" t="s">
        <v>5859</v>
      </c>
      <c r="B1431" s="2"/>
      <c r="C1431" s="2"/>
      <c r="D1431" s="2" t="s">
        <v>54</v>
      </c>
      <c r="E1431" s="2"/>
      <c r="F1431" s="12" t="s">
        <v>5860</v>
      </c>
      <c r="G1431" s="2">
        <v>1</v>
      </c>
      <c r="H1431" s="2" t="s">
        <v>5718</v>
      </c>
      <c r="I1431" s="3" t="s">
        <v>57</v>
      </c>
      <c r="J1431" s="3" t="s">
        <v>5719</v>
      </c>
      <c r="K1431" s="3" t="s">
        <v>196</v>
      </c>
      <c r="L1431" s="3" t="s">
        <v>5861</v>
      </c>
      <c r="M1431" s="3" t="s">
        <v>60</v>
      </c>
      <c r="N1431" s="3"/>
      <c r="O1431" s="3"/>
      <c r="P1431" s="3" t="s">
        <v>135</v>
      </c>
      <c r="Q1431" s="3"/>
      <c r="R1431" s="3" t="s">
        <v>5827</v>
      </c>
      <c r="S1431" s="3" t="s">
        <v>64</v>
      </c>
      <c r="T1431">
        <v>237</v>
      </c>
      <c r="U1431">
        <v>227</v>
      </c>
      <c r="V1431">
        <f t="shared" si="44"/>
        <v>232</v>
      </c>
      <c r="W1431">
        <f t="shared" si="45"/>
        <v>10</v>
      </c>
      <c r="X1431" s="5">
        <v>-53.77</v>
      </c>
      <c r="Y1431" s="5">
        <v>-29.69</v>
      </c>
      <c r="Z1431" s="3"/>
      <c r="AA1431" s="3" t="s">
        <v>783</v>
      </c>
      <c r="AB1431" s="3" t="s">
        <v>5828</v>
      </c>
      <c r="AC1431" s="3" t="s">
        <v>5862</v>
      </c>
      <c r="AD1431" s="3" t="s">
        <v>943</v>
      </c>
      <c r="AE1431" s="3" t="s">
        <v>5830</v>
      </c>
      <c r="AF1431" s="3" t="s">
        <v>944</v>
      </c>
      <c r="AG1431" s="4" t="s">
        <v>841</v>
      </c>
      <c r="AH1431" s="4"/>
      <c r="AI1431" s="3" t="s">
        <v>5863</v>
      </c>
      <c r="AJ1431" s="5">
        <v>1942</v>
      </c>
      <c r="AK1431" s="3" t="s">
        <v>5864</v>
      </c>
      <c r="AL1431" s="6" t="s">
        <v>5865</v>
      </c>
      <c r="AM1431" s="5"/>
      <c r="AN1431" s="5"/>
      <c r="AO1431" s="3"/>
      <c r="AP1431" s="3"/>
      <c r="AQ1431" s="3"/>
      <c r="AR1431" s="3"/>
      <c r="AS1431" s="3"/>
      <c r="AT1431" s="3"/>
      <c r="AU1431" s="3"/>
      <c r="AV1431" s="3"/>
      <c r="AW1431" s="3"/>
      <c r="AX1431" s="3"/>
      <c r="AY1431" s="3"/>
      <c r="AZ1431" s="3"/>
      <c r="BA1431" s="3"/>
      <c r="BB1431" s="3"/>
    </row>
    <row r="1432" spans="1:54" x14ac:dyDescent="0.4">
      <c r="A1432" s="2" t="s">
        <v>5866</v>
      </c>
      <c r="B1432" s="2"/>
      <c r="C1432" s="2"/>
      <c r="D1432" s="2" t="s">
        <v>54</v>
      </c>
      <c r="E1432" s="2"/>
      <c r="F1432" s="2" t="s">
        <v>5867</v>
      </c>
      <c r="G1432" s="2">
        <v>1</v>
      </c>
      <c r="H1432" s="2" t="s">
        <v>5718</v>
      </c>
      <c r="I1432" s="3" t="s">
        <v>57</v>
      </c>
      <c r="J1432" s="3" t="s">
        <v>5719</v>
      </c>
      <c r="K1432" s="3" t="s">
        <v>5720</v>
      </c>
      <c r="L1432" s="7" t="s">
        <v>5868</v>
      </c>
      <c r="M1432" s="3" t="s">
        <v>60</v>
      </c>
      <c r="N1432" s="7"/>
      <c r="O1432" s="7"/>
      <c r="P1432" s="3" t="s">
        <v>135</v>
      </c>
      <c r="Q1432" s="3"/>
      <c r="R1432" s="3" t="s">
        <v>5827</v>
      </c>
      <c r="S1432" s="3" t="s">
        <v>64</v>
      </c>
      <c r="T1432">
        <v>237</v>
      </c>
      <c r="U1432">
        <v>227</v>
      </c>
      <c r="V1432">
        <f t="shared" si="44"/>
        <v>232</v>
      </c>
      <c r="W1432">
        <f t="shared" si="45"/>
        <v>10</v>
      </c>
      <c r="X1432" s="5" t="s">
        <v>5869</v>
      </c>
      <c r="Y1432" s="5" t="s">
        <v>5870</v>
      </c>
      <c r="Z1432" s="5"/>
      <c r="AA1432" s="3" t="s">
        <v>5871</v>
      </c>
      <c r="AB1432" s="3" t="s">
        <v>5872</v>
      </c>
      <c r="AC1432" s="3"/>
      <c r="AD1432" s="3" t="s">
        <v>2477</v>
      </c>
      <c r="AE1432" s="3" t="s">
        <v>2011</v>
      </c>
      <c r="AF1432" s="3"/>
      <c r="AG1432" s="4" t="s">
        <v>5720</v>
      </c>
      <c r="AH1432" s="4"/>
      <c r="AI1432" s="3" t="s">
        <v>5873</v>
      </c>
      <c r="AJ1432" s="3">
        <v>2023</v>
      </c>
      <c r="AK1432" s="5" t="s">
        <v>5874</v>
      </c>
      <c r="AL1432" s="9" t="s">
        <v>5875</v>
      </c>
      <c r="AM1432" s="5"/>
      <c r="AN1432" s="5"/>
      <c r="AO1432" s="3"/>
      <c r="AP1432" s="3"/>
      <c r="AQ1432" s="3"/>
      <c r="AR1432" s="3"/>
      <c r="AS1432" s="3"/>
      <c r="AT1432" s="3"/>
      <c r="AU1432" s="3"/>
      <c r="AV1432" s="3"/>
      <c r="AW1432" s="3"/>
      <c r="AX1432" s="3"/>
      <c r="AY1432" s="3"/>
      <c r="AZ1432" s="3"/>
      <c r="BA1432" s="3"/>
      <c r="BB1432" s="3"/>
    </row>
    <row r="1433" spans="1:54" x14ac:dyDescent="0.4">
      <c r="A1433" s="2" t="s">
        <v>5876</v>
      </c>
      <c r="B1433" s="2"/>
      <c r="C1433" s="2"/>
      <c r="D1433" s="2" t="s">
        <v>54</v>
      </c>
      <c r="E1433" s="2"/>
      <c r="F1433" s="2" t="s">
        <v>5877</v>
      </c>
      <c r="G1433" s="2">
        <v>1</v>
      </c>
      <c r="H1433" s="2" t="s">
        <v>5718</v>
      </c>
      <c r="I1433" s="3" t="s">
        <v>57</v>
      </c>
      <c r="J1433" s="3" t="s">
        <v>5836</v>
      </c>
      <c r="K1433" s="3" t="s">
        <v>100</v>
      </c>
      <c r="L1433" s="4" t="s">
        <v>5878</v>
      </c>
      <c r="M1433" s="3" t="s">
        <v>60</v>
      </c>
      <c r="N1433" s="4"/>
      <c r="O1433" s="4"/>
      <c r="P1433" s="3" t="s">
        <v>135</v>
      </c>
      <c r="Q1433" s="3"/>
      <c r="R1433" s="3" t="s">
        <v>5827</v>
      </c>
      <c r="S1433" s="3" t="s">
        <v>64</v>
      </c>
      <c r="T1433">
        <v>237</v>
      </c>
      <c r="U1433">
        <v>227</v>
      </c>
      <c r="V1433">
        <f t="shared" si="44"/>
        <v>232</v>
      </c>
      <c r="W1433">
        <f t="shared" si="45"/>
        <v>10</v>
      </c>
      <c r="X1433" s="5" t="s">
        <v>5879</v>
      </c>
      <c r="Y1433" s="5" t="s">
        <v>5880</v>
      </c>
      <c r="Z1433" s="5"/>
      <c r="AA1433" s="3" t="s">
        <v>91</v>
      </c>
      <c r="AB1433" s="8" t="s">
        <v>5881</v>
      </c>
      <c r="AC1433" s="3"/>
      <c r="AD1433" s="3" t="s">
        <v>5720</v>
      </c>
      <c r="AE1433" s="3" t="s">
        <v>5720</v>
      </c>
      <c r="AF1433" s="3" t="s">
        <v>5720</v>
      </c>
      <c r="AG1433" s="4" t="s">
        <v>5720</v>
      </c>
      <c r="AH1433" s="4"/>
      <c r="AI1433" s="3" t="s">
        <v>5882</v>
      </c>
      <c r="AJ1433" s="3">
        <v>2024</v>
      </c>
      <c r="AK1433" s="5" t="s">
        <v>5883</v>
      </c>
      <c r="AL1433" s="9" t="s">
        <v>5884</v>
      </c>
      <c r="AM1433" s="5"/>
      <c r="AN1433" s="5"/>
      <c r="AO1433" s="3"/>
      <c r="AP1433" s="3"/>
      <c r="AQ1433" s="3"/>
      <c r="AR1433" s="3"/>
      <c r="AS1433" s="3"/>
      <c r="AT1433" s="3"/>
      <c r="AU1433" s="3"/>
      <c r="AV1433" s="3"/>
      <c r="AW1433" s="3"/>
      <c r="AX1433" s="3"/>
      <c r="AY1433" s="3"/>
      <c r="AZ1433" s="3"/>
      <c r="BA1433" s="3"/>
      <c r="BB1433" s="3"/>
    </row>
    <row r="1434" spans="1:54" x14ac:dyDescent="0.4">
      <c r="A1434" s="2" t="s">
        <v>5885</v>
      </c>
      <c r="B1434" s="2"/>
      <c r="C1434" s="2"/>
      <c r="D1434" s="2" t="s">
        <v>54</v>
      </c>
      <c r="E1434" s="2"/>
      <c r="F1434" s="2" t="s">
        <v>5886</v>
      </c>
      <c r="G1434" s="2">
        <v>1</v>
      </c>
      <c r="H1434" s="2" t="s">
        <v>5718</v>
      </c>
      <c r="I1434" s="3" t="s">
        <v>57</v>
      </c>
      <c r="J1434" s="3" t="s">
        <v>5836</v>
      </c>
      <c r="K1434" s="3" t="s">
        <v>100</v>
      </c>
      <c r="L1434" s="3" t="s">
        <v>5887</v>
      </c>
      <c r="M1434" s="3" t="s">
        <v>60</v>
      </c>
      <c r="N1434" s="3"/>
      <c r="O1434" s="3"/>
      <c r="P1434" s="3" t="s">
        <v>135</v>
      </c>
      <c r="Q1434" s="3"/>
      <c r="R1434" s="3" t="s">
        <v>5827</v>
      </c>
      <c r="S1434" s="3" t="s">
        <v>64</v>
      </c>
      <c r="T1434">
        <v>237</v>
      </c>
      <c r="U1434">
        <v>227</v>
      </c>
      <c r="V1434">
        <f t="shared" si="44"/>
        <v>232</v>
      </c>
      <c r="W1434">
        <f t="shared" si="45"/>
        <v>10</v>
      </c>
      <c r="X1434" s="5" t="s">
        <v>5888</v>
      </c>
      <c r="Y1434" s="5" t="s">
        <v>5889</v>
      </c>
      <c r="Z1434" s="5"/>
      <c r="AA1434" s="3" t="s">
        <v>91</v>
      </c>
      <c r="AB1434" s="3" t="s">
        <v>2569</v>
      </c>
      <c r="AC1434" s="3" t="s">
        <v>5720</v>
      </c>
      <c r="AD1434" s="3" t="s">
        <v>5890</v>
      </c>
      <c r="AE1434" s="3" t="s">
        <v>5720</v>
      </c>
      <c r="AF1434" s="3" t="s">
        <v>5720</v>
      </c>
      <c r="AG1434" s="4" t="s">
        <v>5720</v>
      </c>
      <c r="AH1434" s="4"/>
      <c r="AI1434" s="8" t="s">
        <v>5891</v>
      </c>
      <c r="AJ1434" s="3">
        <v>1852</v>
      </c>
      <c r="AK1434" s="5" t="s">
        <v>5892</v>
      </c>
      <c r="AL1434" s="9" t="s">
        <v>5893</v>
      </c>
      <c r="AM1434" s="5"/>
      <c r="AN1434" s="5"/>
      <c r="AO1434" s="3"/>
      <c r="AP1434" s="3"/>
      <c r="AQ1434" s="3"/>
      <c r="AR1434" s="3"/>
      <c r="AS1434" s="3"/>
      <c r="AT1434" s="3"/>
      <c r="AU1434" s="3"/>
      <c r="AV1434" s="3"/>
      <c r="AW1434" s="3"/>
      <c r="AX1434" s="3"/>
      <c r="AY1434" s="3"/>
      <c r="AZ1434" s="3"/>
      <c r="BA1434" s="3"/>
      <c r="BB1434" s="3"/>
    </row>
    <row r="1435" spans="1:54" x14ac:dyDescent="0.4">
      <c r="A1435" s="2" t="s">
        <v>5894</v>
      </c>
      <c r="B1435" s="2"/>
      <c r="C1435" s="2"/>
      <c r="D1435" s="2" t="s">
        <v>54</v>
      </c>
      <c r="E1435" s="2"/>
      <c r="F1435" s="2" t="s">
        <v>5895</v>
      </c>
      <c r="G1435" s="2">
        <v>1</v>
      </c>
      <c r="H1435" s="2" t="s">
        <v>5718</v>
      </c>
      <c r="I1435" s="3" t="s">
        <v>57</v>
      </c>
      <c r="J1435" s="3" t="s">
        <v>5719</v>
      </c>
      <c r="K1435" s="3" t="s">
        <v>5720</v>
      </c>
      <c r="L1435" s="7" t="s">
        <v>5896</v>
      </c>
      <c r="M1435" s="3" t="s">
        <v>60</v>
      </c>
      <c r="N1435" s="7"/>
      <c r="O1435" s="7"/>
      <c r="P1435" s="3" t="s">
        <v>135</v>
      </c>
      <c r="Q1435" s="3"/>
      <c r="R1435" s="3" t="s">
        <v>5827</v>
      </c>
      <c r="S1435" s="3" t="s">
        <v>64</v>
      </c>
      <c r="T1435">
        <v>237</v>
      </c>
      <c r="U1435">
        <v>227</v>
      </c>
      <c r="V1435">
        <f t="shared" si="44"/>
        <v>232</v>
      </c>
      <c r="W1435">
        <f t="shared" si="45"/>
        <v>10</v>
      </c>
      <c r="X1435" s="5" t="s">
        <v>5897</v>
      </c>
      <c r="Y1435" s="5" t="s">
        <v>5898</v>
      </c>
      <c r="Z1435" s="5"/>
      <c r="AA1435" s="3" t="s">
        <v>5871</v>
      </c>
      <c r="AB1435" s="8" t="s">
        <v>2482</v>
      </c>
      <c r="AC1435" s="8" t="s">
        <v>5720</v>
      </c>
      <c r="AD1435" s="3" t="s">
        <v>2477</v>
      </c>
      <c r="AE1435" s="3" t="s">
        <v>2011</v>
      </c>
      <c r="AF1435" s="3" t="s">
        <v>5720</v>
      </c>
      <c r="AG1435" s="4" t="s">
        <v>5720</v>
      </c>
      <c r="AH1435" s="4"/>
      <c r="AI1435" s="3" t="s">
        <v>5899</v>
      </c>
      <c r="AJ1435" s="3">
        <v>2025</v>
      </c>
      <c r="AK1435" s="3" t="s">
        <v>5900</v>
      </c>
      <c r="AL1435" s="9" t="s">
        <v>5901</v>
      </c>
      <c r="AM1435" s="5"/>
      <c r="AN1435" s="5"/>
      <c r="AO1435" s="3"/>
      <c r="AP1435" s="3"/>
      <c r="AQ1435" s="3"/>
      <c r="AR1435" s="3"/>
      <c r="AS1435" s="3"/>
      <c r="AT1435" s="3"/>
      <c r="AU1435" s="3"/>
      <c r="AV1435" s="3"/>
      <c r="AW1435" s="3"/>
      <c r="AX1435" s="3"/>
      <c r="AY1435" s="3"/>
      <c r="AZ1435" s="3"/>
      <c r="BA1435" s="3"/>
      <c r="BB1435" s="3"/>
    </row>
    <row r="1436" spans="1:54" x14ac:dyDescent="0.4">
      <c r="A1436" s="2" t="s">
        <v>5716</v>
      </c>
      <c r="B1436" s="2"/>
      <c r="C1436" s="2"/>
      <c r="D1436" s="2" t="s">
        <v>54</v>
      </c>
      <c r="E1436" s="2"/>
      <c r="F1436" s="2" t="s">
        <v>5717</v>
      </c>
      <c r="G1436" s="2">
        <v>1</v>
      </c>
      <c r="H1436" s="2" t="s">
        <v>5718</v>
      </c>
      <c r="I1436" s="3" t="s">
        <v>57</v>
      </c>
      <c r="J1436" s="3" t="s">
        <v>5719</v>
      </c>
      <c r="K1436" s="3" t="s">
        <v>5720</v>
      </c>
      <c r="L1436" s="4" t="s">
        <v>4532</v>
      </c>
      <c r="M1436" s="3" t="s">
        <v>60</v>
      </c>
      <c r="N1436" s="4"/>
      <c r="O1436" s="4"/>
      <c r="P1436" s="3" t="s">
        <v>224</v>
      </c>
      <c r="Q1436" s="3"/>
      <c r="R1436" s="3" t="s">
        <v>183</v>
      </c>
      <c r="S1436" s="3" t="s">
        <v>64</v>
      </c>
      <c r="T1436">
        <v>246.7</v>
      </c>
      <c r="U1436">
        <v>237</v>
      </c>
      <c r="V1436">
        <f t="shared" si="44"/>
        <v>241.85</v>
      </c>
      <c r="W1436">
        <f t="shared" si="45"/>
        <v>9.6999999999999886</v>
      </c>
      <c r="X1436" s="5">
        <v>26.623055999999998</v>
      </c>
      <c r="Y1436" s="5">
        <v>-30.612223</v>
      </c>
      <c r="Z1436" s="5"/>
      <c r="AA1436" s="3" t="s">
        <v>106</v>
      </c>
      <c r="AB1436" s="3" t="s">
        <v>5721</v>
      </c>
      <c r="AC1436" s="3" t="s">
        <v>5720</v>
      </c>
      <c r="AD1436" s="3" t="s">
        <v>2023</v>
      </c>
      <c r="AE1436" s="3" t="s">
        <v>110</v>
      </c>
      <c r="AF1436" s="3" t="s">
        <v>5720</v>
      </c>
      <c r="AG1436" s="3" t="s">
        <v>5722</v>
      </c>
      <c r="AH1436" s="3"/>
      <c r="AI1436" s="3" t="s">
        <v>5720</v>
      </c>
      <c r="AJ1436" s="3" t="s">
        <v>5720</v>
      </c>
      <c r="AK1436" s="3" t="s">
        <v>5723</v>
      </c>
      <c r="AL1436" s="6" t="s">
        <v>5724</v>
      </c>
      <c r="AM1436" s="5"/>
      <c r="AN1436" s="5"/>
      <c r="AO1436" s="3"/>
      <c r="AP1436" s="3"/>
      <c r="AQ1436" s="3"/>
      <c r="AR1436" s="3"/>
      <c r="AS1436" s="3"/>
      <c r="AT1436" s="3"/>
      <c r="AU1436" s="3"/>
      <c r="AV1436" s="3"/>
      <c r="AW1436" s="3"/>
      <c r="AX1436" s="3"/>
      <c r="AY1436" s="3"/>
      <c r="AZ1436" s="3"/>
      <c r="BA1436" s="3"/>
      <c r="BB1436" s="3"/>
    </row>
    <row r="1437" spans="1:54" x14ac:dyDescent="0.4">
      <c r="A1437" s="2" t="s">
        <v>5725</v>
      </c>
      <c r="B1437" s="2"/>
      <c r="C1437" s="2"/>
      <c r="D1437" s="2" t="s">
        <v>54</v>
      </c>
      <c r="E1437" s="2"/>
      <c r="F1437" s="2" t="s">
        <v>5726</v>
      </c>
      <c r="G1437" s="2">
        <v>1</v>
      </c>
      <c r="H1437" s="2" t="s">
        <v>5718</v>
      </c>
      <c r="I1437" s="3" t="s">
        <v>57</v>
      </c>
      <c r="J1437" s="3" t="s">
        <v>5719</v>
      </c>
      <c r="K1437" s="3" t="s">
        <v>5720</v>
      </c>
      <c r="L1437" s="4" t="s">
        <v>4532</v>
      </c>
      <c r="M1437" s="3" t="s">
        <v>60</v>
      </c>
      <c r="N1437" s="4"/>
      <c r="O1437" s="4"/>
      <c r="P1437" s="3" t="s">
        <v>224</v>
      </c>
      <c r="Q1437" s="3"/>
      <c r="R1437" s="3" t="s">
        <v>183</v>
      </c>
      <c r="S1437" s="3" t="s">
        <v>64</v>
      </c>
      <c r="T1437">
        <v>246.7</v>
      </c>
      <c r="U1437">
        <v>237</v>
      </c>
      <c r="V1437">
        <f t="shared" si="44"/>
        <v>241.85</v>
      </c>
      <c r="W1437">
        <f t="shared" si="45"/>
        <v>9.6999999999999886</v>
      </c>
      <c r="X1437" s="5">
        <v>26.623055999999998</v>
      </c>
      <c r="Y1437" s="5">
        <v>-30.612223</v>
      </c>
      <c r="Z1437" s="5"/>
      <c r="AA1437" s="3" t="s">
        <v>106</v>
      </c>
      <c r="AB1437" s="3" t="s">
        <v>5721</v>
      </c>
      <c r="AC1437" s="3" t="s">
        <v>5720</v>
      </c>
      <c r="AD1437" s="3" t="s">
        <v>2023</v>
      </c>
      <c r="AE1437" s="3" t="s">
        <v>110</v>
      </c>
      <c r="AF1437" s="3" t="s">
        <v>5720</v>
      </c>
      <c r="AG1437" s="3" t="s">
        <v>5722</v>
      </c>
      <c r="AH1437" s="3"/>
      <c r="AI1437" s="3" t="s">
        <v>5720</v>
      </c>
      <c r="AJ1437" s="3" t="s">
        <v>5720</v>
      </c>
      <c r="AK1437" s="3" t="s">
        <v>5723</v>
      </c>
      <c r="AL1437" s="6" t="s">
        <v>5727</v>
      </c>
      <c r="AM1437" s="5"/>
      <c r="AN1437" s="5"/>
      <c r="AO1437" s="3"/>
      <c r="AP1437" s="3"/>
      <c r="AQ1437" s="3"/>
      <c r="AR1437" s="3"/>
      <c r="AS1437" s="3"/>
      <c r="AT1437" s="3"/>
      <c r="AU1437" s="3"/>
      <c r="AV1437" s="3"/>
      <c r="AW1437" s="3"/>
      <c r="AX1437" s="3"/>
      <c r="AY1437" s="3"/>
      <c r="AZ1437" s="3"/>
      <c r="BA1437" s="3"/>
      <c r="BB1437" s="3"/>
    </row>
    <row r="1438" spans="1:54" x14ac:dyDescent="0.4">
      <c r="A1438" s="2" t="s">
        <v>5728</v>
      </c>
      <c r="B1438" s="2"/>
      <c r="C1438" s="2"/>
      <c r="D1438" s="2" t="s">
        <v>54</v>
      </c>
      <c r="E1438" s="2"/>
      <c r="F1438" s="2" t="s">
        <v>5729</v>
      </c>
      <c r="G1438" s="2">
        <v>1</v>
      </c>
      <c r="H1438" s="2" t="s">
        <v>5718</v>
      </c>
      <c r="I1438" s="3" t="s">
        <v>57</v>
      </c>
      <c r="J1438" s="3" t="s">
        <v>5719</v>
      </c>
      <c r="K1438" s="3" t="s">
        <v>1873</v>
      </c>
      <c r="L1438" s="3" t="s">
        <v>2385</v>
      </c>
      <c r="M1438" s="3" t="s">
        <v>60</v>
      </c>
      <c r="N1438" s="3"/>
      <c r="O1438" s="3"/>
      <c r="P1438" s="3" t="s">
        <v>224</v>
      </c>
      <c r="Q1438" s="3"/>
      <c r="R1438" s="3" t="s">
        <v>183</v>
      </c>
      <c r="S1438" s="3" t="s">
        <v>64</v>
      </c>
      <c r="T1438">
        <v>246.7</v>
      </c>
      <c r="U1438">
        <v>237</v>
      </c>
      <c r="V1438">
        <f t="shared" si="44"/>
        <v>241.85</v>
      </c>
      <c r="W1438">
        <f t="shared" si="45"/>
        <v>9.6999999999999886</v>
      </c>
      <c r="X1438" s="5">
        <v>26.45</v>
      </c>
      <c r="Y1438" s="5">
        <v>-30.916666670000001</v>
      </c>
      <c r="Z1438" s="3"/>
      <c r="AA1438" s="3" t="s">
        <v>106</v>
      </c>
      <c r="AB1438" s="3" t="s">
        <v>5730</v>
      </c>
      <c r="AC1438" s="3" t="s">
        <v>5720</v>
      </c>
      <c r="AD1438" s="3" t="s">
        <v>2023</v>
      </c>
      <c r="AE1438" s="3" t="s">
        <v>110</v>
      </c>
      <c r="AF1438" s="3" t="s">
        <v>5720</v>
      </c>
      <c r="AG1438" s="3" t="s">
        <v>5731</v>
      </c>
      <c r="AH1438" s="3"/>
      <c r="AI1438" s="3" t="s">
        <v>5720</v>
      </c>
      <c r="AJ1438" s="3" t="s">
        <v>5720</v>
      </c>
      <c r="AK1438" s="3" t="s">
        <v>5723</v>
      </c>
      <c r="AL1438" s="6" t="s">
        <v>5732</v>
      </c>
      <c r="AM1438" s="5"/>
      <c r="AN1438" s="5"/>
      <c r="AO1438" s="3"/>
      <c r="AP1438" s="3"/>
      <c r="AQ1438" s="3"/>
      <c r="AR1438" s="3"/>
      <c r="AS1438" s="3"/>
      <c r="AT1438" s="3"/>
      <c r="AU1438" s="3"/>
      <c r="AV1438" s="3"/>
      <c r="AW1438" s="3"/>
      <c r="AX1438" s="3"/>
      <c r="AY1438" s="3"/>
      <c r="AZ1438" s="3"/>
      <c r="BA1438" s="3"/>
      <c r="BB1438" s="3"/>
    </row>
    <row r="1439" spans="1:54" x14ac:dyDescent="0.4">
      <c r="A1439" s="2" t="s">
        <v>5733</v>
      </c>
      <c r="B1439" s="2"/>
      <c r="C1439" s="2"/>
      <c r="D1439" s="2" t="s">
        <v>54</v>
      </c>
      <c r="E1439" s="2"/>
      <c r="F1439" s="2" t="s">
        <v>5734</v>
      </c>
      <c r="G1439" s="2">
        <v>1</v>
      </c>
      <c r="H1439" s="2" t="s">
        <v>5718</v>
      </c>
      <c r="I1439" s="3" t="s">
        <v>57</v>
      </c>
      <c r="J1439" s="3" t="s">
        <v>5719</v>
      </c>
      <c r="K1439" s="3" t="s">
        <v>1873</v>
      </c>
      <c r="L1439" s="3" t="s">
        <v>2385</v>
      </c>
      <c r="M1439" s="3" t="s">
        <v>60</v>
      </c>
      <c r="N1439" s="3"/>
      <c r="O1439" s="3"/>
      <c r="P1439" s="3" t="s">
        <v>224</v>
      </c>
      <c r="Q1439" s="3"/>
      <c r="R1439" s="3" t="s">
        <v>183</v>
      </c>
      <c r="S1439" s="3" t="s">
        <v>64</v>
      </c>
      <c r="T1439">
        <v>246.7</v>
      </c>
      <c r="U1439">
        <v>237</v>
      </c>
      <c r="V1439">
        <f t="shared" si="44"/>
        <v>241.85</v>
      </c>
      <c r="W1439">
        <f t="shared" si="45"/>
        <v>9.6999999999999886</v>
      </c>
      <c r="X1439" s="5">
        <v>25.7</v>
      </c>
      <c r="Y1439" s="5">
        <v>-31.35</v>
      </c>
      <c r="Z1439" s="3"/>
      <c r="AA1439" s="3" t="s">
        <v>106</v>
      </c>
      <c r="AB1439" s="3" t="s">
        <v>5730</v>
      </c>
      <c r="AC1439" s="3" t="s">
        <v>5720</v>
      </c>
      <c r="AD1439" s="3" t="s">
        <v>2023</v>
      </c>
      <c r="AE1439" s="3" t="s">
        <v>110</v>
      </c>
      <c r="AF1439" s="3" t="s">
        <v>5720</v>
      </c>
      <c r="AG1439" s="3" t="s">
        <v>5731</v>
      </c>
      <c r="AH1439" s="3"/>
      <c r="AI1439" s="3" t="s">
        <v>5720</v>
      </c>
      <c r="AJ1439" s="3" t="s">
        <v>5720</v>
      </c>
      <c r="AK1439" s="3" t="s">
        <v>5723</v>
      </c>
      <c r="AL1439" s="6" t="s">
        <v>5735</v>
      </c>
      <c r="AM1439" s="5"/>
      <c r="AN1439" s="5"/>
      <c r="AO1439" s="3"/>
      <c r="AP1439" s="3"/>
      <c r="AQ1439" s="3"/>
      <c r="AR1439" s="3"/>
      <c r="AS1439" s="3"/>
      <c r="AT1439" s="3"/>
      <c r="AU1439" s="3"/>
      <c r="AV1439" s="3"/>
      <c r="AW1439" s="3"/>
      <c r="AX1439" s="3"/>
      <c r="AY1439" s="3"/>
      <c r="AZ1439" s="3"/>
      <c r="BA1439" s="3"/>
      <c r="BB1439" s="3"/>
    </row>
    <row r="1440" spans="1:54" x14ac:dyDescent="0.4">
      <c r="A1440" s="2" t="s">
        <v>5736</v>
      </c>
      <c r="B1440" s="2"/>
      <c r="C1440" s="2"/>
      <c r="D1440" s="2" t="s">
        <v>54</v>
      </c>
      <c r="E1440" s="2"/>
      <c r="F1440" s="2" t="s">
        <v>5737</v>
      </c>
      <c r="G1440" s="2">
        <v>1</v>
      </c>
      <c r="H1440" s="2" t="s">
        <v>5718</v>
      </c>
      <c r="I1440" s="3" t="s">
        <v>57</v>
      </c>
      <c r="J1440" s="3" t="s">
        <v>5719</v>
      </c>
      <c r="K1440" s="3" t="s">
        <v>1873</v>
      </c>
      <c r="L1440" s="4" t="s">
        <v>2385</v>
      </c>
      <c r="M1440" s="3" t="s">
        <v>60</v>
      </c>
      <c r="N1440" s="4"/>
      <c r="O1440" s="4"/>
      <c r="P1440" s="3" t="s">
        <v>224</v>
      </c>
      <c r="Q1440" s="3"/>
      <c r="R1440" s="3" t="s">
        <v>183</v>
      </c>
      <c r="S1440" s="3" t="s">
        <v>64</v>
      </c>
      <c r="T1440">
        <v>246.7</v>
      </c>
      <c r="U1440">
        <v>237</v>
      </c>
      <c r="V1440">
        <f t="shared" si="44"/>
        <v>241.85</v>
      </c>
      <c r="W1440">
        <f t="shared" si="45"/>
        <v>9.6999999999999886</v>
      </c>
      <c r="X1440" s="5">
        <v>26.966667000000001</v>
      </c>
      <c r="Y1440" s="5">
        <v>-30.833331999999999</v>
      </c>
      <c r="Z1440" s="3"/>
      <c r="AA1440" s="3" t="s">
        <v>106</v>
      </c>
      <c r="AB1440" s="3" t="s">
        <v>5730</v>
      </c>
      <c r="AC1440" s="3" t="s">
        <v>5720</v>
      </c>
      <c r="AD1440" s="3" t="s">
        <v>2023</v>
      </c>
      <c r="AE1440" s="3" t="s">
        <v>110</v>
      </c>
      <c r="AF1440" s="3" t="s">
        <v>5720</v>
      </c>
      <c r="AG1440" s="3" t="s">
        <v>5731</v>
      </c>
      <c r="AH1440" s="3"/>
      <c r="AI1440" s="3" t="s">
        <v>5720</v>
      </c>
      <c r="AJ1440" s="3" t="s">
        <v>5720</v>
      </c>
      <c r="AK1440" s="3" t="s">
        <v>5723</v>
      </c>
      <c r="AL1440" s="6" t="s">
        <v>5738</v>
      </c>
      <c r="AM1440" s="5"/>
      <c r="AN1440" s="5"/>
      <c r="AO1440" s="3"/>
      <c r="AP1440" s="3"/>
      <c r="AQ1440" s="3"/>
      <c r="AR1440" s="3"/>
      <c r="AS1440" s="3"/>
      <c r="AT1440" s="3"/>
      <c r="AU1440" s="3"/>
      <c r="AV1440" s="3"/>
      <c r="AW1440" s="3"/>
      <c r="AX1440" s="3"/>
      <c r="AY1440" s="3"/>
      <c r="AZ1440" s="3"/>
      <c r="BA1440" s="3"/>
      <c r="BB1440" s="3"/>
    </row>
    <row r="1441" spans="1:54" x14ac:dyDescent="0.4">
      <c r="A1441" s="2" t="s">
        <v>5739</v>
      </c>
      <c r="B1441" s="2"/>
      <c r="C1441" s="2"/>
      <c r="D1441" s="2" t="s">
        <v>54</v>
      </c>
      <c r="E1441" s="2"/>
      <c r="F1441" s="2" t="s">
        <v>5740</v>
      </c>
      <c r="G1441" s="2">
        <v>1</v>
      </c>
      <c r="H1441" s="2" t="s">
        <v>5718</v>
      </c>
      <c r="I1441" s="3" t="s">
        <v>57</v>
      </c>
      <c r="J1441" s="3" t="s">
        <v>5719</v>
      </c>
      <c r="K1441" s="3" t="s">
        <v>1873</v>
      </c>
      <c r="L1441" s="4" t="s">
        <v>2385</v>
      </c>
      <c r="M1441" s="3" t="s">
        <v>60</v>
      </c>
      <c r="N1441" s="4"/>
      <c r="O1441" s="4"/>
      <c r="P1441" s="3" t="s">
        <v>224</v>
      </c>
      <c r="Q1441" s="3"/>
      <c r="R1441" s="3" t="s">
        <v>183</v>
      </c>
      <c r="S1441" s="3" t="s">
        <v>64</v>
      </c>
      <c r="T1441">
        <v>246.7</v>
      </c>
      <c r="U1441">
        <v>237</v>
      </c>
      <c r="V1441">
        <f t="shared" si="44"/>
        <v>241.85</v>
      </c>
      <c r="W1441">
        <f t="shared" si="45"/>
        <v>9.6999999999999886</v>
      </c>
      <c r="X1441" s="5">
        <v>26.283332999999999</v>
      </c>
      <c r="Y1441" s="5">
        <v>-30.766666000000001</v>
      </c>
      <c r="Z1441" s="3"/>
      <c r="AA1441" s="3" t="s">
        <v>106</v>
      </c>
      <c r="AB1441" s="3" t="s">
        <v>5741</v>
      </c>
      <c r="AC1441" s="3" t="s">
        <v>5720</v>
      </c>
      <c r="AD1441" s="3" t="s">
        <v>2023</v>
      </c>
      <c r="AE1441" s="3" t="s">
        <v>110</v>
      </c>
      <c r="AF1441" s="3" t="s">
        <v>5720</v>
      </c>
      <c r="AG1441" s="3" t="s">
        <v>5731</v>
      </c>
      <c r="AH1441" s="3"/>
      <c r="AI1441" s="3" t="s">
        <v>5720</v>
      </c>
      <c r="AJ1441" s="3" t="s">
        <v>5720</v>
      </c>
      <c r="AK1441" s="3" t="s">
        <v>5723</v>
      </c>
      <c r="AL1441" s="6" t="s">
        <v>5742</v>
      </c>
      <c r="AM1441" s="5"/>
      <c r="AN1441" s="5"/>
      <c r="AO1441" s="3"/>
      <c r="AP1441" s="3"/>
      <c r="AQ1441" s="3"/>
      <c r="AR1441" s="3"/>
      <c r="AS1441" s="3"/>
      <c r="AT1441" s="3"/>
      <c r="AU1441" s="3"/>
      <c r="AV1441" s="3"/>
      <c r="AW1441" s="3"/>
      <c r="AX1441" s="3"/>
      <c r="AY1441" s="3"/>
      <c r="AZ1441" s="3"/>
      <c r="BA1441" s="3"/>
      <c r="BB1441" s="3"/>
    </row>
    <row r="1442" spans="1:54" x14ac:dyDescent="0.4">
      <c r="A1442" s="2" t="s">
        <v>5743</v>
      </c>
      <c r="B1442" s="2"/>
      <c r="C1442" s="2"/>
      <c r="D1442" s="2" t="s">
        <v>54</v>
      </c>
      <c r="E1442" s="2"/>
      <c r="F1442" s="2" t="s">
        <v>5744</v>
      </c>
      <c r="G1442" s="2">
        <v>1</v>
      </c>
      <c r="H1442" s="2" t="s">
        <v>5718</v>
      </c>
      <c r="I1442" s="3" t="s">
        <v>57</v>
      </c>
      <c r="J1442" s="3" t="s">
        <v>5719</v>
      </c>
      <c r="K1442" s="3" t="s">
        <v>1873</v>
      </c>
      <c r="L1442" s="4" t="s">
        <v>2385</v>
      </c>
      <c r="M1442" s="3" t="s">
        <v>60</v>
      </c>
      <c r="N1442" s="4"/>
      <c r="O1442" s="4"/>
      <c r="P1442" s="3" t="s">
        <v>224</v>
      </c>
      <c r="Q1442" s="3"/>
      <c r="R1442" s="3" t="s">
        <v>183</v>
      </c>
      <c r="S1442" s="3" t="s">
        <v>64</v>
      </c>
      <c r="T1442">
        <v>246.7</v>
      </c>
      <c r="U1442">
        <v>237</v>
      </c>
      <c r="V1442">
        <f t="shared" si="44"/>
        <v>241.85</v>
      </c>
      <c r="W1442">
        <f t="shared" si="45"/>
        <v>9.6999999999999886</v>
      </c>
      <c r="X1442" s="5">
        <v>26.623055999999998</v>
      </c>
      <c r="Y1442" s="5">
        <v>-30.612223</v>
      </c>
      <c r="Z1442" s="3"/>
      <c r="AA1442" s="3" t="s">
        <v>106</v>
      </c>
      <c r="AB1442" s="3" t="s">
        <v>5730</v>
      </c>
      <c r="AC1442" s="3" t="s">
        <v>5720</v>
      </c>
      <c r="AD1442" s="3" t="s">
        <v>2023</v>
      </c>
      <c r="AE1442" s="3" t="s">
        <v>110</v>
      </c>
      <c r="AF1442" s="3" t="s">
        <v>5720</v>
      </c>
      <c r="AG1442" s="3" t="s">
        <v>5731</v>
      </c>
      <c r="AH1442" s="3"/>
      <c r="AI1442" s="3" t="s">
        <v>5720</v>
      </c>
      <c r="AJ1442" s="3" t="s">
        <v>5720</v>
      </c>
      <c r="AK1442" s="3" t="s">
        <v>5723</v>
      </c>
      <c r="AL1442" s="6" t="s">
        <v>5745</v>
      </c>
      <c r="AM1442" s="5"/>
      <c r="AN1442" s="5"/>
      <c r="AO1442" s="3"/>
      <c r="AP1442" s="3"/>
      <c r="AQ1442" s="3"/>
      <c r="AR1442" s="3"/>
      <c r="AS1442" s="3"/>
      <c r="AT1442" s="3"/>
      <c r="AU1442" s="3"/>
      <c r="AV1442" s="3"/>
      <c r="AW1442" s="3"/>
      <c r="AX1442" s="3"/>
      <c r="AY1442" s="3"/>
      <c r="AZ1442" s="3"/>
      <c r="BA1442" s="3"/>
      <c r="BB1442" s="3"/>
    </row>
    <row r="1443" spans="1:54" x14ac:dyDescent="0.4">
      <c r="A1443" s="2" t="s">
        <v>5746</v>
      </c>
      <c r="B1443" s="2"/>
      <c r="C1443" s="2"/>
      <c r="D1443" s="2" t="s">
        <v>54</v>
      </c>
      <c r="E1443" s="2"/>
      <c r="F1443" s="2" t="s">
        <v>5747</v>
      </c>
      <c r="G1443" s="2">
        <v>1</v>
      </c>
      <c r="H1443" s="2" t="s">
        <v>5718</v>
      </c>
      <c r="I1443" s="3" t="s">
        <v>57</v>
      </c>
      <c r="J1443" s="3" t="s">
        <v>5719</v>
      </c>
      <c r="K1443" s="3" t="s">
        <v>1873</v>
      </c>
      <c r="L1443" s="4" t="s">
        <v>2385</v>
      </c>
      <c r="M1443" s="3" t="s">
        <v>60</v>
      </c>
      <c r="N1443" s="4"/>
      <c r="O1443" s="4"/>
      <c r="P1443" s="3" t="s">
        <v>224</v>
      </c>
      <c r="Q1443" s="3"/>
      <c r="R1443" s="3" t="s">
        <v>183</v>
      </c>
      <c r="S1443" s="3" t="s">
        <v>64</v>
      </c>
      <c r="T1443">
        <v>246.7</v>
      </c>
      <c r="U1443">
        <v>237</v>
      </c>
      <c r="V1443">
        <f t="shared" si="44"/>
        <v>241.85</v>
      </c>
      <c r="W1443">
        <f t="shared" si="45"/>
        <v>9.6999999999999886</v>
      </c>
      <c r="X1443" s="5">
        <v>26.333333329999999</v>
      </c>
      <c r="Y1443" s="5" t="s">
        <v>5748</v>
      </c>
      <c r="Z1443" s="3"/>
      <c r="AA1443" s="3" t="s">
        <v>106</v>
      </c>
      <c r="AB1443" s="3" t="s">
        <v>5741</v>
      </c>
      <c r="AC1443" s="3" t="s">
        <v>5720</v>
      </c>
      <c r="AD1443" s="3" t="s">
        <v>2023</v>
      </c>
      <c r="AE1443" s="3" t="s">
        <v>110</v>
      </c>
      <c r="AF1443" s="3" t="s">
        <v>5720</v>
      </c>
      <c r="AG1443" s="3" t="s">
        <v>5731</v>
      </c>
      <c r="AH1443" s="3"/>
      <c r="AI1443" s="3" t="s">
        <v>5720</v>
      </c>
      <c r="AJ1443" s="3" t="s">
        <v>5720</v>
      </c>
      <c r="AK1443" s="3" t="s">
        <v>5723</v>
      </c>
      <c r="AL1443" s="6" t="s">
        <v>5749</v>
      </c>
      <c r="AM1443" s="5"/>
      <c r="AN1443" s="5"/>
      <c r="AO1443" s="3"/>
      <c r="AP1443" s="3"/>
      <c r="AQ1443" s="3"/>
      <c r="AR1443" s="3"/>
      <c r="AS1443" s="3"/>
      <c r="AT1443" s="3"/>
      <c r="AU1443" s="3"/>
      <c r="AV1443" s="3"/>
      <c r="AW1443" s="3"/>
      <c r="AX1443" s="3"/>
      <c r="AY1443" s="3"/>
      <c r="AZ1443" s="3"/>
      <c r="BA1443" s="3"/>
      <c r="BB1443" s="3"/>
    </row>
    <row r="1444" spans="1:54" x14ac:dyDescent="0.4">
      <c r="A1444" s="2" t="s">
        <v>5750</v>
      </c>
      <c r="B1444" s="2"/>
      <c r="C1444" s="2"/>
      <c r="D1444" s="2" t="s">
        <v>54</v>
      </c>
      <c r="E1444" s="2"/>
      <c r="F1444" s="2" t="s">
        <v>5751</v>
      </c>
      <c r="G1444" s="2">
        <v>1</v>
      </c>
      <c r="H1444" s="2" t="s">
        <v>5718</v>
      </c>
      <c r="I1444" s="3" t="s">
        <v>57</v>
      </c>
      <c r="J1444" s="3" t="s">
        <v>5719</v>
      </c>
      <c r="K1444" s="3" t="s">
        <v>1873</v>
      </c>
      <c r="L1444" s="4" t="s">
        <v>2385</v>
      </c>
      <c r="M1444" s="3" t="s">
        <v>60</v>
      </c>
      <c r="N1444" s="4"/>
      <c r="O1444" s="4"/>
      <c r="P1444" s="3" t="s">
        <v>224</v>
      </c>
      <c r="Q1444" s="3"/>
      <c r="R1444" s="3" t="s">
        <v>183</v>
      </c>
      <c r="S1444" s="3" t="s">
        <v>64</v>
      </c>
      <c r="T1444">
        <v>246.7</v>
      </c>
      <c r="U1444">
        <v>237</v>
      </c>
      <c r="V1444">
        <f t="shared" si="44"/>
        <v>241.85</v>
      </c>
      <c r="W1444">
        <f t="shared" si="45"/>
        <v>9.6999999999999886</v>
      </c>
      <c r="X1444" s="5">
        <v>26.333333329999999</v>
      </c>
      <c r="Y1444" s="5" t="s">
        <v>5748</v>
      </c>
      <c r="Z1444" s="3"/>
      <c r="AA1444" s="3" t="s">
        <v>106</v>
      </c>
      <c r="AB1444" s="3" t="s">
        <v>5741</v>
      </c>
      <c r="AC1444" s="3" t="s">
        <v>5720</v>
      </c>
      <c r="AD1444" s="3" t="s">
        <v>2023</v>
      </c>
      <c r="AE1444" s="3" t="s">
        <v>110</v>
      </c>
      <c r="AF1444" s="3" t="s">
        <v>5720</v>
      </c>
      <c r="AG1444" s="3" t="s">
        <v>5731</v>
      </c>
      <c r="AH1444" s="3"/>
      <c r="AI1444" s="3" t="s">
        <v>5720</v>
      </c>
      <c r="AJ1444" s="3" t="s">
        <v>5720</v>
      </c>
      <c r="AK1444" s="3" t="s">
        <v>5723</v>
      </c>
      <c r="AL1444" s="6" t="s">
        <v>5752</v>
      </c>
      <c r="AM1444" s="5"/>
      <c r="AN1444" s="5"/>
      <c r="AO1444" s="3"/>
      <c r="AP1444" s="3"/>
      <c r="AQ1444" s="3"/>
      <c r="AR1444" s="3"/>
      <c r="AS1444" s="3"/>
      <c r="AT1444" s="3"/>
      <c r="AU1444" s="3"/>
      <c r="AV1444" s="3"/>
      <c r="AW1444" s="3"/>
      <c r="AX1444" s="3"/>
      <c r="AY1444" s="3"/>
      <c r="AZ1444" s="3"/>
      <c r="BA1444" s="3"/>
      <c r="BB1444" s="3"/>
    </row>
    <row r="1445" spans="1:54" x14ac:dyDescent="0.4">
      <c r="A1445" s="2" t="s">
        <v>5753</v>
      </c>
      <c r="B1445" s="2"/>
      <c r="C1445" s="2"/>
      <c r="D1445" s="2" t="s">
        <v>54</v>
      </c>
      <c r="E1445" s="2"/>
      <c r="F1445" s="2" t="s">
        <v>5754</v>
      </c>
      <c r="G1445" s="2">
        <v>1</v>
      </c>
      <c r="H1445" s="2" t="s">
        <v>5718</v>
      </c>
      <c r="I1445" s="3" t="s">
        <v>57</v>
      </c>
      <c r="J1445" s="3" t="s">
        <v>5719</v>
      </c>
      <c r="K1445" s="3" t="s">
        <v>1873</v>
      </c>
      <c r="L1445" s="4" t="s">
        <v>2385</v>
      </c>
      <c r="M1445" s="3" t="s">
        <v>60</v>
      </c>
      <c r="N1445" s="4"/>
      <c r="O1445" s="4"/>
      <c r="P1445" s="3" t="s">
        <v>224</v>
      </c>
      <c r="Q1445" s="3"/>
      <c r="R1445" s="3" t="s">
        <v>183</v>
      </c>
      <c r="S1445" s="3" t="s">
        <v>64</v>
      </c>
      <c r="T1445">
        <v>246.7</v>
      </c>
      <c r="U1445">
        <v>237</v>
      </c>
      <c r="V1445">
        <f t="shared" si="44"/>
        <v>241.85</v>
      </c>
      <c r="W1445">
        <f t="shared" si="45"/>
        <v>9.6999999999999886</v>
      </c>
      <c r="X1445" s="5">
        <v>26.111111000000001</v>
      </c>
      <c r="Y1445" s="5">
        <v>-30.906943999999999</v>
      </c>
      <c r="Z1445" s="3"/>
      <c r="AA1445" s="3" t="s">
        <v>106</v>
      </c>
      <c r="AB1445" s="3" t="s">
        <v>5741</v>
      </c>
      <c r="AC1445" s="3" t="s">
        <v>5720</v>
      </c>
      <c r="AD1445" s="3" t="s">
        <v>2023</v>
      </c>
      <c r="AE1445" s="3" t="s">
        <v>110</v>
      </c>
      <c r="AF1445" s="3" t="s">
        <v>5720</v>
      </c>
      <c r="AG1445" s="3" t="s">
        <v>5731</v>
      </c>
      <c r="AH1445" s="3"/>
      <c r="AI1445" s="3" t="s">
        <v>5720</v>
      </c>
      <c r="AJ1445" s="3" t="s">
        <v>5720</v>
      </c>
      <c r="AK1445" s="3" t="s">
        <v>5723</v>
      </c>
      <c r="AL1445" s="6" t="s">
        <v>5755</v>
      </c>
      <c r="AM1445" s="5"/>
      <c r="AN1445" s="5"/>
      <c r="AO1445" s="3"/>
      <c r="AP1445" s="3"/>
      <c r="AQ1445" s="3"/>
      <c r="AR1445" s="3"/>
      <c r="AS1445" s="3"/>
      <c r="AT1445" s="3"/>
      <c r="AU1445" s="3"/>
      <c r="AV1445" s="3"/>
      <c r="AW1445" s="3"/>
      <c r="AX1445" s="3"/>
      <c r="AY1445" s="3"/>
      <c r="AZ1445" s="3"/>
      <c r="BA1445" s="3"/>
      <c r="BB1445" s="3"/>
    </row>
    <row r="1446" spans="1:54" x14ac:dyDescent="0.4">
      <c r="A1446" s="2" t="s">
        <v>5756</v>
      </c>
      <c r="B1446" s="2"/>
      <c r="C1446" s="2"/>
      <c r="D1446" s="2" t="s">
        <v>54</v>
      </c>
      <c r="E1446" s="2"/>
      <c r="F1446" s="2" t="s">
        <v>5757</v>
      </c>
      <c r="G1446" s="2">
        <v>1</v>
      </c>
      <c r="H1446" s="2" t="s">
        <v>5718</v>
      </c>
      <c r="I1446" s="3" t="s">
        <v>57</v>
      </c>
      <c r="J1446" s="3" t="s">
        <v>5719</v>
      </c>
      <c r="K1446" s="3" t="s">
        <v>5720</v>
      </c>
      <c r="L1446" s="4" t="s">
        <v>2029</v>
      </c>
      <c r="M1446" s="3" t="s">
        <v>60</v>
      </c>
      <c r="N1446" s="4"/>
      <c r="O1446" s="4"/>
      <c r="P1446" s="3" t="s">
        <v>224</v>
      </c>
      <c r="Q1446" s="3"/>
      <c r="R1446" s="3" t="s">
        <v>183</v>
      </c>
      <c r="S1446" s="3" t="s">
        <v>64</v>
      </c>
      <c r="T1446">
        <v>246.7</v>
      </c>
      <c r="U1446">
        <v>237</v>
      </c>
      <c r="V1446">
        <f t="shared" si="44"/>
        <v>241.85</v>
      </c>
      <c r="W1446">
        <f t="shared" si="45"/>
        <v>9.6999999999999886</v>
      </c>
      <c r="X1446" s="5">
        <v>26.716666669999999</v>
      </c>
      <c r="Y1446" s="5">
        <v>-30.7</v>
      </c>
      <c r="Z1446" s="3"/>
      <c r="AA1446" s="3" t="s">
        <v>106</v>
      </c>
      <c r="AB1446" s="3" t="s">
        <v>5730</v>
      </c>
      <c r="AC1446" s="3" t="s">
        <v>5758</v>
      </c>
      <c r="AD1446" s="3" t="s">
        <v>2023</v>
      </c>
      <c r="AE1446" s="3" t="s">
        <v>110</v>
      </c>
      <c r="AF1446" s="3" t="s">
        <v>5720</v>
      </c>
      <c r="AG1446" s="3" t="s">
        <v>4714</v>
      </c>
      <c r="AH1446" s="3"/>
      <c r="AI1446" s="3" t="s">
        <v>5720</v>
      </c>
      <c r="AJ1446" s="3" t="s">
        <v>5720</v>
      </c>
      <c r="AK1446" s="3" t="s">
        <v>5723</v>
      </c>
      <c r="AL1446" s="6" t="s">
        <v>5759</v>
      </c>
      <c r="AM1446" s="5"/>
      <c r="AN1446" s="5"/>
      <c r="AO1446" s="3"/>
      <c r="AP1446" s="3"/>
      <c r="AQ1446" s="3"/>
      <c r="AR1446" s="3"/>
      <c r="AS1446" s="3"/>
      <c r="AT1446" s="3"/>
      <c r="AU1446" s="3"/>
      <c r="AV1446" s="3"/>
      <c r="AW1446" s="3"/>
      <c r="AX1446" s="3"/>
      <c r="AY1446" s="3"/>
      <c r="AZ1446" s="3"/>
      <c r="BA1446" s="3"/>
      <c r="BB1446" s="3"/>
    </row>
    <row r="1447" spans="1:54" x14ac:dyDescent="0.4">
      <c r="A1447" s="2" t="s">
        <v>5760</v>
      </c>
      <c r="B1447" s="2"/>
      <c r="C1447" s="2"/>
      <c r="D1447" s="2" t="s">
        <v>54</v>
      </c>
      <c r="E1447" s="2"/>
      <c r="F1447" s="2" t="s">
        <v>5744</v>
      </c>
      <c r="G1447" s="2">
        <v>1</v>
      </c>
      <c r="H1447" s="2" t="s">
        <v>5718</v>
      </c>
      <c r="I1447" s="3" t="s">
        <v>57</v>
      </c>
      <c r="J1447" s="3" t="s">
        <v>5719</v>
      </c>
      <c r="K1447" s="3" t="s">
        <v>5720</v>
      </c>
      <c r="L1447" s="4" t="s">
        <v>2029</v>
      </c>
      <c r="M1447" s="3" t="s">
        <v>60</v>
      </c>
      <c r="N1447" s="4"/>
      <c r="O1447" s="4"/>
      <c r="P1447" s="3" t="s">
        <v>224</v>
      </c>
      <c r="Q1447" s="3"/>
      <c r="R1447" s="3" t="s">
        <v>183</v>
      </c>
      <c r="S1447" s="3" t="s">
        <v>64</v>
      </c>
      <c r="T1447">
        <v>246.7</v>
      </c>
      <c r="U1447">
        <v>237</v>
      </c>
      <c r="V1447">
        <f t="shared" si="44"/>
        <v>241.85</v>
      </c>
      <c r="W1447">
        <f t="shared" si="45"/>
        <v>9.6999999999999886</v>
      </c>
      <c r="X1447" s="5">
        <v>26.708300000000001</v>
      </c>
      <c r="Y1447" s="5">
        <v>-30.691700000000001</v>
      </c>
      <c r="Z1447" s="3"/>
      <c r="AA1447" s="3" t="s">
        <v>106</v>
      </c>
      <c r="AB1447" s="3" t="s">
        <v>5730</v>
      </c>
      <c r="AC1447" s="3" t="s">
        <v>5720</v>
      </c>
      <c r="AD1447" s="3" t="s">
        <v>2023</v>
      </c>
      <c r="AE1447" s="3" t="s">
        <v>110</v>
      </c>
      <c r="AF1447" s="3" t="s">
        <v>5720</v>
      </c>
      <c r="AG1447" s="3" t="s">
        <v>5731</v>
      </c>
      <c r="AH1447" s="3"/>
      <c r="AI1447" s="3" t="s">
        <v>5720</v>
      </c>
      <c r="AJ1447" s="3" t="s">
        <v>5720</v>
      </c>
      <c r="AK1447" s="3" t="s">
        <v>5723</v>
      </c>
      <c r="AL1447" s="6" t="s">
        <v>5761</v>
      </c>
      <c r="AM1447" s="5"/>
      <c r="AN1447" s="5"/>
      <c r="AO1447" s="3"/>
      <c r="AP1447" s="3"/>
      <c r="AQ1447" s="3"/>
      <c r="AR1447" s="3"/>
      <c r="AS1447" s="3"/>
      <c r="AT1447" s="3"/>
      <c r="AU1447" s="3"/>
      <c r="AV1447" s="3"/>
      <c r="AW1447" s="3"/>
      <c r="AX1447" s="3"/>
      <c r="AY1447" s="3"/>
      <c r="AZ1447" s="3"/>
      <c r="BA1447" s="3"/>
      <c r="BB1447" s="3"/>
    </row>
    <row r="1448" spans="1:54" x14ac:dyDescent="0.4">
      <c r="A1448" s="2" t="s">
        <v>5762</v>
      </c>
      <c r="B1448" s="2"/>
      <c r="C1448" s="2"/>
      <c r="D1448" s="2" t="s">
        <v>54</v>
      </c>
      <c r="E1448" s="2"/>
      <c r="F1448" s="2" t="s">
        <v>5763</v>
      </c>
      <c r="G1448" s="2">
        <v>1</v>
      </c>
      <c r="H1448" s="2" t="s">
        <v>5718</v>
      </c>
      <c r="I1448" s="3" t="s">
        <v>57</v>
      </c>
      <c r="J1448" s="3" t="s">
        <v>5719</v>
      </c>
      <c r="K1448" s="3" t="s">
        <v>5720</v>
      </c>
      <c r="L1448" s="4" t="s">
        <v>2029</v>
      </c>
      <c r="M1448" s="3" t="s">
        <v>60</v>
      </c>
      <c r="N1448" s="4"/>
      <c r="O1448" s="4"/>
      <c r="P1448" s="3" t="s">
        <v>224</v>
      </c>
      <c r="Q1448" s="3"/>
      <c r="R1448" s="3" t="s">
        <v>183</v>
      </c>
      <c r="S1448" s="3" t="s">
        <v>64</v>
      </c>
      <c r="T1448">
        <v>246.7</v>
      </c>
      <c r="U1448">
        <v>237</v>
      </c>
      <c r="V1448">
        <f t="shared" si="44"/>
        <v>241.85</v>
      </c>
      <c r="W1448">
        <f t="shared" si="45"/>
        <v>9.6999999999999886</v>
      </c>
      <c r="X1448" s="5">
        <v>26.708300000000001</v>
      </c>
      <c r="Y1448" s="5">
        <v>-30.691700000000001</v>
      </c>
      <c r="Z1448" s="3"/>
      <c r="AA1448" s="3" t="s">
        <v>106</v>
      </c>
      <c r="AB1448" s="3" t="s">
        <v>5730</v>
      </c>
      <c r="AC1448" s="3" t="s">
        <v>5720</v>
      </c>
      <c r="AD1448" s="3" t="s">
        <v>2023</v>
      </c>
      <c r="AE1448" s="3" t="s">
        <v>110</v>
      </c>
      <c r="AF1448" s="3" t="s">
        <v>5720</v>
      </c>
      <c r="AG1448" s="3" t="s">
        <v>5731</v>
      </c>
      <c r="AH1448" s="3"/>
      <c r="AI1448" s="3" t="s">
        <v>5720</v>
      </c>
      <c r="AJ1448" s="3" t="s">
        <v>5720</v>
      </c>
      <c r="AK1448" s="3" t="s">
        <v>5723</v>
      </c>
      <c r="AL1448" s="6" t="s">
        <v>5764</v>
      </c>
      <c r="AM1448" s="5"/>
      <c r="AN1448" s="5"/>
      <c r="AO1448" s="3"/>
      <c r="AP1448" s="3"/>
      <c r="AQ1448" s="3"/>
      <c r="AR1448" s="3"/>
      <c r="AS1448" s="3"/>
      <c r="AT1448" s="3"/>
      <c r="AU1448" s="3"/>
      <c r="AV1448" s="3"/>
      <c r="AW1448" s="3"/>
      <c r="AX1448" s="3"/>
      <c r="AY1448" s="3"/>
      <c r="AZ1448" s="3"/>
      <c r="BA1448" s="3"/>
      <c r="BB1448" s="3"/>
    </row>
    <row r="1449" spans="1:54" x14ac:dyDescent="0.4">
      <c r="A1449" s="2" t="s">
        <v>5765</v>
      </c>
      <c r="B1449" s="2"/>
      <c r="C1449" s="2"/>
      <c r="D1449" s="2" t="s">
        <v>54</v>
      </c>
      <c r="E1449" s="2"/>
      <c r="F1449" s="2" t="s">
        <v>5766</v>
      </c>
      <c r="G1449" s="2">
        <v>1</v>
      </c>
      <c r="H1449" s="2" t="s">
        <v>5718</v>
      </c>
      <c r="I1449" s="3" t="s">
        <v>57</v>
      </c>
      <c r="J1449" s="3" t="s">
        <v>5719</v>
      </c>
      <c r="K1449" s="3" t="s">
        <v>5720</v>
      </c>
      <c r="L1449" s="4" t="s">
        <v>2029</v>
      </c>
      <c r="M1449" s="3" t="s">
        <v>60</v>
      </c>
      <c r="N1449" s="4"/>
      <c r="O1449" s="4"/>
      <c r="P1449" s="3" t="s">
        <v>224</v>
      </c>
      <c r="Q1449" s="3"/>
      <c r="R1449" s="3" t="s">
        <v>183</v>
      </c>
      <c r="S1449" s="3" t="s">
        <v>64</v>
      </c>
      <c r="T1449">
        <v>246.7</v>
      </c>
      <c r="U1449">
        <v>237</v>
      </c>
      <c r="V1449">
        <f t="shared" si="44"/>
        <v>241.85</v>
      </c>
      <c r="W1449">
        <f t="shared" si="45"/>
        <v>9.6999999999999886</v>
      </c>
      <c r="X1449" s="5">
        <v>26.708300000000001</v>
      </c>
      <c r="Y1449" s="5">
        <v>-30.691700000000001</v>
      </c>
      <c r="Z1449" s="3"/>
      <c r="AA1449" s="3" t="s">
        <v>106</v>
      </c>
      <c r="AB1449" s="3" t="s">
        <v>5730</v>
      </c>
      <c r="AC1449" s="3" t="s">
        <v>5720</v>
      </c>
      <c r="AD1449" s="3" t="s">
        <v>2023</v>
      </c>
      <c r="AE1449" s="3" t="s">
        <v>110</v>
      </c>
      <c r="AF1449" s="3" t="s">
        <v>5720</v>
      </c>
      <c r="AG1449" s="3" t="s">
        <v>5731</v>
      </c>
      <c r="AH1449" s="3"/>
      <c r="AI1449" s="3" t="s">
        <v>5720</v>
      </c>
      <c r="AJ1449" s="3" t="s">
        <v>5720</v>
      </c>
      <c r="AK1449" s="3" t="s">
        <v>5723</v>
      </c>
      <c r="AL1449" s="6" t="s">
        <v>5767</v>
      </c>
      <c r="AM1449" s="5"/>
      <c r="AN1449" s="5"/>
      <c r="AO1449" s="3"/>
      <c r="AP1449" s="3"/>
      <c r="AQ1449" s="3"/>
      <c r="AR1449" s="3"/>
      <c r="AS1449" s="3"/>
      <c r="AT1449" s="3"/>
      <c r="AU1449" s="3"/>
      <c r="AV1449" s="3"/>
      <c r="AW1449" s="3"/>
      <c r="AX1449" s="3"/>
      <c r="AY1449" s="3"/>
      <c r="AZ1449" s="3"/>
      <c r="BA1449" s="3"/>
      <c r="BB1449" s="3"/>
    </row>
    <row r="1450" spans="1:54" x14ac:dyDescent="0.4">
      <c r="A1450" s="2" t="s">
        <v>5768</v>
      </c>
      <c r="B1450" s="2"/>
      <c r="C1450" s="2"/>
      <c r="D1450" s="2" t="s">
        <v>54</v>
      </c>
      <c r="E1450" s="2"/>
      <c r="F1450" s="2" t="s">
        <v>5769</v>
      </c>
      <c r="G1450" s="2">
        <v>1</v>
      </c>
      <c r="H1450" s="2" t="s">
        <v>5718</v>
      </c>
      <c r="I1450" s="3" t="s">
        <v>57</v>
      </c>
      <c r="J1450" s="3" t="s">
        <v>5719</v>
      </c>
      <c r="K1450" s="3" t="s">
        <v>5720</v>
      </c>
      <c r="L1450" s="4" t="s">
        <v>3625</v>
      </c>
      <c r="M1450" s="3" t="s">
        <v>60</v>
      </c>
      <c r="N1450" s="4"/>
      <c r="O1450" s="4"/>
      <c r="P1450" s="3" t="s">
        <v>224</v>
      </c>
      <c r="Q1450" s="3"/>
      <c r="R1450" s="3" t="s">
        <v>183</v>
      </c>
      <c r="S1450" s="3" t="s">
        <v>64</v>
      </c>
      <c r="T1450">
        <v>246.7</v>
      </c>
      <c r="U1450">
        <v>237</v>
      </c>
      <c r="V1450">
        <f t="shared" si="44"/>
        <v>241.85</v>
      </c>
      <c r="W1450">
        <f t="shared" si="45"/>
        <v>9.6999999999999886</v>
      </c>
      <c r="X1450" s="5">
        <v>35.216666670000002</v>
      </c>
      <c r="Y1450" s="5">
        <v>-10.35</v>
      </c>
      <c r="Z1450" s="3"/>
      <c r="AA1450" s="3" t="s">
        <v>1366</v>
      </c>
      <c r="AB1450" s="3" t="s">
        <v>5770</v>
      </c>
      <c r="AC1450" s="3" t="s">
        <v>5720</v>
      </c>
      <c r="AD1450" s="3" t="s">
        <v>2023</v>
      </c>
      <c r="AE1450" s="3" t="s">
        <v>110</v>
      </c>
      <c r="AF1450" s="3" t="s">
        <v>5720</v>
      </c>
      <c r="AG1450" s="3" t="s">
        <v>5731</v>
      </c>
      <c r="AH1450" s="3"/>
      <c r="AI1450" s="3" t="s">
        <v>5720</v>
      </c>
      <c r="AJ1450" s="3" t="s">
        <v>5720</v>
      </c>
      <c r="AK1450" s="3" t="s">
        <v>5723</v>
      </c>
      <c r="AL1450" s="6" t="s">
        <v>5771</v>
      </c>
      <c r="AM1450" s="5"/>
      <c r="AN1450" s="5"/>
      <c r="AO1450" s="3"/>
      <c r="AP1450" s="3"/>
      <c r="AQ1450" s="3"/>
      <c r="AR1450" s="3"/>
      <c r="AS1450" s="3"/>
      <c r="AT1450" s="3"/>
      <c r="AU1450" s="3"/>
      <c r="AV1450" s="3"/>
      <c r="AW1450" s="3"/>
      <c r="AX1450" s="3"/>
      <c r="AY1450" s="3"/>
      <c r="AZ1450" s="3"/>
      <c r="BA1450" s="3"/>
      <c r="BB1450" s="3"/>
    </row>
    <row r="1451" spans="1:54" x14ac:dyDescent="0.4">
      <c r="A1451" s="2" t="s">
        <v>5772</v>
      </c>
      <c r="B1451" s="2"/>
      <c r="C1451" s="2"/>
      <c r="D1451" s="2" t="s">
        <v>54</v>
      </c>
      <c r="E1451" s="2"/>
      <c r="F1451" s="2" t="s">
        <v>5773</v>
      </c>
      <c r="G1451" s="2">
        <v>1</v>
      </c>
      <c r="H1451" s="2" t="s">
        <v>5718</v>
      </c>
      <c r="I1451" s="3" t="s">
        <v>57</v>
      </c>
      <c r="J1451" s="3" t="s">
        <v>5719</v>
      </c>
      <c r="K1451" s="3" t="s">
        <v>5720</v>
      </c>
      <c r="L1451" s="4" t="s">
        <v>3625</v>
      </c>
      <c r="M1451" s="3" t="s">
        <v>60</v>
      </c>
      <c r="N1451" s="4"/>
      <c r="O1451" s="4"/>
      <c r="P1451" s="3" t="s">
        <v>224</v>
      </c>
      <c r="Q1451" s="3"/>
      <c r="R1451" s="3" t="s">
        <v>183</v>
      </c>
      <c r="S1451" s="3" t="s">
        <v>64</v>
      </c>
      <c r="T1451">
        <v>246.7</v>
      </c>
      <c r="U1451">
        <v>237</v>
      </c>
      <c r="V1451">
        <f t="shared" si="44"/>
        <v>241.85</v>
      </c>
      <c r="W1451">
        <f t="shared" si="45"/>
        <v>9.6999999999999886</v>
      </c>
      <c r="X1451" s="5">
        <v>35.216666670000002</v>
      </c>
      <c r="Y1451" s="5">
        <v>-10.35</v>
      </c>
      <c r="Z1451" s="3"/>
      <c r="AA1451" s="3" t="s">
        <v>1366</v>
      </c>
      <c r="AB1451" s="3" t="s">
        <v>5770</v>
      </c>
      <c r="AC1451" s="3" t="s">
        <v>5720</v>
      </c>
      <c r="AD1451" s="3" t="s">
        <v>2023</v>
      </c>
      <c r="AE1451" s="3" t="s">
        <v>110</v>
      </c>
      <c r="AF1451" s="3" t="s">
        <v>5720</v>
      </c>
      <c r="AG1451" s="3" t="s">
        <v>5731</v>
      </c>
      <c r="AH1451" s="3"/>
      <c r="AI1451" s="3" t="s">
        <v>5720</v>
      </c>
      <c r="AJ1451" s="3" t="s">
        <v>5720</v>
      </c>
      <c r="AK1451" s="3" t="s">
        <v>5723</v>
      </c>
      <c r="AL1451" s="6" t="s">
        <v>5774</v>
      </c>
      <c r="AM1451" s="5"/>
      <c r="AN1451" s="5"/>
      <c r="AO1451" s="3"/>
      <c r="AP1451" s="3"/>
      <c r="AQ1451" s="3"/>
      <c r="AR1451" s="3"/>
      <c r="AS1451" s="3"/>
      <c r="AT1451" s="3"/>
      <c r="AU1451" s="3"/>
      <c r="AV1451" s="3"/>
      <c r="AW1451" s="3"/>
      <c r="AX1451" s="3"/>
      <c r="AY1451" s="3"/>
      <c r="AZ1451" s="3"/>
      <c r="BA1451" s="3"/>
      <c r="BB1451" s="3"/>
    </row>
    <row r="1452" spans="1:54" x14ac:dyDescent="0.4">
      <c r="A1452" s="2" t="s">
        <v>5775</v>
      </c>
      <c r="B1452" s="2"/>
      <c r="C1452" s="2"/>
      <c r="D1452" s="2" t="s">
        <v>54</v>
      </c>
      <c r="E1452" s="2"/>
      <c r="F1452" s="2" t="s">
        <v>5776</v>
      </c>
      <c r="G1452" s="2">
        <v>1</v>
      </c>
      <c r="H1452" s="2" t="s">
        <v>5718</v>
      </c>
      <c r="I1452" s="3" t="s">
        <v>57</v>
      </c>
      <c r="J1452" s="3" t="s">
        <v>5719</v>
      </c>
      <c r="K1452" s="3" t="s">
        <v>5720</v>
      </c>
      <c r="L1452" s="4" t="s">
        <v>3625</v>
      </c>
      <c r="M1452" s="3" t="s">
        <v>60</v>
      </c>
      <c r="N1452" s="4"/>
      <c r="O1452" s="4"/>
      <c r="P1452" s="3" t="s">
        <v>224</v>
      </c>
      <c r="Q1452" s="3"/>
      <c r="R1452" s="3" t="s">
        <v>183</v>
      </c>
      <c r="S1452" s="3" t="s">
        <v>64</v>
      </c>
      <c r="T1452">
        <v>246.7</v>
      </c>
      <c r="U1452">
        <v>237</v>
      </c>
      <c r="V1452">
        <f t="shared" si="44"/>
        <v>241.85</v>
      </c>
      <c r="W1452">
        <f t="shared" si="45"/>
        <v>9.6999999999999886</v>
      </c>
      <c r="X1452" s="5">
        <v>35.216666670000002</v>
      </c>
      <c r="Y1452" s="5">
        <v>-10.35</v>
      </c>
      <c r="Z1452" s="3"/>
      <c r="AA1452" s="3" t="s">
        <v>1366</v>
      </c>
      <c r="AB1452" s="3" t="s">
        <v>5770</v>
      </c>
      <c r="AC1452" s="3" t="s">
        <v>5720</v>
      </c>
      <c r="AD1452" s="3" t="s">
        <v>2023</v>
      </c>
      <c r="AE1452" s="3" t="s">
        <v>110</v>
      </c>
      <c r="AF1452" s="3" t="s">
        <v>5720</v>
      </c>
      <c r="AG1452" s="3" t="s">
        <v>5731</v>
      </c>
      <c r="AH1452" s="3"/>
      <c r="AI1452" s="3" t="s">
        <v>5720</v>
      </c>
      <c r="AJ1452" s="3" t="s">
        <v>5720</v>
      </c>
      <c r="AK1452" s="3" t="s">
        <v>5723</v>
      </c>
      <c r="AL1452" s="6" t="s">
        <v>5777</v>
      </c>
      <c r="AM1452" s="5"/>
      <c r="AN1452" s="5"/>
      <c r="AO1452" s="3"/>
      <c r="AP1452" s="3"/>
      <c r="AQ1452" s="3"/>
      <c r="AR1452" s="3"/>
      <c r="AS1452" s="3"/>
      <c r="AT1452" s="3"/>
      <c r="AU1452" s="3"/>
      <c r="AV1452" s="3"/>
      <c r="AW1452" s="3"/>
      <c r="AX1452" s="3"/>
      <c r="AY1452" s="3"/>
      <c r="AZ1452" s="3"/>
      <c r="BA1452" s="3"/>
      <c r="BB1452" s="3"/>
    </row>
    <row r="1453" spans="1:54" x14ac:dyDescent="0.4">
      <c r="A1453" s="2" t="s">
        <v>5778</v>
      </c>
      <c r="B1453" s="2"/>
      <c r="C1453" s="2"/>
      <c r="D1453" s="2" t="s">
        <v>54</v>
      </c>
      <c r="E1453" s="2"/>
      <c r="F1453" s="2" t="s">
        <v>5779</v>
      </c>
      <c r="G1453" s="2">
        <v>1</v>
      </c>
      <c r="H1453" s="2" t="s">
        <v>5718</v>
      </c>
      <c r="I1453" s="3" t="s">
        <v>57</v>
      </c>
      <c r="J1453" s="3" t="s">
        <v>5719</v>
      </c>
      <c r="K1453" s="3" t="s">
        <v>5720</v>
      </c>
      <c r="L1453" s="4" t="s">
        <v>3625</v>
      </c>
      <c r="M1453" s="3" t="s">
        <v>60</v>
      </c>
      <c r="N1453" s="4"/>
      <c r="O1453" s="4"/>
      <c r="P1453" s="3" t="s">
        <v>224</v>
      </c>
      <c r="Q1453" s="3"/>
      <c r="R1453" s="3" t="s">
        <v>183</v>
      </c>
      <c r="S1453" s="3" t="s">
        <v>64</v>
      </c>
      <c r="T1453">
        <v>246.7</v>
      </c>
      <c r="U1453">
        <v>237</v>
      </c>
      <c r="V1453">
        <f t="shared" si="44"/>
        <v>241.85</v>
      </c>
      <c r="W1453">
        <f t="shared" si="45"/>
        <v>9.6999999999999886</v>
      </c>
      <c r="X1453" s="5">
        <v>35.216666670000002</v>
      </c>
      <c r="Y1453" s="5">
        <v>-10.35</v>
      </c>
      <c r="Z1453" s="3"/>
      <c r="AA1453" s="3" t="s">
        <v>1366</v>
      </c>
      <c r="AB1453" s="3" t="s">
        <v>5770</v>
      </c>
      <c r="AC1453" s="3" t="s">
        <v>5720</v>
      </c>
      <c r="AD1453" s="3" t="s">
        <v>2023</v>
      </c>
      <c r="AE1453" s="3" t="s">
        <v>110</v>
      </c>
      <c r="AF1453" s="3" t="s">
        <v>5720</v>
      </c>
      <c r="AG1453" s="3" t="s">
        <v>5731</v>
      </c>
      <c r="AH1453" s="3"/>
      <c r="AI1453" s="3" t="s">
        <v>5720</v>
      </c>
      <c r="AJ1453" s="3" t="s">
        <v>5720</v>
      </c>
      <c r="AK1453" s="3" t="s">
        <v>5723</v>
      </c>
      <c r="AL1453" s="6" t="s">
        <v>5780</v>
      </c>
      <c r="AM1453" s="5"/>
      <c r="AN1453" s="5"/>
      <c r="AO1453" s="3"/>
      <c r="AP1453" s="3"/>
      <c r="AQ1453" s="3"/>
      <c r="AR1453" s="3"/>
      <c r="AS1453" s="3"/>
      <c r="AT1453" s="3"/>
      <c r="AU1453" s="3"/>
      <c r="AV1453" s="3"/>
      <c r="AW1453" s="3"/>
      <c r="AX1453" s="3"/>
      <c r="AY1453" s="3"/>
      <c r="AZ1453" s="3"/>
      <c r="BA1453" s="3"/>
      <c r="BB1453" s="3"/>
    </row>
    <row r="1454" spans="1:54" x14ac:dyDescent="0.4">
      <c r="A1454" s="2" t="s">
        <v>5781</v>
      </c>
      <c r="B1454" s="2"/>
      <c r="C1454" s="2"/>
      <c r="D1454" s="2" t="s">
        <v>54</v>
      </c>
      <c r="E1454" s="2"/>
      <c r="F1454" s="2" t="s">
        <v>5782</v>
      </c>
      <c r="G1454" s="2">
        <v>1</v>
      </c>
      <c r="H1454" s="2" t="s">
        <v>5718</v>
      </c>
      <c r="I1454" s="3" t="s">
        <v>57</v>
      </c>
      <c r="J1454" s="3" t="s">
        <v>5719</v>
      </c>
      <c r="K1454" s="3" t="s">
        <v>5720</v>
      </c>
      <c r="L1454" s="4" t="s">
        <v>3625</v>
      </c>
      <c r="M1454" s="3" t="s">
        <v>60</v>
      </c>
      <c r="N1454" s="4"/>
      <c r="O1454" s="4"/>
      <c r="P1454" s="3" t="s">
        <v>224</v>
      </c>
      <c r="Q1454" s="3"/>
      <c r="R1454" s="3" t="s">
        <v>183</v>
      </c>
      <c r="S1454" s="3" t="s">
        <v>64</v>
      </c>
      <c r="T1454">
        <v>246.7</v>
      </c>
      <c r="U1454">
        <v>237</v>
      </c>
      <c r="V1454">
        <f t="shared" si="44"/>
        <v>241.85</v>
      </c>
      <c r="W1454">
        <f t="shared" si="45"/>
        <v>9.6999999999999886</v>
      </c>
      <c r="X1454" s="5">
        <v>35.216666670000002</v>
      </c>
      <c r="Y1454" s="5">
        <v>-10.35</v>
      </c>
      <c r="Z1454" s="3"/>
      <c r="AA1454" s="3" t="s">
        <v>1366</v>
      </c>
      <c r="AB1454" s="3" t="s">
        <v>5770</v>
      </c>
      <c r="AC1454" s="3" t="s">
        <v>5720</v>
      </c>
      <c r="AD1454" s="3" t="s">
        <v>2023</v>
      </c>
      <c r="AE1454" s="3" t="s">
        <v>110</v>
      </c>
      <c r="AF1454" s="3" t="s">
        <v>5720</v>
      </c>
      <c r="AG1454" s="3" t="s">
        <v>5731</v>
      </c>
      <c r="AH1454" s="3"/>
      <c r="AI1454" s="3" t="s">
        <v>5720</v>
      </c>
      <c r="AJ1454" s="3" t="s">
        <v>5720</v>
      </c>
      <c r="AK1454" s="3" t="s">
        <v>5723</v>
      </c>
      <c r="AL1454" s="6" t="s">
        <v>5783</v>
      </c>
      <c r="AM1454" s="5"/>
      <c r="AN1454" s="5"/>
      <c r="AO1454" s="3"/>
      <c r="AP1454" s="3"/>
      <c r="AQ1454" s="3"/>
      <c r="AR1454" s="3"/>
      <c r="AS1454" s="3"/>
      <c r="AT1454" s="3"/>
      <c r="AU1454" s="3"/>
      <c r="AV1454" s="3"/>
      <c r="AW1454" s="3"/>
      <c r="AX1454" s="3"/>
      <c r="AY1454" s="3"/>
      <c r="AZ1454" s="3"/>
      <c r="BA1454" s="3"/>
      <c r="BB1454" s="3"/>
    </row>
    <row r="1455" spans="1:54" x14ac:dyDescent="0.4">
      <c r="A1455" s="2" t="s">
        <v>5784</v>
      </c>
      <c r="B1455" s="2"/>
      <c r="C1455" s="2"/>
      <c r="D1455" s="2" t="s">
        <v>54</v>
      </c>
      <c r="E1455" s="2"/>
      <c r="F1455" s="2" t="s">
        <v>5785</v>
      </c>
      <c r="G1455" s="2">
        <v>1</v>
      </c>
      <c r="H1455" s="2" t="s">
        <v>5718</v>
      </c>
      <c r="I1455" s="3" t="s">
        <v>57</v>
      </c>
      <c r="J1455" s="3" t="s">
        <v>5719</v>
      </c>
      <c r="K1455" s="3" t="s">
        <v>5720</v>
      </c>
      <c r="L1455" s="4" t="s">
        <v>3625</v>
      </c>
      <c r="M1455" s="3" t="s">
        <v>60</v>
      </c>
      <c r="N1455" s="4"/>
      <c r="O1455" s="4"/>
      <c r="P1455" s="3" t="s">
        <v>224</v>
      </c>
      <c r="Q1455" s="3"/>
      <c r="R1455" s="3" t="s">
        <v>183</v>
      </c>
      <c r="S1455" s="3" t="s">
        <v>64</v>
      </c>
      <c r="T1455">
        <v>246.7</v>
      </c>
      <c r="U1455">
        <v>237</v>
      </c>
      <c r="V1455">
        <f t="shared" si="44"/>
        <v>241.85</v>
      </c>
      <c r="W1455">
        <f t="shared" si="45"/>
        <v>9.6999999999999886</v>
      </c>
      <c r="X1455" s="5">
        <v>35.216666670000002</v>
      </c>
      <c r="Y1455" s="5">
        <v>-10.35</v>
      </c>
      <c r="Z1455" s="3"/>
      <c r="AA1455" s="3" t="s">
        <v>1366</v>
      </c>
      <c r="AB1455" s="3" t="s">
        <v>5770</v>
      </c>
      <c r="AC1455" s="3" t="s">
        <v>5720</v>
      </c>
      <c r="AD1455" s="3" t="s">
        <v>2023</v>
      </c>
      <c r="AE1455" s="3" t="s">
        <v>110</v>
      </c>
      <c r="AF1455" s="3" t="s">
        <v>5720</v>
      </c>
      <c r="AG1455" s="3" t="s">
        <v>5731</v>
      </c>
      <c r="AH1455" s="3"/>
      <c r="AI1455" s="3" t="s">
        <v>5720</v>
      </c>
      <c r="AJ1455" s="3" t="s">
        <v>5720</v>
      </c>
      <c r="AK1455" s="3" t="s">
        <v>5723</v>
      </c>
      <c r="AL1455" s="6" t="s">
        <v>5786</v>
      </c>
      <c r="AM1455" s="5"/>
      <c r="AN1455" s="5"/>
      <c r="AO1455" s="3"/>
      <c r="AP1455" s="3"/>
      <c r="AQ1455" s="3"/>
      <c r="AR1455" s="3"/>
      <c r="AS1455" s="3"/>
      <c r="AT1455" s="3"/>
      <c r="AU1455" s="3"/>
      <c r="AV1455" s="3"/>
      <c r="AW1455" s="3"/>
      <c r="AX1455" s="3"/>
      <c r="AY1455" s="3"/>
      <c r="AZ1455" s="3"/>
      <c r="BA1455" s="3"/>
      <c r="BB1455" s="3"/>
    </row>
    <row r="1456" spans="1:54" x14ac:dyDescent="0.4">
      <c r="A1456" s="2" t="s">
        <v>5787</v>
      </c>
      <c r="B1456" s="2"/>
      <c r="C1456" s="2"/>
      <c r="D1456" s="2" t="s">
        <v>54</v>
      </c>
      <c r="E1456" s="2"/>
      <c r="F1456" s="2" t="s">
        <v>5788</v>
      </c>
      <c r="G1456" s="2">
        <v>1</v>
      </c>
      <c r="H1456" s="2" t="s">
        <v>5718</v>
      </c>
      <c r="I1456" s="3" t="s">
        <v>57</v>
      </c>
      <c r="J1456" s="3" t="s">
        <v>5719</v>
      </c>
      <c r="K1456" s="3" t="s">
        <v>5720</v>
      </c>
      <c r="L1456" s="4" t="s">
        <v>3625</v>
      </c>
      <c r="M1456" s="3" t="s">
        <v>60</v>
      </c>
      <c r="N1456" s="4"/>
      <c r="O1456" s="4"/>
      <c r="P1456" s="3" t="s">
        <v>224</v>
      </c>
      <c r="Q1456" s="3"/>
      <c r="R1456" s="3" t="s">
        <v>183</v>
      </c>
      <c r="S1456" s="3" t="s">
        <v>64</v>
      </c>
      <c r="T1456">
        <v>246.7</v>
      </c>
      <c r="U1456">
        <v>237</v>
      </c>
      <c r="V1456">
        <f t="shared" si="44"/>
        <v>241.85</v>
      </c>
      <c r="W1456">
        <f t="shared" si="45"/>
        <v>9.6999999999999886</v>
      </c>
      <c r="X1456" s="5">
        <v>35.216666670000002</v>
      </c>
      <c r="Y1456" s="5">
        <v>-10.35</v>
      </c>
      <c r="Z1456" s="3"/>
      <c r="AA1456" s="3" t="s">
        <v>1366</v>
      </c>
      <c r="AB1456" s="3" t="s">
        <v>5770</v>
      </c>
      <c r="AC1456" s="3" t="s">
        <v>5720</v>
      </c>
      <c r="AD1456" s="3" t="s">
        <v>2023</v>
      </c>
      <c r="AE1456" s="3" t="s">
        <v>110</v>
      </c>
      <c r="AF1456" s="3" t="s">
        <v>5720</v>
      </c>
      <c r="AG1456" s="3" t="s">
        <v>5731</v>
      </c>
      <c r="AH1456" s="3"/>
      <c r="AI1456" s="3" t="s">
        <v>5720</v>
      </c>
      <c r="AJ1456" s="3" t="s">
        <v>5720</v>
      </c>
      <c r="AK1456" s="3" t="s">
        <v>5723</v>
      </c>
      <c r="AL1456" s="6" t="s">
        <v>5789</v>
      </c>
      <c r="AM1456" s="5"/>
      <c r="AN1456" s="5"/>
      <c r="AO1456" s="3"/>
      <c r="AP1456" s="3"/>
      <c r="AQ1456" s="3"/>
      <c r="AR1456" s="3"/>
      <c r="AS1456" s="3"/>
      <c r="AT1456" s="3"/>
      <c r="AU1456" s="3"/>
      <c r="AV1456" s="3"/>
      <c r="AW1456" s="3"/>
      <c r="AX1456" s="3"/>
      <c r="AY1456" s="3"/>
      <c r="AZ1456" s="3"/>
      <c r="BA1456" s="3"/>
      <c r="BB1456" s="3"/>
    </row>
    <row r="1457" spans="1:54" x14ac:dyDescent="0.4">
      <c r="A1457" s="2" t="s">
        <v>5790</v>
      </c>
      <c r="B1457" s="2"/>
      <c r="C1457" s="2"/>
      <c r="D1457" s="2" t="s">
        <v>54</v>
      </c>
      <c r="E1457" s="2"/>
      <c r="F1457" s="2" t="s">
        <v>5791</v>
      </c>
      <c r="G1457" s="2">
        <v>1</v>
      </c>
      <c r="H1457" s="2" t="s">
        <v>5718</v>
      </c>
      <c r="I1457" s="3" t="s">
        <v>57</v>
      </c>
      <c r="J1457" s="3" t="s">
        <v>5719</v>
      </c>
      <c r="K1457" s="3" t="s">
        <v>5720</v>
      </c>
      <c r="L1457" s="4" t="s">
        <v>3625</v>
      </c>
      <c r="M1457" s="3" t="s">
        <v>60</v>
      </c>
      <c r="N1457" s="4"/>
      <c r="O1457" s="4"/>
      <c r="P1457" s="3" t="s">
        <v>224</v>
      </c>
      <c r="Q1457" s="3"/>
      <c r="R1457" s="3" t="s">
        <v>183</v>
      </c>
      <c r="S1457" s="3" t="s">
        <v>64</v>
      </c>
      <c r="T1457">
        <v>246.7</v>
      </c>
      <c r="U1457">
        <v>237</v>
      </c>
      <c r="V1457">
        <f t="shared" si="44"/>
        <v>241.85</v>
      </c>
      <c r="W1457">
        <f t="shared" si="45"/>
        <v>9.6999999999999886</v>
      </c>
      <c r="X1457" s="5">
        <v>35.216666670000002</v>
      </c>
      <c r="Y1457" s="5">
        <v>-10.35</v>
      </c>
      <c r="Z1457" s="3"/>
      <c r="AA1457" s="3" t="s">
        <v>1366</v>
      </c>
      <c r="AB1457" s="3" t="s">
        <v>5770</v>
      </c>
      <c r="AC1457" s="3" t="s">
        <v>5720</v>
      </c>
      <c r="AD1457" s="3" t="s">
        <v>2023</v>
      </c>
      <c r="AE1457" s="3" t="s">
        <v>110</v>
      </c>
      <c r="AF1457" s="3" t="s">
        <v>5720</v>
      </c>
      <c r="AG1457" s="3" t="s">
        <v>5731</v>
      </c>
      <c r="AH1457" s="3"/>
      <c r="AI1457" s="3" t="s">
        <v>5720</v>
      </c>
      <c r="AJ1457" s="3" t="s">
        <v>5720</v>
      </c>
      <c r="AK1457" s="3" t="s">
        <v>5723</v>
      </c>
      <c r="AL1457" s="6" t="s">
        <v>5792</v>
      </c>
      <c r="AM1457" s="5"/>
      <c r="AN1457" s="5"/>
      <c r="AO1457" s="3"/>
      <c r="AP1457" s="3"/>
      <c r="AQ1457" s="3"/>
      <c r="AR1457" s="3"/>
      <c r="AS1457" s="3"/>
      <c r="AT1457" s="3"/>
      <c r="AU1457" s="3"/>
      <c r="AV1457" s="3"/>
      <c r="AW1457" s="3"/>
      <c r="AX1457" s="3"/>
      <c r="AY1457" s="3"/>
      <c r="AZ1457" s="3"/>
      <c r="BA1457" s="3"/>
      <c r="BB1457" s="3"/>
    </row>
    <row r="1458" spans="1:54" x14ac:dyDescent="0.4">
      <c r="A1458" s="2" t="s">
        <v>5793</v>
      </c>
      <c r="B1458" s="2"/>
      <c r="C1458" s="2"/>
      <c r="D1458" s="2" t="s">
        <v>54</v>
      </c>
      <c r="E1458" s="2"/>
      <c r="F1458" s="2" t="s">
        <v>5794</v>
      </c>
      <c r="G1458" s="2">
        <v>1</v>
      </c>
      <c r="H1458" s="2" t="s">
        <v>5718</v>
      </c>
      <c r="I1458" s="3" t="s">
        <v>57</v>
      </c>
      <c r="J1458" s="3" t="s">
        <v>5719</v>
      </c>
      <c r="K1458" s="3" t="s">
        <v>5720</v>
      </c>
      <c r="L1458" s="4" t="s">
        <v>3625</v>
      </c>
      <c r="M1458" s="3" t="s">
        <v>60</v>
      </c>
      <c r="N1458" s="4"/>
      <c r="O1458" s="4"/>
      <c r="P1458" s="3" t="s">
        <v>224</v>
      </c>
      <c r="Q1458" s="3"/>
      <c r="R1458" s="3" t="s">
        <v>183</v>
      </c>
      <c r="S1458" s="3" t="s">
        <v>64</v>
      </c>
      <c r="T1458">
        <v>246.7</v>
      </c>
      <c r="U1458">
        <v>237</v>
      </c>
      <c r="V1458">
        <f t="shared" si="44"/>
        <v>241.85</v>
      </c>
      <c r="W1458">
        <f t="shared" si="45"/>
        <v>9.6999999999999886</v>
      </c>
      <c r="X1458" s="5">
        <v>35.216666670000002</v>
      </c>
      <c r="Y1458" s="5">
        <v>-10.35</v>
      </c>
      <c r="Z1458" s="3"/>
      <c r="AA1458" s="3" t="s">
        <v>1366</v>
      </c>
      <c r="AB1458" s="3" t="s">
        <v>5770</v>
      </c>
      <c r="AC1458" s="3" t="s">
        <v>5720</v>
      </c>
      <c r="AD1458" s="3" t="s">
        <v>2023</v>
      </c>
      <c r="AE1458" s="3" t="s">
        <v>110</v>
      </c>
      <c r="AF1458" s="3" t="s">
        <v>5720</v>
      </c>
      <c r="AG1458" s="3" t="s">
        <v>5731</v>
      </c>
      <c r="AH1458" s="3"/>
      <c r="AI1458" s="3" t="s">
        <v>5720</v>
      </c>
      <c r="AJ1458" s="3" t="s">
        <v>5720</v>
      </c>
      <c r="AK1458" s="3" t="s">
        <v>5723</v>
      </c>
      <c r="AL1458" s="6" t="s">
        <v>5795</v>
      </c>
      <c r="AM1458" s="5"/>
      <c r="AN1458" s="5"/>
      <c r="AO1458" s="3"/>
      <c r="AP1458" s="3"/>
      <c r="AQ1458" s="3"/>
      <c r="AR1458" s="3"/>
      <c r="AS1458" s="3"/>
      <c r="AT1458" s="3"/>
      <c r="AU1458" s="3"/>
      <c r="AV1458" s="3"/>
      <c r="AW1458" s="3"/>
      <c r="AX1458" s="3"/>
      <c r="AY1458" s="3"/>
      <c r="AZ1458" s="3"/>
      <c r="BA1458" s="3"/>
      <c r="BB1458" s="3"/>
    </row>
    <row r="1459" spans="1:54" x14ac:dyDescent="0.4">
      <c r="A1459" s="2" t="s">
        <v>5796</v>
      </c>
      <c r="B1459" s="2"/>
      <c r="C1459" s="2"/>
      <c r="D1459" s="2" t="s">
        <v>54</v>
      </c>
      <c r="E1459" s="2"/>
      <c r="F1459" s="2" t="s">
        <v>5794</v>
      </c>
      <c r="G1459" s="2">
        <v>1</v>
      </c>
      <c r="H1459" s="2" t="s">
        <v>5718</v>
      </c>
      <c r="I1459" s="3" t="s">
        <v>57</v>
      </c>
      <c r="J1459" s="3" t="s">
        <v>5719</v>
      </c>
      <c r="K1459" s="3" t="s">
        <v>5720</v>
      </c>
      <c r="L1459" s="4" t="s">
        <v>3625</v>
      </c>
      <c r="M1459" s="3" t="s">
        <v>60</v>
      </c>
      <c r="N1459" s="4"/>
      <c r="O1459" s="4"/>
      <c r="P1459" s="3" t="s">
        <v>224</v>
      </c>
      <c r="Q1459" s="3"/>
      <c r="R1459" s="3" t="s">
        <v>183</v>
      </c>
      <c r="S1459" s="3" t="s">
        <v>64</v>
      </c>
      <c r="T1459">
        <v>246.7</v>
      </c>
      <c r="U1459">
        <v>237</v>
      </c>
      <c r="V1459">
        <f t="shared" si="44"/>
        <v>241.85</v>
      </c>
      <c r="W1459">
        <f t="shared" si="45"/>
        <v>9.6999999999999886</v>
      </c>
      <c r="X1459" s="5">
        <v>35.216666670000002</v>
      </c>
      <c r="Y1459" s="5">
        <v>-10.35</v>
      </c>
      <c r="Z1459" s="3"/>
      <c r="AA1459" s="3" t="s">
        <v>1366</v>
      </c>
      <c r="AB1459" s="3" t="s">
        <v>5770</v>
      </c>
      <c r="AC1459" s="3" t="s">
        <v>5720</v>
      </c>
      <c r="AD1459" s="3" t="s">
        <v>2023</v>
      </c>
      <c r="AE1459" s="3" t="s">
        <v>110</v>
      </c>
      <c r="AF1459" s="3" t="s">
        <v>5720</v>
      </c>
      <c r="AG1459" s="3" t="s">
        <v>5731</v>
      </c>
      <c r="AH1459" s="3"/>
      <c r="AI1459" s="3" t="s">
        <v>5720</v>
      </c>
      <c r="AJ1459" s="3" t="s">
        <v>5720</v>
      </c>
      <c r="AK1459" s="3" t="s">
        <v>5723</v>
      </c>
      <c r="AL1459" s="6" t="s">
        <v>5797</v>
      </c>
      <c r="AM1459" s="5"/>
      <c r="AN1459" s="5"/>
      <c r="AO1459" s="3"/>
      <c r="AP1459" s="3"/>
      <c r="AQ1459" s="3"/>
      <c r="AR1459" s="3"/>
      <c r="AS1459" s="3"/>
      <c r="AT1459" s="3"/>
      <c r="AU1459" s="3"/>
      <c r="AV1459" s="3"/>
      <c r="AW1459" s="3"/>
      <c r="AX1459" s="3"/>
      <c r="AY1459" s="3"/>
      <c r="AZ1459" s="3"/>
      <c r="BA1459" s="3"/>
      <c r="BB1459" s="3"/>
    </row>
    <row r="1460" spans="1:54" x14ac:dyDescent="0.4">
      <c r="A1460" s="2" t="s">
        <v>5798</v>
      </c>
      <c r="B1460" s="2"/>
      <c r="C1460" s="2"/>
      <c r="D1460" s="2" t="s">
        <v>54</v>
      </c>
      <c r="E1460" s="2"/>
      <c r="F1460" s="2" t="s">
        <v>5794</v>
      </c>
      <c r="G1460" s="2">
        <v>1</v>
      </c>
      <c r="H1460" s="2" t="s">
        <v>5718</v>
      </c>
      <c r="I1460" s="3" t="s">
        <v>57</v>
      </c>
      <c r="J1460" s="3" t="s">
        <v>5719</v>
      </c>
      <c r="K1460" s="3" t="s">
        <v>5720</v>
      </c>
      <c r="L1460" s="4" t="s">
        <v>3625</v>
      </c>
      <c r="M1460" s="3" t="s">
        <v>60</v>
      </c>
      <c r="N1460" s="4"/>
      <c r="O1460" s="4"/>
      <c r="P1460" s="3" t="s">
        <v>224</v>
      </c>
      <c r="Q1460" s="3"/>
      <c r="R1460" s="3" t="s">
        <v>183</v>
      </c>
      <c r="S1460" s="3" t="s">
        <v>64</v>
      </c>
      <c r="T1460">
        <v>246.7</v>
      </c>
      <c r="U1460">
        <v>237</v>
      </c>
      <c r="V1460">
        <f t="shared" si="44"/>
        <v>241.85</v>
      </c>
      <c r="W1460">
        <f t="shared" si="45"/>
        <v>9.6999999999999886</v>
      </c>
      <c r="X1460" s="5">
        <v>35.216666670000002</v>
      </c>
      <c r="Y1460" s="5">
        <v>-10.35</v>
      </c>
      <c r="Z1460" s="3"/>
      <c r="AA1460" s="3" t="s">
        <v>1366</v>
      </c>
      <c r="AB1460" s="3" t="s">
        <v>5770</v>
      </c>
      <c r="AC1460" s="3" t="s">
        <v>5720</v>
      </c>
      <c r="AD1460" s="3" t="s">
        <v>2023</v>
      </c>
      <c r="AE1460" s="3" t="s">
        <v>110</v>
      </c>
      <c r="AF1460" s="3" t="s">
        <v>5720</v>
      </c>
      <c r="AG1460" s="3" t="s">
        <v>5731</v>
      </c>
      <c r="AH1460" s="3"/>
      <c r="AI1460" s="3" t="s">
        <v>5720</v>
      </c>
      <c r="AJ1460" s="3" t="s">
        <v>5720</v>
      </c>
      <c r="AK1460" s="3" t="s">
        <v>5723</v>
      </c>
      <c r="AL1460" s="6" t="s">
        <v>5799</v>
      </c>
      <c r="AM1460" s="5"/>
      <c r="AN1460" s="5"/>
      <c r="AO1460" s="3"/>
      <c r="AP1460" s="3"/>
      <c r="AQ1460" s="3"/>
      <c r="AR1460" s="3"/>
      <c r="AS1460" s="3"/>
      <c r="AT1460" s="3"/>
      <c r="AU1460" s="3"/>
      <c r="AV1460" s="3"/>
      <c r="AW1460" s="3"/>
      <c r="AX1460" s="3"/>
      <c r="AY1460" s="3"/>
      <c r="AZ1460" s="3"/>
      <c r="BA1460" s="3"/>
      <c r="BB1460" s="3"/>
    </row>
    <row r="1461" spans="1:54" x14ac:dyDescent="0.4">
      <c r="A1461" s="2" t="s">
        <v>5800</v>
      </c>
      <c r="B1461" s="2"/>
      <c r="C1461" s="2"/>
      <c r="D1461" s="2" t="s">
        <v>54</v>
      </c>
      <c r="E1461" s="2"/>
      <c r="F1461" s="2" t="s">
        <v>5801</v>
      </c>
      <c r="G1461" s="2">
        <v>1</v>
      </c>
      <c r="H1461" s="2" t="s">
        <v>5718</v>
      </c>
      <c r="I1461" s="3" t="s">
        <v>57</v>
      </c>
      <c r="J1461" s="3" t="s">
        <v>5719</v>
      </c>
      <c r="K1461" s="3" t="s">
        <v>5720</v>
      </c>
      <c r="L1461" s="4" t="s">
        <v>3625</v>
      </c>
      <c r="M1461" s="3" t="s">
        <v>60</v>
      </c>
      <c r="N1461" s="4"/>
      <c r="O1461" s="4"/>
      <c r="P1461" s="3" t="s">
        <v>224</v>
      </c>
      <c r="Q1461" s="3"/>
      <c r="R1461" s="3" t="s">
        <v>183</v>
      </c>
      <c r="S1461" s="3" t="s">
        <v>64</v>
      </c>
      <c r="T1461">
        <v>246.7</v>
      </c>
      <c r="U1461">
        <v>237</v>
      </c>
      <c r="V1461">
        <f t="shared" si="44"/>
        <v>241.85</v>
      </c>
      <c r="W1461">
        <f t="shared" si="45"/>
        <v>9.6999999999999886</v>
      </c>
      <c r="X1461" s="5">
        <v>35.216666670000002</v>
      </c>
      <c r="Y1461" s="5">
        <v>-10.35</v>
      </c>
      <c r="Z1461" s="3"/>
      <c r="AA1461" s="3" t="s">
        <v>1366</v>
      </c>
      <c r="AB1461" s="3" t="s">
        <v>5770</v>
      </c>
      <c r="AC1461" s="3" t="s">
        <v>5720</v>
      </c>
      <c r="AD1461" s="3" t="s">
        <v>2023</v>
      </c>
      <c r="AE1461" s="3" t="s">
        <v>110</v>
      </c>
      <c r="AF1461" s="3" t="s">
        <v>5720</v>
      </c>
      <c r="AG1461" s="3" t="s">
        <v>5731</v>
      </c>
      <c r="AH1461" s="3"/>
      <c r="AI1461" s="3" t="s">
        <v>5720</v>
      </c>
      <c r="AJ1461" s="3" t="s">
        <v>5720</v>
      </c>
      <c r="AK1461" s="3" t="s">
        <v>5723</v>
      </c>
      <c r="AL1461" s="6" t="s">
        <v>5799</v>
      </c>
      <c r="AM1461" s="5"/>
      <c r="AN1461" s="5"/>
      <c r="AO1461" s="3"/>
      <c r="AP1461" s="3"/>
      <c r="AQ1461" s="3"/>
      <c r="AR1461" s="3"/>
      <c r="AS1461" s="3"/>
      <c r="AT1461" s="3"/>
      <c r="AU1461" s="3"/>
      <c r="AV1461" s="3"/>
      <c r="AW1461" s="3"/>
      <c r="AX1461" s="3"/>
      <c r="AY1461" s="3"/>
      <c r="AZ1461" s="3"/>
      <c r="BA1461" s="3"/>
      <c r="BB1461" s="3"/>
    </row>
    <row r="1462" spans="1:54" x14ac:dyDescent="0.4">
      <c r="A1462" s="2" t="s">
        <v>5802</v>
      </c>
      <c r="B1462" s="2"/>
      <c r="C1462" s="2"/>
      <c r="D1462" s="2" t="s">
        <v>54</v>
      </c>
      <c r="E1462" s="2"/>
      <c r="F1462" s="2" t="s">
        <v>5803</v>
      </c>
      <c r="G1462" s="2">
        <v>1</v>
      </c>
      <c r="H1462" s="2" t="s">
        <v>5718</v>
      </c>
      <c r="I1462" s="3" t="s">
        <v>57</v>
      </c>
      <c r="J1462" s="3" t="s">
        <v>5719</v>
      </c>
      <c r="K1462" s="3" t="s">
        <v>5720</v>
      </c>
      <c r="L1462" s="4" t="s">
        <v>3625</v>
      </c>
      <c r="M1462" s="3" t="s">
        <v>60</v>
      </c>
      <c r="N1462" s="4"/>
      <c r="O1462" s="4"/>
      <c r="P1462" s="3" t="s">
        <v>224</v>
      </c>
      <c r="Q1462" s="3"/>
      <c r="R1462" s="3" t="s">
        <v>183</v>
      </c>
      <c r="S1462" s="3" t="s">
        <v>64</v>
      </c>
      <c r="T1462">
        <v>246.7</v>
      </c>
      <c r="U1462">
        <v>237</v>
      </c>
      <c r="V1462">
        <f t="shared" si="44"/>
        <v>241.85</v>
      </c>
      <c r="W1462">
        <f t="shared" si="45"/>
        <v>9.6999999999999886</v>
      </c>
      <c r="X1462" s="5">
        <v>35.216666670000002</v>
      </c>
      <c r="Y1462" s="5">
        <v>-10.35</v>
      </c>
      <c r="Z1462" s="3"/>
      <c r="AA1462" s="3" t="s">
        <v>1366</v>
      </c>
      <c r="AB1462" s="3" t="s">
        <v>5770</v>
      </c>
      <c r="AC1462" s="3" t="s">
        <v>5720</v>
      </c>
      <c r="AD1462" s="3" t="s">
        <v>2023</v>
      </c>
      <c r="AE1462" s="3" t="s">
        <v>110</v>
      </c>
      <c r="AF1462" s="3" t="s">
        <v>5720</v>
      </c>
      <c r="AG1462" s="3" t="s">
        <v>5731</v>
      </c>
      <c r="AH1462" s="3"/>
      <c r="AI1462" s="3" t="s">
        <v>5720</v>
      </c>
      <c r="AJ1462" s="3" t="s">
        <v>5720</v>
      </c>
      <c r="AK1462" s="3" t="s">
        <v>5723</v>
      </c>
      <c r="AL1462" s="6" t="s">
        <v>5799</v>
      </c>
      <c r="AM1462" s="5"/>
      <c r="AN1462" s="5"/>
      <c r="AO1462" s="3"/>
      <c r="AP1462" s="3"/>
      <c r="AQ1462" s="3"/>
      <c r="AR1462" s="3"/>
      <c r="AS1462" s="3"/>
      <c r="AT1462" s="3"/>
      <c r="AU1462" s="3"/>
      <c r="AV1462" s="3"/>
      <c r="AW1462" s="3"/>
      <c r="AX1462" s="3"/>
      <c r="AY1462" s="3"/>
      <c r="AZ1462" s="3"/>
      <c r="BA1462" s="3"/>
      <c r="BB1462" s="3"/>
    </row>
    <row r="1463" spans="1:54" x14ac:dyDescent="0.4">
      <c r="A1463" s="2" t="s">
        <v>5804</v>
      </c>
      <c r="B1463" s="2"/>
      <c r="C1463" s="2"/>
      <c r="D1463" s="2" t="s">
        <v>54</v>
      </c>
      <c r="E1463" s="2"/>
      <c r="F1463" s="2" t="s">
        <v>5805</v>
      </c>
      <c r="G1463" s="2">
        <v>1</v>
      </c>
      <c r="H1463" s="2" t="s">
        <v>5718</v>
      </c>
      <c r="I1463" s="3" t="s">
        <v>57</v>
      </c>
      <c r="J1463" s="3" t="s">
        <v>5719</v>
      </c>
      <c r="K1463" s="3" t="s">
        <v>5720</v>
      </c>
      <c r="L1463" s="4" t="s">
        <v>3625</v>
      </c>
      <c r="M1463" s="3" t="s">
        <v>60</v>
      </c>
      <c r="N1463" s="4"/>
      <c r="O1463" s="4"/>
      <c r="P1463" s="3" t="s">
        <v>224</v>
      </c>
      <c r="Q1463" s="3"/>
      <c r="R1463" s="3" t="s">
        <v>183</v>
      </c>
      <c r="S1463" s="3" t="s">
        <v>64</v>
      </c>
      <c r="T1463">
        <v>246.7</v>
      </c>
      <c r="U1463">
        <v>237</v>
      </c>
      <c r="V1463">
        <f t="shared" si="44"/>
        <v>241.85</v>
      </c>
      <c r="W1463">
        <f t="shared" si="45"/>
        <v>9.6999999999999886</v>
      </c>
      <c r="X1463" s="5">
        <v>35.216666670000002</v>
      </c>
      <c r="Y1463" s="5">
        <v>-10.35</v>
      </c>
      <c r="Z1463" s="3"/>
      <c r="AA1463" s="3" t="s">
        <v>1366</v>
      </c>
      <c r="AB1463" s="3" t="s">
        <v>5770</v>
      </c>
      <c r="AC1463" s="3" t="s">
        <v>5720</v>
      </c>
      <c r="AD1463" s="3" t="s">
        <v>2023</v>
      </c>
      <c r="AE1463" s="3" t="s">
        <v>110</v>
      </c>
      <c r="AF1463" s="3" t="s">
        <v>5720</v>
      </c>
      <c r="AG1463" s="3" t="s">
        <v>5731</v>
      </c>
      <c r="AH1463" s="3"/>
      <c r="AI1463" s="3" t="s">
        <v>5720</v>
      </c>
      <c r="AJ1463" s="3" t="s">
        <v>5720</v>
      </c>
      <c r="AK1463" s="3" t="s">
        <v>5723</v>
      </c>
      <c r="AL1463" s="6" t="s">
        <v>5799</v>
      </c>
      <c r="AM1463" s="5"/>
      <c r="AN1463" s="5"/>
      <c r="AO1463" s="3"/>
      <c r="AP1463" s="3"/>
      <c r="AQ1463" s="3"/>
      <c r="AR1463" s="3"/>
      <c r="AS1463" s="3"/>
      <c r="AT1463" s="3"/>
      <c r="AU1463" s="3"/>
      <c r="AV1463" s="3"/>
      <c r="AW1463" s="3"/>
      <c r="AX1463" s="3"/>
      <c r="AY1463" s="3"/>
      <c r="AZ1463" s="3"/>
      <c r="BA1463" s="3"/>
      <c r="BB1463" s="3"/>
    </row>
    <row r="1464" spans="1:54" x14ac:dyDescent="0.4">
      <c r="A1464" s="2" t="s">
        <v>5806</v>
      </c>
      <c r="B1464" s="2"/>
      <c r="C1464" s="2"/>
      <c r="D1464" s="2" t="s">
        <v>54</v>
      </c>
      <c r="E1464" s="2"/>
      <c r="F1464" s="2" t="s">
        <v>5807</v>
      </c>
      <c r="G1464" s="2">
        <v>1</v>
      </c>
      <c r="H1464" s="2" t="s">
        <v>5718</v>
      </c>
      <c r="I1464" s="3" t="s">
        <v>57</v>
      </c>
      <c r="J1464" s="3" t="s">
        <v>5719</v>
      </c>
      <c r="K1464" s="3" t="s">
        <v>5720</v>
      </c>
      <c r="L1464" s="4" t="s">
        <v>3625</v>
      </c>
      <c r="M1464" s="3" t="s">
        <v>60</v>
      </c>
      <c r="N1464" s="4"/>
      <c r="O1464" s="4"/>
      <c r="P1464" s="3" t="s">
        <v>224</v>
      </c>
      <c r="Q1464" s="3"/>
      <c r="R1464" s="3" t="s">
        <v>183</v>
      </c>
      <c r="S1464" s="3" t="s">
        <v>64</v>
      </c>
      <c r="T1464">
        <v>246.7</v>
      </c>
      <c r="U1464">
        <v>237</v>
      </c>
      <c r="V1464">
        <f t="shared" si="44"/>
        <v>241.85</v>
      </c>
      <c r="W1464">
        <f t="shared" si="45"/>
        <v>9.6999999999999886</v>
      </c>
      <c r="X1464" s="5">
        <v>35.216666670000002</v>
      </c>
      <c r="Y1464" s="5">
        <v>-10.35</v>
      </c>
      <c r="Z1464" s="3"/>
      <c r="AA1464" s="3" t="s">
        <v>1366</v>
      </c>
      <c r="AB1464" s="3" t="s">
        <v>5770</v>
      </c>
      <c r="AC1464" s="3" t="s">
        <v>5720</v>
      </c>
      <c r="AD1464" s="3" t="s">
        <v>2023</v>
      </c>
      <c r="AE1464" s="3" t="s">
        <v>110</v>
      </c>
      <c r="AF1464" s="3" t="s">
        <v>5720</v>
      </c>
      <c r="AG1464" s="3" t="s">
        <v>5731</v>
      </c>
      <c r="AH1464" s="3"/>
      <c r="AI1464" s="3" t="s">
        <v>5720</v>
      </c>
      <c r="AJ1464" s="3" t="s">
        <v>5720</v>
      </c>
      <c r="AK1464" s="3" t="s">
        <v>5723</v>
      </c>
      <c r="AL1464" s="6" t="s">
        <v>5799</v>
      </c>
      <c r="AM1464" s="5"/>
      <c r="AN1464" s="5"/>
      <c r="AO1464" s="3"/>
      <c r="AP1464" s="3"/>
      <c r="AQ1464" s="3"/>
      <c r="AR1464" s="3"/>
      <c r="AS1464" s="3"/>
      <c r="AT1464" s="3"/>
      <c r="AU1464" s="3"/>
      <c r="AV1464" s="3"/>
      <c r="AW1464" s="3"/>
      <c r="AX1464" s="3"/>
      <c r="AY1464" s="3"/>
      <c r="AZ1464" s="3"/>
      <c r="BA1464" s="3"/>
      <c r="BB1464" s="3"/>
    </row>
    <row r="1465" spans="1:54" x14ac:dyDescent="0.4">
      <c r="A1465" s="2" t="s">
        <v>5808</v>
      </c>
      <c r="B1465" s="2"/>
      <c r="C1465" s="2"/>
      <c r="D1465" s="2" t="s">
        <v>54</v>
      </c>
      <c r="E1465" s="2"/>
      <c r="F1465" s="2" t="s">
        <v>5809</v>
      </c>
      <c r="G1465" s="2">
        <v>1</v>
      </c>
      <c r="H1465" s="2" t="s">
        <v>5718</v>
      </c>
      <c r="I1465" s="3" t="s">
        <v>57</v>
      </c>
      <c r="J1465" s="3" t="s">
        <v>5719</v>
      </c>
      <c r="K1465" s="3" t="s">
        <v>5720</v>
      </c>
      <c r="L1465" s="4" t="s">
        <v>3625</v>
      </c>
      <c r="M1465" s="3" t="s">
        <v>60</v>
      </c>
      <c r="N1465" s="4"/>
      <c r="O1465" s="4"/>
      <c r="P1465" s="3" t="s">
        <v>224</v>
      </c>
      <c r="Q1465" s="3"/>
      <c r="R1465" s="3" t="s">
        <v>183</v>
      </c>
      <c r="S1465" s="3" t="s">
        <v>64</v>
      </c>
      <c r="T1465">
        <v>246.7</v>
      </c>
      <c r="U1465">
        <v>237</v>
      </c>
      <c r="V1465">
        <f t="shared" si="44"/>
        <v>241.85</v>
      </c>
      <c r="W1465">
        <f t="shared" si="45"/>
        <v>9.6999999999999886</v>
      </c>
      <c r="X1465" s="5">
        <v>35.216666670000002</v>
      </c>
      <c r="Y1465" s="5">
        <v>-10.35</v>
      </c>
      <c r="Z1465" s="3"/>
      <c r="AA1465" s="3" t="s">
        <v>1366</v>
      </c>
      <c r="AB1465" s="3" t="s">
        <v>5770</v>
      </c>
      <c r="AC1465" s="3" t="s">
        <v>5720</v>
      </c>
      <c r="AD1465" s="3" t="s">
        <v>2023</v>
      </c>
      <c r="AE1465" s="3" t="s">
        <v>110</v>
      </c>
      <c r="AF1465" s="3" t="s">
        <v>5720</v>
      </c>
      <c r="AG1465" s="3" t="s">
        <v>5731</v>
      </c>
      <c r="AH1465" s="3"/>
      <c r="AI1465" s="3" t="s">
        <v>5720</v>
      </c>
      <c r="AJ1465" s="3" t="s">
        <v>5720</v>
      </c>
      <c r="AK1465" s="3" t="s">
        <v>5723</v>
      </c>
      <c r="AL1465" s="6" t="s">
        <v>5799</v>
      </c>
      <c r="AM1465" s="5"/>
      <c r="AN1465" s="5"/>
      <c r="AO1465" s="3"/>
      <c r="AP1465" s="3"/>
      <c r="AQ1465" s="3"/>
      <c r="AR1465" s="3"/>
      <c r="AS1465" s="3"/>
      <c r="AT1465" s="3"/>
      <c r="AU1465" s="3"/>
      <c r="AV1465" s="3"/>
      <c r="AW1465" s="3"/>
      <c r="AX1465" s="3"/>
      <c r="AY1465" s="3"/>
      <c r="AZ1465" s="3"/>
      <c r="BA1465" s="3"/>
      <c r="BB1465" s="3"/>
    </row>
    <row r="1466" spans="1:54" x14ac:dyDescent="0.4">
      <c r="A1466" s="2" t="s">
        <v>5810</v>
      </c>
      <c r="B1466" s="2"/>
      <c r="C1466" s="2"/>
      <c r="D1466" s="2" t="s">
        <v>54</v>
      </c>
      <c r="E1466" s="2"/>
      <c r="F1466" s="2" t="s">
        <v>5811</v>
      </c>
      <c r="G1466" s="2">
        <v>1</v>
      </c>
      <c r="H1466" s="2" t="s">
        <v>5718</v>
      </c>
      <c r="I1466" s="3" t="s">
        <v>57</v>
      </c>
      <c r="J1466" s="3" t="s">
        <v>5719</v>
      </c>
      <c r="K1466" s="3" t="s">
        <v>5720</v>
      </c>
      <c r="L1466" s="4" t="s">
        <v>3625</v>
      </c>
      <c r="M1466" s="3" t="s">
        <v>60</v>
      </c>
      <c r="N1466" s="4"/>
      <c r="O1466" s="4"/>
      <c r="P1466" s="3" t="s">
        <v>224</v>
      </c>
      <c r="Q1466" s="3"/>
      <c r="R1466" s="3" t="s">
        <v>183</v>
      </c>
      <c r="S1466" s="3" t="s">
        <v>64</v>
      </c>
      <c r="T1466">
        <v>246.7</v>
      </c>
      <c r="U1466">
        <v>237</v>
      </c>
      <c r="V1466">
        <f t="shared" si="44"/>
        <v>241.85</v>
      </c>
      <c r="W1466">
        <f t="shared" si="45"/>
        <v>9.6999999999999886</v>
      </c>
      <c r="X1466" s="5">
        <v>35.216666670000002</v>
      </c>
      <c r="Y1466" s="5">
        <v>-10.35</v>
      </c>
      <c r="Z1466" s="3"/>
      <c r="AA1466" s="3" t="s">
        <v>1366</v>
      </c>
      <c r="AB1466" s="3" t="s">
        <v>5770</v>
      </c>
      <c r="AC1466" s="3" t="s">
        <v>5720</v>
      </c>
      <c r="AD1466" s="3" t="s">
        <v>2023</v>
      </c>
      <c r="AE1466" s="3" t="s">
        <v>110</v>
      </c>
      <c r="AF1466" s="3" t="s">
        <v>5720</v>
      </c>
      <c r="AG1466" s="3" t="s">
        <v>5731</v>
      </c>
      <c r="AH1466" s="3"/>
      <c r="AI1466" s="3" t="s">
        <v>5720</v>
      </c>
      <c r="AJ1466" s="3" t="s">
        <v>5720</v>
      </c>
      <c r="AK1466" s="3" t="s">
        <v>5723</v>
      </c>
      <c r="AL1466" s="6" t="s">
        <v>5812</v>
      </c>
      <c r="AM1466" s="5"/>
      <c r="AN1466" s="5"/>
      <c r="AO1466" s="3"/>
      <c r="AP1466" s="3"/>
      <c r="AQ1466" s="3"/>
      <c r="AR1466" s="3"/>
      <c r="AS1466" s="3"/>
      <c r="AT1466" s="3"/>
      <c r="AU1466" s="3"/>
      <c r="AV1466" s="3"/>
      <c r="AW1466" s="3"/>
      <c r="AX1466" s="3"/>
      <c r="AY1466" s="3"/>
      <c r="AZ1466" s="3"/>
      <c r="BA1466" s="3"/>
      <c r="BB1466" s="3"/>
    </row>
    <row r="1467" spans="1:54" x14ac:dyDescent="0.4">
      <c r="A1467" s="2" t="s">
        <v>5813</v>
      </c>
      <c r="B1467" s="2"/>
      <c r="C1467" s="2"/>
      <c r="D1467" s="2" t="s">
        <v>54</v>
      </c>
      <c r="E1467" s="2"/>
      <c r="F1467" s="2" t="s">
        <v>5814</v>
      </c>
      <c r="G1467" s="2">
        <v>1</v>
      </c>
      <c r="H1467" s="2" t="s">
        <v>5718</v>
      </c>
      <c r="I1467" s="3" t="s">
        <v>57</v>
      </c>
      <c r="J1467" s="3" t="s">
        <v>5719</v>
      </c>
      <c r="K1467" s="3" t="s">
        <v>5720</v>
      </c>
      <c r="L1467" s="4" t="s">
        <v>3625</v>
      </c>
      <c r="M1467" s="3" t="s">
        <v>60</v>
      </c>
      <c r="N1467" s="4"/>
      <c r="O1467" s="4"/>
      <c r="P1467" s="3" t="s">
        <v>224</v>
      </c>
      <c r="Q1467" s="3"/>
      <c r="R1467" s="3" t="s">
        <v>183</v>
      </c>
      <c r="S1467" s="3" t="s">
        <v>64</v>
      </c>
      <c r="T1467">
        <v>246.7</v>
      </c>
      <c r="U1467">
        <v>237</v>
      </c>
      <c r="V1467">
        <f t="shared" si="44"/>
        <v>241.85</v>
      </c>
      <c r="W1467">
        <f t="shared" si="45"/>
        <v>9.6999999999999886</v>
      </c>
      <c r="X1467" s="5">
        <v>35.216666670000002</v>
      </c>
      <c r="Y1467" s="5">
        <v>-10.35</v>
      </c>
      <c r="Z1467" s="3"/>
      <c r="AA1467" s="3" t="s">
        <v>1366</v>
      </c>
      <c r="AB1467" s="3" t="s">
        <v>5770</v>
      </c>
      <c r="AC1467" s="3" t="s">
        <v>5720</v>
      </c>
      <c r="AD1467" s="3" t="s">
        <v>2023</v>
      </c>
      <c r="AE1467" s="3" t="s">
        <v>110</v>
      </c>
      <c r="AF1467" s="3" t="s">
        <v>5720</v>
      </c>
      <c r="AG1467" s="3" t="s">
        <v>5731</v>
      </c>
      <c r="AH1467" s="3"/>
      <c r="AI1467" s="3" t="s">
        <v>5720</v>
      </c>
      <c r="AJ1467" s="3" t="s">
        <v>5720</v>
      </c>
      <c r="AK1467" s="3" t="s">
        <v>5723</v>
      </c>
      <c r="AL1467" s="6" t="s">
        <v>5812</v>
      </c>
      <c r="AM1467" s="5"/>
      <c r="AN1467" s="5"/>
      <c r="AO1467" s="3"/>
      <c r="AP1467" s="3"/>
      <c r="AQ1467" s="3"/>
      <c r="AR1467" s="3"/>
      <c r="AS1467" s="3"/>
      <c r="AT1467" s="3"/>
      <c r="AU1467" s="3"/>
      <c r="AV1467" s="3"/>
      <c r="AW1467" s="3"/>
      <c r="AX1467" s="3"/>
      <c r="AY1467" s="3"/>
      <c r="AZ1467" s="3"/>
      <c r="BA1467" s="3"/>
      <c r="BB1467" s="3"/>
    </row>
    <row r="1468" spans="1:54" x14ac:dyDescent="0.4">
      <c r="A1468" s="2" t="s">
        <v>5815</v>
      </c>
      <c r="B1468" s="2"/>
      <c r="C1468" s="2"/>
      <c r="D1468" s="2" t="s">
        <v>54</v>
      </c>
      <c r="E1468" s="2"/>
      <c r="F1468" s="2" t="s">
        <v>5816</v>
      </c>
      <c r="G1468" s="2">
        <v>1</v>
      </c>
      <c r="H1468" s="2" t="s">
        <v>5718</v>
      </c>
      <c r="I1468" s="3" t="s">
        <v>57</v>
      </c>
      <c r="J1468" s="3" t="s">
        <v>5719</v>
      </c>
      <c r="K1468" s="3" t="s">
        <v>746</v>
      </c>
      <c r="L1468" s="7" t="s">
        <v>5817</v>
      </c>
      <c r="M1468" s="3" t="s">
        <v>60</v>
      </c>
      <c r="N1468" s="7"/>
      <c r="O1468" s="7"/>
      <c r="P1468" s="3" t="s">
        <v>224</v>
      </c>
      <c r="Q1468" s="3"/>
      <c r="R1468" s="3" t="s">
        <v>183</v>
      </c>
      <c r="S1468" s="3" t="s">
        <v>64</v>
      </c>
      <c r="T1468">
        <v>246.7</v>
      </c>
      <c r="U1468">
        <v>237</v>
      </c>
      <c r="V1468">
        <f t="shared" si="44"/>
        <v>241.85</v>
      </c>
      <c r="W1468">
        <f t="shared" si="45"/>
        <v>9.6999999999999886</v>
      </c>
      <c r="X1468" s="5" t="s">
        <v>5818</v>
      </c>
      <c r="Y1468" s="5" t="s">
        <v>5819</v>
      </c>
      <c r="Z1468" s="5"/>
      <c r="AA1468" s="3" t="s">
        <v>379</v>
      </c>
      <c r="AB1468" s="8" t="s">
        <v>682</v>
      </c>
      <c r="AC1468" s="8" t="s">
        <v>5820</v>
      </c>
      <c r="AD1468" s="3" t="s">
        <v>2161</v>
      </c>
      <c r="AE1468" s="3" t="s">
        <v>5720</v>
      </c>
      <c r="AF1468" s="3" t="s">
        <v>5720</v>
      </c>
      <c r="AG1468" s="4"/>
      <c r="AH1468" s="4"/>
      <c r="AI1468" s="3" t="s">
        <v>5821</v>
      </c>
      <c r="AJ1468" s="3">
        <v>2023</v>
      </c>
      <c r="AK1468" s="5" t="s">
        <v>5822</v>
      </c>
      <c r="AL1468" s="9" t="s">
        <v>5823</v>
      </c>
      <c r="AM1468" s="3"/>
      <c r="AN1468" s="3"/>
      <c r="AO1468" s="3"/>
      <c r="AP1468" s="3"/>
      <c r="AQ1468" s="3"/>
      <c r="AR1468" s="3"/>
      <c r="AS1468" s="3"/>
      <c r="AT1468" s="3"/>
      <c r="AU1468" s="3"/>
      <c r="AV1468" s="3"/>
      <c r="AW1468" s="3"/>
      <c r="AX1468" s="3"/>
      <c r="AY1468" s="3"/>
      <c r="AZ1468" s="3"/>
      <c r="BA1468" s="3"/>
      <c r="BB1468" s="3"/>
    </row>
    <row r="1469" spans="1:54" x14ac:dyDescent="0.4">
      <c r="A1469">
        <v>285740</v>
      </c>
      <c r="D1469" t="s">
        <v>54</v>
      </c>
      <c r="E1469" t="s">
        <v>55</v>
      </c>
      <c r="G1469">
        <v>1</v>
      </c>
      <c r="H1469" t="s">
        <v>56</v>
      </c>
      <c r="I1469" t="s">
        <v>57</v>
      </c>
      <c r="K1469" t="s">
        <v>100</v>
      </c>
      <c r="L1469" t="s">
        <v>378</v>
      </c>
      <c r="M1469" t="s">
        <v>60</v>
      </c>
      <c r="P1469" t="s">
        <v>103</v>
      </c>
      <c r="Q1469" t="s">
        <v>224</v>
      </c>
      <c r="R1469" t="s">
        <v>183</v>
      </c>
      <c r="S1469" t="s">
        <v>64</v>
      </c>
      <c r="T1469">
        <v>251.2</v>
      </c>
      <c r="U1469">
        <v>242</v>
      </c>
      <c r="V1469">
        <f t="shared" si="44"/>
        <v>246.6</v>
      </c>
      <c r="W1469">
        <f t="shared" si="45"/>
        <v>9.1999999999999886</v>
      </c>
      <c r="X1469">
        <v>110.966667</v>
      </c>
      <c r="Y1469">
        <v>39.683334000000002</v>
      </c>
      <c r="Z1469" t="s">
        <v>124</v>
      </c>
      <c r="AA1469" t="s">
        <v>379</v>
      </c>
      <c r="AB1469" t="s">
        <v>380</v>
      </c>
      <c r="AC1469" t="s">
        <v>381</v>
      </c>
      <c r="AD1469" t="s">
        <v>382</v>
      </c>
      <c r="AH1469" t="s">
        <v>72</v>
      </c>
      <c r="AI1469" t="s">
        <v>383</v>
      </c>
      <c r="AJ1469">
        <v>1983</v>
      </c>
      <c r="AK1469" t="s">
        <v>384</v>
      </c>
      <c r="AM1469" t="s">
        <v>385</v>
      </c>
      <c r="AN1469" t="s">
        <v>192</v>
      </c>
      <c r="AO1469" t="s">
        <v>77</v>
      </c>
      <c r="AP1469" t="s">
        <v>115</v>
      </c>
      <c r="AQ1469" t="s">
        <v>386</v>
      </c>
      <c r="AR1469" t="s">
        <v>80</v>
      </c>
      <c r="AS1469">
        <v>604</v>
      </c>
      <c r="AT1469" t="s">
        <v>81</v>
      </c>
      <c r="AU1469">
        <v>118.58</v>
      </c>
      <c r="AV1469">
        <v>15.85</v>
      </c>
      <c r="AW1469" t="s">
        <v>82</v>
      </c>
      <c r="AX1469">
        <v>604</v>
      </c>
      <c r="AY1469" t="s">
        <v>81</v>
      </c>
      <c r="AZ1469">
        <v>90.79</v>
      </c>
      <c r="BA1469">
        <v>38.07</v>
      </c>
      <c r="BB1469" t="s">
        <v>83</v>
      </c>
    </row>
    <row r="1470" spans="1:54" x14ac:dyDescent="0.4">
      <c r="A1470">
        <v>285752</v>
      </c>
      <c r="D1470" t="s">
        <v>54</v>
      </c>
      <c r="E1470" t="s">
        <v>55</v>
      </c>
      <c r="G1470">
        <v>17</v>
      </c>
      <c r="H1470" t="s">
        <v>84</v>
      </c>
      <c r="I1470" t="s">
        <v>57</v>
      </c>
      <c r="K1470" t="s">
        <v>100</v>
      </c>
      <c r="L1470" t="s">
        <v>378</v>
      </c>
      <c r="M1470" t="s">
        <v>60</v>
      </c>
      <c r="P1470" t="s">
        <v>103</v>
      </c>
      <c r="Q1470" t="s">
        <v>224</v>
      </c>
      <c r="R1470" t="s">
        <v>183</v>
      </c>
      <c r="S1470" t="s">
        <v>64</v>
      </c>
      <c r="T1470">
        <v>251.2</v>
      </c>
      <c r="U1470">
        <v>242</v>
      </c>
      <c r="V1470">
        <f t="shared" si="44"/>
        <v>246.6</v>
      </c>
      <c r="W1470">
        <f t="shared" si="45"/>
        <v>9.1999999999999886</v>
      </c>
      <c r="X1470">
        <v>110.980553</v>
      </c>
      <c r="Y1470">
        <v>39.525002000000001</v>
      </c>
      <c r="Z1470" t="s">
        <v>124</v>
      </c>
      <c r="AA1470" t="s">
        <v>379</v>
      </c>
      <c r="AB1470" t="s">
        <v>387</v>
      </c>
      <c r="AC1470" t="s">
        <v>388</v>
      </c>
      <c r="AD1470" t="s">
        <v>382</v>
      </c>
      <c r="AH1470" t="s">
        <v>72</v>
      </c>
      <c r="AI1470" t="s">
        <v>383</v>
      </c>
      <c r="AJ1470">
        <v>1983</v>
      </c>
      <c r="AK1470" t="s">
        <v>389</v>
      </c>
      <c r="AM1470" t="s">
        <v>390</v>
      </c>
      <c r="AN1470" t="s">
        <v>192</v>
      </c>
      <c r="AO1470" t="s">
        <v>77</v>
      </c>
      <c r="AP1470" t="s">
        <v>78</v>
      </c>
      <c r="AQ1470" t="s">
        <v>391</v>
      </c>
      <c r="AR1470" t="s">
        <v>80</v>
      </c>
      <c r="AS1470">
        <v>604</v>
      </c>
      <c r="AT1470" t="s">
        <v>81</v>
      </c>
      <c r="AU1470">
        <v>118.46</v>
      </c>
      <c r="AV1470">
        <v>15.74</v>
      </c>
      <c r="AW1470" t="s">
        <v>82</v>
      </c>
      <c r="AX1470">
        <v>604</v>
      </c>
      <c r="AY1470" t="s">
        <v>81</v>
      </c>
      <c r="AZ1470">
        <v>90.75</v>
      </c>
      <c r="BA1470">
        <v>37.909999999999997</v>
      </c>
      <c r="BB1470" t="s">
        <v>83</v>
      </c>
    </row>
    <row r="1471" spans="1:54" x14ac:dyDescent="0.4">
      <c r="A1471">
        <v>601687</v>
      </c>
      <c r="D1471" t="s">
        <v>1346</v>
      </c>
      <c r="I1471" t="s">
        <v>57</v>
      </c>
      <c r="K1471" t="s">
        <v>1347</v>
      </c>
      <c r="L1471" t="s">
        <v>1348</v>
      </c>
      <c r="M1471" t="s">
        <v>223</v>
      </c>
      <c r="N1471" t="s">
        <v>485</v>
      </c>
      <c r="O1471" t="s">
        <v>1349</v>
      </c>
      <c r="P1471" t="s">
        <v>103</v>
      </c>
      <c r="Q1471" t="s">
        <v>224</v>
      </c>
      <c r="R1471" t="s">
        <v>183</v>
      </c>
      <c r="S1471" t="s">
        <v>64</v>
      </c>
      <c r="T1471">
        <v>251.2</v>
      </c>
      <c r="U1471">
        <v>242</v>
      </c>
      <c r="V1471">
        <f t="shared" si="44"/>
        <v>246.6</v>
      </c>
      <c r="W1471">
        <f t="shared" si="45"/>
        <v>9.1999999999999886</v>
      </c>
      <c r="X1471">
        <v>34.883330999999998</v>
      </c>
      <c r="Y1471">
        <v>30.566668</v>
      </c>
      <c r="Z1471" t="s">
        <v>1350</v>
      </c>
      <c r="AA1471" t="s">
        <v>1351</v>
      </c>
      <c r="AH1471" t="s">
        <v>11</v>
      </c>
      <c r="AI1471" t="s">
        <v>1352</v>
      </c>
      <c r="AJ1471">
        <v>1956</v>
      </c>
      <c r="AK1471" t="s">
        <v>1353</v>
      </c>
      <c r="AN1471" t="s">
        <v>192</v>
      </c>
      <c r="AO1471" t="s">
        <v>160</v>
      </c>
      <c r="AP1471" t="s">
        <v>359</v>
      </c>
      <c r="AQ1471" t="s">
        <v>1354</v>
      </c>
      <c r="AR1471" t="s">
        <v>80</v>
      </c>
      <c r="AS1471">
        <v>508</v>
      </c>
      <c r="AT1471" t="s">
        <v>81</v>
      </c>
      <c r="AU1471">
        <v>39.119999999999997</v>
      </c>
      <c r="AV1471">
        <v>-4.01</v>
      </c>
      <c r="AW1471" t="s">
        <v>82</v>
      </c>
      <c r="AX1471">
        <v>508</v>
      </c>
      <c r="AY1471" t="s">
        <v>81</v>
      </c>
      <c r="AZ1471">
        <v>35.07</v>
      </c>
      <c r="BA1471">
        <v>-14.54</v>
      </c>
      <c r="BB1471" t="s">
        <v>83</v>
      </c>
    </row>
    <row r="1472" spans="1:54" x14ac:dyDescent="0.4">
      <c r="A1472">
        <v>833134</v>
      </c>
      <c r="D1472" t="s">
        <v>54</v>
      </c>
      <c r="E1472" t="s">
        <v>55</v>
      </c>
      <c r="G1472">
        <v>1</v>
      </c>
      <c r="H1472" t="s">
        <v>56</v>
      </c>
      <c r="I1472" t="s">
        <v>57</v>
      </c>
      <c r="K1472" t="s">
        <v>100</v>
      </c>
      <c r="L1472" t="s">
        <v>2581</v>
      </c>
      <c r="M1472" t="s">
        <v>60</v>
      </c>
      <c r="P1472" t="s">
        <v>103</v>
      </c>
      <c r="Q1472" t="s">
        <v>224</v>
      </c>
      <c r="R1472" t="s">
        <v>183</v>
      </c>
      <c r="S1472" t="s">
        <v>64</v>
      </c>
      <c r="T1472">
        <v>251.2</v>
      </c>
      <c r="U1472">
        <v>242</v>
      </c>
      <c r="V1472">
        <f t="shared" si="44"/>
        <v>246.6</v>
      </c>
      <c r="W1472">
        <f t="shared" si="45"/>
        <v>9.1999999999999886</v>
      </c>
      <c r="X1472">
        <v>111.058334</v>
      </c>
      <c r="Y1472">
        <v>39.375</v>
      </c>
      <c r="Z1472" t="s">
        <v>356</v>
      </c>
      <c r="AA1472" t="s">
        <v>379</v>
      </c>
      <c r="AB1472" t="s">
        <v>387</v>
      </c>
      <c r="AC1472" t="s">
        <v>388</v>
      </c>
      <c r="AD1472" t="s">
        <v>382</v>
      </c>
      <c r="AH1472" t="s">
        <v>72</v>
      </c>
      <c r="AI1472" t="s">
        <v>383</v>
      </c>
      <c r="AJ1472">
        <v>1989</v>
      </c>
      <c r="AK1472" t="s">
        <v>2582</v>
      </c>
      <c r="AM1472" t="s">
        <v>2583</v>
      </c>
      <c r="AN1472" t="s">
        <v>114</v>
      </c>
      <c r="AO1472" t="s">
        <v>77</v>
      </c>
      <c r="AP1472" t="s">
        <v>636</v>
      </c>
      <c r="AQ1472" t="s">
        <v>2584</v>
      </c>
      <c r="AR1472" t="s">
        <v>80</v>
      </c>
      <c r="AS1472">
        <v>604</v>
      </c>
      <c r="AT1472" t="s">
        <v>81</v>
      </c>
      <c r="AU1472">
        <v>118.39</v>
      </c>
      <c r="AV1472">
        <v>15.59</v>
      </c>
      <c r="AW1472" t="s">
        <v>82</v>
      </c>
      <c r="AX1472">
        <v>604</v>
      </c>
      <c r="AY1472" t="s">
        <v>81</v>
      </c>
      <c r="AZ1472">
        <v>90.78</v>
      </c>
      <c r="BA1472">
        <v>37.75</v>
      </c>
      <c r="BB1472" t="s">
        <v>83</v>
      </c>
    </row>
    <row r="1473" spans="1:54" x14ac:dyDescent="0.4">
      <c r="A1473">
        <v>890990</v>
      </c>
      <c r="D1473" t="s">
        <v>54</v>
      </c>
      <c r="E1473" t="s">
        <v>55</v>
      </c>
      <c r="G1473">
        <v>1</v>
      </c>
      <c r="H1473" t="s">
        <v>56</v>
      </c>
      <c r="I1473" t="s">
        <v>57</v>
      </c>
      <c r="K1473" t="s">
        <v>580</v>
      </c>
      <c r="L1473" t="s">
        <v>3354</v>
      </c>
      <c r="M1473" t="s">
        <v>60</v>
      </c>
      <c r="O1473" t="s">
        <v>87</v>
      </c>
      <c r="P1473" t="s">
        <v>103</v>
      </c>
      <c r="Q1473" t="s">
        <v>224</v>
      </c>
      <c r="R1473" t="s">
        <v>183</v>
      </c>
      <c r="S1473" t="s">
        <v>64</v>
      </c>
      <c r="T1473">
        <v>251.2</v>
      </c>
      <c r="U1473">
        <v>242</v>
      </c>
      <c r="V1473">
        <f t="shared" si="44"/>
        <v>246.6</v>
      </c>
      <c r="W1473">
        <f t="shared" si="45"/>
        <v>9.1999999999999886</v>
      </c>
      <c r="X1473">
        <v>110.849998</v>
      </c>
      <c r="Y1473">
        <v>39.433334000000002</v>
      </c>
      <c r="Z1473" t="s">
        <v>124</v>
      </c>
      <c r="AA1473" t="s">
        <v>379</v>
      </c>
      <c r="AB1473" t="s">
        <v>387</v>
      </c>
      <c r="AC1473" t="s">
        <v>388</v>
      </c>
      <c r="AD1473" t="s">
        <v>382</v>
      </c>
      <c r="AH1473" t="s">
        <v>72</v>
      </c>
      <c r="AI1473" t="s">
        <v>3355</v>
      </c>
      <c r="AJ1473">
        <v>1981</v>
      </c>
      <c r="AK1473" t="s">
        <v>3356</v>
      </c>
      <c r="AN1473" t="s">
        <v>114</v>
      </c>
      <c r="AO1473" t="s">
        <v>160</v>
      </c>
      <c r="AP1473" t="s">
        <v>78</v>
      </c>
      <c r="AQ1473" t="s">
        <v>3357</v>
      </c>
      <c r="AR1473" t="s">
        <v>80</v>
      </c>
      <c r="AS1473">
        <v>604</v>
      </c>
      <c r="AT1473" t="s">
        <v>81</v>
      </c>
      <c r="AU1473">
        <v>118.32</v>
      </c>
      <c r="AV1473">
        <v>15.75</v>
      </c>
      <c r="AW1473" t="s">
        <v>82</v>
      </c>
      <c r="AX1473">
        <v>604</v>
      </c>
      <c r="AY1473" t="s">
        <v>81</v>
      </c>
      <c r="AZ1473">
        <v>90.6</v>
      </c>
      <c r="BA1473">
        <v>37.85</v>
      </c>
      <c r="BB1473" t="s">
        <v>83</v>
      </c>
    </row>
    <row r="1474" spans="1:54" x14ac:dyDescent="0.4">
      <c r="A1474">
        <v>902425</v>
      </c>
      <c r="D1474" t="s">
        <v>54</v>
      </c>
      <c r="G1474">
        <v>1</v>
      </c>
      <c r="H1474" t="s">
        <v>56</v>
      </c>
      <c r="I1474" t="s">
        <v>57</v>
      </c>
      <c r="K1474" t="s">
        <v>141</v>
      </c>
      <c r="L1474" t="s">
        <v>3507</v>
      </c>
      <c r="M1474" t="s">
        <v>60</v>
      </c>
      <c r="P1474" t="s">
        <v>103</v>
      </c>
      <c r="Q1474" t="s">
        <v>224</v>
      </c>
      <c r="R1474" t="s">
        <v>183</v>
      </c>
      <c r="S1474" t="s">
        <v>64</v>
      </c>
      <c r="T1474">
        <v>251.2</v>
      </c>
      <c r="U1474">
        <v>242</v>
      </c>
      <c r="V1474">
        <f t="shared" si="44"/>
        <v>246.6</v>
      </c>
      <c r="W1474">
        <f t="shared" si="45"/>
        <v>9.1999999999999886</v>
      </c>
      <c r="X1474">
        <v>111</v>
      </c>
      <c r="Y1474">
        <v>39.099997999999999</v>
      </c>
      <c r="Z1474" t="s">
        <v>124</v>
      </c>
      <c r="AA1474" t="s">
        <v>379</v>
      </c>
      <c r="AB1474" t="s">
        <v>387</v>
      </c>
      <c r="AD1474" t="s">
        <v>382</v>
      </c>
      <c r="AH1474" t="s">
        <v>72</v>
      </c>
      <c r="AI1474" t="s">
        <v>3505</v>
      </c>
      <c r="AJ1474">
        <v>1980</v>
      </c>
      <c r="AK1474" t="s">
        <v>3508</v>
      </c>
      <c r="AN1474" t="s">
        <v>114</v>
      </c>
      <c r="AO1474">
        <v>1</v>
      </c>
      <c r="AP1474" t="s">
        <v>115</v>
      </c>
      <c r="AR1474" t="s">
        <v>80</v>
      </c>
      <c r="AS1474">
        <v>604</v>
      </c>
      <c r="AT1474" t="s">
        <v>81</v>
      </c>
      <c r="AU1474">
        <v>118.15</v>
      </c>
      <c r="AV1474">
        <v>15.44</v>
      </c>
      <c r="AW1474" t="s">
        <v>82</v>
      </c>
      <c r="AX1474">
        <v>604</v>
      </c>
      <c r="AY1474" t="s">
        <v>81</v>
      </c>
      <c r="AZ1474">
        <v>90.65</v>
      </c>
      <c r="BA1474">
        <v>37.5</v>
      </c>
      <c r="BB1474" t="s">
        <v>83</v>
      </c>
    </row>
    <row r="1475" spans="1:54" x14ac:dyDescent="0.4">
      <c r="A1475">
        <v>1447344</v>
      </c>
      <c r="D1475" t="s">
        <v>54</v>
      </c>
      <c r="I1475" t="s">
        <v>57</v>
      </c>
      <c r="K1475" t="s">
        <v>771</v>
      </c>
      <c r="L1475" t="s">
        <v>772</v>
      </c>
      <c r="M1475" t="s">
        <v>223</v>
      </c>
      <c r="P1475" t="s">
        <v>103</v>
      </c>
      <c r="Q1475" t="s">
        <v>224</v>
      </c>
      <c r="R1475" t="s">
        <v>183</v>
      </c>
      <c r="S1475" t="s">
        <v>64</v>
      </c>
      <c r="T1475">
        <v>251.2</v>
      </c>
      <c r="U1475">
        <v>242</v>
      </c>
      <c r="V1475">
        <f t="shared" ref="V1475:V1538" si="46">(T1475+U1475)/2</f>
        <v>246.6</v>
      </c>
      <c r="W1475">
        <f t="shared" ref="W1475:W1538" si="47">T1475-U1475</f>
        <v>9.1999999999999886</v>
      </c>
      <c r="X1475">
        <v>35.625557000000001</v>
      </c>
      <c r="Y1475">
        <v>31.811942999999999</v>
      </c>
      <c r="Z1475" t="s">
        <v>520</v>
      </c>
      <c r="AA1475" t="s">
        <v>5416</v>
      </c>
      <c r="AB1475" t="s">
        <v>5417</v>
      </c>
      <c r="AH1475" t="s">
        <v>11</v>
      </c>
      <c r="AI1475" t="s">
        <v>2610</v>
      </c>
      <c r="AJ1475">
        <v>1924</v>
      </c>
      <c r="AK1475" t="s">
        <v>5418</v>
      </c>
      <c r="AN1475" t="s">
        <v>192</v>
      </c>
      <c r="AO1475" t="s">
        <v>77</v>
      </c>
      <c r="AP1475" t="s">
        <v>359</v>
      </c>
      <c r="AR1475" t="s">
        <v>80</v>
      </c>
      <c r="AS1475">
        <v>503</v>
      </c>
      <c r="AT1475" t="s">
        <v>81</v>
      </c>
      <c r="AU1475">
        <v>39.299999999999997</v>
      </c>
      <c r="AV1475">
        <v>-4.33</v>
      </c>
      <c r="AW1475" t="s">
        <v>82</v>
      </c>
      <c r="AX1475">
        <v>503</v>
      </c>
      <c r="AY1475" t="s">
        <v>81</v>
      </c>
      <c r="AZ1475">
        <v>35.31</v>
      </c>
      <c r="BA1475">
        <v>-14.82</v>
      </c>
      <c r="BB1475" t="s">
        <v>83</v>
      </c>
    </row>
    <row r="1476" spans="1:54" x14ac:dyDescent="0.4">
      <c r="A1476">
        <v>467312</v>
      </c>
      <c r="D1476" t="s">
        <v>54</v>
      </c>
      <c r="E1476" t="s">
        <v>55</v>
      </c>
      <c r="G1476">
        <v>1</v>
      </c>
      <c r="H1476" t="s">
        <v>56</v>
      </c>
      <c r="I1476" t="s">
        <v>57</v>
      </c>
      <c r="K1476" t="s">
        <v>805</v>
      </c>
      <c r="L1476" t="s">
        <v>806</v>
      </c>
      <c r="M1476" t="s">
        <v>60</v>
      </c>
      <c r="O1476" t="s">
        <v>87</v>
      </c>
      <c r="P1476" t="s">
        <v>89</v>
      </c>
      <c r="Q1476" t="s">
        <v>687</v>
      </c>
      <c r="R1476" t="s">
        <v>63</v>
      </c>
      <c r="S1476" t="s">
        <v>64</v>
      </c>
      <c r="T1476">
        <v>208.5</v>
      </c>
      <c r="U1476">
        <v>199.5</v>
      </c>
      <c r="V1476">
        <f t="shared" si="46"/>
        <v>204</v>
      </c>
      <c r="W1476">
        <f t="shared" si="47"/>
        <v>9</v>
      </c>
      <c r="X1476">
        <v>-111.116669</v>
      </c>
      <c r="Y1476">
        <v>35.783332999999999</v>
      </c>
      <c r="Z1476" t="s">
        <v>124</v>
      </c>
      <c r="AA1476" t="s">
        <v>66</v>
      </c>
      <c r="AB1476" t="s">
        <v>583</v>
      </c>
      <c r="AC1476" t="s">
        <v>807</v>
      </c>
      <c r="AD1476" t="s">
        <v>808</v>
      </c>
      <c r="AE1476" t="s">
        <v>809</v>
      </c>
      <c r="AF1476" t="s">
        <v>810</v>
      </c>
      <c r="AH1476" t="s">
        <v>72</v>
      </c>
      <c r="AI1476" t="s">
        <v>811</v>
      </c>
      <c r="AJ1476">
        <v>1986</v>
      </c>
      <c r="AK1476" t="s">
        <v>812</v>
      </c>
      <c r="AM1476" t="s">
        <v>813</v>
      </c>
      <c r="AN1476" t="s">
        <v>76</v>
      </c>
      <c r="AO1476" t="s">
        <v>160</v>
      </c>
      <c r="AP1476" t="s">
        <v>115</v>
      </c>
      <c r="AQ1476" t="s">
        <v>814</v>
      </c>
      <c r="AR1476" t="s">
        <v>80</v>
      </c>
      <c r="AS1476">
        <v>101</v>
      </c>
      <c r="AT1476" t="s">
        <v>81</v>
      </c>
      <c r="AU1476">
        <v>-39.909999999999997</v>
      </c>
      <c r="AV1476">
        <v>10.57</v>
      </c>
      <c r="AW1476" t="s">
        <v>82</v>
      </c>
      <c r="AX1476">
        <v>133</v>
      </c>
      <c r="AY1476" t="s">
        <v>81</v>
      </c>
      <c r="AZ1476">
        <v>-55.32</v>
      </c>
      <c r="BA1476">
        <v>13.46</v>
      </c>
      <c r="BB1476" t="s">
        <v>83</v>
      </c>
    </row>
    <row r="1477" spans="1:54" x14ac:dyDescent="0.4">
      <c r="A1477">
        <v>491743</v>
      </c>
      <c r="D1477" t="s">
        <v>54</v>
      </c>
      <c r="E1477" t="s">
        <v>55</v>
      </c>
      <c r="G1477">
        <v>1</v>
      </c>
      <c r="H1477" t="s">
        <v>56</v>
      </c>
      <c r="I1477" t="s">
        <v>57</v>
      </c>
      <c r="K1477" t="s">
        <v>141</v>
      </c>
      <c r="L1477" t="s">
        <v>1003</v>
      </c>
      <c r="M1477" t="s">
        <v>60</v>
      </c>
      <c r="N1477" t="s">
        <v>256</v>
      </c>
      <c r="O1477" t="s">
        <v>87</v>
      </c>
      <c r="P1477" t="s">
        <v>89</v>
      </c>
      <c r="Q1477" t="s">
        <v>687</v>
      </c>
      <c r="R1477" t="s">
        <v>63</v>
      </c>
      <c r="S1477" t="s">
        <v>64</v>
      </c>
      <c r="T1477">
        <v>208.5</v>
      </c>
      <c r="U1477">
        <v>199.5</v>
      </c>
      <c r="V1477">
        <f t="shared" si="46"/>
        <v>204</v>
      </c>
      <c r="W1477">
        <f t="shared" si="47"/>
        <v>9</v>
      </c>
      <c r="X1477">
        <v>1.0833330000000001</v>
      </c>
      <c r="Y1477">
        <v>49.216667000000001</v>
      </c>
      <c r="Z1477" t="s">
        <v>1004</v>
      </c>
      <c r="AA1477" t="s">
        <v>521</v>
      </c>
      <c r="AB1477" t="s">
        <v>1005</v>
      </c>
      <c r="AC1477" t="s">
        <v>1006</v>
      </c>
      <c r="AD1477" t="s">
        <v>1007</v>
      </c>
      <c r="AH1477" t="s">
        <v>72</v>
      </c>
      <c r="AI1477" t="s">
        <v>1008</v>
      </c>
      <c r="AJ1477">
        <v>1993</v>
      </c>
      <c r="AK1477" t="s">
        <v>1009</v>
      </c>
      <c r="AN1477" t="s">
        <v>114</v>
      </c>
      <c r="AO1477" t="s">
        <v>160</v>
      </c>
      <c r="AP1477" t="s">
        <v>115</v>
      </c>
      <c r="AQ1477" t="s">
        <v>1010</v>
      </c>
      <c r="AR1477" t="s">
        <v>80</v>
      </c>
      <c r="AS1477">
        <v>305</v>
      </c>
      <c r="AT1477" t="s">
        <v>81</v>
      </c>
      <c r="AU1477">
        <v>12.43</v>
      </c>
      <c r="AV1477">
        <v>33.619999999999997</v>
      </c>
      <c r="AW1477" t="s">
        <v>82</v>
      </c>
      <c r="AX1477">
        <v>305</v>
      </c>
      <c r="AY1477" t="s">
        <v>81</v>
      </c>
      <c r="AZ1477">
        <v>2.66</v>
      </c>
      <c r="BA1477">
        <v>35.9</v>
      </c>
      <c r="BB1477" t="s">
        <v>83</v>
      </c>
    </row>
    <row r="1478" spans="1:54" x14ac:dyDescent="0.4">
      <c r="A1478">
        <v>513907</v>
      </c>
      <c r="D1478" t="s">
        <v>54</v>
      </c>
      <c r="E1478" t="s">
        <v>152</v>
      </c>
      <c r="G1478">
        <v>2</v>
      </c>
      <c r="H1478" t="s">
        <v>84</v>
      </c>
      <c r="I1478" t="s">
        <v>57</v>
      </c>
      <c r="K1478" t="s">
        <v>141</v>
      </c>
      <c r="L1478" t="s">
        <v>1060</v>
      </c>
      <c r="M1478" t="s">
        <v>60</v>
      </c>
      <c r="N1478" t="s">
        <v>256</v>
      </c>
      <c r="O1478" t="s">
        <v>87</v>
      </c>
      <c r="P1478" t="s">
        <v>89</v>
      </c>
      <c r="Q1478" t="s">
        <v>687</v>
      </c>
      <c r="R1478" t="s">
        <v>63</v>
      </c>
      <c r="S1478" t="s">
        <v>64</v>
      </c>
      <c r="T1478">
        <v>208.5</v>
      </c>
      <c r="U1478">
        <v>199.5</v>
      </c>
      <c r="V1478">
        <f t="shared" si="46"/>
        <v>204</v>
      </c>
      <c r="W1478">
        <f t="shared" si="47"/>
        <v>9</v>
      </c>
      <c r="X1478">
        <v>-111.302223</v>
      </c>
      <c r="Y1478">
        <v>35.931389000000003</v>
      </c>
      <c r="Z1478" t="s">
        <v>1061</v>
      </c>
      <c r="AA1478" t="s">
        <v>66</v>
      </c>
      <c r="AB1478" t="s">
        <v>583</v>
      </c>
      <c r="AC1478" t="s">
        <v>807</v>
      </c>
      <c r="AD1478" t="s">
        <v>808</v>
      </c>
      <c r="AE1478" t="s">
        <v>809</v>
      </c>
      <c r="AF1478" t="s">
        <v>810</v>
      </c>
      <c r="AH1478" t="s">
        <v>11</v>
      </c>
      <c r="AI1478" t="s">
        <v>1062</v>
      </c>
      <c r="AJ1478">
        <v>2001</v>
      </c>
      <c r="AK1478" t="s">
        <v>1063</v>
      </c>
      <c r="AN1478" t="s">
        <v>114</v>
      </c>
      <c r="AO1478" t="s">
        <v>77</v>
      </c>
      <c r="AP1478" t="s">
        <v>115</v>
      </c>
      <c r="AQ1478" t="s">
        <v>1064</v>
      </c>
      <c r="AR1478" t="s">
        <v>80</v>
      </c>
      <c r="AS1478">
        <v>101</v>
      </c>
      <c r="AT1478" t="s">
        <v>81</v>
      </c>
      <c r="AU1478">
        <v>-40.049999999999997</v>
      </c>
      <c r="AV1478">
        <v>10.73</v>
      </c>
      <c r="AW1478" t="s">
        <v>82</v>
      </c>
      <c r="AX1478">
        <v>133</v>
      </c>
      <c r="AY1478" t="s">
        <v>81</v>
      </c>
      <c r="AZ1478">
        <v>-55.46</v>
      </c>
      <c r="BA1478">
        <v>13.62</v>
      </c>
      <c r="BB1478" t="s">
        <v>83</v>
      </c>
    </row>
    <row r="1479" spans="1:54" x14ac:dyDescent="0.4">
      <c r="A1479">
        <v>871895</v>
      </c>
      <c r="D1479" t="s">
        <v>54</v>
      </c>
      <c r="E1479" t="s">
        <v>55</v>
      </c>
      <c r="F1479" t="s">
        <v>3170</v>
      </c>
      <c r="I1479" t="s">
        <v>57</v>
      </c>
      <c r="K1479" t="s">
        <v>3171</v>
      </c>
      <c r="L1479" t="s">
        <v>3172</v>
      </c>
      <c r="M1479" t="s">
        <v>223</v>
      </c>
      <c r="N1479" t="s">
        <v>234</v>
      </c>
      <c r="O1479" t="s">
        <v>87</v>
      </c>
      <c r="P1479" t="s">
        <v>89</v>
      </c>
      <c r="Q1479" t="s">
        <v>687</v>
      </c>
      <c r="R1479" t="s">
        <v>63</v>
      </c>
      <c r="S1479" t="s">
        <v>64</v>
      </c>
      <c r="T1479">
        <v>208.5</v>
      </c>
      <c r="U1479">
        <v>199.5</v>
      </c>
      <c r="V1479">
        <f t="shared" si="46"/>
        <v>204</v>
      </c>
      <c r="W1479">
        <f t="shared" si="47"/>
        <v>9</v>
      </c>
      <c r="X1479">
        <v>-2.733333</v>
      </c>
      <c r="Y1479">
        <v>51.116669000000002</v>
      </c>
      <c r="Z1479" t="s">
        <v>1596</v>
      </c>
      <c r="AA1479" t="s">
        <v>91</v>
      </c>
      <c r="AB1479" t="s">
        <v>92</v>
      </c>
      <c r="AC1479" t="s">
        <v>93</v>
      </c>
      <c r="AD1479" t="s">
        <v>3173</v>
      </c>
      <c r="AE1479" t="s">
        <v>938</v>
      </c>
      <c r="AH1479" t="s">
        <v>72</v>
      </c>
      <c r="AI1479" t="s">
        <v>3174</v>
      </c>
      <c r="AJ1479">
        <v>1860</v>
      </c>
      <c r="AK1479" t="s">
        <v>3175</v>
      </c>
      <c r="AN1479" t="s">
        <v>114</v>
      </c>
      <c r="AO1479" t="s">
        <v>160</v>
      </c>
      <c r="AP1479" t="s">
        <v>78</v>
      </c>
      <c r="AQ1479" t="s">
        <v>3176</v>
      </c>
      <c r="AR1479" t="s">
        <v>80</v>
      </c>
      <c r="AS1479">
        <v>315</v>
      </c>
      <c r="AT1479" t="s">
        <v>81</v>
      </c>
      <c r="AU1479">
        <v>8.7799999999999994</v>
      </c>
      <c r="AV1479">
        <v>34.24</v>
      </c>
      <c r="AW1479" t="s">
        <v>82</v>
      </c>
      <c r="AX1479">
        <v>315</v>
      </c>
      <c r="AY1479" t="s">
        <v>81</v>
      </c>
      <c r="AZ1479">
        <v>-1.06</v>
      </c>
      <c r="BA1479">
        <v>36.67</v>
      </c>
      <c r="BB1479" t="s">
        <v>83</v>
      </c>
    </row>
    <row r="1480" spans="1:54" x14ac:dyDescent="0.4">
      <c r="A1480">
        <v>871897</v>
      </c>
      <c r="D1480" t="s">
        <v>54</v>
      </c>
      <c r="G1480">
        <v>1</v>
      </c>
      <c r="H1480" t="s">
        <v>56</v>
      </c>
      <c r="I1480" t="s">
        <v>57</v>
      </c>
      <c r="K1480" t="s">
        <v>3171</v>
      </c>
      <c r="L1480" t="s">
        <v>3172</v>
      </c>
      <c r="M1480" t="s">
        <v>223</v>
      </c>
      <c r="N1480" t="s">
        <v>234</v>
      </c>
      <c r="O1480" t="s">
        <v>87</v>
      </c>
      <c r="P1480" t="s">
        <v>89</v>
      </c>
      <c r="Q1480" t="s">
        <v>687</v>
      </c>
      <c r="R1480" t="s">
        <v>63</v>
      </c>
      <c r="S1480" t="s">
        <v>64</v>
      </c>
      <c r="T1480">
        <v>208.5</v>
      </c>
      <c r="U1480">
        <v>199.5</v>
      </c>
      <c r="V1480">
        <f t="shared" si="46"/>
        <v>204</v>
      </c>
      <c r="W1480">
        <f t="shared" si="47"/>
        <v>9</v>
      </c>
      <c r="X1480">
        <v>-2.733333</v>
      </c>
      <c r="Y1480">
        <v>51.116669000000002</v>
      </c>
      <c r="Z1480" t="s">
        <v>1596</v>
      </c>
      <c r="AA1480" t="s">
        <v>91</v>
      </c>
      <c r="AB1480" t="s">
        <v>92</v>
      </c>
      <c r="AC1480" t="s">
        <v>93</v>
      </c>
      <c r="AD1480" t="s">
        <v>3173</v>
      </c>
      <c r="AE1480" t="s">
        <v>938</v>
      </c>
      <c r="AH1480" t="s">
        <v>72</v>
      </c>
      <c r="AI1480" t="s">
        <v>3177</v>
      </c>
      <c r="AJ1480">
        <v>1858</v>
      </c>
      <c r="AK1480" t="s">
        <v>3178</v>
      </c>
      <c r="AN1480" t="s">
        <v>114</v>
      </c>
      <c r="AO1480" t="s">
        <v>160</v>
      </c>
      <c r="AP1480" t="s">
        <v>78</v>
      </c>
      <c r="AQ1480" t="s">
        <v>3176</v>
      </c>
      <c r="AR1480" t="s">
        <v>80</v>
      </c>
      <c r="AS1480">
        <v>315</v>
      </c>
      <c r="AT1480" t="s">
        <v>81</v>
      </c>
      <c r="AU1480">
        <v>8.7799999999999994</v>
      </c>
      <c r="AV1480">
        <v>34.24</v>
      </c>
      <c r="AW1480" t="s">
        <v>82</v>
      </c>
      <c r="AX1480">
        <v>315</v>
      </c>
      <c r="AY1480" t="s">
        <v>81</v>
      </c>
      <c r="AZ1480">
        <v>-1.06</v>
      </c>
      <c r="BA1480">
        <v>36.67</v>
      </c>
      <c r="BB1480" t="s">
        <v>83</v>
      </c>
    </row>
    <row r="1481" spans="1:54" x14ac:dyDescent="0.4">
      <c r="A1481">
        <v>871898</v>
      </c>
      <c r="D1481" t="s">
        <v>54</v>
      </c>
      <c r="I1481" t="s">
        <v>57</v>
      </c>
      <c r="K1481" t="s">
        <v>537</v>
      </c>
      <c r="L1481" t="s">
        <v>538</v>
      </c>
      <c r="M1481" t="s">
        <v>223</v>
      </c>
      <c r="N1481" t="s">
        <v>234</v>
      </c>
      <c r="O1481" t="s">
        <v>87</v>
      </c>
      <c r="P1481" t="s">
        <v>89</v>
      </c>
      <c r="Q1481" t="s">
        <v>687</v>
      </c>
      <c r="R1481" t="s">
        <v>63</v>
      </c>
      <c r="S1481" t="s">
        <v>64</v>
      </c>
      <c r="T1481">
        <v>208.5</v>
      </c>
      <c r="U1481">
        <v>199.5</v>
      </c>
      <c r="V1481">
        <f t="shared" si="46"/>
        <v>204</v>
      </c>
      <c r="W1481">
        <f t="shared" si="47"/>
        <v>9</v>
      </c>
      <c r="X1481">
        <v>-2.733333</v>
      </c>
      <c r="Y1481">
        <v>51.116669000000002</v>
      </c>
      <c r="Z1481" t="s">
        <v>1596</v>
      </c>
      <c r="AA1481" t="s">
        <v>91</v>
      </c>
      <c r="AB1481" t="s">
        <v>92</v>
      </c>
      <c r="AC1481" t="s">
        <v>93</v>
      </c>
      <c r="AD1481" t="s">
        <v>3173</v>
      </c>
      <c r="AE1481" t="s">
        <v>938</v>
      </c>
      <c r="AH1481" t="s">
        <v>72</v>
      </c>
      <c r="AI1481" t="s">
        <v>3174</v>
      </c>
      <c r="AJ1481">
        <v>1860</v>
      </c>
      <c r="AK1481" t="s">
        <v>3179</v>
      </c>
      <c r="AN1481" t="s">
        <v>114</v>
      </c>
      <c r="AO1481" t="s">
        <v>160</v>
      </c>
      <c r="AP1481" t="s">
        <v>78</v>
      </c>
      <c r="AQ1481" t="s">
        <v>3176</v>
      </c>
      <c r="AR1481" t="s">
        <v>80</v>
      </c>
      <c r="AS1481">
        <v>315</v>
      </c>
      <c r="AT1481" t="s">
        <v>81</v>
      </c>
      <c r="AU1481">
        <v>8.7799999999999994</v>
      </c>
      <c r="AV1481">
        <v>34.24</v>
      </c>
      <c r="AW1481" t="s">
        <v>82</v>
      </c>
      <c r="AX1481">
        <v>315</v>
      </c>
      <c r="AY1481" t="s">
        <v>81</v>
      </c>
      <c r="AZ1481">
        <v>-1.06</v>
      </c>
      <c r="BA1481">
        <v>36.67</v>
      </c>
      <c r="BB1481" t="s">
        <v>83</v>
      </c>
    </row>
    <row r="1482" spans="1:54" x14ac:dyDescent="0.4">
      <c r="A1482">
        <v>871899</v>
      </c>
      <c r="D1482" t="s">
        <v>54</v>
      </c>
      <c r="I1482" t="s">
        <v>57</v>
      </c>
      <c r="K1482" t="s">
        <v>537</v>
      </c>
      <c r="L1482" t="s">
        <v>538</v>
      </c>
      <c r="M1482" t="s">
        <v>223</v>
      </c>
      <c r="N1482" t="s">
        <v>234</v>
      </c>
      <c r="O1482" t="s">
        <v>87</v>
      </c>
      <c r="P1482" t="s">
        <v>89</v>
      </c>
      <c r="Q1482" t="s">
        <v>687</v>
      </c>
      <c r="R1482" t="s">
        <v>63</v>
      </c>
      <c r="S1482" t="s">
        <v>64</v>
      </c>
      <c r="T1482">
        <v>208.5</v>
      </c>
      <c r="U1482">
        <v>199.5</v>
      </c>
      <c r="V1482">
        <f t="shared" si="46"/>
        <v>204</v>
      </c>
      <c r="W1482">
        <f t="shared" si="47"/>
        <v>9</v>
      </c>
      <c r="X1482">
        <v>-2.733333</v>
      </c>
      <c r="Y1482">
        <v>51.116669000000002</v>
      </c>
      <c r="Z1482" t="s">
        <v>1596</v>
      </c>
      <c r="AA1482" t="s">
        <v>91</v>
      </c>
      <c r="AB1482" t="s">
        <v>92</v>
      </c>
      <c r="AC1482" t="s">
        <v>93</v>
      </c>
      <c r="AD1482" t="s">
        <v>3173</v>
      </c>
      <c r="AE1482" t="s">
        <v>938</v>
      </c>
      <c r="AH1482" t="s">
        <v>72</v>
      </c>
      <c r="AI1482" t="s">
        <v>3174</v>
      </c>
      <c r="AJ1482">
        <v>1860</v>
      </c>
      <c r="AK1482" t="s">
        <v>3179</v>
      </c>
      <c r="AN1482" t="s">
        <v>114</v>
      </c>
      <c r="AO1482" t="s">
        <v>160</v>
      </c>
      <c r="AP1482" t="s">
        <v>78</v>
      </c>
      <c r="AQ1482" t="s">
        <v>3176</v>
      </c>
      <c r="AR1482" t="s">
        <v>80</v>
      </c>
      <c r="AS1482">
        <v>315</v>
      </c>
      <c r="AT1482" t="s">
        <v>81</v>
      </c>
      <c r="AU1482">
        <v>8.7799999999999994</v>
      </c>
      <c r="AV1482">
        <v>34.24</v>
      </c>
      <c r="AW1482" t="s">
        <v>82</v>
      </c>
      <c r="AX1482">
        <v>315</v>
      </c>
      <c r="AY1482" t="s">
        <v>81</v>
      </c>
      <c r="AZ1482">
        <v>-1.06</v>
      </c>
      <c r="BA1482">
        <v>36.67</v>
      </c>
      <c r="BB1482" t="s">
        <v>83</v>
      </c>
    </row>
    <row r="1483" spans="1:54" x14ac:dyDescent="0.4">
      <c r="A1483">
        <v>871901</v>
      </c>
      <c r="D1483" t="s">
        <v>54</v>
      </c>
      <c r="I1483" t="s">
        <v>57</v>
      </c>
      <c r="K1483" t="s">
        <v>537</v>
      </c>
      <c r="L1483" t="s">
        <v>538</v>
      </c>
      <c r="M1483" t="s">
        <v>223</v>
      </c>
      <c r="N1483" t="s">
        <v>234</v>
      </c>
      <c r="O1483" t="s">
        <v>87</v>
      </c>
      <c r="P1483" t="s">
        <v>89</v>
      </c>
      <c r="Q1483" t="s">
        <v>687</v>
      </c>
      <c r="R1483" t="s">
        <v>63</v>
      </c>
      <c r="S1483" t="s">
        <v>64</v>
      </c>
      <c r="T1483">
        <v>208.5</v>
      </c>
      <c r="U1483">
        <v>199.5</v>
      </c>
      <c r="V1483">
        <f t="shared" si="46"/>
        <v>204</v>
      </c>
      <c r="W1483">
        <f t="shared" si="47"/>
        <v>9</v>
      </c>
      <c r="X1483">
        <v>-2.733333</v>
      </c>
      <c r="Y1483">
        <v>51.116669000000002</v>
      </c>
      <c r="Z1483" t="s">
        <v>1596</v>
      </c>
      <c r="AA1483" t="s">
        <v>91</v>
      </c>
      <c r="AB1483" t="s">
        <v>92</v>
      </c>
      <c r="AC1483" t="s">
        <v>93</v>
      </c>
      <c r="AD1483" t="s">
        <v>3173</v>
      </c>
      <c r="AE1483" t="s">
        <v>938</v>
      </c>
      <c r="AH1483" t="s">
        <v>72</v>
      </c>
      <c r="AI1483" t="s">
        <v>3174</v>
      </c>
      <c r="AJ1483">
        <v>1860</v>
      </c>
      <c r="AK1483" t="s">
        <v>3180</v>
      </c>
      <c r="AN1483" t="s">
        <v>114</v>
      </c>
      <c r="AO1483" t="s">
        <v>160</v>
      </c>
      <c r="AP1483" t="s">
        <v>78</v>
      </c>
      <c r="AQ1483" t="s">
        <v>3176</v>
      </c>
      <c r="AR1483" t="s">
        <v>80</v>
      </c>
      <c r="AS1483">
        <v>315</v>
      </c>
      <c r="AT1483" t="s">
        <v>81</v>
      </c>
      <c r="AU1483">
        <v>8.7799999999999994</v>
      </c>
      <c r="AV1483">
        <v>34.24</v>
      </c>
      <c r="AW1483" t="s">
        <v>82</v>
      </c>
      <c r="AX1483">
        <v>315</v>
      </c>
      <c r="AY1483" t="s">
        <v>81</v>
      </c>
      <c r="AZ1483">
        <v>-1.06</v>
      </c>
      <c r="BA1483">
        <v>36.67</v>
      </c>
      <c r="BB1483" t="s">
        <v>83</v>
      </c>
    </row>
    <row r="1484" spans="1:54" x14ac:dyDescent="0.4">
      <c r="A1484">
        <v>871902</v>
      </c>
      <c r="D1484" t="s">
        <v>54</v>
      </c>
      <c r="I1484" t="s">
        <v>57</v>
      </c>
      <c r="K1484" t="s">
        <v>537</v>
      </c>
      <c r="L1484" t="s">
        <v>538</v>
      </c>
      <c r="M1484" t="s">
        <v>223</v>
      </c>
      <c r="N1484" t="s">
        <v>234</v>
      </c>
      <c r="O1484" t="s">
        <v>87</v>
      </c>
      <c r="P1484" t="s">
        <v>89</v>
      </c>
      <c r="Q1484" t="s">
        <v>687</v>
      </c>
      <c r="R1484" t="s">
        <v>63</v>
      </c>
      <c r="S1484" t="s">
        <v>64</v>
      </c>
      <c r="T1484">
        <v>208.5</v>
      </c>
      <c r="U1484">
        <v>199.5</v>
      </c>
      <c r="V1484">
        <f t="shared" si="46"/>
        <v>204</v>
      </c>
      <c r="W1484">
        <f t="shared" si="47"/>
        <v>9</v>
      </c>
      <c r="X1484">
        <v>-2.733333</v>
      </c>
      <c r="Y1484">
        <v>51.116669000000002</v>
      </c>
      <c r="Z1484" t="s">
        <v>1596</v>
      </c>
      <c r="AA1484" t="s">
        <v>91</v>
      </c>
      <c r="AB1484" t="s">
        <v>92</v>
      </c>
      <c r="AC1484" t="s">
        <v>93</v>
      </c>
      <c r="AD1484" t="s">
        <v>3173</v>
      </c>
      <c r="AE1484" t="s">
        <v>938</v>
      </c>
      <c r="AH1484" t="s">
        <v>72</v>
      </c>
      <c r="AI1484" t="s">
        <v>3174</v>
      </c>
      <c r="AJ1484">
        <v>1860</v>
      </c>
      <c r="AK1484" t="s">
        <v>3180</v>
      </c>
      <c r="AN1484" t="s">
        <v>114</v>
      </c>
      <c r="AO1484" t="s">
        <v>160</v>
      </c>
      <c r="AP1484" t="s">
        <v>78</v>
      </c>
      <c r="AQ1484" t="s">
        <v>3176</v>
      </c>
      <c r="AR1484" t="s">
        <v>80</v>
      </c>
      <c r="AS1484">
        <v>315</v>
      </c>
      <c r="AT1484" t="s">
        <v>81</v>
      </c>
      <c r="AU1484">
        <v>8.7799999999999994</v>
      </c>
      <c r="AV1484">
        <v>34.24</v>
      </c>
      <c r="AW1484" t="s">
        <v>82</v>
      </c>
      <c r="AX1484">
        <v>315</v>
      </c>
      <c r="AY1484" t="s">
        <v>81</v>
      </c>
      <c r="AZ1484">
        <v>-1.06</v>
      </c>
      <c r="BA1484">
        <v>36.67</v>
      </c>
      <c r="BB1484" t="s">
        <v>83</v>
      </c>
    </row>
    <row r="1485" spans="1:54" x14ac:dyDescent="0.4">
      <c r="A1485">
        <v>871903</v>
      </c>
      <c r="D1485" t="s">
        <v>54</v>
      </c>
      <c r="I1485" t="s">
        <v>57</v>
      </c>
      <c r="K1485" t="s">
        <v>537</v>
      </c>
      <c r="L1485" t="s">
        <v>538</v>
      </c>
      <c r="M1485" t="s">
        <v>223</v>
      </c>
      <c r="N1485" t="s">
        <v>234</v>
      </c>
      <c r="O1485" t="s">
        <v>87</v>
      </c>
      <c r="P1485" t="s">
        <v>89</v>
      </c>
      <c r="Q1485" t="s">
        <v>687</v>
      </c>
      <c r="R1485" t="s">
        <v>63</v>
      </c>
      <c r="S1485" t="s">
        <v>64</v>
      </c>
      <c r="T1485">
        <v>208.5</v>
      </c>
      <c r="U1485">
        <v>199.5</v>
      </c>
      <c r="V1485">
        <f t="shared" si="46"/>
        <v>204</v>
      </c>
      <c r="W1485">
        <f t="shared" si="47"/>
        <v>9</v>
      </c>
      <c r="X1485">
        <v>-2.733333</v>
      </c>
      <c r="Y1485">
        <v>51.116669000000002</v>
      </c>
      <c r="Z1485" t="s">
        <v>1596</v>
      </c>
      <c r="AA1485" t="s">
        <v>91</v>
      </c>
      <c r="AB1485" t="s">
        <v>92</v>
      </c>
      <c r="AC1485" t="s">
        <v>93</v>
      </c>
      <c r="AD1485" t="s">
        <v>3173</v>
      </c>
      <c r="AE1485" t="s">
        <v>938</v>
      </c>
      <c r="AH1485" t="s">
        <v>72</v>
      </c>
      <c r="AI1485" t="s">
        <v>3174</v>
      </c>
      <c r="AJ1485">
        <v>1860</v>
      </c>
      <c r="AK1485" t="s">
        <v>3181</v>
      </c>
      <c r="AN1485" t="s">
        <v>114</v>
      </c>
      <c r="AO1485" t="s">
        <v>160</v>
      </c>
      <c r="AP1485" t="s">
        <v>78</v>
      </c>
      <c r="AQ1485" t="s">
        <v>3176</v>
      </c>
      <c r="AR1485" t="s">
        <v>80</v>
      </c>
      <c r="AS1485">
        <v>315</v>
      </c>
      <c r="AT1485" t="s">
        <v>81</v>
      </c>
      <c r="AU1485">
        <v>8.7799999999999994</v>
      </c>
      <c r="AV1485">
        <v>34.24</v>
      </c>
      <c r="AW1485" t="s">
        <v>82</v>
      </c>
      <c r="AX1485">
        <v>315</v>
      </c>
      <c r="AY1485" t="s">
        <v>81</v>
      </c>
      <c r="AZ1485">
        <v>-1.06</v>
      </c>
      <c r="BA1485">
        <v>36.67</v>
      </c>
      <c r="BB1485" t="s">
        <v>83</v>
      </c>
    </row>
    <row r="1486" spans="1:54" x14ac:dyDescent="0.4">
      <c r="A1486">
        <v>871904</v>
      </c>
      <c r="D1486" t="s">
        <v>54</v>
      </c>
      <c r="I1486" t="s">
        <v>57</v>
      </c>
      <c r="K1486" t="s">
        <v>3171</v>
      </c>
      <c r="L1486" t="s">
        <v>3172</v>
      </c>
      <c r="M1486" t="s">
        <v>223</v>
      </c>
      <c r="N1486" t="s">
        <v>234</v>
      </c>
      <c r="O1486" t="s">
        <v>87</v>
      </c>
      <c r="P1486" t="s">
        <v>89</v>
      </c>
      <c r="Q1486" t="s">
        <v>687</v>
      </c>
      <c r="R1486" t="s">
        <v>63</v>
      </c>
      <c r="S1486" t="s">
        <v>64</v>
      </c>
      <c r="T1486">
        <v>208.5</v>
      </c>
      <c r="U1486">
        <v>199.5</v>
      </c>
      <c r="V1486">
        <f t="shared" si="46"/>
        <v>204</v>
      </c>
      <c r="W1486">
        <f t="shared" si="47"/>
        <v>9</v>
      </c>
      <c r="X1486">
        <v>-2.733333</v>
      </c>
      <c r="Y1486">
        <v>51.116669000000002</v>
      </c>
      <c r="Z1486" t="s">
        <v>1596</v>
      </c>
      <c r="AA1486" t="s">
        <v>91</v>
      </c>
      <c r="AB1486" t="s">
        <v>92</v>
      </c>
      <c r="AC1486" t="s">
        <v>93</v>
      </c>
      <c r="AD1486" t="s">
        <v>3173</v>
      </c>
      <c r="AE1486" t="s">
        <v>938</v>
      </c>
      <c r="AH1486" t="s">
        <v>72</v>
      </c>
      <c r="AI1486" t="s">
        <v>3174</v>
      </c>
      <c r="AJ1486">
        <v>1860</v>
      </c>
      <c r="AK1486" t="s">
        <v>3181</v>
      </c>
      <c r="AN1486" t="s">
        <v>114</v>
      </c>
      <c r="AO1486" t="s">
        <v>160</v>
      </c>
      <c r="AP1486" t="s">
        <v>78</v>
      </c>
      <c r="AQ1486" t="s">
        <v>3176</v>
      </c>
      <c r="AR1486" t="s">
        <v>80</v>
      </c>
      <c r="AS1486">
        <v>315</v>
      </c>
      <c r="AT1486" t="s">
        <v>81</v>
      </c>
      <c r="AU1486">
        <v>8.7799999999999994</v>
      </c>
      <c r="AV1486">
        <v>34.24</v>
      </c>
      <c r="AW1486" t="s">
        <v>82</v>
      </c>
      <c r="AX1486">
        <v>315</v>
      </c>
      <c r="AY1486" t="s">
        <v>81</v>
      </c>
      <c r="AZ1486">
        <v>-1.06</v>
      </c>
      <c r="BA1486">
        <v>36.67</v>
      </c>
      <c r="BB1486" t="s">
        <v>83</v>
      </c>
    </row>
    <row r="1487" spans="1:54" x14ac:dyDescent="0.4">
      <c r="A1487">
        <v>871905</v>
      </c>
      <c r="D1487" t="s">
        <v>54</v>
      </c>
      <c r="I1487" t="s">
        <v>57</v>
      </c>
      <c r="K1487" t="s">
        <v>537</v>
      </c>
      <c r="L1487" t="s">
        <v>538</v>
      </c>
      <c r="M1487" t="s">
        <v>223</v>
      </c>
      <c r="N1487" t="s">
        <v>234</v>
      </c>
      <c r="O1487" t="s">
        <v>87</v>
      </c>
      <c r="P1487" t="s">
        <v>89</v>
      </c>
      <c r="Q1487" t="s">
        <v>687</v>
      </c>
      <c r="R1487" t="s">
        <v>63</v>
      </c>
      <c r="S1487" t="s">
        <v>64</v>
      </c>
      <c r="T1487">
        <v>208.5</v>
      </c>
      <c r="U1487">
        <v>199.5</v>
      </c>
      <c r="V1487">
        <f t="shared" si="46"/>
        <v>204</v>
      </c>
      <c r="W1487">
        <f t="shared" si="47"/>
        <v>9</v>
      </c>
      <c r="X1487">
        <v>-2.733333</v>
      </c>
      <c r="Y1487">
        <v>51.116669000000002</v>
      </c>
      <c r="Z1487" t="s">
        <v>1596</v>
      </c>
      <c r="AA1487" t="s">
        <v>91</v>
      </c>
      <c r="AB1487" t="s">
        <v>92</v>
      </c>
      <c r="AC1487" t="s">
        <v>93</v>
      </c>
      <c r="AD1487" t="s">
        <v>3173</v>
      </c>
      <c r="AE1487" t="s">
        <v>938</v>
      </c>
      <c r="AH1487" t="s">
        <v>72</v>
      </c>
      <c r="AI1487" t="s">
        <v>3174</v>
      </c>
      <c r="AJ1487">
        <v>1860</v>
      </c>
      <c r="AK1487" t="s">
        <v>3182</v>
      </c>
      <c r="AN1487" t="s">
        <v>114</v>
      </c>
      <c r="AO1487" t="s">
        <v>160</v>
      </c>
      <c r="AP1487" t="s">
        <v>78</v>
      </c>
      <c r="AQ1487" t="s">
        <v>3176</v>
      </c>
      <c r="AR1487" t="s">
        <v>80</v>
      </c>
      <c r="AS1487">
        <v>315</v>
      </c>
      <c r="AT1487" t="s">
        <v>81</v>
      </c>
      <c r="AU1487">
        <v>8.7799999999999994</v>
      </c>
      <c r="AV1487">
        <v>34.24</v>
      </c>
      <c r="AW1487" t="s">
        <v>82</v>
      </c>
      <c r="AX1487">
        <v>315</v>
      </c>
      <c r="AY1487" t="s">
        <v>81</v>
      </c>
      <c r="AZ1487">
        <v>-1.06</v>
      </c>
      <c r="BA1487">
        <v>36.67</v>
      </c>
      <c r="BB1487" t="s">
        <v>83</v>
      </c>
    </row>
    <row r="1488" spans="1:54" x14ac:dyDescent="0.4">
      <c r="A1488">
        <v>871909</v>
      </c>
      <c r="D1488" t="s">
        <v>54</v>
      </c>
      <c r="I1488" t="s">
        <v>57</v>
      </c>
      <c r="K1488" t="s">
        <v>537</v>
      </c>
      <c r="L1488" t="s">
        <v>538</v>
      </c>
      <c r="M1488" t="s">
        <v>223</v>
      </c>
      <c r="N1488" t="s">
        <v>234</v>
      </c>
      <c r="O1488" t="s">
        <v>87</v>
      </c>
      <c r="P1488" t="s">
        <v>89</v>
      </c>
      <c r="Q1488" t="s">
        <v>687</v>
      </c>
      <c r="R1488" t="s">
        <v>63</v>
      </c>
      <c r="S1488" t="s">
        <v>64</v>
      </c>
      <c r="T1488">
        <v>208.5</v>
      </c>
      <c r="U1488">
        <v>199.5</v>
      </c>
      <c r="V1488">
        <f t="shared" si="46"/>
        <v>204</v>
      </c>
      <c r="W1488">
        <f t="shared" si="47"/>
        <v>9</v>
      </c>
      <c r="X1488">
        <v>-2.733333</v>
      </c>
      <c r="Y1488">
        <v>51.116669000000002</v>
      </c>
      <c r="Z1488" t="s">
        <v>1596</v>
      </c>
      <c r="AA1488" t="s">
        <v>91</v>
      </c>
      <c r="AB1488" t="s">
        <v>92</v>
      </c>
      <c r="AC1488" t="s">
        <v>93</v>
      </c>
      <c r="AD1488" t="s">
        <v>3173</v>
      </c>
      <c r="AE1488" t="s">
        <v>938</v>
      </c>
      <c r="AH1488" t="s">
        <v>72</v>
      </c>
      <c r="AI1488" t="s">
        <v>3174</v>
      </c>
      <c r="AJ1488">
        <v>1860</v>
      </c>
      <c r="AK1488" t="s">
        <v>3183</v>
      </c>
      <c r="AN1488" t="s">
        <v>114</v>
      </c>
      <c r="AO1488" t="s">
        <v>160</v>
      </c>
      <c r="AP1488" t="s">
        <v>78</v>
      </c>
      <c r="AQ1488" t="s">
        <v>3176</v>
      </c>
      <c r="AR1488" t="s">
        <v>80</v>
      </c>
      <c r="AS1488">
        <v>315</v>
      </c>
      <c r="AT1488" t="s">
        <v>81</v>
      </c>
      <c r="AU1488">
        <v>8.7799999999999994</v>
      </c>
      <c r="AV1488">
        <v>34.24</v>
      </c>
      <c r="AW1488" t="s">
        <v>82</v>
      </c>
      <c r="AX1488">
        <v>315</v>
      </c>
      <c r="AY1488" t="s">
        <v>81</v>
      </c>
      <c r="AZ1488">
        <v>-1.06</v>
      </c>
      <c r="BA1488">
        <v>36.67</v>
      </c>
      <c r="BB1488" t="s">
        <v>83</v>
      </c>
    </row>
    <row r="1489" spans="1:54" x14ac:dyDescent="0.4">
      <c r="A1489">
        <v>1091860</v>
      </c>
      <c r="D1489" t="s">
        <v>54</v>
      </c>
      <c r="E1489" t="s">
        <v>55</v>
      </c>
      <c r="F1489" t="s">
        <v>600</v>
      </c>
      <c r="G1489">
        <v>8</v>
      </c>
      <c r="H1489" t="s">
        <v>84</v>
      </c>
      <c r="I1489" t="s">
        <v>57</v>
      </c>
      <c r="K1489" t="s">
        <v>805</v>
      </c>
      <c r="L1489" t="s">
        <v>806</v>
      </c>
      <c r="M1489" t="s">
        <v>60</v>
      </c>
      <c r="O1489" t="s">
        <v>87</v>
      </c>
      <c r="P1489" t="s">
        <v>89</v>
      </c>
      <c r="Q1489" t="s">
        <v>687</v>
      </c>
      <c r="R1489" t="s">
        <v>63</v>
      </c>
      <c r="S1489" t="s">
        <v>64</v>
      </c>
      <c r="T1489">
        <v>208.5</v>
      </c>
      <c r="U1489">
        <v>199.5</v>
      </c>
      <c r="V1489">
        <f t="shared" si="46"/>
        <v>204</v>
      </c>
      <c r="W1489">
        <f t="shared" si="47"/>
        <v>9</v>
      </c>
      <c r="X1489">
        <v>-111.25</v>
      </c>
      <c r="Y1489">
        <v>36</v>
      </c>
      <c r="Z1489" t="s">
        <v>124</v>
      </c>
      <c r="AA1489" t="s">
        <v>66</v>
      </c>
      <c r="AB1489" t="s">
        <v>583</v>
      </c>
      <c r="AC1489" t="s">
        <v>807</v>
      </c>
      <c r="AD1489" t="s">
        <v>808</v>
      </c>
      <c r="AE1489" t="s">
        <v>809</v>
      </c>
      <c r="AF1489" t="s">
        <v>810</v>
      </c>
      <c r="AH1489" t="s">
        <v>72</v>
      </c>
      <c r="AI1489" t="s">
        <v>4091</v>
      </c>
      <c r="AJ1489">
        <v>1951</v>
      </c>
      <c r="AK1489" t="s">
        <v>4092</v>
      </c>
      <c r="AN1489" t="s">
        <v>192</v>
      </c>
      <c r="AO1489" t="s">
        <v>657</v>
      </c>
      <c r="AP1489" t="s">
        <v>78</v>
      </c>
      <c r="AQ1489" t="s">
        <v>4093</v>
      </c>
      <c r="AR1489" t="s">
        <v>80</v>
      </c>
      <c r="AS1489">
        <v>101</v>
      </c>
      <c r="AT1489" t="s">
        <v>81</v>
      </c>
      <c r="AU1489">
        <v>-40</v>
      </c>
      <c r="AV1489">
        <v>10.79</v>
      </c>
      <c r="AW1489" t="s">
        <v>82</v>
      </c>
      <c r="AX1489">
        <v>133</v>
      </c>
      <c r="AY1489" t="s">
        <v>81</v>
      </c>
      <c r="AZ1489">
        <v>-55.41</v>
      </c>
      <c r="BA1489">
        <v>13.69</v>
      </c>
      <c r="BB1489" t="s">
        <v>83</v>
      </c>
    </row>
    <row r="1490" spans="1:54" x14ac:dyDescent="0.4">
      <c r="A1490">
        <v>1092046</v>
      </c>
      <c r="D1490" t="s">
        <v>904</v>
      </c>
      <c r="G1490">
        <v>4</v>
      </c>
      <c r="H1490" t="s">
        <v>84</v>
      </c>
      <c r="I1490" t="s">
        <v>57</v>
      </c>
      <c r="K1490" t="s">
        <v>805</v>
      </c>
      <c r="L1490" t="s">
        <v>806</v>
      </c>
      <c r="M1490" t="s">
        <v>60</v>
      </c>
      <c r="O1490" t="s">
        <v>87</v>
      </c>
      <c r="P1490" t="s">
        <v>89</v>
      </c>
      <c r="Q1490" t="s">
        <v>687</v>
      </c>
      <c r="R1490" t="s">
        <v>63</v>
      </c>
      <c r="S1490" t="s">
        <v>64</v>
      </c>
      <c r="T1490">
        <v>208.5</v>
      </c>
      <c r="U1490">
        <v>199.5</v>
      </c>
      <c r="V1490">
        <f t="shared" si="46"/>
        <v>204</v>
      </c>
      <c r="W1490">
        <f t="shared" si="47"/>
        <v>9</v>
      </c>
      <c r="X1490">
        <v>-111.25</v>
      </c>
      <c r="Y1490">
        <v>36</v>
      </c>
      <c r="Z1490" t="s">
        <v>124</v>
      </c>
      <c r="AA1490" t="s">
        <v>66</v>
      </c>
      <c r="AB1490" t="s">
        <v>583</v>
      </c>
      <c r="AC1490" t="s">
        <v>807</v>
      </c>
      <c r="AD1490" t="s">
        <v>808</v>
      </c>
      <c r="AE1490" t="s">
        <v>809</v>
      </c>
      <c r="AF1490" t="s">
        <v>810</v>
      </c>
      <c r="AH1490" t="s">
        <v>72</v>
      </c>
      <c r="AI1490" t="s">
        <v>811</v>
      </c>
      <c r="AJ1490">
        <v>1986</v>
      </c>
      <c r="AK1490" t="s">
        <v>4094</v>
      </c>
      <c r="AN1490" t="s">
        <v>192</v>
      </c>
      <c r="AO1490" t="s">
        <v>657</v>
      </c>
      <c r="AP1490" t="s">
        <v>78</v>
      </c>
      <c r="AQ1490" t="s">
        <v>4095</v>
      </c>
      <c r="AR1490" t="s">
        <v>80</v>
      </c>
      <c r="AS1490">
        <v>101</v>
      </c>
      <c r="AT1490" t="s">
        <v>81</v>
      </c>
      <c r="AU1490">
        <v>-40</v>
      </c>
      <c r="AV1490">
        <v>10.79</v>
      </c>
      <c r="AW1490" t="s">
        <v>82</v>
      </c>
      <c r="AX1490">
        <v>133</v>
      </c>
      <c r="AY1490" t="s">
        <v>81</v>
      </c>
      <c r="AZ1490">
        <v>-55.41</v>
      </c>
      <c r="BA1490">
        <v>13.69</v>
      </c>
      <c r="BB1490" t="s">
        <v>83</v>
      </c>
    </row>
    <row r="1491" spans="1:54" x14ac:dyDescent="0.4">
      <c r="A1491">
        <v>1092047</v>
      </c>
      <c r="D1491" t="s">
        <v>904</v>
      </c>
      <c r="I1491" t="s">
        <v>57</v>
      </c>
      <c r="K1491" t="s">
        <v>4096</v>
      </c>
      <c r="L1491" t="s">
        <v>4097</v>
      </c>
      <c r="M1491" t="s">
        <v>60</v>
      </c>
      <c r="O1491" t="s">
        <v>170</v>
      </c>
      <c r="P1491" t="s">
        <v>89</v>
      </c>
      <c r="Q1491" t="s">
        <v>687</v>
      </c>
      <c r="R1491" t="s">
        <v>63</v>
      </c>
      <c r="S1491" t="s">
        <v>64</v>
      </c>
      <c r="T1491">
        <v>208.5</v>
      </c>
      <c r="U1491">
        <v>199.5</v>
      </c>
      <c r="V1491">
        <f t="shared" si="46"/>
        <v>204</v>
      </c>
      <c r="W1491">
        <f t="shared" si="47"/>
        <v>9</v>
      </c>
      <c r="X1491">
        <v>-111.25</v>
      </c>
      <c r="Y1491">
        <v>36</v>
      </c>
      <c r="Z1491" t="s">
        <v>124</v>
      </c>
      <c r="AA1491" t="s">
        <v>66</v>
      </c>
      <c r="AB1491" t="s">
        <v>583</v>
      </c>
      <c r="AC1491" t="s">
        <v>807</v>
      </c>
      <c r="AD1491" t="s">
        <v>808</v>
      </c>
      <c r="AE1491" t="s">
        <v>809</v>
      </c>
      <c r="AF1491" t="s">
        <v>810</v>
      </c>
      <c r="AH1491" t="s">
        <v>72</v>
      </c>
      <c r="AI1491" t="s">
        <v>811</v>
      </c>
      <c r="AJ1491">
        <v>1986</v>
      </c>
      <c r="AK1491" t="s">
        <v>4094</v>
      </c>
      <c r="AN1491" t="s">
        <v>192</v>
      </c>
      <c r="AO1491" t="s">
        <v>657</v>
      </c>
      <c r="AP1491" t="s">
        <v>78</v>
      </c>
      <c r="AQ1491" t="s">
        <v>4095</v>
      </c>
      <c r="AR1491" t="s">
        <v>80</v>
      </c>
      <c r="AS1491">
        <v>101</v>
      </c>
      <c r="AT1491" t="s">
        <v>81</v>
      </c>
      <c r="AU1491">
        <v>-40</v>
      </c>
      <c r="AV1491">
        <v>10.79</v>
      </c>
      <c r="AW1491" t="s">
        <v>82</v>
      </c>
      <c r="AX1491">
        <v>133</v>
      </c>
      <c r="AY1491" t="s">
        <v>81</v>
      </c>
      <c r="AZ1491">
        <v>-55.41</v>
      </c>
      <c r="BA1491">
        <v>13.69</v>
      </c>
      <c r="BB1491" t="s">
        <v>83</v>
      </c>
    </row>
    <row r="1492" spans="1:54" x14ac:dyDescent="0.4">
      <c r="A1492">
        <v>1092054</v>
      </c>
      <c r="D1492" t="s">
        <v>54</v>
      </c>
      <c r="G1492">
        <v>1</v>
      </c>
      <c r="H1492" t="s">
        <v>84</v>
      </c>
      <c r="I1492" t="s">
        <v>57</v>
      </c>
      <c r="K1492" t="s">
        <v>805</v>
      </c>
      <c r="L1492" t="s">
        <v>806</v>
      </c>
      <c r="M1492" t="s">
        <v>60</v>
      </c>
      <c r="O1492" t="s">
        <v>87</v>
      </c>
      <c r="P1492" t="s">
        <v>89</v>
      </c>
      <c r="Q1492" t="s">
        <v>687</v>
      </c>
      <c r="R1492" t="s">
        <v>63</v>
      </c>
      <c r="S1492" t="s">
        <v>64</v>
      </c>
      <c r="T1492">
        <v>208.5</v>
      </c>
      <c r="U1492">
        <v>199.5</v>
      </c>
      <c r="V1492">
        <f t="shared" si="46"/>
        <v>204</v>
      </c>
      <c r="W1492">
        <f t="shared" si="47"/>
        <v>9</v>
      </c>
      <c r="X1492">
        <v>-111.116669</v>
      </c>
      <c r="Y1492">
        <v>35.783332999999999</v>
      </c>
      <c r="Z1492" t="s">
        <v>124</v>
      </c>
      <c r="AA1492" t="s">
        <v>66</v>
      </c>
      <c r="AB1492" t="s">
        <v>583</v>
      </c>
      <c r="AC1492" t="s">
        <v>807</v>
      </c>
      <c r="AD1492" t="s">
        <v>808</v>
      </c>
      <c r="AE1492" t="s">
        <v>809</v>
      </c>
      <c r="AF1492" t="s">
        <v>810</v>
      </c>
      <c r="AH1492" t="s">
        <v>72</v>
      </c>
      <c r="AI1492" t="s">
        <v>811</v>
      </c>
      <c r="AJ1492">
        <v>1986</v>
      </c>
      <c r="AK1492" t="s">
        <v>4098</v>
      </c>
      <c r="AN1492" t="s">
        <v>114</v>
      </c>
      <c r="AO1492" t="s">
        <v>160</v>
      </c>
      <c r="AP1492" t="s">
        <v>115</v>
      </c>
      <c r="AQ1492" t="s">
        <v>4099</v>
      </c>
      <c r="AR1492" t="s">
        <v>80</v>
      </c>
      <c r="AS1492">
        <v>101</v>
      </c>
      <c r="AT1492" t="s">
        <v>81</v>
      </c>
      <c r="AU1492">
        <v>-39.909999999999997</v>
      </c>
      <c r="AV1492">
        <v>10.57</v>
      </c>
      <c r="AW1492" t="s">
        <v>82</v>
      </c>
      <c r="AX1492">
        <v>133</v>
      </c>
      <c r="AY1492" t="s">
        <v>81</v>
      </c>
      <c r="AZ1492">
        <v>-55.32</v>
      </c>
      <c r="BA1492">
        <v>13.46</v>
      </c>
      <c r="BB1492" t="s">
        <v>83</v>
      </c>
    </row>
    <row r="1493" spans="1:54" x14ac:dyDescent="0.4">
      <c r="A1493">
        <v>346294</v>
      </c>
      <c r="D1493" t="s">
        <v>545</v>
      </c>
      <c r="I1493" t="s">
        <v>57</v>
      </c>
      <c r="K1493" t="s">
        <v>397</v>
      </c>
      <c r="L1493" t="s">
        <v>444</v>
      </c>
      <c r="M1493" t="s">
        <v>60</v>
      </c>
      <c r="N1493" t="s">
        <v>119</v>
      </c>
      <c r="O1493" t="s">
        <v>134</v>
      </c>
      <c r="P1493" t="s">
        <v>546</v>
      </c>
      <c r="Q1493" t="s">
        <v>547</v>
      </c>
      <c r="R1493" t="s">
        <v>122</v>
      </c>
      <c r="S1493" t="s">
        <v>123</v>
      </c>
      <c r="T1493">
        <v>298.89999999999998</v>
      </c>
      <c r="U1493">
        <v>290.10000000000002</v>
      </c>
      <c r="V1493">
        <f t="shared" si="46"/>
        <v>294.5</v>
      </c>
      <c r="W1493">
        <f t="shared" si="47"/>
        <v>8.7999999999999545</v>
      </c>
      <c r="X1493">
        <v>-98.699996999999996</v>
      </c>
      <c r="Y1493">
        <v>33.683334000000002</v>
      </c>
      <c r="Z1493" t="s">
        <v>198</v>
      </c>
      <c r="AA1493" t="s">
        <v>66</v>
      </c>
      <c r="AB1493" t="s">
        <v>125</v>
      </c>
      <c r="AC1493" t="s">
        <v>126</v>
      </c>
      <c r="AD1493" t="s">
        <v>127</v>
      </c>
      <c r="AE1493" t="s">
        <v>128</v>
      </c>
      <c r="AH1493" t="s">
        <v>72</v>
      </c>
      <c r="AI1493" t="s">
        <v>228</v>
      </c>
      <c r="AJ1493">
        <v>1987</v>
      </c>
      <c r="AK1493" t="s">
        <v>548</v>
      </c>
      <c r="AN1493" t="s">
        <v>192</v>
      </c>
      <c r="AO1493" t="s">
        <v>160</v>
      </c>
      <c r="AP1493" t="s">
        <v>115</v>
      </c>
      <c r="AQ1493" t="s">
        <v>549</v>
      </c>
      <c r="AR1493" t="s">
        <v>80</v>
      </c>
      <c r="AS1493">
        <v>101</v>
      </c>
      <c r="AT1493" t="s">
        <v>81</v>
      </c>
      <c r="AU1493">
        <v>-30.37</v>
      </c>
      <c r="AV1493">
        <v>-1.69</v>
      </c>
      <c r="AW1493" t="s">
        <v>82</v>
      </c>
      <c r="AX1493">
        <v>101</v>
      </c>
      <c r="AY1493" t="s">
        <v>81</v>
      </c>
      <c r="AZ1493">
        <v>-31.85</v>
      </c>
      <c r="BA1493">
        <v>-4.17</v>
      </c>
      <c r="BB1493" t="s">
        <v>83</v>
      </c>
    </row>
    <row r="1494" spans="1:54" x14ac:dyDescent="0.4">
      <c r="A1494">
        <v>287287</v>
      </c>
      <c r="D1494" t="s">
        <v>54</v>
      </c>
      <c r="E1494" t="s">
        <v>55</v>
      </c>
      <c r="G1494">
        <v>7</v>
      </c>
      <c r="H1494" t="s">
        <v>84</v>
      </c>
      <c r="I1494" t="s">
        <v>57</v>
      </c>
      <c r="K1494" t="s">
        <v>275</v>
      </c>
      <c r="L1494" t="s">
        <v>404</v>
      </c>
      <c r="M1494" t="s">
        <v>60</v>
      </c>
      <c r="N1494" t="s">
        <v>119</v>
      </c>
      <c r="O1494" t="s">
        <v>134</v>
      </c>
      <c r="P1494" t="s">
        <v>405</v>
      </c>
      <c r="Q1494" t="s">
        <v>237</v>
      </c>
      <c r="R1494" t="s">
        <v>238</v>
      </c>
      <c r="S1494" t="s">
        <v>123</v>
      </c>
      <c r="T1494">
        <v>274.39999999999998</v>
      </c>
      <c r="U1494">
        <v>264.27999999999997</v>
      </c>
      <c r="V1494">
        <f t="shared" si="46"/>
        <v>269.33999999999997</v>
      </c>
      <c r="W1494">
        <f t="shared" si="47"/>
        <v>10.120000000000005</v>
      </c>
      <c r="X1494">
        <v>-98.316665999999998</v>
      </c>
      <c r="Y1494">
        <v>35.971111000000001</v>
      </c>
      <c r="Z1494" t="s">
        <v>406</v>
      </c>
      <c r="AA1494" t="s">
        <v>66</v>
      </c>
      <c r="AB1494" t="s">
        <v>407</v>
      </c>
      <c r="AC1494" t="s">
        <v>408</v>
      </c>
      <c r="AD1494" t="s">
        <v>409</v>
      </c>
      <c r="AE1494" t="s">
        <v>410</v>
      </c>
      <c r="AH1494" t="s">
        <v>72</v>
      </c>
      <c r="AI1494" t="s">
        <v>411</v>
      </c>
      <c r="AJ1494">
        <v>1965</v>
      </c>
      <c r="AK1494" t="s">
        <v>412</v>
      </c>
      <c r="AM1494" t="s">
        <v>413</v>
      </c>
      <c r="AN1494" t="s">
        <v>76</v>
      </c>
      <c r="AO1494" t="s">
        <v>77</v>
      </c>
      <c r="AP1494" t="s">
        <v>115</v>
      </c>
      <c r="AQ1494" t="s">
        <v>414</v>
      </c>
      <c r="AR1494" t="s">
        <v>80</v>
      </c>
      <c r="AS1494">
        <v>101</v>
      </c>
      <c r="AT1494" t="s">
        <v>81</v>
      </c>
      <c r="AU1494">
        <v>-24.94</v>
      </c>
      <c r="AV1494">
        <v>7.96</v>
      </c>
      <c r="AW1494" t="s">
        <v>82</v>
      </c>
      <c r="AX1494">
        <v>101</v>
      </c>
      <c r="AY1494" t="s">
        <v>81</v>
      </c>
      <c r="AZ1494">
        <v>-26</v>
      </c>
      <c r="BA1494">
        <v>6.01</v>
      </c>
      <c r="BB1494" t="s">
        <v>83</v>
      </c>
    </row>
    <row r="1495" spans="1:54" x14ac:dyDescent="0.4">
      <c r="A1495">
        <v>287715</v>
      </c>
      <c r="D1495" t="s">
        <v>179</v>
      </c>
      <c r="E1495" t="s">
        <v>55</v>
      </c>
      <c r="G1495">
        <v>1</v>
      </c>
      <c r="H1495" t="s">
        <v>56</v>
      </c>
      <c r="I1495" t="s">
        <v>57</v>
      </c>
      <c r="K1495" t="s">
        <v>275</v>
      </c>
      <c r="L1495" t="s">
        <v>404</v>
      </c>
      <c r="M1495" t="s">
        <v>60</v>
      </c>
      <c r="N1495" t="s">
        <v>119</v>
      </c>
      <c r="O1495" t="s">
        <v>134</v>
      </c>
      <c r="P1495" t="s">
        <v>405</v>
      </c>
      <c r="Q1495" t="s">
        <v>237</v>
      </c>
      <c r="R1495" t="s">
        <v>238</v>
      </c>
      <c r="S1495" t="s">
        <v>123</v>
      </c>
      <c r="T1495">
        <v>274.39999999999998</v>
      </c>
      <c r="U1495">
        <v>264.27999999999997</v>
      </c>
      <c r="V1495">
        <f t="shared" si="46"/>
        <v>269.33999999999997</v>
      </c>
      <c r="W1495">
        <f t="shared" si="47"/>
        <v>10.120000000000005</v>
      </c>
      <c r="X1495">
        <v>-98.375832000000003</v>
      </c>
      <c r="Y1495">
        <v>35.999442999999999</v>
      </c>
      <c r="Z1495" t="s">
        <v>406</v>
      </c>
      <c r="AA1495" t="s">
        <v>66</v>
      </c>
      <c r="AB1495" t="s">
        <v>407</v>
      </c>
      <c r="AC1495" t="s">
        <v>408</v>
      </c>
      <c r="AD1495" t="s">
        <v>409</v>
      </c>
      <c r="AE1495" t="s">
        <v>410</v>
      </c>
      <c r="AH1495" t="s">
        <v>72</v>
      </c>
      <c r="AI1495" t="s">
        <v>411</v>
      </c>
      <c r="AJ1495">
        <v>1965</v>
      </c>
      <c r="AK1495" t="s">
        <v>415</v>
      </c>
      <c r="AM1495" t="s">
        <v>413</v>
      </c>
      <c r="AN1495" t="s">
        <v>192</v>
      </c>
      <c r="AO1495" t="s">
        <v>77</v>
      </c>
      <c r="AP1495" t="s">
        <v>78</v>
      </c>
      <c r="AQ1495" t="s">
        <v>416</v>
      </c>
      <c r="AR1495" t="s">
        <v>80</v>
      </c>
      <c r="AS1495">
        <v>101</v>
      </c>
      <c r="AT1495" t="s">
        <v>81</v>
      </c>
      <c r="AU1495">
        <v>-24.97</v>
      </c>
      <c r="AV1495">
        <v>8.01</v>
      </c>
      <c r="AW1495" t="s">
        <v>82</v>
      </c>
      <c r="AX1495">
        <v>101</v>
      </c>
      <c r="AY1495" t="s">
        <v>81</v>
      </c>
      <c r="AZ1495">
        <v>-26.03</v>
      </c>
      <c r="BA1495">
        <v>6.05</v>
      </c>
      <c r="BB1495" t="s">
        <v>83</v>
      </c>
    </row>
    <row r="1496" spans="1:54" x14ac:dyDescent="0.4">
      <c r="A1496">
        <v>287715</v>
      </c>
      <c r="D1496" t="s">
        <v>179</v>
      </c>
      <c r="E1496" t="s">
        <v>55</v>
      </c>
      <c r="G1496">
        <v>1</v>
      </c>
      <c r="H1496" t="s">
        <v>56</v>
      </c>
      <c r="I1496" t="s">
        <v>57</v>
      </c>
      <c r="K1496" t="s">
        <v>275</v>
      </c>
      <c r="L1496" t="s">
        <v>404</v>
      </c>
      <c r="M1496" t="s">
        <v>60</v>
      </c>
      <c r="N1496" t="s">
        <v>119</v>
      </c>
      <c r="O1496" t="s">
        <v>134</v>
      </c>
      <c r="P1496" t="s">
        <v>405</v>
      </c>
      <c r="Q1496" t="s">
        <v>237</v>
      </c>
      <c r="R1496" t="s">
        <v>238</v>
      </c>
      <c r="S1496" t="s">
        <v>123</v>
      </c>
      <c r="T1496">
        <v>274.39999999999998</v>
      </c>
      <c r="U1496">
        <v>264.27999999999997</v>
      </c>
      <c r="V1496">
        <f t="shared" si="46"/>
        <v>269.33999999999997</v>
      </c>
      <c r="W1496">
        <f t="shared" si="47"/>
        <v>10.120000000000005</v>
      </c>
      <c r="X1496">
        <v>-98.375832000000003</v>
      </c>
      <c r="Y1496">
        <v>35.999442999999999</v>
      </c>
      <c r="Z1496" t="s">
        <v>406</v>
      </c>
      <c r="AA1496" t="s">
        <v>66</v>
      </c>
      <c r="AB1496" t="s">
        <v>407</v>
      </c>
      <c r="AC1496" t="s">
        <v>408</v>
      </c>
      <c r="AD1496" t="s">
        <v>409</v>
      </c>
      <c r="AE1496" t="s">
        <v>410</v>
      </c>
      <c r="AH1496" t="s">
        <v>72</v>
      </c>
      <c r="AI1496" t="s">
        <v>411</v>
      </c>
      <c r="AJ1496">
        <v>1965</v>
      </c>
      <c r="AK1496" t="s">
        <v>415</v>
      </c>
      <c r="AM1496" t="s">
        <v>413</v>
      </c>
      <c r="AN1496" t="s">
        <v>192</v>
      </c>
      <c r="AO1496" t="s">
        <v>77</v>
      </c>
      <c r="AP1496" t="s">
        <v>78</v>
      </c>
      <c r="AQ1496" t="s">
        <v>416</v>
      </c>
      <c r="AR1496" t="s">
        <v>80</v>
      </c>
      <c r="AS1496">
        <v>101</v>
      </c>
      <c r="AT1496" t="s">
        <v>81</v>
      </c>
      <c r="AU1496">
        <v>-24.97</v>
      </c>
      <c r="AV1496">
        <v>8.01</v>
      </c>
      <c r="AW1496" t="s">
        <v>82</v>
      </c>
      <c r="AX1496">
        <v>101</v>
      </c>
      <c r="AY1496" t="s">
        <v>81</v>
      </c>
      <c r="AZ1496">
        <v>-26.03</v>
      </c>
      <c r="BA1496">
        <v>6.05</v>
      </c>
      <c r="BB1496" t="s">
        <v>83</v>
      </c>
    </row>
    <row r="1497" spans="1:54" x14ac:dyDescent="0.4">
      <c r="A1497">
        <v>287715</v>
      </c>
      <c r="D1497" t="s">
        <v>179</v>
      </c>
      <c r="E1497" t="s">
        <v>55</v>
      </c>
      <c r="G1497">
        <v>1</v>
      </c>
      <c r="H1497" t="s">
        <v>56</v>
      </c>
      <c r="I1497" t="s">
        <v>57</v>
      </c>
      <c r="K1497" t="s">
        <v>275</v>
      </c>
      <c r="L1497" t="s">
        <v>404</v>
      </c>
      <c r="M1497" t="s">
        <v>60</v>
      </c>
      <c r="N1497" t="s">
        <v>119</v>
      </c>
      <c r="O1497" t="s">
        <v>134</v>
      </c>
      <c r="P1497" t="s">
        <v>405</v>
      </c>
      <c r="Q1497" t="s">
        <v>237</v>
      </c>
      <c r="R1497" t="s">
        <v>238</v>
      </c>
      <c r="S1497" t="s">
        <v>123</v>
      </c>
      <c r="T1497">
        <v>274.39999999999998</v>
      </c>
      <c r="U1497">
        <v>264.27999999999997</v>
      </c>
      <c r="V1497">
        <f t="shared" si="46"/>
        <v>269.33999999999997</v>
      </c>
      <c r="W1497">
        <f t="shared" si="47"/>
        <v>10.120000000000005</v>
      </c>
      <c r="X1497">
        <v>-98.375832000000003</v>
      </c>
      <c r="Y1497">
        <v>35.999442999999999</v>
      </c>
      <c r="Z1497" t="s">
        <v>406</v>
      </c>
      <c r="AA1497" t="s">
        <v>66</v>
      </c>
      <c r="AB1497" t="s">
        <v>407</v>
      </c>
      <c r="AC1497" t="s">
        <v>408</v>
      </c>
      <c r="AD1497" t="s">
        <v>409</v>
      </c>
      <c r="AE1497" t="s">
        <v>410</v>
      </c>
      <c r="AH1497" t="s">
        <v>72</v>
      </c>
      <c r="AI1497" t="s">
        <v>411</v>
      </c>
      <c r="AJ1497">
        <v>1965</v>
      </c>
      <c r="AK1497" t="s">
        <v>415</v>
      </c>
      <c r="AM1497" t="s">
        <v>413</v>
      </c>
      <c r="AN1497" t="s">
        <v>192</v>
      </c>
      <c r="AO1497" t="s">
        <v>77</v>
      </c>
      <c r="AP1497" t="s">
        <v>78</v>
      </c>
      <c r="AQ1497" t="s">
        <v>416</v>
      </c>
      <c r="AR1497" t="s">
        <v>80</v>
      </c>
      <c r="AS1497">
        <v>101</v>
      </c>
      <c r="AT1497" t="s">
        <v>81</v>
      </c>
      <c r="AU1497">
        <v>-24.97</v>
      </c>
      <c r="AV1497">
        <v>8.01</v>
      </c>
      <c r="AW1497" t="s">
        <v>82</v>
      </c>
      <c r="AX1497">
        <v>101</v>
      </c>
      <c r="AY1497" t="s">
        <v>81</v>
      </c>
      <c r="AZ1497">
        <v>-26.03</v>
      </c>
      <c r="BA1497">
        <v>6.05</v>
      </c>
      <c r="BB1497" t="s">
        <v>83</v>
      </c>
    </row>
    <row r="1498" spans="1:54" x14ac:dyDescent="0.4">
      <c r="A1498">
        <v>287747</v>
      </c>
      <c r="D1498" t="s">
        <v>54</v>
      </c>
      <c r="E1498" t="s">
        <v>55</v>
      </c>
      <c r="G1498">
        <v>1</v>
      </c>
      <c r="H1498" t="s">
        <v>56</v>
      </c>
      <c r="I1498" t="s">
        <v>57</v>
      </c>
      <c r="K1498" t="s">
        <v>275</v>
      </c>
      <c r="L1498" t="s">
        <v>404</v>
      </c>
      <c r="M1498" t="s">
        <v>60</v>
      </c>
      <c r="N1498" t="s">
        <v>119</v>
      </c>
      <c r="O1498" t="s">
        <v>134</v>
      </c>
      <c r="P1498" t="s">
        <v>405</v>
      </c>
      <c r="Q1498" t="s">
        <v>237</v>
      </c>
      <c r="R1498" t="s">
        <v>238</v>
      </c>
      <c r="S1498" t="s">
        <v>123</v>
      </c>
      <c r="T1498">
        <v>274.39999999999998</v>
      </c>
      <c r="U1498">
        <v>264.27999999999997</v>
      </c>
      <c r="V1498">
        <f t="shared" si="46"/>
        <v>269.33999999999997</v>
      </c>
      <c r="W1498">
        <f t="shared" si="47"/>
        <v>10.120000000000005</v>
      </c>
      <c r="X1498">
        <v>-98.368331999999995</v>
      </c>
      <c r="Y1498">
        <v>36.019722000000002</v>
      </c>
      <c r="Z1498" t="s">
        <v>406</v>
      </c>
      <c r="AA1498" t="s">
        <v>66</v>
      </c>
      <c r="AB1498" t="s">
        <v>407</v>
      </c>
      <c r="AC1498" t="s">
        <v>408</v>
      </c>
      <c r="AD1498" t="s">
        <v>409</v>
      </c>
      <c r="AE1498" t="s">
        <v>410</v>
      </c>
      <c r="AH1498" t="s">
        <v>72</v>
      </c>
      <c r="AI1498" t="s">
        <v>411</v>
      </c>
      <c r="AJ1498">
        <v>1965</v>
      </c>
      <c r="AK1498" t="s">
        <v>417</v>
      </c>
      <c r="AM1498" t="s">
        <v>413</v>
      </c>
      <c r="AN1498" t="s">
        <v>192</v>
      </c>
      <c r="AO1498" t="s">
        <v>77</v>
      </c>
      <c r="AP1498" t="s">
        <v>78</v>
      </c>
      <c r="AQ1498" t="s">
        <v>418</v>
      </c>
      <c r="AR1498" t="s">
        <v>80</v>
      </c>
      <c r="AS1498">
        <v>101</v>
      </c>
      <c r="AT1498" t="s">
        <v>81</v>
      </c>
      <c r="AU1498">
        <v>-24.95</v>
      </c>
      <c r="AV1498">
        <v>8.0299999999999994</v>
      </c>
      <c r="AW1498" t="s">
        <v>82</v>
      </c>
      <c r="AX1498">
        <v>101</v>
      </c>
      <c r="AY1498" t="s">
        <v>81</v>
      </c>
      <c r="AZ1498">
        <v>-26.01</v>
      </c>
      <c r="BA1498">
        <v>6.07</v>
      </c>
      <c r="BB1498" t="s">
        <v>83</v>
      </c>
    </row>
    <row r="1499" spans="1:54" x14ac:dyDescent="0.4">
      <c r="A1499">
        <v>287764</v>
      </c>
      <c r="D1499" t="s">
        <v>54</v>
      </c>
      <c r="G1499">
        <v>1</v>
      </c>
      <c r="H1499" t="s">
        <v>56</v>
      </c>
      <c r="I1499" t="s">
        <v>57</v>
      </c>
      <c r="K1499" t="s">
        <v>275</v>
      </c>
      <c r="L1499" t="s">
        <v>404</v>
      </c>
      <c r="M1499" t="s">
        <v>60</v>
      </c>
      <c r="N1499" t="s">
        <v>119</v>
      </c>
      <c r="O1499" t="s">
        <v>134</v>
      </c>
      <c r="P1499" t="s">
        <v>405</v>
      </c>
      <c r="Q1499" t="s">
        <v>237</v>
      </c>
      <c r="R1499" t="s">
        <v>238</v>
      </c>
      <c r="S1499" t="s">
        <v>123</v>
      </c>
      <c r="T1499">
        <v>274.39999999999998</v>
      </c>
      <c r="U1499">
        <v>264.27999999999997</v>
      </c>
      <c r="V1499">
        <f t="shared" si="46"/>
        <v>269.33999999999997</v>
      </c>
      <c r="W1499">
        <f t="shared" si="47"/>
        <v>10.120000000000005</v>
      </c>
      <c r="X1499">
        <v>-98.361389000000003</v>
      </c>
      <c r="Y1499">
        <v>36.010554999999997</v>
      </c>
      <c r="Z1499" t="s">
        <v>406</v>
      </c>
      <c r="AA1499" t="s">
        <v>66</v>
      </c>
      <c r="AB1499" t="s">
        <v>407</v>
      </c>
      <c r="AC1499" t="s">
        <v>408</v>
      </c>
      <c r="AD1499" t="s">
        <v>409</v>
      </c>
      <c r="AE1499" t="s">
        <v>410</v>
      </c>
      <c r="AH1499" t="s">
        <v>72</v>
      </c>
      <c r="AI1499" t="s">
        <v>411</v>
      </c>
      <c r="AJ1499">
        <v>1965</v>
      </c>
      <c r="AK1499" t="s">
        <v>419</v>
      </c>
      <c r="AM1499" t="s">
        <v>413</v>
      </c>
      <c r="AN1499" t="s">
        <v>341</v>
      </c>
      <c r="AO1499" t="s">
        <v>77</v>
      </c>
      <c r="AP1499" t="s">
        <v>115</v>
      </c>
      <c r="AQ1499" t="s">
        <v>420</v>
      </c>
      <c r="AR1499" t="s">
        <v>80</v>
      </c>
      <c r="AS1499">
        <v>101</v>
      </c>
      <c r="AT1499" t="s">
        <v>81</v>
      </c>
      <c r="AU1499">
        <v>-24.95</v>
      </c>
      <c r="AV1499">
        <v>8.02</v>
      </c>
      <c r="AW1499" t="s">
        <v>82</v>
      </c>
      <c r="AX1499">
        <v>101</v>
      </c>
      <c r="AY1499" t="s">
        <v>81</v>
      </c>
      <c r="AZ1499">
        <v>-26.01</v>
      </c>
      <c r="BA1499">
        <v>6.06</v>
      </c>
      <c r="BB1499" t="s">
        <v>83</v>
      </c>
    </row>
    <row r="1500" spans="1:54" x14ac:dyDescent="0.4">
      <c r="A1500">
        <v>287827</v>
      </c>
      <c r="D1500" t="s">
        <v>54</v>
      </c>
      <c r="G1500">
        <v>3</v>
      </c>
      <c r="H1500" t="s">
        <v>421</v>
      </c>
      <c r="I1500" t="s">
        <v>57</v>
      </c>
      <c r="K1500" t="s">
        <v>275</v>
      </c>
      <c r="L1500" t="s">
        <v>404</v>
      </c>
      <c r="M1500" t="s">
        <v>60</v>
      </c>
      <c r="N1500" t="s">
        <v>119</v>
      </c>
      <c r="O1500" t="s">
        <v>134</v>
      </c>
      <c r="P1500" t="s">
        <v>405</v>
      </c>
      <c r="Q1500" t="s">
        <v>237</v>
      </c>
      <c r="R1500" t="s">
        <v>238</v>
      </c>
      <c r="S1500" t="s">
        <v>123</v>
      </c>
      <c r="T1500">
        <v>274.39999999999998</v>
      </c>
      <c r="U1500">
        <v>264.27999999999997</v>
      </c>
      <c r="V1500">
        <f t="shared" si="46"/>
        <v>269.33999999999997</v>
      </c>
      <c r="W1500">
        <f t="shared" si="47"/>
        <v>10.120000000000005</v>
      </c>
      <c r="X1500">
        <v>-98.206947</v>
      </c>
      <c r="Y1500">
        <v>35.904167000000001</v>
      </c>
      <c r="Z1500" t="s">
        <v>406</v>
      </c>
      <c r="AA1500" t="s">
        <v>66</v>
      </c>
      <c r="AB1500" t="s">
        <v>407</v>
      </c>
      <c r="AC1500" t="s">
        <v>422</v>
      </c>
      <c r="AD1500" t="s">
        <v>409</v>
      </c>
      <c r="AE1500" t="s">
        <v>410</v>
      </c>
      <c r="AH1500" t="s">
        <v>72</v>
      </c>
      <c r="AI1500" t="s">
        <v>411</v>
      </c>
      <c r="AJ1500">
        <v>1965</v>
      </c>
      <c r="AK1500" t="s">
        <v>423</v>
      </c>
      <c r="AM1500" t="s">
        <v>413</v>
      </c>
      <c r="AN1500" t="s">
        <v>76</v>
      </c>
      <c r="AO1500" t="s">
        <v>77</v>
      </c>
      <c r="AP1500" t="s">
        <v>115</v>
      </c>
      <c r="AQ1500" t="s">
        <v>424</v>
      </c>
      <c r="AR1500" t="s">
        <v>80</v>
      </c>
      <c r="AS1500">
        <v>101</v>
      </c>
      <c r="AT1500" t="s">
        <v>81</v>
      </c>
      <c r="AU1500">
        <v>-24.89</v>
      </c>
      <c r="AV1500">
        <v>7.86</v>
      </c>
      <c r="AW1500" t="s">
        <v>82</v>
      </c>
      <c r="AX1500">
        <v>101</v>
      </c>
      <c r="AY1500" t="s">
        <v>81</v>
      </c>
      <c r="AZ1500">
        <v>-25.95</v>
      </c>
      <c r="BA1500">
        <v>5.91</v>
      </c>
      <c r="BB1500" t="s">
        <v>83</v>
      </c>
    </row>
    <row r="1501" spans="1:54" x14ac:dyDescent="0.4">
      <c r="A1501">
        <v>287904</v>
      </c>
      <c r="D1501" t="s">
        <v>54</v>
      </c>
      <c r="G1501">
        <v>2</v>
      </c>
      <c r="H1501" t="s">
        <v>84</v>
      </c>
      <c r="I1501" t="s">
        <v>57</v>
      </c>
      <c r="K1501" t="s">
        <v>275</v>
      </c>
      <c r="L1501" t="s">
        <v>404</v>
      </c>
      <c r="M1501" t="s">
        <v>60</v>
      </c>
      <c r="N1501" t="s">
        <v>119</v>
      </c>
      <c r="O1501" t="s">
        <v>134</v>
      </c>
      <c r="P1501" t="s">
        <v>405</v>
      </c>
      <c r="Q1501" t="s">
        <v>237</v>
      </c>
      <c r="R1501" t="s">
        <v>238</v>
      </c>
      <c r="S1501" t="s">
        <v>123</v>
      </c>
      <c r="T1501">
        <v>274.39999999999998</v>
      </c>
      <c r="U1501">
        <v>264.27999999999997</v>
      </c>
      <c r="V1501">
        <f t="shared" si="46"/>
        <v>269.33999999999997</v>
      </c>
      <c r="W1501">
        <f t="shared" si="47"/>
        <v>10.120000000000005</v>
      </c>
      <c r="X1501">
        <v>-98.131111000000004</v>
      </c>
      <c r="Y1501">
        <v>35.816386999999999</v>
      </c>
      <c r="Z1501" t="s">
        <v>406</v>
      </c>
      <c r="AA1501" t="s">
        <v>66</v>
      </c>
      <c r="AB1501" t="s">
        <v>407</v>
      </c>
      <c r="AC1501" t="s">
        <v>422</v>
      </c>
      <c r="AD1501" t="s">
        <v>409</v>
      </c>
      <c r="AE1501" t="s">
        <v>410</v>
      </c>
      <c r="AH1501" t="s">
        <v>72</v>
      </c>
      <c r="AI1501" t="s">
        <v>411</v>
      </c>
      <c r="AJ1501">
        <v>1965</v>
      </c>
      <c r="AK1501" t="s">
        <v>425</v>
      </c>
      <c r="AM1501" t="s">
        <v>413</v>
      </c>
      <c r="AN1501" t="s">
        <v>341</v>
      </c>
      <c r="AO1501" t="s">
        <v>77</v>
      </c>
      <c r="AP1501" t="s">
        <v>115</v>
      </c>
      <c r="AQ1501" t="s">
        <v>426</v>
      </c>
      <c r="AR1501" t="s">
        <v>80</v>
      </c>
      <c r="AS1501">
        <v>101</v>
      </c>
      <c r="AT1501" t="s">
        <v>81</v>
      </c>
      <c r="AU1501">
        <v>-24.88</v>
      </c>
      <c r="AV1501">
        <v>7.76</v>
      </c>
      <c r="AW1501" t="s">
        <v>82</v>
      </c>
      <c r="AX1501">
        <v>101</v>
      </c>
      <c r="AY1501" t="s">
        <v>81</v>
      </c>
      <c r="AZ1501">
        <v>-25.94</v>
      </c>
      <c r="BA1501">
        <v>5.8</v>
      </c>
      <c r="BB1501" t="s">
        <v>83</v>
      </c>
    </row>
    <row r="1502" spans="1:54" x14ac:dyDescent="0.4">
      <c r="A1502">
        <v>287929</v>
      </c>
      <c r="D1502" t="s">
        <v>54</v>
      </c>
      <c r="G1502">
        <v>1</v>
      </c>
      <c r="H1502" t="s">
        <v>421</v>
      </c>
      <c r="I1502" t="s">
        <v>57</v>
      </c>
      <c r="K1502" t="s">
        <v>275</v>
      </c>
      <c r="L1502" t="s">
        <v>404</v>
      </c>
      <c r="M1502" t="s">
        <v>60</v>
      </c>
      <c r="N1502" t="s">
        <v>119</v>
      </c>
      <c r="O1502" t="s">
        <v>134</v>
      </c>
      <c r="P1502" t="s">
        <v>405</v>
      </c>
      <c r="Q1502" t="s">
        <v>237</v>
      </c>
      <c r="R1502" t="s">
        <v>238</v>
      </c>
      <c r="S1502" t="s">
        <v>123</v>
      </c>
      <c r="T1502">
        <v>274.39999999999998</v>
      </c>
      <c r="U1502">
        <v>264.27999999999997</v>
      </c>
      <c r="V1502">
        <f t="shared" si="46"/>
        <v>269.33999999999997</v>
      </c>
      <c r="W1502">
        <f t="shared" si="47"/>
        <v>10.120000000000005</v>
      </c>
      <c r="X1502">
        <v>-97.985832000000002</v>
      </c>
      <c r="Y1502">
        <v>35.674441999999999</v>
      </c>
      <c r="Z1502" t="s">
        <v>406</v>
      </c>
      <c r="AA1502" t="s">
        <v>66</v>
      </c>
      <c r="AB1502" t="s">
        <v>407</v>
      </c>
      <c r="AC1502" t="s">
        <v>427</v>
      </c>
      <c r="AD1502" t="s">
        <v>428</v>
      </c>
      <c r="AE1502" t="s">
        <v>410</v>
      </c>
      <c r="AH1502" t="s">
        <v>72</v>
      </c>
      <c r="AI1502" t="s">
        <v>411</v>
      </c>
      <c r="AJ1502">
        <v>1965</v>
      </c>
      <c r="AK1502" t="s">
        <v>429</v>
      </c>
      <c r="AM1502" t="s">
        <v>430</v>
      </c>
      <c r="AN1502" t="s">
        <v>341</v>
      </c>
      <c r="AO1502" t="s">
        <v>77</v>
      </c>
      <c r="AP1502" t="s">
        <v>115</v>
      </c>
      <c r="AQ1502" t="s">
        <v>431</v>
      </c>
      <c r="AR1502" t="s">
        <v>80</v>
      </c>
      <c r="AS1502">
        <v>101</v>
      </c>
      <c r="AT1502" t="s">
        <v>81</v>
      </c>
      <c r="AU1502">
        <v>-24.84</v>
      </c>
      <c r="AV1502">
        <v>7.58</v>
      </c>
      <c r="AW1502" t="s">
        <v>82</v>
      </c>
      <c r="AX1502">
        <v>101</v>
      </c>
      <c r="AY1502" t="s">
        <v>81</v>
      </c>
      <c r="AZ1502">
        <v>-25.9</v>
      </c>
      <c r="BA1502">
        <v>5.62</v>
      </c>
      <c r="BB1502" t="s">
        <v>83</v>
      </c>
    </row>
    <row r="1503" spans="1:54" x14ac:dyDescent="0.4">
      <c r="A1503">
        <v>289331</v>
      </c>
      <c r="D1503" t="s">
        <v>54</v>
      </c>
      <c r="E1503" t="s">
        <v>310</v>
      </c>
      <c r="G1503">
        <v>33</v>
      </c>
      <c r="H1503" t="s">
        <v>84</v>
      </c>
      <c r="I1503" t="s">
        <v>57</v>
      </c>
      <c r="K1503" t="s">
        <v>275</v>
      </c>
      <c r="L1503" t="s">
        <v>404</v>
      </c>
      <c r="M1503" t="s">
        <v>60</v>
      </c>
      <c r="N1503" t="s">
        <v>119</v>
      </c>
      <c r="O1503" t="s">
        <v>134</v>
      </c>
      <c r="P1503" t="s">
        <v>405</v>
      </c>
      <c r="Q1503" t="s">
        <v>237</v>
      </c>
      <c r="R1503" t="s">
        <v>238</v>
      </c>
      <c r="S1503" t="s">
        <v>123</v>
      </c>
      <c r="T1503">
        <v>274.39999999999998</v>
      </c>
      <c r="U1503">
        <v>264.27999999999997</v>
      </c>
      <c r="V1503">
        <f t="shared" si="46"/>
        <v>269.33999999999997</v>
      </c>
      <c r="W1503">
        <f t="shared" si="47"/>
        <v>10.120000000000005</v>
      </c>
      <c r="X1503">
        <v>-98.209723999999994</v>
      </c>
      <c r="Y1503">
        <v>35.941665999999998</v>
      </c>
      <c r="Z1503" t="s">
        <v>432</v>
      </c>
      <c r="AA1503" t="s">
        <v>66</v>
      </c>
      <c r="AB1503" t="s">
        <v>407</v>
      </c>
      <c r="AC1503" t="s">
        <v>422</v>
      </c>
      <c r="AD1503" t="s">
        <v>409</v>
      </c>
      <c r="AE1503" t="s">
        <v>410</v>
      </c>
      <c r="AH1503" t="s">
        <v>72</v>
      </c>
      <c r="AI1503" t="s">
        <v>411</v>
      </c>
      <c r="AJ1503">
        <v>1965</v>
      </c>
      <c r="AK1503" t="s">
        <v>433</v>
      </c>
      <c r="AM1503" t="s">
        <v>413</v>
      </c>
      <c r="AN1503" t="s">
        <v>76</v>
      </c>
      <c r="AO1503" t="s">
        <v>77</v>
      </c>
      <c r="AP1503" t="s">
        <v>115</v>
      </c>
      <c r="AQ1503" t="s">
        <v>434</v>
      </c>
      <c r="AR1503" t="s">
        <v>80</v>
      </c>
      <c r="AS1503">
        <v>101</v>
      </c>
      <c r="AT1503" t="s">
        <v>81</v>
      </c>
      <c r="AU1503">
        <v>-24.87</v>
      </c>
      <c r="AV1503">
        <v>7.9</v>
      </c>
      <c r="AW1503" t="s">
        <v>82</v>
      </c>
      <c r="AX1503">
        <v>101</v>
      </c>
      <c r="AY1503" t="s">
        <v>81</v>
      </c>
      <c r="AZ1503">
        <v>-25.94</v>
      </c>
      <c r="BA1503">
        <v>5.94</v>
      </c>
      <c r="BB1503" t="s">
        <v>83</v>
      </c>
    </row>
    <row r="1504" spans="1:54" x14ac:dyDescent="0.4">
      <c r="A1504">
        <v>289337</v>
      </c>
      <c r="D1504" t="s">
        <v>54</v>
      </c>
      <c r="G1504">
        <v>3</v>
      </c>
      <c r="H1504" t="s">
        <v>435</v>
      </c>
      <c r="I1504" t="s">
        <v>57</v>
      </c>
      <c r="K1504" t="s">
        <v>275</v>
      </c>
      <c r="L1504" t="s">
        <v>404</v>
      </c>
      <c r="M1504" t="s">
        <v>60</v>
      </c>
      <c r="N1504" t="s">
        <v>119</v>
      </c>
      <c r="O1504" t="s">
        <v>134</v>
      </c>
      <c r="P1504" t="s">
        <v>405</v>
      </c>
      <c r="Q1504" t="s">
        <v>237</v>
      </c>
      <c r="R1504" t="s">
        <v>238</v>
      </c>
      <c r="S1504" t="s">
        <v>123</v>
      </c>
      <c r="T1504">
        <v>274.39999999999998</v>
      </c>
      <c r="U1504">
        <v>264.27999999999997</v>
      </c>
      <c r="V1504">
        <f t="shared" si="46"/>
        <v>269.33999999999997</v>
      </c>
      <c r="W1504">
        <f t="shared" si="47"/>
        <v>10.120000000000005</v>
      </c>
      <c r="X1504">
        <v>-98.154442000000003</v>
      </c>
      <c r="Y1504">
        <v>35.911110000000001</v>
      </c>
      <c r="Z1504" t="s">
        <v>406</v>
      </c>
      <c r="AA1504" t="s">
        <v>66</v>
      </c>
      <c r="AB1504" t="s">
        <v>407</v>
      </c>
      <c r="AC1504" t="s">
        <v>422</v>
      </c>
      <c r="AD1504" t="s">
        <v>409</v>
      </c>
      <c r="AE1504" t="s">
        <v>410</v>
      </c>
      <c r="AH1504" t="s">
        <v>72</v>
      </c>
      <c r="AI1504" t="s">
        <v>411</v>
      </c>
      <c r="AJ1504">
        <v>1965</v>
      </c>
      <c r="AK1504" t="s">
        <v>436</v>
      </c>
      <c r="AM1504" t="s">
        <v>413</v>
      </c>
      <c r="AN1504" t="s">
        <v>76</v>
      </c>
      <c r="AO1504" t="s">
        <v>77</v>
      </c>
      <c r="AP1504" t="s">
        <v>115</v>
      </c>
      <c r="AQ1504" t="s">
        <v>437</v>
      </c>
      <c r="AR1504" t="s">
        <v>80</v>
      </c>
      <c r="AS1504">
        <v>101</v>
      </c>
      <c r="AT1504" t="s">
        <v>81</v>
      </c>
      <c r="AU1504">
        <v>-24.85</v>
      </c>
      <c r="AV1504">
        <v>7.85</v>
      </c>
      <c r="AW1504" t="s">
        <v>82</v>
      </c>
      <c r="AX1504">
        <v>101</v>
      </c>
      <c r="AY1504" t="s">
        <v>81</v>
      </c>
      <c r="AZ1504">
        <v>-25.91</v>
      </c>
      <c r="BA1504">
        <v>5.89</v>
      </c>
      <c r="BB1504" t="s">
        <v>83</v>
      </c>
    </row>
    <row r="1505" spans="1:54" x14ac:dyDescent="0.4">
      <c r="A1505">
        <v>745278</v>
      </c>
      <c r="D1505" t="s">
        <v>54</v>
      </c>
      <c r="G1505">
        <v>1</v>
      </c>
      <c r="H1505" t="s">
        <v>56</v>
      </c>
      <c r="I1505" t="s">
        <v>57</v>
      </c>
      <c r="K1505" t="s">
        <v>235</v>
      </c>
      <c r="L1505" t="s">
        <v>1585</v>
      </c>
      <c r="M1505" t="s">
        <v>60</v>
      </c>
      <c r="P1505" t="s">
        <v>405</v>
      </c>
      <c r="Q1505" t="s">
        <v>237</v>
      </c>
      <c r="R1505" t="s">
        <v>238</v>
      </c>
      <c r="S1505" t="s">
        <v>123</v>
      </c>
      <c r="T1505">
        <v>274.39999999999998</v>
      </c>
      <c r="U1505">
        <v>264.27999999999997</v>
      </c>
      <c r="V1505">
        <f t="shared" si="46"/>
        <v>269.33999999999997</v>
      </c>
      <c r="W1505">
        <f t="shared" si="47"/>
        <v>10.120000000000005</v>
      </c>
      <c r="X1505">
        <v>44.554721999999998</v>
      </c>
      <c r="Y1505">
        <v>65.591667000000001</v>
      </c>
      <c r="Z1505" t="s">
        <v>124</v>
      </c>
      <c r="AA1505" t="s">
        <v>239</v>
      </c>
      <c r="AB1505" t="s">
        <v>1586</v>
      </c>
      <c r="AC1505" t="s">
        <v>1587</v>
      </c>
      <c r="AG1505" t="s">
        <v>1588</v>
      </c>
      <c r="AH1505" t="s">
        <v>72</v>
      </c>
      <c r="AI1505" t="s">
        <v>400</v>
      </c>
      <c r="AJ1505">
        <v>1997</v>
      </c>
      <c r="AK1505" t="s">
        <v>1589</v>
      </c>
      <c r="AM1505" t="s">
        <v>1590</v>
      </c>
      <c r="AN1505" t="s">
        <v>192</v>
      </c>
      <c r="AO1505" t="s">
        <v>77</v>
      </c>
      <c r="AP1505" t="s">
        <v>78</v>
      </c>
      <c r="AQ1505" t="s">
        <v>1591</v>
      </c>
      <c r="AR1505" t="s">
        <v>80</v>
      </c>
      <c r="AS1505">
        <v>302</v>
      </c>
      <c r="AT1505" t="s">
        <v>81</v>
      </c>
      <c r="AU1505">
        <v>37.619999999999997</v>
      </c>
      <c r="AV1505">
        <v>34.99</v>
      </c>
      <c r="AW1505" t="s">
        <v>82</v>
      </c>
      <c r="AX1505">
        <v>301</v>
      </c>
      <c r="AY1505" t="s">
        <v>81</v>
      </c>
      <c r="AZ1505">
        <v>35.32</v>
      </c>
      <c r="BA1505">
        <v>34.25</v>
      </c>
      <c r="BB1505" t="s">
        <v>83</v>
      </c>
    </row>
    <row r="1506" spans="1:54" x14ac:dyDescent="0.4">
      <c r="A1506">
        <v>792642</v>
      </c>
      <c r="D1506" t="s">
        <v>54</v>
      </c>
      <c r="G1506">
        <v>1</v>
      </c>
      <c r="H1506" t="s">
        <v>56</v>
      </c>
      <c r="I1506" t="s">
        <v>57</v>
      </c>
      <c r="K1506" t="s">
        <v>1592</v>
      </c>
      <c r="L1506" t="s">
        <v>2048</v>
      </c>
      <c r="M1506" t="s">
        <v>60</v>
      </c>
      <c r="P1506" t="s">
        <v>405</v>
      </c>
      <c r="Q1506" t="s">
        <v>237</v>
      </c>
      <c r="R1506" t="s">
        <v>238</v>
      </c>
      <c r="S1506" t="s">
        <v>123</v>
      </c>
      <c r="T1506">
        <v>274.39999999999998</v>
      </c>
      <c r="U1506">
        <v>264.27999999999997</v>
      </c>
      <c r="V1506">
        <f t="shared" si="46"/>
        <v>269.33999999999997</v>
      </c>
      <c r="W1506">
        <f t="shared" si="47"/>
        <v>10.120000000000005</v>
      </c>
      <c r="X1506">
        <v>44.554721999999998</v>
      </c>
      <c r="Y1506">
        <v>65.591667000000001</v>
      </c>
      <c r="Z1506" t="s">
        <v>124</v>
      </c>
      <c r="AA1506" t="s">
        <v>239</v>
      </c>
      <c r="AB1506" t="s">
        <v>1586</v>
      </c>
      <c r="AC1506" t="s">
        <v>1587</v>
      </c>
      <c r="AG1506" t="s">
        <v>1588</v>
      </c>
      <c r="AH1506" t="s">
        <v>72</v>
      </c>
      <c r="AI1506" t="s">
        <v>400</v>
      </c>
      <c r="AJ1506">
        <v>2008</v>
      </c>
      <c r="AK1506" t="s">
        <v>1589</v>
      </c>
      <c r="AM1506" t="s">
        <v>1590</v>
      </c>
      <c r="AN1506" t="s">
        <v>192</v>
      </c>
      <c r="AO1506" t="s">
        <v>77</v>
      </c>
      <c r="AP1506" t="s">
        <v>78</v>
      </c>
      <c r="AQ1506" t="s">
        <v>1591</v>
      </c>
      <c r="AR1506" t="s">
        <v>80</v>
      </c>
      <c r="AS1506">
        <v>302</v>
      </c>
      <c r="AT1506" t="s">
        <v>81</v>
      </c>
      <c r="AU1506">
        <v>37.619999999999997</v>
      </c>
      <c r="AV1506">
        <v>34.99</v>
      </c>
      <c r="AW1506" t="s">
        <v>82</v>
      </c>
      <c r="AX1506">
        <v>301</v>
      </c>
      <c r="AY1506" t="s">
        <v>81</v>
      </c>
      <c r="AZ1506">
        <v>35.32</v>
      </c>
      <c r="BA1506">
        <v>34.25</v>
      </c>
      <c r="BB1506" t="s">
        <v>83</v>
      </c>
    </row>
    <row r="1507" spans="1:54" x14ac:dyDescent="0.4">
      <c r="A1507">
        <v>792642</v>
      </c>
      <c r="D1507" t="s">
        <v>54</v>
      </c>
      <c r="G1507">
        <v>1</v>
      </c>
      <c r="H1507" t="s">
        <v>56</v>
      </c>
      <c r="I1507" t="s">
        <v>57</v>
      </c>
      <c r="K1507" t="s">
        <v>1592</v>
      </c>
      <c r="L1507" t="s">
        <v>2048</v>
      </c>
      <c r="M1507" t="s">
        <v>60</v>
      </c>
      <c r="P1507" t="s">
        <v>405</v>
      </c>
      <c r="Q1507" t="s">
        <v>237</v>
      </c>
      <c r="R1507" t="s">
        <v>238</v>
      </c>
      <c r="S1507" t="s">
        <v>123</v>
      </c>
      <c r="T1507">
        <v>274.39999999999998</v>
      </c>
      <c r="U1507">
        <v>264.27999999999997</v>
      </c>
      <c r="V1507">
        <f t="shared" si="46"/>
        <v>269.33999999999997</v>
      </c>
      <c r="W1507">
        <f t="shared" si="47"/>
        <v>10.120000000000005</v>
      </c>
      <c r="X1507">
        <v>44.554721999999998</v>
      </c>
      <c r="Y1507">
        <v>65.591667000000001</v>
      </c>
      <c r="Z1507" t="s">
        <v>124</v>
      </c>
      <c r="AA1507" t="s">
        <v>239</v>
      </c>
      <c r="AB1507" t="s">
        <v>1586</v>
      </c>
      <c r="AC1507" t="s">
        <v>1587</v>
      </c>
      <c r="AG1507" t="s">
        <v>1588</v>
      </c>
      <c r="AH1507" t="s">
        <v>72</v>
      </c>
      <c r="AI1507" t="s">
        <v>400</v>
      </c>
      <c r="AJ1507">
        <v>2008</v>
      </c>
      <c r="AK1507" t="s">
        <v>1589</v>
      </c>
      <c r="AM1507" t="s">
        <v>1590</v>
      </c>
      <c r="AN1507" t="s">
        <v>192</v>
      </c>
      <c r="AO1507" t="s">
        <v>77</v>
      </c>
      <c r="AP1507" t="s">
        <v>78</v>
      </c>
      <c r="AQ1507" t="s">
        <v>1591</v>
      </c>
      <c r="AR1507" t="s">
        <v>80</v>
      </c>
      <c r="AS1507">
        <v>302</v>
      </c>
      <c r="AT1507" t="s">
        <v>81</v>
      </c>
      <c r="AU1507">
        <v>37.619999999999997</v>
      </c>
      <c r="AV1507">
        <v>34.99</v>
      </c>
      <c r="AW1507" t="s">
        <v>82</v>
      </c>
      <c r="AX1507">
        <v>301</v>
      </c>
      <c r="AY1507" t="s">
        <v>81</v>
      </c>
      <c r="AZ1507">
        <v>35.32</v>
      </c>
      <c r="BA1507">
        <v>34.25</v>
      </c>
      <c r="BB1507" t="s">
        <v>83</v>
      </c>
    </row>
    <row r="1508" spans="1:54" x14ac:dyDescent="0.4">
      <c r="A1508">
        <v>792642</v>
      </c>
      <c r="D1508" t="s">
        <v>54</v>
      </c>
      <c r="G1508">
        <v>1</v>
      </c>
      <c r="H1508" t="s">
        <v>56</v>
      </c>
      <c r="I1508" t="s">
        <v>57</v>
      </c>
      <c r="K1508" t="s">
        <v>1592</v>
      </c>
      <c r="L1508" t="s">
        <v>2048</v>
      </c>
      <c r="M1508" t="s">
        <v>60</v>
      </c>
      <c r="P1508" t="s">
        <v>405</v>
      </c>
      <c r="Q1508" t="s">
        <v>237</v>
      </c>
      <c r="R1508" t="s">
        <v>238</v>
      </c>
      <c r="S1508" t="s">
        <v>123</v>
      </c>
      <c r="T1508">
        <v>274.39999999999998</v>
      </c>
      <c r="U1508">
        <v>264.27999999999997</v>
      </c>
      <c r="V1508">
        <f t="shared" si="46"/>
        <v>269.33999999999997</v>
      </c>
      <c r="W1508">
        <f t="shared" si="47"/>
        <v>10.120000000000005</v>
      </c>
      <c r="X1508">
        <v>44.554721999999998</v>
      </c>
      <c r="Y1508">
        <v>65.591667000000001</v>
      </c>
      <c r="Z1508" t="s">
        <v>124</v>
      </c>
      <c r="AA1508" t="s">
        <v>239</v>
      </c>
      <c r="AB1508" t="s">
        <v>1586</v>
      </c>
      <c r="AC1508" t="s">
        <v>1587</v>
      </c>
      <c r="AG1508" t="s">
        <v>1588</v>
      </c>
      <c r="AH1508" t="s">
        <v>72</v>
      </c>
      <c r="AI1508" t="s">
        <v>400</v>
      </c>
      <c r="AJ1508">
        <v>2008</v>
      </c>
      <c r="AK1508" t="s">
        <v>1589</v>
      </c>
      <c r="AM1508" t="s">
        <v>1590</v>
      </c>
      <c r="AN1508" t="s">
        <v>192</v>
      </c>
      <c r="AO1508" t="s">
        <v>77</v>
      </c>
      <c r="AP1508" t="s">
        <v>78</v>
      </c>
      <c r="AQ1508" t="s">
        <v>1591</v>
      </c>
      <c r="AR1508" t="s">
        <v>80</v>
      </c>
      <c r="AS1508">
        <v>302</v>
      </c>
      <c r="AT1508" t="s">
        <v>81</v>
      </c>
      <c r="AU1508">
        <v>37.619999999999997</v>
      </c>
      <c r="AV1508">
        <v>34.99</v>
      </c>
      <c r="AW1508" t="s">
        <v>82</v>
      </c>
      <c r="AX1508">
        <v>301</v>
      </c>
      <c r="AY1508" t="s">
        <v>81</v>
      </c>
      <c r="AZ1508">
        <v>35.32</v>
      </c>
      <c r="BA1508">
        <v>34.25</v>
      </c>
      <c r="BB1508" t="s">
        <v>83</v>
      </c>
    </row>
    <row r="1509" spans="1:54" x14ac:dyDescent="0.4">
      <c r="A1509">
        <v>792642</v>
      </c>
      <c r="D1509" t="s">
        <v>54</v>
      </c>
      <c r="G1509">
        <v>1</v>
      </c>
      <c r="H1509" t="s">
        <v>56</v>
      </c>
      <c r="I1509" t="s">
        <v>57</v>
      </c>
      <c r="K1509" t="s">
        <v>1592</v>
      </c>
      <c r="L1509" t="s">
        <v>2048</v>
      </c>
      <c r="M1509" t="s">
        <v>60</v>
      </c>
      <c r="P1509" t="s">
        <v>405</v>
      </c>
      <c r="Q1509" t="s">
        <v>237</v>
      </c>
      <c r="R1509" t="s">
        <v>238</v>
      </c>
      <c r="S1509" t="s">
        <v>123</v>
      </c>
      <c r="T1509">
        <v>274.39999999999998</v>
      </c>
      <c r="U1509">
        <v>264.27999999999997</v>
      </c>
      <c r="V1509">
        <f t="shared" si="46"/>
        <v>269.33999999999997</v>
      </c>
      <c r="W1509">
        <f t="shared" si="47"/>
        <v>10.120000000000005</v>
      </c>
      <c r="X1509">
        <v>44.554721999999998</v>
      </c>
      <c r="Y1509">
        <v>65.591667000000001</v>
      </c>
      <c r="Z1509" t="s">
        <v>124</v>
      </c>
      <c r="AA1509" t="s">
        <v>239</v>
      </c>
      <c r="AB1509" t="s">
        <v>1586</v>
      </c>
      <c r="AC1509" t="s">
        <v>1587</v>
      </c>
      <c r="AG1509" t="s">
        <v>1588</v>
      </c>
      <c r="AH1509" t="s">
        <v>72</v>
      </c>
      <c r="AI1509" t="s">
        <v>400</v>
      </c>
      <c r="AJ1509">
        <v>2008</v>
      </c>
      <c r="AK1509" t="s">
        <v>1589</v>
      </c>
      <c r="AM1509" t="s">
        <v>1590</v>
      </c>
      <c r="AN1509" t="s">
        <v>192</v>
      </c>
      <c r="AO1509" t="s">
        <v>77</v>
      </c>
      <c r="AP1509" t="s">
        <v>78</v>
      </c>
      <c r="AQ1509" t="s">
        <v>1591</v>
      </c>
      <c r="AR1509" t="s">
        <v>80</v>
      </c>
      <c r="AS1509">
        <v>302</v>
      </c>
      <c r="AT1509" t="s">
        <v>81</v>
      </c>
      <c r="AU1509">
        <v>37.619999999999997</v>
      </c>
      <c r="AV1509">
        <v>34.99</v>
      </c>
      <c r="AW1509" t="s">
        <v>82</v>
      </c>
      <c r="AX1509">
        <v>301</v>
      </c>
      <c r="AY1509" t="s">
        <v>81</v>
      </c>
      <c r="AZ1509">
        <v>35.32</v>
      </c>
      <c r="BA1509">
        <v>34.25</v>
      </c>
      <c r="BB1509" t="s">
        <v>83</v>
      </c>
    </row>
    <row r="1510" spans="1:54" x14ac:dyDescent="0.4">
      <c r="A1510">
        <v>792722</v>
      </c>
      <c r="D1510" t="s">
        <v>54</v>
      </c>
      <c r="E1510" t="s">
        <v>55</v>
      </c>
      <c r="G1510">
        <v>1</v>
      </c>
      <c r="H1510" t="s">
        <v>56</v>
      </c>
      <c r="I1510" t="s">
        <v>57</v>
      </c>
      <c r="K1510" t="s">
        <v>235</v>
      </c>
      <c r="L1510" t="s">
        <v>1595</v>
      </c>
      <c r="M1510" t="s">
        <v>60</v>
      </c>
      <c r="P1510" t="s">
        <v>405</v>
      </c>
      <c r="Q1510" t="s">
        <v>237</v>
      </c>
      <c r="R1510" t="s">
        <v>238</v>
      </c>
      <c r="S1510" t="s">
        <v>123</v>
      </c>
      <c r="T1510">
        <v>274.39999999999998</v>
      </c>
      <c r="U1510">
        <v>264.27999999999997</v>
      </c>
      <c r="V1510">
        <f t="shared" si="46"/>
        <v>269.33999999999997</v>
      </c>
      <c r="W1510">
        <f t="shared" si="47"/>
        <v>10.120000000000005</v>
      </c>
      <c r="X1510">
        <v>-98.368331999999995</v>
      </c>
      <c r="Y1510">
        <v>36.019722000000002</v>
      </c>
      <c r="Z1510" t="s">
        <v>406</v>
      </c>
      <c r="AA1510" t="s">
        <v>66</v>
      </c>
      <c r="AB1510" t="s">
        <v>407</v>
      </c>
      <c r="AC1510" t="s">
        <v>408</v>
      </c>
      <c r="AD1510" t="s">
        <v>409</v>
      </c>
      <c r="AE1510" t="s">
        <v>410</v>
      </c>
      <c r="AH1510" t="s">
        <v>72</v>
      </c>
      <c r="AI1510" t="s">
        <v>2049</v>
      </c>
      <c r="AJ1510">
        <v>2001</v>
      </c>
      <c r="AK1510" t="s">
        <v>417</v>
      </c>
      <c r="AM1510" t="s">
        <v>413</v>
      </c>
      <c r="AN1510" t="s">
        <v>192</v>
      </c>
      <c r="AO1510" t="s">
        <v>77</v>
      </c>
      <c r="AP1510" t="s">
        <v>78</v>
      </c>
      <c r="AQ1510" t="s">
        <v>418</v>
      </c>
      <c r="AR1510" t="s">
        <v>80</v>
      </c>
      <c r="AS1510">
        <v>101</v>
      </c>
      <c r="AT1510" t="s">
        <v>81</v>
      </c>
      <c r="AU1510">
        <v>-24.95</v>
      </c>
      <c r="AV1510">
        <v>8.0299999999999994</v>
      </c>
      <c r="AW1510" t="s">
        <v>82</v>
      </c>
      <c r="AX1510">
        <v>101</v>
      </c>
      <c r="AY1510" t="s">
        <v>81</v>
      </c>
      <c r="AZ1510">
        <v>-26.01</v>
      </c>
      <c r="BA1510">
        <v>6.07</v>
      </c>
      <c r="BB1510" t="s">
        <v>83</v>
      </c>
    </row>
    <row r="1511" spans="1:54" x14ac:dyDescent="0.4">
      <c r="A1511">
        <v>837590</v>
      </c>
      <c r="D1511" t="s">
        <v>54</v>
      </c>
      <c r="G1511">
        <v>1</v>
      </c>
      <c r="H1511" t="s">
        <v>56</v>
      </c>
      <c r="I1511" t="s">
        <v>57</v>
      </c>
      <c r="K1511" t="s">
        <v>2675</v>
      </c>
      <c r="L1511" t="s">
        <v>2676</v>
      </c>
      <c r="M1511" t="s">
        <v>60</v>
      </c>
      <c r="P1511" t="s">
        <v>405</v>
      </c>
      <c r="Q1511" t="s">
        <v>237</v>
      </c>
      <c r="R1511" t="s">
        <v>238</v>
      </c>
      <c r="S1511" t="s">
        <v>123</v>
      </c>
      <c r="T1511">
        <v>274.39999999999998</v>
      </c>
      <c r="U1511">
        <v>264.27999999999997</v>
      </c>
      <c r="V1511">
        <f t="shared" si="46"/>
        <v>269.33999999999997</v>
      </c>
      <c r="W1511">
        <f t="shared" si="47"/>
        <v>10.120000000000005</v>
      </c>
      <c r="X1511">
        <v>45.672778999999998</v>
      </c>
      <c r="Y1511">
        <v>64.922775000000001</v>
      </c>
      <c r="Z1511" t="s">
        <v>124</v>
      </c>
      <c r="AA1511" t="s">
        <v>239</v>
      </c>
      <c r="AB1511" t="s">
        <v>1586</v>
      </c>
      <c r="AC1511" t="s">
        <v>2677</v>
      </c>
      <c r="AD1511" t="s">
        <v>2678</v>
      </c>
      <c r="AG1511" t="s">
        <v>1588</v>
      </c>
      <c r="AH1511" t="s">
        <v>72</v>
      </c>
      <c r="AI1511" t="s">
        <v>400</v>
      </c>
      <c r="AJ1511">
        <v>2008</v>
      </c>
      <c r="AK1511" t="s">
        <v>2679</v>
      </c>
      <c r="AM1511" t="s">
        <v>2680</v>
      </c>
      <c r="AN1511" t="s">
        <v>192</v>
      </c>
      <c r="AO1511" t="s">
        <v>77</v>
      </c>
      <c r="AP1511" t="s">
        <v>78</v>
      </c>
      <c r="AR1511" t="s">
        <v>80</v>
      </c>
      <c r="AS1511">
        <v>302</v>
      </c>
      <c r="AT1511" t="s">
        <v>81</v>
      </c>
      <c r="AU1511">
        <v>38.57</v>
      </c>
      <c r="AV1511">
        <v>34.74</v>
      </c>
      <c r="AW1511" t="s">
        <v>82</v>
      </c>
      <c r="AX1511">
        <v>301</v>
      </c>
      <c r="AY1511" t="s">
        <v>81</v>
      </c>
      <c r="AZ1511">
        <v>36.270000000000003</v>
      </c>
      <c r="BA1511">
        <v>34.020000000000003</v>
      </c>
      <c r="BB1511" t="s">
        <v>83</v>
      </c>
    </row>
    <row r="1512" spans="1:54" x14ac:dyDescent="0.4">
      <c r="A1512">
        <v>1374680</v>
      </c>
      <c r="D1512" t="s">
        <v>54</v>
      </c>
      <c r="G1512">
        <v>1</v>
      </c>
      <c r="H1512" t="s">
        <v>56</v>
      </c>
      <c r="I1512" t="s">
        <v>57</v>
      </c>
      <c r="K1512" t="s">
        <v>2675</v>
      </c>
      <c r="L1512" t="s">
        <v>2676</v>
      </c>
      <c r="M1512" t="s">
        <v>60</v>
      </c>
      <c r="P1512" t="s">
        <v>405</v>
      </c>
      <c r="Q1512" t="s">
        <v>237</v>
      </c>
      <c r="R1512" t="s">
        <v>238</v>
      </c>
      <c r="S1512" t="s">
        <v>123</v>
      </c>
      <c r="T1512">
        <v>274.39999999999998</v>
      </c>
      <c r="U1512">
        <v>264.27999999999997</v>
      </c>
      <c r="V1512">
        <f t="shared" si="46"/>
        <v>269.33999999999997</v>
      </c>
      <c r="W1512">
        <f t="shared" si="47"/>
        <v>10.120000000000005</v>
      </c>
      <c r="X1512">
        <v>44.554721999999998</v>
      </c>
      <c r="Y1512">
        <v>65.591667000000001</v>
      </c>
      <c r="Z1512" t="s">
        <v>124</v>
      </c>
      <c r="AA1512" t="s">
        <v>239</v>
      </c>
      <c r="AB1512" t="s">
        <v>1586</v>
      </c>
      <c r="AC1512" t="s">
        <v>4832</v>
      </c>
      <c r="AG1512" t="s">
        <v>1588</v>
      </c>
      <c r="AH1512" t="s">
        <v>72</v>
      </c>
      <c r="AI1512" t="s">
        <v>400</v>
      </c>
      <c r="AJ1512">
        <v>1997</v>
      </c>
      <c r="AK1512" t="s">
        <v>4833</v>
      </c>
      <c r="AN1512" t="s">
        <v>192</v>
      </c>
      <c r="AO1512" t="s">
        <v>77</v>
      </c>
      <c r="AP1512" t="s">
        <v>78</v>
      </c>
      <c r="AQ1512" t="s">
        <v>4834</v>
      </c>
      <c r="AR1512" t="s">
        <v>80</v>
      </c>
      <c r="AS1512">
        <v>302</v>
      </c>
      <c r="AT1512" t="s">
        <v>81</v>
      </c>
      <c r="AU1512">
        <v>37.619999999999997</v>
      </c>
      <c r="AV1512">
        <v>34.99</v>
      </c>
      <c r="AW1512" t="s">
        <v>82</v>
      </c>
      <c r="AX1512">
        <v>301</v>
      </c>
      <c r="AY1512" t="s">
        <v>81</v>
      </c>
      <c r="AZ1512">
        <v>35.32</v>
      </c>
      <c r="BA1512">
        <v>34.25</v>
      </c>
      <c r="BB1512" t="s">
        <v>83</v>
      </c>
    </row>
    <row r="1513" spans="1:54" x14ac:dyDescent="0.4">
      <c r="A1513">
        <v>1374681</v>
      </c>
      <c r="D1513" t="s">
        <v>54</v>
      </c>
      <c r="G1513">
        <v>1</v>
      </c>
      <c r="H1513" t="s">
        <v>56</v>
      </c>
      <c r="I1513" t="s">
        <v>57</v>
      </c>
      <c r="K1513" t="s">
        <v>235</v>
      </c>
      <c r="L1513" t="s">
        <v>1872</v>
      </c>
      <c r="M1513" t="s">
        <v>60</v>
      </c>
      <c r="P1513" t="s">
        <v>405</v>
      </c>
      <c r="Q1513" t="s">
        <v>237</v>
      </c>
      <c r="R1513" t="s">
        <v>238</v>
      </c>
      <c r="S1513" t="s">
        <v>123</v>
      </c>
      <c r="T1513">
        <v>274.39999999999998</v>
      </c>
      <c r="U1513">
        <v>264.27999999999997</v>
      </c>
      <c r="V1513">
        <f t="shared" si="46"/>
        <v>269.33999999999997</v>
      </c>
      <c r="W1513">
        <f t="shared" si="47"/>
        <v>10.120000000000005</v>
      </c>
      <c r="X1513">
        <v>44.554721999999998</v>
      </c>
      <c r="Y1513">
        <v>65.591667000000001</v>
      </c>
      <c r="Z1513" t="s">
        <v>124</v>
      </c>
      <c r="AA1513" t="s">
        <v>239</v>
      </c>
      <c r="AB1513" t="s">
        <v>1586</v>
      </c>
      <c r="AC1513" t="s">
        <v>4832</v>
      </c>
      <c r="AG1513" t="s">
        <v>1588</v>
      </c>
      <c r="AH1513" t="s">
        <v>72</v>
      </c>
      <c r="AI1513" t="s">
        <v>400</v>
      </c>
      <c r="AJ1513">
        <v>1997</v>
      </c>
      <c r="AK1513" t="s">
        <v>4833</v>
      </c>
      <c r="AN1513" t="s">
        <v>192</v>
      </c>
      <c r="AO1513" t="s">
        <v>77</v>
      </c>
      <c r="AP1513" t="s">
        <v>78</v>
      </c>
      <c r="AQ1513" t="s">
        <v>4834</v>
      </c>
      <c r="AR1513" t="s">
        <v>80</v>
      </c>
      <c r="AS1513">
        <v>302</v>
      </c>
      <c r="AT1513" t="s">
        <v>81</v>
      </c>
      <c r="AU1513">
        <v>37.619999999999997</v>
      </c>
      <c r="AV1513">
        <v>34.99</v>
      </c>
      <c r="AW1513" t="s">
        <v>82</v>
      </c>
      <c r="AX1513">
        <v>301</v>
      </c>
      <c r="AY1513" t="s">
        <v>81</v>
      </c>
      <c r="AZ1513">
        <v>35.32</v>
      </c>
      <c r="BA1513">
        <v>34.25</v>
      </c>
      <c r="BB1513" t="s">
        <v>83</v>
      </c>
    </row>
    <row r="1514" spans="1:54" x14ac:dyDescent="0.4">
      <c r="A1514">
        <v>1374682</v>
      </c>
      <c r="D1514" t="s">
        <v>54</v>
      </c>
      <c r="G1514">
        <v>1</v>
      </c>
      <c r="H1514" t="s">
        <v>56</v>
      </c>
      <c r="I1514" t="s">
        <v>57</v>
      </c>
      <c r="K1514" t="s">
        <v>235</v>
      </c>
      <c r="L1514" t="s">
        <v>1585</v>
      </c>
      <c r="M1514" t="s">
        <v>60</v>
      </c>
      <c r="P1514" t="s">
        <v>405</v>
      </c>
      <c r="Q1514" t="s">
        <v>237</v>
      </c>
      <c r="R1514" t="s">
        <v>238</v>
      </c>
      <c r="S1514" t="s">
        <v>123</v>
      </c>
      <c r="T1514">
        <v>274.39999999999998</v>
      </c>
      <c r="U1514">
        <v>264.27999999999997</v>
      </c>
      <c r="V1514">
        <f t="shared" si="46"/>
        <v>269.33999999999997</v>
      </c>
      <c r="W1514">
        <f t="shared" si="47"/>
        <v>10.120000000000005</v>
      </c>
      <c r="X1514">
        <v>44.554721999999998</v>
      </c>
      <c r="Y1514">
        <v>65.591667000000001</v>
      </c>
      <c r="Z1514" t="s">
        <v>124</v>
      </c>
      <c r="AA1514" t="s">
        <v>239</v>
      </c>
      <c r="AB1514" t="s">
        <v>1586</v>
      </c>
      <c r="AC1514" t="s">
        <v>4832</v>
      </c>
      <c r="AG1514" t="s">
        <v>1588</v>
      </c>
      <c r="AH1514" t="s">
        <v>72</v>
      </c>
      <c r="AI1514" t="s">
        <v>400</v>
      </c>
      <c r="AJ1514">
        <v>1997</v>
      </c>
      <c r="AK1514" t="s">
        <v>4833</v>
      </c>
      <c r="AN1514" t="s">
        <v>192</v>
      </c>
      <c r="AO1514" t="s">
        <v>77</v>
      </c>
      <c r="AP1514" t="s">
        <v>78</v>
      </c>
      <c r="AQ1514" t="s">
        <v>4834</v>
      </c>
      <c r="AR1514" t="s">
        <v>80</v>
      </c>
      <c r="AS1514">
        <v>302</v>
      </c>
      <c r="AT1514" t="s">
        <v>81</v>
      </c>
      <c r="AU1514">
        <v>37.619999999999997</v>
      </c>
      <c r="AV1514">
        <v>34.99</v>
      </c>
      <c r="AW1514" t="s">
        <v>82</v>
      </c>
      <c r="AX1514">
        <v>301</v>
      </c>
      <c r="AY1514" t="s">
        <v>81</v>
      </c>
      <c r="AZ1514">
        <v>35.32</v>
      </c>
      <c r="BA1514">
        <v>34.25</v>
      </c>
      <c r="BB1514" t="s">
        <v>83</v>
      </c>
    </row>
    <row r="1515" spans="1:54" x14ac:dyDescent="0.4">
      <c r="A1515">
        <v>1374686</v>
      </c>
      <c r="D1515" t="s">
        <v>54</v>
      </c>
      <c r="G1515">
        <v>1</v>
      </c>
      <c r="H1515" t="s">
        <v>56</v>
      </c>
      <c r="I1515" t="s">
        <v>57</v>
      </c>
      <c r="K1515" t="s">
        <v>235</v>
      </c>
      <c r="L1515" t="s">
        <v>1595</v>
      </c>
      <c r="M1515" t="s">
        <v>60</v>
      </c>
      <c r="P1515" t="s">
        <v>405</v>
      </c>
      <c r="Q1515" t="s">
        <v>237</v>
      </c>
      <c r="R1515" t="s">
        <v>238</v>
      </c>
      <c r="S1515" t="s">
        <v>123</v>
      </c>
      <c r="T1515">
        <v>274.39999999999998</v>
      </c>
      <c r="U1515">
        <v>264.27999999999997</v>
      </c>
      <c r="V1515">
        <f t="shared" si="46"/>
        <v>269.33999999999997</v>
      </c>
      <c r="W1515">
        <f t="shared" si="47"/>
        <v>10.120000000000005</v>
      </c>
      <c r="X1515">
        <v>44.554721999999998</v>
      </c>
      <c r="Y1515">
        <v>65.591667000000001</v>
      </c>
      <c r="Z1515" t="s">
        <v>124</v>
      </c>
      <c r="AA1515" t="s">
        <v>239</v>
      </c>
      <c r="AB1515" t="s">
        <v>1586</v>
      </c>
      <c r="AC1515" t="s">
        <v>4832</v>
      </c>
      <c r="AG1515" t="s">
        <v>1588</v>
      </c>
      <c r="AH1515" t="s">
        <v>72</v>
      </c>
      <c r="AI1515" t="s">
        <v>1594</v>
      </c>
      <c r="AJ1515">
        <v>1984</v>
      </c>
      <c r="AK1515" t="s">
        <v>4835</v>
      </c>
      <c r="AN1515" t="s">
        <v>192</v>
      </c>
      <c r="AO1515" t="s">
        <v>77</v>
      </c>
      <c r="AP1515" t="s">
        <v>78</v>
      </c>
      <c r="AQ1515" t="s">
        <v>4834</v>
      </c>
      <c r="AR1515" t="s">
        <v>80</v>
      </c>
      <c r="AS1515">
        <v>302</v>
      </c>
      <c r="AT1515" t="s">
        <v>81</v>
      </c>
      <c r="AU1515">
        <v>37.619999999999997</v>
      </c>
      <c r="AV1515">
        <v>34.99</v>
      </c>
      <c r="AW1515" t="s">
        <v>82</v>
      </c>
      <c r="AX1515">
        <v>301</v>
      </c>
      <c r="AY1515" t="s">
        <v>81</v>
      </c>
      <c r="AZ1515">
        <v>35.32</v>
      </c>
      <c r="BA1515">
        <v>34.25</v>
      </c>
      <c r="BB1515" t="s">
        <v>83</v>
      </c>
    </row>
    <row r="1516" spans="1:54" x14ac:dyDescent="0.4">
      <c r="A1516">
        <v>1374687</v>
      </c>
      <c r="D1516" t="s">
        <v>54</v>
      </c>
      <c r="G1516">
        <v>1</v>
      </c>
      <c r="H1516" t="s">
        <v>56</v>
      </c>
      <c r="I1516" t="s">
        <v>57</v>
      </c>
      <c r="K1516" t="s">
        <v>235</v>
      </c>
      <c r="L1516" t="s">
        <v>1872</v>
      </c>
      <c r="M1516" t="s">
        <v>60</v>
      </c>
      <c r="P1516" t="s">
        <v>405</v>
      </c>
      <c r="Q1516" t="s">
        <v>237</v>
      </c>
      <c r="R1516" t="s">
        <v>238</v>
      </c>
      <c r="S1516" t="s">
        <v>123</v>
      </c>
      <c r="T1516">
        <v>274.39999999999998</v>
      </c>
      <c r="U1516">
        <v>264.27999999999997</v>
      </c>
      <c r="V1516">
        <f t="shared" si="46"/>
        <v>269.33999999999997</v>
      </c>
      <c r="W1516">
        <f t="shared" si="47"/>
        <v>10.120000000000005</v>
      </c>
      <c r="X1516">
        <v>44.554721999999998</v>
      </c>
      <c r="Y1516">
        <v>65.591667000000001</v>
      </c>
      <c r="Z1516" t="s">
        <v>124</v>
      </c>
      <c r="AA1516" t="s">
        <v>239</v>
      </c>
      <c r="AB1516" t="s">
        <v>1586</v>
      </c>
      <c r="AC1516" t="s">
        <v>4832</v>
      </c>
      <c r="AG1516" t="s">
        <v>1588</v>
      </c>
      <c r="AH1516" t="s">
        <v>72</v>
      </c>
      <c r="AI1516" t="s">
        <v>400</v>
      </c>
      <c r="AJ1516">
        <v>1997</v>
      </c>
      <c r="AK1516" t="s">
        <v>4835</v>
      </c>
      <c r="AN1516" t="s">
        <v>192</v>
      </c>
      <c r="AO1516" t="s">
        <v>77</v>
      </c>
      <c r="AP1516" t="s">
        <v>78</v>
      </c>
      <c r="AQ1516" t="s">
        <v>4834</v>
      </c>
      <c r="AR1516" t="s">
        <v>80</v>
      </c>
      <c r="AS1516">
        <v>302</v>
      </c>
      <c r="AT1516" t="s">
        <v>81</v>
      </c>
      <c r="AU1516">
        <v>37.619999999999997</v>
      </c>
      <c r="AV1516">
        <v>34.99</v>
      </c>
      <c r="AW1516" t="s">
        <v>82</v>
      </c>
      <c r="AX1516">
        <v>301</v>
      </c>
      <c r="AY1516" t="s">
        <v>81</v>
      </c>
      <c r="AZ1516">
        <v>35.32</v>
      </c>
      <c r="BA1516">
        <v>34.25</v>
      </c>
      <c r="BB1516" t="s">
        <v>83</v>
      </c>
    </row>
    <row r="1517" spans="1:54" x14ac:dyDescent="0.4">
      <c r="A1517">
        <v>1374690</v>
      </c>
      <c r="D1517" t="s">
        <v>54</v>
      </c>
      <c r="G1517">
        <v>1</v>
      </c>
      <c r="H1517" t="s">
        <v>56</v>
      </c>
      <c r="I1517" t="s">
        <v>57</v>
      </c>
      <c r="K1517" t="s">
        <v>1592</v>
      </c>
      <c r="L1517" t="s">
        <v>2048</v>
      </c>
      <c r="M1517" t="s">
        <v>60</v>
      </c>
      <c r="P1517" t="s">
        <v>405</v>
      </c>
      <c r="Q1517" t="s">
        <v>237</v>
      </c>
      <c r="R1517" t="s">
        <v>238</v>
      </c>
      <c r="S1517" t="s">
        <v>123</v>
      </c>
      <c r="T1517">
        <v>274.39999999999998</v>
      </c>
      <c r="U1517">
        <v>264.27999999999997</v>
      </c>
      <c r="V1517">
        <f t="shared" si="46"/>
        <v>269.33999999999997</v>
      </c>
      <c r="W1517">
        <f t="shared" si="47"/>
        <v>10.120000000000005</v>
      </c>
      <c r="X1517">
        <v>44.554721999999998</v>
      </c>
      <c r="Y1517">
        <v>65.591667000000001</v>
      </c>
      <c r="Z1517" t="s">
        <v>124</v>
      </c>
      <c r="AA1517" t="s">
        <v>239</v>
      </c>
      <c r="AB1517" t="s">
        <v>1586</v>
      </c>
      <c r="AC1517" t="s">
        <v>4832</v>
      </c>
      <c r="AG1517" t="s">
        <v>1588</v>
      </c>
      <c r="AH1517" t="s">
        <v>72</v>
      </c>
      <c r="AI1517" t="s">
        <v>400</v>
      </c>
      <c r="AJ1517">
        <v>2008</v>
      </c>
      <c r="AK1517" t="s">
        <v>4835</v>
      </c>
      <c r="AN1517" t="s">
        <v>192</v>
      </c>
      <c r="AO1517" t="s">
        <v>77</v>
      </c>
      <c r="AP1517" t="s">
        <v>78</v>
      </c>
      <c r="AQ1517" t="s">
        <v>4834</v>
      </c>
      <c r="AR1517" t="s">
        <v>80</v>
      </c>
      <c r="AS1517">
        <v>302</v>
      </c>
      <c r="AT1517" t="s">
        <v>81</v>
      </c>
      <c r="AU1517">
        <v>37.619999999999997</v>
      </c>
      <c r="AV1517">
        <v>34.99</v>
      </c>
      <c r="AW1517" t="s">
        <v>82</v>
      </c>
      <c r="AX1517">
        <v>301</v>
      </c>
      <c r="AY1517" t="s">
        <v>81</v>
      </c>
      <c r="AZ1517">
        <v>35.32</v>
      </c>
      <c r="BA1517">
        <v>34.25</v>
      </c>
      <c r="BB1517" t="s">
        <v>83</v>
      </c>
    </row>
    <row r="1518" spans="1:54" x14ac:dyDescent="0.4">
      <c r="A1518">
        <v>1374692</v>
      </c>
      <c r="D1518" t="s">
        <v>54</v>
      </c>
      <c r="G1518">
        <v>1</v>
      </c>
      <c r="H1518" t="s">
        <v>56</v>
      </c>
      <c r="I1518" t="s">
        <v>57</v>
      </c>
      <c r="K1518" t="s">
        <v>235</v>
      </c>
      <c r="L1518" t="s">
        <v>1595</v>
      </c>
      <c r="M1518" t="s">
        <v>60</v>
      </c>
      <c r="P1518" t="s">
        <v>405</v>
      </c>
      <c r="Q1518" t="s">
        <v>237</v>
      </c>
      <c r="R1518" t="s">
        <v>238</v>
      </c>
      <c r="S1518" t="s">
        <v>123</v>
      </c>
      <c r="T1518">
        <v>274.39999999999998</v>
      </c>
      <c r="U1518">
        <v>264.27999999999997</v>
      </c>
      <c r="V1518">
        <f t="shared" si="46"/>
        <v>269.33999999999997</v>
      </c>
      <c r="W1518">
        <f t="shared" si="47"/>
        <v>10.120000000000005</v>
      </c>
      <c r="X1518">
        <v>44.554721999999998</v>
      </c>
      <c r="Y1518">
        <v>65.591667000000001</v>
      </c>
      <c r="Z1518" t="s">
        <v>124</v>
      </c>
      <c r="AA1518" t="s">
        <v>239</v>
      </c>
      <c r="AB1518" t="s">
        <v>1586</v>
      </c>
      <c r="AC1518" t="s">
        <v>4832</v>
      </c>
      <c r="AG1518" t="s">
        <v>1588</v>
      </c>
      <c r="AH1518" t="s">
        <v>72</v>
      </c>
      <c r="AI1518" t="s">
        <v>1594</v>
      </c>
      <c r="AJ1518">
        <v>1984</v>
      </c>
      <c r="AK1518" t="s">
        <v>4836</v>
      </c>
      <c r="AM1518" t="s">
        <v>4837</v>
      </c>
      <c r="AN1518" t="s">
        <v>192</v>
      </c>
      <c r="AO1518" t="s">
        <v>77</v>
      </c>
      <c r="AP1518" t="s">
        <v>78</v>
      </c>
      <c r="AQ1518" t="s">
        <v>4834</v>
      </c>
      <c r="AR1518" t="s">
        <v>80</v>
      </c>
      <c r="AS1518">
        <v>302</v>
      </c>
      <c r="AT1518" t="s">
        <v>81</v>
      </c>
      <c r="AU1518">
        <v>37.619999999999997</v>
      </c>
      <c r="AV1518">
        <v>34.99</v>
      </c>
      <c r="AW1518" t="s">
        <v>82</v>
      </c>
      <c r="AX1518">
        <v>301</v>
      </c>
      <c r="AY1518" t="s">
        <v>81</v>
      </c>
      <c r="AZ1518">
        <v>35.32</v>
      </c>
      <c r="BA1518">
        <v>34.25</v>
      </c>
      <c r="BB1518" t="s">
        <v>83</v>
      </c>
    </row>
    <row r="1519" spans="1:54" x14ac:dyDescent="0.4">
      <c r="A1519">
        <v>1374692</v>
      </c>
      <c r="D1519" t="s">
        <v>54</v>
      </c>
      <c r="G1519">
        <v>1</v>
      </c>
      <c r="H1519" t="s">
        <v>56</v>
      </c>
      <c r="I1519" t="s">
        <v>57</v>
      </c>
      <c r="K1519" t="s">
        <v>235</v>
      </c>
      <c r="L1519" t="s">
        <v>1595</v>
      </c>
      <c r="M1519" t="s">
        <v>60</v>
      </c>
      <c r="P1519" t="s">
        <v>405</v>
      </c>
      <c r="Q1519" t="s">
        <v>237</v>
      </c>
      <c r="R1519" t="s">
        <v>238</v>
      </c>
      <c r="S1519" t="s">
        <v>123</v>
      </c>
      <c r="T1519">
        <v>274.39999999999998</v>
      </c>
      <c r="U1519">
        <v>264.27999999999997</v>
      </c>
      <c r="V1519">
        <f t="shared" si="46"/>
        <v>269.33999999999997</v>
      </c>
      <c r="W1519">
        <f t="shared" si="47"/>
        <v>10.120000000000005</v>
      </c>
      <c r="X1519">
        <v>44.554721999999998</v>
      </c>
      <c r="Y1519">
        <v>65.591667000000001</v>
      </c>
      <c r="Z1519" t="s">
        <v>124</v>
      </c>
      <c r="AA1519" t="s">
        <v>239</v>
      </c>
      <c r="AB1519" t="s">
        <v>1586</v>
      </c>
      <c r="AC1519" t="s">
        <v>4832</v>
      </c>
      <c r="AG1519" t="s">
        <v>1588</v>
      </c>
      <c r="AH1519" t="s">
        <v>72</v>
      </c>
      <c r="AI1519" t="s">
        <v>1594</v>
      </c>
      <c r="AJ1519">
        <v>1984</v>
      </c>
      <c r="AK1519" t="s">
        <v>4836</v>
      </c>
      <c r="AM1519" t="s">
        <v>4837</v>
      </c>
      <c r="AN1519" t="s">
        <v>192</v>
      </c>
      <c r="AO1519" t="s">
        <v>77</v>
      </c>
      <c r="AP1519" t="s">
        <v>78</v>
      </c>
      <c r="AQ1519" t="s">
        <v>4834</v>
      </c>
      <c r="AR1519" t="s">
        <v>80</v>
      </c>
      <c r="AS1519">
        <v>302</v>
      </c>
      <c r="AT1519" t="s">
        <v>81</v>
      </c>
      <c r="AU1519">
        <v>37.619999999999997</v>
      </c>
      <c r="AV1519">
        <v>34.99</v>
      </c>
      <c r="AW1519" t="s">
        <v>82</v>
      </c>
      <c r="AX1519">
        <v>301</v>
      </c>
      <c r="AY1519" t="s">
        <v>81</v>
      </c>
      <c r="AZ1519">
        <v>35.32</v>
      </c>
      <c r="BA1519">
        <v>34.25</v>
      </c>
      <c r="BB1519" t="s">
        <v>83</v>
      </c>
    </row>
    <row r="1520" spans="1:54" x14ac:dyDescent="0.4">
      <c r="A1520">
        <v>1374693</v>
      </c>
      <c r="D1520" t="s">
        <v>54</v>
      </c>
      <c r="G1520">
        <v>1</v>
      </c>
      <c r="H1520" t="s">
        <v>56</v>
      </c>
      <c r="I1520" t="s">
        <v>57</v>
      </c>
      <c r="K1520" t="s">
        <v>235</v>
      </c>
      <c r="L1520" t="s">
        <v>1872</v>
      </c>
      <c r="M1520" t="s">
        <v>60</v>
      </c>
      <c r="P1520" t="s">
        <v>405</v>
      </c>
      <c r="Q1520" t="s">
        <v>237</v>
      </c>
      <c r="R1520" t="s">
        <v>238</v>
      </c>
      <c r="S1520" t="s">
        <v>123</v>
      </c>
      <c r="T1520">
        <v>274.39999999999998</v>
      </c>
      <c r="U1520">
        <v>264.27999999999997</v>
      </c>
      <c r="V1520">
        <f t="shared" si="46"/>
        <v>269.33999999999997</v>
      </c>
      <c r="W1520">
        <f t="shared" si="47"/>
        <v>10.120000000000005</v>
      </c>
      <c r="X1520">
        <v>44.554721999999998</v>
      </c>
      <c r="Y1520">
        <v>65.591667000000001</v>
      </c>
      <c r="Z1520" t="s">
        <v>124</v>
      </c>
      <c r="AA1520" t="s">
        <v>239</v>
      </c>
      <c r="AB1520" t="s">
        <v>1586</v>
      </c>
      <c r="AC1520" t="s">
        <v>4832</v>
      </c>
      <c r="AG1520" t="s">
        <v>1588</v>
      </c>
      <c r="AH1520" t="s">
        <v>72</v>
      </c>
      <c r="AI1520" t="s">
        <v>400</v>
      </c>
      <c r="AJ1520">
        <v>1997</v>
      </c>
      <c r="AK1520" t="s">
        <v>4836</v>
      </c>
      <c r="AM1520" t="s">
        <v>4837</v>
      </c>
      <c r="AN1520" t="s">
        <v>192</v>
      </c>
      <c r="AO1520" t="s">
        <v>77</v>
      </c>
      <c r="AP1520" t="s">
        <v>78</v>
      </c>
      <c r="AQ1520" t="s">
        <v>4834</v>
      </c>
      <c r="AR1520" t="s">
        <v>80</v>
      </c>
      <c r="AS1520">
        <v>302</v>
      </c>
      <c r="AT1520" t="s">
        <v>81</v>
      </c>
      <c r="AU1520">
        <v>37.619999999999997</v>
      </c>
      <c r="AV1520">
        <v>34.99</v>
      </c>
      <c r="AW1520" t="s">
        <v>82</v>
      </c>
      <c r="AX1520">
        <v>301</v>
      </c>
      <c r="AY1520" t="s">
        <v>81</v>
      </c>
      <c r="AZ1520">
        <v>35.32</v>
      </c>
      <c r="BA1520">
        <v>34.25</v>
      </c>
      <c r="BB1520" t="s">
        <v>83</v>
      </c>
    </row>
    <row r="1521" spans="1:54" x14ac:dyDescent="0.4">
      <c r="A1521">
        <v>1374695</v>
      </c>
      <c r="D1521" t="s">
        <v>54</v>
      </c>
      <c r="G1521">
        <v>1</v>
      </c>
      <c r="H1521" t="s">
        <v>56</v>
      </c>
      <c r="I1521" t="s">
        <v>57</v>
      </c>
      <c r="K1521" t="s">
        <v>1592</v>
      </c>
      <c r="L1521" t="s">
        <v>2048</v>
      </c>
      <c r="M1521" t="s">
        <v>60</v>
      </c>
      <c r="P1521" t="s">
        <v>405</v>
      </c>
      <c r="Q1521" t="s">
        <v>237</v>
      </c>
      <c r="R1521" t="s">
        <v>238</v>
      </c>
      <c r="S1521" t="s">
        <v>123</v>
      </c>
      <c r="T1521">
        <v>274.39999999999998</v>
      </c>
      <c r="U1521">
        <v>264.27999999999997</v>
      </c>
      <c r="V1521">
        <f t="shared" si="46"/>
        <v>269.33999999999997</v>
      </c>
      <c r="W1521">
        <f t="shared" si="47"/>
        <v>10.120000000000005</v>
      </c>
      <c r="X1521">
        <v>44.554721999999998</v>
      </c>
      <c r="Y1521">
        <v>65.591667000000001</v>
      </c>
      <c r="Z1521" t="s">
        <v>124</v>
      </c>
      <c r="AA1521" t="s">
        <v>239</v>
      </c>
      <c r="AB1521" t="s">
        <v>1586</v>
      </c>
      <c r="AC1521" t="s">
        <v>4832</v>
      </c>
      <c r="AG1521" t="s">
        <v>1588</v>
      </c>
      <c r="AH1521" t="s">
        <v>72</v>
      </c>
      <c r="AI1521" t="s">
        <v>400</v>
      </c>
      <c r="AJ1521">
        <v>2008</v>
      </c>
      <c r="AK1521" t="s">
        <v>4836</v>
      </c>
      <c r="AM1521" t="s">
        <v>4837</v>
      </c>
      <c r="AN1521" t="s">
        <v>192</v>
      </c>
      <c r="AO1521" t="s">
        <v>77</v>
      </c>
      <c r="AP1521" t="s">
        <v>78</v>
      </c>
      <c r="AQ1521" t="s">
        <v>4834</v>
      </c>
      <c r="AR1521" t="s">
        <v>80</v>
      </c>
      <c r="AS1521">
        <v>302</v>
      </c>
      <c r="AT1521" t="s">
        <v>81</v>
      </c>
      <c r="AU1521">
        <v>37.619999999999997</v>
      </c>
      <c r="AV1521">
        <v>34.99</v>
      </c>
      <c r="AW1521" t="s">
        <v>82</v>
      </c>
      <c r="AX1521">
        <v>301</v>
      </c>
      <c r="AY1521" t="s">
        <v>81</v>
      </c>
      <c r="AZ1521">
        <v>35.32</v>
      </c>
      <c r="BA1521">
        <v>34.25</v>
      </c>
      <c r="BB1521" t="s">
        <v>83</v>
      </c>
    </row>
    <row r="1522" spans="1:54" x14ac:dyDescent="0.4">
      <c r="A1522">
        <v>1374698</v>
      </c>
      <c r="D1522" t="s">
        <v>54</v>
      </c>
      <c r="G1522">
        <v>1</v>
      </c>
      <c r="H1522" t="s">
        <v>56</v>
      </c>
      <c r="I1522" t="s">
        <v>57</v>
      </c>
      <c r="K1522" t="s">
        <v>235</v>
      </c>
      <c r="L1522" t="s">
        <v>1872</v>
      </c>
      <c r="M1522" t="s">
        <v>60</v>
      </c>
      <c r="P1522" t="s">
        <v>405</v>
      </c>
      <c r="Q1522" t="s">
        <v>237</v>
      </c>
      <c r="R1522" t="s">
        <v>238</v>
      </c>
      <c r="S1522" t="s">
        <v>123</v>
      </c>
      <c r="T1522">
        <v>274.39999999999998</v>
      </c>
      <c r="U1522">
        <v>264.27999999999997</v>
      </c>
      <c r="V1522">
        <f t="shared" si="46"/>
        <v>269.33999999999997</v>
      </c>
      <c r="W1522">
        <f t="shared" si="47"/>
        <v>10.120000000000005</v>
      </c>
      <c r="X1522">
        <v>44.554721999999998</v>
      </c>
      <c r="Y1522">
        <v>65.591667000000001</v>
      </c>
      <c r="Z1522" t="s">
        <v>124</v>
      </c>
      <c r="AA1522" t="s">
        <v>239</v>
      </c>
      <c r="AB1522" t="s">
        <v>1586</v>
      </c>
      <c r="AC1522" t="s">
        <v>4832</v>
      </c>
      <c r="AG1522" t="s">
        <v>1588</v>
      </c>
      <c r="AH1522" t="s">
        <v>72</v>
      </c>
      <c r="AI1522" t="s">
        <v>400</v>
      </c>
      <c r="AJ1522">
        <v>1997</v>
      </c>
      <c r="AK1522" t="s">
        <v>4838</v>
      </c>
      <c r="AM1522" t="s">
        <v>4839</v>
      </c>
      <c r="AN1522" t="s">
        <v>192</v>
      </c>
      <c r="AO1522" t="s">
        <v>77</v>
      </c>
      <c r="AP1522" t="s">
        <v>78</v>
      </c>
      <c r="AQ1522" t="s">
        <v>4834</v>
      </c>
      <c r="AR1522" t="s">
        <v>80</v>
      </c>
      <c r="AS1522">
        <v>302</v>
      </c>
      <c r="AT1522" t="s">
        <v>81</v>
      </c>
      <c r="AU1522">
        <v>37.619999999999997</v>
      </c>
      <c r="AV1522">
        <v>34.99</v>
      </c>
      <c r="AW1522" t="s">
        <v>82</v>
      </c>
      <c r="AX1522">
        <v>301</v>
      </c>
      <c r="AY1522" t="s">
        <v>81</v>
      </c>
      <c r="AZ1522">
        <v>35.32</v>
      </c>
      <c r="BA1522">
        <v>34.25</v>
      </c>
      <c r="BB1522" t="s">
        <v>83</v>
      </c>
    </row>
    <row r="1523" spans="1:54" x14ac:dyDescent="0.4">
      <c r="A1523">
        <v>1374699</v>
      </c>
      <c r="D1523" t="s">
        <v>54</v>
      </c>
      <c r="G1523">
        <v>1</v>
      </c>
      <c r="H1523" t="s">
        <v>56</v>
      </c>
      <c r="I1523" t="s">
        <v>57</v>
      </c>
      <c r="K1523" t="s">
        <v>141</v>
      </c>
      <c r="L1523" t="s">
        <v>4840</v>
      </c>
      <c r="M1523" t="s">
        <v>60</v>
      </c>
      <c r="P1523" t="s">
        <v>405</v>
      </c>
      <c r="Q1523" t="s">
        <v>237</v>
      </c>
      <c r="R1523" t="s">
        <v>238</v>
      </c>
      <c r="S1523" t="s">
        <v>123</v>
      </c>
      <c r="T1523">
        <v>274.39999999999998</v>
      </c>
      <c r="U1523">
        <v>264.27999999999997</v>
      </c>
      <c r="V1523">
        <f t="shared" si="46"/>
        <v>269.33999999999997</v>
      </c>
      <c r="W1523">
        <f t="shared" si="47"/>
        <v>10.120000000000005</v>
      </c>
      <c r="X1523">
        <v>44.554721999999998</v>
      </c>
      <c r="Y1523">
        <v>65.591667000000001</v>
      </c>
      <c r="Z1523" t="s">
        <v>124</v>
      </c>
      <c r="AA1523" t="s">
        <v>239</v>
      </c>
      <c r="AB1523" t="s">
        <v>1586</v>
      </c>
      <c r="AC1523" t="s">
        <v>4832</v>
      </c>
      <c r="AG1523" t="s">
        <v>1588</v>
      </c>
      <c r="AH1523" t="s">
        <v>72</v>
      </c>
      <c r="AI1523" t="s">
        <v>4841</v>
      </c>
      <c r="AJ1523">
        <v>2002</v>
      </c>
      <c r="AK1523" t="s">
        <v>4838</v>
      </c>
      <c r="AM1523" t="s">
        <v>4839</v>
      </c>
      <c r="AN1523" t="s">
        <v>192</v>
      </c>
      <c r="AO1523" t="s">
        <v>77</v>
      </c>
      <c r="AP1523" t="s">
        <v>78</v>
      </c>
      <c r="AQ1523" t="s">
        <v>4834</v>
      </c>
      <c r="AR1523" t="s">
        <v>80</v>
      </c>
      <c r="AS1523">
        <v>302</v>
      </c>
      <c r="AT1523" t="s">
        <v>81</v>
      </c>
      <c r="AU1523">
        <v>37.619999999999997</v>
      </c>
      <c r="AV1523">
        <v>34.99</v>
      </c>
      <c r="AW1523" t="s">
        <v>82</v>
      </c>
      <c r="AX1523">
        <v>301</v>
      </c>
      <c r="AY1523" t="s">
        <v>81</v>
      </c>
      <c r="AZ1523">
        <v>35.32</v>
      </c>
      <c r="BA1523">
        <v>34.25</v>
      </c>
      <c r="BB1523" t="s">
        <v>83</v>
      </c>
    </row>
    <row r="1524" spans="1:54" x14ac:dyDescent="0.4">
      <c r="A1524">
        <v>1374701</v>
      </c>
      <c r="D1524" t="s">
        <v>54</v>
      </c>
      <c r="G1524">
        <v>1</v>
      </c>
      <c r="H1524" t="s">
        <v>56</v>
      </c>
      <c r="I1524" t="s">
        <v>57</v>
      </c>
      <c r="K1524" t="s">
        <v>1592</v>
      </c>
      <c r="L1524" t="s">
        <v>2048</v>
      </c>
      <c r="M1524" t="s">
        <v>60</v>
      </c>
      <c r="P1524" t="s">
        <v>405</v>
      </c>
      <c r="Q1524" t="s">
        <v>237</v>
      </c>
      <c r="R1524" t="s">
        <v>238</v>
      </c>
      <c r="S1524" t="s">
        <v>123</v>
      </c>
      <c r="T1524">
        <v>274.39999999999998</v>
      </c>
      <c r="U1524">
        <v>264.27999999999997</v>
      </c>
      <c r="V1524">
        <f t="shared" si="46"/>
        <v>269.33999999999997</v>
      </c>
      <c r="W1524">
        <f t="shared" si="47"/>
        <v>10.120000000000005</v>
      </c>
      <c r="X1524">
        <v>44.554721999999998</v>
      </c>
      <c r="Y1524">
        <v>65.591667000000001</v>
      </c>
      <c r="Z1524" t="s">
        <v>124</v>
      </c>
      <c r="AA1524" t="s">
        <v>239</v>
      </c>
      <c r="AB1524" t="s">
        <v>1586</v>
      </c>
      <c r="AC1524" t="s">
        <v>4832</v>
      </c>
      <c r="AG1524" t="s">
        <v>1588</v>
      </c>
      <c r="AH1524" t="s">
        <v>72</v>
      </c>
      <c r="AI1524" t="s">
        <v>400</v>
      </c>
      <c r="AJ1524">
        <v>2008</v>
      </c>
      <c r="AK1524" t="s">
        <v>4838</v>
      </c>
      <c r="AM1524" t="s">
        <v>4839</v>
      </c>
      <c r="AN1524" t="s">
        <v>192</v>
      </c>
      <c r="AO1524" t="s">
        <v>77</v>
      </c>
      <c r="AP1524" t="s">
        <v>78</v>
      </c>
      <c r="AQ1524" t="s">
        <v>4834</v>
      </c>
      <c r="AR1524" t="s">
        <v>80</v>
      </c>
      <c r="AS1524">
        <v>302</v>
      </c>
      <c r="AT1524" t="s">
        <v>81</v>
      </c>
      <c r="AU1524">
        <v>37.619999999999997</v>
      </c>
      <c r="AV1524">
        <v>34.99</v>
      </c>
      <c r="AW1524" t="s">
        <v>82</v>
      </c>
      <c r="AX1524">
        <v>301</v>
      </c>
      <c r="AY1524" t="s">
        <v>81</v>
      </c>
      <c r="AZ1524">
        <v>35.32</v>
      </c>
      <c r="BA1524">
        <v>34.25</v>
      </c>
      <c r="BB1524" t="s">
        <v>83</v>
      </c>
    </row>
    <row r="1525" spans="1:54" x14ac:dyDescent="0.4">
      <c r="A1525">
        <v>1374703</v>
      </c>
      <c r="D1525" t="s">
        <v>54</v>
      </c>
      <c r="G1525">
        <v>1</v>
      </c>
      <c r="H1525" t="s">
        <v>56</v>
      </c>
      <c r="I1525" t="s">
        <v>57</v>
      </c>
      <c r="K1525" t="s">
        <v>1592</v>
      </c>
      <c r="L1525" t="s">
        <v>2048</v>
      </c>
      <c r="M1525" t="s">
        <v>60</v>
      </c>
      <c r="P1525" t="s">
        <v>405</v>
      </c>
      <c r="Q1525" t="s">
        <v>237</v>
      </c>
      <c r="R1525" t="s">
        <v>238</v>
      </c>
      <c r="S1525" t="s">
        <v>123</v>
      </c>
      <c r="T1525">
        <v>274.39999999999998</v>
      </c>
      <c r="U1525">
        <v>264.27999999999997</v>
      </c>
      <c r="V1525">
        <f t="shared" si="46"/>
        <v>269.33999999999997</v>
      </c>
      <c r="W1525">
        <f t="shared" si="47"/>
        <v>10.120000000000005</v>
      </c>
      <c r="X1525">
        <v>44.554721999999998</v>
      </c>
      <c r="Y1525">
        <v>65.591667000000001</v>
      </c>
      <c r="Z1525" t="s">
        <v>124</v>
      </c>
      <c r="AA1525" t="s">
        <v>239</v>
      </c>
      <c r="AB1525" t="s">
        <v>1586</v>
      </c>
      <c r="AC1525" t="s">
        <v>4832</v>
      </c>
      <c r="AG1525" t="s">
        <v>1588</v>
      </c>
      <c r="AH1525" t="s">
        <v>72</v>
      </c>
      <c r="AI1525" t="s">
        <v>400</v>
      </c>
      <c r="AJ1525">
        <v>2008</v>
      </c>
      <c r="AK1525" t="s">
        <v>4842</v>
      </c>
      <c r="AN1525" t="s">
        <v>192</v>
      </c>
      <c r="AO1525" t="s">
        <v>77</v>
      </c>
      <c r="AP1525" t="s">
        <v>78</v>
      </c>
      <c r="AQ1525" t="s">
        <v>4834</v>
      </c>
      <c r="AR1525" t="s">
        <v>80</v>
      </c>
      <c r="AS1525">
        <v>302</v>
      </c>
      <c r="AT1525" t="s">
        <v>81</v>
      </c>
      <c r="AU1525">
        <v>37.619999999999997</v>
      </c>
      <c r="AV1525">
        <v>34.99</v>
      </c>
      <c r="AW1525" t="s">
        <v>82</v>
      </c>
      <c r="AX1525">
        <v>301</v>
      </c>
      <c r="AY1525" t="s">
        <v>81</v>
      </c>
      <c r="AZ1525">
        <v>35.32</v>
      </c>
      <c r="BA1525">
        <v>34.25</v>
      </c>
      <c r="BB1525" t="s">
        <v>83</v>
      </c>
    </row>
    <row r="1526" spans="1:54" x14ac:dyDescent="0.4">
      <c r="A1526">
        <v>1374705</v>
      </c>
      <c r="D1526" t="s">
        <v>54</v>
      </c>
      <c r="G1526">
        <v>1</v>
      </c>
      <c r="H1526" t="s">
        <v>56</v>
      </c>
      <c r="I1526" t="s">
        <v>57</v>
      </c>
      <c r="K1526" t="s">
        <v>1592</v>
      </c>
      <c r="L1526" t="s">
        <v>2048</v>
      </c>
      <c r="M1526" t="s">
        <v>60</v>
      </c>
      <c r="P1526" t="s">
        <v>405</v>
      </c>
      <c r="Q1526" t="s">
        <v>237</v>
      </c>
      <c r="R1526" t="s">
        <v>238</v>
      </c>
      <c r="S1526" t="s">
        <v>123</v>
      </c>
      <c r="T1526">
        <v>274.39999999999998</v>
      </c>
      <c r="U1526">
        <v>264.27999999999997</v>
      </c>
      <c r="V1526">
        <f t="shared" si="46"/>
        <v>269.33999999999997</v>
      </c>
      <c r="W1526">
        <f t="shared" si="47"/>
        <v>10.120000000000005</v>
      </c>
      <c r="X1526">
        <v>44.554721999999998</v>
      </c>
      <c r="Y1526">
        <v>65.591667000000001</v>
      </c>
      <c r="Z1526" t="s">
        <v>124</v>
      </c>
      <c r="AA1526" t="s">
        <v>239</v>
      </c>
      <c r="AB1526" t="s">
        <v>1586</v>
      </c>
      <c r="AC1526" t="s">
        <v>4832</v>
      </c>
      <c r="AG1526" t="s">
        <v>1588</v>
      </c>
      <c r="AH1526" t="s">
        <v>72</v>
      </c>
      <c r="AI1526" t="s">
        <v>400</v>
      </c>
      <c r="AJ1526">
        <v>2008</v>
      </c>
      <c r="AK1526" t="s">
        <v>4843</v>
      </c>
      <c r="AN1526" t="s">
        <v>192</v>
      </c>
      <c r="AO1526" t="s">
        <v>77</v>
      </c>
      <c r="AP1526" t="s">
        <v>78</v>
      </c>
      <c r="AQ1526" t="s">
        <v>4834</v>
      </c>
      <c r="AR1526" t="s">
        <v>80</v>
      </c>
      <c r="AS1526">
        <v>302</v>
      </c>
      <c r="AT1526" t="s">
        <v>81</v>
      </c>
      <c r="AU1526">
        <v>37.619999999999997</v>
      </c>
      <c r="AV1526">
        <v>34.99</v>
      </c>
      <c r="AW1526" t="s">
        <v>82</v>
      </c>
      <c r="AX1526">
        <v>301</v>
      </c>
      <c r="AY1526" t="s">
        <v>81</v>
      </c>
      <c r="AZ1526">
        <v>35.32</v>
      </c>
      <c r="BA1526">
        <v>34.25</v>
      </c>
      <c r="BB1526" t="s">
        <v>83</v>
      </c>
    </row>
    <row r="1527" spans="1:54" x14ac:dyDescent="0.4">
      <c r="A1527">
        <v>1374705</v>
      </c>
      <c r="D1527" t="s">
        <v>54</v>
      </c>
      <c r="G1527">
        <v>1</v>
      </c>
      <c r="H1527" t="s">
        <v>56</v>
      </c>
      <c r="I1527" t="s">
        <v>57</v>
      </c>
      <c r="K1527" t="s">
        <v>1592</v>
      </c>
      <c r="L1527" t="s">
        <v>2048</v>
      </c>
      <c r="M1527" t="s">
        <v>60</v>
      </c>
      <c r="P1527" t="s">
        <v>405</v>
      </c>
      <c r="Q1527" t="s">
        <v>237</v>
      </c>
      <c r="R1527" t="s">
        <v>238</v>
      </c>
      <c r="S1527" t="s">
        <v>123</v>
      </c>
      <c r="T1527">
        <v>274.39999999999998</v>
      </c>
      <c r="U1527">
        <v>264.27999999999997</v>
      </c>
      <c r="V1527">
        <f t="shared" si="46"/>
        <v>269.33999999999997</v>
      </c>
      <c r="W1527">
        <f t="shared" si="47"/>
        <v>10.120000000000005</v>
      </c>
      <c r="X1527">
        <v>44.554721999999998</v>
      </c>
      <c r="Y1527">
        <v>65.591667000000001</v>
      </c>
      <c r="Z1527" t="s">
        <v>124</v>
      </c>
      <c r="AA1527" t="s">
        <v>239</v>
      </c>
      <c r="AB1527" t="s">
        <v>1586</v>
      </c>
      <c r="AC1527" t="s">
        <v>4832</v>
      </c>
      <c r="AG1527" t="s">
        <v>1588</v>
      </c>
      <c r="AH1527" t="s">
        <v>72</v>
      </c>
      <c r="AI1527" t="s">
        <v>400</v>
      </c>
      <c r="AJ1527">
        <v>2008</v>
      </c>
      <c r="AK1527" t="s">
        <v>4843</v>
      </c>
      <c r="AN1527" t="s">
        <v>192</v>
      </c>
      <c r="AO1527" t="s">
        <v>77</v>
      </c>
      <c r="AP1527" t="s">
        <v>78</v>
      </c>
      <c r="AQ1527" t="s">
        <v>4834</v>
      </c>
      <c r="AR1527" t="s">
        <v>80</v>
      </c>
      <c r="AS1527">
        <v>302</v>
      </c>
      <c r="AT1527" t="s">
        <v>81</v>
      </c>
      <c r="AU1527">
        <v>37.619999999999997</v>
      </c>
      <c r="AV1527">
        <v>34.99</v>
      </c>
      <c r="AW1527" t="s">
        <v>82</v>
      </c>
      <c r="AX1527">
        <v>301</v>
      </c>
      <c r="AY1527" t="s">
        <v>81</v>
      </c>
      <c r="AZ1527">
        <v>35.32</v>
      </c>
      <c r="BA1527">
        <v>34.25</v>
      </c>
      <c r="BB1527" t="s">
        <v>83</v>
      </c>
    </row>
    <row r="1528" spans="1:54" x14ac:dyDescent="0.4">
      <c r="A1528">
        <v>1385576</v>
      </c>
      <c r="D1528" t="s">
        <v>54</v>
      </c>
      <c r="G1528">
        <v>1</v>
      </c>
      <c r="H1528" t="s">
        <v>56</v>
      </c>
      <c r="I1528" t="s">
        <v>57</v>
      </c>
      <c r="K1528" t="s">
        <v>1592</v>
      </c>
      <c r="L1528" t="s">
        <v>2048</v>
      </c>
      <c r="M1528" t="s">
        <v>60</v>
      </c>
      <c r="P1528" t="s">
        <v>405</v>
      </c>
      <c r="Q1528" t="s">
        <v>237</v>
      </c>
      <c r="R1528" t="s">
        <v>238</v>
      </c>
      <c r="S1528" t="s">
        <v>123</v>
      </c>
      <c r="T1528">
        <v>274.39999999999998</v>
      </c>
      <c r="U1528">
        <v>264.27999999999997</v>
      </c>
      <c r="V1528">
        <f t="shared" si="46"/>
        <v>269.33999999999997</v>
      </c>
      <c r="W1528">
        <f t="shared" si="47"/>
        <v>10.120000000000005</v>
      </c>
      <c r="X1528">
        <v>44.554721999999998</v>
      </c>
      <c r="Y1528">
        <v>65.591667000000001</v>
      </c>
      <c r="Z1528" t="s">
        <v>124</v>
      </c>
      <c r="AA1528" t="s">
        <v>239</v>
      </c>
      <c r="AB1528" t="s">
        <v>1586</v>
      </c>
      <c r="AC1528" t="s">
        <v>4887</v>
      </c>
      <c r="AG1528" t="s">
        <v>1588</v>
      </c>
      <c r="AH1528" t="s">
        <v>72</v>
      </c>
      <c r="AI1528" t="s">
        <v>400</v>
      </c>
      <c r="AJ1528">
        <v>2008</v>
      </c>
      <c r="AK1528" t="s">
        <v>4888</v>
      </c>
      <c r="AN1528" t="s">
        <v>192</v>
      </c>
      <c r="AO1528" t="s">
        <v>77</v>
      </c>
      <c r="AP1528" t="s">
        <v>78</v>
      </c>
      <c r="AR1528" t="s">
        <v>80</v>
      </c>
      <c r="AS1528">
        <v>302</v>
      </c>
      <c r="AT1528" t="s">
        <v>81</v>
      </c>
      <c r="AU1528">
        <v>37.619999999999997</v>
      </c>
      <c r="AV1528">
        <v>34.99</v>
      </c>
      <c r="AW1528" t="s">
        <v>82</v>
      </c>
      <c r="AX1528">
        <v>301</v>
      </c>
      <c r="AY1528" t="s">
        <v>81</v>
      </c>
      <c r="AZ1528">
        <v>35.32</v>
      </c>
      <c r="BA1528">
        <v>34.25</v>
      </c>
      <c r="BB1528" t="s">
        <v>83</v>
      </c>
    </row>
    <row r="1529" spans="1:54" x14ac:dyDescent="0.4">
      <c r="A1529">
        <v>1385577</v>
      </c>
      <c r="D1529" t="s">
        <v>54</v>
      </c>
      <c r="G1529">
        <v>2</v>
      </c>
      <c r="H1529" t="s">
        <v>84</v>
      </c>
      <c r="I1529" t="s">
        <v>57</v>
      </c>
      <c r="K1529" t="s">
        <v>235</v>
      </c>
      <c r="L1529" t="s">
        <v>1872</v>
      </c>
      <c r="M1529" t="s">
        <v>60</v>
      </c>
      <c r="P1529" t="s">
        <v>405</v>
      </c>
      <c r="Q1529" t="s">
        <v>237</v>
      </c>
      <c r="R1529" t="s">
        <v>238</v>
      </c>
      <c r="S1529" t="s">
        <v>123</v>
      </c>
      <c r="T1529">
        <v>274.39999999999998</v>
      </c>
      <c r="U1529">
        <v>264.27999999999997</v>
      </c>
      <c r="V1529">
        <f t="shared" si="46"/>
        <v>269.33999999999997</v>
      </c>
      <c r="W1529">
        <f t="shared" si="47"/>
        <v>10.120000000000005</v>
      </c>
      <c r="X1529">
        <v>44.554721999999998</v>
      </c>
      <c r="Y1529">
        <v>65.591667000000001</v>
      </c>
      <c r="Z1529" t="s">
        <v>124</v>
      </c>
      <c r="AA1529" t="s">
        <v>239</v>
      </c>
      <c r="AB1529" t="s">
        <v>1586</v>
      </c>
      <c r="AC1529" t="s">
        <v>4887</v>
      </c>
      <c r="AG1529" t="s">
        <v>1588</v>
      </c>
      <c r="AH1529" t="s">
        <v>72</v>
      </c>
      <c r="AI1529" t="s">
        <v>4889</v>
      </c>
      <c r="AJ1529">
        <v>2000</v>
      </c>
      <c r="AK1529" t="s">
        <v>4888</v>
      </c>
      <c r="AN1529" t="s">
        <v>192</v>
      </c>
      <c r="AO1529" t="s">
        <v>77</v>
      </c>
      <c r="AP1529" t="s">
        <v>78</v>
      </c>
      <c r="AR1529" t="s">
        <v>80</v>
      </c>
      <c r="AS1529">
        <v>302</v>
      </c>
      <c r="AT1529" t="s">
        <v>81</v>
      </c>
      <c r="AU1529">
        <v>37.619999999999997</v>
      </c>
      <c r="AV1529">
        <v>34.99</v>
      </c>
      <c r="AW1529" t="s">
        <v>82</v>
      </c>
      <c r="AX1529">
        <v>301</v>
      </c>
      <c r="AY1529" t="s">
        <v>81</v>
      </c>
      <c r="AZ1529">
        <v>35.32</v>
      </c>
      <c r="BA1529">
        <v>34.25</v>
      </c>
      <c r="BB1529" t="s">
        <v>83</v>
      </c>
    </row>
    <row r="1530" spans="1:54" x14ac:dyDescent="0.4">
      <c r="A1530">
        <v>1385578</v>
      </c>
      <c r="D1530" t="s">
        <v>54</v>
      </c>
      <c r="G1530">
        <v>1</v>
      </c>
      <c r="H1530" t="s">
        <v>56</v>
      </c>
      <c r="I1530" t="s">
        <v>57</v>
      </c>
      <c r="K1530" t="s">
        <v>235</v>
      </c>
      <c r="L1530" t="s">
        <v>1595</v>
      </c>
      <c r="M1530" t="s">
        <v>60</v>
      </c>
      <c r="P1530" t="s">
        <v>405</v>
      </c>
      <c r="Q1530" t="s">
        <v>237</v>
      </c>
      <c r="R1530" t="s">
        <v>238</v>
      </c>
      <c r="S1530" t="s">
        <v>123</v>
      </c>
      <c r="T1530">
        <v>274.39999999999998</v>
      </c>
      <c r="U1530">
        <v>264.27999999999997</v>
      </c>
      <c r="V1530">
        <f t="shared" si="46"/>
        <v>269.33999999999997</v>
      </c>
      <c r="W1530">
        <f t="shared" si="47"/>
        <v>10.120000000000005</v>
      </c>
      <c r="X1530">
        <v>45.672778999999998</v>
      </c>
      <c r="Y1530">
        <v>64.922775000000001</v>
      </c>
      <c r="Z1530" t="s">
        <v>124</v>
      </c>
      <c r="AA1530" t="s">
        <v>239</v>
      </c>
      <c r="AB1530" t="s">
        <v>1586</v>
      </c>
      <c r="AC1530" t="s">
        <v>2677</v>
      </c>
      <c r="AD1530" t="s">
        <v>2678</v>
      </c>
      <c r="AG1530" t="s">
        <v>1588</v>
      </c>
      <c r="AH1530" t="s">
        <v>72</v>
      </c>
      <c r="AI1530" t="s">
        <v>4889</v>
      </c>
      <c r="AJ1530">
        <v>2000</v>
      </c>
      <c r="AK1530" t="s">
        <v>4890</v>
      </c>
      <c r="AM1530" t="s">
        <v>4891</v>
      </c>
      <c r="AN1530" t="s">
        <v>192</v>
      </c>
      <c r="AO1530" t="s">
        <v>77</v>
      </c>
      <c r="AP1530" t="s">
        <v>78</v>
      </c>
      <c r="AR1530" t="s">
        <v>80</v>
      </c>
      <c r="AS1530">
        <v>302</v>
      </c>
      <c r="AT1530" t="s">
        <v>81</v>
      </c>
      <c r="AU1530">
        <v>38.57</v>
      </c>
      <c r="AV1530">
        <v>34.74</v>
      </c>
      <c r="AW1530" t="s">
        <v>82</v>
      </c>
      <c r="AX1530">
        <v>301</v>
      </c>
      <c r="AY1530" t="s">
        <v>81</v>
      </c>
      <c r="AZ1530">
        <v>36.270000000000003</v>
      </c>
      <c r="BA1530">
        <v>34.020000000000003</v>
      </c>
      <c r="BB1530" t="s">
        <v>83</v>
      </c>
    </row>
    <row r="1531" spans="1:54" x14ac:dyDescent="0.4">
      <c r="A1531">
        <v>777443</v>
      </c>
      <c r="D1531" t="s">
        <v>54</v>
      </c>
      <c r="E1531" t="s">
        <v>55</v>
      </c>
      <c r="G1531">
        <v>1</v>
      </c>
      <c r="H1531" t="s">
        <v>56</v>
      </c>
      <c r="I1531" t="s">
        <v>57</v>
      </c>
      <c r="K1531" t="s">
        <v>1029</v>
      </c>
      <c r="L1531" t="s">
        <v>1030</v>
      </c>
      <c r="M1531" t="s">
        <v>60</v>
      </c>
      <c r="N1531" t="s">
        <v>61</v>
      </c>
      <c r="O1531" t="s">
        <v>345</v>
      </c>
      <c r="P1531" t="s">
        <v>62</v>
      </c>
      <c r="R1531" t="s">
        <v>63</v>
      </c>
      <c r="S1531" t="s">
        <v>64</v>
      </c>
      <c r="T1531">
        <v>216.7</v>
      </c>
      <c r="U1531">
        <v>208.5</v>
      </c>
      <c r="V1531">
        <f t="shared" si="46"/>
        <v>212.6</v>
      </c>
      <c r="W1531">
        <f t="shared" si="47"/>
        <v>8.1999999999999886</v>
      </c>
      <c r="X1531">
        <v>12.863889</v>
      </c>
      <c r="Y1531">
        <v>46.384723999999999</v>
      </c>
      <c r="Z1531" t="s">
        <v>1681</v>
      </c>
      <c r="AA1531" t="s">
        <v>593</v>
      </c>
      <c r="AB1531" t="s">
        <v>594</v>
      </c>
      <c r="AC1531" t="s">
        <v>595</v>
      </c>
      <c r="AD1531" t="s">
        <v>1682</v>
      </c>
      <c r="AH1531" t="s">
        <v>11</v>
      </c>
      <c r="AI1531" t="s">
        <v>1683</v>
      </c>
      <c r="AJ1531">
        <v>2003</v>
      </c>
      <c r="AK1531" t="s">
        <v>1688</v>
      </c>
      <c r="AN1531" t="s">
        <v>114</v>
      </c>
      <c r="AO1531" t="s">
        <v>77</v>
      </c>
      <c r="AQ1531" t="s">
        <v>1689</v>
      </c>
      <c r="AR1531" t="s">
        <v>80</v>
      </c>
      <c r="AS1531">
        <v>307</v>
      </c>
      <c r="AT1531" t="s">
        <v>81</v>
      </c>
      <c r="AU1531">
        <v>29.69</v>
      </c>
      <c r="AV1531">
        <v>22.87</v>
      </c>
      <c r="AW1531" t="s">
        <v>82</v>
      </c>
      <c r="AX1531">
        <v>307</v>
      </c>
      <c r="AY1531" t="s">
        <v>81</v>
      </c>
      <c r="AZ1531">
        <v>15.14</v>
      </c>
      <c r="BA1531">
        <v>28.49</v>
      </c>
      <c r="BB1531" t="s">
        <v>83</v>
      </c>
    </row>
    <row r="1532" spans="1:54" x14ac:dyDescent="0.4">
      <c r="A1532">
        <v>777444</v>
      </c>
      <c r="D1532" t="s">
        <v>54</v>
      </c>
      <c r="G1532">
        <v>1</v>
      </c>
      <c r="H1532" t="s">
        <v>56</v>
      </c>
      <c r="I1532" t="s">
        <v>57</v>
      </c>
      <c r="K1532" t="s">
        <v>1029</v>
      </c>
      <c r="L1532" t="s">
        <v>1030</v>
      </c>
      <c r="M1532" t="s">
        <v>60</v>
      </c>
      <c r="N1532" t="s">
        <v>61</v>
      </c>
      <c r="O1532" t="s">
        <v>345</v>
      </c>
      <c r="P1532" t="s">
        <v>62</v>
      </c>
      <c r="R1532" t="s">
        <v>63</v>
      </c>
      <c r="S1532" t="s">
        <v>64</v>
      </c>
      <c r="T1532">
        <v>216.7</v>
      </c>
      <c r="U1532">
        <v>208.5</v>
      </c>
      <c r="V1532">
        <f t="shared" si="46"/>
        <v>212.6</v>
      </c>
      <c r="W1532">
        <f t="shared" si="47"/>
        <v>8.1999999999999886</v>
      </c>
      <c r="X1532">
        <v>12.930833</v>
      </c>
      <c r="Y1532">
        <v>46.391387999999999</v>
      </c>
      <c r="Z1532" t="s">
        <v>1681</v>
      </c>
      <c r="AA1532" t="s">
        <v>593</v>
      </c>
      <c r="AB1532" t="s">
        <v>594</v>
      </c>
      <c r="AC1532" t="s">
        <v>595</v>
      </c>
      <c r="AD1532" t="s">
        <v>1682</v>
      </c>
      <c r="AH1532" t="s">
        <v>11</v>
      </c>
      <c r="AI1532" t="s">
        <v>1683</v>
      </c>
      <c r="AJ1532">
        <v>2003</v>
      </c>
      <c r="AK1532" t="s">
        <v>1690</v>
      </c>
      <c r="AN1532" t="s">
        <v>192</v>
      </c>
      <c r="AO1532" t="s">
        <v>77</v>
      </c>
      <c r="AP1532" t="s">
        <v>115</v>
      </c>
      <c r="AQ1532" t="s">
        <v>1691</v>
      </c>
      <c r="AR1532" t="s">
        <v>80</v>
      </c>
      <c r="AS1532">
        <v>307</v>
      </c>
      <c r="AT1532" t="s">
        <v>81</v>
      </c>
      <c r="AU1532">
        <v>29.73</v>
      </c>
      <c r="AV1532">
        <v>22.84</v>
      </c>
      <c r="AW1532" t="s">
        <v>82</v>
      </c>
      <c r="AX1532">
        <v>307</v>
      </c>
      <c r="AY1532" t="s">
        <v>81</v>
      </c>
      <c r="AZ1532">
        <v>15.19</v>
      </c>
      <c r="BA1532">
        <v>28.47</v>
      </c>
      <c r="BB1532" t="s">
        <v>83</v>
      </c>
    </row>
    <row r="1533" spans="1:54" x14ac:dyDescent="0.4">
      <c r="A1533">
        <v>777702</v>
      </c>
      <c r="D1533" t="s">
        <v>54</v>
      </c>
      <c r="G1533">
        <v>1</v>
      </c>
      <c r="H1533" t="s">
        <v>56</v>
      </c>
      <c r="I1533" t="s">
        <v>57</v>
      </c>
      <c r="K1533" t="s">
        <v>141</v>
      </c>
      <c r="L1533" t="s">
        <v>1692</v>
      </c>
      <c r="M1533" t="s">
        <v>223</v>
      </c>
      <c r="N1533" t="s">
        <v>61</v>
      </c>
      <c r="O1533" t="s">
        <v>345</v>
      </c>
      <c r="P1533" t="s">
        <v>62</v>
      </c>
      <c r="R1533" t="s">
        <v>63</v>
      </c>
      <c r="S1533" t="s">
        <v>64</v>
      </c>
      <c r="T1533">
        <v>216.7</v>
      </c>
      <c r="U1533">
        <v>208.5</v>
      </c>
      <c r="V1533">
        <f t="shared" si="46"/>
        <v>212.6</v>
      </c>
      <c r="W1533">
        <f t="shared" si="47"/>
        <v>8.1999999999999886</v>
      </c>
      <c r="X1533">
        <v>12.864722</v>
      </c>
      <c r="Y1533">
        <v>46.380553999999997</v>
      </c>
      <c r="Z1533" t="s">
        <v>1681</v>
      </c>
      <c r="AA1533" t="s">
        <v>593</v>
      </c>
      <c r="AB1533" t="s">
        <v>594</v>
      </c>
      <c r="AC1533" t="s">
        <v>595</v>
      </c>
      <c r="AD1533" t="s">
        <v>1682</v>
      </c>
      <c r="AH1533" t="s">
        <v>72</v>
      </c>
      <c r="AI1533" t="s">
        <v>1693</v>
      </c>
      <c r="AJ1533">
        <v>1984</v>
      </c>
      <c r="AK1533" t="s">
        <v>1694</v>
      </c>
      <c r="AM1533" t="s">
        <v>1695</v>
      </c>
      <c r="AN1533" t="s">
        <v>192</v>
      </c>
      <c r="AO1533" t="s">
        <v>77</v>
      </c>
      <c r="AP1533" t="s">
        <v>78</v>
      </c>
      <c r="AQ1533" t="s">
        <v>1696</v>
      </c>
      <c r="AR1533" t="s">
        <v>80</v>
      </c>
      <c r="AS1533">
        <v>307</v>
      </c>
      <c r="AT1533" t="s">
        <v>81</v>
      </c>
      <c r="AU1533">
        <v>29.69</v>
      </c>
      <c r="AV1533">
        <v>22.87</v>
      </c>
      <c r="AW1533" t="s">
        <v>82</v>
      </c>
      <c r="AX1533">
        <v>307</v>
      </c>
      <c r="AY1533" t="s">
        <v>81</v>
      </c>
      <c r="AZ1533">
        <v>15.14</v>
      </c>
      <c r="BA1533">
        <v>28.49</v>
      </c>
      <c r="BB1533" t="s">
        <v>83</v>
      </c>
    </row>
    <row r="1534" spans="1:54" x14ac:dyDescent="0.4">
      <c r="A1534">
        <v>777710</v>
      </c>
      <c r="D1534" t="s">
        <v>853</v>
      </c>
      <c r="E1534" t="s">
        <v>152</v>
      </c>
      <c r="G1534">
        <v>1</v>
      </c>
      <c r="H1534" t="s">
        <v>56</v>
      </c>
      <c r="I1534" t="s">
        <v>57</v>
      </c>
      <c r="K1534" t="s">
        <v>1169</v>
      </c>
      <c r="L1534" t="s">
        <v>1697</v>
      </c>
      <c r="M1534" t="s">
        <v>60</v>
      </c>
      <c r="N1534" t="s">
        <v>1698</v>
      </c>
      <c r="O1534" t="s">
        <v>120</v>
      </c>
      <c r="P1534" t="s">
        <v>62</v>
      </c>
      <c r="R1534" t="s">
        <v>63</v>
      </c>
      <c r="S1534" t="s">
        <v>64</v>
      </c>
      <c r="T1534">
        <v>216.7</v>
      </c>
      <c r="U1534">
        <v>208.5</v>
      </c>
      <c r="V1534">
        <f t="shared" si="46"/>
        <v>212.6</v>
      </c>
      <c r="W1534">
        <f t="shared" si="47"/>
        <v>8.1999999999999886</v>
      </c>
      <c r="X1534">
        <v>12.863889</v>
      </c>
      <c r="Y1534">
        <v>46.384723999999999</v>
      </c>
      <c r="Z1534" t="s">
        <v>1681</v>
      </c>
      <c r="AA1534" t="s">
        <v>593</v>
      </c>
      <c r="AB1534" t="s">
        <v>594</v>
      </c>
      <c r="AC1534" t="s">
        <v>595</v>
      </c>
      <c r="AD1534" t="s">
        <v>1682</v>
      </c>
      <c r="AH1534" t="s">
        <v>72</v>
      </c>
      <c r="AI1534" t="s">
        <v>1699</v>
      </c>
      <c r="AJ1534">
        <v>1981</v>
      </c>
      <c r="AK1534" t="s">
        <v>1700</v>
      </c>
      <c r="AM1534" t="s">
        <v>1701</v>
      </c>
      <c r="AN1534" t="s">
        <v>114</v>
      </c>
      <c r="AO1534" t="s">
        <v>77</v>
      </c>
      <c r="AP1534" t="s">
        <v>115</v>
      </c>
      <c r="AQ1534" t="s">
        <v>1702</v>
      </c>
      <c r="AR1534" t="s">
        <v>80</v>
      </c>
      <c r="AS1534">
        <v>307</v>
      </c>
      <c r="AT1534" t="s">
        <v>81</v>
      </c>
      <c r="AU1534">
        <v>29.69</v>
      </c>
      <c r="AV1534">
        <v>22.87</v>
      </c>
      <c r="AW1534" t="s">
        <v>82</v>
      </c>
      <c r="AX1534">
        <v>307</v>
      </c>
      <c r="AY1534" t="s">
        <v>81</v>
      </c>
      <c r="AZ1534">
        <v>15.14</v>
      </c>
      <c r="BA1534">
        <v>28.49</v>
      </c>
      <c r="BB1534" t="s">
        <v>83</v>
      </c>
    </row>
    <row r="1535" spans="1:54" x14ac:dyDescent="0.4">
      <c r="A1535">
        <v>778056</v>
      </c>
      <c r="D1535" t="s">
        <v>54</v>
      </c>
      <c r="E1535" t="s">
        <v>152</v>
      </c>
      <c r="G1535">
        <v>1</v>
      </c>
      <c r="H1535" t="s">
        <v>56</v>
      </c>
      <c r="I1535" t="s">
        <v>57</v>
      </c>
      <c r="K1535" t="s">
        <v>746</v>
      </c>
      <c r="L1535" t="s">
        <v>1703</v>
      </c>
      <c r="M1535" t="s">
        <v>60</v>
      </c>
      <c r="P1535" t="s">
        <v>62</v>
      </c>
      <c r="R1535" t="s">
        <v>63</v>
      </c>
      <c r="S1535" t="s">
        <v>64</v>
      </c>
      <c r="T1535">
        <v>216.7</v>
      </c>
      <c r="U1535">
        <v>208.5</v>
      </c>
      <c r="V1535">
        <f t="shared" si="46"/>
        <v>212.6</v>
      </c>
      <c r="W1535">
        <f t="shared" si="47"/>
        <v>8.1999999999999886</v>
      </c>
      <c r="X1535">
        <v>12.863889</v>
      </c>
      <c r="Y1535">
        <v>46.384723999999999</v>
      </c>
      <c r="Z1535" t="s">
        <v>1681</v>
      </c>
      <c r="AA1535" t="s">
        <v>593</v>
      </c>
      <c r="AB1535" t="s">
        <v>594</v>
      </c>
      <c r="AC1535" t="s">
        <v>595</v>
      </c>
      <c r="AD1535" t="s">
        <v>1682</v>
      </c>
      <c r="AF1535" t="s">
        <v>1704</v>
      </c>
      <c r="AH1535" t="s">
        <v>72</v>
      </c>
      <c r="AI1535" t="s">
        <v>1705</v>
      </c>
      <c r="AJ1535">
        <v>2000</v>
      </c>
      <c r="AK1535" t="s">
        <v>1706</v>
      </c>
      <c r="AM1535" t="s">
        <v>1707</v>
      </c>
      <c r="AN1535" t="s">
        <v>114</v>
      </c>
      <c r="AO1535" t="s">
        <v>77</v>
      </c>
      <c r="AP1535" t="s">
        <v>115</v>
      </c>
      <c r="AQ1535" t="s">
        <v>1708</v>
      </c>
      <c r="AR1535" t="s">
        <v>80</v>
      </c>
      <c r="AS1535">
        <v>307</v>
      </c>
      <c r="AT1535" t="s">
        <v>81</v>
      </c>
      <c r="AU1535">
        <v>29.69</v>
      </c>
      <c r="AV1535">
        <v>22.87</v>
      </c>
      <c r="AW1535" t="s">
        <v>82</v>
      </c>
      <c r="AX1535">
        <v>307</v>
      </c>
      <c r="AY1535" t="s">
        <v>81</v>
      </c>
      <c r="AZ1535">
        <v>15.14</v>
      </c>
      <c r="BA1535">
        <v>28.49</v>
      </c>
      <c r="BB1535" t="s">
        <v>83</v>
      </c>
    </row>
    <row r="1536" spans="1:54" x14ac:dyDescent="0.4">
      <c r="A1536">
        <v>778320</v>
      </c>
      <c r="D1536" t="s">
        <v>54</v>
      </c>
      <c r="E1536" t="s">
        <v>152</v>
      </c>
      <c r="G1536">
        <v>1</v>
      </c>
      <c r="H1536" t="s">
        <v>56</v>
      </c>
      <c r="I1536" t="s">
        <v>57</v>
      </c>
      <c r="K1536" t="s">
        <v>1169</v>
      </c>
      <c r="L1536" t="s">
        <v>1697</v>
      </c>
      <c r="M1536" t="s">
        <v>60</v>
      </c>
      <c r="N1536" t="s">
        <v>1698</v>
      </c>
      <c r="O1536" t="s">
        <v>120</v>
      </c>
      <c r="P1536" t="s">
        <v>62</v>
      </c>
      <c r="R1536" t="s">
        <v>63</v>
      </c>
      <c r="S1536" t="s">
        <v>64</v>
      </c>
      <c r="T1536">
        <v>216.7</v>
      </c>
      <c r="U1536">
        <v>208.5</v>
      </c>
      <c r="V1536">
        <f t="shared" si="46"/>
        <v>212.6</v>
      </c>
      <c r="W1536">
        <f t="shared" si="47"/>
        <v>8.1999999999999886</v>
      </c>
      <c r="X1536">
        <v>12.863889</v>
      </c>
      <c r="Y1536">
        <v>46.384723999999999</v>
      </c>
      <c r="Z1536" t="s">
        <v>1681</v>
      </c>
      <c r="AA1536" t="s">
        <v>593</v>
      </c>
      <c r="AB1536" t="s">
        <v>594</v>
      </c>
      <c r="AC1536" t="s">
        <v>595</v>
      </c>
      <c r="AD1536" t="s">
        <v>1682</v>
      </c>
      <c r="AF1536" t="s">
        <v>1704</v>
      </c>
      <c r="AH1536" t="s">
        <v>11</v>
      </c>
      <c r="AI1536" t="s">
        <v>1171</v>
      </c>
      <c r="AJ1536">
        <v>2010</v>
      </c>
      <c r="AK1536" t="s">
        <v>1709</v>
      </c>
      <c r="AN1536" t="s">
        <v>192</v>
      </c>
      <c r="AO1536" t="s">
        <v>77</v>
      </c>
      <c r="AP1536" t="s">
        <v>115</v>
      </c>
      <c r="AR1536" t="s">
        <v>80</v>
      </c>
      <c r="AS1536">
        <v>307</v>
      </c>
      <c r="AT1536" t="s">
        <v>81</v>
      </c>
      <c r="AU1536">
        <v>29.69</v>
      </c>
      <c r="AV1536">
        <v>22.87</v>
      </c>
      <c r="AW1536" t="s">
        <v>82</v>
      </c>
      <c r="AX1536">
        <v>307</v>
      </c>
      <c r="AY1536" t="s">
        <v>81</v>
      </c>
      <c r="AZ1536">
        <v>15.14</v>
      </c>
      <c r="BA1536">
        <v>28.49</v>
      </c>
      <c r="BB1536" t="s">
        <v>83</v>
      </c>
    </row>
    <row r="1537" spans="1:54" x14ac:dyDescent="0.4">
      <c r="A1537">
        <v>779171</v>
      </c>
      <c r="D1537" t="s">
        <v>54</v>
      </c>
      <c r="E1537" t="s">
        <v>152</v>
      </c>
      <c r="G1537">
        <v>1</v>
      </c>
      <c r="H1537" t="s">
        <v>56</v>
      </c>
      <c r="I1537" t="s">
        <v>57</v>
      </c>
      <c r="K1537" t="s">
        <v>1169</v>
      </c>
      <c r="L1537" t="s">
        <v>1697</v>
      </c>
      <c r="M1537" t="s">
        <v>60</v>
      </c>
      <c r="N1537" t="s">
        <v>1698</v>
      </c>
      <c r="O1537" t="s">
        <v>120</v>
      </c>
      <c r="P1537" t="s">
        <v>62</v>
      </c>
      <c r="R1537" t="s">
        <v>63</v>
      </c>
      <c r="S1537" t="s">
        <v>64</v>
      </c>
      <c r="T1537">
        <v>216.7</v>
      </c>
      <c r="U1537">
        <v>208.5</v>
      </c>
      <c r="V1537">
        <f t="shared" si="46"/>
        <v>212.6</v>
      </c>
      <c r="W1537">
        <f t="shared" si="47"/>
        <v>8.1999999999999886</v>
      </c>
      <c r="X1537">
        <v>12.863889</v>
      </c>
      <c r="Y1537">
        <v>46.384723999999999</v>
      </c>
      <c r="Z1537" t="s">
        <v>1681</v>
      </c>
      <c r="AA1537" t="s">
        <v>593</v>
      </c>
      <c r="AB1537" t="s">
        <v>594</v>
      </c>
      <c r="AC1537" t="s">
        <v>595</v>
      </c>
      <c r="AD1537" t="s">
        <v>1682</v>
      </c>
      <c r="AH1537" t="s">
        <v>11</v>
      </c>
      <c r="AI1537" t="s">
        <v>1171</v>
      </c>
      <c r="AJ1537">
        <v>2010</v>
      </c>
      <c r="AK1537" t="s">
        <v>1721</v>
      </c>
      <c r="AN1537" t="s">
        <v>114</v>
      </c>
      <c r="AO1537" t="s">
        <v>77</v>
      </c>
      <c r="AP1537" t="s">
        <v>115</v>
      </c>
      <c r="AR1537" t="s">
        <v>80</v>
      </c>
      <c r="AS1537">
        <v>307</v>
      </c>
      <c r="AT1537" t="s">
        <v>81</v>
      </c>
      <c r="AU1537">
        <v>29.69</v>
      </c>
      <c r="AV1537">
        <v>22.87</v>
      </c>
      <c r="AW1537" t="s">
        <v>82</v>
      </c>
      <c r="AX1537">
        <v>307</v>
      </c>
      <c r="AY1537" t="s">
        <v>81</v>
      </c>
      <c r="AZ1537">
        <v>15.14</v>
      </c>
      <c r="BA1537">
        <v>28.49</v>
      </c>
      <c r="BB1537" t="s">
        <v>83</v>
      </c>
    </row>
    <row r="1538" spans="1:54" x14ac:dyDescent="0.4">
      <c r="A1538">
        <v>779179</v>
      </c>
      <c r="D1538" t="s">
        <v>54</v>
      </c>
      <c r="E1538" t="s">
        <v>152</v>
      </c>
      <c r="G1538">
        <v>1</v>
      </c>
      <c r="H1538" t="s">
        <v>56</v>
      </c>
      <c r="I1538" t="s">
        <v>57</v>
      </c>
      <c r="K1538" t="s">
        <v>746</v>
      </c>
      <c r="L1538" t="s">
        <v>1703</v>
      </c>
      <c r="M1538" t="s">
        <v>60</v>
      </c>
      <c r="P1538" t="s">
        <v>62</v>
      </c>
      <c r="R1538" t="s">
        <v>63</v>
      </c>
      <c r="S1538" t="s">
        <v>64</v>
      </c>
      <c r="T1538">
        <v>216.7</v>
      </c>
      <c r="U1538">
        <v>208.5</v>
      </c>
      <c r="V1538">
        <f t="shared" si="46"/>
        <v>212.6</v>
      </c>
      <c r="W1538">
        <f t="shared" si="47"/>
        <v>8.1999999999999886</v>
      </c>
      <c r="X1538">
        <v>12.593889000000001</v>
      </c>
      <c r="Y1538">
        <v>46.388331999999998</v>
      </c>
      <c r="Z1538" t="s">
        <v>1681</v>
      </c>
      <c r="AA1538" t="s">
        <v>593</v>
      </c>
      <c r="AB1538" t="s">
        <v>594</v>
      </c>
      <c r="AC1538" t="s">
        <v>595</v>
      </c>
      <c r="AD1538" t="s">
        <v>1682</v>
      </c>
      <c r="AH1538" t="s">
        <v>11</v>
      </c>
      <c r="AI1538" t="s">
        <v>1171</v>
      </c>
      <c r="AJ1538">
        <v>2002</v>
      </c>
      <c r="AK1538" t="s">
        <v>1722</v>
      </c>
      <c r="AN1538" t="s">
        <v>114</v>
      </c>
      <c r="AO1538" t="s">
        <v>77</v>
      </c>
      <c r="AP1538" t="s">
        <v>115</v>
      </c>
      <c r="AQ1538" t="s">
        <v>1723</v>
      </c>
      <c r="AR1538" t="s">
        <v>80</v>
      </c>
      <c r="AS1538">
        <v>307</v>
      </c>
      <c r="AT1538" t="s">
        <v>81</v>
      </c>
      <c r="AU1538">
        <v>29.56</v>
      </c>
      <c r="AV1538">
        <v>23.01</v>
      </c>
      <c r="AW1538" t="s">
        <v>82</v>
      </c>
      <c r="AX1538">
        <v>307</v>
      </c>
      <c r="AY1538" t="s">
        <v>81</v>
      </c>
      <c r="AZ1538">
        <v>14.97</v>
      </c>
      <c r="BA1538">
        <v>28.6</v>
      </c>
      <c r="BB1538" t="s">
        <v>83</v>
      </c>
    </row>
    <row r="1539" spans="1:54" x14ac:dyDescent="0.4">
      <c r="A1539">
        <v>841811</v>
      </c>
      <c r="D1539" t="s">
        <v>54</v>
      </c>
      <c r="G1539">
        <v>1</v>
      </c>
      <c r="H1539" t="s">
        <v>56</v>
      </c>
      <c r="I1539" t="s">
        <v>57</v>
      </c>
      <c r="K1539" t="s">
        <v>141</v>
      </c>
      <c r="L1539" t="s">
        <v>1414</v>
      </c>
      <c r="M1539" t="s">
        <v>223</v>
      </c>
      <c r="N1539" t="s">
        <v>61</v>
      </c>
      <c r="O1539" t="s">
        <v>345</v>
      </c>
      <c r="P1539" t="s">
        <v>62</v>
      </c>
      <c r="R1539" t="s">
        <v>63</v>
      </c>
      <c r="S1539" t="s">
        <v>64</v>
      </c>
      <c r="T1539">
        <v>216.7</v>
      </c>
      <c r="U1539">
        <v>208.5</v>
      </c>
      <c r="V1539">
        <f t="shared" ref="V1539:V1602" si="48">(T1539+U1539)/2</f>
        <v>212.6</v>
      </c>
      <c r="W1539">
        <f t="shared" ref="W1539:W1602" si="49">T1539-U1539</f>
        <v>8.1999999999999886</v>
      </c>
      <c r="X1539">
        <v>12.864722</v>
      </c>
      <c r="Y1539">
        <v>46.380553999999997</v>
      </c>
      <c r="Z1539" t="s">
        <v>1681</v>
      </c>
      <c r="AA1539" t="s">
        <v>593</v>
      </c>
      <c r="AB1539" t="s">
        <v>594</v>
      </c>
      <c r="AC1539" t="s">
        <v>595</v>
      </c>
      <c r="AD1539" t="s">
        <v>1682</v>
      </c>
      <c r="AH1539" t="s">
        <v>72</v>
      </c>
      <c r="AI1539" t="s">
        <v>1683</v>
      </c>
      <c r="AJ1539">
        <v>2009</v>
      </c>
      <c r="AK1539" t="s">
        <v>1694</v>
      </c>
      <c r="AM1539" t="s">
        <v>1695</v>
      </c>
      <c r="AN1539" t="s">
        <v>192</v>
      </c>
      <c r="AO1539" t="s">
        <v>77</v>
      </c>
      <c r="AP1539" t="s">
        <v>78</v>
      </c>
      <c r="AQ1539" t="s">
        <v>1696</v>
      </c>
      <c r="AR1539" t="s">
        <v>80</v>
      </c>
      <c r="AS1539">
        <v>307</v>
      </c>
      <c r="AT1539" t="s">
        <v>81</v>
      </c>
      <c r="AU1539">
        <v>29.69</v>
      </c>
      <c r="AV1539">
        <v>22.87</v>
      </c>
      <c r="AW1539" t="s">
        <v>82</v>
      </c>
      <c r="AX1539">
        <v>307</v>
      </c>
      <c r="AY1539" t="s">
        <v>81</v>
      </c>
      <c r="AZ1539">
        <v>15.14</v>
      </c>
      <c r="BA1539">
        <v>28.49</v>
      </c>
      <c r="BB1539" t="s">
        <v>83</v>
      </c>
    </row>
    <row r="1540" spans="1:54" x14ac:dyDescent="0.4">
      <c r="A1540">
        <v>749595</v>
      </c>
      <c r="D1540" t="s">
        <v>179</v>
      </c>
      <c r="G1540">
        <v>1</v>
      </c>
      <c r="H1540" t="s">
        <v>56</v>
      </c>
      <c r="I1540" t="s">
        <v>57</v>
      </c>
      <c r="K1540" t="s">
        <v>1630</v>
      </c>
      <c r="L1540" t="s">
        <v>1631</v>
      </c>
      <c r="M1540" t="s">
        <v>60</v>
      </c>
      <c r="P1540" t="s">
        <v>511</v>
      </c>
      <c r="Q1540" t="s">
        <v>1536</v>
      </c>
      <c r="R1540" t="s">
        <v>512</v>
      </c>
      <c r="S1540" t="s">
        <v>123</v>
      </c>
      <c r="T1540">
        <v>259.51</v>
      </c>
      <c r="U1540">
        <v>251.90199999999999</v>
      </c>
      <c r="V1540">
        <f t="shared" si="48"/>
        <v>255.70599999999999</v>
      </c>
      <c r="W1540">
        <f t="shared" si="49"/>
        <v>7.6080000000000041</v>
      </c>
      <c r="X1540">
        <v>23.766666000000001</v>
      </c>
      <c r="Y1540">
        <v>-31.950001</v>
      </c>
      <c r="Z1540" t="s">
        <v>124</v>
      </c>
      <c r="AA1540" t="s">
        <v>106</v>
      </c>
      <c r="AB1540" t="s">
        <v>334</v>
      </c>
      <c r="AD1540" t="s">
        <v>1603</v>
      </c>
      <c r="AE1540" t="s">
        <v>110</v>
      </c>
      <c r="AG1540" t="s">
        <v>1632</v>
      </c>
      <c r="AH1540" t="s">
        <v>72</v>
      </c>
      <c r="AI1540" t="s">
        <v>1633</v>
      </c>
      <c r="AJ1540">
        <v>1972</v>
      </c>
      <c r="AK1540" t="s">
        <v>1634</v>
      </c>
      <c r="AM1540" t="s">
        <v>1635</v>
      </c>
      <c r="AN1540" t="s">
        <v>114</v>
      </c>
      <c r="AO1540" t="s">
        <v>160</v>
      </c>
      <c r="AP1540" t="s">
        <v>78</v>
      </c>
      <c r="AQ1540" t="s">
        <v>1636</v>
      </c>
      <c r="AR1540" t="s">
        <v>80</v>
      </c>
      <c r="AS1540">
        <v>701</v>
      </c>
      <c r="AT1540" t="s">
        <v>81</v>
      </c>
      <c r="AU1540">
        <v>-18.63</v>
      </c>
      <c r="AV1540">
        <v>-51.22</v>
      </c>
      <c r="AW1540" t="s">
        <v>82</v>
      </c>
      <c r="AX1540">
        <v>701</v>
      </c>
      <c r="AY1540" t="s">
        <v>81</v>
      </c>
      <c r="AZ1540">
        <v>-28.93</v>
      </c>
      <c r="BA1540">
        <v>-61.3</v>
      </c>
      <c r="BB1540" t="s">
        <v>83</v>
      </c>
    </row>
    <row r="1541" spans="1:54" x14ac:dyDescent="0.4">
      <c r="A1541">
        <v>749595</v>
      </c>
      <c r="D1541" t="s">
        <v>179</v>
      </c>
      <c r="G1541">
        <v>1</v>
      </c>
      <c r="H1541" t="s">
        <v>56</v>
      </c>
      <c r="I1541" t="s">
        <v>57</v>
      </c>
      <c r="K1541" t="s">
        <v>1630</v>
      </c>
      <c r="L1541" t="s">
        <v>1631</v>
      </c>
      <c r="M1541" t="s">
        <v>60</v>
      </c>
      <c r="P1541" t="s">
        <v>511</v>
      </c>
      <c r="Q1541" t="s">
        <v>1536</v>
      </c>
      <c r="R1541" t="s">
        <v>512</v>
      </c>
      <c r="S1541" t="s">
        <v>123</v>
      </c>
      <c r="T1541">
        <v>259.51</v>
      </c>
      <c r="U1541">
        <v>251.90199999999999</v>
      </c>
      <c r="V1541">
        <f t="shared" si="48"/>
        <v>255.70599999999999</v>
      </c>
      <c r="W1541">
        <f t="shared" si="49"/>
        <v>7.6080000000000041</v>
      </c>
      <c r="X1541">
        <v>23.766666000000001</v>
      </c>
      <c r="Y1541">
        <v>-31.950001</v>
      </c>
      <c r="Z1541" t="s">
        <v>124</v>
      </c>
      <c r="AA1541" t="s">
        <v>106</v>
      </c>
      <c r="AB1541" t="s">
        <v>334</v>
      </c>
      <c r="AD1541" t="s">
        <v>1603</v>
      </c>
      <c r="AE1541" t="s">
        <v>110</v>
      </c>
      <c r="AG1541" t="s">
        <v>1632</v>
      </c>
      <c r="AH1541" t="s">
        <v>72</v>
      </c>
      <c r="AI1541" t="s">
        <v>1633</v>
      </c>
      <c r="AJ1541">
        <v>1972</v>
      </c>
      <c r="AK1541" t="s">
        <v>1634</v>
      </c>
      <c r="AM1541" t="s">
        <v>1635</v>
      </c>
      <c r="AN1541" t="s">
        <v>114</v>
      </c>
      <c r="AO1541" t="s">
        <v>160</v>
      </c>
      <c r="AP1541" t="s">
        <v>78</v>
      </c>
      <c r="AQ1541" t="s">
        <v>1636</v>
      </c>
      <c r="AR1541" t="s">
        <v>80</v>
      </c>
      <c r="AS1541">
        <v>701</v>
      </c>
      <c r="AT1541" t="s">
        <v>81</v>
      </c>
      <c r="AU1541">
        <v>-18.63</v>
      </c>
      <c r="AV1541">
        <v>-51.22</v>
      </c>
      <c r="AW1541" t="s">
        <v>82</v>
      </c>
      <c r="AX1541">
        <v>701</v>
      </c>
      <c r="AY1541" t="s">
        <v>81</v>
      </c>
      <c r="AZ1541">
        <v>-28.93</v>
      </c>
      <c r="BA1541">
        <v>-61.3</v>
      </c>
      <c r="BB1541" t="s">
        <v>83</v>
      </c>
    </row>
    <row r="1542" spans="1:54" x14ac:dyDescent="0.4">
      <c r="A1542">
        <v>749595</v>
      </c>
      <c r="D1542" t="s">
        <v>179</v>
      </c>
      <c r="G1542">
        <v>1</v>
      </c>
      <c r="H1542" t="s">
        <v>56</v>
      </c>
      <c r="I1542" t="s">
        <v>57</v>
      </c>
      <c r="K1542" t="s">
        <v>1630</v>
      </c>
      <c r="L1542" t="s">
        <v>1631</v>
      </c>
      <c r="M1542" t="s">
        <v>60</v>
      </c>
      <c r="P1542" t="s">
        <v>511</v>
      </c>
      <c r="Q1542" t="s">
        <v>1536</v>
      </c>
      <c r="R1542" t="s">
        <v>512</v>
      </c>
      <c r="S1542" t="s">
        <v>123</v>
      </c>
      <c r="T1542">
        <v>259.51</v>
      </c>
      <c r="U1542">
        <v>251.90199999999999</v>
      </c>
      <c r="V1542">
        <f t="shared" si="48"/>
        <v>255.70599999999999</v>
      </c>
      <c r="W1542">
        <f t="shared" si="49"/>
        <v>7.6080000000000041</v>
      </c>
      <c r="X1542">
        <v>23.766666000000001</v>
      </c>
      <c r="Y1542">
        <v>-31.950001</v>
      </c>
      <c r="Z1542" t="s">
        <v>124</v>
      </c>
      <c r="AA1542" t="s">
        <v>106</v>
      </c>
      <c r="AB1542" t="s">
        <v>334</v>
      </c>
      <c r="AD1542" t="s">
        <v>1603</v>
      </c>
      <c r="AE1542" t="s">
        <v>110</v>
      </c>
      <c r="AG1542" t="s">
        <v>1632</v>
      </c>
      <c r="AH1542" t="s">
        <v>72</v>
      </c>
      <c r="AI1542" t="s">
        <v>1633</v>
      </c>
      <c r="AJ1542">
        <v>1972</v>
      </c>
      <c r="AK1542" t="s">
        <v>1634</v>
      </c>
      <c r="AM1542" t="s">
        <v>1635</v>
      </c>
      <c r="AN1542" t="s">
        <v>114</v>
      </c>
      <c r="AO1542" t="s">
        <v>160</v>
      </c>
      <c r="AP1542" t="s">
        <v>78</v>
      </c>
      <c r="AQ1542" t="s">
        <v>1636</v>
      </c>
      <c r="AR1542" t="s">
        <v>80</v>
      </c>
      <c r="AS1542">
        <v>701</v>
      </c>
      <c r="AT1542" t="s">
        <v>81</v>
      </c>
      <c r="AU1542">
        <v>-18.63</v>
      </c>
      <c r="AV1542">
        <v>-51.22</v>
      </c>
      <c r="AW1542" t="s">
        <v>82</v>
      </c>
      <c r="AX1542">
        <v>701</v>
      </c>
      <c r="AY1542" t="s">
        <v>81</v>
      </c>
      <c r="AZ1542">
        <v>-28.93</v>
      </c>
      <c r="BA1542">
        <v>-61.3</v>
      </c>
      <c r="BB1542" t="s">
        <v>83</v>
      </c>
    </row>
    <row r="1543" spans="1:54" x14ac:dyDescent="0.4">
      <c r="A1543">
        <v>749595</v>
      </c>
      <c r="D1543" t="s">
        <v>179</v>
      </c>
      <c r="G1543">
        <v>1</v>
      </c>
      <c r="H1543" t="s">
        <v>56</v>
      </c>
      <c r="I1543" t="s">
        <v>57</v>
      </c>
      <c r="K1543" t="s">
        <v>1630</v>
      </c>
      <c r="L1543" t="s">
        <v>1631</v>
      </c>
      <c r="M1543" t="s">
        <v>60</v>
      </c>
      <c r="P1543" t="s">
        <v>511</v>
      </c>
      <c r="Q1543" t="s">
        <v>1536</v>
      </c>
      <c r="R1543" t="s">
        <v>512</v>
      </c>
      <c r="S1543" t="s">
        <v>123</v>
      </c>
      <c r="T1543">
        <v>259.51</v>
      </c>
      <c r="U1543">
        <v>251.90199999999999</v>
      </c>
      <c r="V1543">
        <f t="shared" si="48"/>
        <v>255.70599999999999</v>
      </c>
      <c r="W1543">
        <f t="shared" si="49"/>
        <v>7.6080000000000041</v>
      </c>
      <c r="X1543">
        <v>23.766666000000001</v>
      </c>
      <c r="Y1543">
        <v>-31.950001</v>
      </c>
      <c r="Z1543" t="s">
        <v>124</v>
      </c>
      <c r="AA1543" t="s">
        <v>106</v>
      </c>
      <c r="AB1543" t="s">
        <v>334</v>
      </c>
      <c r="AD1543" t="s">
        <v>1603</v>
      </c>
      <c r="AE1543" t="s">
        <v>110</v>
      </c>
      <c r="AG1543" t="s">
        <v>1632</v>
      </c>
      <c r="AH1543" t="s">
        <v>72</v>
      </c>
      <c r="AI1543" t="s">
        <v>1633</v>
      </c>
      <c r="AJ1543">
        <v>1972</v>
      </c>
      <c r="AK1543" t="s">
        <v>1634</v>
      </c>
      <c r="AM1543" t="s">
        <v>1635</v>
      </c>
      <c r="AN1543" t="s">
        <v>114</v>
      </c>
      <c r="AO1543" t="s">
        <v>160</v>
      </c>
      <c r="AP1543" t="s">
        <v>78</v>
      </c>
      <c r="AQ1543" t="s">
        <v>1636</v>
      </c>
      <c r="AR1543" t="s">
        <v>80</v>
      </c>
      <c r="AS1543">
        <v>701</v>
      </c>
      <c r="AT1543" t="s">
        <v>81</v>
      </c>
      <c r="AU1543">
        <v>-18.63</v>
      </c>
      <c r="AV1543">
        <v>-51.22</v>
      </c>
      <c r="AW1543" t="s">
        <v>82</v>
      </c>
      <c r="AX1543">
        <v>701</v>
      </c>
      <c r="AY1543" t="s">
        <v>81</v>
      </c>
      <c r="AZ1543">
        <v>-28.93</v>
      </c>
      <c r="BA1543">
        <v>-61.3</v>
      </c>
      <c r="BB1543" t="s">
        <v>83</v>
      </c>
    </row>
    <row r="1544" spans="1:54" x14ac:dyDescent="0.4">
      <c r="A1544">
        <v>749595</v>
      </c>
      <c r="D1544" t="s">
        <v>179</v>
      </c>
      <c r="G1544">
        <v>1</v>
      </c>
      <c r="H1544" t="s">
        <v>56</v>
      </c>
      <c r="I1544" t="s">
        <v>57</v>
      </c>
      <c r="K1544" t="s">
        <v>1630</v>
      </c>
      <c r="L1544" t="s">
        <v>1631</v>
      </c>
      <c r="M1544" t="s">
        <v>60</v>
      </c>
      <c r="P1544" t="s">
        <v>511</v>
      </c>
      <c r="Q1544" t="s">
        <v>1536</v>
      </c>
      <c r="R1544" t="s">
        <v>512</v>
      </c>
      <c r="S1544" t="s">
        <v>123</v>
      </c>
      <c r="T1544">
        <v>259.51</v>
      </c>
      <c r="U1544">
        <v>251.90199999999999</v>
      </c>
      <c r="V1544">
        <f t="shared" si="48"/>
        <v>255.70599999999999</v>
      </c>
      <c r="W1544">
        <f t="shared" si="49"/>
        <v>7.6080000000000041</v>
      </c>
      <c r="X1544">
        <v>23.766666000000001</v>
      </c>
      <c r="Y1544">
        <v>-31.950001</v>
      </c>
      <c r="Z1544" t="s">
        <v>124</v>
      </c>
      <c r="AA1544" t="s">
        <v>106</v>
      </c>
      <c r="AB1544" t="s">
        <v>334</v>
      </c>
      <c r="AD1544" t="s">
        <v>1603</v>
      </c>
      <c r="AE1544" t="s">
        <v>110</v>
      </c>
      <c r="AG1544" t="s">
        <v>1632</v>
      </c>
      <c r="AH1544" t="s">
        <v>72</v>
      </c>
      <c r="AI1544" t="s">
        <v>1633</v>
      </c>
      <c r="AJ1544">
        <v>1972</v>
      </c>
      <c r="AK1544" t="s">
        <v>1634</v>
      </c>
      <c r="AM1544" t="s">
        <v>1635</v>
      </c>
      <c r="AN1544" t="s">
        <v>114</v>
      </c>
      <c r="AO1544" t="s">
        <v>160</v>
      </c>
      <c r="AP1544" t="s">
        <v>78</v>
      </c>
      <c r="AQ1544" t="s">
        <v>1636</v>
      </c>
      <c r="AR1544" t="s">
        <v>80</v>
      </c>
      <c r="AS1544">
        <v>701</v>
      </c>
      <c r="AT1544" t="s">
        <v>81</v>
      </c>
      <c r="AU1544">
        <v>-18.63</v>
      </c>
      <c r="AV1544">
        <v>-51.22</v>
      </c>
      <c r="AW1544" t="s">
        <v>82</v>
      </c>
      <c r="AX1544">
        <v>701</v>
      </c>
      <c r="AY1544" t="s">
        <v>81</v>
      </c>
      <c r="AZ1544">
        <v>-28.93</v>
      </c>
      <c r="BA1544">
        <v>-61.3</v>
      </c>
      <c r="BB1544" t="s">
        <v>83</v>
      </c>
    </row>
    <row r="1545" spans="1:54" x14ac:dyDescent="0.4">
      <c r="A1545">
        <v>749595</v>
      </c>
      <c r="D1545" t="s">
        <v>179</v>
      </c>
      <c r="G1545">
        <v>1</v>
      </c>
      <c r="H1545" t="s">
        <v>56</v>
      </c>
      <c r="I1545" t="s">
        <v>57</v>
      </c>
      <c r="K1545" t="s">
        <v>1630</v>
      </c>
      <c r="L1545" t="s">
        <v>1631</v>
      </c>
      <c r="M1545" t="s">
        <v>60</v>
      </c>
      <c r="P1545" t="s">
        <v>511</v>
      </c>
      <c r="Q1545" t="s">
        <v>1536</v>
      </c>
      <c r="R1545" t="s">
        <v>512</v>
      </c>
      <c r="S1545" t="s">
        <v>123</v>
      </c>
      <c r="T1545">
        <v>259.51</v>
      </c>
      <c r="U1545">
        <v>251.90199999999999</v>
      </c>
      <c r="V1545">
        <f t="shared" si="48"/>
        <v>255.70599999999999</v>
      </c>
      <c r="W1545">
        <f t="shared" si="49"/>
        <v>7.6080000000000041</v>
      </c>
      <c r="X1545">
        <v>23.766666000000001</v>
      </c>
      <c r="Y1545">
        <v>-31.950001</v>
      </c>
      <c r="Z1545" t="s">
        <v>124</v>
      </c>
      <c r="AA1545" t="s">
        <v>106</v>
      </c>
      <c r="AB1545" t="s">
        <v>334</v>
      </c>
      <c r="AD1545" t="s">
        <v>1603</v>
      </c>
      <c r="AE1545" t="s">
        <v>110</v>
      </c>
      <c r="AG1545" t="s">
        <v>1632</v>
      </c>
      <c r="AH1545" t="s">
        <v>72</v>
      </c>
      <c r="AI1545" t="s">
        <v>1633</v>
      </c>
      <c r="AJ1545">
        <v>1972</v>
      </c>
      <c r="AK1545" t="s">
        <v>1634</v>
      </c>
      <c r="AM1545" t="s">
        <v>1635</v>
      </c>
      <c r="AN1545" t="s">
        <v>114</v>
      </c>
      <c r="AO1545" t="s">
        <v>160</v>
      </c>
      <c r="AP1545" t="s">
        <v>78</v>
      </c>
      <c r="AQ1545" t="s">
        <v>1636</v>
      </c>
      <c r="AR1545" t="s">
        <v>80</v>
      </c>
      <c r="AS1545">
        <v>701</v>
      </c>
      <c r="AT1545" t="s">
        <v>81</v>
      </c>
      <c r="AU1545">
        <v>-18.63</v>
      </c>
      <c r="AV1545">
        <v>-51.22</v>
      </c>
      <c r="AW1545" t="s">
        <v>82</v>
      </c>
      <c r="AX1545">
        <v>701</v>
      </c>
      <c r="AY1545" t="s">
        <v>81</v>
      </c>
      <c r="AZ1545">
        <v>-28.93</v>
      </c>
      <c r="BA1545">
        <v>-61.3</v>
      </c>
      <c r="BB1545" t="s">
        <v>83</v>
      </c>
    </row>
    <row r="1546" spans="1:54" x14ac:dyDescent="0.4">
      <c r="A1546">
        <v>749595</v>
      </c>
      <c r="D1546" t="s">
        <v>179</v>
      </c>
      <c r="G1546">
        <v>1</v>
      </c>
      <c r="H1546" t="s">
        <v>56</v>
      </c>
      <c r="I1546" t="s">
        <v>57</v>
      </c>
      <c r="K1546" t="s">
        <v>1630</v>
      </c>
      <c r="L1546" t="s">
        <v>1631</v>
      </c>
      <c r="M1546" t="s">
        <v>60</v>
      </c>
      <c r="P1546" t="s">
        <v>511</v>
      </c>
      <c r="Q1546" t="s">
        <v>1536</v>
      </c>
      <c r="R1546" t="s">
        <v>512</v>
      </c>
      <c r="S1546" t="s">
        <v>123</v>
      </c>
      <c r="T1546">
        <v>259.51</v>
      </c>
      <c r="U1546">
        <v>251.90199999999999</v>
      </c>
      <c r="V1546">
        <f t="shared" si="48"/>
        <v>255.70599999999999</v>
      </c>
      <c r="W1546">
        <f t="shared" si="49"/>
        <v>7.6080000000000041</v>
      </c>
      <c r="X1546">
        <v>23.766666000000001</v>
      </c>
      <c r="Y1546">
        <v>-31.950001</v>
      </c>
      <c r="Z1546" t="s">
        <v>124</v>
      </c>
      <c r="AA1546" t="s">
        <v>106</v>
      </c>
      <c r="AB1546" t="s">
        <v>334</v>
      </c>
      <c r="AD1546" t="s">
        <v>1603</v>
      </c>
      <c r="AE1546" t="s">
        <v>110</v>
      </c>
      <c r="AG1546" t="s">
        <v>1632</v>
      </c>
      <c r="AH1546" t="s">
        <v>72</v>
      </c>
      <c r="AI1546" t="s">
        <v>1633</v>
      </c>
      <c r="AJ1546">
        <v>1972</v>
      </c>
      <c r="AK1546" t="s">
        <v>1634</v>
      </c>
      <c r="AM1546" t="s">
        <v>1635</v>
      </c>
      <c r="AN1546" t="s">
        <v>114</v>
      </c>
      <c r="AO1546" t="s">
        <v>160</v>
      </c>
      <c r="AP1546" t="s">
        <v>78</v>
      </c>
      <c r="AQ1546" t="s">
        <v>1636</v>
      </c>
      <c r="AR1546" t="s">
        <v>80</v>
      </c>
      <c r="AS1546">
        <v>701</v>
      </c>
      <c r="AT1546" t="s">
        <v>81</v>
      </c>
      <c r="AU1546">
        <v>-18.63</v>
      </c>
      <c r="AV1546">
        <v>-51.22</v>
      </c>
      <c r="AW1546" t="s">
        <v>82</v>
      </c>
      <c r="AX1546">
        <v>701</v>
      </c>
      <c r="AY1546" t="s">
        <v>81</v>
      </c>
      <c r="AZ1546">
        <v>-28.93</v>
      </c>
      <c r="BA1546">
        <v>-61.3</v>
      </c>
      <c r="BB1546" t="s">
        <v>83</v>
      </c>
    </row>
    <row r="1547" spans="1:54" x14ac:dyDescent="0.4">
      <c r="A1547">
        <v>749595</v>
      </c>
      <c r="D1547" t="s">
        <v>179</v>
      </c>
      <c r="G1547">
        <v>1</v>
      </c>
      <c r="H1547" t="s">
        <v>56</v>
      </c>
      <c r="I1547" t="s">
        <v>57</v>
      </c>
      <c r="K1547" t="s">
        <v>1630</v>
      </c>
      <c r="L1547" t="s">
        <v>1631</v>
      </c>
      <c r="M1547" t="s">
        <v>60</v>
      </c>
      <c r="P1547" t="s">
        <v>511</v>
      </c>
      <c r="Q1547" t="s">
        <v>1536</v>
      </c>
      <c r="R1547" t="s">
        <v>512</v>
      </c>
      <c r="S1547" t="s">
        <v>123</v>
      </c>
      <c r="T1547">
        <v>259.51</v>
      </c>
      <c r="U1547">
        <v>251.90199999999999</v>
      </c>
      <c r="V1547">
        <f t="shared" si="48"/>
        <v>255.70599999999999</v>
      </c>
      <c r="W1547">
        <f t="shared" si="49"/>
        <v>7.6080000000000041</v>
      </c>
      <c r="X1547">
        <v>23.766666000000001</v>
      </c>
      <c r="Y1547">
        <v>-31.950001</v>
      </c>
      <c r="Z1547" t="s">
        <v>124</v>
      </c>
      <c r="AA1547" t="s">
        <v>106</v>
      </c>
      <c r="AB1547" t="s">
        <v>334</v>
      </c>
      <c r="AD1547" t="s">
        <v>1603</v>
      </c>
      <c r="AE1547" t="s">
        <v>110</v>
      </c>
      <c r="AG1547" t="s">
        <v>1632</v>
      </c>
      <c r="AH1547" t="s">
        <v>72</v>
      </c>
      <c r="AI1547" t="s">
        <v>1633</v>
      </c>
      <c r="AJ1547">
        <v>1972</v>
      </c>
      <c r="AK1547" t="s">
        <v>1634</v>
      </c>
      <c r="AM1547" t="s">
        <v>1635</v>
      </c>
      <c r="AN1547" t="s">
        <v>114</v>
      </c>
      <c r="AO1547" t="s">
        <v>160</v>
      </c>
      <c r="AP1547" t="s">
        <v>78</v>
      </c>
      <c r="AQ1547" t="s">
        <v>1636</v>
      </c>
      <c r="AR1547" t="s">
        <v>80</v>
      </c>
      <c r="AS1547">
        <v>701</v>
      </c>
      <c r="AT1547" t="s">
        <v>81</v>
      </c>
      <c r="AU1547">
        <v>-18.63</v>
      </c>
      <c r="AV1547">
        <v>-51.22</v>
      </c>
      <c r="AW1547" t="s">
        <v>82</v>
      </c>
      <c r="AX1547">
        <v>701</v>
      </c>
      <c r="AY1547" t="s">
        <v>81</v>
      </c>
      <c r="AZ1547">
        <v>-28.93</v>
      </c>
      <c r="BA1547">
        <v>-61.3</v>
      </c>
      <c r="BB1547" t="s">
        <v>83</v>
      </c>
    </row>
    <row r="1548" spans="1:54" x14ac:dyDescent="0.4">
      <c r="A1548">
        <v>749610</v>
      </c>
      <c r="D1548" t="s">
        <v>54</v>
      </c>
      <c r="G1548">
        <v>1</v>
      </c>
      <c r="H1548" t="s">
        <v>56</v>
      </c>
      <c r="I1548" t="s">
        <v>57</v>
      </c>
      <c r="K1548" t="s">
        <v>1630</v>
      </c>
      <c r="L1548" t="s">
        <v>1637</v>
      </c>
      <c r="M1548" t="s">
        <v>60</v>
      </c>
      <c r="P1548" t="s">
        <v>511</v>
      </c>
      <c r="Q1548" t="s">
        <v>1536</v>
      </c>
      <c r="R1548" t="s">
        <v>512</v>
      </c>
      <c r="S1548" t="s">
        <v>123</v>
      </c>
      <c r="T1548">
        <v>259.51</v>
      </c>
      <c r="U1548">
        <v>251.90199999999999</v>
      </c>
      <c r="V1548">
        <f t="shared" si="48"/>
        <v>255.70599999999999</v>
      </c>
      <c r="W1548">
        <f t="shared" si="49"/>
        <v>7.6080000000000041</v>
      </c>
      <c r="X1548">
        <v>23.766666000000001</v>
      </c>
      <c r="Y1548">
        <v>-31.950001</v>
      </c>
      <c r="Z1548" t="s">
        <v>124</v>
      </c>
      <c r="AA1548" t="s">
        <v>106</v>
      </c>
      <c r="AB1548" t="s">
        <v>334</v>
      </c>
      <c r="AC1548" t="s">
        <v>1638</v>
      </c>
      <c r="AD1548" t="s">
        <v>1603</v>
      </c>
      <c r="AE1548" t="s">
        <v>110</v>
      </c>
      <c r="AG1548" t="s">
        <v>1632</v>
      </c>
      <c r="AH1548" t="s">
        <v>72</v>
      </c>
      <c r="AI1548" t="s">
        <v>1633</v>
      </c>
      <c r="AJ1548">
        <v>1972</v>
      </c>
      <c r="AK1548" t="s">
        <v>1639</v>
      </c>
      <c r="AN1548" t="s">
        <v>114</v>
      </c>
      <c r="AO1548" t="s">
        <v>160</v>
      </c>
      <c r="AP1548" t="s">
        <v>78</v>
      </c>
      <c r="AQ1548" t="s">
        <v>1640</v>
      </c>
      <c r="AR1548" t="s">
        <v>80</v>
      </c>
      <c r="AS1548">
        <v>701</v>
      </c>
      <c r="AT1548" t="s">
        <v>81</v>
      </c>
      <c r="AU1548">
        <v>-18.63</v>
      </c>
      <c r="AV1548">
        <v>-51.22</v>
      </c>
      <c r="AW1548" t="s">
        <v>82</v>
      </c>
      <c r="AX1548">
        <v>701</v>
      </c>
      <c r="AY1548" t="s">
        <v>81</v>
      </c>
      <c r="AZ1548">
        <v>-28.93</v>
      </c>
      <c r="BA1548">
        <v>-61.3</v>
      </c>
      <c r="BB1548" t="s">
        <v>83</v>
      </c>
    </row>
    <row r="1549" spans="1:54" x14ac:dyDescent="0.4">
      <c r="A1549">
        <v>749933</v>
      </c>
      <c r="D1549" t="s">
        <v>54</v>
      </c>
      <c r="E1549" t="s">
        <v>55</v>
      </c>
      <c r="G1549">
        <v>1</v>
      </c>
      <c r="H1549" t="s">
        <v>56</v>
      </c>
      <c r="I1549" t="s">
        <v>57</v>
      </c>
      <c r="K1549" t="s">
        <v>1630</v>
      </c>
      <c r="L1549" t="s">
        <v>1637</v>
      </c>
      <c r="M1549" t="s">
        <v>60</v>
      </c>
      <c r="P1549" t="s">
        <v>511</v>
      </c>
      <c r="Q1549" t="s">
        <v>1536</v>
      </c>
      <c r="R1549" t="s">
        <v>512</v>
      </c>
      <c r="S1549" t="s">
        <v>123</v>
      </c>
      <c r="T1549">
        <v>259.51</v>
      </c>
      <c r="U1549">
        <v>251.90199999999999</v>
      </c>
      <c r="V1549">
        <f t="shared" si="48"/>
        <v>255.70599999999999</v>
      </c>
      <c r="W1549">
        <f t="shared" si="49"/>
        <v>7.6080000000000041</v>
      </c>
      <c r="X1549">
        <v>24.288889000000001</v>
      </c>
      <c r="Y1549">
        <v>-32.053333000000002</v>
      </c>
      <c r="Z1549" t="s">
        <v>124</v>
      </c>
      <c r="AA1549" t="s">
        <v>106</v>
      </c>
      <c r="AB1549" t="s">
        <v>107</v>
      </c>
      <c r="AC1549" t="s">
        <v>1641</v>
      </c>
      <c r="AD1549" t="s">
        <v>1603</v>
      </c>
      <c r="AE1549" t="s">
        <v>110</v>
      </c>
      <c r="AG1549" t="s">
        <v>1632</v>
      </c>
      <c r="AH1549" t="s">
        <v>72</v>
      </c>
      <c r="AI1549" t="s">
        <v>1633</v>
      </c>
      <c r="AJ1549">
        <v>1972</v>
      </c>
      <c r="AK1549" t="s">
        <v>1642</v>
      </c>
      <c r="AM1549" t="s">
        <v>1643</v>
      </c>
      <c r="AN1549" t="s">
        <v>114</v>
      </c>
      <c r="AO1549" t="s">
        <v>77</v>
      </c>
      <c r="AP1549" t="s">
        <v>78</v>
      </c>
      <c r="AQ1549" t="s">
        <v>1644</v>
      </c>
      <c r="AR1549" t="s">
        <v>80</v>
      </c>
      <c r="AS1549">
        <v>701</v>
      </c>
      <c r="AT1549" t="s">
        <v>81</v>
      </c>
      <c r="AU1549">
        <v>-18.420000000000002</v>
      </c>
      <c r="AV1549">
        <v>-51.66</v>
      </c>
      <c r="AW1549" t="s">
        <v>82</v>
      </c>
      <c r="AX1549">
        <v>701</v>
      </c>
      <c r="AY1549" t="s">
        <v>81</v>
      </c>
      <c r="AZ1549">
        <v>-28.76</v>
      </c>
      <c r="BA1549">
        <v>-61.75</v>
      </c>
      <c r="BB1549" t="s">
        <v>83</v>
      </c>
    </row>
    <row r="1550" spans="1:54" x14ac:dyDescent="0.4">
      <c r="A1550">
        <v>749933</v>
      </c>
      <c r="D1550" t="s">
        <v>54</v>
      </c>
      <c r="E1550" t="s">
        <v>55</v>
      </c>
      <c r="G1550">
        <v>1</v>
      </c>
      <c r="H1550" t="s">
        <v>56</v>
      </c>
      <c r="I1550" t="s">
        <v>57</v>
      </c>
      <c r="K1550" t="s">
        <v>1630</v>
      </c>
      <c r="L1550" t="s">
        <v>1637</v>
      </c>
      <c r="M1550" t="s">
        <v>60</v>
      </c>
      <c r="P1550" t="s">
        <v>511</v>
      </c>
      <c r="Q1550" t="s">
        <v>1536</v>
      </c>
      <c r="R1550" t="s">
        <v>512</v>
      </c>
      <c r="S1550" t="s">
        <v>123</v>
      </c>
      <c r="T1550">
        <v>259.51</v>
      </c>
      <c r="U1550">
        <v>251.90199999999999</v>
      </c>
      <c r="V1550">
        <f t="shared" si="48"/>
        <v>255.70599999999999</v>
      </c>
      <c r="W1550">
        <f t="shared" si="49"/>
        <v>7.6080000000000041</v>
      </c>
      <c r="X1550">
        <v>24.288889000000001</v>
      </c>
      <c r="Y1550">
        <v>-32.053333000000002</v>
      </c>
      <c r="Z1550" t="s">
        <v>124</v>
      </c>
      <c r="AA1550" t="s">
        <v>106</v>
      </c>
      <c r="AB1550" t="s">
        <v>107</v>
      </c>
      <c r="AC1550" t="s">
        <v>1641</v>
      </c>
      <c r="AD1550" t="s">
        <v>1603</v>
      </c>
      <c r="AE1550" t="s">
        <v>110</v>
      </c>
      <c r="AG1550" t="s">
        <v>1632</v>
      </c>
      <c r="AH1550" t="s">
        <v>72</v>
      </c>
      <c r="AI1550" t="s">
        <v>1633</v>
      </c>
      <c r="AJ1550">
        <v>1972</v>
      </c>
      <c r="AK1550" t="s">
        <v>1642</v>
      </c>
      <c r="AM1550" t="s">
        <v>1643</v>
      </c>
      <c r="AN1550" t="s">
        <v>114</v>
      </c>
      <c r="AO1550" t="s">
        <v>77</v>
      </c>
      <c r="AP1550" t="s">
        <v>78</v>
      </c>
      <c r="AQ1550" t="s">
        <v>1644</v>
      </c>
      <c r="AR1550" t="s">
        <v>80</v>
      </c>
      <c r="AS1550">
        <v>701</v>
      </c>
      <c r="AT1550" t="s">
        <v>81</v>
      </c>
      <c r="AU1550">
        <v>-18.420000000000002</v>
      </c>
      <c r="AV1550">
        <v>-51.66</v>
      </c>
      <c r="AW1550" t="s">
        <v>82</v>
      </c>
      <c r="AX1550">
        <v>701</v>
      </c>
      <c r="AY1550" t="s">
        <v>81</v>
      </c>
      <c r="AZ1550">
        <v>-28.76</v>
      </c>
      <c r="BA1550">
        <v>-61.75</v>
      </c>
      <c r="BB1550" t="s">
        <v>83</v>
      </c>
    </row>
    <row r="1551" spans="1:54" x14ac:dyDescent="0.4">
      <c r="A1551">
        <v>749933</v>
      </c>
      <c r="D1551" t="s">
        <v>54</v>
      </c>
      <c r="E1551" t="s">
        <v>55</v>
      </c>
      <c r="G1551">
        <v>1</v>
      </c>
      <c r="H1551" t="s">
        <v>56</v>
      </c>
      <c r="I1551" t="s">
        <v>57</v>
      </c>
      <c r="K1551" t="s">
        <v>1630</v>
      </c>
      <c r="L1551" t="s">
        <v>1637</v>
      </c>
      <c r="M1551" t="s">
        <v>60</v>
      </c>
      <c r="P1551" t="s">
        <v>511</v>
      </c>
      <c r="Q1551" t="s">
        <v>1536</v>
      </c>
      <c r="R1551" t="s">
        <v>512</v>
      </c>
      <c r="S1551" t="s">
        <v>123</v>
      </c>
      <c r="T1551">
        <v>259.51</v>
      </c>
      <c r="U1551">
        <v>251.90199999999999</v>
      </c>
      <c r="V1551">
        <f t="shared" si="48"/>
        <v>255.70599999999999</v>
      </c>
      <c r="W1551">
        <f t="shared" si="49"/>
        <v>7.6080000000000041</v>
      </c>
      <c r="X1551">
        <v>24.288889000000001</v>
      </c>
      <c r="Y1551">
        <v>-32.053333000000002</v>
      </c>
      <c r="Z1551" t="s">
        <v>124</v>
      </c>
      <c r="AA1551" t="s">
        <v>106</v>
      </c>
      <c r="AB1551" t="s">
        <v>107</v>
      </c>
      <c r="AC1551" t="s">
        <v>1641</v>
      </c>
      <c r="AD1551" t="s">
        <v>1603</v>
      </c>
      <c r="AE1551" t="s">
        <v>110</v>
      </c>
      <c r="AG1551" t="s">
        <v>1632</v>
      </c>
      <c r="AH1551" t="s">
        <v>72</v>
      </c>
      <c r="AI1551" t="s">
        <v>1633</v>
      </c>
      <c r="AJ1551">
        <v>1972</v>
      </c>
      <c r="AK1551" t="s">
        <v>1642</v>
      </c>
      <c r="AM1551" t="s">
        <v>1643</v>
      </c>
      <c r="AN1551" t="s">
        <v>114</v>
      </c>
      <c r="AO1551" t="s">
        <v>77</v>
      </c>
      <c r="AP1551" t="s">
        <v>78</v>
      </c>
      <c r="AQ1551" t="s">
        <v>1644</v>
      </c>
      <c r="AR1551" t="s">
        <v>80</v>
      </c>
      <c r="AS1551">
        <v>701</v>
      </c>
      <c r="AT1551" t="s">
        <v>81</v>
      </c>
      <c r="AU1551">
        <v>-18.420000000000002</v>
      </c>
      <c r="AV1551">
        <v>-51.66</v>
      </c>
      <c r="AW1551" t="s">
        <v>82</v>
      </c>
      <c r="AX1551">
        <v>701</v>
      </c>
      <c r="AY1551" t="s">
        <v>81</v>
      </c>
      <c r="AZ1551">
        <v>-28.76</v>
      </c>
      <c r="BA1551">
        <v>-61.75</v>
      </c>
      <c r="BB1551" t="s">
        <v>83</v>
      </c>
    </row>
    <row r="1552" spans="1:54" x14ac:dyDescent="0.4">
      <c r="A1552">
        <v>749973</v>
      </c>
      <c r="D1552" t="s">
        <v>1645</v>
      </c>
      <c r="G1552">
        <v>1</v>
      </c>
      <c r="H1552" t="s">
        <v>56</v>
      </c>
      <c r="I1552" t="s">
        <v>57</v>
      </c>
      <c r="K1552" t="s">
        <v>1630</v>
      </c>
      <c r="L1552" t="s">
        <v>1631</v>
      </c>
      <c r="M1552" t="s">
        <v>60</v>
      </c>
      <c r="P1552" t="s">
        <v>511</v>
      </c>
      <c r="Q1552" t="s">
        <v>1536</v>
      </c>
      <c r="R1552" t="s">
        <v>512</v>
      </c>
      <c r="S1552" t="s">
        <v>123</v>
      </c>
      <c r="T1552">
        <v>259.51</v>
      </c>
      <c r="U1552">
        <v>251.90199999999999</v>
      </c>
      <c r="V1552">
        <f t="shared" si="48"/>
        <v>255.70599999999999</v>
      </c>
      <c r="W1552">
        <f t="shared" si="49"/>
        <v>7.6080000000000041</v>
      </c>
      <c r="X1552">
        <v>24.549999</v>
      </c>
      <c r="Y1552">
        <v>-31.866667</v>
      </c>
      <c r="Z1552" t="s">
        <v>124</v>
      </c>
      <c r="AA1552" t="s">
        <v>106</v>
      </c>
      <c r="AB1552" t="s">
        <v>107</v>
      </c>
      <c r="AC1552" t="s">
        <v>1641</v>
      </c>
      <c r="AD1552" t="s">
        <v>1603</v>
      </c>
      <c r="AE1552" t="s">
        <v>110</v>
      </c>
      <c r="AG1552" t="s">
        <v>1646</v>
      </c>
      <c r="AH1552" t="s">
        <v>72</v>
      </c>
      <c r="AI1552" t="s">
        <v>1633</v>
      </c>
      <c r="AJ1552">
        <v>1972</v>
      </c>
      <c r="AK1552" t="s">
        <v>1647</v>
      </c>
      <c r="AM1552" t="s">
        <v>1648</v>
      </c>
      <c r="AN1552" t="s">
        <v>114</v>
      </c>
      <c r="AO1552" t="s">
        <v>160</v>
      </c>
      <c r="AP1552" t="s">
        <v>359</v>
      </c>
      <c r="AQ1552" t="s">
        <v>1649</v>
      </c>
      <c r="AR1552" t="s">
        <v>80</v>
      </c>
      <c r="AS1552">
        <v>701</v>
      </c>
      <c r="AT1552" t="s">
        <v>81</v>
      </c>
      <c r="AU1552">
        <v>-17.98</v>
      </c>
      <c r="AV1552">
        <v>-51.75</v>
      </c>
      <c r="AW1552" t="s">
        <v>82</v>
      </c>
      <c r="AX1552">
        <v>701</v>
      </c>
      <c r="AY1552" t="s">
        <v>81</v>
      </c>
      <c r="AZ1552">
        <v>-28.21</v>
      </c>
      <c r="BA1552">
        <v>-61.88</v>
      </c>
      <c r="BB1552" t="s">
        <v>83</v>
      </c>
    </row>
    <row r="1553" spans="1:54" x14ac:dyDescent="0.4">
      <c r="A1553">
        <v>749974</v>
      </c>
      <c r="D1553" t="s">
        <v>1645</v>
      </c>
      <c r="G1553">
        <v>1</v>
      </c>
      <c r="H1553" t="s">
        <v>56</v>
      </c>
      <c r="I1553" t="s">
        <v>57</v>
      </c>
      <c r="K1553" t="s">
        <v>1630</v>
      </c>
      <c r="L1553" t="s">
        <v>1637</v>
      </c>
      <c r="M1553" t="s">
        <v>60</v>
      </c>
      <c r="P1553" t="s">
        <v>511</v>
      </c>
      <c r="Q1553" t="s">
        <v>1536</v>
      </c>
      <c r="R1553" t="s">
        <v>512</v>
      </c>
      <c r="S1553" t="s">
        <v>123</v>
      </c>
      <c r="T1553">
        <v>259.51</v>
      </c>
      <c r="U1553">
        <v>251.90199999999999</v>
      </c>
      <c r="V1553">
        <f t="shared" si="48"/>
        <v>255.70599999999999</v>
      </c>
      <c r="W1553">
        <f t="shared" si="49"/>
        <v>7.6080000000000041</v>
      </c>
      <c r="X1553">
        <v>24.549999</v>
      </c>
      <c r="Y1553">
        <v>-31.866667</v>
      </c>
      <c r="Z1553" t="s">
        <v>124</v>
      </c>
      <c r="AA1553" t="s">
        <v>106</v>
      </c>
      <c r="AB1553" t="s">
        <v>107</v>
      </c>
      <c r="AC1553" t="s">
        <v>1641</v>
      </c>
      <c r="AD1553" t="s">
        <v>1603</v>
      </c>
      <c r="AE1553" t="s">
        <v>110</v>
      </c>
      <c r="AG1553" t="s">
        <v>1646</v>
      </c>
      <c r="AH1553" t="s">
        <v>72</v>
      </c>
      <c r="AI1553" t="s">
        <v>111</v>
      </c>
      <c r="AJ1553">
        <v>1948</v>
      </c>
      <c r="AK1553" t="s">
        <v>1647</v>
      </c>
      <c r="AM1553" t="s">
        <v>1648</v>
      </c>
      <c r="AN1553" t="s">
        <v>114</v>
      </c>
      <c r="AO1553" t="s">
        <v>160</v>
      </c>
      <c r="AP1553" t="s">
        <v>359</v>
      </c>
      <c r="AQ1553" t="s">
        <v>1649</v>
      </c>
      <c r="AR1553" t="s">
        <v>80</v>
      </c>
      <c r="AS1553">
        <v>701</v>
      </c>
      <c r="AT1553" t="s">
        <v>81</v>
      </c>
      <c r="AU1553">
        <v>-17.98</v>
      </c>
      <c r="AV1553">
        <v>-51.75</v>
      </c>
      <c r="AW1553" t="s">
        <v>82</v>
      </c>
      <c r="AX1553">
        <v>701</v>
      </c>
      <c r="AY1553" t="s">
        <v>81</v>
      </c>
      <c r="AZ1553">
        <v>-28.21</v>
      </c>
      <c r="BA1553">
        <v>-61.88</v>
      </c>
      <c r="BB1553" t="s">
        <v>83</v>
      </c>
    </row>
    <row r="1554" spans="1:54" x14ac:dyDescent="0.4">
      <c r="A1554">
        <v>749975</v>
      </c>
      <c r="D1554" t="s">
        <v>1645</v>
      </c>
      <c r="G1554">
        <v>1</v>
      </c>
      <c r="H1554" t="s">
        <v>56</v>
      </c>
      <c r="I1554" t="s">
        <v>57</v>
      </c>
      <c r="K1554" t="s">
        <v>1630</v>
      </c>
      <c r="L1554" t="s">
        <v>1650</v>
      </c>
      <c r="M1554" t="s">
        <v>60</v>
      </c>
      <c r="P1554" t="s">
        <v>511</v>
      </c>
      <c r="Q1554" t="s">
        <v>1536</v>
      </c>
      <c r="R1554" t="s">
        <v>512</v>
      </c>
      <c r="S1554" t="s">
        <v>123</v>
      </c>
      <c r="T1554">
        <v>259.51</v>
      </c>
      <c r="U1554">
        <v>251.90199999999999</v>
      </c>
      <c r="V1554">
        <f t="shared" si="48"/>
        <v>255.70599999999999</v>
      </c>
      <c r="W1554">
        <f t="shared" si="49"/>
        <v>7.6080000000000041</v>
      </c>
      <c r="X1554">
        <v>24.549999</v>
      </c>
      <c r="Y1554">
        <v>-31.866667</v>
      </c>
      <c r="Z1554" t="s">
        <v>124</v>
      </c>
      <c r="AA1554" t="s">
        <v>106</v>
      </c>
      <c r="AB1554" t="s">
        <v>107</v>
      </c>
      <c r="AC1554" t="s">
        <v>1641</v>
      </c>
      <c r="AD1554" t="s">
        <v>1603</v>
      </c>
      <c r="AE1554" t="s">
        <v>110</v>
      </c>
      <c r="AG1554" t="s">
        <v>1646</v>
      </c>
      <c r="AH1554" t="s">
        <v>72</v>
      </c>
      <c r="AI1554" t="s">
        <v>111</v>
      </c>
      <c r="AJ1554">
        <v>1948</v>
      </c>
      <c r="AK1554" t="s">
        <v>1647</v>
      </c>
      <c r="AM1554" t="s">
        <v>1648</v>
      </c>
      <c r="AN1554" t="s">
        <v>114</v>
      </c>
      <c r="AO1554" t="s">
        <v>160</v>
      </c>
      <c r="AP1554" t="s">
        <v>359</v>
      </c>
      <c r="AQ1554" t="s">
        <v>1649</v>
      </c>
      <c r="AR1554" t="s">
        <v>80</v>
      </c>
      <c r="AS1554">
        <v>701</v>
      </c>
      <c r="AT1554" t="s">
        <v>81</v>
      </c>
      <c r="AU1554">
        <v>-17.98</v>
      </c>
      <c r="AV1554">
        <v>-51.75</v>
      </c>
      <c r="AW1554" t="s">
        <v>82</v>
      </c>
      <c r="AX1554">
        <v>701</v>
      </c>
      <c r="AY1554" t="s">
        <v>81</v>
      </c>
      <c r="AZ1554">
        <v>-28.21</v>
      </c>
      <c r="BA1554">
        <v>-61.88</v>
      </c>
      <c r="BB1554" t="s">
        <v>83</v>
      </c>
    </row>
    <row r="1555" spans="1:54" x14ac:dyDescent="0.4">
      <c r="A1555">
        <v>749976</v>
      </c>
      <c r="D1555" t="s">
        <v>1645</v>
      </c>
      <c r="G1555">
        <v>1</v>
      </c>
      <c r="H1555" t="s">
        <v>56</v>
      </c>
      <c r="I1555" t="s">
        <v>57</v>
      </c>
      <c r="K1555" t="s">
        <v>1630</v>
      </c>
      <c r="L1555" t="s">
        <v>1650</v>
      </c>
      <c r="M1555" t="s">
        <v>60</v>
      </c>
      <c r="P1555" t="s">
        <v>511</v>
      </c>
      <c r="Q1555" t="s">
        <v>1536</v>
      </c>
      <c r="R1555" t="s">
        <v>512</v>
      </c>
      <c r="S1555" t="s">
        <v>123</v>
      </c>
      <c r="T1555">
        <v>259.51</v>
      </c>
      <c r="U1555">
        <v>251.90199999999999</v>
      </c>
      <c r="V1555">
        <f t="shared" si="48"/>
        <v>255.70599999999999</v>
      </c>
      <c r="W1555">
        <f t="shared" si="49"/>
        <v>7.6080000000000041</v>
      </c>
      <c r="X1555">
        <v>24.549999</v>
      </c>
      <c r="Y1555">
        <v>-31.866667</v>
      </c>
      <c r="Z1555" t="s">
        <v>124</v>
      </c>
      <c r="AA1555" t="s">
        <v>106</v>
      </c>
      <c r="AB1555" t="s">
        <v>107</v>
      </c>
      <c r="AC1555" t="s">
        <v>1641</v>
      </c>
      <c r="AD1555" t="s">
        <v>1603</v>
      </c>
      <c r="AE1555" t="s">
        <v>110</v>
      </c>
      <c r="AG1555" t="s">
        <v>1646</v>
      </c>
      <c r="AH1555" t="s">
        <v>11</v>
      </c>
      <c r="AI1555" t="s">
        <v>1633</v>
      </c>
      <c r="AJ1555">
        <v>1972</v>
      </c>
      <c r="AK1555" t="s">
        <v>1647</v>
      </c>
      <c r="AM1555" t="s">
        <v>1648</v>
      </c>
      <c r="AN1555" t="s">
        <v>114</v>
      </c>
      <c r="AO1555" t="s">
        <v>160</v>
      </c>
      <c r="AP1555" t="s">
        <v>359</v>
      </c>
      <c r="AQ1555" t="s">
        <v>1649</v>
      </c>
      <c r="AR1555" t="s">
        <v>80</v>
      </c>
      <c r="AS1555">
        <v>701</v>
      </c>
      <c r="AT1555" t="s">
        <v>81</v>
      </c>
      <c r="AU1555">
        <v>-17.98</v>
      </c>
      <c r="AV1555">
        <v>-51.75</v>
      </c>
      <c r="AW1555" t="s">
        <v>82</v>
      </c>
      <c r="AX1555">
        <v>701</v>
      </c>
      <c r="AY1555" t="s">
        <v>81</v>
      </c>
      <c r="AZ1555">
        <v>-28.21</v>
      </c>
      <c r="BA1555">
        <v>-61.88</v>
      </c>
      <c r="BB1555" t="s">
        <v>83</v>
      </c>
    </row>
    <row r="1556" spans="1:54" x14ac:dyDescent="0.4">
      <c r="A1556">
        <v>749977</v>
      </c>
      <c r="D1556" t="s">
        <v>54</v>
      </c>
      <c r="G1556">
        <v>1</v>
      </c>
      <c r="H1556" t="s">
        <v>56</v>
      </c>
      <c r="I1556" t="s">
        <v>57</v>
      </c>
      <c r="K1556" t="s">
        <v>1630</v>
      </c>
      <c r="L1556" t="s">
        <v>1637</v>
      </c>
      <c r="M1556" t="s">
        <v>60</v>
      </c>
      <c r="P1556" t="s">
        <v>511</v>
      </c>
      <c r="Q1556" t="s">
        <v>1536</v>
      </c>
      <c r="R1556" t="s">
        <v>512</v>
      </c>
      <c r="S1556" t="s">
        <v>123</v>
      </c>
      <c r="T1556">
        <v>259.51</v>
      </c>
      <c r="U1556">
        <v>251.90199999999999</v>
      </c>
      <c r="V1556">
        <f t="shared" si="48"/>
        <v>255.70599999999999</v>
      </c>
      <c r="W1556">
        <f t="shared" si="49"/>
        <v>7.6080000000000041</v>
      </c>
      <c r="X1556">
        <v>24.440832</v>
      </c>
      <c r="Y1556">
        <v>-31.859444</v>
      </c>
      <c r="Z1556" t="s">
        <v>124</v>
      </c>
      <c r="AA1556" t="s">
        <v>106</v>
      </c>
      <c r="AB1556" t="s">
        <v>107</v>
      </c>
      <c r="AC1556" t="s">
        <v>1641</v>
      </c>
      <c r="AD1556" t="s">
        <v>1603</v>
      </c>
      <c r="AE1556" t="s">
        <v>110</v>
      </c>
      <c r="AG1556" t="s">
        <v>1651</v>
      </c>
      <c r="AH1556" t="s">
        <v>72</v>
      </c>
      <c r="AI1556" t="s">
        <v>1633</v>
      </c>
      <c r="AJ1556">
        <v>1972</v>
      </c>
      <c r="AK1556" t="s">
        <v>1652</v>
      </c>
      <c r="AN1556" t="s">
        <v>341</v>
      </c>
      <c r="AO1556" t="s">
        <v>77</v>
      </c>
      <c r="AP1556" t="s">
        <v>78</v>
      </c>
      <c r="AQ1556" t="s">
        <v>1653</v>
      </c>
      <c r="AR1556" t="s">
        <v>80</v>
      </c>
      <c r="AS1556">
        <v>701</v>
      </c>
      <c r="AT1556" t="s">
        <v>81</v>
      </c>
      <c r="AU1556">
        <v>-18.05</v>
      </c>
      <c r="AV1556">
        <v>-51.67</v>
      </c>
      <c r="AW1556" t="s">
        <v>82</v>
      </c>
      <c r="AX1556">
        <v>701</v>
      </c>
      <c r="AY1556" t="s">
        <v>81</v>
      </c>
      <c r="AZ1556">
        <v>-28.28</v>
      </c>
      <c r="BA1556">
        <v>-61.79</v>
      </c>
      <c r="BB1556" t="s">
        <v>83</v>
      </c>
    </row>
    <row r="1557" spans="1:54" x14ac:dyDescent="0.4">
      <c r="A1557">
        <v>749996</v>
      </c>
      <c r="D1557" t="s">
        <v>54</v>
      </c>
      <c r="E1557" t="s">
        <v>152</v>
      </c>
      <c r="G1557">
        <v>1</v>
      </c>
      <c r="H1557" t="s">
        <v>56</v>
      </c>
      <c r="I1557" t="s">
        <v>57</v>
      </c>
      <c r="K1557" t="s">
        <v>1630</v>
      </c>
      <c r="L1557" t="s">
        <v>1637</v>
      </c>
      <c r="M1557" t="s">
        <v>60</v>
      </c>
      <c r="P1557" t="s">
        <v>511</v>
      </c>
      <c r="Q1557" t="s">
        <v>1536</v>
      </c>
      <c r="R1557" t="s">
        <v>512</v>
      </c>
      <c r="S1557" t="s">
        <v>123</v>
      </c>
      <c r="T1557">
        <v>259.51</v>
      </c>
      <c r="U1557">
        <v>251.90199999999999</v>
      </c>
      <c r="V1557">
        <f t="shared" si="48"/>
        <v>255.70599999999999</v>
      </c>
      <c r="W1557">
        <f t="shared" si="49"/>
        <v>7.6080000000000041</v>
      </c>
      <c r="X1557">
        <v>24.549999</v>
      </c>
      <c r="Y1557">
        <v>-31.866667</v>
      </c>
      <c r="Z1557" t="s">
        <v>124</v>
      </c>
      <c r="AA1557" t="s">
        <v>106</v>
      </c>
      <c r="AB1557" t="s">
        <v>107</v>
      </c>
      <c r="AC1557" t="s">
        <v>1641</v>
      </c>
      <c r="AD1557" t="s">
        <v>1603</v>
      </c>
      <c r="AE1557" t="s">
        <v>110</v>
      </c>
      <c r="AG1557" t="s">
        <v>1658</v>
      </c>
      <c r="AH1557" t="s">
        <v>72</v>
      </c>
      <c r="AI1557" t="s">
        <v>111</v>
      </c>
      <c r="AJ1557">
        <v>1948</v>
      </c>
      <c r="AK1557" t="s">
        <v>1659</v>
      </c>
      <c r="AM1557" t="s">
        <v>1660</v>
      </c>
      <c r="AN1557" t="s">
        <v>114</v>
      </c>
      <c r="AO1557" t="s">
        <v>160</v>
      </c>
      <c r="AP1557" t="s">
        <v>78</v>
      </c>
      <c r="AQ1557" t="s">
        <v>1661</v>
      </c>
      <c r="AR1557" t="s">
        <v>80</v>
      </c>
      <c r="AS1557">
        <v>701</v>
      </c>
      <c r="AT1557" t="s">
        <v>81</v>
      </c>
      <c r="AU1557">
        <v>-17.98</v>
      </c>
      <c r="AV1557">
        <v>-51.75</v>
      </c>
      <c r="AW1557" t="s">
        <v>82</v>
      </c>
      <c r="AX1557">
        <v>701</v>
      </c>
      <c r="AY1557" t="s">
        <v>81</v>
      </c>
      <c r="AZ1557">
        <v>-28.21</v>
      </c>
      <c r="BA1557">
        <v>-61.88</v>
      </c>
      <c r="BB1557" t="s">
        <v>83</v>
      </c>
    </row>
    <row r="1558" spans="1:54" x14ac:dyDescent="0.4">
      <c r="A1558">
        <v>750019</v>
      </c>
      <c r="D1558" t="s">
        <v>54</v>
      </c>
      <c r="G1558">
        <v>1</v>
      </c>
      <c r="H1558" t="s">
        <v>56</v>
      </c>
      <c r="I1558" t="s">
        <v>57</v>
      </c>
      <c r="K1558" t="s">
        <v>1630</v>
      </c>
      <c r="L1558" t="s">
        <v>1662</v>
      </c>
      <c r="M1558" t="s">
        <v>60</v>
      </c>
      <c r="P1558" t="s">
        <v>511</v>
      </c>
      <c r="Q1558" t="s">
        <v>1536</v>
      </c>
      <c r="R1558" t="s">
        <v>512</v>
      </c>
      <c r="S1558" t="s">
        <v>123</v>
      </c>
      <c r="T1558">
        <v>259.51</v>
      </c>
      <c r="U1558">
        <v>251.90199999999999</v>
      </c>
      <c r="V1558">
        <f t="shared" si="48"/>
        <v>255.70599999999999</v>
      </c>
      <c r="W1558">
        <f t="shared" si="49"/>
        <v>7.6080000000000041</v>
      </c>
      <c r="X1558">
        <v>24.573609999999999</v>
      </c>
      <c r="Y1558">
        <v>-31.958331999999999</v>
      </c>
      <c r="Z1558" t="s">
        <v>124</v>
      </c>
      <c r="AA1558" t="s">
        <v>106</v>
      </c>
      <c r="AB1558" t="s">
        <v>107</v>
      </c>
      <c r="AC1558" t="s">
        <v>1641</v>
      </c>
      <c r="AD1558" t="s">
        <v>1603</v>
      </c>
      <c r="AE1558" t="s">
        <v>110</v>
      </c>
      <c r="AG1558" t="s">
        <v>1646</v>
      </c>
      <c r="AH1558" t="s">
        <v>72</v>
      </c>
      <c r="AI1558" t="s">
        <v>111</v>
      </c>
      <c r="AJ1558">
        <v>1940</v>
      </c>
      <c r="AK1558" t="s">
        <v>1663</v>
      </c>
      <c r="AN1558" t="s">
        <v>114</v>
      </c>
      <c r="AO1558" t="s">
        <v>77</v>
      </c>
      <c r="AP1558" t="s">
        <v>359</v>
      </c>
      <c r="AQ1558" t="s">
        <v>1664</v>
      </c>
      <c r="AR1558" t="s">
        <v>80</v>
      </c>
      <c r="AS1558">
        <v>701</v>
      </c>
      <c r="AT1558" t="s">
        <v>81</v>
      </c>
      <c r="AU1558">
        <v>-18.09</v>
      </c>
      <c r="AV1558">
        <v>-51.82</v>
      </c>
      <c r="AW1558" t="s">
        <v>82</v>
      </c>
      <c r="AX1558">
        <v>701</v>
      </c>
      <c r="AY1558" t="s">
        <v>81</v>
      </c>
      <c r="AZ1558">
        <v>-28.37</v>
      </c>
      <c r="BA1558">
        <v>-61.93</v>
      </c>
      <c r="BB1558" t="s">
        <v>83</v>
      </c>
    </row>
    <row r="1559" spans="1:54" x14ac:dyDescent="0.4">
      <c r="A1559">
        <v>790024</v>
      </c>
      <c r="D1559" t="s">
        <v>498</v>
      </c>
      <c r="E1559" t="s">
        <v>55</v>
      </c>
      <c r="G1559">
        <v>15</v>
      </c>
      <c r="H1559" t="s">
        <v>84</v>
      </c>
      <c r="I1559" t="s">
        <v>57</v>
      </c>
      <c r="K1559" t="s">
        <v>1911</v>
      </c>
      <c r="L1559" t="s">
        <v>1912</v>
      </c>
      <c r="M1559" t="s">
        <v>60</v>
      </c>
      <c r="P1559" t="s">
        <v>511</v>
      </c>
      <c r="Q1559" t="s">
        <v>1536</v>
      </c>
      <c r="R1559" t="s">
        <v>512</v>
      </c>
      <c r="S1559" t="s">
        <v>123</v>
      </c>
      <c r="T1559">
        <v>259.51</v>
      </c>
      <c r="U1559">
        <v>251.90199999999999</v>
      </c>
      <c r="V1559">
        <f t="shared" si="48"/>
        <v>255.70599999999999</v>
      </c>
      <c r="W1559">
        <f t="shared" si="49"/>
        <v>7.6080000000000041</v>
      </c>
      <c r="X1559">
        <v>44.416668000000001</v>
      </c>
      <c r="Y1559">
        <v>-24</v>
      </c>
      <c r="Z1559" t="s">
        <v>124</v>
      </c>
      <c r="AA1559" t="s">
        <v>1913</v>
      </c>
      <c r="AB1559" t="s">
        <v>1914</v>
      </c>
      <c r="AD1559" t="s">
        <v>1915</v>
      </c>
      <c r="AE1559" t="s">
        <v>1916</v>
      </c>
      <c r="AH1559" t="s">
        <v>72</v>
      </c>
      <c r="AI1559" t="s">
        <v>1917</v>
      </c>
      <c r="AJ1559">
        <v>1981</v>
      </c>
      <c r="AK1559" t="s">
        <v>1918</v>
      </c>
      <c r="AM1559" t="s">
        <v>1919</v>
      </c>
      <c r="AN1559" t="s">
        <v>192</v>
      </c>
      <c r="AO1559" t="s">
        <v>657</v>
      </c>
      <c r="AP1559" t="s">
        <v>359</v>
      </c>
      <c r="AQ1559" t="s">
        <v>1920</v>
      </c>
      <c r="AR1559" t="s">
        <v>80</v>
      </c>
      <c r="AS1559">
        <v>702</v>
      </c>
      <c r="AT1559" t="s">
        <v>81</v>
      </c>
      <c r="AU1559">
        <v>22.51</v>
      </c>
      <c r="AV1559">
        <v>-42.93</v>
      </c>
      <c r="AW1559" t="s">
        <v>82</v>
      </c>
      <c r="AX1559">
        <v>702</v>
      </c>
      <c r="AY1559" t="s">
        <v>81</v>
      </c>
      <c r="AZ1559">
        <v>24.25</v>
      </c>
      <c r="BA1559">
        <v>-52.74</v>
      </c>
      <c r="BB1559" t="s">
        <v>83</v>
      </c>
    </row>
    <row r="1560" spans="1:54" x14ac:dyDescent="0.4">
      <c r="A1560">
        <v>790114</v>
      </c>
      <c r="D1560" t="s">
        <v>179</v>
      </c>
      <c r="E1560" t="s">
        <v>154</v>
      </c>
      <c r="G1560">
        <v>1</v>
      </c>
      <c r="H1560" t="s">
        <v>56</v>
      </c>
      <c r="I1560" t="s">
        <v>57</v>
      </c>
      <c r="K1560" t="s">
        <v>1921</v>
      </c>
      <c r="L1560" t="s">
        <v>1922</v>
      </c>
      <c r="M1560" t="s">
        <v>60</v>
      </c>
      <c r="N1560" t="s">
        <v>119</v>
      </c>
      <c r="O1560" t="s">
        <v>134</v>
      </c>
      <c r="P1560" t="s">
        <v>511</v>
      </c>
      <c r="Q1560" t="s">
        <v>1536</v>
      </c>
      <c r="R1560" t="s">
        <v>512</v>
      </c>
      <c r="S1560" t="s">
        <v>123</v>
      </c>
      <c r="T1560">
        <v>259.51</v>
      </c>
      <c r="U1560">
        <v>251.90199999999999</v>
      </c>
      <c r="V1560">
        <f t="shared" si="48"/>
        <v>255.70599999999999</v>
      </c>
      <c r="W1560">
        <f t="shared" si="49"/>
        <v>7.6080000000000041</v>
      </c>
      <c r="X1560">
        <v>45.349997999999999</v>
      </c>
      <c r="Y1560">
        <v>-22.666668000000001</v>
      </c>
      <c r="Z1560" t="s">
        <v>1923</v>
      </c>
      <c r="AA1560" t="s">
        <v>1913</v>
      </c>
      <c r="AB1560" t="s">
        <v>1924</v>
      </c>
      <c r="AD1560" t="s">
        <v>1915</v>
      </c>
      <c r="AE1560" t="s">
        <v>1916</v>
      </c>
      <c r="AH1560" t="s">
        <v>72</v>
      </c>
      <c r="AI1560" t="s">
        <v>1917</v>
      </c>
      <c r="AJ1560">
        <v>1981</v>
      </c>
      <c r="AK1560" t="s">
        <v>1925</v>
      </c>
      <c r="AM1560" t="s">
        <v>1926</v>
      </c>
      <c r="AN1560" t="s">
        <v>114</v>
      </c>
      <c r="AO1560" t="s">
        <v>160</v>
      </c>
      <c r="AP1560" t="s">
        <v>78</v>
      </c>
      <c r="AQ1560" t="s">
        <v>1927</v>
      </c>
      <c r="AR1560" t="s">
        <v>80</v>
      </c>
      <c r="AS1560">
        <v>702</v>
      </c>
      <c r="AT1560" t="s">
        <v>81</v>
      </c>
      <c r="AU1560">
        <v>24.64</v>
      </c>
      <c r="AV1560">
        <v>-42.67</v>
      </c>
      <c r="AW1560" t="s">
        <v>82</v>
      </c>
      <c r="AX1560">
        <v>702</v>
      </c>
      <c r="AY1560" t="s">
        <v>81</v>
      </c>
      <c r="AZ1560">
        <v>26.71</v>
      </c>
      <c r="BA1560">
        <v>-52.23</v>
      </c>
      <c r="BB1560" t="s">
        <v>83</v>
      </c>
    </row>
    <row r="1561" spans="1:54" x14ac:dyDescent="0.4">
      <c r="A1561">
        <v>790114</v>
      </c>
      <c r="D1561" t="s">
        <v>179</v>
      </c>
      <c r="E1561" t="s">
        <v>154</v>
      </c>
      <c r="G1561">
        <v>1</v>
      </c>
      <c r="H1561" t="s">
        <v>56</v>
      </c>
      <c r="I1561" t="s">
        <v>57</v>
      </c>
      <c r="K1561" t="s">
        <v>1921</v>
      </c>
      <c r="L1561" t="s">
        <v>1922</v>
      </c>
      <c r="M1561" t="s">
        <v>60</v>
      </c>
      <c r="N1561" t="s">
        <v>119</v>
      </c>
      <c r="O1561" t="s">
        <v>134</v>
      </c>
      <c r="P1561" t="s">
        <v>511</v>
      </c>
      <c r="Q1561" t="s">
        <v>1536</v>
      </c>
      <c r="R1561" t="s">
        <v>512</v>
      </c>
      <c r="S1561" t="s">
        <v>123</v>
      </c>
      <c r="T1561">
        <v>259.51</v>
      </c>
      <c r="U1561">
        <v>251.90199999999999</v>
      </c>
      <c r="V1561">
        <f t="shared" si="48"/>
        <v>255.70599999999999</v>
      </c>
      <c r="W1561">
        <f t="shared" si="49"/>
        <v>7.6080000000000041</v>
      </c>
      <c r="X1561">
        <v>45.349997999999999</v>
      </c>
      <c r="Y1561">
        <v>-22.666668000000001</v>
      </c>
      <c r="Z1561" t="s">
        <v>1923</v>
      </c>
      <c r="AA1561" t="s">
        <v>1913</v>
      </c>
      <c r="AB1561" t="s">
        <v>1924</v>
      </c>
      <c r="AD1561" t="s">
        <v>1915</v>
      </c>
      <c r="AE1561" t="s">
        <v>1916</v>
      </c>
      <c r="AH1561" t="s">
        <v>72</v>
      </c>
      <c r="AI1561" t="s">
        <v>1917</v>
      </c>
      <c r="AJ1561">
        <v>1981</v>
      </c>
      <c r="AK1561" t="s">
        <v>1925</v>
      </c>
      <c r="AM1561" t="s">
        <v>1926</v>
      </c>
      <c r="AN1561" t="s">
        <v>114</v>
      </c>
      <c r="AO1561" t="s">
        <v>160</v>
      </c>
      <c r="AP1561" t="s">
        <v>78</v>
      </c>
      <c r="AQ1561" t="s">
        <v>1927</v>
      </c>
      <c r="AR1561" t="s">
        <v>80</v>
      </c>
      <c r="AS1561">
        <v>702</v>
      </c>
      <c r="AT1561" t="s">
        <v>81</v>
      </c>
      <c r="AU1561">
        <v>24.64</v>
      </c>
      <c r="AV1561">
        <v>-42.67</v>
      </c>
      <c r="AW1561" t="s">
        <v>82</v>
      </c>
      <c r="AX1561">
        <v>702</v>
      </c>
      <c r="AY1561" t="s">
        <v>81</v>
      </c>
      <c r="AZ1561">
        <v>26.71</v>
      </c>
      <c r="BA1561">
        <v>-52.23</v>
      </c>
      <c r="BB1561" t="s">
        <v>83</v>
      </c>
    </row>
    <row r="1562" spans="1:54" x14ac:dyDescent="0.4">
      <c r="A1562">
        <v>790114</v>
      </c>
      <c r="D1562" t="s">
        <v>179</v>
      </c>
      <c r="E1562" t="s">
        <v>154</v>
      </c>
      <c r="G1562">
        <v>1</v>
      </c>
      <c r="H1562" t="s">
        <v>56</v>
      </c>
      <c r="I1562" t="s">
        <v>57</v>
      </c>
      <c r="K1562" t="s">
        <v>1921</v>
      </c>
      <c r="L1562" t="s">
        <v>1922</v>
      </c>
      <c r="M1562" t="s">
        <v>60</v>
      </c>
      <c r="N1562" t="s">
        <v>119</v>
      </c>
      <c r="O1562" t="s">
        <v>134</v>
      </c>
      <c r="P1562" t="s">
        <v>511</v>
      </c>
      <c r="Q1562" t="s">
        <v>1536</v>
      </c>
      <c r="R1562" t="s">
        <v>512</v>
      </c>
      <c r="S1562" t="s">
        <v>123</v>
      </c>
      <c r="T1562">
        <v>259.51</v>
      </c>
      <c r="U1562">
        <v>251.90199999999999</v>
      </c>
      <c r="V1562">
        <f t="shared" si="48"/>
        <v>255.70599999999999</v>
      </c>
      <c r="W1562">
        <f t="shared" si="49"/>
        <v>7.6080000000000041</v>
      </c>
      <c r="X1562">
        <v>45.349997999999999</v>
      </c>
      <c r="Y1562">
        <v>-22.666668000000001</v>
      </c>
      <c r="Z1562" t="s">
        <v>1923</v>
      </c>
      <c r="AA1562" t="s">
        <v>1913</v>
      </c>
      <c r="AB1562" t="s">
        <v>1924</v>
      </c>
      <c r="AD1562" t="s">
        <v>1915</v>
      </c>
      <c r="AE1562" t="s">
        <v>1916</v>
      </c>
      <c r="AH1562" t="s">
        <v>72</v>
      </c>
      <c r="AI1562" t="s">
        <v>1917</v>
      </c>
      <c r="AJ1562">
        <v>1981</v>
      </c>
      <c r="AK1562" t="s">
        <v>1925</v>
      </c>
      <c r="AM1562" t="s">
        <v>1926</v>
      </c>
      <c r="AN1562" t="s">
        <v>114</v>
      </c>
      <c r="AO1562" t="s">
        <v>160</v>
      </c>
      <c r="AP1562" t="s">
        <v>78</v>
      </c>
      <c r="AQ1562" t="s">
        <v>1927</v>
      </c>
      <c r="AR1562" t="s">
        <v>80</v>
      </c>
      <c r="AS1562">
        <v>702</v>
      </c>
      <c r="AT1562" t="s">
        <v>81</v>
      </c>
      <c r="AU1562">
        <v>24.64</v>
      </c>
      <c r="AV1562">
        <v>-42.67</v>
      </c>
      <c r="AW1562" t="s">
        <v>82</v>
      </c>
      <c r="AX1562">
        <v>702</v>
      </c>
      <c r="AY1562" t="s">
        <v>81</v>
      </c>
      <c r="AZ1562">
        <v>26.71</v>
      </c>
      <c r="BA1562">
        <v>-52.23</v>
      </c>
      <c r="BB1562" t="s">
        <v>83</v>
      </c>
    </row>
    <row r="1563" spans="1:54" x14ac:dyDescent="0.4">
      <c r="A1563">
        <v>790114</v>
      </c>
      <c r="D1563" t="s">
        <v>179</v>
      </c>
      <c r="E1563" t="s">
        <v>154</v>
      </c>
      <c r="G1563">
        <v>1</v>
      </c>
      <c r="H1563" t="s">
        <v>56</v>
      </c>
      <c r="I1563" t="s">
        <v>57</v>
      </c>
      <c r="K1563" t="s">
        <v>1921</v>
      </c>
      <c r="L1563" t="s">
        <v>1922</v>
      </c>
      <c r="M1563" t="s">
        <v>60</v>
      </c>
      <c r="N1563" t="s">
        <v>119</v>
      </c>
      <c r="O1563" t="s">
        <v>134</v>
      </c>
      <c r="P1563" t="s">
        <v>511</v>
      </c>
      <c r="Q1563" t="s">
        <v>1536</v>
      </c>
      <c r="R1563" t="s">
        <v>512</v>
      </c>
      <c r="S1563" t="s">
        <v>123</v>
      </c>
      <c r="T1563">
        <v>259.51</v>
      </c>
      <c r="U1563">
        <v>251.90199999999999</v>
      </c>
      <c r="V1563">
        <f t="shared" si="48"/>
        <v>255.70599999999999</v>
      </c>
      <c r="W1563">
        <f t="shared" si="49"/>
        <v>7.6080000000000041</v>
      </c>
      <c r="X1563">
        <v>45.349997999999999</v>
      </c>
      <c r="Y1563">
        <v>-22.666668000000001</v>
      </c>
      <c r="Z1563" t="s">
        <v>1923</v>
      </c>
      <c r="AA1563" t="s">
        <v>1913</v>
      </c>
      <c r="AB1563" t="s">
        <v>1924</v>
      </c>
      <c r="AD1563" t="s">
        <v>1915</v>
      </c>
      <c r="AE1563" t="s">
        <v>1916</v>
      </c>
      <c r="AH1563" t="s">
        <v>72</v>
      </c>
      <c r="AI1563" t="s">
        <v>1917</v>
      </c>
      <c r="AJ1563">
        <v>1981</v>
      </c>
      <c r="AK1563" t="s">
        <v>1925</v>
      </c>
      <c r="AM1563" t="s">
        <v>1926</v>
      </c>
      <c r="AN1563" t="s">
        <v>114</v>
      </c>
      <c r="AO1563" t="s">
        <v>160</v>
      </c>
      <c r="AP1563" t="s">
        <v>78</v>
      </c>
      <c r="AQ1563" t="s">
        <v>1927</v>
      </c>
      <c r="AR1563" t="s">
        <v>80</v>
      </c>
      <c r="AS1563">
        <v>702</v>
      </c>
      <c r="AT1563" t="s">
        <v>81</v>
      </c>
      <c r="AU1563">
        <v>24.64</v>
      </c>
      <c r="AV1563">
        <v>-42.67</v>
      </c>
      <c r="AW1563" t="s">
        <v>82</v>
      </c>
      <c r="AX1563">
        <v>702</v>
      </c>
      <c r="AY1563" t="s">
        <v>81</v>
      </c>
      <c r="AZ1563">
        <v>26.71</v>
      </c>
      <c r="BA1563">
        <v>-52.23</v>
      </c>
      <c r="BB1563" t="s">
        <v>83</v>
      </c>
    </row>
    <row r="1564" spans="1:54" x14ac:dyDescent="0.4">
      <c r="A1564">
        <v>790114</v>
      </c>
      <c r="D1564" t="s">
        <v>179</v>
      </c>
      <c r="E1564" t="s">
        <v>154</v>
      </c>
      <c r="G1564">
        <v>1</v>
      </c>
      <c r="H1564" t="s">
        <v>56</v>
      </c>
      <c r="I1564" t="s">
        <v>57</v>
      </c>
      <c r="K1564" t="s">
        <v>1921</v>
      </c>
      <c r="L1564" t="s">
        <v>1922</v>
      </c>
      <c r="M1564" t="s">
        <v>60</v>
      </c>
      <c r="N1564" t="s">
        <v>119</v>
      </c>
      <c r="O1564" t="s">
        <v>134</v>
      </c>
      <c r="P1564" t="s">
        <v>511</v>
      </c>
      <c r="Q1564" t="s">
        <v>1536</v>
      </c>
      <c r="R1564" t="s">
        <v>512</v>
      </c>
      <c r="S1564" t="s">
        <v>123</v>
      </c>
      <c r="T1564">
        <v>259.51</v>
      </c>
      <c r="U1564">
        <v>251.90199999999999</v>
      </c>
      <c r="V1564">
        <f t="shared" si="48"/>
        <v>255.70599999999999</v>
      </c>
      <c r="W1564">
        <f t="shared" si="49"/>
        <v>7.6080000000000041</v>
      </c>
      <c r="X1564">
        <v>45.349997999999999</v>
      </c>
      <c r="Y1564">
        <v>-22.666668000000001</v>
      </c>
      <c r="Z1564" t="s">
        <v>1923</v>
      </c>
      <c r="AA1564" t="s">
        <v>1913</v>
      </c>
      <c r="AB1564" t="s">
        <v>1924</v>
      </c>
      <c r="AD1564" t="s">
        <v>1915</v>
      </c>
      <c r="AE1564" t="s">
        <v>1916</v>
      </c>
      <c r="AH1564" t="s">
        <v>72</v>
      </c>
      <c r="AI1564" t="s">
        <v>1917</v>
      </c>
      <c r="AJ1564">
        <v>1981</v>
      </c>
      <c r="AK1564" t="s">
        <v>1925</v>
      </c>
      <c r="AM1564" t="s">
        <v>1926</v>
      </c>
      <c r="AN1564" t="s">
        <v>114</v>
      </c>
      <c r="AO1564" t="s">
        <v>160</v>
      </c>
      <c r="AP1564" t="s">
        <v>78</v>
      </c>
      <c r="AQ1564" t="s">
        <v>1927</v>
      </c>
      <c r="AR1564" t="s">
        <v>80</v>
      </c>
      <c r="AS1564">
        <v>702</v>
      </c>
      <c r="AT1564" t="s">
        <v>81</v>
      </c>
      <c r="AU1564">
        <v>24.64</v>
      </c>
      <c r="AV1564">
        <v>-42.67</v>
      </c>
      <c r="AW1564" t="s">
        <v>82</v>
      </c>
      <c r="AX1564">
        <v>702</v>
      </c>
      <c r="AY1564" t="s">
        <v>81</v>
      </c>
      <c r="AZ1564">
        <v>26.71</v>
      </c>
      <c r="BA1564">
        <v>-52.23</v>
      </c>
      <c r="BB1564" t="s">
        <v>83</v>
      </c>
    </row>
    <row r="1565" spans="1:54" x14ac:dyDescent="0.4">
      <c r="A1565">
        <v>790114</v>
      </c>
      <c r="D1565" t="s">
        <v>179</v>
      </c>
      <c r="E1565" t="s">
        <v>154</v>
      </c>
      <c r="G1565">
        <v>1</v>
      </c>
      <c r="H1565" t="s">
        <v>56</v>
      </c>
      <c r="I1565" t="s">
        <v>57</v>
      </c>
      <c r="K1565" t="s">
        <v>1921</v>
      </c>
      <c r="L1565" t="s">
        <v>1922</v>
      </c>
      <c r="M1565" t="s">
        <v>60</v>
      </c>
      <c r="N1565" t="s">
        <v>119</v>
      </c>
      <c r="O1565" t="s">
        <v>134</v>
      </c>
      <c r="P1565" t="s">
        <v>511</v>
      </c>
      <c r="Q1565" t="s">
        <v>1536</v>
      </c>
      <c r="R1565" t="s">
        <v>512</v>
      </c>
      <c r="S1565" t="s">
        <v>123</v>
      </c>
      <c r="T1565">
        <v>259.51</v>
      </c>
      <c r="U1565">
        <v>251.90199999999999</v>
      </c>
      <c r="V1565">
        <f t="shared" si="48"/>
        <v>255.70599999999999</v>
      </c>
      <c r="W1565">
        <f t="shared" si="49"/>
        <v>7.6080000000000041</v>
      </c>
      <c r="X1565">
        <v>45.349997999999999</v>
      </c>
      <c r="Y1565">
        <v>-22.666668000000001</v>
      </c>
      <c r="Z1565" t="s">
        <v>1923</v>
      </c>
      <c r="AA1565" t="s">
        <v>1913</v>
      </c>
      <c r="AB1565" t="s">
        <v>1924</v>
      </c>
      <c r="AD1565" t="s">
        <v>1915</v>
      </c>
      <c r="AE1565" t="s">
        <v>1916</v>
      </c>
      <c r="AH1565" t="s">
        <v>72</v>
      </c>
      <c r="AI1565" t="s">
        <v>1917</v>
      </c>
      <c r="AJ1565">
        <v>1981</v>
      </c>
      <c r="AK1565" t="s">
        <v>1925</v>
      </c>
      <c r="AM1565" t="s">
        <v>1926</v>
      </c>
      <c r="AN1565" t="s">
        <v>114</v>
      </c>
      <c r="AO1565" t="s">
        <v>160</v>
      </c>
      <c r="AP1565" t="s">
        <v>78</v>
      </c>
      <c r="AQ1565" t="s">
        <v>1927</v>
      </c>
      <c r="AR1565" t="s">
        <v>80</v>
      </c>
      <c r="AS1565">
        <v>702</v>
      </c>
      <c r="AT1565" t="s">
        <v>81</v>
      </c>
      <c r="AU1565">
        <v>24.64</v>
      </c>
      <c r="AV1565">
        <v>-42.67</v>
      </c>
      <c r="AW1565" t="s">
        <v>82</v>
      </c>
      <c r="AX1565">
        <v>702</v>
      </c>
      <c r="AY1565" t="s">
        <v>81</v>
      </c>
      <c r="AZ1565">
        <v>26.71</v>
      </c>
      <c r="BA1565">
        <v>-52.23</v>
      </c>
      <c r="BB1565" t="s">
        <v>83</v>
      </c>
    </row>
    <row r="1566" spans="1:54" x14ac:dyDescent="0.4">
      <c r="A1566">
        <v>790114</v>
      </c>
      <c r="D1566" t="s">
        <v>179</v>
      </c>
      <c r="E1566" t="s">
        <v>154</v>
      </c>
      <c r="G1566">
        <v>1</v>
      </c>
      <c r="H1566" t="s">
        <v>56</v>
      </c>
      <c r="I1566" t="s">
        <v>57</v>
      </c>
      <c r="K1566" t="s">
        <v>1921</v>
      </c>
      <c r="L1566" t="s">
        <v>1922</v>
      </c>
      <c r="M1566" t="s">
        <v>60</v>
      </c>
      <c r="N1566" t="s">
        <v>119</v>
      </c>
      <c r="O1566" t="s">
        <v>134</v>
      </c>
      <c r="P1566" t="s">
        <v>511</v>
      </c>
      <c r="Q1566" t="s">
        <v>1536</v>
      </c>
      <c r="R1566" t="s">
        <v>512</v>
      </c>
      <c r="S1566" t="s">
        <v>123</v>
      </c>
      <c r="T1566">
        <v>259.51</v>
      </c>
      <c r="U1566">
        <v>251.90199999999999</v>
      </c>
      <c r="V1566">
        <f t="shared" si="48"/>
        <v>255.70599999999999</v>
      </c>
      <c r="W1566">
        <f t="shared" si="49"/>
        <v>7.6080000000000041</v>
      </c>
      <c r="X1566">
        <v>45.349997999999999</v>
      </c>
      <c r="Y1566">
        <v>-22.666668000000001</v>
      </c>
      <c r="Z1566" t="s">
        <v>1923</v>
      </c>
      <c r="AA1566" t="s">
        <v>1913</v>
      </c>
      <c r="AB1566" t="s">
        <v>1924</v>
      </c>
      <c r="AD1566" t="s">
        <v>1915</v>
      </c>
      <c r="AE1566" t="s">
        <v>1916</v>
      </c>
      <c r="AH1566" t="s">
        <v>72</v>
      </c>
      <c r="AI1566" t="s">
        <v>1917</v>
      </c>
      <c r="AJ1566">
        <v>1981</v>
      </c>
      <c r="AK1566" t="s">
        <v>1925</v>
      </c>
      <c r="AM1566" t="s">
        <v>1926</v>
      </c>
      <c r="AN1566" t="s">
        <v>114</v>
      </c>
      <c r="AO1566" t="s">
        <v>160</v>
      </c>
      <c r="AP1566" t="s">
        <v>78</v>
      </c>
      <c r="AQ1566" t="s">
        <v>1927</v>
      </c>
      <c r="AR1566" t="s">
        <v>80</v>
      </c>
      <c r="AS1566">
        <v>702</v>
      </c>
      <c r="AT1566" t="s">
        <v>81</v>
      </c>
      <c r="AU1566">
        <v>24.64</v>
      </c>
      <c r="AV1566">
        <v>-42.67</v>
      </c>
      <c r="AW1566" t="s">
        <v>82</v>
      </c>
      <c r="AX1566">
        <v>702</v>
      </c>
      <c r="AY1566" t="s">
        <v>81</v>
      </c>
      <c r="AZ1566">
        <v>26.71</v>
      </c>
      <c r="BA1566">
        <v>-52.23</v>
      </c>
      <c r="BB1566" t="s">
        <v>83</v>
      </c>
    </row>
    <row r="1567" spans="1:54" x14ac:dyDescent="0.4">
      <c r="A1567">
        <v>790114</v>
      </c>
      <c r="D1567" t="s">
        <v>179</v>
      </c>
      <c r="E1567" t="s">
        <v>154</v>
      </c>
      <c r="G1567">
        <v>1</v>
      </c>
      <c r="H1567" t="s">
        <v>56</v>
      </c>
      <c r="I1567" t="s">
        <v>57</v>
      </c>
      <c r="K1567" t="s">
        <v>1921</v>
      </c>
      <c r="L1567" t="s">
        <v>1922</v>
      </c>
      <c r="M1567" t="s">
        <v>60</v>
      </c>
      <c r="N1567" t="s">
        <v>119</v>
      </c>
      <c r="O1567" t="s">
        <v>134</v>
      </c>
      <c r="P1567" t="s">
        <v>511</v>
      </c>
      <c r="Q1567" t="s">
        <v>1536</v>
      </c>
      <c r="R1567" t="s">
        <v>512</v>
      </c>
      <c r="S1567" t="s">
        <v>123</v>
      </c>
      <c r="T1567">
        <v>259.51</v>
      </c>
      <c r="U1567">
        <v>251.90199999999999</v>
      </c>
      <c r="V1567">
        <f t="shared" si="48"/>
        <v>255.70599999999999</v>
      </c>
      <c r="W1567">
        <f t="shared" si="49"/>
        <v>7.6080000000000041</v>
      </c>
      <c r="X1567">
        <v>45.349997999999999</v>
      </c>
      <c r="Y1567">
        <v>-22.666668000000001</v>
      </c>
      <c r="Z1567" t="s">
        <v>1923</v>
      </c>
      <c r="AA1567" t="s">
        <v>1913</v>
      </c>
      <c r="AB1567" t="s">
        <v>1924</v>
      </c>
      <c r="AD1567" t="s">
        <v>1915</v>
      </c>
      <c r="AE1567" t="s">
        <v>1916</v>
      </c>
      <c r="AH1567" t="s">
        <v>72</v>
      </c>
      <c r="AI1567" t="s">
        <v>1917</v>
      </c>
      <c r="AJ1567">
        <v>1981</v>
      </c>
      <c r="AK1567" t="s">
        <v>1925</v>
      </c>
      <c r="AM1567" t="s">
        <v>1926</v>
      </c>
      <c r="AN1567" t="s">
        <v>114</v>
      </c>
      <c r="AO1567" t="s">
        <v>160</v>
      </c>
      <c r="AP1567" t="s">
        <v>78</v>
      </c>
      <c r="AQ1567" t="s">
        <v>1927</v>
      </c>
      <c r="AR1567" t="s">
        <v>80</v>
      </c>
      <c r="AS1567">
        <v>702</v>
      </c>
      <c r="AT1567" t="s">
        <v>81</v>
      </c>
      <c r="AU1567">
        <v>24.64</v>
      </c>
      <c r="AV1567">
        <v>-42.67</v>
      </c>
      <c r="AW1567" t="s">
        <v>82</v>
      </c>
      <c r="AX1567">
        <v>702</v>
      </c>
      <c r="AY1567" t="s">
        <v>81</v>
      </c>
      <c r="AZ1567">
        <v>26.71</v>
      </c>
      <c r="BA1567">
        <v>-52.23</v>
      </c>
      <c r="BB1567" t="s">
        <v>83</v>
      </c>
    </row>
    <row r="1568" spans="1:54" x14ac:dyDescent="0.4">
      <c r="A1568">
        <v>790114</v>
      </c>
      <c r="D1568" t="s">
        <v>179</v>
      </c>
      <c r="E1568" t="s">
        <v>154</v>
      </c>
      <c r="G1568">
        <v>1</v>
      </c>
      <c r="H1568" t="s">
        <v>56</v>
      </c>
      <c r="I1568" t="s">
        <v>57</v>
      </c>
      <c r="K1568" t="s">
        <v>1921</v>
      </c>
      <c r="L1568" t="s">
        <v>1922</v>
      </c>
      <c r="M1568" t="s">
        <v>60</v>
      </c>
      <c r="N1568" t="s">
        <v>119</v>
      </c>
      <c r="O1568" t="s">
        <v>134</v>
      </c>
      <c r="P1568" t="s">
        <v>511</v>
      </c>
      <c r="Q1568" t="s">
        <v>1536</v>
      </c>
      <c r="R1568" t="s">
        <v>512</v>
      </c>
      <c r="S1568" t="s">
        <v>123</v>
      </c>
      <c r="T1568">
        <v>259.51</v>
      </c>
      <c r="U1568">
        <v>251.90199999999999</v>
      </c>
      <c r="V1568">
        <f t="shared" si="48"/>
        <v>255.70599999999999</v>
      </c>
      <c r="W1568">
        <f t="shared" si="49"/>
        <v>7.6080000000000041</v>
      </c>
      <c r="X1568">
        <v>45.349997999999999</v>
      </c>
      <c r="Y1568">
        <v>-22.666668000000001</v>
      </c>
      <c r="Z1568" t="s">
        <v>1923</v>
      </c>
      <c r="AA1568" t="s">
        <v>1913</v>
      </c>
      <c r="AB1568" t="s">
        <v>1924</v>
      </c>
      <c r="AD1568" t="s">
        <v>1915</v>
      </c>
      <c r="AE1568" t="s">
        <v>1916</v>
      </c>
      <c r="AH1568" t="s">
        <v>72</v>
      </c>
      <c r="AI1568" t="s">
        <v>1917</v>
      </c>
      <c r="AJ1568">
        <v>1981</v>
      </c>
      <c r="AK1568" t="s">
        <v>1925</v>
      </c>
      <c r="AM1568" t="s">
        <v>1926</v>
      </c>
      <c r="AN1568" t="s">
        <v>114</v>
      </c>
      <c r="AO1568" t="s">
        <v>160</v>
      </c>
      <c r="AP1568" t="s">
        <v>78</v>
      </c>
      <c r="AQ1568" t="s">
        <v>1927</v>
      </c>
      <c r="AR1568" t="s">
        <v>80</v>
      </c>
      <c r="AS1568">
        <v>702</v>
      </c>
      <c r="AT1568" t="s">
        <v>81</v>
      </c>
      <c r="AU1568">
        <v>24.64</v>
      </c>
      <c r="AV1568">
        <v>-42.67</v>
      </c>
      <c r="AW1568" t="s">
        <v>82</v>
      </c>
      <c r="AX1568">
        <v>702</v>
      </c>
      <c r="AY1568" t="s">
        <v>81</v>
      </c>
      <c r="AZ1568">
        <v>26.71</v>
      </c>
      <c r="BA1568">
        <v>-52.23</v>
      </c>
      <c r="BB1568" t="s">
        <v>83</v>
      </c>
    </row>
    <row r="1569" spans="1:54" x14ac:dyDescent="0.4">
      <c r="A1569">
        <v>790114</v>
      </c>
      <c r="D1569" t="s">
        <v>179</v>
      </c>
      <c r="E1569" t="s">
        <v>154</v>
      </c>
      <c r="G1569">
        <v>1</v>
      </c>
      <c r="H1569" t="s">
        <v>56</v>
      </c>
      <c r="I1569" t="s">
        <v>57</v>
      </c>
      <c r="K1569" t="s">
        <v>1921</v>
      </c>
      <c r="L1569" t="s">
        <v>1922</v>
      </c>
      <c r="M1569" t="s">
        <v>60</v>
      </c>
      <c r="N1569" t="s">
        <v>119</v>
      </c>
      <c r="O1569" t="s">
        <v>134</v>
      </c>
      <c r="P1569" t="s">
        <v>511</v>
      </c>
      <c r="Q1569" t="s">
        <v>1536</v>
      </c>
      <c r="R1569" t="s">
        <v>512</v>
      </c>
      <c r="S1569" t="s">
        <v>123</v>
      </c>
      <c r="T1569">
        <v>259.51</v>
      </c>
      <c r="U1569">
        <v>251.90199999999999</v>
      </c>
      <c r="V1569">
        <f t="shared" si="48"/>
        <v>255.70599999999999</v>
      </c>
      <c r="W1569">
        <f t="shared" si="49"/>
        <v>7.6080000000000041</v>
      </c>
      <c r="X1569">
        <v>45.349997999999999</v>
      </c>
      <c r="Y1569">
        <v>-22.666668000000001</v>
      </c>
      <c r="Z1569" t="s">
        <v>1923</v>
      </c>
      <c r="AA1569" t="s">
        <v>1913</v>
      </c>
      <c r="AB1569" t="s">
        <v>1924</v>
      </c>
      <c r="AD1569" t="s">
        <v>1915</v>
      </c>
      <c r="AE1569" t="s">
        <v>1916</v>
      </c>
      <c r="AH1569" t="s">
        <v>72</v>
      </c>
      <c r="AI1569" t="s">
        <v>1917</v>
      </c>
      <c r="AJ1569">
        <v>1981</v>
      </c>
      <c r="AK1569" t="s">
        <v>1925</v>
      </c>
      <c r="AM1569" t="s">
        <v>1926</v>
      </c>
      <c r="AN1569" t="s">
        <v>114</v>
      </c>
      <c r="AO1569" t="s">
        <v>160</v>
      </c>
      <c r="AP1569" t="s">
        <v>78</v>
      </c>
      <c r="AQ1569" t="s">
        <v>1927</v>
      </c>
      <c r="AR1569" t="s">
        <v>80</v>
      </c>
      <c r="AS1569">
        <v>702</v>
      </c>
      <c r="AT1569" t="s">
        <v>81</v>
      </c>
      <c r="AU1569">
        <v>24.64</v>
      </c>
      <c r="AV1569">
        <v>-42.67</v>
      </c>
      <c r="AW1569" t="s">
        <v>82</v>
      </c>
      <c r="AX1569">
        <v>702</v>
      </c>
      <c r="AY1569" t="s">
        <v>81</v>
      </c>
      <c r="AZ1569">
        <v>26.71</v>
      </c>
      <c r="BA1569">
        <v>-52.23</v>
      </c>
      <c r="BB1569" t="s">
        <v>83</v>
      </c>
    </row>
    <row r="1570" spans="1:54" x14ac:dyDescent="0.4">
      <c r="A1570">
        <v>790114</v>
      </c>
      <c r="D1570" t="s">
        <v>179</v>
      </c>
      <c r="E1570" t="s">
        <v>154</v>
      </c>
      <c r="G1570">
        <v>1</v>
      </c>
      <c r="H1570" t="s">
        <v>56</v>
      </c>
      <c r="I1570" t="s">
        <v>57</v>
      </c>
      <c r="K1570" t="s">
        <v>1921</v>
      </c>
      <c r="L1570" t="s">
        <v>1922</v>
      </c>
      <c r="M1570" t="s">
        <v>60</v>
      </c>
      <c r="N1570" t="s">
        <v>119</v>
      </c>
      <c r="O1570" t="s">
        <v>134</v>
      </c>
      <c r="P1570" t="s">
        <v>511</v>
      </c>
      <c r="Q1570" t="s">
        <v>1536</v>
      </c>
      <c r="R1570" t="s">
        <v>512</v>
      </c>
      <c r="S1570" t="s">
        <v>123</v>
      </c>
      <c r="T1570">
        <v>259.51</v>
      </c>
      <c r="U1570">
        <v>251.90199999999999</v>
      </c>
      <c r="V1570">
        <f t="shared" si="48"/>
        <v>255.70599999999999</v>
      </c>
      <c r="W1570">
        <f t="shared" si="49"/>
        <v>7.6080000000000041</v>
      </c>
      <c r="X1570">
        <v>45.349997999999999</v>
      </c>
      <c r="Y1570">
        <v>-22.666668000000001</v>
      </c>
      <c r="Z1570" t="s">
        <v>1923</v>
      </c>
      <c r="AA1570" t="s">
        <v>1913</v>
      </c>
      <c r="AB1570" t="s">
        <v>1924</v>
      </c>
      <c r="AD1570" t="s">
        <v>1915</v>
      </c>
      <c r="AE1570" t="s">
        <v>1916</v>
      </c>
      <c r="AH1570" t="s">
        <v>72</v>
      </c>
      <c r="AI1570" t="s">
        <v>1917</v>
      </c>
      <c r="AJ1570">
        <v>1981</v>
      </c>
      <c r="AK1570" t="s">
        <v>1925</v>
      </c>
      <c r="AM1570" t="s">
        <v>1926</v>
      </c>
      <c r="AN1570" t="s">
        <v>114</v>
      </c>
      <c r="AO1570" t="s">
        <v>160</v>
      </c>
      <c r="AP1570" t="s">
        <v>78</v>
      </c>
      <c r="AQ1570" t="s">
        <v>1927</v>
      </c>
      <c r="AR1570" t="s">
        <v>80</v>
      </c>
      <c r="AS1570">
        <v>702</v>
      </c>
      <c r="AT1570" t="s">
        <v>81</v>
      </c>
      <c r="AU1570">
        <v>24.64</v>
      </c>
      <c r="AV1570">
        <v>-42.67</v>
      </c>
      <c r="AW1570" t="s">
        <v>82</v>
      </c>
      <c r="AX1570">
        <v>702</v>
      </c>
      <c r="AY1570" t="s">
        <v>81</v>
      </c>
      <c r="AZ1570">
        <v>26.71</v>
      </c>
      <c r="BA1570">
        <v>-52.23</v>
      </c>
      <c r="BB1570" t="s">
        <v>83</v>
      </c>
    </row>
    <row r="1571" spans="1:54" x14ac:dyDescent="0.4">
      <c r="A1571">
        <v>790114</v>
      </c>
      <c r="D1571" t="s">
        <v>179</v>
      </c>
      <c r="E1571" t="s">
        <v>154</v>
      </c>
      <c r="G1571">
        <v>1</v>
      </c>
      <c r="H1571" t="s">
        <v>56</v>
      </c>
      <c r="I1571" t="s">
        <v>57</v>
      </c>
      <c r="K1571" t="s">
        <v>1921</v>
      </c>
      <c r="L1571" t="s">
        <v>1922</v>
      </c>
      <c r="M1571" t="s">
        <v>60</v>
      </c>
      <c r="N1571" t="s">
        <v>119</v>
      </c>
      <c r="O1571" t="s">
        <v>134</v>
      </c>
      <c r="P1571" t="s">
        <v>511</v>
      </c>
      <c r="Q1571" t="s">
        <v>1536</v>
      </c>
      <c r="R1571" t="s">
        <v>512</v>
      </c>
      <c r="S1571" t="s">
        <v>123</v>
      </c>
      <c r="T1571">
        <v>259.51</v>
      </c>
      <c r="U1571">
        <v>251.90199999999999</v>
      </c>
      <c r="V1571">
        <f t="shared" si="48"/>
        <v>255.70599999999999</v>
      </c>
      <c r="W1571">
        <f t="shared" si="49"/>
        <v>7.6080000000000041</v>
      </c>
      <c r="X1571">
        <v>45.349997999999999</v>
      </c>
      <c r="Y1571">
        <v>-22.666668000000001</v>
      </c>
      <c r="Z1571" t="s">
        <v>1923</v>
      </c>
      <c r="AA1571" t="s">
        <v>1913</v>
      </c>
      <c r="AB1571" t="s">
        <v>1924</v>
      </c>
      <c r="AD1571" t="s">
        <v>1915</v>
      </c>
      <c r="AE1571" t="s">
        <v>1916</v>
      </c>
      <c r="AH1571" t="s">
        <v>72</v>
      </c>
      <c r="AI1571" t="s">
        <v>1917</v>
      </c>
      <c r="AJ1571">
        <v>1981</v>
      </c>
      <c r="AK1571" t="s">
        <v>1925</v>
      </c>
      <c r="AM1571" t="s">
        <v>1926</v>
      </c>
      <c r="AN1571" t="s">
        <v>114</v>
      </c>
      <c r="AO1571" t="s">
        <v>160</v>
      </c>
      <c r="AP1571" t="s">
        <v>78</v>
      </c>
      <c r="AQ1571" t="s">
        <v>1927</v>
      </c>
      <c r="AR1571" t="s">
        <v>80</v>
      </c>
      <c r="AS1571">
        <v>702</v>
      </c>
      <c r="AT1571" t="s">
        <v>81</v>
      </c>
      <c r="AU1571">
        <v>24.64</v>
      </c>
      <c r="AV1571">
        <v>-42.67</v>
      </c>
      <c r="AW1571" t="s">
        <v>82</v>
      </c>
      <c r="AX1571">
        <v>702</v>
      </c>
      <c r="AY1571" t="s">
        <v>81</v>
      </c>
      <c r="AZ1571">
        <v>26.71</v>
      </c>
      <c r="BA1571">
        <v>-52.23</v>
      </c>
      <c r="BB1571" t="s">
        <v>83</v>
      </c>
    </row>
    <row r="1572" spans="1:54" x14ac:dyDescent="0.4">
      <c r="A1572">
        <v>790114</v>
      </c>
      <c r="D1572" t="s">
        <v>179</v>
      </c>
      <c r="E1572" t="s">
        <v>154</v>
      </c>
      <c r="G1572">
        <v>1</v>
      </c>
      <c r="H1572" t="s">
        <v>56</v>
      </c>
      <c r="I1572" t="s">
        <v>57</v>
      </c>
      <c r="K1572" t="s">
        <v>1921</v>
      </c>
      <c r="L1572" t="s">
        <v>1922</v>
      </c>
      <c r="M1572" t="s">
        <v>60</v>
      </c>
      <c r="N1572" t="s">
        <v>119</v>
      </c>
      <c r="O1572" t="s">
        <v>134</v>
      </c>
      <c r="P1572" t="s">
        <v>511</v>
      </c>
      <c r="Q1572" t="s">
        <v>1536</v>
      </c>
      <c r="R1572" t="s">
        <v>512</v>
      </c>
      <c r="S1572" t="s">
        <v>123</v>
      </c>
      <c r="T1572">
        <v>259.51</v>
      </c>
      <c r="U1572">
        <v>251.90199999999999</v>
      </c>
      <c r="V1572">
        <f t="shared" si="48"/>
        <v>255.70599999999999</v>
      </c>
      <c r="W1572">
        <f t="shared" si="49"/>
        <v>7.6080000000000041</v>
      </c>
      <c r="X1572">
        <v>45.349997999999999</v>
      </c>
      <c r="Y1572">
        <v>-22.666668000000001</v>
      </c>
      <c r="Z1572" t="s">
        <v>1923</v>
      </c>
      <c r="AA1572" t="s">
        <v>1913</v>
      </c>
      <c r="AB1572" t="s">
        <v>1924</v>
      </c>
      <c r="AD1572" t="s">
        <v>1915</v>
      </c>
      <c r="AE1572" t="s">
        <v>1916</v>
      </c>
      <c r="AH1572" t="s">
        <v>72</v>
      </c>
      <c r="AI1572" t="s">
        <v>1917</v>
      </c>
      <c r="AJ1572">
        <v>1981</v>
      </c>
      <c r="AK1572" t="s">
        <v>1925</v>
      </c>
      <c r="AM1572" t="s">
        <v>1926</v>
      </c>
      <c r="AN1572" t="s">
        <v>114</v>
      </c>
      <c r="AO1572" t="s">
        <v>160</v>
      </c>
      <c r="AP1572" t="s">
        <v>78</v>
      </c>
      <c r="AQ1572" t="s">
        <v>1927</v>
      </c>
      <c r="AR1572" t="s">
        <v>80</v>
      </c>
      <c r="AS1572">
        <v>702</v>
      </c>
      <c r="AT1572" t="s">
        <v>81</v>
      </c>
      <c r="AU1572">
        <v>24.64</v>
      </c>
      <c r="AV1572">
        <v>-42.67</v>
      </c>
      <c r="AW1572" t="s">
        <v>82</v>
      </c>
      <c r="AX1572">
        <v>702</v>
      </c>
      <c r="AY1572" t="s">
        <v>81</v>
      </c>
      <c r="AZ1572">
        <v>26.71</v>
      </c>
      <c r="BA1572">
        <v>-52.23</v>
      </c>
      <c r="BB1572" t="s">
        <v>83</v>
      </c>
    </row>
    <row r="1573" spans="1:54" x14ac:dyDescent="0.4">
      <c r="A1573">
        <v>790115</v>
      </c>
      <c r="D1573" t="s">
        <v>54</v>
      </c>
      <c r="G1573">
        <v>9</v>
      </c>
      <c r="H1573" t="s">
        <v>84</v>
      </c>
      <c r="I1573" t="s">
        <v>57</v>
      </c>
      <c r="K1573" t="s">
        <v>1921</v>
      </c>
      <c r="L1573" t="s">
        <v>1922</v>
      </c>
      <c r="M1573" t="s">
        <v>60</v>
      </c>
      <c r="N1573" t="s">
        <v>119</v>
      </c>
      <c r="O1573" t="s">
        <v>134</v>
      </c>
      <c r="P1573" t="s">
        <v>511</v>
      </c>
      <c r="Q1573" t="s">
        <v>1536</v>
      </c>
      <c r="R1573" t="s">
        <v>512</v>
      </c>
      <c r="S1573" t="s">
        <v>123</v>
      </c>
      <c r="T1573">
        <v>259.51</v>
      </c>
      <c r="U1573">
        <v>251.90199999999999</v>
      </c>
      <c r="V1573">
        <f t="shared" si="48"/>
        <v>255.70599999999999</v>
      </c>
      <c r="W1573">
        <f t="shared" si="49"/>
        <v>7.6080000000000041</v>
      </c>
      <c r="X1573">
        <v>45.083331999999999</v>
      </c>
      <c r="Y1573">
        <v>-23.450001</v>
      </c>
      <c r="Z1573" t="s">
        <v>1923</v>
      </c>
      <c r="AA1573" t="s">
        <v>1913</v>
      </c>
      <c r="AB1573" t="s">
        <v>1914</v>
      </c>
      <c r="AD1573" t="s">
        <v>1915</v>
      </c>
      <c r="AE1573" t="s">
        <v>1916</v>
      </c>
      <c r="AH1573" t="s">
        <v>72</v>
      </c>
      <c r="AI1573" t="s">
        <v>1917</v>
      </c>
      <c r="AJ1573">
        <v>1981</v>
      </c>
      <c r="AK1573" t="s">
        <v>1928</v>
      </c>
      <c r="AM1573" t="s">
        <v>1926</v>
      </c>
      <c r="AN1573" t="s">
        <v>114</v>
      </c>
      <c r="AO1573" t="s">
        <v>160</v>
      </c>
      <c r="AP1573" t="s">
        <v>78</v>
      </c>
      <c r="AQ1573" t="s">
        <v>1929</v>
      </c>
      <c r="AR1573" t="s">
        <v>80</v>
      </c>
      <c r="AS1573">
        <v>702</v>
      </c>
      <c r="AT1573" t="s">
        <v>81</v>
      </c>
      <c r="AU1573">
        <v>23.63</v>
      </c>
      <c r="AV1573">
        <v>-43.02</v>
      </c>
      <c r="AW1573" t="s">
        <v>82</v>
      </c>
      <c r="AX1573">
        <v>702</v>
      </c>
      <c r="AY1573" t="s">
        <v>81</v>
      </c>
      <c r="AZ1573">
        <v>25.6</v>
      </c>
      <c r="BA1573">
        <v>-52.69</v>
      </c>
      <c r="BB1573" t="s">
        <v>83</v>
      </c>
    </row>
    <row r="1574" spans="1:54" x14ac:dyDescent="0.4">
      <c r="A1574">
        <v>790147</v>
      </c>
      <c r="D1574" t="s">
        <v>54</v>
      </c>
      <c r="G1574">
        <v>1</v>
      </c>
      <c r="H1574" t="s">
        <v>56</v>
      </c>
      <c r="I1574" t="s">
        <v>57</v>
      </c>
      <c r="K1574" t="s">
        <v>1921</v>
      </c>
      <c r="L1574" t="s">
        <v>1922</v>
      </c>
      <c r="M1574" t="s">
        <v>60</v>
      </c>
      <c r="N1574" t="s">
        <v>119</v>
      </c>
      <c r="O1574" t="s">
        <v>134</v>
      </c>
      <c r="P1574" t="s">
        <v>511</v>
      </c>
      <c r="Q1574" t="s">
        <v>1536</v>
      </c>
      <c r="R1574" t="s">
        <v>512</v>
      </c>
      <c r="S1574" t="s">
        <v>123</v>
      </c>
      <c r="T1574">
        <v>259.51</v>
      </c>
      <c r="U1574">
        <v>251.90199999999999</v>
      </c>
      <c r="V1574">
        <f t="shared" si="48"/>
        <v>255.70599999999999</v>
      </c>
      <c r="W1574">
        <f t="shared" si="49"/>
        <v>7.6080000000000041</v>
      </c>
      <c r="X1574">
        <v>45.412497999999999</v>
      </c>
      <c r="Y1574">
        <v>-22.558332</v>
      </c>
      <c r="Z1574" t="s">
        <v>1923</v>
      </c>
      <c r="AA1574" t="s">
        <v>1913</v>
      </c>
      <c r="AB1574" t="s">
        <v>1924</v>
      </c>
      <c r="AD1574" t="s">
        <v>1915</v>
      </c>
      <c r="AE1574" t="s">
        <v>1916</v>
      </c>
      <c r="AH1574" t="s">
        <v>72</v>
      </c>
      <c r="AI1574" t="s">
        <v>1917</v>
      </c>
      <c r="AJ1574">
        <v>1981</v>
      </c>
      <c r="AK1574" t="s">
        <v>1930</v>
      </c>
      <c r="AM1574" t="s">
        <v>1931</v>
      </c>
      <c r="AN1574" t="s">
        <v>114</v>
      </c>
      <c r="AO1574" t="s">
        <v>77</v>
      </c>
      <c r="AP1574" t="s">
        <v>78</v>
      </c>
      <c r="AQ1574" t="s">
        <v>1932</v>
      </c>
      <c r="AR1574" t="s">
        <v>80</v>
      </c>
      <c r="AS1574">
        <v>702</v>
      </c>
      <c r="AT1574" t="s">
        <v>81</v>
      </c>
      <c r="AU1574">
        <v>24.81</v>
      </c>
      <c r="AV1574">
        <v>-42.64</v>
      </c>
      <c r="AW1574" t="s">
        <v>82</v>
      </c>
      <c r="AX1574">
        <v>702</v>
      </c>
      <c r="AY1574" t="s">
        <v>81</v>
      </c>
      <c r="AZ1574">
        <v>26.89</v>
      </c>
      <c r="BA1574">
        <v>-52.18</v>
      </c>
      <c r="BB1574" t="s">
        <v>83</v>
      </c>
    </row>
    <row r="1575" spans="1:54" x14ac:dyDescent="0.4">
      <c r="A1575">
        <v>790203</v>
      </c>
      <c r="D1575" t="s">
        <v>498</v>
      </c>
      <c r="E1575" t="s">
        <v>55</v>
      </c>
      <c r="G1575">
        <v>1</v>
      </c>
      <c r="H1575" t="s">
        <v>56</v>
      </c>
      <c r="I1575" t="s">
        <v>57</v>
      </c>
      <c r="K1575" t="s">
        <v>141</v>
      </c>
      <c r="L1575" t="s">
        <v>1933</v>
      </c>
      <c r="M1575" t="s">
        <v>60</v>
      </c>
      <c r="N1575" t="s">
        <v>61</v>
      </c>
      <c r="P1575" t="s">
        <v>511</v>
      </c>
      <c r="Q1575" t="s">
        <v>1536</v>
      </c>
      <c r="R1575" t="s">
        <v>512</v>
      </c>
      <c r="S1575" t="s">
        <v>123</v>
      </c>
      <c r="T1575">
        <v>259.51</v>
      </c>
      <c r="U1575">
        <v>251.90199999999999</v>
      </c>
      <c r="V1575">
        <f t="shared" si="48"/>
        <v>255.70599999999999</v>
      </c>
      <c r="W1575">
        <f t="shared" si="49"/>
        <v>7.6080000000000041</v>
      </c>
      <c r="X1575">
        <v>44.416668000000001</v>
      </c>
      <c r="Y1575">
        <v>-24</v>
      </c>
      <c r="Z1575" t="s">
        <v>124</v>
      </c>
      <c r="AA1575" t="s">
        <v>1913</v>
      </c>
      <c r="AB1575" t="s">
        <v>1914</v>
      </c>
      <c r="AD1575" t="s">
        <v>1915</v>
      </c>
      <c r="AE1575" t="s">
        <v>1916</v>
      </c>
      <c r="AH1575" t="s">
        <v>72</v>
      </c>
      <c r="AI1575" t="s">
        <v>1917</v>
      </c>
      <c r="AJ1575">
        <v>1978</v>
      </c>
      <c r="AK1575" t="s">
        <v>1918</v>
      </c>
      <c r="AM1575" t="s">
        <v>1919</v>
      </c>
      <c r="AN1575" t="s">
        <v>192</v>
      </c>
      <c r="AO1575" t="s">
        <v>657</v>
      </c>
      <c r="AP1575" t="s">
        <v>359</v>
      </c>
      <c r="AQ1575" t="s">
        <v>1920</v>
      </c>
      <c r="AR1575" t="s">
        <v>80</v>
      </c>
      <c r="AS1575">
        <v>702</v>
      </c>
      <c r="AT1575" t="s">
        <v>81</v>
      </c>
      <c r="AU1575">
        <v>22.51</v>
      </c>
      <c r="AV1575">
        <v>-42.93</v>
      </c>
      <c r="AW1575" t="s">
        <v>82</v>
      </c>
      <c r="AX1575">
        <v>702</v>
      </c>
      <c r="AY1575" t="s">
        <v>81</v>
      </c>
      <c r="AZ1575">
        <v>24.25</v>
      </c>
      <c r="BA1575">
        <v>-52.74</v>
      </c>
      <c r="BB1575" t="s">
        <v>83</v>
      </c>
    </row>
    <row r="1576" spans="1:54" x14ac:dyDescent="0.4">
      <c r="A1576">
        <v>790204</v>
      </c>
      <c r="D1576" t="s">
        <v>498</v>
      </c>
      <c r="E1576" t="s">
        <v>55</v>
      </c>
      <c r="G1576">
        <v>1</v>
      </c>
      <c r="H1576" t="s">
        <v>56</v>
      </c>
      <c r="I1576" t="s">
        <v>57</v>
      </c>
      <c r="K1576" t="s">
        <v>141</v>
      </c>
      <c r="L1576" t="s">
        <v>1933</v>
      </c>
      <c r="M1576" t="s">
        <v>60</v>
      </c>
      <c r="N1576" t="s">
        <v>61</v>
      </c>
      <c r="P1576" t="s">
        <v>511</v>
      </c>
      <c r="Q1576" t="s">
        <v>1536</v>
      </c>
      <c r="R1576" t="s">
        <v>512</v>
      </c>
      <c r="S1576" t="s">
        <v>123</v>
      </c>
      <c r="T1576">
        <v>259.51</v>
      </c>
      <c r="U1576">
        <v>251.90199999999999</v>
      </c>
      <c r="V1576">
        <f t="shared" si="48"/>
        <v>255.70599999999999</v>
      </c>
      <c r="W1576">
        <f t="shared" si="49"/>
        <v>7.6080000000000041</v>
      </c>
      <c r="X1576">
        <v>44.416668000000001</v>
      </c>
      <c r="Y1576">
        <v>-24</v>
      </c>
      <c r="Z1576" t="s">
        <v>124</v>
      </c>
      <c r="AA1576" t="s">
        <v>1913</v>
      </c>
      <c r="AB1576" t="s">
        <v>1914</v>
      </c>
      <c r="AD1576" t="s">
        <v>1915</v>
      </c>
      <c r="AE1576" t="s">
        <v>1916</v>
      </c>
      <c r="AH1576" t="s">
        <v>72</v>
      </c>
      <c r="AI1576" t="s">
        <v>1917</v>
      </c>
      <c r="AJ1576">
        <v>1978</v>
      </c>
      <c r="AK1576" t="s">
        <v>1918</v>
      </c>
      <c r="AM1576" t="s">
        <v>1919</v>
      </c>
      <c r="AN1576" t="s">
        <v>192</v>
      </c>
      <c r="AO1576" t="s">
        <v>657</v>
      </c>
      <c r="AP1576" t="s">
        <v>359</v>
      </c>
      <c r="AQ1576" t="s">
        <v>1920</v>
      </c>
      <c r="AR1576" t="s">
        <v>80</v>
      </c>
      <c r="AS1576">
        <v>702</v>
      </c>
      <c r="AT1576" t="s">
        <v>81</v>
      </c>
      <c r="AU1576">
        <v>22.51</v>
      </c>
      <c r="AV1576">
        <v>-42.93</v>
      </c>
      <c r="AW1576" t="s">
        <v>82</v>
      </c>
      <c r="AX1576">
        <v>702</v>
      </c>
      <c r="AY1576" t="s">
        <v>81</v>
      </c>
      <c r="AZ1576">
        <v>24.25</v>
      </c>
      <c r="BA1576">
        <v>-52.74</v>
      </c>
      <c r="BB1576" t="s">
        <v>83</v>
      </c>
    </row>
    <row r="1577" spans="1:54" x14ac:dyDescent="0.4">
      <c r="A1577">
        <v>790204</v>
      </c>
      <c r="D1577" t="s">
        <v>498</v>
      </c>
      <c r="E1577" t="s">
        <v>55</v>
      </c>
      <c r="G1577">
        <v>1</v>
      </c>
      <c r="H1577" t="s">
        <v>56</v>
      </c>
      <c r="I1577" t="s">
        <v>57</v>
      </c>
      <c r="K1577" t="s">
        <v>141</v>
      </c>
      <c r="L1577" t="s">
        <v>1933</v>
      </c>
      <c r="M1577" t="s">
        <v>60</v>
      </c>
      <c r="N1577" t="s">
        <v>61</v>
      </c>
      <c r="P1577" t="s">
        <v>511</v>
      </c>
      <c r="Q1577" t="s">
        <v>1536</v>
      </c>
      <c r="R1577" t="s">
        <v>512</v>
      </c>
      <c r="S1577" t="s">
        <v>123</v>
      </c>
      <c r="T1577">
        <v>259.51</v>
      </c>
      <c r="U1577">
        <v>251.90199999999999</v>
      </c>
      <c r="V1577">
        <f t="shared" si="48"/>
        <v>255.70599999999999</v>
      </c>
      <c r="W1577">
        <f t="shared" si="49"/>
        <v>7.6080000000000041</v>
      </c>
      <c r="X1577">
        <v>44.416668000000001</v>
      </c>
      <c r="Y1577">
        <v>-24</v>
      </c>
      <c r="Z1577" t="s">
        <v>124</v>
      </c>
      <c r="AA1577" t="s">
        <v>1913</v>
      </c>
      <c r="AB1577" t="s">
        <v>1914</v>
      </c>
      <c r="AD1577" t="s">
        <v>1915</v>
      </c>
      <c r="AE1577" t="s">
        <v>1916</v>
      </c>
      <c r="AH1577" t="s">
        <v>72</v>
      </c>
      <c r="AI1577" t="s">
        <v>1917</v>
      </c>
      <c r="AJ1577">
        <v>1978</v>
      </c>
      <c r="AK1577" t="s">
        <v>1918</v>
      </c>
      <c r="AM1577" t="s">
        <v>1919</v>
      </c>
      <c r="AN1577" t="s">
        <v>192</v>
      </c>
      <c r="AO1577" t="s">
        <v>657</v>
      </c>
      <c r="AP1577" t="s">
        <v>359</v>
      </c>
      <c r="AQ1577" t="s">
        <v>1920</v>
      </c>
      <c r="AR1577" t="s">
        <v>80</v>
      </c>
      <c r="AS1577">
        <v>702</v>
      </c>
      <c r="AT1577" t="s">
        <v>81</v>
      </c>
      <c r="AU1577">
        <v>22.51</v>
      </c>
      <c r="AV1577">
        <v>-42.93</v>
      </c>
      <c r="AW1577" t="s">
        <v>82</v>
      </c>
      <c r="AX1577">
        <v>702</v>
      </c>
      <c r="AY1577" t="s">
        <v>81</v>
      </c>
      <c r="AZ1577">
        <v>24.25</v>
      </c>
      <c r="BA1577">
        <v>-52.74</v>
      </c>
      <c r="BB1577" t="s">
        <v>83</v>
      </c>
    </row>
    <row r="1578" spans="1:54" x14ac:dyDescent="0.4">
      <c r="A1578">
        <v>807814</v>
      </c>
      <c r="D1578" t="s">
        <v>1645</v>
      </c>
      <c r="G1578">
        <v>1</v>
      </c>
      <c r="H1578" t="s">
        <v>56</v>
      </c>
      <c r="I1578" t="s">
        <v>57</v>
      </c>
      <c r="K1578" t="s">
        <v>1911</v>
      </c>
      <c r="L1578" t="s">
        <v>2179</v>
      </c>
      <c r="M1578" t="s">
        <v>60</v>
      </c>
      <c r="P1578" t="s">
        <v>511</v>
      </c>
      <c r="Q1578" t="s">
        <v>1536</v>
      </c>
      <c r="R1578" t="s">
        <v>512</v>
      </c>
      <c r="S1578" t="s">
        <v>123</v>
      </c>
      <c r="T1578">
        <v>259.51</v>
      </c>
      <c r="U1578">
        <v>251.90199999999999</v>
      </c>
      <c r="V1578">
        <f t="shared" si="48"/>
        <v>255.70599999999999</v>
      </c>
      <c r="W1578">
        <f t="shared" si="49"/>
        <v>7.6080000000000041</v>
      </c>
      <c r="X1578">
        <v>24.549999</v>
      </c>
      <c r="Y1578">
        <v>-31.866667</v>
      </c>
      <c r="Z1578" t="s">
        <v>124</v>
      </c>
      <c r="AA1578" t="s">
        <v>106</v>
      </c>
      <c r="AB1578" t="s">
        <v>107</v>
      </c>
      <c r="AC1578" t="s">
        <v>1641</v>
      </c>
      <c r="AD1578" t="s">
        <v>1603</v>
      </c>
      <c r="AE1578" t="s">
        <v>110</v>
      </c>
      <c r="AG1578" t="s">
        <v>1646</v>
      </c>
      <c r="AH1578" t="s">
        <v>72</v>
      </c>
      <c r="AI1578" t="s">
        <v>111</v>
      </c>
      <c r="AJ1578">
        <v>1924</v>
      </c>
      <c r="AK1578" t="s">
        <v>1647</v>
      </c>
      <c r="AM1578" t="s">
        <v>1648</v>
      </c>
      <c r="AN1578" t="s">
        <v>114</v>
      </c>
      <c r="AO1578" t="s">
        <v>160</v>
      </c>
      <c r="AP1578" t="s">
        <v>359</v>
      </c>
      <c r="AQ1578" t="s">
        <v>1649</v>
      </c>
      <c r="AR1578" t="s">
        <v>80</v>
      </c>
      <c r="AS1578">
        <v>701</v>
      </c>
      <c r="AT1578" t="s">
        <v>81</v>
      </c>
      <c r="AU1578">
        <v>-17.98</v>
      </c>
      <c r="AV1578">
        <v>-51.75</v>
      </c>
      <c r="AW1578" t="s">
        <v>82</v>
      </c>
      <c r="AX1578">
        <v>701</v>
      </c>
      <c r="AY1578" t="s">
        <v>81</v>
      </c>
      <c r="AZ1578">
        <v>-28.21</v>
      </c>
      <c r="BA1578">
        <v>-61.88</v>
      </c>
      <c r="BB1578" t="s">
        <v>83</v>
      </c>
    </row>
    <row r="1579" spans="1:54" x14ac:dyDescent="0.4">
      <c r="A1579">
        <v>807814</v>
      </c>
      <c r="D1579" t="s">
        <v>1645</v>
      </c>
      <c r="G1579">
        <v>1</v>
      </c>
      <c r="H1579" t="s">
        <v>56</v>
      </c>
      <c r="I1579" t="s">
        <v>57</v>
      </c>
      <c r="K1579" t="s">
        <v>1911</v>
      </c>
      <c r="L1579" t="s">
        <v>2179</v>
      </c>
      <c r="M1579" t="s">
        <v>60</v>
      </c>
      <c r="P1579" t="s">
        <v>511</v>
      </c>
      <c r="Q1579" t="s">
        <v>1536</v>
      </c>
      <c r="R1579" t="s">
        <v>512</v>
      </c>
      <c r="S1579" t="s">
        <v>123</v>
      </c>
      <c r="T1579">
        <v>259.51</v>
      </c>
      <c r="U1579">
        <v>251.90199999999999</v>
      </c>
      <c r="V1579">
        <f t="shared" si="48"/>
        <v>255.70599999999999</v>
      </c>
      <c r="W1579">
        <f t="shared" si="49"/>
        <v>7.6080000000000041</v>
      </c>
      <c r="X1579">
        <v>24.549999</v>
      </c>
      <c r="Y1579">
        <v>-31.866667</v>
      </c>
      <c r="Z1579" t="s">
        <v>124</v>
      </c>
      <c r="AA1579" t="s">
        <v>106</v>
      </c>
      <c r="AB1579" t="s">
        <v>107</v>
      </c>
      <c r="AC1579" t="s">
        <v>1641</v>
      </c>
      <c r="AD1579" t="s">
        <v>1603</v>
      </c>
      <c r="AE1579" t="s">
        <v>110</v>
      </c>
      <c r="AG1579" t="s">
        <v>1646</v>
      </c>
      <c r="AH1579" t="s">
        <v>72</v>
      </c>
      <c r="AI1579" t="s">
        <v>111</v>
      </c>
      <c r="AJ1579">
        <v>1924</v>
      </c>
      <c r="AK1579" t="s">
        <v>1647</v>
      </c>
      <c r="AM1579" t="s">
        <v>1648</v>
      </c>
      <c r="AN1579" t="s">
        <v>114</v>
      </c>
      <c r="AO1579" t="s">
        <v>160</v>
      </c>
      <c r="AP1579" t="s">
        <v>359</v>
      </c>
      <c r="AQ1579" t="s">
        <v>1649</v>
      </c>
      <c r="AR1579" t="s">
        <v>80</v>
      </c>
      <c r="AS1579">
        <v>701</v>
      </c>
      <c r="AT1579" t="s">
        <v>81</v>
      </c>
      <c r="AU1579">
        <v>-17.98</v>
      </c>
      <c r="AV1579">
        <v>-51.75</v>
      </c>
      <c r="AW1579" t="s">
        <v>82</v>
      </c>
      <c r="AX1579">
        <v>701</v>
      </c>
      <c r="AY1579" t="s">
        <v>81</v>
      </c>
      <c r="AZ1579">
        <v>-28.21</v>
      </c>
      <c r="BA1579">
        <v>-61.88</v>
      </c>
      <c r="BB1579" t="s">
        <v>83</v>
      </c>
    </row>
    <row r="1580" spans="1:54" x14ac:dyDescent="0.4">
      <c r="A1580">
        <v>808133</v>
      </c>
      <c r="D1580" t="s">
        <v>54</v>
      </c>
      <c r="E1580" t="s">
        <v>310</v>
      </c>
      <c r="G1580">
        <v>1</v>
      </c>
      <c r="H1580" t="s">
        <v>56</v>
      </c>
      <c r="I1580" t="s">
        <v>57</v>
      </c>
      <c r="K1580" t="s">
        <v>1911</v>
      </c>
      <c r="L1580" t="s">
        <v>2179</v>
      </c>
      <c r="M1580" t="s">
        <v>60</v>
      </c>
      <c r="P1580" t="s">
        <v>511</v>
      </c>
      <c r="Q1580" t="s">
        <v>1536</v>
      </c>
      <c r="R1580" t="s">
        <v>512</v>
      </c>
      <c r="S1580" t="s">
        <v>123</v>
      </c>
      <c r="T1580">
        <v>259.51</v>
      </c>
      <c r="U1580">
        <v>251.90199999999999</v>
      </c>
      <c r="V1580">
        <f t="shared" si="48"/>
        <v>255.70599999999999</v>
      </c>
      <c r="W1580">
        <f t="shared" si="49"/>
        <v>7.6080000000000041</v>
      </c>
      <c r="X1580">
        <v>23.863333000000001</v>
      </c>
      <c r="Y1580">
        <v>-32.104168000000001</v>
      </c>
      <c r="Z1580" t="s">
        <v>198</v>
      </c>
      <c r="AA1580" t="s">
        <v>106</v>
      </c>
      <c r="AB1580" t="s">
        <v>334</v>
      </c>
      <c r="AC1580" t="s">
        <v>1638</v>
      </c>
      <c r="AD1580" t="s">
        <v>1603</v>
      </c>
      <c r="AE1580" t="s">
        <v>110</v>
      </c>
      <c r="AG1580" t="s">
        <v>2185</v>
      </c>
      <c r="AH1580" t="s">
        <v>72</v>
      </c>
      <c r="AI1580" t="s">
        <v>2186</v>
      </c>
      <c r="AJ1580">
        <v>1937</v>
      </c>
      <c r="AK1580" t="s">
        <v>2187</v>
      </c>
      <c r="AM1580" t="s">
        <v>2188</v>
      </c>
      <c r="AN1580" t="s">
        <v>341</v>
      </c>
      <c r="AO1580" t="s">
        <v>77</v>
      </c>
      <c r="AP1580" t="s">
        <v>78</v>
      </c>
      <c r="AQ1580" t="s">
        <v>2189</v>
      </c>
      <c r="AR1580" t="s">
        <v>80</v>
      </c>
      <c r="AS1580">
        <v>701</v>
      </c>
      <c r="AT1580" t="s">
        <v>81</v>
      </c>
      <c r="AU1580">
        <v>-18.78</v>
      </c>
      <c r="AV1580">
        <v>-51.37</v>
      </c>
      <c r="AW1580" t="s">
        <v>82</v>
      </c>
      <c r="AX1580">
        <v>701</v>
      </c>
      <c r="AY1580" t="s">
        <v>81</v>
      </c>
      <c r="AZ1580">
        <v>-29.16</v>
      </c>
      <c r="BA1580">
        <v>-61.44</v>
      </c>
      <c r="BB1580" t="s">
        <v>83</v>
      </c>
    </row>
    <row r="1581" spans="1:54" x14ac:dyDescent="0.4">
      <c r="A1581">
        <v>816641</v>
      </c>
      <c r="D1581" t="s">
        <v>54</v>
      </c>
      <c r="G1581">
        <v>1</v>
      </c>
      <c r="H1581" t="s">
        <v>56</v>
      </c>
      <c r="I1581" t="s">
        <v>57</v>
      </c>
      <c r="K1581" t="s">
        <v>1630</v>
      </c>
      <c r="L1581" t="s">
        <v>1650</v>
      </c>
      <c r="M1581" t="s">
        <v>60</v>
      </c>
      <c r="P1581" t="s">
        <v>511</v>
      </c>
      <c r="Q1581" t="s">
        <v>1536</v>
      </c>
      <c r="R1581" t="s">
        <v>512</v>
      </c>
      <c r="S1581" t="s">
        <v>123</v>
      </c>
      <c r="T1581">
        <v>259.51</v>
      </c>
      <c r="U1581">
        <v>251.90199999999999</v>
      </c>
      <c r="V1581">
        <f t="shared" si="48"/>
        <v>255.70599999999999</v>
      </c>
      <c r="W1581">
        <f t="shared" si="49"/>
        <v>7.6080000000000041</v>
      </c>
      <c r="X1581">
        <v>23.766666000000001</v>
      </c>
      <c r="Y1581">
        <v>-31.950001</v>
      </c>
      <c r="Z1581" t="s">
        <v>124</v>
      </c>
      <c r="AA1581" t="s">
        <v>106</v>
      </c>
      <c r="AB1581" t="s">
        <v>334</v>
      </c>
      <c r="AC1581" t="s">
        <v>1638</v>
      </c>
      <c r="AD1581" t="s">
        <v>1603</v>
      </c>
      <c r="AE1581" t="s">
        <v>110</v>
      </c>
      <c r="AG1581" t="s">
        <v>1632</v>
      </c>
      <c r="AH1581" t="s">
        <v>11</v>
      </c>
      <c r="AI1581" t="s">
        <v>1633</v>
      </c>
      <c r="AJ1581">
        <v>1972</v>
      </c>
      <c r="AK1581" t="s">
        <v>1639</v>
      </c>
      <c r="AN1581" t="s">
        <v>114</v>
      </c>
      <c r="AO1581" t="s">
        <v>160</v>
      </c>
      <c r="AP1581" t="s">
        <v>78</v>
      </c>
      <c r="AQ1581" t="s">
        <v>1640</v>
      </c>
      <c r="AR1581" t="s">
        <v>80</v>
      </c>
      <c r="AS1581">
        <v>701</v>
      </c>
      <c r="AT1581" t="s">
        <v>81</v>
      </c>
      <c r="AU1581">
        <v>-18.63</v>
      </c>
      <c r="AV1581">
        <v>-51.22</v>
      </c>
      <c r="AW1581" t="s">
        <v>82</v>
      </c>
      <c r="AX1581">
        <v>701</v>
      </c>
      <c r="AY1581" t="s">
        <v>81</v>
      </c>
      <c r="AZ1581">
        <v>-28.93</v>
      </c>
      <c r="BA1581">
        <v>-61.3</v>
      </c>
      <c r="BB1581" t="s">
        <v>83</v>
      </c>
    </row>
    <row r="1582" spans="1:54" x14ac:dyDescent="0.4">
      <c r="A1582">
        <v>816651</v>
      </c>
      <c r="D1582" t="s">
        <v>179</v>
      </c>
      <c r="G1582">
        <v>1</v>
      </c>
      <c r="H1582" t="s">
        <v>56</v>
      </c>
      <c r="I1582" t="s">
        <v>57</v>
      </c>
      <c r="K1582" t="s">
        <v>1630</v>
      </c>
      <c r="L1582" t="s">
        <v>1637</v>
      </c>
      <c r="M1582" t="s">
        <v>60</v>
      </c>
      <c r="P1582" t="s">
        <v>511</v>
      </c>
      <c r="Q1582" t="s">
        <v>1536</v>
      </c>
      <c r="R1582" t="s">
        <v>512</v>
      </c>
      <c r="S1582" t="s">
        <v>123</v>
      </c>
      <c r="T1582">
        <v>259.51</v>
      </c>
      <c r="U1582">
        <v>251.90199999999999</v>
      </c>
      <c r="V1582">
        <f t="shared" si="48"/>
        <v>255.70599999999999</v>
      </c>
      <c r="W1582">
        <f t="shared" si="49"/>
        <v>7.6080000000000041</v>
      </c>
      <c r="X1582">
        <v>23.894444</v>
      </c>
      <c r="Y1582">
        <v>-32.152779000000002</v>
      </c>
      <c r="Z1582" t="s">
        <v>124</v>
      </c>
      <c r="AA1582" t="s">
        <v>106</v>
      </c>
      <c r="AB1582" t="s">
        <v>334</v>
      </c>
      <c r="AC1582" t="s">
        <v>1638</v>
      </c>
      <c r="AD1582" t="s">
        <v>1603</v>
      </c>
      <c r="AE1582" t="s">
        <v>110</v>
      </c>
      <c r="AG1582" t="s">
        <v>1632</v>
      </c>
      <c r="AH1582" t="s">
        <v>72</v>
      </c>
      <c r="AI1582" t="s">
        <v>1633</v>
      </c>
      <c r="AJ1582">
        <v>1972</v>
      </c>
      <c r="AK1582" t="s">
        <v>2313</v>
      </c>
      <c r="AN1582" t="s">
        <v>114</v>
      </c>
      <c r="AO1582" t="s">
        <v>77</v>
      </c>
      <c r="AP1582" t="s">
        <v>78</v>
      </c>
      <c r="AQ1582" t="s">
        <v>2314</v>
      </c>
      <c r="AR1582" t="s">
        <v>80</v>
      </c>
      <c r="AS1582">
        <v>701</v>
      </c>
      <c r="AT1582" t="s">
        <v>81</v>
      </c>
      <c r="AU1582">
        <v>-18.829999999999998</v>
      </c>
      <c r="AV1582">
        <v>-51.42</v>
      </c>
      <c r="AW1582" t="s">
        <v>82</v>
      </c>
      <c r="AX1582">
        <v>701</v>
      </c>
      <c r="AY1582" t="s">
        <v>81</v>
      </c>
      <c r="AZ1582">
        <v>-29.23</v>
      </c>
      <c r="BA1582">
        <v>-61.48</v>
      </c>
      <c r="BB1582" t="s">
        <v>83</v>
      </c>
    </row>
    <row r="1583" spans="1:54" x14ac:dyDescent="0.4">
      <c r="A1583">
        <v>816682</v>
      </c>
      <c r="D1583" t="s">
        <v>54</v>
      </c>
      <c r="E1583" t="s">
        <v>55</v>
      </c>
      <c r="G1583">
        <v>1</v>
      </c>
      <c r="H1583" t="s">
        <v>56</v>
      </c>
      <c r="I1583" t="s">
        <v>57</v>
      </c>
      <c r="K1583" t="s">
        <v>1630</v>
      </c>
      <c r="L1583" t="s">
        <v>1650</v>
      </c>
      <c r="M1583" t="s">
        <v>60</v>
      </c>
      <c r="P1583" t="s">
        <v>511</v>
      </c>
      <c r="Q1583" t="s">
        <v>1536</v>
      </c>
      <c r="R1583" t="s">
        <v>512</v>
      </c>
      <c r="S1583" t="s">
        <v>123</v>
      </c>
      <c r="T1583">
        <v>259.51</v>
      </c>
      <c r="U1583">
        <v>251.90199999999999</v>
      </c>
      <c r="V1583">
        <f t="shared" si="48"/>
        <v>255.70599999999999</v>
      </c>
      <c r="W1583">
        <f t="shared" si="49"/>
        <v>7.6080000000000041</v>
      </c>
      <c r="X1583">
        <v>24.192778000000001</v>
      </c>
      <c r="Y1583">
        <v>-32.060833000000002</v>
      </c>
      <c r="Z1583" t="s">
        <v>124</v>
      </c>
      <c r="AA1583" t="s">
        <v>106</v>
      </c>
      <c r="AB1583" t="s">
        <v>107</v>
      </c>
      <c r="AC1583" t="s">
        <v>1641</v>
      </c>
      <c r="AD1583" t="s">
        <v>1603</v>
      </c>
      <c r="AE1583" t="s">
        <v>110</v>
      </c>
      <c r="AG1583" t="s">
        <v>1632</v>
      </c>
      <c r="AH1583" t="s">
        <v>72</v>
      </c>
      <c r="AI1583" t="s">
        <v>1633</v>
      </c>
      <c r="AJ1583">
        <v>1972</v>
      </c>
      <c r="AK1583" t="s">
        <v>2315</v>
      </c>
      <c r="AM1583" t="s">
        <v>2316</v>
      </c>
      <c r="AN1583" t="s">
        <v>114</v>
      </c>
      <c r="AO1583" t="s">
        <v>77</v>
      </c>
      <c r="AP1583" t="s">
        <v>78</v>
      </c>
      <c r="AQ1583" t="s">
        <v>2317</v>
      </c>
      <c r="AR1583" t="s">
        <v>80</v>
      </c>
      <c r="AS1583">
        <v>701</v>
      </c>
      <c r="AT1583" t="s">
        <v>81</v>
      </c>
      <c r="AU1583">
        <v>-18.5</v>
      </c>
      <c r="AV1583">
        <v>-51.59</v>
      </c>
      <c r="AW1583" t="s">
        <v>82</v>
      </c>
      <c r="AX1583">
        <v>701</v>
      </c>
      <c r="AY1583" t="s">
        <v>81</v>
      </c>
      <c r="AZ1583">
        <v>-28.84</v>
      </c>
      <c r="BA1583">
        <v>-61.68</v>
      </c>
      <c r="BB1583" t="s">
        <v>83</v>
      </c>
    </row>
    <row r="1584" spans="1:54" x14ac:dyDescent="0.4">
      <c r="A1584">
        <v>833324</v>
      </c>
      <c r="D1584" t="s">
        <v>54</v>
      </c>
      <c r="G1584">
        <v>1</v>
      </c>
      <c r="H1584" t="s">
        <v>421</v>
      </c>
      <c r="I1584" t="s">
        <v>57</v>
      </c>
      <c r="K1584" t="s">
        <v>141</v>
      </c>
      <c r="L1584" t="s">
        <v>1933</v>
      </c>
      <c r="M1584" t="s">
        <v>60</v>
      </c>
      <c r="N1584" t="s">
        <v>61</v>
      </c>
      <c r="P1584" t="s">
        <v>511</v>
      </c>
      <c r="Q1584" t="s">
        <v>1536</v>
      </c>
      <c r="R1584" t="s">
        <v>512</v>
      </c>
      <c r="S1584" t="s">
        <v>123</v>
      </c>
      <c r="T1584">
        <v>259.51</v>
      </c>
      <c r="U1584">
        <v>251.90199999999999</v>
      </c>
      <c r="V1584">
        <f t="shared" si="48"/>
        <v>255.70599999999999</v>
      </c>
      <c r="W1584">
        <f t="shared" si="49"/>
        <v>7.6080000000000041</v>
      </c>
      <c r="X1584">
        <v>45.412497999999999</v>
      </c>
      <c r="Y1584">
        <v>-22.558332</v>
      </c>
      <c r="Z1584" t="s">
        <v>1923</v>
      </c>
      <c r="AA1584" t="s">
        <v>1913</v>
      </c>
      <c r="AB1584" t="s">
        <v>1924</v>
      </c>
      <c r="AD1584" t="s">
        <v>1915</v>
      </c>
      <c r="AE1584" t="s">
        <v>1916</v>
      </c>
      <c r="AH1584" t="s">
        <v>11</v>
      </c>
      <c r="AI1584" t="s">
        <v>1917</v>
      </c>
      <c r="AJ1584">
        <v>1981</v>
      </c>
      <c r="AK1584" t="s">
        <v>1930</v>
      </c>
      <c r="AM1584" t="s">
        <v>1931</v>
      </c>
      <c r="AN1584" t="s">
        <v>114</v>
      </c>
      <c r="AO1584" t="s">
        <v>77</v>
      </c>
      <c r="AP1584" t="s">
        <v>78</v>
      </c>
      <c r="AQ1584" t="s">
        <v>1932</v>
      </c>
      <c r="AR1584" t="s">
        <v>80</v>
      </c>
      <c r="AS1584">
        <v>702</v>
      </c>
      <c r="AT1584" t="s">
        <v>81</v>
      </c>
      <c r="AU1584">
        <v>24.81</v>
      </c>
      <c r="AV1584">
        <v>-42.64</v>
      </c>
      <c r="AW1584" t="s">
        <v>82</v>
      </c>
      <c r="AX1584">
        <v>702</v>
      </c>
      <c r="AY1584" t="s">
        <v>81</v>
      </c>
      <c r="AZ1584">
        <v>26.89</v>
      </c>
      <c r="BA1584">
        <v>-52.18</v>
      </c>
      <c r="BB1584" t="s">
        <v>83</v>
      </c>
    </row>
    <row r="1585" spans="1:54" x14ac:dyDescent="0.4">
      <c r="A1585">
        <v>833385</v>
      </c>
      <c r="D1585" t="s">
        <v>498</v>
      </c>
      <c r="G1585">
        <v>1</v>
      </c>
      <c r="H1585" t="s">
        <v>56</v>
      </c>
      <c r="I1585" t="s">
        <v>57</v>
      </c>
      <c r="K1585" t="s">
        <v>1600</v>
      </c>
      <c r="L1585" t="s">
        <v>2594</v>
      </c>
      <c r="M1585" t="s">
        <v>60</v>
      </c>
      <c r="P1585" t="s">
        <v>511</v>
      </c>
      <c r="Q1585" t="s">
        <v>1536</v>
      </c>
      <c r="R1585" t="s">
        <v>512</v>
      </c>
      <c r="S1585" t="s">
        <v>123</v>
      </c>
      <c r="T1585">
        <v>259.51</v>
      </c>
      <c r="U1585">
        <v>251.90199999999999</v>
      </c>
      <c r="V1585">
        <f t="shared" si="48"/>
        <v>255.70599999999999</v>
      </c>
      <c r="W1585">
        <f t="shared" si="49"/>
        <v>7.6080000000000041</v>
      </c>
      <c r="X1585">
        <v>45.412497999999999</v>
      </c>
      <c r="Y1585">
        <v>-22.558332</v>
      </c>
      <c r="Z1585" t="s">
        <v>1923</v>
      </c>
      <c r="AA1585" t="s">
        <v>1913</v>
      </c>
      <c r="AB1585" t="s">
        <v>1924</v>
      </c>
      <c r="AD1585" t="s">
        <v>1915</v>
      </c>
      <c r="AE1585" t="s">
        <v>1916</v>
      </c>
      <c r="AH1585" t="s">
        <v>72</v>
      </c>
      <c r="AI1585" t="s">
        <v>2595</v>
      </c>
      <c r="AJ1585">
        <v>1955</v>
      </c>
      <c r="AK1585" t="s">
        <v>2596</v>
      </c>
      <c r="AM1585" t="s">
        <v>2597</v>
      </c>
      <c r="AN1585" t="s">
        <v>114</v>
      </c>
      <c r="AO1585" t="s">
        <v>77</v>
      </c>
      <c r="AP1585" t="s">
        <v>115</v>
      </c>
      <c r="AQ1585" t="s">
        <v>2598</v>
      </c>
      <c r="AR1585" t="s">
        <v>80</v>
      </c>
      <c r="AS1585">
        <v>702</v>
      </c>
      <c r="AT1585" t="s">
        <v>81</v>
      </c>
      <c r="AU1585">
        <v>24.81</v>
      </c>
      <c r="AV1585">
        <v>-42.64</v>
      </c>
      <c r="AW1585" t="s">
        <v>82</v>
      </c>
      <c r="AX1585">
        <v>702</v>
      </c>
      <c r="AY1585" t="s">
        <v>81</v>
      </c>
      <c r="AZ1585">
        <v>26.89</v>
      </c>
      <c r="BA1585">
        <v>-52.18</v>
      </c>
      <c r="BB1585" t="s">
        <v>83</v>
      </c>
    </row>
    <row r="1586" spans="1:54" x14ac:dyDescent="0.4">
      <c r="A1586">
        <v>833385</v>
      </c>
      <c r="D1586" t="s">
        <v>498</v>
      </c>
      <c r="G1586">
        <v>1</v>
      </c>
      <c r="H1586" t="s">
        <v>56</v>
      </c>
      <c r="I1586" t="s">
        <v>57</v>
      </c>
      <c r="K1586" t="s">
        <v>1600</v>
      </c>
      <c r="L1586" t="s">
        <v>2594</v>
      </c>
      <c r="M1586" t="s">
        <v>60</v>
      </c>
      <c r="P1586" t="s">
        <v>511</v>
      </c>
      <c r="Q1586" t="s">
        <v>1536</v>
      </c>
      <c r="R1586" t="s">
        <v>512</v>
      </c>
      <c r="S1586" t="s">
        <v>123</v>
      </c>
      <c r="T1586">
        <v>259.51</v>
      </c>
      <c r="U1586">
        <v>251.90199999999999</v>
      </c>
      <c r="V1586">
        <f t="shared" si="48"/>
        <v>255.70599999999999</v>
      </c>
      <c r="W1586">
        <f t="shared" si="49"/>
        <v>7.6080000000000041</v>
      </c>
      <c r="X1586">
        <v>45.412497999999999</v>
      </c>
      <c r="Y1586">
        <v>-22.558332</v>
      </c>
      <c r="Z1586" t="s">
        <v>1923</v>
      </c>
      <c r="AA1586" t="s">
        <v>1913</v>
      </c>
      <c r="AB1586" t="s">
        <v>1924</v>
      </c>
      <c r="AD1586" t="s">
        <v>1915</v>
      </c>
      <c r="AE1586" t="s">
        <v>1916</v>
      </c>
      <c r="AH1586" t="s">
        <v>72</v>
      </c>
      <c r="AI1586" t="s">
        <v>2595</v>
      </c>
      <c r="AJ1586">
        <v>1955</v>
      </c>
      <c r="AK1586" t="s">
        <v>2596</v>
      </c>
      <c r="AM1586" t="s">
        <v>2597</v>
      </c>
      <c r="AN1586" t="s">
        <v>114</v>
      </c>
      <c r="AO1586" t="s">
        <v>77</v>
      </c>
      <c r="AP1586" t="s">
        <v>115</v>
      </c>
      <c r="AQ1586" t="s">
        <v>2598</v>
      </c>
      <c r="AR1586" t="s">
        <v>80</v>
      </c>
      <c r="AS1586">
        <v>702</v>
      </c>
      <c r="AT1586" t="s">
        <v>81</v>
      </c>
      <c r="AU1586">
        <v>24.81</v>
      </c>
      <c r="AV1586">
        <v>-42.64</v>
      </c>
      <c r="AW1586" t="s">
        <v>82</v>
      </c>
      <c r="AX1586">
        <v>702</v>
      </c>
      <c r="AY1586" t="s">
        <v>81</v>
      </c>
      <c r="AZ1586">
        <v>26.89</v>
      </c>
      <c r="BA1586">
        <v>-52.18</v>
      </c>
      <c r="BB1586" t="s">
        <v>83</v>
      </c>
    </row>
    <row r="1587" spans="1:54" x14ac:dyDescent="0.4">
      <c r="A1587">
        <v>833385</v>
      </c>
      <c r="D1587" t="s">
        <v>498</v>
      </c>
      <c r="G1587">
        <v>1</v>
      </c>
      <c r="H1587" t="s">
        <v>56</v>
      </c>
      <c r="I1587" t="s">
        <v>57</v>
      </c>
      <c r="K1587" t="s">
        <v>1600</v>
      </c>
      <c r="L1587" t="s">
        <v>2594</v>
      </c>
      <c r="M1587" t="s">
        <v>60</v>
      </c>
      <c r="P1587" t="s">
        <v>511</v>
      </c>
      <c r="Q1587" t="s">
        <v>1536</v>
      </c>
      <c r="R1587" t="s">
        <v>512</v>
      </c>
      <c r="S1587" t="s">
        <v>123</v>
      </c>
      <c r="T1587">
        <v>259.51</v>
      </c>
      <c r="U1587">
        <v>251.90199999999999</v>
      </c>
      <c r="V1587">
        <f t="shared" si="48"/>
        <v>255.70599999999999</v>
      </c>
      <c r="W1587">
        <f t="shared" si="49"/>
        <v>7.6080000000000041</v>
      </c>
      <c r="X1587">
        <v>45.412497999999999</v>
      </c>
      <c r="Y1587">
        <v>-22.558332</v>
      </c>
      <c r="Z1587" t="s">
        <v>1923</v>
      </c>
      <c r="AA1587" t="s">
        <v>1913</v>
      </c>
      <c r="AB1587" t="s">
        <v>1924</v>
      </c>
      <c r="AD1587" t="s">
        <v>1915</v>
      </c>
      <c r="AE1587" t="s">
        <v>1916</v>
      </c>
      <c r="AH1587" t="s">
        <v>72</v>
      </c>
      <c r="AI1587" t="s">
        <v>2595</v>
      </c>
      <c r="AJ1587">
        <v>1955</v>
      </c>
      <c r="AK1587" t="s">
        <v>2596</v>
      </c>
      <c r="AM1587" t="s">
        <v>2597</v>
      </c>
      <c r="AN1587" t="s">
        <v>114</v>
      </c>
      <c r="AO1587" t="s">
        <v>77</v>
      </c>
      <c r="AP1587" t="s">
        <v>115</v>
      </c>
      <c r="AQ1587" t="s">
        <v>2598</v>
      </c>
      <c r="AR1587" t="s">
        <v>80</v>
      </c>
      <c r="AS1587">
        <v>702</v>
      </c>
      <c r="AT1587" t="s">
        <v>81</v>
      </c>
      <c r="AU1587">
        <v>24.81</v>
      </c>
      <c r="AV1587">
        <v>-42.64</v>
      </c>
      <c r="AW1587" t="s">
        <v>82</v>
      </c>
      <c r="AX1587">
        <v>702</v>
      </c>
      <c r="AY1587" t="s">
        <v>81</v>
      </c>
      <c r="AZ1587">
        <v>26.89</v>
      </c>
      <c r="BA1587">
        <v>-52.18</v>
      </c>
      <c r="BB1587" t="s">
        <v>83</v>
      </c>
    </row>
    <row r="1588" spans="1:54" x14ac:dyDescent="0.4">
      <c r="A1588">
        <v>833385</v>
      </c>
      <c r="D1588" t="s">
        <v>498</v>
      </c>
      <c r="G1588">
        <v>1</v>
      </c>
      <c r="H1588" t="s">
        <v>56</v>
      </c>
      <c r="I1588" t="s">
        <v>57</v>
      </c>
      <c r="K1588" t="s">
        <v>1600</v>
      </c>
      <c r="L1588" t="s">
        <v>2594</v>
      </c>
      <c r="M1588" t="s">
        <v>60</v>
      </c>
      <c r="P1588" t="s">
        <v>511</v>
      </c>
      <c r="Q1588" t="s">
        <v>1536</v>
      </c>
      <c r="R1588" t="s">
        <v>512</v>
      </c>
      <c r="S1588" t="s">
        <v>123</v>
      </c>
      <c r="T1588">
        <v>259.51</v>
      </c>
      <c r="U1588">
        <v>251.90199999999999</v>
      </c>
      <c r="V1588">
        <f t="shared" si="48"/>
        <v>255.70599999999999</v>
      </c>
      <c r="W1588">
        <f t="shared" si="49"/>
        <v>7.6080000000000041</v>
      </c>
      <c r="X1588">
        <v>45.412497999999999</v>
      </c>
      <c r="Y1588">
        <v>-22.558332</v>
      </c>
      <c r="Z1588" t="s">
        <v>1923</v>
      </c>
      <c r="AA1588" t="s">
        <v>1913</v>
      </c>
      <c r="AB1588" t="s">
        <v>1924</v>
      </c>
      <c r="AD1588" t="s">
        <v>1915</v>
      </c>
      <c r="AE1588" t="s">
        <v>1916</v>
      </c>
      <c r="AH1588" t="s">
        <v>72</v>
      </c>
      <c r="AI1588" t="s">
        <v>2595</v>
      </c>
      <c r="AJ1588">
        <v>1955</v>
      </c>
      <c r="AK1588" t="s">
        <v>2596</v>
      </c>
      <c r="AM1588" t="s">
        <v>2597</v>
      </c>
      <c r="AN1588" t="s">
        <v>114</v>
      </c>
      <c r="AO1588" t="s">
        <v>77</v>
      </c>
      <c r="AP1588" t="s">
        <v>115</v>
      </c>
      <c r="AQ1588" t="s">
        <v>2598</v>
      </c>
      <c r="AR1588" t="s">
        <v>80</v>
      </c>
      <c r="AS1588">
        <v>702</v>
      </c>
      <c r="AT1588" t="s">
        <v>81</v>
      </c>
      <c r="AU1588">
        <v>24.81</v>
      </c>
      <c r="AV1588">
        <v>-42.64</v>
      </c>
      <c r="AW1588" t="s">
        <v>82</v>
      </c>
      <c r="AX1588">
        <v>702</v>
      </c>
      <c r="AY1588" t="s">
        <v>81</v>
      </c>
      <c r="AZ1588">
        <v>26.89</v>
      </c>
      <c r="BA1588">
        <v>-52.18</v>
      </c>
      <c r="BB1588" t="s">
        <v>83</v>
      </c>
    </row>
    <row r="1589" spans="1:54" x14ac:dyDescent="0.4">
      <c r="A1589">
        <v>833385</v>
      </c>
      <c r="D1589" t="s">
        <v>498</v>
      </c>
      <c r="G1589">
        <v>1</v>
      </c>
      <c r="H1589" t="s">
        <v>56</v>
      </c>
      <c r="I1589" t="s">
        <v>57</v>
      </c>
      <c r="K1589" t="s">
        <v>1600</v>
      </c>
      <c r="L1589" t="s">
        <v>2594</v>
      </c>
      <c r="M1589" t="s">
        <v>60</v>
      </c>
      <c r="P1589" t="s">
        <v>511</v>
      </c>
      <c r="Q1589" t="s">
        <v>1536</v>
      </c>
      <c r="R1589" t="s">
        <v>512</v>
      </c>
      <c r="S1589" t="s">
        <v>123</v>
      </c>
      <c r="T1589">
        <v>259.51</v>
      </c>
      <c r="U1589">
        <v>251.90199999999999</v>
      </c>
      <c r="V1589">
        <f t="shared" si="48"/>
        <v>255.70599999999999</v>
      </c>
      <c r="W1589">
        <f t="shared" si="49"/>
        <v>7.6080000000000041</v>
      </c>
      <c r="X1589">
        <v>45.412497999999999</v>
      </c>
      <c r="Y1589">
        <v>-22.558332</v>
      </c>
      <c r="Z1589" t="s">
        <v>1923</v>
      </c>
      <c r="AA1589" t="s">
        <v>1913</v>
      </c>
      <c r="AB1589" t="s">
        <v>1924</v>
      </c>
      <c r="AD1589" t="s">
        <v>1915</v>
      </c>
      <c r="AE1589" t="s">
        <v>1916</v>
      </c>
      <c r="AH1589" t="s">
        <v>72</v>
      </c>
      <c r="AI1589" t="s">
        <v>2595</v>
      </c>
      <c r="AJ1589">
        <v>1955</v>
      </c>
      <c r="AK1589" t="s">
        <v>2596</v>
      </c>
      <c r="AM1589" t="s">
        <v>2597</v>
      </c>
      <c r="AN1589" t="s">
        <v>114</v>
      </c>
      <c r="AO1589" t="s">
        <v>77</v>
      </c>
      <c r="AP1589" t="s">
        <v>115</v>
      </c>
      <c r="AQ1589" t="s">
        <v>2598</v>
      </c>
      <c r="AR1589" t="s">
        <v>80</v>
      </c>
      <c r="AS1589">
        <v>702</v>
      </c>
      <c r="AT1589" t="s">
        <v>81</v>
      </c>
      <c r="AU1589">
        <v>24.81</v>
      </c>
      <c r="AV1589">
        <v>-42.64</v>
      </c>
      <c r="AW1589" t="s">
        <v>82</v>
      </c>
      <c r="AX1589">
        <v>702</v>
      </c>
      <c r="AY1589" t="s">
        <v>81</v>
      </c>
      <c r="AZ1589">
        <v>26.89</v>
      </c>
      <c r="BA1589">
        <v>-52.18</v>
      </c>
      <c r="BB1589" t="s">
        <v>83</v>
      </c>
    </row>
    <row r="1590" spans="1:54" x14ac:dyDescent="0.4">
      <c r="A1590">
        <v>833385</v>
      </c>
      <c r="D1590" t="s">
        <v>498</v>
      </c>
      <c r="G1590">
        <v>1</v>
      </c>
      <c r="H1590" t="s">
        <v>56</v>
      </c>
      <c r="I1590" t="s">
        <v>57</v>
      </c>
      <c r="K1590" t="s">
        <v>1600</v>
      </c>
      <c r="L1590" t="s">
        <v>2594</v>
      </c>
      <c r="M1590" t="s">
        <v>60</v>
      </c>
      <c r="P1590" t="s">
        <v>511</v>
      </c>
      <c r="Q1590" t="s">
        <v>1536</v>
      </c>
      <c r="R1590" t="s">
        <v>512</v>
      </c>
      <c r="S1590" t="s">
        <v>123</v>
      </c>
      <c r="T1590">
        <v>259.51</v>
      </c>
      <c r="U1590">
        <v>251.90199999999999</v>
      </c>
      <c r="V1590">
        <f t="shared" si="48"/>
        <v>255.70599999999999</v>
      </c>
      <c r="W1590">
        <f t="shared" si="49"/>
        <v>7.6080000000000041</v>
      </c>
      <c r="X1590">
        <v>45.412497999999999</v>
      </c>
      <c r="Y1590">
        <v>-22.558332</v>
      </c>
      <c r="Z1590" t="s">
        <v>1923</v>
      </c>
      <c r="AA1590" t="s">
        <v>1913</v>
      </c>
      <c r="AB1590" t="s">
        <v>1924</v>
      </c>
      <c r="AD1590" t="s">
        <v>1915</v>
      </c>
      <c r="AE1590" t="s">
        <v>1916</v>
      </c>
      <c r="AH1590" t="s">
        <v>72</v>
      </c>
      <c r="AI1590" t="s">
        <v>2595</v>
      </c>
      <c r="AJ1590">
        <v>1955</v>
      </c>
      <c r="AK1590" t="s">
        <v>2596</v>
      </c>
      <c r="AM1590" t="s">
        <v>2597</v>
      </c>
      <c r="AN1590" t="s">
        <v>114</v>
      </c>
      <c r="AO1590" t="s">
        <v>77</v>
      </c>
      <c r="AP1590" t="s">
        <v>115</v>
      </c>
      <c r="AQ1590" t="s">
        <v>2598</v>
      </c>
      <c r="AR1590" t="s">
        <v>80</v>
      </c>
      <c r="AS1590">
        <v>702</v>
      </c>
      <c r="AT1590" t="s">
        <v>81</v>
      </c>
      <c r="AU1590">
        <v>24.81</v>
      </c>
      <c r="AV1590">
        <v>-42.64</v>
      </c>
      <c r="AW1590" t="s">
        <v>82</v>
      </c>
      <c r="AX1590">
        <v>702</v>
      </c>
      <c r="AY1590" t="s">
        <v>81</v>
      </c>
      <c r="AZ1590">
        <v>26.89</v>
      </c>
      <c r="BA1590">
        <v>-52.18</v>
      </c>
      <c r="BB1590" t="s">
        <v>83</v>
      </c>
    </row>
    <row r="1591" spans="1:54" x14ac:dyDescent="0.4">
      <c r="A1591">
        <v>833385</v>
      </c>
      <c r="D1591" t="s">
        <v>498</v>
      </c>
      <c r="G1591">
        <v>1</v>
      </c>
      <c r="H1591" t="s">
        <v>56</v>
      </c>
      <c r="I1591" t="s">
        <v>57</v>
      </c>
      <c r="K1591" t="s">
        <v>1600</v>
      </c>
      <c r="L1591" t="s">
        <v>2594</v>
      </c>
      <c r="M1591" t="s">
        <v>60</v>
      </c>
      <c r="P1591" t="s">
        <v>511</v>
      </c>
      <c r="Q1591" t="s">
        <v>1536</v>
      </c>
      <c r="R1591" t="s">
        <v>512</v>
      </c>
      <c r="S1591" t="s">
        <v>123</v>
      </c>
      <c r="T1591">
        <v>259.51</v>
      </c>
      <c r="U1591">
        <v>251.90199999999999</v>
      </c>
      <c r="V1591">
        <f t="shared" si="48"/>
        <v>255.70599999999999</v>
      </c>
      <c r="W1591">
        <f t="shared" si="49"/>
        <v>7.6080000000000041</v>
      </c>
      <c r="X1591">
        <v>45.412497999999999</v>
      </c>
      <c r="Y1591">
        <v>-22.558332</v>
      </c>
      <c r="Z1591" t="s">
        <v>1923</v>
      </c>
      <c r="AA1591" t="s">
        <v>1913</v>
      </c>
      <c r="AB1591" t="s">
        <v>1924</v>
      </c>
      <c r="AD1591" t="s">
        <v>1915</v>
      </c>
      <c r="AE1591" t="s">
        <v>1916</v>
      </c>
      <c r="AH1591" t="s">
        <v>72</v>
      </c>
      <c r="AI1591" t="s">
        <v>2595</v>
      </c>
      <c r="AJ1591">
        <v>1955</v>
      </c>
      <c r="AK1591" t="s">
        <v>2596</v>
      </c>
      <c r="AM1591" t="s">
        <v>2597</v>
      </c>
      <c r="AN1591" t="s">
        <v>114</v>
      </c>
      <c r="AO1591" t="s">
        <v>77</v>
      </c>
      <c r="AP1591" t="s">
        <v>115</v>
      </c>
      <c r="AQ1591" t="s">
        <v>2598</v>
      </c>
      <c r="AR1591" t="s">
        <v>80</v>
      </c>
      <c r="AS1591">
        <v>702</v>
      </c>
      <c r="AT1591" t="s">
        <v>81</v>
      </c>
      <c r="AU1591">
        <v>24.81</v>
      </c>
      <c r="AV1591">
        <v>-42.64</v>
      </c>
      <c r="AW1591" t="s">
        <v>82</v>
      </c>
      <c r="AX1591">
        <v>702</v>
      </c>
      <c r="AY1591" t="s">
        <v>81</v>
      </c>
      <c r="AZ1591">
        <v>26.89</v>
      </c>
      <c r="BA1591">
        <v>-52.18</v>
      </c>
      <c r="BB1591" t="s">
        <v>83</v>
      </c>
    </row>
    <row r="1592" spans="1:54" x14ac:dyDescent="0.4">
      <c r="A1592">
        <v>833385</v>
      </c>
      <c r="D1592" t="s">
        <v>498</v>
      </c>
      <c r="G1592">
        <v>1</v>
      </c>
      <c r="H1592" t="s">
        <v>56</v>
      </c>
      <c r="I1592" t="s">
        <v>57</v>
      </c>
      <c r="K1592" t="s">
        <v>1600</v>
      </c>
      <c r="L1592" t="s">
        <v>2594</v>
      </c>
      <c r="M1592" t="s">
        <v>60</v>
      </c>
      <c r="P1592" t="s">
        <v>511</v>
      </c>
      <c r="Q1592" t="s">
        <v>1536</v>
      </c>
      <c r="R1592" t="s">
        <v>512</v>
      </c>
      <c r="S1592" t="s">
        <v>123</v>
      </c>
      <c r="T1592">
        <v>259.51</v>
      </c>
      <c r="U1592">
        <v>251.90199999999999</v>
      </c>
      <c r="V1592">
        <f t="shared" si="48"/>
        <v>255.70599999999999</v>
      </c>
      <c r="W1592">
        <f t="shared" si="49"/>
        <v>7.6080000000000041</v>
      </c>
      <c r="X1592">
        <v>45.412497999999999</v>
      </c>
      <c r="Y1592">
        <v>-22.558332</v>
      </c>
      <c r="Z1592" t="s">
        <v>1923</v>
      </c>
      <c r="AA1592" t="s">
        <v>1913</v>
      </c>
      <c r="AB1592" t="s">
        <v>1924</v>
      </c>
      <c r="AD1592" t="s">
        <v>1915</v>
      </c>
      <c r="AE1592" t="s">
        <v>1916</v>
      </c>
      <c r="AH1592" t="s">
        <v>72</v>
      </c>
      <c r="AI1592" t="s">
        <v>2595</v>
      </c>
      <c r="AJ1592">
        <v>1955</v>
      </c>
      <c r="AK1592" t="s">
        <v>2596</v>
      </c>
      <c r="AM1592" t="s">
        <v>2597</v>
      </c>
      <c r="AN1592" t="s">
        <v>114</v>
      </c>
      <c r="AO1592" t="s">
        <v>77</v>
      </c>
      <c r="AP1592" t="s">
        <v>115</v>
      </c>
      <c r="AQ1592" t="s">
        <v>2598</v>
      </c>
      <c r="AR1592" t="s">
        <v>80</v>
      </c>
      <c r="AS1592">
        <v>702</v>
      </c>
      <c r="AT1592" t="s">
        <v>81</v>
      </c>
      <c r="AU1592">
        <v>24.81</v>
      </c>
      <c r="AV1592">
        <v>-42.64</v>
      </c>
      <c r="AW1592" t="s">
        <v>82</v>
      </c>
      <c r="AX1592">
        <v>702</v>
      </c>
      <c r="AY1592" t="s">
        <v>81</v>
      </c>
      <c r="AZ1592">
        <v>26.89</v>
      </c>
      <c r="BA1592">
        <v>-52.18</v>
      </c>
      <c r="BB1592" t="s">
        <v>83</v>
      </c>
    </row>
    <row r="1593" spans="1:54" x14ac:dyDescent="0.4">
      <c r="A1593">
        <v>833385</v>
      </c>
      <c r="D1593" t="s">
        <v>498</v>
      </c>
      <c r="G1593">
        <v>1</v>
      </c>
      <c r="H1593" t="s">
        <v>56</v>
      </c>
      <c r="I1593" t="s">
        <v>57</v>
      </c>
      <c r="K1593" t="s">
        <v>1600</v>
      </c>
      <c r="L1593" t="s">
        <v>2594</v>
      </c>
      <c r="M1593" t="s">
        <v>60</v>
      </c>
      <c r="P1593" t="s">
        <v>511</v>
      </c>
      <c r="Q1593" t="s">
        <v>1536</v>
      </c>
      <c r="R1593" t="s">
        <v>512</v>
      </c>
      <c r="S1593" t="s">
        <v>123</v>
      </c>
      <c r="T1593">
        <v>259.51</v>
      </c>
      <c r="U1593">
        <v>251.90199999999999</v>
      </c>
      <c r="V1593">
        <f t="shared" si="48"/>
        <v>255.70599999999999</v>
      </c>
      <c r="W1593">
        <f t="shared" si="49"/>
        <v>7.6080000000000041</v>
      </c>
      <c r="X1593">
        <v>45.412497999999999</v>
      </c>
      <c r="Y1593">
        <v>-22.558332</v>
      </c>
      <c r="Z1593" t="s">
        <v>1923</v>
      </c>
      <c r="AA1593" t="s">
        <v>1913</v>
      </c>
      <c r="AB1593" t="s">
        <v>1924</v>
      </c>
      <c r="AD1593" t="s">
        <v>1915</v>
      </c>
      <c r="AE1593" t="s">
        <v>1916</v>
      </c>
      <c r="AH1593" t="s">
        <v>72</v>
      </c>
      <c r="AI1593" t="s">
        <v>2595</v>
      </c>
      <c r="AJ1593">
        <v>1955</v>
      </c>
      <c r="AK1593" t="s">
        <v>2596</v>
      </c>
      <c r="AM1593" t="s">
        <v>2597</v>
      </c>
      <c r="AN1593" t="s">
        <v>114</v>
      </c>
      <c r="AO1593" t="s">
        <v>77</v>
      </c>
      <c r="AP1593" t="s">
        <v>115</v>
      </c>
      <c r="AQ1593" t="s">
        <v>2598</v>
      </c>
      <c r="AR1593" t="s">
        <v>80</v>
      </c>
      <c r="AS1593">
        <v>702</v>
      </c>
      <c r="AT1593" t="s">
        <v>81</v>
      </c>
      <c r="AU1593">
        <v>24.81</v>
      </c>
      <c r="AV1593">
        <v>-42.64</v>
      </c>
      <c r="AW1593" t="s">
        <v>82</v>
      </c>
      <c r="AX1593">
        <v>702</v>
      </c>
      <c r="AY1593" t="s">
        <v>81</v>
      </c>
      <c r="AZ1593">
        <v>26.89</v>
      </c>
      <c r="BA1593">
        <v>-52.18</v>
      </c>
      <c r="BB1593" t="s">
        <v>83</v>
      </c>
    </row>
    <row r="1594" spans="1:54" x14ac:dyDescent="0.4">
      <c r="A1594">
        <v>833385</v>
      </c>
      <c r="D1594" t="s">
        <v>498</v>
      </c>
      <c r="G1594">
        <v>1</v>
      </c>
      <c r="H1594" t="s">
        <v>56</v>
      </c>
      <c r="I1594" t="s">
        <v>57</v>
      </c>
      <c r="K1594" t="s">
        <v>1600</v>
      </c>
      <c r="L1594" t="s">
        <v>2594</v>
      </c>
      <c r="M1594" t="s">
        <v>60</v>
      </c>
      <c r="P1594" t="s">
        <v>511</v>
      </c>
      <c r="Q1594" t="s">
        <v>1536</v>
      </c>
      <c r="R1594" t="s">
        <v>512</v>
      </c>
      <c r="S1594" t="s">
        <v>123</v>
      </c>
      <c r="T1594">
        <v>259.51</v>
      </c>
      <c r="U1594">
        <v>251.90199999999999</v>
      </c>
      <c r="V1594">
        <f t="shared" si="48"/>
        <v>255.70599999999999</v>
      </c>
      <c r="W1594">
        <f t="shared" si="49"/>
        <v>7.6080000000000041</v>
      </c>
      <c r="X1594">
        <v>45.412497999999999</v>
      </c>
      <c r="Y1594">
        <v>-22.558332</v>
      </c>
      <c r="Z1594" t="s">
        <v>1923</v>
      </c>
      <c r="AA1594" t="s">
        <v>1913</v>
      </c>
      <c r="AB1594" t="s">
        <v>1924</v>
      </c>
      <c r="AD1594" t="s">
        <v>1915</v>
      </c>
      <c r="AE1594" t="s">
        <v>1916</v>
      </c>
      <c r="AH1594" t="s">
        <v>72</v>
      </c>
      <c r="AI1594" t="s">
        <v>2595</v>
      </c>
      <c r="AJ1594">
        <v>1955</v>
      </c>
      <c r="AK1594" t="s">
        <v>2596</v>
      </c>
      <c r="AM1594" t="s">
        <v>2597</v>
      </c>
      <c r="AN1594" t="s">
        <v>114</v>
      </c>
      <c r="AO1594" t="s">
        <v>77</v>
      </c>
      <c r="AP1594" t="s">
        <v>115</v>
      </c>
      <c r="AQ1594" t="s">
        <v>2598</v>
      </c>
      <c r="AR1594" t="s">
        <v>80</v>
      </c>
      <c r="AS1594">
        <v>702</v>
      </c>
      <c r="AT1594" t="s">
        <v>81</v>
      </c>
      <c r="AU1594">
        <v>24.81</v>
      </c>
      <c r="AV1594">
        <v>-42.64</v>
      </c>
      <c r="AW1594" t="s">
        <v>82</v>
      </c>
      <c r="AX1594">
        <v>702</v>
      </c>
      <c r="AY1594" t="s">
        <v>81</v>
      </c>
      <c r="AZ1594">
        <v>26.89</v>
      </c>
      <c r="BA1594">
        <v>-52.18</v>
      </c>
      <c r="BB1594" t="s">
        <v>83</v>
      </c>
    </row>
    <row r="1595" spans="1:54" x14ac:dyDescent="0.4">
      <c r="A1595">
        <v>833493</v>
      </c>
      <c r="D1595" t="s">
        <v>498</v>
      </c>
      <c r="E1595" t="s">
        <v>55</v>
      </c>
      <c r="G1595">
        <v>1</v>
      </c>
      <c r="H1595" t="s">
        <v>56</v>
      </c>
      <c r="I1595" t="s">
        <v>57</v>
      </c>
      <c r="K1595" t="s">
        <v>141</v>
      </c>
      <c r="L1595" t="s">
        <v>2607</v>
      </c>
      <c r="M1595" t="s">
        <v>60</v>
      </c>
      <c r="P1595" t="s">
        <v>511</v>
      </c>
      <c r="Q1595" t="s">
        <v>1536</v>
      </c>
      <c r="R1595" t="s">
        <v>512</v>
      </c>
      <c r="S1595" t="s">
        <v>123</v>
      </c>
      <c r="T1595">
        <v>259.51</v>
      </c>
      <c r="U1595">
        <v>251.90199999999999</v>
      </c>
      <c r="V1595">
        <f t="shared" si="48"/>
        <v>255.70599999999999</v>
      </c>
      <c r="W1595">
        <f t="shared" si="49"/>
        <v>7.6080000000000041</v>
      </c>
      <c r="X1595">
        <v>44.416668000000001</v>
      </c>
      <c r="Y1595">
        <v>-24</v>
      </c>
      <c r="Z1595" t="s">
        <v>124</v>
      </c>
      <c r="AA1595" t="s">
        <v>1913</v>
      </c>
      <c r="AB1595" t="s">
        <v>1914</v>
      </c>
      <c r="AD1595" t="s">
        <v>1915</v>
      </c>
      <c r="AE1595" t="s">
        <v>1916</v>
      </c>
      <c r="AH1595" t="s">
        <v>72</v>
      </c>
      <c r="AI1595" t="s">
        <v>2608</v>
      </c>
      <c r="AJ1595">
        <v>1980</v>
      </c>
      <c r="AK1595" t="s">
        <v>1918</v>
      </c>
      <c r="AM1595" t="s">
        <v>1919</v>
      </c>
      <c r="AN1595" t="s">
        <v>192</v>
      </c>
      <c r="AO1595" t="s">
        <v>657</v>
      </c>
      <c r="AP1595" t="s">
        <v>359</v>
      </c>
      <c r="AQ1595" t="s">
        <v>1920</v>
      </c>
      <c r="AR1595" t="s">
        <v>80</v>
      </c>
      <c r="AS1595">
        <v>702</v>
      </c>
      <c r="AT1595" t="s">
        <v>81</v>
      </c>
      <c r="AU1595">
        <v>22.51</v>
      </c>
      <c r="AV1595">
        <v>-42.93</v>
      </c>
      <c r="AW1595" t="s">
        <v>82</v>
      </c>
      <c r="AX1595">
        <v>702</v>
      </c>
      <c r="AY1595" t="s">
        <v>81</v>
      </c>
      <c r="AZ1595">
        <v>24.25</v>
      </c>
      <c r="BA1595">
        <v>-52.74</v>
      </c>
      <c r="BB1595" t="s">
        <v>83</v>
      </c>
    </row>
    <row r="1596" spans="1:54" x14ac:dyDescent="0.4">
      <c r="A1596">
        <v>833588</v>
      </c>
      <c r="D1596" t="s">
        <v>54</v>
      </c>
      <c r="E1596" t="s">
        <v>55</v>
      </c>
      <c r="I1596" t="s">
        <v>57</v>
      </c>
      <c r="K1596" t="s">
        <v>1600</v>
      </c>
      <c r="L1596" t="s">
        <v>2609</v>
      </c>
      <c r="M1596" t="s">
        <v>60</v>
      </c>
      <c r="P1596" t="s">
        <v>511</v>
      </c>
      <c r="Q1596" t="s">
        <v>1536</v>
      </c>
      <c r="R1596" t="s">
        <v>512</v>
      </c>
      <c r="S1596" t="s">
        <v>123</v>
      </c>
      <c r="T1596">
        <v>259.51</v>
      </c>
      <c r="U1596">
        <v>251.90199999999999</v>
      </c>
      <c r="V1596">
        <f t="shared" si="48"/>
        <v>255.70599999999999</v>
      </c>
      <c r="W1596">
        <f t="shared" si="49"/>
        <v>7.6080000000000041</v>
      </c>
      <c r="X1596">
        <v>24.192778000000001</v>
      </c>
      <c r="Y1596">
        <v>-32.060833000000002</v>
      </c>
      <c r="Z1596" t="s">
        <v>124</v>
      </c>
      <c r="AA1596" t="s">
        <v>106</v>
      </c>
      <c r="AB1596" t="s">
        <v>107</v>
      </c>
      <c r="AC1596" t="s">
        <v>1641</v>
      </c>
      <c r="AD1596" t="s">
        <v>1603</v>
      </c>
      <c r="AE1596" t="s">
        <v>110</v>
      </c>
      <c r="AG1596" t="s">
        <v>1632</v>
      </c>
      <c r="AH1596" t="s">
        <v>72</v>
      </c>
      <c r="AI1596" t="s">
        <v>1627</v>
      </c>
      <c r="AJ1596">
        <v>2002</v>
      </c>
      <c r="AK1596" t="s">
        <v>2315</v>
      </c>
      <c r="AM1596" t="s">
        <v>2316</v>
      </c>
      <c r="AN1596" t="s">
        <v>114</v>
      </c>
      <c r="AO1596" t="s">
        <v>77</v>
      </c>
      <c r="AP1596" t="s">
        <v>78</v>
      </c>
      <c r="AQ1596" t="s">
        <v>2317</v>
      </c>
      <c r="AR1596" t="s">
        <v>80</v>
      </c>
      <c r="AS1596">
        <v>701</v>
      </c>
      <c r="AT1596" t="s">
        <v>81</v>
      </c>
      <c r="AU1596">
        <v>-18.5</v>
      </c>
      <c r="AV1596">
        <v>-51.59</v>
      </c>
      <c r="AW1596" t="s">
        <v>82</v>
      </c>
      <c r="AX1596">
        <v>701</v>
      </c>
      <c r="AY1596" t="s">
        <v>81</v>
      </c>
      <c r="AZ1596">
        <v>-28.84</v>
      </c>
      <c r="BA1596">
        <v>-61.68</v>
      </c>
      <c r="BB1596" t="s">
        <v>83</v>
      </c>
    </row>
    <row r="1597" spans="1:54" x14ac:dyDescent="0.4">
      <c r="A1597">
        <v>854902</v>
      </c>
      <c r="D1597" t="s">
        <v>54</v>
      </c>
      <c r="E1597" t="s">
        <v>55</v>
      </c>
      <c r="G1597">
        <v>1</v>
      </c>
      <c r="H1597" t="s">
        <v>56</v>
      </c>
      <c r="I1597" t="s">
        <v>57</v>
      </c>
      <c r="K1597" t="s">
        <v>1911</v>
      </c>
      <c r="L1597" t="s">
        <v>2179</v>
      </c>
      <c r="M1597" t="s">
        <v>60</v>
      </c>
      <c r="P1597" t="s">
        <v>511</v>
      </c>
      <c r="Q1597" t="s">
        <v>1536</v>
      </c>
      <c r="R1597" t="s">
        <v>512</v>
      </c>
      <c r="S1597" t="s">
        <v>123</v>
      </c>
      <c r="T1597">
        <v>259.51</v>
      </c>
      <c r="U1597">
        <v>251.90199999999999</v>
      </c>
      <c r="V1597">
        <f t="shared" si="48"/>
        <v>255.70599999999999</v>
      </c>
      <c r="W1597">
        <f t="shared" si="49"/>
        <v>7.6080000000000041</v>
      </c>
      <c r="X1597">
        <v>24.288889000000001</v>
      </c>
      <c r="Y1597">
        <v>-32.053333000000002</v>
      </c>
      <c r="Z1597" t="s">
        <v>124</v>
      </c>
      <c r="AA1597" t="s">
        <v>106</v>
      </c>
      <c r="AB1597" t="s">
        <v>107</v>
      </c>
      <c r="AC1597" t="s">
        <v>1641</v>
      </c>
      <c r="AD1597" t="s">
        <v>1603</v>
      </c>
      <c r="AE1597" t="s">
        <v>110</v>
      </c>
      <c r="AG1597" t="s">
        <v>1632</v>
      </c>
      <c r="AH1597" t="s">
        <v>72</v>
      </c>
      <c r="AI1597" t="s">
        <v>3158</v>
      </c>
      <c r="AJ1597">
        <v>1987</v>
      </c>
      <c r="AK1597" t="s">
        <v>1642</v>
      </c>
      <c r="AM1597" t="s">
        <v>1643</v>
      </c>
      <c r="AN1597" t="s">
        <v>114</v>
      </c>
      <c r="AO1597" t="s">
        <v>77</v>
      </c>
      <c r="AP1597" t="s">
        <v>78</v>
      </c>
      <c r="AQ1597" t="s">
        <v>1644</v>
      </c>
      <c r="AR1597" t="s">
        <v>80</v>
      </c>
      <c r="AS1597">
        <v>701</v>
      </c>
      <c r="AT1597" t="s">
        <v>81</v>
      </c>
      <c r="AU1597">
        <v>-18.420000000000002</v>
      </c>
      <c r="AV1597">
        <v>-51.66</v>
      </c>
      <c r="AW1597" t="s">
        <v>82</v>
      </c>
      <c r="AX1597">
        <v>701</v>
      </c>
      <c r="AY1597" t="s">
        <v>81</v>
      </c>
      <c r="AZ1597">
        <v>-28.76</v>
      </c>
      <c r="BA1597">
        <v>-61.75</v>
      </c>
      <c r="BB1597" t="s">
        <v>83</v>
      </c>
    </row>
    <row r="1598" spans="1:54" x14ac:dyDescent="0.4">
      <c r="A1598">
        <v>990462</v>
      </c>
      <c r="D1598" t="s">
        <v>54</v>
      </c>
      <c r="G1598">
        <v>1</v>
      </c>
      <c r="H1598" t="s">
        <v>56</v>
      </c>
      <c r="I1598" t="s">
        <v>57</v>
      </c>
      <c r="K1598" t="s">
        <v>275</v>
      </c>
      <c r="L1598" t="s">
        <v>3985</v>
      </c>
      <c r="M1598" t="s">
        <v>60</v>
      </c>
      <c r="N1598" t="s">
        <v>119</v>
      </c>
      <c r="O1598" t="s">
        <v>134</v>
      </c>
      <c r="P1598" t="s">
        <v>511</v>
      </c>
      <c r="Q1598" t="s">
        <v>1536</v>
      </c>
      <c r="R1598" t="s">
        <v>512</v>
      </c>
      <c r="S1598" t="s">
        <v>123</v>
      </c>
      <c r="T1598">
        <v>259.51</v>
      </c>
      <c r="U1598">
        <v>251.90199999999999</v>
      </c>
      <c r="V1598">
        <f t="shared" si="48"/>
        <v>255.70599999999999</v>
      </c>
      <c r="W1598">
        <f t="shared" si="49"/>
        <v>7.6080000000000041</v>
      </c>
      <c r="X1598">
        <v>110.44027699999999</v>
      </c>
      <c r="Y1598">
        <v>40.674999</v>
      </c>
      <c r="Z1598" t="s">
        <v>124</v>
      </c>
      <c r="AA1598" t="s">
        <v>379</v>
      </c>
      <c r="AB1598" t="s">
        <v>380</v>
      </c>
      <c r="AD1598" t="s">
        <v>3986</v>
      </c>
      <c r="AH1598" t="s">
        <v>72</v>
      </c>
      <c r="AI1598" t="s">
        <v>1389</v>
      </c>
      <c r="AJ1598">
        <v>2011</v>
      </c>
      <c r="AK1598" t="s">
        <v>3987</v>
      </c>
      <c r="AN1598" t="s">
        <v>192</v>
      </c>
      <c r="AO1598" t="s">
        <v>77</v>
      </c>
      <c r="AP1598" t="s">
        <v>115</v>
      </c>
      <c r="AQ1598" t="s">
        <v>3988</v>
      </c>
      <c r="AR1598" t="s">
        <v>80</v>
      </c>
      <c r="AS1598">
        <v>604</v>
      </c>
      <c r="AT1598" t="s">
        <v>81</v>
      </c>
      <c r="AU1598">
        <v>114.71</v>
      </c>
      <c r="AV1598">
        <v>13.87</v>
      </c>
      <c r="AW1598" t="s">
        <v>82</v>
      </c>
      <c r="AX1598">
        <v>604</v>
      </c>
      <c r="AY1598" t="s">
        <v>81</v>
      </c>
      <c r="AZ1598">
        <v>92.28</v>
      </c>
      <c r="BA1598">
        <v>32.76</v>
      </c>
      <c r="BB1598" t="s">
        <v>83</v>
      </c>
    </row>
    <row r="1599" spans="1:54" x14ac:dyDescent="0.4">
      <c r="A1599">
        <v>1285176</v>
      </c>
      <c r="D1599" t="s">
        <v>1645</v>
      </c>
      <c r="G1599">
        <v>1</v>
      </c>
      <c r="H1599" t="s">
        <v>56</v>
      </c>
      <c r="I1599" t="s">
        <v>57</v>
      </c>
      <c r="K1599" t="s">
        <v>100</v>
      </c>
      <c r="L1599" t="s">
        <v>4536</v>
      </c>
      <c r="M1599" t="s">
        <v>60</v>
      </c>
      <c r="P1599" t="s">
        <v>511</v>
      </c>
      <c r="Q1599" t="s">
        <v>1536</v>
      </c>
      <c r="R1599" t="s">
        <v>512</v>
      </c>
      <c r="S1599" t="s">
        <v>123</v>
      </c>
      <c r="T1599">
        <v>259.51</v>
      </c>
      <c r="U1599">
        <v>251.90199999999999</v>
      </c>
      <c r="V1599">
        <f t="shared" si="48"/>
        <v>255.70599999999999</v>
      </c>
      <c r="W1599">
        <f t="shared" si="49"/>
        <v>7.6080000000000041</v>
      </c>
      <c r="X1599">
        <v>24.549999</v>
      </c>
      <c r="Y1599">
        <v>-31.866667</v>
      </c>
      <c r="Z1599" t="s">
        <v>124</v>
      </c>
      <c r="AA1599" t="s">
        <v>106</v>
      </c>
      <c r="AB1599" t="s">
        <v>107</v>
      </c>
      <c r="AC1599" t="s">
        <v>1641</v>
      </c>
      <c r="AD1599" t="s">
        <v>1603</v>
      </c>
      <c r="AE1599" t="s">
        <v>110</v>
      </c>
      <c r="AG1599" t="s">
        <v>1646</v>
      </c>
      <c r="AH1599" t="s">
        <v>72</v>
      </c>
      <c r="AI1599" t="s">
        <v>111</v>
      </c>
      <c r="AJ1599">
        <v>1937</v>
      </c>
      <c r="AK1599" t="s">
        <v>1647</v>
      </c>
      <c r="AM1599" t="s">
        <v>1648</v>
      </c>
      <c r="AN1599" t="s">
        <v>114</v>
      </c>
      <c r="AO1599" t="s">
        <v>160</v>
      </c>
      <c r="AP1599" t="s">
        <v>359</v>
      </c>
      <c r="AQ1599" t="s">
        <v>1649</v>
      </c>
      <c r="AR1599" t="s">
        <v>80</v>
      </c>
      <c r="AS1599">
        <v>701</v>
      </c>
      <c r="AT1599" t="s">
        <v>81</v>
      </c>
      <c r="AU1599">
        <v>-17.98</v>
      </c>
      <c r="AV1599">
        <v>-51.75</v>
      </c>
      <c r="AW1599" t="s">
        <v>82</v>
      </c>
      <c r="AX1599">
        <v>701</v>
      </c>
      <c r="AY1599" t="s">
        <v>81</v>
      </c>
      <c r="AZ1599">
        <v>-28.21</v>
      </c>
      <c r="BA1599">
        <v>-61.88</v>
      </c>
      <c r="BB1599" t="s">
        <v>83</v>
      </c>
    </row>
    <row r="1600" spans="1:54" x14ac:dyDescent="0.4">
      <c r="A1600">
        <v>1285177</v>
      </c>
      <c r="D1600" t="s">
        <v>1645</v>
      </c>
      <c r="G1600">
        <v>1</v>
      </c>
      <c r="H1600" t="s">
        <v>56</v>
      </c>
      <c r="I1600" t="s">
        <v>57</v>
      </c>
      <c r="K1600" t="s">
        <v>1911</v>
      </c>
      <c r="L1600" t="s">
        <v>2179</v>
      </c>
      <c r="M1600" t="s">
        <v>60</v>
      </c>
      <c r="P1600" t="s">
        <v>511</v>
      </c>
      <c r="Q1600" t="s">
        <v>1536</v>
      </c>
      <c r="R1600" t="s">
        <v>512</v>
      </c>
      <c r="S1600" t="s">
        <v>123</v>
      </c>
      <c r="T1600">
        <v>259.51</v>
      </c>
      <c r="U1600">
        <v>251.90199999999999</v>
      </c>
      <c r="V1600">
        <f t="shared" si="48"/>
        <v>255.70599999999999</v>
      </c>
      <c r="W1600">
        <f t="shared" si="49"/>
        <v>7.6080000000000041</v>
      </c>
      <c r="X1600">
        <v>24.549999</v>
      </c>
      <c r="Y1600">
        <v>-31.866667</v>
      </c>
      <c r="Z1600" t="s">
        <v>124</v>
      </c>
      <c r="AA1600" t="s">
        <v>106</v>
      </c>
      <c r="AB1600" t="s">
        <v>107</v>
      </c>
      <c r="AC1600" t="s">
        <v>1641</v>
      </c>
      <c r="AD1600" t="s">
        <v>1603</v>
      </c>
      <c r="AE1600" t="s">
        <v>110</v>
      </c>
      <c r="AG1600" t="s">
        <v>1646</v>
      </c>
      <c r="AH1600" t="s">
        <v>72</v>
      </c>
      <c r="AI1600" t="s">
        <v>111</v>
      </c>
      <c r="AJ1600">
        <v>1937</v>
      </c>
      <c r="AK1600" t="s">
        <v>1647</v>
      </c>
      <c r="AM1600" t="s">
        <v>1648</v>
      </c>
      <c r="AN1600" t="s">
        <v>114</v>
      </c>
      <c r="AO1600" t="s">
        <v>160</v>
      </c>
      <c r="AP1600" t="s">
        <v>359</v>
      </c>
      <c r="AQ1600" t="s">
        <v>1649</v>
      </c>
      <c r="AR1600" t="s">
        <v>80</v>
      </c>
      <c r="AS1600">
        <v>701</v>
      </c>
      <c r="AT1600" t="s">
        <v>81</v>
      </c>
      <c r="AU1600">
        <v>-17.98</v>
      </c>
      <c r="AV1600">
        <v>-51.75</v>
      </c>
      <c r="AW1600" t="s">
        <v>82</v>
      </c>
      <c r="AX1600">
        <v>701</v>
      </c>
      <c r="AY1600" t="s">
        <v>81</v>
      </c>
      <c r="AZ1600">
        <v>-28.21</v>
      </c>
      <c r="BA1600">
        <v>-61.88</v>
      </c>
      <c r="BB1600" t="s">
        <v>83</v>
      </c>
    </row>
    <row r="1601" spans="1:54" x14ac:dyDescent="0.4">
      <c r="A1601">
        <v>1285178</v>
      </c>
      <c r="D1601" t="s">
        <v>54</v>
      </c>
      <c r="G1601">
        <v>1</v>
      </c>
      <c r="H1601" t="s">
        <v>56</v>
      </c>
      <c r="I1601" t="s">
        <v>57</v>
      </c>
      <c r="K1601" t="s">
        <v>1911</v>
      </c>
      <c r="L1601" t="s">
        <v>2179</v>
      </c>
      <c r="M1601" t="s">
        <v>60</v>
      </c>
      <c r="P1601" t="s">
        <v>511</v>
      </c>
      <c r="Q1601" t="s">
        <v>1536</v>
      </c>
      <c r="R1601" t="s">
        <v>512</v>
      </c>
      <c r="S1601" t="s">
        <v>123</v>
      </c>
      <c r="T1601">
        <v>259.51</v>
      </c>
      <c r="U1601">
        <v>251.90199999999999</v>
      </c>
      <c r="V1601">
        <f t="shared" si="48"/>
        <v>255.70599999999999</v>
      </c>
      <c r="W1601">
        <f t="shared" si="49"/>
        <v>7.6080000000000041</v>
      </c>
      <c r="X1601">
        <v>24.703333000000001</v>
      </c>
      <c r="Y1601">
        <v>-32.011944</v>
      </c>
      <c r="Z1601" t="s">
        <v>124</v>
      </c>
      <c r="AA1601" t="s">
        <v>106</v>
      </c>
      <c r="AB1601" t="s">
        <v>107</v>
      </c>
      <c r="AC1601" t="s">
        <v>4537</v>
      </c>
      <c r="AE1601" t="s">
        <v>110</v>
      </c>
      <c r="AG1601" t="s">
        <v>4538</v>
      </c>
      <c r="AH1601" t="s">
        <v>72</v>
      </c>
      <c r="AI1601" t="s">
        <v>3667</v>
      </c>
      <c r="AJ1601">
        <v>1948</v>
      </c>
      <c r="AK1601" t="s">
        <v>4539</v>
      </c>
      <c r="AM1601" t="s">
        <v>4540</v>
      </c>
      <c r="AN1601" t="s">
        <v>114</v>
      </c>
      <c r="AO1601" t="s">
        <v>77</v>
      </c>
      <c r="AP1601" t="s">
        <v>359</v>
      </c>
      <c r="AQ1601" t="s">
        <v>4541</v>
      </c>
      <c r="AR1601" t="s">
        <v>80</v>
      </c>
      <c r="AS1601">
        <v>701</v>
      </c>
      <c r="AT1601" t="s">
        <v>81</v>
      </c>
      <c r="AU1601">
        <v>-18.079999999999998</v>
      </c>
      <c r="AV1601">
        <v>-51.94</v>
      </c>
      <c r="AW1601" t="s">
        <v>82</v>
      </c>
      <c r="AX1601">
        <v>701</v>
      </c>
      <c r="AY1601" t="s">
        <v>81</v>
      </c>
      <c r="AZ1601">
        <v>-28.39</v>
      </c>
      <c r="BA1601">
        <v>-62.06</v>
      </c>
      <c r="BB1601" t="s">
        <v>83</v>
      </c>
    </row>
    <row r="1602" spans="1:54" x14ac:dyDescent="0.4">
      <c r="A1602">
        <v>1285182</v>
      </c>
      <c r="D1602" t="s">
        <v>1645</v>
      </c>
      <c r="G1602">
        <v>1</v>
      </c>
      <c r="H1602" t="s">
        <v>56</v>
      </c>
      <c r="I1602" t="s">
        <v>57</v>
      </c>
      <c r="K1602" t="s">
        <v>1911</v>
      </c>
      <c r="L1602" t="s">
        <v>2179</v>
      </c>
      <c r="M1602" t="s">
        <v>60</v>
      </c>
      <c r="P1602" t="s">
        <v>511</v>
      </c>
      <c r="Q1602" t="s">
        <v>1536</v>
      </c>
      <c r="R1602" t="s">
        <v>512</v>
      </c>
      <c r="S1602" t="s">
        <v>123</v>
      </c>
      <c r="T1602">
        <v>259.51</v>
      </c>
      <c r="U1602">
        <v>251.90199999999999</v>
      </c>
      <c r="V1602">
        <f t="shared" si="48"/>
        <v>255.70599999999999</v>
      </c>
      <c r="W1602">
        <f t="shared" si="49"/>
        <v>7.6080000000000041</v>
      </c>
      <c r="X1602">
        <v>24.549999</v>
      </c>
      <c r="Y1602">
        <v>-31.866667</v>
      </c>
      <c r="Z1602" t="s">
        <v>124</v>
      </c>
      <c r="AA1602" t="s">
        <v>106</v>
      </c>
      <c r="AB1602" t="s">
        <v>107</v>
      </c>
      <c r="AC1602" t="s">
        <v>1641</v>
      </c>
      <c r="AD1602" t="s">
        <v>1603</v>
      </c>
      <c r="AE1602" t="s">
        <v>110</v>
      </c>
      <c r="AG1602" t="s">
        <v>1646</v>
      </c>
      <c r="AH1602" t="s">
        <v>72</v>
      </c>
      <c r="AI1602" t="s">
        <v>3667</v>
      </c>
      <c r="AJ1602">
        <v>1948</v>
      </c>
      <c r="AK1602" t="s">
        <v>1647</v>
      </c>
      <c r="AM1602" t="s">
        <v>1648</v>
      </c>
      <c r="AN1602" t="s">
        <v>114</v>
      </c>
      <c r="AO1602" t="s">
        <v>160</v>
      </c>
      <c r="AP1602" t="s">
        <v>359</v>
      </c>
      <c r="AQ1602" t="s">
        <v>1649</v>
      </c>
      <c r="AR1602" t="s">
        <v>80</v>
      </c>
      <c r="AS1602">
        <v>701</v>
      </c>
      <c r="AT1602" t="s">
        <v>81</v>
      </c>
      <c r="AU1602">
        <v>-17.98</v>
      </c>
      <c r="AV1602">
        <v>-51.75</v>
      </c>
      <c r="AW1602" t="s">
        <v>82</v>
      </c>
      <c r="AX1602">
        <v>701</v>
      </c>
      <c r="AY1602" t="s">
        <v>81</v>
      </c>
      <c r="AZ1602">
        <v>-28.21</v>
      </c>
      <c r="BA1602">
        <v>-61.88</v>
      </c>
      <c r="BB1602" t="s">
        <v>83</v>
      </c>
    </row>
    <row r="1603" spans="1:54" x14ac:dyDescent="0.4">
      <c r="A1603">
        <v>1285184</v>
      </c>
      <c r="D1603" t="s">
        <v>54</v>
      </c>
      <c r="E1603" t="s">
        <v>55</v>
      </c>
      <c r="G1603">
        <v>1</v>
      </c>
      <c r="H1603" t="s">
        <v>56</v>
      </c>
      <c r="I1603" t="s">
        <v>57</v>
      </c>
      <c r="K1603" t="s">
        <v>1911</v>
      </c>
      <c r="L1603" t="s">
        <v>2179</v>
      </c>
      <c r="M1603" t="s">
        <v>60</v>
      </c>
      <c r="P1603" t="s">
        <v>511</v>
      </c>
      <c r="Q1603" t="s">
        <v>1536</v>
      </c>
      <c r="R1603" t="s">
        <v>512</v>
      </c>
      <c r="S1603" t="s">
        <v>123</v>
      </c>
      <c r="T1603">
        <v>259.51</v>
      </c>
      <c r="U1603">
        <v>251.90199999999999</v>
      </c>
      <c r="V1603">
        <f t="shared" ref="V1603:V1666" si="50">(T1603+U1603)/2</f>
        <v>255.70599999999999</v>
      </c>
      <c r="W1603">
        <f t="shared" ref="W1603:W1666" si="51">T1603-U1603</f>
        <v>7.6080000000000041</v>
      </c>
      <c r="X1603">
        <v>24.288889000000001</v>
      </c>
      <c r="Y1603">
        <v>-32.053333000000002</v>
      </c>
      <c r="Z1603" t="s">
        <v>124</v>
      </c>
      <c r="AA1603" t="s">
        <v>106</v>
      </c>
      <c r="AB1603" t="s">
        <v>107</v>
      </c>
      <c r="AC1603" t="s">
        <v>1641</v>
      </c>
      <c r="AD1603" t="s">
        <v>1603</v>
      </c>
      <c r="AE1603" t="s">
        <v>110</v>
      </c>
      <c r="AG1603" t="s">
        <v>1632</v>
      </c>
      <c r="AH1603" t="s">
        <v>72</v>
      </c>
      <c r="AI1603" t="s">
        <v>1633</v>
      </c>
      <c r="AJ1603">
        <v>1975</v>
      </c>
      <c r="AK1603" t="s">
        <v>1642</v>
      </c>
      <c r="AM1603" t="s">
        <v>1643</v>
      </c>
      <c r="AN1603" t="s">
        <v>114</v>
      </c>
      <c r="AO1603" t="s">
        <v>77</v>
      </c>
      <c r="AP1603" t="s">
        <v>78</v>
      </c>
      <c r="AQ1603" t="s">
        <v>1644</v>
      </c>
      <c r="AR1603" t="s">
        <v>80</v>
      </c>
      <c r="AS1603">
        <v>701</v>
      </c>
      <c r="AT1603" t="s">
        <v>81</v>
      </c>
      <c r="AU1603">
        <v>-18.420000000000002</v>
      </c>
      <c r="AV1603">
        <v>-51.66</v>
      </c>
      <c r="AW1603" t="s">
        <v>82</v>
      </c>
      <c r="AX1603">
        <v>701</v>
      </c>
      <c r="AY1603" t="s">
        <v>81</v>
      </c>
      <c r="AZ1603">
        <v>-28.76</v>
      </c>
      <c r="BA1603">
        <v>-61.75</v>
      </c>
      <c r="BB1603" t="s">
        <v>83</v>
      </c>
    </row>
    <row r="1604" spans="1:54" x14ac:dyDescent="0.4">
      <c r="A1604">
        <v>1285185</v>
      </c>
      <c r="D1604" t="s">
        <v>179</v>
      </c>
      <c r="G1604">
        <v>1</v>
      </c>
      <c r="H1604" t="s">
        <v>56</v>
      </c>
      <c r="I1604" t="s">
        <v>57</v>
      </c>
      <c r="K1604" t="s">
        <v>1911</v>
      </c>
      <c r="L1604" t="s">
        <v>2179</v>
      </c>
      <c r="M1604" t="s">
        <v>60</v>
      </c>
      <c r="P1604" t="s">
        <v>511</v>
      </c>
      <c r="Q1604" t="s">
        <v>1536</v>
      </c>
      <c r="R1604" t="s">
        <v>512</v>
      </c>
      <c r="S1604" t="s">
        <v>123</v>
      </c>
      <c r="T1604">
        <v>259.51</v>
      </c>
      <c r="U1604">
        <v>251.90199999999999</v>
      </c>
      <c r="V1604">
        <f t="shared" si="50"/>
        <v>255.70599999999999</v>
      </c>
      <c r="W1604">
        <f t="shared" si="51"/>
        <v>7.6080000000000041</v>
      </c>
      <c r="X1604">
        <v>23.894444</v>
      </c>
      <c r="Y1604">
        <v>-32.152779000000002</v>
      </c>
      <c r="Z1604" t="s">
        <v>124</v>
      </c>
      <c r="AA1604" t="s">
        <v>106</v>
      </c>
      <c r="AB1604" t="s">
        <v>334</v>
      </c>
      <c r="AC1604" t="s">
        <v>1638</v>
      </c>
      <c r="AD1604" t="s">
        <v>1603</v>
      </c>
      <c r="AE1604" t="s">
        <v>110</v>
      </c>
      <c r="AG1604" t="s">
        <v>1632</v>
      </c>
      <c r="AH1604" t="s">
        <v>72</v>
      </c>
      <c r="AI1604" t="s">
        <v>1633</v>
      </c>
      <c r="AJ1604">
        <v>1975</v>
      </c>
      <c r="AK1604" t="s">
        <v>2313</v>
      </c>
      <c r="AN1604" t="s">
        <v>114</v>
      </c>
      <c r="AO1604" t="s">
        <v>77</v>
      </c>
      <c r="AP1604" t="s">
        <v>78</v>
      </c>
      <c r="AQ1604" t="s">
        <v>2314</v>
      </c>
      <c r="AR1604" t="s">
        <v>80</v>
      </c>
      <c r="AS1604">
        <v>701</v>
      </c>
      <c r="AT1604" t="s">
        <v>81</v>
      </c>
      <c r="AU1604">
        <v>-18.829999999999998</v>
      </c>
      <c r="AV1604">
        <v>-51.42</v>
      </c>
      <c r="AW1604" t="s">
        <v>82</v>
      </c>
      <c r="AX1604">
        <v>701</v>
      </c>
      <c r="AY1604" t="s">
        <v>81</v>
      </c>
      <c r="AZ1604">
        <v>-29.23</v>
      </c>
      <c r="BA1604">
        <v>-61.48</v>
      </c>
      <c r="BB1604" t="s">
        <v>83</v>
      </c>
    </row>
    <row r="1605" spans="1:54" x14ac:dyDescent="0.4">
      <c r="A1605">
        <v>1285186</v>
      </c>
      <c r="D1605" t="s">
        <v>179</v>
      </c>
      <c r="I1605" t="s">
        <v>57</v>
      </c>
      <c r="K1605" t="s">
        <v>141</v>
      </c>
      <c r="L1605" t="s">
        <v>4542</v>
      </c>
      <c r="M1605" t="s">
        <v>60</v>
      </c>
      <c r="O1605" t="s">
        <v>170</v>
      </c>
      <c r="P1605" t="s">
        <v>511</v>
      </c>
      <c r="Q1605" t="s">
        <v>1536</v>
      </c>
      <c r="R1605" t="s">
        <v>512</v>
      </c>
      <c r="S1605" t="s">
        <v>123</v>
      </c>
      <c r="T1605">
        <v>259.51</v>
      </c>
      <c r="U1605">
        <v>251.90199999999999</v>
      </c>
      <c r="V1605">
        <f t="shared" si="50"/>
        <v>255.70599999999999</v>
      </c>
      <c r="W1605">
        <f t="shared" si="51"/>
        <v>7.6080000000000041</v>
      </c>
      <c r="X1605">
        <v>23.894444</v>
      </c>
      <c r="Y1605">
        <v>-32.152779000000002</v>
      </c>
      <c r="Z1605" t="s">
        <v>124</v>
      </c>
      <c r="AA1605" t="s">
        <v>106</v>
      </c>
      <c r="AB1605" t="s">
        <v>334</v>
      </c>
      <c r="AC1605" t="s">
        <v>1638</v>
      </c>
      <c r="AD1605" t="s">
        <v>1603</v>
      </c>
      <c r="AE1605" t="s">
        <v>110</v>
      </c>
      <c r="AG1605" t="s">
        <v>1632</v>
      </c>
      <c r="AH1605" t="s">
        <v>72</v>
      </c>
      <c r="AI1605" t="s">
        <v>3650</v>
      </c>
      <c r="AJ1605">
        <v>1977</v>
      </c>
      <c r="AK1605" t="s">
        <v>2313</v>
      </c>
      <c r="AN1605" t="s">
        <v>114</v>
      </c>
      <c r="AO1605" t="s">
        <v>77</v>
      </c>
      <c r="AP1605" t="s">
        <v>78</v>
      </c>
      <c r="AQ1605" t="s">
        <v>2314</v>
      </c>
      <c r="AR1605" t="s">
        <v>80</v>
      </c>
      <c r="AS1605">
        <v>701</v>
      </c>
      <c r="AT1605" t="s">
        <v>81</v>
      </c>
      <c r="AU1605">
        <v>-18.829999999999998</v>
      </c>
      <c r="AV1605">
        <v>-51.42</v>
      </c>
      <c r="AW1605" t="s">
        <v>82</v>
      </c>
      <c r="AX1605">
        <v>701</v>
      </c>
      <c r="AY1605" t="s">
        <v>81</v>
      </c>
      <c r="AZ1605">
        <v>-29.23</v>
      </c>
      <c r="BA1605">
        <v>-61.48</v>
      </c>
      <c r="BB1605" t="s">
        <v>83</v>
      </c>
    </row>
    <row r="1606" spans="1:54" x14ac:dyDescent="0.4">
      <c r="A1606">
        <v>1285191</v>
      </c>
      <c r="D1606" t="s">
        <v>54</v>
      </c>
      <c r="G1606">
        <v>1</v>
      </c>
      <c r="H1606" t="s">
        <v>84</v>
      </c>
      <c r="I1606" t="s">
        <v>57</v>
      </c>
      <c r="K1606" t="s">
        <v>1911</v>
      </c>
      <c r="L1606" t="s">
        <v>2179</v>
      </c>
      <c r="M1606" t="s">
        <v>60</v>
      </c>
      <c r="P1606" t="s">
        <v>511</v>
      </c>
      <c r="Q1606" t="s">
        <v>1536</v>
      </c>
      <c r="R1606" t="s">
        <v>512</v>
      </c>
      <c r="S1606" t="s">
        <v>123</v>
      </c>
      <c r="T1606">
        <v>259.51</v>
      </c>
      <c r="U1606">
        <v>251.90199999999999</v>
      </c>
      <c r="V1606">
        <f t="shared" si="50"/>
        <v>255.70599999999999</v>
      </c>
      <c r="W1606">
        <f t="shared" si="51"/>
        <v>7.6080000000000041</v>
      </c>
      <c r="X1606">
        <v>23.933332</v>
      </c>
      <c r="Y1606">
        <v>-31.416668000000001</v>
      </c>
      <c r="Z1606" t="s">
        <v>124</v>
      </c>
      <c r="AA1606" t="s">
        <v>106</v>
      </c>
      <c r="AB1606" t="s">
        <v>107</v>
      </c>
      <c r="AD1606" t="s">
        <v>1603</v>
      </c>
      <c r="AE1606" t="s">
        <v>110</v>
      </c>
      <c r="AG1606" t="s">
        <v>1632</v>
      </c>
      <c r="AH1606" t="s">
        <v>72</v>
      </c>
      <c r="AI1606" t="s">
        <v>1633</v>
      </c>
      <c r="AJ1606">
        <v>1975</v>
      </c>
      <c r="AK1606" t="s">
        <v>4543</v>
      </c>
      <c r="AN1606" t="s">
        <v>114</v>
      </c>
      <c r="AO1606" t="s">
        <v>77</v>
      </c>
      <c r="AP1606" t="s">
        <v>359</v>
      </c>
      <c r="AR1606" t="s">
        <v>80</v>
      </c>
      <c r="AS1606">
        <v>701</v>
      </c>
      <c r="AT1606" t="s">
        <v>81</v>
      </c>
      <c r="AU1606">
        <v>-17.79</v>
      </c>
      <c r="AV1606">
        <v>-51.07</v>
      </c>
      <c r="AW1606" t="s">
        <v>82</v>
      </c>
      <c r="AX1606">
        <v>701</v>
      </c>
      <c r="AY1606" t="s">
        <v>81</v>
      </c>
      <c r="AZ1606">
        <v>-27.79</v>
      </c>
      <c r="BA1606">
        <v>-61.22</v>
      </c>
      <c r="BB1606" t="s">
        <v>83</v>
      </c>
    </row>
    <row r="1607" spans="1:54" x14ac:dyDescent="0.4">
      <c r="A1607">
        <v>1285194</v>
      </c>
      <c r="D1607" t="s">
        <v>54</v>
      </c>
      <c r="G1607">
        <v>1</v>
      </c>
      <c r="H1607" t="s">
        <v>56</v>
      </c>
      <c r="I1607" t="s">
        <v>57</v>
      </c>
      <c r="K1607" t="s">
        <v>1911</v>
      </c>
      <c r="L1607" t="s">
        <v>2179</v>
      </c>
      <c r="M1607" t="s">
        <v>60</v>
      </c>
      <c r="P1607" t="s">
        <v>511</v>
      </c>
      <c r="Q1607" t="s">
        <v>1536</v>
      </c>
      <c r="R1607" t="s">
        <v>512</v>
      </c>
      <c r="S1607" t="s">
        <v>123</v>
      </c>
      <c r="T1607">
        <v>259.51</v>
      </c>
      <c r="U1607">
        <v>251.90199999999999</v>
      </c>
      <c r="V1607">
        <f t="shared" si="50"/>
        <v>255.70599999999999</v>
      </c>
      <c r="W1607">
        <f t="shared" si="51"/>
        <v>7.6080000000000041</v>
      </c>
      <c r="X1607">
        <v>24.573609999999999</v>
      </c>
      <c r="Y1607">
        <v>-31.958331999999999</v>
      </c>
      <c r="Z1607" t="s">
        <v>124</v>
      </c>
      <c r="AA1607" t="s">
        <v>106</v>
      </c>
      <c r="AB1607" t="s">
        <v>107</v>
      </c>
      <c r="AC1607" t="s">
        <v>1641</v>
      </c>
      <c r="AD1607" t="s">
        <v>1603</v>
      </c>
      <c r="AE1607" t="s">
        <v>110</v>
      </c>
      <c r="AG1607" t="s">
        <v>1646</v>
      </c>
      <c r="AH1607" t="s">
        <v>72</v>
      </c>
      <c r="AI1607" t="s">
        <v>1633</v>
      </c>
      <c r="AJ1607">
        <v>1975</v>
      </c>
      <c r="AK1607" t="s">
        <v>1663</v>
      </c>
      <c r="AN1607" t="s">
        <v>114</v>
      </c>
      <c r="AO1607" t="s">
        <v>77</v>
      </c>
      <c r="AP1607" t="s">
        <v>359</v>
      </c>
      <c r="AQ1607" t="s">
        <v>1664</v>
      </c>
      <c r="AR1607" t="s">
        <v>80</v>
      </c>
      <c r="AS1607">
        <v>701</v>
      </c>
      <c r="AT1607" t="s">
        <v>81</v>
      </c>
      <c r="AU1607">
        <v>-18.09</v>
      </c>
      <c r="AV1607">
        <v>-51.82</v>
      </c>
      <c r="AW1607" t="s">
        <v>82</v>
      </c>
      <c r="AX1607">
        <v>701</v>
      </c>
      <c r="AY1607" t="s">
        <v>81</v>
      </c>
      <c r="AZ1607">
        <v>-28.37</v>
      </c>
      <c r="BA1607">
        <v>-61.93</v>
      </c>
      <c r="BB1607" t="s">
        <v>83</v>
      </c>
    </row>
    <row r="1608" spans="1:54" x14ac:dyDescent="0.4">
      <c r="A1608">
        <v>1285194</v>
      </c>
      <c r="D1608" t="s">
        <v>54</v>
      </c>
      <c r="G1608">
        <v>1</v>
      </c>
      <c r="H1608" t="s">
        <v>56</v>
      </c>
      <c r="I1608" t="s">
        <v>57</v>
      </c>
      <c r="K1608" t="s">
        <v>1911</v>
      </c>
      <c r="L1608" t="s">
        <v>2179</v>
      </c>
      <c r="M1608" t="s">
        <v>60</v>
      </c>
      <c r="P1608" t="s">
        <v>511</v>
      </c>
      <c r="Q1608" t="s">
        <v>1536</v>
      </c>
      <c r="R1608" t="s">
        <v>512</v>
      </c>
      <c r="S1608" t="s">
        <v>123</v>
      </c>
      <c r="T1608">
        <v>259.51</v>
      </c>
      <c r="U1608">
        <v>251.90199999999999</v>
      </c>
      <c r="V1608">
        <f t="shared" si="50"/>
        <v>255.70599999999999</v>
      </c>
      <c r="W1608">
        <f t="shared" si="51"/>
        <v>7.6080000000000041</v>
      </c>
      <c r="X1608">
        <v>24.573609999999999</v>
      </c>
      <c r="Y1608">
        <v>-31.958331999999999</v>
      </c>
      <c r="Z1608" t="s">
        <v>124</v>
      </c>
      <c r="AA1608" t="s">
        <v>106</v>
      </c>
      <c r="AB1608" t="s">
        <v>107</v>
      </c>
      <c r="AC1608" t="s">
        <v>1641</v>
      </c>
      <c r="AD1608" t="s">
        <v>1603</v>
      </c>
      <c r="AE1608" t="s">
        <v>110</v>
      </c>
      <c r="AG1608" t="s">
        <v>1646</v>
      </c>
      <c r="AH1608" t="s">
        <v>72</v>
      </c>
      <c r="AI1608" t="s">
        <v>1633</v>
      </c>
      <c r="AJ1608">
        <v>1975</v>
      </c>
      <c r="AK1608" t="s">
        <v>1663</v>
      </c>
      <c r="AN1608" t="s">
        <v>114</v>
      </c>
      <c r="AO1608" t="s">
        <v>77</v>
      </c>
      <c r="AP1608" t="s">
        <v>359</v>
      </c>
      <c r="AQ1608" t="s">
        <v>1664</v>
      </c>
      <c r="AR1608" t="s">
        <v>80</v>
      </c>
      <c r="AS1608">
        <v>701</v>
      </c>
      <c r="AT1608" t="s">
        <v>81</v>
      </c>
      <c r="AU1608">
        <v>-18.09</v>
      </c>
      <c r="AV1608">
        <v>-51.82</v>
      </c>
      <c r="AW1608" t="s">
        <v>82</v>
      </c>
      <c r="AX1608">
        <v>701</v>
      </c>
      <c r="AY1608" t="s">
        <v>81</v>
      </c>
      <c r="AZ1608">
        <v>-28.37</v>
      </c>
      <c r="BA1608">
        <v>-61.93</v>
      </c>
      <c r="BB1608" t="s">
        <v>83</v>
      </c>
    </row>
    <row r="1609" spans="1:54" x14ac:dyDescent="0.4">
      <c r="A1609">
        <v>1285822</v>
      </c>
      <c r="D1609" t="s">
        <v>54</v>
      </c>
      <c r="F1609" t="s">
        <v>719</v>
      </c>
      <c r="G1609">
        <v>1</v>
      </c>
      <c r="H1609" t="s">
        <v>56</v>
      </c>
      <c r="I1609" t="s">
        <v>57</v>
      </c>
      <c r="K1609" t="s">
        <v>141</v>
      </c>
      <c r="L1609" t="s">
        <v>4545</v>
      </c>
      <c r="M1609" t="s">
        <v>60</v>
      </c>
      <c r="P1609" t="s">
        <v>511</v>
      </c>
      <c r="Q1609" t="s">
        <v>1536</v>
      </c>
      <c r="R1609" t="s">
        <v>512</v>
      </c>
      <c r="S1609" t="s">
        <v>123</v>
      </c>
      <c r="T1609">
        <v>259.51</v>
      </c>
      <c r="U1609">
        <v>251.90199999999999</v>
      </c>
      <c r="V1609">
        <f t="shared" si="50"/>
        <v>255.70599999999999</v>
      </c>
      <c r="W1609">
        <f t="shared" si="51"/>
        <v>7.6080000000000041</v>
      </c>
      <c r="X1609">
        <v>24.516701000000001</v>
      </c>
      <c r="Y1609">
        <v>-31.950001</v>
      </c>
      <c r="Z1609" t="s">
        <v>124</v>
      </c>
      <c r="AA1609" t="s">
        <v>106</v>
      </c>
      <c r="AB1609" t="s">
        <v>107</v>
      </c>
      <c r="AE1609" t="s">
        <v>110</v>
      </c>
      <c r="AG1609" t="s">
        <v>4546</v>
      </c>
      <c r="AH1609" t="s">
        <v>72</v>
      </c>
      <c r="AI1609" t="s">
        <v>3177</v>
      </c>
      <c r="AJ1609">
        <v>1868</v>
      </c>
      <c r="AK1609" t="s">
        <v>4547</v>
      </c>
      <c r="AM1609" t="s">
        <v>4548</v>
      </c>
      <c r="AN1609" t="s">
        <v>114</v>
      </c>
      <c r="AO1609">
        <v>4</v>
      </c>
      <c r="AP1609" t="s">
        <v>78</v>
      </c>
      <c r="AR1609" t="s">
        <v>80</v>
      </c>
      <c r="AS1609">
        <v>701</v>
      </c>
      <c r="AT1609" t="s">
        <v>81</v>
      </c>
      <c r="AU1609">
        <v>-18.12</v>
      </c>
      <c r="AV1609">
        <v>-51.77</v>
      </c>
      <c r="AW1609" t="s">
        <v>82</v>
      </c>
      <c r="AX1609">
        <v>701</v>
      </c>
      <c r="AY1609" t="s">
        <v>81</v>
      </c>
      <c r="AZ1609">
        <v>-28.4</v>
      </c>
      <c r="BA1609">
        <v>-61.89</v>
      </c>
      <c r="BB1609" t="s">
        <v>83</v>
      </c>
    </row>
    <row r="1610" spans="1:54" x14ac:dyDescent="0.4">
      <c r="A1610">
        <v>1285964</v>
      </c>
      <c r="D1610" t="s">
        <v>498</v>
      </c>
      <c r="E1610" t="s">
        <v>55</v>
      </c>
      <c r="G1610">
        <v>1</v>
      </c>
      <c r="H1610" t="s">
        <v>56</v>
      </c>
      <c r="I1610" t="s">
        <v>57</v>
      </c>
      <c r="K1610" t="s">
        <v>2135</v>
      </c>
      <c r="L1610" t="s">
        <v>2606</v>
      </c>
      <c r="M1610" t="s">
        <v>60</v>
      </c>
      <c r="P1610" t="s">
        <v>511</v>
      </c>
      <c r="Q1610" t="s">
        <v>1536</v>
      </c>
      <c r="R1610" t="s">
        <v>512</v>
      </c>
      <c r="S1610" t="s">
        <v>123</v>
      </c>
      <c r="T1610">
        <v>259.51</v>
      </c>
      <c r="U1610">
        <v>251.90199999999999</v>
      </c>
      <c r="V1610">
        <f t="shared" si="50"/>
        <v>255.70599999999999</v>
      </c>
      <c r="W1610">
        <f t="shared" si="51"/>
        <v>7.6080000000000041</v>
      </c>
      <c r="X1610">
        <v>44.416668000000001</v>
      </c>
      <c r="Y1610">
        <v>-24</v>
      </c>
      <c r="Z1610" t="s">
        <v>124</v>
      </c>
      <c r="AA1610" t="s">
        <v>1913</v>
      </c>
      <c r="AB1610" t="s">
        <v>1914</v>
      </c>
      <c r="AD1610" t="s">
        <v>1915</v>
      </c>
      <c r="AE1610" t="s">
        <v>1916</v>
      </c>
      <c r="AH1610" t="s">
        <v>72</v>
      </c>
      <c r="AI1610" t="s">
        <v>2595</v>
      </c>
      <c r="AJ1610">
        <v>1926</v>
      </c>
      <c r="AK1610" t="s">
        <v>1918</v>
      </c>
      <c r="AM1610" t="s">
        <v>1919</v>
      </c>
      <c r="AN1610" t="s">
        <v>192</v>
      </c>
      <c r="AO1610" t="s">
        <v>657</v>
      </c>
      <c r="AP1610" t="s">
        <v>359</v>
      </c>
      <c r="AQ1610" t="s">
        <v>1920</v>
      </c>
      <c r="AR1610" t="s">
        <v>80</v>
      </c>
      <c r="AS1610">
        <v>702</v>
      </c>
      <c r="AT1610" t="s">
        <v>81</v>
      </c>
      <c r="AU1610">
        <v>22.51</v>
      </c>
      <c r="AV1610">
        <v>-42.93</v>
      </c>
      <c r="AW1610" t="s">
        <v>82</v>
      </c>
      <c r="AX1610">
        <v>702</v>
      </c>
      <c r="AY1610" t="s">
        <v>81</v>
      </c>
      <c r="AZ1610">
        <v>24.25</v>
      </c>
      <c r="BA1610">
        <v>-52.74</v>
      </c>
      <c r="BB1610" t="s">
        <v>83</v>
      </c>
    </row>
    <row r="1611" spans="1:54" x14ac:dyDescent="0.4">
      <c r="A1611">
        <v>1285964</v>
      </c>
      <c r="D1611" t="s">
        <v>498</v>
      </c>
      <c r="E1611" t="s">
        <v>55</v>
      </c>
      <c r="G1611">
        <v>1</v>
      </c>
      <c r="H1611" t="s">
        <v>56</v>
      </c>
      <c r="I1611" t="s">
        <v>57</v>
      </c>
      <c r="K1611" t="s">
        <v>2135</v>
      </c>
      <c r="L1611" t="s">
        <v>2606</v>
      </c>
      <c r="M1611" t="s">
        <v>60</v>
      </c>
      <c r="P1611" t="s">
        <v>511</v>
      </c>
      <c r="Q1611" t="s">
        <v>1536</v>
      </c>
      <c r="R1611" t="s">
        <v>512</v>
      </c>
      <c r="S1611" t="s">
        <v>123</v>
      </c>
      <c r="T1611">
        <v>259.51</v>
      </c>
      <c r="U1611">
        <v>251.90199999999999</v>
      </c>
      <c r="V1611">
        <f t="shared" si="50"/>
        <v>255.70599999999999</v>
      </c>
      <c r="W1611">
        <f t="shared" si="51"/>
        <v>7.6080000000000041</v>
      </c>
      <c r="X1611">
        <v>44.416668000000001</v>
      </c>
      <c r="Y1611">
        <v>-24</v>
      </c>
      <c r="Z1611" t="s">
        <v>124</v>
      </c>
      <c r="AA1611" t="s">
        <v>1913</v>
      </c>
      <c r="AB1611" t="s">
        <v>1914</v>
      </c>
      <c r="AD1611" t="s">
        <v>1915</v>
      </c>
      <c r="AE1611" t="s">
        <v>1916</v>
      </c>
      <c r="AH1611" t="s">
        <v>72</v>
      </c>
      <c r="AI1611" t="s">
        <v>2595</v>
      </c>
      <c r="AJ1611">
        <v>1926</v>
      </c>
      <c r="AK1611" t="s">
        <v>1918</v>
      </c>
      <c r="AM1611" t="s">
        <v>1919</v>
      </c>
      <c r="AN1611" t="s">
        <v>192</v>
      </c>
      <c r="AO1611" t="s">
        <v>657</v>
      </c>
      <c r="AP1611" t="s">
        <v>359</v>
      </c>
      <c r="AQ1611" t="s">
        <v>1920</v>
      </c>
      <c r="AR1611" t="s">
        <v>80</v>
      </c>
      <c r="AS1611">
        <v>702</v>
      </c>
      <c r="AT1611" t="s">
        <v>81</v>
      </c>
      <c r="AU1611">
        <v>22.51</v>
      </c>
      <c r="AV1611">
        <v>-42.93</v>
      </c>
      <c r="AW1611" t="s">
        <v>82</v>
      </c>
      <c r="AX1611">
        <v>702</v>
      </c>
      <c r="AY1611" t="s">
        <v>81</v>
      </c>
      <c r="AZ1611">
        <v>24.25</v>
      </c>
      <c r="BA1611">
        <v>-52.74</v>
      </c>
      <c r="BB1611" t="s">
        <v>83</v>
      </c>
    </row>
    <row r="1612" spans="1:54" x14ac:dyDescent="0.4">
      <c r="A1612">
        <v>1285964</v>
      </c>
      <c r="D1612" t="s">
        <v>498</v>
      </c>
      <c r="E1612" t="s">
        <v>55</v>
      </c>
      <c r="G1612">
        <v>1</v>
      </c>
      <c r="H1612" t="s">
        <v>56</v>
      </c>
      <c r="I1612" t="s">
        <v>57</v>
      </c>
      <c r="K1612" t="s">
        <v>2135</v>
      </c>
      <c r="L1612" t="s">
        <v>2606</v>
      </c>
      <c r="M1612" t="s">
        <v>60</v>
      </c>
      <c r="P1612" t="s">
        <v>511</v>
      </c>
      <c r="Q1612" t="s">
        <v>1536</v>
      </c>
      <c r="R1612" t="s">
        <v>512</v>
      </c>
      <c r="S1612" t="s">
        <v>123</v>
      </c>
      <c r="T1612">
        <v>259.51</v>
      </c>
      <c r="U1612">
        <v>251.90199999999999</v>
      </c>
      <c r="V1612">
        <f t="shared" si="50"/>
        <v>255.70599999999999</v>
      </c>
      <c r="W1612">
        <f t="shared" si="51"/>
        <v>7.6080000000000041</v>
      </c>
      <c r="X1612">
        <v>44.416668000000001</v>
      </c>
      <c r="Y1612">
        <v>-24</v>
      </c>
      <c r="Z1612" t="s">
        <v>124</v>
      </c>
      <c r="AA1612" t="s">
        <v>1913</v>
      </c>
      <c r="AB1612" t="s">
        <v>1914</v>
      </c>
      <c r="AD1612" t="s">
        <v>1915</v>
      </c>
      <c r="AE1612" t="s">
        <v>1916</v>
      </c>
      <c r="AH1612" t="s">
        <v>72</v>
      </c>
      <c r="AI1612" t="s">
        <v>2595</v>
      </c>
      <c r="AJ1612">
        <v>1926</v>
      </c>
      <c r="AK1612" t="s">
        <v>1918</v>
      </c>
      <c r="AM1612" t="s">
        <v>1919</v>
      </c>
      <c r="AN1612" t="s">
        <v>192</v>
      </c>
      <c r="AO1612" t="s">
        <v>657</v>
      </c>
      <c r="AP1612" t="s">
        <v>359</v>
      </c>
      <c r="AQ1612" t="s">
        <v>1920</v>
      </c>
      <c r="AR1612" t="s">
        <v>80</v>
      </c>
      <c r="AS1612">
        <v>702</v>
      </c>
      <c r="AT1612" t="s">
        <v>81</v>
      </c>
      <c r="AU1612">
        <v>22.51</v>
      </c>
      <c r="AV1612">
        <v>-42.93</v>
      </c>
      <c r="AW1612" t="s">
        <v>82</v>
      </c>
      <c r="AX1612">
        <v>702</v>
      </c>
      <c r="AY1612" t="s">
        <v>81</v>
      </c>
      <c r="AZ1612">
        <v>24.25</v>
      </c>
      <c r="BA1612">
        <v>-52.74</v>
      </c>
      <c r="BB1612" t="s">
        <v>83</v>
      </c>
    </row>
    <row r="1613" spans="1:54" x14ac:dyDescent="0.4">
      <c r="A1613">
        <v>1285964</v>
      </c>
      <c r="D1613" t="s">
        <v>498</v>
      </c>
      <c r="E1613" t="s">
        <v>55</v>
      </c>
      <c r="G1613">
        <v>1</v>
      </c>
      <c r="H1613" t="s">
        <v>56</v>
      </c>
      <c r="I1613" t="s">
        <v>57</v>
      </c>
      <c r="K1613" t="s">
        <v>2135</v>
      </c>
      <c r="L1613" t="s">
        <v>2606</v>
      </c>
      <c r="M1613" t="s">
        <v>60</v>
      </c>
      <c r="P1613" t="s">
        <v>511</v>
      </c>
      <c r="Q1613" t="s">
        <v>1536</v>
      </c>
      <c r="R1613" t="s">
        <v>512</v>
      </c>
      <c r="S1613" t="s">
        <v>123</v>
      </c>
      <c r="T1613">
        <v>259.51</v>
      </c>
      <c r="U1613">
        <v>251.90199999999999</v>
      </c>
      <c r="V1613">
        <f t="shared" si="50"/>
        <v>255.70599999999999</v>
      </c>
      <c r="W1613">
        <f t="shared" si="51"/>
        <v>7.6080000000000041</v>
      </c>
      <c r="X1613">
        <v>44.416668000000001</v>
      </c>
      <c r="Y1613">
        <v>-24</v>
      </c>
      <c r="Z1613" t="s">
        <v>124</v>
      </c>
      <c r="AA1613" t="s">
        <v>1913</v>
      </c>
      <c r="AB1613" t="s">
        <v>1914</v>
      </c>
      <c r="AD1613" t="s">
        <v>1915</v>
      </c>
      <c r="AE1613" t="s">
        <v>1916</v>
      </c>
      <c r="AH1613" t="s">
        <v>72</v>
      </c>
      <c r="AI1613" t="s">
        <v>2595</v>
      </c>
      <c r="AJ1613">
        <v>1926</v>
      </c>
      <c r="AK1613" t="s">
        <v>1918</v>
      </c>
      <c r="AM1613" t="s">
        <v>1919</v>
      </c>
      <c r="AN1613" t="s">
        <v>192</v>
      </c>
      <c r="AO1613" t="s">
        <v>657</v>
      </c>
      <c r="AP1613" t="s">
        <v>359</v>
      </c>
      <c r="AQ1613" t="s">
        <v>1920</v>
      </c>
      <c r="AR1613" t="s">
        <v>80</v>
      </c>
      <c r="AS1613">
        <v>702</v>
      </c>
      <c r="AT1613" t="s">
        <v>81</v>
      </c>
      <c r="AU1613">
        <v>22.51</v>
      </c>
      <c r="AV1613">
        <v>-42.93</v>
      </c>
      <c r="AW1613" t="s">
        <v>82</v>
      </c>
      <c r="AX1613">
        <v>702</v>
      </c>
      <c r="AY1613" t="s">
        <v>81</v>
      </c>
      <c r="AZ1613">
        <v>24.25</v>
      </c>
      <c r="BA1613">
        <v>-52.74</v>
      </c>
      <c r="BB1613" t="s">
        <v>83</v>
      </c>
    </row>
    <row r="1614" spans="1:54" x14ac:dyDescent="0.4">
      <c r="A1614">
        <v>1285964</v>
      </c>
      <c r="D1614" t="s">
        <v>498</v>
      </c>
      <c r="E1614" t="s">
        <v>55</v>
      </c>
      <c r="G1614">
        <v>1</v>
      </c>
      <c r="H1614" t="s">
        <v>56</v>
      </c>
      <c r="I1614" t="s">
        <v>57</v>
      </c>
      <c r="K1614" t="s">
        <v>2135</v>
      </c>
      <c r="L1614" t="s">
        <v>2606</v>
      </c>
      <c r="M1614" t="s">
        <v>60</v>
      </c>
      <c r="P1614" t="s">
        <v>511</v>
      </c>
      <c r="Q1614" t="s">
        <v>1536</v>
      </c>
      <c r="R1614" t="s">
        <v>512</v>
      </c>
      <c r="S1614" t="s">
        <v>123</v>
      </c>
      <c r="T1614">
        <v>259.51</v>
      </c>
      <c r="U1614">
        <v>251.90199999999999</v>
      </c>
      <c r="V1614">
        <f t="shared" si="50"/>
        <v>255.70599999999999</v>
      </c>
      <c r="W1614">
        <f t="shared" si="51"/>
        <v>7.6080000000000041</v>
      </c>
      <c r="X1614">
        <v>44.416668000000001</v>
      </c>
      <c r="Y1614">
        <v>-24</v>
      </c>
      <c r="Z1614" t="s">
        <v>124</v>
      </c>
      <c r="AA1614" t="s">
        <v>1913</v>
      </c>
      <c r="AB1614" t="s">
        <v>1914</v>
      </c>
      <c r="AD1614" t="s">
        <v>1915</v>
      </c>
      <c r="AE1614" t="s">
        <v>1916</v>
      </c>
      <c r="AH1614" t="s">
        <v>72</v>
      </c>
      <c r="AI1614" t="s">
        <v>2595</v>
      </c>
      <c r="AJ1614">
        <v>1926</v>
      </c>
      <c r="AK1614" t="s">
        <v>1918</v>
      </c>
      <c r="AM1614" t="s">
        <v>1919</v>
      </c>
      <c r="AN1614" t="s">
        <v>192</v>
      </c>
      <c r="AO1614" t="s">
        <v>657</v>
      </c>
      <c r="AP1614" t="s">
        <v>359</v>
      </c>
      <c r="AQ1614" t="s">
        <v>1920</v>
      </c>
      <c r="AR1614" t="s">
        <v>80</v>
      </c>
      <c r="AS1614">
        <v>702</v>
      </c>
      <c r="AT1614" t="s">
        <v>81</v>
      </c>
      <c r="AU1614">
        <v>22.51</v>
      </c>
      <c r="AV1614">
        <v>-42.93</v>
      </c>
      <c r="AW1614" t="s">
        <v>82</v>
      </c>
      <c r="AX1614">
        <v>702</v>
      </c>
      <c r="AY1614" t="s">
        <v>81</v>
      </c>
      <c r="AZ1614">
        <v>24.25</v>
      </c>
      <c r="BA1614">
        <v>-52.74</v>
      </c>
      <c r="BB1614" t="s">
        <v>83</v>
      </c>
    </row>
    <row r="1615" spans="1:54" x14ac:dyDescent="0.4">
      <c r="A1615">
        <v>1285964</v>
      </c>
      <c r="D1615" t="s">
        <v>498</v>
      </c>
      <c r="E1615" t="s">
        <v>55</v>
      </c>
      <c r="G1615">
        <v>1</v>
      </c>
      <c r="H1615" t="s">
        <v>56</v>
      </c>
      <c r="I1615" t="s">
        <v>57</v>
      </c>
      <c r="K1615" t="s">
        <v>2135</v>
      </c>
      <c r="L1615" t="s">
        <v>2606</v>
      </c>
      <c r="M1615" t="s">
        <v>60</v>
      </c>
      <c r="P1615" t="s">
        <v>511</v>
      </c>
      <c r="Q1615" t="s">
        <v>1536</v>
      </c>
      <c r="R1615" t="s">
        <v>512</v>
      </c>
      <c r="S1615" t="s">
        <v>123</v>
      </c>
      <c r="T1615">
        <v>259.51</v>
      </c>
      <c r="U1615">
        <v>251.90199999999999</v>
      </c>
      <c r="V1615">
        <f t="shared" si="50"/>
        <v>255.70599999999999</v>
      </c>
      <c r="W1615">
        <f t="shared" si="51"/>
        <v>7.6080000000000041</v>
      </c>
      <c r="X1615">
        <v>44.416668000000001</v>
      </c>
      <c r="Y1615">
        <v>-24</v>
      </c>
      <c r="Z1615" t="s">
        <v>124</v>
      </c>
      <c r="AA1615" t="s">
        <v>1913</v>
      </c>
      <c r="AB1615" t="s">
        <v>1914</v>
      </c>
      <c r="AD1615" t="s">
        <v>1915</v>
      </c>
      <c r="AE1615" t="s">
        <v>1916</v>
      </c>
      <c r="AH1615" t="s">
        <v>72</v>
      </c>
      <c r="AI1615" t="s">
        <v>2595</v>
      </c>
      <c r="AJ1615">
        <v>1926</v>
      </c>
      <c r="AK1615" t="s">
        <v>1918</v>
      </c>
      <c r="AM1615" t="s">
        <v>1919</v>
      </c>
      <c r="AN1615" t="s">
        <v>192</v>
      </c>
      <c r="AO1615" t="s">
        <v>657</v>
      </c>
      <c r="AP1615" t="s">
        <v>359</v>
      </c>
      <c r="AQ1615" t="s">
        <v>1920</v>
      </c>
      <c r="AR1615" t="s">
        <v>80</v>
      </c>
      <c r="AS1615">
        <v>702</v>
      </c>
      <c r="AT1615" t="s">
        <v>81</v>
      </c>
      <c r="AU1615">
        <v>22.51</v>
      </c>
      <c r="AV1615">
        <v>-42.93</v>
      </c>
      <c r="AW1615" t="s">
        <v>82</v>
      </c>
      <c r="AX1615">
        <v>702</v>
      </c>
      <c r="AY1615" t="s">
        <v>81</v>
      </c>
      <c r="AZ1615">
        <v>24.25</v>
      </c>
      <c r="BA1615">
        <v>-52.74</v>
      </c>
      <c r="BB1615" t="s">
        <v>83</v>
      </c>
    </row>
    <row r="1616" spans="1:54" x14ac:dyDescent="0.4">
      <c r="A1616">
        <v>1285964</v>
      </c>
      <c r="D1616" t="s">
        <v>498</v>
      </c>
      <c r="E1616" t="s">
        <v>55</v>
      </c>
      <c r="G1616">
        <v>1</v>
      </c>
      <c r="H1616" t="s">
        <v>56</v>
      </c>
      <c r="I1616" t="s">
        <v>57</v>
      </c>
      <c r="K1616" t="s">
        <v>2135</v>
      </c>
      <c r="L1616" t="s">
        <v>2606</v>
      </c>
      <c r="M1616" t="s">
        <v>60</v>
      </c>
      <c r="P1616" t="s">
        <v>511</v>
      </c>
      <c r="Q1616" t="s">
        <v>1536</v>
      </c>
      <c r="R1616" t="s">
        <v>512</v>
      </c>
      <c r="S1616" t="s">
        <v>123</v>
      </c>
      <c r="T1616">
        <v>259.51</v>
      </c>
      <c r="U1616">
        <v>251.90199999999999</v>
      </c>
      <c r="V1616">
        <f t="shared" si="50"/>
        <v>255.70599999999999</v>
      </c>
      <c r="W1616">
        <f t="shared" si="51"/>
        <v>7.6080000000000041</v>
      </c>
      <c r="X1616">
        <v>44.416668000000001</v>
      </c>
      <c r="Y1616">
        <v>-24</v>
      </c>
      <c r="Z1616" t="s">
        <v>124</v>
      </c>
      <c r="AA1616" t="s">
        <v>1913</v>
      </c>
      <c r="AB1616" t="s">
        <v>1914</v>
      </c>
      <c r="AD1616" t="s">
        <v>1915</v>
      </c>
      <c r="AE1616" t="s">
        <v>1916</v>
      </c>
      <c r="AH1616" t="s">
        <v>72</v>
      </c>
      <c r="AI1616" t="s">
        <v>2595</v>
      </c>
      <c r="AJ1616">
        <v>1926</v>
      </c>
      <c r="AK1616" t="s">
        <v>1918</v>
      </c>
      <c r="AM1616" t="s">
        <v>1919</v>
      </c>
      <c r="AN1616" t="s">
        <v>192</v>
      </c>
      <c r="AO1616" t="s">
        <v>657</v>
      </c>
      <c r="AP1616" t="s">
        <v>359</v>
      </c>
      <c r="AQ1616" t="s">
        <v>1920</v>
      </c>
      <c r="AR1616" t="s">
        <v>80</v>
      </c>
      <c r="AS1616">
        <v>702</v>
      </c>
      <c r="AT1616" t="s">
        <v>81</v>
      </c>
      <c r="AU1616">
        <v>22.51</v>
      </c>
      <c r="AV1616">
        <v>-42.93</v>
      </c>
      <c r="AW1616" t="s">
        <v>82</v>
      </c>
      <c r="AX1616">
        <v>702</v>
      </c>
      <c r="AY1616" t="s">
        <v>81</v>
      </c>
      <c r="AZ1616">
        <v>24.25</v>
      </c>
      <c r="BA1616">
        <v>-52.74</v>
      </c>
      <c r="BB1616" t="s">
        <v>83</v>
      </c>
    </row>
    <row r="1617" spans="1:54" x14ac:dyDescent="0.4">
      <c r="A1617">
        <v>1285964</v>
      </c>
      <c r="D1617" t="s">
        <v>498</v>
      </c>
      <c r="E1617" t="s">
        <v>55</v>
      </c>
      <c r="G1617">
        <v>1</v>
      </c>
      <c r="H1617" t="s">
        <v>56</v>
      </c>
      <c r="I1617" t="s">
        <v>57</v>
      </c>
      <c r="K1617" t="s">
        <v>2135</v>
      </c>
      <c r="L1617" t="s">
        <v>2606</v>
      </c>
      <c r="M1617" t="s">
        <v>60</v>
      </c>
      <c r="P1617" t="s">
        <v>511</v>
      </c>
      <c r="Q1617" t="s">
        <v>1536</v>
      </c>
      <c r="R1617" t="s">
        <v>512</v>
      </c>
      <c r="S1617" t="s">
        <v>123</v>
      </c>
      <c r="T1617">
        <v>259.51</v>
      </c>
      <c r="U1617">
        <v>251.90199999999999</v>
      </c>
      <c r="V1617">
        <f t="shared" si="50"/>
        <v>255.70599999999999</v>
      </c>
      <c r="W1617">
        <f t="shared" si="51"/>
        <v>7.6080000000000041</v>
      </c>
      <c r="X1617">
        <v>44.416668000000001</v>
      </c>
      <c r="Y1617">
        <v>-24</v>
      </c>
      <c r="Z1617" t="s">
        <v>124</v>
      </c>
      <c r="AA1617" t="s">
        <v>1913</v>
      </c>
      <c r="AB1617" t="s">
        <v>1914</v>
      </c>
      <c r="AD1617" t="s">
        <v>1915</v>
      </c>
      <c r="AE1617" t="s">
        <v>1916</v>
      </c>
      <c r="AH1617" t="s">
        <v>72</v>
      </c>
      <c r="AI1617" t="s">
        <v>2595</v>
      </c>
      <c r="AJ1617">
        <v>1926</v>
      </c>
      <c r="AK1617" t="s">
        <v>1918</v>
      </c>
      <c r="AM1617" t="s">
        <v>1919</v>
      </c>
      <c r="AN1617" t="s">
        <v>192</v>
      </c>
      <c r="AO1617" t="s">
        <v>657</v>
      </c>
      <c r="AP1617" t="s">
        <v>359</v>
      </c>
      <c r="AQ1617" t="s">
        <v>1920</v>
      </c>
      <c r="AR1617" t="s">
        <v>80</v>
      </c>
      <c r="AS1617">
        <v>702</v>
      </c>
      <c r="AT1617" t="s">
        <v>81</v>
      </c>
      <c r="AU1617">
        <v>22.51</v>
      </c>
      <c r="AV1617">
        <v>-42.93</v>
      </c>
      <c r="AW1617" t="s">
        <v>82</v>
      </c>
      <c r="AX1617">
        <v>702</v>
      </c>
      <c r="AY1617" t="s">
        <v>81</v>
      </c>
      <c r="AZ1617">
        <v>24.25</v>
      </c>
      <c r="BA1617">
        <v>-52.74</v>
      </c>
      <c r="BB1617" t="s">
        <v>83</v>
      </c>
    </row>
    <row r="1618" spans="1:54" x14ac:dyDescent="0.4">
      <c r="A1618">
        <v>1285964</v>
      </c>
      <c r="D1618" t="s">
        <v>498</v>
      </c>
      <c r="E1618" t="s">
        <v>55</v>
      </c>
      <c r="G1618">
        <v>1</v>
      </c>
      <c r="H1618" t="s">
        <v>56</v>
      </c>
      <c r="I1618" t="s">
        <v>57</v>
      </c>
      <c r="K1618" t="s">
        <v>2135</v>
      </c>
      <c r="L1618" t="s">
        <v>2606</v>
      </c>
      <c r="M1618" t="s">
        <v>60</v>
      </c>
      <c r="P1618" t="s">
        <v>511</v>
      </c>
      <c r="Q1618" t="s">
        <v>1536</v>
      </c>
      <c r="R1618" t="s">
        <v>512</v>
      </c>
      <c r="S1618" t="s">
        <v>123</v>
      </c>
      <c r="T1618">
        <v>259.51</v>
      </c>
      <c r="U1618">
        <v>251.90199999999999</v>
      </c>
      <c r="V1618">
        <f t="shared" si="50"/>
        <v>255.70599999999999</v>
      </c>
      <c r="W1618">
        <f t="shared" si="51"/>
        <v>7.6080000000000041</v>
      </c>
      <c r="X1618">
        <v>44.416668000000001</v>
      </c>
      <c r="Y1618">
        <v>-24</v>
      </c>
      <c r="Z1618" t="s">
        <v>124</v>
      </c>
      <c r="AA1618" t="s">
        <v>1913</v>
      </c>
      <c r="AB1618" t="s">
        <v>1914</v>
      </c>
      <c r="AD1618" t="s">
        <v>1915</v>
      </c>
      <c r="AE1618" t="s">
        <v>1916</v>
      </c>
      <c r="AH1618" t="s">
        <v>72</v>
      </c>
      <c r="AI1618" t="s">
        <v>2595</v>
      </c>
      <c r="AJ1618">
        <v>1926</v>
      </c>
      <c r="AK1618" t="s">
        <v>1918</v>
      </c>
      <c r="AM1618" t="s">
        <v>1919</v>
      </c>
      <c r="AN1618" t="s">
        <v>192</v>
      </c>
      <c r="AO1618" t="s">
        <v>657</v>
      </c>
      <c r="AP1618" t="s">
        <v>359</v>
      </c>
      <c r="AQ1618" t="s">
        <v>1920</v>
      </c>
      <c r="AR1618" t="s">
        <v>80</v>
      </c>
      <c r="AS1618">
        <v>702</v>
      </c>
      <c r="AT1618" t="s">
        <v>81</v>
      </c>
      <c r="AU1618">
        <v>22.51</v>
      </c>
      <c r="AV1618">
        <v>-42.93</v>
      </c>
      <c r="AW1618" t="s">
        <v>82</v>
      </c>
      <c r="AX1618">
        <v>702</v>
      </c>
      <c r="AY1618" t="s">
        <v>81</v>
      </c>
      <c r="AZ1618">
        <v>24.25</v>
      </c>
      <c r="BA1618">
        <v>-52.74</v>
      </c>
      <c r="BB1618" t="s">
        <v>83</v>
      </c>
    </row>
    <row r="1619" spans="1:54" x14ac:dyDescent="0.4">
      <c r="A1619">
        <v>1285964</v>
      </c>
      <c r="D1619" t="s">
        <v>498</v>
      </c>
      <c r="E1619" t="s">
        <v>55</v>
      </c>
      <c r="G1619">
        <v>1</v>
      </c>
      <c r="H1619" t="s">
        <v>56</v>
      </c>
      <c r="I1619" t="s">
        <v>57</v>
      </c>
      <c r="K1619" t="s">
        <v>2135</v>
      </c>
      <c r="L1619" t="s">
        <v>2606</v>
      </c>
      <c r="M1619" t="s">
        <v>60</v>
      </c>
      <c r="P1619" t="s">
        <v>511</v>
      </c>
      <c r="Q1619" t="s">
        <v>1536</v>
      </c>
      <c r="R1619" t="s">
        <v>512</v>
      </c>
      <c r="S1619" t="s">
        <v>123</v>
      </c>
      <c r="T1619">
        <v>259.51</v>
      </c>
      <c r="U1619">
        <v>251.90199999999999</v>
      </c>
      <c r="V1619">
        <f t="shared" si="50"/>
        <v>255.70599999999999</v>
      </c>
      <c r="W1619">
        <f t="shared" si="51"/>
        <v>7.6080000000000041</v>
      </c>
      <c r="X1619">
        <v>44.416668000000001</v>
      </c>
      <c r="Y1619">
        <v>-24</v>
      </c>
      <c r="Z1619" t="s">
        <v>124</v>
      </c>
      <c r="AA1619" t="s">
        <v>1913</v>
      </c>
      <c r="AB1619" t="s">
        <v>1914</v>
      </c>
      <c r="AD1619" t="s">
        <v>1915</v>
      </c>
      <c r="AE1619" t="s">
        <v>1916</v>
      </c>
      <c r="AH1619" t="s">
        <v>72</v>
      </c>
      <c r="AI1619" t="s">
        <v>2595</v>
      </c>
      <c r="AJ1619">
        <v>1926</v>
      </c>
      <c r="AK1619" t="s">
        <v>1918</v>
      </c>
      <c r="AM1619" t="s">
        <v>1919</v>
      </c>
      <c r="AN1619" t="s">
        <v>192</v>
      </c>
      <c r="AO1619" t="s">
        <v>657</v>
      </c>
      <c r="AP1619" t="s">
        <v>359</v>
      </c>
      <c r="AQ1619" t="s">
        <v>1920</v>
      </c>
      <c r="AR1619" t="s">
        <v>80</v>
      </c>
      <c r="AS1619">
        <v>702</v>
      </c>
      <c r="AT1619" t="s">
        <v>81</v>
      </c>
      <c r="AU1619">
        <v>22.51</v>
      </c>
      <c r="AV1619">
        <v>-42.93</v>
      </c>
      <c r="AW1619" t="s">
        <v>82</v>
      </c>
      <c r="AX1619">
        <v>702</v>
      </c>
      <c r="AY1619" t="s">
        <v>81</v>
      </c>
      <c r="AZ1619">
        <v>24.25</v>
      </c>
      <c r="BA1619">
        <v>-52.74</v>
      </c>
      <c r="BB1619" t="s">
        <v>83</v>
      </c>
    </row>
    <row r="1620" spans="1:54" x14ac:dyDescent="0.4">
      <c r="A1620">
        <v>1285964</v>
      </c>
      <c r="D1620" t="s">
        <v>498</v>
      </c>
      <c r="E1620" t="s">
        <v>55</v>
      </c>
      <c r="G1620">
        <v>1</v>
      </c>
      <c r="H1620" t="s">
        <v>56</v>
      </c>
      <c r="I1620" t="s">
        <v>57</v>
      </c>
      <c r="K1620" t="s">
        <v>2135</v>
      </c>
      <c r="L1620" t="s">
        <v>2606</v>
      </c>
      <c r="M1620" t="s">
        <v>60</v>
      </c>
      <c r="P1620" t="s">
        <v>511</v>
      </c>
      <c r="Q1620" t="s">
        <v>1536</v>
      </c>
      <c r="R1620" t="s">
        <v>512</v>
      </c>
      <c r="S1620" t="s">
        <v>123</v>
      </c>
      <c r="T1620">
        <v>259.51</v>
      </c>
      <c r="U1620">
        <v>251.90199999999999</v>
      </c>
      <c r="V1620">
        <f t="shared" si="50"/>
        <v>255.70599999999999</v>
      </c>
      <c r="W1620">
        <f t="shared" si="51"/>
        <v>7.6080000000000041</v>
      </c>
      <c r="X1620">
        <v>44.416668000000001</v>
      </c>
      <c r="Y1620">
        <v>-24</v>
      </c>
      <c r="Z1620" t="s">
        <v>124</v>
      </c>
      <c r="AA1620" t="s">
        <v>1913</v>
      </c>
      <c r="AB1620" t="s">
        <v>1914</v>
      </c>
      <c r="AD1620" t="s">
        <v>1915</v>
      </c>
      <c r="AE1620" t="s">
        <v>1916</v>
      </c>
      <c r="AH1620" t="s">
        <v>72</v>
      </c>
      <c r="AI1620" t="s">
        <v>2595</v>
      </c>
      <c r="AJ1620">
        <v>1926</v>
      </c>
      <c r="AK1620" t="s">
        <v>1918</v>
      </c>
      <c r="AM1620" t="s">
        <v>1919</v>
      </c>
      <c r="AN1620" t="s">
        <v>192</v>
      </c>
      <c r="AO1620" t="s">
        <v>657</v>
      </c>
      <c r="AP1620" t="s">
        <v>359</v>
      </c>
      <c r="AQ1620" t="s">
        <v>1920</v>
      </c>
      <c r="AR1620" t="s">
        <v>80</v>
      </c>
      <c r="AS1620">
        <v>702</v>
      </c>
      <c r="AT1620" t="s">
        <v>81</v>
      </c>
      <c r="AU1620">
        <v>22.51</v>
      </c>
      <c r="AV1620">
        <v>-42.93</v>
      </c>
      <c r="AW1620" t="s">
        <v>82</v>
      </c>
      <c r="AX1620">
        <v>702</v>
      </c>
      <c r="AY1620" t="s">
        <v>81</v>
      </c>
      <c r="AZ1620">
        <v>24.25</v>
      </c>
      <c r="BA1620">
        <v>-52.74</v>
      </c>
      <c r="BB1620" t="s">
        <v>83</v>
      </c>
    </row>
    <row r="1621" spans="1:54" x14ac:dyDescent="0.4">
      <c r="A1621">
        <v>1285964</v>
      </c>
      <c r="D1621" t="s">
        <v>498</v>
      </c>
      <c r="E1621" t="s">
        <v>55</v>
      </c>
      <c r="G1621">
        <v>1</v>
      </c>
      <c r="H1621" t="s">
        <v>56</v>
      </c>
      <c r="I1621" t="s">
        <v>57</v>
      </c>
      <c r="K1621" t="s">
        <v>2135</v>
      </c>
      <c r="L1621" t="s">
        <v>2606</v>
      </c>
      <c r="M1621" t="s">
        <v>60</v>
      </c>
      <c r="P1621" t="s">
        <v>511</v>
      </c>
      <c r="Q1621" t="s">
        <v>1536</v>
      </c>
      <c r="R1621" t="s">
        <v>512</v>
      </c>
      <c r="S1621" t="s">
        <v>123</v>
      </c>
      <c r="T1621">
        <v>259.51</v>
      </c>
      <c r="U1621">
        <v>251.90199999999999</v>
      </c>
      <c r="V1621">
        <f t="shared" si="50"/>
        <v>255.70599999999999</v>
      </c>
      <c r="W1621">
        <f t="shared" si="51"/>
        <v>7.6080000000000041</v>
      </c>
      <c r="X1621">
        <v>44.416668000000001</v>
      </c>
      <c r="Y1621">
        <v>-24</v>
      </c>
      <c r="Z1621" t="s">
        <v>124</v>
      </c>
      <c r="AA1621" t="s">
        <v>1913</v>
      </c>
      <c r="AB1621" t="s">
        <v>1914</v>
      </c>
      <c r="AD1621" t="s">
        <v>1915</v>
      </c>
      <c r="AE1621" t="s">
        <v>1916</v>
      </c>
      <c r="AH1621" t="s">
        <v>72</v>
      </c>
      <c r="AI1621" t="s">
        <v>2595</v>
      </c>
      <c r="AJ1621">
        <v>1926</v>
      </c>
      <c r="AK1621" t="s">
        <v>1918</v>
      </c>
      <c r="AM1621" t="s">
        <v>1919</v>
      </c>
      <c r="AN1621" t="s">
        <v>192</v>
      </c>
      <c r="AO1621" t="s">
        <v>657</v>
      </c>
      <c r="AP1621" t="s">
        <v>359</v>
      </c>
      <c r="AQ1621" t="s">
        <v>1920</v>
      </c>
      <c r="AR1621" t="s">
        <v>80</v>
      </c>
      <c r="AS1621">
        <v>702</v>
      </c>
      <c r="AT1621" t="s">
        <v>81</v>
      </c>
      <c r="AU1621">
        <v>22.51</v>
      </c>
      <c r="AV1621">
        <v>-42.93</v>
      </c>
      <c r="AW1621" t="s">
        <v>82</v>
      </c>
      <c r="AX1621">
        <v>702</v>
      </c>
      <c r="AY1621" t="s">
        <v>81</v>
      </c>
      <c r="AZ1621">
        <v>24.25</v>
      </c>
      <c r="BA1621">
        <v>-52.74</v>
      </c>
      <c r="BB1621" t="s">
        <v>83</v>
      </c>
    </row>
    <row r="1622" spans="1:54" x14ac:dyDescent="0.4">
      <c r="A1622">
        <v>1285964</v>
      </c>
      <c r="D1622" t="s">
        <v>498</v>
      </c>
      <c r="E1622" t="s">
        <v>55</v>
      </c>
      <c r="G1622">
        <v>1</v>
      </c>
      <c r="H1622" t="s">
        <v>56</v>
      </c>
      <c r="I1622" t="s">
        <v>57</v>
      </c>
      <c r="K1622" t="s">
        <v>2135</v>
      </c>
      <c r="L1622" t="s">
        <v>2606</v>
      </c>
      <c r="M1622" t="s">
        <v>60</v>
      </c>
      <c r="P1622" t="s">
        <v>511</v>
      </c>
      <c r="Q1622" t="s">
        <v>1536</v>
      </c>
      <c r="R1622" t="s">
        <v>512</v>
      </c>
      <c r="S1622" t="s">
        <v>123</v>
      </c>
      <c r="T1622">
        <v>259.51</v>
      </c>
      <c r="U1622">
        <v>251.90199999999999</v>
      </c>
      <c r="V1622">
        <f t="shared" si="50"/>
        <v>255.70599999999999</v>
      </c>
      <c r="W1622">
        <f t="shared" si="51"/>
        <v>7.6080000000000041</v>
      </c>
      <c r="X1622">
        <v>44.416668000000001</v>
      </c>
      <c r="Y1622">
        <v>-24</v>
      </c>
      <c r="Z1622" t="s">
        <v>124</v>
      </c>
      <c r="AA1622" t="s">
        <v>1913</v>
      </c>
      <c r="AB1622" t="s">
        <v>1914</v>
      </c>
      <c r="AD1622" t="s">
        <v>1915</v>
      </c>
      <c r="AE1622" t="s">
        <v>1916</v>
      </c>
      <c r="AH1622" t="s">
        <v>72</v>
      </c>
      <c r="AI1622" t="s">
        <v>2595</v>
      </c>
      <c r="AJ1622">
        <v>1926</v>
      </c>
      <c r="AK1622" t="s">
        <v>1918</v>
      </c>
      <c r="AM1622" t="s">
        <v>1919</v>
      </c>
      <c r="AN1622" t="s">
        <v>192</v>
      </c>
      <c r="AO1622" t="s">
        <v>657</v>
      </c>
      <c r="AP1622" t="s">
        <v>359</v>
      </c>
      <c r="AQ1622" t="s">
        <v>1920</v>
      </c>
      <c r="AR1622" t="s">
        <v>80</v>
      </c>
      <c r="AS1622">
        <v>702</v>
      </c>
      <c r="AT1622" t="s">
        <v>81</v>
      </c>
      <c r="AU1622">
        <v>22.51</v>
      </c>
      <c r="AV1622">
        <v>-42.93</v>
      </c>
      <c r="AW1622" t="s">
        <v>82</v>
      </c>
      <c r="AX1622">
        <v>702</v>
      </c>
      <c r="AY1622" t="s">
        <v>81</v>
      </c>
      <c r="AZ1622">
        <v>24.25</v>
      </c>
      <c r="BA1622">
        <v>-52.74</v>
      </c>
      <c r="BB1622" t="s">
        <v>83</v>
      </c>
    </row>
    <row r="1623" spans="1:54" x14ac:dyDescent="0.4">
      <c r="A1623">
        <v>1285964</v>
      </c>
      <c r="D1623" t="s">
        <v>498</v>
      </c>
      <c r="E1623" t="s">
        <v>55</v>
      </c>
      <c r="G1623">
        <v>1</v>
      </c>
      <c r="H1623" t="s">
        <v>56</v>
      </c>
      <c r="I1623" t="s">
        <v>57</v>
      </c>
      <c r="K1623" t="s">
        <v>2135</v>
      </c>
      <c r="L1623" t="s">
        <v>2606</v>
      </c>
      <c r="M1623" t="s">
        <v>60</v>
      </c>
      <c r="P1623" t="s">
        <v>511</v>
      </c>
      <c r="Q1623" t="s">
        <v>1536</v>
      </c>
      <c r="R1623" t="s">
        <v>512</v>
      </c>
      <c r="S1623" t="s">
        <v>123</v>
      </c>
      <c r="T1623">
        <v>259.51</v>
      </c>
      <c r="U1623">
        <v>251.90199999999999</v>
      </c>
      <c r="V1623">
        <f t="shared" si="50"/>
        <v>255.70599999999999</v>
      </c>
      <c r="W1623">
        <f t="shared" si="51"/>
        <v>7.6080000000000041</v>
      </c>
      <c r="X1623">
        <v>44.416668000000001</v>
      </c>
      <c r="Y1623">
        <v>-24</v>
      </c>
      <c r="Z1623" t="s">
        <v>124</v>
      </c>
      <c r="AA1623" t="s">
        <v>1913</v>
      </c>
      <c r="AB1623" t="s">
        <v>1914</v>
      </c>
      <c r="AD1623" t="s">
        <v>1915</v>
      </c>
      <c r="AE1623" t="s">
        <v>1916</v>
      </c>
      <c r="AH1623" t="s">
        <v>72</v>
      </c>
      <c r="AI1623" t="s">
        <v>2595</v>
      </c>
      <c r="AJ1623">
        <v>1926</v>
      </c>
      <c r="AK1623" t="s">
        <v>1918</v>
      </c>
      <c r="AM1623" t="s">
        <v>1919</v>
      </c>
      <c r="AN1623" t="s">
        <v>192</v>
      </c>
      <c r="AO1623" t="s">
        <v>657</v>
      </c>
      <c r="AP1623" t="s">
        <v>359</v>
      </c>
      <c r="AQ1623" t="s">
        <v>1920</v>
      </c>
      <c r="AR1623" t="s">
        <v>80</v>
      </c>
      <c r="AS1623">
        <v>702</v>
      </c>
      <c r="AT1623" t="s">
        <v>81</v>
      </c>
      <c r="AU1623">
        <v>22.51</v>
      </c>
      <c r="AV1623">
        <v>-42.93</v>
      </c>
      <c r="AW1623" t="s">
        <v>82</v>
      </c>
      <c r="AX1623">
        <v>702</v>
      </c>
      <c r="AY1623" t="s">
        <v>81</v>
      </c>
      <c r="AZ1623">
        <v>24.25</v>
      </c>
      <c r="BA1623">
        <v>-52.74</v>
      </c>
      <c r="BB1623" t="s">
        <v>83</v>
      </c>
    </row>
    <row r="1624" spans="1:54" x14ac:dyDescent="0.4">
      <c r="A1624">
        <v>1285964</v>
      </c>
      <c r="D1624" t="s">
        <v>498</v>
      </c>
      <c r="E1624" t="s">
        <v>55</v>
      </c>
      <c r="G1624">
        <v>1</v>
      </c>
      <c r="H1624" t="s">
        <v>56</v>
      </c>
      <c r="I1624" t="s">
        <v>57</v>
      </c>
      <c r="K1624" t="s">
        <v>2135</v>
      </c>
      <c r="L1624" t="s">
        <v>2606</v>
      </c>
      <c r="M1624" t="s">
        <v>60</v>
      </c>
      <c r="P1624" t="s">
        <v>511</v>
      </c>
      <c r="Q1624" t="s">
        <v>1536</v>
      </c>
      <c r="R1624" t="s">
        <v>512</v>
      </c>
      <c r="S1624" t="s">
        <v>123</v>
      </c>
      <c r="T1624">
        <v>259.51</v>
      </c>
      <c r="U1624">
        <v>251.90199999999999</v>
      </c>
      <c r="V1624">
        <f t="shared" si="50"/>
        <v>255.70599999999999</v>
      </c>
      <c r="W1624">
        <f t="shared" si="51"/>
        <v>7.6080000000000041</v>
      </c>
      <c r="X1624">
        <v>44.416668000000001</v>
      </c>
      <c r="Y1624">
        <v>-24</v>
      </c>
      <c r="Z1624" t="s">
        <v>124</v>
      </c>
      <c r="AA1624" t="s">
        <v>1913</v>
      </c>
      <c r="AB1624" t="s">
        <v>1914</v>
      </c>
      <c r="AD1624" t="s">
        <v>1915</v>
      </c>
      <c r="AE1624" t="s">
        <v>1916</v>
      </c>
      <c r="AH1624" t="s">
        <v>72</v>
      </c>
      <c r="AI1624" t="s">
        <v>2595</v>
      </c>
      <c r="AJ1624">
        <v>1926</v>
      </c>
      <c r="AK1624" t="s">
        <v>1918</v>
      </c>
      <c r="AM1624" t="s">
        <v>1919</v>
      </c>
      <c r="AN1624" t="s">
        <v>192</v>
      </c>
      <c r="AO1624" t="s">
        <v>657</v>
      </c>
      <c r="AP1624" t="s">
        <v>359</v>
      </c>
      <c r="AQ1624" t="s">
        <v>1920</v>
      </c>
      <c r="AR1624" t="s">
        <v>80</v>
      </c>
      <c r="AS1624">
        <v>702</v>
      </c>
      <c r="AT1624" t="s">
        <v>81</v>
      </c>
      <c r="AU1624">
        <v>22.51</v>
      </c>
      <c r="AV1624">
        <v>-42.93</v>
      </c>
      <c r="AW1624" t="s">
        <v>82</v>
      </c>
      <c r="AX1624">
        <v>702</v>
      </c>
      <c r="AY1624" t="s">
        <v>81</v>
      </c>
      <c r="AZ1624">
        <v>24.25</v>
      </c>
      <c r="BA1624">
        <v>-52.74</v>
      </c>
      <c r="BB1624" t="s">
        <v>83</v>
      </c>
    </row>
    <row r="1625" spans="1:54" x14ac:dyDescent="0.4">
      <c r="A1625">
        <v>1285964</v>
      </c>
      <c r="D1625" t="s">
        <v>498</v>
      </c>
      <c r="E1625" t="s">
        <v>55</v>
      </c>
      <c r="G1625">
        <v>1</v>
      </c>
      <c r="H1625" t="s">
        <v>56</v>
      </c>
      <c r="I1625" t="s">
        <v>57</v>
      </c>
      <c r="K1625" t="s">
        <v>2135</v>
      </c>
      <c r="L1625" t="s">
        <v>2606</v>
      </c>
      <c r="M1625" t="s">
        <v>60</v>
      </c>
      <c r="P1625" t="s">
        <v>511</v>
      </c>
      <c r="Q1625" t="s">
        <v>1536</v>
      </c>
      <c r="R1625" t="s">
        <v>512</v>
      </c>
      <c r="S1625" t="s">
        <v>123</v>
      </c>
      <c r="T1625">
        <v>259.51</v>
      </c>
      <c r="U1625">
        <v>251.90199999999999</v>
      </c>
      <c r="V1625">
        <f t="shared" si="50"/>
        <v>255.70599999999999</v>
      </c>
      <c r="W1625">
        <f t="shared" si="51"/>
        <v>7.6080000000000041</v>
      </c>
      <c r="X1625">
        <v>44.416668000000001</v>
      </c>
      <c r="Y1625">
        <v>-24</v>
      </c>
      <c r="Z1625" t="s">
        <v>124</v>
      </c>
      <c r="AA1625" t="s">
        <v>1913</v>
      </c>
      <c r="AB1625" t="s">
        <v>1914</v>
      </c>
      <c r="AD1625" t="s">
        <v>1915</v>
      </c>
      <c r="AE1625" t="s">
        <v>1916</v>
      </c>
      <c r="AH1625" t="s">
        <v>72</v>
      </c>
      <c r="AI1625" t="s">
        <v>2595</v>
      </c>
      <c r="AJ1625">
        <v>1926</v>
      </c>
      <c r="AK1625" t="s">
        <v>1918</v>
      </c>
      <c r="AM1625" t="s">
        <v>1919</v>
      </c>
      <c r="AN1625" t="s">
        <v>192</v>
      </c>
      <c r="AO1625" t="s">
        <v>657</v>
      </c>
      <c r="AP1625" t="s">
        <v>359</v>
      </c>
      <c r="AQ1625" t="s">
        <v>1920</v>
      </c>
      <c r="AR1625" t="s">
        <v>80</v>
      </c>
      <c r="AS1625">
        <v>702</v>
      </c>
      <c r="AT1625" t="s">
        <v>81</v>
      </c>
      <c r="AU1625">
        <v>22.51</v>
      </c>
      <c r="AV1625">
        <v>-42.93</v>
      </c>
      <c r="AW1625" t="s">
        <v>82</v>
      </c>
      <c r="AX1625">
        <v>702</v>
      </c>
      <c r="AY1625" t="s">
        <v>81</v>
      </c>
      <c r="AZ1625">
        <v>24.25</v>
      </c>
      <c r="BA1625">
        <v>-52.74</v>
      </c>
      <c r="BB1625" t="s">
        <v>83</v>
      </c>
    </row>
    <row r="1626" spans="1:54" x14ac:dyDescent="0.4">
      <c r="A1626">
        <v>1285964</v>
      </c>
      <c r="D1626" t="s">
        <v>498</v>
      </c>
      <c r="E1626" t="s">
        <v>55</v>
      </c>
      <c r="G1626">
        <v>1</v>
      </c>
      <c r="H1626" t="s">
        <v>56</v>
      </c>
      <c r="I1626" t="s">
        <v>57</v>
      </c>
      <c r="K1626" t="s">
        <v>2135</v>
      </c>
      <c r="L1626" t="s">
        <v>2606</v>
      </c>
      <c r="M1626" t="s">
        <v>60</v>
      </c>
      <c r="P1626" t="s">
        <v>511</v>
      </c>
      <c r="Q1626" t="s">
        <v>1536</v>
      </c>
      <c r="R1626" t="s">
        <v>512</v>
      </c>
      <c r="S1626" t="s">
        <v>123</v>
      </c>
      <c r="T1626">
        <v>259.51</v>
      </c>
      <c r="U1626">
        <v>251.90199999999999</v>
      </c>
      <c r="V1626">
        <f t="shared" si="50"/>
        <v>255.70599999999999</v>
      </c>
      <c r="W1626">
        <f t="shared" si="51"/>
        <v>7.6080000000000041</v>
      </c>
      <c r="X1626">
        <v>44.416668000000001</v>
      </c>
      <c r="Y1626">
        <v>-24</v>
      </c>
      <c r="Z1626" t="s">
        <v>124</v>
      </c>
      <c r="AA1626" t="s">
        <v>1913</v>
      </c>
      <c r="AB1626" t="s">
        <v>1914</v>
      </c>
      <c r="AD1626" t="s">
        <v>1915</v>
      </c>
      <c r="AE1626" t="s">
        <v>1916</v>
      </c>
      <c r="AH1626" t="s">
        <v>72</v>
      </c>
      <c r="AI1626" t="s">
        <v>2595</v>
      </c>
      <c r="AJ1626">
        <v>1926</v>
      </c>
      <c r="AK1626" t="s">
        <v>1918</v>
      </c>
      <c r="AM1626" t="s">
        <v>1919</v>
      </c>
      <c r="AN1626" t="s">
        <v>192</v>
      </c>
      <c r="AO1626" t="s">
        <v>657</v>
      </c>
      <c r="AP1626" t="s">
        <v>359</v>
      </c>
      <c r="AQ1626" t="s">
        <v>1920</v>
      </c>
      <c r="AR1626" t="s">
        <v>80</v>
      </c>
      <c r="AS1626">
        <v>702</v>
      </c>
      <c r="AT1626" t="s">
        <v>81</v>
      </c>
      <c r="AU1626">
        <v>22.51</v>
      </c>
      <c r="AV1626">
        <v>-42.93</v>
      </c>
      <c r="AW1626" t="s">
        <v>82</v>
      </c>
      <c r="AX1626">
        <v>702</v>
      </c>
      <c r="AY1626" t="s">
        <v>81</v>
      </c>
      <c r="AZ1626">
        <v>24.25</v>
      </c>
      <c r="BA1626">
        <v>-52.74</v>
      </c>
      <c r="BB1626" t="s">
        <v>83</v>
      </c>
    </row>
    <row r="1627" spans="1:54" x14ac:dyDescent="0.4">
      <c r="A1627">
        <v>1285964</v>
      </c>
      <c r="D1627" t="s">
        <v>498</v>
      </c>
      <c r="E1627" t="s">
        <v>55</v>
      </c>
      <c r="G1627">
        <v>1</v>
      </c>
      <c r="H1627" t="s">
        <v>56</v>
      </c>
      <c r="I1627" t="s">
        <v>57</v>
      </c>
      <c r="K1627" t="s">
        <v>2135</v>
      </c>
      <c r="L1627" t="s">
        <v>2606</v>
      </c>
      <c r="M1627" t="s">
        <v>60</v>
      </c>
      <c r="P1627" t="s">
        <v>511</v>
      </c>
      <c r="Q1627" t="s">
        <v>1536</v>
      </c>
      <c r="R1627" t="s">
        <v>512</v>
      </c>
      <c r="S1627" t="s">
        <v>123</v>
      </c>
      <c r="T1627">
        <v>259.51</v>
      </c>
      <c r="U1627">
        <v>251.90199999999999</v>
      </c>
      <c r="V1627">
        <f t="shared" si="50"/>
        <v>255.70599999999999</v>
      </c>
      <c r="W1627">
        <f t="shared" si="51"/>
        <v>7.6080000000000041</v>
      </c>
      <c r="X1627">
        <v>44.416668000000001</v>
      </c>
      <c r="Y1627">
        <v>-24</v>
      </c>
      <c r="Z1627" t="s">
        <v>124</v>
      </c>
      <c r="AA1627" t="s">
        <v>1913</v>
      </c>
      <c r="AB1627" t="s">
        <v>1914</v>
      </c>
      <c r="AD1627" t="s">
        <v>1915</v>
      </c>
      <c r="AE1627" t="s">
        <v>1916</v>
      </c>
      <c r="AH1627" t="s">
        <v>72</v>
      </c>
      <c r="AI1627" t="s">
        <v>2595</v>
      </c>
      <c r="AJ1627">
        <v>1926</v>
      </c>
      <c r="AK1627" t="s">
        <v>1918</v>
      </c>
      <c r="AM1627" t="s">
        <v>1919</v>
      </c>
      <c r="AN1627" t="s">
        <v>192</v>
      </c>
      <c r="AO1627" t="s">
        <v>657</v>
      </c>
      <c r="AP1627" t="s">
        <v>359</v>
      </c>
      <c r="AQ1627" t="s">
        <v>1920</v>
      </c>
      <c r="AR1627" t="s">
        <v>80</v>
      </c>
      <c r="AS1627">
        <v>702</v>
      </c>
      <c r="AT1627" t="s">
        <v>81</v>
      </c>
      <c r="AU1627">
        <v>22.51</v>
      </c>
      <c r="AV1627">
        <v>-42.93</v>
      </c>
      <c r="AW1627" t="s">
        <v>82</v>
      </c>
      <c r="AX1627">
        <v>702</v>
      </c>
      <c r="AY1627" t="s">
        <v>81</v>
      </c>
      <c r="AZ1627">
        <v>24.25</v>
      </c>
      <c r="BA1627">
        <v>-52.74</v>
      </c>
      <c r="BB1627" t="s">
        <v>83</v>
      </c>
    </row>
    <row r="1628" spans="1:54" x14ac:dyDescent="0.4">
      <c r="A1628">
        <v>1285964</v>
      </c>
      <c r="D1628" t="s">
        <v>498</v>
      </c>
      <c r="E1628" t="s">
        <v>55</v>
      </c>
      <c r="G1628">
        <v>1</v>
      </c>
      <c r="H1628" t="s">
        <v>56</v>
      </c>
      <c r="I1628" t="s">
        <v>57</v>
      </c>
      <c r="K1628" t="s">
        <v>2135</v>
      </c>
      <c r="L1628" t="s">
        <v>2606</v>
      </c>
      <c r="M1628" t="s">
        <v>60</v>
      </c>
      <c r="P1628" t="s">
        <v>511</v>
      </c>
      <c r="Q1628" t="s">
        <v>1536</v>
      </c>
      <c r="R1628" t="s">
        <v>512</v>
      </c>
      <c r="S1628" t="s">
        <v>123</v>
      </c>
      <c r="T1628">
        <v>259.51</v>
      </c>
      <c r="U1628">
        <v>251.90199999999999</v>
      </c>
      <c r="V1628">
        <f t="shared" si="50"/>
        <v>255.70599999999999</v>
      </c>
      <c r="W1628">
        <f t="shared" si="51"/>
        <v>7.6080000000000041</v>
      </c>
      <c r="X1628">
        <v>44.416668000000001</v>
      </c>
      <c r="Y1628">
        <v>-24</v>
      </c>
      <c r="Z1628" t="s">
        <v>124</v>
      </c>
      <c r="AA1628" t="s">
        <v>1913</v>
      </c>
      <c r="AB1628" t="s">
        <v>1914</v>
      </c>
      <c r="AD1628" t="s">
        <v>1915</v>
      </c>
      <c r="AE1628" t="s">
        <v>1916</v>
      </c>
      <c r="AH1628" t="s">
        <v>72</v>
      </c>
      <c r="AI1628" t="s">
        <v>2595</v>
      </c>
      <c r="AJ1628">
        <v>1926</v>
      </c>
      <c r="AK1628" t="s">
        <v>1918</v>
      </c>
      <c r="AM1628" t="s">
        <v>1919</v>
      </c>
      <c r="AN1628" t="s">
        <v>192</v>
      </c>
      <c r="AO1628" t="s">
        <v>657</v>
      </c>
      <c r="AP1628" t="s">
        <v>359</v>
      </c>
      <c r="AQ1628" t="s">
        <v>1920</v>
      </c>
      <c r="AR1628" t="s">
        <v>80</v>
      </c>
      <c r="AS1628">
        <v>702</v>
      </c>
      <c r="AT1628" t="s">
        <v>81</v>
      </c>
      <c r="AU1628">
        <v>22.51</v>
      </c>
      <c r="AV1628">
        <v>-42.93</v>
      </c>
      <c r="AW1628" t="s">
        <v>82</v>
      </c>
      <c r="AX1628">
        <v>702</v>
      </c>
      <c r="AY1628" t="s">
        <v>81</v>
      </c>
      <c r="AZ1628">
        <v>24.25</v>
      </c>
      <c r="BA1628">
        <v>-52.74</v>
      </c>
      <c r="BB1628" t="s">
        <v>83</v>
      </c>
    </row>
    <row r="1629" spans="1:54" x14ac:dyDescent="0.4">
      <c r="A1629">
        <v>1285964</v>
      </c>
      <c r="D1629" t="s">
        <v>498</v>
      </c>
      <c r="E1629" t="s">
        <v>55</v>
      </c>
      <c r="G1629">
        <v>1</v>
      </c>
      <c r="H1629" t="s">
        <v>56</v>
      </c>
      <c r="I1629" t="s">
        <v>57</v>
      </c>
      <c r="K1629" t="s">
        <v>2135</v>
      </c>
      <c r="L1629" t="s">
        <v>2606</v>
      </c>
      <c r="M1629" t="s">
        <v>60</v>
      </c>
      <c r="P1629" t="s">
        <v>511</v>
      </c>
      <c r="Q1629" t="s">
        <v>1536</v>
      </c>
      <c r="R1629" t="s">
        <v>512</v>
      </c>
      <c r="S1629" t="s">
        <v>123</v>
      </c>
      <c r="T1629">
        <v>259.51</v>
      </c>
      <c r="U1629">
        <v>251.90199999999999</v>
      </c>
      <c r="V1629">
        <f t="shared" si="50"/>
        <v>255.70599999999999</v>
      </c>
      <c r="W1629">
        <f t="shared" si="51"/>
        <v>7.6080000000000041</v>
      </c>
      <c r="X1629">
        <v>44.416668000000001</v>
      </c>
      <c r="Y1629">
        <v>-24</v>
      </c>
      <c r="Z1629" t="s">
        <v>124</v>
      </c>
      <c r="AA1629" t="s">
        <v>1913</v>
      </c>
      <c r="AB1629" t="s">
        <v>1914</v>
      </c>
      <c r="AD1629" t="s">
        <v>1915</v>
      </c>
      <c r="AE1629" t="s">
        <v>1916</v>
      </c>
      <c r="AH1629" t="s">
        <v>72</v>
      </c>
      <c r="AI1629" t="s">
        <v>2595</v>
      </c>
      <c r="AJ1629">
        <v>1926</v>
      </c>
      <c r="AK1629" t="s">
        <v>1918</v>
      </c>
      <c r="AM1629" t="s">
        <v>1919</v>
      </c>
      <c r="AN1629" t="s">
        <v>192</v>
      </c>
      <c r="AO1629" t="s">
        <v>657</v>
      </c>
      <c r="AP1629" t="s">
        <v>359</v>
      </c>
      <c r="AQ1629" t="s">
        <v>1920</v>
      </c>
      <c r="AR1629" t="s">
        <v>80</v>
      </c>
      <c r="AS1629">
        <v>702</v>
      </c>
      <c r="AT1629" t="s">
        <v>81</v>
      </c>
      <c r="AU1629">
        <v>22.51</v>
      </c>
      <c r="AV1629">
        <v>-42.93</v>
      </c>
      <c r="AW1629" t="s">
        <v>82</v>
      </c>
      <c r="AX1629">
        <v>702</v>
      </c>
      <c r="AY1629" t="s">
        <v>81</v>
      </c>
      <c r="AZ1629">
        <v>24.25</v>
      </c>
      <c r="BA1629">
        <v>-52.74</v>
      </c>
      <c r="BB1629" t="s">
        <v>83</v>
      </c>
    </row>
    <row r="1630" spans="1:54" x14ac:dyDescent="0.4">
      <c r="A1630">
        <v>1285964</v>
      </c>
      <c r="D1630" t="s">
        <v>498</v>
      </c>
      <c r="E1630" t="s">
        <v>55</v>
      </c>
      <c r="G1630">
        <v>1</v>
      </c>
      <c r="H1630" t="s">
        <v>56</v>
      </c>
      <c r="I1630" t="s">
        <v>57</v>
      </c>
      <c r="K1630" t="s">
        <v>2135</v>
      </c>
      <c r="L1630" t="s">
        <v>2606</v>
      </c>
      <c r="M1630" t="s">
        <v>60</v>
      </c>
      <c r="P1630" t="s">
        <v>511</v>
      </c>
      <c r="Q1630" t="s">
        <v>1536</v>
      </c>
      <c r="R1630" t="s">
        <v>512</v>
      </c>
      <c r="S1630" t="s">
        <v>123</v>
      </c>
      <c r="T1630">
        <v>259.51</v>
      </c>
      <c r="U1630">
        <v>251.90199999999999</v>
      </c>
      <c r="V1630">
        <f t="shared" si="50"/>
        <v>255.70599999999999</v>
      </c>
      <c r="W1630">
        <f t="shared" si="51"/>
        <v>7.6080000000000041</v>
      </c>
      <c r="X1630">
        <v>44.416668000000001</v>
      </c>
      <c r="Y1630">
        <v>-24</v>
      </c>
      <c r="Z1630" t="s">
        <v>124</v>
      </c>
      <c r="AA1630" t="s">
        <v>1913</v>
      </c>
      <c r="AB1630" t="s">
        <v>1914</v>
      </c>
      <c r="AD1630" t="s">
        <v>1915</v>
      </c>
      <c r="AE1630" t="s">
        <v>1916</v>
      </c>
      <c r="AH1630" t="s">
        <v>72</v>
      </c>
      <c r="AI1630" t="s">
        <v>2595</v>
      </c>
      <c r="AJ1630">
        <v>1926</v>
      </c>
      <c r="AK1630" t="s">
        <v>1918</v>
      </c>
      <c r="AM1630" t="s">
        <v>1919</v>
      </c>
      <c r="AN1630" t="s">
        <v>192</v>
      </c>
      <c r="AO1630" t="s">
        <v>657</v>
      </c>
      <c r="AP1630" t="s">
        <v>359</v>
      </c>
      <c r="AQ1630" t="s">
        <v>1920</v>
      </c>
      <c r="AR1630" t="s">
        <v>80</v>
      </c>
      <c r="AS1630">
        <v>702</v>
      </c>
      <c r="AT1630" t="s">
        <v>81</v>
      </c>
      <c r="AU1630">
        <v>22.51</v>
      </c>
      <c r="AV1630">
        <v>-42.93</v>
      </c>
      <c r="AW1630" t="s">
        <v>82</v>
      </c>
      <c r="AX1630">
        <v>702</v>
      </c>
      <c r="AY1630" t="s">
        <v>81</v>
      </c>
      <c r="AZ1630">
        <v>24.25</v>
      </c>
      <c r="BA1630">
        <v>-52.74</v>
      </c>
      <c r="BB1630" t="s">
        <v>83</v>
      </c>
    </row>
    <row r="1631" spans="1:54" x14ac:dyDescent="0.4">
      <c r="A1631">
        <v>1285964</v>
      </c>
      <c r="D1631" t="s">
        <v>498</v>
      </c>
      <c r="E1631" t="s">
        <v>55</v>
      </c>
      <c r="G1631">
        <v>1</v>
      </c>
      <c r="H1631" t="s">
        <v>56</v>
      </c>
      <c r="I1631" t="s">
        <v>57</v>
      </c>
      <c r="K1631" t="s">
        <v>2135</v>
      </c>
      <c r="L1631" t="s">
        <v>2606</v>
      </c>
      <c r="M1631" t="s">
        <v>60</v>
      </c>
      <c r="P1631" t="s">
        <v>511</v>
      </c>
      <c r="Q1631" t="s">
        <v>1536</v>
      </c>
      <c r="R1631" t="s">
        <v>512</v>
      </c>
      <c r="S1631" t="s">
        <v>123</v>
      </c>
      <c r="T1631">
        <v>259.51</v>
      </c>
      <c r="U1631">
        <v>251.90199999999999</v>
      </c>
      <c r="V1631">
        <f t="shared" si="50"/>
        <v>255.70599999999999</v>
      </c>
      <c r="W1631">
        <f t="shared" si="51"/>
        <v>7.6080000000000041</v>
      </c>
      <c r="X1631">
        <v>44.416668000000001</v>
      </c>
      <c r="Y1631">
        <v>-24</v>
      </c>
      <c r="Z1631" t="s">
        <v>124</v>
      </c>
      <c r="AA1631" t="s">
        <v>1913</v>
      </c>
      <c r="AB1631" t="s">
        <v>1914</v>
      </c>
      <c r="AD1631" t="s">
        <v>1915</v>
      </c>
      <c r="AE1631" t="s">
        <v>1916</v>
      </c>
      <c r="AH1631" t="s">
        <v>72</v>
      </c>
      <c r="AI1631" t="s">
        <v>2595</v>
      </c>
      <c r="AJ1631">
        <v>1926</v>
      </c>
      <c r="AK1631" t="s">
        <v>1918</v>
      </c>
      <c r="AM1631" t="s">
        <v>1919</v>
      </c>
      <c r="AN1631" t="s">
        <v>192</v>
      </c>
      <c r="AO1631" t="s">
        <v>657</v>
      </c>
      <c r="AP1631" t="s">
        <v>359</v>
      </c>
      <c r="AQ1631" t="s">
        <v>1920</v>
      </c>
      <c r="AR1631" t="s">
        <v>80</v>
      </c>
      <c r="AS1631">
        <v>702</v>
      </c>
      <c r="AT1631" t="s">
        <v>81</v>
      </c>
      <c r="AU1631">
        <v>22.51</v>
      </c>
      <c r="AV1631">
        <v>-42.93</v>
      </c>
      <c r="AW1631" t="s">
        <v>82</v>
      </c>
      <c r="AX1631">
        <v>702</v>
      </c>
      <c r="AY1631" t="s">
        <v>81</v>
      </c>
      <c r="AZ1631">
        <v>24.25</v>
      </c>
      <c r="BA1631">
        <v>-52.74</v>
      </c>
      <c r="BB1631" t="s">
        <v>83</v>
      </c>
    </row>
    <row r="1632" spans="1:54" x14ac:dyDescent="0.4">
      <c r="A1632">
        <v>1285964</v>
      </c>
      <c r="D1632" t="s">
        <v>498</v>
      </c>
      <c r="E1632" t="s">
        <v>55</v>
      </c>
      <c r="G1632">
        <v>1</v>
      </c>
      <c r="H1632" t="s">
        <v>56</v>
      </c>
      <c r="I1632" t="s">
        <v>57</v>
      </c>
      <c r="K1632" t="s">
        <v>2135</v>
      </c>
      <c r="L1632" t="s">
        <v>2606</v>
      </c>
      <c r="M1632" t="s">
        <v>60</v>
      </c>
      <c r="P1632" t="s">
        <v>511</v>
      </c>
      <c r="Q1632" t="s">
        <v>1536</v>
      </c>
      <c r="R1632" t="s">
        <v>512</v>
      </c>
      <c r="S1632" t="s">
        <v>123</v>
      </c>
      <c r="T1632">
        <v>259.51</v>
      </c>
      <c r="U1632">
        <v>251.90199999999999</v>
      </c>
      <c r="V1632">
        <f t="shared" si="50"/>
        <v>255.70599999999999</v>
      </c>
      <c r="W1632">
        <f t="shared" si="51"/>
        <v>7.6080000000000041</v>
      </c>
      <c r="X1632">
        <v>44.416668000000001</v>
      </c>
      <c r="Y1632">
        <v>-24</v>
      </c>
      <c r="Z1632" t="s">
        <v>124</v>
      </c>
      <c r="AA1632" t="s">
        <v>1913</v>
      </c>
      <c r="AB1632" t="s">
        <v>1914</v>
      </c>
      <c r="AD1632" t="s">
        <v>1915</v>
      </c>
      <c r="AE1632" t="s">
        <v>1916</v>
      </c>
      <c r="AH1632" t="s">
        <v>72</v>
      </c>
      <c r="AI1632" t="s">
        <v>2595</v>
      </c>
      <c r="AJ1632">
        <v>1926</v>
      </c>
      <c r="AK1632" t="s">
        <v>1918</v>
      </c>
      <c r="AM1632" t="s">
        <v>1919</v>
      </c>
      <c r="AN1632" t="s">
        <v>192</v>
      </c>
      <c r="AO1632" t="s">
        <v>657</v>
      </c>
      <c r="AP1632" t="s">
        <v>359</v>
      </c>
      <c r="AQ1632" t="s">
        <v>1920</v>
      </c>
      <c r="AR1632" t="s">
        <v>80</v>
      </c>
      <c r="AS1632">
        <v>702</v>
      </c>
      <c r="AT1632" t="s">
        <v>81</v>
      </c>
      <c r="AU1632">
        <v>22.51</v>
      </c>
      <c r="AV1632">
        <v>-42.93</v>
      </c>
      <c r="AW1632" t="s">
        <v>82</v>
      </c>
      <c r="AX1632">
        <v>702</v>
      </c>
      <c r="AY1632" t="s">
        <v>81</v>
      </c>
      <c r="AZ1632">
        <v>24.25</v>
      </c>
      <c r="BA1632">
        <v>-52.74</v>
      </c>
      <c r="BB1632" t="s">
        <v>83</v>
      </c>
    </row>
    <row r="1633" spans="1:54" x14ac:dyDescent="0.4">
      <c r="A1633">
        <v>1285964</v>
      </c>
      <c r="D1633" t="s">
        <v>498</v>
      </c>
      <c r="E1633" t="s">
        <v>55</v>
      </c>
      <c r="G1633">
        <v>1</v>
      </c>
      <c r="H1633" t="s">
        <v>56</v>
      </c>
      <c r="I1633" t="s">
        <v>57</v>
      </c>
      <c r="K1633" t="s">
        <v>2135</v>
      </c>
      <c r="L1633" t="s">
        <v>2606</v>
      </c>
      <c r="M1633" t="s">
        <v>60</v>
      </c>
      <c r="P1633" t="s">
        <v>511</v>
      </c>
      <c r="Q1633" t="s">
        <v>1536</v>
      </c>
      <c r="R1633" t="s">
        <v>512</v>
      </c>
      <c r="S1633" t="s">
        <v>123</v>
      </c>
      <c r="T1633">
        <v>259.51</v>
      </c>
      <c r="U1633">
        <v>251.90199999999999</v>
      </c>
      <c r="V1633">
        <f t="shared" si="50"/>
        <v>255.70599999999999</v>
      </c>
      <c r="W1633">
        <f t="shared" si="51"/>
        <v>7.6080000000000041</v>
      </c>
      <c r="X1633">
        <v>44.416668000000001</v>
      </c>
      <c r="Y1633">
        <v>-24</v>
      </c>
      <c r="Z1633" t="s">
        <v>124</v>
      </c>
      <c r="AA1633" t="s">
        <v>1913</v>
      </c>
      <c r="AB1633" t="s">
        <v>1914</v>
      </c>
      <c r="AD1633" t="s">
        <v>1915</v>
      </c>
      <c r="AE1633" t="s">
        <v>1916</v>
      </c>
      <c r="AH1633" t="s">
        <v>72</v>
      </c>
      <c r="AI1633" t="s">
        <v>2595</v>
      </c>
      <c r="AJ1633">
        <v>1926</v>
      </c>
      <c r="AK1633" t="s">
        <v>1918</v>
      </c>
      <c r="AM1633" t="s">
        <v>1919</v>
      </c>
      <c r="AN1633" t="s">
        <v>192</v>
      </c>
      <c r="AO1633" t="s">
        <v>657</v>
      </c>
      <c r="AP1633" t="s">
        <v>359</v>
      </c>
      <c r="AQ1633" t="s">
        <v>1920</v>
      </c>
      <c r="AR1633" t="s">
        <v>80</v>
      </c>
      <c r="AS1633">
        <v>702</v>
      </c>
      <c r="AT1633" t="s">
        <v>81</v>
      </c>
      <c r="AU1633">
        <v>22.51</v>
      </c>
      <c r="AV1633">
        <v>-42.93</v>
      </c>
      <c r="AW1633" t="s">
        <v>82</v>
      </c>
      <c r="AX1633">
        <v>702</v>
      </c>
      <c r="AY1633" t="s">
        <v>81</v>
      </c>
      <c r="AZ1633">
        <v>24.25</v>
      </c>
      <c r="BA1633">
        <v>-52.74</v>
      </c>
      <c r="BB1633" t="s">
        <v>83</v>
      </c>
    </row>
    <row r="1634" spans="1:54" x14ac:dyDescent="0.4">
      <c r="A1634">
        <v>1285964</v>
      </c>
      <c r="D1634" t="s">
        <v>498</v>
      </c>
      <c r="E1634" t="s">
        <v>55</v>
      </c>
      <c r="G1634">
        <v>1</v>
      </c>
      <c r="H1634" t="s">
        <v>56</v>
      </c>
      <c r="I1634" t="s">
        <v>57</v>
      </c>
      <c r="K1634" t="s">
        <v>2135</v>
      </c>
      <c r="L1634" t="s">
        <v>2606</v>
      </c>
      <c r="M1634" t="s">
        <v>60</v>
      </c>
      <c r="P1634" t="s">
        <v>511</v>
      </c>
      <c r="Q1634" t="s">
        <v>1536</v>
      </c>
      <c r="R1634" t="s">
        <v>512</v>
      </c>
      <c r="S1634" t="s">
        <v>123</v>
      </c>
      <c r="T1634">
        <v>259.51</v>
      </c>
      <c r="U1634">
        <v>251.90199999999999</v>
      </c>
      <c r="V1634">
        <f t="shared" si="50"/>
        <v>255.70599999999999</v>
      </c>
      <c r="W1634">
        <f t="shared" si="51"/>
        <v>7.6080000000000041</v>
      </c>
      <c r="X1634">
        <v>44.416668000000001</v>
      </c>
      <c r="Y1634">
        <v>-24</v>
      </c>
      <c r="Z1634" t="s">
        <v>124</v>
      </c>
      <c r="AA1634" t="s">
        <v>1913</v>
      </c>
      <c r="AB1634" t="s">
        <v>1914</v>
      </c>
      <c r="AD1634" t="s">
        <v>1915</v>
      </c>
      <c r="AE1634" t="s">
        <v>1916</v>
      </c>
      <c r="AH1634" t="s">
        <v>72</v>
      </c>
      <c r="AI1634" t="s">
        <v>2595</v>
      </c>
      <c r="AJ1634">
        <v>1926</v>
      </c>
      <c r="AK1634" t="s">
        <v>1918</v>
      </c>
      <c r="AM1634" t="s">
        <v>1919</v>
      </c>
      <c r="AN1634" t="s">
        <v>192</v>
      </c>
      <c r="AO1634" t="s">
        <v>657</v>
      </c>
      <c r="AP1634" t="s">
        <v>359</v>
      </c>
      <c r="AQ1634" t="s">
        <v>1920</v>
      </c>
      <c r="AR1634" t="s">
        <v>80</v>
      </c>
      <c r="AS1634">
        <v>702</v>
      </c>
      <c r="AT1634" t="s">
        <v>81</v>
      </c>
      <c r="AU1634">
        <v>22.51</v>
      </c>
      <c r="AV1634">
        <v>-42.93</v>
      </c>
      <c r="AW1634" t="s">
        <v>82</v>
      </c>
      <c r="AX1634">
        <v>702</v>
      </c>
      <c r="AY1634" t="s">
        <v>81</v>
      </c>
      <c r="AZ1634">
        <v>24.25</v>
      </c>
      <c r="BA1634">
        <v>-52.74</v>
      </c>
      <c r="BB1634" t="s">
        <v>83</v>
      </c>
    </row>
    <row r="1635" spans="1:54" x14ac:dyDescent="0.4">
      <c r="A1635">
        <v>1285964</v>
      </c>
      <c r="D1635" t="s">
        <v>498</v>
      </c>
      <c r="E1635" t="s">
        <v>55</v>
      </c>
      <c r="G1635">
        <v>1</v>
      </c>
      <c r="H1635" t="s">
        <v>56</v>
      </c>
      <c r="I1635" t="s">
        <v>57</v>
      </c>
      <c r="K1635" t="s">
        <v>2135</v>
      </c>
      <c r="L1635" t="s">
        <v>2606</v>
      </c>
      <c r="M1635" t="s">
        <v>60</v>
      </c>
      <c r="P1635" t="s">
        <v>511</v>
      </c>
      <c r="Q1635" t="s">
        <v>1536</v>
      </c>
      <c r="R1635" t="s">
        <v>512</v>
      </c>
      <c r="S1635" t="s">
        <v>123</v>
      </c>
      <c r="T1635">
        <v>259.51</v>
      </c>
      <c r="U1635">
        <v>251.90199999999999</v>
      </c>
      <c r="V1635">
        <f t="shared" si="50"/>
        <v>255.70599999999999</v>
      </c>
      <c r="W1635">
        <f t="shared" si="51"/>
        <v>7.6080000000000041</v>
      </c>
      <c r="X1635">
        <v>44.416668000000001</v>
      </c>
      <c r="Y1635">
        <v>-24</v>
      </c>
      <c r="Z1635" t="s">
        <v>124</v>
      </c>
      <c r="AA1635" t="s">
        <v>1913</v>
      </c>
      <c r="AB1635" t="s">
        <v>1914</v>
      </c>
      <c r="AD1635" t="s">
        <v>1915</v>
      </c>
      <c r="AE1635" t="s">
        <v>1916</v>
      </c>
      <c r="AH1635" t="s">
        <v>72</v>
      </c>
      <c r="AI1635" t="s">
        <v>2595</v>
      </c>
      <c r="AJ1635">
        <v>1926</v>
      </c>
      <c r="AK1635" t="s">
        <v>1918</v>
      </c>
      <c r="AM1635" t="s">
        <v>1919</v>
      </c>
      <c r="AN1635" t="s">
        <v>192</v>
      </c>
      <c r="AO1635" t="s">
        <v>657</v>
      </c>
      <c r="AP1635" t="s">
        <v>359</v>
      </c>
      <c r="AQ1635" t="s">
        <v>1920</v>
      </c>
      <c r="AR1635" t="s">
        <v>80</v>
      </c>
      <c r="AS1635">
        <v>702</v>
      </c>
      <c r="AT1635" t="s">
        <v>81</v>
      </c>
      <c r="AU1635">
        <v>22.51</v>
      </c>
      <c r="AV1635">
        <v>-42.93</v>
      </c>
      <c r="AW1635" t="s">
        <v>82</v>
      </c>
      <c r="AX1635">
        <v>702</v>
      </c>
      <c r="AY1635" t="s">
        <v>81</v>
      </c>
      <c r="AZ1635">
        <v>24.25</v>
      </c>
      <c r="BA1635">
        <v>-52.74</v>
      </c>
      <c r="BB1635" t="s">
        <v>83</v>
      </c>
    </row>
    <row r="1636" spans="1:54" x14ac:dyDescent="0.4">
      <c r="A1636">
        <v>1285964</v>
      </c>
      <c r="D1636" t="s">
        <v>498</v>
      </c>
      <c r="E1636" t="s">
        <v>55</v>
      </c>
      <c r="G1636">
        <v>1</v>
      </c>
      <c r="H1636" t="s">
        <v>56</v>
      </c>
      <c r="I1636" t="s">
        <v>57</v>
      </c>
      <c r="K1636" t="s">
        <v>2135</v>
      </c>
      <c r="L1636" t="s">
        <v>2606</v>
      </c>
      <c r="M1636" t="s">
        <v>60</v>
      </c>
      <c r="P1636" t="s">
        <v>511</v>
      </c>
      <c r="Q1636" t="s">
        <v>1536</v>
      </c>
      <c r="R1636" t="s">
        <v>512</v>
      </c>
      <c r="S1636" t="s">
        <v>123</v>
      </c>
      <c r="T1636">
        <v>259.51</v>
      </c>
      <c r="U1636">
        <v>251.90199999999999</v>
      </c>
      <c r="V1636">
        <f t="shared" si="50"/>
        <v>255.70599999999999</v>
      </c>
      <c r="W1636">
        <f t="shared" si="51"/>
        <v>7.6080000000000041</v>
      </c>
      <c r="X1636">
        <v>44.416668000000001</v>
      </c>
      <c r="Y1636">
        <v>-24</v>
      </c>
      <c r="Z1636" t="s">
        <v>124</v>
      </c>
      <c r="AA1636" t="s">
        <v>1913</v>
      </c>
      <c r="AB1636" t="s">
        <v>1914</v>
      </c>
      <c r="AD1636" t="s">
        <v>1915</v>
      </c>
      <c r="AE1636" t="s">
        <v>1916</v>
      </c>
      <c r="AH1636" t="s">
        <v>72</v>
      </c>
      <c r="AI1636" t="s">
        <v>2595</v>
      </c>
      <c r="AJ1636">
        <v>1926</v>
      </c>
      <c r="AK1636" t="s">
        <v>1918</v>
      </c>
      <c r="AM1636" t="s">
        <v>1919</v>
      </c>
      <c r="AN1636" t="s">
        <v>192</v>
      </c>
      <c r="AO1636" t="s">
        <v>657</v>
      </c>
      <c r="AP1636" t="s">
        <v>359</v>
      </c>
      <c r="AQ1636" t="s">
        <v>1920</v>
      </c>
      <c r="AR1636" t="s">
        <v>80</v>
      </c>
      <c r="AS1636">
        <v>702</v>
      </c>
      <c r="AT1636" t="s">
        <v>81</v>
      </c>
      <c r="AU1636">
        <v>22.51</v>
      </c>
      <c r="AV1636">
        <v>-42.93</v>
      </c>
      <c r="AW1636" t="s">
        <v>82</v>
      </c>
      <c r="AX1636">
        <v>702</v>
      </c>
      <c r="AY1636" t="s">
        <v>81</v>
      </c>
      <c r="AZ1636">
        <v>24.25</v>
      </c>
      <c r="BA1636">
        <v>-52.74</v>
      </c>
      <c r="BB1636" t="s">
        <v>83</v>
      </c>
    </row>
    <row r="1637" spans="1:54" x14ac:dyDescent="0.4">
      <c r="A1637">
        <v>1285964</v>
      </c>
      <c r="D1637" t="s">
        <v>498</v>
      </c>
      <c r="E1637" t="s">
        <v>55</v>
      </c>
      <c r="G1637">
        <v>1</v>
      </c>
      <c r="H1637" t="s">
        <v>56</v>
      </c>
      <c r="I1637" t="s">
        <v>57</v>
      </c>
      <c r="K1637" t="s">
        <v>2135</v>
      </c>
      <c r="L1637" t="s">
        <v>2606</v>
      </c>
      <c r="M1637" t="s">
        <v>60</v>
      </c>
      <c r="P1637" t="s">
        <v>511</v>
      </c>
      <c r="Q1637" t="s">
        <v>1536</v>
      </c>
      <c r="R1637" t="s">
        <v>512</v>
      </c>
      <c r="S1637" t="s">
        <v>123</v>
      </c>
      <c r="T1637">
        <v>259.51</v>
      </c>
      <c r="U1637">
        <v>251.90199999999999</v>
      </c>
      <c r="V1637">
        <f t="shared" si="50"/>
        <v>255.70599999999999</v>
      </c>
      <c r="W1637">
        <f t="shared" si="51"/>
        <v>7.6080000000000041</v>
      </c>
      <c r="X1637">
        <v>44.416668000000001</v>
      </c>
      <c r="Y1637">
        <v>-24</v>
      </c>
      <c r="Z1637" t="s">
        <v>124</v>
      </c>
      <c r="AA1637" t="s">
        <v>1913</v>
      </c>
      <c r="AB1637" t="s">
        <v>1914</v>
      </c>
      <c r="AD1637" t="s">
        <v>1915</v>
      </c>
      <c r="AE1637" t="s">
        <v>1916</v>
      </c>
      <c r="AH1637" t="s">
        <v>72</v>
      </c>
      <c r="AI1637" t="s">
        <v>2595</v>
      </c>
      <c r="AJ1637">
        <v>1926</v>
      </c>
      <c r="AK1637" t="s">
        <v>1918</v>
      </c>
      <c r="AM1637" t="s">
        <v>1919</v>
      </c>
      <c r="AN1637" t="s">
        <v>192</v>
      </c>
      <c r="AO1637" t="s">
        <v>657</v>
      </c>
      <c r="AP1637" t="s">
        <v>359</v>
      </c>
      <c r="AQ1637" t="s">
        <v>1920</v>
      </c>
      <c r="AR1637" t="s">
        <v>80</v>
      </c>
      <c r="AS1637">
        <v>702</v>
      </c>
      <c r="AT1637" t="s">
        <v>81</v>
      </c>
      <c r="AU1637">
        <v>22.51</v>
      </c>
      <c r="AV1637">
        <v>-42.93</v>
      </c>
      <c r="AW1637" t="s">
        <v>82</v>
      </c>
      <c r="AX1637">
        <v>702</v>
      </c>
      <c r="AY1637" t="s">
        <v>81</v>
      </c>
      <c r="AZ1637">
        <v>24.25</v>
      </c>
      <c r="BA1637">
        <v>-52.74</v>
      </c>
      <c r="BB1637" t="s">
        <v>83</v>
      </c>
    </row>
    <row r="1638" spans="1:54" x14ac:dyDescent="0.4">
      <c r="A1638">
        <v>1285964</v>
      </c>
      <c r="D1638" t="s">
        <v>498</v>
      </c>
      <c r="E1638" t="s">
        <v>55</v>
      </c>
      <c r="G1638">
        <v>1</v>
      </c>
      <c r="H1638" t="s">
        <v>56</v>
      </c>
      <c r="I1638" t="s">
        <v>57</v>
      </c>
      <c r="K1638" t="s">
        <v>2135</v>
      </c>
      <c r="L1638" t="s">
        <v>2606</v>
      </c>
      <c r="M1638" t="s">
        <v>60</v>
      </c>
      <c r="P1638" t="s">
        <v>511</v>
      </c>
      <c r="Q1638" t="s">
        <v>1536</v>
      </c>
      <c r="R1638" t="s">
        <v>512</v>
      </c>
      <c r="S1638" t="s">
        <v>123</v>
      </c>
      <c r="T1638">
        <v>259.51</v>
      </c>
      <c r="U1638">
        <v>251.90199999999999</v>
      </c>
      <c r="V1638">
        <f t="shared" si="50"/>
        <v>255.70599999999999</v>
      </c>
      <c r="W1638">
        <f t="shared" si="51"/>
        <v>7.6080000000000041</v>
      </c>
      <c r="X1638">
        <v>44.416668000000001</v>
      </c>
      <c r="Y1638">
        <v>-24</v>
      </c>
      <c r="Z1638" t="s">
        <v>124</v>
      </c>
      <c r="AA1638" t="s">
        <v>1913</v>
      </c>
      <c r="AB1638" t="s">
        <v>1914</v>
      </c>
      <c r="AD1638" t="s">
        <v>1915</v>
      </c>
      <c r="AE1638" t="s">
        <v>1916</v>
      </c>
      <c r="AH1638" t="s">
        <v>72</v>
      </c>
      <c r="AI1638" t="s">
        <v>2595</v>
      </c>
      <c r="AJ1638">
        <v>1926</v>
      </c>
      <c r="AK1638" t="s">
        <v>1918</v>
      </c>
      <c r="AM1638" t="s">
        <v>1919</v>
      </c>
      <c r="AN1638" t="s">
        <v>192</v>
      </c>
      <c r="AO1638" t="s">
        <v>657</v>
      </c>
      <c r="AP1638" t="s">
        <v>359</v>
      </c>
      <c r="AQ1638" t="s">
        <v>1920</v>
      </c>
      <c r="AR1638" t="s">
        <v>80</v>
      </c>
      <c r="AS1638">
        <v>702</v>
      </c>
      <c r="AT1638" t="s">
        <v>81</v>
      </c>
      <c r="AU1638">
        <v>22.51</v>
      </c>
      <c r="AV1638">
        <v>-42.93</v>
      </c>
      <c r="AW1638" t="s">
        <v>82</v>
      </c>
      <c r="AX1638">
        <v>702</v>
      </c>
      <c r="AY1638" t="s">
        <v>81</v>
      </c>
      <c r="AZ1638">
        <v>24.25</v>
      </c>
      <c r="BA1638">
        <v>-52.74</v>
      </c>
      <c r="BB1638" t="s">
        <v>83</v>
      </c>
    </row>
    <row r="1639" spans="1:54" x14ac:dyDescent="0.4">
      <c r="A1639">
        <v>1285964</v>
      </c>
      <c r="D1639" t="s">
        <v>498</v>
      </c>
      <c r="E1639" t="s">
        <v>55</v>
      </c>
      <c r="G1639">
        <v>1</v>
      </c>
      <c r="H1639" t="s">
        <v>56</v>
      </c>
      <c r="I1639" t="s">
        <v>57</v>
      </c>
      <c r="K1639" t="s">
        <v>2135</v>
      </c>
      <c r="L1639" t="s">
        <v>2606</v>
      </c>
      <c r="M1639" t="s">
        <v>60</v>
      </c>
      <c r="P1639" t="s">
        <v>511</v>
      </c>
      <c r="Q1639" t="s">
        <v>1536</v>
      </c>
      <c r="R1639" t="s">
        <v>512</v>
      </c>
      <c r="S1639" t="s">
        <v>123</v>
      </c>
      <c r="T1639">
        <v>259.51</v>
      </c>
      <c r="U1639">
        <v>251.90199999999999</v>
      </c>
      <c r="V1639">
        <f t="shared" si="50"/>
        <v>255.70599999999999</v>
      </c>
      <c r="W1639">
        <f t="shared" si="51"/>
        <v>7.6080000000000041</v>
      </c>
      <c r="X1639">
        <v>44.416668000000001</v>
      </c>
      <c r="Y1639">
        <v>-24</v>
      </c>
      <c r="Z1639" t="s">
        <v>124</v>
      </c>
      <c r="AA1639" t="s">
        <v>1913</v>
      </c>
      <c r="AB1639" t="s">
        <v>1914</v>
      </c>
      <c r="AD1639" t="s">
        <v>1915</v>
      </c>
      <c r="AE1639" t="s">
        <v>1916</v>
      </c>
      <c r="AH1639" t="s">
        <v>72</v>
      </c>
      <c r="AI1639" t="s">
        <v>2595</v>
      </c>
      <c r="AJ1639">
        <v>1926</v>
      </c>
      <c r="AK1639" t="s">
        <v>1918</v>
      </c>
      <c r="AM1639" t="s">
        <v>1919</v>
      </c>
      <c r="AN1639" t="s">
        <v>192</v>
      </c>
      <c r="AO1639" t="s">
        <v>657</v>
      </c>
      <c r="AP1639" t="s">
        <v>359</v>
      </c>
      <c r="AQ1639" t="s">
        <v>1920</v>
      </c>
      <c r="AR1639" t="s">
        <v>80</v>
      </c>
      <c r="AS1639">
        <v>702</v>
      </c>
      <c r="AT1639" t="s">
        <v>81</v>
      </c>
      <c r="AU1639">
        <v>22.51</v>
      </c>
      <c r="AV1639">
        <v>-42.93</v>
      </c>
      <c r="AW1639" t="s">
        <v>82</v>
      </c>
      <c r="AX1639">
        <v>702</v>
      </c>
      <c r="AY1639" t="s">
        <v>81</v>
      </c>
      <c r="AZ1639">
        <v>24.25</v>
      </c>
      <c r="BA1639">
        <v>-52.74</v>
      </c>
      <c r="BB1639" t="s">
        <v>83</v>
      </c>
    </row>
    <row r="1640" spans="1:54" x14ac:dyDescent="0.4">
      <c r="A1640">
        <v>1285964</v>
      </c>
      <c r="D1640" t="s">
        <v>498</v>
      </c>
      <c r="E1640" t="s">
        <v>55</v>
      </c>
      <c r="G1640">
        <v>1</v>
      </c>
      <c r="H1640" t="s">
        <v>56</v>
      </c>
      <c r="I1640" t="s">
        <v>57</v>
      </c>
      <c r="K1640" t="s">
        <v>2135</v>
      </c>
      <c r="L1640" t="s">
        <v>2606</v>
      </c>
      <c r="M1640" t="s">
        <v>60</v>
      </c>
      <c r="P1640" t="s">
        <v>511</v>
      </c>
      <c r="Q1640" t="s">
        <v>1536</v>
      </c>
      <c r="R1640" t="s">
        <v>512</v>
      </c>
      <c r="S1640" t="s">
        <v>123</v>
      </c>
      <c r="T1640">
        <v>259.51</v>
      </c>
      <c r="U1640">
        <v>251.90199999999999</v>
      </c>
      <c r="V1640">
        <f t="shared" si="50"/>
        <v>255.70599999999999</v>
      </c>
      <c r="W1640">
        <f t="shared" si="51"/>
        <v>7.6080000000000041</v>
      </c>
      <c r="X1640">
        <v>44.416668000000001</v>
      </c>
      <c r="Y1640">
        <v>-24</v>
      </c>
      <c r="Z1640" t="s">
        <v>124</v>
      </c>
      <c r="AA1640" t="s">
        <v>1913</v>
      </c>
      <c r="AB1640" t="s">
        <v>1914</v>
      </c>
      <c r="AD1640" t="s">
        <v>1915</v>
      </c>
      <c r="AE1640" t="s">
        <v>1916</v>
      </c>
      <c r="AH1640" t="s">
        <v>72</v>
      </c>
      <c r="AI1640" t="s">
        <v>2595</v>
      </c>
      <c r="AJ1640">
        <v>1926</v>
      </c>
      <c r="AK1640" t="s">
        <v>1918</v>
      </c>
      <c r="AM1640" t="s">
        <v>1919</v>
      </c>
      <c r="AN1640" t="s">
        <v>192</v>
      </c>
      <c r="AO1640" t="s">
        <v>657</v>
      </c>
      <c r="AP1640" t="s">
        <v>359</v>
      </c>
      <c r="AQ1640" t="s">
        <v>1920</v>
      </c>
      <c r="AR1640" t="s">
        <v>80</v>
      </c>
      <c r="AS1640">
        <v>702</v>
      </c>
      <c r="AT1640" t="s">
        <v>81</v>
      </c>
      <c r="AU1640">
        <v>22.51</v>
      </c>
      <c r="AV1640">
        <v>-42.93</v>
      </c>
      <c r="AW1640" t="s">
        <v>82</v>
      </c>
      <c r="AX1640">
        <v>702</v>
      </c>
      <c r="AY1640" t="s">
        <v>81</v>
      </c>
      <c r="AZ1640">
        <v>24.25</v>
      </c>
      <c r="BA1640">
        <v>-52.74</v>
      </c>
      <c r="BB1640" t="s">
        <v>83</v>
      </c>
    </row>
    <row r="1641" spans="1:54" x14ac:dyDescent="0.4">
      <c r="A1641">
        <v>1285964</v>
      </c>
      <c r="D1641" t="s">
        <v>498</v>
      </c>
      <c r="E1641" t="s">
        <v>55</v>
      </c>
      <c r="G1641">
        <v>1</v>
      </c>
      <c r="H1641" t="s">
        <v>56</v>
      </c>
      <c r="I1641" t="s">
        <v>57</v>
      </c>
      <c r="K1641" t="s">
        <v>2135</v>
      </c>
      <c r="L1641" t="s">
        <v>2606</v>
      </c>
      <c r="M1641" t="s">
        <v>60</v>
      </c>
      <c r="P1641" t="s">
        <v>511</v>
      </c>
      <c r="Q1641" t="s">
        <v>1536</v>
      </c>
      <c r="R1641" t="s">
        <v>512</v>
      </c>
      <c r="S1641" t="s">
        <v>123</v>
      </c>
      <c r="T1641">
        <v>259.51</v>
      </c>
      <c r="U1641">
        <v>251.90199999999999</v>
      </c>
      <c r="V1641">
        <f t="shared" si="50"/>
        <v>255.70599999999999</v>
      </c>
      <c r="W1641">
        <f t="shared" si="51"/>
        <v>7.6080000000000041</v>
      </c>
      <c r="X1641">
        <v>44.416668000000001</v>
      </c>
      <c r="Y1641">
        <v>-24</v>
      </c>
      <c r="Z1641" t="s">
        <v>124</v>
      </c>
      <c r="AA1641" t="s">
        <v>1913</v>
      </c>
      <c r="AB1641" t="s">
        <v>1914</v>
      </c>
      <c r="AD1641" t="s">
        <v>1915</v>
      </c>
      <c r="AE1641" t="s">
        <v>1916</v>
      </c>
      <c r="AH1641" t="s">
        <v>72</v>
      </c>
      <c r="AI1641" t="s">
        <v>2595</v>
      </c>
      <c r="AJ1641">
        <v>1926</v>
      </c>
      <c r="AK1641" t="s">
        <v>1918</v>
      </c>
      <c r="AM1641" t="s">
        <v>1919</v>
      </c>
      <c r="AN1641" t="s">
        <v>192</v>
      </c>
      <c r="AO1641" t="s">
        <v>657</v>
      </c>
      <c r="AP1641" t="s">
        <v>359</v>
      </c>
      <c r="AQ1641" t="s">
        <v>1920</v>
      </c>
      <c r="AR1641" t="s">
        <v>80</v>
      </c>
      <c r="AS1641">
        <v>702</v>
      </c>
      <c r="AT1641" t="s">
        <v>81</v>
      </c>
      <c r="AU1641">
        <v>22.51</v>
      </c>
      <c r="AV1641">
        <v>-42.93</v>
      </c>
      <c r="AW1641" t="s">
        <v>82</v>
      </c>
      <c r="AX1641">
        <v>702</v>
      </c>
      <c r="AY1641" t="s">
        <v>81</v>
      </c>
      <c r="AZ1641">
        <v>24.25</v>
      </c>
      <c r="BA1641">
        <v>-52.74</v>
      </c>
      <c r="BB1641" t="s">
        <v>83</v>
      </c>
    </row>
    <row r="1642" spans="1:54" x14ac:dyDescent="0.4">
      <c r="A1642">
        <v>1285964</v>
      </c>
      <c r="D1642" t="s">
        <v>498</v>
      </c>
      <c r="E1642" t="s">
        <v>55</v>
      </c>
      <c r="G1642">
        <v>1</v>
      </c>
      <c r="H1642" t="s">
        <v>56</v>
      </c>
      <c r="I1642" t="s">
        <v>57</v>
      </c>
      <c r="K1642" t="s">
        <v>2135</v>
      </c>
      <c r="L1642" t="s">
        <v>2606</v>
      </c>
      <c r="M1642" t="s">
        <v>60</v>
      </c>
      <c r="P1642" t="s">
        <v>511</v>
      </c>
      <c r="Q1642" t="s">
        <v>1536</v>
      </c>
      <c r="R1642" t="s">
        <v>512</v>
      </c>
      <c r="S1642" t="s">
        <v>123</v>
      </c>
      <c r="T1642">
        <v>259.51</v>
      </c>
      <c r="U1642">
        <v>251.90199999999999</v>
      </c>
      <c r="V1642">
        <f t="shared" si="50"/>
        <v>255.70599999999999</v>
      </c>
      <c r="W1642">
        <f t="shared" si="51"/>
        <v>7.6080000000000041</v>
      </c>
      <c r="X1642">
        <v>44.416668000000001</v>
      </c>
      <c r="Y1642">
        <v>-24</v>
      </c>
      <c r="Z1642" t="s">
        <v>124</v>
      </c>
      <c r="AA1642" t="s">
        <v>1913</v>
      </c>
      <c r="AB1642" t="s">
        <v>1914</v>
      </c>
      <c r="AD1642" t="s">
        <v>1915</v>
      </c>
      <c r="AE1642" t="s">
        <v>1916</v>
      </c>
      <c r="AH1642" t="s">
        <v>72</v>
      </c>
      <c r="AI1642" t="s">
        <v>2595</v>
      </c>
      <c r="AJ1642">
        <v>1926</v>
      </c>
      <c r="AK1642" t="s">
        <v>1918</v>
      </c>
      <c r="AM1642" t="s">
        <v>1919</v>
      </c>
      <c r="AN1642" t="s">
        <v>192</v>
      </c>
      <c r="AO1642" t="s">
        <v>657</v>
      </c>
      <c r="AP1642" t="s">
        <v>359</v>
      </c>
      <c r="AQ1642" t="s">
        <v>1920</v>
      </c>
      <c r="AR1642" t="s">
        <v>80</v>
      </c>
      <c r="AS1642">
        <v>702</v>
      </c>
      <c r="AT1642" t="s">
        <v>81</v>
      </c>
      <c r="AU1642">
        <v>22.51</v>
      </c>
      <c r="AV1642">
        <v>-42.93</v>
      </c>
      <c r="AW1642" t="s">
        <v>82</v>
      </c>
      <c r="AX1642">
        <v>702</v>
      </c>
      <c r="AY1642" t="s">
        <v>81</v>
      </c>
      <c r="AZ1642">
        <v>24.25</v>
      </c>
      <c r="BA1642">
        <v>-52.74</v>
      </c>
      <c r="BB1642" t="s">
        <v>83</v>
      </c>
    </row>
    <row r="1643" spans="1:54" x14ac:dyDescent="0.4">
      <c r="A1643">
        <v>1285964</v>
      </c>
      <c r="D1643" t="s">
        <v>498</v>
      </c>
      <c r="E1643" t="s">
        <v>55</v>
      </c>
      <c r="G1643">
        <v>1</v>
      </c>
      <c r="H1643" t="s">
        <v>56</v>
      </c>
      <c r="I1643" t="s">
        <v>57</v>
      </c>
      <c r="K1643" t="s">
        <v>2135</v>
      </c>
      <c r="L1643" t="s">
        <v>2606</v>
      </c>
      <c r="M1643" t="s">
        <v>60</v>
      </c>
      <c r="P1643" t="s">
        <v>511</v>
      </c>
      <c r="Q1643" t="s">
        <v>1536</v>
      </c>
      <c r="R1643" t="s">
        <v>512</v>
      </c>
      <c r="S1643" t="s">
        <v>123</v>
      </c>
      <c r="T1643">
        <v>259.51</v>
      </c>
      <c r="U1643">
        <v>251.90199999999999</v>
      </c>
      <c r="V1643">
        <f t="shared" si="50"/>
        <v>255.70599999999999</v>
      </c>
      <c r="W1643">
        <f t="shared" si="51"/>
        <v>7.6080000000000041</v>
      </c>
      <c r="X1643">
        <v>44.416668000000001</v>
      </c>
      <c r="Y1643">
        <v>-24</v>
      </c>
      <c r="Z1643" t="s">
        <v>124</v>
      </c>
      <c r="AA1643" t="s">
        <v>1913</v>
      </c>
      <c r="AB1643" t="s">
        <v>1914</v>
      </c>
      <c r="AD1643" t="s">
        <v>1915</v>
      </c>
      <c r="AE1643" t="s">
        <v>1916</v>
      </c>
      <c r="AH1643" t="s">
        <v>72</v>
      </c>
      <c r="AI1643" t="s">
        <v>2595</v>
      </c>
      <c r="AJ1643">
        <v>1926</v>
      </c>
      <c r="AK1643" t="s">
        <v>1918</v>
      </c>
      <c r="AM1643" t="s">
        <v>1919</v>
      </c>
      <c r="AN1643" t="s">
        <v>192</v>
      </c>
      <c r="AO1643" t="s">
        <v>657</v>
      </c>
      <c r="AP1643" t="s">
        <v>359</v>
      </c>
      <c r="AQ1643" t="s">
        <v>1920</v>
      </c>
      <c r="AR1643" t="s">
        <v>80</v>
      </c>
      <c r="AS1643">
        <v>702</v>
      </c>
      <c r="AT1643" t="s">
        <v>81</v>
      </c>
      <c r="AU1643">
        <v>22.51</v>
      </c>
      <c r="AV1643">
        <v>-42.93</v>
      </c>
      <c r="AW1643" t="s">
        <v>82</v>
      </c>
      <c r="AX1643">
        <v>702</v>
      </c>
      <c r="AY1643" t="s">
        <v>81</v>
      </c>
      <c r="AZ1643">
        <v>24.25</v>
      </c>
      <c r="BA1643">
        <v>-52.74</v>
      </c>
      <c r="BB1643" t="s">
        <v>83</v>
      </c>
    </row>
    <row r="1644" spans="1:54" x14ac:dyDescent="0.4">
      <c r="A1644">
        <v>1285964</v>
      </c>
      <c r="D1644" t="s">
        <v>498</v>
      </c>
      <c r="E1644" t="s">
        <v>55</v>
      </c>
      <c r="G1644">
        <v>1</v>
      </c>
      <c r="H1644" t="s">
        <v>56</v>
      </c>
      <c r="I1644" t="s">
        <v>57</v>
      </c>
      <c r="K1644" t="s">
        <v>2135</v>
      </c>
      <c r="L1644" t="s">
        <v>2606</v>
      </c>
      <c r="M1644" t="s">
        <v>60</v>
      </c>
      <c r="P1644" t="s">
        <v>511</v>
      </c>
      <c r="Q1644" t="s">
        <v>1536</v>
      </c>
      <c r="R1644" t="s">
        <v>512</v>
      </c>
      <c r="S1644" t="s">
        <v>123</v>
      </c>
      <c r="T1644">
        <v>259.51</v>
      </c>
      <c r="U1644">
        <v>251.90199999999999</v>
      </c>
      <c r="V1644">
        <f t="shared" si="50"/>
        <v>255.70599999999999</v>
      </c>
      <c r="W1644">
        <f t="shared" si="51"/>
        <v>7.6080000000000041</v>
      </c>
      <c r="X1644">
        <v>44.416668000000001</v>
      </c>
      <c r="Y1644">
        <v>-24</v>
      </c>
      <c r="Z1644" t="s">
        <v>124</v>
      </c>
      <c r="AA1644" t="s">
        <v>1913</v>
      </c>
      <c r="AB1644" t="s">
        <v>1914</v>
      </c>
      <c r="AD1644" t="s">
        <v>1915</v>
      </c>
      <c r="AE1644" t="s">
        <v>1916</v>
      </c>
      <c r="AH1644" t="s">
        <v>72</v>
      </c>
      <c r="AI1644" t="s">
        <v>2595</v>
      </c>
      <c r="AJ1644">
        <v>1926</v>
      </c>
      <c r="AK1644" t="s">
        <v>1918</v>
      </c>
      <c r="AM1644" t="s">
        <v>1919</v>
      </c>
      <c r="AN1644" t="s">
        <v>192</v>
      </c>
      <c r="AO1644" t="s">
        <v>657</v>
      </c>
      <c r="AP1644" t="s">
        <v>359</v>
      </c>
      <c r="AQ1644" t="s">
        <v>1920</v>
      </c>
      <c r="AR1644" t="s">
        <v>80</v>
      </c>
      <c r="AS1644">
        <v>702</v>
      </c>
      <c r="AT1644" t="s">
        <v>81</v>
      </c>
      <c r="AU1644">
        <v>22.51</v>
      </c>
      <c r="AV1644">
        <v>-42.93</v>
      </c>
      <c r="AW1644" t="s">
        <v>82</v>
      </c>
      <c r="AX1644">
        <v>702</v>
      </c>
      <c r="AY1644" t="s">
        <v>81</v>
      </c>
      <c r="AZ1644">
        <v>24.25</v>
      </c>
      <c r="BA1644">
        <v>-52.74</v>
      </c>
      <c r="BB1644" t="s">
        <v>83</v>
      </c>
    </row>
    <row r="1645" spans="1:54" x14ac:dyDescent="0.4">
      <c r="A1645">
        <v>1285964</v>
      </c>
      <c r="D1645" t="s">
        <v>498</v>
      </c>
      <c r="E1645" t="s">
        <v>55</v>
      </c>
      <c r="G1645">
        <v>1</v>
      </c>
      <c r="H1645" t="s">
        <v>56</v>
      </c>
      <c r="I1645" t="s">
        <v>57</v>
      </c>
      <c r="K1645" t="s">
        <v>2135</v>
      </c>
      <c r="L1645" t="s">
        <v>2606</v>
      </c>
      <c r="M1645" t="s">
        <v>60</v>
      </c>
      <c r="P1645" t="s">
        <v>511</v>
      </c>
      <c r="Q1645" t="s">
        <v>1536</v>
      </c>
      <c r="R1645" t="s">
        <v>512</v>
      </c>
      <c r="S1645" t="s">
        <v>123</v>
      </c>
      <c r="T1645">
        <v>259.51</v>
      </c>
      <c r="U1645">
        <v>251.90199999999999</v>
      </c>
      <c r="V1645">
        <f t="shared" si="50"/>
        <v>255.70599999999999</v>
      </c>
      <c r="W1645">
        <f t="shared" si="51"/>
        <v>7.6080000000000041</v>
      </c>
      <c r="X1645">
        <v>44.416668000000001</v>
      </c>
      <c r="Y1645">
        <v>-24</v>
      </c>
      <c r="Z1645" t="s">
        <v>124</v>
      </c>
      <c r="AA1645" t="s">
        <v>1913</v>
      </c>
      <c r="AB1645" t="s">
        <v>1914</v>
      </c>
      <c r="AD1645" t="s">
        <v>1915</v>
      </c>
      <c r="AE1645" t="s">
        <v>1916</v>
      </c>
      <c r="AH1645" t="s">
        <v>72</v>
      </c>
      <c r="AI1645" t="s">
        <v>2595</v>
      </c>
      <c r="AJ1645">
        <v>1926</v>
      </c>
      <c r="AK1645" t="s">
        <v>1918</v>
      </c>
      <c r="AM1645" t="s">
        <v>1919</v>
      </c>
      <c r="AN1645" t="s">
        <v>192</v>
      </c>
      <c r="AO1645" t="s">
        <v>657</v>
      </c>
      <c r="AP1645" t="s">
        <v>359</v>
      </c>
      <c r="AQ1645" t="s">
        <v>1920</v>
      </c>
      <c r="AR1645" t="s">
        <v>80</v>
      </c>
      <c r="AS1645">
        <v>702</v>
      </c>
      <c r="AT1645" t="s">
        <v>81</v>
      </c>
      <c r="AU1645">
        <v>22.51</v>
      </c>
      <c r="AV1645">
        <v>-42.93</v>
      </c>
      <c r="AW1645" t="s">
        <v>82</v>
      </c>
      <c r="AX1645">
        <v>702</v>
      </c>
      <c r="AY1645" t="s">
        <v>81</v>
      </c>
      <c r="AZ1645">
        <v>24.25</v>
      </c>
      <c r="BA1645">
        <v>-52.74</v>
      </c>
      <c r="BB1645" t="s">
        <v>83</v>
      </c>
    </row>
    <row r="1646" spans="1:54" x14ac:dyDescent="0.4">
      <c r="A1646">
        <v>1285964</v>
      </c>
      <c r="D1646" t="s">
        <v>498</v>
      </c>
      <c r="E1646" t="s">
        <v>55</v>
      </c>
      <c r="G1646">
        <v>1</v>
      </c>
      <c r="H1646" t="s">
        <v>56</v>
      </c>
      <c r="I1646" t="s">
        <v>57</v>
      </c>
      <c r="K1646" t="s">
        <v>2135</v>
      </c>
      <c r="L1646" t="s">
        <v>2606</v>
      </c>
      <c r="M1646" t="s">
        <v>60</v>
      </c>
      <c r="P1646" t="s">
        <v>511</v>
      </c>
      <c r="Q1646" t="s">
        <v>1536</v>
      </c>
      <c r="R1646" t="s">
        <v>512</v>
      </c>
      <c r="S1646" t="s">
        <v>123</v>
      </c>
      <c r="T1646">
        <v>259.51</v>
      </c>
      <c r="U1646">
        <v>251.90199999999999</v>
      </c>
      <c r="V1646">
        <f t="shared" si="50"/>
        <v>255.70599999999999</v>
      </c>
      <c r="W1646">
        <f t="shared" si="51"/>
        <v>7.6080000000000041</v>
      </c>
      <c r="X1646">
        <v>44.416668000000001</v>
      </c>
      <c r="Y1646">
        <v>-24</v>
      </c>
      <c r="Z1646" t="s">
        <v>124</v>
      </c>
      <c r="AA1646" t="s">
        <v>1913</v>
      </c>
      <c r="AB1646" t="s">
        <v>1914</v>
      </c>
      <c r="AD1646" t="s">
        <v>1915</v>
      </c>
      <c r="AE1646" t="s">
        <v>1916</v>
      </c>
      <c r="AH1646" t="s">
        <v>72</v>
      </c>
      <c r="AI1646" t="s">
        <v>2595</v>
      </c>
      <c r="AJ1646">
        <v>1926</v>
      </c>
      <c r="AK1646" t="s">
        <v>1918</v>
      </c>
      <c r="AM1646" t="s">
        <v>1919</v>
      </c>
      <c r="AN1646" t="s">
        <v>192</v>
      </c>
      <c r="AO1646" t="s">
        <v>657</v>
      </c>
      <c r="AP1646" t="s">
        <v>359</v>
      </c>
      <c r="AQ1646" t="s">
        <v>1920</v>
      </c>
      <c r="AR1646" t="s">
        <v>80</v>
      </c>
      <c r="AS1646">
        <v>702</v>
      </c>
      <c r="AT1646" t="s">
        <v>81</v>
      </c>
      <c r="AU1646">
        <v>22.51</v>
      </c>
      <c r="AV1646">
        <v>-42.93</v>
      </c>
      <c r="AW1646" t="s">
        <v>82</v>
      </c>
      <c r="AX1646">
        <v>702</v>
      </c>
      <c r="AY1646" t="s">
        <v>81</v>
      </c>
      <c r="AZ1646">
        <v>24.25</v>
      </c>
      <c r="BA1646">
        <v>-52.74</v>
      </c>
      <c r="BB1646" t="s">
        <v>83</v>
      </c>
    </row>
    <row r="1647" spans="1:54" x14ac:dyDescent="0.4">
      <c r="A1647">
        <v>1285964</v>
      </c>
      <c r="D1647" t="s">
        <v>498</v>
      </c>
      <c r="E1647" t="s">
        <v>55</v>
      </c>
      <c r="G1647">
        <v>1</v>
      </c>
      <c r="H1647" t="s">
        <v>56</v>
      </c>
      <c r="I1647" t="s">
        <v>57</v>
      </c>
      <c r="K1647" t="s">
        <v>2135</v>
      </c>
      <c r="L1647" t="s">
        <v>2606</v>
      </c>
      <c r="M1647" t="s">
        <v>60</v>
      </c>
      <c r="P1647" t="s">
        <v>511</v>
      </c>
      <c r="Q1647" t="s">
        <v>1536</v>
      </c>
      <c r="R1647" t="s">
        <v>512</v>
      </c>
      <c r="S1647" t="s">
        <v>123</v>
      </c>
      <c r="T1647">
        <v>259.51</v>
      </c>
      <c r="U1647">
        <v>251.90199999999999</v>
      </c>
      <c r="V1647">
        <f t="shared" si="50"/>
        <v>255.70599999999999</v>
      </c>
      <c r="W1647">
        <f t="shared" si="51"/>
        <v>7.6080000000000041</v>
      </c>
      <c r="X1647">
        <v>44.416668000000001</v>
      </c>
      <c r="Y1647">
        <v>-24</v>
      </c>
      <c r="Z1647" t="s">
        <v>124</v>
      </c>
      <c r="AA1647" t="s">
        <v>1913</v>
      </c>
      <c r="AB1647" t="s">
        <v>1914</v>
      </c>
      <c r="AD1647" t="s">
        <v>1915</v>
      </c>
      <c r="AE1647" t="s">
        <v>1916</v>
      </c>
      <c r="AH1647" t="s">
        <v>72</v>
      </c>
      <c r="AI1647" t="s">
        <v>2595</v>
      </c>
      <c r="AJ1647">
        <v>1926</v>
      </c>
      <c r="AK1647" t="s">
        <v>1918</v>
      </c>
      <c r="AM1647" t="s">
        <v>1919</v>
      </c>
      <c r="AN1647" t="s">
        <v>192</v>
      </c>
      <c r="AO1647" t="s">
        <v>657</v>
      </c>
      <c r="AP1647" t="s">
        <v>359</v>
      </c>
      <c r="AQ1647" t="s">
        <v>1920</v>
      </c>
      <c r="AR1647" t="s">
        <v>80</v>
      </c>
      <c r="AS1647">
        <v>702</v>
      </c>
      <c r="AT1647" t="s">
        <v>81</v>
      </c>
      <c r="AU1647">
        <v>22.51</v>
      </c>
      <c r="AV1647">
        <v>-42.93</v>
      </c>
      <c r="AW1647" t="s">
        <v>82</v>
      </c>
      <c r="AX1647">
        <v>702</v>
      </c>
      <c r="AY1647" t="s">
        <v>81</v>
      </c>
      <c r="AZ1647">
        <v>24.25</v>
      </c>
      <c r="BA1647">
        <v>-52.74</v>
      </c>
      <c r="BB1647" t="s">
        <v>83</v>
      </c>
    </row>
    <row r="1648" spans="1:54" x14ac:dyDescent="0.4">
      <c r="A1648">
        <v>1285964</v>
      </c>
      <c r="D1648" t="s">
        <v>498</v>
      </c>
      <c r="E1648" t="s">
        <v>55</v>
      </c>
      <c r="G1648">
        <v>1</v>
      </c>
      <c r="H1648" t="s">
        <v>56</v>
      </c>
      <c r="I1648" t="s">
        <v>57</v>
      </c>
      <c r="K1648" t="s">
        <v>2135</v>
      </c>
      <c r="L1648" t="s">
        <v>2606</v>
      </c>
      <c r="M1648" t="s">
        <v>60</v>
      </c>
      <c r="P1648" t="s">
        <v>511</v>
      </c>
      <c r="Q1648" t="s">
        <v>1536</v>
      </c>
      <c r="R1648" t="s">
        <v>512</v>
      </c>
      <c r="S1648" t="s">
        <v>123</v>
      </c>
      <c r="T1648">
        <v>259.51</v>
      </c>
      <c r="U1648">
        <v>251.90199999999999</v>
      </c>
      <c r="V1648">
        <f t="shared" si="50"/>
        <v>255.70599999999999</v>
      </c>
      <c r="W1648">
        <f t="shared" si="51"/>
        <v>7.6080000000000041</v>
      </c>
      <c r="X1648">
        <v>44.416668000000001</v>
      </c>
      <c r="Y1648">
        <v>-24</v>
      </c>
      <c r="Z1648" t="s">
        <v>124</v>
      </c>
      <c r="AA1648" t="s">
        <v>1913</v>
      </c>
      <c r="AB1648" t="s">
        <v>1914</v>
      </c>
      <c r="AD1648" t="s">
        <v>1915</v>
      </c>
      <c r="AE1648" t="s">
        <v>1916</v>
      </c>
      <c r="AH1648" t="s">
        <v>72</v>
      </c>
      <c r="AI1648" t="s">
        <v>2595</v>
      </c>
      <c r="AJ1648">
        <v>1926</v>
      </c>
      <c r="AK1648" t="s">
        <v>1918</v>
      </c>
      <c r="AM1648" t="s">
        <v>1919</v>
      </c>
      <c r="AN1648" t="s">
        <v>192</v>
      </c>
      <c r="AO1648" t="s">
        <v>657</v>
      </c>
      <c r="AP1648" t="s">
        <v>359</v>
      </c>
      <c r="AQ1648" t="s">
        <v>1920</v>
      </c>
      <c r="AR1648" t="s">
        <v>80</v>
      </c>
      <c r="AS1648">
        <v>702</v>
      </c>
      <c r="AT1648" t="s">
        <v>81</v>
      </c>
      <c r="AU1648">
        <v>22.51</v>
      </c>
      <c r="AV1648">
        <v>-42.93</v>
      </c>
      <c r="AW1648" t="s">
        <v>82</v>
      </c>
      <c r="AX1648">
        <v>702</v>
      </c>
      <c r="AY1648" t="s">
        <v>81</v>
      </c>
      <c r="AZ1648">
        <v>24.25</v>
      </c>
      <c r="BA1648">
        <v>-52.74</v>
      </c>
      <c r="BB1648" t="s">
        <v>83</v>
      </c>
    </row>
    <row r="1649" spans="1:54" x14ac:dyDescent="0.4">
      <c r="A1649">
        <v>1285964</v>
      </c>
      <c r="D1649" t="s">
        <v>498</v>
      </c>
      <c r="E1649" t="s">
        <v>55</v>
      </c>
      <c r="G1649">
        <v>1</v>
      </c>
      <c r="H1649" t="s">
        <v>56</v>
      </c>
      <c r="I1649" t="s">
        <v>57</v>
      </c>
      <c r="K1649" t="s">
        <v>2135</v>
      </c>
      <c r="L1649" t="s">
        <v>2606</v>
      </c>
      <c r="M1649" t="s">
        <v>60</v>
      </c>
      <c r="P1649" t="s">
        <v>511</v>
      </c>
      <c r="Q1649" t="s">
        <v>1536</v>
      </c>
      <c r="R1649" t="s">
        <v>512</v>
      </c>
      <c r="S1649" t="s">
        <v>123</v>
      </c>
      <c r="T1649">
        <v>259.51</v>
      </c>
      <c r="U1649">
        <v>251.90199999999999</v>
      </c>
      <c r="V1649">
        <f t="shared" si="50"/>
        <v>255.70599999999999</v>
      </c>
      <c r="W1649">
        <f t="shared" si="51"/>
        <v>7.6080000000000041</v>
      </c>
      <c r="X1649">
        <v>44.416668000000001</v>
      </c>
      <c r="Y1649">
        <v>-24</v>
      </c>
      <c r="Z1649" t="s">
        <v>124</v>
      </c>
      <c r="AA1649" t="s">
        <v>1913</v>
      </c>
      <c r="AB1649" t="s">
        <v>1914</v>
      </c>
      <c r="AD1649" t="s">
        <v>1915</v>
      </c>
      <c r="AE1649" t="s">
        <v>1916</v>
      </c>
      <c r="AH1649" t="s">
        <v>72</v>
      </c>
      <c r="AI1649" t="s">
        <v>2595</v>
      </c>
      <c r="AJ1649">
        <v>1926</v>
      </c>
      <c r="AK1649" t="s">
        <v>1918</v>
      </c>
      <c r="AM1649" t="s">
        <v>1919</v>
      </c>
      <c r="AN1649" t="s">
        <v>192</v>
      </c>
      <c r="AO1649" t="s">
        <v>657</v>
      </c>
      <c r="AP1649" t="s">
        <v>359</v>
      </c>
      <c r="AQ1649" t="s">
        <v>1920</v>
      </c>
      <c r="AR1649" t="s">
        <v>80</v>
      </c>
      <c r="AS1649">
        <v>702</v>
      </c>
      <c r="AT1649" t="s">
        <v>81</v>
      </c>
      <c r="AU1649">
        <v>22.51</v>
      </c>
      <c r="AV1649">
        <v>-42.93</v>
      </c>
      <c r="AW1649" t="s">
        <v>82</v>
      </c>
      <c r="AX1649">
        <v>702</v>
      </c>
      <c r="AY1649" t="s">
        <v>81</v>
      </c>
      <c r="AZ1649">
        <v>24.25</v>
      </c>
      <c r="BA1649">
        <v>-52.74</v>
      </c>
      <c r="BB1649" t="s">
        <v>83</v>
      </c>
    </row>
    <row r="1650" spans="1:54" x14ac:dyDescent="0.4">
      <c r="A1650">
        <v>1285964</v>
      </c>
      <c r="D1650" t="s">
        <v>498</v>
      </c>
      <c r="E1650" t="s">
        <v>55</v>
      </c>
      <c r="G1650">
        <v>1</v>
      </c>
      <c r="H1650" t="s">
        <v>56</v>
      </c>
      <c r="I1650" t="s">
        <v>57</v>
      </c>
      <c r="K1650" t="s">
        <v>2135</v>
      </c>
      <c r="L1650" t="s">
        <v>2606</v>
      </c>
      <c r="M1650" t="s">
        <v>60</v>
      </c>
      <c r="P1650" t="s">
        <v>511</v>
      </c>
      <c r="Q1650" t="s">
        <v>1536</v>
      </c>
      <c r="R1650" t="s">
        <v>512</v>
      </c>
      <c r="S1650" t="s">
        <v>123</v>
      </c>
      <c r="T1650">
        <v>259.51</v>
      </c>
      <c r="U1650">
        <v>251.90199999999999</v>
      </c>
      <c r="V1650">
        <f t="shared" si="50"/>
        <v>255.70599999999999</v>
      </c>
      <c r="W1650">
        <f t="shared" si="51"/>
        <v>7.6080000000000041</v>
      </c>
      <c r="X1650">
        <v>44.416668000000001</v>
      </c>
      <c r="Y1650">
        <v>-24</v>
      </c>
      <c r="Z1650" t="s">
        <v>124</v>
      </c>
      <c r="AA1650" t="s">
        <v>1913</v>
      </c>
      <c r="AB1650" t="s">
        <v>1914</v>
      </c>
      <c r="AD1650" t="s">
        <v>1915</v>
      </c>
      <c r="AE1650" t="s">
        <v>1916</v>
      </c>
      <c r="AH1650" t="s">
        <v>72</v>
      </c>
      <c r="AI1650" t="s">
        <v>2595</v>
      </c>
      <c r="AJ1650">
        <v>1926</v>
      </c>
      <c r="AK1650" t="s">
        <v>1918</v>
      </c>
      <c r="AM1650" t="s">
        <v>1919</v>
      </c>
      <c r="AN1650" t="s">
        <v>192</v>
      </c>
      <c r="AO1650" t="s">
        <v>657</v>
      </c>
      <c r="AP1650" t="s">
        <v>359</v>
      </c>
      <c r="AQ1650" t="s">
        <v>1920</v>
      </c>
      <c r="AR1650" t="s">
        <v>80</v>
      </c>
      <c r="AS1650">
        <v>702</v>
      </c>
      <c r="AT1650" t="s">
        <v>81</v>
      </c>
      <c r="AU1650">
        <v>22.51</v>
      </c>
      <c r="AV1650">
        <v>-42.93</v>
      </c>
      <c r="AW1650" t="s">
        <v>82</v>
      </c>
      <c r="AX1650">
        <v>702</v>
      </c>
      <c r="AY1650" t="s">
        <v>81</v>
      </c>
      <c r="AZ1650">
        <v>24.25</v>
      </c>
      <c r="BA1650">
        <v>-52.74</v>
      </c>
      <c r="BB1650" t="s">
        <v>83</v>
      </c>
    </row>
    <row r="1651" spans="1:54" x14ac:dyDescent="0.4">
      <c r="A1651">
        <v>1285964</v>
      </c>
      <c r="D1651" t="s">
        <v>498</v>
      </c>
      <c r="E1651" t="s">
        <v>55</v>
      </c>
      <c r="G1651">
        <v>1</v>
      </c>
      <c r="H1651" t="s">
        <v>56</v>
      </c>
      <c r="I1651" t="s">
        <v>57</v>
      </c>
      <c r="K1651" t="s">
        <v>2135</v>
      </c>
      <c r="L1651" t="s">
        <v>2606</v>
      </c>
      <c r="M1651" t="s">
        <v>60</v>
      </c>
      <c r="P1651" t="s">
        <v>511</v>
      </c>
      <c r="Q1651" t="s">
        <v>1536</v>
      </c>
      <c r="R1651" t="s">
        <v>512</v>
      </c>
      <c r="S1651" t="s">
        <v>123</v>
      </c>
      <c r="T1651">
        <v>259.51</v>
      </c>
      <c r="U1651">
        <v>251.90199999999999</v>
      </c>
      <c r="V1651">
        <f t="shared" si="50"/>
        <v>255.70599999999999</v>
      </c>
      <c r="W1651">
        <f t="shared" si="51"/>
        <v>7.6080000000000041</v>
      </c>
      <c r="X1651">
        <v>44.416668000000001</v>
      </c>
      <c r="Y1651">
        <v>-24</v>
      </c>
      <c r="Z1651" t="s">
        <v>124</v>
      </c>
      <c r="AA1651" t="s">
        <v>1913</v>
      </c>
      <c r="AB1651" t="s">
        <v>1914</v>
      </c>
      <c r="AD1651" t="s">
        <v>1915</v>
      </c>
      <c r="AE1651" t="s">
        <v>1916</v>
      </c>
      <c r="AH1651" t="s">
        <v>72</v>
      </c>
      <c r="AI1651" t="s">
        <v>2595</v>
      </c>
      <c r="AJ1651">
        <v>1926</v>
      </c>
      <c r="AK1651" t="s">
        <v>1918</v>
      </c>
      <c r="AM1651" t="s">
        <v>1919</v>
      </c>
      <c r="AN1651" t="s">
        <v>192</v>
      </c>
      <c r="AO1651" t="s">
        <v>657</v>
      </c>
      <c r="AP1651" t="s">
        <v>359</v>
      </c>
      <c r="AQ1651" t="s">
        <v>1920</v>
      </c>
      <c r="AR1651" t="s">
        <v>80</v>
      </c>
      <c r="AS1651">
        <v>702</v>
      </c>
      <c r="AT1651" t="s">
        <v>81</v>
      </c>
      <c r="AU1651">
        <v>22.51</v>
      </c>
      <c r="AV1651">
        <v>-42.93</v>
      </c>
      <c r="AW1651" t="s">
        <v>82</v>
      </c>
      <c r="AX1651">
        <v>702</v>
      </c>
      <c r="AY1651" t="s">
        <v>81</v>
      </c>
      <c r="AZ1651">
        <v>24.25</v>
      </c>
      <c r="BA1651">
        <v>-52.74</v>
      </c>
      <c r="BB1651" t="s">
        <v>83</v>
      </c>
    </row>
    <row r="1652" spans="1:54" x14ac:dyDescent="0.4">
      <c r="A1652">
        <v>1285964</v>
      </c>
      <c r="D1652" t="s">
        <v>498</v>
      </c>
      <c r="E1652" t="s">
        <v>55</v>
      </c>
      <c r="G1652">
        <v>1</v>
      </c>
      <c r="H1652" t="s">
        <v>56</v>
      </c>
      <c r="I1652" t="s">
        <v>57</v>
      </c>
      <c r="K1652" t="s">
        <v>2135</v>
      </c>
      <c r="L1652" t="s">
        <v>2606</v>
      </c>
      <c r="M1652" t="s">
        <v>60</v>
      </c>
      <c r="P1652" t="s">
        <v>511</v>
      </c>
      <c r="Q1652" t="s">
        <v>1536</v>
      </c>
      <c r="R1652" t="s">
        <v>512</v>
      </c>
      <c r="S1652" t="s">
        <v>123</v>
      </c>
      <c r="T1652">
        <v>259.51</v>
      </c>
      <c r="U1652">
        <v>251.90199999999999</v>
      </c>
      <c r="V1652">
        <f t="shared" si="50"/>
        <v>255.70599999999999</v>
      </c>
      <c r="W1652">
        <f t="shared" si="51"/>
        <v>7.6080000000000041</v>
      </c>
      <c r="X1652">
        <v>44.416668000000001</v>
      </c>
      <c r="Y1652">
        <v>-24</v>
      </c>
      <c r="Z1652" t="s">
        <v>124</v>
      </c>
      <c r="AA1652" t="s">
        <v>1913</v>
      </c>
      <c r="AB1652" t="s">
        <v>1914</v>
      </c>
      <c r="AD1652" t="s">
        <v>1915</v>
      </c>
      <c r="AE1652" t="s">
        <v>1916</v>
      </c>
      <c r="AH1652" t="s">
        <v>72</v>
      </c>
      <c r="AI1652" t="s">
        <v>2595</v>
      </c>
      <c r="AJ1652">
        <v>1926</v>
      </c>
      <c r="AK1652" t="s">
        <v>1918</v>
      </c>
      <c r="AM1652" t="s">
        <v>1919</v>
      </c>
      <c r="AN1652" t="s">
        <v>192</v>
      </c>
      <c r="AO1652" t="s">
        <v>657</v>
      </c>
      <c r="AP1652" t="s">
        <v>359</v>
      </c>
      <c r="AQ1652" t="s">
        <v>1920</v>
      </c>
      <c r="AR1652" t="s">
        <v>80</v>
      </c>
      <c r="AS1652">
        <v>702</v>
      </c>
      <c r="AT1652" t="s">
        <v>81</v>
      </c>
      <c r="AU1652">
        <v>22.51</v>
      </c>
      <c r="AV1652">
        <v>-42.93</v>
      </c>
      <c r="AW1652" t="s">
        <v>82</v>
      </c>
      <c r="AX1652">
        <v>702</v>
      </c>
      <c r="AY1652" t="s">
        <v>81</v>
      </c>
      <c r="AZ1652">
        <v>24.25</v>
      </c>
      <c r="BA1652">
        <v>-52.74</v>
      </c>
      <c r="BB1652" t="s">
        <v>83</v>
      </c>
    </row>
    <row r="1653" spans="1:54" x14ac:dyDescent="0.4">
      <c r="A1653">
        <v>1285964</v>
      </c>
      <c r="D1653" t="s">
        <v>498</v>
      </c>
      <c r="E1653" t="s">
        <v>55</v>
      </c>
      <c r="G1653">
        <v>1</v>
      </c>
      <c r="H1653" t="s">
        <v>56</v>
      </c>
      <c r="I1653" t="s">
        <v>57</v>
      </c>
      <c r="K1653" t="s">
        <v>2135</v>
      </c>
      <c r="L1653" t="s">
        <v>2606</v>
      </c>
      <c r="M1653" t="s">
        <v>60</v>
      </c>
      <c r="P1653" t="s">
        <v>511</v>
      </c>
      <c r="Q1653" t="s">
        <v>1536</v>
      </c>
      <c r="R1653" t="s">
        <v>512</v>
      </c>
      <c r="S1653" t="s">
        <v>123</v>
      </c>
      <c r="T1653">
        <v>259.51</v>
      </c>
      <c r="U1653">
        <v>251.90199999999999</v>
      </c>
      <c r="V1653">
        <f t="shared" si="50"/>
        <v>255.70599999999999</v>
      </c>
      <c r="W1653">
        <f t="shared" si="51"/>
        <v>7.6080000000000041</v>
      </c>
      <c r="X1653">
        <v>44.416668000000001</v>
      </c>
      <c r="Y1653">
        <v>-24</v>
      </c>
      <c r="Z1653" t="s">
        <v>124</v>
      </c>
      <c r="AA1653" t="s">
        <v>1913</v>
      </c>
      <c r="AB1653" t="s">
        <v>1914</v>
      </c>
      <c r="AD1653" t="s">
        <v>1915</v>
      </c>
      <c r="AE1653" t="s">
        <v>1916</v>
      </c>
      <c r="AH1653" t="s">
        <v>72</v>
      </c>
      <c r="AI1653" t="s">
        <v>2595</v>
      </c>
      <c r="AJ1653">
        <v>1926</v>
      </c>
      <c r="AK1653" t="s">
        <v>1918</v>
      </c>
      <c r="AM1653" t="s">
        <v>1919</v>
      </c>
      <c r="AN1653" t="s">
        <v>192</v>
      </c>
      <c r="AO1653" t="s">
        <v>657</v>
      </c>
      <c r="AP1653" t="s">
        <v>359</v>
      </c>
      <c r="AQ1653" t="s">
        <v>1920</v>
      </c>
      <c r="AR1653" t="s">
        <v>80</v>
      </c>
      <c r="AS1653">
        <v>702</v>
      </c>
      <c r="AT1653" t="s">
        <v>81</v>
      </c>
      <c r="AU1653">
        <v>22.51</v>
      </c>
      <c r="AV1653">
        <v>-42.93</v>
      </c>
      <c r="AW1653" t="s">
        <v>82</v>
      </c>
      <c r="AX1653">
        <v>702</v>
      </c>
      <c r="AY1653" t="s">
        <v>81</v>
      </c>
      <c r="AZ1653">
        <v>24.25</v>
      </c>
      <c r="BA1653">
        <v>-52.74</v>
      </c>
      <c r="BB1653" t="s">
        <v>83</v>
      </c>
    </row>
    <row r="1654" spans="1:54" x14ac:dyDescent="0.4">
      <c r="A1654">
        <v>1285964</v>
      </c>
      <c r="D1654" t="s">
        <v>498</v>
      </c>
      <c r="E1654" t="s">
        <v>55</v>
      </c>
      <c r="G1654">
        <v>1</v>
      </c>
      <c r="H1654" t="s">
        <v>56</v>
      </c>
      <c r="I1654" t="s">
        <v>57</v>
      </c>
      <c r="K1654" t="s">
        <v>2135</v>
      </c>
      <c r="L1654" t="s">
        <v>2606</v>
      </c>
      <c r="M1654" t="s">
        <v>60</v>
      </c>
      <c r="P1654" t="s">
        <v>511</v>
      </c>
      <c r="Q1654" t="s">
        <v>1536</v>
      </c>
      <c r="R1654" t="s">
        <v>512</v>
      </c>
      <c r="S1654" t="s">
        <v>123</v>
      </c>
      <c r="T1654">
        <v>259.51</v>
      </c>
      <c r="U1654">
        <v>251.90199999999999</v>
      </c>
      <c r="V1654">
        <f t="shared" si="50"/>
        <v>255.70599999999999</v>
      </c>
      <c r="W1654">
        <f t="shared" si="51"/>
        <v>7.6080000000000041</v>
      </c>
      <c r="X1654">
        <v>44.416668000000001</v>
      </c>
      <c r="Y1654">
        <v>-24</v>
      </c>
      <c r="Z1654" t="s">
        <v>124</v>
      </c>
      <c r="AA1654" t="s">
        <v>1913</v>
      </c>
      <c r="AB1654" t="s">
        <v>1914</v>
      </c>
      <c r="AD1654" t="s">
        <v>1915</v>
      </c>
      <c r="AE1654" t="s">
        <v>1916</v>
      </c>
      <c r="AH1654" t="s">
        <v>72</v>
      </c>
      <c r="AI1654" t="s">
        <v>2595</v>
      </c>
      <c r="AJ1654">
        <v>1926</v>
      </c>
      <c r="AK1654" t="s">
        <v>1918</v>
      </c>
      <c r="AM1654" t="s">
        <v>1919</v>
      </c>
      <c r="AN1654" t="s">
        <v>192</v>
      </c>
      <c r="AO1654" t="s">
        <v>657</v>
      </c>
      <c r="AP1654" t="s">
        <v>359</v>
      </c>
      <c r="AQ1654" t="s">
        <v>1920</v>
      </c>
      <c r="AR1654" t="s">
        <v>80</v>
      </c>
      <c r="AS1654">
        <v>702</v>
      </c>
      <c r="AT1654" t="s">
        <v>81</v>
      </c>
      <c r="AU1654">
        <v>22.51</v>
      </c>
      <c r="AV1654">
        <v>-42.93</v>
      </c>
      <c r="AW1654" t="s">
        <v>82</v>
      </c>
      <c r="AX1654">
        <v>702</v>
      </c>
      <c r="AY1654" t="s">
        <v>81</v>
      </c>
      <c r="AZ1654">
        <v>24.25</v>
      </c>
      <c r="BA1654">
        <v>-52.74</v>
      </c>
      <c r="BB1654" t="s">
        <v>83</v>
      </c>
    </row>
    <row r="1655" spans="1:54" x14ac:dyDescent="0.4">
      <c r="A1655">
        <v>1285964</v>
      </c>
      <c r="D1655" t="s">
        <v>498</v>
      </c>
      <c r="E1655" t="s">
        <v>55</v>
      </c>
      <c r="G1655">
        <v>1</v>
      </c>
      <c r="H1655" t="s">
        <v>56</v>
      </c>
      <c r="I1655" t="s">
        <v>57</v>
      </c>
      <c r="K1655" t="s">
        <v>2135</v>
      </c>
      <c r="L1655" t="s">
        <v>2606</v>
      </c>
      <c r="M1655" t="s">
        <v>60</v>
      </c>
      <c r="P1655" t="s">
        <v>511</v>
      </c>
      <c r="Q1655" t="s">
        <v>1536</v>
      </c>
      <c r="R1655" t="s">
        <v>512</v>
      </c>
      <c r="S1655" t="s">
        <v>123</v>
      </c>
      <c r="T1655">
        <v>259.51</v>
      </c>
      <c r="U1655">
        <v>251.90199999999999</v>
      </c>
      <c r="V1655">
        <f t="shared" si="50"/>
        <v>255.70599999999999</v>
      </c>
      <c r="W1655">
        <f t="shared" si="51"/>
        <v>7.6080000000000041</v>
      </c>
      <c r="X1655">
        <v>44.416668000000001</v>
      </c>
      <c r="Y1655">
        <v>-24</v>
      </c>
      <c r="Z1655" t="s">
        <v>124</v>
      </c>
      <c r="AA1655" t="s">
        <v>1913</v>
      </c>
      <c r="AB1655" t="s">
        <v>1914</v>
      </c>
      <c r="AD1655" t="s">
        <v>1915</v>
      </c>
      <c r="AE1655" t="s">
        <v>1916</v>
      </c>
      <c r="AH1655" t="s">
        <v>72</v>
      </c>
      <c r="AI1655" t="s">
        <v>2595</v>
      </c>
      <c r="AJ1655">
        <v>1926</v>
      </c>
      <c r="AK1655" t="s">
        <v>1918</v>
      </c>
      <c r="AM1655" t="s">
        <v>1919</v>
      </c>
      <c r="AN1655" t="s">
        <v>192</v>
      </c>
      <c r="AO1655" t="s">
        <v>657</v>
      </c>
      <c r="AP1655" t="s">
        <v>359</v>
      </c>
      <c r="AQ1655" t="s">
        <v>1920</v>
      </c>
      <c r="AR1655" t="s">
        <v>80</v>
      </c>
      <c r="AS1655">
        <v>702</v>
      </c>
      <c r="AT1655" t="s">
        <v>81</v>
      </c>
      <c r="AU1655">
        <v>22.51</v>
      </c>
      <c r="AV1655">
        <v>-42.93</v>
      </c>
      <c r="AW1655" t="s">
        <v>82</v>
      </c>
      <c r="AX1655">
        <v>702</v>
      </c>
      <c r="AY1655" t="s">
        <v>81</v>
      </c>
      <c r="AZ1655">
        <v>24.25</v>
      </c>
      <c r="BA1655">
        <v>-52.74</v>
      </c>
      <c r="BB1655" t="s">
        <v>83</v>
      </c>
    </row>
    <row r="1656" spans="1:54" x14ac:dyDescent="0.4">
      <c r="A1656">
        <v>1285964</v>
      </c>
      <c r="D1656" t="s">
        <v>498</v>
      </c>
      <c r="E1656" t="s">
        <v>55</v>
      </c>
      <c r="G1656">
        <v>1</v>
      </c>
      <c r="H1656" t="s">
        <v>56</v>
      </c>
      <c r="I1656" t="s">
        <v>57</v>
      </c>
      <c r="K1656" t="s">
        <v>2135</v>
      </c>
      <c r="L1656" t="s">
        <v>2606</v>
      </c>
      <c r="M1656" t="s">
        <v>60</v>
      </c>
      <c r="P1656" t="s">
        <v>511</v>
      </c>
      <c r="Q1656" t="s">
        <v>1536</v>
      </c>
      <c r="R1656" t="s">
        <v>512</v>
      </c>
      <c r="S1656" t="s">
        <v>123</v>
      </c>
      <c r="T1656">
        <v>259.51</v>
      </c>
      <c r="U1656">
        <v>251.90199999999999</v>
      </c>
      <c r="V1656">
        <f t="shared" si="50"/>
        <v>255.70599999999999</v>
      </c>
      <c r="W1656">
        <f t="shared" si="51"/>
        <v>7.6080000000000041</v>
      </c>
      <c r="X1656">
        <v>44.416668000000001</v>
      </c>
      <c r="Y1656">
        <v>-24</v>
      </c>
      <c r="Z1656" t="s">
        <v>124</v>
      </c>
      <c r="AA1656" t="s">
        <v>1913</v>
      </c>
      <c r="AB1656" t="s">
        <v>1914</v>
      </c>
      <c r="AD1656" t="s">
        <v>1915</v>
      </c>
      <c r="AE1656" t="s">
        <v>1916</v>
      </c>
      <c r="AH1656" t="s">
        <v>72</v>
      </c>
      <c r="AI1656" t="s">
        <v>2595</v>
      </c>
      <c r="AJ1656">
        <v>1926</v>
      </c>
      <c r="AK1656" t="s">
        <v>1918</v>
      </c>
      <c r="AM1656" t="s">
        <v>1919</v>
      </c>
      <c r="AN1656" t="s">
        <v>192</v>
      </c>
      <c r="AO1656" t="s">
        <v>657</v>
      </c>
      <c r="AP1656" t="s">
        <v>359</v>
      </c>
      <c r="AQ1656" t="s">
        <v>1920</v>
      </c>
      <c r="AR1656" t="s">
        <v>80</v>
      </c>
      <c r="AS1656">
        <v>702</v>
      </c>
      <c r="AT1656" t="s">
        <v>81</v>
      </c>
      <c r="AU1656">
        <v>22.51</v>
      </c>
      <c r="AV1656">
        <v>-42.93</v>
      </c>
      <c r="AW1656" t="s">
        <v>82</v>
      </c>
      <c r="AX1656">
        <v>702</v>
      </c>
      <c r="AY1656" t="s">
        <v>81</v>
      </c>
      <c r="AZ1656">
        <v>24.25</v>
      </c>
      <c r="BA1656">
        <v>-52.74</v>
      </c>
      <c r="BB1656" t="s">
        <v>83</v>
      </c>
    </row>
    <row r="1657" spans="1:54" x14ac:dyDescent="0.4">
      <c r="A1657">
        <v>1285964</v>
      </c>
      <c r="D1657" t="s">
        <v>498</v>
      </c>
      <c r="E1657" t="s">
        <v>55</v>
      </c>
      <c r="G1657">
        <v>1</v>
      </c>
      <c r="H1657" t="s">
        <v>56</v>
      </c>
      <c r="I1657" t="s">
        <v>57</v>
      </c>
      <c r="K1657" t="s">
        <v>2135</v>
      </c>
      <c r="L1657" t="s">
        <v>2606</v>
      </c>
      <c r="M1657" t="s">
        <v>60</v>
      </c>
      <c r="P1657" t="s">
        <v>511</v>
      </c>
      <c r="Q1657" t="s">
        <v>1536</v>
      </c>
      <c r="R1657" t="s">
        <v>512</v>
      </c>
      <c r="S1657" t="s">
        <v>123</v>
      </c>
      <c r="T1657">
        <v>259.51</v>
      </c>
      <c r="U1657">
        <v>251.90199999999999</v>
      </c>
      <c r="V1657">
        <f t="shared" si="50"/>
        <v>255.70599999999999</v>
      </c>
      <c r="W1657">
        <f t="shared" si="51"/>
        <v>7.6080000000000041</v>
      </c>
      <c r="X1657">
        <v>44.416668000000001</v>
      </c>
      <c r="Y1657">
        <v>-24</v>
      </c>
      <c r="Z1657" t="s">
        <v>124</v>
      </c>
      <c r="AA1657" t="s">
        <v>1913</v>
      </c>
      <c r="AB1657" t="s">
        <v>1914</v>
      </c>
      <c r="AD1657" t="s">
        <v>1915</v>
      </c>
      <c r="AE1657" t="s">
        <v>1916</v>
      </c>
      <c r="AH1657" t="s">
        <v>72</v>
      </c>
      <c r="AI1657" t="s">
        <v>2595</v>
      </c>
      <c r="AJ1657">
        <v>1926</v>
      </c>
      <c r="AK1657" t="s">
        <v>1918</v>
      </c>
      <c r="AM1657" t="s">
        <v>1919</v>
      </c>
      <c r="AN1657" t="s">
        <v>192</v>
      </c>
      <c r="AO1657" t="s">
        <v>657</v>
      </c>
      <c r="AP1657" t="s">
        <v>359</v>
      </c>
      <c r="AQ1657" t="s">
        <v>1920</v>
      </c>
      <c r="AR1657" t="s">
        <v>80</v>
      </c>
      <c r="AS1657">
        <v>702</v>
      </c>
      <c r="AT1657" t="s">
        <v>81</v>
      </c>
      <c r="AU1657">
        <v>22.51</v>
      </c>
      <c r="AV1657">
        <v>-42.93</v>
      </c>
      <c r="AW1657" t="s">
        <v>82</v>
      </c>
      <c r="AX1657">
        <v>702</v>
      </c>
      <c r="AY1657" t="s">
        <v>81</v>
      </c>
      <c r="AZ1657">
        <v>24.25</v>
      </c>
      <c r="BA1657">
        <v>-52.74</v>
      </c>
      <c r="BB1657" t="s">
        <v>83</v>
      </c>
    </row>
    <row r="1658" spans="1:54" x14ac:dyDescent="0.4">
      <c r="A1658">
        <v>1285964</v>
      </c>
      <c r="D1658" t="s">
        <v>498</v>
      </c>
      <c r="E1658" t="s">
        <v>55</v>
      </c>
      <c r="G1658">
        <v>1</v>
      </c>
      <c r="H1658" t="s">
        <v>56</v>
      </c>
      <c r="I1658" t="s">
        <v>57</v>
      </c>
      <c r="K1658" t="s">
        <v>2135</v>
      </c>
      <c r="L1658" t="s">
        <v>2606</v>
      </c>
      <c r="M1658" t="s">
        <v>60</v>
      </c>
      <c r="P1658" t="s">
        <v>511</v>
      </c>
      <c r="Q1658" t="s">
        <v>1536</v>
      </c>
      <c r="R1658" t="s">
        <v>512</v>
      </c>
      <c r="S1658" t="s">
        <v>123</v>
      </c>
      <c r="T1658">
        <v>259.51</v>
      </c>
      <c r="U1658">
        <v>251.90199999999999</v>
      </c>
      <c r="V1658">
        <f t="shared" si="50"/>
        <v>255.70599999999999</v>
      </c>
      <c r="W1658">
        <f t="shared" si="51"/>
        <v>7.6080000000000041</v>
      </c>
      <c r="X1658">
        <v>44.416668000000001</v>
      </c>
      <c r="Y1658">
        <v>-24</v>
      </c>
      <c r="Z1658" t="s">
        <v>124</v>
      </c>
      <c r="AA1658" t="s">
        <v>1913</v>
      </c>
      <c r="AB1658" t="s">
        <v>1914</v>
      </c>
      <c r="AD1658" t="s">
        <v>1915</v>
      </c>
      <c r="AE1658" t="s">
        <v>1916</v>
      </c>
      <c r="AH1658" t="s">
        <v>72</v>
      </c>
      <c r="AI1658" t="s">
        <v>2595</v>
      </c>
      <c r="AJ1658">
        <v>1926</v>
      </c>
      <c r="AK1658" t="s">
        <v>1918</v>
      </c>
      <c r="AM1658" t="s">
        <v>1919</v>
      </c>
      <c r="AN1658" t="s">
        <v>192</v>
      </c>
      <c r="AO1658" t="s">
        <v>657</v>
      </c>
      <c r="AP1658" t="s">
        <v>359</v>
      </c>
      <c r="AQ1658" t="s">
        <v>1920</v>
      </c>
      <c r="AR1658" t="s">
        <v>80</v>
      </c>
      <c r="AS1658">
        <v>702</v>
      </c>
      <c r="AT1658" t="s">
        <v>81</v>
      </c>
      <c r="AU1658">
        <v>22.51</v>
      </c>
      <c r="AV1658">
        <v>-42.93</v>
      </c>
      <c r="AW1658" t="s">
        <v>82</v>
      </c>
      <c r="AX1658">
        <v>702</v>
      </c>
      <c r="AY1658" t="s">
        <v>81</v>
      </c>
      <c r="AZ1658">
        <v>24.25</v>
      </c>
      <c r="BA1658">
        <v>-52.74</v>
      </c>
      <c r="BB1658" t="s">
        <v>83</v>
      </c>
    </row>
    <row r="1659" spans="1:54" x14ac:dyDescent="0.4">
      <c r="A1659">
        <v>1285964</v>
      </c>
      <c r="D1659" t="s">
        <v>498</v>
      </c>
      <c r="E1659" t="s">
        <v>55</v>
      </c>
      <c r="G1659">
        <v>1</v>
      </c>
      <c r="H1659" t="s">
        <v>56</v>
      </c>
      <c r="I1659" t="s">
        <v>57</v>
      </c>
      <c r="K1659" t="s">
        <v>2135</v>
      </c>
      <c r="L1659" t="s">
        <v>2606</v>
      </c>
      <c r="M1659" t="s">
        <v>60</v>
      </c>
      <c r="P1659" t="s">
        <v>511</v>
      </c>
      <c r="Q1659" t="s">
        <v>1536</v>
      </c>
      <c r="R1659" t="s">
        <v>512</v>
      </c>
      <c r="S1659" t="s">
        <v>123</v>
      </c>
      <c r="T1659">
        <v>259.51</v>
      </c>
      <c r="U1659">
        <v>251.90199999999999</v>
      </c>
      <c r="V1659">
        <f t="shared" si="50"/>
        <v>255.70599999999999</v>
      </c>
      <c r="W1659">
        <f t="shared" si="51"/>
        <v>7.6080000000000041</v>
      </c>
      <c r="X1659">
        <v>44.416668000000001</v>
      </c>
      <c r="Y1659">
        <v>-24</v>
      </c>
      <c r="Z1659" t="s">
        <v>124</v>
      </c>
      <c r="AA1659" t="s">
        <v>1913</v>
      </c>
      <c r="AB1659" t="s">
        <v>1914</v>
      </c>
      <c r="AD1659" t="s">
        <v>1915</v>
      </c>
      <c r="AE1659" t="s">
        <v>1916</v>
      </c>
      <c r="AH1659" t="s">
        <v>72</v>
      </c>
      <c r="AI1659" t="s">
        <v>2595</v>
      </c>
      <c r="AJ1659">
        <v>1926</v>
      </c>
      <c r="AK1659" t="s">
        <v>1918</v>
      </c>
      <c r="AM1659" t="s">
        <v>1919</v>
      </c>
      <c r="AN1659" t="s">
        <v>192</v>
      </c>
      <c r="AO1659" t="s">
        <v>657</v>
      </c>
      <c r="AP1659" t="s">
        <v>359</v>
      </c>
      <c r="AQ1659" t="s">
        <v>1920</v>
      </c>
      <c r="AR1659" t="s">
        <v>80</v>
      </c>
      <c r="AS1659">
        <v>702</v>
      </c>
      <c r="AT1659" t="s">
        <v>81</v>
      </c>
      <c r="AU1659">
        <v>22.51</v>
      </c>
      <c r="AV1659">
        <v>-42.93</v>
      </c>
      <c r="AW1659" t="s">
        <v>82</v>
      </c>
      <c r="AX1659">
        <v>702</v>
      </c>
      <c r="AY1659" t="s">
        <v>81</v>
      </c>
      <c r="AZ1659">
        <v>24.25</v>
      </c>
      <c r="BA1659">
        <v>-52.74</v>
      </c>
      <c r="BB1659" t="s">
        <v>83</v>
      </c>
    </row>
    <row r="1660" spans="1:54" x14ac:dyDescent="0.4">
      <c r="A1660">
        <v>1285964</v>
      </c>
      <c r="D1660" t="s">
        <v>498</v>
      </c>
      <c r="E1660" t="s">
        <v>55</v>
      </c>
      <c r="G1660">
        <v>1</v>
      </c>
      <c r="H1660" t="s">
        <v>56</v>
      </c>
      <c r="I1660" t="s">
        <v>57</v>
      </c>
      <c r="K1660" t="s">
        <v>2135</v>
      </c>
      <c r="L1660" t="s">
        <v>2606</v>
      </c>
      <c r="M1660" t="s">
        <v>60</v>
      </c>
      <c r="P1660" t="s">
        <v>511</v>
      </c>
      <c r="Q1660" t="s">
        <v>1536</v>
      </c>
      <c r="R1660" t="s">
        <v>512</v>
      </c>
      <c r="S1660" t="s">
        <v>123</v>
      </c>
      <c r="T1660">
        <v>259.51</v>
      </c>
      <c r="U1660">
        <v>251.90199999999999</v>
      </c>
      <c r="V1660">
        <f t="shared" si="50"/>
        <v>255.70599999999999</v>
      </c>
      <c r="W1660">
        <f t="shared" si="51"/>
        <v>7.6080000000000041</v>
      </c>
      <c r="X1660">
        <v>44.416668000000001</v>
      </c>
      <c r="Y1660">
        <v>-24</v>
      </c>
      <c r="Z1660" t="s">
        <v>124</v>
      </c>
      <c r="AA1660" t="s">
        <v>1913</v>
      </c>
      <c r="AB1660" t="s">
        <v>1914</v>
      </c>
      <c r="AD1660" t="s">
        <v>1915</v>
      </c>
      <c r="AE1660" t="s">
        <v>1916</v>
      </c>
      <c r="AH1660" t="s">
        <v>72</v>
      </c>
      <c r="AI1660" t="s">
        <v>2595</v>
      </c>
      <c r="AJ1660">
        <v>1926</v>
      </c>
      <c r="AK1660" t="s">
        <v>1918</v>
      </c>
      <c r="AM1660" t="s">
        <v>1919</v>
      </c>
      <c r="AN1660" t="s">
        <v>192</v>
      </c>
      <c r="AO1660" t="s">
        <v>657</v>
      </c>
      <c r="AP1660" t="s">
        <v>359</v>
      </c>
      <c r="AQ1660" t="s">
        <v>1920</v>
      </c>
      <c r="AR1660" t="s">
        <v>80</v>
      </c>
      <c r="AS1660">
        <v>702</v>
      </c>
      <c r="AT1660" t="s">
        <v>81</v>
      </c>
      <c r="AU1660">
        <v>22.51</v>
      </c>
      <c r="AV1660">
        <v>-42.93</v>
      </c>
      <c r="AW1660" t="s">
        <v>82</v>
      </c>
      <c r="AX1660">
        <v>702</v>
      </c>
      <c r="AY1660" t="s">
        <v>81</v>
      </c>
      <c r="AZ1660">
        <v>24.25</v>
      </c>
      <c r="BA1660">
        <v>-52.74</v>
      </c>
      <c r="BB1660" t="s">
        <v>83</v>
      </c>
    </row>
    <row r="1661" spans="1:54" x14ac:dyDescent="0.4">
      <c r="A1661">
        <v>1285964</v>
      </c>
      <c r="D1661" t="s">
        <v>498</v>
      </c>
      <c r="E1661" t="s">
        <v>55</v>
      </c>
      <c r="G1661">
        <v>1</v>
      </c>
      <c r="H1661" t="s">
        <v>56</v>
      </c>
      <c r="I1661" t="s">
        <v>57</v>
      </c>
      <c r="K1661" t="s">
        <v>2135</v>
      </c>
      <c r="L1661" t="s">
        <v>2606</v>
      </c>
      <c r="M1661" t="s">
        <v>60</v>
      </c>
      <c r="P1661" t="s">
        <v>511</v>
      </c>
      <c r="Q1661" t="s">
        <v>1536</v>
      </c>
      <c r="R1661" t="s">
        <v>512</v>
      </c>
      <c r="S1661" t="s">
        <v>123</v>
      </c>
      <c r="T1661">
        <v>259.51</v>
      </c>
      <c r="U1661">
        <v>251.90199999999999</v>
      </c>
      <c r="V1661">
        <f t="shared" si="50"/>
        <v>255.70599999999999</v>
      </c>
      <c r="W1661">
        <f t="shared" si="51"/>
        <v>7.6080000000000041</v>
      </c>
      <c r="X1661">
        <v>44.416668000000001</v>
      </c>
      <c r="Y1661">
        <v>-24</v>
      </c>
      <c r="Z1661" t="s">
        <v>124</v>
      </c>
      <c r="AA1661" t="s">
        <v>1913</v>
      </c>
      <c r="AB1661" t="s">
        <v>1914</v>
      </c>
      <c r="AD1661" t="s">
        <v>1915</v>
      </c>
      <c r="AE1661" t="s">
        <v>1916</v>
      </c>
      <c r="AH1661" t="s">
        <v>72</v>
      </c>
      <c r="AI1661" t="s">
        <v>2595</v>
      </c>
      <c r="AJ1661">
        <v>1926</v>
      </c>
      <c r="AK1661" t="s">
        <v>1918</v>
      </c>
      <c r="AM1661" t="s">
        <v>1919</v>
      </c>
      <c r="AN1661" t="s">
        <v>192</v>
      </c>
      <c r="AO1661" t="s">
        <v>657</v>
      </c>
      <c r="AP1661" t="s">
        <v>359</v>
      </c>
      <c r="AQ1661" t="s">
        <v>1920</v>
      </c>
      <c r="AR1661" t="s">
        <v>80</v>
      </c>
      <c r="AS1661">
        <v>702</v>
      </c>
      <c r="AT1661" t="s">
        <v>81</v>
      </c>
      <c r="AU1661">
        <v>22.51</v>
      </c>
      <c r="AV1661">
        <v>-42.93</v>
      </c>
      <c r="AW1661" t="s">
        <v>82</v>
      </c>
      <c r="AX1661">
        <v>702</v>
      </c>
      <c r="AY1661" t="s">
        <v>81</v>
      </c>
      <c r="AZ1661">
        <v>24.25</v>
      </c>
      <c r="BA1661">
        <v>-52.74</v>
      </c>
      <c r="BB1661" t="s">
        <v>83</v>
      </c>
    </row>
    <row r="1662" spans="1:54" x14ac:dyDescent="0.4">
      <c r="A1662">
        <v>1285964</v>
      </c>
      <c r="D1662" t="s">
        <v>498</v>
      </c>
      <c r="E1662" t="s">
        <v>55</v>
      </c>
      <c r="G1662">
        <v>1</v>
      </c>
      <c r="H1662" t="s">
        <v>56</v>
      </c>
      <c r="I1662" t="s">
        <v>57</v>
      </c>
      <c r="K1662" t="s">
        <v>2135</v>
      </c>
      <c r="L1662" t="s">
        <v>2606</v>
      </c>
      <c r="M1662" t="s">
        <v>60</v>
      </c>
      <c r="P1662" t="s">
        <v>511</v>
      </c>
      <c r="Q1662" t="s">
        <v>1536</v>
      </c>
      <c r="R1662" t="s">
        <v>512</v>
      </c>
      <c r="S1662" t="s">
        <v>123</v>
      </c>
      <c r="T1662">
        <v>259.51</v>
      </c>
      <c r="U1662">
        <v>251.90199999999999</v>
      </c>
      <c r="V1662">
        <f t="shared" si="50"/>
        <v>255.70599999999999</v>
      </c>
      <c r="W1662">
        <f t="shared" si="51"/>
        <v>7.6080000000000041</v>
      </c>
      <c r="X1662">
        <v>44.416668000000001</v>
      </c>
      <c r="Y1662">
        <v>-24</v>
      </c>
      <c r="Z1662" t="s">
        <v>124</v>
      </c>
      <c r="AA1662" t="s">
        <v>1913</v>
      </c>
      <c r="AB1662" t="s">
        <v>1914</v>
      </c>
      <c r="AD1662" t="s">
        <v>1915</v>
      </c>
      <c r="AE1662" t="s">
        <v>1916</v>
      </c>
      <c r="AH1662" t="s">
        <v>72</v>
      </c>
      <c r="AI1662" t="s">
        <v>2595</v>
      </c>
      <c r="AJ1662">
        <v>1926</v>
      </c>
      <c r="AK1662" t="s">
        <v>1918</v>
      </c>
      <c r="AM1662" t="s">
        <v>1919</v>
      </c>
      <c r="AN1662" t="s">
        <v>192</v>
      </c>
      <c r="AO1662" t="s">
        <v>657</v>
      </c>
      <c r="AP1662" t="s">
        <v>359</v>
      </c>
      <c r="AQ1662" t="s">
        <v>1920</v>
      </c>
      <c r="AR1662" t="s">
        <v>80</v>
      </c>
      <c r="AS1662">
        <v>702</v>
      </c>
      <c r="AT1662" t="s">
        <v>81</v>
      </c>
      <c r="AU1662">
        <v>22.51</v>
      </c>
      <c r="AV1662">
        <v>-42.93</v>
      </c>
      <c r="AW1662" t="s">
        <v>82</v>
      </c>
      <c r="AX1662">
        <v>702</v>
      </c>
      <c r="AY1662" t="s">
        <v>81</v>
      </c>
      <c r="AZ1662">
        <v>24.25</v>
      </c>
      <c r="BA1662">
        <v>-52.74</v>
      </c>
      <c r="BB1662" t="s">
        <v>83</v>
      </c>
    </row>
    <row r="1663" spans="1:54" x14ac:dyDescent="0.4">
      <c r="A1663">
        <v>1285964</v>
      </c>
      <c r="D1663" t="s">
        <v>498</v>
      </c>
      <c r="E1663" t="s">
        <v>55</v>
      </c>
      <c r="G1663">
        <v>1</v>
      </c>
      <c r="H1663" t="s">
        <v>56</v>
      </c>
      <c r="I1663" t="s">
        <v>57</v>
      </c>
      <c r="K1663" t="s">
        <v>2135</v>
      </c>
      <c r="L1663" t="s">
        <v>2606</v>
      </c>
      <c r="M1663" t="s">
        <v>60</v>
      </c>
      <c r="P1663" t="s">
        <v>511</v>
      </c>
      <c r="Q1663" t="s">
        <v>1536</v>
      </c>
      <c r="R1663" t="s">
        <v>512</v>
      </c>
      <c r="S1663" t="s">
        <v>123</v>
      </c>
      <c r="T1663">
        <v>259.51</v>
      </c>
      <c r="U1663">
        <v>251.90199999999999</v>
      </c>
      <c r="V1663">
        <f t="shared" si="50"/>
        <v>255.70599999999999</v>
      </c>
      <c r="W1663">
        <f t="shared" si="51"/>
        <v>7.6080000000000041</v>
      </c>
      <c r="X1663">
        <v>44.416668000000001</v>
      </c>
      <c r="Y1663">
        <v>-24</v>
      </c>
      <c r="Z1663" t="s">
        <v>124</v>
      </c>
      <c r="AA1663" t="s">
        <v>1913</v>
      </c>
      <c r="AB1663" t="s">
        <v>1914</v>
      </c>
      <c r="AD1663" t="s">
        <v>1915</v>
      </c>
      <c r="AE1663" t="s">
        <v>1916</v>
      </c>
      <c r="AH1663" t="s">
        <v>72</v>
      </c>
      <c r="AI1663" t="s">
        <v>2595</v>
      </c>
      <c r="AJ1663">
        <v>1926</v>
      </c>
      <c r="AK1663" t="s">
        <v>1918</v>
      </c>
      <c r="AM1663" t="s">
        <v>1919</v>
      </c>
      <c r="AN1663" t="s">
        <v>192</v>
      </c>
      <c r="AO1663" t="s">
        <v>657</v>
      </c>
      <c r="AP1663" t="s">
        <v>359</v>
      </c>
      <c r="AQ1663" t="s">
        <v>1920</v>
      </c>
      <c r="AR1663" t="s">
        <v>80</v>
      </c>
      <c r="AS1663">
        <v>702</v>
      </c>
      <c r="AT1663" t="s">
        <v>81</v>
      </c>
      <c r="AU1663">
        <v>22.51</v>
      </c>
      <c r="AV1663">
        <v>-42.93</v>
      </c>
      <c r="AW1663" t="s">
        <v>82</v>
      </c>
      <c r="AX1663">
        <v>702</v>
      </c>
      <c r="AY1663" t="s">
        <v>81</v>
      </c>
      <c r="AZ1663">
        <v>24.25</v>
      </c>
      <c r="BA1663">
        <v>-52.74</v>
      </c>
      <c r="BB1663" t="s">
        <v>83</v>
      </c>
    </row>
    <row r="1664" spans="1:54" x14ac:dyDescent="0.4">
      <c r="A1664">
        <v>1285964</v>
      </c>
      <c r="D1664" t="s">
        <v>498</v>
      </c>
      <c r="E1664" t="s">
        <v>55</v>
      </c>
      <c r="G1664">
        <v>1</v>
      </c>
      <c r="H1664" t="s">
        <v>56</v>
      </c>
      <c r="I1664" t="s">
        <v>57</v>
      </c>
      <c r="K1664" t="s">
        <v>2135</v>
      </c>
      <c r="L1664" t="s">
        <v>2606</v>
      </c>
      <c r="M1664" t="s">
        <v>60</v>
      </c>
      <c r="P1664" t="s">
        <v>511</v>
      </c>
      <c r="Q1664" t="s">
        <v>1536</v>
      </c>
      <c r="R1664" t="s">
        <v>512</v>
      </c>
      <c r="S1664" t="s">
        <v>123</v>
      </c>
      <c r="T1664">
        <v>259.51</v>
      </c>
      <c r="U1664">
        <v>251.90199999999999</v>
      </c>
      <c r="V1664">
        <f t="shared" si="50"/>
        <v>255.70599999999999</v>
      </c>
      <c r="W1664">
        <f t="shared" si="51"/>
        <v>7.6080000000000041</v>
      </c>
      <c r="X1664">
        <v>44.416668000000001</v>
      </c>
      <c r="Y1664">
        <v>-24</v>
      </c>
      <c r="Z1664" t="s">
        <v>124</v>
      </c>
      <c r="AA1664" t="s">
        <v>1913</v>
      </c>
      <c r="AB1664" t="s">
        <v>1914</v>
      </c>
      <c r="AD1664" t="s">
        <v>1915</v>
      </c>
      <c r="AE1664" t="s">
        <v>1916</v>
      </c>
      <c r="AH1664" t="s">
        <v>72</v>
      </c>
      <c r="AI1664" t="s">
        <v>2595</v>
      </c>
      <c r="AJ1664">
        <v>1926</v>
      </c>
      <c r="AK1664" t="s">
        <v>1918</v>
      </c>
      <c r="AM1664" t="s">
        <v>1919</v>
      </c>
      <c r="AN1664" t="s">
        <v>192</v>
      </c>
      <c r="AO1664" t="s">
        <v>657</v>
      </c>
      <c r="AP1664" t="s">
        <v>359</v>
      </c>
      <c r="AQ1664" t="s">
        <v>1920</v>
      </c>
      <c r="AR1664" t="s">
        <v>80</v>
      </c>
      <c r="AS1664">
        <v>702</v>
      </c>
      <c r="AT1664" t="s">
        <v>81</v>
      </c>
      <c r="AU1664">
        <v>22.51</v>
      </c>
      <c r="AV1664">
        <v>-42.93</v>
      </c>
      <c r="AW1664" t="s">
        <v>82</v>
      </c>
      <c r="AX1664">
        <v>702</v>
      </c>
      <c r="AY1664" t="s">
        <v>81</v>
      </c>
      <c r="AZ1664">
        <v>24.25</v>
      </c>
      <c r="BA1664">
        <v>-52.74</v>
      </c>
      <c r="BB1664" t="s">
        <v>83</v>
      </c>
    </row>
    <row r="1665" spans="1:54" x14ac:dyDescent="0.4">
      <c r="A1665">
        <v>1285964</v>
      </c>
      <c r="D1665" t="s">
        <v>498</v>
      </c>
      <c r="E1665" t="s">
        <v>55</v>
      </c>
      <c r="G1665">
        <v>1</v>
      </c>
      <c r="H1665" t="s">
        <v>56</v>
      </c>
      <c r="I1665" t="s">
        <v>57</v>
      </c>
      <c r="K1665" t="s">
        <v>2135</v>
      </c>
      <c r="L1665" t="s">
        <v>2606</v>
      </c>
      <c r="M1665" t="s">
        <v>60</v>
      </c>
      <c r="P1665" t="s">
        <v>511</v>
      </c>
      <c r="Q1665" t="s">
        <v>1536</v>
      </c>
      <c r="R1665" t="s">
        <v>512</v>
      </c>
      <c r="S1665" t="s">
        <v>123</v>
      </c>
      <c r="T1665">
        <v>259.51</v>
      </c>
      <c r="U1665">
        <v>251.90199999999999</v>
      </c>
      <c r="V1665">
        <f t="shared" si="50"/>
        <v>255.70599999999999</v>
      </c>
      <c r="W1665">
        <f t="shared" si="51"/>
        <v>7.6080000000000041</v>
      </c>
      <c r="X1665">
        <v>44.416668000000001</v>
      </c>
      <c r="Y1665">
        <v>-24</v>
      </c>
      <c r="Z1665" t="s">
        <v>124</v>
      </c>
      <c r="AA1665" t="s">
        <v>1913</v>
      </c>
      <c r="AB1665" t="s">
        <v>1914</v>
      </c>
      <c r="AD1665" t="s">
        <v>1915</v>
      </c>
      <c r="AE1665" t="s">
        <v>1916</v>
      </c>
      <c r="AH1665" t="s">
        <v>72</v>
      </c>
      <c r="AI1665" t="s">
        <v>2595</v>
      </c>
      <c r="AJ1665">
        <v>1926</v>
      </c>
      <c r="AK1665" t="s">
        <v>1918</v>
      </c>
      <c r="AM1665" t="s">
        <v>1919</v>
      </c>
      <c r="AN1665" t="s">
        <v>192</v>
      </c>
      <c r="AO1665" t="s">
        <v>657</v>
      </c>
      <c r="AP1665" t="s">
        <v>359</v>
      </c>
      <c r="AQ1665" t="s">
        <v>1920</v>
      </c>
      <c r="AR1665" t="s">
        <v>80</v>
      </c>
      <c r="AS1665">
        <v>702</v>
      </c>
      <c r="AT1665" t="s">
        <v>81</v>
      </c>
      <c r="AU1665">
        <v>22.51</v>
      </c>
      <c r="AV1665">
        <v>-42.93</v>
      </c>
      <c r="AW1665" t="s">
        <v>82</v>
      </c>
      <c r="AX1665">
        <v>702</v>
      </c>
      <c r="AY1665" t="s">
        <v>81</v>
      </c>
      <c r="AZ1665">
        <v>24.25</v>
      </c>
      <c r="BA1665">
        <v>-52.74</v>
      </c>
      <c r="BB1665" t="s">
        <v>83</v>
      </c>
    </row>
    <row r="1666" spans="1:54" x14ac:dyDescent="0.4">
      <c r="A1666">
        <v>1285964</v>
      </c>
      <c r="D1666" t="s">
        <v>498</v>
      </c>
      <c r="E1666" t="s">
        <v>55</v>
      </c>
      <c r="G1666">
        <v>1</v>
      </c>
      <c r="H1666" t="s">
        <v>56</v>
      </c>
      <c r="I1666" t="s">
        <v>57</v>
      </c>
      <c r="K1666" t="s">
        <v>2135</v>
      </c>
      <c r="L1666" t="s">
        <v>2606</v>
      </c>
      <c r="M1666" t="s">
        <v>60</v>
      </c>
      <c r="P1666" t="s">
        <v>511</v>
      </c>
      <c r="Q1666" t="s">
        <v>1536</v>
      </c>
      <c r="R1666" t="s">
        <v>512</v>
      </c>
      <c r="S1666" t="s">
        <v>123</v>
      </c>
      <c r="T1666">
        <v>259.51</v>
      </c>
      <c r="U1666">
        <v>251.90199999999999</v>
      </c>
      <c r="V1666">
        <f t="shared" si="50"/>
        <v>255.70599999999999</v>
      </c>
      <c r="W1666">
        <f t="shared" si="51"/>
        <v>7.6080000000000041</v>
      </c>
      <c r="X1666">
        <v>44.416668000000001</v>
      </c>
      <c r="Y1666">
        <v>-24</v>
      </c>
      <c r="Z1666" t="s">
        <v>124</v>
      </c>
      <c r="AA1666" t="s">
        <v>1913</v>
      </c>
      <c r="AB1666" t="s">
        <v>1914</v>
      </c>
      <c r="AD1666" t="s">
        <v>1915</v>
      </c>
      <c r="AE1666" t="s">
        <v>1916</v>
      </c>
      <c r="AH1666" t="s">
        <v>72</v>
      </c>
      <c r="AI1666" t="s">
        <v>2595</v>
      </c>
      <c r="AJ1666">
        <v>1926</v>
      </c>
      <c r="AK1666" t="s">
        <v>1918</v>
      </c>
      <c r="AM1666" t="s">
        <v>1919</v>
      </c>
      <c r="AN1666" t="s">
        <v>192</v>
      </c>
      <c r="AO1666" t="s">
        <v>657</v>
      </c>
      <c r="AP1666" t="s">
        <v>359</v>
      </c>
      <c r="AQ1666" t="s">
        <v>1920</v>
      </c>
      <c r="AR1666" t="s">
        <v>80</v>
      </c>
      <c r="AS1666">
        <v>702</v>
      </c>
      <c r="AT1666" t="s">
        <v>81</v>
      </c>
      <c r="AU1666">
        <v>22.51</v>
      </c>
      <c r="AV1666">
        <v>-42.93</v>
      </c>
      <c r="AW1666" t="s">
        <v>82</v>
      </c>
      <c r="AX1666">
        <v>702</v>
      </c>
      <c r="AY1666" t="s">
        <v>81</v>
      </c>
      <c r="AZ1666">
        <v>24.25</v>
      </c>
      <c r="BA1666">
        <v>-52.74</v>
      </c>
      <c r="BB1666" t="s">
        <v>83</v>
      </c>
    </row>
    <row r="1667" spans="1:54" x14ac:dyDescent="0.4">
      <c r="A1667">
        <v>1285964</v>
      </c>
      <c r="D1667" t="s">
        <v>498</v>
      </c>
      <c r="E1667" t="s">
        <v>55</v>
      </c>
      <c r="G1667">
        <v>1</v>
      </c>
      <c r="H1667" t="s">
        <v>56</v>
      </c>
      <c r="I1667" t="s">
        <v>57</v>
      </c>
      <c r="K1667" t="s">
        <v>2135</v>
      </c>
      <c r="L1667" t="s">
        <v>2606</v>
      </c>
      <c r="M1667" t="s">
        <v>60</v>
      </c>
      <c r="P1667" t="s">
        <v>511</v>
      </c>
      <c r="Q1667" t="s">
        <v>1536</v>
      </c>
      <c r="R1667" t="s">
        <v>512</v>
      </c>
      <c r="S1667" t="s">
        <v>123</v>
      </c>
      <c r="T1667">
        <v>259.51</v>
      </c>
      <c r="U1667">
        <v>251.90199999999999</v>
      </c>
      <c r="V1667">
        <f t="shared" ref="V1667:V1730" si="52">(T1667+U1667)/2</f>
        <v>255.70599999999999</v>
      </c>
      <c r="W1667">
        <f t="shared" ref="W1667:W1730" si="53">T1667-U1667</f>
        <v>7.6080000000000041</v>
      </c>
      <c r="X1667">
        <v>44.416668000000001</v>
      </c>
      <c r="Y1667">
        <v>-24</v>
      </c>
      <c r="Z1667" t="s">
        <v>124</v>
      </c>
      <c r="AA1667" t="s">
        <v>1913</v>
      </c>
      <c r="AB1667" t="s">
        <v>1914</v>
      </c>
      <c r="AD1667" t="s">
        <v>1915</v>
      </c>
      <c r="AE1667" t="s">
        <v>1916</v>
      </c>
      <c r="AH1667" t="s">
        <v>72</v>
      </c>
      <c r="AI1667" t="s">
        <v>2595</v>
      </c>
      <c r="AJ1667">
        <v>1926</v>
      </c>
      <c r="AK1667" t="s">
        <v>1918</v>
      </c>
      <c r="AM1667" t="s">
        <v>1919</v>
      </c>
      <c r="AN1667" t="s">
        <v>192</v>
      </c>
      <c r="AO1667" t="s">
        <v>657</v>
      </c>
      <c r="AP1667" t="s">
        <v>359</v>
      </c>
      <c r="AQ1667" t="s">
        <v>1920</v>
      </c>
      <c r="AR1667" t="s">
        <v>80</v>
      </c>
      <c r="AS1667">
        <v>702</v>
      </c>
      <c r="AT1667" t="s">
        <v>81</v>
      </c>
      <c r="AU1667">
        <v>22.51</v>
      </c>
      <c r="AV1667">
        <v>-42.93</v>
      </c>
      <c r="AW1667" t="s">
        <v>82</v>
      </c>
      <c r="AX1667">
        <v>702</v>
      </c>
      <c r="AY1667" t="s">
        <v>81</v>
      </c>
      <c r="AZ1667">
        <v>24.25</v>
      </c>
      <c r="BA1667">
        <v>-52.74</v>
      </c>
      <c r="BB1667" t="s">
        <v>83</v>
      </c>
    </row>
    <row r="1668" spans="1:54" x14ac:dyDescent="0.4">
      <c r="A1668">
        <v>1285964</v>
      </c>
      <c r="D1668" t="s">
        <v>498</v>
      </c>
      <c r="E1668" t="s">
        <v>55</v>
      </c>
      <c r="G1668">
        <v>1</v>
      </c>
      <c r="H1668" t="s">
        <v>56</v>
      </c>
      <c r="I1668" t="s">
        <v>57</v>
      </c>
      <c r="K1668" t="s">
        <v>2135</v>
      </c>
      <c r="L1668" t="s">
        <v>2606</v>
      </c>
      <c r="M1668" t="s">
        <v>60</v>
      </c>
      <c r="P1668" t="s">
        <v>511</v>
      </c>
      <c r="Q1668" t="s">
        <v>1536</v>
      </c>
      <c r="R1668" t="s">
        <v>512</v>
      </c>
      <c r="S1668" t="s">
        <v>123</v>
      </c>
      <c r="T1668">
        <v>259.51</v>
      </c>
      <c r="U1668">
        <v>251.90199999999999</v>
      </c>
      <c r="V1668">
        <f t="shared" si="52"/>
        <v>255.70599999999999</v>
      </c>
      <c r="W1668">
        <f t="shared" si="53"/>
        <v>7.6080000000000041</v>
      </c>
      <c r="X1668">
        <v>44.416668000000001</v>
      </c>
      <c r="Y1668">
        <v>-24</v>
      </c>
      <c r="Z1668" t="s">
        <v>124</v>
      </c>
      <c r="AA1668" t="s">
        <v>1913</v>
      </c>
      <c r="AB1668" t="s">
        <v>1914</v>
      </c>
      <c r="AD1668" t="s">
        <v>1915</v>
      </c>
      <c r="AE1668" t="s">
        <v>1916</v>
      </c>
      <c r="AH1668" t="s">
        <v>72</v>
      </c>
      <c r="AI1668" t="s">
        <v>2595</v>
      </c>
      <c r="AJ1668">
        <v>1926</v>
      </c>
      <c r="AK1668" t="s">
        <v>1918</v>
      </c>
      <c r="AM1668" t="s">
        <v>1919</v>
      </c>
      <c r="AN1668" t="s">
        <v>192</v>
      </c>
      <c r="AO1668" t="s">
        <v>657</v>
      </c>
      <c r="AP1668" t="s">
        <v>359</v>
      </c>
      <c r="AQ1668" t="s">
        <v>1920</v>
      </c>
      <c r="AR1668" t="s">
        <v>80</v>
      </c>
      <c r="AS1668">
        <v>702</v>
      </c>
      <c r="AT1668" t="s">
        <v>81</v>
      </c>
      <c r="AU1668">
        <v>22.51</v>
      </c>
      <c r="AV1668">
        <v>-42.93</v>
      </c>
      <c r="AW1668" t="s">
        <v>82</v>
      </c>
      <c r="AX1668">
        <v>702</v>
      </c>
      <c r="AY1668" t="s">
        <v>81</v>
      </c>
      <c r="AZ1668">
        <v>24.25</v>
      </c>
      <c r="BA1668">
        <v>-52.74</v>
      </c>
      <c r="BB1668" t="s">
        <v>83</v>
      </c>
    </row>
    <row r="1669" spans="1:54" x14ac:dyDescent="0.4">
      <c r="A1669">
        <v>1285964</v>
      </c>
      <c r="D1669" t="s">
        <v>498</v>
      </c>
      <c r="E1669" t="s">
        <v>55</v>
      </c>
      <c r="G1669">
        <v>1</v>
      </c>
      <c r="H1669" t="s">
        <v>56</v>
      </c>
      <c r="I1669" t="s">
        <v>57</v>
      </c>
      <c r="K1669" t="s">
        <v>2135</v>
      </c>
      <c r="L1669" t="s">
        <v>2606</v>
      </c>
      <c r="M1669" t="s">
        <v>60</v>
      </c>
      <c r="P1669" t="s">
        <v>511</v>
      </c>
      <c r="Q1669" t="s">
        <v>1536</v>
      </c>
      <c r="R1669" t="s">
        <v>512</v>
      </c>
      <c r="S1669" t="s">
        <v>123</v>
      </c>
      <c r="T1669">
        <v>259.51</v>
      </c>
      <c r="U1669">
        <v>251.90199999999999</v>
      </c>
      <c r="V1669">
        <f t="shared" si="52"/>
        <v>255.70599999999999</v>
      </c>
      <c r="W1669">
        <f t="shared" si="53"/>
        <v>7.6080000000000041</v>
      </c>
      <c r="X1669">
        <v>44.416668000000001</v>
      </c>
      <c r="Y1669">
        <v>-24</v>
      </c>
      <c r="Z1669" t="s">
        <v>124</v>
      </c>
      <c r="AA1669" t="s">
        <v>1913</v>
      </c>
      <c r="AB1669" t="s">
        <v>1914</v>
      </c>
      <c r="AD1669" t="s">
        <v>1915</v>
      </c>
      <c r="AE1669" t="s">
        <v>1916</v>
      </c>
      <c r="AH1669" t="s">
        <v>72</v>
      </c>
      <c r="AI1669" t="s">
        <v>2595</v>
      </c>
      <c r="AJ1669">
        <v>1926</v>
      </c>
      <c r="AK1669" t="s">
        <v>1918</v>
      </c>
      <c r="AM1669" t="s">
        <v>1919</v>
      </c>
      <c r="AN1669" t="s">
        <v>192</v>
      </c>
      <c r="AO1669" t="s">
        <v>657</v>
      </c>
      <c r="AP1669" t="s">
        <v>359</v>
      </c>
      <c r="AQ1669" t="s">
        <v>1920</v>
      </c>
      <c r="AR1669" t="s">
        <v>80</v>
      </c>
      <c r="AS1669">
        <v>702</v>
      </c>
      <c r="AT1669" t="s">
        <v>81</v>
      </c>
      <c r="AU1669">
        <v>22.51</v>
      </c>
      <c r="AV1669">
        <v>-42.93</v>
      </c>
      <c r="AW1669" t="s">
        <v>82</v>
      </c>
      <c r="AX1669">
        <v>702</v>
      </c>
      <c r="AY1669" t="s">
        <v>81</v>
      </c>
      <c r="AZ1669">
        <v>24.25</v>
      </c>
      <c r="BA1669">
        <v>-52.74</v>
      </c>
      <c r="BB1669" t="s">
        <v>83</v>
      </c>
    </row>
    <row r="1670" spans="1:54" x14ac:dyDescent="0.4">
      <c r="A1670">
        <v>1285964</v>
      </c>
      <c r="D1670" t="s">
        <v>498</v>
      </c>
      <c r="E1670" t="s">
        <v>55</v>
      </c>
      <c r="G1670">
        <v>1</v>
      </c>
      <c r="H1670" t="s">
        <v>56</v>
      </c>
      <c r="I1670" t="s">
        <v>57</v>
      </c>
      <c r="K1670" t="s">
        <v>2135</v>
      </c>
      <c r="L1670" t="s">
        <v>2606</v>
      </c>
      <c r="M1670" t="s">
        <v>60</v>
      </c>
      <c r="P1670" t="s">
        <v>511</v>
      </c>
      <c r="Q1670" t="s">
        <v>1536</v>
      </c>
      <c r="R1670" t="s">
        <v>512</v>
      </c>
      <c r="S1670" t="s">
        <v>123</v>
      </c>
      <c r="T1670">
        <v>259.51</v>
      </c>
      <c r="U1670">
        <v>251.90199999999999</v>
      </c>
      <c r="V1670">
        <f t="shared" si="52"/>
        <v>255.70599999999999</v>
      </c>
      <c r="W1670">
        <f t="shared" si="53"/>
        <v>7.6080000000000041</v>
      </c>
      <c r="X1670">
        <v>44.416668000000001</v>
      </c>
      <c r="Y1670">
        <v>-24</v>
      </c>
      <c r="Z1670" t="s">
        <v>124</v>
      </c>
      <c r="AA1670" t="s">
        <v>1913</v>
      </c>
      <c r="AB1670" t="s">
        <v>1914</v>
      </c>
      <c r="AD1670" t="s">
        <v>1915</v>
      </c>
      <c r="AE1670" t="s">
        <v>1916</v>
      </c>
      <c r="AH1670" t="s">
        <v>72</v>
      </c>
      <c r="AI1670" t="s">
        <v>2595</v>
      </c>
      <c r="AJ1670">
        <v>1926</v>
      </c>
      <c r="AK1670" t="s">
        <v>1918</v>
      </c>
      <c r="AM1670" t="s">
        <v>1919</v>
      </c>
      <c r="AN1670" t="s">
        <v>192</v>
      </c>
      <c r="AO1670" t="s">
        <v>657</v>
      </c>
      <c r="AP1670" t="s">
        <v>359</v>
      </c>
      <c r="AQ1670" t="s">
        <v>1920</v>
      </c>
      <c r="AR1670" t="s">
        <v>80</v>
      </c>
      <c r="AS1670">
        <v>702</v>
      </c>
      <c r="AT1670" t="s">
        <v>81</v>
      </c>
      <c r="AU1670">
        <v>22.51</v>
      </c>
      <c r="AV1670">
        <v>-42.93</v>
      </c>
      <c r="AW1670" t="s">
        <v>82</v>
      </c>
      <c r="AX1670">
        <v>702</v>
      </c>
      <c r="AY1670" t="s">
        <v>81</v>
      </c>
      <c r="AZ1670">
        <v>24.25</v>
      </c>
      <c r="BA1670">
        <v>-52.74</v>
      </c>
      <c r="BB1670" t="s">
        <v>83</v>
      </c>
    </row>
    <row r="1671" spans="1:54" x14ac:dyDescent="0.4">
      <c r="A1671">
        <v>1285964</v>
      </c>
      <c r="D1671" t="s">
        <v>498</v>
      </c>
      <c r="E1671" t="s">
        <v>55</v>
      </c>
      <c r="G1671">
        <v>1</v>
      </c>
      <c r="H1671" t="s">
        <v>56</v>
      </c>
      <c r="I1671" t="s">
        <v>57</v>
      </c>
      <c r="K1671" t="s">
        <v>2135</v>
      </c>
      <c r="L1671" t="s">
        <v>2606</v>
      </c>
      <c r="M1671" t="s">
        <v>60</v>
      </c>
      <c r="P1671" t="s">
        <v>511</v>
      </c>
      <c r="Q1671" t="s">
        <v>1536</v>
      </c>
      <c r="R1671" t="s">
        <v>512</v>
      </c>
      <c r="S1671" t="s">
        <v>123</v>
      </c>
      <c r="T1671">
        <v>259.51</v>
      </c>
      <c r="U1671">
        <v>251.90199999999999</v>
      </c>
      <c r="V1671">
        <f t="shared" si="52"/>
        <v>255.70599999999999</v>
      </c>
      <c r="W1671">
        <f t="shared" si="53"/>
        <v>7.6080000000000041</v>
      </c>
      <c r="X1671">
        <v>44.416668000000001</v>
      </c>
      <c r="Y1671">
        <v>-24</v>
      </c>
      <c r="Z1671" t="s">
        <v>124</v>
      </c>
      <c r="AA1671" t="s">
        <v>1913</v>
      </c>
      <c r="AB1671" t="s">
        <v>1914</v>
      </c>
      <c r="AD1671" t="s">
        <v>1915</v>
      </c>
      <c r="AE1671" t="s">
        <v>1916</v>
      </c>
      <c r="AH1671" t="s">
        <v>72</v>
      </c>
      <c r="AI1671" t="s">
        <v>2595</v>
      </c>
      <c r="AJ1671">
        <v>1926</v>
      </c>
      <c r="AK1671" t="s">
        <v>1918</v>
      </c>
      <c r="AM1671" t="s">
        <v>1919</v>
      </c>
      <c r="AN1671" t="s">
        <v>192</v>
      </c>
      <c r="AO1671" t="s">
        <v>657</v>
      </c>
      <c r="AP1671" t="s">
        <v>359</v>
      </c>
      <c r="AQ1671" t="s">
        <v>1920</v>
      </c>
      <c r="AR1671" t="s">
        <v>80</v>
      </c>
      <c r="AS1671">
        <v>702</v>
      </c>
      <c r="AT1671" t="s">
        <v>81</v>
      </c>
      <c r="AU1671">
        <v>22.51</v>
      </c>
      <c r="AV1671">
        <v>-42.93</v>
      </c>
      <c r="AW1671" t="s">
        <v>82</v>
      </c>
      <c r="AX1671">
        <v>702</v>
      </c>
      <c r="AY1671" t="s">
        <v>81</v>
      </c>
      <c r="AZ1671">
        <v>24.25</v>
      </c>
      <c r="BA1671">
        <v>-52.74</v>
      </c>
      <c r="BB1671" t="s">
        <v>83</v>
      </c>
    </row>
    <row r="1672" spans="1:54" x14ac:dyDescent="0.4">
      <c r="A1672">
        <v>1285964</v>
      </c>
      <c r="D1672" t="s">
        <v>498</v>
      </c>
      <c r="E1672" t="s">
        <v>55</v>
      </c>
      <c r="G1672">
        <v>1</v>
      </c>
      <c r="H1672" t="s">
        <v>56</v>
      </c>
      <c r="I1672" t="s">
        <v>57</v>
      </c>
      <c r="K1672" t="s">
        <v>2135</v>
      </c>
      <c r="L1672" t="s">
        <v>2606</v>
      </c>
      <c r="M1672" t="s">
        <v>60</v>
      </c>
      <c r="P1672" t="s">
        <v>511</v>
      </c>
      <c r="Q1672" t="s">
        <v>1536</v>
      </c>
      <c r="R1672" t="s">
        <v>512</v>
      </c>
      <c r="S1672" t="s">
        <v>123</v>
      </c>
      <c r="T1672">
        <v>259.51</v>
      </c>
      <c r="U1672">
        <v>251.90199999999999</v>
      </c>
      <c r="V1672">
        <f t="shared" si="52"/>
        <v>255.70599999999999</v>
      </c>
      <c r="W1672">
        <f t="shared" si="53"/>
        <v>7.6080000000000041</v>
      </c>
      <c r="X1672">
        <v>44.416668000000001</v>
      </c>
      <c r="Y1672">
        <v>-24</v>
      </c>
      <c r="Z1672" t="s">
        <v>124</v>
      </c>
      <c r="AA1672" t="s">
        <v>1913</v>
      </c>
      <c r="AB1672" t="s">
        <v>1914</v>
      </c>
      <c r="AD1672" t="s">
        <v>1915</v>
      </c>
      <c r="AE1672" t="s">
        <v>1916</v>
      </c>
      <c r="AH1672" t="s">
        <v>72</v>
      </c>
      <c r="AI1672" t="s">
        <v>2595</v>
      </c>
      <c r="AJ1672">
        <v>1926</v>
      </c>
      <c r="AK1672" t="s">
        <v>1918</v>
      </c>
      <c r="AM1672" t="s">
        <v>1919</v>
      </c>
      <c r="AN1672" t="s">
        <v>192</v>
      </c>
      <c r="AO1672" t="s">
        <v>657</v>
      </c>
      <c r="AP1672" t="s">
        <v>359</v>
      </c>
      <c r="AQ1672" t="s">
        <v>1920</v>
      </c>
      <c r="AR1672" t="s">
        <v>80</v>
      </c>
      <c r="AS1672">
        <v>702</v>
      </c>
      <c r="AT1672" t="s">
        <v>81</v>
      </c>
      <c r="AU1672">
        <v>22.51</v>
      </c>
      <c r="AV1672">
        <v>-42.93</v>
      </c>
      <c r="AW1672" t="s">
        <v>82</v>
      </c>
      <c r="AX1672">
        <v>702</v>
      </c>
      <c r="AY1672" t="s">
        <v>81</v>
      </c>
      <c r="AZ1672">
        <v>24.25</v>
      </c>
      <c r="BA1672">
        <v>-52.74</v>
      </c>
      <c r="BB1672" t="s">
        <v>83</v>
      </c>
    </row>
    <row r="1673" spans="1:54" x14ac:dyDescent="0.4">
      <c r="A1673">
        <v>1285964</v>
      </c>
      <c r="D1673" t="s">
        <v>498</v>
      </c>
      <c r="E1673" t="s">
        <v>55</v>
      </c>
      <c r="G1673">
        <v>1</v>
      </c>
      <c r="H1673" t="s">
        <v>56</v>
      </c>
      <c r="I1673" t="s">
        <v>57</v>
      </c>
      <c r="K1673" t="s">
        <v>2135</v>
      </c>
      <c r="L1673" t="s">
        <v>2606</v>
      </c>
      <c r="M1673" t="s">
        <v>60</v>
      </c>
      <c r="P1673" t="s">
        <v>511</v>
      </c>
      <c r="Q1673" t="s">
        <v>1536</v>
      </c>
      <c r="R1673" t="s">
        <v>512</v>
      </c>
      <c r="S1673" t="s">
        <v>123</v>
      </c>
      <c r="T1673">
        <v>259.51</v>
      </c>
      <c r="U1673">
        <v>251.90199999999999</v>
      </c>
      <c r="V1673">
        <f t="shared" si="52"/>
        <v>255.70599999999999</v>
      </c>
      <c r="W1673">
        <f t="shared" si="53"/>
        <v>7.6080000000000041</v>
      </c>
      <c r="X1673">
        <v>44.416668000000001</v>
      </c>
      <c r="Y1673">
        <v>-24</v>
      </c>
      <c r="Z1673" t="s">
        <v>124</v>
      </c>
      <c r="AA1673" t="s">
        <v>1913</v>
      </c>
      <c r="AB1673" t="s">
        <v>1914</v>
      </c>
      <c r="AD1673" t="s">
        <v>1915</v>
      </c>
      <c r="AE1673" t="s">
        <v>1916</v>
      </c>
      <c r="AH1673" t="s">
        <v>72</v>
      </c>
      <c r="AI1673" t="s">
        <v>2595</v>
      </c>
      <c r="AJ1673">
        <v>1926</v>
      </c>
      <c r="AK1673" t="s">
        <v>1918</v>
      </c>
      <c r="AM1673" t="s">
        <v>1919</v>
      </c>
      <c r="AN1673" t="s">
        <v>192</v>
      </c>
      <c r="AO1673" t="s">
        <v>657</v>
      </c>
      <c r="AP1673" t="s">
        <v>359</v>
      </c>
      <c r="AQ1673" t="s">
        <v>1920</v>
      </c>
      <c r="AR1673" t="s">
        <v>80</v>
      </c>
      <c r="AS1673">
        <v>702</v>
      </c>
      <c r="AT1673" t="s">
        <v>81</v>
      </c>
      <c r="AU1673">
        <v>22.51</v>
      </c>
      <c r="AV1673">
        <v>-42.93</v>
      </c>
      <c r="AW1673" t="s">
        <v>82</v>
      </c>
      <c r="AX1673">
        <v>702</v>
      </c>
      <c r="AY1673" t="s">
        <v>81</v>
      </c>
      <c r="AZ1673">
        <v>24.25</v>
      </c>
      <c r="BA1673">
        <v>-52.74</v>
      </c>
      <c r="BB1673" t="s">
        <v>83</v>
      </c>
    </row>
    <row r="1674" spans="1:54" x14ac:dyDescent="0.4">
      <c r="A1674">
        <v>1285964</v>
      </c>
      <c r="D1674" t="s">
        <v>498</v>
      </c>
      <c r="E1674" t="s">
        <v>55</v>
      </c>
      <c r="G1674">
        <v>1</v>
      </c>
      <c r="H1674" t="s">
        <v>56</v>
      </c>
      <c r="I1674" t="s">
        <v>57</v>
      </c>
      <c r="K1674" t="s">
        <v>2135</v>
      </c>
      <c r="L1674" t="s">
        <v>2606</v>
      </c>
      <c r="M1674" t="s">
        <v>60</v>
      </c>
      <c r="P1674" t="s">
        <v>511</v>
      </c>
      <c r="Q1674" t="s">
        <v>1536</v>
      </c>
      <c r="R1674" t="s">
        <v>512</v>
      </c>
      <c r="S1674" t="s">
        <v>123</v>
      </c>
      <c r="T1674">
        <v>259.51</v>
      </c>
      <c r="U1674">
        <v>251.90199999999999</v>
      </c>
      <c r="V1674">
        <f t="shared" si="52"/>
        <v>255.70599999999999</v>
      </c>
      <c r="W1674">
        <f t="shared" si="53"/>
        <v>7.6080000000000041</v>
      </c>
      <c r="X1674">
        <v>44.416668000000001</v>
      </c>
      <c r="Y1674">
        <v>-24</v>
      </c>
      <c r="Z1674" t="s">
        <v>124</v>
      </c>
      <c r="AA1674" t="s">
        <v>1913</v>
      </c>
      <c r="AB1674" t="s">
        <v>1914</v>
      </c>
      <c r="AD1674" t="s">
        <v>1915</v>
      </c>
      <c r="AE1674" t="s">
        <v>1916</v>
      </c>
      <c r="AH1674" t="s">
        <v>72</v>
      </c>
      <c r="AI1674" t="s">
        <v>2595</v>
      </c>
      <c r="AJ1674">
        <v>1926</v>
      </c>
      <c r="AK1674" t="s">
        <v>1918</v>
      </c>
      <c r="AM1674" t="s">
        <v>1919</v>
      </c>
      <c r="AN1674" t="s">
        <v>192</v>
      </c>
      <c r="AO1674" t="s">
        <v>657</v>
      </c>
      <c r="AP1674" t="s">
        <v>359</v>
      </c>
      <c r="AQ1674" t="s">
        <v>1920</v>
      </c>
      <c r="AR1674" t="s">
        <v>80</v>
      </c>
      <c r="AS1674">
        <v>702</v>
      </c>
      <c r="AT1674" t="s">
        <v>81</v>
      </c>
      <c r="AU1674">
        <v>22.51</v>
      </c>
      <c r="AV1674">
        <v>-42.93</v>
      </c>
      <c r="AW1674" t="s">
        <v>82</v>
      </c>
      <c r="AX1674">
        <v>702</v>
      </c>
      <c r="AY1674" t="s">
        <v>81</v>
      </c>
      <c r="AZ1674">
        <v>24.25</v>
      </c>
      <c r="BA1674">
        <v>-52.74</v>
      </c>
      <c r="BB1674" t="s">
        <v>83</v>
      </c>
    </row>
    <row r="1675" spans="1:54" x14ac:dyDescent="0.4">
      <c r="A1675">
        <v>1285964</v>
      </c>
      <c r="D1675" t="s">
        <v>498</v>
      </c>
      <c r="E1675" t="s">
        <v>55</v>
      </c>
      <c r="G1675">
        <v>1</v>
      </c>
      <c r="H1675" t="s">
        <v>56</v>
      </c>
      <c r="I1675" t="s">
        <v>57</v>
      </c>
      <c r="K1675" t="s">
        <v>2135</v>
      </c>
      <c r="L1675" t="s">
        <v>2606</v>
      </c>
      <c r="M1675" t="s">
        <v>60</v>
      </c>
      <c r="P1675" t="s">
        <v>511</v>
      </c>
      <c r="Q1675" t="s">
        <v>1536</v>
      </c>
      <c r="R1675" t="s">
        <v>512</v>
      </c>
      <c r="S1675" t="s">
        <v>123</v>
      </c>
      <c r="T1675">
        <v>259.51</v>
      </c>
      <c r="U1675">
        <v>251.90199999999999</v>
      </c>
      <c r="V1675">
        <f t="shared" si="52"/>
        <v>255.70599999999999</v>
      </c>
      <c r="W1675">
        <f t="shared" si="53"/>
        <v>7.6080000000000041</v>
      </c>
      <c r="X1675">
        <v>44.416668000000001</v>
      </c>
      <c r="Y1675">
        <v>-24</v>
      </c>
      <c r="Z1675" t="s">
        <v>124</v>
      </c>
      <c r="AA1675" t="s">
        <v>1913</v>
      </c>
      <c r="AB1675" t="s">
        <v>1914</v>
      </c>
      <c r="AD1675" t="s">
        <v>1915</v>
      </c>
      <c r="AE1675" t="s">
        <v>1916</v>
      </c>
      <c r="AH1675" t="s">
        <v>72</v>
      </c>
      <c r="AI1675" t="s">
        <v>2595</v>
      </c>
      <c r="AJ1675">
        <v>1926</v>
      </c>
      <c r="AK1675" t="s">
        <v>1918</v>
      </c>
      <c r="AM1675" t="s">
        <v>1919</v>
      </c>
      <c r="AN1675" t="s">
        <v>192</v>
      </c>
      <c r="AO1675" t="s">
        <v>657</v>
      </c>
      <c r="AP1675" t="s">
        <v>359</v>
      </c>
      <c r="AQ1675" t="s">
        <v>1920</v>
      </c>
      <c r="AR1675" t="s">
        <v>80</v>
      </c>
      <c r="AS1675">
        <v>702</v>
      </c>
      <c r="AT1675" t="s">
        <v>81</v>
      </c>
      <c r="AU1675">
        <v>22.51</v>
      </c>
      <c r="AV1675">
        <v>-42.93</v>
      </c>
      <c r="AW1675" t="s">
        <v>82</v>
      </c>
      <c r="AX1675">
        <v>702</v>
      </c>
      <c r="AY1675" t="s">
        <v>81</v>
      </c>
      <c r="AZ1675">
        <v>24.25</v>
      </c>
      <c r="BA1675">
        <v>-52.74</v>
      </c>
      <c r="BB1675" t="s">
        <v>83</v>
      </c>
    </row>
    <row r="1676" spans="1:54" x14ac:dyDescent="0.4">
      <c r="A1676">
        <v>1285964</v>
      </c>
      <c r="D1676" t="s">
        <v>498</v>
      </c>
      <c r="E1676" t="s">
        <v>55</v>
      </c>
      <c r="G1676">
        <v>1</v>
      </c>
      <c r="H1676" t="s">
        <v>56</v>
      </c>
      <c r="I1676" t="s">
        <v>57</v>
      </c>
      <c r="K1676" t="s">
        <v>2135</v>
      </c>
      <c r="L1676" t="s">
        <v>2606</v>
      </c>
      <c r="M1676" t="s">
        <v>60</v>
      </c>
      <c r="P1676" t="s">
        <v>511</v>
      </c>
      <c r="Q1676" t="s">
        <v>1536</v>
      </c>
      <c r="R1676" t="s">
        <v>512</v>
      </c>
      <c r="S1676" t="s">
        <v>123</v>
      </c>
      <c r="T1676">
        <v>259.51</v>
      </c>
      <c r="U1676">
        <v>251.90199999999999</v>
      </c>
      <c r="V1676">
        <f t="shared" si="52"/>
        <v>255.70599999999999</v>
      </c>
      <c r="W1676">
        <f t="shared" si="53"/>
        <v>7.6080000000000041</v>
      </c>
      <c r="X1676">
        <v>44.416668000000001</v>
      </c>
      <c r="Y1676">
        <v>-24</v>
      </c>
      <c r="Z1676" t="s">
        <v>124</v>
      </c>
      <c r="AA1676" t="s">
        <v>1913</v>
      </c>
      <c r="AB1676" t="s">
        <v>1914</v>
      </c>
      <c r="AD1676" t="s">
        <v>1915</v>
      </c>
      <c r="AE1676" t="s">
        <v>1916</v>
      </c>
      <c r="AH1676" t="s">
        <v>72</v>
      </c>
      <c r="AI1676" t="s">
        <v>2595</v>
      </c>
      <c r="AJ1676">
        <v>1926</v>
      </c>
      <c r="AK1676" t="s">
        <v>1918</v>
      </c>
      <c r="AM1676" t="s">
        <v>1919</v>
      </c>
      <c r="AN1676" t="s">
        <v>192</v>
      </c>
      <c r="AO1676" t="s">
        <v>657</v>
      </c>
      <c r="AP1676" t="s">
        <v>359</v>
      </c>
      <c r="AQ1676" t="s">
        <v>1920</v>
      </c>
      <c r="AR1676" t="s">
        <v>80</v>
      </c>
      <c r="AS1676">
        <v>702</v>
      </c>
      <c r="AT1676" t="s">
        <v>81</v>
      </c>
      <c r="AU1676">
        <v>22.51</v>
      </c>
      <c r="AV1676">
        <v>-42.93</v>
      </c>
      <c r="AW1676" t="s">
        <v>82</v>
      </c>
      <c r="AX1676">
        <v>702</v>
      </c>
      <c r="AY1676" t="s">
        <v>81</v>
      </c>
      <c r="AZ1676">
        <v>24.25</v>
      </c>
      <c r="BA1676">
        <v>-52.74</v>
      </c>
      <c r="BB1676" t="s">
        <v>83</v>
      </c>
    </row>
    <row r="1677" spans="1:54" x14ac:dyDescent="0.4">
      <c r="A1677">
        <v>1285964</v>
      </c>
      <c r="D1677" t="s">
        <v>498</v>
      </c>
      <c r="E1677" t="s">
        <v>55</v>
      </c>
      <c r="G1677">
        <v>1</v>
      </c>
      <c r="H1677" t="s">
        <v>56</v>
      </c>
      <c r="I1677" t="s">
        <v>57</v>
      </c>
      <c r="K1677" t="s">
        <v>2135</v>
      </c>
      <c r="L1677" t="s">
        <v>2606</v>
      </c>
      <c r="M1677" t="s">
        <v>60</v>
      </c>
      <c r="P1677" t="s">
        <v>511</v>
      </c>
      <c r="Q1677" t="s">
        <v>1536</v>
      </c>
      <c r="R1677" t="s">
        <v>512</v>
      </c>
      <c r="S1677" t="s">
        <v>123</v>
      </c>
      <c r="T1677">
        <v>259.51</v>
      </c>
      <c r="U1677">
        <v>251.90199999999999</v>
      </c>
      <c r="V1677">
        <f t="shared" si="52"/>
        <v>255.70599999999999</v>
      </c>
      <c r="W1677">
        <f t="shared" si="53"/>
        <v>7.6080000000000041</v>
      </c>
      <c r="X1677">
        <v>44.416668000000001</v>
      </c>
      <c r="Y1677">
        <v>-24</v>
      </c>
      <c r="Z1677" t="s">
        <v>124</v>
      </c>
      <c r="AA1677" t="s">
        <v>1913</v>
      </c>
      <c r="AB1677" t="s">
        <v>1914</v>
      </c>
      <c r="AD1677" t="s">
        <v>1915</v>
      </c>
      <c r="AE1677" t="s">
        <v>1916</v>
      </c>
      <c r="AH1677" t="s">
        <v>72</v>
      </c>
      <c r="AI1677" t="s">
        <v>2595</v>
      </c>
      <c r="AJ1677">
        <v>1926</v>
      </c>
      <c r="AK1677" t="s">
        <v>1918</v>
      </c>
      <c r="AM1677" t="s">
        <v>1919</v>
      </c>
      <c r="AN1677" t="s">
        <v>192</v>
      </c>
      <c r="AO1677" t="s">
        <v>657</v>
      </c>
      <c r="AP1677" t="s">
        <v>359</v>
      </c>
      <c r="AQ1677" t="s">
        <v>1920</v>
      </c>
      <c r="AR1677" t="s">
        <v>80</v>
      </c>
      <c r="AS1677">
        <v>702</v>
      </c>
      <c r="AT1677" t="s">
        <v>81</v>
      </c>
      <c r="AU1677">
        <v>22.51</v>
      </c>
      <c r="AV1677">
        <v>-42.93</v>
      </c>
      <c r="AW1677" t="s">
        <v>82</v>
      </c>
      <c r="AX1677">
        <v>702</v>
      </c>
      <c r="AY1677" t="s">
        <v>81</v>
      </c>
      <c r="AZ1677">
        <v>24.25</v>
      </c>
      <c r="BA1677">
        <v>-52.74</v>
      </c>
      <c r="BB1677" t="s">
        <v>83</v>
      </c>
    </row>
    <row r="1678" spans="1:54" x14ac:dyDescent="0.4">
      <c r="A1678">
        <v>1285964</v>
      </c>
      <c r="D1678" t="s">
        <v>498</v>
      </c>
      <c r="E1678" t="s">
        <v>55</v>
      </c>
      <c r="G1678">
        <v>1</v>
      </c>
      <c r="H1678" t="s">
        <v>56</v>
      </c>
      <c r="I1678" t="s">
        <v>57</v>
      </c>
      <c r="K1678" t="s">
        <v>2135</v>
      </c>
      <c r="L1678" t="s">
        <v>2606</v>
      </c>
      <c r="M1678" t="s">
        <v>60</v>
      </c>
      <c r="P1678" t="s">
        <v>511</v>
      </c>
      <c r="Q1678" t="s">
        <v>1536</v>
      </c>
      <c r="R1678" t="s">
        <v>512</v>
      </c>
      <c r="S1678" t="s">
        <v>123</v>
      </c>
      <c r="T1678">
        <v>259.51</v>
      </c>
      <c r="U1678">
        <v>251.90199999999999</v>
      </c>
      <c r="V1678">
        <f t="shared" si="52"/>
        <v>255.70599999999999</v>
      </c>
      <c r="W1678">
        <f t="shared" si="53"/>
        <v>7.6080000000000041</v>
      </c>
      <c r="X1678">
        <v>44.416668000000001</v>
      </c>
      <c r="Y1678">
        <v>-24</v>
      </c>
      <c r="Z1678" t="s">
        <v>124</v>
      </c>
      <c r="AA1678" t="s">
        <v>1913</v>
      </c>
      <c r="AB1678" t="s">
        <v>1914</v>
      </c>
      <c r="AD1678" t="s">
        <v>1915</v>
      </c>
      <c r="AE1678" t="s">
        <v>1916</v>
      </c>
      <c r="AH1678" t="s">
        <v>72</v>
      </c>
      <c r="AI1678" t="s">
        <v>2595</v>
      </c>
      <c r="AJ1678">
        <v>1926</v>
      </c>
      <c r="AK1678" t="s">
        <v>1918</v>
      </c>
      <c r="AM1678" t="s">
        <v>1919</v>
      </c>
      <c r="AN1678" t="s">
        <v>192</v>
      </c>
      <c r="AO1678" t="s">
        <v>657</v>
      </c>
      <c r="AP1678" t="s">
        <v>359</v>
      </c>
      <c r="AQ1678" t="s">
        <v>1920</v>
      </c>
      <c r="AR1678" t="s">
        <v>80</v>
      </c>
      <c r="AS1678">
        <v>702</v>
      </c>
      <c r="AT1678" t="s">
        <v>81</v>
      </c>
      <c r="AU1678">
        <v>22.51</v>
      </c>
      <c r="AV1678">
        <v>-42.93</v>
      </c>
      <c r="AW1678" t="s">
        <v>82</v>
      </c>
      <c r="AX1678">
        <v>702</v>
      </c>
      <c r="AY1678" t="s">
        <v>81</v>
      </c>
      <c r="AZ1678">
        <v>24.25</v>
      </c>
      <c r="BA1678">
        <v>-52.74</v>
      </c>
      <c r="BB1678" t="s">
        <v>83</v>
      </c>
    </row>
    <row r="1679" spans="1:54" x14ac:dyDescent="0.4">
      <c r="A1679">
        <v>1285964</v>
      </c>
      <c r="D1679" t="s">
        <v>498</v>
      </c>
      <c r="E1679" t="s">
        <v>55</v>
      </c>
      <c r="G1679">
        <v>1</v>
      </c>
      <c r="H1679" t="s">
        <v>56</v>
      </c>
      <c r="I1679" t="s">
        <v>57</v>
      </c>
      <c r="K1679" t="s">
        <v>2135</v>
      </c>
      <c r="L1679" t="s">
        <v>2606</v>
      </c>
      <c r="M1679" t="s">
        <v>60</v>
      </c>
      <c r="P1679" t="s">
        <v>511</v>
      </c>
      <c r="Q1679" t="s">
        <v>1536</v>
      </c>
      <c r="R1679" t="s">
        <v>512</v>
      </c>
      <c r="S1679" t="s">
        <v>123</v>
      </c>
      <c r="T1679">
        <v>259.51</v>
      </c>
      <c r="U1679">
        <v>251.90199999999999</v>
      </c>
      <c r="V1679">
        <f t="shared" si="52"/>
        <v>255.70599999999999</v>
      </c>
      <c r="W1679">
        <f t="shared" si="53"/>
        <v>7.6080000000000041</v>
      </c>
      <c r="X1679">
        <v>44.416668000000001</v>
      </c>
      <c r="Y1679">
        <v>-24</v>
      </c>
      <c r="Z1679" t="s">
        <v>124</v>
      </c>
      <c r="AA1679" t="s">
        <v>1913</v>
      </c>
      <c r="AB1679" t="s">
        <v>1914</v>
      </c>
      <c r="AD1679" t="s">
        <v>1915</v>
      </c>
      <c r="AE1679" t="s">
        <v>1916</v>
      </c>
      <c r="AH1679" t="s">
        <v>72</v>
      </c>
      <c r="AI1679" t="s">
        <v>2595</v>
      </c>
      <c r="AJ1679">
        <v>1926</v>
      </c>
      <c r="AK1679" t="s">
        <v>1918</v>
      </c>
      <c r="AM1679" t="s">
        <v>1919</v>
      </c>
      <c r="AN1679" t="s">
        <v>192</v>
      </c>
      <c r="AO1679" t="s">
        <v>657</v>
      </c>
      <c r="AP1679" t="s">
        <v>359</v>
      </c>
      <c r="AQ1679" t="s">
        <v>1920</v>
      </c>
      <c r="AR1679" t="s">
        <v>80</v>
      </c>
      <c r="AS1679">
        <v>702</v>
      </c>
      <c r="AT1679" t="s">
        <v>81</v>
      </c>
      <c r="AU1679">
        <v>22.51</v>
      </c>
      <c r="AV1679">
        <v>-42.93</v>
      </c>
      <c r="AW1679" t="s">
        <v>82</v>
      </c>
      <c r="AX1679">
        <v>702</v>
      </c>
      <c r="AY1679" t="s">
        <v>81</v>
      </c>
      <c r="AZ1679">
        <v>24.25</v>
      </c>
      <c r="BA1679">
        <v>-52.74</v>
      </c>
      <c r="BB1679" t="s">
        <v>83</v>
      </c>
    </row>
    <row r="1680" spans="1:54" x14ac:dyDescent="0.4">
      <c r="A1680">
        <v>1285964</v>
      </c>
      <c r="D1680" t="s">
        <v>498</v>
      </c>
      <c r="E1680" t="s">
        <v>55</v>
      </c>
      <c r="G1680">
        <v>1</v>
      </c>
      <c r="H1680" t="s">
        <v>56</v>
      </c>
      <c r="I1680" t="s">
        <v>57</v>
      </c>
      <c r="K1680" t="s">
        <v>2135</v>
      </c>
      <c r="L1680" t="s">
        <v>2606</v>
      </c>
      <c r="M1680" t="s">
        <v>60</v>
      </c>
      <c r="P1680" t="s">
        <v>511</v>
      </c>
      <c r="Q1680" t="s">
        <v>1536</v>
      </c>
      <c r="R1680" t="s">
        <v>512</v>
      </c>
      <c r="S1680" t="s">
        <v>123</v>
      </c>
      <c r="T1680">
        <v>259.51</v>
      </c>
      <c r="U1680">
        <v>251.90199999999999</v>
      </c>
      <c r="V1680">
        <f t="shared" si="52"/>
        <v>255.70599999999999</v>
      </c>
      <c r="W1680">
        <f t="shared" si="53"/>
        <v>7.6080000000000041</v>
      </c>
      <c r="X1680">
        <v>44.416668000000001</v>
      </c>
      <c r="Y1680">
        <v>-24</v>
      </c>
      <c r="Z1680" t="s">
        <v>124</v>
      </c>
      <c r="AA1680" t="s">
        <v>1913</v>
      </c>
      <c r="AB1680" t="s">
        <v>1914</v>
      </c>
      <c r="AD1680" t="s">
        <v>1915</v>
      </c>
      <c r="AE1680" t="s">
        <v>1916</v>
      </c>
      <c r="AH1680" t="s">
        <v>72</v>
      </c>
      <c r="AI1680" t="s">
        <v>2595</v>
      </c>
      <c r="AJ1680">
        <v>1926</v>
      </c>
      <c r="AK1680" t="s">
        <v>1918</v>
      </c>
      <c r="AM1680" t="s">
        <v>1919</v>
      </c>
      <c r="AN1680" t="s">
        <v>192</v>
      </c>
      <c r="AO1680" t="s">
        <v>657</v>
      </c>
      <c r="AP1680" t="s">
        <v>359</v>
      </c>
      <c r="AQ1680" t="s">
        <v>1920</v>
      </c>
      <c r="AR1680" t="s">
        <v>80</v>
      </c>
      <c r="AS1680">
        <v>702</v>
      </c>
      <c r="AT1680" t="s">
        <v>81</v>
      </c>
      <c r="AU1680">
        <v>22.51</v>
      </c>
      <c r="AV1680">
        <v>-42.93</v>
      </c>
      <c r="AW1680" t="s">
        <v>82</v>
      </c>
      <c r="AX1680">
        <v>702</v>
      </c>
      <c r="AY1680" t="s">
        <v>81</v>
      </c>
      <c r="AZ1680">
        <v>24.25</v>
      </c>
      <c r="BA1680">
        <v>-52.74</v>
      </c>
      <c r="BB1680" t="s">
        <v>83</v>
      </c>
    </row>
    <row r="1681" spans="1:54" x14ac:dyDescent="0.4">
      <c r="A1681">
        <v>1285964</v>
      </c>
      <c r="D1681" t="s">
        <v>498</v>
      </c>
      <c r="E1681" t="s">
        <v>55</v>
      </c>
      <c r="G1681">
        <v>1</v>
      </c>
      <c r="H1681" t="s">
        <v>56</v>
      </c>
      <c r="I1681" t="s">
        <v>57</v>
      </c>
      <c r="K1681" t="s">
        <v>2135</v>
      </c>
      <c r="L1681" t="s">
        <v>2606</v>
      </c>
      <c r="M1681" t="s">
        <v>60</v>
      </c>
      <c r="P1681" t="s">
        <v>511</v>
      </c>
      <c r="Q1681" t="s">
        <v>1536</v>
      </c>
      <c r="R1681" t="s">
        <v>512</v>
      </c>
      <c r="S1681" t="s">
        <v>123</v>
      </c>
      <c r="T1681">
        <v>259.51</v>
      </c>
      <c r="U1681">
        <v>251.90199999999999</v>
      </c>
      <c r="V1681">
        <f t="shared" si="52"/>
        <v>255.70599999999999</v>
      </c>
      <c r="W1681">
        <f t="shared" si="53"/>
        <v>7.6080000000000041</v>
      </c>
      <c r="X1681">
        <v>44.416668000000001</v>
      </c>
      <c r="Y1681">
        <v>-24</v>
      </c>
      <c r="Z1681" t="s">
        <v>124</v>
      </c>
      <c r="AA1681" t="s">
        <v>1913</v>
      </c>
      <c r="AB1681" t="s">
        <v>1914</v>
      </c>
      <c r="AD1681" t="s">
        <v>1915</v>
      </c>
      <c r="AE1681" t="s">
        <v>1916</v>
      </c>
      <c r="AH1681" t="s">
        <v>72</v>
      </c>
      <c r="AI1681" t="s">
        <v>2595</v>
      </c>
      <c r="AJ1681">
        <v>1926</v>
      </c>
      <c r="AK1681" t="s">
        <v>1918</v>
      </c>
      <c r="AM1681" t="s">
        <v>1919</v>
      </c>
      <c r="AN1681" t="s">
        <v>192</v>
      </c>
      <c r="AO1681" t="s">
        <v>657</v>
      </c>
      <c r="AP1681" t="s">
        <v>359</v>
      </c>
      <c r="AQ1681" t="s">
        <v>1920</v>
      </c>
      <c r="AR1681" t="s">
        <v>80</v>
      </c>
      <c r="AS1681">
        <v>702</v>
      </c>
      <c r="AT1681" t="s">
        <v>81</v>
      </c>
      <c r="AU1681">
        <v>22.51</v>
      </c>
      <c r="AV1681">
        <v>-42.93</v>
      </c>
      <c r="AW1681" t="s">
        <v>82</v>
      </c>
      <c r="AX1681">
        <v>702</v>
      </c>
      <c r="AY1681" t="s">
        <v>81</v>
      </c>
      <c r="AZ1681">
        <v>24.25</v>
      </c>
      <c r="BA1681">
        <v>-52.74</v>
      </c>
      <c r="BB1681" t="s">
        <v>83</v>
      </c>
    </row>
    <row r="1682" spans="1:54" x14ac:dyDescent="0.4">
      <c r="A1682">
        <v>1285964</v>
      </c>
      <c r="D1682" t="s">
        <v>498</v>
      </c>
      <c r="E1682" t="s">
        <v>55</v>
      </c>
      <c r="G1682">
        <v>1</v>
      </c>
      <c r="H1682" t="s">
        <v>56</v>
      </c>
      <c r="I1682" t="s">
        <v>57</v>
      </c>
      <c r="K1682" t="s">
        <v>2135</v>
      </c>
      <c r="L1682" t="s">
        <v>2606</v>
      </c>
      <c r="M1682" t="s">
        <v>60</v>
      </c>
      <c r="P1682" t="s">
        <v>511</v>
      </c>
      <c r="Q1682" t="s">
        <v>1536</v>
      </c>
      <c r="R1682" t="s">
        <v>512</v>
      </c>
      <c r="S1682" t="s">
        <v>123</v>
      </c>
      <c r="T1682">
        <v>259.51</v>
      </c>
      <c r="U1682">
        <v>251.90199999999999</v>
      </c>
      <c r="V1682">
        <f t="shared" si="52"/>
        <v>255.70599999999999</v>
      </c>
      <c r="W1682">
        <f t="shared" si="53"/>
        <v>7.6080000000000041</v>
      </c>
      <c r="X1682">
        <v>44.416668000000001</v>
      </c>
      <c r="Y1682">
        <v>-24</v>
      </c>
      <c r="Z1682" t="s">
        <v>124</v>
      </c>
      <c r="AA1682" t="s">
        <v>1913</v>
      </c>
      <c r="AB1682" t="s">
        <v>1914</v>
      </c>
      <c r="AD1682" t="s">
        <v>1915</v>
      </c>
      <c r="AE1682" t="s">
        <v>1916</v>
      </c>
      <c r="AH1682" t="s">
        <v>72</v>
      </c>
      <c r="AI1682" t="s">
        <v>2595</v>
      </c>
      <c r="AJ1682">
        <v>1926</v>
      </c>
      <c r="AK1682" t="s">
        <v>1918</v>
      </c>
      <c r="AM1682" t="s">
        <v>1919</v>
      </c>
      <c r="AN1682" t="s">
        <v>192</v>
      </c>
      <c r="AO1682" t="s">
        <v>657</v>
      </c>
      <c r="AP1682" t="s">
        <v>359</v>
      </c>
      <c r="AQ1682" t="s">
        <v>1920</v>
      </c>
      <c r="AR1682" t="s">
        <v>80</v>
      </c>
      <c r="AS1682">
        <v>702</v>
      </c>
      <c r="AT1682" t="s">
        <v>81</v>
      </c>
      <c r="AU1682">
        <v>22.51</v>
      </c>
      <c r="AV1682">
        <v>-42.93</v>
      </c>
      <c r="AW1682" t="s">
        <v>82</v>
      </c>
      <c r="AX1682">
        <v>702</v>
      </c>
      <c r="AY1682" t="s">
        <v>81</v>
      </c>
      <c r="AZ1682">
        <v>24.25</v>
      </c>
      <c r="BA1682">
        <v>-52.74</v>
      </c>
      <c r="BB1682" t="s">
        <v>83</v>
      </c>
    </row>
    <row r="1683" spans="1:54" x14ac:dyDescent="0.4">
      <c r="A1683">
        <v>1285964</v>
      </c>
      <c r="D1683" t="s">
        <v>498</v>
      </c>
      <c r="E1683" t="s">
        <v>55</v>
      </c>
      <c r="G1683">
        <v>1</v>
      </c>
      <c r="H1683" t="s">
        <v>56</v>
      </c>
      <c r="I1683" t="s">
        <v>57</v>
      </c>
      <c r="K1683" t="s">
        <v>2135</v>
      </c>
      <c r="L1683" t="s">
        <v>2606</v>
      </c>
      <c r="M1683" t="s">
        <v>60</v>
      </c>
      <c r="P1683" t="s">
        <v>511</v>
      </c>
      <c r="Q1683" t="s">
        <v>1536</v>
      </c>
      <c r="R1683" t="s">
        <v>512</v>
      </c>
      <c r="S1683" t="s">
        <v>123</v>
      </c>
      <c r="T1683">
        <v>259.51</v>
      </c>
      <c r="U1683">
        <v>251.90199999999999</v>
      </c>
      <c r="V1683">
        <f t="shared" si="52"/>
        <v>255.70599999999999</v>
      </c>
      <c r="W1683">
        <f t="shared" si="53"/>
        <v>7.6080000000000041</v>
      </c>
      <c r="X1683">
        <v>44.416668000000001</v>
      </c>
      <c r="Y1683">
        <v>-24</v>
      </c>
      <c r="Z1683" t="s">
        <v>124</v>
      </c>
      <c r="AA1683" t="s">
        <v>1913</v>
      </c>
      <c r="AB1683" t="s">
        <v>1914</v>
      </c>
      <c r="AD1683" t="s">
        <v>1915</v>
      </c>
      <c r="AE1683" t="s">
        <v>1916</v>
      </c>
      <c r="AH1683" t="s">
        <v>72</v>
      </c>
      <c r="AI1683" t="s">
        <v>2595</v>
      </c>
      <c r="AJ1683">
        <v>1926</v>
      </c>
      <c r="AK1683" t="s">
        <v>1918</v>
      </c>
      <c r="AM1683" t="s">
        <v>1919</v>
      </c>
      <c r="AN1683" t="s">
        <v>192</v>
      </c>
      <c r="AO1683" t="s">
        <v>657</v>
      </c>
      <c r="AP1683" t="s">
        <v>359</v>
      </c>
      <c r="AQ1683" t="s">
        <v>1920</v>
      </c>
      <c r="AR1683" t="s">
        <v>80</v>
      </c>
      <c r="AS1683">
        <v>702</v>
      </c>
      <c r="AT1683" t="s">
        <v>81</v>
      </c>
      <c r="AU1683">
        <v>22.51</v>
      </c>
      <c r="AV1683">
        <v>-42.93</v>
      </c>
      <c r="AW1683" t="s">
        <v>82</v>
      </c>
      <c r="AX1683">
        <v>702</v>
      </c>
      <c r="AY1683" t="s">
        <v>81</v>
      </c>
      <c r="AZ1683">
        <v>24.25</v>
      </c>
      <c r="BA1683">
        <v>-52.74</v>
      </c>
      <c r="BB1683" t="s">
        <v>83</v>
      </c>
    </row>
    <row r="1684" spans="1:54" x14ac:dyDescent="0.4">
      <c r="A1684">
        <v>1285964</v>
      </c>
      <c r="D1684" t="s">
        <v>498</v>
      </c>
      <c r="E1684" t="s">
        <v>55</v>
      </c>
      <c r="G1684">
        <v>1</v>
      </c>
      <c r="H1684" t="s">
        <v>56</v>
      </c>
      <c r="I1684" t="s">
        <v>57</v>
      </c>
      <c r="K1684" t="s">
        <v>2135</v>
      </c>
      <c r="L1684" t="s">
        <v>2606</v>
      </c>
      <c r="M1684" t="s">
        <v>60</v>
      </c>
      <c r="P1684" t="s">
        <v>511</v>
      </c>
      <c r="Q1684" t="s">
        <v>1536</v>
      </c>
      <c r="R1684" t="s">
        <v>512</v>
      </c>
      <c r="S1684" t="s">
        <v>123</v>
      </c>
      <c r="T1684">
        <v>259.51</v>
      </c>
      <c r="U1684">
        <v>251.90199999999999</v>
      </c>
      <c r="V1684">
        <f t="shared" si="52"/>
        <v>255.70599999999999</v>
      </c>
      <c r="W1684">
        <f t="shared" si="53"/>
        <v>7.6080000000000041</v>
      </c>
      <c r="X1684">
        <v>44.416668000000001</v>
      </c>
      <c r="Y1684">
        <v>-24</v>
      </c>
      <c r="Z1684" t="s">
        <v>124</v>
      </c>
      <c r="AA1684" t="s">
        <v>1913</v>
      </c>
      <c r="AB1684" t="s">
        <v>1914</v>
      </c>
      <c r="AD1684" t="s">
        <v>1915</v>
      </c>
      <c r="AE1684" t="s">
        <v>1916</v>
      </c>
      <c r="AH1684" t="s">
        <v>72</v>
      </c>
      <c r="AI1684" t="s">
        <v>2595</v>
      </c>
      <c r="AJ1684">
        <v>1926</v>
      </c>
      <c r="AK1684" t="s">
        <v>1918</v>
      </c>
      <c r="AM1684" t="s">
        <v>1919</v>
      </c>
      <c r="AN1684" t="s">
        <v>192</v>
      </c>
      <c r="AO1684" t="s">
        <v>657</v>
      </c>
      <c r="AP1684" t="s">
        <v>359</v>
      </c>
      <c r="AQ1684" t="s">
        <v>1920</v>
      </c>
      <c r="AR1684" t="s">
        <v>80</v>
      </c>
      <c r="AS1684">
        <v>702</v>
      </c>
      <c r="AT1684" t="s">
        <v>81</v>
      </c>
      <c r="AU1684">
        <v>22.51</v>
      </c>
      <c r="AV1684">
        <v>-42.93</v>
      </c>
      <c r="AW1684" t="s">
        <v>82</v>
      </c>
      <c r="AX1684">
        <v>702</v>
      </c>
      <c r="AY1684" t="s">
        <v>81</v>
      </c>
      <c r="AZ1684">
        <v>24.25</v>
      </c>
      <c r="BA1684">
        <v>-52.74</v>
      </c>
      <c r="BB1684" t="s">
        <v>83</v>
      </c>
    </row>
    <row r="1685" spans="1:54" x14ac:dyDescent="0.4">
      <c r="A1685">
        <v>1285964</v>
      </c>
      <c r="D1685" t="s">
        <v>498</v>
      </c>
      <c r="E1685" t="s">
        <v>55</v>
      </c>
      <c r="G1685">
        <v>1</v>
      </c>
      <c r="H1685" t="s">
        <v>56</v>
      </c>
      <c r="I1685" t="s">
        <v>57</v>
      </c>
      <c r="K1685" t="s">
        <v>2135</v>
      </c>
      <c r="L1685" t="s">
        <v>2606</v>
      </c>
      <c r="M1685" t="s">
        <v>60</v>
      </c>
      <c r="P1685" t="s">
        <v>511</v>
      </c>
      <c r="Q1685" t="s">
        <v>1536</v>
      </c>
      <c r="R1685" t="s">
        <v>512</v>
      </c>
      <c r="S1685" t="s">
        <v>123</v>
      </c>
      <c r="T1685">
        <v>259.51</v>
      </c>
      <c r="U1685">
        <v>251.90199999999999</v>
      </c>
      <c r="V1685">
        <f t="shared" si="52"/>
        <v>255.70599999999999</v>
      </c>
      <c r="W1685">
        <f t="shared" si="53"/>
        <v>7.6080000000000041</v>
      </c>
      <c r="X1685">
        <v>44.416668000000001</v>
      </c>
      <c r="Y1685">
        <v>-24</v>
      </c>
      <c r="Z1685" t="s">
        <v>124</v>
      </c>
      <c r="AA1685" t="s">
        <v>1913</v>
      </c>
      <c r="AB1685" t="s">
        <v>1914</v>
      </c>
      <c r="AD1685" t="s">
        <v>1915</v>
      </c>
      <c r="AE1685" t="s">
        <v>1916</v>
      </c>
      <c r="AH1685" t="s">
        <v>72</v>
      </c>
      <c r="AI1685" t="s">
        <v>2595</v>
      </c>
      <c r="AJ1685">
        <v>1926</v>
      </c>
      <c r="AK1685" t="s">
        <v>1918</v>
      </c>
      <c r="AM1685" t="s">
        <v>1919</v>
      </c>
      <c r="AN1685" t="s">
        <v>192</v>
      </c>
      <c r="AO1685" t="s">
        <v>657</v>
      </c>
      <c r="AP1685" t="s">
        <v>359</v>
      </c>
      <c r="AQ1685" t="s">
        <v>1920</v>
      </c>
      <c r="AR1685" t="s">
        <v>80</v>
      </c>
      <c r="AS1685">
        <v>702</v>
      </c>
      <c r="AT1685" t="s">
        <v>81</v>
      </c>
      <c r="AU1685">
        <v>22.51</v>
      </c>
      <c r="AV1685">
        <v>-42.93</v>
      </c>
      <c r="AW1685" t="s">
        <v>82</v>
      </c>
      <c r="AX1685">
        <v>702</v>
      </c>
      <c r="AY1685" t="s">
        <v>81</v>
      </c>
      <c r="AZ1685">
        <v>24.25</v>
      </c>
      <c r="BA1685">
        <v>-52.74</v>
      </c>
      <c r="BB1685" t="s">
        <v>83</v>
      </c>
    </row>
    <row r="1686" spans="1:54" x14ac:dyDescent="0.4">
      <c r="A1686">
        <v>1285964</v>
      </c>
      <c r="D1686" t="s">
        <v>498</v>
      </c>
      <c r="E1686" t="s">
        <v>55</v>
      </c>
      <c r="G1686">
        <v>1</v>
      </c>
      <c r="H1686" t="s">
        <v>56</v>
      </c>
      <c r="I1686" t="s">
        <v>57</v>
      </c>
      <c r="K1686" t="s">
        <v>2135</v>
      </c>
      <c r="L1686" t="s">
        <v>2606</v>
      </c>
      <c r="M1686" t="s">
        <v>60</v>
      </c>
      <c r="P1686" t="s">
        <v>511</v>
      </c>
      <c r="Q1686" t="s">
        <v>1536</v>
      </c>
      <c r="R1686" t="s">
        <v>512</v>
      </c>
      <c r="S1686" t="s">
        <v>123</v>
      </c>
      <c r="T1686">
        <v>259.51</v>
      </c>
      <c r="U1686">
        <v>251.90199999999999</v>
      </c>
      <c r="V1686">
        <f t="shared" si="52"/>
        <v>255.70599999999999</v>
      </c>
      <c r="W1686">
        <f t="shared" si="53"/>
        <v>7.6080000000000041</v>
      </c>
      <c r="X1686">
        <v>44.416668000000001</v>
      </c>
      <c r="Y1686">
        <v>-24</v>
      </c>
      <c r="Z1686" t="s">
        <v>124</v>
      </c>
      <c r="AA1686" t="s">
        <v>1913</v>
      </c>
      <c r="AB1686" t="s">
        <v>1914</v>
      </c>
      <c r="AD1686" t="s">
        <v>1915</v>
      </c>
      <c r="AE1686" t="s">
        <v>1916</v>
      </c>
      <c r="AH1686" t="s">
        <v>72</v>
      </c>
      <c r="AI1686" t="s">
        <v>2595</v>
      </c>
      <c r="AJ1686">
        <v>1926</v>
      </c>
      <c r="AK1686" t="s">
        <v>1918</v>
      </c>
      <c r="AM1686" t="s">
        <v>1919</v>
      </c>
      <c r="AN1686" t="s">
        <v>192</v>
      </c>
      <c r="AO1686" t="s">
        <v>657</v>
      </c>
      <c r="AP1686" t="s">
        <v>359</v>
      </c>
      <c r="AQ1686" t="s">
        <v>1920</v>
      </c>
      <c r="AR1686" t="s">
        <v>80</v>
      </c>
      <c r="AS1686">
        <v>702</v>
      </c>
      <c r="AT1686" t="s">
        <v>81</v>
      </c>
      <c r="AU1686">
        <v>22.51</v>
      </c>
      <c r="AV1686">
        <v>-42.93</v>
      </c>
      <c r="AW1686" t="s">
        <v>82</v>
      </c>
      <c r="AX1686">
        <v>702</v>
      </c>
      <c r="AY1686" t="s">
        <v>81</v>
      </c>
      <c r="AZ1686">
        <v>24.25</v>
      </c>
      <c r="BA1686">
        <v>-52.74</v>
      </c>
      <c r="BB1686" t="s">
        <v>83</v>
      </c>
    </row>
    <row r="1687" spans="1:54" x14ac:dyDescent="0.4">
      <c r="A1687">
        <v>1285964</v>
      </c>
      <c r="D1687" t="s">
        <v>498</v>
      </c>
      <c r="E1687" t="s">
        <v>55</v>
      </c>
      <c r="G1687">
        <v>1</v>
      </c>
      <c r="H1687" t="s">
        <v>56</v>
      </c>
      <c r="I1687" t="s">
        <v>57</v>
      </c>
      <c r="K1687" t="s">
        <v>2135</v>
      </c>
      <c r="L1687" t="s">
        <v>2606</v>
      </c>
      <c r="M1687" t="s">
        <v>60</v>
      </c>
      <c r="P1687" t="s">
        <v>511</v>
      </c>
      <c r="Q1687" t="s">
        <v>1536</v>
      </c>
      <c r="R1687" t="s">
        <v>512</v>
      </c>
      <c r="S1687" t="s">
        <v>123</v>
      </c>
      <c r="T1687">
        <v>259.51</v>
      </c>
      <c r="U1687">
        <v>251.90199999999999</v>
      </c>
      <c r="V1687">
        <f t="shared" si="52"/>
        <v>255.70599999999999</v>
      </c>
      <c r="W1687">
        <f t="shared" si="53"/>
        <v>7.6080000000000041</v>
      </c>
      <c r="X1687">
        <v>44.416668000000001</v>
      </c>
      <c r="Y1687">
        <v>-24</v>
      </c>
      <c r="Z1687" t="s">
        <v>124</v>
      </c>
      <c r="AA1687" t="s">
        <v>1913</v>
      </c>
      <c r="AB1687" t="s">
        <v>1914</v>
      </c>
      <c r="AD1687" t="s">
        <v>1915</v>
      </c>
      <c r="AE1687" t="s">
        <v>1916</v>
      </c>
      <c r="AH1687" t="s">
        <v>72</v>
      </c>
      <c r="AI1687" t="s">
        <v>2595</v>
      </c>
      <c r="AJ1687">
        <v>1926</v>
      </c>
      <c r="AK1687" t="s">
        <v>1918</v>
      </c>
      <c r="AM1687" t="s">
        <v>1919</v>
      </c>
      <c r="AN1687" t="s">
        <v>192</v>
      </c>
      <c r="AO1687" t="s">
        <v>657</v>
      </c>
      <c r="AP1687" t="s">
        <v>359</v>
      </c>
      <c r="AQ1687" t="s">
        <v>1920</v>
      </c>
      <c r="AR1687" t="s">
        <v>80</v>
      </c>
      <c r="AS1687">
        <v>702</v>
      </c>
      <c r="AT1687" t="s">
        <v>81</v>
      </c>
      <c r="AU1687">
        <v>22.51</v>
      </c>
      <c r="AV1687">
        <v>-42.93</v>
      </c>
      <c r="AW1687" t="s">
        <v>82</v>
      </c>
      <c r="AX1687">
        <v>702</v>
      </c>
      <c r="AY1687" t="s">
        <v>81</v>
      </c>
      <c r="AZ1687">
        <v>24.25</v>
      </c>
      <c r="BA1687">
        <v>-52.74</v>
      </c>
      <c r="BB1687" t="s">
        <v>83</v>
      </c>
    </row>
    <row r="1688" spans="1:54" x14ac:dyDescent="0.4">
      <c r="A1688">
        <v>1285964</v>
      </c>
      <c r="D1688" t="s">
        <v>498</v>
      </c>
      <c r="E1688" t="s">
        <v>55</v>
      </c>
      <c r="G1688">
        <v>1</v>
      </c>
      <c r="H1688" t="s">
        <v>56</v>
      </c>
      <c r="I1688" t="s">
        <v>57</v>
      </c>
      <c r="K1688" t="s">
        <v>2135</v>
      </c>
      <c r="L1688" t="s">
        <v>2606</v>
      </c>
      <c r="M1688" t="s">
        <v>60</v>
      </c>
      <c r="P1688" t="s">
        <v>511</v>
      </c>
      <c r="Q1688" t="s">
        <v>1536</v>
      </c>
      <c r="R1688" t="s">
        <v>512</v>
      </c>
      <c r="S1688" t="s">
        <v>123</v>
      </c>
      <c r="T1688">
        <v>259.51</v>
      </c>
      <c r="U1688">
        <v>251.90199999999999</v>
      </c>
      <c r="V1688">
        <f t="shared" si="52"/>
        <v>255.70599999999999</v>
      </c>
      <c r="W1688">
        <f t="shared" si="53"/>
        <v>7.6080000000000041</v>
      </c>
      <c r="X1688">
        <v>44.416668000000001</v>
      </c>
      <c r="Y1688">
        <v>-24</v>
      </c>
      <c r="Z1688" t="s">
        <v>124</v>
      </c>
      <c r="AA1688" t="s">
        <v>1913</v>
      </c>
      <c r="AB1688" t="s">
        <v>1914</v>
      </c>
      <c r="AD1688" t="s">
        <v>1915</v>
      </c>
      <c r="AE1688" t="s">
        <v>1916</v>
      </c>
      <c r="AH1688" t="s">
        <v>72</v>
      </c>
      <c r="AI1688" t="s">
        <v>2595</v>
      </c>
      <c r="AJ1688">
        <v>1926</v>
      </c>
      <c r="AK1688" t="s">
        <v>1918</v>
      </c>
      <c r="AM1688" t="s">
        <v>1919</v>
      </c>
      <c r="AN1688" t="s">
        <v>192</v>
      </c>
      <c r="AO1688" t="s">
        <v>657</v>
      </c>
      <c r="AP1688" t="s">
        <v>359</v>
      </c>
      <c r="AQ1688" t="s">
        <v>1920</v>
      </c>
      <c r="AR1688" t="s">
        <v>80</v>
      </c>
      <c r="AS1688">
        <v>702</v>
      </c>
      <c r="AT1688" t="s">
        <v>81</v>
      </c>
      <c r="AU1688">
        <v>22.51</v>
      </c>
      <c r="AV1688">
        <v>-42.93</v>
      </c>
      <c r="AW1688" t="s">
        <v>82</v>
      </c>
      <c r="AX1688">
        <v>702</v>
      </c>
      <c r="AY1688" t="s">
        <v>81</v>
      </c>
      <c r="AZ1688">
        <v>24.25</v>
      </c>
      <c r="BA1688">
        <v>-52.74</v>
      </c>
      <c r="BB1688" t="s">
        <v>83</v>
      </c>
    </row>
    <row r="1689" spans="1:54" x14ac:dyDescent="0.4">
      <c r="A1689">
        <v>1285964</v>
      </c>
      <c r="D1689" t="s">
        <v>498</v>
      </c>
      <c r="E1689" t="s">
        <v>55</v>
      </c>
      <c r="G1689">
        <v>1</v>
      </c>
      <c r="H1689" t="s">
        <v>56</v>
      </c>
      <c r="I1689" t="s">
        <v>57</v>
      </c>
      <c r="K1689" t="s">
        <v>2135</v>
      </c>
      <c r="L1689" t="s">
        <v>2606</v>
      </c>
      <c r="M1689" t="s">
        <v>60</v>
      </c>
      <c r="P1689" t="s">
        <v>511</v>
      </c>
      <c r="Q1689" t="s">
        <v>1536</v>
      </c>
      <c r="R1689" t="s">
        <v>512</v>
      </c>
      <c r="S1689" t="s">
        <v>123</v>
      </c>
      <c r="T1689">
        <v>259.51</v>
      </c>
      <c r="U1689">
        <v>251.90199999999999</v>
      </c>
      <c r="V1689">
        <f t="shared" si="52"/>
        <v>255.70599999999999</v>
      </c>
      <c r="W1689">
        <f t="shared" si="53"/>
        <v>7.6080000000000041</v>
      </c>
      <c r="X1689">
        <v>44.416668000000001</v>
      </c>
      <c r="Y1689">
        <v>-24</v>
      </c>
      <c r="Z1689" t="s">
        <v>124</v>
      </c>
      <c r="AA1689" t="s">
        <v>1913</v>
      </c>
      <c r="AB1689" t="s">
        <v>1914</v>
      </c>
      <c r="AD1689" t="s">
        <v>1915</v>
      </c>
      <c r="AE1689" t="s">
        <v>1916</v>
      </c>
      <c r="AH1689" t="s">
        <v>72</v>
      </c>
      <c r="AI1689" t="s">
        <v>2595</v>
      </c>
      <c r="AJ1689">
        <v>1926</v>
      </c>
      <c r="AK1689" t="s">
        <v>1918</v>
      </c>
      <c r="AM1689" t="s">
        <v>1919</v>
      </c>
      <c r="AN1689" t="s">
        <v>192</v>
      </c>
      <c r="AO1689" t="s">
        <v>657</v>
      </c>
      <c r="AP1689" t="s">
        <v>359</v>
      </c>
      <c r="AQ1689" t="s">
        <v>1920</v>
      </c>
      <c r="AR1689" t="s">
        <v>80</v>
      </c>
      <c r="AS1689">
        <v>702</v>
      </c>
      <c r="AT1689" t="s">
        <v>81</v>
      </c>
      <c r="AU1689">
        <v>22.51</v>
      </c>
      <c r="AV1689">
        <v>-42.93</v>
      </c>
      <c r="AW1689" t="s">
        <v>82</v>
      </c>
      <c r="AX1689">
        <v>702</v>
      </c>
      <c r="AY1689" t="s">
        <v>81</v>
      </c>
      <c r="AZ1689">
        <v>24.25</v>
      </c>
      <c r="BA1689">
        <v>-52.74</v>
      </c>
      <c r="BB1689" t="s">
        <v>83</v>
      </c>
    </row>
    <row r="1690" spans="1:54" x14ac:dyDescent="0.4">
      <c r="A1690">
        <v>1285964</v>
      </c>
      <c r="D1690" t="s">
        <v>498</v>
      </c>
      <c r="E1690" t="s">
        <v>55</v>
      </c>
      <c r="G1690">
        <v>1</v>
      </c>
      <c r="H1690" t="s">
        <v>56</v>
      </c>
      <c r="I1690" t="s">
        <v>57</v>
      </c>
      <c r="K1690" t="s">
        <v>2135</v>
      </c>
      <c r="L1690" t="s">
        <v>2606</v>
      </c>
      <c r="M1690" t="s">
        <v>60</v>
      </c>
      <c r="P1690" t="s">
        <v>511</v>
      </c>
      <c r="Q1690" t="s">
        <v>1536</v>
      </c>
      <c r="R1690" t="s">
        <v>512</v>
      </c>
      <c r="S1690" t="s">
        <v>123</v>
      </c>
      <c r="T1690">
        <v>259.51</v>
      </c>
      <c r="U1690">
        <v>251.90199999999999</v>
      </c>
      <c r="V1690">
        <f t="shared" si="52"/>
        <v>255.70599999999999</v>
      </c>
      <c r="W1690">
        <f t="shared" si="53"/>
        <v>7.6080000000000041</v>
      </c>
      <c r="X1690">
        <v>44.416668000000001</v>
      </c>
      <c r="Y1690">
        <v>-24</v>
      </c>
      <c r="Z1690" t="s">
        <v>124</v>
      </c>
      <c r="AA1690" t="s">
        <v>1913</v>
      </c>
      <c r="AB1690" t="s">
        <v>1914</v>
      </c>
      <c r="AD1690" t="s">
        <v>1915</v>
      </c>
      <c r="AE1690" t="s">
        <v>1916</v>
      </c>
      <c r="AH1690" t="s">
        <v>72</v>
      </c>
      <c r="AI1690" t="s">
        <v>2595</v>
      </c>
      <c r="AJ1690">
        <v>1926</v>
      </c>
      <c r="AK1690" t="s">
        <v>1918</v>
      </c>
      <c r="AM1690" t="s">
        <v>1919</v>
      </c>
      <c r="AN1690" t="s">
        <v>192</v>
      </c>
      <c r="AO1690" t="s">
        <v>657</v>
      </c>
      <c r="AP1690" t="s">
        <v>359</v>
      </c>
      <c r="AQ1690" t="s">
        <v>1920</v>
      </c>
      <c r="AR1690" t="s">
        <v>80</v>
      </c>
      <c r="AS1690">
        <v>702</v>
      </c>
      <c r="AT1690" t="s">
        <v>81</v>
      </c>
      <c r="AU1690">
        <v>22.51</v>
      </c>
      <c r="AV1690">
        <v>-42.93</v>
      </c>
      <c r="AW1690" t="s">
        <v>82</v>
      </c>
      <c r="AX1690">
        <v>702</v>
      </c>
      <c r="AY1690" t="s">
        <v>81</v>
      </c>
      <c r="AZ1690">
        <v>24.25</v>
      </c>
      <c r="BA1690">
        <v>-52.74</v>
      </c>
      <c r="BB1690" t="s">
        <v>83</v>
      </c>
    </row>
    <row r="1691" spans="1:54" x14ac:dyDescent="0.4">
      <c r="A1691">
        <v>1285964</v>
      </c>
      <c r="D1691" t="s">
        <v>498</v>
      </c>
      <c r="E1691" t="s">
        <v>55</v>
      </c>
      <c r="G1691">
        <v>1</v>
      </c>
      <c r="H1691" t="s">
        <v>56</v>
      </c>
      <c r="I1691" t="s">
        <v>57</v>
      </c>
      <c r="K1691" t="s">
        <v>2135</v>
      </c>
      <c r="L1691" t="s">
        <v>2606</v>
      </c>
      <c r="M1691" t="s">
        <v>60</v>
      </c>
      <c r="P1691" t="s">
        <v>511</v>
      </c>
      <c r="Q1691" t="s">
        <v>1536</v>
      </c>
      <c r="R1691" t="s">
        <v>512</v>
      </c>
      <c r="S1691" t="s">
        <v>123</v>
      </c>
      <c r="T1691">
        <v>259.51</v>
      </c>
      <c r="U1691">
        <v>251.90199999999999</v>
      </c>
      <c r="V1691">
        <f t="shared" si="52"/>
        <v>255.70599999999999</v>
      </c>
      <c r="W1691">
        <f t="shared" si="53"/>
        <v>7.6080000000000041</v>
      </c>
      <c r="X1691">
        <v>44.416668000000001</v>
      </c>
      <c r="Y1691">
        <v>-24</v>
      </c>
      <c r="Z1691" t="s">
        <v>124</v>
      </c>
      <c r="AA1691" t="s">
        <v>1913</v>
      </c>
      <c r="AB1691" t="s">
        <v>1914</v>
      </c>
      <c r="AD1691" t="s">
        <v>1915</v>
      </c>
      <c r="AE1691" t="s">
        <v>1916</v>
      </c>
      <c r="AH1691" t="s">
        <v>72</v>
      </c>
      <c r="AI1691" t="s">
        <v>2595</v>
      </c>
      <c r="AJ1691">
        <v>1926</v>
      </c>
      <c r="AK1691" t="s">
        <v>1918</v>
      </c>
      <c r="AM1691" t="s">
        <v>1919</v>
      </c>
      <c r="AN1691" t="s">
        <v>192</v>
      </c>
      <c r="AO1691" t="s">
        <v>657</v>
      </c>
      <c r="AP1691" t="s">
        <v>359</v>
      </c>
      <c r="AQ1691" t="s">
        <v>1920</v>
      </c>
      <c r="AR1691" t="s">
        <v>80</v>
      </c>
      <c r="AS1691">
        <v>702</v>
      </c>
      <c r="AT1691" t="s">
        <v>81</v>
      </c>
      <c r="AU1691">
        <v>22.51</v>
      </c>
      <c r="AV1691">
        <v>-42.93</v>
      </c>
      <c r="AW1691" t="s">
        <v>82</v>
      </c>
      <c r="AX1691">
        <v>702</v>
      </c>
      <c r="AY1691" t="s">
        <v>81</v>
      </c>
      <c r="AZ1691">
        <v>24.25</v>
      </c>
      <c r="BA1691">
        <v>-52.74</v>
      </c>
      <c r="BB1691" t="s">
        <v>83</v>
      </c>
    </row>
    <row r="1692" spans="1:54" x14ac:dyDescent="0.4">
      <c r="A1692">
        <v>1285964</v>
      </c>
      <c r="D1692" t="s">
        <v>498</v>
      </c>
      <c r="E1692" t="s">
        <v>55</v>
      </c>
      <c r="G1692">
        <v>1</v>
      </c>
      <c r="H1692" t="s">
        <v>56</v>
      </c>
      <c r="I1692" t="s">
        <v>57</v>
      </c>
      <c r="K1692" t="s">
        <v>2135</v>
      </c>
      <c r="L1692" t="s">
        <v>2606</v>
      </c>
      <c r="M1692" t="s">
        <v>60</v>
      </c>
      <c r="P1692" t="s">
        <v>511</v>
      </c>
      <c r="Q1692" t="s">
        <v>1536</v>
      </c>
      <c r="R1692" t="s">
        <v>512</v>
      </c>
      <c r="S1692" t="s">
        <v>123</v>
      </c>
      <c r="T1692">
        <v>259.51</v>
      </c>
      <c r="U1692">
        <v>251.90199999999999</v>
      </c>
      <c r="V1692">
        <f t="shared" si="52"/>
        <v>255.70599999999999</v>
      </c>
      <c r="W1692">
        <f t="shared" si="53"/>
        <v>7.6080000000000041</v>
      </c>
      <c r="X1692">
        <v>44.416668000000001</v>
      </c>
      <c r="Y1692">
        <v>-24</v>
      </c>
      <c r="Z1692" t="s">
        <v>124</v>
      </c>
      <c r="AA1692" t="s">
        <v>1913</v>
      </c>
      <c r="AB1692" t="s">
        <v>1914</v>
      </c>
      <c r="AD1692" t="s">
        <v>1915</v>
      </c>
      <c r="AE1692" t="s">
        <v>1916</v>
      </c>
      <c r="AH1692" t="s">
        <v>72</v>
      </c>
      <c r="AI1692" t="s">
        <v>2595</v>
      </c>
      <c r="AJ1692">
        <v>1926</v>
      </c>
      <c r="AK1692" t="s">
        <v>1918</v>
      </c>
      <c r="AM1692" t="s">
        <v>1919</v>
      </c>
      <c r="AN1692" t="s">
        <v>192</v>
      </c>
      <c r="AO1692" t="s">
        <v>657</v>
      </c>
      <c r="AP1692" t="s">
        <v>359</v>
      </c>
      <c r="AQ1692" t="s">
        <v>1920</v>
      </c>
      <c r="AR1692" t="s">
        <v>80</v>
      </c>
      <c r="AS1692">
        <v>702</v>
      </c>
      <c r="AT1692" t="s">
        <v>81</v>
      </c>
      <c r="AU1692">
        <v>22.51</v>
      </c>
      <c r="AV1692">
        <v>-42.93</v>
      </c>
      <c r="AW1692" t="s">
        <v>82</v>
      </c>
      <c r="AX1692">
        <v>702</v>
      </c>
      <c r="AY1692" t="s">
        <v>81</v>
      </c>
      <c r="AZ1692">
        <v>24.25</v>
      </c>
      <c r="BA1692">
        <v>-52.74</v>
      </c>
      <c r="BB1692" t="s">
        <v>83</v>
      </c>
    </row>
    <row r="1693" spans="1:54" x14ac:dyDescent="0.4">
      <c r="A1693">
        <v>1285964</v>
      </c>
      <c r="D1693" t="s">
        <v>498</v>
      </c>
      <c r="E1693" t="s">
        <v>55</v>
      </c>
      <c r="G1693">
        <v>1</v>
      </c>
      <c r="H1693" t="s">
        <v>56</v>
      </c>
      <c r="I1693" t="s">
        <v>57</v>
      </c>
      <c r="K1693" t="s">
        <v>2135</v>
      </c>
      <c r="L1693" t="s">
        <v>2606</v>
      </c>
      <c r="M1693" t="s">
        <v>60</v>
      </c>
      <c r="P1693" t="s">
        <v>511</v>
      </c>
      <c r="Q1693" t="s">
        <v>1536</v>
      </c>
      <c r="R1693" t="s">
        <v>512</v>
      </c>
      <c r="S1693" t="s">
        <v>123</v>
      </c>
      <c r="T1693">
        <v>259.51</v>
      </c>
      <c r="U1693">
        <v>251.90199999999999</v>
      </c>
      <c r="V1693">
        <f t="shared" si="52"/>
        <v>255.70599999999999</v>
      </c>
      <c r="W1693">
        <f t="shared" si="53"/>
        <v>7.6080000000000041</v>
      </c>
      <c r="X1693">
        <v>44.416668000000001</v>
      </c>
      <c r="Y1693">
        <v>-24</v>
      </c>
      <c r="Z1693" t="s">
        <v>124</v>
      </c>
      <c r="AA1693" t="s">
        <v>1913</v>
      </c>
      <c r="AB1693" t="s">
        <v>1914</v>
      </c>
      <c r="AD1693" t="s">
        <v>1915</v>
      </c>
      <c r="AE1693" t="s">
        <v>1916</v>
      </c>
      <c r="AH1693" t="s">
        <v>72</v>
      </c>
      <c r="AI1693" t="s">
        <v>2595</v>
      </c>
      <c r="AJ1693">
        <v>1926</v>
      </c>
      <c r="AK1693" t="s">
        <v>1918</v>
      </c>
      <c r="AM1693" t="s">
        <v>1919</v>
      </c>
      <c r="AN1693" t="s">
        <v>192</v>
      </c>
      <c r="AO1693" t="s">
        <v>657</v>
      </c>
      <c r="AP1693" t="s">
        <v>359</v>
      </c>
      <c r="AQ1693" t="s">
        <v>1920</v>
      </c>
      <c r="AR1693" t="s">
        <v>80</v>
      </c>
      <c r="AS1693">
        <v>702</v>
      </c>
      <c r="AT1693" t="s">
        <v>81</v>
      </c>
      <c r="AU1693">
        <v>22.51</v>
      </c>
      <c r="AV1693">
        <v>-42.93</v>
      </c>
      <c r="AW1693" t="s">
        <v>82</v>
      </c>
      <c r="AX1693">
        <v>702</v>
      </c>
      <c r="AY1693" t="s">
        <v>81</v>
      </c>
      <c r="AZ1693">
        <v>24.25</v>
      </c>
      <c r="BA1693">
        <v>-52.74</v>
      </c>
      <c r="BB1693" t="s">
        <v>83</v>
      </c>
    </row>
    <row r="1694" spans="1:54" x14ac:dyDescent="0.4">
      <c r="A1694">
        <v>1285964</v>
      </c>
      <c r="D1694" t="s">
        <v>498</v>
      </c>
      <c r="E1694" t="s">
        <v>55</v>
      </c>
      <c r="G1694">
        <v>1</v>
      </c>
      <c r="H1694" t="s">
        <v>56</v>
      </c>
      <c r="I1694" t="s">
        <v>57</v>
      </c>
      <c r="K1694" t="s">
        <v>2135</v>
      </c>
      <c r="L1694" t="s">
        <v>2606</v>
      </c>
      <c r="M1694" t="s">
        <v>60</v>
      </c>
      <c r="P1694" t="s">
        <v>511</v>
      </c>
      <c r="Q1694" t="s">
        <v>1536</v>
      </c>
      <c r="R1694" t="s">
        <v>512</v>
      </c>
      <c r="S1694" t="s">
        <v>123</v>
      </c>
      <c r="T1694">
        <v>259.51</v>
      </c>
      <c r="U1694">
        <v>251.90199999999999</v>
      </c>
      <c r="V1694">
        <f t="shared" si="52"/>
        <v>255.70599999999999</v>
      </c>
      <c r="W1694">
        <f t="shared" si="53"/>
        <v>7.6080000000000041</v>
      </c>
      <c r="X1694">
        <v>44.416668000000001</v>
      </c>
      <c r="Y1694">
        <v>-24</v>
      </c>
      <c r="Z1694" t="s">
        <v>124</v>
      </c>
      <c r="AA1694" t="s">
        <v>1913</v>
      </c>
      <c r="AB1694" t="s">
        <v>1914</v>
      </c>
      <c r="AD1694" t="s">
        <v>1915</v>
      </c>
      <c r="AE1694" t="s">
        <v>1916</v>
      </c>
      <c r="AH1694" t="s">
        <v>72</v>
      </c>
      <c r="AI1694" t="s">
        <v>2595</v>
      </c>
      <c r="AJ1694">
        <v>1926</v>
      </c>
      <c r="AK1694" t="s">
        <v>1918</v>
      </c>
      <c r="AM1694" t="s">
        <v>1919</v>
      </c>
      <c r="AN1694" t="s">
        <v>192</v>
      </c>
      <c r="AO1694" t="s">
        <v>657</v>
      </c>
      <c r="AP1694" t="s">
        <v>359</v>
      </c>
      <c r="AQ1694" t="s">
        <v>1920</v>
      </c>
      <c r="AR1694" t="s">
        <v>80</v>
      </c>
      <c r="AS1694">
        <v>702</v>
      </c>
      <c r="AT1694" t="s">
        <v>81</v>
      </c>
      <c r="AU1694">
        <v>22.51</v>
      </c>
      <c r="AV1694">
        <v>-42.93</v>
      </c>
      <c r="AW1694" t="s">
        <v>82</v>
      </c>
      <c r="AX1694">
        <v>702</v>
      </c>
      <c r="AY1694" t="s">
        <v>81</v>
      </c>
      <c r="AZ1694">
        <v>24.25</v>
      </c>
      <c r="BA1694">
        <v>-52.74</v>
      </c>
      <c r="BB1694" t="s">
        <v>83</v>
      </c>
    </row>
    <row r="1695" spans="1:54" x14ac:dyDescent="0.4">
      <c r="A1695">
        <v>1285964</v>
      </c>
      <c r="D1695" t="s">
        <v>498</v>
      </c>
      <c r="E1695" t="s">
        <v>55</v>
      </c>
      <c r="G1695">
        <v>1</v>
      </c>
      <c r="H1695" t="s">
        <v>56</v>
      </c>
      <c r="I1695" t="s">
        <v>57</v>
      </c>
      <c r="K1695" t="s">
        <v>2135</v>
      </c>
      <c r="L1695" t="s">
        <v>2606</v>
      </c>
      <c r="M1695" t="s">
        <v>60</v>
      </c>
      <c r="P1695" t="s">
        <v>511</v>
      </c>
      <c r="Q1695" t="s">
        <v>1536</v>
      </c>
      <c r="R1695" t="s">
        <v>512</v>
      </c>
      <c r="S1695" t="s">
        <v>123</v>
      </c>
      <c r="T1695">
        <v>259.51</v>
      </c>
      <c r="U1695">
        <v>251.90199999999999</v>
      </c>
      <c r="V1695">
        <f t="shared" si="52"/>
        <v>255.70599999999999</v>
      </c>
      <c r="W1695">
        <f t="shared" si="53"/>
        <v>7.6080000000000041</v>
      </c>
      <c r="X1695">
        <v>44.416668000000001</v>
      </c>
      <c r="Y1695">
        <v>-24</v>
      </c>
      <c r="Z1695" t="s">
        <v>124</v>
      </c>
      <c r="AA1695" t="s">
        <v>1913</v>
      </c>
      <c r="AB1695" t="s">
        <v>1914</v>
      </c>
      <c r="AD1695" t="s">
        <v>1915</v>
      </c>
      <c r="AE1695" t="s">
        <v>1916</v>
      </c>
      <c r="AH1695" t="s">
        <v>72</v>
      </c>
      <c r="AI1695" t="s">
        <v>2595</v>
      </c>
      <c r="AJ1695">
        <v>1926</v>
      </c>
      <c r="AK1695" t="s">
        <v>1918</v>
      </c>
      <c r="AM1695" t="s">
        <v>1919</v>
      </c>
      <c r="AN1695" t="s">
        <v>192</v>
      </c>
      <c r="AO1695" t="s">
        <v>657</v>
      </c>
      <c r="AP1695" t="s">
        <v>359</v>
      </c>
      <c r="AQ1695" t="s">
        <v>1920</v>
      </c>
      <c r="AR1695" t="s">
        <v>80</v>
      </c>
      <c r="AS1695">
        <v>702</v>
      </c>
      <c r="AT1695" t="s">
        <v>81</v>
      </c>
      <c r="AU1695">
        <v>22.51</v>
      </c>
      <c r="AV1695">
        <v>-42.93</v>
      </c>
      <c r="AW1695" t="s">
        <v>82</v>
      </c>
      <c r="AX1695">
        <v>702</v>
      </c>
      <c r="AY1695" t="s">
        <v>81</v>
      </c>
      <c r="AZ1695">
        <v>24.25</v>
      </c>
      <c r="BA1695">
        <v>-52.74</v>
      </c>
      <c r="BB1695" t="s">
        <v>83</v>
      </c>
    </row>
    <row r="1696" spans="1:54" x14ac:dyDescent="0.4">
      <c r="A1696">
        <v>1285964</v>
      </c>
      <c r="D1696" t="s">
        <v>498</v>
      </c>
      <c r="E1696" t="s">
        <v>55</v>
      </c>
      <c r="G1696">
        <v>1</v>
      </c>
      <c r="H1696" t="s">
        <v>56</v>
      </c>
      <c r="I1696" t="s">
        <v>57</v>
      </c>
      <c r="K1696" t="s">
        <v>2135</v>
      </c>
      <c r="L1696" t="s">
        <v>2606</v>
      </c>
      <c r="M1696" t="s">
        <v>60</v>
      </c>
      <c r="P1696" t="s">
        <v>511</v>
      </c>
      <c r="Q1696" t="s">
        <v>1536</v>
      </c>
      <c r="R1696" t="s">
        <v>512</v>
      </c>
      <c r="S1696" t="s">
        <v>123</v>
      </c>
      <c r="T1696">
        <v>259.51</v>
      </c>
      <c r="U1696">
        <v>251.90199999999999</v>
      </c>
      <c r="V1696">
        <f t="shared" si="52"/>
        <v>255.70599999999999</v>
      </c>
      <c r="W1696">
        <f t="shared" si="53"/>
        <v>7.6080000000000041</v>
      </c>
      <c r="X1696">
        <v>44.416668000000001</v>
      </c>
      <c r="Y1696">
        <v>-24</v>
      </c>
      <c r="Z1696" t="s">
        <v>124</v>
      </c>
      <c r="AA1696" t="s">
        <v>1913</v>
      </c>
      <c r="AB1696" t="s">
        <v>1914</v>
      </c>
      <c r="AD1696" t="s">
        <v>1915</v>
      </c>
      <c r="AE1696" t="s">
        <v>1916</v>
      </c>
      <c r="AH1696" t="s">
        <v>72</v>
      </c>
      <c r="AI1696" t="s">
        <v>2595</v>
      </c>
      <c r="AJ1696">
        <v>1926</v>
      </c>
      <c r="AK1696" t="s">
        <v>1918</v>
      </c>
      <c r="AM1696" t="s">
        <v>1919</v>
      </c>
      <c r="AN1696" t="s">
        <v>192</v>
      </c>
      <c r="AO1696" t="s">
        <v>657</v>
      </c>
      <c r="AP1696" t="s">
        <v>359</v>
      </c>
      <c r="AQ1696" t="s">
        <v>1920</v>
      </c>
      <c r="AR1696" t="s">
        <v>80</v>
      </c>
      <c r="AS1696">
        <v>702</v>
      </c>
      <c r="AT1696" t="s">
        <v>81</v>
      </c>
      <c r="AU1696">
        <v>22.51</v>
      </c>
      <c r="AV1696">
        <v>-42.93</v>
      </c>
      <c r="AW1696" t="s">
        <v>82</v>
      </c>
      <c r="AX1696">
        <v>702</v>
      </c>
      <c r="AY1696" t="s">
        <v>81</v>
      </c>
      <c r="AZ1696">
        <v>24.25</v>
      </c>
      <c r="BA1696">
        <v>-52.74</v>
      </c>
      <c r="BB1696" t="s">
        <v>83</v>
      </c>
    </row>
    <row r="1697" spans="1:54" x14ac:dyDescent="0.4">
      <c r="A1697">
        <v>1285964</v>
      </c>
      <c r="D1697" t="s">
        <v>498</v>
      </c>
      <c r="E1697" t="s">
        <v>55</v>
      </c>
      <c r="G1697">
        <v>1</v>
      </c>
      <c r="H1697" t="s">
        <v>56</v>
      </c>
      <c r="I1697" t="s">
        <v>57</v>
      </c>
      <c r="K1697" t="s">
        <v>2135</v>
      </c>
      <c r="L1697" t="s">
        <v>2606</v>
      </c>
      <c r="M1697" t="s">
        <v>60</v>
      </c>
      <c r="P1697" t="s">
        <v>511</v>
      </c>
      <c r="Q1697" t="s">
        <v>1536</v>
      </c>
      <c r="R1697" t="s">
        <v>512</v>
      </c>
      <c r="S1697" t="s">
        <v>123</v>
      </c>
      <c r="T1697">
        <v>259.51</v>
      </c>
      <c r="U1697">
        <v>251.90199999999999</v>
      </c>
      <c r="V1697">
        <f t="shared" si="52"/>
        <v>255.70599999999999</v>
      </c>
      <c r="W1697">
        <f t="shared" si="53"/>
        <v>7.6080000000000041</v>
      </c>
      <c r="X1697">
        <v>44.416668000000001</v>
      </c>
      <c r="Y1697">
        <v>-24</v>
      </c>
      <c r="Z1697" t="s">
        <v>124</v>
      </c>
      <c r="AA1697" t="s">
        <v>1913</v>
      </c>
      <c r="AB1697" t="s">
        <v>1914</v>
      </c>
      <c r="AD1697" t="s">
        <v>1915</v>
      </c>
      <c r="AE1697" t="s">
        <v>1916</v>
      </c>
      <c r="AH1697" t="s">
        <v>72</v>
      </c>
      <c r="AI1697" t="s">
        <v>2595</v>
      </c>
      <c r="AJ1697">
        <v>1926</v>
      </c>
      <c r="AK1697" t="s">
        <v>1918</v>
      </c>
      <c r="AM1697" t="s">
        <v>1919</v>
      </c>
      <c r="AN1697" t="s">
        <v>192</v>
      </c>
      <c r="AO1697" t="s">
        <v>657</v>
      </c>
      <c r="AP1697" t="s">
        <v>359</v>
      </c>
      <c r="AQ1697" t="s">
        <v>1920</v>
      </c>
      <c r="AR1697" t="s">
        <v>80</v>
      </c>
      <c r="AS1697">
        <v>702</v>
      </c>
      <c r="AT1697" t="s">
        <v>81</v>
      </c>
      <c r="AU1697">
        <v>22.51</v>
      </c>
      <c r="AV1697">
        <v>-42.93</v>
      </c>
      <c r="AW1697" t="s">
        <v>82</v>
      </c>
      <c r="AX1697">
        <v>702</v>
      </c>
      <c r="AY1697" t="s">
        <v>81</v>
      </c>
      <c r="AZ1697">
        <v>24.25</v>
      </c>
      <c r="BA1697">
        <v>-52.74</v>
      </c>
      <c r="BB1697" t="s">
        <v>83</v>
      </c>
    </row>
    <row r="1698" spans="1:54" x14ac:dyDescent="0.4">
      <c r="A1698">
        <v>1285964</v>
      </c>
      <c r="D1698" t="s">
        <v>498</v>
      </c>
      <c r="E1698" t="s">
        <v>55</v>
      </c>
      <c r="G1698">
        <v>1</v>
      </c>
      <c r="H1698" t="s">
        <v>56</v>
      </c>
      <c r="I1698" t="s">
        <v>57</v>
      </c>
      <c r="K1698" t="s">
        <v>2135</v>
      </c>
      <c r="L1698" t="s">
        <v>2606</v>
      </c>
      <c r="M1698" t="s">
        <v>60</v>
      </c>
      <c r="P1698" t="s">
        <v>511</v>
      </c>
      <c r="Q1698" t="s">
        <v>1536</v>
      </c>
      <c r="R1698" t="s">
        <v>512</v>
      </c>
      <c r="S1698" t="s">
        <v>123</v>
      </c>
      <c r="T1698">
        <v>259.51</v>
      </c>
      <c r="U1698">
        <v>251.90199999999999</v>
      </c>
      <c r="V1698">
        <f t="shared" si="52"/>
        <v>255.70599999999999</v>
      </c>
      <c r="W1698">
        <f t="shared" si="53"/>
        <v>7.6080000000000041</v>
      </c>
      <c r="X1698">
        <v>44.416668000000001</v>
      </c>
      <c r="Y1698">
        <v>-24</v>
      </c>
      <c r="Z1698" t="s">
        <v>124</v>
      </c>
      <c r="AA1698" t="s">
        <v>1913</v>
      </c>
      <c r="AB1698" t="s">
        <v>1914</v>
      </c>
      <c r="AD1698" t="s">
        <v>1915</v>
      </c>
      <c r="AE1698" t="s">
        <v>1916</v>
      </c>
      <c r="AH1698" t="s">
        <v>72</v>
      </c>
      <c r="AI1698" t="s">
        <v>2595</v>
      </c>
      <c r="AJ1698">
        <v>1926</v>
      </c>
      <c r="AK1698" t="s">
        <v>1918</v>
      </c>
      <c r="AM1698" t="s">
        <v>1919</v>
      </c>
      <c r="AN1698" t="s">
        <v>192</v>
      </c>
      <c r="AO1698" t="s">
        <v>657</v>
      </c>
      <c r="AP1698" t="s">
        <v>359</v>
      </c>
      <c r="AQ1698" t="s">
        <v>1920</v>
      </c>
      <c r="AR1698" t="s">
        <v>80</v>
      </c>
      <c r="AS1698">
        <v>702</v>
      </c>
      <c r="AT1698" t="s">
        <v>81</v>
      </c>
      <c r="AU1698">
        <v>22.51</v>
      </c>
      <c r="AV1698">
        <v>-42.93</v>
      </c>
      <c r="AW1698" t="s">
        <v>82</v>
      </c>
      <c r="AX1698">
        <v>702</v>
      </c>
      <c r="AY1698" t="s">
        <v>81</v>
      </c>
      <c r="AZ1698">
        <v>24.25</v>
      </c>
      <c r="BA1698">
        <v>-52.74</v>
      </c>
      <c r="BB1698" t="s">
        <v>83</v>
      </c>
    </row>
    <row r="1699" spans="1:54" x14ac:dyDescent="0.4">
      <c r="A1699">
        <v>1285964</v>
      </c>
      <c r="D1699" t="s">
        <v>498</v>
      </c>
      <c r="E1699" t="s">
        <v>55</v>
      </c>
      <c r="G1699">
        <v>1</v>
      </c>
      <c r="H1699" t="s">
        <v>56</v>
      </c>
      <c r="I1699" t="s">
        <v>57</v>
      </c>
      <c r="K1699" t="s">
        <v>2135</v>
      </c>
      <c r="L1699" t="s">
        <v>2606</v>
      </c>
      <c r="M1699" t="s">
        <v>60</v>
      </c>
      <c r="P1699" t="s">
        <v>511</v>
      </c>
      <c r="Q1699" t="s">
        <v>1536</v>
      </c>
      <c r="R1699" t="s">
        <v>512</v>
      </c>
      <c r="S1699" t="s">
        <v>123</v>
      </c>
      <c r="T1699">
        <v>259.51</v>
      </c>
      <c r="U1699">
        <v>251.90199999999999</v>
      </c>
      <c r="V1699">
        <f t="shared" si="52"/>
        <v>255.70599999999999</v>
      </c>
      <c r="W1699">
        <f t="shared" si="53"/>
        <v>7.6080000000000041</v>
      </c>
      <c r="X1699">
        <v>44.416668000000001</v>
      </c>
      <c r="Y1699">
        <v>-24</v>
      </c>
      <c r="Z1699" t="s">
        <v>124</v>
      </c>
      <c r="AA1699" t="s">
        <v>1913</v>
      </c>
      <c r="AB1699" t="s">
        <v>1914</v>
      </c>
      <c r="AD1699" t="s">
        <v>1915</v>
      </c>
      <c r="AE1699" t="s">
        <v>1916</v>
      </c>
      <c r="AH1699" t="s">
        <v>72</v>
      </c>
      <c r="AI1699" t="s">
        <v>2595</v>
      </c>
      <c r="AJ1699">
        <v>1926</v>
      </c>
      <c r="AK1699" t="s">
        <v>1918</v>
      </c>
      <c r="AM1699" t="s">
        <v>1919</v>
      </c>
      <c r="AN1699" t="s">
        <v>192</v>
      </c>
      <c r="AO1699" t="s">
        <v>657</v>
      </c>
      <c r="AP1699" t="s">
        <v>359</v>
      </c>
      <c r="AQ1699" t="s">
        <v>1920</v>
      </c>
      <c r="AR1699" t="s">
        <v>80</v>
      </c>
      <c r="AS1699">
        <v>702</v>
      </c>
      <c r="AT1699" t="s">
        <v>81</v>
      </c>
      <c r="AU1699">
        <v>22.51</v>
      </c>
      <c r="AV1699">
        <v>-42.93</v>
      </c>
      <c r="AW1699" t="s">
        <v>82</v>
      </c>
      <c r="AX1699">
        <v>702</v>
      </c>
      <c r="AY1699" t="s">
        <v>81</v>
      </c>
      <c r="AZ1699">
        <v>24.25</v>
      </c>
      <c r="BA1699">
        <v>-52.74</v>
      </c>
      <c r="BB1699" t="s">
        <v>83</v>
      </c>
    </row>
    <row r="1700" spans="1:54" x14ac:dyDescent="0.4">
      <c r="A1700">
        <v>1285964</v>
      </c>
      <c r="D1700" t="s">
        <v>498</v>
      </c>
      <c r="E1700" t="s">
        <v>55</v>
      </c>
      <c r="G1700">
        <v>1</v>
      </c>
      <c r="H1700" t="s">
        <v>56</v>
      </c>
      <c r="I1700" t="s">
        <v>57</v>
      </c>
      <c r="K1700" t="s">
        <v>2135</v>
      </c>
      <c r="L1700" t="s">
        <v>2606</v>
      </c>
      <c r="M1700" t="s">
        <v>60</v>
      </c>
      <c r="P1700" t="s">
        <v>511</v>
      </c>
      <c r="Q1700" t="s">
        <v>1536</v>
      </c>
      <c r="R1700" t="s">
        <v>512</v>
      </c>
      <c r="S1700" t="s">
        <v>123</v>
      </c>
      <c r="T1700">
        <v>259.51</v>
      </c>
      <c r="U1700">
        <v>251.90199999999999</v>
      </c>
      <c r="V1700">
        <f t="shared" si="52"/>
        <v>255.70599999999999</v>
      </c>
      <c r="W1700">
        <f t="shared" si="53"/>
        <v>7.6080000000000041</v>
      </c>
      <c r="X1700">
        <v>44.416668000000001</v>
      </c>
      <c r="Y1700">
        <v>-24</v>
      </c>
      <c r="Z1700" t="s">
        <v>124</v>
      </c>
      <c r="AA1700" t="s">
        <v>1913</v>
      </c>
      <c r="AB1700" t="s">
        <v>1914</v>
      </c>
      <c r="AD1700" t="s">
        <v>1915</v>
      </c>
      <c r="AE1700" t="s">
        <v>1916</v>
      </c>
      <c r="AH1700" t="s">
        <v>72</v>
      </c>
      <c r="AI1700" t="s">
        <v>2595</v>
      </c>
      <c r="AJ1700">
        <v>1926</v>
      </c>
      <c r="AK1700" t="s">
        <v>1918</v>
      </c>
      <c r="AM1700" t="s">
        <v>1919</v>
      </c>
      <c r="AN1700" t="s">
        <v>192</v>
      </c>
      <c r="AO1700" t="s">
        <v>657</v>
      </c>
      <c r="AP1700" t="s">
        <v>359</v>
      </c>
      <c r="AQ1700" t="s">
        <v>1920</v>
      </c>
      <c r="AR1700" t="s">
        <v>80</v>
      </c>
      <c r="AS1700">
        <v>702</v>
      </c>
      <c r="AT1700" t="s">
        <v>81</v>
      </c>
      <c r="AU1700">
        <v>22.51</v>
      </c>
      <c r="AV1700">
        <v>-42.93</v>
      </c>
      <c r="AW1700" t="s">
        <v>82</v>
      </c>
      <c r="AX1700">
        <v>702</v>
      </c>
      <c r="AY1700" t="s">
        <v>81</v>
      </c>
      <c r="AZ1700">
        <v>24.25</v>
      </c>
      <c r="BA1700">
        <v>-52.74</v>
      </c>
      <c r="BB1700" t="s">
        <v>83</v>
      </c>
    </row>
    <row r="1701" spans="1:54" x14ac:dyDescent="0.4">
      <c r="A1701">
        <v>1285964</v>
      </c>
      <c r="D1701" t="s">
        <v>498</v>
      </c>
      <c r="E1701" t="s">
        <v>55</v>
      </c>
      <c r="G1701">
        <v>1</v>
      </c>
      <c r="H1701" t="s">
        <v>56</v>
      </c>
      <c r="I1701" t="s">
        <v>57</v>
      </c>
      <c r="K1701" t="s">
        <v>2135</v>
      </c>
      <c r="L1701" t="s">
        <v>2606</v>
      </c>
      <c r="M1701" t="s">
        <v>60</v>
      </c>
      <c r="P1701" t="s">
        <v>511</v>
      </c>
      <c r="Q1701" t="s">
        <v>1536</v>
      </c>
      <c r="R1701" t="s">
        <v>512</v>
      </c>
      <c r="S1701" t="s">
        <v>123</v>
      </c>
      <c r="T1701">
        <v>259.51</v>
      </c>
      <c r="U1701">
        <v>251.90199999999999</v>
      </c>
      <c r="V1701">
        <f t="shared" si="52"/>
        <v>255.70599999999999</v>
      </c>
      <c r="W1701">
        <f t="shared" si="53"/>
        <v>7.6080000000000041</v>
      </c>
      <c r="X1701">
        <v>44.416668000000001</v>
      </c>
      <c r="Y1701">
        <v>-24</v>
      </c>
      <c r="Z1701" t="s">
        <v>124</v>
      </c>
      <c r="AA1701" t="s">
        <v>1913</v>
      </c>
      <c r="AB1701" t="s">
        <v>1914</v>
      </c>
      <c r="AD1701" t="s">
        <v>1915</v>
      </c>
      <c r="AE1701" t="s">
        <v>1916</v>
      </c>
      <c r="AH1701" t="s">
        <v>72</v>
      </c>
      <c r="AI1701" t="s">
        <v>2595</v>
      </c>
      <c r="AJ1701">
        <v>1926</v>
      </c>
      <c r="AK1701" t="s">
        <v>1918</v>
      </c>
      <c r="AM1701" t="s">
        <v>1919</v>
      </c>
      <c r="AN1701" t="s">
        <v>192</v>
      </c>
      <c r="AO1701" t="s">
        <v>657</v>
      </c>
      <c r="AP1701" t="s">
        <v>359</v>
      </c>
      <c r="AQ1701" t="s">
        <v>1920</v>
      </c>
      <c r="AR1701" t="s">
        <v>80</v>
      </c>
      <c r="AS1701">
        <v>702</v>
      </c>
      <c r="AT1701" t="s">
        <v>81</v>
      </c>
      <c r="AU1701">
        <v>22.51</v>
      </c>
      <c r="AV1701">
        <v>-42.93</v>
      </c>
      <c r="AW1701" t="s">
        <v>82</v>
      </c>
      <c r="AX1701">
        <v>702</v>
      </c>
      <c r="AY1701" t="s">
        <v>81</v>
      </c>
      <c r="AZ1701">
        <v>24.25</v>
      </c>
      <c r="BA1701">
        <v>-52.74</v>
      </c>
      <c r="BB1701" t="s">
        <v>83</v>
      </c>
    </row>
    <row r="1702" spans="1:54" x14ac:dyDescent="0.4">
      <c r="A1702">
        <v>1285964</v>
      </c>
      <c r="D1702" t="s">
        <v>498</v>
      </c>
      <c r="E1702" t="s">
        <v>55</v>
      </c>
      <c r="G1702">
        <v>1</v>
      </c>
      <c r="H1702" t="s">
        <v>56</v>
      </c>
      <c r="I1702" t="s">
        <v>57</v>
      </c>
      <c r="K1702" t="s">
        <v>2135</v>
      </c>
      <c r="L1702" t="s">
        <v>2606</v>
      </c>
      <c r="M1702" t="s">
        <v>60</v>
      </c>
      <c r="P1702" t="s">
        <v>511</v>
      </c>
      <c r="Q1702" t="s">
        <v>1536</v>
      </c>
      <c r="R1702" t="s">
        <v>512</v>
      </c>
      <c r="S1702" t="s">
        <v>123</v>
      </c>
      <c r="T1702">
        <v>259.51</v>
      </c>
      <c r="U1702">
        <v>251.90199999999999</v>
      </c>
      <c r="V1702">
        <f t="shared" si="52"/>
        <v>255.70599999999999</v>
      </c>
      <c r="W1702">
        <f t="shared" si="53"/>
        <v>7.6080000000000041</v>
      </c>
      <c r="X1702">
        <v>44.416668000000001</v>
      </c>
      <c r="Y1702">
        <v>-24</v>
      </c>
      <c r="Z1702" t="s">
        <v>124</v>
      </c>
      <c r="AA1702" t="s">
        <v>1913</v>
      </c>
      <c r="AB1702" t="s">
        <v>1914</v>
      </c>
      <c r="AD1702" t="s">
        <v>1915</v>
      </c>
      <c r="AE1702" t="s">
        <v>1916</v>
      </c>
      <c r="AH1702" t="s">
        <v>72</v>
      </c>
      <c r="AI1702" t="s">
        <v>2595</v>
      </c>
      <c r="AJ1702">
        <v>1926</v>
      </c>
      <c r="AK1702" t="s">
        <v>1918</v>
      </c>
      <c r="AM1702" t="s">
        <v>1919</v>
      </c>
      <c r="AN1702" t="s">
        <v>192</v>
      </c>
      <c r="AO1702" t="s">
        <v>657</v>
      </c>
      <c r="AP1702" t="s">
        <v>359</v>
      </c>
      <c r="AQ1702" t="s">
        <v>1920</v>
      </c>
      <c r="AR1702" t="s">
        <v>80</v>
      </c>
      <c r="AS1702">
        <v>702</v>
      </c>
      <c r="AT1702" t="s">
        <v>81</v>
      </c>
      <c r="AU1702">
        <v>22.51</v>
      </c>
      <c r="AV1702">
        <v>-42.93</v>
      </c>
      <c r="AW1702" t="s">
        <v>82</v>
      </c>
      <c r="AX1702">
        <v>702</v>
      </c>
      <c r="AY1702" t="s">
        <v>81</v>
      </c>
      <c r="AZ1702">
        <v>24.25</v>
      </c>
      <c r="BA1702">
        <v>-52.74</v>
      </c>
      <c r="BB1702" t="s">
        <v>83</v>
      </c>
    </row>
    <row r="1703" spans="1:54" x14ac:dyDescent="0.4">
      <c r="A1703">
        <v>1285964</v>
      </c>
      <c r="D1703" t="s">
        <v>498</v>
      </c>
      <c r="E1703" t="s">
        <v>55</v>
      </c>
      <c r="G1703">
        <v>1</v>
      </c>
      <c r="H1703" t="s">
        <v>56</v>
      </c>
      <c r="I1703" t="s">
        <v>57</v>
      </c>
      <c r="K1703" t="s">
        <v>2135</v>
      </c>
      <c r="L1703" t="s">
        <v>2606</v>
      </c>
      <c r="M1703" t="s">
        <v>60</v>
      </c>
      <c r="P1703" t="s">
        <v>511</v>
      </c>
      <c r="Q1703" t="s">
        <v>1536</v>
      </c>
      <c r="R1703" t="s">
        <v>512</v>
      </c>
      <c r="S1703" t="s">
        <v>123</v>
      </c>
      <c r="T1703">
        <v>259.51</v>
      </c>
      <c r="U1703">
        <v>251.90199999999999</v>
      </c>
      <c r="V1703">
        <f t="shared" si="52"/>
        <v>255.70599999999999</v>
      </c>
      <c r="W1703">
        <f t="shared" si="53"/>
        <v>7.6080000000000041</v>
      </c>
      <c r="X1703">
        <v>44.416668000000001</v>
      </c>
      <c r="Y1703">
        <v>-24</v>
      </c>
      <c r="Z1703" t="s">
        <v>124</v>
      </c>
      <c r="AA1703" t="s">
        <v>1913</v>
      </c>
      <c r="AB1703" t="s">
        <v>1914</v>
      </c>
      <c r="AD1703" t="s">
        <v>1915</v>
      </c>
      <c r="AE1703" t="s">
        <v>1916</v>
      </c>
      <c r="AH1703" t="s">
        <v>72</v>
      </c>
      <c r="AI1703" t="s">
        <v>2595</v>
      </c>
      <c r="AJ1703">
        <v>1926</v>
      </c>
      <c r="AK1703" t="s">
        <v>1918</v>
      </c>
      <c r="AM1703" t="s">
        <v>1919</v>
      </c>
      <c r="AN1703" t="s">
        <v>192</v>
      </c>
      <c r="AO1703" t="s">
        <v>657</v>
      </c>
      <c r="AP1703" t="s">
        <v>359</v>
      </c>
      <c r="AQ1703" t="s">
        <v>1920</v>
      </c>
      <c r="AR1703" t="s">
        <v>80</v>
      </c>
      <c r="AS1703">
        <v>702</v>
      </c>
      <c r="AT1703" t="s">
        <v>81</v>
      </c>
      <c r="AU1703">
        <v>22.51</v>
      </c>
      <c r="AV1703">
        <v>-42.93</v>
      </c>
      <c r="AW1703" t="s">
        <v>82</v>
      </c>
      <c r="AX1703">
        <v>702</v>
      </c>
      <c r="AY1703" t="s">
        <v>81</v>
      </c>
      <c r="AZ1703">
        <v>24.25</v>
      </c>
      <c r="BA1703">
        <v>-52.74</v>
      </c>
      <c r="BB1703" t="s">
        <v>83</v>
      </c>
    </row>
    <row r="1704" spans="1:54" x14ac:dyDescent="0.4">
      <c r="A1704">
        <v>1285964</v>
      </c>
      <c r="D1704" t="s">
        <v>498</v>
      </c>
      <c r="E1704" t="s">
        <v>55</v>
      </c>
      <c r="G1704">
        <v>1</v>
      </c>
      <c r="H1704" t="s">
        <v>56</v>
      </c>
      <c r="I1704" t="s">
        <v>57</v>
      </c>
      <c r="K1704" t="s">
        <v>2135</v>
      </c>
      <c r="L1704" t="s">
        <v>2606</v>
      </c>
      <c r="M1704" t="s">
        <v>60</v>
      </c>
      <c r="P1704" t="s">
        <v>511</v>
      </c>
      <c r="Q1704" t="s">
        <v>1536</v>
      </c>
      <c r="R1704" t="s">
        <v>512</v>
      </c>
      <c r="S1704" t="s">
        <v>123</v>
      </c>
      <c r="T1704">
        <v>259.51</v>
      </c>
      <c r="U1704">
        <v>251.90199999999999</v>
      </c>
      <c r="V1704">
        <f t="shared" si="52"/>
        <v>255.70599999999999</v>
      </c>
      <c r="W1704">
        <f t="shared" si="53"/>
        <v>7.6080000000000041</v>
      </c>
      <c r="X1704">
        <v>44.416668000000001</v>
      </c>
      <c r="Y1704">
        <v>-24</v>
      </c>
      <c r="Z1704" t="s">
        <v>124</v>
      </c>
      <c r="AA1704" t="s">
        <v>1913</v>
      </c>
      <c r="AB1704" t="s">
        <v>1914</v>
      </c>
      <c r="AD1704" t="s">
        <v>1915</v>
      </c>
      <c r="AE1704" t="s">
        <v>1916</v>
      </c>
      <c r="AH1704" t="s">
        <v>72</v>
      </c>
      <c r="AI1704" t="s">
        <v>2595</v>
      </c>
      <c r="AJ1704">
        <v>1926</v>
      </c>
      <c r="AK1704" t="s">
        <v>1918</v>
      </c>
      <c r="AM1704" t="s">
        <v>1919</v>
      </c>
      <c r="AN1704" t="s">
        <v>192</v>
      </c>
      <c r="AO1704" t="s">
        <v>657</v>
      </c>
      <c r="AP1704" t="s">
        <v>359</v>
      </c>
      <c r="AQ1704" t="s">
        <v>1920</v>
      </c>
      <c r="AR1704" t="s">
        <v>80</v>
      </c>
      <c r="AS1704">
        <v>702</v>
      </c>
      <c r="AT1704" t="s">
        <v>81</v>
      </c>
      <c r="AU1704">
        <v>22.51</v>
      </c>
      <c r="AV1704">
        <v>-42.93</v>
      </c>
      <c r="AW1704" t="s">
        <v>82</v>
      </c>
      <c r="AX1704">
        <v>702</v>
      </c>
      <c r="AY1704" t="s">
        <v>81</v>
      </c>
      <c r="AZ1704">
        <v>24.25</v>
      </c>
      <c r="BA1704">
        <v>-52.74</v>
      </c>
      <c r="BB1704" t="s">
        <v>83</v>
      </c>
    </row>
    <row r="1705" spans="1:54" x14ac:dyDescent="0.4">
      <c r="A1705">
        <v>1285964</v>
      </c>
      <c r="D1705" t="s">
        <v>498</v>
      </c>
      <c r="E1705" t="s">
        <v>55</v>
      </c>
      <c r="G1705">
        <v>1</v>
      </c>
      <c r="H1705" t="s">
        <v>56</v>
      </c>
      <c r="I1705" t="s">
        <v>57</v>
      </c>
      <c r="K1705" t="s">
        <v>2135</v>
      </c>
      <c r="L1705" t="s">
        <v>2606</v>
      </c>
      <c r="M1705" t="s">
        <v>60</v>
      </c>
      <c r="P1705" t="s">
        <v>511</v>
      </c>
      <c r="Q1705" t="s">
        <v>1536</v>
      </c>
      <c r="R1705" t="s">
        <v>512</v>
      </c>
      <c r="S1705" t="s">
        <v>123</v>
      </c>
      <c r="T1705">
        <v>259.51</v>
      </c>
      <c r="U1705">
        <v>251.90199999999999</v>
      </c>
      <c r="V1705">
        <f t="shared" si="52"/>
        <v>255.70599999999999</v>
      </c>
      <c r="W1705">
        <f t="shared" si="53"/>
        <v>7.6080000000000041</v>
      </c>
      <c r="X1705">
        <v>44.416668000000001</v>
      </c>
      <c r="Y1705">
        <v>-24</v>
      </c>
      <c r="Z1705" t="s">
        <v>124</v>
      </c>
      <c r="AA1705" t="s">
        <v>1913</v>
      </c>
      <c r="AB1705" t="s">
        <v>1914</v>
      </c>
      <c r="AD1705" t="s">
        <v>1915</v>
      </c>
      <c r="AE1705" t="s">
        <v>1916</v>
      </c>
      <c r="AH1705" t="s">
        <v>72</v>
      </c>
      <c r="AI1705" t="s">
        <v>2595</v>
      </c>
      <c r="AJ1705">
        <v>1926</v>
      </c>
      <c r="AK1705" t="s">
        <v>1918</v>
      </c>
      <c r="AM1705" t="s">
        <v>1919</v>
      </c>
      <c r="AN1705" t="s">
        <v>192</v>
      </c>
      <c r="AO1705" t="s">
        <v>657</v>
      </c>
      <c r="AP1705" t="s">
        <v>359</v>
      </c>
      <c r="AQ1705" t="s">
        <v>1920</v>
      </c>
      <c r="AR1705" t="s">
        <v>80</v>
      </c>
      <c r="AS1705">
        <v>702</v>
      </c>
      <c r="AT1705" t="s">
        <v>81</v>
      </c>
      <c r="AU1705">
        <v>22.51</v>
      </c>
      <c r="AV1705">
        <v>-42.93</v>
      </c>
      <c r="AW1705" t="s">
        <v>82</v>
      </c>
      <c r="AX1705">
        <v>702</v>
      </c>
      <c r="AY1705" t="s">
        <v>81</v>
      </c>
      <c r="AZ1705">
        <v>24.25</v>
      </c>
      <c r="BA1705">
        <v>-52.74</v>
      </c>
      <c r="BB1705" t="s">
        <v>83</v>
      </c>
    </row>
    <row r="1706" spans="1:54" x14ac:dyDescent="0.4">
      <c r="A1706">
        <v>1285964</v>
      </c>
      <c r="D1706" t="s">
        <v>498</v>
      </c>
      <c r="E1706" t="s">
        <v>55</v>
      </c>
      <c r="G1706">
        <v>1</v>
      </c>
      <c r="H1706" t="s">
        <v>56</v>
      </c>
      <c r="I1706" t="s">
        <v>57</v>
      </c>
      <c r="K1706" t="s">
        <v>2135</v>
      </c>
      <c r="L1706" t="s">
        <v>2606</v>
      </c>
      <c r="M1706" t="s">
        <v>60</v>
      </c>
      <c r="P1706" t="s">
        <v>511</v>
      </c>
      <c r="Q1706" t="s">
        <v>1536</v>
      </c>
      <c r="R1706" t="s">
        <v>512</v>
      </c>
      <c r="S1706" t="s">
        <v>123</v>
      </c>
      <c r="T1706">
        <v>259.51</v>
      </c>
      <c r="U1706">
        <v>251.90199999999999</v>
      </c>
      <c r="V1706">
        <f t="shared" si="52"/>
        <v>255.70599999999999</v>
      </c>
      <c r="W1706">
        <f t="shared" si="53"/>
        <v>7.6080000000000041</v>
      </c>
      <c r="X1706">
        <v>44.416668000000001</v>
      </c>
      <c r="Y1706">
        <v>-24</v>
      </c>
      <c r="Z1706" t="s">
        <v>124</v>
      </c>
      <c r="AA1706" t="s">
        <v>1913</v>
      </c>
      <c r="AB1706" t="s">
        <v>1914</v>
      </c>
      <c r="AD1706" t="s">
        <v>1915</v>
      </c>
      <c r="AE1706" t="s">
        <v>1916</v>
      </c>
      <c r="AH1706" t="s">
        <v>72</v>
      </c>
      <c r="AI1706" t="s">
        <v>2595</v>
      </c>
      <c r="AJ1706">
        <v>1926</v>
      </c>
      <c r="AK1706" t="s">
        <v>1918</v>
      </c>
      <c r="AM1706" t="s">
        <v>1919</v>
      </c>
      <c r="AN1706" t="s">
        <v>192</v>
      </c>
      <c r="AO1706" t="s">
        <v>657</v>
      </c>
      <c r="AP1706" t="s">
        <v>359</v>
      </c>
      <c r="AQ1706" t="s">
        <v>1920</v>
      </c>
      <c r="AR1706" t="s">
        <v>80</v>
      </c>
      <c r="AS1706">
        <v>702</v>
      </c>
      <c r="AT1706" t="s">
        <v>81</v>
      </c>
      <c r="AU1706">
        <v>22.51</v>
      </c>
      <c r="AV1706">
        <v>-42.93</v>
      </c>
      <c r="AW1706" t="s">
        <v>82</v>
      </c>
      <c r="AX1706">
        <v>702</v>
      </c>
      <c r="AY1706" t="s">
        <v>81</v>
      </c>
      <c r="AZ1706">
        <v>24.25</v>
      </c>
      <c r="BA1706">
        <v>-52.74</v>
      </c>
      <c r="BB1706" t="s">
        <v>83</v>
      </c>
    </row>
    <row r="1707" spans="1:54" x14ac:dyDescent="0.4">
      <c r="A1707">
        <v>1285964</v>
      </c>
      <c r="D1707" t="s">
        <v>498</v>
      </c>
      <c r="E1707" t="s">
        <v>55</v>
      </c>
      <c r="G1707">
        <v>1</v>
      </c>
      <c r="H1707" t="s">
        <v>56</v>
      </c>
      <c r="I1707" t="s">
        <v>57</v>
      </c>
      <c r="K1707" t="s">
        <v>2135</v>
      </c>
      <c r="L1707" t="s">
        <v>2606</v>
      </c>
      <c r="M1707" t="s">
        <v>60</v>
      </c>
      <c r="P1707" t="s">
        <v>511</v>
      </c>
      <c r="Q1707" t="s">
        <v>1536</v>
      </c>
      <c r="R1707" t="s">
        <v>512</v>
      </c>
      <c r="S1707" t="s">
        <v>123</v>
      </c>
      <c r="T1707">
        <v>259.51</v>
      </c>
      <c r="U1707">
        <v>251.90199999999999</v>
      </c>
      <c r="V1707">
        <f t="shared" si="52"/>
        <v>255.70599999999999</v>
      </c>
      <c r="W1707">
        <f t="shared" si="53"/>
        <v>7.6080000000000041</v>
      </c>
      <c r="X1707">
        <v>44.416668000000001</v>
      </c>
      <c r="Y1707">
        <v>-24</v>
      </c>
      <c r="Z1707" t="s">
        <v>124</v>
      </c>
      <c r="AA1707" t="s">
        <v>1913</v>
      </c>
      <c r="AB1707" t="s">
        <v>1914</v>
      </c>
      <c r="AD1707" t="s">
        <v>1915</v>
      </c>
      <c r="AE1707" t="s">
        <v>1916</v>
      </c>
      <c r="AH1707" t="s">
        <v>72</v>
      </c>
      <c r="AI1707" t="s">
        <v>2595</v>
      </c>
      <c r="AJ1707">
        <v>1926</v>
      </c>
      <c r="AK1707" t="s">
        <v>1918</v>
      </c>
      <c r="AM1707" t="s">
        <v>1919</v>
      </c>
      <c r="AN1707" t="s">
        <v>192</v>
      </c>
      <c r="AO1707" t="s">
        <v>657</v>
      </c>
      <c r="AP1707" t="s">
        <v>359</v>
      </c>
      <c r="AQ1707" t="s">
        <v>1920</v>
      </c>
      <c r="AR1707" t="s">
        <v>80</v>
      </c>
      <c r="AS1707">
        <v>702</v>
      </c>
      <c r="AT1707" t="s">
        <v>81</v>
      </c>
      <c r="AU1707">
        <v>22.51</v>
      </c>
      <c r="AV1707">
        <v>-42.93</v>
      </c>
      <c r="AW1707" t="s">
        <v>82</v>
      </c>
      <c r="AX1707">
        <v>702</v>
      </c>
      <c r="AY1707" t="s">
        <v>81</v>
      </c>
      <c r="AZ1707">
        <v>24.25</v>
      </c>
      <c r="BA1707">
        <v>-52.74</v>
      </c>
      <c r="BB1707" t="s">
        <v>83</v>
      </c>
    </row>
    <row r="1708" spans="1:54" x14ac:dyDescent="0.4">
      <c r="A1708">
        <v>1285964</v>
      </c>
      <c r="D1708" t="s">
        <v>498</v>
      </c>
      <c r="E1708" t="s">
        <v>55</v>
      </c>
      <c r="G1708">
        <v>1</v>
      </c>
      <c r="H1708" t="s">
        <v>56</v>
      </c>
      <c r="I1708" t="s">
        <v>57</v>
      </c>
      <c r="K1708" t="s">
        <v>2135</v>
      </c>
      <c r="L1708" t="s">
        <v>2606</v>
      </c>
      <c r="M1708" t="s">
        <v>60</v>
      </c>
      <c r="P1708" t="s">
        <v>511</v>
      </c>
      <c r="Q1708" t="s">
        <v>1536</v>
      </c>
      <c r="R1708" t="s">
        <v>512</v>
      </c>
      <c r="S1708" t="s">
        <v>123</v>
      </c>
      <c r="T1708">
        <v>259.51</v>
      </c>
      <c r="U1708">
        <v>251.90199999999999</v>
      </c>
      <c r="V1708">
        <f t="shared" si="52"/>
        <v>255.70599999999999</v>
      </c>
      <c r="W1708">
        <f t="shared" si="53"/>
        <v>7.6080000000000041</v>
      </c>
      <c r="X1708">
        <v>44.416668000000001</v>
      </c>
      <c r="Y1708">
        <v>-24</v>
      </c>
      <c r="Z1708" t="s">
        <v>124</v>
      </c>
      <c r="AA1708" t="s">
        <v>1913</v>
      </c>
      <c r="AB1708" t="s">
        <v>1914</v>
      </c>
      <c r="AD1708" t="s">
        <v>1915</v>
      </c>
      <c r="AE1708" t="s">
        <v>1916</v>
      </c>
      <c r="AH1708" t="s">
        <v>72</v>
      </c>
      <c r="AI1708" t="s">
        <v>2595</v>
      </c>
      <c r="AJ1708">
        <v>1926</v>
      </c>
      <c r="AK1708" t="s">
        <v>1918</v>
      </c>
      <c r="AM1708" t="s">
        <v>1919</v>
      </c>
      <c r="AN1708" t="s">
        <v>192</v>
      </c>
      <c r="AO1708" t="s">
        <v>657</v>
      </c>
      <c r="AP1708" t="s">
        <v>359</v>
      </c>
      <c r="AQ1708" t="s">
        <v>1920</v>
      </c>
      <c r="AR1708" t="s">
        <v>80</v>
      </c>
      <c r="AS1708">
        <v>702</v>
      </c>
      <c r="AT1708" t="s">
        <v>81</v>
      </c>
      <c r="AU1708">
        <v>22.51</v>
      </c>
      <c r="AV1708">
        <v>-42.93</v>
      </c>
      <c r="AW1708" t="s">
        <v>82</v>
      </c>
      <c r="AX1708">
        <v>702</v>
      </c>
      <c r="AY1708" t="s">
        <v>81</v>
      </c>
      <c r="AZ1708">
        <v>24.25</v>
      </c>
      <c r="BA1708">
        <v>-52.74</v>
      </c>
      <c r="BB1708" t="s">
        <v>83</v>
      </c>
    </row>
    <row r="1709" spans="1:54" x14ac:dyDescent="0.4">
      <c r="A1709">
        <v>1285964</v>
      </c>
      <c r="D1709" t="s">
        <v>498</v>
      </c>
      <c r="E1709" t="s">
        <v>55</v>
      </c>
      <c r="G1709">
        <v>1</v>
      </c>
      <c r="H1709" t="s">
        <v>56</v>
      </c>
      <c r="I1709" t="s">
        <v>57</v>
      </c>
      <c r="K1709" t="s">
        <v>2135</v>
      </c>
      <c r="L1709" t="s">
        <v>2606</v>
      </c>
      <c r="M1709" t="s">
        <v>60</v>
      </c>
      <c r="P1709" t="s">
        <v>511</v>
      </c>
      <c r="Q1709" t="s">
        <v>1536</v>
      </c>
      <c r="R1709" t="s">
        <v>512</v>
      </c>
      <c r="S1709" t="s">
        <v>123</v>
      </c>
      <c r="T1709">
        <v>259.51</v>
      </c>
      <c r="U1709">
        <v>251.90199999999999</v>
      </c>
      <c r="V1709">
        <f t="shared" si="52"/>
        <v>255.70599999999999</v>
      </c>
      <c r="W1709">
        <f t="shared" si="53"/>
        <v>7.6080000000000041</v>
      </c>
      <c r="X1709">
        <v>44.416668000000001</v>
      </c>
      <c r="Y1709">
        <v>-24</v>
      </c>
      <c r="Z1709" t="s">
        <v>124</v>
      </c>
      <c r="AA1709" t="s">
        <v>1913</v>
      </c>
      <c r="AB1709" t="s">
        <v>1914</v>
      </c>
      <c r="AD1709" t="s">
        <v>1915</v>
      </c>
      <c r="AE1709" t="s">
        <v>1916</v>
      </c>
      <c r="AH1709" t="s">
        <v>72</v>
      </c>
      <c r="AI1709" t="s">
        <v>2595</v>
      </c>
      <c r="AJ1709">
        <v>1926</v>
      </c>
      <c r="AK1709" t="s">
        <v>1918</v>
      </c>
      <c r="AM1709" t="s">
        <v>1919</v>
      </c>
      <c r="AN1709" t="s">
        <v>192</v>
      </c>
      <c r="AO1709" t="s">
        <v>657</v>
      </c>
      <c r="AP1709" t="s">
        <v>359</v>
      </c>
      <c r="AQ1709" t="s">
        <v>1920</v>
      </c>
      <c r="AR1709" t="s">
        <v>80</v>
      </c>
      <c r="AS1709">
        <v>702</v>
      </c>
      <c r="AT1709" t="s">
        <v>81</v>
      </c>
      <c r="AU1709">
        <v>22.51</v>
      </c>
      <c r="AV1709">
        <v>-42.93</v>
      </c>
      <c r="AW1709" t="s">
        <v>82</v>
      </c>
      <c r="AX1709">
        <v>702</v>
      </c>
      <c r="AY1709" t="s">
        <v>81</v>
      </c>
      <c r="AZ1709">
        <v>24.25</v>
      </c>
      <c r="BA1709">
        <v>-52.74</v>
      </c>
      <c r="BB1709" t="s">
        <v>83</v>
      </c>
    </row>
    <row r="1710" spans="1:54" x14ac:dyDescent="0.4">
      <c r="A1710">
        <v>1285964</v>
      </c>
      <c r="D1710" t="s">
        <v>498</v>
      </c>
      <c r="E1710" t="s">
        <v>55</v>
      </c>
      <c r="G1710">
        <v>1</v>
      </c>
      <c r="H1710" t="s">
        <v>56</v>
      </c>
      <c r="I1710" t="s">
        <v>57</v>
      </c>
      <c r="K1710" t="s">
        <v>2135</v>
      </c>
      <c r="L1710" t="s">
        <v>2606</v>
      </c>
      <c r="M1710" t="s">
        <v>60</v>
      </c>
      <c r="P1710" t="s">
        <v>511</v>
      </c>
      <c r="Q1710" t="s">
        <v>1536</v>
      </c>
      <c r="R1710" t="s">
        <v>512</v>
      </c>
      <c r="S1710" t="s">
        <v>123</v>
      </c>
      <c r="T1710">
        <v>259.51</v>
      </c>
      <c r="U1710">
        <v>251.90199999999999</v>
      </c>
      <c r="V1710">
        <f t="shared" si="52"/>
        <v>255.70599999999999</v>
      </c>
      <c r="W1710">
        <f t="shared" si="53"/>
        <v>7.6080000000000041</v>
      </c>
      <c r="X1710">
        <v>44.416668000000001</v>
      </c>
      <c r="Y1710">
        <v>-24</v>
      </c>
      <c r="Z1710" t="s">
        <v>124</v>
      </c>
      <c r="AA1710" t="s">
        <v>1913</v>
      </c>
      <c r="AB1710" t="s">
        <v>1914</v>
      </c>
      <c r="AD1710" t="s">
        <v>1915</v>
      </c>
      <c r="AE1710" t="s">
        <v>1916</v>
      </c>
      <c r="AH1710" t="s">
        <v>72</v>
      </c>
      <c r="AI1710" t="s">
        <v>2595</v>
      </c>
      <c r="AJ1710">
        <v>1926</v>
      </c>
      <c r="AK1710" t="s">
        <v>1918</v>
      </c>
      <c r="AM1710" t="s">
        <v>1919</v>
      </c>
      <c r="AN1710" t="s">
        <v>192</v>
      </c>
      <c r="AO1710" t="s">
        <v>657</v>
      </c>
      <c r="AP1710" t="s">
        <v>359</v>
      </c>
      <c r="AQ1710" t="s">
        <v>1920</v>
      </c>
      <c r="AR1710" t="s">
        <v>80</v>
      </c>
      <c r="AS1710">
        <v>702</v>
      </c>
      <c r="AT1710" t="s">
        <v>81</v>
      </c>
      <c r="AU1710">
        <v>22.51</v>
      </c>
      <c r="AV1710">
        <v>-42.93</v>
      </c>
      <c r="AW1710" t="s">
        <v>82</v>
      </c>
      <c r="AX1710">
        <v>702</v>
      </c>
      <c r="AY1710" t="s">
        <v>81</v>
      </c>
      <c r="AZ1710">
        <v>24.25</v>
      </c>
      <c r="BA1710">
        <v>-52.74</v>
      </c>
      <c r="BB1710" t="s">
        <v>83</v>
      </c>
    </row>
    <row r="1711" spans="1:54" x14ac:dyDescent="0.4">
      <c r="A1711">
        <v>1285964</v>
      </c>
      <c r="D1711" t="s">
        <v>498</v>
      </c>
      <c r="E1711" t="s">
        <v>55</v>
      </c>
      <c r="G1711">
        <v>1</v>
      </c>
      <c r="H1711" t="s">
        <v>56</v>
      </c>
      <c r="I1711" t="s">
        <v>57</v>
      </c>
      <c r="K1711" t="s">
        <v>2135</v>
      </c>
      <c r="L1711" t="s">
        <v>2606</v>
      </c>
      <c r="M1711" t="s">
        <v>60</v>
      </c>
      <c r="P1711" t="s">
        <v>511</v>
      </c>
      <c r="Q1711" t="s">
        <v>1536</v>
      </c>
      <c r="R1711" t="s">
        <v>512</v>
      </c>
      <c r="S1711" t="s">
        <v>123</v>
      </c>
      <c r="T1711">
        <v>259.51</v>
      </c>
      <c r="U1711">
        <v>251.90199999999999</v>
      </c>
      <c r="V1711">
        <f t="shared" si="52"/>
        <v>255.70599999999999</v>
      </c>
      <c r="W1711">
        <f t="shared" si="53"/>
        <v>7.6080000000000041</v>
      </c>
      <c r="X1711">
        <v>44.416668000000001</v>
      </c>
      <c r="Y1711">
        <v>-24</v>
      </c>
      <c r="Z1711" t="s">
        <v>124</v>
      </c>
      <c r="AA1711" t="s">
        <v>1913</v>
      </c>
      <c r="AB1711" t="s">
        <v>1914</v>
      </c>
      <c r="AD1711" t="s">
        <v>1915</v>
      </c>
      <c r="AE1711" t="s">
        <v>1916</v>
      </c>
      <c r="AH1711" t="s">
        <v>72</v>
      </c>
      <c r="AI1711" t="s">
        <v>2595</v>
      </c>
      <c r="AJ1711">
        <v>1926</v>
      </c>
      <c r="AK1711" t="s">
        <v>1918</v>
      </c>
      <c r="AM1711" t="s">
        <v>1919</v>
      </c>
      <c r="AN1711" t="s">
        <v>192</v>
      </c>
      <c r="AO1711" t="s">
        <v>657</v>
      </c>
      <c r="AP1711" t="s">
        <v>359</v>
      </c>
      <c r="AQ1711" t="s">
        <v>1920</v>
      </c>
      <c r="AR1711" t="s">
        <v>80</v>
      </c>
      <c r="AS1711">
        <v>702</v>
      </c>
      <c r="AT1711" t="s">
        <v>81</v>
      </c>
      <c r="AU1711">
        <v>22.51</v>
      </c>
      <c r="AV1711">
        <v>-42.93</v>
      </c>
      <c r="AW1711" t="s">
        <v>82</v>
      </c>
      <c r="AX1711">
        <v>702</v>
      </c>
      <c r="AY1711" t="s">
        <v>81</v>
      </c>
      <c r="AZ1711">
        <v>24.25</v>
      </c>
      <c r="BA1711">
        <v>-52.74</v>
      </c>
      <c r="BB1711" t="s">
        <v>83</v>
      </c>
    </row>
    <row r="1712" spans="1:54" x14ac:dyDescent="0.4">
      <c r="A1712">
        <v>1285964</v>
      </c>
      <c r="D1712" t="s">
        <v>498</v>
      </c>
      <c r="E1712" t="s">
        <v>55</v>
      </c>
      <c r="G1712">
        <v>1</v>
      </c>
      <c r="H1712" t="s">
        <v>56</v>
      </c>
      <c r="I1712" t="s">
        <v>57</v>
      </c>
      <c r="K1712" t="s">
        <v>2135</v>
      </c>
      <c r="L1712" t="s">
        <v>2606</v>
      </c>
      <c r="M1712" t="s">
        <v>60</v>
      </c>
      <c r="P1712" t="s">
        <v>511</v>
      </c>
      <c r="Q1712" t="s">
        <v>1536</v>
      </c>
      <c r="R1712" t="s">
        <v>512</v>
      </c>
      <c r="S1712" t="s">
        <v>123</v>
      </c>
      <c r="T1712">
        <v>259.51</v>
      </c>
      <c r="U1712">
        <v>251.90199999999999</v>
      </c>
      <c r="V1712">
        <f t="shared" si="52"/>
        <v>255.70599999999999</v>
      </c>
      <c r="W1712">
        <f t="shared" si="53"/>
        <v>7.6080000000000041</v>
      </c>
      <c r="X1712">
        <v>44.416668000000001</v>
      </c>
      <c r="Y1712">
        <v>-24</v>
      </c>
      <c r="Z1712" t="s">
        <v>124</v>
      </c>
      <c r="AA1712" t="s">
        <v>1913</v>
      </c>
      <c r="AB1712" t="s">
        <v>1914</v>
      </c>
      <c r="AD1712" t="s">
        <v>1915</v>
      </c>
      <c r="AE1712" t="s">
        <v>1916</v>
      </c>
      <c r="AH1712" t="s">
        <v>72</v>
      </c>
      <c r="AI1712" t="s">
        <v>2595</v>
      </c>
      <c r="AJ1712">
        <v>1926</v>
      </c>
      <c r="AK1712" t="s">
        <v>1918</v>
      </c>
      <c r="AM1712" t="s">
        <v>1919</v>
      </c>
      <c r="AN1712" t="s">
        <v>192</v>
      </c>
      <c r="AO1712" t="s">
        <v>657</v>
      </c>
      <c r="AP1712" t="s">
        <v>359</v>
      </c>
      <c r="AQ1712" t="s">
        <v>1920</v>
      </c>
      <c r="AR1712" t="s">
        <v>80</v>
      </c>
      <c r="AS1712">
        <v>702</v>
      </c>
      <c r="AT1712" t="s">
        <v>81</v>
      </c>
      <c r="AU1712">
        <v>22.51</v>
      </c>
      <c r="AV1712">
        <v>-42.93</v>
      </c>
      <c r="AW1712" t="s">
        <v>82</v>
      </c>
      <c r="AX1712">
        <v>702</v>
      </c>
      <c r="AY1712" t="s">
        <v>81</v>
      </c>
      <c r="AZ1712">
        <v>24.25</v>
      </c>
      <c r="BA1712">
        <v>-52.74</v>
      </c>
      <c r="BB1712" t="s">
        <v>83</v>
      </c>
    </row>
    <row r="1713" spans="1:54" x14ac:dyDescent="0.4">
      <c r="A1713">
        <v>1285964</v>
      </c>
      <c r="D1713" t="s">
        <v>498</v>
      </c>
      <c r="E1713" t="s">
        <v>55</v>
      </c>
      <c r="G1713">
        <v>1</v>
      </c>
      <c r="H1713" t="s">
        <v>56</v>
      </c>
      <c r="I1713" t="s">
        <v>57</v>
      </c>
      <c r="K1713" t="s">
        <v>2135</v>
      </c>
      <c r="L1713" t="s">
        <v>2606</v>
      </c>
      <c r="M1713" t="s">
        <v>60</v>
      </c>
      <c r="P1713" t="s">
        <v>511</v>
      </c>
      <c r="Q1713" t="s">
        <v>1536</v>
      </c>
      <c r="R1713" t="s">
        <v>512</v>
      </c>
      <c r="S1713" t="s">
        <v>123</v>
      </c>
      <c r="T1713">
        <v>259.51</v>
      </c>
      <c r="U1713">
        <v>251.90199999999999</v>
      </c>
      <c r="V1713">
        <f t="shared" si="52"/>
        <v>255.70599999999999</v>
      </c>
      <c r="W1713">
        <f t="shared" si="53"/>
        <v>7.6080000000000041</v>
      </c>
      <c r="X1713">
        <v>44.416668000000001</v>
      </c>
      <c r="Y1713">
        <v>-24</v>
      </c>
      <c r="Z1713" t="s">
        <v>124</v>
      </c>
      <c r="AA1713" t="s">
        <v>1913</v>
      </c>
      <c r="AB1713" t="s">
        <v>1914</v>
      </c>
      <c r="AD1713" t="s">
        <v>1915</v>
      </c>
      <c r="AE1713" t="s">
        <v>1916</v>
      </c>
      <c r="AH1713" t="s">
        <v>72</v>
      </c>
      <c r="AI1713" t="s">
        <v>2595</v>
      </c>
      <c r="AJ1713">
        <v>1926</v>
      </c>
      <c r="AK1713" t="s">
        <v>1918</v>
      </c>
      <c r="AM1713" t="s">
        <v>1919</v>
      </c>
      <c r="AN1713" t="s">
        <v>192</v>
      </c>
      <c r="AO1713" t="s">
        <v>657</v>
      </c>
      <c r="AP1713" t="s">
        <v>359</v>
      </c>
      <c r="AQ1713" t="s">
        <v>1920</v>
      </c>
      <c r="AR1713" t="s">
        <v>80</v>
      </c>
      <c r="AS1713">
        <v>702</v>
      </c>
      <c r="AT1713" t="s">
        <v>81</v>
      </c>
      <c r="AU1713">
        <v>22.51</v>
      </c>
      <c r="AV1713">
        <v>-42.93</v>
      </c>
      <c r="AW1713" t="s">
        <v>82</v>
      </c>
      <c r="AX1713">
        <v>702</v>
      </c>
      <c r="AY1713" t="s">
        <v>81</v>
      </c>
      <c r="AZ1713">
        <v>24.25</v>
      </c>
      <c r="BA1713">
        <v>-52.74</v>
      </c>
      <c r="BB1713" t="s">
        <v>83</v>
      </c>
    </row>
    <row r="1714" spans="1:54" x14ac:dyDescent="0.4">
      <c r="A1714">
        <v>1285964</v>
      </c>
      <c r="D1714" t="s">
        <v>498</v>
      </c>
      <c r="E1714" t="s">
        <v>55</v>
      </c>
      <c r="G1714">
        <v>1</v>
      </c>
      <c r="H1714" t="s">
        <v>56</v>
      </c>
      <c r="I1714" t="s">
        <v>57</v>
      </c>
      <c r="K1714" t="s">
        <v>2135</v>
      </c>
      <c r="L1714" t="s">
        <v>2606</v>
      </c>
      <c r="M1714" t="s">
        <v>60</v>
      </c>
      <c r="P1714" t="s">
        <v>511</v>
      </c>
      <c r="Q1714" t="s">
        <v>1536</v>
      </c>
      <c r="R1714" t="s">
        <v>512</v>
      </c>
      <c r="S1714" t="s">
        <v>123</v>
      </c>
      <c r="T1714">
        <v>259.51</v>
      </c>
      <c r="U1714">
        <v>251.90199999999999</v>
      </c>
      <c r="V1714">
        <f t="shared" si="52"/>
        <v>255.70599999999999</v>
      </c>
      <c r="W1714">
        <f t="shared" si="53"/>
        <v>7.6080000000000041</v>
      </c>
      <c r="X1714">
        <v>44.416668000000001</v>
      </c>
      <c r="Y1714">
        <v>-24</v>
      </c>
      <c r="Z1714" t="s">
        <v>124</v>
      </c>
      <c r="AA1714" t="s">
        <v>1913</v>
      </c>
      <c r="AB1714" t="s">
        <v>1914</v>
      </c>
      <c r="AD1714" t="s">
        <v>1915</v>
      </c>
      <c r="AE1714" t="s">
        <v>1916</v>
      </c>
      <c r="AH1714" t="s">
        <v>72</v>
      </c>
      <c r="AI1714" t="s">
        <v>2595</v>
      </c>
      <c r="AJ1714">
        <v>1926</v>
      </c>
      <c r="AK1714" t="s">
        <v>1918</v>
      </c>
      <c r="AM1714" t="s">
        <v>1919</v>
      </c>
      <c r="AN1714" t="s">
        <v>192</v>
      </c>
      <c r="AO1714" t="s">
        <v>657</v>
      </c>
      <c r="AP1714" t="s">
        <v>359</v>
      </c>
      <c r="AQ1714" t="s">
        <v>1920</v>
      </c>
      <c r="AR1714" t="s">
        <v>80</v>
      </c>
      <c r="AS1714">
        <v>702</v>
      </c>
      <c r="AT1714" t="s">
        <v>81</v>
      </c>
      <c r="AU1714">
        <v>22.51</v>
      </c>
      <c r="AV1714">
        <v>-42.93</v>
      </c>
      <c r="AW1714" t="s">
        <v>82</v>
      </c>
      <c r="AX1714">
        <v>702</v>
      </c>
      <c r="AY1714" t="s">
        <v>81</v>
      </c>
      <c r="AZ1714">
        <v>24.25</v>
      </c>
      <c r="BA1714">
        <v>-52.74</v>
      </c>
      <c r="BB1714" t="s">
        <v>83</v>
      </c>
    </row>
    <row r="1715" spans="1:54" x14ac:dyDescent="0.4">
      <c r="A1715">
        <v>1285964</v>
      </c>
      <c r="D1715" t="s">
        <v>498</v>
      </c>
      <c r="E1715" t="s">
        <v>55</v>
      </c>
      <c r="G1715">
        <v>1</v>
      </c>
      <c r="H1715" t="s">
        <v>56</v>
      </c>
      <c r="I1715" t="s">
        <v>57</v>
      </c>
      <c r="K1715" t="s">
        <v>2135</v>
      </c>
      <c r="L1715" t="s">
        <v>2606</v>
      </c>
      <c r="M1715" t="s">
        <v>60</v>
      </c>
      <c r="P1715" t="s">
        <v>511</v>
      </c>
      <c r="Q1715" t="s">
        <v>1536</v>
      </c>
      <c r="R1715" t="s">
        <v>512</v>
      </c>
      <c r="S1715" t="s">
        <v>123</v>
      </c>
      <c r="T1715">
        <v>259.51</v>
      </c>
      <c r="U1715">
        <v>251.90199999999999</v>
      </c>
      <c r="V1715">
        <f t="shared" si="52"/>
        <v>255.70599999999999</v>
      </c>
      <c r="W1715">
        <f t="shared" si="53"/>
        <v>7.6080000000000041</v>
      </c>
      <c r="X1715">
        <v>44.416668000000001</v>
      </c>
      <c r="Y1715">
        <v>-24</v>
      </c>
      <c r="Z1715" t="s">
        <v>124</v>
      </c>
      <c r="AA1715" t="s">
        <v>1913</v>
      </c>
      <c r="AB1715" t="s">
        <v>1914</v>
      </c>
      <c r="AD1715" t="s">
        <v>1915</v>
      </c>
      <c r="AE1715" t="s">
        <v>1916</v>
      </c>
      <c r="AH1715" t="s">
        <v>72</v>
      </c>
      <c r="AI1715" t="s">
        <v>2595</v>
      </c>
      <c r="AJ1715">
        <v>1926</v>
      </c>
      <c r="AK1715" t="s">
        <v>1918</v>
      </c>
      <c r="AM1715" t="s">
        <v>1919</v>
      </c>
      <c r="AN1715" t="s">
        <v>192</v>
      </c>
      <c r="AO1715" t="s">
        <v>657</v>
      </c>
      <c r="AP1715" t="s">
        <v>359</v>
      </c>
      <c r="AQ1715" t="s">
        <v>1920</v>
      </c>
      <c r="AR1715" t="s">
        <v>80</v>
      </c>
      <c r="AS1715">
        <v>702</v>
      </c>
      <c r="AT1715" t="s">
        <v>81</v>
      </c>
      <c r="AU1715">
        <v>22.51</v>
      </c>
      <c r="AV1715">
        <v>-42.93</v>
      </c>
      <c r="AW1715" t="s">
        <v>82</v>
      </c>
      <c r="AX1715">
        <v>702</v>
      </c>
      <c r="AY1715" t="s">
        <v>81</v>
      </c>
      <c r="AZ1715">
        <v>24.25</v>
      </c>
      <c r="BA1715">
        <v>-52.74</v>
      </c>
      <c r="BB1715" t="s">
        <v>83</v>
      </c>
    </row>
    <row r="1716" spans="1:54" x14ac:dyDescent="0.4">
      <c r="A1716">
        <v>1285964</v>
      </c>
      <c r="D1716" t="s">
        <v>498</v>
      </c>
      <c r="E1716" t="s">
        <v>55</v>
      </c>
      <c r="G1716">
        <v>1</v>
      </c>
      <c r="H1716" t="s">
        <v>56</v>
      </c>
      <c r="I1716" t="s">
        <v>57</v>
      </c>
      <c r="K1716" t="s">
        <v>2135</v>
      </c>
      <c r="L1716" t="s">
        <v>2606</v>
      </c>
      <c r="M1716" t="s">
        <v>60</v>
      </c>
      <c r="P1716" t="s">
        <v>511</v>
      </c>
      <c r="Q1716" t="s">
        <v>1536</v>
      </c>
      <c r="R1716" t="s">
        <v>512</v>
      </c>
      <c r="S1716" t="s">
        <v>123</v>
      </c>
      <c r="T1716">
        <v>259.51</v>
      </c>
      <c r="U1716">
        <v>251.90199999999999</v>
      </c>
      <c r="V1716">
        <f t="shared" si="52"/>
        <v>255.70599999999999</v>
      </c>
      <c r="W1716">
        <f t="shared" si="53"/>
        <v>7.6080000000000041</v>
      </c>
      <c r="X1716">
        <v>44.416668000000001</v>
      </c>
      <c r="Y1716">
        <v>-24</v>
      </c>
      <c r="Z1716" t="s">
        <v>124</v>
      </c>
      <c r="AA1716" t="s">
        <v>1913</v>
      </c>
      <c r="AB1716" t="s">
        <v>1914</v>
      </c>
      <c r="AD1716" t="s">
        <v>1915</v>
      </c>
      <c r="AE1716" t="s">
        <v>1916</v>
      </c>
      <c r="AH1716" t="s">
        <v>72</v>
      </c>
      <c r="AI1716" t="s">
        <v>2595</v>
      </c>
      <c r="AJ1716">
        <v>1926</v>
      </c>
      <c r="AK1716" t="s">
        <v>1918</v>
      </c>
      <c r="AM1716" t="s">
        <v>1919</v>
      </c>
      <c r="AN1716" t="s">
        <v>192</v>
      </c>
      <c r="AO1716" t="s">
        <v>657</v>
      </c>
      <c r="AP1716" t="s">
        <v>359</v>
      </c>
      <c r="AQ1716" t="s">
        <v>1920</v>
      </c>
      <c r="AR1716" t="s">
        <v>80</v>
      </c>
      <c r="AS1716">
        <v>702</v>
      </c>
      <c r="AT1716" t="s">
        <v>81</v>
      </c>
      <c r="AU1716">
        <v>22.51</v>
      </c>
      <c r="AV1716">
        <v>-42.93</v>
      </c>
      <c r="AW1716" t="s">
        <v>82</v>
      </c>
      <c r="AX1716">
        <v>702</v>
      </c>
      <c r="AY1716" t="s">
        <v>81</v>
      </c>
      <c r="AZ1716">
        <v>24.25</v>
      </c>
      <c r="BA1716">
        <v>-52.74</v>
      </c>
      <c r="BB1716" t="s">
        <v>83</v>
      </c>
    </row>
    <row r="1717" spans="1:54" x14ac:dyDescent="0.4">
      <c r="A1717">
        <v>1285964</v>
      </c>
      <c r="D1717" t="s">
        <v>498</v>
      </c>
      <c r="E1717" t="s">
        <v>55</v>
      </c>
      <c r="G1717">
        <v>1</v>
      </c>
      <c r="H1717" t="s">
        <v>56</v>
      </c>
      <c r="I1717" t="s">
        <v>57</v>
      </c>
      <c r="K1717" t="s">
        <v>2135</v>
      </c>
      <c r="L1717" t="s">
        <v>2606</v>
      </c>
      <c r="M1717" t="s">
        <v>60</v>
      </c>
      <c r="P1717" t="s">
        <v>511</v>
      </c>
      <c r="Q1717" t="s">
        <v>1536</v>
      </c>
      <c r="R1717" t="s">
        <v>512</v>
      </c>
      <c r="S1717" t="s">
        <v>123</v>
      </c>
      <c r="T1717">
        <v>259.51</v>
      </c>
      <c r="U1717">
        <v>251.90199999999999</v>
      </c>
      <c r="V1717">
        <f t="shared" si="52"/>
        <v>255.70599999999999</v>
      </c>
      <c r="W1717">
        <f t="shared" si="53"/>
        <v>7.6080000000000041</v>
      </c>
      <c r="X1717">
        <v>44.416668000000001</v>
      </c>
      <c r="Y1717">
        <v>-24</v>
      </c>
      <c r="Z1717" t="s">
        <v>124</v>
      </c>
      <c r="AA1717" t="s">
        <v>1913</v>
      </c>
      <c r="AB1717" t="s">
        <v>1914</v>
      </c>
      <c r="AD1717" t="s">
        <v>1915</v>
      </c>
      <c r="AE1717" t="s">
        <v>1916</v>
      </c>
      <c r="AH1717" t="s">
        <v>72</v>
      </c>
      <c r="AI1717" t="s">
        <v>2595</v>
      </c>
      <c r="AJ1717">
        <v>1926</v>
      </c>
      <c r="AK1717" t="s">
        <v>1918</v>
      </c>
      <c r="AM1717" t="s">
        <v>1919</v>
      </c>
      <c r="AN1717" t="s">
        <v>192</v>
      </c>
      <c r="AO1717" t="s">
        <v>657</v>
      </c>
      <c r="AP1717" t="s">
        <v>359</v>
      </c>
      <c r="AQ1717" t="s">
        <v>1920</v>
      </c>
      <c r="AR1717" t="s">
        <v>80</v>
      </c>
      <c r="AS1717">
        <v>702</v>
      </c>
      <c r="AT1717" t="s">
        <v>81</v>
      </c>
      <c r="AU1717">
        <v>22.51</v>
      </c>
      <c r="AV1717">
        <v>-42.93</v>
      </c>
      <c r="AW1717" t="s">
        <v>82</v>
      </c>
      <c r="AX1717">
        <v>702</v>
      </c>
      <c r="AY1717" t="s">
        <v>81</v>
      </c>
      <c r="AZ1717">
        <v>24.25</v>
      </c>
      <c r="BA1717">
        <v>-52.74</v>
      </c>
      <c r="BB1717" t="s">
        <v>83</v>
      </c>
    </row>
    <row r="1718" spans="1:54" x14ac:dyDescent="0.4">
      <c r="A1718">
        <v>1285964</v>
      </c>
      <c r="D1718" t="s">
        <v>498</v>
      </c>
      <c r="E1718" t="s">
        <v>55</v>
      </c>
      <c r="G1718">
        <v>1</v>
      </c>
      <c r="H1718" t="s">
        <v>56</v>
      </c>
      <c r="I1718" t="s">
        <v>57</v>
      </c>
      <c r="K1718" t="s">
        <v>2135</v>
      </c>
      <c r="L1718" t="s">
        <v>2606</v>
      </c>
      <c r="M1718" t="s">
        <v>60</v>
      </c>
      <c r="P1718" t="s">
        <v>511</v>
      </c>
      <c r="Q1718" t="s">
        <v>1536</v>
      </c>
      <c r="R1718" t="s">
        <v>512</v>
      </c>
      <c r="S1718" t="s">
        <v>123</v>
      </c>
      <c r="T1718">
        <v>259.51</v>
      </c>
      <c r="U1718">
        <v>251.90199999999999</v>
      </c>
      <c r="V1718">
        <f t="shared" si="52"/>
        <v>255.70599999999999</v>
      </c>
      <c r="W1718">
        <f t="shared" si="53"/>
        <v>7.6080000000000041</v>
      </c>
      <c r="X1718">
        <v>44.416668000000001</v>
      </c>
      <c r="Y1718">
        <v>-24</v>
      </c>
      <c r="Z1718" t="s">
        <v>124</v>
      </c>
      <c r="AA1718" t="s">
        <v>1913</v>
      </c>
      <c r="AB1718" t="s">
        <v>1914</v>
      </c>
      <c r="AD1718" t="s">
        <v>1915</v>
      </c>
      <c r="AE1718" t="s">
        <v>1916</v>
      </c>
      <c r="AH1718" t="s">
        <v>72</v>
      </c>
      <c r="AI1718" t="s">
        <v>2595</v>
      </c>
      <c r="AJ1718">
        <v>1926</v>
      </c>
      <c r="AK1718" t="s">
        <v>1918</v>
      </c>
      <c r="AM1718" t="s">
        <v>1919</v>
      </c>
      <c r="AN1718" t="s">
        <v>192</v>
      </c>
      <c r="AO1718" t="s">
        <v>657</v>
      </c>
      <c r="AP1718" t="s">
        <v>359</v>
      </c>
      <c r="AQ1718" t="s">
        <v>1920</v>
      </c>
      <c r="AR1718" t="s">
        <v>80</v>
      </c>
      <c r="AS1718">
        <v>702</v>
      </c>
      <c r="AT1718" t="s">
        <v>81</v>
      </c>
      <c r="AU1718">
        <v>22.51</v>
      </c>
      <c r="AV1718">
        <v>-42.93</v>
      </c>
      <c r="AW1718" t="s">
        <v>82</v>
      </c>
      <c r="AX1718">
        <v>702</v>
      </c>
      <c r="AY1718" t="s">
        <v>81</v>
      </c>
      <c r="AZ1718">
        <v>24.25</v>
      </c>
      <c r="BA1718">
        <v>-52.74</v>
      </c>
      <c r="BB1718" t="s">
        <v>83</v>
      </c>
    </row>
    <row r="1719" spans="1:54" x14ac:dyDescent="0.4">
      <c r="A1719">
        <v>1285964</v>
      </c>
      <c r="D1719" t="s">
        <v>498</v>
      </c>
      <c r="E1719" t="s">
        <v>55</v>
      </c>
      <c r="G1719">
        <v>1</v>
      </c>
      <c r="H1719" t="s">
        <v>56</v>
      </c>
      <c r="I1719" t="s">
        <v>57</v>
      </c>
      <c r="K1719" t="s">
        <v>2135</v>
      </c>
      <c r="L1719" t="s">
        <v>2606</v>
      </c>
      <c r="M1719" t="s">
        <v>60</v>
      </c>
      <c r="P1719" t="s">
        <v>511</v>
      </c>
      <c r="Q1719" t="s">
        <v>1536</v>
      </c>
      <c r="R1719" t="s">
        <v>512</v>
      </c>
      <c r="S1719" t="s">
        <v>123</v>
      </c>
      <c r="T1719">
        <v>259.51</v>
      </c>
      <c r="U1719">
        <v>251.90199999999999</v>
      </c>
      <c r="V1719">
        <f t="shared" si="52"/>
        <v>255.70599999999999</v>
      </c>
      <c r="W1719">
        <f t="shared" si="53"/>
        <v>7.6080000000000041</v>
      </c>
      <c r="X1719">
        <v>44.416668000000001</v>
      </c>
      <c r="Y1719">
        <v>-24</v>
      </c>
      <c r="Z1719" t="s">
        <v>124</v>
      </c>
      <c r="AA1719" t="s">
        <v>1913</v>
      </c>
      <c r="AB1719" t="s">
        <v>1914</v>
      </c>
      <c r="AD1719" t="s">
        <v>1915</v>
      </c>
      <c r="AE1719" t="s">
        <v>1916</v>
      </c>
      <c r="AH1719" t="s">
        <v>72</v>
      </c>
      <c r="AI1719" t="s">
        <v>2595</v>
      </c>
      <c r="AJ1719">
        <v>1926</v>
      </c>
      <c r="AK1719" t="s">
        <v>1918</v>
      </c>
      <c r="AM1719" t="s">
        <v>1919</v>
      </c>
      <c r="AN1719" t="s">
        <v>192</v>
      </c>
      <c r="AO1719" t="s">
        <v>657</v>
      </c>
      <c r="AP1719" t="s">
        <v>359</v>
      </c>
      <c r="AQ1719" t="s">
        <v>1920</v>
      </c>
      <c r="AR1719" t="s">
        <v>80</v>
      </c>
      <c r="AS1719">
        <v>702</v>
      </c>
      <c r="AT1719" t="s">
        <v>81</v>
      </c>
      <c r="AU1719">
        <v>22.51</v>
      </c>
      <c r="AV1719">
        <v>-42.93</v>
      </c>
      <c r="AW1719" t="s">
        <v>82</v>
      </c>
      <c r="AX1719">
        <v>702</v>
      </c>
      <c r="AY1719" t="s">
        <v>81</v>
      </c>
      <c r="AZ1719">
        <v>24.25</v>
      </c>
      <c r="BA1719">
        <v>-52.74</v>
      </c>
      <c r="BB1719" t="s">
        <v>83</v>
      </c>
    </row>
    <row r="1720" spans="1:54" x14ac:dyDescent="0.4">
      <c r="A1720">
        <v>1285964</v>
      </c>
      <c r="D1720" t="s">
        <v>498</v>
      </c>
      <c r="E1720" t="s">
        <v>55</v>
      </c>
      <c r="G1720">
        <v>1</v>
      </c>
      <c r="H1720" t="s">
        <v>56</v>
      </c>
      <c r="I1720" t="s">
        <v>57</v>
      </c>
      <c r="K1720" t="s">
        <v>2135</v>
      </c>
      <c r="L1720" t="s">
        <v>2606</v>
      </c>
      <c r="M1720" t="s">
        <v>60</v>
      </c>
      <c r="P1720" t="s">
        <v>511</v>
      </c>
      <c r="Q1720" t="s">
        <v>1536</v>
      </c>
      <c r="R1720" t="s">
        <v>512</v>
      </c>
      <c r="S1720" t="s">
        <v>123</v>
      </c>
      <c r="T1720">
        <v>259.51</v>
      </c>
      <c r="U1720">
        <v>251.90199999999999</v>
      </c>
      <c r="V1720">
        <f t="shared" si="52"/>
        <v>255.70599999999999</v>
      </c>
      <c r="W1720">
        <f t="shared" si="53"/>
        <v>7.6080000000000041</v>
      </c>
      <c r="X1720">
        <v>44.416668000000001</v>
      </c>
      <c r="Y1720">
        <v>-24</v>
      </c>
      <c r="Z1720" t="s">
        <v>124</v>
      </c>
      <c r="AA1720" t="s">
        <v>1913</v>
      </c>
      <c r="AB1720" t="s">
        <v>1914</v>
      </c>
      <c r="AD1720" t="s">
        <v>1915</v>
      </c>
      <c r="AE1720" t="s">
        <v>1916</v>
      </c>
      <c r="AH1720" t="s">
        <v>72</v>
      </c>
      <c r="AI1720" t="s">
        <v>2595</v>
      </c>
      <c r="AJ1720">
        <v>1926</v>
      </c>
      <c r="AK1720" t="s">
        <v>1918</v>
      </c>
      <c r="AM1720" t="s">
        <v>1919</v>
      </c>
      <c r="AN1720" t="s">
        <v>192</v>
      </c>
      <c r="AO1720" t="s">
        <v>657</v>
      </c>
      <c r="AP1720" t="s">
        <v>359</v>
      </c>
      <c r="AQ1720" t="s">
        <v>1920</v>
      </c>
      <c r="AR1720" t="s">
        <v>80</v>
      </c>
      <c r="AS1720">
        <v>702</v>
      </c>
      <c r="AT1720" t="s">
        <v>81</v>
      </c>
      <c r="AU1720">
        <v>22.51</v>
      </c>
      <c r="AV1720">
        <v>-42.93</v>
      </c>
      <c r="AW1720" t="s">
        <v>82</v>
      </c>
      <c r="AX1720">
        <v>702</v>
      </c>
      <c r="AY1720" t="s">
        <v>81</v>
      </c>
      <c r="AZ1720">
        <v>24.25</v>
      </c>
      <c r="BA1720">
        <v>-52.74</v>
      </c>
      <c r="BB1720" t="s">
        <v>83</v>
      </c>
    </row>
    <row r="1721" spans="1:54" x14ac:dyDescent="0.4">
      <c r="A1721">
        <v>1285964</v>
      </c>
      <c r="D1721" t="s">
        <v>498</v>
      </c>
      <c r="E1721" t="s">
        <v>55</v>
      </c>
      <c r="G1721">
        <v>1</v>
      </c>
      <c r="H1721" t="s">
        <v>56</v>
      </c>
      <c r="I1721" t="s">
        <v>57</v>
      </c>
      <c r="K1721" t="s">
        <v>2135</v>
      </c>
      <c r="L1721" t="s">
        <v>2606</v>
      </c>
      <c r="M1721" t="s">
        <v>60</v>
      </c>
      <c r="P1721" t="s">
        <v>511</v>
      </c>
      <c r="Q1721" t="s">
        <v>1536</v>
      </c>
      <c r="R1721" t="s">
        <v>512</v>
      </c>
      <c r="S1721" t="s">
        <v>123</v>
      </c>
      <c r="T1721">
        <v>259.51</v>
      </c>
      <c r="U1721">
        <v>251.90199999999999</v>
      </c>
      <c r="V1721">
        <f t="shared" si="52"/>
        <v>255.70599999999999</v>
      </c>
      <c r="W1721">
        <f t="shared" si="53"/>
        <v>7.6080000000000041</v>
      </c>
      <c r="X1721">
        <v>44.416668000000001</v>
      </c>
      <c r="Y1721">
        <v>-24</v>
      </c>
      <c r="Z1721" t="s">
        <v>124</v>
      </c>
      <c r="AA1721" t="s">
        <v>1913</v>
      </c>
      <c r="AB1721" t="s">
        <v>1914</v>
      </c>
      <c r="AD1721" t="s">
        <v>1915</v>
      </c>
      <c r="AE1721" t="s">
        <v>1916</v>
      </c>
      <c r="AH1721" t="s">
        <v>72</v>
      </c>
      <c r="AI1721" t="s">
        <v>2595</v>
      </c>
      <c r="AJ1721">
        <v>1926</v>
      </c>
      <c r="AK1721" t="s">
        <v>1918</v>
      </c>
      <c r="AM1721" t="s">
        <v>1919</v>
      </c>
      <c r="AN1721" t="s">
        <v>192</v>
      </c>
      <c r="AO1721" t="s">
        <v>657</v>
      </c>
      <c r="AP1721" t="s">
        <v>359</v>
      </c>
      <c r="AQ1721" t="s">
        <v>1920</v>
      </c>
      <c r="AR1721" t="s">
        <v>80</v>
      </c>
      <c r="AS1721">
        <v>702</v>
      </c>
      <c r="AT1721" t="s">
        <v>81</v>
      </c>
      <c r="AU1721">
        <v>22.51</v>
      </c>
      <c r="AV1721">
        <v>-42.93</v>
      </c>
      <c r="AW1721" t="s">
        <v>82</v>
      </c>
      <c r="AX1721">
        <v>702</v>
      </c>
      <c r="AY1721" t="s">
        <v>81</v>
      </c>
      <c r="AZ1721">
        <v>24.25</v>
      </c>
      <c r="BA1721">
        <v>-52.74</v>
      </c>
      <c r="BB1721" t="s">
        <v>83</v>
      </c>
    </row>
    <row r="1722" spans="1:54" x14ac:dyDescent="0.4">
      <c r="A1722">
        <v>1285964</v>
      </c>
      <c r="D1722" t="s">
        <v>498</v>
      </c>
      <c r="E1722" t="s">
        <v>55</v>
      </c>
      <c r="G1722">
        <v>1</v>
      </c>
      <c r="H1722" t="s">
        <v>56</v>
      </c>
      <c r="I1722" t="s">
        <v>57</v>
      </c>
      <c r="K1722" t="s">
        <v>2135</v>
      </c>
      <c r="L1722" t="s">
        <v>2606</v>
      </c>
      <c r="M1722" t="s">
        <v>60</v>
      </c>
      <c r="P1722" t="s">
        <v>511</v>
      </c>
      <c r="Q1722" t="s">
        <v>1536</v>
      </c>
      <c r="R1722" t="s">
        <v>512</v>
      </c>
      <c r="S1722" t="s">
        <v>123</v>
      </c>
      <c r="T1722">
        <v>259.51</v>
      </c>
      <c r="U1722">
        <v>251.90199999999999</v>
      </c>
      <c r="V1722">
        <f t="shared" si="52"/>
        <v>255.70599999999999</v>
      </c>
      <c r="W1722">
        <f t="shared" si="53"/>
        <v>7.6080000000000041</v>
      </c>
      <c r="X1722">
        <v>44.416668000000001</v>
      </c>
      <c r="Y1722">
        <v>-24</v>
      </c>
      <c r="Z1722" t="s">
        <v>124</v>
      </c>
      <c r="AA1722" t="s">
        <v>1913</v>
      </c>
      <c r="AB1722" t="s">
        <v>1914</v>
      </c>
      <c r="AD1722" t="s">
        <v>1915</v>
      </c>
      <c r="AE1722" t="s">
        <v>1916</v>
      </c>
      <c r="AH1722" t="s">
        <v>72</v>
      </c>
      <c r="AI1722" t="s">
        <v>2595</v>
      </c>
      <c r="AJ1722">
        <v>1926</v>
      </c>
      <c r="AK1722" t="s">
        <v>1918</v>
      </c>
      <c r="AM1722" t="s">
        <v>1919</v>
      </c>
      <c r="AN1722" t="s">
        <v>192</v>
      </c>
      <c r="AO1722" t="s">
        <v>657</v>
      </c>
      <c r="AP1722" t="s">
        <v>359</v>
      </c>
      <c r="AQ1722" t="s">
        <v>1920</v>
      </c>
      <c r="AR1722" t="s">
        <v>80</v>
      </c>
      <c r="AS1722">
        <v>702</v>
      </c>
      <c r="AT1722" t="s">
        <v>81</v>
      </c>
      <c r="AU1722">
        <v>22.51</v>
      </c>
      <c r="AV1722">
        <v>-42.93</v>
      </c>
      <c r="AW1722" t="s">
        <v>82</v>
      </c>
      <c r="AX1722">
        <v>702</v>
      </c>
      <c r="AY1722" t="s">
        <v>81</v>
      </c>
      <c r="AZ1722">
        <v>24.25</v>
      </c>
      <c r="BA1722">
        <v>-52.74</v>
      </c>
      <c r="BB1722" t="s">
        <v>83</v>
      </c>
    </row>
    <row r="1723" spans="1:54" x14ac:dyDescent="0.4">
      <c r="A1723">
        <v>1285964</v>
      </c>
      <c r="D1723" t="s">
        <v>498</v>
      </c>
      <c r="E1723" t="s">
        <v>55</v>
      </c>
      <c r="G1723">
        <v>1</v>
      </c>
      <c r="H1723" t="s">
        <v>56</v>
      </c>
      <c r="I1723" t="s">
        <v>57</v>
      </c>
      <c r="K1723" t="s">
        <v>2135</v>
      </c>
      <c r="L1723" t="s">
        <v>2606</v>
      </c>
      <c r="M1723" t="s">
        <v>60</v>
      </c>
      <c r="P1723" t="s">
        <v>511</v>
      </c>
      <c r="Q1723" t="s">
        <v>1536</v>
      </c>
      <c r="R1723" t="s">
        <v>512</v>
      </c>
      <c r="S1723" t="s">
        <v>123</v>
      </c>
      <c r="T1723">
        <v>259.51</v>
      </c>
      <c r="U1723">
        <v>251.90199999999999</v>
      </c>
      <c r="V1723">
        <f t="shared" si="52"/>
        <v>255.70599999999999</v>
      </c>
      <c r="W1723">
        <f t="shared" si="53"/>
        <v>7.6080000000000041</v>
      </c>
      <c r="X1723">
        <v>44.416668000000001</v>
      </c>
      <c r="Y1723">
        <v>-24</v>
      </c>
      <c r="Z1723" t="s">
        <v>124</v>
      </c>
      <c r="AA1723" t="s">
        <v>1913</v>
      </c>
      <c r="AB1723" t="s">
        <v>1914</v>
      </c>
      <c r="AD1723" t="s">
        <v>1915</v>
      </c>
      <c r="AE1723" t="s">
        <v>1916</v>
      </c>
      <c r="AH1723" t="s">
        <v>72</v>
      </c>
      <c r="AI1723" t="s">
        <v>2595</v>
      </c>
      <c r="AJ1723">
        <v>1926</v>
      </c>
      <c r="AK1723" t="s">
        <v>1918</v>
      </c>
      <c r="AM1723" t="s">
        <v>1919</v>
      </c>
      <c r="AN1723" t="s">
        <v>192</v>
      </c>
      <c r="AO1723" t="s">
        <v>657</v>
      </c>
      <c r="AP1723" t="s">
        <v>359</v>
      </c>
      <c r="AQ1723" t="s">
        <v>1920</v>
      </c>
      <c r="AR1723" t="s">
        <v>80</v>
      </c>
      <c r="AS1723">
        <v>702</v>
      </c>
      <c r="AT1723" t="s">
        <v>81</v>
      </c>
      <c r="AU1723">
        <v>22.51</v>
      </c>
      <c r="AV1723">
        <v>-42.93</v>
      </c>
      <c r="AW1723" t="s">
        <v>82</v>
      </c>
      <c r="AX1723">
        <v>702</v>
      </c>
      <c r="AY1723" t="s">
        <v>81</v>
      </c>
      <c r="AZ1723">
        <v>24.25</v>
      </c>
      <c r="BA1723">
        <v>-52.74</v>
      </c>
      <c r="BB1723" t="s">
        <v>83</v>
      </c>
    </row>
    <row r="1724" spans="1:54" x14ac:dyDescent="0.4">
      <c r="A1724">
        <v>1285964</v>
      </c>
      <c r="D1724" t="s">
        <v>498</v>
      </c>
      <c r="E1724" t="s">
        <v>55</v>
      </c>
      <c r="G1724">
        <v>1</v>
      </c>
      <c r="H1724" t="s">
        <v>56</v>
      </c>
      <c r="I1724" t="s">
        <v>57</v>
      </c>
      <c r="K1724" t="s">
        <v>2135</v>
      </c>
      <c r="L1724" t="s">
        <v>2606</v>
      </c>
      <c r="M1724" t="s">
        <v>60</v>
      </c>
      <c r="P1724" t="s">
        <v>511</v>
      </c>
      <c r="Q1724" t="s">
        <v>1536</v>
      </c>
      <c r="R1724" t="s">
        <v>512</v>
      </c>
      <c r="S1724" t="s">
        <v>123</v>
      </c>
      <c r="T1724">
        <v>259.51</v>
      </c>
      <c r="U1724">
        <v>251.90199999999999</v>
      </c>
      <c r="V1724">
        <f t="shared" si="52"/>
        <v>255.70599999999999</v>
      </c>
      <c r="W1724">
        <f t="shared" si="53"/>
        <v>7.6080000000000041</v>
      </c>
      <c r="X1724">
        <v>44.416668000000001</v>
      </c>
      <c r="Y1724">
        <v>-24</v>
      </c>
      <c r="Z1724" t="s">
        <v>124</v>
      </c>
      <c r="AA1724" t="s">
        <v>1913</v>
      </c>
      <c r="AB1724" t="s">
        <v>1914</v>
      </c>
      <c r="AD1724" t="s">
        <v>1915</v>
      </c>
      <c r="AE1724" t="s">
        <v>1916</v>
      </c>
      <c r="AH1724" t="s">
        <v>72</v>
      </c>
      <c r="AI1724" t="s">
        <v>2595</v>
      </c>
      <c r="AJ1724">
        <v>1926</v>
      </c>
      <c r="AK1724" t="s">
        <v>1918</v>
      </c>
      <c r="AM1724" t="s">
        <v>1919</v>
      </c>
      <c r="AN1724" t="s">
        <v>192</v>
      </c>
      <c r="AO1724" t="s">
        <v>657</v>
      </c>
      <c r="AP1724" t="s">
        <v>359</v>
      </c>
      <c r="AQ1724" t="s">
        <v>1920</v>
      </c>
      <c r="AR1724" t="s">
        <v>80</v>
      </c>
      <c r="AS1724">
        <v>702</v>
      </c>
      <c r="AT1724" t="s">
        <v>81</v>
      </c>
      <c r="AU1724">
        <v>22.51</v>
      </c>
      <c r="AV1724">
        <v>-42.93</v>
      </c>
      <c r="AW1724" t="s">
        <v>82</v>
      </c>
      <c r="AX1724">
        <v>702</v>
      </c>
      <c r="AY1724" t="s">
        <v>81</v>
      </c>
      <c r="AZ1724">
        <v>24.25</v>
      </c>
      <c r="BA1724">
        <v>-52.74</v>
      </c>
      <c r="BB1724" t="s">
        <v>83</v>
      </c>
    </row>
    <row r="1725" spans="1:54" x14ac:dyDescent="0.4">
      <c r="A1725">
        <v>1285964</v>
      </c>
      <c r="D1725" t="s">
        <v>498</v>
      </c>
      <c r="E1725" t="s">
        <v>55</v>
      </c>
      <c r="G1725">
        <v>1</v>
      </c>
      <c r="H1725" t="s">
        <v>56</v>
      </c>
      <c r="I1725" t="s">
        <v>57</v>
      </c>
      <c r="K1725" t="s">
        <v>2135</v>
      </c>
      <c r="L1725" t="s">
        <v>2606</v>
      </c>
      <c r="M1725" t="s">
        <v>60</v>
      </c>
      <c r="P1725" t="s">
        <v>511</v>
      </c>
      <c r="Q1725" t="s">
        <v>1536</v>
      </c>
      <c r="R1725" t="s">
        <v>512</v>
      </c>
      <c r="S1725" t="s">
        <v>123</v>
      </c>
      <c r="T1725">
        <v>259.51</v>
      </c>
      <c r="U1725">
        <v>251.90199999999999</v>
      </c>
      <c r="V1725">
        <f t="shared" si="52"/>
        <v>255.70599999999999</v>
      </c>
      <c r="W1725">
        <f t="shared" si="53"/>
        <v>7.6080000000000041</v>
      </c>
      <c r="X1725">
        <v>44.416668000000001</v>
      </c>
      <c r="Y1725">
        <v>-24</v>
      </c>
      <c r="Z1725" t="s">
        <v>124</v>
      </c>
      <c r="AA1725" t="s">
        <v>1913</v>
      </c>
      <c r="AB1725" t="s">
        <v>1914</v>
      </c>
      <c r="AD1725" t="s">
        <v>1915</v>
      </c>
      <c r="AE1725" t="s">
        <v>1916</v>
      </c>
      <c r="AH1725" t="s">
        <v>72</v>
      </c>
      <c r="AI1725" t="s">
        <v>2595</v>
      </c>
      <c r="AJ1725">
        <v>1926</v>
      </c>
      <c r="AK1725" t="s">
        <v>1918</v>
      </c>
      <c r="AM1725" t="s">
        <v>1919</v>
      </c>
      <c r="AN1725" t="s">
        <v>192</v>
      </c>
      <c r="AO1725" t="s">
        <v>657</v>
      </c>
      <c r="AP1725" t="s">
        <v>359</v>
      </c>
      <c r="AQ1725" t="s">
        <v>1920</v>
      </c>
      <c r="AR1725" t="s">
        <v>80</v>
      </c>
      <c r="AS1725">
        <v>702</v>
      </c>
      <c r="AT1725" t="s">
        <v>81</v>
      </c>
      <c r="AU1725">
        <v>22.51</v>
      </c>
      <c r="AV1725">
        <v>-42.93</v>
      </c>
      <c r="AW1725" t="s">
        <v>82</v>
      </c>
      <c r="AX1725">
        <v>702</v>
      </c>
      <c r="AY1725" t="s">
        <v>81</v>
      </c>
      <c r="AZ1725">
        <v>24.25</v>
      </c>
      <c r="BA1725">
        <v>-52.74</v>
      </c>
      <c r="BB1725" t="s">
        <v>83</v>
      </c>
    </row>
    <row r="1726" spans="1:54" x14ac:dyDescent="0.4">
      <c r="A1726">
        <v>1285964</v>
      </c>
      <c r="D1726" t="s">
        <v>498</v>
      </c>
      <c r="E1726" t="s">
        <v>55</v>
      </c>
      <c r="G1726">
        <v>1</v>
      </c>
      <c r="H1726" t="s">
        <v>56</v>
      </c>
      <c r="I1726" t="s">
        <v>57</v>
      </c>
      <c r="K1726" t="s">
        <v>2135</v>
      </c>
      <c r="L1726" t="s">
        <v>2606</v>
      </c>
      <c r="M1726" t="s">
        <v>60</v>
      </c>
      <c r="P1726" t="s">
        <v>511</v>
      </c>
      <c r="Q1726" t="s">
        <v>1536</v>
      </c>
      <c r="R1726" t="s">
        <v>512</v>
      </c>
      <c r="S1726" t="s">
        <v>123</v>
      </c>
      <c r="T1726">
        <v>259.51</v>
      </c>
      <c r="U1726">
        <v>251.90199999999999</v>
      </c>
      <c r="V1726">
        <f t="shared" si="52"/>
        <v>255.70599999999999</v>
      </c>
      <c r="W1726">
        <f t="shared" si="53"/>
        <v>7.6080000000000041</v>
      </c>
      <c r="X1726">
        <v>44.416668000000001</v>
      </c>
      <c r="Y1726">
        <v>-24</v>
      </c>
      <c r="Z1726" t="s">
        <v>124</v>
      </c>
      <c r="AA1726" t="s">
        <v>1913</v>
      </c>
      <c r="AB1726" t="s">
        <v>1914</v>
      </c>
      <c r="AD1726" t="s">
        <v>1915</v>
      </c>
      <c r="AE1726" t="s">
        <v>1916</v>
      </c>
      <c r="AH1726" t="s">
        <v>72</v>
      </c>
      <c r="AI1726" t="s">
        <v>2595</v>
      </c>
      <c r="AJ1726">
        <v>1926</v>
      </c>
      <c r="AK1726" t="s">
        <v>1918</v>
      </c>
      <c r="AM1726" t="s">
        <v>1919</v>
      </c>
      <c r="AN1726" t="s">
        <v>192</v>
      </c>
      <c r="AO1726" t="s">
        <v>657</v>
      </c>
      <c r="AP1726" t="s">
        <v>359</v>
      </c>
      <c r="AQ1726" t="s">
        <v>1920</v>
      </c>
      <c r="AR1726" t="s">
        <v>80</v>
      </c>
      <c r="AS1726">
        <v>702</v>
      </c>
      <c r="AT1726" t="s">
        <v>81</v>
      </c>
      <c r="AU1726">
        <v>22.51</v>
      </c>
      <c r="AV1726">
        <v>-42.93</v>
      </c>
      <c r="AW1726" t="s">
        <v>82</v>
      </c>
      <c r="AX1726">
        <v>702</v>
      </c>
      <c r="AY1726" t="s">
        <v>81</v>
      </c>
      <c r="AZ1726">
        <v>24.25</v>
      </c>
      <c r="BA1726">
        <v>-52.74</v>
      </c>
      <c r="BB1726" t="s">
        <v>83</v>
      </c>
    </row>
    <row r="1727" spans="1:54" x14ac:dyDescent="0.4">
      <c r="A1727">
        <v>1285964</v>
      </c>
      <c r="D1727" t="s">
        <v>498</v>
      </c>
      <c r="E1727" t="s">
        <v>55</v>
      </c>
      <c r="G1727">
        <v>1</v>
      </c>
      <c r="H1727" t="s">
        <v>56</v>
      </c>
      <c r="I1727" t="s">
        <v>57</v>
      </c>
      <c r="K1727" t="s">
        <v>2135</v>
      </c>
      <c r="L1727" t="s">
        <v>2606</v>
      </c>
      <c r="M1727" t="s">
        <v>60</v>
      </c>
      <c r="P1727" t="s">
        <v>511</v>
      </c>
      <c r="Q1727" t="s">
        <v>1536</v>
      </c>
      <c r="R1727" t="s">
        <v>512</v>
      </c>
      <c r="S1727" t="s">
        <v>123</v>
      </c>
      <c r="T1727">
        <v>259.51</v>
      </c>
      <c r="U1727">
        <v>251.90199999999999</v>
      </c>
      <c r="V1727">
        <f t="shared" si="52"/>
        <v>255.70599999999999</v>
      </c>
      <c r="W1727">
        <f t="shared" si="53"/>
        <v>7.6080000000000041</v>
      </c>
      <c r="X1727">
        <v>44.416668000000001</v>
      </c>
      <c r="Y1727">
        <v>-24</v>
      </c>
      <c r="Z1727" t="s">
        <v>124</v>
      </c>
      <c r="AA1727" t="s">
        <v>1913</v>
      </c>
      <c r="AB1727" t="s">
        <v>1914</v>
      </c>
      <c r="AD1727" t="s">
        <v>1915</v>
      </c>
      <c r="AE1727" t="s">
        <v>1916</v>
      </c>
      <c r="AH1727" t="s">
        <v>72</v>
      </c>
      <c r="AI1727" t="s">
        <v>2595</v>
      </c>
      <c r="AJ1727">
        <v>1926</v>
      </c>
      <c r="AK1727" t="s">
        <v>1918</v>
      </c>
      <c r="AM1727" t="s">
        <v>1919</v>
      </c>
      <c r="AN1727" t="s">
        <v>192</v>
      </c>
      <c r="AO1727" t="s">
        <v>657</v>
      </c>
      <c r="AP1727" t="s">
        <v>359</v>
      </c>
      <c r="AQ1727" t="s">
        <v>1920</v>
      </c>
      <c r="AR1727" t="s">
        <v>80</v>
      </c>
      <c r="AS1727">
        <v>702</v>
      </c>
      <c r="AT1727" t="s">
        <v>81</v>
      </c>
      <c r="AU1727">
        <v>22.51</v>
      </c>
      <c r="AV1727">
        <v>-42.93</v>
      </c>
      <c r="AW1727" t="s">
        <v>82</v>
      </c>
      <c r="AX1727">
        <v>702</v>
      </c>
      <c r="AY1727" t="s">
        <v>81</v>
      </c>
      <c r="AZ1727">
        <v>24.25</v>
      </c>
      <c r="BA1727">
        <v>-52.74</v>
      </c>
      <c r="BB1727" t="s">
        <v>83</v>
      </c>
    </row>
    <row r="1728" spans="1:54" x14ac:dyDescent="0.4">
      <c r="A1728">
        <v>1285964</v>
      </c>
      <c r="D1728" t="s">
        <v>498</v>
      </c>
      <c r="E1728" t="s">
        <v>55</v>
      </c>
      <c r="G1728">
        <v>1</v>
      </c>
      <c r="H1728" t="s">
        <v>56</v>
      </c>
      <c r="I1728" t="s">
        <v>57</v>
      </c>
      <c r="K1728" t="s">
        <v>2135</v>
      </c>
      <c r="L1728" t="s">
        <v>2606</v>
      </c>
      <c r="M1728" t="s">
        <v>60</v>
      </c>
      <c r="P1728" t="s">
        <v>511</v>
      </c>
      <c r="Q1728" t="s">
        <v>1536</v>
      </c>
      <c r="R1728" t="s">
        <v>512</v>
      </c>
      <c r="S1728" t="s">
        <v>123</v>
      </c>
      <c r="T1728">
        <v>259.51</v>
      </c>
      <c r="U1728">
        <v>251.90199999999999</v>
      </c>
      <c r="V1728">
        <f t="shared" si="52"/>
        <v>255.70599999999999</v>
      </c>
      <c r="W1728">
        <f t="shared" si="53"/>
        <v>7.6080000000000041</v>
      </c>
      <c r="X1728">
        <v>44.416668000000001</v>
      </c>
      <c r="Y1728">
        <v>-24</v>
      </c>
      <c r="Z1728" t="s">
        <v>124</v>
      </c>
      <c r="AA1728" t="s">
        <v>1913</v>
      </c>
      <c r="AB1728" t="s">
        <v>1914</v>
      </c>
      <c r="AD1728" t="s">
        <v>1915</v>
      </c>
      <c r="AE1728" t="s">
        <v>1916</v>
      </c>
      <c r="AH1728" t="s">
        <v>72</v>
      </c>
      <c r="AI1728" t="s">
        <v>2595</v>
      </c>
      <c r="AJ1728">
        <v>1926</v>
      </c>
      <c r="AK1728" t="s">
        <v>1918</v>
      </c>
      <c r="AM1728" t="s">
        <v>1919</v>
      </c>
      <c r="AN1728" t="s">
        <v>192</v>
      </c>
      <c r="AO1728" t="s">
        <v>657</v>
      </c>
      <c r="AP1728" t="s">
        <v>359</v>
      </c>
      <c r="AQ1728" t="s">
        <v>1920</v>
      </c>
      <c r="AR1728" t="s">
        <v>80</v>
      </c>
      <c r="AS1728">
        <v>702</v>
      </c>
      <c r="AT1728" t="s">
        <v>81</v>
      </c>
      <c r="AU1728">
        <v>22.51</v>
      </c>
      <c r="AV1728">
        <v>-42.93</v>
      </c>
      <c r="AW1728" t="s">
        <v>82</v>
      </c>
      <c r="AX1728">
        <v>702</v>
      </c>
      <c r="AY1728" t="s">
        <v>81</v>
      </c>
      <c r="AZ1728">
        <v>24.25</v>
      </c>
      <c r="BA1728">
        <v>-52.74</v>
      </c>
      <c r="BB1728" t="s">
        <v>83</v>
      </c>
    </row>
    <row r="1729" spans="1:54" x14ac:dyDescent="0.4">
      <c r="A1729">
        <v>1285964</v>
      </c>
      <c r="D1729" t="s">
        <v>498</v>
      </c>
      <c r="E1729" t="s">
        <v>55</v>
      </c>
      <c r="G1729">
        <v>1</v>
      </c>
      <c r="H1729" t="s">
        <v>56</v>
      </c>
      <c r="I1729" t="s">
        <v>57</v>
      </c>
      <c r="K1729" t="s">
        <v>2135</v>
      </c>
      <c r="L1729" t="s">
        <v>2606</v>
      </c>
      <c r="M1729" t="s">
        <v>60</v>
      </c>
      <c r="P1729" t="s">
        <v>511</v>
      </c>
      <c r="Q1729" t="s">
        <v>1536</v>
      </c>
      <c r="R1729" t="s">
        <v>512</v>
      </c>
      <c r="S1729" t="s">
        <v>123</v>
      </c>
      <c r="T1729">
        <v>259.51</v>
      </c>
      <c r="U1729">
        <v>251.90199999999999</v>
      </c>
      <c r="V1729">
        <f t="shared" si="52"/>
        <v>255.70599999999999</v>
      </c>
      <c r="W1729">
        <f t="shared" si="53"/>
        <v>7.6080000000000041</v>
      </c>
      <c r="X1729">
        <v>44.416668000000001</v>
      </c>
      <c r="Y1729">
        <v>-24</v>
      </c>
      <c r="Z1729" t="s">
        <v>124</v>
      </c>
      <c r="AA1729" t="s">
        <v>1913</v>
      </c>
      <c r="AB1729" t="s">
        <v>1914</v>
      </c>
      <c r="AD1729" t="s">
        <v>1915</v>
      </c>
      <c r="AE1729" t="s">
        <v>1916</v>
      </c>
      <c r="AH1729" t="s">
        <v>72</v>
      </c>
      <c r="AI1729" t="s">
        <v>2595</v>
      </c>
      <c r="AJ1729">
        <v>1926</v>
      </c>
      <c r="AK1729" t="s">
        <v>1918</v>
      </c>
      <c r="AM1729" t="s">
        <v>1919</v>
      </c>
      <c r="AN1729" t="s">
        <v>192</v>
      </c>
      <c r="AO1729" t="s">
        <v>657</v>
      </c>
      <c r="AP1729" t="s">
        <v>359</v>
      </c>
      <c r="AQ1729" t="s">
        <v>1920</v>
      </c>
      <c r="AR1729" t="s">
        <v>80</v>
      </c>
      <c r="AS1729">
        <v>702</v>
      </c>
      <c r="AT1729" t="s">
        <v>81</v>
      </c>
      <c r="AU1729">
        <v>22.51</v>
      </c>
      <c r="AV1729">
        <v>-42.93</v>
      </c>
      <c r="AW1729" t="s">
        <v>82</v>
      </c>
      <c r="AX1729">
        <v>702</v>
      </c>
      <c r="AY1729" t="s">
        <v>81</v>
      </c>
      <c r="AZ1729">
        <v>24.25</v>
      </c>
      <c r="BA1729">
        <v>-52.74</v>
      </c>
      <c r="BB1729" t="s">
        <v>83</v>
      </c>
    </row>
    <row r="1730" spans="1:54" x14ac:dyDescent="0.4">
      <c r="A1730">
        <v>1285964</v>
      </c>
      <c r="D1730" t="s">
        <v>498</v>
      </c>
      <c r="E1730" t="s">
        <v>55</v>
      </c>
      <c r="G1730">
        <v>1</v>
      </c>
      <c r="H1730" t="s">
        <v>56</v>
      </c>
      <c r="I1730" t="s">
        <v>57</v>
      </c>
      <c r="K1730" t="s">
        <v>2135</v>
      </c>
      <c r="L1730" t="s">
        <v>2606</v>
      </c>
      <c r="M1730" t="s">
        <v>60</v>
      </c>
      <c r="P1730" t="s">
        <v>511</v>
      </c>
      <c r="Q1730" t="s">
        <v>1536</v>
      </c>
      <c r="R1730" t="s">
        <v>512</v>
      </c>
      <c r="S1730" t="s">
        <v>123</v>
      </c>
      <c r="T1730">
        <v>259.51</v>
      </c>
      <c r="U1730">
        <v>251.90199999999999</v>
      </c>
      <c r="V1730">
        <f t="shared" si="52"/>
        <v>255.70599999999999</v>
      </c>
      <c r="W1730">
        <f t="shared" si="53"/>
        <v>7.6080000000000041</v>
      </c>
      <c r="X1730">
        <v>44.416668000000001</v>
      </c>
      <c r="Y1730">
        <v>-24</v>
      </c>
      <c r="Z1730" t="s">
        <v>124</v>
      </c>
      <c r="AA1730" t="s">
        <v>1913</v>
      </c>
      <c r="AB1730" t="s">
        <v>1914</v>
      </c>
      <c r="AD1730" t="s">
        <v>1915</v>
      </c>
      <c r="AE1730" t="s">
        <v>1916</v>
      </c>
      <c r="AH1730" t="s">
        <v>72</v>
      </c>
      <c r="AI1730" t="s">
        <v>2595</v>
      </c>
      <c r="AJ1730">
        <v>1926</v>
      </c>
      <c r="AK1730" t="s">
        <v>1918</v>
      </c>
      <c r="AM1730" t="s">
        <v>1919</v>
      </c>
      <c r="AN1730" t="s">
        <v>192</v>
      </c>
      <c r="AO1730" t="s">
        <v>657</v>
      </c>
      <c r="AP1730" t="s">
        <v>359</v>
      </c>
      <c r="AQ1730" t="s">
        <v>1920</v>
      </c>
      <c r="AR1730" t="s">
        <v>80</v>
      </c>
      <c r="AS1730">
        <v>702</v>
      </c>
      <c r="AT1730" t="s">
        <v>81</v>
      </c>
      <c r="AU1730">
        <v>22.51</v>
      </c>
      <c r="AV1730">
        <v>-42.93</v>
      </c>
      <c r="AW1730" t="s">
        <v>82</v>
      </c>
      <c r="AX1730">
        <v>702</v>
      </c>
      <c r="AY1730" t="s">
        <v>81</v>
      </c>
      <c r="AZ1730">
        <v>24.25</v>
      </c>
      <c r="BA1730">
        <v>-52.74</v>
      </c>
      <c r="BB1730" t="s">
        <v>83</v>
      </c>
    </row>
    <row r="1731" spans="1:54" x14ac:dyDescent="0.4">
      <c r="A1731">
        <v>1285964</v>
      </c>
      <c r="D1731" t="s">
        <v>498</v>
      </c>
      <c r="E1731" t="s">
        <v>55</v>
      </c>
      <c r="G1731">
        <v>1</v>
      </c>
      <c r="H1731" t="s">
        <v>56</v>
      </c>
      <c r="I1731" t="s">
        <v>57</v>
      </c>
      <c r="K1731" t="s">
        <v>2135</v>
      </c>
      <c r="L1731" t="s">
        <v>2606</v>
      </c>
      <c r="M1731" t="s">
        <v>60</v>
      </c>
      <c r="P1731" t="s">
        <v>511</v>
      </c>
      <c r="Q1731" t="s">
        <v>1536</v>
      </c>
      <c r="R1731" t="s">
        <v>512</v>
      </c>
      <c r="S1731" t="s">
        <v>123</v>
      </c>
      <c r="T1731">
        <v>259.51</v>
      </c>
      <c r="U1731">
        <v>251.90199999999999</v>
      </c>
      <c r="V1731">
        <f t="shared" ref="V1731:V1794" si="54">(T1731+U1731)/2</f>
        <v>255.70599999999999</v>
      </c>
      <c r="W1731">
        <f t="shared" ref="W1731:W1794" si="55">T1731-U1731</f>
        <v>7.6080000000000041</v>
      </c>
      <c r="X1731">
        <v>44.416668000000001</v>
      </c>
      <c r="Y1731">
        <v>-24</v>
      </c>
      <c r="Z1731" t="s">
        <v>124</v>
      </c>
      <c r="AA1731" t="s">
        <v>1913</v>
      </c>
      <c r="AB1731" t="s">
        <v>1914</v>
      </c>
      <c r="AD1731" t="s">
        <v>1915</v>
      </c>
      <c r="AE1731" t="s">
        <v>1916</v>
      </c>
      <c r="AH1731" t="s">
        <v>72</v>
      </c>
      <c r="AI1731" t="s">
        <v>2595</v>
      </c>
      <c r="AJ1731">
        <v>1926</v>
      </c>
      <c r="AK1731" t="s">
        <v>1918</v>
      </c>
      <c r="AM1731" t="s">
        <v>1919</v>
      </c>
      <c r="AN1731" t="s">
        <v>192</v>
      </c>
      <c r="AO1731" t="s">
        <v>657</v>
      </c>
      <c r="AP1731" t="s">
        <v>359</v>
      </c>
      <c r="AQ1731" t="s">
        <v>1920</v>
      </c>
      <c r="AR1731" t="s">
        <v>80</v>
      </c>
      <c r="AS1731">
        <v>702</v>
      </c>
      <c r="AT1731" t="s">
        <v>81</v>
      </c>
      <c r="AU1731">
        <v>22.51</v>
      </c>
      <c r="AV1731">
        <v>-42.93</v>
      </c>
      <c r="AW1731" t="s">
        <v>82</v>
      </c>
      <c r="AX1731">
        <v>702</v>
      </c>
      <c r="AY1731" t="s">
        <v>81</v>
      </c>
      <c r="AZ1731">
        <v>24.25</v>
      </c>
      <c r="BA1731">
        <v>-52.74</v>
      </c>
      <c r="BB1731" t="s">
        <v>83</v>
      </c>
    </row>
    <row r="1732" spans="1:54" x14ac:dyDescent="0.4">
      <c r="A1732">
        <v>1285964</v>
      </c>
      <c r="D1732" t="s">
        <v>498</v>
      </c>
      <c r="E1732" t="s">
        <v>55</v>
      </c>
      <c r="G1732">
        <v>1</v>
      </c>
      <c r="H1732" t="s">
        <v>56</v>
      </c>
      <c r="I1732" t="s">
        <v>57</v>
      </c>
      <c r="K1732" t="s">
        <v>2135</v>
      </c>
      <c r="L1732" t="s">
        <v>2606</v>
      </c>
      <c r="M1732" t="s">
        <v>60</v>
      </c>
      <c r="P1732" t="s">
        <v>511</v>
      </c>
      <c r="Q1732" t="s">
        <v>1536</v>
      </c>
      <c r="R1732" t="s">
        <v>512</v>
      </c>
      <c r="S1732" t="s">
        <v>123</v>
      </c>
      <c r="T1732">
        <v>259.51</v>
      </c>
      <c r="U1732">
        <v>251.90199999999999</v>
      </c>
      <c r="V1732">
        <f t="shared" si="54"/>
        <v>255.70599999999999</v>
      </c>
      <c r="W1732">
        <f t="shared" si="55"/>
        <v>7.6080000000000041</v>
      </c>
      <c r="X1732">
        <v>44.416668000000001</v>
      </c>
      <c r="Y1732">
        <v>-24</v>
      </c>
      <c r="Z1732" t="s">
        <v>124</v>
      </c>
      <c r="AA1732" t="s">
        <v>1913</v>
      </c>
      <c r="AB1732" t="s">
        <v>1914</v>
      </c>
      <c r="AD1732" t="s">
        <v>1915</v>
      </c>
      <c r="AE1732" t="s">
        <v>1916</v>
      </c>
      <c r="AH1732" t="s">
        <v>72</v>
      </c>
      <c r="AI1732" t="s">
        <v>2595</v>
      </c>
      <c r="AJ1732">
        <v>1926</v>
      </c>
      <c r="AK1732" t="s">
        <v>1918</v>
      </c>
      <c r="AM1732" t="s">
        <v>1919</v>
      </c>
      <c r="AN1732" t="s">
        <v>192</v>
      </c>
      <c r="AO1732" t="s">
        <v>657</v>
      </c>
      <c r="AP1732" t="s">
        <v>359</v>
      </c>
      <c r="AQ1732" t="s">
        <v>1920</v>
      </c>
      <c r="AR1732" t="s">
        <v>80</v>
      </c>
      <c r="AS1732">
        <v>702</v>
      </c>
      <c r="AT1732" t="s">
        <v>81</v>
      </c>
      <c r="AU1732">
        <v>22.51</v>
      </c>
      <c r="AV1732">
        <v>-42.93</v>
      </c>
      <c r="AW1732" t="s">
        <v>82</v>
      </c>
      <c r="AX1732">
        <v>702</v>
      </c>
      <c r="AY1732" t="s">
        <v>81</v>
      </c>
      <c r="AZ1732">
        <v>24.25</v>
      </c>
      <c r="BA1732">
        <v>-52.74</v>
      </c>
      <c r="BB1732" t="s">
        <v>83</v>
      </c>
    </row>
    <row r="1733" spans="1:54" x14ac:dyDescent="0.4">
      <c r="A1733">
        <v>1285964</v>
      </c>
      <c r="D1733" t="s">
        <v>498</v>
      </c>
      <c r="E1733" t="s">
        <v>55</v>
      </c>
      <c r="G1733">
        <v>1</v>
      </c>
      <c r="H1733" t="s">
        <v>56</v>
      </c>
      <c r="I1733" t="s">
        <v>57</v>
      </c>
      <c r="K1733" t="s">
        <v>2135</v>
      </c>
      <c r="L1733" t="s">
        <v>2606</v>
      </c>
      <c r="M1733" t="s">
        <v>60</v>
      </c>
      <c r="P1733" t="s">
        <v>511</v>
      </c>
      <c r="Q1733" t="s">
        <v>1536</v>
      </c>
      <c r="R1733" t="s">
        <v>512</v>
      </c>
      <c r="S1733" t="s">
        <v>123</v>
      </c>
      <c r="T1733">
        <v>259.51</v>
      </c>
      <c r="U1733">
        <v>251.90199999999999</v>
      </c>
      <c r="V1733">
        <f t="shared" si="54"/>
        <v>255.70599999999999</v>
      </c>
      <c r="W1733">
        <f t="shared" si="55"/>
        <v>7.6080000000000041</v>
      </c>
      <c r="X1733">
        <v>44.416668000000001</v>
      </c>
      <c r="Y1733">
        <v>-24</v>
      </c>
      <c r="Z1733" t="s">
        <v>124</v>
      </c>
      <c r="AA1733" t="s">
        <v>1913</v>
      </c>
      <c r="AB1733" t="s">
        <v>1914</v>
      </c>
      <c r="AD1733" t="s">
        <v>1915</v>
      </c>
      <c r="AE1733" t="s">
        <v>1916</v>
      </c>
      <c r="AH1733" t="s">
        <v>72</v>
      </c>
      <c r="AI1733" t="s">
        <v>2595</v>
      </c>
      <c r="AJ1733">
        <v>1926</v>
      </c>
      <c r="AK1733" t="s">
        <v>1918</v>
      </c>
      <c r="AM1733" t="s">
        <v>1919</v>
      </c>
      <c r="AN1733" t="s">
        <v>192</v>
      </c>
      <c r="AO1733" t="s">
        <v>657</v>
      </c>
      <c r="AP1733" t="s">
        <v>359</v>
      </c>
      <c r="AQ1733" t="s">
        <v>1920</v>
      </c>
      <c r="AR1733" t="s">
        <v>80</v>
      </c>
      <c r="AS1733">
        <v>702</v>
      </c>
      <c r="AT1733" t="s">
        <v>81</v>
      </c>
      <c r="AU1733">
        <v>22.51</v>
      </c>
      <c r="AV1733">
        <v>-42.93</v>
      </c>
      <c r="AW1733" t="s">
        <v>82</v>
      </c>
      <c r="AX1733">
        <v>702</v>
      </c>
      <c r="AY1733" t="s">
        <v>81</v>
      </c>
      <c r="AZ1733">
        <v>24.25</v>
      </c>
      <c r="BA1733">
        <v>-52.74</v>
      </c>
      <c r="BB1733" t="s">
        <v>83</v>
      </c>
    </row>
    <row r="1734" spans="1:54" x14ac:dyDescent="0.4">
      <c r="A1734">
        <v>1285964</v>
      </c>
      <c r="D1734" t="s">
        <v>498</v>
      </c>
      <c r="E1734" t="s">
        <v>55</v>
      </c>
      <c r="G1734">
        <v>1</v>
      </c>
      <c r="H1734" t="s">
        <v>56</v>
      </c>
      <c r="I1734" t="s">
        <v>57</v>
      </c>
      <c r="K1734" t="s">
        <v>2135</v>
      </c>
      <c r="L1734" t="s">
        <v>2606</v>
      </c>
      <c r="M1734" t="s">
        <v>60</v>
      </c>
      <c r="P1734" t="s">
        <v>511</v>
      </c>
      <c r="Q1734" t="s">
        <v>1536</v>
      </c>
      <c r="R1734" t="s">
        <v>512</v>
      </c>
      <c r="S1734" t="s">
        <v>123</v>
      </c>
      <c r="T1734">
        <v>259.51</v>
      </c>
      <c r="U1734">
        <v>251.90199999999999</v>
      </c>
      <c r="V1734">
        <f t="shared" si="54"/>
        <v>255.70599999999999</v>
      </c>
      <c r="W1734">
        <f t="shared" si="55"/>
        <v>7.6080000000000041</v>
      </c>
      <c r="X1734">
        <v>44.416668000000001</v>
      </c>
      <c r="Y1734">
        <v>-24</v>
      </c>
      <c r="Z1734" t="s">
        <v>124</v>
      </c>
      <c r="AA1734" t="s">
        <v>1913</v>
      </c>
      <c r="AB1734" t="s">
        <v>1914</v>
      </c>
      <c r="AD1734" t="s">
        <v>1915</v>
      </c>
      <c r="AE1734" t="s">
        <v>1916</v>
      </c>
      <c r="AH1734" t="s">
        <v>72</v>
      </c>
      <c r="AI1734" t="s">
        <v>2595</v>
      </c>
      <c r="AJ1734">
        <v>1926</v>
      </c>
      <c r="AK1734" t="s">
        <v>1918</v>
      </c>
      <c r="AM1734" t="s">
        <v>1919</v>
      </c>
      <c r="AN1734" t="s">
        <v>192</v>
      </c>
      <c r="AO1734" t="s">
        <v>657</v>
      </c>
      <c r="AP1734" t="s">
        <v>359</v>
      </c>
      <c r="AQ1734" t="s">
        <v>1920</v>
      </c>
      <c r="AR1734" t="s">
        <v>80</v>
      </c>
      <c r="AS1734">
        <v>702</v>
      </c>
      <c r="AT1734" t="s">
        <v>81</v>
      </c>
      <c r="AU1734">
        <v>22.51</v>
      </c>
      <c r="AV1734">
        <v>-42.93</v>
      </c>
      <c r="AW1734" t="s">
        <v>82</v>
      </c>
      <c r="AX1734">
        <v>702</v>
      </c>
      <c r="AY1734" t="s">
        <v>81</v>
      </c>
      <c r="AZ1734">
        <v>24.25</v>
      </c>
      <c r="BA1734">
        <v>-52.74</v>
      </c>
      <c r="BB1734" t="s">
        <v>83</v>
      </c>
    </row>
    <row r="1735" spans="1:54" x14ac:dyDescent="0.4">
      <c r="A1735">
        <v>1285964</v>
      </c>
      <c r="D1735" t="s">
        <v>498</v>
      </c>
      <c r="E1735" t="s">
        <v>55</v>
      </c>
      <c r="G1735">
        <v>1</v>
      </c>
      <c r="H1735" t="s">
        <v>56</v>
      </c>
      <c r="I1735" t="s">
        <v>57</v>
      </c>
      <c r="K1735" t="s">
        <v>2135</v>
      </c>
      <c r="L1735" t="s">
        <v>2606</v>
      </c>
      <c r="M1735" t="s">
        <v>60</v>
      </c>
      <c r="P1735" t="s">
        <v>511</v>
      </c>
      <c r="Q1735" t="s">
        <v>1536</v>
      </c>
      <c r="R1735" t="s">
        <v>512</v>
      </c>
      <c r="S1735" t="s">
        <v>123</v>
      </c>
      <c r="T1735">
        <v>259.51</v>
      </c>
      <c r="U1735">
        <v>251.90199999999999</v>
      </c>
      <c r="V1735">
        <f t="shared" si="54"/>
        <v>255.70599999999999</v>
      </c>
      <c r="W1735">
        <f t="shared" si="55"/>
        <v>7.6080000000000041</v>
      </c>
      <c r="X1735">
        <v>44.416668000000001</v>
      </c>
      <c r="Y1735">
        <v>-24</v>
      </c>
      <c r="Z1735" t="s">
        <v>124</v>
      </c>
      <c r="AA1735" t="s">
        <v>1913</v>
      </c>
      <c r="AB1735" t="s">
        <v>1914</v>
      </c>
      <c r="AD1735" t="s">
        <v>1915</v>
      </c>
      <c r="AE1735" t="s">
        <v>1916</v>
      </c>
      <c r="AH1735" t="s">
        <v>72</v>
      </c>
      <c r="AI1735" t="s">
        <v>2595</v>
      </c>
      <c r="AJ1735">
        <v>1926</v>
      </c>
      <c r="AK1735" t="s">
        <v>1918</v>
      </c>
      <c r="AM1735" t="s">
        <v>1919</v>
      </c>
      <c r="AN1735" t="s">
        <v>192</v>
      </c>
      <c r="AO1735" t="s">
        <v>657</v>
      </c>
      <c r="AP1735" t="s">
        <v>359</v>
      </c>
      <c r="AQ1735" t="s">
        <v>1920</v>
      </c>
      <c r="AR1735" t="s">
        <v>80</v>
      </c>
      <c r="AS1735">
        <v>702</v>
      </c>
      <c r="AT1735" t="s">
        <v>81</v>
      </c>
      <c r="AU1735">
        <v>22.51</v>
      </c>
      <c r="AV1735">
        <v>-42.93</v>
      </c>
      <c r="AW1735" t="s">
        <v>82</v>
      </c>
      <c r="AX1735">
        <v>702</v>
      </c>
      <c r="AY1735" t="s">
        <v>81</v>
      </c>
      <c r="AZ1735">
        <v>24.25</v>
      </c>
      <c r="BA1735">
        <v>-52.74</v>
      </c>
      <c r="BB1735" t="s">
        <v>83</v>
      </c>
    </row>
    <row r="1736" spans="1:54" x14ac:dyDescent="0.4">
      <c r="A1736">
        <v>1285964</v>
      </c>
      <c r="D1736" t="s">
        <v>498</v>
      </c>
      <c r="E1736" t="s">
        <v>55</v>
      </c>
      <c r="G1736">
        <v>1</v>
      </c>
      <c r="H1736" t="s">
        <v>56</v>
      </c>
      <c r="I1736" t="s">
        <v>57</v>
      </c>
      <c r="K1736" t="s">
        <v>2135</v>
      </c>
      <c r="L1736" t="s">
        <v>2606</v>
      </c>
      <c r="M1736" t="s">
        <v>60</v>
      </c>
      <c r="P1736" t="s">
        <v>511</v>
      </c>
      <c r="Q1736" t="s">
        <v>1536</v>
      </c>
      <c r="R1736" t="s">
        <v>512</v>
      </c>
      <c r="S1736" t="s">
        <v>123</v>
      </c>
      <c r="T1736">
        <v>259.51</v>
      </c>
      <c r="U1736">
        <v>251.90199999999999</v>
      </c>
      <c r="V1736">
        <f t="shared" si="54"/>
        <v>255.70599999999999</v>
      </c>
      <c r="W1736">
        <f t="shared" si="55"/>
        <v>7.6080000000000041</v>
      </c>
      <c r="X1736">
        <v>44.416668000000001</v>
      </c>
      <c r="Y1736">
        <v>-24</v>
      </c>
      <c r="Z1736" t="s">
        <v>124</v>
      </c>
      <c r="AA1736" t="s">
        <v>1913</v>
      </c>
      <c r="AB1736" t="s">
        <v>1914</v>
      </c>
      <c r="AD1736" t="s">
        <v>1915</v>
      </c>
      <c r="AE1736" t="s">
        <v>1916</v>
      </c>
      <c r="AH1736" t="s">
        <v>72</v>
      </c>
      <c r="AI1736" t="s">
        <v>2595</v>
      </c>
      <c r="AJ1736">
        <v>1926</v>
      </c>
      <c r="AK1736" t="s">
        <v>1918</v>
      </c>
      <c r="AM1736" t="s">
        <v>1919</v>
      </c>
      <c r="AN1736" t="s">
        <v>192</v>
      </c>
      <c r="AO1736" t="s">
        <v>657</v>
      </c>
      <c r="AP1736" t="s">
        <v>359</v>
      </c>
      <c r="AQ1736" t="s">
        <v>1920</v>
      </c>
      <c r="AR1736" t="s">
        <v>80</v>
      </c>
      <c r="AS1736">
        <v>702</v>
      </c>
      <c r="AT1736" t="s">
        <v>81</v>
      </c>
      <c r="AU1736">
        <v>22.51</v>
      </c>
      <c r="AV1736">
        <v>-42.93</v>
      </c>
      <c r="AW1736" t="s">
        <v>82</v>
      </c>
      <c r="AX1736">
        <v>702</v>
      </c>
      <c r="AY1736" t="s">
        <v>81</v>
      </c>
      <c r="AZ1736">
        <v>24.25</v>
      </c>
      <c r="BA1736">
        <v>-52.74</v>
      </c>
      <c r="BB1736" t="s">
        <v>83</v>
      </c>
    </row>
    <row r="1737" spans="1:54" x14ac:dyDescent="0.4">
      <c r="A1737">
        <v>1285964</v>
      </c>
      <c r="D1737" t="s">
        <v>498</v>
      </c>
      <c r="E1737" t="s">
        <v>55</v>
      </c>
      <c r="G1737">
        <v>1</v>
      </c>
      <c r="H1737" t="s">
        <v>56</v>
      </c>
      <c r="I1737" t="s">
        <v>57</v>
      </c>
      <c r="K1737" t="s">
        <v>2135</v>
      </c>
      <c r="L1737" t="s">
        <v>2606</v>
      </c>
      <c r="M1737" t="s">
        <v>60</v>
      </c>
      <c r="P1737" t="s">
        <v>511</v>
      </c>
      <c r="Q1737" t="s">
        <v>1536</v>
      </c>
      <c r="R1737" t="s">
        <v>512</v>
      </c>
      <c r="S1737" t="s">
        <v>123</v>
      </c>
      <c r="T1737">
        <v>259.51</v>
      </c>
      <c r="U1737">
        <v>251.90199999999999</v>
      </c>
      <c r="V1737">
        <f t="shared" si="54"/>
        <v>255.70599999999999</v>
      </c>
      <c r="W1737">
        <f t="shared" si="55"/>
        <v>7.6080000000000041</v>
      </c>
      <c r="X1737">
        <v>44.416668000000001</v>
      </c>
      <c r="Y1737">
        <v>-24</v>
      </c>
      <c r="Z1737" t="s">
        <v>124</v>
      </c>
      <c r="AA1737" t="s">
        <v>1913</v>
      </c>
      <c r="AB1737" t="s">
        <v>1914</v>
      </c>
      <c r="AD1737" t="s">
        <v>1915</v>
      </c>
      <c r="AE1737" t="s">
        <v>1916</v>
      </c>
      <c r="AH1737" t="s">
        <v>72</v>
      </c>
      <c r="AI1737" t="s">
        <v>2595</v>
      </c>
      <c r="AJ1737">
        <v>1926</v>
      </c>
      <c r="AK1737" t="s">
        <v>1918</v>
      </c>
      <c r="AM1737" t="s">
        <v>1919</v>
      </c>
      <c r="AN1737" t="s">
        <v>192</v>
      </c>
      <c r="AO1737" t="s">
        <v>657</v>
      </c>
      <c r="AP1737" t="s">
        <v>359</v>
      </c>
      <c r="AQ1737" t="s">
        <v>1920</v>
      </c>
      <c r="AR1737" t="s">
        <v>80</v>
      </c>
      <c r="AS1737">
        <v>702</v>
      </c>
      <c r="AT1737" t="s">
        <v>81</v>
      </c>
      <c r="AU1737">
        <v>22.51</v>
      </c>
      <c r="AV1737">
        <v>-42.93</v>
      </c>
      <c r="AW1737" t="s">
        <v>82</v>
      </c>
      <c r="AX1737">
        <v>702</v>
      </c>
      <c r="AY1737" t="s">
        <v>81</v>
      </c>
      <c r="AZ1737">
        <v>24.25</v>
      </c>
      <c r="BA1737">
        <v>-52.74</v>
      </c>
      <c r="BB1737" t="s">
        <v>83</v>
      </c>
    </row>
    <row r="1738" spans="1:54" x14ac:dyDescent="0.4">
      <c r="A1738">
        <v>1285964</v>
      </c>
      <c r="D1738" t="s">
        <v>498</v>
      </c>
      <c r="E1738" t="s">
        <v>55</v>
      </c>
      <c r="G1738">
        <v>1</v>
      </c>
      <c r="H1738" t="s">
        <v>56</v>
      </c>
      <c r="I1738" t="s">
        <v>57</v>
      </c>
      <c r="K1738" t="s">
        <v>2135</v>
      </c>
      <c r="L1738" t="s">
        <v>2606</v>
      </c>
      <c r="M1738" t="s">
        <v>60</v>
      </c>
      <c r="P1738" t="s">
        <v>511</v>
      </c>
      <c r="Q1738" t="s">
        <v>1536</v>
      </c>
      <c r="R1738" t="s">
        <v>512</v>
      </c>
      <c r="S1738" t="s">
        <v>123</v>
      </c>
      <c r="T1738">
        <v>259.51</v>
      </c>
      <c r="U1738">
        <v>251.90199999999999</v>
      </c>
      <c r="V1738">
        <f t="shared" si="54"/>
        <v>255.70599999999999</v>
      </c>
      <c r="W1738">
        <f t="shared" si="55"/>
        <v>7.6080000000000041</v>
      </c>
      <c r="X1738">
        <v>44.416668000000001</v>
      </c>
      <c r="Y1738">
        <v>-24</v>
      </c>
      <c r="Z1738" t="s">
        <v>124</v>
      </c>
      <c r="AA1738" t="s">
        <v>1913</v>
      </c>
      <c r="AB1738" t="s">
        <v>1914</v>
      </c>
      <c r="AD1738" t="s">
        <v>1915</v>
      </c>
      <c r="AE1738" t="s">
        <v>1916</v>
      </c>
      <c r="AH1738" t="s">
        <v>72</v>
      </c>
      <c r="AI1738" t="s">
        <v>2595</v>
      </c>
      <c r="AJ1738">
        <v>1926</v>
      </c>
      <c r="AK1738" t="s">
        <v>1918</v>
      </c>
      <c r="AM1738" t="s">
        <v>1919</v>
      </c>
      <c r="AN1738" t="s">
        <v>192</v>
      </c>
      <c r="AO1738" t="s">
        <v>657</v>
      </c>
      <c r="AP1738" t="s">
        <v>359</v>
      </c>
      <c r="AQ1738" t="s">
        <v>1920</v>
      </c>
      <c r="AR1738" t="s">
        <v>80</v>
      </c>
      <c r="AS1738">
        <v>702</v>
      </c>
      <c r="AT1738" t="s">
        <v>81</v>
      </c>
      <c r="AU1738">
        <v>22.51</v>
      </c>
      <c r="AV1738">
        <v>-42.93</v>
      </c>
      <c r="AW1738" t="s">
        <v>82</v>
      </c>
      <c r="AX1738">
        <v>702</v>
      </c>
      <c r="AY1738" t="s">
        <v>81</v>
      </c>
      <c r="AZ1738">
        <v>24.25</v>
      </c>
      <c r="BA1738">
        <v>-52.74</v>
      </c>
      <c r="BB1738" t="s">
        <v>83</v>
      </c>
    </row>
    <row r="1739" spans="1:54" x14ac:dyDescent="0.4">
      <c r="A1739">
        <v>1285964</v>
      </c>
      <c r="D1739" t="s">
        <v>498</v>
      </c>
      <c r="E1739" t="s">
        <v>55</v>
      </c>
      <c r="G1739">
        <v>1</v>
      </c>
      <c r="H1739" t="s">
        <v>56</v>
      </c>
      <c r="I1739" t="s">
        <v>57</v>
      </c>
      <c r="K1739" t="s">
        <v>2135</v>
      </c>
      <c r="L1739" t="s">
        <v>2606</v>
      </c>
      <c r="M1739" t="s">
        <v>60</v>
      </c>
      <c r="P1739" t="s">
        <v>511</v>
      </c>
      <c r="Q1739" t="s">
        <v>1536</v>
      </c>
      <c r="R1739" t="s">
        <v>512</v>
      </c>
      <c r="S1739" t="s">
        <v>123</v>
      </c>
      <c r="T1739">
        <v>259.51</v>
      </c>
      <c r="U1739">
        <v>251.90199999999999</v>
      </c>
      <c r="V1739">
        <f t="shared" si="54"/>
        <v>255.70599999999999</v>
      </c>
      <c r="W1739">
        <f t="shared" si="55"/>
        <v>7.6080000000000041</v>
      </c>
      <c r="X1739">
        <v>44.416668000000001</v>
      </c>
      <c r="Y1739">
        <v>-24</v>
      </c>
      <c r="Z1739" t="s">
        <v>124</v>
      </c>
      <c r="AA1739" t="s">
        <v>1913</v>
      </c>
      <c r="AB1739" t="s">
        <v>1914</v>
      </c>
      <c r="AD1739" t="s">
        <v>1915</v>
      </c>
      <c r="AE1739" t="s">
        <v>1916</v>
      </c>
      <c r="AH1739" t="s">
        <v>72</v>
      </c>
      <c r="AI1739" t="s">
        <v>2595</v>
      </c>
      <c r="AJ1739">
        <v>1926</v>
      </c>
      <c r="AK1739" t="s">
        <v>1918</v>
      </c>
      <c r="AM1739" t="s">
        <v>1919</v>
      </c>
      <c r="AN1739" t="s">
        <v>192</v>
      </c>
      <c r="AO1739" t="s">
        <v>657</v>
      </c>
      <c r="AP1739" t="s">
        <v>359</v>
      </c>
      <c r="AQ1739" t="s">
        <v>1920</v>
      </c>
      <c r="AR1739" t="s">
        <v>80</v>
      </c>
      <c r="AS1739">
        <v>702</v>
      </c>
      <c r="AT1739" t="s">
        <v>81</v>
      </c>
      <c r="AU1739">
        <v>22.51</v>
      </c>
      <c r="AV1739">
        <v>-42.93</v>
      </c>
      <c r="AW1739" t="s">
        <v>82</v>
      </c>
      <c r="AX1739">
        <v>702</v>
      </c>
      <c r="AY1739" t="s">
        <v>81</v>
      </c>
      <c r="AZ1739">
        <v>24.25</v>
      </c>
      <c r="BA1739">
        <v>-52.74</v>
      </c>
      <c r="BB1739" t="s">
        <v>83</v>
      </c>
    </row>
    <row r="1740" spans="1:54" x14ac:dyDescent="0.4">
      <c r="A1740">
        <v>1285964</v>
      </c>
      <c r="D1740" t="s">
        <v>498</v>
      </c>
      <c r="E1740" t="s">
        <v>55</v>
      </c>
      <c r="G1740">
        <v>1</v>
      </c>
      <c r="H1740" t="s">
        <v>56</v>
      </c>
      <c r="I1740" t="s">
        <v>57</v>
      </c>
      <c r="K1740" t="s">
        <v>2135</v>
      </c>
      <c r="L1740" t="s">
        <v>2606</v>
      </c>
      <c r="M1740" t="s">
        <v>60</v>
      </c>
      <c r="P1740" t="s">
        <v>511</v>
      </c>
      <c r="Q1740" t="s">
        <v>1536</v>
      </c>
      <c r="R1740" t="s">
        <v>512</v>
      </c>
      <c r="S1740" t="s">
        <v>123</v>
      </c>
      <c r="T1740">
        <v>259.51</v>
      </c>
      <c r="U1740">
        <v>251.90199999999999</v>
      </c>
      <c r="V1740">
        <f t="shared" si="54"/>
        <v>255.70599999999999</v>
      </c>
      <c r="W1740">
        <f t="shared" si="55"/>
        <v>7.6080000000000041</v>
      </c>
      <c r="X1740">
        <v>44.416668000000001</v>
      </c>
      <c r="Y1740">
        <v>-24</v>
      </c>
      <c r="Z1740" t="s">
        <v>124</v>
      </c>
      <c r="AA1740" t="s">
        <v>1913</v>
      </c>
      <c r="AB1740" t="s">
        <v>1914</v>
      </c>
      <c r="AD1740" t="s">
        <v>1915</v>
      </c>
      <c r="AE1740" t="s">
        <v>1916</v>
      </c>
      <c r="AH1740" t="s">
        <v>72</v>
      </c>
      <c r="AI1740" t="s">
        <v>2595</v>
      </c>
      <c r="AJ1740">
        <v>1926</v>
      </c>
      <c r="AK1740" t="s">
        <v>1918</v>
      </c>
      <c r="AM1740" t="s">
        <v>1919</v>
      </c>
      <c r="AN1740" t="s">
        <v>192</v>
      </c>
      <c r="AO1740" t="s">
        <v>657</v>
      </c>
      <c r="AP1740" t="s">
        <v>359</v>
      </c>
      <c r="AQ1740" t="s">
        <v>1920</v>
      </c>
      <c r="AR1740" t="s">
        <v>80</v>
      </c>
      <c r="AS1740">
        <v>702</v>
      </c>
      <c r="AT1740" t="s">
        <v>81</v>
      </c>
      <c r="AU1740">
        <v>22.51</v>
      </c>
      <c r="AV1740">
        <v>-42.93</v>
      </c>
      <c r="AW1740" t="s">
        <v>82</v>
      </c>
      <c r="AX1740">
        <v>702</v>
      </c>
      <c r="AY1740" t="s">
        <v>81</v>
      </c>
      <c r="AZ1740">
        <v>24.25</v>
      </c>
      <c r="BA1740">
        <v>-52.74</v>
      </c>
      <c r="BB1740" t="s">
        <v>83</v>
      </c>
    </row>
    <row r="1741" spans="1:54" x14ac:dyDescent="0.4">
      <c r="A1741">
        <v>1285964</v>
      </c>
      <c r="D1741" t="s">
        <v>498</v>
      </c>
      <c r="E1741" t="s">
        <v>55</v>
      </c>
      <c r="G1741">
        <v>1</v>
      </c>
      <c r="H1741" t="s">
        <v>56</v>
      </c>
      <c r="I1741" t="s">
        <v>57</v>
      </c>
      <c r="K1741" t="s">
        <v>2135</v>
      </c>
      <c r="L1741" t="s">
        <v>2606</v>
      </c>
      <c r="M1741" t="s">
        <v>60</v>
      </c>
      <c r="P1741" t="s">
        <v>511</v>
      </c>
      <c r="Q1741" t="s">
        <v>1536</v>
      </c>
      <c r="R1741" t="s">
        <v>512</v>
      </c>
      <c r="S1741" t="s">
        <v>123</v>
      </c>
      <c r="T1741">
        <v>259.51</v>
      </c>
      <c r="U1741">
        <v>251.90199999999999</v>
      </c>
      <c r="V1741">
        <f t="shared" si="54"/>
        <v>255.70599999999999</v>
      </c>
      <c r="W1741">
        <f t="shared" si="55"/>
        <v>7.6080000000000041</v>
      </c>
      <c r="X1741">
        <v>44.416668000000001</v>
      </c>
      <c r="Y1741">
        <v>-24</v>
      </c>
      <c r="Z1741" t="s">
        <v>124</v>
      </c>
      <c r="AA1741" t="s">
        <v>1913</v>
      </c>
      <c r="AB1741" t="s">
        <v>1914</v>
      </c>
      <c r="AD1741" t="s">
        <v>1915</v>
      </c>
      <c r="AE1741" t="s">
        <v>1916</v>
      </c>
      <c r="AH1741" t="s">
        <v>72</v>
      </c>
      <c r="AI1741" t="s">
        <v>2595</v>
      </c>
      <c r="AJ1741">
        <v>1926</v>
      </c>
      <c r="AK1741" t="s">
        <v>1918</v>
      </c>
      <c r="AM1741" t="s">
        <v>1919</v>
      </c>
      <c r="AN1741" t="s">
        <v>192</v>
      </c>
      <c r="AO1741" t="s">
        <v>657</v>
      </c>
      <c r="AP1741" t="s">
        <v>359</v>
      </c>
      <c r="AQ1741" t="s">
        <v>1920</v>
      </c>
      <c r="AR1741" t="s">
        <v>80</v>
      </c>
      <c r="AS1741">
        <v>702</v>
      </c>
      <c r="AT1741" t="s">
        <v>81</v>
      </c>
      <c r="AU1741">
        <v>22.51</v>
      </c>
      <c r="AV1741">
        <v>-42.93</v>
      </c>
      <c r="AW1741" t="s">
        <v>82</v>
      </c>
      <c r="AX1741">
        <v>702</v>
      </c>
      <c r="AY1741" t="s">
        <v>81</v>
      </c>
      <c r="AZ1741">
        <v>24.25</v>
      </c>
      <c r="BA1741">
        <v>-52.74</v>
      </c>
      <c r="BB1741" t="s">
        <v>83</v>
      </c>
    </row>
    <row r="1742" spans="1:54" x14ac:dyDescent="0.4">
      <c r="A1742">
        <v>1285964</v>
      </c>
      <c r="D1742" t="s">
        <v>498</v>
      </c>
      <c r="E1742" t="s">
        <v>55</v>
      </c>
      <c r="G1742">
        <v>1</v>
      </c>
      <c r="H1742" t="s">
        <v>56</v>
      </c>
      <c r="I1742" t="s">
        <v>57</v>
      </c>
      <c r="K1742" t="s">
        <v>2135</v>
      </c>
      <c r="L1742" t="s">
        <v>2606</v>
      </c>
      <c r="M1742" t="s">
        <v>60</v>
      </c>
      <c r="P1742" t="s">
        <v>511</v>
      </c>
      <c r="Q1742" t="s">
        <v>1536</v>
      </c>
      <c r="R1742" t="s">
        <v>512</v>
      </c>
      <c r="S1742" t="s">
        <v>123</v>
      </c>
      <c r="T1742">
        <v>259.51</v>
      </c>
      <c r="U1742">
        <v>251.90199999999999</v>
      </c>
      <c r="V1742">
        <f t="shared" si="54"/>
        <v>255.70599999999999</v>
      </c>
      <c r="W1742">
        <f t="shared" si="55"/>
        <v>7.6080000000000041</v>
      </c>
      <c r="X1742">
        <v>44.416668000000001</v>
      </c>
      <c r="Y1742">
        <v>-24</v>
      </c>
      <c r="Z1742" t="s">
        <v>124</v>
      </c>
      <c r="AA1742" t="s">
        <v>1913</v>
      </c>
      <c r="AB1742" t="s">
        <v>1914</v>
      </c>
      <c r="AD1742" t="s">
        <v>1915</v>
      </c>
      <c r="AE1742" t="s">
        <v>1916</v>
      </c>
      <c r="AH1742" t="s">
        <v>72</v>
      </c>
      <c r="AI1742" t="s">
        <v>2595</v>
      </c>
      <c r="AJ1742">
        <v>1926</v>
      </c>
      <c r="AK1742" t="s">
        <v>1918</v>
      </c>
      <c r="AM1742" t="s">
        <v>1919</v>
      </c>
      <c r="AN1742" t="s">
        <v>192</v>
      </c>
      <c r="AO1742" t="s">
        <v>657</v>
      </c>
      <c r="AP1742" t="s">
        <v>359</v>
      </c>
      <c r="AQ1742" t="s">
        <v>1920</v>
      </c>
      <c r="AR1742" t="s">
        <v>80</v>
      </c>
      <c r="AS1742">
        <v>702</v>
      </c>
      <c r="AT1742" t="s">
        <v>81</v>
      </c>
      <c r="AU1742">
        <v>22.51</v>
      </c>
      <c r="AV1742">
        <v>-42.93</v>
      </c>
      <c r="AW1742" t="s">
        <v>82</v>
      </c>
      <c r="AX1742">
        <v>702</v>
      </c>
      <c r="AY1742" t="s">
        <v>81</v>
      </c>
      <c r="AZ1742">
        <v>24.25</v>
      </c>
      <c r="BA1742">
        <v>-52.74</v>
      </c>
      <c r="BB1742" t="s">
        <v>83</v>
      </c>
    </row>
    <row r="1743" spans="1:54" x14ac:dyDescent="0.4">
      <c r="A1743">
        <v>1285964</v>
      </c>
      <c r="D1743" t="s">
        <v>498</v>
      </c>
      <c r="E1743" t="s">
        <v>55</v>
      </c>
      <c r="G1743">
        <v>1</v>
      </c>
      <c r="H1743" t="s">
        <v>56</v>
      </c>
      <c r="I1743" t="s">
        <v>57</v>
      </c>
      <c r="K1743" t="s">
        <v>2135</v>
      </c>
      <c r="L1743" t="s">
        <v>2606</v>
      </c>
      <c r="M1743" t="s">
        <v>60</v>
      </c>
      <c r="P1743" t="s">
        <v>511</v>
      </c>
      <c r="Q1743" t="s">
        <v>1536</v>
      </c>
      <c r="R1743" t="s">
        <v>512</v>
      </c>
      <c r="S1743" t="s">
        <v>123</v>
      </c>
      <c r="T1743">
        <v>259.51</v>
      </c>
      <c r="U1743">
        <v>251.90199999999999</v>
      </c>
      <c r="V1743">
        <f t="shared" si="54"/>
        <v>255.70599999999999</v>
      </c>
      <c r="W1743">
        <f t="shared" si="55"/>
        <v>7.6080000000000041</v>
      </c>
      <c r="X1743">
        <v>44.416668000000001</v>
      </c>
      <c r="Y1743">
        <v>-24</v>
      </c>
      <c r="Z1743" t="s">
        <v>124</v>
      </c>
      <c r="AA1743" t="s">
        <v>1913</v>
      </c>
      <c r="AB1743" t="s">
        <v>1914</v>
      </c>
      <c r="AD1743" t="s">
        <v>1915</v>
      </c>
      <c r="AE1743" t="s">
        <v>1916</v>
      </c>
      <c r="AH1743" t="s">
        <v>72</v>
      </c>
      <c r="AI1743" t="s">
        <v>2595</v>
      </c>
      <c r="AJ1743">
        <v>1926</v>
      </c>
      <c r="AK1743" t="s">
        <v>1918</v>
      </c>
      <c r="AM1743" t="s">
        <v>1919</v>
      </c>
      <c r="AN1743" t="s">
        <v>192</v>
      </c>
      <c r="AO1743" t="s">
        <v>657</v>
      </c>
      <c r="AP1743" t="s">
        <v>359</v>
      </c>
      <c r="AQ1743" t="s">
        <v>1920</v>
      </c>
      <c r="AR1743" t="s">
        <v>80</v>
      </c>
      <c r="AS1743">
        <v>702</v>
      </c>
      <c r="AT1743" t="s">
        <v>81</v>
      </c>
      <c r="AU1743">
        <v>22.51</v>
      </c>
      <c r="AV1743">
        <v>-42.93</v>
      </c>
      <c r="AW1743" t="s">
        <v>82</v>
      </c>
      <c r="AX1743">
        <v>702</v>
      </c>
      <c r="AY1743" t="s">
        <v>81</v>
      </c>
      <c r="AZ1743">
        <v>24.25</v>
      </c>
      <c r="BA1743">
        <v>-52.74</v>
      </c>
      <c r="BB1743" t="s">
        <v>83</v>
      </c>
    </row>
    <row r="1744" spans="1:54" x14ac:dyDescent="0.4">
      <c r="A1744">
        <v>1285964</v>
      </c>
      <c r="D1744" t="s">
        <v>498</v>
      </c>
      <c r="E1744" t="s">
        <v>55</v>
      </c>
      <c r="G1744">
        <v>1</v>
      </c>
      <c r="H1744" t="s">
        <v>56</v>
      </c>
      <c r="I1744" t="s">
        <v>57</v>
      </c>
      <c r="K1744" t="s">
        <v>2135</v>
      </c>
      <c r="L1744" t="s">
        <v>2606</v>
      </c>
      <c r="M1744" t="s">
        <v>60</v>
      </c>
      <c r="P1744" t="s">
        <v>511</v>
      </c>
      <c r="Q1744" t="s">
        <v>1536</v>
      </c>
      <c r="R1744" t="s">
        <v>512</v>
      </c>
      <c r="S1744" t="s">
        <v>123</v>
      </c>
      <c r="T1744">
        <v>259.51</v>
      </c>
      <c r="U1744">
        <v>251.90199999999999</v>
      </c>
      <c r="V1744">
        <f t="shared" si="54"/>
        <v>255.70599999999999</v>
      </c>
      <c r="W1744">
        <f t="shared" si="55"/>
        <v>7.6080000000000041</v>
      </c>
      <c r="X1744">
        <v>44.416668000000001</v>
      </c>
      <c r="Y1744">
        <v>-24</v>
      </c>
      <c r="Z1744" t="s">
        <v>124</v>
      </c>
      <c r="AA1744" t="s">
        <v>1913</v>
      </c>
      <c r="AB1744" t="s">
        <v>1914</v>
      </c>
      <c r="AD1744" t="s">
        <v>1915</v>
      </c>
      <c r="AE1744" t="s">
        <v>1916</v>
      </c>
      <c r="AH1744" t="s">
        <v>72</v>
      </c>
      <c r="AI1744" t="s">
        <v>2595</v>
      </c>
      <c r="AJ1744">
        <v>1926</v>
      </c>
      <c r="AK1744" t="s">
        <v>1918</v>
      </c>
      <c r="AM1744" t="s">
        <v>1919</v>
      </c>
      <c r="AN1744" t="s">
        <v>192</v>
      </c>
      <c r="AO1744" t="s">
        <v>657</v>
      </c>
      <c r="AP1744" t="s">
        <v>359</v>
      </c>
      <c r="AQ1744" t="s">
        <v>1920</v>
      </c>
      <c r="AR1744" t="s">
        <v>80</v>
      </c>
      <c r="AS1744">
        <v>702</v>
      </c>
      <c r="AT1744" t="s">
        <v>81</v>
      </c>
      <c r="AU1744">
        <v>22.51</v>
      </c>
      <c r="AV1744">
        <v>-42.93</v>
      </c>
      <c r="AW1744" t="s">
        <v>82</v>
      </c>
      <c r="AX1744">
        <v>702</v>
      </c>
      <c r="AY1744" t="s">
        <v>81</v>
      </c>
      <c r="AZ1744">
        <v>24.25</v>
      </c>
      <c r="BA1744">
        <v>-52.74</v>
      </c>
      <c r="BB1744" t="s">
        <v>83</v>
      </c>
    </row>
    <row r="1745" spans="1:54" x14ac:dyDescent="0.4">
      <c r="A1745">
        <v>1285964</v>
      </c>
      <c r="D1745" t="s">
        <v>498</v>
      </c>
      <c r="E1745" t="s">
        <v>55</v>
      </c>
      <c r="G1745">
        <v>1</v>
      </c>
      <c r="H1745" t="s">
        <v>56</v>
      </c>
      <c r="I1745" t="s">
        <v>57</v>
      </c>
      <c r="K1745" t="s">
        <v>2135</v>
      </c>
      <c r="L1745" t="s">
        <v>2606</v>
      </c>
      <c r="M1745" t="s">
        <v>60</v>
      </c>
      <c r="P1745" t="s">
        <v>511</v>
      </c>
      <c r="Q1745" t="s">
        <v>1536</v>
      </c>
      <c r="R1745" t="s">
        <v>512</v>
      </c>
      <c r="S1745" t="s">
        <v>123</v>
      </c>
      <c r="T1745">
        <v>259.51</v>
      </c>
      <c r="U1745">
        <v>251.90199999999999</v>
      </c>
      <c r="V1745">
        <f t="shared" si="54"/>
        <v>255.70599999999999</v>
      </c>
      <c r="W1745">
        <f t="shared" si="55"/>
        <v>7.6080000000000041</v>
      </c>
      <c r="X1745">
        <v>44.416668000000001</v>
      </c>
      <c r="Y1745">
        <v>-24</v>
      </c>
      <c r="Z1745" t="s">
        <v>124</v>
      </c>
      <c r="AA1745" t="s">
        <v>1913</v>
      </c>
      <c r="AB1745" t="s">
        <v>1914</v>
      </c>
      <c r="AD1745" t="s">
        <v>1915</v>
      </c>
      <c r="AE1745" t="s">
        <v>1916</v>
      </c>
      <c r="AH1745" t="s">
        <v>72</v>
      </c>
      <c r="AI1745" t="s">
        <v>2595</v>
      </c>
      <c r="AJ1745">
        <v>1926</v>
      </c>
      <c r="AK1745" t="s">
        <v>1918</v>
      </c>
      <c r="AM1745" t="s">
        <v>1919</v>
      </c>
      <c r="AN1745" t="s">
        <v>192</v>
      </c>
      <c r="AO1745" t="s">
        <v>657</v>
      </c>
      <c r="AP1745" t="s">
        <v>359</v>
      </c>
      <c r="AQ1745" t="s">
        <v>1920</v>
      </c>
      <c r="AR1745" t="s">
        <v>80</v>
      </c>
      <c r="AS1745">
        <v>702</v>
      </c>
      <c r="AT1745" t="s">
        <v>81</v>
      </c>
      <c r="AU1745">
        <v>22.51</v>
      </c>
      <c r="AV1745">
        <v>-42.93</v>
      </c>
      <c r="AW1745" t="s">
        <v>82</v>
      </c>
      <c r="AX1745">
        <v>702</v>
      </c>
      <c r="AY1745" t="s">
        <v>81</v>
      </c>
      <c r="AZ1745">
        <v>24.25</v>
      </c>
      <c r="BA1745">
        <v>-52.74</v>
      </c>
      <c r="BB1745" t="s">
        <v>83</v>
      </c>
    </row>
    <row r="1746" spans="1:54" x14ac:dyDescent="0.4">
      <c r="A1746">
        <v>1285964</v>
      </c>
      <c r="D1746" t="s">
        <v>498</v>
      </c>
      <c r="E1746" t="s">
        <v>55</v>
      </c>
      <c r="G1746">
        <v>1</v>
      </c>
      <c r="H1746" t="s">
        <v>56</v>
      </c>
      <c r="I1746" t="s">
        <v>57</v>
      </c>
      <c r="K1746" t="s">
        <v>2135</v>
      </c>
      <c r="L1746" t="s">
        <v>2606</v>
      </c>
      <c r="M1746" t="s">
        <v>60</v>
      </c>
      <c r="P1746" t="s">
        <v>511</v>
      </c>
      <c r="Q1746" t="s">
        <v>1536</v>
      </c>
      <c r="R1746" t="s">
        <v>512</v>
      </c>
      <c r="S1746" t="s">
        <v>123</v>
      </c>
      <c r="T1746">
        <v>259.51</v>
      </c>
      <c r="U1746">
        <v>251.90199999999999</v>
      </c>
      <c r="V1746">
        <f t="shared" si="54"/>
        <v>255.70599999999999</v>
      </c>
      <c r="W1746">
        <f t="shared" si="55"/>
        <v>7.6080000000000041</v>
      </c>
      <c r="X1746">
        <v>44.416668000000001</v>
      </c>
      <c r="Y1746">
        <v>-24</v>
      </c>
      <c r="Z1746" t="s">
        <v>124</v>
      </c>
      <c r="AA1746" t="s">
        <v>1913</v>
      </c>
      <c r="AB1746" t="s">
        <v>1914</v>
      </c>
      <c r="AD1746" t="s">
        <v>1915</v>
      </c>
      <c r="AE1746" t="s">
        <v>1916</v>
      </c>
      <c r="AH1746" t="s">
        <v>72</v>
      </c>
      <c r="AI1746" t="s">
        <v>2595</v>
      </c>
      <c r="AJ1746">
        <v>1926</v>
      </c>
      <c r="AK1746" t="s">
        <v>1918</v>
      </c>
      <c r="AM1746" t="s">
        <v>1919</v>
      </c>
      <c r="AN1746" t="s">
        <v>192</v>
      </c>
      <c r="AO1746" t="s">
        <v>657</v>
      </c>
      <c r="AP1746" t="s">
        <v>359</v>
      </c>
      <c r="AQ1746" t="s">
        <v>1920</v>
      </c>
      <c r="AR1746" t="s">
        <v>80</v>
      </c>
      <c r="AS1746">
        <v>702</v>
      </c>
      <c r="AT1746" t="s">
        <v>81</v>
      </c>
      <c r="AU1746">
        <v>22.51</v>
      </c>
      <c r="AV1746">
        <v>-42.93</v>
      </c>
      <c r="AW1746" t="s">
        <v>82</v>
      </c>
      <c r="AX1746">
        <v>702</v>
      </c>
      <c r="AY1746" t="s">
        <v>81</v>
      </c>
      <c r="AZ1746">
        <v>24.25</v>
      </c>
      <c r="BA1746">
        <v>-52.74</v>
      </c>
      <c r="BB1746" t="s">
        <v>83</v>
      </c>
    </row>
    <row r="1747" spans="1:54" x14ac:dyDescent="0.4">
      <c r="A1747">
        <v>1285964</v>
      </c>
      <c r="D1747" t="s">
        <v>498</v>
      </c>
      <c r="E1747" t="s">
        <v>55</v>
      </c>
      <c r="G1747">
        <v>1</v>
      </c>
      <c r="H1747" t="s">
        <v>56</v>
      </c>
      <c r="I1747" t="s">
        <v>57</v>
      </c>
      <c r="K1747" t="s">
        <v>2135</v>
      </c>
      <c r="L1747" t="s">
        <v>2606</v>
      </c>
      <c r="M1747" t="s">
        <v>60</v>
      </c>
      <c r="P1747" t="s">
        <v>511</v>
      </c>
      <c r="Q1747" t="s">
        <v>1536</v>
      </c>
      <c r="R1747" t="s">
        <v>512</v>
      </c>
      <c r="S1747" t="s">
        <v>123</v>
      </c>
      <c r="T1747">
        <v>259.51</v>
      </c>
      <c r="U1747">
        <v>251.90199999999999</v>
      </c>
      <c r="V1747">
        <f t="shared" si="54"/>
        <v>255.70599999999999</v>
      </c>
      <c r="W1747">
        <f t="shared" si="55"/>
        <v>7.6080000000000041</v>
      </c>
      <c r="X1747">
        <v>44.416668000000001</v>
      </c>
      <c r="Y1747">
        <v>-24</v>
      </c>
      <c r="Z1747" t="s">
        <v>124</v>
      </c>
      <c r="AA1747" t="s">
        <v>1913</v>
      </c>
      <c r="AB1747" t="s">
        <v>1914</v>
      </c>
      <c r="AD1747" t="s">
        <v>1915</v>
      </c>
      <c r="AE1747" t="s">
        <v>1916</v>
      </c>
      <c r="AH1747" t="s">
        <v>72</v>
      </c>
      <c r="AI1747" t="s">
        <v>2595</v>
      </c>
      <c r="AJ1747">
        <v>1926</v>
      </c>
      <c r="AK1747" t="s">
        <v>1918</v>
      </c>
      <c r="AM1747" t="s">
        <v>1919</v>
      </c>
      <c r="AN1747" t="s">
        <v>192</v>
      </c>
      <c r="AO1747" t="s">
        <v>657</v>
      </c>
      <c r="AP1747" t="s">
        <v>359</v>
      </c>
      <c r="AQ1747" t="s">
        <v>1920</v>
      </c>
      <c r="AR1747" t="s">
        <v>80</v>
      </c>
      <c r="AS1747">
        <v>702</v>
      </c>
      <c r="AT1747" t="s">
        <v>81</v>
      </c>
      <c r="AU1747">
        <v>22.51</v>
      </c>
      <c r="AV1747">
        <v>-42.93</v>
      </c>
      <c r="AW1747" t="s">
        <v>82</v>
      </c>
      <c r="AX1747">
        <v>702</v>
      </c>
      <c r="AY1747" t="s">
        <v>81</v>
      </c>
      <c r="AZ1747">
        <v>24.25</v>
      </c>
      <c r="BA1747">
        <v>-52.74</v>
      </c>
      <c r="BB1747" t="s">
        <v>83</v>
      </c>
    </row>
    <row r="1748" spans="1:54" x14ac:dyDescent="0.4">
      <c r="A1748">
        <v>1285964</v>
      </c>
      <c r="D1748" t="s">
        <v>498</v>
      </c>
      <c r="E1748" t="s">
        <v>55</v>
      </c>
      <c r="G1748">
        <v>1</v>
      </c>
      <c r="H1748" t="s">
        <v>56</v>
      </c>
      <c r="I1748" t="s">
        <v>57</v>
      </c>
      <c r="K1748" t="s">
        <v>2135</v>
      </c>
      <c r="L1748" t="s">
        <v>2606</v>
      </c>
      <c r="M1748" t="s">
        <v>60</v>
      </c>
      <c r="P1748" t="s">
        <v>511</v>
      </c>
      <c r="Q1748" t="s">
        <v>1536</v>
      </c>
      <c r="R1748" t="s">
        <v>512</v>
      </c>
      <c r="S1748" t="s">
        <v>123</v>
      </c>
      <c r="T1748">
        <v>259.51</v>
      </c>
      <c r="U1748">
        <v>251.90199999999999</v>
      </c>
      <c r="V1748">
        <f t="shared" si="54"/>
        <v>255.70599999999999</v>
      </c>
      <c r="W1748">
        <f t="shared" si="55"/>
        <v>7.6080000000000041</v>
      </c>
      <c r="X1748">
        <v>44.416668000000001</v>
      </c>
      <c r="Y1748">
        <v>-24</v>
      </c>
      <c r="Z1748" t="s">
        <v>124</v>
      </c>
      <c r="AA1748" t="s">
        <v>1913</v>
      </c>
      <c r="AB1748" t="s">
        <v>1914</v>
      </c>
      <c r="AD1748" t="s">
        <v>1915</v>
      </c>
      <c r="AE1748" t="s">
        <v>1916</v>
      </c>
      <c r="AH1748" t="s">
        <v>72</v>
      </c>
      <c r="AI1748" t="s">
        <v>2595</v>
      </c>
      <c r="AJ1748">
        <v>1926</v>
      </c>
      <c r="AK1748" t="s">
        <v>1918</v>
      </c>
      <c r="AM1748" t="s">
        <v>1919</v>
      </c>
      <c r="AN1748" t="s">
        <v>192</v>
      </c>
      <c r="AO1748" t="s">
        <v>657</v>
      </c>
      <c r="AP1748" t="s">
        <v>359</v>
      </c>
      <c r="AQ1748" t="s">
        <v>1920</v>
      </c>
      <c r="AR1748" t="s">
        <v>80</v>
      </c>
      <c r="AS1748">
        <v>702</v>
      </c>
      <c r="AT1748" t="s">
        <v>81</v>
      </c>
      <c r="AU1748">
        <v>22.51</v>
      </c>
      <c r="AV1748">
        <v>-42.93</v>
      </c>
      <c r="AW1748" t="s">
        <v>82</v>
      </c>
      <c r="AX1748">
        <v>702</v>
      </c>
      <c r="AY1748" t="s">
        <v>81</v>
      </c>
      <c r="AZ1748">
        <v>24.25</v>
      </c>
      <c r="BA1748">
        <v>-52.74</v>
      </c>
      <c r="BB1748" t="s">
        <v>83</v>
      </c>
    </row>
    <row r="1749" spans="1:54" x14ac:dyDescent="0.4">
      <c r="A1749">
        <v>1285964</v>
      </c>
      <c r="D1749" t="s">
        <v>498</v>
      </c>
      <c r="E1749" t="s">
        <v>55</v>
      </c>
      <c r="G1749">
        <v>1</v>
      </c>
      <c r="H1749" t="s">
        <v>56</v>
      </c>
      <c r="I1749" t="s">
        <v>57</v>
      </c>
      <c r="K1749" t="s">
        <v>2135</v>
      </c>
      <c r="L1749" t="s">
        <v>2606</v>
      </c>
      <c r="M1749" t="s">
        <v>60</v>
      </c>
      <c r="P1749" t="s">
        <v>511</v>
      </c>
      <c r="Q1749" t="s">
        <v>1536</v>
      </c>
      <c r="R1749" t="s">
        <v>512</v>
      </c>
      <c r="S1749" t="s">
        <v>123</v>
      </c>
      <c r="T1749">
        <v>259.51</v>
      </c>
      <c r="U1749">
        <v>251.90199999999999</v>
      </c>
      <c r="V1749">
        <f t="shared" si="54"/>
        <v>255.70599999999999</v>
      </c>
      <c r="W1749">
        <f t="shared" si="55"/>
        <v>7.6080000000000041</v>
      </c>
      <c r="X1749">
        <v>44.416668000000001</v>
      </c>
      <c r="Y1749">
        <v>-24</v>
      </c>
      <c r="Z1749" t="s">
        <v>124</v>
      </c>
      <c r="AA1749" t="s">
        <v>1913</v>
      </c>
      <c r="AB1749" t="s">
        <v>1914</v>
      </c>
      <c r="AD1749" t="s">
        <v>1915</v>
      </c>
      <c r="AE1749" t="s">
        <v>1916</v>
      </c>
      <c r="AH1749" t="s">
        <v>72</v>
      </c>
      <c r="AI1749" t="s">
        <v>2595</v>
      </c>
      <c r="AJ1749">
        <v>1926</v>
      </c>
      <c r="AK1749" t="s">
        <v>1918</v>
      </c>
      <c r="AM1749" t="s">
        <v>1919</v>
      </c>
      <c r="AN1749" t="s">
        <v>192</v>
      </c>
      <c r="AO1749" t="s">
        <v>657</v>
      </c>
      <c r="AP1749" t="s">
        <v>359</v>
      </c>
      <c r="AQ1749" t="s">
        <v>1920</v>
      </c>
      <c r="AR1749" t="s">
        <v>80</v>
      </c>
      <c r="AS1749">
        <v>702</v>
      </c>
      <c r="AT1749" t="s">
        <v>81</v>
      </c>
      <c r="AU1749">
        <v>22.51</v>
      </c>
      <c r="AV1749">
        <v>-42.93</v>
      </c>
      <c r="AW1749" t="s">
        <v>82</v>
      </c>
      <c r="AX1749">
        <v>702</v>
      </c>
      <c r="AY1749" t="s">
        <v>81</v>
      </c>
      <c r="AZ1749">
        <v>24.25</v>
      </c>
      <c r="BA1749">
        <v>-52.74</v>
      </c>
      <c r="BB1749" t="s">
        <v>83</v>
      </c>
    </row>
    <row r="1750" spans="1:54" x14ac:dyDescent="0.4">
      <c r="A1750">
        <v>1285964</v>
      </c>
      <c r="D1750" t="s">
        <v>498</v>
      </c>
      <c r="E1750" t="s">
        <v>55</v>
      </c>
      <c r="G1750">
        <v>1</v>
      </c>
      <c r="H1750" t="s">
        <v>56</v>
      </c>
      <c r="I1750" t="s">
        <v>57</v>
      </c>
      <c r="K1750" t="s">
        <v>2135</v>
      </c>
      <c r="L1750" t="s">
        <v>2606</v>
      </c>
      <c r="M1750" t="s">
        <v>60</v>
      </c>
      <c r="P1750" t="s">
        <v>511</v>
      </c>
      <c r="Q1750" t="s">
        <v>1536</v>
      </c>
      <c r="R1750" t="s">
        <v>512</v>
      </c>
      <c r="S1750" t="s">
        <v>123</v>
      </c>
      <c r="T1750">
        <v>259.51</v>
      </c>
      <c r="U1750">
        <v>251.90199999999999</v>
      </c>
      <c r="V1750">
        <f t="shared" si="54"/>
        <v>255.70599999999999</v>
      </c>
      <c r="W1750">
        <f t="shared" si="55"/>
        <v>7.6080000000000041</v>
      </c>
      <c r="X1750">
        <v>44.416668000000001</v>
      </c>
      <c r="Y1750">
        <v>-24</v>
      </c>
      <c r="Z1750" t="s">
        <v>124</v>
      </c>
      <c r="AA1750" t="s">
        <v>1913</v>
      </c>
      <c r="AB1750" t="s">
        <v>1914</v>
      </c>
      <c r="AD1750" t="s">
        <v>1915</v>
      </c>
      <c r="AE1750" t="s">
        <v>1916</v>
      </c>
      <c r="AH1750" t="s">
        <v>72</v>
      </c>
      <c r="AI1750" t="s">
        <v>2595</v>
      </c>
      <c r="AJ1750">
        <v>1926</v>
      </c>
      <c r="AK1750" t="s">
        <v>1918</v>
      </c>
      <c r="AM1750" t="s">
        <v>1919</v>
      </c>
      <c r="AN1750" t="s">
        <v>192</v>
      </c>
      <c r="AO1750" t="s">
        <v>657</v>
      </c>
      <c r="AP1750" t="s">
        <v>359</v>
      </c>
      <c r="AQ1750" t="s">
        <v>1920</v>
      </c>
      <c r="AR1750" t="s">
        <v>80</v>
      </c>
      <c r="AS1750">
        <v>702</v>
      </c>
      <c r="AT1750" t="s">
        <v>81</v>
      </c>
      <c r="AU1750">
        <v>22.51</v>
      </c>
      <c r="AV1750">
        <v>-42.93</v>
      </c>
      <c r="AW1750" t="s">
        <v>82</v>
      </c>
      <c r="AX1750">
        <v>702</v>
      </c>
      <c r="AY1750" t="s">
        <v>81</v>
      </c>
      <c r="AZ1750">
        <v>24.25</v>
      </c>
      <c r="BA1750">
        <v>-52.74</v>
      </c>
      <c r="BB1750" t="s">
        <v>83</v>
      </c>
    </row>
    <row r="1751" spans="1:54" x14ac:dyDescent="0.4">
      <c r="A1751">
        <v>1285964</v>
      </c>
      <c r="D1751" t="s">
        <v>498</v>
      </c>
      <c r="E1751" t="s">
        <v>55</v>
      </c>
      <c r="G1751">
        <v>1</v>
      </c>
      <c r="H1751" t="s">
        <v>56</v>
      </c>
      <c r="I1751" t="s">
        <v>57</v>
      </c>
      <c r="K1751" t="s">
        <v>2135</v>
      </c>
      <c r="L1751" t="s">
        <v>2606</v>
      </c>
      <c r="M1751" t="s">
        <v>60</v>
      </c>
      <c r="P1751" t="s">
        <v>511</v>
      </c>
      <c r="Q1751" t="s">
        <v>1536</v>
      </c>
      <c r="R1751" t="s">
        <v>512</v>
      </c>
      <c r="S1751" t="s">
        <v>123</v>
      </c>
      <c r="T1751">
        <v>259.51</v>
      </c>
      <c r="U1751">
        <v>251.90199999999999</v>
      </c>
      <c r="V1751">
        <f t="shared" si="54"/>
        <v>255.70599999999999</v>
      </c>
      <c r="W1751">
        <f t="shared" si="55"/>
        <v>7.6080000000000041</v>
      </c>
      <c r="X1751">
        <v>44.416668000000001</v>
      </c>
      <c r="Y1751">
        <v>-24</v>
      </c>
      <c r="Z1751" t="s">
        <v>124</v>
      </c>
      <c r="AA1751" t="s">
        <v>1913</v>
      </c>
      <c r="AB1751" t="s">
        <v>1914</v>
      </c>
      <c r="AD1751" t="s">
        <v>1915</v>
      </c>
      <c r="AE1751" t="s">
        <v>1916</v>
      </c>
      <c r="AH1751" t="s">
        <v>72</v>
      </c>
      <c r="AI1751" t="s">
        <v>2595</v>
      </c>
      <c r="AJ1751">
        <v>1926</v>
      </c>
      <c r="AK1751" t="s">
        <v>1918</v>
      </c>
      <c r="AM1751" t="s">
        <v>1919</v>
      </c>
      <c r="AN1751" t="s">
        <v>192</v>
      </c>
      <c r="AO1751" t="s">
        <v>657</v>
      </c>
      <c r="AP1751" t="s">
        <v>359</v>
      </c>
      <c r="AQ1751" t="s">
        <v>1920</v>
      </c>
      <c r="AR1751" t="s">
        <v>80</v>
      </c>
      <c r="AS1751">
        <v>702</v>
      </c>
      <c r="AT1751" t="s">
        <v>81</v>
      </c>
      <c r="AU1751">
        <v>22.51</v>
      </c>
      <c r="AV1751">
        <v>-42.93</v>
      </c>
      <c r="AW1751" t="s">
        <v>82</v>
      </c>
      <c r="AX1751">
        <v>702</v>
      </c>
      <c r="AY1751" t="s">
        <v>81</v>
      </c>
      <c r="AZ1751">
        <v>24.25</v>
      </c>
      <c r="BA1751">
        <v>-52.74</v>
      </c>
      <c r="BB1751" t="s">
        <v>83</v>
      </c>
    </row>
    <row r="1752" spans="1:54" x14ac:dyDescent="0.4">
      <c r="A1752">
        <v>1285964</v>
      </c>
      <c r="D1752" t="s">
        <v>498</v>
      </c>
      <c r="E1752" t="s">
        <v>55</v>
      </c>
      <c r="G1752">
        <v>1</v>
      </c>
      <c r="H1752" t="s">
        <v>56</v>
      </c>
      <c r="I1752" t="s">
        <v>57</v>
      </c>
      <c r="K1752" t="s">
        <v>2135</v>
      </c>
      <c r="L1752" t="s">
        <v>2606</v>
      </c>
      <c r="M1752" t="s">
        <v>60</v>
      </c>
      <c r="P1752" t="s">
        <v>511</v>
      </c>
      <c r="Q1752" t="s">
        <v>1536</v>
      </c>
      <c r="R1752" t="s">
        <v>512</v>
      </c>
      <c r="S1752" t="s">
        <v>123</v>
      </c>
      <c r="T1752">
        <v>259.51</v>
      </c>
      <c r="U1752">
        <v>251.90199999999999</v>
      </c>
      <c r="V1752">
        <f t="shared" si="54"/>
        <v>255.70599999999999</v>
      </c>
      <c r="W1752">
        <f t="shared" si="55"/>
        <v>7.6080000000000041</v>
      </c>
      <c r="X1752">
        <v>44.416668000000001</v>
      </c>
      <c r="Y1752">
        <v>-24</v>
      </c>
      <c r="Z1752" t="s">
        <v>124</v>
      </c>
      <c r="AA1752" t="s">
        <v>1913</v>
      </c>
      <c r="AB1752" t="s">
        <v>1914</v>
      </c>
      <c r="AD1752" t="s">
        <v>1915</v>
      </c>
      <c r="AE1752" t="s">
        <v>1916</v>
      </c>
      <c r="AH1752" t="s">
        <v>72</v>
      </c>
      <c r="AI1752" t="s">
        <v>2595</v>
      </c>
      <c r="AJ1752">
        <v>1926</v>
      </c>
      <c r="AK1752" t="s">
        <v>1918</v>
      </c>
      <c r="AM1752" t="s">
        <v>1919</v>
      </c>
      <c r="AN1752" t="s">
        <v>192</v>
      </c>
      <c r="AO1752" t="s">
        <v>657</v>
      </c>
      <c r="AP1752" t="s">
        <v>359</v>
      </c>
      <c r="AQ1752" t="s">
        <v>1920</v>
      </c>
      <c r="AR1752" t="s">
        <v>80</v>
      </c>
      <c r="AS1752">
        <v>702</v>
      </c>
      <c r="AT1752" t="s">
        <v>81</v>
      </c>
      <c r="AU1752">
        <v>22.51</v>
      </c>
      <c r="AV1752">
        <v>-42.93</v>
      </c>
      <c r="AW1752" t="s">
        <v>82</v>
      </c>
      <c r="AX1752">
        <v>702</v>
      </c>
      <c r="AY1752" t="s">
        <v>81</v>
      </c>
      <c r="AZ1752">
        <v>24.25</v>
      </c>
      <c r="BA1752">
        <v>-52.74</v>
      </c>
      <c r="BB1752" t="s">
        <v>83</v>
      </c>
    </row>
    <row r="1753" spans="1:54" x14ac:dyDescent="0.4">
      <c r="A1753">
        <v>1285964</v>
      </c>
      <c r="D1753" t="s">
        <v>498</v>
      </c>
      <c r="E1753" t="s">
        <v>55</v>
      </c>
      <c r="G1753">
        <v>1</v>
      </c>
      <c r="H1753" t="s">
        <v>56</v>
      </c>
      <c r="I1753" t="s">
        <v>57</v>
      </c>
      <c r="K1753" t="s">
        <v>2135</v>
      </c>
      <c r="L1753" t="s">
        <v>2606</v>
      </c>
      <c r="M1753" t="s">
        <v>60</v>
      </c>
      <c r="P1753" t="s">
        <v>511</v>
      </c>
      <c r="Q1753" t="s">
        <v>1536</v>
      </c>
      <c r="R1753" t="s">
        <v>512</v>
      </c>
      <c r="S1753" t="s">
        <v>123</v>
      </c>
      <c r="T1753">
        <v>259.51</v>
      </c>
      <c r="U1753">
        <v>251.90199999999999</v>
      </c>
      <c r="V1753">
        <f t="shared" si="54"/>
        <v>255.70599999999999</v>
      </c>
      <c r="W1753">
        <f t="shared" si="55"/>
        <v>7.6080000000000041</v>
      </c>
      <c r="X1753">
        <v>44.416668000000001</v>
      </c>
      <c r="Y1753">
        <v>-24</v>
      </c>
      <c r="Z1753" t="s">
        <v>124</v>
      </c>
      <c r="AA1753" t="s">
        <v>1913</v>
      </c>
      <c r="AB1753" t="s">
        <v>1914</v>
      </c>
      <c r="AD1753" t="s">
        <v>1915</v>
      </c>
      <c r="AE1753" t="s">
        <v>1916</v>
      </c>
      <c r="AH1753" t="s">
        <v>72</v>
      </c>
      <c r="AI1753" t="s">
        <v>2595</v>
      </c>
      <c r="AJ1753">
        <v>1926</v>
      </c>
      <c r="AK1753" t="s">
        <v>1918</v>
      </c>
      <c r="AM1753" t="s">
        <v>1919</v>
      </c>
      <c r="AN1753" t="s">
        <v>192</v>
      </c>
      <c r="AO1753" t="s">
        <v>657</v>
      </c>
      <c r="AP1753" t="s">
        <v>359</v>
      </c>
      <c r="AQ1753" t="s">
        <v>1920</v>
      </c>
      <c r="AR1753" t="s">
        <v>80</v>
      </c>
      <c r="AS1753">
        <v>702</v>
      </c>
      <c r="AT1753" t="s">
        <v>81</v>
      </c>
      <c r="AU1753">
        <v>22.51</v>
      </c>
      <c r="AV1753">
        <v>-42.93</v>
      </c>
      <c r="AW1753" t="s">
        <v>82</v>
      </c>
      <c r="AX1753">
        <v>702</v>
      </c>
      <c r="AY1753" t="s">
        <v>81</v>
      </c>
      <c r="AZ1753">
        <v>24.25</v>
      </c>
      <c r="BA1753">
        <v>-52.74</v>
      </c>
      <c r="BB1753" t="s">
        <v>83</v>
      </c>
    </row>
    <row r="1754" spans="1:54" x14ac:dyDescent="0.4">
      <c r="A1754">
        <v>1285964</v>
      </c>
      <c r="D1754" t="s">
        <v>498</v>
      </c>
      <c r="E1754" t="s">
        <v>55</v>
      </c>
      <c r="G1754">
        <v>1</v>
      </c>
      <c r="H1754" t="s">
        <v>56</v>
      </c>
      <c r="I1754" t="s">
        <v>57</v>
      </c>
      <c r="K1754" t="s">
        <v>2135</v>
      </c>
      <c r="L1754" t="s">
        <v>2606</v>
      </c>
      <c r="M1754" t="s">
        <v>60</v>
      </c>
      <c r="P1754" t="s">
        <v>511</v>
      </c>
      <c r="Q1754" t="s">
        <v>1536</v>
      </c>
      <c r="R1754" t="s">
        <v>512</v>
      </c>
      <c r="S1754" t="s">
        <v>123</v>
      </c>
      <c r="T1754">
        <v>259.51</v>
      </c>
      <c r="U1754">
        <v>251.90199999999999</v>
      </c>
      <c r="V1754">
        <f t="shared" si="54"/>
        <v>255.70599999999999</v>
      </c>
      <c r="W1754">
        <f t="shared" si="55"/>
        <v>7.6080000000000041</v>
      </c>
      <c r="X1754">
        <v>44.416668000000001</v>
      </c>
      <c r="Y1754">
        <v>-24</v>
      </c>
      <c r="Z1754" t="s">
        <v>124</v>
      </c>
      <c r="AA1754" t="s">
        <v>1913</v>
      </c>
      <c r="AB1754" t="s">
        <v>1914</v>
      </c>
      <c r="AD1754" t="s">
        <v>1915</v>
      </c>
      <c r="AE1754" t="s">
        <v>1916</v>
      </c>
      <c r="AH1754" t="s">
        <v>72</v>
      </c>
      <c r="AI1754" t="s">
        <v>2595</v>
      </c>
      <c r="AJ1754">
        <v>1926</v>
      </c>
      <c r="AK1754" t="s">
        <v>1918</v>
      </c>
      <c r="AM1754" t="s">
        <v>1919</v>
      </c>
      <c r="AN1754" t="s">
        <v>192</v>
      </c>
      <c r="AO1754" t="s">
        <v>657</v>
      </c>
      <c r="AP1754" t="s">
        <v>359</v>
      </c>
      <c r="AQ1754" t="s">
        <v>1920</v>
      </c>
      <c r="AR1754" t="s">
        <v>80</v>
      </c>
      <c r="AS1754">
        <v>702</v>
      </c>
      <c r="AT1754" t="s">
        <v>81</v>
      </c>
      <c r="AU1754">
        <v>22.51</v>
      </c>
      <c r="AV1754">
        <v>-42.93</v>
      </c>
      <c r="AW1754" t="s">
        <v>82</v>
      </c>
      <c r="AX1754">
        <v>702</v>
      </c>
      <c r="AY1754" t="s">
        <v>81</v>
      </c>
      <c r="AZ1754">
        <v>24.25</v>
      </c>
      <c r="BA1754">
        <v>-52.74</v>
      </c>
      <c r="BB1754" t="s">
        <v>83</v>
      </c>
    </row>
    <row r="1755" spans="1:54" x14ac:dyDescent="0.4">
      <c r="A1755">
        <v>1285964</v>
      </c>
      <c r="D1755" t="s">
        <v>498</v>
      </c>
      <c r="E1755" t="s">
        <v>55</v>
      </c>
      <c r="G1755">
        <v>1</v>
      </c>
      <c r="H1755" t="s">
        <v>56</v>
      </c>
      <c r="I1755" t="s">
        <v>57</v>
      </c>
      <c r="K1755" t="s">
        <v>2135</v>
      </c>
      <c r="L1755" t="s">
        <v>2606</v>
      </c>
      <c r="M1755" t="s">
        <v>60</v>
      </c>
      <c r="P1755" t="s">
        <v>511</v>
      </c>
      <c r="Q1755" t="s">
        <v>1536</v>
      </c>
      <c r="R1755" t="s">
        <v>512</v>
      </c>
      <c r="S1755" t="s">
        <v>123</v>
      </c>
      <c r="T1755">
        <v>259.51</v>
      </c>
      <c r="U1755">
        <v>251.90199999999999</v>
      </c>
      <c r="V1755">
        <f t="shared" si="54"/>
        <v>255.70599999999999</v>
      </c>
      <c r="W1755">
        <f t="shared" si="55"/>
        <v>7.6080000000000041</v>
      </c>
      <c r="X1755">
        <v>44.416668000000001</v>
      </c>
      <c r="Y1755">
        <v>-24</v>
      </c>
      <c r="Z1755" t="s">
        <v>124</v>
      </c>
      <c r="AA1755" t="s">
        <v>1913</v>
      </c>
      <c r="AB1755" t="s">
        <v>1914</v>
      </c>
      <c r="AD1755" t="s">
        <v>1915</v>
      </c>
      <c r="AE1755" t="s">
        <v>1916</v>
      </c>
      <c r="AH1755" t="s">
        <v>72</v>
      </c>
      <c r="AI1755" t="s">
        <v>2595</v>
      </c>
      <c r="AJ1755">
        <v>1926</v>
      </c>
      <c r="AK1755" t="s">
        <v>1918</v>
      </c>
      <c r="AM1755" t="s">
        <v>1919</v>
      </c>
      <c r="AN1755" t="s">
        <v>192</v>
      </c>
      <c r="AO1755" t="s">
        <v>657</v>
      </c>
      <c r="AP1755" t="s">
        <v>359</v>
      </c>
      <c r="AQ1755" t="s">
        <v>1920</v>
      </c>
      <c r="AR1755" t="s">
        <v>80</v>
      </c>
      <c r="AS1755">
        <v>702</v>
      </c>
      <c r="AT1755" t="s">
        <v>81</v>
      </c>
      <c r="AU1755">
        <v>22.51</v>
      </c>
      <c r="AV1755">
        <v>-42.93</v>
      </c>
      <c r="AW1755" t="s">
        <v>82</v>
      </c>
      <c r="AX1755">
        <v>702</v>
      </c>
      <c r="AY1755" t="s">
        <v>81</v>
      </c>
      <c r="AZ1755">
        <v>24.25</v>
      </c>
      <c r="BA1755">
        <v>-52.74</v>
      </c>
      <c r="BB1755" t="s">
        <v>83</v>
      </c>
    </row>
    <row r="1756" spans="1:54" x14ac:dyDescent="0.4">
      <c r="A1756">
        <v>1285964</v>
      </c>
      <c r="D1756" t="s">
        <v>498</v>
      </c>
      <c r="E1756" t="s">
        <v>55</v>
      </c>
      <c r="G1756">
        <v>1</v>
      </c>
      <c r="H1756" t="s">
        <v>56</v>
      </c>
      <c r="I1756" t="s">
        <v>57</v>
      </c>
      <c r="K1756" t="s">
        <v>2135</v>
      </c>
      <c r="L1756" t="s">
        <v>2606</v>
      </c>
      <c r="M1756" t="s">
        <v>60</v>
      </c>
      <c r="P1756" t="s">
        <v>511</v>
      </c>
      <c r="Q1756" t="s">
        <v>1536</v>
      </c>
      <c r="R1756" t="s">
        <v>512</v>
      </c>
      <c r="S1756" t="s">
        <v>123</v>
      </c>
      <c r="T1756">
        <v>259.51</v>
      </c>
      <c r="U1756">
        <v>251.90199999999999</v>
      </c>
      <c r="V1756">
        <f t="shared" si="54"/>
        <v>255.70599999999999</v>
      </c>
      <c r="W1756">
        <f t="shared" si="55"/>
        <v>7.6080000000000041</v>
      </c>
      <c r="X1756">
        <v>44.416668000000001</v>
      </c>
      <c r="Y1756">
        <v>-24</v>
      </c>
      <c r="Z1756" t="s">
        <v>124</v>
      </c>
      <c r="AA1756" t="s">
        <v>1913</v>
      </c>
      <c r="AB1756" t="s">
        <v>1914</v>
      </c>
      <c r="AD1756" t="s">
        <v>1915</v>
      </c>
      <c r="AE1756" t="s">
        <v>1916</v>
      </c>
      <c r="AH1756" t="s">
        <v>72</v>
      </c>
      <c r="AI1756" t="s">
        <v>2595</v>
      </c>
      <c r="AJ1756">
        <v>1926</v>
      </c>
      <c r="AK1756" t="s">
        <v>1918</v>
      </c>
      <c r="AM1756" t="s">
        <v>1919</v>
      </c>
      <c r="AN1756" t="s">
        <v>192</v>
      </c>
      <c r="AO1756" t="s">
        <v>657</v>
      </c>
      <c r="AP1756" t="s">
        <v>359</v>
      </c>
      <c r="AQ1756" t="s">
        <v>1920</v>
      </c>
      <c r="AR1756" t="s">
        <v>80</v>
      </c>
      <c r="AS1756">
        <v>702</v>
      </c>
      <c r="AT1756" t="s">
        <v>81</v>
      </c>
      <c r="AU1756">
        <v>22.51</v>
      </c>
      <c r="AV1756">
        <v>-42.93</v>
      </c>
      <c r="AW1756" t="s">
        <v>82</v>
      </c>
      <c r="AX1756">
        <v>702</v>
      </c>
      <c r="AY1756" t="s">
        <v>81</v>
      </c>
      <c r="AZ1756">
        <v>24.25</v>
      </c>
      <c r="BA1756">
        <v>-52.74</v>
      </c>
      <c r="BB1756" t="s">
        <v>83</v>
      </c>
    </row>
    <row r="1757" spans="1:54" x14ac:dyDescent="0.4">
      <c r="A1757">
        <v>1285964</v>
      </c>
      <c r="D1757" t="s">
        <v>498</v>
      </c>
      <c r="E1757" t="s">
        <v>55</v>
      </c>
      <c r="G1757">
        <v>1</v>
      </c>
      <c r="H1757" t="s">
        <v>56</v>
      </c>
      <c r="I1757" t="s">
        <v>57</v>
      </c>
      <c r="K1757" t="s">
        <v>2135</v>
      </c>
      <c r="L1757" t="s">
        <v>2606</v>
      </c>
      <c r="M1757" t="s">
        <v>60</v>
      </c>
      <c r="P1757" t="s">
        <v>511</v>
      </c>
      <c r="Q1757" t="s">
        <v>1536</v>
      </c>
      <c r="R1757" t="s">
        <v>512</v>
      </c>
      <c r="S1757" t="s">
        <v>123</v>
      </c>
      <c r="T1757">
        <v>259.51</v>
      </c>
      <c r="U1757">
        <v>251.90199999999999</v>
      </c>
      <c r="V1757">
        <f t="shared" si="54"/>
        <v>255.70599999999999</v>
      </c>
      <c r="W1757">
        <f t="shared" si="55"/>
        <v>7.6080000000000041</v>
      </c>
      <c r="X1757">
        <v>44.416668000000001</v>
      </c>
      <c r="Y1757">
        <v>-24</v>
      </c>
      <c r="Z1757" t="s">
        <v>124</v>
      </c>
      <c r="AA1757" t="s">
        <v>1913</v>
      </c>
      <c r="AB1757" t="s">
        <v>1914</v>
      </c>
      <c r="AD1757" t="s">
        <v>1915</v>
      </c>
      <c r="AE1757" t="s">
        <v>1916</v>
      </c>
      <c r="AH1757" t="s">
        <v>72</v>
      </c>
      <c r="AI1757" t="s">
        <v>2595</v>
      </c>
      <c r="AJ1757">
        <v>1926</v>
      </c>
      <c r="AK1757" t="s">
        <v>1918</v>
      </c>
      <c r="AM1757" t="s">
        <v>1919</v>
      </c>
      <c r="AN1757" t="s">
        <v>192</v>
      </c>
      <c r="AO1757" t="s">
        <v>657</v>
      </c>
      <c r="AP1757" t="s">
        <v>359</v>
      </c>
      <c r="AQ1757" t="s">
        <v>1920</v>
      </c>
      <c r="AR1757" t="s">
        <v>80</v>
      </c>
      <c r="AS1757">
        <v>702</v>
      </c>
      <c r="AT1757" t="s">
        <v>81</v>
      </c>
      <c r="AU1757">
        <v>22.51</v>
      </c>
      <c r="AV1757">
        <v>-42.93</v>
      </c>
      <c r="AW1757" t="s">
        <v>82</v>
      </c>
      <c r="AX1757">
        <v>702</v>
      </c>
      <c r="AY1757" t="s">
        <v>81</v>
      </c>
      <c r="AZ1757">
        <v>24.25</v>
      </c>
      <c r="BA1757">
        <v>-52.74</v>
      </c>
      <c r="BB1757" t="s">
        <v>83</v>
      </c>
    </row>
    <row r="1758" spans="1:54" x14ac:dyDescent="0.4">
      <c r="A1758">
        <v>1285964</v>
      </c>
      <c r="D1758" t="s">
        <v>498</v>
      </c>
      <c r="E1758" t="s">
        <v>55</v>
      </c>
      <c r="G1758">
        <v>1</v>
      </c>
      <c r="H1758" t="s">
        <v>56</v>
      </c>
      <c r="I1758" t="s">
        <v>57</v>
      </c>
      <c r="K1758" t="s">
        <v>2135</v>
      </c>
      <c r="L1758" t="s">
        <v>2606</v>
      </c>
      <c r="M1758" t="s">
        <v>60</v>
      </c>
      <c r="P1758" t="s">
        <v>511</v>
      </c>
      <c r="Q1758" t="s">
        <v>1536</v>
      </c>
      <c r="R1758" t="s">
        <v>512</v>
      </c>
      <c r="S1758" t="s">
        <v>123</v>
      </c>
      <c r="T1758">
        <v>259.51</v>
      </c>
      <c r="U1758">
        <v>251.90199999999999</v>
      </c>
      <c r="V1758">
        <f t="shared" si="54"/>
        <v>255.70599999999999</v>
      </c>
      <c r="W1758">
        <f t="shared" si="55"/>
        <v>7.6080000000000041</v>
      </c>
      <c r="X1758">
        <v>44.416668000000001</v>
      </c>
      <c r="Y1758">
        <v>-24</v>
      </c>
      <c r="Z1758" t="s">
        <v>124</v>
      </c>
      <c r="AA1758" t="s">
        <v>1913</v>
      </c>
      <c r="AB1758" t="s">
        <v>1914</v>
      </c>
      <c r="AD1758" t="s">
        <v>1915</v>
      </c>
      <c r="AE1758" t="s">
        <v>1916</v>
      </c>
      <c r="AH1758" t="s">
        <v>72</v>
      </c>
      <c r="AI1758" t="s">
        <v>2595</v>
      </c>
      <c r="AJ1758">
        <v>1926</v>
      </c>
      <c r="AK1758" t="s">
        <v>1918</v>
      </c>
      <c r="AM1758" t="s">
        <v>1919</v>
      </c>
      <c r="AN1758" t="s">
        <v>192</v>
      </c>
      <c r="AO1758" t="s">
        <v>657</v>
      </c>
      <c r="AP1758" t="s">
        <v>359</v>
      </c>
      <c r="AQ1758" t="s">
        <v>1920</v>
      </c>
      <c r="AR1758" t="s">
        <v>80</v>
      </c>
      <c r="AS1758">
        <v>702</v>
      </c>
      <c r="AT1758" t="s">
        <v>81</v>
      </c>
      <c r="AU1758">
        <v>22.51</v>
      </c>
      <c r="AV1758">
        <v>-42.93</v>
      </c>
      <c r="AW1758" t="s">
        <v>82</v>
      </c>
      <c r="AX1758">
        <v>702</v>
      </c>
      <c r="AY1758" t="s">
        <v>81</v>
      </c>
      <c r="AZ1758">
        <v>24.25</v>
      </c>
      <c r="BA1758">
        <v>-52.74</v>
      </c>
      <c r="BB1758" t="s">
        <v>83</v>
      </c>
    </row>
    <row r="1759" spans="1:54" x14ac:dyDescent="0.4">
      <c r="A1759">
        <v>1285964</v>
      </c>
      <c r="D1759" t="s">
        <v>498</v>
      </c>
      <c r="E1759" t="s">
        <v>55</v>
      </c>
      <c r="G1759">
        <v>1</v>
      </c>
      <c r="H1759" t="s">
        <v>56</v>
      </c>
      <c r="I1759" t="s">
        <v>57</v>
      </c>
      <c r="K1759" t="s">
        <v>2135</v>
      </c>
      <c r="L1759" t="s">
        <v>2606</v>
      </c>
      <c r="M1759" t="s">
        <v>60</v>
      </c>
      <c r="P1759" t="s">
        <v>511</v>
      </c>
      <c r="Q1759" t="s">
        <v>1536</v>
      </c>
      <c r="R1759" t="s">
        <v>512</v>
      </c>
      <c r="S1759" t="s">
        <v>123</v>
      </c>
      <c r="T1759">
        <v>259.51</v>
      </c>
      <c r="U1759">
        <v>251.90199999999999</v>
      </c>
      <c r="V1759">
        <f t="shared" si="54"/>
        <v>255.70599999999999</v>
      </c>
      <c r="W1759">
        <f t="shared" si="55"/>
        <v>7.6080000000000041</v>
      </c>
      <c r="X1759">
        <v>44.416668000000001</v>
      </c>
      <c r="Y1759">
        <v>-24</v>
      </c>
      <c r="Z1759" t="s">
        <v>124</v>
      </c>
      <c r="AA1759" t="s">
        <v>1913</v>
      </c>
      <c r="AB1759" t="s">
        <v>1914</v>
      </c>
      <c r="AD1759" t="s">
        <v>1915</v>
      </c>
      <c r="AE1759" t="s">
        <v>1916</v>
      </c>
      <c r="AH1759" t="s">
        <v>72</v>
      </c>
      <c r="AI1759" t="s">
        <v>2595</v>
      </c>
      <c r="AJ1759">
        <v>1926</v>
      </c>
      <c r="AK1759" t="s">
        <v>1918</v>
      </c>
      <c r="AM1759" t="s">
        <v>1919</v>
      </c>
      <c r="AN1759" t="s">
        <v>192</v>
      </c>
      <c r="AO1759" t="s">
        <v>657</v>
      </c>
      <c r="AP1759" t="s">
        <v>359</v>
      </c>
      <c r="AQ1759" t="s">
        <v>1920</v>
      </c>
      <c r="AR1759" t="s">
        <v>80</v>
      </c>
      <c r="AS1759">
        <v>702</v>
      </c>
      <c r="AT1759" t="s">
        <v>81</v>
      </c>
      <c r="AU1759">
        <v>22.51</v>
      </c>
      <c r="AV1759">
        <v>-42.93</v>
      </c>
      <c r="AW1759" t="s">
        <v>82</v>
      </c>
      <c r="AX1759">
        <v>702</v>
      </c>
      <c r="AY1759" t="s">
        <v>81</v>
      </c>
      <c r="AZ1759">
        <v>24.25</v>
      </c>
      <c r="BA1759">
        <v>-52.74</v>
      </c>
      <c r="BB1759" t="s">
        <v>83</v>
      </c>
    </row>
    <row r="1760" spans="1:54" x14ac:dyDescent="0.4">
      <c r="A1760">
        <v>1285964</v>
      </c>
      <c r="D1760" t="s">
        <v>498</v>
      </c>
      <c r="E1760" t="s">
        <v>55</v>
      </c>
      <c r="G1760">
        <v>1</v>
      </c>
      <c r="H1760" t="s">
        <v>56</v>
      </c>
      <c r="I1760" t="s">
        <v>57</v>
      </c>
      <c r="K1760" t="s">
        <v>2135</v>
      </c>
      <c r="L1760" t="s">
        <v>2606</v>
      </c>
      <c r="M1760" t="s">
        <v>60</v>
      </c>
      <c r="P1760" t="s">
        <v>511</v>
      </c>
      <c r="Q1760" t="s">
        <v>1536</v>
      </c>
      <c r="R1760" t="s">
        <v>512</v>
      </c>
      <c r="S1760" t="s">
        <v>123</v>
      </c>
      <c r="T1760">
        <v>259.51</v>
      </c>
      <c r="U1760">
        <v>251.90199999999999</v>
      </c>
      <c r="V1760">
        <f t="shared" si="54"/>
        <v>255.70599999999999</v>
      </c>
      <c r="W1760">
        <f t="shared" si="55"/>
        <v>7.6080000000000041</v>
      </c>
      <c r="X1760">
        <v>44.416668000000001</v>
      </c>
      <c r="Y1760">
        <v>-24</v>
      </c>
      <c r="Z1760" t="s">
        <v>124</v>
      </c>
      <c r="AA1760" t="s">
        <v>1913</v>
      </c>
      <c r="AB1760" t="s">
        <v>1914</v>
      </c>
      <c r="AD1760" t="s">
        <v>1915</v>
      </c>
      <c r="AE1760" t="s">
        <v>1916</v>
      </c>
      <c r="AH1760" t="s">
        <v>72</v>
      </c>
      <c r="AI1760" t="s">
        <v>2595</v>
      </c>
      <c r="AJ1760">
        <v>1926</v>
      </c>
      <c r="AK1760" t="s">
        <v>1918</v>
      </c>
      <c r="AM1760" t="s">
        <v>1919</v>
      </c>
      <c r="AN1760" t="s">
        <v>192</v>
      </c>
      <c r="AO1760" t="s">
        <v>657</v>
      </c>
      <c r="AP1760" t="s">
        <v>359</v>
      </c>
      <c r="AQ1760" t="s">
        <v>1920</v>
      </c>
      <c r="AR1760" t="s">
        <v>80</v>
      </c>
      <c r="AS1760">
        <v>702</v>
      </c>
      <c r="AT1760" t="s">
        <v>81</v>
      </c>
      <c r="AU1760">
        <v>22.51</v>
      </c>
      <c r="AV1760">
        <v>-42.93</v>
      </c>
      <c r="AW1760" t="s">
        <v>82</v>
      </c>
      <c r="AX1760">
        <v>702</v>
      </c>
      <c r="AY1760" t="s">
        <v>81</v>
      </c>
      <c r="AZ1760">
        <v>24.25</v>
      </c>
      <c r="BA1760">
        <v>-52.74</v>
      </c>
      <c r="BB1760" t="s">
        <v>83</v>
      </c>
    </row>
    <row r="1761" spans="1:54" x14ac:dyDescent="0.4">
      <c r="A1761">
        <v>1285964</v>
      </c>
      <c r="D1761" t="s">
        <v>498</v>
      </c>
      <c r="E1761" t="s">
        <v>55</v>
      </c>
      <c r="G1761">
        <v>1</v>
      </c>
      <c r="H1761" t="s">
        <v>56</v>
      </c>
      <c r="I1761" t="s">
        <v>57</v>
      </c>
      <c r="K1761" t="s">
        <v>2135</v>
      </c>
      <c r="L1761" t="s">
        <v>2606</v>
      </c>
      <c r="M1761" t="s">
        <v>60</v>
      </c>
      <c r="P1761" t="s">
        <v>511</v>
      </c>
      <c r="Q1761" t="s">
        <v>1536</v>
      </c>
      <c r="R1761" t="s">
        <v>512</v>
      </c>
      <c r="S1761" t="s">
        <v>123</v>
      </c>
      <c r="T1761">
        <v>259.51</v>
      </c>
      <c r="U1761">
        <v>251.90199999999999</v>
      </c>
      <c r="V1761">
        <f t="shared" si="54"/>
        <v>255.70599999999999</v>
      </c>
      <c r="W1761">
        <f t="shared" si="55"/>
        <v>7.6080000000000041</v>
      </c>
      <c r="X1761">
        <v>44.416668000000001</v>
      </c>
      <c r="Y1761">
        <v>-24</v>
      </c>
      <c r="Z1761" t="s">
        <v>124</v>
      </c>
      <c r="AA1761" t="s">
        <v>1913</v>
      </c>
      <c r="AB1761" t="s">
        <v>1914</v>
      </c>
      <c r="AD1761" t="s">
        <v>1915</v>
      </c>
      <c r="AE1761" t="s">
        <v>1916</v>
      </c>
      <c r="AH1761" t="s">
        <v>72</v>
      </c>
      <c r="AI1761" t="s">
        <v>2595</v>
      </c>
      <c r="AJ1761">
        <v>1926</v>
      </c>
      <c r="AK1761" t="s">
        <v>1918</v>
      </c>
      <c r="AM1761" t="s">
        <v>1919</v>
      </c>
      <c r="AN1761" t="s">
        <v>192</v>
      </c>
      <c r="AO1761" t="s">
        <v>657</v>
      </c>
      <c r="AP1761" t="s">
        <v>359</v>
      </c>
      <c r="AQ1761" t="s">
        <v>1920</v>
      </c>
      <c r="AR1761" t="s">
        <v>80</v>
      </c>
      <c r="AS1761">
        <v>702</v>
      </c>
      <c r="AT1761" t="s">
        <v>81</v>
      </c>
      <c r="AU1761">
        <v>22.51</v>
      </c>
      <c r="AV1761">
        <v>-42.93</v>
      </c>
      <c r="AW1761" t="s">
        <v>82</v>
      </c>
      <c r="AX1761">
        <v>702</v>
      </c>
      <c r="AY1761" t="s">
        <v>81</v>
      </c>
      <c r="AZ1761">
        <v>24.25</v>
      </c>
      <c r="BA1761">
        <v>-52.74</v>
      </c>
      <c r="BB1761" t="s">
        <v>83</v>
      </c>
    </row>
    <row r="1762" spans="1:54" x14ac:dyDescent="0.4">
      <c r="A1762">
        <v>1285964</v>
      </c>
      <c r="D1762" t="s">
        <v>498</v>
      </c>
      <c r="E1762" t="s">
        <v>55</v>
      </c>
      <c r="G1762">
        <v>1</v>
      </c>
      <c r="H1762" t="s">
        <v>56</v>
      </c>
      <c r="I1762" t="s">
        <v>57</v>
      </c>
      <c r="K1762" t="s">
        <v>2135</v>
      </c>
      <c r="L1762" t="s">
        <v>2606</v>
      </c>
      <c r="M1762" t="s">
        <v>60</v>
      </c>
      <c r="P1762" t="s">
        <v>511</v>
      </c>
      <c r="Q1762" t="s">
        <v>1536</v>
      </c>
      <c r="R1762" t="s">
        <v>512</v>
      </c>
      <c r="S1762" t="s">
        <v>123</v>
      </c>
      <c r="T1762">
        <v>259.51</v>
      </c>
      <c r="U1762">
        <v>251.90199999999999</v>
      </c>
      <c r="V1762">
        <f t="shared" si="54"/>
        <v>255.70599999999999</v>
      </c>
      <c r="W1762">
        <f t="shared" si="55"/>
        <v>7.6080000000000041</v>
      </c>
      <c r="X1762">
        <v>44.416668000000001</v>
      </c>
      <c r="Y1762">
        <v>-24</v>
      </c>
      <c r="Z1762" t="s">
        <v>124</v>
      </c>
      <c r="AA1762" t="s">
        <v>1913</v>
      </c>
      <c r="AB1762" t="s">
        <v>1914</v>
      </c>
      <c r="AD1762" t="s">
        <v>1915</v>
      </c>
      <c r="AE1762" t="s">
        <v>1916</v>
      </c>
      <c r="AH1762" t="s">
        <v>72</v>
      </c>
      <c r="AI1762" t="s">
        <v>2595</v>
      </c>
      <c r="AJ1762">
        <v>1926</v>
      </c>
      <c r="AK1762" t="s">
        <v>1918</v>
      </c>
      <c r="AM1762" t="s">
        <v>1919</v>
      </c>
      <c r="AN1762" t="s">
        <v>192</v>
      </c>
      <c r="AO1762" t="s">
        <v>657</v>
      </c>
      <c r="AP1762" t="s">
        <v>359</v>
      </c>
      <c r="AQ1762" t="s">
        <v>1920</v>
      </c>
      <c r="AR1762" t="s">
        <v>80</v>
      </c>
      <c r="AS1762">
        <v>702</v>
      </c>
      <c r="AT1762" t="s">
        <v>81</v>
      </c>
      <c r="AU1762">
        <v>22.51</v>
      </c>
      <c r="AV1762">
        <v>-42.93</v>
      </c>
      <c r="AW1762" t="s">
        <v>82</v>
      </c>
      <c r="AX1762">
        <v>702</v>
      </c>
      <c r="AY1762" t="s">
        <v>81</v>
      </c>
      <c r="AZ1762">
        <v>24.25</v>
      </c>
      <c r="BA1762">
        <v>-52.74</v>
      </c>
      <c r="BB1762" t="s">
        <v>83</v>
      </c>
    </row>
    <row r="1763" spans="1:54" x14ac:dyDescent="0.4">
      <c r="A1763">
        <v>1285964</v>
      </c>
      <c r="D1763" t="s">
        <v>498</v>
      </c>
      <c r="E1763" t="s">
        <v>55</v>
      </c>
      <c r="G1763">
        <v>1</v>
      </c>
      <c r="H1763" t="s">
        <v>56</v>
      </c>
      <c r="I1763" t="s">
        <v>57</v>
      </c>
      <c r="K1763" t="s">
        <v>2135</v>
      </c>
      <c r="L1763" t="s">
        <v>2606</v>
      </c>
      <c r="M1763" t="s">
        <v>60</v>
      </c>
      <c r="P1763" t="s">
        <v>511</v>
      </c>
      <c r="Q1763" t="s">
        <v>1536</v>
      </c>
      <c r="R1763" t="s">
        <v>512</v>
      </c>
      <c r="S1763" t="s">
        <v>123</v>
      </c>
      <c r="T1763">
        <v>259.51</v>
      </c>
      <c r="U1763">
        <v>251.90199999999999</v>
      </c>
      <c r="V1763">
        <f t="shared" si="54"/>
        <v>255.70599999999999</v>
      </c>
      <c r="W1763">
        <f t="shared" si="55"/>
        <v>7.6080000000000041</v>
      </c>
      <c r="X1763">
        <v>44.416668000000001</v>
      </c>
      <c r="Y1763">
        <v>-24</v>
      </c>
      <c r="Z1763" t="s">
        <v>124</v>
      </c>
      <c r="AA1763" t="s">
        <v>1913</v>
      </c>
      <c r="AB1763" t="s">
        <v>1914</v>
      </c>
      <c r="AD1763" t="s">
        <v>1915</v>
      </c>
      <c r="AE1763" t="s">
        <v>1916</v>
      </c>
      <c r="AH1763" t="s">
        <v>72</v>
      </c>
      <c r="AI1763" t="s">
        <v>2595</v>
      </c>
      <c r="AJ1763">
        <v>1926</v>
      </c>
      <c r="AK1763" t="s">
        <v>1918</v>
      </c>
      <c r="AM1763" t="s">
        <v>1919</v>
      </c>
      <c r="AN1763" t="s">
        <v>192</v>
      </c>
      <c r="AO1763" t="s">
        <v>657</v>
      </c>
      <c r="AP1763" t="s">
        <v>359</v>
      </c>
      <c r="AQ1763" t="s">
        <v>1920</v>
      </c>
      <c r="AR1763" t="s">
        <v>80</v>
      </c>
      <c r="AS1763">
        <v>702</v>
      </c>
      <c r="AT1763" t="s">
        <v>81</v>
      </c>
      <c r="AU1763">
        <v>22.51</v>
      </c>
      <c r="AV1763">
        <v>-42.93</v>
      </c>
      <c r="AW1763" t="s">
        <v>82</v>
      </c>
      <c r="AX1763">
        <v>702</v>
      </c>
      <c r="AY1763" t="s">
        <v>81</v>
      </c>
      <c r="AZ1763">
        <v>24.25</v>
      </c>
      <c r="BA1763">
        <v>-52.74</v>
      </c>
      <c r="BB1763" t="s">
        <v>83</v>
      </c>
    </row>
    <row r="1764" spans="1:54" x14ac:dyDescent="0.4">
      <c r="A1764">
        <v>1285964</v>
      </c>
      <c r="D1764" t="s">
        <v>498</v>
      </c>
      <c r="E1764" t="s">
        <v>55</v>
      </c>
      <c r="G1764">
        <v>1</v>
      </c>
      <c r="H1764" t="s">
        <v>56</v>
      </c>
      <c r="I1764" t="s">
        <v>57</v>
      </c>
      <c r="K1764" t="s">
        <v>2135</v>
      </c>
      <c r="L1764" t="s">
        <v>2606</v>
      </c>
      <c r="M1764" t="s">
        <v>60</v>
      </c>
      <c r="P1764" t="s">
        <v>511</v>
      </c>
      <c r="Q1764" t="s">
        <v>1536</v>
      </c>
      <c r="R1764" t="s">
        <v>512</v>
      </c>
      <c r="S1764" t="s">
        <v>123</v>
      </c>
      <c r="T1764">
        <v>259.51</v>
      </c>
      <c r="U1764">
        <v>251.90199999999999</v>
      </c>
      <c r="V1764">
        <f t="shared" si="54"/>
        <v>255.70599999999999</v>
      </c>
      <c r="W1764">
        <f t="shared" si="55"/>
        <v>7.6080000000000041</v>
      </c>
      <c r="X1764">
        <v>44.416668000000001</v>
      </c>
      <c r="Y1764">
        <v>-24</v>
      </c>
      <c r="Z1764" t="s">
        <v>124</v>
      </c>
      <c r="AA1764" t="s">
        <v>1913</v>
      </c>
      <c r="AB1764" t="s">
        <v>1914</v>
      </c>
      <c r="AD1764" t="s">
        <v>1915</v>
      </c>
      <c r="AE1764" t="s">
        <v>1916</v>
      </c>
      <c r="AH1764" t="s">
        <v>72</v>
      </c>
      <c r="AI1764" t="s">
        <v>2595</v>
      </c>
      <c r="AJ1764">
        <v>1926</v>
      </c>
      <c r="AK1764" t="s">
        <v>1918</v>
      </c>
      <c r="AM1764" t="s">
        <v>1919</v>
      </c>
      <c r="AN1764" t="s">
        <v>192</v>
      </c>
      <c r="AO1764" t="s">
        <v>657</v>
      </c>
      <c r="AP1764" t="s">
        <v>359</v>
      </c>
      <c r="AQ1764" t="s">
        <v>1920</v>
      </c>
      <c r="AR1764" t="s">
        <v>80</v>
      </c>
      <c r="AS1764">
        <v>702</v>
      </c>
      <c r="AT1764" t="s">
        <v>81</v>
      </c>
      <c r="AU1764">
        <v>22.51</v>
      </c>
      <c r="AV1764">
        <v>-42.93</v>
      </c>
      <c r="AW1764" t="s">
        <v>82</v>
      </c>
      <c r="AX1764">
        <v>702</v>
      </c>
      <c r="AY1764" t="s">
        <v>81</v>
      </c>
      <c r="AZ1764">
        <v>24.25</v>
      </c>
      <c r="BA1764">
        <v>-52.74</v>
      </c>
      <c r="BB1764" t="s">
        <v>83</v>
      </c>
    </row>
    <row r="1765" spans="1:54" x14ac:dyDescent="0.4">
      <c r="A1765">
        <v>1285964</v>
      </c>
      <c r="D1765" t="s">
        <v>498</v>
      </c>
      <c r="E1765" t="s">
        <v>55</v>
      </c>
      <c r="G1765">
        <v>1</v>
      </c>
      <c r="H1765" t="s">
        <v>56</v>
      </c>
      <c r="I1765" t="s">
        <v>57</v>
      </c>
      <c r="K1765" t="s">
        <v>2135</v>
      </c>
      <c r="L1765" t="s">
        <v>2606</v>
      </c>
      <c r="M1765" t="s">
        <v>60</v>
      </c>
      <c r="P1765" t="s">
        <v>511</v>
      </c>
      <c r="Q1765" t="s">
        <v>1536</v>
      </c>
      <c r="R1765" t="s">
        <v>512</v>
      </c>
      <c r="S1765" t="s">
        <v>123</v>
      </c>
      <c r="T1765">
        <v>259.51</v>
      </c>
      <c r="U1765">
        <v>251.90199999999999</v>
      </c>
      <c r="V1765">
        <f t="shared" si="54"/>
        <v>255.70599999999999</v>
      </c>
      <c r="W1765">
        <f t="shared" si="55"/>
        <v>7.6080000000000041</v>
      </c>
      <c r="X1765">
        <v>44.416668000000001</v>
      </c>
      <c r="Y1765">
        <v>-24</v>
      </c>
      <c r="Z1765" t="s">
        <v>124</v>
      </c>
      <c r="AA1765" t="s">
        <v>1913</v>
      </c>
      <c r="AB1765" t="s">
        <v>1914</v>
      </c>
      <c r="AD1765" t="s">
        <v>1915</v>
      </c>
      <c r="AE1765" t="s">
        <v>1916</v>
      </c>
      <c r="AH1765" t="s">
        <v>72</v>
      </c>
      <c r="AI1765" t="s">
        <v>2595</v>
      </c>
      <c r="AJ1765">
        <v>1926</v>
      </c>
      <c r="AK1765" t="s">
        <v>1918</v>
      </c>
      <c r="AM1765" t="s">
        <v>1919</v>
      </c>
      <c r="AN1765" t="s">
        <v>192</v>
      </c>
      <c r="AO1765" t="s">
        <v>657</v>
      </c>
      <c r="AP1765" t="s">
        <v>359</v>
      </c>
      <c r="AQ1765" t="s">
        <v>1920</v>
      </c>
      <c r="AR1765" t="s">
        <v>80</v>
      </c>
      <c r="AS1765">
        <v>702</v>
      </c>
      <c r="AT1765" t="s">
        <v>81</v>
      </c>
      <c r="AU1765">
        <v>22.51</v>
      </c>
      <c r="AV1765">
        <v>-42.93</v>
      </c>
      <c r="AW1765" t="s">
        <v>82</v>
      </c>
      <c r="AX1765">
        <v>702</v>
      </c>
      <c r="AY1765" t="s">
        <v>81</v>
      </c>
      <c r="AZ1765">
        <v>24.25</v>
      </c>
      <c r="BA1765">
        <v>-52.74</v>
      </c>
      <c r="BB1765" t="s">
        <v>83</v>
      </c>
    </row>
    <row r="1766" spans="1:54" x14ac:dyDescent="0.4">
      <c r="A1766">
        <v>1285964</v>
      </c>
      <c r="D1766" t="s">
        <v>498</v>
      </c>
      <c r="E1766" t="s">
        <v>55</v>
      </c>
      <c r="G1766">
        <v>1</v>
      </c>
      <c r="H1766" t="s">
        <v>56</v>
      </c>
      <c r="I1766" t="s">
        <v>57</v>
      </c>
      <c r="K1766" t="s">
        <v>2135</v>
      </c>
      <c r="L1766" t="s">
        <v>2606</v>
      </c>
      <c r="M1766" t="s">
        <v>60</v>
      </c>
      <c r="P1766" t="s">
        <v>511</v>
      </c>
      <c r="Q1766" t="s">
        <v>1536</v>
      </c>
      <c r="R1766" t="s">
        <v>512</v>
      </c>
      <c r="S1766" t="s">
        <v>123</v>
      </c>
      <c r="T1766">
        <v>259.51</v>
      </c>
      <c r="U1766">
        <v>251.90199999999999</v>
      </c>
      <c r="V1766">
        <f t="shared" si="54"/>
        <v>255.70599999999999</v>
      </c>
      <c r="W1766">
        <f t="shared" si="55"/>
        <v>7.6080000000000041</v>
      </c>
      <c r="X1766">
        <v>44.416668000000001</v>
      </c>
      <c r="Y1766">
        <v>-24</v>
      </c>
      <c r="Z1766" t="s">
        <v>124</v>
      </c>
      <c r="AA1766" t="s">
        <v>1913</v>
      </c>
      <c r="AB1766" t="s">
        <v>1914</v>
      </c>
      <c r="AD1766" t="s">
        <v>1915</v>
      </c>
      <c r="AE1766" t="s">
        <v>1916</v>
      </c>
      <c r="AH1766" t="s">
        <v>72</v>
      </c>
      <c r="AI1766" t="s">
        <v>2595</v>
      </c>
      <c r="AJ1766">
        <v>1926</v>
      </c>
      <c r="AK1766" t="s">
        <v>1918</v>
      </c>
      <c r="AM1766" t="s">
        <v>1919</v>
      </c>
      <c r="AN1766" t="s">
        <v>192</v>
      </c>
      <c r="AO1766" t="s">
        <v>657</v>
      </c>
      <c r="AP1766" t="s">
        <v>359</v>
      </c>
      <c r="AQ1766" t="s">
        <v>1920</v>
      </c>
      <c r="AR1766" t="s">
        <v>80</v>
      </c>
      <c r="AS1766">
        <v>702</v>
      </c>
      <c r="AT1766" t="s">
        <v>81</v>
      </c>
      <c r="AU1766">
        <v>22.51</v>
      </c>
      <c r="AV1766">
        <v>-42.93</v>
      </c>
      <c r="AW1766" t="s">
        <v>82</v>
      </c>
      <c r="AX1766">
        <v>702</v>
      </c>
      <c r="AY1766" t="s">
        <v>81</v>
      </c>
      <c r="AZ1766">
        <v>24.25</v>
      </c>
      <c r="BA1766">
        <v>-52.74</v>
      </c>
      <c r="BB1766" t="s">
        <v>83</v>
      </c>
    </row>
    <row r="1767" spans="1:54" x14ac:dyDescent="0.4">
      <c r="A1767">
        <v>1285964</v>
      </c>
      <c r="D1767" t="s">
        <v>498</v>
      </c>
      <c r="E1767" t="s">
        <v>55</v>
      </c>
      <c r="G1767">
        <v>1</v>
      </c>
      <c r="H1767" t="s">
        <v>56</v>
      </c>
      <c r="I1767" t="s">
        <v>57</v>
      </c>
      <c r="K1767" t="s">
        <v>2135</v>
      </c>
      <c r="L1767" t="s">
        <v>2606</v>
      </c>
      <c r="M1767" t="s">
        <v>60</v>
      </c>
      <c r="P1767" t="s">
        <v>511</v>
      </c>
      <c r="Q1767" t="s">
        <v>1536</v>
      </c>
      <c r="R1767" t="s">
        <v>512</v>
      </c>
      <c r="S1767" t="s">
        <v>123</v>
      </c>
      <c r="T1767">
        <v>259.51</v>
      </c>
      <c r="U1767">
        <v>251.90199999999999</v>
      </c>
      <c r="V1767">
        <f t="shared" si="54"/>
        <v>255.70599999999999</v>
      </c>
      <c r="W1767">
        <f t="shared" si="55"/>
        <v>7.6080000000000041</v>
      </c>
      <c r="X1767">
        <v>44.416668000000001</v>
      </c>
      <c r="Y1767">
        <v>-24</v>
      </c>
      <c r="Z1767" t="s">
        <v>124</v>
      </c>
      <c r="AA1767" t="s">
        <v>1913</v>
      </c>
      <c r="AB1767" t="s">
        <v>1914</v>
      </c>
      <c r="AD1767" t="s">
        <v>1915</v>
      </c>
      <c r="AE1767" t="s">
        <v>1916</v>
      </c>
      <c r="AH1767" t="s">
        <v>72</v>
      </c>
      <c r="AI1767" t="s">
        <v>2595</v>
      </c>
      <c r="AJ1767">
        <v>1926</v>
      </c>
      <c r="AK1767" t="s">
        <v>1918</v>
      </c>
      <c r="AM1767" t="s">
        <v>1919</v>
      </c>
      <c r="AN1767" t="s">
        <v>192</v>
      </c>
      <c r="AO1767" t="s">
        <v>657</v>
      </c>
      <c r="AP1767" t="s">
        <v>359</v>
      </c>
      <c r="AQ1767" t="s">
        <v>1920</v>
      </c>
      <c r="AR1767" t="s">
        <v>80</v>
      </c>
      <c r="AS1767">
        <v>702</v>
      </c>
      <c r="AT1767" t="s">
        <v>81</v>
      </c>
      <c r="AU1767">
        <v>22.51</v>
      </c>
      <c r="AV1767">
        <v>-42.93</v>
      </c>
      <c r="AW1767" t="s">
        <v>82</v>
      </c>
      <c r="AX1767">
        <v>702</v>
      </c>
      <c r="AY1767" t="s">
        <v>81</v>
      </c>
      <c r="AZ1767">
        <v>24.25</v>
      </c>
      <c r="BA1767">
        <v>-52.74</v>
      </c>
      <c r="BB1767" t="s">
        <v>83</v>
      </c>
    </row>
    <row r="1768" spans="1:54" x14ac:dyDescent="0.4">
      <c r="A1768">
        <v>1285964</v>
      </c>
      <c r="D1768" t="s">
        <v>498</v>
      </c>
      <c r="E1768" t="s">
        <v>55</v>
      </c>
      <c r="G1768">
        <v>1</v>
      </c>
      <c r="H1768" t="s">
        <v>56</v>
      </c>
      <c r="I1768" t="s">
        <v>57</v>
      </c>
      <c r="K1768" t="s">
        <v>2135</v>
      </c>
      <c r="L1768" t="s">
        <v>2606</v>
      </c>
      <c r="M1768" t="s">
        <v>60</v>
      </c>
      <c r="P1768" t="s">
        <v>511</v>
      </c>
      <c r="Q1768" t="s">
        <v>1536</v>
      </c>
      <c r="R1768" t="s">
        <v>512</v>
      </c>
      <c r="S1768" t="s">
        <v>123</v>
      </c>
      <c r="T1768">
        <v>259.51</v>
      </c>
      <c r="U1768">
        <v>251.90199999999999</v>
      </c>
      <c r="V1768">
        <f t="shared" si="54"/>
        <v>255.70599999999999</v>
      </c>
      <c r="W1768">
        <f t="shared" si="55"/>
        <v>7.6080000000000041</v>
      </c>
      <c r="X1768">
        <v>44.416668000000001</v>
      </c>
      <c r="Y1768">
        <v>-24</v>
      </c>
      <c r="Z1768" t="s">
        <v>124</v>
      </c>
      <c r="AA1768" t="s">
        <v>1913</v>
      </c>
      <c r="AB1768" t="s">
        <v>1914</v>
      </c>
      <c r="AD1768" t="s">
        <v>1915</v>
      </c>
      <c r="AE1768" t="s">
        <v>1916</v>
      </c>
      <c r="AH1768" t="s">
        <v>72</v>
      </c>
      <c r="AI1768" t="s">
        <v>2595</v>
      </c>
      <c r="AJ1768">
        <v>1926</v>
      </c>
      <c r="AK1768" t="s">
        <v>1918</v>
      </c>
      <c r="AM1768" t="s">
        <v>1919</v>
      </c>
      <c r="AN1768" t="s">
        <v>192</v>
      </c>
      <c r="AO1768" t="s">
        <v>657</v>
      </c>
      <c r="AP1768" t="s">
        <v>359</v>
      </c>
      <c r="AQ1768" t="s">
        <v>1920</v>
      </c>
      <c r="AR1768" t="s">
        <v>80</v>
      </c>
      <c r="AS1768">
        <v>702</v>
      </c>
      <c r="AT1768" t="s">
        <v>81</v>
      </c>
      <c r="AU1768">
        <v>22.51</v>
      </c>
      <c r="AV1768">
        <v>-42.93</v>
      </c>
      <c r="AW1768" t="s">
        <v>82</v>
      </c>
      <c r="AX1768">
        <v>702</v>
      </c>
      <c r="AY1768" t="s">
        <v>81</v>
      </c>
      <c r="AZ1768">
        <v>24.25</v>
      </c>
      <c r="BA1768">
        <v>-52.74</v>
      </c>
      <c r="BB1768" t="s">
        <v>83</v>
      </c>
    </row>
    <row r="1769" spans="1:54" x14ac:dyDescent="0.4">
      <c r="A1769">
        <v>1285964</v>
      </c>
      <c r="D1769" t="s">
        <v>498</v>
      </c>
      <c r="E1769" t="s">
        <v>55</v>
      </c>
      <c r="G1769">
        <v>1</v>
      </c>
      <c r="H1769" t="s">
        <v>56</v>
      </c>
      <c r="I1769" t="s">
        <v>57</v>
      </c>
      <c r="K1769" t="s">
        <v>2135</v>
      </c>
      <c r="L1769" t="s">
        <v>2606</v>
      </c>
      <c r="M1769" t="s">
        <v>60</v>
      </c>
      <c r="P1769" t="s">
        <v>511</v>
      </c>
      <c r="Q1769" t="s">
        <v>1536</v>
      </c>
      <c r="R1769" t="s">
        <v>512</v>
      </c>
      <c r="S1769" t="s">
        <v>123</v>
      </c>
      <c r="T1769">
        <v>259.51</v>
      </c>
      <c r="U1769">
        <v>251.90199999999999</v>
      </c>
      <c r="V1769">
        <f t="shared" si="54"/>
        <v>255.70599999999999</v>
      </c>
      <c r="W1769">
        <f t="shared" si="55"/>
        <v>7.6080000000000041</v>
      </c>
      <c r="X1769">
        <v>44.416668000000001</v>
      </c>
      <c r="Y1769">
        <v>-24</v>
      </c>
      <c r="Z1769" t="s">
        <v>124</v>
      </c>
      <c r="AA1769" t="s">
        <v>1913</v>
      </c>
      <c r="AB1769" t="s">
        <v>1914</v>
      </c>
      <c r="AD1769" t="s">
        <v>1915</v>
      </c>
      <c r="AE1769" t="s">
        <v>1916</v>
      </c>
      <c r="AH1769" t="s">
        <v>72</v>
      </c>
      <c r="AI1769" t="s">
        <v>2595</v>
      </c>
      <c r="AJ1769">
        <v>1926</v>
      </c>
      <c r="AK1769" t="s">
        <v>1918</v>
      </c>
      <c r="AM1769" t="s">
        <v>1919</v>
      </c>
      <c r="AN1769" t="s">
        <v>192</v>
      </c>
      <c r="AO1769" t="s">
        <v>657</v>
      </c>
      <c r="AP1769" t="s">
        <v>359</v>
      </c>
      <c r="AQ1769" t="s">
        <v>1920</v>
      </c>
      <c r="AR1769" t="s">
        <v>80</v>
      </c>
      <c r="AS1769">
        <v>702</v>
      </c>
      <c r="AT1769" t="s">
        <v>81</v>
      </c>
      <c r="AU1769">
        <v>22.51</v>
      </c>
      <c r="AV1769">
        <v>-42.93</v>
      </c>
      <c r="AW1769" t="s">
        <v>82</v>
      </c>
      <c r="AX1769">
        <v>702</v>
      </c>
      <c r="AY1769" t="s">
        <v>81</v>
      </c>
      <c r="AZ1769">
        <v>24.25</v>
      </c>
      <c r="BA1769">
        <v>-52.74</v>
      </c>
      <c r="BB1769" t="s">
        <v>83</v>
      </c>
    </row>
    <row r="1770" spans="1:54" x14ac:dyDescent="0.4">
      <c r="A1770">
        <v>1285964</v>
      </c>
      <c r="D1770" t="s">
        <v>498</v>
      </c>
      <c r="E1770" t="s">
        <v>55</v>
      </c>
      <c r="G1770">
        <v>1</v>
      </c>
      <c r="H1770" t="s">
        <v>56</v>
      </c>
      <c r="I1770" t="s">
        <v>57</v>
      </c>
      <c r="K1770" t="s">
        <v>2135</v>
      </c>
      <c r="L1770" t="s">
        <v>2606</v>
      </c>
      <c r="M1770" t="s">
        <v>60</v>
      </c>
      <c r="P1770" t="s">
        <v>511</v>
      </c>
      <c r="Q1770" t="s">
        <v>1536</v>
      </c>
      <c r="R1770" t="s">
        <v>512</v>
      </c>
      <c r="S1770" t="s">
        <v>123</v>
      </c>
      <c r="T1770">
        <v>259.51</v>
      </c>
      <c r="U1770">
        <v>251.90199999999999</v>
      </c>
      <c r="V1770">
        <f t="shared" si="54"/>
        <v>255.70599999999999</v>
      </c>
      <c r="W1770">
        <f t="shared" si="55"/>
        <v>7.6080000000000041</v>
      </c>
      <c r="X1770">
        <v>44.416668000000001</v>
      </c>
      <c r="Y1770">
        <v>-24</v>
      </c>
      <c r="Z1770" t="s">
        <v>124</v>
      </c>
      <c r="AA1770" t="s">
        <v>1913</v>
      </c>
      <c r="AB1770" t="s">
        <v>1914</v>
      </c>
      <c r="AD1770" t="s">
        <v>1915</v>
      </c>
      <c r="AE1770" t="s">
        <v>1916</v>
      </c>
      <c r="AH1770" t="s">
        <v>72</v>
      </c>
      <c r="AI1770" t="s">
        <v>2595</v>
      </c>
      <c r="AJ1770">
        <v>1926</v>
      </c>
      <c r="AK1770" t="s">
        <v>1918</v>
      </c>
      <c r="AM1770" t="s">
        <v>1919</v>
      </c>
      <c r="AN1770" t="s">
        <v>192</v>
      </c>
      <c r="AO1770" t="s">
        <v>657</v>
      </c>
      <c r="AP1770" t="s">
        <v>359</v>
      </c>
      <c r="AQ1770" t="s">
        <v>1920</v>
      </c>
      <c r="AR1770" t="s">
        <v>80</v>
      </c>
      <c r="AS1770">
        <v>702</v>
      </c>
      <c r="AT1770" t="s">
        <v>81</v>
      </c>
      <c r="AU1770">
        <v>22.51</v>
      </c>
      <c r="AV1770">
        <v>-42.93</v>
      </c>
      <c r="AW1770" t="s">
        <v>82</v>
      </c>
      <c r="AX1770">
        <v>702</v>
      </c>
      <c r="AY1770" t="s">
        <v>81</v>
      </c>
      <c r="AZ1770">
        <v>24.25</v>
      </c>
      <c r="BA1770">
        <v>-52.74</v>
      </c>
      <c r="BB1770" t="s">
        <v>83</v>
      </c>
    </row>
    <row r="1771" spans="1:54" x14ac:dyDescent="0.4">
      <c r="A1771">
        <v>1285964</v>
      </c>
      <c r="D1771" t="s">
        <v>498</v>
      </c>
      <c r="E1771" t="s">
        <v>55</v>
      </c>
      <c r="G1771">
        <v>1</v>
      </c>
      <c r="H1771" t="s">
        <v>56</v>
      </c>
      <c r="I1771" t="s">
        <v>57</v>
      </c>
      <c r="K1771" t="s">
        <v>2135</v>
      </c>
      <c r="L1771" t="s">
        <v>2606</v>
      </c>
      <c r="M1771" t="s">
        <v>60</v>
      </c>
      <c r="P1771" t="s">
        <v>511</v>
      </c>
      <c r="Q1771" t="s">
        <v>1536</v>
      </c>
      <c r="R1771" t="s">
        <v>512</v>
      </c>
      <c r="S1771" t="s">
        <v>123</v>
      </c>
      <c r="T1771">
        <v>259.51</v>
      </c>
      <c r="U1771">
        <v>251.90199999999999</v>
      </c>
      <c r="V1771">
        <f t="shared" si="54"/>
        <v>255.70599999999999</v>
      </c>
      <c r="W1771">
        <f t="shared" si="55"/>
        <v>7.6080000000000041</v>
      </c>
      <c r="X1771">
        <v>44.416668000000001</v>
      </c>
      <c r="Y1771">
        <v>-24</v>
      </c>
      <c r="Z1771" t="s">
        <v>124</v>
      </c>
      <c r="AA1771" t="s">
        <v>1913</v>
      </c>
      <c r="AB1771" t="s">
        <v>1914</v>
      </c>
      <c r="AD1771" t="s">
        <v>1915</v>
      </c>
      <c r="AE1771" t="s">
        <v>1916</v>
      </c>
      <c r="AH1771" t="s">
        <v>72</v>
      </c>
      <c r="AI1771" t="s">
        <v>2595</v>
      </c>
      <c r="AJ1771">
        <v>1926</v>
      </c>
      <c r="AK1771" t="s">
        <v>1918</v>
      </c>
      <c r="AM1771" t="s">
        <v>1919</v>
      </c>
      <c r="AN1771" t="s">
        <v>192</v>
      </c>
      <c r="AO1771" t="s">
        <v>657</v>
      </c>
      <c r="AP1771" t="s">
        <v>359</v>
      </c>
      <c r="AQ1771" t="s">
        <v>1920</v>
      </c>
      <c r="AR1771" t="s">
        <v>80</v>
      </c>
      <c r="AS1771">
        <v>702</v>
      </c>
      <c r="AT1771" t="s">
        <v>81</v>
      </c>
      <c r="AU1771">
        <v>22.51</v>
      </c>
      <c r="AV1771">
        <v>-42.93</v>
      </c>
      <c r="AW1771" t="s">
        <v>82</v>
      </c>
      <c r="AX1771">
        <v>702</v>
      </c>
      <c r="AY1771" t="s">
        <v>81</v>
      </c>
      <c r="AZ1771">
        <v>24.25</v>
      </c>
      <c r="BA1771">
        <v>-52.74</v>
      </c>
      <c r="BB1771" t="s">
        <v>83</v>
      </c>
    </row>
    <row r="1772" spans="1:54" x14ac:dyDescent="0.4">
      <c r="A1772">
        <v>1285964</v>
      </c>
      <c r="D1772" t="s">
        <v>498</v>
      </c>
      <c r="E1772" t="s">
        <v>55</v>
      </c>
      <c r="G1772">
        <v>1</v>
      </c>
      <c r="H1772" t="s">
        <v>56</v>
      </c>
      <c r="I1772" t="s">
        <v>57</v>
      </c>
      <c r="K1772" t="s">
        <v>2135</v>
      </c>
      <c r="L1772" t="s">
        <v>2606</v>
      </c>
      <c r="M1772" t="s">
        <v>60</v>
      </c>
      <c r="P1772" t="s">
        <v>511</v>
      </c>
      <c r="Q1772" t="s">
        <v>1536</v>
      </c>
      <c r="R1772" t="s">
        <v>512</v>
      </c>
      <c r="S1772" t="s">
        <v>123</v>
      </c>
      <c r="T1772">
        <v>259.51</v>
      </c>
      <c r="U1772">
        <v>251.90199999999999</v>
      </c>
      <c r="V1772">
        <f t="shared" si="54"/>
        <v>255.70599999999999</v>
      </c>
      <c r="W1772">
        <f t="shared" si="55"/>
        <v>7.6080000000000041</v>
      </c>
      <c r="X1772">
        <v>44.416668000000001</v>
      </c>
      <c r="Y1772">
        <v>-24</v>
      </c>
      <c r="Z1772" t="s">
        <v>124</v>
      </c>
      <c r="AA1772" t="s">
        <v>1913</v>
      </c>
      <c r="AB1772" t="s">
        <v>1914</v>
      </c>
      <c r="AD1772" t="s">
        <v>1915</v>
      </c>
      <c r="AE1772" t="s">
        <v>1916</v>
      </c>
      <c r="AH1772" t="s">
        <v>72</v>
      </c>
      <c r="AI1772" t="s">
        <v>2595</v>
      </c>
      <c r="AJ1772">
        <v>1926</v>
      </c>
      <c r="AK1772" t="s">
        <v>1918</v>
      </c>
      <c r="AM1772" t="s">
        <v>1919</v>
      </c>
      <c r="AN1772" t="s">
        <v>192</v>
      </c>
      <c r="AO1772" t="s">
        <v>657</v>
      </c>
      <c r="AP1772" t="s">
        <v>359</v>
      </c>
      <c r="AQ1772" t="s">
        <v>1920</v>
      </c>
      <c r="AR1772" t="s">
        <v>80</v>
      </c>
      <c r="AS1772">
        <v>702</v>
      </c>
      <c r="AT1772" t="s">
        <v>81</v>
      </c>
      <c r="AU1772">
        <v>22.51</v>
      </c>
      <c r="AV1772">
        <v>-42.93</v>
      </c>
      <c r="AW1772" t="s">
        <v>82</v>
      </c>
      <c r="AX1772">
        <v>702</v>
      </c>
      <c r="AY1772" t="s">
        <v>81</v>
      </c>
      <c r="AZ1772">
        <v>24.25</v>
      </c>
      <c r="BA1772">
        <v>-52.74</v>
      </c>
      <c r="BB1772" t="s">
        <v>83</v>
      </c>
    </row>
    <row r="1773" spans="1:54" x14ac:dyDescent="0.4">
      <c r="A1773">
        <v>1285964</v>
      </c>
      <c r="D1773" t="s">
        <v>498</v>
      </c>
      <c r="E1773" t="s">
        <v>55</v>
      </c>
      <c r="G1773">
        <v>1</v>
      </c>
      <c r="H1773" t="s">
        <v>56</v>
      </c>
      <c r="I1773" t="s">
        <v>57</v>
      </c>
      <c r="K1773" t="s">
        <v>2135</v>
      </c>
      <c r="L1773" t="s">
        <v>2606</v>
      </c>
      <c r="M1773" t="s">
        <v>60</v>
      </c>
      <c r="P1773" t="s">
        <v>511</v>
      </c>
      <c r="Q1773" t="s">
        <v>1536</v>
      </c>
      <c r="R1773" t="s">
        <v>512</v>
      </c>
      <c r="S1773" t="s">
        <v>123</v>
      </c>
      <c r="T1773">
        <v>259.51</v>
      </c>
      <c r="U1773">
        <v>251.90199999999999</v>
      </c>
      <c r="V1773">
        <f t="shared" si="54"/>
        <v>255.70599999999999</v>
      </c>
      <c r="W1773">
        <f t="shared" si="55"/>
        <v>7.6080000000000041</v>
      </c>
      <c r="X1773">
        <v>44.416668000000001</v>
      </c>
      <c r="Y1773">
        <v>-24</v>
      </c>
      <c r="Z1773" t="s">
        <v>124</v>
      </c>
      <c r="AA1773" t="s">
        <v>1913</v>
      </c>
      <c r="AB1773" t="s">
        <v>1914</v>
      </c>
      <c r="AD1773" t="s">
        <v>1915</v>
      </c>
      <c r="AE1773" t="s">
        <v>1916</v>
      </c>
      <c r="AH1773" t="s">
        <v>72</v>
      </c>
      <c r="AI1773" t="s">
        <v>2595</v>
      </c>
      <c r="AJ1773">
        <v>1926</v>
      </c>
      <c r="AK1773" t="s">
        <v>1918</v>
      </c>
      <c r="AM1773" t="s">
        <v>1919</v>
      </c>
      <c r="AN1773" t="s">
        <v>192</v>
      </c>
      <c r="AO1773" t="s">
        <v>657</v>
      </c>
      <c r="AP1773" t="s">
        <v>359</v>
      </c>
      <c r="AQ1773" t="s">
        <v>1920</v>
      </c>
      <c r="AR1773" t="s">
        <v>80</v>
      </c>
      <c r="AS1773">
        <v>702</v>
      </c>
      <c r="AT1773" t="s">
        <v>81</v>
      </c>
      <c r="AU1773">
        <v>22.51</v>
      </c>
      <c r="AV1773">
        <v>-42.93</v>
      </c>
      <c r="AW1773" t="s">
        <v>82</v>
      </c>
      <c r="AX1773">
        <v>702</v>
      </c>
      <c r="AY1773" t="s">
        <v>81</v>
      </c>
      <c r="AZ1773">
        <v>24.25</v>
      </c>
      <c r="BA1773">
        <v>-52.74</v>
      </c>
      <c r="BB1773" t="s">
        <v>83</v>
      </c>
    </row>
    <row r="1774" spans="1:54" x14ac:dyDescent="0.4">
      <c r="A1774">
        <v>1285964</v>
      </c>
      <c r="D1774" t="s">
        <v>498</v>
      </c>
      <c r="E1774" t="s">
        <v>55</v>
      </c>
      <c r="G1774">
        <v>1</v>
      </c>
      <c r="H1774" t="s">
        <v>56</v>
      </c>
      <c r="I1774" t="s">
        <v>57</v>
      </c>
      <c r="K1774" t="s">
        <v>2135</v>
      </c>
      <c r="L1774" t="s">
        <v>2606</v>
      </c>
      <c r="M1774" t="s">
        <v>60</v>
      </c>
      <c r="P1774" t="s">
        <v>511</v>
      </c>
      <c r="Q1774" t="s">
        <v>1536</v>
      </c>
      <c r="R1774" t="s">
        <v>512</v>
      </c>
      <c r="S1774" t="s">
        <v>123</v>
      </c>
      <c r="T1774">
        <v>259.51</v>
      </c>
      <c r="U1774">
        <v>251.90199999999999</v>
      </c>
      <c r="V1774">
        <f t="shared" si="54"/>
        <v>255.70599999999999</v>
      </c>
      <c r="W1774">
        <f t="shared" si="55"/>
        <v>7.6080000000000041</v>
      </c>
      <c r="X1774">
        <v>44.416668000000001</v>
      </c>
      <c r="Y1774">
        <v>-24</v>
      </c>
      <c r="Z1774" t="s">
        <v>124</v>
      </c>
      <c r="AA1774" t="s">
        <v>1913</v>
      </c>
      <c r="AB1774" t="s">
        <v>1914</v>
      </c>
      <c r="AD1774" t="s">
        <v>1915</v>
      </c>
      <c r="AE1774" t="s">
        <v>1916</v>
      </c>
      <c r="AH1774" t="s">
        <v>72</v>
      </c>
      <c r="AI1774" t="s">
        <v>2595</v>
      </c>
      <c r="AJ1774">
        <v>1926</v>
      </c>
      <c r="AK1774" t="s">
        <v>1918</v>
      </c>
      <c r="AM1774" t="s">
        <v>1919</v>
      </c>
      <c r="AN1774" t="s">
        <v>192</v>
      </c>
      <c r="AO1774" t="s">
        <v>657</v>
      </c>
      <c r="AP1774" t="s">
        <v>359</v>
      </c>
      <c r="AQ1774" t="s">
        <v>1920</v>
      </c>
      <c r="AR1774" t="s">
        <v>80</v>
      </c>
      <c r="AS1774">
        <v>702</v>
      </c>
      <c r="AT1774" t="s">
        <v>81</v>
      </c>
      <c r="AU1774">
        <v>22.51</v>
      </c>
      <c r="AV1774">
        <v>-42.93</v>
      </c>
      <c r="AW1774" t="s">
        <v>82</v>
      </c>
      <c r="AX1774">
        <v>702</v>
      </c>
      <c r="AY1774" t="s">
        <v>81</v>
      </c>
      <c r="AZ1774">
        <v>24.25</v>
      </c>
      <c r="BA1774">
        <v>-52.74</v>
      </c>
      <c r="BB1774" t="s">
        <v>83</v>
      </c>
    </row>
    <row r="1775" spans="1:54" x14ac:dyDescent="0.4">
      <c r="A1775">
        <v>1285964</v>
      </c>
      <c r="D1775" t="s">
        <v>498</v>
      </c>
      <c r="E1775" t="s">
        <v>55</v>
      </c>
      <c r="G1775">
        <v>1</v>
      </c>
      <c r="H1775" t="s">
        <v>56</v>
      </c>
      <c r="I1775" t="s">
        <v>57</v>
      </c>
      <c r="K1775" t="s">
        <v>2135</v>
      </c>
      <c r="L1775" t="s">
        <v>2606</v>
      </c>
      <c r="M1775" t="s">
        <v>60</v>
      </c>
      <c r="P1775" t="s">
        <v>511</v>
      </c>
      <c r="Q1775" t="s">
        <v>1536</v>
      </c>
      <c r="R1775" t="s">
        <v>512</v>
      </c>
      <c r="S1775" t="s">
        <v>123</v>
      </c>
      <c r="T1775">
        <v>259.51</v>
      </c>
      <c r="U1775">
        <v>251.90199999999999</v>
      </c>
      <c r="V1775">
        <f t="shared" si="54"/>
        <v>255.70599999999999</v>
      </c>
      <c r="W1775">
        <f t="shared" si="55"/>
        <v>7.6080000000000041</v>
      </c>
      <c r="X1775">
        <v>44.416668000000001</v>
      </c>
      <c r="Y1775">
        <v>-24</v>
      </c>
      <c r="Z1775" t="s">
        <v>124</v>
      </c>
      <c r="AA1775" t="s">
        <v>1913</v>
      </c>
      <c r="AB1775" t="s">
        <v>1914</v>
      </c>
      <c r="AD1775" t="s">
        <v>1915</v>
      </c>
      <c r="AE1775" t="s">
        <v>1916</v>
      </c>
      <c r="AH1775" t="s">
        <v>72</v>
      </c>
      <c r="AI1775" t="s">
        <v>2595</v>
      </c>
      <c r="AJ1775">
        <v>1926</v>
      </c>
      <c r="AK1775" t="s">
        <v>1918</v>
      </c>
      <c r="AM1775" t="s">
        <v>1919</v>
      </c>
      <c r="AN1775" t="s">
        <v>192</v>
      </c>
      <c r="AO1775" t="s">
        <v>657</v>
      </c>
      <c r="AP1775" t="s">
        <v>359</v>
      </c>
      <c r="AQ1775" t="s">
        <v>1920</v>
      </c>
      <c r="AR1775" t="s">
        <v>80</v>
      </c>
      <c r="AS1775">
        <v>702</v>
      </c>
      <c r="AT1775" t="s">
        <v>81</v>
      </c>
      <c r="AU1775">
        <v>22.51</v>
      </c>
      <c r="AV1775">
        <v>-42.93</v>
      </c>
      <c r="AW1775" t="s">
        <v>82</v>
      </c>
      <c r="AX1775">
        <v>702</v>
      </c>
      <c r="AY1775" t="s">
        <v>81</v>
      </c>
      <c r="AZ1775">
        <v>24.25</v>
      </c>
      <c r="BA1775">
        <v>-52.74</v>
      </c>
      <c r="BB1775" t="s">
        <v>83</v>
      </c>
    </row>
    <row r="1776" spans="1:54" x14ac:dyDescent="0.4">
      <c r="A1776">
        <v>1285964</v>
      </c>
      <c r="D1776" t="s">
        <v>498</v>
      </c>
      <c r="E1776" t="s">
        <v>55</v>
      </c>
      <c r="G1776">
        <v>1</v>
      </c>
      <c r="H1776" t="s">
        <v>56</v>
      </c>
      <c r="I1776" t="s">
        <v>57</v>
      </c>
      <c r="K1776" t="s">
        <v>2135</v>
      </c>
      <c r="L1776" t="s">
        <v>2606</v>
      </c>
      <c r="M1776" t="s">
        <v>60</v>
      </c>
      <c r="P1776" t="s">
        <v>511</v>
      </c>
      <c r="Q1776" t="s">
        <v>1536</v>
      </c>
      <c r="R1776" t="s">
        <v>512</v>
      </c>
      <c r="S1776" t="s">
        <v>123</v>
      </c>
      <c r="T1776">
        <v>259.51</v>
      </c>
      <c r="U1776">
        <v>251.90199999999999</v>
      </c>
      <c r="V1776">
        <f t="shared" si="54"/>
        <v>255.70599999999999</v>
      </c>
      <c r="W1776">
        <f t="shared" si="55"/>
        <v>7.6080000000000041</v>
      </c>
      <c r="X1776">
        <v>44.416668000000001</v>
      </c>
      <c r="Y1776">
        <v>-24</v>
      </c>
      <c r="Z1776" t="s">
        <v>124</v>
      </c>
      <c r="AA1776" t="s">
        <v>1913</v>
      </c>
      <c r="AB1776" t="s">
        <v>1914</v>
      </c>
      <c r="AD1776" t="s">
        <v>1915</v>
      </c>
      <c r="AE1776" t="s">
        <v>1916</v>
      </c>
      <c r="AH1776" t="s">
        <v>72</v>
      </c>
      <c r="AI1776" t="s">
        <v>2595</v>
      </c>
      <c r="AJ1776">
        <v>1926</v>
      </c>
      <c r="AK1776" t="s">
        <v>1918</v>
      </c>
      <c r="AM1776" t="s">
        <v>1919</v>
      </c>
      <c r="AN1776" t="s">
        <v>192</v>
      </c>
      <c r="AO1776" t="s">
        <v>657</v>
      </c>
      <c r="AP1776" t="s">
        <v>359</v>
      </c>
      <c r="AQ1776" t="s">
        <v>1920</v>
      </c>
      <c r="AR1776" t="s">
        <v>80</v>
      </c>
      <c r="AS1776">
        <v>702</v>
      </c>
      <c r="AT1776" t="s">
        <v>81</v>
      </c>
      <c r="AU1776">
        <v>22.51</v>
      </c>
      <c r="AV1776">
        <v>-42.93</v>
      </c>
      <c r="AW1776" t="s">
        <v>82</v>
      </c>
      <c r="AX1776">
        <v>702</v>
      </c>
      <c r="AY1776" t="s">
        <v>81</v>
      </c>
      <c r="AZ1776">
        <v>24.25</v>
      </c>
      <c r="BA1776">
        <v>-52.74</v>
      </c>
      <c r="BB1776" t="s">
        <v>83</v>
      </c>
    </row>
    <row r="1777" spans="1:54" x14ac:dyDescent="0.4">
      <c r="A1777">
        <v>1285964</v>
      </c>
      <c r="D1777" t="s">
        <v>498</v>
      </c>
      <c r="E1777" t="s">
        <v>55</v>
      </c>
      <c r="G1777">
        <v>1</v>
      </c>
      <c r="H1777" t="s">
        <v>56</v>
      </c>
      <c r="I1777" t="s">
        <v>57</v>
      </c>
      <c r="K1777" t="s">
        <v>2135</v>
      </c>
      <c r="L1777" t="s">
        <v>2606</v>
      </c>
      <c r="M1777" t="s">
        <v>60</v>
      </c>
      <c r="P1777" t="s">
        <v>511</v>
      </c>
      <c r="Q1777" t="s">
        <v>1536</v>
      </c>
      <c r="R1777" t="s">
        <v>512</v>
      </c>
      <c r="S1777" t="s">
        <v>123</v>
      </c>
      <c r="T1777">
        <v>259.51</v>
      </c>
      <c r="U1777">
        <v>251.90199999999999</v>
      </c>
      <c r="V1777">
        <f t="shared" si="54"/>
        <v>255.70599999999999</v>
      </c>
      <c r="W1777">
        <f t="shared" si="55"/>
        <v>7.6080000000000041</v>
      </c>
      <c r="X1777">
        <v>44.416668000000001</v>
      </c>
      <c r="Y1777">
        <v>-24</v>
      </c>
      <c r="Z1777" t="s">
        <v>124</v>
      </c>
      <c r="AA1777" t="s">
        <v>1913</v>
      </c>
      <c r="AB1777" t="s">
        <v>1914</v>
      </c>
      <c r="AD1777" t="s">
        <v>1915</v>
      </c>
      <c r="AE1777" t="s">
        <v>1916</v>
      </c>
      <c r="AH1777" t="s">
        <v>72</v>
      </c>
      <c r="AI1777" t="s">
        <v>2595</v>
      </c>
      <c r="AJ1777">
        <v>1926</v>
      </c>
      <c r="AK1777" t="s">
        <v>1918</v>
      </c>
      <c r="AM1777" t="s">
        <v>1919</v>
      </c>
      <c r="AN1777" t="s">
        <v>192</v>
      </c>
      <c r="AO1777" t="s">
        <v>657</v>
      </c>
      <c r="AP1777" t="s">
        <v>359</v>
      </c>
      <c r="AQ1777" t="s">
        <v>1920</v>
      </c>
      <c r="AR1777" t="s">
        <v>80</v>
      </c>
      <c r="AS1777">
        <v>702</v>
      </c>
      <c r="AT1777" t="s">
        <v>81</v>
      </c>
      <c r="AU1777">
        <v>22.51</v>
      </c>
      <c r="AV1777">
        <v>-42.93</v>
      </c>
      <c r="AW1777" t="s">
        <v>82</v>
      </c>
      <c r="AX1777">
        <v>702</v>
      </c>
      <c r="AY1777" t="s">
        <v>81</v>
      </c>
      <c r="AZ1777">
        <v>24.25</v>
      </c>
      <c r="BA1777">
        <v>-52.74</v>
      </c>
      <c r="BB1777" t="s">
        <v>83</v>
      </c>
    </row>
    <row r="1778" spans="1:54" x14ac:dyDescent="0.4">
      <c r="A1778">
        <v>1285964</v>
      </c>
      <c r="D1778" t="s">
        <v>498</v>
      </c>
      <c r="E1778" t="s">
        <v>55</v>
      </c>
      <c r="G1778">
        <v>1</v>
      </c>
      <c r="H1778" t="s">
        <v>56</v>
      </c>
      <c r="I1778" t="s">
        <v>57</v>
      </c>
      <c r="K1778" t="s">
        <v>2135</v>
      </c>
      <c r="L1778" t="s">
        <v>2606</v>
      </c>
      <c r="M1778" t="s">
        <v>60</v>
      </c>
      <c r="P1778" t="s">
        <v>511</v>
      </c>
      <c r="Q1778" t="s">
        <v>1536</v>
      </c>
      <c r="R1778" t="s">
        <v>512</v>
      </c>
      <c r="S1778" t="s">
        <v>123</v>
      </c>
      <c r="T1778">
        <v>259.51</v>
      </c>
      <c r="U1778">
        <v>251.90199999999999</v>
      </c>
      <c r="V1778">
        <f t="shared" si="54"/>
        <v>255.70599999999999</v>
      </c>
      <c r="W1778">
        <f t="shared" si="55"/>
        <v>7.6080000000000041</v>
      </c>
      <c r="X1778">
        <v>44.416668000000001</v>
      </c>
      <c r="Y1778">
        <v>-24</v>
      </c>
      <c r="Z1778" t="s">
        <v>124</v>
      </c>
      <c r="AA1778" t="s">
        <v>1913</v>
      </c>
      <c r="AB1778" t="s">
        <v>1914</v>
      </c>
      <c r="AD1778" t="s">
        <v>1915</v>
      </c>
      <c r="AE1778" t="s">
        <v>1916</v>
      </c>
      <c r="AH1778" t="s">
        <v>72</v>
      </c>
      <c r="AI1778" t="s">
        <v>2595</v>
      </c>
      <c r="AJ1778">
        <v>1926</v>
      </c>
      <c r="AK1778" t="s">
        <v>1918</v>
      </c>
      <c r="AM1778" t="s">
        <v>1919</v>
      </c>
      <c r="AN1778" t="s">
        <v>192</v>
      </c>
      <c r="AO1778" t="s">
        <v>657</v>
      </c>
      <c r="AP1778" t="s">
        <v>359</v>
      </c>
      <c r="AQ1778" t="s">
        <v>1920</v>
      </c>
      <c r="AR1778" t="s">
        <v>80</v>
      </c>
      <c r="AS1778">
        <v>702</v>
      </c>
      <c r="AT1778" t="s">
        <v>81</v>
      </c>
      <c r="AU1778">
        <v>22.51</v>
      </c>
      <c r="AV1778">
        <v>-42.93</v>
      </c>
      <c r="AW1778" t="s">
        <v>82</v>
      </c>
      <c r="AX1778">
        <v>702</v>
      </c>
      <c r="AY1778" t="s">
        <v>81</v>
      </c>
      <c r="AZ1778">
        <v>24.25</v>
      </c>
      <c r="BA1778">
        <v>-52.74</v>
      </c>
      <c r="BB1778" t="s">
        <v>83</v>
      </c>
    </row>
    <row r="1779" spans="1:54" x14ac:dyDescent="0.4">
      <c r="A1779">
        <v>1285964</v>
      </c>
      <c r="D1779" t="s">
        <v>498</v>
      </c>
      <c r="E1779" t="s">
        <v>55</v>
      </c>
      <c r="G1779">
        <v>1</v>
      </c>
      <c r="H1779" t="s">
        <v>56</v>
      </c>
      <c r="I1779" t="s">
        <v>57</v>
      </c>
      <c r="K1779" t="s">
        <v>2135</v>
      </c>
      <c r="L1779" t="s">
        <v>2606</v>
      </c>
      <c r="M1779" t="s">
        <v>60</v>
      </c>
      <c r="P1779" t="s">
        <v>511</v>
      </c>
      <c r="Q1779" t="s">
        <v>1536</v>
      </c>
      <c r="R1779" t="s">
        <v>512</v>
      </c>
      <c r="S1779" t="s">
        <v>123</v>
      </c>
      <c r="T1779">
        <v>259.51</v>
      </c>
      <c r="U1779">
        <v>251.90199999999999</v>
      </c>
      <c r="V1779">
        <f t="shared" si="54"/>
        <v>255.70599999999999</v>
      </c>
      <c r="W1779">
        <f t="shared" si="55"/>
        <v>7.6080000000000041</v>
      </c>
      <c r="X1779">
        <v>44.416668000000001</v>
      </c>
      <c r="Y1779">
        <v>-24</v>
      </c>
      <c r="Z1779" t="s">
        <v>124</v>
      </c>
      <c r="AA1779" t="s">
        <v>1913</v>
      </c>
      <c r="AB1779" t="s">
        <v>1914</v>
      </c>
      <c r="AD1779" t="s">
        <v>1915</v>
      </c>
      <c r="AE1779" t="s">
        <v>1916</v>
      </c>
      <c r="AH1779" t="s">
        <v>72</v>
      </c>
      <c r="AI1779" t="s">
        <v>2595</v>
      </c>
      <c r="AJ1779">
        <v>1926</v>
      </c>
      <c r="AK1779" t="s">
        <v>1918</v>
      </c>
      <c r="AM1779" t="s">
        <v>1919</v>
      </c>
      <c r="AN1779" t="s">
        <v>192</v>
      </c>
      <c r="AO1779" t="s">
        <v>657</v>
      </c>
      <c r="AP1779" t="s">
        <v>359</v>
      </c>
      <c r="AQ1779" t="s">
        <v>1920</v>
      </c>
      <c r="AR1779" t="s">
        <v>80</v>
      </c>
      <c r="AS1779">
        <v>702</v>
      </c>
      <c r="AT1779" t="s">
        <v>81</v>
      </c>
      <c r="AU1779">
        <v>22.51</v>
      </c>
      <c r="AV1779">
        <v>-42.93</v>
      </c>
      <c r="AW1779" t="s">
        <v>82</v>
      </c>
      <c r="AX1779">
        <v>702</v>
      </c>
      <c r="AY1779" t="s">
        <v>81</v>
      </c>
      <c r="AZ1779">
        <v>24.25</v>
      </c>
      <c r="BA1779">
        <v>-52.74</v>
      </c>
      <c r="BB1779" t="s">
        <v>83</v>
      </c>
    </row>
    <row r="1780" spans="1:54" x14ac:dyDescent="0.4">
      <c r="A1780">
        <v>1285964</v>
      </c>
      <c r="D1780" t="s">
        <v>498</v>
      </c>
      <c r="E1780" t="s">
        <v>55</v>
      </c>
      <c r="G1780">
        <v>1</v>
      </c>
      <c r="H1780" t="s">
        <v>56</v>
      </c>
      <c r="I1780" t="s">
        <v>57</v>
      </c>
      <c r="K1780" t="s">
        <v>2135</v>
      </c>
      <c r="L1780" t="s">
        <v>2606</v>
      </c>
      <c r="M1780" t="s">
        <v>60</v>
      </c>
      <c r="P1780" t="s">
        <v>511</v>
      </c>
      <c r="Q1780" t="s">
        <v>1536</v>
      </c>
      <c r="R1780" t="s">
        <v>512</v>
      </c>
      <c r="S1780" t="s">
        <v>123</v>
      </c>
      <c r="T1780">
        <v>259.51</v>
      </c>
      <c r="U1780">
        <v>251.90199999999999</v>
      </c>
      <c r="V1780">
        <f t="shared" si="54"/>
        <v>255.70599999999999</v>
      </c>
      <c r="W1780">
        <f t="shared" si="55"/>
        <v>7.6080000000000041</v>
      </c>
      <c r="X1780">
        <v>44.416668000000001</v>
      </c>
      <c r="Y1780">
        <v>-24</v>
      </c>
      <c r="Z1780" t="s">
        <v>124</v>
      </c>
      <c r="AA1780" t="s">
        <v>1913</v>
      </c>
      <c r="AB1780" t="s">
        <v>1914</v>
      </c>
      <c r="AD1780" t="s">
        <v>1915</v>
      </c>
      <c r="AE1780" t="s">
        <v>1916</v>
      </c>
      <c r="AH1780" t="s">
        <v>72</v>
      </c>
      <c r="AI1780" t="s">
        <v>2595</v>
      </c>
      <c r="AJ1780">
        <v>1926</v>
      </c>
      <c r="AK1780" t="s">
        <v>1918</v>
      </c>
      <c r="AM1780" t="s">
        <v>1919</v>
      </c>
      <c r="AN1780" t="s">
        <v>192</v>
      </c>
      <c r="AO1780" t="s">
        <v>657</v>
      </c>
      <c r="AP1780" t="s">
        <v>359</v>
      </c>
      <c r="AQ1780" t="s">
        <v>1920</v>
      </c>
      <c r="AR1780" t="s">
        <v>80</v>
      </c>
      <c r="AS1780">
        <v>702</v>
      </c>
      <c r="AT1780" t="s">
        <v>81</v>
      </c>
      <c r="AU1780">
        <v>22.51</v>
      </c>
      <c r="AV1780">
        <v>-42.93</v>
      </c>
      <c r="AW1780" t="s">
        <v>82</v>
      </c>
      <c r="AX1780">
        <v>702</v>
      </c>
      <c r="AY1780" t="s">
        <v>81</v>
      </c>
      <c r="AZ1780">
        <v>24.25</v>
      </c>
      <c r="BA1780">
        <v>-52.74</v>
      </c>
      <c r="BB1780" t="s">
        <v>83</v>
      </c>
    </row>
    <row r="1781" spans="1:54" x14ac:dyDescent="0.4">
      <c r="A1781">
        <v>1285964</v>
      </c>
      <c r="D1781" t="s">
        <v>498</v>
      </c>
      <c r="E1781" t="s">
        <v>55</v>
      </c>
      <c r="G1781">
        <v>1</v>
      </c>
      <c r="H1781" t="s">
        <v>56</v>
      </c>
      <c r="I1781" t="s">
        <v>57</v>
      </c>
      <c r="K1781" t="s">
        <v>2135</v>
      </c>
      <c r="L1781" t="s">
        <v>2606</v>
      </c>
      <c r="M1781" t="s">
        <v>60</v>
      </c>
      <c r="P1781" t="s">
        <v>511</v>
      </c>
      <c r="Q1781" t="s">
        <v>1536</v>
      </c>
      <c r="R1781" t="s">
        <v>512</v>
      </c>
      <c r="S1781" t="s">
        <v>123</v>
      </c>
      <c r="T1781">
        <v>259.51</v>
      </c>
      <c r="U1781">
        <v>251.90199999999999</v>
      </c>
      <c r="V1781">
        <f t="shared" si="54"/>
        <v>255.70599999999999</v>
      </c>
      <c r="W1781">
        <f t="shared" si="55"/>
        <v>7.6080000000000041</v>
      </c>
      <c r="X1781">
        <v>44.416668000000001</v>
      </c>
      <c r="Y1781">
        <v>-24</v>
      </c>
      <c r="Z1781" t="s">
        <v>124</v>
      </c>
      <c r="AA1781" t="s">
        <v>1913</v>
      </c>
      <c r="AB1781" t="s">
        <v>1914</v>
      </c>
      <c r="AD1781" t="s">
        <v>1915</v>
      </c>
      <c r="AE1781" t="s">
        <v>1916</v>
      </c>
      <c r="AH1781" t="s">
        <v>72</v>
      </c>
      <c r="AI1781" t="s">
        <v>2595</v>
      </c>
      <c r="AJ1781">
        <v>1926</v>
      </c>
      <c r="AK1781" t="s">
        <v>1918</v>
      </c>
      <c r="AM1781" t="s">
        <v>1919</v>
      </c>
      <c r="AN1781" t="s">
        <v>192</v>
      </c>
      <c r="AO1781" t="s">
        <v>657</v>
      </c>
      <c r="AP1781" t="s">
        <v>359</v>
      </c>
      <c r="AQ1781" t="s">
        <v>1920</v>
      </c>
      <c r="AR1781" t="s">
        <v>80</v>
      </c>
      <c r="AS1781">
        <v>702</v>
      </c>
      <c r="AT1781" t="s">
        <v>81</v>
      </c>
      <c r="AU1781">
        <v>22.51</v>
      </c>
      <c r="AV1781">
        <v>-42.93</v>
      </c>
      <c r="AW1781" t="s">
        <v>82</v>
      </c>
      <c r="AX1781">
        <v>702</v>
      </c>
      <c r="AY1781" t="s">
        <v>81</v>
      </c>
      <c r="AZ1781">
        <v>24.25</v>
      </c>
      <c r="BA1781">
        <v>-52.74</v>
      </c>
      <c r="BB1781" t="s">
        <v>83</v>
      </c>
    </row>
    <row r="1782" spans="1:54" x14ac:dyDescent="0.4">
      <c r="A1782">
        <v>1285964</v>
      </c>
      <c r="D1782" t="s">
        <v>498</v>
      </c>
      <c r="E1782" t="s">
        <v>55</v>
      </c>
      <c r="G1782">
        <v>1</v>
      </c>
      <c r="H1782" t="s">
        <v>56</v>
      </c>
      <c r="I1782" t="s">
        <v>57</v>
      </c>
      <c r="K1782" t="s">
        <v>2135</v>
      </c>
      <c r="L1782" t="s">
        <v>2606</v>
      </c>
      <c r="M1782" t="s">
        <v>60</v>
      </c>
      <c r="P1782" t="s">
        <v>511</v>
      </c>
      <c r="Q1782" t="s">
        <v>1536</v>
      </c>
      <c r="R1782" t="s">
        <v>512</v>
      </c>
      <c r="S1782" t="s">
        <v>123</v>
      </c>
      <c r="T1782">
        <v>259.51</v>
      </c>
      <c r="U1782">
        <v>251.90199999999999</v>
      </c>
      <c r="V1782">
        <f t="shared" si="54"/>
        <v>255.70599999999999</v>
      </c>
      <c r="W1782">
        <f t="shared" si="55"/>
        <v>7.6080000000000041</v>
      </c>
      <c r="X1782">
        <v>44.416668000000001</v>
      </c>
      <c r="Y1782">
        <v>-24</v>
      </c>
      <c r="Z1782" t="s">
        <v>124</v>
      </c>
      <c r="AA1782" t="s">
        <v>1913</v>
      </c>
      <c r="AB1782" t="s">
        <v>1914</v>
      </c>
      <c r="AD1782" t="s">
        <v>1915</v>
      </c>
      <c r="AE1782" t="s">
        <v>1916</v>
      </c>
      <c r="AH1782" t="s">
        <v>72</v>
      </c>
      <c r="AI1782" t="s">
        <v>2595</v>
      </c>
      <c r="AJ1782">
        <v>1926</v>
      </c>
      <c r="AK1782" t="s">
        <v>1918</v>
      </c>
      <c r="AM1782" t="s">
        <v>1919</v>
      </c>
      <c r="AN1782" t="s">
        <v>192</v>
      </c>
      <c r="AO1782" t="s">
        <v>657</v>
      </c>
      <c r="AP1782" t="s">
        <v>359</v>
      </c>
      <c r="AQ1782" t="s">
        <v>1920</v>
      </c>
      <c r="AR1782" t="s">
        <v>80</v>
      </c>
      <c r="AS1782">
        <v>702</v>
      </c>
      <c r="AT1782" t="s">
        <v>81</v>
      </c>
      <c r="AU1782">
        <v>22.51</v>
      </c>
      <c r="AV1782">
        <v>-42.93</v>
      </c>
      <c r="AW1782" t="s">
        <v>82</v>
      </c>
      <c r="AX1782">
        <v>702</v>
      </c>
      <c r="AY1782" t="s">
        <v>81</v>
      </c>
      <c r="AZ1782">
        <v>24.25</v>
      </c>
      <c r="BA1782">
        <v>-52.74</v>
      </c>
      <c r="BB1782" t="s">
        <v>83</v>
      </c>
    </row>
    <row r="1783" spans="1:54" x14ac:dyDescent="0.4">
      <c r="A1783">
        <v>1285964</v>
      </c>
      <c r="D1783" t="s">
        <v>498</v>
      </c>
      <c r="E1783" t="s">
        <v>55</v>
      </c>
      <c r="G1783">
        <v>1</v>
      </c>
      <c r="H1783" t="s">
        <v>56</v>
      </c>
      <c r="I1783" t="s">
        <v>57</v>
      </c>
      <c r="K1783" t="s">
        <v>2135</v>
      </c>
      <c r="L1783" t="s">
        <v>2606</v>
      </c>
      <c r="M1783" t="s">
        <v>60</v>
      </c>
      <c r="P1783" t="s">
        <v>511</v>
      </c>
      <c r="Q1783" t="s">
        <v>1536</v>
      </c>
      <c r="R1783" t="s">
        <v>512</v>
      </c>
      <c r="S1783" t="s">
        <v>123</v>
      </c>
      <c r="T1783">
        <v>259.51</v>
      </c>
      <c r="U1783">
        <v>251.90199999999999</v>
      </c>
      <c r="V1783">
        <f t="shared" si="54"/>
        <v>255.70599999999999</v>
      </c>
      <c r="W1783">
        <f t="shared" si="55"/>
        <v>7.6080000000000041</v>
      </c>
      <c r="X1783">
        <v>44.416668000000001</v>
      </c>
      <c r="Y1783">
        <v>-24</v>
      </c>
      <c r="Z1783" t="s">
        <v>124</v>
      </c>
      <c r="AA1783" t="s">
        <v>1913</v>
      </c>
      <c r="AB1783" t="s">
        <v>1914</v>
      </c>
      <c r="AD1783" t="s">
        <v>1915</v>
      </c>
      <c r="AE1783" t="s">
        <v>1916</v>
      </c>
      <c r="AH1783" t="s">
        <v>72</v>
      </c>
      <c r="AI1783" t="s">
        <v>2595</v>
      </c>
      <c r="AJ1783">
        <v>1926</v>
      </c>
      <c r="AK1783" t="s">
        <v>1918</v>
      </c>
      <c r="AM1783" t="s">
        <v>1919</v>
      </c>
      <c r="AN1783" t="s">
        <v>192</v>
      </c>
      <c r="AO1783" t="s">
        <v>657</v>
      </c>
      <c r="AP1783" t="s">
        <v>359</v>
      </c>
      <c r="AQ1783" t="s">
        <v>1920</v>
      </c>
      <c r="AR1783" t="s">
        <v>80</v>
      </c>
      <c r="AS1783">
        <v>702</v>
      </c>
      <c r="AT1783" t="s">
        <v>81</v>
      </c>
      <c r="AU1783">
        <v>22.51</v>
      </c>
      <c r="AV1783">
        <v>-42.93</v>
      </c>
      <c r="AW1783" t="s">
        <v>82</v>
      </c>
      <c r="AX1783">
        <v>702</v>
      </c>
      <c r="AY1783" t="s">
        <v>81</v>
      </c>
      <c r="AZ1783">
        <v>24.25</v>
      </c>
      <c r="BA1783">
        <v>-52.74</v>
      </c>
      <c r="BB1783" t="s">
        <v>83</v>
      </c>
    </row>
    <row r="1784" spans="1:54" x14ac:dyDescent="0.4">
      <c r="A1784">
        <v>1285964</v>
      </c>
      <c r="D1784" t="s">
        <v>498</v>
      </c>
      <c r="E1784" t="s">
        <v>55</v>
      </c>
      <c r="G1784">
        <v>1</v>
      </c>
      <c r="H1784" t="s">
        <v>56</v>
      </c>
      <c r="I1784" t="s">
        <v>57</v>
      </c>
      <c r="K1784" t="s">
        <v>2135</v>
      </c>
      <c r="L1784" t="s">
        <v>2606</v>
      </c>
      <c r="M1784" t="s">
        <v>60</v>
      </c>
      <c r="P1784" t="s">
        <v>511</v>
      </c>
      <c r="Q1784" t="s">
        <v>1536</v>
      </c>
      <c r="R1784" t="s">
        <v>512</v>
      </c>
      <c r="S1784" t="s">
        <v>123</v>
      </c>
      <c r="T1784">
        <v>259.51</v>
      </c>
      <c r="U1784">
        <v>251.90199999999999</v>
      </c>
      <c r="V1784">
        <f t="shared" si="54"/>
        <v>255.70599999999999</v>
      </c>
      <c r="W1784">
        <f t="shared" si="55"/>
        <v>7.6080000000000041</v>
      </c>
      <c r="X1784">
        <v>44.416668000000001</v>
      </c>
      <c r="Y1784">
        <v>-24</v>
      </c>
      <c r="Z1784" t="s">
        <v>124</v>
      </c>
      <c r="AA1784" t="s">
        <v>1913</v>
      </c>
      <c r="AB1784" t="s">
        <v>1914</v>
      </c>
      <c r="AD1784" t="s">
        <v>1915</v>
      </c>
      <c r="AE1784" t="s">
        <v>1916</v>
      </c>
      <c r="AH1784" t="s">
        <v>72</v>
      </c>
      <c r="AI1784" t="s">
        <v>2595</v>
      </c>
      <c r="AJ1784">
        <v>1926</v>
      </c>
      <c r="AK1784" t="s">
        <v>1918</v>
      </c>
      <c r="AM1784" t="s">
        <v>1919</v>
      </c>
      <c r="AN1784" t="s">
        <v>192</v>
      </c>
      <c r="AO1784" t="s">
        <v>657</v>
      </c>
      <c r="AP1784" t="s">
        <v>359</v>
      </c>
      <c r="AQ1784" t="s">
        <v>1920</v>
      </c>
      <c r="AR1784" t="s">
        <v>80</v>
      </c>
      <c r="AS1784">
        <v>702</v>
      </c>
      <c r="AT1784" t="s">
        <v>81</v>
      </c>
      <c r="AU1784">
        <v>22.51</v>
      </c>
      <c r="AV1784">
        <v>-42.93</v>
      </c>
      <c r="AW1784" t="s">
        <v>82</v>
      </c>
      <c r="AX1784">
        <v>702</v>
      </c>
      <c r="AY1784" t="s">
        <v>81</v>
      </c>
      <c r="AZ1784">
        <v>24.25</v>
      </c>
      <c r="BA1784">
        <v>-52.74</v>
      </c>
      <c r="BB1784" t="s">
        <v>83</v>
      </c>
    </row>
    <row r="1785" spans="1:54" x14ac:dyDescent="0.4">
      <c r="A1785">
        <v>1285964</v>
      </c>
      <c r="D1785" t="s">
        <v>498</v>
      </c>
      <c r="E1785" t="s">
        <v>55</v>
      </c>
      <c r="G1785">
        <v>1</v>
      </c>
      <c r="H1785" t="s">
        <v>56</v>
      </c>
      <c r="I1785" t="s">
        <v>57</v>
      </c>
      <c r="K1785" t="s">
        <v>2135</v>
      </c>
      <c r="L1785" t="s">
        <v>2606</v>
      </c>
      <c r="M1785" t="s">
        <v>60</v>
      </c>
      <c r="P1785" t="s">
        <v>511</v>
      </c>
      <c r="Q1785" t="s">
        <v>1536</v>
      </c>
      <c r="R1785" t="s">
        <v>512</v>
      </c>
      <c r="S1785" t="s">
        <v>123</v>
      </c>
      <c r="T1785">
        <v>259.51</v>
      </c>
      <c r="U1785">
        <v>251.90199999999999</v>
      </c>
      <c r="V1785">
        <f t="shared" si="54"/>
        <v>255.70599999999999</v>
      </c>
      <c r="W1785">
        <f t="shared" si="55"/>
        <v>7.6080000000000041</v>
      </c>
      <c r="X1785">
        <v>44.416668000000001</v>
      </c>
      <c r="Y1785">
        <v>-24</v>
      </c>
      <c r="Z1785" t="s">
        <v>124</v>
      </c>
      <c r="AA1785" t="s">
        <v>1913</v>
      </c>
      <c r="AB1785" t="s">
        <v>1914</v>
      </c>
      <c r="AD1785" t="s">
        <v>1915</v>
      </c>
      <c r="AE1785" t="s">
        <v>1916</v>
      </c>
      <c r="AH1785" t="s">
        <v>72</v>
      </c>
      <c r="AI1785" t="s">
        <v>2595</v>
      </c>
      <c r="AJ1785">
        <v>1926</v>
      </c>
      <c r="AK1785" t="s">
        <v>1918</v>
      </c>
      <c r="AM1785" t="s">
        <v>1919</v>
      </c>
      <c r="AN1785" t="s">
        <v>192</v>
      </c>
      <c r="AO1785" t="s">
        <v>657</v>
      </c>
      <c r="AP1785" t="s">
        <v>359</v>
      </c>
      <c r="AQ1785" t="s">
        <v>1920</v>
      </c>
      <c r="AR1785" t="s">
        <v>80</v>
      </c>
      <c r="AS1785">
        <v>702</v>
      </c>
      <c r="AT1785" t="s">
        <v>81</v>
      </c>
      <c r="AU1785">
        <v>22.51</v>
      </c>
      <c r="AV1785">
        <v>-42.93</v>
      </c>
      <c r="AW1785" t="s">
        <v>82</v>
      </c>
      <c r="AX1785">
        <v>702</v>
      </c>
      <c r="AY1785" t="s">
        <v>81</v>
      </c>
      <c r="AZ1785">
        <v>24.25</v>
      </c>
      <c r="BA1785">
        <v>-52.74</v>
      </c>
      <c r="BB1785" t="s">
        <v>83</v>
      </c>
    </row>
    <row r="1786" spans="1:54" x14ac:dyDescent="0.4">
      <c r="A1786">
        <v>1285964</v>
      </c>
      <c r="D1786" t="s">
        <v>498</v>
      </c>
      <c r="E1786" t="s">
        <v>55</v>
      </c>
      <c r="G1786">
        <v>1</v>
      </c>
      <c r="H1786" t="s">
        <v>56</v>
      </c>
      <c r="I1786" t="s">
        <v>57</v>
      </c>
      <c r="K1786" t="s">
        <v>2135</v>
      </c>
      <c r="L1786" t="s">
        <v>2606</v>
      </c>
      <c r="M1786" t="s">
        <v>60</v>
      </c>
      <c r="P1786" t="s">
        <v>511</v>
      </c>
      <c r="Q1786" t="s">
        <v>1536</v>
      </c>
      <c r="R1786" t="s">
        <v>512</v>
      </c>
      <c r="S1786" t="s">
        <v>123</v>
      </c>
      <c r="T1786">
        <v>259.51</v>
      </c>
      <c r="U1786">
        <v>251.90199999999999</v>
      </c>
      <c r="V1786">
        <f t="shared" si="54"/>
        <v>255.70599999999999</v>
      </c>
      <c r="W1786">
        <f t="shared" si="55"/>
        <v>7.6080000000000041</v>
      </c>
      <c r="X1786">
        <v>44.416668000000001</v>
      </c>
      <c r="Y1786">
        <v>-24</v>
      </c>
      <c r="Z1786" t="s">
        <v>124</v>
      </c>
      <c r="AA1786" t="s">
        <v>1913</v>
      </c>
      <c r="AB1786" t="s">
        <v>1914</v>
      </c>
      <c r="AD1786" t="s">
        <v>1915</v>
      </c>
      <c r="AE1786" t="s">
        <v>1916</v>
      </c>
      <c r="AH1786" t="s">
        <v>72</v>
      </c>
      <c r="AI1786" t="s">
        <v>2595</v>
      </c>
      <c r="AJ1786">
        <v>1926</v>
      </c>
      <c r="AK1786" t="s">
        <v>1918</v>
      </c>
      <c r="AM1786" t="s">
        <v>1919</v>
      </c>
      <c r="AN1786" t="s">
        <v>192</v>
      </c>
      <c r="AO1786" t="s">
        <v>657</v>
      </c>
      <c r="AP1786" t="s">
        <v>359</v>
      </c>
      <c r="AQ1786" t="s">
        <v>1920</v>
      </c>
      <c r="AR1786" t="s">
        <v>80</v>
      </c>
      <c r="AS1786">
        <v>702</v>
      </c>
      <c r="AT1786" t="s">
        <v>81</v>
      </c>
      <c r="AU1786">
        <v>22.51</v>
      </c>
      <c r="AV1786">
        <v>-42.93</v>
      </c>
      <c r="AW1786" t="s">
        <v>82</v>
      </c>
      <c r="AX1786">
        <v>702</v>
      </c>
      <c r="AY1786" t="s">
        <v>81</v>
      </c>
      <c r="AZ1786">
        <v>24.25</v>
      </c>
      <c r="BA1786">
        <v>-52.74</v>
      </c>
      <c r="BB1786" t="s">
        <v>83</v>
      </c>
    </row>
    <row r="1787" spans="1:54" x14ac:dyDescent="0.4">
      <c r="A1787">
        <v>1285964</v>
      </c>
      <c r="D1787" t="s">
        <v>498</v>
      </c>
      <c r="E1787" t="s">
        <v>55</v>
      </c>
      <c r="G1787">
        <v>1</v>
      </c>
      <c r="H1787" t="s">
        <v>56</v>
      </c>
      <c r="I1787" t="s">
        <v>57</v>
      </c>
      <c r="K1787" t="s">
        <v>2135</v>
      </c>
      <c r="L1787" t="s">
        <v>2606</v>
      </c>
      <c r="M1787" t="s">
        <v>60</v>
      </c>
      <c r="P1787" t="s">
        <v>511</v>
      </c>
      <c r="Q1787" t="s">
        <v>1536</v>
      </c>
      <c r="R1787" t="s">
        <v>512</v>
      </c>
      <c r="S1787" t="s">
        <v>123</v>
      </c>
      <c r="T1787">
        <v>259.51</v>
      </c>
      <c r="U1787">
        <v>251.90199999999999</v>
      </c>
      <c r="V1787">
        <f t="shared" si="54"/>
        <v>255.70599999999999</v>
      </c>
      <c r="W1787">
        <f t="shared" si="55"/>
        <v>7.6080000000000041</v>
      </c>
      <c r="X1787">
        <v>44.416668000000001</v>
      </c>
      <c r="Y1787">
        <v>-24</v>
      </c>
      <c r="Z1787" t="s">
        <v>124</v>
      </c>
      <c r="AA1787" t="s">
        <v>1913</v>
      </c>
      <c r="AB1787" t="s">
        <v>1914</v>
      </c>
      <c r="AD1787" t="s">
        <v>1915</v>
      </c>
      <c r="AE1787" t="s">
        <v>1916</v>
      </c>
      <c r="AH1787" t="s">
        <v>72</v>
      </c>
      <c r="AI1787" t="s">
        <v>2595</v>
      </c>
      <c r="AJ1787">
        <v>1926</v>
      </c>
      <c r="AK1787" t="s">
        <v>1918</v>
      </c>
      <c r="AM1787" t="s">
        <v>1919</v>
      </c>
      <c r="AN1787" t="s">
        <v>192</v>
      </c>
      <c r="AO1787" t="s">
        <v>657</v>
      </c>
      <c r="AP1787" t="s">
        <v>359</v>
      </c>
      <c r="AQ1787" t="s">
        <v>1920</v>
      </c>
      <c r="AR1787" t="s">
        <v>80</v>
      </c>
      <c r="AS1787">
        <v>702</v>
      </c>
      <c r="AT1787" t="s">
        <v>81</v>
      </c>
      <c r="AU1787">
        <v>22.51</v>
      </c>
      <c r="AV1787">
        <v>-42.93</v>
      </c>
      <c r="AW1787" t="s">
        <v>82</v>
      </c>
      <c r="AX1787">
        <v>702</v>
      </c>
      <c r="AY1787" t="s">
        <v>81</v>
      </c>
      <c r="AZ1787">
        <v>24.25</v>
      </c>
      <c r="BA1787">
        <v>-52.74</v>
      </c>
      <c r="BB1787" t="s">
        <v>83</v>
      </c>
    </row>
    <row r="1788" spans="1:54" x14ac:dyDescent="0.4">
      <c r="A1788">
        <v>1285964</v>
      </c>
      <c r="D1788" t="s">
        <v>498</v>
      </c>
      <c r="E1788" t="s">
        <v>55</v>
      </c>
      <c r="G1788">
        <v>1</v>
      </c>
      <c r="H1788" t="s">
        <v>56</v>
      </c>
      <c r="I1788" t="s">
        <v>57</v>
      </c>
      <c r="K1788" t="s">
        <v>2135</v>
      </c>
      <c r="L1788" t="s">
        <v>2606</v>
      </c>
      <c r="M1788" t="s">
        <v>60</v>
      </c>
      <c r="P1788" t="s">
        <v>511</v>
      </c>
      <c r="Q1788" t="s">
        <v>1536</v>
      </c>
      <c r="R1788" t="s">
        <v>512</v>
      </c>
      <c r="S1788" t="s">
        <v>123</v>
      </c>
      <c r="T1788">
        <v>259.51</v>
      </c>
      <c r="U1788">
        <v>251.90199999999999</v>
      </c>
      <c r="V1788">
        <f t="shared" si="54"/>
        <v>255.70599999999999</v>
      </c>
      <c r="W1788">
        <f t="shared" si="55"/>
        <v>7.6080000000000041</v>
      </c>
      <c r="X1788">
        <v>44.416668000000001</v>
      </c>
      <c r="Y1788">
        <v>-24</v>
      </c>
      <c r="Z1788" t="s">
        <v>124</v>
      </c>
      <c r="AA1788" t="s">
        <v>1913</v>
      </c>
      <c r="AB1788" t="s">
        <v>1914</v>
      </c>
      <c r="AD1788" t="s">
        <v>1915</v>
      </c>
      <c r="AE1788" t="s">
        <v>1916</v>
      </c>
      <c r="AH1788" t="s">
        <v>72</v>
      </c>
      <c r="AI1788" t="s">
        <v>2595</v>
      </c>
      <c r="AJ1788">
        <v>1926</v>
      </c>
      <c r="AK1788" t="s">
        <v>1918</v>
      </c>
      <c r="AM1788" t="s">
        <v>1919</v>
      </c>
      <c r="AN1788" t="s">
        <v>192</v>
      </c>
      <c r="AO1788" t="s">
        <v>657</v>
      </c>
      <c r="AP1788" t="s">
        <v>359</v>
      </c>
      <c r="AQ1788" t="s">
        <v>1920</v>
      </c>
      <c r="AR1788" t="s">
        <v>80</v>
      </c>
      <c r="AS1788">
        <v>702</v>
      </c>
      <c r="AT1788" t="s">
        <v>81</v>
      </c>
      <c r="AU1788">
        <v>22.51</v>
      </c>
      <c r="AV1788">
        <v>-42.93</v>
      </c>
      <c r="AW1788" t="s">
        <v>82</v>
      </c>
      <c r="AX1788">
        <v>702</v>
      </c>
      <c r="AY1788" t="s">
        <v>81</v>
      </c>
      <c r="AZ1788">
        <v>24.25</v>
      </c>
      <c r="BA1788">
        <v>-52.74</v>
      </c>
      <c r="BB1788" t="s">
        <v>83</v>
      </c>
    </row>
    <row r="1789" spans="1:54" x14ac:dyDescent="0.4">
      <c r="A1789">
        <v>1285964</v>
      </c>
      <c r="D1789" t="s">
        <v>498</v>
      </c>
      <c r="E1789" t="s">
        <v>55</v>
      </c>
      <c r="G1789">
        <v>1</v>
      </c>
      <c r="H1789" t="s">
        <v>56</v>
      </c>
      <c r="I1789" t="s">
        <v>57</v>
      </c>
      <c r="K1789" t="s">
        <v>2135</v>
      </c>
      <c r="L1789" t="s">
        <v>2606</v>
      </c>
      <c r="M1789" t="s">
        <v>60</v>
      </c>
      <c r="P1789" t="s">
        <v>511</v>
      </c>
      <c r="Q1789" t="s">
        <v>1536</v>
      </c>
      <c r="R1789" t="s">
        <v>512</v>
      </c>
      <c r="S1789" t="s">
        <v>123</v>
      </c>
      <c r="T1789">
        <v>259.51</v>
      </c>
      <c r="U1789">
        <v>251.90199999999999</v>
      </c>
      <c r="V1789">
        <f t="shared" si="54"/>
        <v>255.70599999999999</v>
      </c>
      <c r="W1789">
        <f t="shared" si="55"/>
        <v>7.6080000000000041</v>
      </c>
      <c r="X1789">
        <v>44.416668000000001</v>
      </c>
      <c r="Y1789">
        <v>-24</v>
      </c>
      <c r="Z1789" t="s">
        <v>124</v>
      </c>
      <c r="AA1789" t="s">
        <v>1913</v>
      </c>
      <c r="AB1789" t="s">
        <v>1914</v>
      </c>
      <c r="AD1789" t="s">
        <v>1915</v>
      </c>
      <c r="AE1789" t="s">
        <v>1916</v>
      </c>
      <c r="AH1789" t="s">
        <v>72</v>
      </c>
      <c r="AI1789" t="s">
        <v>2595</v>
      </c>
      <c r="AJ1789">
        <v>1926</v>
      </c>
      <c r="AK1789" t="s">
        <v>1918</v>
      </c>
      <c r="AM1789" t="s">
        <v>1919</v>
      </c>
      <c r="AN1789" t="s">
        <v>192</v>
      </c>
      <c r="AO1789" t="s">
        <v>657</v>
      </c>
      <c r="AP1789" t="s">
        <v>359</v>
      </c>
      <c r="AQ1789" t="s">
        <v>1920</v>
      </c>
      <c r="AR1789" t="s">
        <v>80</v>
      </c>
      <c r="AS1789">
        <v>702</v>
      </c>
      <c r="AT1789" t="s">
        <v>81</v>
      </c>
      <c r="AU1789">
        <v>22.51</v>
      </c>
      <c r="AV1789">
        <v>-42.93</v>
      </c>
      <c r="AW1789" t="s">
        <v>82</v>
      </c>
      <c r="AX1789">
        <v>702</v>
      </c>
      <c r="AY1789" t="s">
        <v>81</v>
      </c>
      <c r="AZ1789">
        <v>24.25</v>
      </c>
      <c r="BA1789">
        <v>-52.74</v>
      </c>
      <c r="BB1789" t="s">
        <v>83</v>
      </c>
    </row>
    <row r="1790" spans="1:54" x14ac:dyDescent="0.4">
      <c r="A1790">
        <v>1285964</v>
      </c>
      <c r="D1790" t="s">
        <v>498</v>
      </c>
      <c r="E1790" t="s">
        <v>55</v>
      </c>
      <c r="G1790">
        <v>1</v>
      </c>
      <c r="H1790" t="s">
        <v>56</v>
      </c>
      <c r="I1790" t="s">
        <v>57</v>
      </c>
      <c r="K1790" t="s">
        <v>2135</v>
      </c>
      <c r="L1790" t="s">
        <v>2606</v>
      </c>
      <c r="M1790" t="s">
        <v>60</v>
      </c>
      <c r="P1790" t="s">
        <v>511</v>
      </c>
      <c r="Q1790" t="s">
        <v>1536</v>
      </c>
      <c r="R1790" t="s">
        <v>512</v>
      </c>
      <c r="S1790" t="s">
        <v>123</v>
      </c>
      <c r="T1790">
        <v>259.51</v>
      </c>
      <c r="U1790">
        <v>251.90199999999999</v>
      </c>
      <c r="V1790">
        <f t="shared" si="54"/>
        <v>255.70599999999999</v>
      </c>
      <c r="W1790">
        <f t="shared" si="55"/>
        <v>7.6080000000000041</v>
      </c>
      <c r="X1790">
        <v>44.416668000000001</v>
      </c>
      <c r="Y1790">
        <v>-24</v>
      </c>
      <c r="Z1790" t="s">
        <v>124</v>
      </c>
      <c r="AA1790" t="s">
        <v>1913</v>
      </c>
      <c r="AB1790" t="s">
        <v>1914</v>
      </c>
      <c r="AD1790" t="s">
        <v>1915</v>
      </c>
      <c r="AE1790" t="s">
        <v>1916</v>
      </c>
      <c r="AH1790" t="s">
        <v>72</v>
      </c>
      <c r="AI1790" t="s">
        <v>2595</v>
      </c>
      <c r="AJ1790">
        <v>1926</v>
      </c>
      <c r="AK1790" t="s">
        <v>1918</v>
      </c>
      <c r="AM1790" t="s">
        <v>1919</v>
      </c>
      <c r="AN1790" t="s">
        <v>192</v>
      </c>
      <c r="AO1790" t="s">
        <v>657</v>
      </c>
      <c r="AP1790" t="s">
        <v>359</v>
      </c>
      <c r="AQ1790" t="s">
        <v>1920</v>
      </c>
      <c r="AR1790" t="s">
        <v>80</v>
      </c>
      <c r="AS1790">
        <v>702</v>
      </c>
      <c r="AT1790" t="s">
        <v>81</v>
      </c>
      <c r="AU1790">
        <v>22.51</v>
      </c>
      <c r="AV1790">
        <v>-42.93</v>
      </c>
      <c r="AW1790" t="s">
        <v>82</v>
      </c>
      <c r="AX1790">
        <v>702</v>
      </c>
      <c r="AY1790" t="s">
        <v>81</v>
      </c>
      <c r="AZ1790">
        <v>24.25</v>
      </c>
      <c r="BA1790">
        <v>-52.74</v>
      </c>
      <c r="BB1790" t="s">
        <v>83</v>
      </c>
    </row>
    <row r="1791" spans="1:54" x14ac:dyDescent="0.4">
      <c r="A1791">
        <v>1285964</v>
      </c>
      <c r="D1791" t="s">
        <v>498</v>
      </c>
      <c r="E1791" t="s">
        <v>55</v>
      </c>
      <c r="G1791">
        <v>1</v>
      </c>
      <c r="H1791" t="s">
        <v>56</v>
      </c>
      <c r="I1791" t="s">
        <v>57</v>
      </c>
      <c r="K1791" t="s">
        <v>2135</v>
      </c>
      <c r="L1791" t="s">
        <v>2606</v>
      </c>
      <c r="M1791" t="s">
        <v>60</v>
      </c>
      <c r="P1791" t="s">
        <v>511</v>
      </c>
      <c r="Q1791" t="s">
        <v>1536</v>
      </c>
      <c r="R1791" t="s">
        <v>512</v>
      </c>
      <c r="S1791" t="s">
        <v>123</v>
      </c>
      <c r="T1791">
        <v>259.51</v>
      </c>
      <c r="U1791">
        <v>251.90199999999999</v>
      </c>
      <c r="V1791">
        <f t="shared" si="54"/>
        <v>255.70599999999999</v>
      </c>
      <c r="W1791">
        <f t="shared" si="55"/>
        <v>7.6080000000000041</v>
      </c>
      <c r="X1791">
        <v>44.416668000000001</v>
      </c>
      <c r="Y1791">
        <v>-24</v>
      </c>
      <c r="Z1791" t="s">
        <v>124</v>
      </c>
      <c r="AA1791" t="s">
        <v>1913</v>
      </c>
      <c r="AB1791" t="s">
        <v>1914</v>
      </c>
      <c r="AD1791" t="s">
        <v>1915</v>
      </c>
      <c r="AE1791" t="s">
        <v>1916</v>
      </c>
      <c r="AH1791" t="s">
        <v>72</v>
      </c>
      <c r="AI1791" t="s">
        <v>2595</v>
      </c>
      <c r="AJ1791">
        <v>1926</v>
      </c>
      <c r="AK1791" t="s">
        <v>1918</v>
      </c>
      <c r="AM1791" t="s">
        <v>1919</v>
      </c>
      <c r="AN1791" t="s">
        <v>192</v>
      </c>
      <c r="AO1791" t="s">
        <v>657</v>
      </c>
      <c r="AP1791" t="s">
        <v>359</v>
      </c>
      <c r="AQ1791" t="s">
        <v>1920</v>
      </c>
      <c r="AR1791" t="s">
        <v>80</v>
      </c>
      <c r="AS1791">
        <v>702</v>
      </c>
      <c r="AT1791" t="s">
        <v>81</v>
      </c>
      <c r="AU1791">
        <v>22.51</v>
      </c>
      <c r="AV1791">
        <v>-42.93</v>
      </c>
      <c r="AW1791" t="s">
        <v>82</v>
      </c>
      <c r="AX1791">
        <v>702</v>
      </c>
      <c r="AY1791" t="s">
        <v>81</v>
      </c>
      <c r="AZ1791">
        <v>24.25</v>
      </c>
      <c r="BA1791">
        <v>-52.74</v>
      </c>
      <c r="BB1791" t="s">
        <v>83</v>
      </c>
    </row>
    <row r="1792" spans="1:54" x14ac:dyDescent="0.4">
      <c r="A1792">
        <v>1285964</v>
      </c>
      <c r="D1792" t="s">
        <v>498</v>
      </c>
      <c r="E1792" t="s">
        <v>55</v>
      </c>
      <c r="G1792">
        <v>1</v>
      </c>
      <c r="H1792" t="s">
        <v>56</v>
      </c>
      <c r="I1792" t="s">
        <v>57</v>
      </c>
      <c r="K1792" t="s">
        <v>2135</v>
      </c>
      <c r="L1792" t="s">
        <v>2606</v>
      </c>
      <c r="M1792" t="s">
        <v>60</v>
      </c>
      <c r="P1792" t="s">
        <v>511</v>
      </c>
      <c r="Q1792" t="s">
        <v>1536</v>
      </c>
      <c r="R1792" t="s">
        <v>512</v>
      </c>
      <c r="S1792" t="s">
        <v>123</v>
      </c>
      <c r="T1792">
        <v>259.51</v>
      </c>
      <c r="U1792">
        <v>251.90199999999999</v>
      </c>
      <c r="V1792">
        <f t="shared" si="54"/>
        <v>255.70599999999999</v>
      </c>
      <c r="W1792">
        <f t="shared" si="55"/>
        <v>7.6080000000000041</v>
      </c>
      <c r="X1792">
        <v>44.416668000000001</v>
      </c>
      <c r="Y1792">
        <v>-24</v>
      </c>
      <c r="Z1792" t="s">
        <v>124</v>
      </c>
      <c r="AA1792" t="s">
        <v>1913</v>
      </c>
      <c r="AB1792" t="s">
        <v>1914</v>
      </c>
      <c r="AD1792" t="s">
        <v>1915</v>
      </c>
      <c r="AE1792" t="s">
        <v>1916</v>
      </c>
      <c r="AH1792" t="s">
        <v>72</v>
      </c>
      <c r="AI1792" t="s">
        <v>2595</v>
      </c>
      <c r="AJ1792">
        <v>1926</v>
      </c>
      <c r="AK1792" t="s">
        <v>1918</v>
      </c>
      <c r="AM1792" t="s">
        <v>1919</v>
      </c>
      <c r="AN1792" t="s">
        <v>192</v>
      </c>
      <c r="AO1792" t="s">
        <v>657</v>
      </c>
      <c r="AP1792" t="s">
        <v>359</v>
      </c>
      <c r="AQ1792" t="s">
        <v>1920</v>
      </c>
      <c r="AR1792" t="s">
        <v>80</v>
      </c>
      <c r="AS1792">
        <v>702</v>
      </c>
      <c r="AT1792" t="s">
        <v>81</v>
      </c>
      <c r="AU1792">
        <v>22.51</v>
      </c>
      <c r="AV1792">
        <v>-42.93</v>
      </c>
      <c r="AW1792" t="s">
        <v>82</v>
      </c>
      <c r="AX1792">
        <v>702</v>
      </c>
      <c r="AY1792" t="s">
        <v>81</v>
      </c>
      <c r="AZ1792">
        <v>24.25</v>
      </c>
      <c r="BA1792">
        <v>-52.74</v>
      </c>
      <c r="BB1792" t="s">
        <v>83</v>
      </c>
    </row>
    <row r="1793" spans="1:54" x14ac:dyDescent="0.4">
      <c r="A1793">
        <v>1285964</v>
      </c>
      <c r="D1793" t="s">
        <v>498</v>
      </c>
      <c r="E1793" t="s">
        <v>55</v>
      </c>
      <c r="G1793">
        <v>1</v>
      </c>
      <c r="H1793" t="s">
        <v>56</v>
      </c>
      <c r="I1793" t="s">
        <v>57</v>
      </c>
      <c r="K1793" t="s">
        <v>2135</v>
      </c>
      <c r="L1793" t="s">
        <v>2606</v>
      </c>
      <c r="M1793" t="s">
        <v>60</v>
      </c>
      <c r="P1793" t="s">
        <v>511</v>
      </c>
      <c r="Q1793" t="s">
        <v>1536</v>
      </c>
      <c r="R1793" t="s">
        <v>512</v>
      </c>
      <c r="S1793" t="s">
        <v>123</v>
      </c>
      <c r="T1793">
        <v>259.51</v>
      </c>
      <c r="U1793">
        <v>251.90199999999999</v>
      </c>
      <c r="V1793">
        <f t="shared" si="54"/>
        <v>255.70599999999999</v>
      </c>
      <c r="W1793">
        <f t="shared" si="55"/>
        <v>7.6080000000000041</v>
      </c>
      <c r="X1793">
        <v>44.416668000000001</v>
      </c>
      <c r="Y1793">
        <v>-24</v>
      </c>
      <c r="Z1793" t="s">
        <v>124</v>
      </c>
      <c r="AA1793" t="s">
        <v>1913</v>
      </c>
      <c r="AB1793" t="s">
        <v>1914</v>
      </c>
      <c r="AD1793" t="s">
        <v>1915</v>
      </c>
      <c r="AE1793" t="s">
        <v>1916</v>
      </c>
      <c r="AH1793" t="s">
        <v>72</v>
      </c>
      <c r="AI1793" t="s">
        <v>2595</v>
      </c>
      <c r="AJ1793">
        <v>1926</v>
      </c>
      <c r="AK1793" t="s">
        <v>1918</v>
      </c>
      <c r="AM1793" t="s">
        <v>1919</v>
      </c>
      <c r="AN1793" t="s">
        <v>192</v>
      </c>
      <c r="AO1793" t="s">
        <v>657</v>
      </c>
      <c r="AP1793" t="s">
        <v>359</v>
      </c>
      <c r="AQ1793" t="s">
        <v>1920</v>
      </c>
      <c r="AR1793" t="s">
        <v>80</v>
      </c>
      <c r="AS1793">
        <v>702</v>
      </c>
      <c r="AT1793" t="s">
        <v>81</v>
      </c>
      <c r="AU1793">
        <v>22.51</v>
      </c>
      <c r="AV1793">
        <v>-42.93</v>
      </c>
      <c r="AW1793" t="s">
        <v>82</v>
      </c>
      <c r="AX1793">
        <v>702</v>
      </c>
      <c r="AY1793" t="s">
        <v>81</v>
      </c>
      <c r="AZ1793">
        <v>24.25</v>
      </c>
      <c r="BA1793">
        <v>-52.74</v>
      </c>
      <c r="BB1793" t="s">
        <v>83</v>
      </c>
    </row>
    <row r="1794" spans="1:54" x14ac:dyDescent="0.4">
      <c r="A1794">
        <v>1285964</v>
      </c>
      <c r="D1794" t="s">
        <v>498</v>
      </c>
      <c r="E1794" t="s">
        <v>55</v>
      </c>
      <c r="G1794">
        <v>1</v>
      </c>
      <c r="H1794" t="s">
        <v>56</v>
      </c>
      <c r="I1794" t="s">
        <v>57</v>
      </c>
      <c r="K1794" t="s">
        <v>2135</v>
      </c>
      <c r="L1794" t="s">
        <v>2606</v>
      </c>
      <c r="M1794" t="s">
        <v>60</v>
      </c>
      <c r="P1794" t="s">
        <v>511</v>
      </c>
      <c r="Q1794" t="s">
        <v>1536</v>
      </c>
      <c r="R1794" t="s">
        <v>512</v>
      </c>
      <c r="S1794" t="s">
        <v>123</v>
      </c>
      <c r="T1794">
        <v>259.51</v>
      </c>
      <c r="U1794">
        <v>251.90199999999999</v>
      </c>
      <c r="V1794">
        <f t="shared" si="54"/>
        <v>255.70599999999999</v>
      </c>
      <c r="W1794">
        <f t="shared" si="55"/>
        <v>7.6080000000000041</v>
      </c>
      <c r="X1794">
        <v>44.416668000000001</v>
      </c>
      <c r="Y1794">
        <v>-24</v>
      </c>
      <c r="Z1794" t="s">
        <v>124</v>
      </c>
      <c r="AA1794" t="s">
        <v>1913</v>
      </c>
      <c r="AB1794" t="s">
        <v>1914</v>
      </c>
      <c r="AD1794" t="s">
        <v>1915</v>
      </c>
      <c r="AE1794" t="s">
        <v>1916</v>
      </c>
      <c r="AH1794" t="s">
        <v>72</v>
      </c>
      <c r="AI1794" t="s">
        <v>2595</v>
      </c>
      <c r="AJ1794">
        <v>1926</v>
      </c>
      <c r="AK1794" t="s">
        <v>1918</v>
      </c>
      <c r="AM1794" t="s">
        <v>1919</v>
      </c>
      <c r="AN1794" t="s">
        <v>192</v>
      </c>
      <c r="AO1794" t="s">
        <v>657</v>
      </c>
      <c r="AP1794" t="s">
        <v>359</v>
      </c>
      <c r="AQ1794" t="s">
        <v>1920</v>
      </c>
      <c r="AR1794" t="s">
        <v>80</v>
      </c>
      <c r="AS1794">
        <v>702</v>
      </c>
      <c r="AT1794" t="s">
        <v>81</v>
      </c>
      <c r="AU1794">
        <v>22.51</v>
      </c>
      <c r="AV1794">
        <v>-42.93</v>
      </c>
      <c r="AW1794" t="s">
        <v>82</v>
      </c>
      <c r="AX1794">
        <v>702</v>
      </c>
      <c r="AY1794" t="s">
        <v>81</v>
      </c>
      <c r="AZ1794">
        <v>24.25</v>
      </c>
      <c r="BA1794">
        <v>-52.74</v>
      </c>
      <c r="BB1794" t="s">
        <v>83</v>
      </c>
    </row>
    <row r="1795" spans="1:54" x14ac:dyDescent="0.4">
      <c r="A1795">
        <v>1285964</v>
      </c>
      <c r="D1795" t="s">
        <v>498</v>
      </c>
      <c r="E1795" t="s">
        <v>55</v>
      </c>
      <c r="G1795">
        <v>1</v>
      </c>
      <c r="H1795" t="s">
        <v>56</v>
      </c>
      <c r="I1795" t="s">
        <v>57</v>
      </c>
      <c r="K1795" t="s">
        <v>2135</v>
      </c>
      <c r="L1795" t="s">
        <v>2606</v>
      </c>
      <c r="M1795" t="s">
        <v>60</v>
      </c>
      <c r="P1795" t="s">
        <v>511</v>
      </c>
      <c r="Q1795" t="s">
        <v>1536</v>
      </c>
      <c r="R1795" t="s">
        <v>512</v>
      </c>
      <c r="S1795" t="s">
        <v>123</v>
      </c>
      <c r="T1795">
        <v>259.51</v>
      </c>
      <c r="U1795">
        <v>251.90199999999999</v>
      </c>
      <c r="V1795">
        <f t="shared" ref="V1795:V1858" si="56">(T1795+U1795)/2</f>
        <v>255.70599999999999</v>
      </c>
      <c r="W1795">
        <f t="shared" ref="W1795:W1858" si="57">T1795-U1795</f>
        <v>7.6080000000000041</v>
      </c>
      <c r="X1795">
        <v>44.416668000000001</v>
      </c>
      <c r="Y1795">
        <v>-24</v>
      </c>
      <c r="Z1795" t="s">
        <v>124</v>
      </c>
      <c r="AA1795" t="s">
        <v>1913</v>
      </c>
      <c r="AB1795" t="s">
        <v>1914</v>
      </c>
      <c r="AD1795" t="s">
        <v>1915</v>
      </c>
      <c r="AE1795" t="s">
        <v>1916</v>
      </c>
      <c r="AH1795" t="s">
        <v>72</v>
      </c>
      <c r="AI1795" t="s">
        <v>2595</v>
      </c>
      <c r="AJ1795">
        <v>1926</v>
      </c>
      <c r="AK1795" t="s">
        <v>1918</v>
      </c>
      <c r="AM1795" t="s">
        <v>1919</v>
      </c>
      <c r="AN1795" t="s">
        <v>192</v>
      </c>
      <c r="AO1795" t="s">
        <v>657</v>
      </c>
      <c r="AP1795" t="s">
        <v>359</v>
      </c>
      <c r="AQ1795" t="s">
        <v>1920</v>
      </c>
      <c r="AR1795" t="s">
        <v>80</v>
      </c>
      <c r="AS1795">
        <v>702</v>
      </c>
      <c r="AT1795" t="s">
        <v>81</v>
      </c>
      <c r="AU1795">
        <v>22.51</v>
      </c>
      <c r="AV1795">
        <v>-42.93</v>
      </c>
      <c r="AW1795" t="s">
        <v>82</v>
      </c>
      <c r="AX1795">
        <v>702</v>
      </c>
      <c r="AY1795" t="s">
        <v>81</v>
      </c>
      <c r="AZ1795">
        <v>24.25</v>
      </c>
      <c r="BA1795">
        <v>-52.74</v>
      </c>
      <c r="BB1795" t="s">
        <v>83</v>
      </c>
    </row>
    <row r="1796" spans="1:54" x14ac:dyDescent="0.4">
      <c r="A1796">
        <v>1285964</v>
      </c>
      <c r="D1796" t="s">
        <v>498</v>
      </c>
      <c r="E1796" t="s">
        <v>55</v>
      </c>
      <c r="G1796">
        <v>1</v>
      </c>
      <c r="H1796" t="s">
        <v>56</v>
      </c>
      <c r="I1796" t="s">
        <v>57</v>
      </c>
      <c r="K1796" t="s">
        <v>2135</v>
      </c>
      <c r="L1796" t="s">
        <v>2606</v>
      </c>
      <c r="M1796" t="s">
        <v>60</v>
      </c>
      <c r="P1796" t="s">
        <v>511</v>
      </c>
      <c r="Q1796" t="s">
        <v>1536</v>
      </c>
      <c r="R1796" t="s">
        <v>512</v>
      </c>
      <c r="S1796" t="s">
        <v>123</v>
      </c>
      <c r="T1796">
        <v>259.51</v>
      </c>
      <c r="U1796">
        <v>251.90199999999999</v>
      </c>
      <c r="V1796">
        <f t="shared" si="56"/>
        <v>255.70599999999999</v>
      </c>
      <c r="W1796">
        <f t="shared" si="57"/>
        <v>7.6080000000000041</v>
      </c>
      <c r="X1796">
        <v>44.416668000000001</v>
      </c>
      <c r="Y1796">
        <v>-24</v>
      </c>
      <c r="Z1796" t="s">
        <v>124</v>
      </c>
      <c r="AA1796" t="s">
        <v>1913</v>
      </c>
      <c r="AB1796" t="s">
        <v>1914</v>
      </c>
      <c r="AD1796" t="s">
        <v>1915</v>
      </c>
      <c r="AE1796" t="s">
        <v>1916</v>
      </c>
      <c r="AH1796" t="s">
        <v>72</v>
      </c>
      <c r="AI1796" t="s">
        <v>2595</v>
      </c>
      <c r="AJ1796">
        <v>1926</v>
      </c>
      <c r="AK1796" t="s">
        <v>1918</v>
      </c>
      <c r="AM1796" t="s">
        <v>1919</v>
      </c>
      <c r="AN1796" t="s">
        <v>192</v>
      </c>
      <c r="AO1796" t="s">
        <v>657</v>
      </c>
      <c r="AP1796" t="s">
        <v>359</v>
      </c>
      <c r="AQ1796" t="s">
        <v>1920</v>
      </c>
      <c r="AR1796" t="s">
        <v>80</v>
      </c>
      <c r="AS1796">
        <v>702</v>
      </c>
      <c r="AT1796" t="s">
        <v>81</v>
      </c>
      <c r="AU1796">
        <v>22.51</v>
      </c>
      <c r="AV1796">
        <v>-42.93</v>
      </c>
      <c r="AW1796" t="s">
        <v>82</v>
      </c>
      <c r="AX1796">
        <v>702</v>
      </c>
      <c r="AY1796" t="s">
        <v>81</v>
      </c>
      <c r="AZ1796">
        <v>24.25</v>
      </c>
      <c r="BA1796">
        <v>-52.74</v>
      </c>
      <c r="BB1796" t="s">
        <v>83</v>
      </c>
    </row>
    <row r="1797" spans="1:54" x14ac:dyDescent="0.4">
      <c r="A1797">
        <v>1285964</v>
      </c>
      <c r="D1797" t="s">
        <v>498</v>
      </c>
      <c r="E1797" t="s">
        <v>55</v>
      </c>
      <c r="G1797">
        <v>1</v>
      </c>
      <c r="H1797" t="s">
        <v>56</v>
      </c>
      <c r="I1797" t="s">
        <v>57</v>
      </c>
      <c r="K1797" t="s">
        <v>2135</v>
      </c>
      <c r="L1797" t="s">
        <v>2606</v>
      </c>
      <c r="M1797" t="s">
        <v>60</v>
      </c>
      <c r="P1797" t="s">
        <v>511</v>
      </c>
      <c r="Q1797" t="s">
        <v>1536</v>
      </c>
      <c r="R1797" t="s">
        <v>512</v>
      </c>
      <c r="S1797" t="s">
        <v>123</v>
      </c>
      <c r="T1797">
        <v>259.51</v>
      </c>
      <c r="U1797">
        <v>251.90199999999999</v>
      </c>
      <c r="V1797">
        <f t="shared" si="56"/>
        <v>255.70599999999999</v>
      </c>
      <c r="W1797">
        <f t="shared" si="57"/>
        <v>7.6080000000000041</v>
      </c>
      <c r="X1797">
        <v>44.416668000000001</v>
      </c>
      <c r="Y1797">
        <v>-24</v>
      </c>
      <c r="Z1797" t="s">
        <v>124</v>
      </c>
      <c r="AA1797" t="s">
        <v>1913</v>
      </c>
      <c r="AB1797" t="s">
        <v>1914</v>
      </c>
      <c r="AD1797" t="s">
        <v>1915</v>
      </c>
      <c r="AE1797" t="s">
        <v>1916</v>
      </c>
      <c r="AH1797" t="s">
        <v>72</v>
      </c>
      <c r="AI1797" t="s">
        <v>2595</v>
      </c>
      <c r="AJ1797">
        <v>1926</v>
      </c>
      <c r="AK1797" t="s">
        <v>1918</v>
      </c>
      <c r="AM1797" t="s">
        <v>1919</v>
      </c>
      <c r="AN1797" t="s">
        <v>192</v>
      </c>
      <c r="AO1797" t="s">
        <v>657</v>
      </c>
      <c r="AP1797" t="s">
        <v>359</v>
      </c>
      <c r="AQ1797" t="s">
        <v>1920</v>
      </c>
      <c r="AR1797" t="s">
        <v>80</v>
      </c>
      <c r="AS1797">
        <v>702</v>
      </c>
      <c r="AT1797" t="s">
        <v>81</v>
      </c>
      <c r="AU1797">
        <v>22.51</v>
      </c>
      <c r="AV1797">
        <v>-42.93</v>
      </c>
      <c r="AW1797" t="s">
        <v>82</v>
      </c>
      <c r="AX1797">
        <v>702</v>
      </c>
      <c r="AY1797" t="s">
        <v>81</v>
      </c>
      <c r="AZ1797">
        <v>24.25</v>
      </c>
      <c r="BA1797">
        <v>-52.74</v>
      </c>
      <c r="BB1797" t="s">
        <v>83</v>
      </c>
    </row>
    <row r="1798" spans="1:54" x14ac:dyDescent="0.4">
      <c r="A1798">
        <v>1285964</v>
      </c>
      <c r="D1798" t="s">
        <v>498</v>
      </c>
      <c r="E1798" t="s">
        <v>55</v>
      </c>
      <c r="G1798">
        <v>1</v>
      </c>
      <c r="H1798" t="s">
        <v>56</v>
      </c>
      <c r="I1798" t="s">
        <v>57</v>
      </c>
      <c r="K1798" t="s">
        <v>2135</v>
      </c>
      <c r="L1798" t="s">
        <v>2606</v>
      </c>
      <c r="M1798" t="s">
        <v>60</v>
      </c>
      <c r="P1798" t="s">
        <v>511</v>
      </c>
      <c r="Q1798" t="s">
        <v>1536</v>
      </c>
      <c r="R1798" t="s">
        <v>512</v>
      </c>
      <c r="S1798" t="s">
        <v>123</v>
      </c>
      <c r="T1798">
        <v>259.51</v>
      </c>
      <c r="U1798">
        <v>251.90199999999999</v>
      </c>
      <c r="V1798">
        <f t="shared" si="56"/>
        <v>255.70599999999999</v>
      </c>
      <c r="W1798">
        <f t="shared" si="57"/>
        <v>7.6080000000000041</v>
      </c>
      <c r="X1798">
        <v>44.416668000000001</v>
      </c>
      <c r="Y1798">
        <v>-24</v>
      </c>
      <c r="Z1798" t="s">
        <v>124</v>
      </c>
      <c r="AA1798" t="s">
        <v>1913</v>
      </c>
      <c r="AB1798" t="s">
        <v>1914</v>
      </c>
      <c r="AD1798" t="s">
        <v>1915</v>
      </c>
      <c r="AE1798" t="s">
        <v>1916</v>
      </c>
      <c r="AH1798" t="s">
        <v>72</v>
      </c>
      <c r="AI1798" t="s">
        <v>2595</v>
      </c>
      <c r="AJ1798">
        <v>1926</v>
      </c>
      <c r="AK1798" t="s">
        <v>1918</v>
      </c>
      <c r="AM1798" t="s">
        <v>1919</v>
      </c>
      <c r="AN1798" t="s">
        <v>192</v>
      </c>
      <c r="AO1798" t="s">
        <v>657</v>
      </c>
      <c r="AP1798" t="s">
        <v>359</v>
      </c>
      <c r="AQ1798" t="s">
        <v>1920</v>
      </c>
      <c r="AR1798" t="s">
        <v>80</v>
      </c>
      <c r="AS1798">
        <v>702</v>
      </c>
      <c r="AT1798" t="s">
        <v>81</v>
      </c>
      <c r="AU1798">
        <v>22.51</v>
      </c>
      <c r="AV1798">
        <v>-42.93</v>
      </c>
      <c r="AW1798" t="s">
        <v>82</v>
      </c>
      <c r="AX1798">
        <v>702</v>
      </c>
      <c r="AY1798" t="s">
        <v>81</v>
      </c>
      <c r="AZ1798">
        <v>24.25</v>
      </c>
      <c r="BA1798">
        <v>-52.74</v>
      </c>
      <c r="BB1798" t="s">
        <v>83</v>
      </c>
    </row>
    <row r="1799" spans="1:54" x14ac:dyDescent="0.4">
      <c r="A1799">
        <v>1285964</v>
      </c>
      <c r="D1799" t="s">
        <v>498</v>
      </c>
      <c r="E1799" t="s">
        <v>55</v>
      </c>
      <c r="G1799">
        <v>1</v>
      </c>
      <c r="H1799" t="s">
        <v>56</v>
      </c>
      <c r="I1799" t="s">
        <v>57</v>
      </c>
      <c r="K1799" t="s">
        <v>2135</v>
      </c>
      <c r="L1799" t="s">
        <v>2606</v>
      </c>
      <c r="M1799" t="s">
        <v>60</v>
      </c>
      <c r="P1799" t="s">
        <v>511</v>
      </c>
      <c r="Q1799" t="s">
        <v>1536</v>
      </c>
      <c r="R1799" t="s">
        <v>512</v>
      </c>
      <c r="S1799" t="s">
        <v>123</v>
      </c>
      <c r="T1799">
        <v>259.51</v>
      </c>
      <c r="U1799">
        <v>251.90199999999999</v>
      </c>
      <c r="V1799">
        <f t="shared" si="56"/>
        <v>255.70599999999999</v>
      </c>
      <c r="W1799">
        <f t="shared" si="57"/>
        <v>7.6080000000000041</v>
      </c>
      <c r="X1799">
        <v>44.416668000000001</v>
      </c>
      <c r="Y1799">
        <v>-24</v>
      </c>
      <c r="Z1799" t="s">
        <v>124</v>
      </c>
      <c r="AA1799" t="s">
        <v>1913</v>
      </c>
      <c r="AB1799" t="s">
        <v>1914</v>
      </c>
      <c r="AD1799" t="s">
        <v>1915</v>
      </c>
      <c r="AE1799" t="s">
        <v>1916</v>
      </c>
      <c r="AH1799" t="s">
        <v>72</v>
      </c>
      <c r="AI1799" t="s">
        <v>2595</v>
      </c>
      <c r="AJ1799">
        <v>1926</v>
      </c>
      <c r="AK1799" t="s">
        <v>1918</v>
      </c>
      <c r="AM1799" t="s">
        <v>1919</v>
      </c>
      <c r="AN1799" t="s">
        <v>192</v>
      </c>
      <c r="AO1799" t="s">
        <v>657</v>
      </c>
      <c r="AP1799" t="s">
        <v>359</v>
      </c>
      <c r="AQ1799" t="s">
        <v>1920</v>
      </c>
      <c r="AR1799" t="s">
        <v>80</v>
      </c>
      <c r="AS1799">
        <v>702</v>
      </c>
      <c r="AT1799" t="s">
        <v>81</v>
      </c>
      <c r="AU1799">
        <v>22.51</v>
      </c>
      <c r="AV1799">
        <v>-42.93</v>
      </c>
      <c r="AW1799" t="s">
        <v>82</v>
      </c>
      <c r="AX1799">
        <v>702</v>
      </c>
      <c r="AY1799" t="s">
        <v>81</v>
      </c>
      <c r="AZ1799">
        <v>24.25</v>
      </c>
      <c r="BA1799">
        <v>-52.74</v>
      </c>
      <c r="BB1799" t="s">
        <v>83</v>
      </c>
    </row>
    <row r="1800" spans="1:54" x14ac:dyDescent="0.4">
      <c r="A1800">
        <v>1285964</v>
      </c>
      <c r="D1800" t="s">
        <v>498</v>
      </c>
      <c r="E1800" t="s">
        <v>55</v>
      </c>
      <c r="G1800">
        <v>1</v>
      </c>
      <c r="H1800" t="s">
        <v>56</v>
      </c>
      <c r="I1800" t="s">
        <v>57</v>
      </c>
      <c r="K1800" t="s">
        <v>2135</v>
      </c>
      <c r="L1800" t="s">
        <v>2606</v>
      </c>
      <c r="M1800" t="s">
        <v>60</v>
      </c>
      <c r="P1800" t="s">
        <v>511</v>
      </c>
      <c r="Q1800" t="s">
        <v>1536</v>
      </c>
      <c r="R1800" t="s">
        <v>512</v>
      </c>
      <c r="S1800" t="s">
        <v>123</v>
      </c>
      <c r="T1800">
        <v>259.51</v>
      </c>
      <c r="U1800">
        <v>251.90199999999999</v>
      </c>
      <c r="V1800">
        <f t="shared" si="56"/>
        <v>255.70599999999999</v>
      </c>
      <c r="W1800">
        <f t="shared" si="57"/>
        <v>7.6080000000000041</v>
      </c>
      <c r="X1800">
        <v>44.416668000000001</v>
      </c>
      <c r="Y1800">
        <v>-24</v>
      </c>
      <c r="Z1800" t="s">
        <v>124</v>
      </c>
      <c r="AA1800" t="s">
        <v>1913</v>
      </c>
      <c r="AB1800" t="s">
        <v>1914</v>
      </c>
      <c r="AD1800" t="s">
        <v>1915</v>
      </c>
      <c r="AE1800" t="s">
        <v>1916</v>
      </c>
      <c r="AH1800" t="s">
        <v>72</v>
      </c>
      <c r="AI1800" t="s">
        <v>2595</v>
      </c>
      <c r="AJ1800">
        <v>1926</v>
      </c>
      <c r="AK1800" t="s">
        <v>1918</v>
      </c>
      <c r="AM1800" t="s">
        <v>1919</v>
      </c>
      <c r="AN1800" t="s">
        <v>192</v>
      </c>
      <c r="AO1800" t="s">
        <v>657</v>
      </c>
      <c r="AP1800" t="s">
        <v>359</v>
      </c>
      <c r="AQ1800" t="s">
        <v>1920</v>
      </c>
      <c r="AR1800" t="s">
        <v>80</v>
      </c>
      <c r="AS1800">
        <v>702</v>
      </c>
      <c r="AT1800" t="s">
        <v>81</v>
      </c>
      <c r="AU1800">
        <v>22.51</v>
      </c>
      <c r="AV1800">
        <v>-42.93</v>
      </c>
      <c r="AW1800" t="s">
        <v>82</v>
      </c>
      <c r="AX1800">
        <v>702</v>
      </c>
      <c r="AY1800" t="s">
        <v>81</v>
      </c>
      <c r="AZ1800">
        <v>24.25</v>
      </c>
      <c r="BA1800">
        <v>-52.74</v>
      </c>
      <c r="BB1800" t="s">
        <v>83</v>
      </c>
    </row>
    <row r="1801" spans="1:54" x14ac:dyDescent="0.4">
      <c r="A1801">
        <v>1285964</v>
      </c>
      <c r="D1801" t="s">
        <v>498</v>
      </c>
      <c r="E1801" t="s">
        <v>55</v>
      </c>
      <c r="G1801">
        <v>1</v>
      </c>
      <c r="H1801" t="s">
        <v>56</v>
      </c>
      <c r="I1801" t="s">
        <v>57</v>
      </c>
      <c r="K1801" t="s">
        <v>2135</v>
      </c>
      <c r="L1801" t="s">
        <v>2606</v>
      </c>
      <c r="M1801" t="s">
        <v>60</v>
      </c>
      <c r="P1801" t="s">
        <v>511</v>
      </c>
      <c r="Q1801" t="s">
        <v>1536</v>
      </c>
      <c r="R1801" t="s">
        <v>512</v>
      </c>
      <c r="S1801" t="s">
        <v>123</v>
      </c>
      <c r="T1801">
        <v>259.51</v>
      </c>
      <c r="U1801">
        <v>251.90199999999999</v>
      </c>
      <c r="V1801">
        <f t="shared" si="56"/>
        <v>255.70599999999999</v>
      </c>
      <c r="W1801">
        <f t="shared" si="57"/>
        <v>7.6080000000000041</v>
      </c>
      <c r="X1801">
        <v>44.416668000000001</v>
      </c>
      <c r="Y1801">
        <v>-24</v>
      </c>
      <c r="Z1801" t="s">
        <v>124</v>
      </c>
      <c r="AA1801" t="s">
        <v>1913</v>
      </c>
      <c r="AB1801" t="s">
        <v>1914</v>
      </c>
      <c r="AD1801" t="s">
        <v>1915</v>
      </c>
      <c r="AE1801" t="s">
        <v>1916</v>
      </c>
      <c r="AH1801" t="s">
        <v>72</v>
      </c>
      <c r="AI1801" t="s">
        <v>2595</v>
      </c>
      <c r="AJ1801">
        <v>1926</v>
      </c>
      <c r="AK1801" t="s">
        <v>1918</v>
      </c>
      <c r="AM1801" t="s">
        <v>1919</v>
      </c>
      <c r="AN1801" t="s">
        <v>192</v>
      </c>
      <c r="AO1801" t="s">
        <v>657</v>
      </c>
      <c r="AP1801" t="s">
        <v>359</v>
      </c>
      <c r="AQ1801" t="s">
        <v>1920</v>
      </c>
      <c r="AR1801" t="s">
        <v>80</v>
      </c>
      <c r="AS1801">
        <v>702</v>
      </c>
      <c r="AT1801" t="s">
        <v>81</v>
      </c>
      <c r="AU1801">
        <v>22.51</v>
      </c>
      <c r="AV1801">
        <v>-42.93</v>
      </c>
      <c r="AW1801" t="s">
        <v>82</v>
      </c>
      <c r="AX1801">
        <v>702</v>
      </c>
      <c r="AY1801" t="s">
        <v>81</v>
      </c>
      <c r="AZ1801">
        <v>24.25</v>
      </c>
      <c r="BA1801">
        <v>-52.74</v>
      </c>
      <c r="BB1801" t="s">
        <v>83</v>
      </c>
    </row>
    <row r="1802" spans="1:54" x14ac:dyDescent="0.4">
      <c r="A1802">
        <v>1285964</v>
      </c>
      <c r="D1802" t="s">
        <v>498</v>
      </c>
      <c r="E1802" t="s">
        <v>55</v>
      </c>
      <c r="G1802">
        <v>1</v>
      </c>
      <c r="H1802" t="s">
        <v>56</v>
      </c>
      <c r="I1802" t="s">
        <v>57</v>
      </c>
      <c r="K1802" t="s">
        <v>2135</v>
      </c>
      <c r="L1802" t="s">
        <v>2606</v>
      </c>
      <c r="M1802" t="s">
        <v>60</v>
      </c>
      <c r="P1802" t="s">
        <v>511</v>
      </c>
      <c r="Q1802" t="s">
        <v>1536</v>
      </c>
      <c r="R1802" t="s">
        <v>512</v>
      </c>
      <c r="S1802" t="s">
        <v>123</v>
      </c>
      <c r="T1802">
        <v>259.51</v>
      </c>
      <c r="U1802">
        <v>251.90199999999999</v>
      </c>
      <c r="V1802">
        <f t="shared" si="56"/>
        <v>255.70599999999999</v>
      </c>
      <c r="W1802">
        <f t="shared" si="57"/>
        <v>7.6080000000000041</v>
      </c>
      <c r="X1802">
        <v>44.416668000000001</v>
      </c>
      <c r="Y1802">
        <v>-24</v>
      </c>
      <c r="Z1802" t="s">
        <v>124</v>
      </c>
      <c r="AA1802" t="s">
        <v>1913</v>
      </c>
      <c r="AB1802" t="s">
        <v>1914</v>
      </c>
      <c r="AD1802" t="s">
        <v>1915</v>
      </c>
      <c r="AE1802" t="s">
        <v>1916</v>
      </c>
      <c r="AH1802" t="s">
        <v>72</v>
      </c>
      <c r="AI1802" t="s">
        <v>2595</v>
      </c>
      <c r="AJ1802">
        <v>1926</v>
      </c>
      <c r="AK1802" t="s">
        <v>1918</v>
      </c>
      <c r="AM1802" t="s">
        <v>1919</v>
      </c>
      <c r="AN1802" t="s">
        <v>192</v>
      </c>
      <c r="AO1802" t="s">
        <v>657</v>
      </c>
      <c r="AP1802" t="s">
        <v>359</v>
      </c>
      <c r="AQ1802" t="s">
        <v>1920</v>
      </c>
      <c r="AR1802" t="s">
        <v>80</v>
      </c>
      <c r="AS1802">
        <v>702</v>
      </c>
      <c r="AT1802" t="s">
        <v>81</v>
      </c>
      <c r="AU1802">
        <v>22.51</v>
      </c>
      <c r="AV1802">
        <v>-42.93</v>
      </c>
      <c r="AW1802" t="s">
        <v>82</v>
      </c>
      <c r="AX1802">
        <v>702</v>
      </c>
      <c r="AY1802" t="s">
        <v>81</v>
      </c>
      <c r="AZ1802">
        <v>24.25</v>
      </c>
      <c r="BA1802">
        <v>-52.74</v>
      </c>
      <c r="BB1802" t="s">
        <v>83</v>
      </c>
    </row>
    <row r="1803" spans="1:54" x14ac:dyDescent="0.4">
      <c r="A1803">
        <v>1285964</v>
      </c>
      <c r="D1803" t="s">
        <v>498</v>
      </c>
      <c r="E1803" t="s">
        <v>55</v>
      </c>
      <c r="G1803">
        <v>1</v>
      </c>
      <c r="H1803" t="s">
        <v>56</v>
      </c>
      <c r="I1803" t="s">
        <v>57</v>
      </c>
      <c r="K1803" t="s">
        <v>2135</v>
      </c>
      <c r="L1803" t="s">
        <v>2606</v>
      </c>
      <c r="M1803" t="s">
        <v>60</v>
      </c>
      <c r="P1803" t="s">
        <v>511</v>
      </c>
      <c r="Q1803" t="s">
        <v>1536</v>
      </c>
      <c r="R1803" t="s">
        <v>512</v>
      </c>
      <c r="S1803" t="s">
        <v>123</v>
      </c>
      <c r="T1803">
        <v>259.51</v>
      </c>
      <c r="U1803">
        <v>251.90199999999999</v>
      </c>
      <c r="V1803">
        <f t="shared" si="56"/>
        <v>255.70599999999999</v>
      </c>
      <c r="W1803">
        <f t="shared" si="57"/>
        <v>7.6080000000000041</v>
      </c>
      <c r="X1803">
        <v>44.416668000000001</v>
      </c>
      <c r="Y1803">
        <v>-24</v>
      </c>
      <c r="Z1803" t="s">
        <v>124</v>
      </c>
      <c r="AA1803" t="s">
        <v>1913</v>
      </c>
      <c r="AB1803" t="s">
        <v>1914</v>
      </c>
      <c r="AD1803" t="s">
        <v>1915</v>
      </c>
      <c r="AE1803" t="s">
        <v>1916</v>
      </c>
      <c r="AH1803" t="s">
        <v>72</v>
      </c>
      <c r="AI1803" t="s">
        <v>2595</v>
      </c>
      <c r="AJ1803">
        <v>1926</v>
      </c>
      <c r="AK1803" t="s">
        <v>1918</v>
      </c>
      <c r="AM1803" t="s">
        <v>1919</v>
      </c>
      <c r="AN1803" t="s">
        <v>192</v>
      </c>
      <c r="AO1803" t="s">
        <v>657</v>
      </c>
      <c r="AP1803" t="s">
        <v>359</v>
      </c>
      <c r="AQ1803" t="s">
        <v>1920</v>
      </c>
      <c r="AR1803" t="s">
        <v>80</v>
      </c>
      <c r="AS1803">
        <v>702</v>
      </c>
      <c r="AT1803" t="s">
        <v>81</v>
      </c>
      <c r="AU1803">
        <v>22.51</v>
      </c>
      <c r="AV1803">
        <v>-42.93</v>
      </c>
      <c r="AW1803" t="s">
        <v>82</v>
      </c>
      <c r="AX1803">
        <v>702</v>
      </c>
      <c r="AY1803" t="s">
        <v>81</v>
      </c>
      <c r="AZ1803">
        <v>24.25</v>
      </c>
      <c r="BA1803">
        <v>-52.74</v>
      </c>
      <c r="BB1803" t="s">
        <v>83</v>
      </c>
    </row>
    <row r="1804" spans="1:54" x14ac:dyDescent="0.4">
      <c r="A1804">
        <v>1285964</v>
      </c>
      <c r="D1804" t="s">
        <v>498</v>
      </c>
      <c r="E1804" t="s">
        <v>55</v>
      </c>
      <c r="G1804">
        <v>1</v>
      </c>
      <c r="H1804" t="s">
        <v>56</v>
      </c>
      <c r="I1804" t="s">
        <v>57</v>
      </c>
      <c r="K1804" t="s">
        <v>2135</v>
      </c>
      <c r="L1804" t="s">
        <v>2606</v>
      </c>
      <c r="M1804" t="s">
        <v>60</v>
      </c>
      <c r="P1804" t="s">
        <v>511</v>
      </c>
      <c r="Q1804" t="s">
        <v>1536</v>
      </c>
      <c r="R1804" t="s">
        <v>512</v>
      </c>
      <c r="S1804" t="s">
        <v>123</v>
      </c>
      <c r="T1804">
        <v>259.51</v>
      </c>
      <c r="U1804">
        <v>251.90199999999999</v>
      </c>
      <c r="V1804">
        <f t="shared" si="56"/>
        <v>255.70599999999999</v>
      </c>
      <c r="W1804">
        <f t="shared" si="57"/>
        <v>7.6080000000000041</v>
      </c>
      <c r="X1804">
        <v>44.416668000000001</v>
      </c>
      <c r="Y1804">
        <v>-24</v>
      </c>
      <c r="Z1804" t="s">
        <v>124</v>
      </c>
      <c r="AA1804" t="s">
        <v>1913</v>
      </c>
      <c r="AB1804" t="s">
        <v>1914</v>
      </c>
      <c r="AD1804" t="s">
        <v>1915</v>
      </c>
      <c r="AE1804" t="s">
        <v>1916</v>
      </c>
      <c r="AH1804" t="s">
        <v>72</v>
      </c>
      <c r="AI1804" t="s">
        <v>2595</v>
      </c>
      <c r="AJ1804">
        <v>1926</v>
      </c>
      <c r="AK1804" t="s">
        <v>1918</v>
      </c>
      <c r="AM1804" t="s">
        <v>1919</v>
      </c>
      <c r="AN1804" t="s">
        <v>192</v>
      </c>
      <c r="AO1804" t="s">
        <v>657</v>
      </c>
      <c r="AP1804" t="s">
        <v>359</v>
      </c>
      <c r="AQ1804" t="s">
        <v>1920</v>
      </c>
      <c r="AR1804" t="s">
        <v>80</v>
      </c>
      <c r="AS1804">
        <v>702</v>
      </c>
      <c r="AT1804" t="s">
        <v>81</v>
      </c>
      <c r="AU1804">
        <v>22.51</v>
      </c>
      <c r="AV1804">
        <v>-42.93</v>
      </c>
      <c r="AW1804" t="s">
        <v>82</v>
      </c>
      <c r="AX1804">
        <v>702</v>
      </c>
      <c r="AY1804" t="s">
        <v>81</v>
      </c>
      <c r="AZ1804">
        <v>24.25</v>
      </c>
      <c r="BA1804">
        <v>-52.74</v>
      </c>
      <c r="BB1804" t="s">
        <v>83</v>
      </c>
    </row>
    <row r="1805" spans="1:54" x14ac:dyDescent="0.4">
      <c r="A1805">
        <v>1285964</v>
      </c>
      <c r="D1805" t="s">
        <v>498</v>
      </c>
      <c r="E1805" t="s">
        <v>55</v>
      </c>
      <c r="G1805">
        <v>1</v>
      </c>
      <c r="H1805" t="s">
        <v>56</v>
      </c>
      <c r="I1805" t="s">
        <v>57</v>
      </c>
      <c r="K1805" t="s">
        <v>2135</v>
      </c>
      <c r="L1805" t="s">
        <v>2606</v>
      </c>
      <c r="M1805" t="s">
        <v>60</v>
      </c>
      <c r="P1805" t="s">
        <v>511</v>
      </c>
      <c r="Q1805" t="s">
        <v>1536</v>
      </c>
      <c r="R1805" t="s">
        <v>512</v>
      </c>
      <c r="S1805" t="s">
        <v>123</v>
      </c>
      <c r="T1805">
        <v>259.51</v>
      </c>
      <c r="U1805">
        <v>251.90199999999999</v>
      </c>
      <c r="V1805">
        <f t="shared" si="56"/>
        <v>255.70599999999999</v>
      </c>
      <c r="W1805">
        <f t="shared" si="57"/>
        <v>7.6080000000000041</v>
      </c>
      <c r="X1805">
        <v>44.416668000000001</v>
      </c>
      <c r="Y1805">
        <v>-24</v>
      </c>
      <c r="Z1805" t="s">
        <v>124</v>
      </c>
      <c r="AA1805" t="s">
        <v>1913</v>
      </c>
      <c r="AB1805" t="s">
        <v>1914</v>
      </c>
      <c r="AD1805" t="s">
        <v>1915</v>
      </c>
      <c r="AE1805" t="s">
        <v>1916</v>
      </c>
      <c r="AH1805" t="s">
        <v>72</v>
      </c>
      <c r="AI1805" t="s">
        <v>2595</v>
      </c>
      <c r="AJ1805">
        <v>1926</v>
      </c>
      <c r="AK1805" t="s">
        <v>1918</v>
      </c>
      <c r="AM1805" t="s">
        <v>1919</v>
      </c>
      <c r="AN1805" t="s">
        <v>192</v>
      </c>
      <c r="AO1805" t="s">
        <v>657</v>
      </c>
      <c r="AP1805" t="s">
        <v>359</v>
      </c>
      <c r="AQ1805" t="s">
        <v>1920</v>
      </c>
      <c r="AR1805" t="s">
        <v>80</v>
      </c>
      <c r="AS1805">
        <v>702</v>
      </c>
      <c r="AT1805" t="s">
        <v>81</v>
      </c>
      <c r="AU1805">
        <v>22.51</v>
      </c>
      <c r="AV1805">
        <v>-42.93</v>
      </c>
      <c r="AW1805" t="s">
        <v>82</v>
      </c>
      <c r="AX1805">
        <v>702</v>
      </c>
      <c r="AY1805" t="s">
        <v>81</v>
      </c>
      <c r="AZ1805">
        <v>24.25</v>
      </c>
      <c r="BA1805">
        <v>-52.74</v>
      </c>
      <c r="BB1805" t="s">
        <v>83</v>
      </c>
    </row>
    <row r="1806" spans="1:54" x14ac:dyDescent="0.4">
      <c r="A1806">
        <v>1285964</v>
      </c>
      <c r="D1806" t="s">
        <v>498</v>
      </c>
      <c r="E1806" t="s">
        <v>55</v>
      </c>
      <c r="G1806">
        <v>1</v>
      </c>
      <c r="H1806" t="s">
        <v>56</v>
      </c>
      <c r="I1806" t="s">
        <v>57</v>
      </c>
      <c r="K1806" t="s">
        <v>2135</v>
      </c>
      <c r="L1806" t="s">
        <v>2606</v>
      </c>
      <c r="M1806" t="s">
        <v>60</v>
      </c>
      <c r="P1806" t="s">
        <v>511</v>
      </c>
      <c r="Q1806" t="s">
        <v>1536</v>
      </c>
      <c r="R1806" t="s">
        <v>512</v>
      </c>
      <c r="S1806" t="s">
        <v>123</v>
      </c>
      <c r="T1806">
        <v>259.51</v>
      </c>
      <c r="U1806">
        <v>251.90199999999999</v>
      </c>
      <c r="V1806">
        <f t="shared" si="56"/>
        <v>255.70599999999999</v>
      </c>
      <c r="W1806">
        <f t="shared" si="57"/>
        <v>7.6080000000000041</v>
      </c>
      <c r="X1806">
        <v>44.416668000000001</v>
      </c>
      <c r="Y1806">
        <v>-24</v>
      </c>
      <c r="Z1806" t="s">
        <v>124</v>
      </c>
      <c r="AA1806" t="s">
        <v>1913</v>
      </c>
      <c r="AB1806" t="s">
        <v>1914</v>
      </c>
      <c r="AD1806" t="s">
        <v>1915</v>
      </c>
      <c r="AE1806" t="s">
        <v>1916</v>
      </c>
      <c r="AH1806" t="s">
        <v>72</v>
      </c>
      <c r="AI1806" t="s">
        <v>2595</v>
      </c>
      <c r="AJ1806">
        <v>1926</v>
      </c>
      <c r="AK1806" t="s">
        <v>1918</v>
      </c>
      <c r="AM1806" t="s">
        <v>1919</v>
      </c>
      <c r="AN1806" t="s">
        <v>192</v>
      </c>
      <c r="AO1806" t="s">
        <v>657</v>
      </c>
      <c r="AP1806" t="s">
        <v>359</v>
      </c>
      <c r="AQ1806" t="s">
        <v>1920</v>
      </c>
      <c r="AR1806" t="s">
        <v>80</v>
      </c>
      <c r="AS1806">
        <v>702</v>
      </c>
      <c r="AT1806" t="s">
        <v>81</v>
      </c>
      <c r="AU1806">
        <v>22.51</v>
      </c>
      <c r="AV1806">
        <v>-42.93</v>
      </c>
      <c r="AW1806" t="s">
        <v>82</v>
      </c>
      <c r="AX1806">
        <v>702</v>
      </c>
      <c r="AY1806" t="s">
        <v>81</v>
      </c>
      <c r="AZ1806">
        <v>24.25</v>
      </c>
      <c r="BA1806">
        <v>-52.74</v>
      </c>
      <c r="BB1806" t="s">
        <v>83</v>
      </c>
    </row>
    <row r="1807" spans="1:54" x14ac:dyDescent="0.4">
      <c r="A1807">
        <v>1285964</v>
      </c>
      <c r="D1807" t="s">
        <v>498</v>
      </c>
      <c r="E1807" t="s">
        <v>55</v>
      </c>
      <c r="G1807">
        <v>1</v>
      </c>
      <c r="H1807" t="s">
        <v>56</v>
      </c>
      <c r="I1807" t="s">
        <v>57</v>
      </c>
      <c r="K1807" t="s">
        <v>2135</v>
      </c>
      <c r="L1807" t="s">
        <v>2606</v>
      </c>
      <c r="M1807" t="s">
        <v>60</v>
      </c>
      <c r="P1807" t="s">
        <v>511</v>
      </c>
      <c r="Q1807" t="s">
        <v>1536</v>
      </c>
      <c r="R1807" t="s">
        <v>512</v>
      </c>
      <c r="S1807" t="s">
        <v>123</v>
      </c>
      <c r="T1807">
        <v>259.51</v>
      </c>
      <c r="U1807">
        <v>251.90199999999999</v>
      </c>
      <c r="V1807">
        <f t="shared" si="56"/>
        <v>255.70599999999999</v>
      </c>
      <c r="W1807">
        <f t="shared" si="57"/>
        <v>7.6080000000000041</v>
      </c>
      <c r="X1807">
        <v>44.416668000000001</v>
      </c>
      <c r="Y1807">
        <v>-24</v>
      </c>
      <c r="Z1807" t="s">
        <v>124</v>
      </c>
      <c r="AA1807" t="s">
        <v>1913</v>
      </c>
      <c r="AB1807" t="s">
        <v>1914</v>
      </c>
      <c r="AD1807" t="s">
        <v>1915</v>
      </c>
      <c r="AE1807" t="s">
        <v>1916</v>
      </c>
      <c r="AH1807" t="s">
        <v>72</v>
      </c>
      <c r="AI1807" t="s">
        <v>2595</v>
      </c>
      <c r="AJ1807">
        <v>1926</v>
      </c>
      <c r="AK1807" t="s">
        <v>1918</v>
      </c>
      <c r="AM1807" t="s">
        <v>1919</v>
      </c>
      <c r="AN1807" t="s">
        <v>192</v>
      </c>
      <c r="AO1807" t="s">
        <v>657</v>
      </c>
      <c r="AP1807" t="s">
        <v>359</v>
      </c>
      <c r="AQ1807" t="s">
        <v>1920</v>
      </c>
      <c r="AR1807" t="s">
        <v>80</v>
      </c>
      <c r="AS1807">
        <v>702</v>
      </c>
      <c r="AT1807" t="s">
        <v>81</v>
      </c>
      <c r="AU1807">
        <v>22.51</v>
      </c>
      <c r="AV1807">
        <v>-42.93</v>
      </c>
      <c r="AW1807" t="s">
        <v>82</v>
      </c>
      <c r="AX1807">
        <v>702</v>
      </c>
      <c r="AY1807" t="s">
        <v>81</v>
      </c>
      <c r="AZ1807">
        <v>24.25</v>
      </c>
      <c r="BA1807">
        <v>-52.74</v>
      </c>
      <c r="BB1807" t="s">
        <v>83</v>
      </c>
    </row>
    <row r="1808" spans="1:54" x14ac:dyDescent="0.4">
      <c r="A1808">
        <v>1285964</v>
      </c>
      <c r="D1808" t="s">
        <v>498</v>
      </c>
      <c r="E1808" t="s">
        <v>55</v>
      </c>
      <c r="G1808">
        <v>1</v>
      </c>
      <c r="H1808" t="s">
        <v>56</v>
      </c>
      <c r="I1808" t="s">
        <v>57</v>
      </c>
      <c r="K1808" t="s">
        <v>2135</v>
      </c>
      <c r="L1808" t="s">
        <v>2606</v>
      </c>
      <c r="M1808" t="s">
        <v>60</v>
      </c>
      <c r="P1808" t="s">
        <v>511</v>
      </c>
      <c r="Q1808" t="s">
        <v>1536</v>
      </c>
      <c r="R1808" t="s">
        <v>512</v>
      </c>
      <c r="S1808" t="s">
        <v>123</v>
      </c>
      <c r="T1808">
        <v>259.51</v>
      </c>
      <c r="U1808">
        <v>251.90199999999999</v>
      </c>
      <c r="V1808">
        <f t="shared" si="56"/>
        <v>255.70599999999999</v>
      </c>
      <c r="W1808">
        <f t="shared" si="57"/>
        <v>7.6080000000000041</v>
      </c>
      <c r="X1808">
        <v>44.416668000000001</v>
      </c>
      <c r="Y1808">
        <v>-24</v>
      </c>
      <c r="Z1808" t="s">
        <v>124</v>
      </c>
      <c r="AA1808" t="s">
        <v>1913</v>
      </c>
      <c r="AB1808" t="s">
        <v>1914</v>
      </c>
      <c r="AD1808" t="s">
        <v>1915</v>
      </c>
      <c r="AE1808" t="s">
        <v>1916</v>
      </c>
      <c r="AH1808" t="s">
        <v>72</v>
      </c>
      <c r="AI1808" t="s">
        <v>2595</v>
      </c>
      <c r="AJ1808">
        <v>1926</v>
      </c>
      <c r="AK1808" t="s">
        <v>1918</v>
      </c>
      <c r="AM1808" t="s">
        <v>1919</v>
      </c>
      <c r="AN1808" t="s">
        <v>192</v>
      </c>
      <c r="AO1808" t="s">
        <v>657</v>
      </c>
      <c r="AP1808" t="s">
        <v>359</v>
      </c>
      <c r="AQ1808" t="s">
        <v>1920</v>
      </c>
      <c r="AR1808" t="s">
        <v>80</v>
      </c>
      <c r="AS1808">
        <v>702</v>
      </c>
      <c r="AT1808" t="s">
        <v>81</v>
      </c>
      <c r="AU1808">
        <v>22.51</v>
      </c>
      <c r="AV1808">
        <v>-42.93</v>
      </c>
      <c r="AW1808" t="s">
        <v>82</v>
      </c>
      <c r="AX1808">
        <v>702</v>
      </c>
      <c r="AY1808" t="s">
        <v>81</v>
      </c>
      <c r="AZ1808">
        <v>24.25</v>
      </c>
      <c r="BA1808">
        <v>-52.74</v>
      </c>
      <c r="BB1808" t="s">
        <v>83</v>
      </c>
    </row>
    <row r="1809" spans="1:54" x14ac:dyDescent="0.4">
      <c r="A1809">
        <v>1285964</v>
      </c>
      <c r="D1809" t="s">
        <v>498</v>
      </c>
      <c r="E1809" t="s">
        <v>55</v>
      </c>
      <c r="G1809">
        <v>1</v>
      </c>
      <c r="H1809" t="s">
        <v>56</v>
      </c>
      <c r="I1809" t="s">
        <v>57</v>
      </c>
      <c r="K1809" t="s">
        <v>2135</v>
      </c>
      <c r="L1809" t="s">
        <v>2606</v>
      </c>
      <c r="M1809" t="s">
        <v>60</v>
      </c>
      <c r="P1809" t="s">
        <v>511</v>
      </c>
      <c r="Q1809" t="s">
        <v>1536</v>
      </c>
      <c r="R1809" t="s">
        <v>512</v>
      </c>
      <c r="S1809" t="s">
        <v>123</v>
      </c>
      <c r="T1809">
        <v>259.51</v>
      </c>
      <c r="U1809">
        <v>251.90199999999999</v>
      </c>
      <c r="V1809">
        <f t="shared" si="56"/>
        <v>255.70599999999999</v>
      </c>
      <c r="W1809">
        <f t="shared" si="57"/>
        <v>7.6080000000000041</v>
      </c>
      <c r="X1809">
        <v>44.416668000000001</v>
      </c>
      <c r="Y1809">
        <v>-24</v>
      </c>
      <c r="Z1809" t="s">
        <v>124</v>
      </c>
      <c r="AA1809" t="s">
        <v>1913</v>
      </c>
      <c r="AB1809" t="s">
        <v>1914</v>
      </c>
      <c r="AD1809" t="s">
        <v>1915</v>
      </c>
      <c r="AE1809" t="s">
        <v>1916</v>
      </c>
      <c r="AH1809" t="s">
        <v>72</v>
      </c>
      <c r="AI1809" t="s">
        <v>2595</v>
      </c>
      <c r="AJ1809">
        <v>1926</v>
      </c>
      <c r="AK1809" t="s">
        <v>1918</v>
      </c>
      <c r="AM1809" t="s">
        <v>1919</v>
      </c>
      <c r="AN1809" t="s">
        <v>192</v>
      </c>
      <c r="AO1809" t="s">
        <v>657</v>
      </c>
      <c r="AP1809" t="s">
        <v>359</v>
      </c>
      <c r="AQ1809" t="s">
        <v>1920</v>
      </c>
      <c r="AR1809" t="s">
        <v>80</v>
      </c>
      <c r="AS1809">
        <v>702</v>
      </c>
      <c r="AT1809" t="s">
        <v>81</v>
      </c>
      <c r="AU1809">
        <v>22.51</v>
      </c>
      <c r="AV1809">
        <v>-42.93</v>
      </c>
      <c r="AW1809" t="s">
        <v>82</v>
      </c>
      <c r="AX1809">
        <v>702</v>
      </c>
      <c r="AY1809" t="s">
        <v>81</v>
      </c>
      <c r="AZ1809">
        <v>24.25</v>
      </c>
      <c r="BA1809">
        <v>-52.74</v>
      </c>
      <c r="BB1809" t="s">
        <v>83</v>
      </c>
    </row>
    <row r="1810" spans="1:54" x14ac:dyDescent="0.4">
      <c r="A1810">
        <v>1285964</v>
      </c>
      <c r="D1810" t="s">
        <v>498</v>
      </c>
      <c r="E1810" t="s">
        <v>55</v>
      </c>
      <c r="G1810">
        <v>1</v>
      </c>
      <c r="H1810" t="s">
        <v>56</v>
      </c>
      <c r="I1810" t="s">
        <v>57</v>
      </c>
      <c r="K1810" t="s">
        <v>2135</v>
      </c>
      <c r="L1810" t="s">
        <v>2606</v>
      </c>
      <c r="M1810" t="s">
        <v>60</v>
      </c>
      <c r="P1810" t="s">
        <v>511</v>
      </c>
      <c r="Q1810" t="s">
        <v>1536</v>
      </c>
      <c r="R1810" t="s">
        <v>512</v>
      </c>
      <c r="S1810" t="s">
        <v>123</v>
      </c>
      <c r="T1810">
        <v>259.51</v>
      </c>
      <c r="U1810">
        <v>251.90199999999999</v>
      </c>
      <c r="V1810">
        <f t="shared" si="56"/>
        <v>255.70599999999999</v>
      </c>
      <c r="W1810">
        <f t="shared" si="57"/>
        <v>7.6080000000000041</v>
      </c>
      <c r="X1810">
        <v>44.416668000000001</v>
      </c>
      <c r="Y1810">
        <v>-24</v>
      </c>
      <c r="Z1810" t="s">
        <v>124</v>
      </c>
      <c r="AA1810" t="s">
        <v>1913</v>
      </c>
      <c r="AB1810" t="s">
        <v>1914</v>
      </c>
      <c r="AD1810" t="s">
        <v>1915</v>
      </c>
      <c r="AE1810" t="s">
        <v>1916</v>
      </c>
      <c r="AH1810" t="s">
        <v>72</v>
      </c>
      <c r="AI1810" t="s">
        <v>2595</v>
      </c>
      <c r="AJ1810">
        <v>1926</v>
      </c>
      <c r="AK1810" t="s">
        <v>1918</v>
      </c>
      <c r="AM1810" t="s">
        <v>1919</v>
      </c>
      <c r="AN1810" t="s">
        <v>192</v>
      </c>
      <c r="AO1810" t="s">
        <v>657</v>
      </c>
      <c r="AP1810" t="s">
        <v>359</v>
      </c>
      <c r="AQ1810" t="s">
        <v>1920</v>
      </c>
      <c r="AR1810" t="s">
        <v>80</v>
      </c>
      <c r="AS1810">
        <v>702</v>
      </c>
      <c r="AT1810" t="s">
        <v>81</v>
      </c>
      <c r="AU1810">
        <v>22.51</v>
      </c>
      <c r="AV1810">
        <v>-42.93</v>
      </c>
      <c r="AW1810" t="s">
        <v>82</v>
      </c>
      <c r="AX1810">
        <v>702</v>
      </c>
      <c r="AY1810" t="s">
        <v>81</v>
      </c>
      <c r="AZ1810">
        <v>24.25</v>
      </c>
      <c r="BA1810">
        <v>-52.74</v>
      </c>
      <c r="BB1810" t="s">
        <v>83</v>
      </c>
    </row>
    <row r="1811" spans="1:54" x14ac:dyDescent="0.4">
      <c r="A1811">
        <v>1285964</v>
      </c>
      <c r="D1811" t="s">
        <v>498</v>
      </c>
      <c r="E1811" t="s">
        <v>55</v>
      </c>
      <c r="G1811">
        <v>1</v>
      </c>
      <c r="H1811" t="s">
        <v>56</v>
      </c>
      <c r="I1811" t="s">
        <v>57</v>
      </c>
      <c r="K1811" t="s">
        <v>2135</v>
      </c>
      <c r="L1811" t="s">
        <v>2606</v>
      </c>
      <c r="M1811" t="s">
        <v>60</v>
      </c>
      <c r="P1811" t="s">
        <v>511</v>
      </c>
      <c r="Q1811" t="s">
        <v>1536</v>
      </c>
      <c r="R1811" t="s">
        <v>512</v>
      </c>
      <c r="S1811" t="s">
        <v>123</v>
      </c>
      <c r="T1811">
        <v>259.51</v>
      </c>
      <c r="U1811">
        <v>251.90199999999999</v>
      </c>
      <c r="V1811">
        <f t="shared" si="56"/>
        <v>255.70599999999999</v>
      </c>
      <c r="W1811">
        <f t="shared" si="57"/>
        <v>7.6080000000000041</v>
      </c>
      <c r="X1811">
        <v>44.416668000000001</v>
      </c>
      <c r="Y1811">
        <v>-24</v>
      </c>
      <c r="Z1811" t="s">
        <v>124</v>
      </c>
      <c r="AA1811" t="s">
        <v>1913</v>
      </c>
      <c r="AB1811" t="s">
        <v>1914</v>
      </c>
      <c r="AD1811" t="s">
        <v>1915</v>
      </c>
      <c r="AE1811" t="s">
        <v>1916</v>
      </c>
      <c r="AH1811" t="s">
        <v>72</v>
      </c>
      <c r="AI1811" t="s">
        <v>2595</v>
      </c>
      <c r="AJ1811">
        <v>1926</v>
      </c>
      <c r="AK1811" t="s">
        <v>1918</v>
      </c>
      <c r="AM1811" t="s">
        <v>1919</v>
      </c>
      <c r="AN1811" t="s">
        <v>192</v>
      </c>
      <c r="AO1811" t="s">
        <v>657</v>
      </c>
      <c r="AP1811" t="s">
        <v>359</v>
      </c>
      <c r="AQ1811" t="s">
        <v>1920</v>
      </c>
      <c r="AR1811" t="s">
        <v>80</v>
      </c>
      <c r="AS1811">
        <v>702</v>
      </c>
      <c r="AT1811" t="s">
        <v>81</v>
      </c>
      <c r="AU1811">
        <v>22.51</v>
      </c>
      <c r="AV1811">
        <v>-42.93</v>
      </c>
      <c r="AW1811" t="s">
        <v>82</v>
      </c>
      <c r="AX1811">
        <v>702</v>
      </c>
      <c r="AY1811" t="s">
        <v>81</v>
      </c>
      <c r="AZ1811">
        <v>24.25</v>
      </c>
      <c r="BA1811">
        <v>-52.74</v>
      </c>
      <c r="BB1811" t="s">
        <v>83</v>
      </c>
    </row>
    <row r="1812" spans="1:54" x14ac:dyDescent="0.4">
      <c r="A1812">
        <v>1285964</v>
      </c>
      <c r="D1812" t="s">
        <v>498</v>
      </c>
      <c r="E1812" t="s">
        <v>55</v>
      </c>
      <c r="G1812">
        <v>1</v>
      </c>
      <c r="H1812" t="s">
        <v>56</v>
      </c>
      <c r="I1812" t="s">
        <v>57</v>
      </c>
      <c r="K1812" t="s">
        <v>2135</v>
      </c>
      <c r="L1812" t="s">
        <v>2606</v>
      </c>
      <c r="M1812" t="s">
        <v>60</v>
      </c>
      <c r="P1812" t="s">
        <v>511</v>
      </c>
      <c r="Q1812" t="s">
        <v>1536</v>
      </c>
      <c r="R1812" t="s">
        <v>512</v>
      </c>
      <c r="S1812" t="s">
        <v>123</v>
      </c>
      <c r="T1812">
        <v>259.51</v>
      </c>
      <c r="U1812">
        <v>251.90199999999999</v>
      </c>
      <c r="V1812">
        <f t="shared" si="56"/>
        <v>255.70599999999999</v>
      </c>
      <c r="W1812">
        <f t="shared" si="57"/>
        <v>7.6080000000000041</v>
      </c>
      <c r="X1812">
        <v>44.416668000000001</v>
      </c>
      <c r="Y1812">
        <v>-24</v>
      </c>
      <c r="Z1812" t="s">
        <v>124</v>
      </c>
      <c r="AA1812" t="s">
        <v>1913</v>
      </c>
      <c r="AB1812" t="s">
        <v>1914</v>
      </c>
      <c r="AD1812" t="s">
        <v>1915</v>
      </c>
      <c r="AE1812" t="s">
        <v>1916</v>
      </c>
      <c r="AH1812" t="s">
        <v>72</v>
      </c>
      <c r="AI1812" t="s">
        <v>2595</v>
      </c>
      <c r="AJ1812">
        <v>1926</v>
      </c>
      <c r="AK1812" t="s">
        <v>1918</v>
      </c>
      <c r="AM1812" t="s">
        <v>1919</v>
      </c>
      <c r="AN1812" t="s">
        <v>192</v>
      </c>
      <c r="AO1812" t="s">
        <v>657</v>
      </c>
      <c r="AP1812" t="s">
        <v>359</v>
      </c>
      <c r="AQ1812" t="s">
        <v>1920</v>
      </c>
      <c r="AR1812" t="s">
        <v>80</v>
      </c>
      <c r="AS1812">
        <v>702</v>
      </c>
      <c r="AT1812" t="s">
        <v>81</v>
      </c>
      <c r="AU1812">
        <v>22.51</v>
      </c>
      <c r="AV1812">
        <v>-42.93</v>
      </c>
      <c r="AW1812" t="s">
        <v>82</v>
      </c>
      <c r="AX1812">
        <v>702</v>
      </c>
      <c r="AY1812" t="s">
        <v>81</v>
      </c>
      <c r="AZ1812">
        <v>24.25</v>
      </c>
      <c r="BA1812">
        <v>-52.74</v>
      </c>
      <c r="BB1812" t="s">
        <v>83</v>
      </c>
    </row>
    <row r="1813" spans="1:54" x14ac:dyDescent="0.4">
      <c r="A1813">
        <v>1285964</v>
      </c>
      <c r="D1813" t="s">
        <v>498</v>
      </c>
      <c r="E1813" t="s">
        <v>55</v>
      </c>
      <c r="G1813">
        <v>1</v>
      </c>
      <c r="H1813" t="s">
        <v>56</v>
      </c>
      <c r="I1813" t="s">
        <v>57</v>
      </c>
      <c r="K1813" t="s">
        <v>2135</v>
      </c>
      <c r="L1813" t="s">
        <v>2606</v>
      </c>
      <c r="M1813" t="s">
        <v>60</v>
      </c>
      <c r="P1813" t="s">
        <v>511</v>
      </c>
      <c r="Q1813" t="s">
        <v>1536</v>
      </c>
      <c r="R1813" t="s">
        <v>512</v>
      </c>
      <c r="S1813" t="s">
        <v>123</v>
      </c>
      <c r="T1813">
        <v>259.51</v>
      </c>
      <c r="U1813">
        <v>251.90199999999999</v>
      </c>
      <c r="V1813">
        <f t="shared" si="56"/>
        <v>255.70599999999999</v>
      </c>
      <c r="W1813">
        <f t="shared" si="57"/>
        <v>7.6080000000000041</v>
      </c>
      <c r="X1813">
        <v>44.416668000000001</v>
      </c>
      <c r="Y1813">
        <v>-24</v>
      </c>
      <c r="Z1813" t="s">
        <v>124</v>
      </c>
      <c r="AA1813" t="s">
        <v>1913</v>
      </c>
      <c r="AB1813" t="s">
        <v>1914</v>
      </c>
      <c r="AD1813" t="s">
        <v>1915</v>
      </c>
      <c r="AE1813" t="s">
        <v>1916</v>
      </c>
      <c r="AH1813" t="s">
        <v>72</v>
      </c>
      <c r="AI1813" t="s">
        <v>2595</v>
      </c>
      <c r="AJ1813">
        <v>1926</v>
      </c>
      <c r="AK1813" t="s">
        <v>1918</v>
      </c>
      <c r="AM1813" t="s">
        <v>1919</v>
      </c>
      <c r="AN1813" t="s">
        <v>192</v>
      </c>
      <c r="AO1813" t="s">
        <v>657</v>
      </c>
      <c r="AP1813" t="s">
        <v>359</v>
      </c>
      <c r="AQ1813" t="s">
        <v>1920</v>
      </c>
      <c r="AR1813" t="s">
        <v>80</v>
      </c>
      <c r="AS1813">
        <v>702</v>
      </c>
      <c r="AT1813" t="s">
        <v>81</v>
      </c>
      <c r="AU1813">
        <v>22.51</v>
      </c>
      <c r="AV1813">
        <v>-42.93</v>
      </c>
      <c r="AW1813" t="s">
        <v>82</v>
      </c>
      <c r="AX1813">
        <v>702</v>
      </c>
      <c r="AY1813" t="s">
        <v>81</v>
      </c>
      <c r="AZ1813">
        <v>24.25</v>
      </c>
      <c r="BA1813">
        <v>-52.74</v>
      </c>
      <c r="BB1813" t="s">
        <v>83</v>
      </c>
    </row>
    <row r="1814" spans="1:54" x14ac:dyDescent="0.4">
      <c r="A1814">
        <v>1285964</v>
      </c>
      <c r="D1814" t="s">
        <v>498</v>
      </c>
      <c r="E1814" t="s">
        <v>55</v>
      </c>
      <c r="G1814">
        <v>1</v>
      </c>
      <c r="H1814" t="s">
        <v>56</v>
      </c>
      <c r="I1814" t="s">
        <v>57</v>
      </c>
      <c r="K1814" t="s">
        <v>2135</v>
      </c>
      <c r="L1814" t="s">
        <v>2606</v>
      </c>
      <c r="M1814" t="s">
        <v>60</v>
      </c>
      <c r="P1814" t="s">
        <v>511</v>
      </c>
      <c r="Q1814" t="s">
        <v>1536</v>
      </c>
      <c r="R1814" t="s">
        <v>512</v>
      </c>
      <c r="S1814" t="s">
        <v>123</v>
      </c>
      <c r="T1814">
        <v>259.51</v>
      </c>
      <c r="U1814">
        <v>251.90199999999999</v>
      </c>
      <c r="V1814">
        <f t="shared" si="56"/>
        <v>255.70599999999999</v>
      </c>
      <c r="W1814">
        <f t="shared" si="57"/>
        <v>7.6080000000000041</v>
      </c>
      <c r="X1814">
        <v>44.416668000000001</v>
      </c>
      <c r="Y1814">
        <v>-24</v>
      </c>
      <c r="Z1814" t="s">
        <v>124</v>
      </c>
      <c r="AA1814" t="s">
        <v>1913</v>
      </c>
      <c r="AB1814" t="s">
        <v>1914</v>
      </c>
      <c r="AD1814" t="s">
        <v>1915</v>
      </c>
      <c r="AE1814" t="s">
        <v>1916</v>
      </c>
      <c r="AH1814" t="s">
        <v>72</v>
      </c>
      <c r="AI1814" t="s">
        <v>2595</v>
      </c>
      <c r="AJ1814">
        <v>1926</v>
      </c>
      <c r="AK1814" t="s">
        <v>1918</v>
      </c>
      <c r="AM1814" t="s">
        <v>1919</v>
      </c>
      <c r="AN1814" t="s">
        <v>192</v>
      </c>
      <c r="AO1814" t="s">
        <v>657</v>
      </c>
      <c r="AP1814" t="s">
        <v>359</v>
      </c>
      <c r="AQ1814" t="s">
        <v>1920</v>
      </c>
      <c r="AR1814" t="s">
        <v>80</v>
      </c>
      <c r="AS1814">
        <v>702</v>
      </c>
      <c r="AT1814" t="s">
        <v>81</v>
      </c>
      <c r="AU1814">
        <v>22.51</v>
      </c>
      <c r="AV1814">
        <v>-42.93</v>
      </c>
      <c r="AW1814" t="s">
        <v>82</v>
      </c>
      <c r="AX1814">
        <v>702</v>
      </c>
      <c r="AY1814" t="s">
        <v>81</v>
      </c>
      <c r="AZ1814">
        <v>24.25</v>
      </c>
      <c r="BA1814">
        <v>-52.74</v>
      </c>
      <c r="BB1814" t="s">
        <v>83</v>
      </c>
    </row>
    <row r="1815" spans="1:54" x14ac:dyDescent="0.4">
      <c r="A1815">
        <v>1285964</v>
      </c>
      <c r="D1815" t="s">
        <v>498</v>
      </c>
      <c r="E1815" t="s">
        <v>55</v>
      </c>
      <c r="G1815">
        <v>1</v>
      </c>
      <c r="H1815" t="s">
        <v>56</v>
      </c>
      <c r="I1815" t="s">
        <v>57</v>
      </c>
      <c r="K1815" t="s">
        <v>2135</v>
      </c>
      <c r="L1815" t="s">
        <v>2606</v>
      </c>
      <c r="M1815" t="s">
        <v>60</v>
      </c>
      <c r="P1815" t="s">
        <v>511</v>
      </c>
      <c r="Q1815" t="s">
        <v>1536</v>
      </c>
      <c r="R1815" t="s">
        <v>512</v>
      </c>
      <c r="S1815" t="s">
        <v>123</v>
      </c>
      <c r="T1815">
        <v>259.51</v>
      </c>
      <c r="U1815">
        <v>251.90199999999999</v>
      </c>
      <c r="V1815">
        <f t="shared" si="56"/>
        <v>255.70599999999999</v>
      </c>
      <c r="W1815">
        <f t="shared" si="57"/>
        <v>7.6080000000000041</v>
      </c>
      <c r="X1815">
        <v>44.416668000000001</v>
      </c>
      <c r="Y1815">
        <v>-24</v>
      </c>
      <c r="Z1815" t="s">
        <v>124</v>
      </c>
      <c r="AA1815" t="s">
        <v>1913</v>
      </c>
      <c r="AB1815" t="s">
        <v>1914</v>
      </c>
      <c r="AD1815" t="s">
        <v>1915</v>
      </c>
      <c r="AE1815" t="s">
        <v>1916</v>
      </c>
      <c r="AH1815" t="s">
        <v>72</v>
      </c>
      <c r="AI1815" t="s">
        <v>2595</v>
      </c>
      <c r="AJ1815">
        <v>1926</v>
      </c>
      <c r="AK1815" t="s">
        <v>1918</v>
      </c>
      <c r="AM1815" t="s">
        <v>1919</v>
      </c>
      <c r="AN1815" t="s">
        <v>192</v>
      </c>
      <c r="AO1815" t="s">
        <v>657</v>
      </c>
      <c r="AP1815" t="s">
        <v>359</v>
      </c>
      <c r="AQ1815" t="s">
        <v>1920</v>
      </c>
      <c r="AR1815" t="s">
        <v>80</v>
      </c>
      <c r="AS1815">
        <v>702</v>
      </c>
      <c r="AT1815" t="s">
        <v>81</v>
      </c>
      <c r="AU1815">
        <v>22.51</v>
      </c>
      <c r="AV1815">
        <v>-42.93</v>
      </c>
      <c r="AW1815" t="s">
        <v>82</v>
      </c>
      <c r="AX1815">
        <v>702</v>
      </c>
      <c r="AY1815" t="s">
        <v>81</v>
      </c>
      <c r="AZ1815">
        <v>24.25</v>
      </c>
      <c r="BA1815">
        <v>-52.74</v>
      </c>
      <c r="BB1815" t="s">
        <v>83</v>
      </c>
    </row>
    <row r="1816" spans="1:54" x14ac:dyDescent="0.4">
      <c r="A1816">
        <v>1285964</v>
      </c>
      <c r="D1816" t="s">
        <v>498</v>
      </c>
      <c r="E1816" t="s">
        <v>55</v>
      </c>
      <c r="G1816">
        <v>1</v>
      </c>
      <c r="H1816" t="s">
        <v>56</v>
      </c>
      <c r="I1816" t="s">
        <v>57</v>
      </c>
      <c r="K1816" t="s">
        <v>2135</v>
      </c>
      <c r="L1816" t="s">
        <v>2606</v>
      </c>
      <c r="M1816" t="s">
        <v>60</v>
      </c>
      <c r="P1816" t="s">
        <v>511</v>
      </c>
      <c r="Q1816" t="s">
        <v>1536</v>
      </c>
      <c r="R1816" t="s">
        <v>512</v>
      </c>
      <c r="S1816" t="s">
        <v>123</v>
      </c>
      <c r="T1816">
        <v>259.51</v>
      </c>
      <c r="U1816">
        <v>251.90199999999999</v>
      </c>
      <c r="V1816">
        <f t="shared" si="56"/>
        <v>255.70599999999999</v>
      </c>
      <c r="W1816">
        <f t="shared" si="57"/>
        <v>7.6080000000000041</v>
      </c>
      <c r="X1816">
        <v>44.416668000000001</v>
      </c>
      <c r="Y1816">
        <v>-24</v>
      </c>
      <c r="Z1816" t="s">
        <v>124</v>
      </c>
      <c r="AA1816" t="s">
        <v>1913</v>
      </c>
      <c r="AB1816" t="s">
        <v>1914</v>
      </c>
      <c r="AD1816" t="s">
        <v>1915</v>
      </c>
      <c r="AE1816" t="s">
        <v>1916</v>
      </c>
      <c r="AH1816" t="s">
        <v>72</v>
      </c>
      <c r="AI1816" t="s">
        <v>2595</v>
      </c>
      <c r="AJ1816">
        <v>1926</v>
      </c>
      <c r="AK1816" t="s">
        <v>1918</v>
      </c>
      <c r="AM1816" t="s">
        <v>1919</v>
      </c>
      <c r="AN1816" t="s">
        <v>192</v>
      </c>
      <c r="AO1816" t="s">
        <v>657</v>
      </c>
      <c r="AP1816" t="s">
        <v>359</v>
      </c>
      <c r="AQ1816" t="s">
        <v>1920</v>
      </c>
      <c r="AR1816" t="s">
        <v>80</v>
      </c>
      <c r="AS1816">
        <v>702</v>
      </c>
      <c r="AT1816" t="s">
        <v>81</v>
      </c>
      <c r="AU1816">
        <v>22.51</v>
      </c>
      <c r="AV1816">
        <v>-42.93</v>
      </c>
      <c r="AW1816" t="s">
        <v>82</v>
      </c>
      <c r="AX1816">
        <v>702</v>
      </c>
      <c r="AY1816" t="s">
        <v>81</v>
      </c>
      <c r="AZ1816">
        <v>24.25</v>
      </c>
      <c r="BA1816">
        <v>-52.74</v>
      </c>
      <c r="BB1816" t="s">
        <v>83</v>
      </c>
    </row>
    <row r="1817" spans="1:54" x14ac:dyDescent="0.4">
      <c r="A1817">
        <v>1285964</v>
      </c>
      <c r="D1817" t="s">
        <v>498</v>
      </c>
      <c r="E1817" t="s">
        <v>55</v>
      </c>
      <c r="G1817">
        <v>1</v>
      </c>
      <c r="H1817" t="s">
        <v>56</v>
      </c>
      <c r="I1817" t="s">
        <v>57</v>
      </c>
      <c r="K1817" t="s">
        <v>2135</v>
      </c>
      <c r="L1817" t="s">
        <v>2606</v>
      </c>
      <c r="M1817" t="s">
        <v>60</v>
      </c>
      <c r="P1817" t="s">
        <v>511</v>
      </c>
      <c r="Q1817" t="s">
        <v>1536</v>
      </c>
      <c r="R1817" t="s">
        <v>512</v>
      </c>
      <c r="S1817" t="s">
        <v>123</v>
      </c>
      <c r="T1817">
        <v>259.51</v>
      </c>
      <c r="U1817">
        <v>251.90199999999999</v>
      </c>
      <c r="V1817">
        <f t="shared" si="56"/>
        <v>255.70599999999999</v>
      </c>
      <c r="W1817">
        <f t="shared" si="57"/>
        <v>7.6080000000000041</v>
      </c>
      <c r="X1817">
        <v>44.416668000000001</v>
      </c>
      <c r="Y1817">
        <v>-24</v>
      </c>
      <c r="Z1817" t="s">
        <v>124</v>
      </c>
      <c r="AA1817" t="s">
        <v>1913</v>
      </c>
      <c r="AB1817" t="s">
        <v>1914</v>
      </c>
      <c r="AD1817" t="s">
        <v>1915</v>
      </c>
      <c r="AE1817" t="s">
        <v>1916</v>
      </c>
      <c r="AH1817" t="s">
        <v>72</v>
      </c>
      <c r="AI1817" t="s">
        <v>2595</v>
      </c>
      <c r="AJ1817">
        <v>1926</v>
      </c>
      <c r="AK1817" t="s">
        <v>1918</v>
      </c>
      <c r="AM1817" t="s">
        <v>1919</v>
      </c>
      <c r="AN1817" t="s">
        <v>192</v>
      </c>
      <c r="AO1817" t="s">
        <v>657</v>
      </c>
      <c r="AP1817" t="s">
        <v>359</v>
      </c>
      <c r="AQ1817" t="s">
        <v>1920</v>
      </c>
      <c r="AR1817" t="s">
        <v>80</v>
      </c>
      <c r="AS1817">
        <v>702</v>
      </c>
      <c r="AT1817" t="s">
        <v>81</v>
      </c>
      <c r="AU1817">
        <v>22.51</v>
      </c>
      <c r="AV1817">
        <v>-42.93</v>
      </c>
      <c r="AW1817" t="s">
        <v>82</v>
      </c>
      <c r="AX1817">
        <v>702</v>
      </c>
      <c r="AY1817" t="s">
        <v>81</v>
      </c>
      <c r="AZ1817">
        <v>24.25</v>
      </c>
      <c r="BA1817">
        <v>-52.74</v>
      </c>
      <c r="BB1817" t="s">
        <v>83</v>
      </c>
    </row>
    <row r="1818" spans="1:54" x14ac:dyDescent="0.4">
      <c r="A1818">
        <v>1285964</v>
      </c>
      <c r="D1818" t="s">
        <v>498</v>
      </c>
      <c r="E1818" t="s">
        <v>55</v>
      </c>
      <c r="G1818">
        <v>1</v>
      </c>
      <c r="H1818" t="s">
        <v>56</v>
      </c>
      <c r="I1818" t="s">
        <v>57</v>
      </c>
      <c r="K1818" t="s">
        <v>2135</v>
      </c>
      <c r="L1818" t="s">
        <v>2606</v>
      </c>
      <c r="M1818" t="s">
        <v>60</v>
      </c>
      <c r="P1818" t="s">
        <v>511</v>
      </c>
      <c r="Q1818" t="s">
        <v>1536</v>
      </c>
      <c r="R1818" t="s">
        <v>512</v>
      </c>
      <c r="S1818" t="s">
        <v>123</v>
      </c>
      <c r="T1818">
        <v>259.51</v>
      </c>
      <c r="U1818">
        <v>251.90199999999999</v>
      </c>
      <c r="V1818">
        <f t="shared" si="56"/>
        <v>255.70599999999999</v>
      </c>
      <c r="W1818">
        <f t="shared" si="57"/>
        <v>7.6080000000000041</v>
      </c>
      <c r="X1818">
        <v>44.416668000000001</v>
      </c>
      <c r="Y1818">
        <v>-24</v>
      </c>
      <c r="Z1818" t="s">
        <v>124</v>
      </c>
      <c r="AA1818" t="s">
        <v>1913</v>
      </c>
      <c r="AB1818" t="s">
        <v>1914</v>
      </c>
      <c r="AD1818" t="s">
        <v>1915</v>
      </c>
      <c r="AE1818" t="s">
        <v>1916</v>
      </c>
      <c r="AH1818" t="s">
        <v>72</v>
      </c>
      <c r="AI1818" t="s">
        <v>2595</v>
      </c>
      <c r="AJ1818">
        <v>1926</v>
      </c>
      <c r="AK1818" t="s">
        <v>1918</v>
      </c>
      <c r="AM1818" t="s">
        <v>1919</v>
      </c>
      <c r="AN1818" t="s">
        <v>192</v>
      </c>
      <c r="AO1818" t="s">
        <v>657</v>
      </c>
      <c r="AP1818" t="s">
        <v>359</v>
      </c>
      <c r="AQ1818" t="s">
        <v>1920</v>
      </c>
      <c r="AR1818" t="s">
        <v>80</v>
      </c>
      <c r="AS1818">
        <v>702</v>
      </c>
      <c r="AT1818" t="s">
        <v>81</v>
      </c>
      <c r="AU1818">
        <v>22.51</v>
      </c>
      <c r="AV1818">
        <v>-42.93</v>
      </c>
      <c r="AW1818" t="s">
        <v>82</v>
      </c>
      <c r="AX1818">
        <v>702</v>
      </c>
      <c r="AY1818" t="s">
        <v>81</v>
      </c>
      <c r="AZ1818">
        <v>24.25</v>
      </c>
      <c r="BA1818">
        <v>-52.74</v>
      </c>
      <c r="BB1818" t="s">
        <v>83</v>
      </c>
    </row>
    <row r="1819" spans="1:54" x14ac:dyDescent="0.4">
      <c r="A1819">
        <v>1285964</v>
      </c>
      <c r="D1819" t="s">
        <v>498</v>
      </c>
      <c r="E1819" t="s">
        <v>55</v>
      </c>
      <c r="G1819">
        <v>1</v>
      </c>
      <c r="H1819" t="s">
        <v>56</v>
      </c>
      <c r="I1819" t="s">
        <v>57</v>
      </c>
      <c r="K1819" t="s">
        <v>2135</v>
      </c>
      <c r="L1819" t="s">
        <v>2606</v>
      </c>
      <c r="M1819" t="s">
        <v>60</v>
      </c>
      <c r="P1819" t="s">
        <v>511</v>
      </c>
      <c r="Q1819" t="s">
        <v>1536</v>
      </c>
      <c r="R1819" t="s">
        <v>512</v>
      </c>
      <c r="S1819" t="s">
        <v>123</v>
      </c>
      <c r="T1819">
        <v>259.51</v>
      </c>
      <c r="U1819">
        <v>251.90199999999999</v>
      </c>
      <c r="V1819">
        <f t="shared" si="56"/>
        <v>255.70599999999999</v>
      </c>
      <c r="W1819">
        <f t="shared" si="57"/>
        <v>7.6080000000000041</v>
      </c>
      <c r="X1819">
        <v>44.416668000000001</v>
      </c>
      <c r="Y1819">
        <v>-24</v>
      </c>
      <c r="Z1819" t="s">
        <v>124</v>
      </c>
      <c r="AA1819" t="s">
        <v>1913</v>
      </c>
      <c r="AB1819" t="s">
        <v>1914</v>
      </c>
      <c r="AD1819" t="s">
        <v>1915</v>
      </c>
      <c r="AE1819" t="s">
        <v>1916</v>
      </c>
      <c r="AH1819" t="s">
        <v>72</v>
      </c>
      <c r="AI1819" t="s">
        <v>2595</v>
      </c>
      <c r="AJ1819">
        <v>1926</v>
      </c>
      <c r="AK1819" t="s">
        <v>1918</v>
      </c>
      <c r="AM1819" t="s">
        <v>1919</v>
      </c>
      <c r="AN1819" t="s">
        <v>192</v>
      </c>
      <c r="AO1819" t="s">
        <v>657</v>
      </c>
      <c r="AP1819" t="s">
        <v>359</v>
      </c>
      <c r="AQ1819" t="s">
        <v>1920</v>
      </c>
      <c r="AR1819" t="s">
        <v>80</v>
      </c>
      <c r="AS1819">
        <v>702</v>
      </c>
      <c r="AT1819" t="s">
        <v>81</v>
      </c>
      <c r="AU1819">
        <v>22.51</v>
      </c>
      <c r="AV1819">
        <v>-42.93</v>
      </c>
      <c r="AW1819" t="s">
        <v>82</v>
      </c>
      <c r="AX1819">
        <v>702</v>
      </c>
      <c r="AY1819" t="s">
        <v>81</v>
      </c>
      <c r="AZ1819">
        <v>24.25</v>
      </c>
      <c r="BA1819">
        <v>-52.74</v>
      </c>
      <c r="BB1819" t="s">
        <v>83</v>
      </c>
    </row>
    <row r="1820" spans="1:54" x14ac:dyDescent="0.4">
      <c r="A1820">
        <v>1285964</v>
      </c>
      <c r="D1820" t="s">
        <v>498</v>
      </c>
      <c r="E1820" t="s">
        <v>55</v>
      </c>
      <c r="G1820">
        <v>1</v>
      </c>
      <c r="H1820" t="s">
        <v>56</v>
      </c>
      <c r="I1820" t="s">
        <v>57</v>
      </c>
      <c r="K1820" t="s">
        <v>2135</v>
      </c>
      <c r="L1820" t="s">
        <v>2606</v>
      </c>
      <c r="M1820" t="s">
        <v>60</v>
      </c>
      <c r="P1820" t="s">
        <v>511</v>
      </c>
      <c r="Q1820" t="s">
        <v>1536</v>
      </c>
      <c r="R1820" t="s">
        <v>512</v>
      </c>
      <c r="S1820" t="s">
        <v>123</v>
      </c>
      <c r="T1820">
        <v>259.51</v>
      </c>
      <c r="U1820">
        <v>251.90199999999999</v>
      </c>
      <c r="V1820">
        <f t="shared" si="56"/>
        <v>255.70599999999999</v>
      </c>
      <c r="W1820">
        <f t="shared" si="57"/>
        <v>7.6080000000000041</v>
      </c>
      <c r="X1820">
        <v>44.416668000000001</v>
      </c>
      <c r="Y1820">
        <v>-24</v>
      </c>
      <c r="Z1820" t="s">
        <v>124</v>
      </c>
      <c r="AA1820" t="s">
        <v>1913</v>
      </c>
      <c r="AB1820" t="s">
        <v>1914</v>
      </c>
      <c r="AD1820" t="s">
        <v>1915</v>
      </c>
      <c r="AE1820" t="s">
        <v>1916</v>
      </c>
      <c r="AH1820" t="s">
        <v>72</v>
      </c>
      <c r="AI1820" t="s">
        <v>2595</v>
      </c>
      <c r="AJ1820">
        <v>1926</v>
      </c>
      <c r="AK1820" t="s">
        <v>1918</v>
      </c>
      <c r="AM1820" t="s">
        <v>1919</v>
      </c>
      <c r="AN1820" t="s">
        <v>192</v>
      </c>
      <c r="AO1820" t="s">
        <v>657</v>
      </c>
      <c r="AP1820" t="s">
        <v>359</v>
      </c>
      <c r="AQ1820" t="s">
        <v>1920</v>
      </c>
      <c r="AR1820" t="s">
        <v>80</v>
      </c>
      <c r="AS1820">
        <v>702</v>
      </c>
      <c r="AT1820" t="s">
        <v>81</v>
      </c>
      <c r="AU1820">
        <v>22.51</v>
      </c>
      <c r="AV1820">
        <v>-42.93</v>
      </c>
      <c r="AW1820" t="s">
        <v>82</v>
      </c>
      <c r="AX1820">
        <v>702</v>
      </c>
      <c r="AY1820" t="s">
        <v>81</v>
      </c>
      <c r="AZ1820">
        <v>24.25</v>
      </c>
      <c r="BA1820">
        <v>-52.74</v>
      </c>
      <c r="BB1820" t="s">
        <v>83</v>
      </c>
    </row>
    <row r="1821" spans="1:54" x14ac:dyDescent="0.4">
      <c r="A1821">
        <v>1285964</v>
      </c>
      <c r="D1821" t="s">
        <v>498</v>
      </c>
      <c r="E1821" t="s">
        <v>55</v>
      </c>
      <c r="G1821">
        <v>1</v>
      </c>
      <c r="H1821" t="s">
        <v>56</v>
      </c>
      <c r="I1821" t="s">
        <v>57</v>
      </c>
      <c r="K1821" t="s">
        <v>2135</v>
      </c>
      <c r="L1821" t="s">
        <v>2606</v>
      </c>
      <c r="M1821" t="s">
        <v>60</v>
      </c>
      <c r="P1821" t="s">
        <v>511</v>
      </c>
      <c r="Q1821" t="s">
        <v>1536</v>
      </c>
      <c r="R1821" t="s">
        <v>512</v>
      </c>
      <c r="S1821" t="s">
        <v>123</v>
      </c>
      <c r="T1821">
        <v>259.51</v>
      </c>
      <c r="U1821">
        <v>251.90199999999999</v>
      </c>
      <c r="V1821">
        <f t="shared" si="56"/>
        <v>255.70599999999999</v>
      </c>
      <c r="W1821">
        <f t="shared" si="57"/>
        <v>7.6080000000000041</v>
      </c>
      <c r="X1821">
        <v>44.416668000000001</v>
      </c>
      <c r="Y1821">
        <v>-24</v>
      </c>
      <c r="Z1821" t="s">
        <v>124</v>
      </c>
      <c r="AA1821" t="s">
        <v>1913</v>
      </c>
      <c r="AB1821" t="s">
        <v>1914</v>
      </c>
      <c r="AD1821" t="s">
        <v>1915</v>
      </c>
      <c r="AE1821" t="s">
        <v>1916</v>
      </c>
      <c r="AH1821" t="s">
        <v>72</v>
      </c>
      <c r="AI1821" t="s">
        <v>2595</v>
      </c>
      <c r="AJ1821">
        <v>1926</v>
      </c>
      <c r="AK1821" t="s">
        <v>1918</v>
      </c>
      <c r="AM1821" t="s">
        <v>1919</v>
      </c>
      <c r="AN1821" t="s">
        <v>192</v>
      </c>
      <c r="AO1821" t="s">
        <v>657</v>
      </c>
      <c r="AP1821" t="s">
        <v>359</v>
      </c>
      <c r="AQ1821" t="s">
        <v>1920</v>
      </c>
      <c r="AR1821" t="s">
        <v>80</v>
      </c>
      <c r="AS1821">
        <v>702</v>
      </c>
      <c r="AT1821" t="s">
        <v>81</v>
      </c>
      <c r="AU1821">
        <v>22.51</v>
      </c>
      <c r="AV1821">
        <v>-42.93</v>
      </c>
      <c r="AW1821" t="s">
        <v>82</v>
      </c>
      <c r="AX1821">
        <v>702</v>
      </c>
      <c r="AY1821" t="s">
        <v>81</v>
      </c>
      <c r="AZ1821">
        <v>24.25</v>
      </c>
      <c r="BA1821">
        <v>-52.74</v>
      </c>
      <c r="BB1821" t="s">
        <v>83</v>
      </c>
    </row>
    <row r="1822" spans="1:54" x14ac:dyDescent="0.4">
      <c r="A1822">
        <v>1285964</v>
      </c>
      <c r="D1822" t="s">
        <v>498</v>
      </c>
      <c r="E1822" t="s">
        <v>55</v>
      </c>
      <c r="G1822">
        <v>1</v>
      </c>
      <c r="H1822" t="s">
        <v>56</v>
      </c>
      <c r="I1822" t="s">
        <v>57</v>
      </c>
      <c r="K1822" t="s">
        <v>2135</v>
      </c>
      <c r="L1822" t="s">
        <v>2606</v>
      </c>
      <c r="M1822" t="s">
        <v>60</v>
      </c>
      <c r="P1822" t="s">
        <v>511</v>
      </c>
      <c r="Q1822" t="s">
        <v>1536</v>
      </c>
      <c r="R1822" t="s">
        <v>512</v>
      </c>
      <c r="S1822" t="s">
        <v>123</v>
      </c>
      <c r="T1822">
        <v>259.51</v>
      </c>
      <c r="U1822">
        <v>251.90199999999999</v>
      </c>
      <c r="V1822">
        <f t="shared" si="56"/>
        <v>255.70599999999999</v>
      </c>
      <c r="W1822">
        <f t="shared" si="57"/>
        <v>7.6080000000000041</v>
      </c>
      <c r="X1822">
        <v>44.416668000000001</v>
      </c>
      <c r="Y1822">
        <v>-24</v>
      </c>
      <c r="Z1822" t="s">
        <v>124</v>
      </c>
      <c r="AA1822" t="s">
        <v>1913</v>
      </c>
      <c r="AB1822" t="s">
        <v>1914</v>
      </c>
      <c r="AD1822" t="s">
        <v>1915</v>
      </c>
      <c r="AE1822" t="s">
        <v>1916</v>
      </c>
      <c r="AH1822" t="s">
        <v>72</v>
      </c>
      <c r="AI1822" t="s">
        <v>2595</v>
      </c>
      <c r="AJ1822">
        <v>1926</v>
      </c>
      <c r="AK1822" t="s">
        <v>1918</v>
      </c>
      <c r="AM1822" t="s">
        <v>1919</v>
      </c>
      <c r="AN1822" t="s">
        <v>192</v>
      </c>
      <c r="AO1822" t="s">
        <v>657</v>
      </c>
      <c r="AP1822" t="s">
        <v>359</v>
      </c>
      <c r="AQ1822" t="s">
        <v>1920</v>
      </c>
      <c r="AR1822" t="s">
        <v>80</v>
      </c>
      <c r="AS1822">
        <v>702</v>
      </c>
      <c r="AT1822" t="s">
        <v>81</v>
      </c>
      <c r="AU1822">
        <v>22.51</v>
      </c>
      <c r="AV1822">
        <v>-42.93</v>
      </c>
      <c r="AW1822" t="s">
        <v>82</v>
      </c>
      <c r="AX1822">
        <v>702</v>
      </c>
      <c r="AY1822" t="s">
        <v>81</v>
      </c>
      <c r="AZ1822">
        <v>24.25</v>
      </c>
      <c r="BA1822">
        <v>-52.74</v>
      </c>
      <c r="BB1822" t="s">
        <v>83</v>
      </c>
    </row>
    <row r="1823" spans="1:54" x14ac:dyDescent="0.4">
      <c r="A1823">
        <v>1285964</v>
      </c>
      <c r="D1823" t="s">
        <v>498</v>
      </c>
      <c r="E1823" t="s">
        <v>55</v>
      </c>
      <c r="G1823">
        <v>1</v>
      </c>
      <c r="H1823" t="s">
        <v>56</v>
      </c>
      <c r="I1823" t="s">
        <v>57</v>
      </c>
      <c r="K1823" t="s">
        <v>2135</v>
      </c>
      <c r="L1823" t="s">
        <v>2606</v>
      </c>
      <c r="M1823" t="s">
        <v>60</v>
      </c>
      <c r="P1823" t="s">
        <v>511</v>
      </c>
      <c r="Q1823" t="s">
        <v>1536</v>
      </c>
      <c r="R1823" t="s">
        <v>512</v>
      </c>
      <c r="S1823" t="s">
        <v>123</v>
      </c>
      <c r="T1823">
        <v>259.51</v>
      </c>
      <c r="U1823">
        <v>251.90199999999999</v>
      </c>
      <c r="V1823">
        <f t="shared" si="56"/>
        <v>255.70599999999999</v>
      </c>
      <c r="W1823">
        <f t="shared" si="57"/>
        <v>7.6080000000000041</v>
      </c>
      <c r="X1823">
        <v>44.416668000000001</v>
      </c>
      <c r="Y1823">
        <v>-24</v>
      </c>
      <c r="Z1823" t="s">
        <v>124</v>
      </c>
      <c r="AA1823" t="s">
        <v>1913</v>
      </c>
      <c r="AB1823" t="s">
        <v>1914</v>
      </c>
      <c r="AD1823" t="s">
        <v>1915</v>
      </c>
      <c r="AE1823" t="s">
        <v>1916</v>
      </c>
      <c r="AH1823" t="s">
        <v>72</v>
      </c>
      <c r="AI1823" t="s">
        <v>2595</v>
      </c>
      <c r="AJ1823">
        <v>1926</v>
      </c>
      <c r="AK1823" t="s">
        <v>1918</v>
      </c>
      <c r="AM1823" t="s">
        <v>1919</v>
      </c>
      <c r="AN1823" t="s">
        <v>192</v>
      </c>
      <c r="AO1823" t="s">
        <v>657</v>
      </c>
      <c r="AP1823" t="s">
        <v>359</v>
      </c>
      <c r="AQ1823" t="s">
        <v>1920</v>
      </c>
      <c r="AR1823" t="s">
        <v>80</v>
      </c>
      <c r="AS1823">
        <v>702</v>
      </c>
      <c r="AT1823" t="s">
        <v>81</v>
      </c>
      <c r="AU1823">
        <v>22.51</v>
      </c>
      <c r="AV1823">
        <v>-42.93</v>
      </c>
      <c r="AW1823" t="s">
        <v>82</v>
      </c>
      <c r="AX1823">
        <v>702</v>
      </c>
      <c r="AY1823" t="s">
        <v>81</v>
      </c>
      <c r="AZ1823">
        <v>24.25</v>
      </c>
      <c r="BA1823">
        <v>-52.74</v>
      </c>
      <c r="BB1823" t="s">
        <v>83</v>
      </c>
    </row>
    <row r="1824" spans="1:54" x14ac:dyDescent="0.4">
      <c r="A1824">
        <v>1285964</v>
      </c>
      <c r="D1824" t="s">
        <v>498</v>
      </c>
      <c r="E1824" t="s">
        <v>55</v>
      </c>
      <c r="G1824">
        <v>1</v>
      </c>
      <c r="H1824" t="s">
        <v>56</v>
      </c>
      <c r="I1824" t="s">
        <v>57</v>
      </c>
      <c r="K1824" t="s">
        <v>2135</v>
      </c>
      <c r="L1824" t="s">
        <v>2606</v>
      </c>
      <c r="M1824" t="s">
        <v>60</v>
      </c>
      <c r="P1824" t="s">
        <v>511</v>
      </c>
      <c r="Q1824" t="s">
        <v>1536</v>
      </c>
      <c r="R1824" t="s">
        <v>512</v>
      </c>
      <c r="S1824" t="s">
        <v>123</v>
      </c>
      <c r="T1824">
        <v>259.51</v>
      </c>
      <c r="U1824">
        <v>251.90199999999999</v>
      </c>
      <c r="V1824">
        <f t="shared" si="56"/>
        <v>255.70599999999999</v>
      </c>
      <c r="W1824">
        <f t="shared" si="57"/>
        <v>7.6080000000000041</v>
      </c>
      <c r="X1824">
        <v>44.416668000000001</v>
      </c>
      <c r="Y1824">
        <v>-24</v>
      </c>
      <c r="Z1824" t="s">
        <v>124</v>
      </c>
      <c r="AA1824" t="s">
        <v>1913</v>
      </c>
      <c r="AB1824" t="s">
        <v>1914</v>
      </c>
      <c r="AD1824" t="s">
        <v>1915</v>
      </c>
      <c r="AE1824" t="s">
        <v>1916</v>
      </c>
      <c r="AH1824" t="s">
        <v>72</v>
      </c>
      <c r="AI1824" t="s">
        <v>2595</v>
      </c>
      <c r="AJ1824">
        <v>1926</v>
      </c>
      <c r="AK1824" t="s">
        <v>1918</v>
      </c>
      <c r="AM1824" t="s">
        <v>1919</v>
      </c>
      <c r="AN1824" t="s">
        <v>192</v>
      </c>
      <c r="AO1824" t="s">
        <v>657</v>
      </c>
      <c r="AP1824" t="s">
        <v>359</v>
      </c>
      <c r="AQ1824" t="s">
        <v>1920</v>
      </c>
      <c r="AR1824" t="s">
        <v>80</v>
      </c>
      <c r="AS1824">
        <v>702</v>
      </c>
      <c r="AT1824" t="s">
        <v>81</v>
      </c>
      <c r="AU1824">
        <v>22.51</v>
      </c>
      <c r="AV1824">
        <v>-42.93</v>
      </c>
      <c r="AW1824" t="s">
        <v>82</v>
      </c>
      <c r="AX1824">
        <v>702</v>
      </c>
      <c r="AY1824" t="s">
        <v>81</v>
      </c>
      <c r="AZ1824">
        <v>24.25</v>
      </c>
      <c r="BA1824">
        <v>-52.74</v>
      </c>
      <c r="BB1824" t="s">
        <v>83</v>
      </c>
    </row>
    <row r="1825" spans="1:54" x14ac:dyDescent="0.4">
      <c r="A1825">
        <v>1285964</v>
      </c>
      <c r="D1825" t="s">
        <v>498</v>
      </c>
      <c r="E1825" t="s">
        <v>55</v>
      </c>
      <c r="G1825">
        <v>1</v>
      </c>
      <c r="H1825" t="s">
        <v>56</v>
      </c>
      <c r="I1825" t="s">
        <v>57</v>
      </c>
      <c r="K1825" t="s">
        <v>2135</v>
      </c>
      <c r="L1825" t="s">
        <v>2606</v>
      </c>
      <c r="M1825" t="s">
        <v>60</v>
      </c>
      <c r="P1825" t="s">
        <v>511</v>
      </c>
      <c r="Q1825" t="s">
        <v>1536</v>
      </c>
      <c r="R1825" t="s">
        <v>512</v>
      </c>
      <c r="S1825" t="s">
        <v>123</v>
      </c>
      <c r="T1825">
        <v>259.51</v>
      </c>
      <c r="U1825">
        <v>251.90199999999999</v>
      </c>
      <c r="V1825">
        <f t="shared" si="56"/>
        <v>255.70599999999999</v>
      </c>
      <c r="W1825">
        <f t="shared" si="57"/>
        <v>7.6080000000000041</v>
      </c>
      <c r="X1825">
        <v>44.416668000000001</v>
      </c>
      <c r="Y1825">
        <v>-24</v>
      </c>
      <c r="Z1825" t="s">
        <v>124</v>
      </c>
      <c r="AA1825" t="s">
        <v>1913</v>
      </c>
      <c r="AB1825" t="s">
        <v>1914</v>
      </c>
      <c r="AD1825" t="s">
        <v>1915</v>
      </c>
      <c r="AE1825" t="s">
        <v>1916</v>
      </c>
      <c r="AH1825" t="s">
        <v>72</v>
      </c>
      <c r="AI1825" t="s">
        <v>2595</v>
      </c>
      <c r="AJ1825">
        <v>1926</v>
      </c>
      <c r="AK1825" t="s">
        <v>1918</v>
      </c>
      <c r="AM1825" t="s">
        <v>1919</v>
      </c>
      <c r="AN1825" t="s">
        <v>192</v>
      </c>
      <c r="AO1825" t="s">
        <v>657</v>
      </c>
      <c r="AP1825" t="s">
        <v>359</v>
      </c>
      <c r="AQ1825" t="s">
        <v>1920</v>
      </c>
      <c r="AR1825" t="s">
        <v>80</v>
      </c>
      <c r="AS1825">
        <v>702</v>
      </c>
      <c r="AT1825" t="s">
        <v>81</v>
      </c>
      <c r="AU1825">
        <v>22.51</v>
      </c>
      <c r="AV1825">
        <v>-42.93</v>
      </c>
      <c r="AW1825" t="s">
        <v>82</v>
      </c>
      <c r="AX1825">
        <v>702</v>
      </c>
      <c r="AY1825" t="s">
        <v>81</v>
      </c>
      <c r="AZ1825">
        <v>24.25</v>
      </c>
      <c r="BA1825">
        <v>-52.74</v>
      </c>
      <c r="BB1825" t="s">
        <v>83</v>
      </c>
    </row>
    <row r="1826" spans="1:54" x14ac:dyDescent="0.4">
      <c r="A1826">
        <v>1285964</v>
      </c>
      <c r="D1826" t="s">
        <v>498</v>
      </c>
      <c r="E1826" t="s">
        <v>55</v>
      </c>
      <c r="G1826">
        <v>1</v>
      </c>
      <c r="H1826" t="s">
        <v>56</v>
      </c>
      <c r="I1826" t="s">
        <v>57</v>
      </c>
      <c r="K1826" t="s">
        <v>2135</v>
      </c>
      <c r="L1826" t="s">
        <v>2606</v>
      </c>
      <c r="M1826" t="s">
        <v>60</v>
      </c>
      <c r="P1826" t="s">
        <v>511</v>
      </c>
      <c r="Q1826" t="s">
        <v>1536</v>
      </c>
      <c r="R1826" t="s">
        <v>512</v>
      </c>
      <c r="S1826" t="s">
        <v>123</v>
      </c>
      <c r="T1826">
        <v>259.51</v>
      </c>
      <c r="U1826">
        <v>251.90199999999999</v>
      </c>
      <c r="V1826">
        <f t="shared" si="56"/>
        <v>255.70599999999999</v>
      </c>
      <c r="W1826">
        <f t="shared" si="57"/>
        <v>7.6080000000000041</v>
      </c>
      <c r="X1826">
        <v>44.416668000000001</v>
      </c>
      <c r="Y1826">
        <v>-24</v>
      </c>
      <c r="Z1826" t="s">
        <v>124</v>
      </c>
      <c r="AA1826" t="s">
        <v>1913</v>
      </c>
      <c r="AB1826" t="s">
        <v>1914</v>
      </c>
      <c r="AD1826" t="s">
        <v>1915</v>
      </c>
      <c r="AE1826" t="s">
        <v>1916</v>
      </c>
      <c r="AH1826" t="s">
        <v>72</v>
      </c>
      <c r="AI1826" t="s">
        <v>2595</v>
      </c>
      <c r="AJ1826">
        <v>1926</v>
      </c>
      <c r="AK1826" t="s">
        <v>1918</v>
      </c>
      <c r="AM1826" t="s">
        <v>1919</v>
      </c>
      <c r="AN1826" t="s">
        <v>192</v>
      </c>
      <c r="AO1826" t="s">
        <v>657</v>
      </c>
      <c r="AP1826" t="s">
        <v>359</v>
      </c>
      <c r="AQ1826" t="s">
        <v>1920</v>
      </c>
      <c r="AR1826" t="s">
        <v>80</v>
      </c>
      <c r="AS1826">
        <v>702</v>
      </c>
      <c r="AT1826" t="s">
        <v>81</v>
      </c>
      <c r="AU1826">
        <v>22.51</v>
      </c>
      <c r="AV1826">
        <v>-42.93</v>
      </c>
      <c r="AW1826" t="s">
        <v>82</v>
      </c>
      <c r="AX1826">
        <v>702</v>
      </c>
      <c r="AY1826" t="s">
        <v>81</v>
      </c>
      <c r="AZ1826">
        <v>24.25</v>
      </c>
      <c r="BA1826">
        <v>-52.74</v>
      </c>
      <c r="BB1826" t="s">
        <v>83</v>
      </c>
    </row>
    <row r="1827" spans="1:54" x14ac:dyDescent="0.4">
      <c r="A1827">
        <v>1285964</v>
      </c>
      <c r="D1827" t="s">
        <v>498</v>
      </c>
      <c r="E1827" t="s">
        <v>55</v>
      </c>
      <c r="G1827">
        <v>1</v>
      </c>
      <c r="H1827" t="s">
        <v>56</v>
      </c>
      <c r="I1827" t="s">
        <v>57</v>
      </c>
      <c r="K1827" t="s">
        <v>2135</v>
      </c>
      <c r="L1827" t="s">
        <v>2606</v>
      </c>
      <c r="M1827" t="s">
        <v>60</v>
      </c>
      <c r="P1827" t="s">
        <v>511</v>
      </c>
      <c r="Q1827" t="s">
        <v>1536</v>
      </c>
      <c r="R1827" t="s">
        <v>512</v>
      </c>
      <c r="S1827" t="s">
        <v>123</v>
      </c>
      <c r="T1827">
        <v>259.51</v>
      </c>
      <c r="U1827">
        <v>251.90199999999999</v>
      </c>
      <c r="V1827">
        <f t="shared" si="56"/>
        <v>255.70599999999999</v>
      </c>
      <c r="W1827">
        <f t="shared" si="57"/>
        <v>7.6080000000000041</v>
      </c>
      <c r="X1827">
        <v>44.416668000000001</v>
      </c>
      <c r="Y1827">
        <v>-24</v>
      </c>
      <c r="Z1827" t="s">
        <v>124</v>
      </c>
      <c r="AA1827" t="s">
        <v>1913</v>
      </c>
      <c r="AB1827" t="s">
        <v>1914</v>
      </c>
      <c r="AD1827" t="s">
        <v>1915</v>
      </c>
      <c r="AE1827" t="s">
        <v>1916</v>
      </c>
      <c r="AH1827" t="s">
        <v>72</v>
      </c>
      <c r="AI1827" t="s">
        <v>2595</v>
      </c>
      <c r="AJ1827">
        <v>1926</v>
      </c>
      <c r="AK1827" t="s">
        <v>1918</v>
      </c>
      <c r="AM1827" t="s">
        <v>1919</v>
      </c>
      <c r="AN1827" t="s">
        <v>192</v>
      </c>
      <c r="AO1827" t="s">
        <v>657</v>
      </c>
      <c r="AP1827" t="s">
        <v>359</v>
      </c>
      <c r="AQ1827" t="s">
        <v>1920</v>
      </c>
      <c r="AR1827" t="s">
        <v>80</v>
      </c>
      <c r="AS1827">
        <v>702</v>
      </c>
      <c r="AT1827" t="s">
        <v>81</v>
      </c>
      <c r="AU1827">
        <v>22.51</v>
      </c>
      <c r="AV1827">
        <v>-42.93</v>
      </c>
      <c r="AW1827" t="s">
        <v>82</v>
      </c>
      <c r="AX1827">
        <v>702</v>
      </c>
      <c r="AY1827" t="s">
        <v>81</v>
      </c>
      <c r="AZ1827">
        <v>24.25</v>
      </c>
      <c r="BA1827">
        <v>-52.74</v>
      </c>
      <c r="BB1827" t="s">
        <v>83</v>
      </c>
    </row>
    <row r="1828" spans="1:54" x14ac:dyDescent="0.4">
      <c r="A1828">
        <v>1285964</v>
      </c>
      <c r="D1828" t="s">
        <v>498</v>
      </c>
      <c r="E1828" t="s">
        <v>55</v>
      </c>
      <c r="G1828">
        <v>1</v>
      </c>
      <c r="H1828" t="s">
        <v>56</v>
      </c>
      <c r="I1828" t="s">
        <v>57</v>
      </c>
      <c r="K1828" t="s">
        <v>2135</v>
      </c>
      <c r="L1828" t="s">
        <v>2606</v>
      </c>
      <c r="M1828" t="s">
        <v>60</v>
      </c>
      <c r="P1828" t="s">
        <v>511</v>
      </c>
      <c r="Q1828" t="s">
        <v>1536</v>
      </c>
      <c r="R1828" t="s">
        <v>512</v>
      </c>
      <c r="S1828" t="s">
        <v>123</v>
      </c>
      <c r="T1828">
        <v>259.51</v>
      </c>
      <c r="U1828">
        <v>251.90199999999999</v>
      </c>
      <c r="V1828">
        <f t="shared" si="56"/>
        <v>255.70599999999999</v>
      </c>
      <c r="W1828">
        <f t="shared" si="57"/>
        <v>7.6080000000000041</v>
      </c>
      <c r="X1828">
        <v>44.416668000000001</v>
      </c>
      <c r="Y1828">
        <v>-24</v>
      </c>
      <c r="Z1828" t="s">
        <v>124</v>
      </c>
      <c r="AA1828" t="s">
        <v>1913</v>
      </c>
      <c r="AB1828" t="s">
        <v>1914</v>
      </c>
      <c r="AD1828" t="s">
        <v>1915</v>
      </c>
      <c r="AE1828" t="s">
        <v>1916</v>
      </c>
      <c r="AH1828" t="s">
        <v>72</v>
      </c>
      <c r="AI1828" t="s">
        <v>2595</v>
      </c>
      <c r="AJ1828">
        <v>1926</v>
      </c>
      <c r="AK1828" t="s">
        <v>1918</v>
      </c>
      <c r="AM1828" t="s">
        <v>1919</v>
      </c>
      <c r="AN1828" t="s">
        <v>192</v>
      </c>
      <c r="AO1828" t="s">
        <v>657</v>
      </c>
      <c r="AP1828" t="s">
        <v>359</v>
      </c>
      <c r="AQ1828" t="s">
        <v>1920</v>
      </c>
      <c r="AR1828" t="s">
        <v>80</v>
      </c>
      <c r="AS1828">
        <v>702</v>
      </c>
      <c r="AT1828" t="s">
        <v>81</v>
      </c>
      <c r="AU1828">
        <v>22.51</v>
      </c>
      <c r="AV1828">
        <v>-42.93</v>
      </c>
      <c r="AW1828" t="s">
        <v>82</v>
      </c>
      <c r="AX1828">
        <v>702</v>
      </c>
      <c r="AY1828" t="s">
        <v>81</v>
      </c>
      <c r="AZ1828">
        <v>24.25</v>
      </c>
      <c r="BA1828">
        <v>-52.74</v>
      </c>
      <c r="BB1828" t="s">
        <v>83</v>
      </c>
    </row>
    <row r="1829" spans="1:54" x14ac:dyDescent="0.4">
      <c r="A1829">
        <v>1285964</v>
      </c>
      <c r="D1829" t="s">
        <v>498</v>
      </c>
      <c r="E1829" t="s">
        <v>55</v>
      </c>
      <c r="G1829">
        <v>1</v>
      </c>
      <c r="H1829" t="s">
        <v>56</v>
      </c>
      <c r="I1829" t="s">
        <v>57</v>
      </c>
      <c r="K1829" t="s">
        <v>2135</v>
      </c>
      <c r="L1829" t="s">
        <v>2606</v>
      </c>
      <c r="M1829" t="s">
        <v>60</v>
      </c>
      <c r="P1829" t="s">
        <v>511</v>
      </c>
      <c r="Q1829" t="s">
        <v>1536</v>
      </c>
      <c r="R1829" t="s">
        <v>512</v>
      </c>
      <c r="S1829" t="s">
        <v>123</v>
      </c>
      <c r="T1829">
        <v>259.51</v>
      </c>
      <c r="U1829">
        <v>251.90199999999999</v>
      </c>
      <c r="V1829">
        <f t="shared" si="56"/>
        <v>255.70599999999999</v>
      </c>
      <c r="W1829">
        <f t="shared" si="57"/>
        <v>7.6080000000000041</v>
      </c>
      <c r="X1829">
        <v>44.416668000000001</v>
      </c>
      <c r="Y1829">
        <v>-24</v>
      </c>
      <c r="Z1829" t="s">
        <v>124</v>
      </c>
      <c r="AA1829" t="s">
        <v>1913</v>
      </c>
      <c r="AB1829" t="s">
        <v>1914</v>
      </c>
      <c r="AD1829" t="s">
        <v>1915</v>
      </c>
      <c r="AE1829" t="s">
        <v>1916</v>
      </c>
      <c r="AH1829" t="s">
        <v>72</v>
      </c>
      <c r="AI1829" t="s">
        <v>2595</v>
      </c>
      <c r="AJ1829">
        <v>1926</v>
      </c>
      <c r="AK1829" t="s">
        <v>1918</v>
      </c>
      <c r="AM1829" t="s">
        <v>1919</v>
      </c>
      <c r="AN1829" t="s">
        <v>192</v>
      </c>
      <c r="AO1829" t="s">
        <v>657</v>
      </c>
      <c r="AP1829" t="s">
        <v>359</v>
      </c>
      <c r="AQ1829" t="s">
        <v>1920</v>
      </c>
      <c r="AR1829" t="s">
        <v>80</v>
      </c>
      <c r="AS1829">
        <v>702</v>
      </c>
      <c r="AT1829" t="s">
        <v>81</v>
      </c>
      <c r="AU1829">
        <v>22.51</v>
      </c>
      <c r="AV1829">
        <v>-42.93</v>
      </c>
      <c r="AW1829" t="s">
        <v>82</v>
      </c>
      <c r="AX1829">
        <v>702</v>
      </c>
      <c r="AY1829" t="s">
        <v>81</v>
      </c>
      <c r="AZ1829">
        <v>24.25</v>
      </c>
      <c r="BA1829">
        <v>-52.74</v>
      </c>
      <c r="BB1829" t="s">
        <v>83</v>
      </c>
    </row>
    <row r="1830" spans="1:54" x14ac:dyDescent="0.4">
      <c r="A1830">
        <v>1285964</v>
      </c>
      <c r="D1830" t="s">
        <v>498</v>
      </c>
      <c r="E1830" t="s">
        <v>55</v>
      </c>
      <c r="G1830">
        <v>1</v>
      </c>
      <c r="H1830" t="s">
        <v>56</v>
      </c>
      <c r="I1830" t="s">
        <v>57</v>
      </c>
      <c r="K1830" t="s">
        <v>2135</v>
      </c>
      <c r="L1830" t="s">
        <v>2606</v>
      </c>
      <c r="M1830" t="s">
        <v>60</v>
      </c>
      <c r="P1830" t="s">
        <v>511</v>
      </c>
      <c r="Q1830" t="s">
        <v>1536</v>
      </c>
      <c r="R1830" t="s">
        <v>512</v>
      </c>
      <c r="S1830" t="s">
        <v>123</v>
      </c>
      <c r="T1830">
        <v>259.51</v>
      </c>
      <c r="U1830">
        <v>251.90199999999999</v>
      </c>
      <c r="V1830">
        <f t="shared" si="56"/>
        <v>255.70599999999999</v>
      </c>
      <c r="W1830">
        <f t="shared" si="57"/>
        <v>7.6080000000000041</v>
      </c>
      <c r="X1830">
        <v>44.416668000000001</v>
      </c>
      <c r="Y1830">
        <v>-24</v>
      </c>
      <c r="Z1830" t="s">
        <v>124</v>
      </c>
      <c r="AA1830" t="s">
        <v>1913</v>
      </c>
      <c r="AB1830" t="s">
        <v>1914</v>
      </c>
      <c r="AD1830" t="s">
        <v>1915</v>
      </c>
      <c r="AE1830" t="s">
        <v>1916</v>
      </c>
      <c r="AH1830" t="s">
        <v>72</v>
      </c>
      <c r="AI1830" t="s">
        <v>2595</v>
      </c>
      <c r="AJ1830">
        <v>1926</v>
      </c>
      <c r="AK1830" t="s">
        <v>1918</v>
      </c>
      <c r="AM1830" t="s">
        <v>1919</v>
      </c>
      <c r="AN1830" t="s">
        <v>192</v>
      </c>
      <c r="AO1830" t="s">
        <v>657</v>
      </c>
      <c r="AP1830" t="s">
        <v>359</v>
      </c>
      <c r="AQ1830" t="s">
        <v>1920</v>
      </c>
      <c r="AR1830" t="s">
        <v>80</v>
      </c>
      <c r="AS1830">
        <v>702</v>
      </c>
      <c r="AT1830" t="s">
        <v>81</v>
      </c>
      <c r="AU1830">
        <v>22.51</v>
      </c>
      <c r="AV1830">
        <v>-42.93</v>
      </c>
      <c r="AW1830" t="s">
        <v>82</v>
      </c>
      <c r="AX1830">
        <v>702</v>
      </c>
      <c r="AY1830" t="s">
        <v>81</v>
      </c>
      <c r="AZ1830">
        <v>24.25</v>
      </c>
      <c r="BA1830">
        <v>-52.74</v>
      </c>
      <c r="BB1830" t="s">
        <v>83</v>
      </c>
    </row>
    <row r="1831" spans="1:54" x14ac:dyDescent="0.4">
      <c r="A1831">
        <v>1285964</v>
      </c>
      <c r="D1831" t="s">
        <v>498</v>
      </c>
      <c r="E1831" t="s">
        <v>55</v>
      </c>
      <c r="G1831">
        <v>1</v>
      </c>
      <c r="H1831" t="s">
        <v>56</v>
      </c>
      <c r="I1831" t="s">
        <v>57</v>
      </c>
      <c r="K1831" t="s">
        <v>2135</v>
      </c>
      <c r="L1831" t="s">
        <v>2606</v>
      </c>
      <c r="M1831" t="s">
        <v>60</v>
      </c>
      <c r="P1831" t="s">
        <v>511</v>
      </c>
      <c r="Q1831" t="s">
        <v>1536</v>
      </c>
      <c r="R1831" t="s">
        <v>512</v>
      </c>
      <c r="S1831" t="s">
        <v>123</v>
      </c>
      <c r="T1831">
        <v>259.51</v>
      </c>
      <c r="U1831">
        <v>251.90199999999999</v>
      </c>
      <c r="V1831">
        <f t="shared" si="56"/>
        <v>255.70599999999999</v>
      </c>
      <c r="W1831">
        <f t="shared" si="57"/>
        <v>7.6080000000000041</v>
      </c>
      <c r="X1831">
        <v>44.416668000000001</v>
      </c>
      <c r="Y1831">
        <v>-24</v>
      </c>
      <c r="Z1831" t="s">
        <v>124</v>
      </c>
      <c r="AA1831" t="s">
        <v>1913</v>
      </c>
      <c r="AB1831" t="s">
        <v>1914</v>
      </c>
      <c r="AD1831" t="s">
        <v>1915</v>
      </c>
      <c r="AE1831" t="s">
        <v>1916</v>
      </c>
      <c r="AH1831" t="s">
        <v>72</v>
      </c>
      <c r="AI1831" t="s">
        <v>2595</v>
      </c>
      <c r="AJ1831">
        <v>1926</v>
      </c>
      <c r="AK1831" t="s">
        <v>1918</v>
      </c>
      <c r="AM1831" t="s">
        <v>1919</v>
      </c>
      <c r="AN1831" t="s">
        <v>192</v>
      </c>
      <c r="AO1831" t="s">
        <v>657</v>
      </c>
      <c r="AP1831" t="s">
        <v>359</v>
      </c>
      <c r="AQ1831" t="s">
        <v>1920</v>
      </c>
      <c r="AR1831" t="s">
        <v>80</v>
      </c>
      <c r="AS1831">
        <v>702</v>
      </c>
      <c r="AT1831" t="s">
        <v>81</v>
      </c>
      <c r="AU1831">
        <v>22.51</v>
      </c>
      <c r="AV1831">
        <v>-42.93</v>
      </c>
      <c r="AW1831" t="s">
        <v>82</v>
      </c>
      <c r="AX1831">
        <v>702</v>
      </c>
      <c r="AY1831" t="s">
        <v>81</v>
      </c>
      <c r="AZ1831">
        <v>24.25</v>
      </c>
      <c r="BA1831">
        <v>-52.74</v>
      </c>
      <c r="BB1831" t="s">
        <v>83</v>
      </c>
    </row>
    <row r="1832" spans="1:54" x14ac:dyDescent="0.4">
      <c r="A1832">
        <v>1285964</v>
      </c>
      <c r="D1832" t="s">
        <v>498</v>
      </c>
      <c r="E1832" t="s">
        <v>55</v>
      </c>
      <c r="G1832">
        <v>1</v>
      </c>
      <c r="H1832" t="s">
        <v>56</v>
      </c>
      <c r="I1832" t="s">
        <v>57</v>
      </c>
      <c r="K1832" t="s">
        <v>2135</v>
      </c>
      <c r="L1832" t="s">
        <v>2606</v>
      </c>
      <c r="M1832" t="s">
        <v>60</v>
      </c>
      <c r="P1832" t="s">
        <v>511</v>
      </c>
      <c r="Q1832" t="s">
        <v>1536</v>
      </c>
      <c r="R1832" t="s">
        <v>512</v>
      </c>
      <c r="S1832" t="s">
        <v>123</v>
      </c>
      <c r="T1832">
        <v>259.51</v>
      </c>
      <c r="U1832">
        <v>251.90199999999999</v>
      </c>
      <c r="V1832">
        <f t="shared" si="56"/>
        <v>255.70599999999999</v>
      </c>
      <c r="W1832">
        <f t="shared" si="57"/>
        <v>7.6080000000000041</v>
      </c>
      <c r="X1832">
        <v>44.416668000000001</v>
      </c>
      <c r="Y1832">
        <v>-24</v>
      </c>
      <c r="Z1832" t="s">
        <v>124</v>
      </c>
      <c r="AA1832" t="s">
        <v>1913</v>
      </c>
      <c r="AB1832" t="s">
        <v>1914</v>
      </c>
      <c r="AD1832" t="s">
        <v>1915</v>
      </c>
      <c r="AE1832" t="s">
        <v>1916</v>
      </c>
      <c r="AH1832" t="s">
        <v>72</v>
      </c>
      <c r="AI1832" t="s">
        <v>2595</v>
      </c>
      <c r="AJ1832">
        <v>1926</v>
      </c>
      <c r="AK1832" t="s">
        <v>1918</v>
      </c>
      <c r="AM1832" t="s">
        <v>1919</v>
      </c>
      <c r="AN1832" t="s">
        <v>192</v>
      </c>
      <c r="AO1832" t="s">
        <v>657</v>
      </c>
      <c r="AP1832" t="s">
        <v>359</v>
      </c>
      <c r="AQ1832" t="s">
        <v>1920</v>
      </c>
      <c r="AR1832" t="s">
        <v>80</v>
      </c>
      <c r="AS1832">
        <v>702</v>
      </c>
      <c r="AT1832" t="s">
        <v>81</v>
      </c>
      <c r="AU1832">
        <v>22.51</v>
      </c>
      <c r="AV1832">
        <v>-42.93</v>
      </c>
      <c r="AW1832" t="s">
        <v>82</v>
      </c>
      <c r="AX1832">
        <v>702</v>
      </c>
      <c r="AY1832" t="s">
        <v>81</v>
      </c>
      <c r="AZ1832">
        <v>24.25</v>
      </c>
      <c r="BA1832">
        <v>-52.74</v>
      </c>
      <c r="BB1832" t="s">
        <v>83</v>
      </c>
    </row>
    <row r="1833" spans="1:54" x14ac:dyDescent="0.4">
      <c r="A1833">
        <v>1285964</v>
      </c>
      <c r="D1833" t="s">
        <v>498</v>
      </c>
      <c r="E1833" t="s">
        <v>55</v>
      </c>
      <c r="G1833">
        <v>1</v>
      </c>
      <c r="H1833" t="s">
        <v>56</v>
      </c>
      <c r="I1833" t="s">
        <v>57</v>
      </c>
      <c r="K1833" t="s">
        <v>2135</v>
      </c>
      <c r="L1833" t="s">
        <v>2606</v>
      </c>
      <c r="M1833" t="s">
        <v>60</v>
      </c>
      <c r="P1833" t="s">
        <v>511</v>
      </c>
      <c r="Q1833" t="s">
        <v>1536</v>
      </c>
      <c r="R1833" t="s">
        <v>512</v>
      </c>
      <c r="S1833" t="s">
        <v>123</v>
      </c>
      <c r="T1833">
        <v>259.51</v>
      </c>
      <c r="U1833">
        <v>251.90199999999999</v>
      </c>
      <c r="V1833">
        <f t="shared" si="56"/>
        <v>255.70599999999999</v>
      </c>
      <c r="W1833">
        <f t="shared" si="57"/>
        <v>7.6080000000000041</v>
      </c>
      <c r="X1833">
        <v>44.416668000000001</v>
      </c>
      <c r="Y1833">
        <v>-24</v>
      </c>
      <c r="Z1833" t="s">
        <v>124</v>
      </c>
      <c r="AA1833" t="s">
        <v>1913</v>
      </c>
      <c r="AB1833" t="s">
        <v>1914</v>
      </c>
      <c r="AD1833" t="s">
        <v>1915</v>
      </c>
      <c r="AE1833" t="s">
        <v>1916</v>
      </c>
      <c r="AH1833" t="s">
        <v>72</v>
      </c>
      <c r="AI1833" t="s">
        <v>2595</v>
      </c>
      <c r="AJ1833">
        <v>1926</v>
      </c>
      <c r="AK1833" t="s">
        <v>1918</v>
      </c>
      <c r="AM1833" t="s">
        <v>1919</v>
      </c>
      <c r="AN1833" t="s">
        <v>192</v>
      </c>
      <c r="AO1833" t="s">
        <v>657</v>
      </c>
      <c r="AP1833" t="s">
        <v>359</v>
      </c>
      <c r="AQ1833" t="s">
        <v>1920</v>
      </c>
      <c r="AR1833" t="s">
        <v>80</v>
      </c>
      <c r="AS1833">
        <v>702</v>
      </c>
      <c r="AT1833" t="s">
        <v>81</v>
      </c>
      <c r="AU1833">
        <v>22.51</v>
      </c>
      <c r="AV1833">
        <v>-42.93</v>
      </c>
      <c r="AW1833" t="s">
        <v>82</v>
      </c>
      <c r="AX1833">
        <v>702</v>
      </c>
      <c r="AY1833" t="s">
        <v>81</v>
      </c>
      <c r="AZ1833">
        <v>24.25</v>
      </c>
      <c r="BA1833">
        <v>-52.74</v>
      </c>
      <c r="BB1833" t="s">
        <v>83</v>
      </c>
    </row>
    <row r="1834" spans="1:54" x14ac:dyDescent="0.4">
      <c r="A1834">
        <v>1285964</v>
      </c>
      <c r="D1834" t="s">
        <v>498</v>
      </c>
      <c r="E1834" t="s">
        <v>55</v>
      </c>
      <c r="G1834">
        <v>1</v>
      </c>
      <c r="H1834" t="s">
        <v>56</v>
      </c>
      <c r="I1834" t="s">
        <v>57</v>
      </c>
      <c r="K1834" t="s">
        <v>2135</v>
      </c>
      <c r="L1834" t="s">
        <v>2606</v>
      </c>
      <c r="M1834" t="s">
        <v>60</v>
      </c>
      <c r="P1834" t="s">
        <v>511</v>
      </c>
      <c r="Q1834" t="s">
        <v>1536</v>
      </c>
      <c r="R1834" t="s">
        <v>512</v>
      </c>
      <c r="S1834" t="s">
        <v>123</v>
      </c>
      <c r="T1834">
        <v>259.51</v>
      </c>
      <c r="U1834">
        <v>251.90199999999999</v>
      </c>
      <c r="V1834">
        <f t="shared" si="56"/>
        <v>255.70599999999999</v>
      </c>
      <c r="W1834">
        <f t="shared" si="57"/>
        <v>7.6080000000000041</v>
      </c>
      <c r="X1834">
        <v>44.416668000000001</v>
      </c>
      <c r="Y1834">
        <v>-24</v>
      </c>
      <c r="Z1834" t="s">
        <v>124</v>
      </c>
      <c r="AA1834" t="s">
        <v>1913</v>
      </c>
      <c r="AB1834" t="s">
        <v>1914</v>
      </c>
      <c r="AD1834" t="s">
        <v>1915</v>
      </c>
      <c r="AE1834" t="s">
        <v>1916</v>
      </c>
      <c r="AH1834" t="s">
        <v>72</v>
      </c>
      <c r="AI1834" t="s">
        <v>2595</v>
      </c>
      <c r="AJ1834">
        <v>1926</v>
      </c>
      <c r="AK1834" t="s">
        <v>1918</v>
      </c>
      <c r="AM1834" t="s">
        <v>1919</v>
      </c>
      <c r="AN1834" t="s">
        <v>192</v>
      </c>
      <c r="AO1834" t="s">
        <v>657</v>
      </c>
      <c r="AP1834" t="s">
        <v>359</v>
      </c>
      <c r="AQ1834" t="s">
        <v>1920</v>
      </c>
      <c r="AR1834" t="s">
        <v>80</v>
      </c>
      <c r="AS1834">
        <v>702</v>
      </c>
      <c r="AT1834" t="s">
        <v>81</v>
      </c>
      <c r="AU1834">
        <v>22.51</v>
      </c>
      <c r="AV1834">
        <v>-42.93</v>
      </c>
      <c r="AW1834" t="s">
        <v>82</v>
      </c>
      <c r="AX1834">
        <v>702</v>
      </c>
      <c r="AY1834" t="s">
        <v>81</v>
      </c>
      <c r="AZ1834">
        <v>24.25</v>
      </c>
      <c r="BA1834">
        <v>-52.74</v>
      </c>
      <c r="BB1834" t="s">
        <v>83</v>
      </c>
    </row>
    <row r="1835" spans="1:54" x14ac:dyDescent="0.4">
      <c r="A1835">
        <v>1285964</v>
      </c>
      <c r="D1835" t="s">
        <v>498</v>
      </c>
      <c r="E1835" t="s">
        <v>55</v>
      </c>
      <c r="G1835">
        <v>1</v>
      </c>
      <c r="H1835" t="s">
        <v>56</v>
      </c>
      <c r="I1835" t="s">
        <v>57</v>
      </c>
      <c r="K1835" t="s">
        <v>2135</v>
      </c>
      <c r="L1835" t="s">
        <v>2606</v>
      </c>
      <c r="M1835" t="s">
        <v>60</v>
      </c>
      <c r="P1835" t="s">
        <v>511</v>
      </c>
      <c r="Q1835" t="s">
        <v>1536</v>
      </c>
      <c r="R1835" t="s">
        <v>512</v>
      </c>
      <c r="S1835" t="s">
        <v>123</v>
      </c>
      <c r="T1835">
        <v>259.51</v>
      </c>
      <c r="U1835">
        <v>251.90199999999999</v>
      </c>
      <c r="V1835">
        <f t="shared" si="56"/>
        <v>255.70599999999999</v>
      </c>
      <c r="W1835">
        <f t="shared" si="57"/>
        <v>7.6080000000000041</v>
      </c>
      <c r="X1835">
        <v>44.416668000000001</v>
      </c>
      <c r="Y1835">
        <v>-24</v>
      </c>
      <c r="Z1835" t="s">
        <v>124</v>
      </c>
      <c r="AA1835" t="s">
        <v>1913</v>
      </c>
      <c r="AB1835" t="s">
        <v>1914</v>
      </c>
      <c r="AD1835" t="s">
        <v>1915</v>
      </c>
      <c r="AE1835" t="s">
        <v>1916</v>
      </c>
      <c r="AH1835" t="s">
        <v>72</v>
      </c>
      <c r="AI1835" t="s">
        <v>2595</v>
      </c>
      <c r="AJ1835">
        <v>1926</v>
      </c>
      <c r="AK1835" t="s">
        <v>1918</v>
      </c>
      <c r="AM1835" t="s">
        <v>1919</v>
      </c>
      <c r="AN1835" t="s">
        <v>192</v>
      </c>
      <c r="AO1835" t="s">
        <v>657</v>
      </c>
      <c r="AP1835" t="s">
        <v>359</v>
      </c>
      <c r="AQ1835" t="s">
        <v>1920</v>
      </c>
      <c r="AR1835" t="s">
        <v>80</v>
      </c>
      <c r="AS1835">
        <v>702</v>
      </c>
      <c r="AT1835" t="s">
        <v>81</v>
      </c>
      <c r="AU1835">
        <v>22.51</v>
      </c>
      <c r="AV1835">
        <v>-42.93</v>
      </c>
      <c r="AW1835" t="s">
        <v>82</v>
      </c>
      <c r="AX1835">
        <v>702</v>
      </c>
      <c r="AY1835" t="s">
        <v>81</v>
      </c>
      <c r="AZ1835">
        <v>24.25</v>
      </c>
      <c r="BA1835">
        <v>-52.74</v>
      </c>
      <c r="BB1835" t="s">
        <v>83</v>
      </c>
    </row>
    <row r="1836" spans="1:54" x14ac:dyDescent="0.4">
      <c r="A1836">
        <v>1285964</v>
      </c>
      <c r="D1836" t="s">
        <v>498</v>
      </c>
      <c r="E1836" t="s">
        <v>55</v>
      </c>
      <c r="G1836">
        <v>1</v>
      </c>
      <c r="H1836" t="s">
        <v>56</v>
      </c>
      <c r="I1836" t="s">
        <v>57</v>
      </c>
      <c r="K1836" t="s">
        <v>2135</v>
      </c>
      <c r="L1836" t="s">
        <v>2606</v>
      </c>
      <c r="M1836" t="s">
        <v>60</v>
      </c>
      <c r="P1836" t="s">
        <v>511</v>
      </c>
      <c r="Q1836" t="s">
        <v>1536</v>
      </c>
      <c r="R1836" t="s">
        <v>512</v>
      </c>
      <c r="S1836" t="s">
        <v>123</v>
      </c>
      <c r="T1836">
        <v>259.51</v>
      </c>
      <c r="U1836">
        <v>251.90199999999999</v>
      </c>
      <c r="V1836">
        <f t="shared" si="56"/>
        <v>255.70599999999999</v>
      </c>
      <c r="W1836">
        <f t="shared" si="57"/>
        <v>7.6080000000000041</v>
      </c>
      <c r="X1836">
        <v>44.416668000000001</v>
      </c>
      <c r="Y1836">
        <v>-24</v>
      </c>
      <c r="Z1836" t="s">
        <v>124</v>
      </c>
      <c r="AA1836" t="s">
        <v>1913</v>
      </c>
      <c r="AB1836" t="s">
        <v>1914</v>
      </c>
      <c r="AD1836" t="s">
        <v>1915</v>
      </c>
      <c r="AE1836" t="s">
        <v>1916</v>
      </c>
      <c r="AH1836" t="s">
        <v>72</v>
      </c>
      <c r="AI1836" t="s">
        <v>2595</v>
      </c>
      <c r="AJ1836">
        <v>1926</v>
      </c>
      <c r="AK1836" t="s">
        <v>1918</v>
      </c>
      <c r="AM1836" t="s">
        <v>1919</v>
      </c>
      <c r="AN1836" t="s">
        <v>192</v>
      </c>
      <c r="AO1836" t="s">
        <v>657</v>
      </c>
      <c r="AP1836" t="s">
        <v>359</v>
      </c>
      <c r="AQ1836" t="s">
        <v>1920</v>
      </c>
      <c r="AR1836" t="s">
        <v>80</v>
      </c>
      <c r="AS1836">
        <v>702</v>
      </c>
      <c r="AT1836" t="s">
        <v>81</v>
      </c>
      <c r="AU1836">
        <v>22.51</v>
      </c>
      <c r="AV1836">
        <v>-42.93</v>
      </c>
      <c r="AW1836" t="s">
        <v>82</v>
      </c>
      <c r="AX1836">
        <v>702</v>
      </c>
      <c r="AY1836" t="s">
        <v>81</v>
      </c>
      <c r="AZ1836">
        <v>24.25</v>
      </c>
      <c r="BA1836">
        <v>-52.74</v>
      </c>
      <c r="BB1836" t="s">
        <v>83</v>
      </c>
    </row>
    <row r="1837" spans="1:54" x14ac:dyDescent="0.4">
      <c r="A1837">
        <v>1285964</v>
      </c>
      <c r="D1837" t="s">
        <v>498</v>
      </c>
      <c r="E1837" t="s">
        <v>55</v>
      </c>
      <c r="G1837">
        <v>1</v>
      </c>
      <c r="H1837" t="s">
        <v>56</v>
      </c>
      <c r="I1837" t="s">
        <v>57</v>
      </c>
      <c r="K1837" t="s">
        <v>2135</v>
      </c>
      <c r="L1837" t="s">
        <v>2606</v>
      </c>
      <c r="M1837" t="s">
        <v>60</v>
      </c>
      <c r="P1837" t="s">
        <v>511</v>
      </c>
      <c r="Q1837" t="s">
        <v>1536</v>
      </c>
      <c r="R1837" t="s">
        <v>512</v>
      </c>
      <c r="S1837" t="s">
        <v>123</v>
      </c>
      <c r="T1837">
        <v>259.51</v>
      </c>
      <c r="U1837">
        <v>251.90199999999999</v>
      </c>
      <c r="V1837">
        <f t="shared" si="56"/>
        <v>255.70599999999999</v>
      </c>
      <c r="W1837">
        <f t="shared" si="57"/>
        <v>7.6080000000000041</v>
      </c>
      <c r="X1837">
        <v>44.416668000000001</v>
      </c>
      <c r="Y1837">
        <v>-24</v>
      </c>
      <c r="Z1837" t="s">
        <v>124</v>
      </c>
      <c r="AA1837" t="s">
        <v>1913</v>
      </c>
      <c r="AB1837" t="s">
        <v>1914</v>
      </c>
      <c r="AD1837" t="s">
        <v>1915</v>
      </c>
      <c r="AE1837" t="s">
        <v>1916</v>
      </c>
      <c r="AH1837" t="s">
        <v>72</v>
      </c>
      <c r="AI1837" t="s">
        <v>2595</v>
      </c>
      <c r="AJ1837">
        <v>1926</v>
      </c>
      <c r="AK1837" t="s">
        <v>1918</v>
      </c>
      <c r="AM1837" t="s">
        <v>1919</v>
      </c>
      <c r="AN1837" t="s">
        <v>192</v>
      </c>
      <c r="AO1837" t="s">
        <v>657</v>
      </c>
      <c r="AP1837" t="s">
        <v>359</v>
      </c>
      <c r="AQ1837" t="s">
        <v>1920</v>
      </c>
      <c r="AR1837" t="s">
        <v>80</v>
      </c>
      <c r="AS1837">
        <v>702</v>
      </c>
      <c r="AT1837" t="s">
        <v>81</v>
      </c>
      <c r="AU1837">
        <v>22.51</v>
      </c>
      <c r="AV1837">
        <v>-42.93</v>
      </c>
      <c r="AW1837" t="s">
        <v>82</v>
      </c>
      <c r="AX1837">
        <v>702</v>
      </c>
      <c r="AY1837" t="s">
        <v>81</v>
      </c>
      <c r="AZ1837">
        <v>24.25</v>
      </c>
      <c r="BA1837">
        <v>-52.74</v>
      </c>
      <c r="BB1837" t="s">
        <v>83</v>
      </c>
    </row>
    <row r="1838" spans="1:54" x14ac:dyDescent="0.4">
      <c r="A1838">
        <v>1285964</v>
      </c>
      <c r="D1838" t="s">
        <v>498</v>
      </c>
      <c r="E1838" t="s">
        <v>55</v>
      </c>
      <c r="G1838">
        <v>1</v>
      </c>
      <c r="H1838" t="s">
        <v>56</v>
      </c>
      <c r="I1838" t="s">
        <v>57</v>
      </c>
      <c r="K1838" t="s">
        <v>2135</v>
      </c>
      <c r="L1838" t="s">
        <v>2606</v>
      </c>
      <c r="M1838" t="s">
        <v>60</v>
      </c>
      <c r="P1838" t="s">
        <v>511</v>
      </c>
      <c r="Q1838" t="s">
        <v>1536</v>
      </c>
      <c r="R1838" t="s">
        <v>512</v>
      </c>
      <c r="S1838" t="s">
        <v>123</v>
      </c>
      <c r="T1838">
        <v>259.51</v>
      </c>
      <c r="U1838">
        <v>251.90199999999999</v>
      </c>
      <c r="V1838">
        <f t="shared" si="56"/>
        <v>255.70599999999999</v>
      </c>
      <c r="W1838">
        <f t="shared" si="57"/>
        <v>7.6080000000000041</v>
      </c>
      <c r="X1838">
        <v>44.416668000000001</v>
      </c>
      <c r="Y1838">
        <v>-24</v>
      </c>
      <c r="Z1838" t="s">
        <v>124</v>
      </c>
      <c r="AA1838" t="s">
        <v>1913</v>
      </c>
      <c r="AB1838" t="s">
        <v>1914</v>
      </c>
      <c r="AD1838" t="s">
        <v>1915</v>
      </c>
      <c r="AE1838" t="s">
        <v>1916</v>
      </c>
      <c r="AH1838" t="s">
        <v>72</v>
      </c>
      <c r="AI1838" t="s">
        <v>2595</v>
      </c>
      <c r="AJ1838">
        <v>1926</v>
      </c>
      <c r="AK1838" t="s">
        <v>1918</v>
      </c>
      <c r="AM1838" t="s">
        <v>1919</v>
      </c>
      <c r="AN1838" t="s">
        <v>192</v>
      </c>
      <c r="AO1838" t="s">
        <v>657</v>
      </c>
      <c r="AP1838" t="s">
        <v>359</v>
      </c>
      <c r="AQ1838" t="s">
        <v>1920</v>
      </c>
      <c r="AR1838" t="s">
        <v>80</v>
      </c>
      <c r="AS1838">
        <v>702</v>
      </c>
      <c r="AT1838" t="s">
        <v>81</v>
      </c>
      <c r="AU1838">
        <v>22.51</v>
      </c>
      <c r="AV1838">
        <v>-42.93</v>
      </c>
      <c r="AW1838" t="s">
        <v>82</v>
      </c>
      <c r="AX1838">
        <v>702</v>
      </c>
      <c r="AY1838" t="s">
        <v>81</v>
      </c>
      <c r="AZ1838">
        <v>24.25</v>
      </c>
      <c r="BA1838">
        <v>-52.74</v>
      </c>
      <c r="BB1838" t="s">
        <v>83</v>
      </c>
    </row>
    <row r="1839" spans="1:54" x14ac:dyDescent="0.4">
      <c r="A1839">
        <v>1285964</v>
      </c>
      <c r="D1839" t="s">
        <v>498</v>
      </c>
      <c r="E1839" t="s">
        <v>55</v>
      </c>
      <c r="G1839">
        <v>1</v>
      </c>
      <c r="H1839" t="s">
        <v>56</v>
      </c>
      <c r="I1839" t="s">
        <v>57</v>
      </c>
      <c r="K1839" t="s">
        <v>2135</v>
      </c>
      <c r="L1839" t="s">
        <v>2606</v>
      </c>
      <c r="M1839" t="s">
        <v>60</v>
      </c>
      <c r="P1839" t="s">
        <v>511</v>
      </c>
      <c r="Q1839" t="s">
        <v>1536</v>
      </c>
      <c r="R1839" t="s">
        <v>512</v>
      </c>
      <c r="S1839" t="s">
        <v>123</v>
      </c>
      <c r="T1839">
        <v>259.51</v>
      </c>
      <c r="U1839">
        <v>251.90199999999999</v>
      </c>
      <c r="V1839">
        <f t="shared" si="56"/>
        <v>255.70599999999999</v>
      </c>
      <c r="W1839">
        <f t="shared" si="57"/>
        <v>7.6080000000000041</v>
      </c>
      <c r="X1839">
        <v>44.416668000000001</v>
      </c>
      <c r="Y1839">
        <v>-24</v>
      </c>
      <c r="Z1839" t="s">
        <v>124</v>
      </c>
      <c r="AA1839" t="s">
        <v>1913</v>
      </c>
      <c r="AB1839" t="s">
        <v>1914</v>
      </c>
      <c r="AD1839" t="s">
        <v>1915</v>
      </c>
      <c r="AE1839" t="s">
        <v>1916</v>
      </c>
      <c r="AH1839" t="s">
        <v>72</v>
      </c>
      <c r="AI1839" t="s">
        <v>2595</v>
      </c>
      <c r="AJ1839">
        <v>1926</v>
      </c>
      <c r="AK1839" t="s">
        <v>1918</v>
      </c>
      <c r="AM1839" t="s">
        <v>1919</v>
      </c>
      <c r="AN1839" t="s">
        <v>192</v>
      </c>
      <c r="AO1839" t="s">
        <v>657</v>
      </c>
      <c r="AP1839" t="s">
        <v>359</v>
      </c>
      <c r="AQ1839" t="s">
        <v>1920</v>
      </c>
      <c r="AR1839" t="s">
        <v>80</v>
      </c>
      <c r="AS1839">
        <v>702</v>
      </c>
      <c r="AT1839" t="s">
        <v>81</v>
      </c>
      <c r="AU1839">
        <v>22.51</v>
      </c>
      <c r="AV1839">
        <v>-42.93</v>
      </c>
      <c r="AW1839" t="s">
        <v>82</v>
      </c>
      <c r="AX1839">
        <v>702</v>
      </c>
      <c r="AY1839" t="s">
        <v>81</v>
      </c>
      <c r="AZ1839">
        <v>24.25</v>
      </c>
      <c r="BA1839">
        <v>-52.74</v>
      </c>
      <c r="BB1839" t="s">
        <v>83</v>
      </c>
    </row>
    <row r="1840" spans="1:54" x14ac:dyDescent="0.4">
      <c r="A1840">
        <v>1285964</v>
      </c>
      <c r="D1840" t="s">
        <v>498</v>
      </c>
      <c r="E1840" t="s">
        <v>55</v>
      </c>
      <c r="G1840">
        <v>1</v>
      </c>
      <c r="H1840" t="s">
        <v>56</v>
      </c>
      <c r="I1840" t="s">
        <v>57</v>
      </c>
      <c r="K1840" t="s">
        <v>2135</v>
      </c>
      <c r="L1840" t="s">
        <v>2606</v>
      </c>
      <c r="M1840" t="s">
        <v>60</v>
      </c>
      <c r="P1840" t="s">
        <v>511</v>
      </c>
      <c r="Q1840" t="s">
        <v>1536</v>
      </c>
      <c r="R1840" t="s">
        <v>512</v>
      </c>
      <c r="S1840" t="s">
        <v>123</v>
      </c>
      <c r="T1840">
        <v>259.51</v>
      </c>
      <c r="U1840">
        <v>251.90199999999999</v>
      </c>
      <c r="V1840">
        <f t="shared" si="56"/>
        <v>255.70599999999999</v>
      </c>
      <c r="W1840">
        <f t="shared" si="57"/>
        <v>7.6080000000000041</v>
      </c>
      <c r="X1840">
        <v>44.416668000000001</v>
      </c>
      <c r="Y1840">
        <v>-24</v>
      </c>
      <c r="Z1840" t="s">
        <v>124</v>
      </c>
      <c r="AA1840" t="s">
        <v>1913</v>
      </c>
      <c r="AB1840" t="s">
        <v>1914</v>
      </c>
      <c r="AD1840" t="s">
        <v>1915</v>
      </c>
      <c r="AE1840" t="s">
        <v>1916</v>
      </c>
      <c r="AH1840" t="s">
        <v>72</v>
      </c>
      <c r="AI1840" t="s">
        <v>2595</v>
      </c>
      <c r="AJ1840">
        <v>1926</v>
      </c>
      <c r="AK1840" t="s">
        <v>1918</v>
      </c>
      <c r="AM1840" t="s">
        <v>1919</v>
      </c>
      <c r="AN1840" t="s">
        <v>192</v>
      </c>
      <c r="AO1840" t="s">
        <v>657</v>
      </c>
      <c r="AP1840" t="s">
        <v>359</v>
      </c>
      <c r="AQ1840" t="s">
        <v>1920</v>
      </c>
      <c r="AR1840" t="s">
        <v>80</v>
      </c>
      <c r="AS1840">
        <v>702</v>
      </c>
      <c r="AT1840" t="s">
        <v>81</v>
      </c>
      <c r="AU1840">
        <v>22.51</v>
      </c>
      <c r="AV1840">
        <v>-42.93</v>
      </c>
      <c r="AW1840" t="s">
        <v>82</v>
      </c>
      <c r="AX1840">
        <v>702</v>
      </c>
      <c r="AY1840" t="s">
        <v>81</v>
      </c>
      <c r="AZ1840">
        <v>24.25</v>
      </c>
      <c r="BA1840">
        <v>-52.74</v>
      </c>
      <c r="BB1840" t="s">
        <v>83</v>
      </c>
    </row>
    <row r="1841" spans="1:54" x14ac:dyDescent="0.4">
      <c r="A1841">
        <v>1285964</v>
      </c>
      <c r="D1841" t="s">
        <v>498</v>
      </c>
      <c r="E1841" t="s">
        <v>55</v>
      </c>
      <c r="G1841">
        <v>1</v>
      </c>
      <c r="H1841" t="s">
        <v>56</v>
      </c>
      <c r="I1841" t="s">
        <v>57</v>
      </c>
      <c r="K1841" t="s">
        <v>2135</v>
      </c>
      <c r="L1841" t="s">
        <v>2606</v>
      </c>
      <c r="M1841" t="s">
        <v>60</v>
      </c>
      <c r="P1841" t="s">
        <v>511</v>
      </c>
      <c r="Q1841" t="s">
        <v>1536</v>
      </c>
      <c r="R1841" t="s">
        <v>512</v>
      </c>
      <c r="S1841" t="s">
        <v>123</v>
      </c>
      <c r="T1841">
        <v>259.51</v>
      </c>
      <c r="U1841">
        <v>251.90199999999999</v>
      </c>
      <c r="V1841">
        <f t="shared" si="56"/>
        <v>255.70599999999999</v>
      </c>
      <c r="W1841">
        <f t="shared" si="57"/>
        <v>7.6080000000000041</v>
      </c>
      <c r="X1841">
        <v>44.416668000000001</v>
      </c>
      <c r="Y1841">
        <v>-24</v>
      </c>
      <c r="Z1841" t="s">
        <v>124</v>
      </c>
      <c r="AA1841" t="s">
        <v>1913</v>
      </c>
      <c r="AB1841" t="s">
        <v>1914</v>
      </c>
      <c r="AD1841" t="s">
        <v>1915</v>
      </c>
      <c r="AE1841" t="s">
        <v>1916</v>
      </c>
      <c r="AH1841" t="s">
        <v>72</v>
      </c>
      <c r="AI1841" t="s">
        <v>2595</v>
      </c>
      <c r="AJ1841">
        <v>1926</v>
      </c>
      <c r="AK1841" t="s">
        <v>1918</v>
      </c>
      <c r="AM1841" t="s">
        <v>1919</v>
      </c>
      <c r="AN1841" t="s">
        <v>192</v>
      </c>
      <c r="AO1841" t="s">
        <v>657</v>
      </c>
      <c r="AP1841" t="s">
        <v>359</v>
      </c>
      <c r="AQ1841" t="s">
        <v>1920</v>
      </c>
      <c r="AR1841" t="s">
        <v>80</v>
      </c>
      <c r="AS1841">
        <v>702</v>
      </c>
      <c r="AT1841" t="s">
        <v>81</v>
      </c>
      <c r="AU1841">
        <v>22.51</v>
      </c>
      <c r="AV1841">
        <v>-42.93</v>
      </c>
      <c r="AW1841" t="s">
        <v>82</v>
      </c>
      <c r="AX1841">
        <v>702</v>
      </c>
      <c r="AY1841" t="s">
        <v>81</v>
      </c>
      <c r="AZ1841">
        <v>24.25</v>
      </c>
      <c r="BA1841">
        <v>-52.74</v>
      </c>
      <c r="BB1841" t="s">
        <v>83</v>
      </c>
    </row>
    <row r="1842" spans="1:54" x14ac:dyDescent="0.4">
      <c r="A1842">
        <v>1285964</v>
      </c>
      <c r="D1842" t="s">
        <v>498</v>
      </c>
      <c r="E1842" t="s">
        <v>55</v>
      </c>
      <c r="G1842">
        <v>1</v>
      </c>
      <c r="H1842" t="s">
        <v>56</v>
      </c>
      <c r="I1842" t="s">
        <v>57</v>
      </c>
      <c r="K1842" t="s">
        <v>2135</v>
      </c>
      <c r="L1842" t="s">
        <v>2606</v>
      </c>
      <c r="M1842" t="s">
        <v>60</v>
      </c>
      <c r="P1842" t="s">
        <v>511</v>
      </c>
      <c r="Q1842" t="s">
        <v>1536</v>
      </c>
      <c r="R1842" t="s">
        <v>512</v>
      </c>
      <c r="S1842" t="s">
        <v>123</v>
      </c>
      <c r="T1842">
        <v>259.51</v>
      </c>
      <c r="U1842">
        <v>251.90199999999999</v>
      </c>
      <c r="V1842">
        <f t="shared" si="56"/>
        <v>255.70599999999999</v>
      </c>
      <c r="W1842">
        <f t="shared" si="57"/>
        <v>7.6080000000000041</v>
      </c>
      <c r="X1842">
        <v>44.416668000000001</v>
      </c>
      <c r="Y1842">
        <v>-24</v>
      </c>
      <c r="Z1842" t="s">
        <v>124</v>
      </c>
      <c r="AA1842" t="s">
        <v>1913</v>
      </c>
      <c r="AB1842" t="s">
        <v>1914</v>
      </c>
      <c r="AD1842" t="s">
        <v>1915</v>
      </c>
      <c r="AE1842" t="s">
        <v>1916</v>
      </c>
      <c r="AH1842" t="s">
        <v>72</v>
      </c>
      <c r="AI1842" t="s">
        <v>2595</v>
      </c>
      <c r="AJ1842">
        <v>1926</v>
      </c>
      <c r="AK1842" t="s">
        <v>1918</v>
      </c>
      <c r="AM1842" t="s">
        <v>1919</v>
      </c>
      <c r="AN1842" t="s">
        <v>192</v>
      </c>
      <c r="AO1842" t="s">
        <v>657</v>
      </c>
      <c r="AP1842" t="s">
        <v>359</v>
      </c>
      <c r="AQ1842" t="s">
        <v>1920</v>
      </c>
      <c r="AR1842" t="s">
        <v>80</v>
      </c>
      <c r="AS1842">
        <v>702</v>
      </c>
      <c r="AT1842" t="s">
        <v>81</v>
      </c>
      <c r="AU1842">
        <v>22.51</v>
      </c>
      <c r="AV1842">
        <v>-42.93</v>
      </c>
      <c r="AW1842" t="s">
        <v>82</v>
      </c>
      <c r="AX1842">
        <v>702</v>
      </c>
      <c r="AY1842" t="s">
        <v>81</v>
      </c>
      <c r="AZ1842">
        <v>24.25</v>
      </c>
      <c r="BA1842">
        <v>-52.74</v>
      </c>
      <c r="BB1842" t="s">
        <v>83</v>
      </c>
    </row>
    <row r="1843" spans="1:54" x14ac:dyDescent="0.4">
      <c r="A1843">
        <v>1285964</v>
      </c>
      <c r="D1843" t="s">
        <v>498</v>
      </c>
      <c r="E1843" t="s">
        <v>55</v>
      </c>
      <c r="G1843">
        <v>1</v>
      </c>
      <c r="H1843" t="s">
        <v>56</v>
      </c>
      <c r="I1843" t="s">
        <v>57</v>
      </c>
      <c r="K1843" t="s">
        <v>2135</v>
      </c>
      <c r="L1843" t="s">
        <v>2606</v>
      </c>
      <c r="M1843" t="s">
        <v>60</v>
      </c>
      <c r="P1843" t="s">
        <v>511</v>
      </c>
      <c r="Q1843" t="s">
        <v>1536</v>
      </c>
      <c r="R1843" t="s">
        <v>512</v>
      </c>
      <c r="S1843" t="s">
        <v>123</v>
      </c>
      <c r="T1843">
        <v>259.51</v>
      </c>
      <c r="U1843">
        <v>251.90199999999999</v>
      </c>
      <c r="V1843">
        <f t="shared" si="56"/>
        <v>255.70599999999999</v>
      </c>
      <c r="W1843">
        <f t="shared" si="57"/>
        <v>7.6080000000000041</v>
      </c>
      <c r="X1843">
        <v>44.416668000000001</v>
      </c>
      <c r="Y1843">
        <v>-24</v>
      </c>
      <c r="Z1843" t="s">
        <v>124</v>
      </c>
      <c r="AA1843" t="s">
        <v>1913</v>
      </c>
      <c r="AB1843" t="s">
        <v>1914</v>
      </c>
      <c r="AD1843" t="s">
        <v>1915</v>
      </c>
      <c r="AE1843" t="s">
        <v>1916</v>
      </c>
      <c r="AH1843" t="s">
        <v>72</v>
      </c>
      <c r="AI1843" t="s">
        <v>2595</v>
      </c>
      <c r="AJ1843">
        <v>1926</v>
      </c>
      <c r="AK1843" t="s">
        <v>1918</v>
      </c>
      <c r="AM1843" t="s">
        <v>1919</v>
      </c>
      <c r="AN1843" t="s">
        <v>192</v>
      </c>
      <c r="AO1843" t="s">
        <v>657</v>
      </c>
      <c r="AP1843" t="s">
        <v>359</v>
      </c>
      <c r="AQ1843" t="s">
        <v>1920</v>
      </c>
      <c r="AR1843" t="s">
        <v>80</v>
      </c>
      <c r="AS1843">
        <v>702</v>
      </c>
      <c r="AT1843" t="s">
        <v>81</v>
      </c>
      <c r="AU1843">
        <v>22.51</v>
      </c>
      <c r="AV1843">
        <v>-42.93</v>
      </c>
      <c r="AW1843" t="s">
        <v>82</v>
      </c>
      <c r="AX1843">
        <v>702</v>
      </c>
      <c r="AY1843" t="s">
        <v>81</v>
      </c>
      <c r="AZ1843">
        <v>24.25</v>
      </c>
      <c r="BA1843">
        <v>-52.74</v>
      </c>
      <c r="BB1843" t="s">
        <v>83</v>
      </c>
    </row>
    <row r="1844" spans="1:54" x14ac:dyDescent="0.4">
      <c r="A1844">
        <v>1285964</v>
      </c>
      <c r="D1844" t="s">
        <v>498</v>
      </c>
      <c r="E1844" t="s">
        <v>55</v>
      </c>
      <c r="G1844">
        <v>1</v>
      </c>
      <c r="H1844" t="s">
        <v>56</v>
      </c>
      <c r="I1844" t="s">
        <v>57</v>
      </c>
      <c r="K1844" t="s">
        <v>2135</v>
      </c>
      <c r="L1844" t="s">
        <v>2606</v>
      </c>
      <c r="M1844" t="s">
        <v>60</v>
      </c>
      <c r="P1844" t="s">
        <v>511</v>
      </c>
      <c r="Q1844" t="s">
        <v>1536</v>
      </c>
      <c r="R1844" t="s">
        <v>512</v>
      </c>
      <c r="S1844" t="s">
        <v>123</v>
      </c>
      <c r="T1844">
        <v>259.51</v>
      </c>
      <c r="U1844">
        <v>251.90199999999999</v>
      </c>
      <c r="V1844">
        <f t="shared" si="56"/>
        <v>255.70599999999999</v>
      </c>
      <c r="W1844">
        <f t="shared" si="57"/>
        <v>7.6080000000000041</v>
      </c>
      <c r="X1844">
        <v>44.416668000000001</v>
      </c>
      <c r="Y1844">
        <v>-24</v>
      </c>
      <c r="Z1844" t="s">
        <v>124</v>
      </c>
      <c r="AA1844" t="s">
        <v>1913</v>
      </c>
      <c r="AB1844" t="s">
        <v>1914</v>
      </c>
      <c r="AD1844" t="s">
        <v>1915</v>
      </c>
      <c r="AE1844" t="s">
        <v>1916</v>
      </c>
      <c r="AH1844" t="s">
        <v>72</v>
      </c>
      <c r="AI1844" t="s">
        <v>2595</v>
      </c>
      <c r="AJ1844">
        <v>1926</v>
      </c>
      <c r="AK1844" t="s">
        <v>1918</v>
      </c>
      <c r="AM1844" t="s">
        <v>1919</v>
      </c>
      <c r="AN1844" t="s">
        <v>192</v>
      </c>
      <c r="AO1844" t="s">
        <v>657</v>
      </c>
      <c r="AP1844" t="s">
        <v>359</v>
      </c>
      <c r="AQ1844" t="s">
        <v>1920</v>
      </c>
      <c r="AR1844" t="s">
        <v>80</v>
      </c>
      <c r="AS1844">
        <v>702</v>
      </c>
      <c r="AT1844" t="s">
        <v>81</v>
      </c>
      <c r="AU1844">
        <v>22.51</v>
      </c>
      <c r="AV1844">
        <v>-42.93</v>
      </c>
      <c r="AW1844" t="s">
        <v>82</v>
      </c>
      <c r="AX1844">
        <v>702</v>
      </c>
      <c r="AY1844" t="s">
        <v>81</v>
      </c>
      <c r="AZ1844">
        <v>24.25</v>
      </c>
      <c r="BA1844">
        <v>-52.74</v>
      </c>
      <c r="BB1844" t="s">
        <v>83</v>
      </c>
    </row>
    <row r="1845" spans="1:54" x14ac:dyDescent="0.4">
      <c r="A1845">
        <v>1285964</v>
      </c>
      <c r="D1845" t="s">
        <v>498</v>
      </c>
      <c r="E1845" t="s">
        <v>55</v>
      </c>
      <c r="G1845">
        <v>1</v>
      </c>
      <c r="H1845" t="s">
        <v>56</v>
      </c>
      <c r="I1845" t="s">
        <v>57</v>
      </c>
      <c r="K1845" t="s">
        <v>2135</v>
      </c>
      <c r="L1845" t="s">
        <v>2606</v>
      </c>
      <c r="M1845" t="s">
        <v>60</v>
      </c>
      <c r="P1845" t="s">
        <v>511</v>
      </c>
      <c r="Q1845" t="s">
        <v>1536</v>
      </c>
      <c r="R1845" t="s">
        <v>512</v>
      </c>
      <c r="S1845" t="s">
        <v>123</v>
      </c>
      <c r="T1845">
        <v>259.51</v>
      </c>
      <c r="U1845">
        <v>251.90199999999999</v>
      </c>
      <c r="V1845">
        <f t="shared" si="56"/>
        <v>255.70599999999999</v>
      </c>
      <c r="W1845">
        <f t="shared" si="57"/>
        <v>7.6080000000000041</v>
      </c>
      <c r="X1845">
        <v>44.416668000000001</v>
      </c>
      <c r="Y1845">
        <v>-24</v>
      </c>
      <c r="Z1845" t="s">
        <v>124</v>
      </c>
      <c r="AA1845" t="s">
        <v>1913</v>
      </c>
      <c r="AB1845" t="s">
        <v>1914</v>
      </c>
      <c r="AD1845" t="s">
        <v>1915</v>
      </c>
      <c r="AE1845" t="s">
        <v>1916</v>
      </c>
      <c r="AH1845" t="s">
        <v>72</v>
      </c>
      <c r="AI1845" t="s">
        <v>2595</v>
      </c>
      <c r="AJ1845">
        <v>1926</v>
      </c>
      <c r="AK1845" t="s">
        <v>1918</v>
      </c>
      <c r="AM1845" t="s">
        <v>1919</v>
      </c>
      <c r="AN1845" t="s">
        <v>192</v>
      </c>
      <c r="AO1845" t="s">
        <v>657</v>
      </c>
      <c r="AP1845" t="s">
        <v>359</v>
      </c>
      <c r="AQ1845" t="s">
        <v>1920</v>
      </c>
      <c r="AR1845" t="s">
        <v>80</v>
      </c>
      <c r="AS1845">
        <v>702</v>
      </c>
      <c r="AT1845" t="s">
        <v>81</v>
      </c>
      <c r="AU1845">
        <v>22.51</v>
      </c>
      <c r="AV1845">
        <v>-42.93</v>
      </c>
      <c r="AW1845" t="s">
        <v>82</v>
      </c>
      <c r="AX1845">
        <v>702</v>
      </c>
      <c r="AY1845" t="s">
        <v>81</v>
      </c>
      <c r="AZ1845">
        <v>24.25</v>
      </c>
      <c r="BA1845">
        <v>-52.74</v>
      </c>
      <c r="BB1845" t="s">
        <v>83</v>
      </c>
    </row>
    <row r="1846" spans="1:54" x14ac:dyDescent="0.4">
      <c r="A1846">
        <v>1285964</v>
      </c>
      <c r="D1846" t="s">
        <v>498</v>
      </c>
      <c r="E1846" t="s">
        <v>55</v>
      </c>
      <c r="G1846">
        <v>1</v>
      </c>
      <c r="H1846" t="s">
        <v>56</v>
      </c>
      <c r="I1846" t="s">
        <v>57</v>
      </c>
      <c r="K1846" t="s">
        <v>2135</v>
      </c>
      <c r="L1846" t="s">
        <v>2606</v>
      </c>
      <c r="M1846" t="s">
        <v>60</v>
      </c>
      <c r="P1846" t="s">
        <v>511</v>
      </c>
      <c r="Q1846" t="s">
        <v>1536</v>
      </c>
      <c r="R1846" t="s">
        <v>512</v>
      </c>
      <c r="S1846" t="s">
        <v>123</v>
      </c>
      <c r="T1846">
        <v>259.51</v>
      </c>
      <c r="U1846">
        <v>251.90199999999999</v>
      </c>
      <c r="V1846">
        <f t="shared" si="56"/>
        <v>255.70599999999999</v>
      </c>
      <c r="W1846">
        <f t="shared" si="57"/>
        <v>7.6080000000000041</v>
      </c>
      <c r="X1846">
        <v>44.416668000000001</v>
      </c>
      <c r="Y1846">
        <v>-24</v>
      </c>
      <c r="Z1846" t="s">
        <v>124</v>
      </c>
      <c r="AA1846" t="s">
        <v>1913</v>
      </c>
      <c r="AB1846" t="s">
        <v>1914</v>
      </c>
      <c r="AD1846" t="s">
        <v>1915</v>
      </c>
      <c r="AE1846" t="s">
        <v>1916</v>
      </c>
      <c r="AH1846" t="s">
        <v>72</v>
      </c>
      <c r="AI1846" t="s">
        <v>2595</v>
      </c>
      <c r="AJ1846">
        <v>1926</v>
      </c>
      <c r="AK1846" t="s">
        <v>1918</v>
      </c>
      <c r="AM1846" t="s">
        <v>1919</v>
      </c>
      <c r="AN1846" t="s">
        <v>192</v>
      </c>
      <c r="AO1846" t="s">
        <v>657</v>
      </c>
      <c r="AP1846" t="s">
        <v>359</v>
      </c>
      <c r="AQ1846" t="s">
        <v>1920</v>
      </c>
      <c r="AR1846" t="s">
        <v>80</v>
      </c>
      <c r="AS1846">
        <v>702</v>
      </c>
      <c r="AT1846" t="s">
        <v>81</v>
      </c>
      <c r="AU1846">
        <v>22.51</v>
      </c>
      <c r="AV1846">
        <v>-42.93</v>
      </c>
      <c r="AW1846" t="s">
        <v>82</v>
      </c>
      <c r="AX1846">
        <v>702</v>
      </c>
      <c r="AY1846" t="s">
        <v>81</v>
      </c>
      <c r="AZ1846">
        <v>24.25</v>
      </c>
      <c r="BA1846">
        <v>-52.74</v>
      </c>
      <c r="BB1846" t="s">
        <v>83</v>
      </c>
    </row>
    <row r="1847" spans="1:54" x14ac:dyDescent="0.4">
      <c r="A1847">
        <v>1285964</v>
      </c>
      <c r="D1847" t="s">
        <v>498</v>
      </c>
      <c r="E1847" t="s">
        <v>55</v>
      </c>
      <c r="G1847">
        <v>1</v>
      </c>
      <c r="H1847" t="s">
        <v>56</v>
      </c>
      <c r="I1847" t="s">
        <v>57</v>
      </c>
      <c r="K1847" t="s">
        <v>2135</v>
      </c>
      <c r="L1847" t="s">
        <v>2606</v>
      </c>
      <c r="M1847" t="s">
        <v>60</v>
      </c>
      <c r="P1847" t="s">
        <v>511</v>
      </c>
      <c r="Q1847" t="s">
        <v>1536</v>
      </c>
      <c r="R1847" t="s">
        <v>512</v>
      </c>
      <c r="S1847" t="s">
        <v>123</v>
      </c>
      <c r="T1847">
        <v>259.51</v>
      </c>
      <c r="U1847">
        <v>251.90199999999999</v>
      </c>
      <c r="V1847">
        <f t="shared" si="56"/>
        <v>255.70599999999999</v>
      </c>
      <c r="W1847">
        <f t="shared" si="57"/>
        <v>7.6080000000000041</v>
      </c>
      <c r="X1847">
        <v>44.416668000000001</v>
      </c>
      <c r="Y1847">
        <v>-24</v>
      </c>
      <c r="Z1847" t="s">
        <v>124</v>
      </c>
      <c r="AA1847" t="s">
        <v>1913</v>
      </c>
      <c r="AB1847" t="s">
        <v>1914</v>
      </c>
      <c r="AD1847" t="s">
        <v>1915</v>
      </c>
      <c r="AE1847" t="s">
        <v>1916</v>
      </c>
      <c r="AH1847" t="s">
        <v>72</v>
      </c>
      <c r="AI1847" t="s">
        <v>2595</v>
      </c>
      <c r="AJ1847">
        <v>1926</v>
      </c>
      <c r="AK1847" t="s">
        <v>1918</v>
      </c>
      <c r="AM1847" t="s">
        <v>1919</v>
      </c>
      <c r="AN1847" t="s">
        <v>192</v>
      </c>
      <c r="AO1847" t="s">
        <v>657</v>
      </c>
      <c r="AP1847" t="s">
        <v>359</v>
      </c>
      <c r="AQ1847" t="s">
        <v>1920</v>
      </c>
      <c r="AR1847" t="s">
        <v>80</v>
      </c>
      <c r="AS1847">
        <v>702</v>
      </c>
      <c r="AT1847" t="s">
        <v>81</v>
      </c>
      <c r="AU1847">
        <v>22.51</v>
      </c>
      <c r="AV1847">
        <v>-42.93</v>
      </c>
      <c r="AW1847" t="s">
        <v>82</v>
      </c>
      <c r="AX1847">
        <v>702</v>
      </c>
      <c r="AY1847" t="s">
        <v>81</v>
      </c>
      <c r="AZ1847">
        <v>24.25</v>
      </c>
      <c r="BA1847">
        <v>-52.74</v>
      </c>
      <c r="BB1847" t="s">
        <v>83</v>
      </c>
    </row>
    <row r="1848" spans="1:54" x14ac:dyDescent="0.4">
      <c r="A1848">
        <v>1285964</v>
      </c>
      <c r="D1848" t="s">
        <v>498</v>
      </c>
      <c r="E1848" t="s">
        <v>55</v>
      </c>
      <c r="G1848">
        <v>1</v>
      </c>
      <c r="H1848" t="s">
        <v>56</v>
      </c>
      <c r="I1848" t="s">
        <v>57</v>
      </c>
      <c r="K1848" t="s">
        <v>2135</v>
      </c>
      <c r="L1848" t="s">
        <v>2606</v>
      </c>
      <c r="M1848" t="s">
        <v>60</v>
      </c>
      <c r="P1848" t="s">
        <v>511</v>
      </c>
      <c r="Q1848" t="s">
        <v>1536</v>
      </c>
      <c r="R1848" t="s">
        <v>512</v>
      </c>
      <c r="S1848" t="s">
        <v>123</v>
      </c>
      <c r="T1848">
        <v>259.51</v>
      </c>
      <c r="U1848">
        <v>251.90199999999999</v>
      </c>
      <c r="V1848">
        <f t="shared" si="56"/>
        <v>255.70599999999999</v>
      </c>
      <c r="W1848">
        <f t="shared" si="57"/>
        <v>7.6080000000000041</v>
      </c>
      <c r="X1848">
        <v>44.416668000000001</v>
      </c>
      <c r="Y1848">
        <v>-24</v>
      </c>
      <c r="Z1848" t="s">
        <v>124</v>
      </c>
      <c r="AA1848" t="s">
        <v>1913</v>
      </c>
      <c r="AB1848" t="s">
        <v>1914</v>
      </c>
      <c r="AD1848" t="s">
        <v>1915</v>
      </c>
      <c r="AE1848" t="s">
        <v>1916</v>
      </c>
      <c r="AH1848" t="s">
        <v>72</v>
      </c>
      <c r="AI1848" t="s">
        <v>2595</v>
      </c>
      <c r="AJ1848">
        <v>1926</v>
      </c>
      <c r="AK1848" t="s">
        <v>1918</v>
      </c>
      <c r="AM1848" t="s">
        <v>1919</v>
      </c>
      <c r="AN1848" t="s">
        <v>192</v>
      </c>
      <c r="AO1848" t="s">
        <v>657</v>
      </c>
      <c r="AP1848" t="s">
        <v>359</v>
      </c>
      <c r="AQ1848" t="s">
        <v>1920</v>
      </c>
      <c r="AR1848" t="s">
        <v>80</v>
      </c>
      <c r="AS1848">
        <v>702</v>
      </c>
      <c r="AT1848" t="s">
        <v>81</v>
      </c>
      <c r="AU1848">
        <v>22.51</v>
      </c>
      <c r="AV1848">
        <v>-42.93</v>
      </c>
      <c r="AW1848" t="s">
        <v>82</v>
      </c>
      <c r="AX1848">
        <v>702</v>
      </c>
      <c r="AY1848" t="s">
        <v>81</v>
      </c>
      <c r="AZ1848">
        <v>24.25</v>
      </c>
      <c r="BA1848">
        <v>-52.74</v>
      </c>
      <c r="BB1848" t="s">
        <v>83</v>
      </c>
    </row>
    <row r="1849" spans="1:54" x14ac:dyDescent="0.4">
      <c r="A1849">
        <v>1285964</v>
      </c>
      <c r="D1849" t="s">
        <v>498</v>
      </c>
      <c r="E1849" t="s">
        <v>55</v>
      </c>
      <c r="G1849">
        <v>1</v>
      </c>
      <c r="H1849" t="s">
        <v>56</v>
      </c>
      <c r="I1849" t="s">
        <v>57</v>
      </c>
      <c r="K1849" t="s">
        <v>2135</v>
      </c>
      <c r="L1849" t="s">
        <v>2606</v>
      </c>
      <c r="M1849" t="s">
        <v>60</v>
      </c>
      <c r="P1849" t="s">
        <v>511</v>
      </c>
      <c r="Q1849" t="s">
        <v>1536</v>
      </c>
      <c r="R1849" t="s">
        <v>512</v>
      </c>
      <c r="S1849" t="s">
        <v>123</v>
      </c>
      <c r="T1849">
        <v>259.51</v>
      </c>
      <c r="U1849">
        <v>251.90199999999999</v>
      </c>
      <c r="V1849">
        <f t="shared" si="56"/>
        <v>255.70599999999999</v>
      </c>
      <c r="W1849">
        <f t="shared" si="57"/>
        <v>7.6080000000000041</v>
      </c>
      <c r="X1849">
        <v>44.416668000000001</v>
      </c>
      <c r="Y1849">
        <v>-24</v>
      </c>
      <c r="Z1849" t="s">
        <v>124</v>
      </c>
      <c r="AA1849" t="s">
        <v>1913</v>
      </c>
      <c r="AB1849" t="s">
        <v>1914</v>
      </c>
      <c r="AD1849" t="s">
        <v>1915</v>
      </c>
      <c r="AE1849" t="s">
        <v>1916</v>
      </c>
      <c r="AH1849" t="s">
        <v>72</v>
      </c>
      <c r="AI1849" t="s">
        <v>2595</v>
      </c>
      <c r="AJ1849">
        <v>1926</v>
      </c>
      <c r="AK1849" t="s">
        <v>1918</v>
      </c>
      <c r="AM1849" t="s">
        <v>1919</v>
      </c>
      <c r="AN1849" t="s">
        <v>192</v>
      </c>
      <c r="AO1849" t="s">
        <v>657</v>
      </c>
      <c r="AP1849" t="s">
        <v>359</v>
      </c>
      <c r="AQ1849" t="s">
        <v>1920</v>
      </c>
      <c r="AR1849" t="s">
        <v>80</v>
      </c>
      <c r="AS1849">
        <v>702</v>
      </c>
      <c r="AT1849" t="s">
        <v>81</v>
      </c>
      <c r="AU1849">
        <v>22.51</v>
      </c>
      <c r="AV1849">
        <v>-42.93</v>
      </c>
      <c r="AW1849" t="s">
        <v>82</v>
      </c>
      <c r="AX1849">
        <v>702</v>
      </c>
      <c r="AY1849" t="s">
        <v>81</v>
      </c>
      <c r="AZ1849">
        <v>24.25</v>
      </c>
      <c r="BA1849">
        <v>-52.74</v>
      </c>
      <c r="BB1849" t="s">
        <v>83</v>
      </c>
    </row>
    <row r="1850" spans="1:54" x14ac:dyDescent="0.4">
      <c r="A1850">
        <v>1285964</v>
      </c>
      <c r="D1850" t="s">
        <v>498</v>
      </c>
      <c r="E1850" t="s">
        <v>55</v>
      </c>
      <c r="G1850">
        <v>1</v>
      </c>
      <c r="H1850" t="s">
        <v>56</v>
      </c>
      <c r="I1850" t="s">
        <v>57</v>
      </c>
      <c r="K1850" t="s">
        <v>2135</v>
      </c>
      <c r="L1850" t="s">
        <v>2606</v>
      </c>
      <c r="M1850" t="s">
        <v>60</v>
      </c>
      <c r="P1850" t="s">
        <v>511</v>
      </c>
      <c r="Q1850" t="s">
        <v>1536</v>
      </c>
      <c r="R1850" t="s">
        <v>512</v>
      </c>
      <c r="S1850" t="s">
        <v>123</v>
      </c>
      <c r="T1850">
        <v>259.51</v>
      </c>
      <c r="U1850">
        <v>251.90199999999999</v>
      </c>
      <c r="V1850">
        <f t="shared" si="56"/>
        <v>255.70599999999999</v>
      </c>
      <c r="W1850">
        <f t="shared" si="57"/>
        <v>7.6080000000000041</v>
      </c>
      <c r="X1850">
        <v>44.416668000000001</v>
      </c>
      <c r="Y1850">
        <v>-24</v>
      </c>
      <c r="Z1850" t="s">
        <v>124</v>
      </c>
      <c r="AA1850" t="s">
        <v>1913</v>
      </c>
      <c r="AB1850" t="s">
        <v>1914</v>
      </c>
      <c r="AD1850" t="s">
        <v>1915</v>
      </c>
      <c r="AE1850" t="s">
        <v>1916</v>
      </c>
      <c r="AH1850" t="s">
        <v>72</v>
      </c>
      <c r="AI1850" t="s">
        <v>2595</v>
      </c>
      <c r="AJ1850">
        <v>1926</v>
      </c>
      <c r="AK1850" t="s">
        <v>1918</v>
      </c>
      <c r="AM1850" t="s">
        <v>1919</v>
      </c>
      <c r="AN1850" t="s">
        <v>192</v>
      </c>
      <c r="AO1850" t="s">
        <v>657</v>
      </c>
      <c r="AP1850" t="s">
        <v>359</v>
      </c>
      <c r="AQ1850" t="s">
        <v>1920</v>
      </c>
      <c r="AR1850" t="s">
        <v>80</v>
      </c>
      <c r="AS1850">
        <v>702</v>
      </c>
      <c r="AT1850" t="s">
        <v>81</v>
      </c>
      <c r="AU1850">
        <v>22.51</v>
      </c>
      <c r="AV1850">
        <v>-42.93</v>
      </c>
      <c r="AW1850" t="s">
        <v>82</v>
      </c>
      <c r="AX1850">
        <v>702</v>
      </c>
      <c r="AY1850" t="s">
        <v>81</v>
      </c>
      <c r="AZ1850">
        <v>24.25</v>
      </c>
      <c r="BA1850">
        <v>-52.74</v>
      </c>
      <c r="BB1850" t="s">
        <v>83</v>
      </c>
    </row>
    <row r="1851" spans="1:54" x14ac:dyDescent="0.4">
      <c r="A1851">
        <v>1285964</v>
      </c>
      <c r="D1851" t="s">
        <v>498</v>
      </c>
      <c r="E1851" t="s">
        <v>55</v>
      </c>
      <c r="G1851">
        <v>1</v>
      </c>
      <c r="H1851" t="s">
        <v>56</v>
      </c>
      <c r="I1851" t="s">
        <v>57</v>
      </c>
      <c r="K1851" t="s">
        <v>2135</v>
      </c>
      <c r="L1851" t="s">
        <v>2606</v>
      </c>
      <c r="M1851" t="s">
        <v>60</v>
      </c>
      <c r="P1851" t="s">
        <v>511</v>
      </c>
      <c r="Q1851" t="s">
        <v>1536</v>
      </c>
      <c r="R1851" t="s">
        <v>512</v>
      </c>
      <c r="S1851" t="s">
        <v>123</v>
      </c>
      <c r="T1851">
        <v>259.51</v>
      </c>
      <c r="U1851">
        <v>251.90199999999999</v>
      </c>
      <c r="V1851">
        <f t="shared" si="56"/>
        <v>255.70599999999999</v>
      </c>
      <c r="W1851">
        <f t="shared" si="57"/>
        <v>7.6080000000000041</v>
      </c>
      <c r="X1851">
        <v>44.416668000000001</v>
      </c>
      <c r="Y1851">
        <v>-24</v>
      </c>
      <c r="Z1851" t="s">
        <v>124</v>
      </c>
      <c r="AA1851" t="s">
        <v>1913</v>
      </c>
      <c r="AB1851" t="s">
        <v>1914</v>
      </c>
      <c r="AD1851" t="s">
        <v>1915</v>
      </c>
      <c r="AE1851" t="s">
        <v>1916</v>
      </c>
      <c r="AH1851" t="s">
        <v>72</v>
      </c>
      <c r="AI1851" t="s">
        <v>2595</v>
      </c>
      <c r="AJ1851">
        <v>1926</v>
      </c>
      <c r="AK1851" t="s">
        <v>1918</v>
      </c>
      <c r="AM1851" t="s">
        <v>1919</v>
      </c>
      <c r="AN1851" t="s">
        <v>192</v>
      </c>
      <c r="AO1851" t="s">
        <v>657</v>
      </c>
      <c r="AP1851" t="s">
        <v>359</v>
      </c>
      <c r="AQ1851" t="s">
        <v>1920</v>
      </c>
      <c r="AR1851" t="s">
        <v>80</v>
      </c>
      <c r="AS1851">
        <v>702</v>
      </c>
      <c r="AT1851" t="s">
        <v>81</v>
      </c>
      <c r="AU1851">
        <v>22.51</v>
      </c>
      <c r="AV1851">
        <v>-42.93</v>
      </c>
      <c r="AW1851" t="s">
        <v>82</v>
      </c>
      <c r="AX1851">
        <v>702</v>
      </c>
      <c r="AY1851" t="s">
        <v>81</v>
      </c>
      <c r="AZ1851">
        <v>24.25</v>
      </c>
      <c r="BA1851">
        <v>-52.74</v>
      </c>
      <c r="BB1851" t="s">
        <v>83</v>
      </c>
    </row>
    <row r="1852" spans="1:54" x14ac:dyDescent="0.4">
      <c r="A1852">
        <v>1285964</v>
      </c>
      <c r="D1852" t="s">
        <v>498</v>
      </c>
      <c r="E1852" t="s">
        <v>55</v>
      </c>
      <c r="G1852">
        <v>1</v>
      </c>
      <c r="H1852" t="s">
        <v>56</v>
      </c>
      <c r="I1852" t="s">
        <v>57</v>
      </c>
      <c r="K1852" t="s">
        <v>2135</v>
      </c>
      <c r="L1852" t="s">
        <v>2606</v>
      </c>
      <c r="M1852" t="s">
        <v>60</v>
      </c>
      <c r="P1852" t="s">
        <v>511</v>
      </c>
      <c r="Q1852" t="s">
        <v>1536</v>
      </c>
      <c r="R1852" t="s">
        <v>512</v>
      </c>
      <c r="S1852" t="s">
        <v>123</v>
      </c>
      <c r="T1852">
        <v>259.51</v>
      </c>
      <c r="U1852">
        <v>251.90199999999999</v>
      </c>
      <c r="V1852">
        <f t="shared" si="56"/>
        <v>255.70599999999999</v>
      </c>
      <c r="W1852">
        <f t="shared" si="57"/>
        <v>7.6080000000000041</v>
      </c>
      <c r="X1852">
        <v>44.416668000000001</v>
      </c>
      <c r="Y1852">
        <v>-24</v>
      </c>
      <c r="Z1852" t="s">
        <v>124</v>
      </c>
      <c r="AA1852" t="s">
        <v>1913</v>
      </c>
      <c r="AB1852" t="s">
        <v>1914</v>
      </c>
      <c r="AD1852" t="s">
        <v>1915</v>
      </c>
      <c r="AE1852" t="s">
        <v>1916</v>
      </c>
      <c r="AH1852" t="s">
        <v>72</v>
      </c>
      <c r="AI1852" t="s">
        <v>2595</v>
      </c>
      <c r="AJ1852">
        <v>1926</v>
      </c>
      <c r="AK1852" t="s">
        <v>1918</v>
      </c>
      <c r="AM1852" t="s">
        <v>1919</v>
      </c>
      <c r="AN1852" t="s">
        <v>192</v>
      </c>
      <c r="AO1852" t="s">
        <v>657</v>
      </c>
      <c r="AP1852" t="s">
        <v>359</v>
      </c>
      <c r="AQ1852" t="s">
        <v>1920</v>
      </c>
      <c r="AR1852" t="s">
        <v>80</v>
      </c>
      <c r="AS1852">
        <v>702</v>
      </c>
      <c r="AT1852" t="s">
        <v>81</v>
      </c>
      <c r="AU1852">
        <v>22.51</v>
      </c>
      <c r="AV1852">
        <v>-42.93</v>
      </c>
      <c r="AW1852" t="s">
        <v>82</v>
      </c>
      <c r="AX1852">
        <v>702</v>
      </c>
      <c r="AY1852" t="s">
        <v>81</v>
      </c>
      <c r="AZ1852">
        <v>24.25</v>
      </c>
      <c r="BA1852">
        <v>-52.74</v>
      </c>
      <c r="BB1852" t="s">
        <v>83</v>
      </c>
    </row>
    <row r="1853" spans="1:54" x14ac:dyDescent="0.4">
      <c r="A1853">
        <v>1285964</v>
      </c>
      <c r="D1853" t="s">
        <v>498</v>
      </c>
      <c r="E1853" t="s">
        <v>55</v>
      </c>
      <c r="G1853">
        <v>1</v>
      </c>
      <c r="H1853" t="s">
        <v>56</v>
      </c>
      <c r="I1853" t="s">
        <v>57</v>
      </c>
      <c r="K1853" t="s">
        <v>2135</v>
      </c>
      <c r="L1853" t="s">
        <v>2606</v>
      </c>
      <c r="M1853" t="s">
        <v>60</v>
      </c>
      <c r="P1853" t="s">
        <v>511</v>
      </c>
      <c r="Q1853" t="s">
        <v>1536</v>
      </c>
      <c r="R1853" t="s">
        <v>512</v>
      </c>
      <c r="S1853" t="s">
        <v>123</v>
      </c>
      <c r="T1853">
        <v>259.51</v>
      </c>
      <c r="U1853">
        <v>251.90199999999999</v>
      </c>
      <c r="V1853">
        <f t="shared" si="56"/>
        <v>255.70599999999999</v>
      </c>
      <c r="W1853">
        <f t="shared" si="57"/>
        <v>7.6080000000000041</v>
      </c>
      <c r="X1853">
        <v>44.416668000000001</v>
      </c>
      <c r="Y1853">
        <v>-24</v>
      </c>
      <c r="Z1853" t="s">
        <v>124</v>
      </c>
      <c r="AA1853" t="s">
        <v>1913</v>
      </c>
      <c r="AB1853" t="s">
        <v>1914</v>
      </c>
      <c r="AD1853" t="s">
        <v>1915</v>
      </c>
      <c r="AE1853" t="s">
        <v>1916</v>
      </c>
      <c r="AH1853" t="s">
        <v>72</v>
      </c>
      <c r="AI1853" t="s">
        <v>2595</v>
      </c>
      <c r="AJ1853">
        <v>1926</v>
      </c>
      <c r="AK1853" t="s">
        <v>1918</v>
      </c>
      <c r="AM1853" t="s">
        <v>1919</v>
      </c>
      <c r="AN1853" t="s">
        <v>192</v>
      </c>
      <c r="AO1853" t="s">
        <v>657</v>
      </c>
      <c r="AP1853" t="s">
        <v>359</v>
      </c>
      <c r="AQ1853" t="s">
        <v>1920</v>
      </c>
      <c r="AR1853" t="s">
        <v>80</v>
      </c>
      <c r="AS1853">
        <v>702</v>
      </c>
      <c r="AT1853" t="s">
        <v>81</v>
      </c>
      <c r="AU1853">
        <v>22.51</v>
      </c>
      <c r="AV1853">
        <v>-42.93</v>
      </c>
      <c r="AW1853" t="s">
        <v>82</v>
      </c>
      <c r="AX1853">
        <v>702</v>
      </c>
      <c r="AY1853" t="s">
        <v>81</v>
      </c>
      <c r="AZ1853">
        <v>24.25</v>
      </c>
      <c r="BA1853">
        <v>-52.74</v>
      </c>
      <c r="BB1853" t="s">
        <v>83</v>
      </c>
    </row>
    <row r="1854" spans="1:54" x14ac:dyDescent="0.4">
      <c r="A1854">
        <v>1285964</v>
      </c>
      <c r="D1854" t="s">
        <v>498</v>
      </c>
      <c r="E1854" t="s">
        <v>55</v>
      </c>
      <c r="G1854">
        <v>1</v>
      </c>
      <c r="H1854" t="s">
        <v>56</v>
      </c>
      <c r="I1854" t="s">
        <v>57</v>
      </c>
      <c r="K1854" t="s">
        <v>2135</v>
      </c>
      <c r="L1854" t="s">
        <v>2606</v>
      </c>
      <c r="M1854" t="s">
        <v>60</v>
      </c>
      <c r="P1854" t="s">
        <v>511</v>
      </c>
      <c r="Q1854" t="s">
        <v>1536</v>
      </c>
      <c r="R1854" t="s">
        <v>512</v>
      </c>
      <c r="S1854" t="s">
        <v>123</v>
      </c>
      <c r="T1854">
        <v>259.51</v>
      </c>
      <c r="U1854">
        <v>251.90199999999999</v>
      </c>
      <c r="V1854">
        <f t="shared" si="56"/>
        <v>255.70599999999999</v>
      </c>
      <c r="W1854">
        <f t="shared" si="57"/>
        <v>7.6080000000000041</v>
      </c>
      <c r="X1854">
        <v>44.416668000000001</v>
      </c>
      <c r="Y1854">
        <v>-24</v>
      </c>
      <c r="Z1854" t="s">
        <v>124</v>
      </c>
      <c r="AA1854" t="s">
        <v>1913</v>
      </c>
      <c r="AB1854" t="s">
        <v>1914</v>
      </c>
      <c r="AD1854" t="s">
        <v>1915</v>
      </c>
      <c r="AE1854" t="s">
        <v>1916</v>
      </c>
      <c r="AH1854" t="s">
        <v>72</v>
      </c>
      <c r="AI1854" t="s">
        <v>2595</v>
      </c>
      <c r="AJ1854">
        <v>1926</v>
      </c>
      <c r="AK1854" t="s">
        <v>1918</v>
      </c>
      <c r="AM1854" t="s">
        <v>1919</v>
      </c>
      <c r="AN1854" t="s">
        <v>192</v>
      </c>
      <c r="AO1854" t="s">
        <v>657</v>
      </c>
      <c r="AP1854" t="s">
        <v>359</v>
      </c>
      <c r="AQ1854" t="s">
        <v>1920</v>
      </c>
      <c r="AR1854" t="s">
        <v>80</v>
      </c>
      <c r="AS1854">
        <v>702</v>
      </c>
      <c r="AT1854" t="s">
        <v>81</v>
      </c>
      <c r="AU1854">
        <v>22.51</v>
      </c>
      <c r="AV1854">
        <v>-42.93</v>
      </c>
      <c r="AW1854" t="s">
        <v>82</v>
      </c>
      <c r="AX1854">
        <v>702</v>
      </c>
      <c r="AY1854" t="s">
        <v>81</v>
      </c>
      <c r="AZ1854">
        <v>24.25</v>
      </c>
      <c r="BA1854">
        <v>-52.74</v>
      </c>
      <c r="BB1854" t="s">
        <v>83</v>
      </c>
    </row>
    <row r="1855" spans="1:54" x14ac:dyDescent="0.4">
      <c r="A1855">
        <v>1285964</v>
      </c>
      <c r="D1855" t="s">
        <v>498</v>
      </c>
      <c r="E1855" t="s">
        <v>55</v>
      </c>
      <c r="G1855">
        <v>1</v>
      </c>
      <c r="H1855" t="s">
        <v>56</v>
      </c>
      <c r="I1855" t="s">
        <v>57</v>
      </c>
      <c r="K1855" t="s">
        <v>2135</v>
      </c>
      <c r="L1855" t="s">
        <v>2606</v>
      </c>
      <c r="M1855" t="s">
        <v>60</v>
      </c>
      <c r="P1855" t="s">
        <v>511</v>
      </c>
      <c r="Q1855" t="s">
        <v>1536</v>
      </c>
      <c r="R1855" t="s">
        <v>512</v>
      </c>
      <c r="S1855" t="s">
        <v>123</v>
      </c>
      <c r="T1855">
        <v>259.51</v>
      </c>
      <c r="U1855">
        <v>251.90199999999999</v>
      </c>
      <c r="V1855">
        <f t="shared" si="56"/>
        <v>255.70599999999999</v>
      </c>
      <c r="W1855">
        <f t="shared" si="57"/>
        <v>7.6080000000000041</v>
      </c>
      <c r="X1855">
        <v>44.416668000000001</v>
      </c>
      <c r="Y1855">
        <v>-24</v>
      </c>
      <c r="Z1855" t="s">
        <v>124</v>
      </c>
      <c r="AA1855" t="s">
        <v>1913</v>
      </c>
      <c r="AB1855" t="s">
        <v>1914</v>
      </c>
      <c r="AD1855" t="s">
        <v>1915</v>
      </c>
      <c r="AE1855" t="s">
        <v>1916</v>
      </c>
      <c r="AH1855" t="s">
        <v>72</v>
      </c>
      <c r="AI1855" t="s">
        <v>2595</v>
      </c>
      <c r="AJ1855">
        <v>1926</v>
      </c>
      <c r="AK1855" t="s">
        <v>1918</v>
      </c>
      <c r="AM1855" t="s">
        <v>1919</v>
      </c>
      <c r="AN1855" t="s">
        <v>192</v>
      </c>
      <c r="AO1855" t="s">
        <v>657</v>
      </c>
      <c r="AP1855" t="s">
        <v>359</v>
      </c>
      <c r="AQ1855" t="s">
        <v>1920</v>
      </c>
      <c r="AR1855" t="s">
        <v>80</v>
      </c>
      <c r="AS1855">
        <v>702</v>
      </c>
      <c r="AT1855" t="s">
        <v>81</v>
      </c>
      <c r="AU1855">
        <v>22.51</v>
      </c>
      <c r="AV1855">
        <v>-42.93</v>
      </c>
      <c r="AW1855" t="s">
        <v>82</v>
      </c>
      <c r="AX1855">
        <v>702</v>
      </c>
      <c r="AY1855" t="s">
        <v>81</v>
      </c>
      <c r="AZ1855">
        <v>24.25</v>
      </c>
      <c r="BA1855">
        <v>-52.74</v>
      </c>
      <c r="BB1855" t="s">
        <v>83</v>
      </c>
    </row>
    <row r="1856" spans="1:54" x14ac:dyDescent="0.4">
      <c r="A1856">
        <v>1285964</v>
      </c>
      <c r="D1856" t="s">
        <v>498</v>
      </c>
      <c r="E1856" t="s">
        <v>55</v>
      </c>
      <c r="G1856">
        <v>1</v>
      </c>
      <c r="H1856" t="s">
        <v>56</v>
      </c>
      <c r="I1856" t="s">
        <v>57</v>
      </c>
      <c r="K1856" t="s">
        <v>2135</v>
      </c>
      <c r="L1856" t="s">
        <v>2606</v>
      </c>
      <c r="M1856" t="s">
        <v>60</v>
      </c>
      <c r="P1856" t="s">
        <v>511</v>
      </c>
      <c r="Q1856" t="s">
        <v>1536</v>
      </c>
      <c r="R1856" t="s">
        <v>512</v>
      </c>
      <c r="S1856" t="s">
        <v>123</v>
      </c>
      <c r="T1856">
        <v>259.51</v>
      </c>
      <c r="U1856">
        <v>251.90199999999999</v>
      </c>
      <c r="V1856">
        <f t="shared" si="56"/>
        <v>255.70599999999999</v>
      </c>
      <c r="W1856">
        <f t="shared" si="57"/>
        <v>7.6080000000000041</v>
      </c>
      <c r="X1856">
        <v>44.416668000000001</v>
      </c>
      <c r="Y1856">
        <v>-24</v>
      </c>
      <c r="Z1856" t="s">
        <v>124</v>
      </c>
      <c r="AA1856" t="s">
        <v>1913</v>
      </c>
      <c r="AB1856" t="s">
        <v>1914</v>
      </c>
      <c r="AD1856" t="s">
        <v>1915</v>
      </c>
      <c r="AE1856" t="s">
        <v>1916</v>
      </c>
      <c r="AH1856" t="s">
        <v>72</v>
      </c>
      <c r="AI1856" t="s">
        <v>2595</v>
      </c>
      <c r="AJ1856">
        <v>1926</v>
      </c>
      <c r="AK1856" t="s">
        <v>1918</v>
      </c>
      <c r="AM1856" t="s">
        <v>1919</v>
      </c>
      <c r="AN1856" t="s">
        <v>192</v>
      </c>
      <c r="AO1856" t="s">
        <v>657</v>
      </c>
      <c r="AP1856" t="s">
        <v>359</v>
      </c>
      <c r="AQ1856" t="s">
        <v>1920</v>
      </c>
      <c r="AR1856" t="s">
        <v>80</v>
      </c>
      <c r="AS1856">
        <v>702</v>
      </c>
      <c r="AT1856" t="s">
        <v>81</v>
      </c>
      <c r="AU1856">
        <v>22.51</v>
      </c>
      <c r="AV1856">
        <v>-42.93</v>
      </c>
      <c r="AW1856" t="s">
        <v>82</v>
      </c>
      <c r="AX1856">
        <v>702</v>
      </c>
      <c r="AY1856" t="s">
        <v>81</v>
      </c>
      <c r="AZ1856">
        <v>24.25</v>
      </c>
      <c r="BA1856">
        <v>-52.74</v>
      </c>
      <c r="BB1856" t="s">
        <v>83</v>
      </c>
    </row>
    <row r="1857" spans="1:54" x14ac:dyDescent="0.4">
      <c r="A1857">
        <v>1285964</v>
      </c>
      <c r="D1857" t="s">
        <v>498</v>
      </c>
      <c r="E1857" t="s">
        <v>55</v>
      </c>
      <c r="G1857">
        <v>1</v>
      </c>
      <c r="H1857" t="s">
        <v>56</v>
      </c>
      <c r="I1857" t="s">
        <v>57</v>
      </c>
      <c r="K1857" t="s">
        <v>2135</v>
      </c>
      <c r="L1857" t="s">
        <v>2606</v>
      </c>
      <c r="M1857" t="s">
        <v>60</v>
      </c>
      <c r="P1857" t="s">
        <v>511</v>
      </c>
      <c r="Q1857" t="s">
        <v>1536</v>
      </c>
      <c r="R1857" t="s">
        <v>512</v>
      </c>
      <c r="S1857" t="s">
        <v>123</v>
      </c>
      <c r="T1857">
        <v>259.51</v>
      </c>
      <c r="U1857">
        <v>251.90199999999999</v>
      </c>
      <c r="V1857">
        <f t="shared" si="56"/>
        <v>255.70599999999999</v>
      </c>
      <c r="W1857">
        <f t="shared" si="57"/>
        <v>7.6080000000000041</v>
      </c>
      <c r="X1857">
        <v>44.416668000000001</v>
      </c>
      <c r="Y1857">
        <v>-24</v>
      </c>
      <c r="Z1857" t="s">
        <v>124</v>
      </c>
      <c r="AA1857" t="s">
        <v>1913</v>
      </c>
      <c r="AB1857" t="s">
        <v>1914</v>
      </c>
      <c r="AD1857" t="s">
        <v>1915</v>
      </c>
      <c r="AE1857" t="s">
        <v>1916</v>
      </c>
      <c r="AH1857" t="s">
        <v>72</v>
      </c>
      <c r="AI1857" t="s">
        <v>2595</v>
      </c>
      <c r="AJ1857">
        <v>1926</v>
      </c>
      <c r="AK1857" t="s">
        <v>1918</v>
      </c>
      <c r="AM1857" t="s">
        <v>1919</v>
      </c>
      <c r="AN1857" t="s">
        <v>192</v>
      </c>
      <c r="AO1857" t="s">
        <v>657</v>
      </c>
      <c r="AP1857" t="s">
        <v>359</v>
      </c>
      <c r="AQ1857" t="s">
        <v>1920</v>
      </c>
      <c r="AR1857" t="s">
        <v>80</v>
      </c>
      <c r="AS1857">
        <v>702</v>
      </c>
      <c r="AT1857" t="s">
        <v>81</v>
      </c>
      <c r="AU1857">
        <v>22.51</v>
      </c>
      <c r="AV1857">
        <v>-42.93</v>
      </c>
      <c r="AW1857" t="s">
        <v>82</v>
      </c>
      <c r="AX1857">
        <v>702</v>
      </c>
      <c r="AY1857" t="s">
        <v>81</v>
      </c>
      <c r="AZ1857">
        <v>24.25</v>
      </c>
      <c r="BA1857">
        <v>-52.74</v>
      </c>
      <c r="BB1857" t="s">
        <v>83</v>
      </c>
    </row>
    <row r="1858" spans="1:54" x14ac:dyDescent="0.4">
      <c r="A1858">
        <v>1285964</v>
      </c>
      <c r="D1858" t="s">
        <v>498</v>
      </c>
      <c r="E1858" t="s">
        <v>55</v>
      </c>
      <c r="G1858">
        <v>1</v>
      </c>
      <c r="H1858" t="s">
        <v>56</v>
      </c>
      <c r="I1858" t="s">
        <v>57</v>
      </c>
      <c r="K1858" t="s">
        <v>2135</v>
      </c>
      <c r="L1858" t="s">
        <v>2606</v>
      </c>
      <c r="M1858" t="s">
        <v>60</v>
      </c>
      <c r="P1858" t="s">
        <v>511</v>
      </c>
      <c r="Q1858" t="s">
        <v>1536</v>
      </c>
      <c r="R1858" t="s">
        <v>512</v>
      </c>
      <c r="S1858" t="s">
        <v>123</v>
      </c>
      <c r="T1858">
        <v>259.51</v>
      </c>
      <c r="U1858">
        <v>251.90199999999999</v>
      </c>
      <c r="V1858">
        <f t="shared" si="56"/>
        <v>255.70599999999999</v>
      </c>
      <c r="W1858">
        <f t="shared" si="57"/>
        <v>7.6080000000000041</v>
      </c>
      <c r="X1858">
        <v>44.416668000000001</v>
      </c>
      <c r="Y1858">
        <v>-24</v>
      </c>
      <c r="Z1858" t="s">
        <v>124</v>
      </c>
      <c r="AA1858" t="s">
        <v>1913</v>
      </c>
      <c r="AB1858" t="s">
        <v>1914</v>
      </c>
      <c r="AD1858" t="s">
        <v>1915</v>
      </c>
      <c r="AE1858" t="s">
        <v>1916</v>
      </c>
      <c r="AH1858" t="s">
        <v>72</v>
      </c>
      <c r="AI1858" t="s">
        <v>2595</v>
      </c>
      <c r="AJ1858">
        <v>1926</v>
      </c>
      <c r="AK1858" t="s">
        <v>1918</v>
      </c>
      <c r="AM1858" t="s">
        <v>1919</v>
      </c>
      <c r="AN1858" t="s">
        <v>192</v>
      </c>
      <c r="AO1858" t="s">
        <v>657</v>
      </c>
      <c r="AP1858" t="s">
        <v>359</v>
      </c>
      <c r="AQ1858" t="s">
        <v>1920</v>
      </c>
      <c r="AR1858" t="s">
        <v>80</v>
      </c>
      <c r="AS1858">
        <v>702</v>
      </c>
      <c r="AT1858" t="s">
        <v>81</v>
      </c>
      <c r="AU1858">
        <v>22.51</v>
      </c>
      <c r="AV1858">
        <v>-42.93</v>
      </c>
      <c r="AW1858" t="s">
        <v>82</v>
      </c>
      <c r="AX1858">
        <v>702</v>
      </c>
      <c r="AY1858" t="s">
        <v>81</v>
      </c>
      <c r="AZ1858">
        <v>24.25</v>
      </c>
      <c r="BA1858">
        <v>-52.74</v>
      </c>
      <c r="BB1858" t="s">
        <v>83</v>
      </c>
    </row>
    <row r="1859" spans="1:54" x14ac:dyDescent="0.4">
      <c r="A1859">
        <v>1285964</v>
      </c>
      <c r="D1859" t="s">
        <v>498</v>
      </c>
      <c r="E1859" t="s">
        <v>55</v>
      </c>
      <c r="G1859">
        <v>1</v>
      </c>
      <c r="H1859" t="s">
        <v>56</v>
      </c>
      <c r="I1859" t="s">
        <v>57</v>
      </c>
      <c r="K1859" t="s">
        <v>2135</v>
      </c>
      <c r="L1859" t="s">
        <v>2606</v>
      </c>
      <c r="M1859" t="s">
        <v>60</v>
      </c>
      <c r="P1859" t="s">
        <v>511</v>
      </c>
      <c r="Q1859" t="s">
        <v>1536</v>
      </c>
      <c r="R1859" t="s">
        <v>512</v>
      </c>
      <c r="S1859" t="s">
        <v>123</v>
      </c>
      <c r="T1859">
        <v>259.51</v>
      </c>
      <c r="U1859">
        <v>251.90199999999999</v>
      </c>
      <c r="V1859">
        <f t="shared" ref="V1859:V1922" si="58">(T1859+U1859)/2</f>
        <v>255.70599999999999</v>
      </c>
      <c r="W1859">
        <f t="shared" ref="W1859:W1922" si="59">T1859-U1859</f>
        <v>7.6080000000000041</v>
      </c>
      <c r="X1859">
        <v>44.416668000000001</v>
      </c>
      <c r="Y1859">
        <v>-24</v>
      </c>
      <c r="Z1859" t="s">
        <v>124</v>
      </c>
      <c r="AA1859" t="s">
        <v>1913</v>
      </c>
      <c r="AB1859" t="s">
        <v>1914</v>
      </c>
      <c r="AD1859" t="s">
        <v>1915</v>
      </c>
      <c r="AE1859" t="s">
        <v>1916</v>
      </c>
      <c r="AH1859" t="s">
        <v>72</v>
      </c>
      <c r="AI1859" t="s">
        <v>2595</v>
      </c>
      <c r="AJ1859">
        <v>1926</v>
      </c>
      <c r="AK1859" t="s">
        <v>1918</v>
      </c>
      <c r="AM1859" t="s">
        <v>1919</v>
      </c>
      <c r="AN1859" t="s">
        <v>192</v>
      </c>
      <c r="AO1859" t="s">
        <v>657</v>
      </c>
      <c r="AP1859" t="s">
        <v>359</v>
      </c>
      <c r="AQ1859" t="s">
        <v>1920</v>
      </c>
      <c r="AR1859" t="s">
        <v>80</v>
      </c>
      <c r="AS1859">
        <v>702</v>
      </c>
      <c r="AT1859" t="s">
        <v>81</v>
      </c>
      <c r="AU1859">
        <v>22.51</v>
      </c>
      <c r="AV1859">
        <v>-42.93</v>
      </c>
      <c r="AW1859" t="s">
        <v>82</v>
      </c>
      <c r="AX1859">
        <v>702</v>
      </c>
      <c r="AY1859" t="s">
        <v>81</v>
      </c>
      <c r="AZ1859">
        <v>24.25</v>
      </c>
      <c r="BA1859">
        <v>-52.74</v>
      </c>
      <c r="BB1859" t="s">
        <v>83</v>
      </c>
    </row>
    <row r="1860" spans="1:54" x14ac:dyDescent="0.4">
      <c r="A1860">
        <v>1285964</v>
      </c>
      <c r="D1860" t="s">
        <v>498</v>
      </c>
      <c r="E1860" t="s">
        <v>55</v>
      </c>
      <c r="G1860">
        <v>1</v>
      </c>
      <c r="H1860" t="s">
        <v>56</v>
      </c>
      <c r="I1860" t="s">
        <v>57</v>
      </c>
      <c r="K1860" t="s">
        <v>2135</v>
      </c>
      <c r="L1860" t="s">
        <v>2606</v>
      </c>
      <c r="M1860" t="s">
        <v>60</v>
      </c>
      <c r="P1860" t="s">
        <v>511</v>
      </c>
      <c r="Q1860" t="s">
        <v>1536</v>
      </c>
      <c r="R1860" t="s">
        <v>512</v>
      </c>
      <c r="S1860" t="s">
        <v>123</v>
      </c>
      <c r="T1860">
        <v>259.51</v>
      </c>
      <c r="U1860">
        <v>251.90199999999999</v>
      </c>
      <c r="V1860">
        <f t="shared" si="58"/>
        <v>255.70599999999999</v>
      </c>
      <c r="W1860">
        <f t="shared" si="59"/>
        <v>7.6080000000000041</v>
      </c>
      <c r="X1860">
        <v>44.416668000000001</v>
      </c>
      <c r="Y1860">
        <v>-24</v>
      </c>
      <c r="Z1860" t="s">
        <v>124</v>
      </c>
      <c r="AA1860" t="s">
        <v>1913</v>
      </c>
      <c r="AB1860" t="s">
        <v>1914</v>
      </c>
      <c r="AD1860" t="s">
        <v>1915</v>
      </c>
      <c r="AE1860" t="s">
        <v>1916</v>
      </c>
      <c r="AH1860" t="s">
        <v>72</v>
      </c>
      <c r="AI1860" t="s">
        <v>2595</v>
      </c>
      <c r="AJ1860">
        <v>1926</v>
      </c>
      <c r="AK1860" t="s">
        <v>1918</v>
      </c>
      <c r="AM1860" t="s">
        <v>1919</v>
      </c>
      <c r="AN1860" t="s">
        <v>192</v>
      </c>
      <c r="AO1860" t="s">
        <v>657</v>
      </c>
      <c r="AP1860" t="s">
        <v>359</v>
      </c>
      <c r="AQ1860" t="s">
        <v>1920</v>
      </c>
      <c r="AR1860" t="s">
        <v>80</v>
      </c>
      <c r="AS1860">
        <v>702</v>
      </c>
      <c r="AT1860" t="s">
        <v>81</v>
      </c>
      <c r="AU1860">
        <v>22.51</v>
      </c>
      <c r="AV1860">
        <v>-42.93</v>
      </c>
      <c r="AW1860" t="s">
        <v>82</v>
      </c>
      <c r="AX1860">
        <v>702</v>
      </c>
      <c r="AY1860" t="s">
        <v>81</v>
      </c>
      <c r="AZ1860">
        <v>24.25</v>
      </c>
      <c r="BA1860">
        <v>-52.74</v>
      </c>
      <c r="BB1860" t="s">
        <v>83</v>
      </c>
    </row>
    <row r="1861" spans="1:54" x14ac:dyDescent="0.4">
      <c r="A1861">
        <v>1285964</v>
      </c>
      <c r="D1861" t="s">
        <v>498</v>
      </c>
      <c r="E1861" t="s">
        <v>55</v>
      </c>
      <c r="G1861">
        <v>1</v>
      </c>
      <c r="H1861" t="s">
        <v>56</v>
      </c>
      <c r="I1861" t="s">
        <v>57</v>
      </c>
      <c r="K1861" t="s">
        <v>2135</v>
      </c>
      <c r="L1861" t="s">
        <v>2606</v>
      </c>
      <c r="M1861" t="s">
        <v>60</v>
      </c>
      <c r="P1861" t="s">
        <v>511</v>
      </c>
      <c r="Q1861" t="s">
        <v>1536</v>
      </c>
      <c r="R1861" t="s">
        <v>512</v>
      </c>
      <c r="S1861" t="s">
        <v>123</v>
      </c>
      <c r="T1861">
        <v>259.51</v>
      </c>
      <c r="U1861">
        <v>251.90199999999999</v>
      </c>
      <c r="V1861">
        <f t="shared" si="58"/>
        <v>255.70599999999999</v>
      </c>
      <c r="W1861">
        <f t="shared" si="59"/>
        <v>7.6080000000000041</v>
      </c>
      <c r="X1861">
        <v>44.416668000000001</v>
      </c>
      <c r="Y1861">
        <v>-24</v>
      </c>
      <c r="Z1861" t="s">
        <v>124</v>
      </c>
      <c r="AA1861" t="s">
        <v>1913</v>
      </c>
      <c r="AB1861" t="s">
        <v>1914</v>
      </c>
      <c r="AD1861" t="s">
        <v>1915</v>
      </c>
      <c r="AE1861" t="s">
        <v>1916</v>
      </c>
      <c r="AH1861" t="s">
        <v>72</v>
      </c>
      <c r="AI1861" t="s">
        <v>2595</v>
      </c>
      <c r="AJ1861">
        <v>1926</v>
      </c>
      <c r="AK1861" t="s">
        <v>1918</v>
      </c>
      <c r="AM1861" t="s">
        <v>1919</v>
      </c>
      <c r="AN1861" t="s">
        <v>192</v>
      </c>
      <c r="AO1861" t="s">
        <v>657</v>
      </c>
      <c r="AP1861" t="s">
        <v>359</v>
      </c>
      <c r="AQ1861" t="s">
        <v>1920</v>
      </c>
      <c r="AR1861" t="s">
        <v>80</v>
      </c>
      <c r="AS1861">
        <v>702</v>
      </c>
      <c r="AT1861" t="s">
        <v>81</v>
      </c>
      <c r="AU1861">
        <v>22.51</v>
      </c>
      <c r="AV1861">
        <v>-42.93</v>
      </c>
      <c r="AW1861" t="s">
        <v>82</v>
      </c>
      <c r="AX1861">
        <v>702</v>
      </c>
      <c r="AY1861" t="s">
        <v>81</v>
      </c>
      <c r="AZ1861">
        <v>24.25</v>
      </c>
      <c r="BA1861">
        <v>-52.74</v>
      </c>
      <c r="BB1861" t="s">
        <v>83</v>
      </c>
    </row>
    <row r="1862" spans="1:54" x14ac:dyDescent="0.4">
      <c r="A1862">
        <v>1285964</v>
      </c>
      <c r="D1862" t="s">
        <v>498</v>
      </c>
      <c r="E1862" t="s">
        <v>55</v>
      </c>
      <c r="G1862">
        <v>1</v>
      </c>
      <c r="H1862" t="s">
        <v>56</v>
      </c>
      <c r="I1862" t="s">
        <v>57</v>
      </c>
      <c r="K1862" t="s">
        <v>2135</v>
      </c>
      <c r="L1862" t="s">
        <v>2606</v>
      </c>
      <c r="M1862" t="s">
        <v>60</v>
      </c>
      <c r="P1862" t="s">
        <v>511</v>
      </c>
      <c r="Q1862" t="s">
        <v>1536</v>
      </c>
      <c r="R1862" t="s">
        <v>512</v>
      </c>
      <c r="S1862" t="s">
        <v>123</v>
      </c>
      <c r="T1862">
        <v>259.51</v>
      </c>
      <c r="U1862">
        <v>251.90199999999999</v>
      </c>
      <c r="V1862">
        <f t="shared" si="58"/>
        <v>255.70599999999999</v>
      </c>
      <c r="W1862">
        <f t="shared" si="59"/>
        <v>7.6080000000000041</v>
      </c>
      <c r="X1862">
        <v>44.416668000000001</v>
      </c>
      <c r="Y1862">
        <v>-24</v>
      </c>
      <c r="Z1862" t="s">
        <v>124</v>
      </c>
      <c r="AA1862" t="s">
        <v>1913</v>
      </c>
      <c r="AB1862" t="s">
        <v>1914</v>
      </c>
      <c r="AD1862" t="s">
        <v>1915</v>
      </c>
      <c r="AE1862" t="s">
        <v>1916</v>
      </c>
      <c r="AH1862" t="s">
        <v>72</v>
      </c>
      <c r="AI1862" t="s">
        <v>2595</v>
      </c>
      <c r="AJ1862">
        <v>1926</v>
      </c>
      <c r="AK1862" t="s">
        <v>1918</v>
      </c>
      <c r="AM1862" t="s">
        <v>1919</v>
      </c>
      <c r="AN1862" t="s">
        <v>192</v>
      </c>
      <c r="AO1862" t="s">
        <v>657</v>
      </c>
      <c r="AP1862" t="s">
        <v>359</v>
      </c>
      <c r="AQ1862" t="s">
        <v>1920</v>
      </c>
      <c r="AR1862" t="s">
        <v>80</v>
      </c>
      <c r="AS1862">
        <v>702</v>
      </c>
      <c r="AT1862" t="s">
        <v>81</v>
      </c>
      <c r="AU1862">
        <v>22.51</v>
      </c>
      <c r="AV1862">
        <v>-42.93</v>
      </c>
      <c r="AW1862" t="s">
        <v>82</v>
      </c>
      <c r="AX1862">
        <v>702</v>
      </c>
      <c r="AY1862" t="s">
        <v>81</v>
      </c>
      <c r="AZ1862">
        <v>24.25</v>
      </c>
      <c r="BA1862">
        <v>-52.74</v>
      </c>
      <c r="BB1862" t="s">
        <v>83</v>
      </c>
    </row>
    <row r="1863" spans="1:54" x14ac:dyDescent="0.4">
      <c r="A1863">
        <v>1285964</v>
      </c>
      <c r="D1863" t="s">
        <v>498</v>
      </c>
      <c r="E1863" t="s">
        <v>55</v>
      </c>
      <c r="G1863">
        <v>1</v>
      </c>
      <c r="H1863" t="s">
        <v>56</v>
      </c>
      <c r="I1863" t="s">
        <v>57</v>
      </c>
      <c r="K1863" t="s">
        <v>2135</v>
      </c>
      <c r="L1863" t="s">
        <v>2606</v>
      </c>
      <c r="M1863" t="s">
        <v>60</v>
      </c>
      <c r="P1863" t="s">
        <v>511</v>
      </c>
      <c r="Q1863" t="s">
        <v>1536</v>
      </c>
      <c r="R1863" t="s">
        <v>512</v>
      </c>
      <c r="S1863" t="s">
        <v>123</v>
      </c>
      <c r="T1863">
        <v>259.51</v>
      </c>
      <c r="U1863">
        <v>251.90199999999999</v>
      </c>
      <c r="V1863">
        <f t="shared" si="58"/>
        <v>255.70599999999999</v>
      </c>
      <c r="W1863">
        <f t="shared" si="59"/>
        <v>7.6080000000000041</v>
      </c>
      <c r="X1863">
        <v>44.416668000000001</v>
      </c>
      <c r="Y1863">
        <v>-24</v>
      </c>
      <c r="Z1863" t="s">
        <v>124</v>
      </c>
      <c r="AA1863" t="s">
        <v>1913</v>
      </c>
      <c r="AB1863" t="s">
        <v>1914</v>
      </c>
      <c r="AD1863" t="s">
        <v>1915</v>
      </c>
      <c r="AE1863" t="s">
        <v>1916</v>
      </c>
      <c r="AH1863" t="s">
        <v>72</v>
      </c>
      <c r="AI1863" t="s">
        <v>2595</v>
      </c>
      <c r="AJ1863">
        <v>1926</v>
      </c>
      <c r="AK1863" t="s">
        <v>1918</v>
      </c>
      <c r="AM1863" t="s">
        <v>1919</v>
      </c>
      <c r="AN1863" t="s">
        <v>192</v>
      </c>
      <c r="AO1863" t="s">
        <v>657</v>
      </c>
      <c r="AP1863" t="s">
        <v>359</v>
      </c>
      <c r="AQ1863" t="s">
        <v>1920</v>
      </c>
      <c r="AR1863" t="s">
        <v>80</v>
      </c>
      <c r="AS1863">
        <v>702</v>
      </c>
      <c r="AT1863" t="s">
        <v>81</v>
      </c>
      <c r="AU1863">
        <v>22.51</v>
      </c>
      <c r="AV1863">
        <v>-42.93</v>
      </c>
      <c r="AW1863" t="s">
        <v>82</v>
      </c>
      <c r="AX1863">
        <v>702</v>
      </c>
      <c r="AY1863" t="s">
        <v>81</v>
      </c>
      <c r="AZ1863">
        <v>24.25</v>
      </c>
      <c r="BA1863">
        <v>-52.74</v>
      </c>
      <c r="BB1863" t="s">
        <v>83</v>
      </c>
    </row>
    <row r="1864" spans="1:54" x14ac:dyDescent="0.4">
      <c r="A1864">
        <v>1285964</v>
      </c>
      <c r="D1864" t="s">
        <v>498</v>
      </c>
      <c r="E1864" t="s">
        <v>55</v>
      </c>
      <c r="G1864">
        <v>1</v>
      </c>
      <c r="H1864" t="s">
        <v>56</v>
      </c>
      <c r="I1864" t="s">
        <v>57</v>
      </c>
      <c r="K1864" t="s">
        <v>2135</v>
      </c>
      <c r="L1864" t="s">
        <v>2606</v>
      </c>
      <c r="M1864" t="s">
        <v>60</v>
      </c>
      <c r="P1864" t="s">
        <v>511</v>
      </c>
      <c r="Q1864" t="s">
        <v>1536</v>
      </c>
      <c r="R1864" t="s">
        <v>512</v>
      </c>
      <c r="S1864" t="s">
        <v>123</v>
      </c>
      <c r="T1864">
        <v>259.51</v>
      </c>
      <c r="U1864">
        <v>251.90199999999999</v>
      </c>
      <c r="V1864">
        <f t="shared" si="58"/>
        <v>255.70599999999999</v>
      </c>
      <c r="W1864">
        <f t="shared" si="59"/>
        <v>7.6080000000000041</v>
      </c>
      <c r="X1864">
        <v>44.416668000000001</v>
      </c>
      <c r="Y1864">
        <v>-24</v>
      </c>
      <c r="Z1864" t="s">
        <v>124</v>
      </c>
      <c r="AA1864" t="s">
        <v>1913</v>
      </c>
      <c r="AB1864" t="s">
        <v>1914</v>
      </c>
      <c r="AD1864" t="s">
        <v>1915</v>
      </c>
      <c r="AE1864" t="s">
        <v>1916</v>
      </c>
      <c r="AH1864" t="s">
        <v>72</v>
      </c>
      <c r="AI1864" t="s">
        <v>2595</v>
      </c>
      <c r="AJ1864">
        <v>1926</v>
      </c>
      <c r="AK1864" t="s">
        <v>1918</v>
      </c>
      <c r="AM1864" t="s">
        <v>1919</v>
      </c>
      <c r="AN1864" t="s">
        <v>192</v>
      </c>
      <c r="AO1864" t="s">
        <v>657</v>
      </c>
      <c r="AP1864" t="s">
        <v>359</v>
      </c>
      <c r="AQ1864" t="s">
        <v>1920</v>
      </c>
      <c r="AR1864" t="s">
        <v>80</v>
      </c>
      <c r="AS1864">
        <v>702</v>
      </c>
      <c r="AT1864" t="s">
        <v>81</v>
      </c>
      <c r="AU1864">
        <v>22.51</v>
      </c>
      <c r="AV1864">
        <v>-42.93</v>
      </c>
      <c r="AW1864" t="s">
        <v>82</v>
      </c>
      <c r="AX1864">
        <v>702</v>
      </c>
      <c r="AY1864" t="s">
        <v>81</v>
      </c>
      <c r="AZ1864">
        <v>24.25</v>
      </c>
      <c r="BA1864">
        <v>-52.74</v>
      </c>
      <c r="BB1864" t="s">
        <v>83</v>
      </c>
    </row>
    <row r="1865" spans="1:54" x14ac:dyDescent="0.4">
      <c r="A1865">
        <v>1285964</v>
      </c>
      <c r="D1865" t="s">
        <v>498</v>
      </c>
      <c r="E1865" t="s">
        <v>55</v>
      </c>
      <c r="G1865">
        <v>1</v>
      </c>
      <c r="H1865" t="s">
        <v>56</v>
      </c>
      <c r="I1865" t="s">
        <v>57</v>
      </c>
      <c r="K1865" t="s">
        <v>2135</v>
      </c>
      <c r="L1865" t="s">
        <v>2606</v>
      </c>
      <c r="M1865" t="s">
        <v>60</v>
      </c>
      <c r="P1865" t="s">
        <v>511</v>
      </c>
      <c r="Q1865" t="s">
        <v>1536</v>
      </c>
      <c r="R1865" t="s">
        <v>512</v>
      </c>
      <c r="S1865" t="s">
        <v>123</v>
      </c>
      <c r="T1865">
        <v>259.51</v>
      </c>
      <c r="U1865">
        <v>251.90199999999999</v>
      </c>
      <c r="V1865">
        <f t="shared" si="58"/>
        <v>255.70599999999999</v>
      </c>
      <c r="W1865">
        <f t="shared" si="59"/>
        <v>7.6080000000000041</v>
      </c>
      <c r="X1865">
        <v>44.416668000000001</v>
      </c>
      <c r="Y1865">
        <v>-24</v>
      </c>
      <c r="Z1865" t="s">
        <v>124</v>
      </c>
      <c r="AA1865" t="s">
        <v>1913</v>
      </c>
      <c r="AB1865" t="s">
        <v>1914</v>
      </c>
      <c r="AD1865" t="s">
        <v>1915</v>
      </c>
      <c r="AE1865" t="s">
        <v>1916</v>
      </c>
      <c r="AH1865" t="s">
        <v>72</v>
      </c>
      <c r="AI1865" t="s">
        <v>2595</v>
      </c>
      <c r="AJ1865">
        <v>1926</v>
      </c>
      <c r="AK1865" t="s">
        <v>1918</v>
      </c>
      <c r="AM1865" t="s">
        <v>1919</v>
      </c>
      <c r="AN1865" t="s">
        <v>192</v>
      </c>
      <c r="AO1865" t="s">
        <v>657</v>
      </c>
      <c r="AP1865" t="s">
        <v>359</v>
      </c>
      <c r="AQ1865" t="s">
        <v>1920</v>
      </c>
      <c r="AR1865" t="s">
        <v>80</v>
      </c>
      <c r="AS1865">
        <v>702</v>
      </c>
      <c r="AT1865" t="s">
        <v>81</v>
      </c>
      <c r="AU1865">
        <v>22.51</v>
      </c>
      <c r="AV1865">
        <v>-42.93</v>
      </c>
      <c r="AW1865" t="s">
        <v>82</v>
      </c>
      <c r="AX1865">
        <v>702</v>
      </c>
      <c r="AY1865" t="s">
        <v>81</v>
      </c>
      <c r="AZ1865">
        <v>24.25</v>
      </c>
      <c r="BA1865">
        <v>-52.74</v>
      </c>
      <c r="BB1865" t="s">
        <v>83</v>
      </c>
    </row>
    <row r="1866" spans="1:54" x14ac:dyDescent="0.4">
      <c r="A1866">
        <v>1285964</v>
      </c>
      <c r="D1866" t="s">
        <v>498</v>
      </c>
      <c r="E1866" t="s">
        <v>55</v>
      </c>
      <c r="G1866">
        <v>1</v>
      </c>
      <c r="H1866" t="s">
        <v>56</v>
      </c>
      <c r="I1866" t="s">
        <v>57</v>
      </c>
      <c r="K1866" t="s">
        <v>2135</v>
      </c>
      <c r="L1866" t="s">
        <v>2606</v>
      </c>
      <c r="M1866" t="s">
        <v>60</v>
      </c>
      <c r="P1866" t="s">
        <v>511</v>
      </c>
      <c r="Q1866" t="s">
        <v>1536</v>
      </c>
      <c r="R1866" t="s">
        <v>512</v>
      </c>
      <c r="S1866" t="s">
        <v>123</v>
      </c>
      <c r="T1866">
        <v>259.51</v>
      </c>
      <c r="U1866">
        <v>251.90199999999999</v>
      </c>
      <c r="V1866">
        <f t="shared" si="58"/>
        <v>255.70599999999999</v>
      </c>
      <c r="W1866">
        <f t="shared" si="59"/>
        <v>7.6080000000000041</v>
      </c>
      <c r="X1866">
        <v>44.416668000000001</v>
      </c>
      <c r="Y1866">
        <v>-24</v>
      </c>
      <c r="Z1866" t="s">
        <v>124</v>
      </c>
      <c r="AA1866" t="s">
        <v>1913</v>
      </c>
      <c r="AB1866" t="s">
        <v>1914</v>
      </c>
      <c r="AD1866" t="s">
        <v>1915</v>
      </c>
      <c r="AE1866" t="s">
        <v>1916</v>
      </c>
      <c r="AH1866" t="s">
        <v>72</v>
      </c>
      <c r="AI1866" t="s">
        <v>2595</v>
      </c>
      <c r="AJ1866">
        <v>1926</v>
      </c>
      <c r="AK1866" t="s">
        <v>1918</v>
      </c>
      <c r="AM1866" t="s">
        <v>1919</v>
      </c>
      <c r="AN1866" t="s">
        <v>192</v>
      </c>
      <c r="AO1866" t="s">
        <v>657</v>
      </c>
      <c r="AP1866" t="s">
        <v>359</v>
      </c>
      <c r="AQ1866" t="s">
        <v>1920</v>
      </c>
      <c r="AR1866" t="s">
        <v>80</v>
      </c>
      <c r="AS1866">
        <v>702</v>
      </c>
      <c r="AT1866" t="s">
        <v>81</v>
      </c>
      <c r="AU1866">
        <v>22.51</v>
      </c>
      <c r="AV1866">
        <v>-42.93</v>
      </c>
      <c r="AW1866" t="s">
        <v>82</v>
      </c>
      <c r="AX1866">
        <v>702</v>
      </c>
      <c r="AY1866" t="s">
        <v>81</v>
      </c>
      <c r="AZ1866">
        <v>24.25</v>
      </c>
      <c r="BA1866">
        <v>-52.74</v>
      </c>
      <c r="BB1866" t="s">
        <v>83</v>
      </c>
    </row>
    <row r="1867" spans="1:54" x14ac:dyDescent="0.4">
      <c r="A1867">
        <v>1285964</v>
      </c>
      <c r="D1867" t="s">
        <v>498</v>
      </c>
      <c r="E1867" t="s">
        <v>55</v>
      </c>
      <c r="G1867">
        <v>1</v>
      </c>
      <c r="H1867" t="s">
        <v>56</v>
      </c>
      <c r="I1867" t="s">
        <v>57</v>
      </c>
      <c r="K1867" t="s">
        <v>2135</v>
      </c>
      <c r="L1867" t="s">
        <v>2606</v>
      </c>
      <c r="M1867" t="s">
        <v>60</v>
      </c>
      <c r="P1867" t="s">
        <v>511</v>
      </c>
      <c r="Q1867" t="s">
        <v>1536</v>
      </c>
      <c r="R1867" t="s">
        <v>512</v>
      </c>
      <c r="S1867" t="s">
        <v>123</v>
      </c>
      <c r="T1867">
        <v>259.51</v>
      </c>
      <c r="U1867">
        <v>251.90199999999999</v>
      </c>
      <c r="V1867">
        <f t="shared" si="58"/>
        <v>255.70599999999999</v>
      </c>
      <c r="W1867">
        <f t="shared" si="59"/>
        <v>7.6080000000000041</v>
      </c>
      <c r="X1867">
        <v>44.416668000000001</v>
      </c>
      <c r="Y1867">
        <v>-24</v>
      </c>
      <c r="Z1867" t="s">
        <v>124</v>
      </c>
      <c r="AA1867" t="s">
        <v>1913</v>
      </c>
      <c r="AB1867" t="s">
        <v>1914</v>
      </c>
      <c r="AD1867" t="s">
        <v>1915</v>
      </c>
      <c r="AE1867" t="s">
        <v>1916</v>
      </c>
      <c r="AH1867" t="s">
        <v>72</v>
      </c>
      <c r="AI1867" t="s">
        <v>2595</v>
      </c>
      <c r="AJ1867">
        <v>1926</v>
      </c>
      <c r="AK1867" t="s">
        <v>1918</v>
      </c>
      <c r="AM1867" t="s">
        <v>1919</v>
      </c>
      <c r="AN1867" t="s">
        <v>192</v>
      </c>
      <c r="AO1867" t="s">
        <v>657</v>
      </c>
      <c r="AP1867" t="s">
        <v>359</v>
      </c>
      <c r="AQ1867" t="s">
        <v>1920</v>
      </c>
      <c r="AR1867" t="s">
        <v>80</v>
      </c>
      <c r="AS1867">
        <v>702</v>
      </c>
      <c r="AT1867" t="s">
        <v>81</v>
      </c>
      <c r="AU1867">
        <v>22.51</v>
      </c>
      <c r="AV1867">
        <v>-42.93</v>
      </c>
      <c r="AW1867" t="s">
        <v>82</v>
      </c>
      <c r="AX1867">
        <v>702</v>
      </c>
      <c r="AY1867" t="s">
        <v>81</v>
      </c>
      <c r="AZ1867">
        <v>24.25</v>
      </c>
      <c r="BA1867">
        <v>-52.74</v>
      </c>
      <c r="BB1867" t="s">
        <v>83</v>
      </c>
    </row>
    <row r="1868" spans="1:54" x14ac:dyDescent="0.4">
      <c r="A1868">
        <v>1285964</v>
      </c>
      <c r="D1868" t="s">
        <v>498</v>
      </c>
      <c r="E1868" t="s">
        <v>55</v>
      </c>
      <c r="G1868">
        <v>1</v>
      </c>
      <c r="H1868" t="s">
        <v>56</v>
      </c>
      <c r="I1868" t="s">
        <v>57</v>
      </c>
      <c r="K1868" t="s">
        <v>2135</v>
      </c>
      <c r="L1868" t="s">
        <v>2606</v>
      </c>
      <c r="M1868" t="s">
        <v>60</v>
      </c>
      <c r="P1868" t="s">
        <v>511</v>
      </c>
      <c r="Q1868" t="s">
        <v>1536</v>
      </c>
      <c r="R1868" t="s">
        <v>512</v>
      </c>
      <c r="S1868" t="s">
        <v>123</v>
      </c>
      <c r="T1868">
        <v>259.51</v>
      </c>
      <c r="U1868">
        <v>251.90199999999999</v>
      </c>
      <c r="V1868">
        <f t="shared" si="58"/>
        <v>255.70599999999999</v>
      </c>
      <c r="W1868">
        <f t="shared" si="59"/>
        <v>7.6080000000000041</v>
      </c>
      <c r="X1868">
        <v>44.416668000000001</v>
      </c>
      <c r="Y1868">
        <v>-24</v>
      </c>
      <c r="Z1868" t="s">
        <v>124</v>
      </c>
      <c r="AA1868" t="s">
        <v>1913</v>
      </c>
      <c r="AB1868" t="s">
        <v>1914</v>
      </c>
      <c r="AD1868" t="s">
        <v>1915</v>
      </c>
      <c r="AE1868" t="s">
        <v>1916</v>
      </c>
      <c r="AH1868" t="s">
        <v>72</v>
      </c>
      <c r="AI1868" t="s">
        <v>2595</v>
      </c>
      <c r="AJ1868">
        <v>1926</v>
      </c>
      <c r="AK1868" t="s">
        <v>1918</v>
      </c>
      <c r="AM1868" t="s">
        <v>1919</v>
      </c>
      <c r="AN1868" t="s">
        <v>192</v>
      </c>
      <c r="AO1868" t="s">
        <v>657</v>
      </c>
      <c r="AP1868" t="s">
        <v>359</v>
      </c>
      <c r="AQ1868" t="s">
        <v>1920</v>
      </c>
      <c r="AR1868" t="s">
        <v>80</v>
      </c>
      <c r="AS1868">
        <v>702</v>
      </c>
      <c r="AT1868" t="s">
        <v>81</v>
      </c>
      <c r="AU1868">
        <v>22.51</v>
      </c>
      <c r="AV1868">
        <v>-42.93</v>
      </c>
      <c r="AW1868" t="s">
        <v>82</v>
      </c>
      <c r="AX1868">
        <v>702</v>
      </c>
      <c r="AY1868" t="s">
        <v>81</v>
      </c>
      <c r="AZ1868">
        <v>24.25</v>
      </c>
      <c r="BA1868">
        <v>-52.74</v>
      </c>
      <c r="BB1868" t="s">
        <v>83</v>
      </c>
    </row>
    <row r="1869" spans="1:54" x14ac:dyDescent="0.4">
      <c r="A1869">
        <v>1285964</v>
      </c>
      <c r="D1869" t="s">
        <v>498</v>
      </c>
      <c r="E1869" t="s">
        <v>55</v>
      </c>
      <c r="G1869">
        <v>1</v>
      </c>
      <c r="H1869" t="s">
        <v>56</v>
      </c>
      <c r="I1869" t="s">
        <v>57</v>
      </c>
      <c r="K1869" t="s">
        <v>2135</v>
      </c>
      <c r="L1869" t="s">
        <v>2606</v>
      </c>
      <c r="M1869" t="s">
        <v>60</v>
      </c>
      <c r="P1869" t="s">
        <v>511</v>
      </c>
      <c r="Q1869" t="s">
        <v>1536</v>
      </c>
      <c r="R1869" t="s">
        <v>512</v>
      </c>
      <c r="S1869" t="s">
        <v>123</v>
      </c>
      <c r="T1869">
        <v>259.51</v>
      </c>
      <c r="U1869">
        <v>251.90199999999999</v>
      </c>
      <c r="V1869">
        <f t="shared" si="58"/>
        <v>255.70599999999999</v>
      </c>
      <c r="W1869">
        <f t="shared" si="59"/>
        <v>7.6080000000000041</v>
      </c>
      <c r="X1869">
        <v>44.416668000000001</v>
      </c>
      <c r="Y1869">
        <v>-24</v>
      </c>
      <c r="Z1869" t="s">
        <v>124</v>
      </c>
      <c r="AA1869" t="s">
        <v>1913</v>
      </c>
      <c r="AB1869" t="s">
        <v>1914</v>
      </c>
      <c r="AD1869" t="s">
        <v>1915</v>
      </c>
      <c r="AE1869" t="s">
        <v>1916</v>
      </c>
      <c r="AH1869" t="s">
        <v>72</v>
      </c>
      <c r="AI1869" t="s">
        <v>2595</v>
      </c>
      <c r="AJ1869">
        <v>1926</v>
      </c>
      <c r="AK1869" t="s">
        <v>1918</v>
      </c>
      <c r="AM1869" t="s">
        <v>1919</v>
      </c>
      <c r="AN1869" t="s">
        <v>192</v>
      </c>
      <c r="AO1869" t="s">
        <v>657</v>
      </c>
      <c r="AP1869" t="s">
        <v>359</v>
      </c>
      <c r="AQ1869" t="s">
        <v>1920</v>
      </c>
      <c r="AR1869" t="s">
        <v>80</v>
      </c>
      <c r="AS1869">
        <v>702</v>
      </c>
      <c r="AT1869" t="s">
        <v>81</v>
      </c>
      <c r="AU1869">
        <v>22.51</v>
      </c>
      <c r="AV1869">
        <v>-42.93</v>
      </c>
      <c r="AW1869" t="s">
        <v>82</v>
      </c>
      <c r="AX1869">
        <v>702</v>
      </c>
      <c r="AY1869" t="s">
        <v>81</v>
      </c>
      <c r="AZ1869">
        <v>24.25</v>
      </c>
      <c r="BA1869">
        <v>-52.74</v>
      </c>
      <c r="BB1869" t="s">
        <v>83</v>
      </c>
    </row>
    <row r="1870" spans="1:54" x14ac:dyDescent="0.4">
      <c r="A1870">
        <v>1285964</v>
      </c>
      <c r="D1870" t="s">
        <v>498</v>
      </c>
      <c r="E1870" t="s">
        <v>55</v>
      </c>
      <c r="G1870">
        <v>1</v>
      </c>
      <c r="H1870" t="s">
        <v>56</v>
      </c>
      <c r="I1870" t="s">
        <v>57</v>
      </c>
      <c r="K1870" t="s">
        <v>2135</v>
      </c>
      <c r="L1870" t="s">
        <v>2606</v>
      </c>
      <c r="M1870" t="s">
        <v>60</v>
      </c>
      <c r="P1870" t="s">
        <v>511</v>
      </c>
      <c r="Q1870" t="s">
        <v>1536</v>
      </c>
      <c r="R1870" t="s">
        <v>512</v>
      </c>
      <c r="S1870" t="s">
        <v>123</v>
      </c>
      <c r="T1870">
        <v>259.51</v>
      </c>
      <c r="U1870">
        <v>251.90199999999999</v>
      </c>
      <c r="V1870">
        <f t="shared" si="58"/>
        <v>255.70599999999999</v>
      </c>
      <c r="W1870">
        <f t="shared" si="59"/>
        <v>7.6080000000000041</v>
      </c>
      <c r="X1870">
        <v>44.416668000000001</v>
      </c>
      <c r="Y1870">
        <v>-24</v>
      </c>
      <c r="Z1870" t="s">
        <v>124</v>
      </c>
      <c r="AA1870" t="s">
        <v>1913</v>
      </c>
      <c r="AB1870" t="s">
        <v>1914</v>
      </c>
      <c r="AD1870" t="s">
        <v>1915</v>
      </c>
      <c r="AE1870" t="s">
        <v>1916</v>
      </c>
      <c r="AH1870" t="s">
        <v>72</v>
      </c>
      <c r="AI1870" t="s">
        <v>2595</v>
      </c>
      <c r="AJ1870">
        <v>1926</v>
      </c>
      <c r="AK1870" t="s">
        <v>1918</v>
      </c>
      <c r="AM1870" t="s">
        <v>1919</v>
      </c>
      <c r="AN1870" t="s">
        <v>192</v>
      </c>
      <c r="AO1870" t="s">
        <v>657</v>
      </c>
      <c r="AP1870" t="s">
        <v>359</v>
      </c>
      <c r="AQ1870" t="s">
        <v>1920</v>
      </c>
      <c r="AR1870" t="s">
        <v>80</v>
      </c>
      <c r="AS1870">
        <v>702</v>
      </c>
      <c r="AT1870" t="s">
        <v>81</v>
      </c>
      <c r="AU1870">
        <v>22.51</v>
      </c>
      <c r="AV1870">
        <v>-42.93</v>
      </c>
      <c r="AW1870" t="s">
        <v>82</v>
      </c>
      <c r="AX1870">
        <v>702</v>
      </c>
      <c r="AY1870" t="s">
        <v>81</v>
      </c>
      <c r="AZ1870">
        <v>24.25</v>
      </c>
      <c r="BA1870">
        <v>-52.74</v>
      </c>
      <c r="BB1870" t="s">
        <v>83</v>
      </c>
    </row>
    <row r="1871" spans="1:54" x14ac:dyDescent="0.4">
      <c r="A1871">
        <v>1285964</v>
      </c>
      <c r="D1871" t="s">
        <v>498</v>
      </c>
      <c r="E1871" t="s">
        <v>55</v>
      </c>
      <c r="G1871">
        <v>1</v>
      </c>
      <c r="H1871" t="s">
        <v>56</v>
      </c>
      <c r="I1871" t="s">
        <v>57</v>
      </c>
      <c r="K1871" t="s">
        <v>2135</v>
      </c>
      <c r="L1871" t="s">
        <v>2606</v>
      </c>
      <c r="M1871" t="s">
        <v>60</v>
      </c>
      <c r="P1871" t="s">
        <v>511</v>
      </c>
      <c r="Q1871" t="s">
        <v>1536</v>
      </c>
      <c r="R1871" t="s">
        <v>512</v>
      </c>
      <c r="S1871" t="s">
        <v>123</v>
      </c>
      <c r="T1871">
        <v>259.51</v>
      </c>
      <c r="U1871">
        <v>251.90199999999999</v>
      </c>
      <c r="V1871">
        <f t="shared" si="58"/>
        <v>255.70599999999999</v>
      </c>
      <c r="W1871">
        <f t="shared" si="59"/>
        <v>7.6080000000000041</v>
      </c>
      <c r="X1871">
        <v>44.416668000000001</v>
      </c>
      <c r="Y1871">
        <v>-24</v>
      </c>
      <c r="Z1871" t="s">
        <v>124</v>
      </c>
      <c r="AA1871" t="s">
        <v>1913</v>
      </c>
      <c r="AB1871" t="s">
        <v>1914</v>
      </c>
      <c r="AD1871" t="s">
        <v>1915</v>
      </c>
      <c r="AE1871" t="s">
        <v>1916</v>
      </c>
      <c r="AH1871" t="s">
        <v>72</v>
      </c>
      <c r="AI1871" t="s">
        <v>2595</v>
      </c>
      <c r="AJ1871">
        <v>1926</v>
      </c>
      <c r="AK1871" t="s">
        <v>1918</v>
      </c>
      <c r="AM1871" t="s">
        <v>1919</v>
      </c>
      <c r="AN1871" t="s">
        <v>192</v>
      </c>
      <c r="AO1871" t="s">
        <v>657</v>
      </c>
      <c r="AP1871" t="s">
        <v>359</v>
      </c>
      <c r="AQ1871" t="s">
        <v>1920</v>
      </c>
      <c r="AR1871" t="s">
        <v>80</v>
      </c>
      <c r="AS1871">
        <v>702</v>
      </c>
      <c r="AT1871" t="s">
        <v>81</v>
      </c>
      <c r="AU1871">
        <v>22.51</v>
      </c>
      <c r="AV1871">
        <v>-42.93</v>
      </c>
      <c r="AW1871" t="s">
        <v>82</v>
      </c>
      <c r="AX1871">
        <v>702</v>
      </c>
      <c r="AY1871" t="s">
        <v>81</v>
      </c>
      <c r="AZ1871">
        <v>24.25</v>
      </c>
      <c r="BA1871">
        <v>-52.74</v>
      </c>
      <c r="BB1871" t="s">
        <v>83</v>
      </c>
    </row>
    <row r="1872" spans="1:54" x14ac:dyDescent="0.4">
      <c r="A1872">
        <v>1285964</v>
      </c>
      <c r="D1872" t="s">
        <v>498</v>
      </c>
      <c r="E1872" t="s">
        <v>55</v>
      </c>
      <c r="G1872">
        <v>1</v>
      </c>
      <c r="H1872" t="s">
        <v>56</v>
      </c>
      <c r="I1872" t="s">
        <v>57</v>
      </c>
      <c r="K1872" t="s">
        <v>2135</v>
      </c>
      <c r="L1872" t="s">
        <v>2606</v>
      </c>
      <c r="M1872" t="s">
        <v>60</v>
      </c>
      <c r="P1872" t="s">
        <v>511</v>
      </c>
      <c r="Q1872" t="s">
        <v>1536</v>
      </c>
      <c r="R1872" t="s">
        <v>512</v>
      </c>
      <c r="S1872" t="s">
        <v>123</v>
      </c>
      <c r="T1872">
        <v>259.51</v>
      </c>
      <c r="U1872">
        <v>251.90199999999999</v>
      </c>
      <c r="V1872">
        <f t="shared" si="58"/>
        <v>255.70599999999999</v>
      </c>
      <c r="W1872">
        <f t="shared" si="59"/>
        <v>7.6080000000000041</v>
      </c>
      <c r="X1872">
        <v>44.416668000000001</v>
      </c>
      <c r="Y1872">
        <v>-24</v>
      </c>
      <c r="Z1872" t="s">
        <v>124</v>
      </c>
      <c r="AA1872" t="s">
        <v>1913</v>
      </c>
      <c r="AB1872" t="s">
        <v>1914</v>
      </c>
      <c r="AD1872" t="s">
        <v>1915</v>
      </c>
      <c r="AE1872" t="s">
        <v>1916</v>
      </c>
      <c r="AH1872" t="s">
        <v>72</v>
      </c>
      <c r="AI1872" t="s">
        <v>2595</v>
      </c>
      <c r="AJ1872">
        <v>1926</v>
      </c>
      <c r="AK1872" t="s">
        <v>1918</v>
      </c>
      <c r="AM1872" t="s">
        <v>1919</v>
      </c>
      <c r="AN1872" t="s">
        <v>192</v>
      </c>
      <c r="AO1872" t="s">
        <v>657</v>
      </c>
      <c r="AP1872" t="s">
        <v>359</v>
      </c>
      <c r="AQ1872" t="s">
        <v>1920</v>
      </c>
      <c r="AR1872" t="s">
        <v>80</v>
      </c>
      <c r="AS1872">
        <v>702</v>
      </c>
      <c r="AT1872" t="s">
        <v>81</v>
      </c>
      <c r="AU1872">
        <v>22.51</v>
      </c>
      <c r="AV1872">
        <v>-42.93</v>
      </c>
      <c r="AW1872" t="s">
        <v>82</v>
      </c>
      <c r="AX1872">
        <v>702</v>
      </c>
      <c r="AY1872" t="s">
        <v>81</v>
      </c>
      <c r="AZ1872">
        <v>24.25</v>
      </c>
      <c r="BA1872">
        <v>-52.74</v>
      </c>
      <c r="BB1872" t="s">
        <v>83</v>
      </c>
    </row>
    <row r="1873" spans="1:54" x14ac:dyDescent="0.4">
      <c r="A1873">
        <v>1285964</v>
      </c>
      <c r="D1873" t="s">
        <v>498</v>
      </c>
      <c r="E1873" t="s">
        <v>55</v>
      </c>
      <c r="G1873">
        <v>1</v>
      </c>
      <c r="H1873" t="s">
        <v>56</v>
      </c>
      <c r="I1873" t="s">
        <v>57</v>
      </c>
      <c r="K1873" t="s">
        <v>2135</v>
      </c>
      <c r="L1873" t="s">
        <v>2606</v>
      </c>
      <c r="M1873" t="s">
        <v>60</v>
      </c>
      <c r="P1873" t="s">
        <v>511</v>
      </c>
      <c r="Q1873" t="s">
        <v>1536</v>
      </c>
      <c r="R1873" t="s">
        <v>512</v>
      </c>
      <c r="S1873" t="s">
        <v>123</v>
      </c>
      <c r="T1873">
        <v>259.51</v>
      </c>
      <c r="U1873">
        <v>251.90199999999999</v>
      </c>
      <c r="V1873">
        <f t="shared" si="58"/>
        <v>255.70599999999999</v>
      </c>
      <c r="W1873">
        <f t="shared" si="59"/>
        <v>7.6080000000000041</v>
      </c>
      <c r="X1873">
        <v>44.416668000000001</v>
      </c>
      <c r="Y1873">
        <v>-24</v>
      </c>
      <c r="Z1873" t="s">
        <v>124</v>
      </c>
      <c r="AA1873" t="s">
        <v>1913</v>
      </c>
      <c r="AB1873" t="s">
        <v>1914</v>
      </c>
      <c r="AD1873" t="s">
        <v>1915</v>
      </c>
      <c r="AE1873" t="s">
        <v>1916</v>
      </c>
      <c r="AH1873" t="s">
        <v>72</v>
      </c>
      <c r="AI1873" t="s">
        <v>2595</v>
      </c>
      <c r="AJ1873">
        <v>1926</v>
      </c>
      <c r="AK1873" t="s">
        <v>1918</v>
      </c>
      <c r="AM1873" t="s">
        <v>1919</v>
      </c>
      <c r="AN1873" t="s">
        <v>192</v>
      </c>
      <c r="AO1873" t="s">
        <v>657</v>
      </c>
      <c r="AP1873" t="s">
        <v>359</v>
      </c>
      <c r="AQ1873" t="s">
        <v>1920</v>
      </c>
      <c r="AR1873" t="s">
        <v>80</v>
      </c>
      <c r="AS1873">
        <v>702</v>
      </c>
      <c r="AT1873" t="s">
        <v>81</v>
      </c>
      <c r="AU1873">
        <v>22.51</v>
      </c>
      <c r="AV1873">
        <v>-42.93</v>
      </c>
      <c r="AW1873" t="s">
        <v>82</v>
      </c>
      <c r="AX1873">
        <v>702</v>
      </c>
      <c r="AY1873" t="s">
        <v>81</v>
      </c>
      <c r="AZ1873">
        <v>24.25</v>
      </c>
      <c r="BA1873">
        <v>-52.74</v>
      </c>
      <c r="BB1873" t="s">
        <v>83</v>
      </c>
    </row>
    <row r="1874" spans="1:54" x14ac:dyDescent="0.4">
      <c r="A1874">
        <v>1285964</v>
      </c>
      <c r="D1874" t="s">
        <v>498</v>
      </c>
      <c r="E1874" t="s">
        <v>55</v>
      </c>
      <c r="G1874">
        <v>1</v>
      </c>
      <c r="H1874" t="s">
        <v>56</v>
      </c>
      <c r="I1874" t="s">
        <v>57</v>
      </c>
      <c r="K1874" t="s">
        <v>2135</v>
      </c>
      <c r="L1874" t="s">
        <v>2606</v>
      </c>
      <c r="M1874" t="s">
        <v>60</v>
      </c>
      <c r="P1874" t="s">
        <v>511</v>
      </c>
      <c r="Q1874" t="s">
        <v>1536</v>
      </c>
      <c r="R1874" t="s">
        <v>512</v>
      </c>
      <c r="S1874" t="s">
        <v>123</v>
      </c>
      <c r="T1874">
        <v>259.51</v>
      </c>
      <c r="U1874">
        <v>251.90199999999999</v>
      </c>
      <c r="V1874">
        <f t="shared" si="58"/>
        <v>255.70599999999999</v>
      </c>
      <c r="W1874">
        <f t="shared" si="59"/>
        <v>7.6080000000000041</v>
      </c>
      <c r="X1874">
        <v>44.416668000000001</v>
      </c>
      <c r="Y1874">
        <v>-24</v>
      </c>
      <c r="Z1874" t="s">
        <v>124</v>
      </c>
      <c r="AA1874" t="s">
        <v>1913</v>
      </c>
      <c r="AB1874" t="s">
        <v>1914</v>
      </c>
      <c r="AD1874" t="s">
        <v>1915</v>
      </c>
      <c r="AE1874" t="s">
        <v>1916</v>
      </c>
      <c r="AH1874" t="s">
        <v>72</v>
      </c>
      <c r="AI1874" t="s">
        <v>2595</v>
      </c>
      <c r="AJ1874">
        <v>1926</v>
      </c>
      <c r="AK1874" t="s">
        <v>1918</v>
      </c>
      <c r="AM1874" t="s">
        <v>1919</v>
      </c>
      <c r="AN1874" t="s">
        <v>192</v>
      </c>
      <c r="AO1874" t="s">
        <v>657</v>
      </c>
      <c r="AP1874" t="s">
        <v>359</v>
      </c>
      <c r="AQ1874" t="s">
        <v>1920</v>
      </c>
      <c r="AR1874" t="s">
        <v>80</v>
      </c>
      <c r="AS1874">
        <v>702</v>
      </c>
      <c r="AT1874" t="s">
        <v>81</v>
      </c>
      <c r="AU1874">
        <v>22.51</v>
      </c>
      <c r="AV1874">
        <v>-42.93</v>
      </c>
      <c r="AW1874" t="s">
        <v>82</v>
      </c>
      <c r="AX1874">
        <v>702</v>
      </c>
      <c r="AY1874" t="s">
        <v>81</v>
      </c>
      <c r="AZ1874">
        <v>24.25</v>
      </c>
      <c r="BA1874">
        <v>-52.74</v>
      </c>
      <c r="BB1874" t="s">
        <v>83</v>
      </c>
    </row>
    <row r="1875" spans="1:54" x14ac:dyDescent="0.4">
      <c r="A1875">
        <v>1285964</v>
      </c>
      <c r="D1875" t="s">
        <v>498</v>
      </c>
      <c r="E1875" t="s">
        <v>55</v>
      </c>
      <c r="G1875">
        <v>1</v>
      </c>
      <c r="H1875" t="s">
        <v>56</v>
      </c>
      <c r="I1875" t="s">
        <v>57</v>
      </c>
      <c r="K1875" t="s">
        <v>2135</v>
      </c>
      <c r="L1875" t="s">
        <v>2606</v>
      </c>
      <c r="M1875" t="s">
        <v>60</v>
      </c>
      <c r="P1875" t="s">
        <v>511</v>
      </c>
      <c r="Q1875" t="s">
        <v>1536</v>
      </c>
      <c r="R1875" t="s">
        <v>512</v>
      </c>
      <c r="S1875" t="s">
        <v>123</v>
      </c>
      <c r="T1875">
        <v>259.51</v>
      </c>
      <c r="U1875">
        <v>251.90199999999999</v>
      </c>
      <c r="V1875">
        <f t="shared" si="58"/>
        <v>255.70599999999999</v>
      </c>
      <c r="W1875">
        <f t="shared" si="59"/>
        <v>7.6080000000000041</v>
      </c>
      <c r="X1875">
        <v>44.416668000000001</v>
      </c>
      <c r="Y1875">
        <v>-24</v>
      </c>
      <c r="Z1875" t="s">
        <v>124</v>
      </c>
      <c r="AA1875" t="s">
        <v>1913</v>
      </c>
      <c r="AB1875" t="s">
        <v>1914</v>
      </c>
      <c r="AD1875" t="s">
        <v>1915</v>
      </c>
      <c r="AE1875" t="s">
        <v>1916</v>
      </c>
      <c r="AH1875" t="s">
        <v>72</v>
      </c>
      <c r="AI1875" t="s">
        <v>2595</v>
      </c>
      <c r="AJ1875">
        <v>1926</v>
      </c>
      <c r="AK1875" t="s">
        <v>1918</v>
      </c>
      <c r="AM1875" t="s">
        <v>1919</v>
      </c>
      <c r="AN1875" t="s">
        <v>192</v>
      </c>
      <c r="AO1875" t="s">
        <v>657</v>
      </c>
      <c r="AP1875" t="s">
        <v>359</v>
      </c>
      <c r="AQ1875" t="s">
        <v>1920</v>
      </c>
      <c r="AR1875" t="s">
        <v>80</v>
      </c>
      <c r="AS1875">
        <v>702</v>
      </c>
      <c r="AT1875" t="s">
        <v>81</v>
      </c>
      <c r="AU1875">
        <v>22.51</v>
      </c>
      <c r="AV1875">
        <v>-42.93</v>
      </c>
      <c r="AW1875" t="s">
        <v>82</v>
      </c>
      <c r="AX1875">
        <v>702</v>
      </c>
      <c r="AY1875" t="s">
        <v>81</v>
      </c>
      <c r="AZ1875">
        <v>24.25</v>
      </c>
      <c r="BA1875">
        <v>-52.74</v>
      </c>
      <c r="BB1875" t="s">
        <v>83</v>
      </c>
    </row>
    <row r="1876" spans="1:54" x14ac:dyDescent="0.4">
      <c r="A1876">
        <v>1285964</v>
      </c>
      <c r="D1876" t="s">
        <v>498</v>
      </c>
      <c r="E1876" t="s">
        <v>55</v>
      </c>
      <c r="G1876">
        <v>1</v>
      </c>
      <c r="H1876" t="s">
        <v>56</v>
      </c>
      <c r="I1876" t="s">
        <v>57</v>
      </c>
      <c r="K1876" t="s">
        <v>2135</v>
      </c>
      <c r="L1876" t="s">
        <v>2606</v>
      </c>
      <c r="M1876" t="s">
        <v>60</v>
      </c>
      <c r="P1876" t="s">
        <v>511</v>
      </c>
      <c r="Q1876" t="s">
        <v>1536</v>
      </c>
      <c r="R1876" t="s">
        <v>512</v>
      </c>
      <c r="S1876" t="s">
        <v>123</v>
      </c>
      <c r="T1876">
        <v>259.51</v>
      </c>
      <c r="U1876">
        <v>251.90199999999999</v>
      </c>
      <c r="V1876">
        <f t="shared" si="58"/>
        <v>255.70599999999999</v>
      </c>
      <c r="W1876">
        <f t="shared" si="59"/>
        <v>7.6080000000000041</v>
      </c>
      <c r="X1876">
        <v>44.416668000000001</v>
      </c>
      <c r="Y1876">
        <v>-24</v>
      </c>
      <c r="Z1876" t="s">
        <v>124</v>
      </c>
      <c r="AA1876" t="s">
        <v>1913</v>
      </c>
      <c r="AB1876" t="s">
        <v>1914</v>
      </c>
      <c r="AD1876" t="s">
        <v>1915</v>
      </c>
      <c r="AE1876" t="s">
        <v>1916</v>
      </c>
      <c r="AH1876" t="s">
        <v>72</v>
      </c>
      <c r="AI1876" t="s">
        <v>2595</v>
      </c>
      <c r="AJ1876">
        <v>1926</v>
      </c>
      <c r="AK1876" t="s">
        <v>1918</v>
      </c>
      <c r="AM1876" t="s">
        <v>1919</v>
      </c>
      <c r="AN1876" t="s">
        <v>192</v>
      </c>
      <c r="AO1876" t="s">
        <v>657</v>
      </c>
      <c r="AP1876" t="s">
        <v>359</v>
      </c>
      <c r="AQ1876" t="s">
        <v>1920</v>
      </c>
      <c r="AR1876" t="s">
        <v>80</v>
      </c>
      <c r="AS1876">
        <v>702</v>
      </c>
      <c r="AT1876" t="s">
        <v>81</v>
      </c>
      <c r="AU1876">
        <v>22.51</v>
      </c>
      <c r="AV1876">
        <v>-42.93</v>
      </c>
      <c r="AW1876" t="s">
        <v>82</v>
      </c>
      <c r="AX1876">
        <v>702</v>
      </c>
      <c r="AY1876" t="s">
        <v>81</v>
      </c>
      <c r="AZ1876">
        <v>24.25</v>
      </c>
      <c r="BA1876">
        <v>-52.74</v>
      </c>
      <c r="BB1876" t="s">
        <v>83</v>
      </c>
    </row>
    <row r="1877" spans="1:54" x14ac:dyDescent="0.4">
      <c r="A1877">
        <v>1285964</v>
      </c>
      <c r="D1877" t="s">
        <v>498</v>
      </c>
      <c r="E1877" t="s">
        <v>55</v>
      </c>
      <c r="G1877">
        <v>1</v>
      </c>
      <c r="H1877" t="s">
        <v>56</v>
      </c>
      <c r="I1877" t="s">
        <v>57</v>
      </c>
      <c r="K1877" t="s">
        <v>2135</v>
      </c>
      <c r="L1877" t="s">
        <v>2606</v>
      </c>
      <c r="M1877" t="s">
        <v>60</v>
      </c>
      <c r="P1877" t="s">
        <v>511</v>
      </c>
      <c r="Q1877" t="s">
        <v>1536</v>
      </c>
      <c r="R1877" t="s">
        <v>512</v>
      </c>
      <c r="S1877" t="s">
        <v>123</v>
      </c>
      <c r="T1877">
        <v>259.51</v>
      </c>
      <c r="U1877">
        <v>251.90199999999999</v>
      </c>
      <c r="V1877">
        <f t="shared" si="58"/>
        <v>255.70599999999999</v>
      </c>
      <c r="W1877">
        <f t="shared" si="59"/>
        <v>7.6080000000000041</v>
      </c>
      <c r="X1877">
        <v>44.416668000000001</v>
      </c>
      <c r="Y1877">
        <v>-24</v>
      </c>
      <c r="Z1877" t="s">
        <v>124</v>
      </c>
      <c r="AA1877" t="s">
        <v>1913</v>
      </c>
      <c r="AB1877" t="s">
        <v>1914</v>
      </c>
      <c r="AD1877" t="s">
        <v>1915</v>
      </c>
      <c r="AE1877" t="s">
        <v>1916</v>
      </c>
      <c r="AH1877" t="s">
        <v>72</v>
      </c>
      <c r="AI1877" t="s">
        <v>2595</v>
      </c>
      <c r="AJ1877">
        <v>1926</v>
      </c>
      <c r="AK1877" t="s">
        <v>1918</v>
      </c>
      <c r="AM1877" t="s">
        <v>1919</v>
      </c>
      <c r="AN1877" t="s">
        <v>192</v>
      </c>
      <c r="AO1877" t="s">
        <v>657</v>
      </c>
      <c r="AP1877" t="s">
        <v>359</v>
      </c>
      <c r="AQ1877" t="s">
        <v>1920</v>
      </c>
      <c r="AR1877" t="s">
        <v>80</v>
      </c>
      <c r="AS1877">
        <v>702</v>
      </c>
      <c r="AT1877" t="s">
        <v>81</v>
      </c>
      <c r="AU1877">
        <v>22.51</v>
      </c>
      <c r="AV1877">
        <v>-42.93</v>
      </c>
      <c r="AW1877" t="s">
        <v>82</v>
      </c>
      <c r="AX1877">
        <v>702</v>
      </c>
      <c r="AY1877" t="s">
        <v>81</v>
      </c>
      <c r="AZ1877">
        <v>24.25</v>
      </c>
      <c r="BA1877">
        <v>-52.74</v>
      </c>
      <c r="BB1877" t="s">
        <v>83</v>
      </c>
    </row>
    <row r="1878" spans="1:54" x14ac:dyDescent="0.4">
      <c r="A1878">
        <v>1285964</v>
      </c>
      <c r="D1878" t="s">
        <v>498</v>
      </c>
      <c r="E1878" t="s">
        <v>55</v>
      </c>
      <c r="G1878">
        <v>1</v>
      </c>
      <c r="H1878" t="s">
        <v>56</v>
      </c>
      <c r="I1878" t="s">
        <v>57</v>
      </c>
      <c r="K1878" t="s">
        <v>2135</v>
      </c>
      <c r="L1878" t="s">
        <v>2606</v>
      </c>
      <c r="M1878" t="s">
        <v>60</v>
      </c>
      <c r="P1878" t="s">
        <v>511</v>
      </c>
      <c r="Q1878" t="s">
        <v>1536</v>
      </c>
      <c r="R1878" t="s">
        <v>512</v>
      </c>
      <c r="S1878" t="s">
        <v>123</v>
      </c>
      <c r="T1878">
        <v>259.51</v>
      </c>
      <c r="U1878">
        <v>251.90199999999999</v>
      </c>
      <c r="V1878">
        <f t="shared" si="58"/>
        <v>255.70599999999999</v>
      </c>
      <c r="W1878">
        <f t="shared" si="59"/>
        <v>7.6080000000000041</v>
      </c>
      <c r="X1878">
        <v>44.416668000000001</v>
      </c>
      <c r="Y1878">
        <v>-24</v>
      </c>
      <c r="Z1878" t="s">
        <v>124</v>
      </c>
      <c r="AA1878" t="s">
        <v>1913</v>
      </c>
      <c r="AB1878" t="s">
        <v>1914</v>
      </c>
      <c r="AD1878" t="s">
        <v>1915</v>
      </c>
      <c r="AE1878" t="s">
        <v>1916</v>
      </c>
      <c r="AH1878" t="s">
        <v>72</v>
      </c>
      <c r="AI1878" t="s">
        <v>2595</v>
      </c>
      <c r="AJ1878">
        <v>1926</v>
      </c>
      <c r="AK1878" t="s">
        <v>1918</v>
      </c>
      <c r="AM1878" t="s">
        <v>1919</v>
      </c>
      <c r="AN1878" t="s">
        <v>192</v>
      </c>
      <c r="AO1878" t="s">
        <v>657</v>
      </c>
      <c r="AP1878" t="s">
        <v>359</v>
      </c>
      <c r="AQ1878" t="s">
        <v>1920</v>
      </c>
      <c r="AR1878" t="s">
        <v>80</v>
      </c>
      <c r="AS1878">
        <v>702</v>
      </c>
      <c r="AT1878" t="s">
        <v>81</v>
      </c>
      <c r="AU1878">
        <v>22.51</v>
      </c>
      <c r="AV1878">
        <v>-42.93</v>
      </c>
      <c r="AW1878" t="s">
        <v>82</v>
      </c>
      <c r="AX1878">
        <v>702</v>
      </c>
      <c r="AY1878" t="s">
        <v>81</v>
      </c>
      <c r="AZ1878">
        <v>24.25</v>
      </c>
      <c r="BA1878">
        <v>-52.74</v>
      </c>
      <c r="BB1878" t="s">
        <v>83</v>
      </c>
    </row>
    <row r="1879" spans="1:54" x14ac:dyDescent="0.4">
      <c r="A1879">
        <v>1285964</v>
      </c>
      <c r="D1879" t="s">
        <v>498</v>
      </c>
      <c r="E1879" t="s">
        <v>55</v>
      </c>
      <c r="G1879">
        <v>1</v>
      </c>
      <c r="H1879" t="s">
        <v>56</v>
      </c>
      <c r="I1879" t="s">
        <v>57</v>
      </c>
      <c r="K1879" t="s">
        <v>2135</v>
      </c>
      <c r="L1879" t="s">
        <v>2606</v>
      </c>
      <c r="M1879" t="s">
        <v>60</v>
      </c>
      <c r="P1879" t="s">
        <v>511</v>
      </c>
      <c r="Q1879" t="s">
        <v>1536</v>
      </c>
      <c r="R1879" t="s">
        <v>512</v>
      </c>
      <c r="S1879" t="s">
        <v>123</v>
      </c>
      <c r="T1879">
        <v>259.51</v>
      </c>
      <c r="U1879">
        <v>251.90199999999999</v>
      </c>
      <c r="V1879">
        <f t="shared" si="58"/>
        <v>255.70599999999999</v>
      </c>
      <c r="W1879">
        <f t="shared" si="59"/>
        <v>7.6080000000000041</v>
      </c>
      <c r="X1879">
        <v>44.416668000000001</v>
      </c>
      <c r="Y1879">
        <v>-24</v>
      </c>
      <c r="Z1879" t="s">
        <v>124</v>
      </c>
      <c r="AA1879" t="s">
        <v>1913</v>
      </c>
      <c r="AB1879" t="s">
        <v>1914</v>
      </c>
      <c r="AD1879" t="s">
        <v>1915</v>
      </c>
      <c r="AE1879" t="s">
        <v>1916</v>
      </c>
      <c r="AH1879" t="s">
        <v>72</v>
      </c>
      <c r="AI1879" t="s">
        <v>2595</v>
      </c>
      <c r="AJ1879">
        <v>1926</v>
      </c>
      <c r="AK1879" t="s">
        <v>1918</v>
      </c>
      <c r="AM1879" t="s">
        <v>1919</v>
      </c>
      <c r="AN1879" t="s">
        <v>192</v>
      </c>
      <c r="AO1879" t="s">
        <v>657</v>
      </c>
      <c r="AP1879" t="s">
        <v>359</v>
      </c>
      <c r="AQ1879" t="s">
        <v>1920</v>
      </c>
      <c r="AR1879" t="s">
        <v>80</v>
      </c>
      <c r="AS1879">
        <v>702</v>
      </c>
      <c r="AT1879" t="s">
        <v>81</v>
      </c>
      <c r="AU1879">
        <v>22.51</v>
      </c>
      <c r="AV1879">
        <v>-42.93</v>
      </c>
      <c r="AW1879" t="s">
        <v>82</v>
      </c>
      <c r="AX1879">
        <v>702</v>
      </c>
      <c r="AY1879" t="s">
        <v>81</v>
      </c>
      <c r="AZ1879">
        <v>24.25</v>
      </c>
      <c r="BA1879">
        <v>-52.74</v>
      </c>
      <c r="BB1879" t="s">
        <v>83</v>
      </c>
    </row>
    <row r="1880" spans="1:54" x14ac:dyDescent="0.4">
      <c r="A1880">
        <v>1285964</v>
      </c>
      <c r="D1880" t="s">
        <v>498</v>
      </c>
      <c r="E1880" t="s">
        <v>55</v>
      </c>
      <c r="G1880">
        <v>1</v>
      </c>
      <c r="H1880" t="s">
        <v>56</v>
      </c>
      <c r="I1880" t="s">
        <v>57</v>
      </c>
      <c r="K1880" t="s">
        <v>2135</v>
      </c>
      <c r="L1880" t="s">
        <v>2606</v>
      </c>
      <c r="M1880" t="s">
        <v>60</v>
      </c>
      <c r="P1880" t="s">
        <v>511</v>
      </c>
      <c r="Q1880" t="s">
        <v>1536</v>
      </c>
      <c r="R1880" t="s">
        <v>512</v>
      </c>
      <c r="S1880" t="s">
        <v>123</v>
      </c>
      <c r="T1880">
        <v>259.51</v>
      </c>
      <c r="U1880">
        <v>251.90199999999999</v>
      </c>
      <c r="V1880">
        <f t="shared" si="58"/>
        <v>255.70599999999999</v>
      </c>
      <c r="W1880">
        <f t="shared" si="59"/>
        <v>7.6080000000000041</v>
      </c>
      <c r="X1880">
        <v>44.416668000000001</v>
      </c>
      <c r="Y1880">
        <v>-24</v>
      </c>
      <c r="Z1880" t="s">
        <v>124</v>
      </c>
      <c r="AA1880" t="s">
        <v>1913</v>
      </c>
      <c r="AB1880" t="s">
        <v>1914</v>
      </c>
      <c r="AD1880" t="s">
        <v>1915</v>
      </c>
      <c r="AE1880" t="s">
        <v>1916</v>
      </c>
      <c r="AH1880" t="s">
        <v>72</v>
      </c>
      <c r="AI1880" t="s">
        <v>2595</v>
      </c>
      <c r="AJ1880">
        <v>1926</v>
      </c>
      <c r="AK1880" t="s">
        <v>1918</v>
      </c>
      <c r="AM1880" t="s">
        <v>1919</v>
      </c>
      <c r="AN1880" t="s">
        <v>192</v>
      </c>
      <c r="AO1880" t="s">
        <v>657</v>
      </c>
      <c r="AP1880" t="s">
        <v>359</v>
      </c>
      <c r="AQ1880" t="s">
        <v>1920</v>
      </c>
      <c r="AR1880" t="s">
        <v>80</v>
      </c>
      <c r="AS1880">
        <v>702</v>
      </c>
      <c r="AT1880" t="s">
        <v>81</v>
      </c>
      <c r="AU1880">
        <v>22.51</v>
      </c>
      <c r="AV1880">
        <v>-42.93</v>
      </c>
      <c r="AW1880" t="s">
        <v>82</v>
      </c>
      <c r="AX1880">
        <v>702</v>
      </c>
      <c r="AY1880" t="s">
        <v>81</v>
      </c>
      <c r="AZ1880">
        <v>24.25</v>
      </c>
      <c r="BA1880">
        <v>-52.74</v>
      </c>
      <c r="BB1880" t="s">
        <v>83</v>
      </c>
    </row>
    <row r="1881" spans="1:54" x14ac:dyDescent="0.4">
      <c r="A1881">
        <v>1285964</v>
      </c>
      <c r="D1881" t="s">
        <v>498</v>
      </c>
      <c r="E1881" t="s">
        <v>55</v>
      </c>
      <c r="G1881">
        <v>1</v>
      </c>
      <c r="H1881" t="s">
        <v>56</v>
      </c>
      <c r="I1881" t="s">
        <v>57</v>
      </c>
      <c r="K1881" t="s">
        <v>2135</v>
      </c>
      <c r="L1881" t="s">
        <v>2606</v>
      </c>
      <c r="M1881" t="s">
        <v>60</v>
      </c>
      <c r="P1881" t="s">
        <v>511</v>
      </c>
      <c r="Q1881" t="s">
        <v>1536</v>
      </c>
      <c r="R1881" t="s">
        <v>512</v>
      </c>
      <c r="S1881" t="s">
        <v>123</v>
      </c>
      <c r="T1881">
        <v>259.51</v>
      </c>
      <c r="U1881">
        <v>251.90199999999999</v>
      </c>
      <c r="V1881">
        <f t="shared" si="58"/>
        <v>255.70599999999999</v>
      </c>
      <c r="W1881">
        <f t="shared" si="59"/>
        <v>7.6080000000000041</v>
      </c>
      <c r="X1881">
        <v>44.416668000000001</v>
      </c>
      <c r="Y1881">
        <v>-24</v>
      </c>
      <c r="Z1881" t="s">
        <v>124</v>
      </c>
      <c r="AA1881" t="s">
        <v>1913</v>
      </c>
      <c r="AB1881" t="s">
        <v>1914</v>
      </c>
      <c r="AD1881" t="s">
        <v>1915</v>
      </c>
      <c r="AE1881" t="s">
        <v>1916</v>
      </c>
      <c r="AH1881" t="s">
        <v>72</v>
      </c>
      <c r="AI1881" t="s">
        <v>2595</v>
      </c>
      <c r="AJ1881">
        <v>1926</v>
      </c>
      <c r="AK1881" t="s">
        <v>1918</v>
      </c>
      <c r="AM1881" t="s">
        <v>1919</v>
      </c>
      <c r="AN1881" t="s">
        <v>192</v>
      </c>
      <c r="AO1881" t="s">
        <v>657</v>
      </c>
      <c r="AP1881" t="s">
        <v>359</v>
      </c>
      <c r="AQ1881" t="s">
        <v>1920</v>
      </c>
      <c r="AR1881" t="s">
        <v>80</v>
      </c>
      <c r="AS1881">
        <v>702</v>
      </c>
      <c r="AT1881" t="s">
        <v>81</v>
      </c>
      <c r="AU1881">
        <v>22.51</v>
      </c>
      <c r="AV1881">
        <v>-42.93</v>
      </c>
      <c r="AW1881" t="s">
        <v>82</v>
      </c>
      <c r="AX1881">
        <v>702</v>
      </c>
      <c r="AY1881" t="s">
        <v>81</v>
      </c>
      <c r="AZ1881">
        <v>24.25</v>
      </c>
      <c r="BA1881">
        <v>-52.74</v>
      </c>
      <c r="BB1881" t="s">
        <v>83</v>
      </c>
    </row>
    <row r="1882" spans="1:54" x14ac:dyDescent="0.4">
      <c r="A1882">
        <v>1285964</v>
      </c>
      <c r="D1882" t="s">
        <v>498</v>
      </c>
      <c r="E1882" t="s">
        <v>55</v>
      </c>
      <c r="G1882">
        <v>1</v>
      </c>
      <c r="H1882" t="s">
        <v>56</v>
      </c>
      <c r="I1882" t="s">
        <v>57</v>
      </c>
      <c r="K1882" t="s">
        <v>2135</v>
      </c>
      <c r="L1882" t="s">
        <v>2606</v>
      </c>
      <c r="M1882" t="s">
        <v>60</v>
      </c>
      <c r="P1882" t="s">
        <v>511</v>
      </c>
      <c r="Q1882" t="s">
        <v>1536</v>
      </c>
      <c r="R1882" t="s">
        <v>512</v>
      </c>
      <c r="S1882" t="s">
        <v>123</v>
      </c>
      <c r="T1882">
        <v>259.51</v>
      </c>
      <c r="U1882">
        <v>251.90199999999999</v>
      </c>
      <c r="V1882">
        <f t="shared" si="58"/>
        <v>255.70599999999999</v>
      </c>
      <c r="W1882">
        <f t="shared" si="59"/>
        <v>7.6080000000000041</v>
      </c>
      <c r="X1882">
        <v>44.416668000000001</v>
      </c>
      <c r="Y1882">
        <v>-24</v>
      </c>
      <c r="Z1882" t="s">
        <v>124</v>
      </c>
      <c r="AA1882" t="s">
        <v>1913</v>
      </c>
      <c r="AB1882" t="s">
        <v>1914</v>
      </c>
      <c r="AD1882" t="s">
        <v>1915</v>
      </c>
      <c r="AE1882" t="s">
        <v>1916</v>
      </c>
      <c r="AH1882" t="s">
        <v>72</v>
      </c>
      <c r="AI1882" t="s">
        <v>2595</v>
      </c>
      <c r="AJ1882">
        <v>1926</v>
      </c>
      <c r="AK1882" t="s">
        <v>1918</v>
      </c>
      <c r="AM1882" t="s">
        <v>1919</v>
      </c>
      <c r="AN1882" t="s">
        <v>192</v>
      </c>
      <c r="AO1882" t="s">
        <v>657</v>
      </c>
      <c r="AP1882" t="s">
        <v>359</v>
      </c>
      <c r="AQ1882" t="s">
        <v>1920</v>
      </c>
      <c r="AR1882" t="s">
        <v>80</v>
      </c>
      <c r="AS1882">
        <v>702</v>
      </c>
      <c r="AT1882" t="s">
        <v>81</v>
      </c>
      <c r="AU1882">
        <v>22.51</v>
      </c>
      <c r="AV1882">
        <v>-42.93</v>
      </c>
      <c r="AW1882" t="s">
        <v>82</v>
      </c>
      <c r="AX1882">
        <v>702</v>
      </c>
      <c r="AY1882" t="s">
        <v>81</v>
      </c>
      <c r="AZ1882">
        <v>24.25</v>
      </c>
      <c r="BA1882">
        <v>-52.74</v>
      </c>
      <c r="BB1882" t="s">
        <v>83</v>
      </c>
    </row>
    <row r="1883" spans="1:54" x14ac:dyDescent="0.4">
      <c r="A1883">
        <v>1285964</v>
      </c>
      <c r="D1883" t="s">
        <v>498</v>
      </c>
      <c r="E1883" t="s">
        <v>55</v>
      </c>
      <c r="G1883">
        <v>1</v>
      </c>
      <c r="H1883" t="s">
        <v>56</v>
      </c>
      <c r="I1883" t="s">
        <v>57</v>
      </c>
      <c r="K1883" t="s">
        <v>2135</v>
      </c>
      <c r="L1883" t="s">
        <v>2606</v>
      </c>
      <c r="M1883" t="s">
        <v>60</v>
      </c>
      <c r="P1883" t="s">
        <v>511</v>
      </c>
      <c r="Q1883" t="s">
        <v>1536</v>
      </c>
      <c r="R1883" t="s">
        <v>512</v>
      </c>
      <c r="S1883" t="s">
        <v>123</v>
      </c>
      <c r="T1883">
        <v>259.51</v>
      </c>
      <c r="U1883">
        <v>251.90199999999999</v>
      </c>
      <c r="V1883">
        <f t="shared" si="58"/>
        <v>255.70599999999999</v>
      </c>
      <c r="W1883">
        <f t="shared" si="59"/>
        <v>7.6080000000000041</v>
      </c>
      <c r="X1883">
        <v>44.416668000000001</v>
      </c>
      <c r="Y1883">
        <v>-24</v>
      </c>
      <c r="Z1883" t="s">
        <v>124</v>
      </c>
      <c r="AA1883" t="s">
        <v>1913</v>
      </c>
      <c r="AB1883" t="s">
        <v>1914</v>
      </c>
      <c r="AD1883" t="s">
        <v>1915</v>
      </c>
      <c r="AE1883" t="s">
        <v>1916</v>
      </c>
      <c r="AH1883" t="s">
        <v>72</v>
      </c>
      <c r="AI1883" t="s">
        <v>2595</v>
      </c>
      <c r="AJ1883">
        <v>1926</v>
      </c>
      <c r="AK1883" t="s">
        <v>1918</v>
      </c>
      <c r="AM1883" t="s">
        <v>1919</v>
      </c>
      <c r="AN1883" t="s">
        <v>192</v>
      </c>
      <c r="AO1883" t="s">
        <v>657</v>
      </c>
      <c r="AP1883" t="s">
        <v>359</v>
      </c>
      <c r="AQ1883" t="s">
        <v>1920</v>
      </c>
      <c r="AR1883" t="s">
        <v>80</v>
      </c>
      <c r="AS1883">
        <v>702</v>
      </c>
      <c r="AT1883" t="s">
        <v>81</v>
      </c>
      <c r="AU1883">
        <v>22.51</v>
      </c>
      <c r="AV1883">
        <v>-42.93</v>
      </c>
      <c r="AW1883" t="s">
        <v>82</v>
      </c>
      <c r="AX1883">
        <v>702</v>
      </c>
      <c r="AY1883" t="s">
        <v>81</v>
      </c>
      <c r="AZ1883">
        <v>24.25</v>
      </c>
      <c r="BA1883">
        <v>-52.74</v>
      </c>
      <c r="BB1883" t="s">
        <v>83</v>
      </c>
    </row>
    <row r="1884" spans="1:54" x14ac:dyDescent="0.4">
      <c r="A1884">
        <v>1285964</v>
      </c>
      <c r="D1884" t="s">
        <v>498</v>
      </c>
      <c r="E1884" t="s">
        <v>55</v>
      </c>
      <c r="G1884">
        <v>1</v>
      </c>
      <c r="H1884" t="s">
        <v>56</v>
      </c>
      <c r="I1884" t="s">
        <v>57</v>
      </c>
      <c r="K1884" t="s">
        <v>2135</v>
      </c>
      <c r="L1884" t="s">
        <v>2606</v>
      </c>
      <c r="M1884" t="s">
        <v>60</v>
      </c>
      <c r="P1884" t="s">
        <v>511</v>
      </c>
      <c r="Q1884" t="s">
        <v>1536</v>
      </c>
      <c r="R1884" t="s">
        <v>512</v>
      </c>
      <c r="S1884" t="s">
        <v>123</v>
      </c>
      <c r="T1884">
        <v>259.51</v>
      </c>
      <c r="U1884">
        <v>251.90199999999999</v>
      </c>
      <c r="V1884">
        <f t="shared" si="58"/>
        <v>255.70599999999999</v>
      </c>
      <c r="W1884">
        <f t="shared" si="59"/>
        <v>7.6080000000000041</v>
      </c>
      <c r="X1884">
        <v>44.416668000000001</v>
      </c>
      <c r="Y1884">
        <v>-24</v>
      </c>
      <c r="Z1884" t="s">
        <v>124</v>
      </c>
      <c r="AA1884" t="s">
        <v>1913</v>
      </c>
      <c r="AB1884" t="s">
        <v>1914</v>
      </c>
      <c r="AD1884" t="s">
        <v>1915</v>
      </c>
      <c r="AE1884" t="s">
        <v>1916</v>
      </c>
      <c r="AH1884" t="s">
        <v>72</v>
      </c>
      <c r="AI1884" t="s">
        <v>2595</v>
      </c>
      <c r="AJ1884">
        <v>1926</v>
      </c>
      <c r="AK1884" t="s">
        <v>1918</v>
      </c>
      <c r="AM1884" t="s">
        <v>1919</v>
      </c>
      <c r="AN1884" t="s">
        <v>192</v>
      </c>
      <c r="AO1884" t="s">
        <v>657</v>
      </c>
      <c r="AP1884" t="s">
        <v>359</v>
      </c>
      <c r="AQ1884" t="s">
        <v>1920</v>
      </c>
      <c r="AR1884" t="s">
        <v>80</v>
      </c>
      <c r="AS1884">
        <v>702</v>
      </c>
      <c r="AT1884" t="s">
        <v>81</v>
      </c>
      <c r="AU1884">
        <v>22.51</v>
      </c>
      <c r="AV1884">
        <v>-42.93</v>
      </c>
      <c r="AW1884" t="s">
        <v>82</v>
      </c>
      <c r="AX1884">
        <v>702</v>
      </c>
      <c r="AY1884" t="s">
        <v>81</v>
      </c>
      <c r="AZ1884">
        <v>24.25</v>
      </c>
      <c r="BA1884">
        <v>-52.74</v>
      </c>
      <c r="BB1884" t="s">
        <v>83</v>
      </c>
    </row>
    <row r="1885" spans="1:54" x14ac:dyDescent="0.4">
      <c r="A1885">
        <v>1285964</v>
      </c>
      <c r="D1885" t="s">
        <v>498</v>
      </c>
      <c r="E1885" t="s">
        <v>55</v>
      </c>
      <c r="G1885">
        <v>1</v>
      </c>
      <c r="H1885" t="s">
        <v>56</v>
      </c>
      <c r="I1885" t="s">
        <v>57</v>
      </c>
      <c r="K1885" t="s">
        <v>2135</v>
      </c>
      <c r="L1885" t="s">
        <v>2606</v>
      </c>
      <c r="M1885" t="s">
        <v>60</v>
      </c>
      <c r="P1885" t="s">
        <v>511</v>
      </c>
      <c r="Q1885" t="s">
        <v>1536</v>
      </c>
      <c r="R1885" t="s">
        <v>512</v>
      </c>
      <c r="S1885" t="s">
        <v>123</v>
      </c>
      <c r="T1885">
        <v>259.51</v>
      </c>
      <c r="U1885">
        <v>251.90199999999999</v>
      </c>
      <c r="V1885">
        <f t="shared" si="58"/>
        <v>255.70599999999999</v>
      </c>
      <c r="W1885">
        <f t="shared" si="59"/>
        <v>7.6080000000000041</v>
      </c>
      <c r="X1885">
        <v>44.416668000000001</v>
      </c>
      <c r="Y1885">
        <v>-24</v>
      </c>
      <c r="Z1885" t="s">
        <v>124</v>
      </c>
      <c r="AA1885" t="s">
        <v>1913</v>
      </c>
      <c r="AB1885" t="s">
        <v>1914</v>
      </c>
      <c r="AD1885" t="s">
        <v>1915</v>
      </c>
      <c r="AE1885" t="s">
        <v>1916</v>
      </c>
      <c r="AH1885" t="s">
        <v>72</v>
      </c>
      <c r="AI1885" t="s">
        <v>2595</v>
      </c>
      <c r="AJ1885">
        <v>1926</v>
      </c>
      <c r="AK1885" t="s">
        <v>1918</v>
      </c>
      <c r="AM1885" t="s">
        <v>1919</v>
      </c>
      <c r="AN1885" t="s">
        <v>192</v>
      </c>
      <c r="AO1885" t="s">
        <v>657</v>
      </c>
      <c r="AP1885" t="s">
        <v>359</v>
      </c>
      <c r="AQ1885" t="s">
        <v>1920</v>
      </c>
      <c r="AR1885" t="s">
        <v>80</v>
      </c>
      <c r="AS1885">
        <v>702</v>
      </c>
      <c r="AT1885" t="s">
        <v>81</v>
      </c>
      <c r="AU1885">
        <v>22.51</v>
      </c>
      <c r="AV1885">
        <v>-42.93</v>
      </c>
      <c r="AW1885" t="s">
        <v>82</v>
      </c>
      <c r="AX1885">
        <v>702</v>
      </c>
      <c r="AY1885" t="s">
        <v>81</v>
      </c>
      <c r="AZ1885">
        <v>24.25</v>
      </c>
      <c r="BA1885">
        <v>-52.74</v>
      </c>
      <c r="BB1885" t="s">
        <v>83</v>
      </c>
    </row>
    <row r="1886" spans="1:54" x14ac:dyDescent="0.4">
      <c r="A1886">
        <v>1285964</v>
      </c>
      <c r="D1886" t="s">
        <v>498</v>
      </c>
      <c r="E1886" t="s">
        <v>55</v>
      </c>
      <c r="G1886">
        <v>1</v>
      </c>
      <c r="H1886" t="s">
        <v>56</v>
      </c>
      <c r="I1886" t="s">
        <v>57</v>
      </c>
      <c r="K1886" t="s">
        <v>2135</v>
      </c>
      <c r="L1886" t="s">
        <v>2606</v>
      </c>
      <c r="M1886" t="s">
        <v>60</v>
      </c>
      <c r="P1886" t="s">
        <v>511</v>
      </c>
      <c r="Q1886" t="s">
        <v>1536</v>
      </c>
      <c r="R1886" t="s">
        <v>512</v>
      </c>
      <c r="S1886" t="s">
        <v>123</v>
      </c>
      <c r="T1886">
        <v>259.51</v>
      </c>
      <c r="U1886">
        <v>251.90199999999999</v>
      </c>
      <c r="V1886">
        <f t="shared" si="58"/>
        <v>255.70599999999999</v>
      </c>
      <c r="W1886">
        <f t="shared" si="59"/>
        <v>7.6080000000000041</v>
      </c>
      <c r="X1886">
        <v>44.416668000000001</v>
      </c>
      <c r="Y1886">
        <v>-24</v>
      </c>
      <c r="Z1886" t="s">
        <v>124</v>
      </c>
      <c r="AA1886" t="s">
        <v>1913</v>
      </c>
      <c r="AB1886" t="s">
        <v>1914</v>
      </c>
      <c r="AD1886" t="s">
        <v>1915</v>
      </c>
      <c r="AE1886" t="s">
        <v>1916</v>
      </c>
      <c r="AH1886" t="s">
        <v>72</v>
      </c>
      <c r="AI1886" t="s">
        <v>2595</v>
      </c>
      <c r="AJ1886">
        <v>1926</v>
      </c>
      <c r="AK1886" t="s">
        <v>1918</v>
      </c>
      <c r="AM1886" t="s">
        <v>1919</v>
      </c>
      <c r="AN1886" t="s">
        <v>192</v>
      </c>
      <c r="AO1886" t="s">
        <v>657</v>
      </c>
      <c r="AP1886" t="s">
        <v>359</v>
      </c>
      <c r="AQ1886" t="s">
        <v>1920</v>
      </c>
      <c r="AR1886" t="s">
        <v>80</v>
      </c>
      <c r="AS1886">
        <v>702</v>
      </c>
      <c r="AT1886" t="s">
        <v>81</v>
      </c>
      <c r="AU1886">
        <v>22.51</v>
      </c>
      <c r="AV1886">
        <v>-42.93</v>
      </c>
      <c r="AW1886" t="s">
        <v>82</v>
      </c>
      <c r="AX1886">
        <v>702</v>
      </c>
      <c r="AY1886" t="s">
        <v>81</v>
      </c>
      <c r="AZ1886">
        <v>24.25</v>
      </c>
      <c r="BA1886">
        <v>-52.74</v>
      </c>
      <c r="BB1886" t="s">
        <v>83</v>
      </c>
    </row>
    <row r="1887" spans="1:54" x14ac:dyDescent="0.4">
      <c r="A1887">
        <v>1285964</v>
      </c>
      <c r="D1887" t="s">
        <v>498</v>
      </c>
      <c r="E1887" t="s">
        <v>55</v>
      </c>
      <c r="G1887">
        <v>1</v>
      </c>
      <c r="H1887" t="s">
        <v>56</v>
      </c>
      <c r="I1887" t="s">
        <v>57</v>
      </c>
      <c r="K1887" t="s">
        <v>2135</v>
      </c>
      <c r="L1887" t="s">
        <v>2606</v>
      </c>
      <c r="M1887" t="s">
        <v>60</v>
      </c>
      <c r="P1887" t="s">
        <v>511</v>
      </c>
      <c r="Q1887" t="s">
        <v>1536</v>
      </c>
      <c r="R1887" t="s">
        <v>512</v>
      </c>
      <c r="S1887" t="s">
        <v>123</v>
      </c>
      <c r="T1887">
        <v>259.51</v>
      </c>
      <c r="U1887">
        <v>251.90199999999999</v>
      </c>
      <c r="V1887">
        <f t="shared" si="58"/>
        <v>255.70599999999999</v>
      </c>
      <c r="W1887">
        <f t="shared" si="59"/>
        <v>7.6080000000000041</v>
      </c>
      <c r="X1887">
        <v>44.416668000000001</v>
      </c>
      <c r="Y1887">
        <v>-24</v>
      </c>
      <c r="Z1887" t="s">
        <v>124</v>
      </c>
      <c r="AA1887" t="s">
        <v>1913</v>
      </c>
      <c r="AB1887" t="s">
        <v>1914</v>
      </c>
      <c r="AD1887" t="s">
        <v>1915</v>
      </c>
      <c r="AE1887" t="s">
        <v>1916</v>
      </c>
      <c r="AH1887" t="s">
        <v>72</v>
      </c>
      <c r="AI1887" t="s">
        <v>2595</v>
      </c>
      <c r="AJ1887">
        <v>1926</v>
      </c>
      <c r="AK1887" t="s">
        <v>1918</v>
      </c>
      <c r="AM1887" t="s">
        <v>1919</v>
      </c>
      <c r="AN1887" t="s">
        <v>192</v>
      </c>
      <c r="AO1887" t="s">
        <v>657</v>
      </c>
      <c r="AP1887" t="s">
        <v>359</v>
      </c>
      <c r="AQ1887" t="s">
        <v>1920</v>
      </c>
      <c r="AR1887" t="s">
        <v>80</v>
      </c>
      <c r="AS1887">
        <v>702</v>
      </c>
      <c r="AT1887" t="s">
        <v>81</v>
      </c>
      <c r="AU1887">
        <v>22.51</v>
      </c>
      <c r="AV1887">
        <v>-42.93</v>
      </c>
      <c r="AW1887" t="s">
        <v>82</v>
      </c>
      <c r="AX1887">
        <v>702</v>
      </c>
      <c r="AY1887" t="s">
        <v>81</v>
      </c>
      <c r="AZ1887">
        <v>24.25</v>
      </c>
      <c r="BA1887">
        <v>-52.74</v>
      </c>
      <c r="BB1887" t="s">
        <v>83</v>
      </c>
    </row>
    <row r="1888" spans="1:54" x14ac:dyDescent="0.4">
      <c r="A1888">
        <v>1285964</v>
      </c>
      <c r="D1888" t="s">
        <v>498</v>
      </c>
      <c r="E1888" t="s">
        <v>55</v>
      </c>
      <c r="G1888">
        <v>1</v>
      </c>
      <c r="H1888" t="s">
        <v>56</v>
      </c>
      <c r="I1888" t="s">
        <v>57</v>
      </c>
      <c r="K1888" t="s">
        <v>2135</v>
      </c>
      <c r="L1888" t="s">
        <v>2606</v>
      </c>
      <c r="M1888" t="s">
        <v>60</v>
      </c>
      <c r="P1888" t="s">
        <v>511</v>
      </c>
      <c r="Q1888" t="s">
        <v>1536</v>
      </c>
      <c r="R1888" t="s">
        <v>512</v>
      </c>
      <c r="S1888" t="s">
        <v>123</v>
      </c>
      <c r="T1888">
        <v>259.51</v>
      </c>
      <c r="U1888">
        <v>251.90199999999999</v>
      </c>
      <c r="V1888">
        <f t="shared" si="58"/>
        <v>255.70599999999999</v>
      </c>
      <c r="W1888">
        <f t="shared" si="59"/>
        <v>7.6080000000000041</v>
      </c>
      <c r="X1888">
        <v>44.416668000000001</v>
      </c>
      <c r="Y1888">
        <v>-24</v>
      </c>
      <c r="Z1888" t="s">
        <v>124</v>
      </c>
      <c r="AA1888" t="s">
        <v>1913</v>
      </c>
      <c r="AB1888" t="s">
        <v>1914</v>
      </c>
      <c r="AD1888" t="s">
        <v>1915</v>
      </c>
      <c r="AE1888" t="s">
        <v>1916</v>
      </c>
      <c r="AH1888" t="s">
        <v>72</v>
      </c>
      <c r="AI1888" t="s">
        <v>2595</v>
      </c>
      <c r="AJ1888">
        <v>1926</v>
      </c>
      <c r="AK1888" t="s">
        <v>1918</v>
      </c>
      <c r="AM1888" t="s">
        <v>1919</v>
      </c>
      <c r="AN1888" t="s">
        <v>192</v>
      </c>
      <c r="AO1888" t="s">
        <v>657</v>
      </c>
      <c r="AP1888" t="s">
        <v>359</v>
      </c>
      <c r="AQ1888" t="s">
        <v>1920</v>
      </c>
      <c r="AR1888" t="s">
        <v>80</v>
      </c>
      <c r="AS1888">
        <v>702</v>
      </c>
      <c r="AT1888" t="s">
        <v>81</v>
      </c>
      <c r="AU1888">
        <v>22.51</v>
      </c>
      <c r="AV1888">
        <v>-42.93</v>
      </c>
      <c r="AW1888" t="s">
        <v>82</v>
      </c>
      <c r="AX1888">
        <v>702</v>
      </c>
      <c r="AY1888" t="s">
        <v>81</v>
      </c>
      <c r="AZ1888">
        <v>24.25</v>
      </c>
      <c r="BA1888">
        <v>-52.74</v>
      </c>
      <c r="BB1888" t="s">
        <v>83</v>
      </c>
    </row>
    <row r="1889" spans="1:54" x14ac:dyDescent="0.4">
      <c r="A1889">
        <v>1285964</v>
      </c>
      <c r="D1889" t="s">
        <v>498</v>
      </c>
      <c r="E1889" t="s">
        <v>55</v>
      </c>
      <c r="G1889">
        <v>1</v>
      </c>
      <c r="H1889" t="s">
        <v>56</v>
      </c>
      <c r="I1889" t="s">
        <v>57</v>
      </c>
      <c r="K1889" t="s">
        <v>2135</v>
      </c>
      <c r="L1889" t="s">
        <v>2606</v>
      </c>
      <c r="M1889" t="s">
        <v>60</v>
      </c>
      <c r="P1889" t="s">
        <v>511</v>
      </c>
      <c r="Q1889" t="s">
        <v>1536</v>
      </c>
      <c r="R1889" t="s">
        <v>512</v>
      </c>
      <c r="S1889" t="s">
        <v>123</v>
      </c>
      <c r="T1889">
        <v>259.51</v>
      </c>
      <c r="U1889">
        <v>251.90199999999999</v>
      </c>
      <c r="V1889">
        <f t="shared" si="58"/>
        <v>255.70599999999999</v>
      </c>
      <c r="W1889">
        <f t="shared" si="59"/>
        <v>7.6080000000000041</v>
      </c>
      <c r="X1889">
        <v>44.416668000000001</v>
      </c>
      <c r="Y1889">
        <v>-24</v>
      </c>
      <c r="Z1889" t="s">
        <v>124</v>
      </c>
      <c r="AA1889" t="s">
        <v>1913</v>
      </c>
      <c r="AB1889" t="s">
        <v>1914</v>
      </c>
      <c r="AD1889" t="s">
        <v>1915</v>
      </c>
      <c r="AE1889" t="s">
        <v>1916</v>
      </c>
      <c r="AH1889" t="s">
        <v>72</v>
      </c>
      <c r="AI1889" t="s">
        <v>2595</v>
      </c>
      <c r="AJ1889">
        <v>1926</v>
      </c>
      <c r="AK1889" t="s">
        <v>1918</v>
      </c>
      <c r="AM1889" t="s">
        <v>1919</v>
      </c>
      <c r="AN1889" t="s">
        <v>192</v>
      </c>
      <c r="AO1889" t="s">
        <v>657</v>
      </c>
      <c r="AP1889" t="s">
        <v>359</v>
      </c>
      <c r="AQ1889" t="s">
        <v>1920</v>
      </c>
      <c r="AR1889" t="s">
        <v>80</v>
      </c>
      <c r="AS1889">
        <v>702</v>
      </c>
      <c r="AT1889" t="s">
        <v>81</v>
      </c>
      <c r="AU1889">
        <v>22.51</v>
      </c>
      <c r="AV1889">
        <v>-42.93</v>
      </c>
      <c r="AW1889" t="s">
        <v>82</v>
      </c>
      <c r="AX1889">
        <v>702</v>
      </c>
      <c r="AY1889" t="s">
        <v>81</v>
      </c>
      <c r="AZ1889">
        <v>24.25</v>
      </c>
      <c r="BA1889">
        <v>-52.74</v>
      </c>
      <c r="BB1889" t="s">
        <v>83</v>
      </c>
    </row>
    <row r="1890" spans="1:54" x14ac:dyDescent="0.4">
      <c r="A1890">
        <v>1285964</v>
      </c>
      <c r="D1890" t="s">
        <v>498</v>
      </c>
      <c r="E1890" t="s">
        <v>55</v>
      </c>
      <c r="G1890">
        <v>1</v>
      </c>
      <c r="H1890" t="s">
        <v>56</v>
      </c>
      <c r="I1890" t="s">
        <v>57</v>
      </c>
      <c r="K1890" t="s">
        <v>2135</v>
      </c>
      <c r="L1890" t="s">
        <v>2606</v>
      </c>
      <c r="M1890" t="s">
        <v>60</v>
      </c>
      <c r="P1890" t="s">
        <v>511</v>
      </c>
      <c r="Q1890" t="s">
        <v>1536</v>
      </c>
      <c r="R1890" t="s">
        <v>512</v>
      </c>
      <c r="S1890" t="s">
        <v>123</v>
      </c>
      <c r="T1890">
        <v>259.51</v>
      </c>
      <c r="U1890">
        <v>251.90199999999999</v>
      </c>
      <c r="V1890">
        <f t="shared" si="58"/>
        <v>255.70599999999999</v>
      </c>
      <c r="W1890">
        <f t="shared" si="59"/>
        <v>7.6080000000000041</v>
      </c>
      <c r="X1890">
        <v>44.416668000000001</v>
      </c>
      <c r="Y1890">
        <v>-24</v>
      </c>
      <c r="Z1890" t="s">
        <v>124</v>
      </c>
      <c r="AA1890" t="s">
        <v>1913</v>
      </c>
      <c r="AB1890" t="s">
        <v>1914</v>
      </c>
      <c r="AD1890" t="s">
        <v>1915</v>
      </c>
      <c r="AE1890" t="s">
        <v>1916</v>
      </c>
      <c r="AH1890" t="s">
        <v>72</v>
      </c>
      <c r="AI1890" t="s">
        <v>2595</v>
      </c>
      <c r="AJ1890">
        <v>1926</v>
      </c>
      <c r="AK1890" t="s">
        <v>1918</v>
      </c>
      <c r="AM1890" t="s">
        <v>1919</v>
      </c>
      <c r="AN1890" t="s">
        <v>192</v>
      </c>
      <c r="AO1890" t="s">
        <v>657</v>
      </c>
      <c r="AP1890" t="s">
        <v>359</v>
      </c>
      <c r="AQ1890" t="s">
        <v>1920</v>
      </c>
      <c r="AR1890" t="s">
        <v>80</v>
      </c>
      <c r="AS1890">
        <v>702</v>
      </c>
      <c r="AT1890" t="s">
        <v>81</v>
      </c>
      <c r="AU1890">
        <v>22.51</v>
      </c>
      <c r="AV1890">
        <v>-42.93</v>
      </c>
      <c r="AW1890" t="s">
        <v>82</v>
      </c>
      <c r="AX1890">
        <v>702</v>
      </c>
      <c r="AY1890" t="s">
        <v>81</v>
      </c>
      <c r="AZ1890">
        <v>24.25</v>
      </c>
      <c r="BA1890">
        <v>-52.74</v>
      </c>
      <c r="BB1890" t="s">
        <v>83</v>
      </c>
    </row>
    <row r="1891" spans="1:54" x14ac:dyDescent="0.4">
      <c r="A1891">
        <v>1285964</v>
      </c>
      <c r="D1891" t="s">
        <v>498</v>
      </c>
      <c r="E1891" t="s">
        <v>55</v>
      </c>
      <c r="G1891">
        <v>1</v>
      </c>
      <c r="H1891" t="s">
        <v>56</v>
      </c>
      <c r="I1891" t="s">
        <v>57</v>
      </c>
      <c r="K1891" t="s">
        <v>2135</v>
      </c>
      <c r="L1891" t="s">
        <v>2606</v>
      </c>
      <c r="M1891" t="s">
        <v>60</v>
      </c>
      <c r="P1891" t="s">
        <v>511</v>
      </c>
      <c r="Q1891" t="s">
        <v>1536</v>
      </c>
      <c r="R1891" t="s">
        <v>512</v>
      </c>
      <c r="S1891" t="s">
        <v>123</v>
      </c>
      <c r="T1891">
        <v>259.51</v>
      </c>
      <c r="U1891">
        <v>251.90199999999999</v>
      </c>
      <c r="V1891">
        <f t="shared" si="58"/>
        <v>255.70599999999999</v>
      </c>
      <c r="W1891">
        <f t="shared" si="59"/>
        <v>7.6080000000000041</v>
      </c>
      <c r="X1891">
        <v>44.416668000000001</v>
      </c>
      <c r="Y1891">
        <v>-24</v>
      </c>
      <c r="Z1891" t="s">
        <v>124</v>
      </c>
      <c r="AA1891" t="s">
        <v>1913</v>
      </c>
      <c r="AB1891" t="s">
        <v>1914</v>
      </c>
      <c r="AD1891" t="s">
        <v>1915</v>
      </c>
      <c r="AE1891" t="s">
        <v>1916</v>
      </c>
      <c r="AH1891" t="s">
        <v>72</v>
      </c>
      <c r="AI1891" t="s">
        <v>2595</v>
      </c>
      <c r="AJ1891">
        <v>1926</v>
      </c>
      <c r="AK1891" t="s">
        <v>1918</v>
      </c>
      <c r="AM1891" t="s">
        <v>1919</v>
      </c>
      <c r="AN1891" t="s">
        <v>192</v>
      </c>
      <c r="AO1891" t="s">
        <v>657</v>
      </c>
      <c r="AP1891" t="s">
        <v>359</v>
      </c>
      <c r="AQ1891" t="s">
        <v>1920</v>
      </c>
      <c r="AR1891" t="s">
        <v>80</v>
      </c>
      <c r="AS1891">
        <v>702</v>
      </c>
      <c r="AT1891" t="s">
        <v>81</v>
      </c>
      <c r="AU1891">
        <v>22.51</v>
      </c>
      <c r="AV1891">
        <v>-42.93</v>
      </c>
      <c r="AW1891" t="s">
        <v>82</v>
      </c>
      <c r="AX1891">
        <v>702</v>
      </c>
      <c r="AY1891" t="s">
        <v>81</v>
      </c>
      <c r="AZ1891">
        <v>24.25</v>
      </c>
      <c r="BA1891">
        <v>-52.74</v>
      </c>
      <c r="BB1891" t="s">
        <v>83</v>
      </c>
    </row>
    <row r="1892" spans="1:54" x14ac:dyDescent="0.4">
      <c r="A1892">
        <v>1285964</v>
      </c>
      <c r="D1892" t="s">
        <v>498</v>
      </c>
      <c r="E1892" t="s">
        <v>55</v>
      </c>
      <c r="G1892">
        <v>1</v>
      </c>
      <c r="H1892" t="s">
        <v>56</v>
      </c>
      <c r="I1892" t="s">
        <v>57</v>
      </c>
      <c r="K1892" t="s">
        <v>2135</v>
      </c>
      <c r="L1892" t="s">
        <v>2606</v>
      </c>
      <c r="M1892" t="s">
        <v>60</v>
      </c>
      <c r="P1892" t="s">
        <v>511</v>
      </c>
      <c r="Q1892" t="s">
        <v>1536</v>
      </c>
      <c r="R1892" t="s">
        <v>512</v>
      </c>
      <c r="S1892" t="s">
        <v>123</v>
      </c>
      <c r="T1892">
        <v>259.51</v>
      </c>
      <c r="U1892">
        <v>251.90199999999999</v>
      </c>
      <c r="V1892">
        <f t="shared" si="58"/>
        <v>255.70599999999999</v>
      </c>
      <c r="W1892">
        <f t="shared" si="59"/>
        <v>7.6080000000000041</v>
      </c>
      <c r="X1892">
        <v>44.416668000000001</v>
      </c>
      <c r="Y1892">
        <v>-24</v>
      </c>
      <c r="Z1892" t="s">
        <v>124</v>
      </c>
      <c r="AA1892" t="s">
        <v>1913</v>
      </c>
      <c r="AB1892" t="s">
        <v>1914</v>
      </c>
      <c r="AD1892" t="s">
        <v>1915</v>
      </c>
      <c r="AE1892" t="s">
        <v>1916</v>
      </c>
      <c r="AH1892" t="s">
        <v>72</v>
      </c>
      <c r="AI1892" t="s">
        <v>2595</v>
      </c>
      <c r="AJ1892">
        <v>1926</v>
      </c>
      <c r="AK1892" t="s">
        <v>1918</v>
      </c>
      <c r="AM1892" t="s">
        <v>1919</v>
      </c>
      <c r="AN1892" t="s">
        <v>192</v>
      </c>
      <c r="AO1892" t="s">
        <v>657</v>
      </c>
      <c r="AP1892" t="s">
        <v>359</v>
      </c>
      <c r="AQ1892" t="s">
        <v>1920</v>
      </c>
      <c r="AR1892" t="s">
        <v>80</v>
      </c>
      <c r="AS1892">
        <v>702</v>
      </c>
      <c r="AT1892" t="s">
        <v>81</v>
      </c>
      <c r="AU1892">
        <v>22.51</v>
      </c>
      <c r="AV1892">
        <v>-42.93</v>
      </c>
      <c r="AW1892" t="s">
        <v>82</v>
      </c>
      <c r="AX1892">
        <v>702</v>
      </c>
      <c r="AY1892" t="s">
        <v>81</v>
      </c>
      <c r="AZ1892">
        <v>24.25</v>
      </c>
      <c r="BA1892">
        <v>-52.74</v>
      </c>
      <c r="BB1892" t="s">
        <v>83</v>
      </c>
    </row>
    <row r="1893" spans="1:54" x14ac:dyDescent="0.4">
      <c r="A1893">
        <v>1285964</v>
      </c>
      <c r="D1893" t="s">
        <v>498</v>
      </c>
      <c r="E1893" t="s">
        <v>55</v>
      </c>
      <c r="G1893">
        <v>1</v>
      </c>
      <c r="H1893" t="s">
        <v>56</v>
      </c>
      <c r="I1893" t="s">
        <v>57</v>
      </c>
      <c r="K1893" t="s">
        <v>2135</v>
      </c>
      <c r="L1893" t="s">
        <v>2606</v>
      </c>
      <c r="M1893" t="s">
        <v>60</v>
      </c>
      <c r="P1893" t="s">
        <v>511</v>
      </c>
      <c r="Q1893" t="s">
        <v>1536</v>
      </c>
      <c r="R1893" t="s">
        <v>512</v>
      </c>
      <c r="S1893" t="s">
        <v>123</v>
      </c>
      <c r="T1893">
        <v>259.51</v>
      </c>
      <c r="U1893">
        <v>251.90199999999999</v>
      </c>
      <c r="V1893">
        <f t="shared" si="58"/>
        <v>255.70599999999999</v>
      </c>
      <c r="W1893">
        <f t="shared" si="59"/>
        <v>7.6080000000000041</v>
      </c>
      <c r="X1893">
        <v>44.416668000000001</v>
      </c>
      <c r="Y1893">
        <v>-24</v>
      </c>
      <c r="Z1893" t="s">
        <v>124</v>
      </c>
      <c r="AA1893" t="s">
        <v>1913</v>
      </c>
      <c r="AB1893" t="s">
        <v>1914</v>
      </c>
      <c r="AD1893" t="s">
        <v>1915</v>
      </c>
      <c r="AE1893" t="s">
        <v>1916</v>
      </c>
      <c r="AH1893" t="s">
        <v>72</v>
      </c>
      <c r="AI1893" t="s">
        <v>2595</v>
      </c>
      <c r="AJ1893">
        <v>1926</v>
      </c>
      <c r="AK1893" t="s">
        <v>1918</v>
      </c>
      <c r="AM1893" t="s">
        <v>1919</v>
      </c>
      <c r="AN1893" t="s">
        <v>192</v>
      </c>
      <c r="AO1893" t="s">
        <v>657</v>
      </c>
      <c r="AP1893" t="s">
        <v>359</v>
      </c>
      <c r="AQ1893" t="s">
        <v>1920</v>
      </c>
      <c r="AR1893" t="s">
        <v>80</v>
      </c>
      <c r="AS1893">
        <v>702</v>
      </c>
      <c r="AT1893" t="s">
        <v>81</v>
      </c>
      <c r="AU1893">
        <v>22.51</v>
      </c>
      <c r="AV1893">
        <v>-42.93</v>
      </c>
      <c r="AW1893" t="s">
        <v>82</v>
      </c>
      <c r="AX1893">
        <v>702</v>
      </c>
      <c r="AY1893" t="s">
        <v>81</v>
      </c>
      <c r="AZ1893">
        <v>24.25</v>
      </c>
      <c r="BA1893">
        <v>-52.74</v>
      </c>
      <c r="BB1893" t="s">
        <v>83</v>
      </c>
    </row>
    <row r="1894" spans="1:54" x14ac:dyDescent="0.4">
      <c r="A1894">
        <v>1285964</v>
      </c>
      <c r="D1894" t="s">
        <v>498</v>
      </c>
      <c r="E1894" t="s">
        <v>55</v>
      </c>
      <c r="G1894">
        <v>1</v>
      </c>
      <c r="H1894" t="s">
        <v>56</v>
      </c>
      <c r="I1894" t="s">
        <v>57</v>
      </c>
      <c r="K1894" t="s">
        <v>2135</v>
      </c>
      <c r="L1894" t="s">
        <v>2606</v>
      </c>
      <c r="M1894" t="s">
        <v>60</v>
      </c>
      <c r="P1894" t="s">
        <v>511</v>
      </c>
      <c r="Q1894" t="s">
        <v>1536</v>
      </c>
      <c r="R1894" t="s">
        <v>512</v>
      </c>
      <c r="S1894" t="s">
        <v>123</v>
      </c>
      <c r="T1894">
        <v>259.51</v>
      </c>
      <c r="U1894">
        <v>251.90199999999999</v>
      </c>
      <c r="V1894">
        <f t="shared" si="58"/>
        <v>255.70599999999999</v>
      </c>
      <c r="W1894">
        <f t="shared" si="59"/>
        <v>7.6080000000000041</v>
      </c>
      <c r="X1894">
        <v>44.416668000000001</v>
      </c>
      <c r="Y1894">
        <v>-24</v>
      </c>
      <c r="Z1894" t="s">
        <v>124</v>
      </c>
      <c r="AA1894" t="s">
        <v>1913</v>
      </c>
      <c r="AB1894" t="s">
        <v>1914</v>
      </c>
      <c r="AD1894" t="s">
        <v>1915</v>
      </c>
      <c r="AE1894" t="s">
        <v>1916</v>
      </c>
      <c r="AH1894" t="s">
        <v>72</v>
      </c>
      <c r="AI1894" t="s">
        <v>2595</v>
      </c>
      <c r="AJ1894">
        <v>1926</v>
      </c>
      <c r="AK1894" t="s">
        <v>1918</v>
      </c>
      <c r="AM1894" t="s">
        <v>1919</v>
      </c>
      <c r="AN1894" t="s">
        <v>192</v>
      </c>
      <c r="AO1894" t="s">
        <v>657</v>
      </c>
      <c r="AP1894" t="s">
        <v>359</v>
      </c>
      <c r="AQ1894" t="s">
        <v>1920</v>
      </c>
      <c r="AR1894" t="s">
        <v>80</v>
      </c>
      <c r="AS1894">
        <v>702</v>
      </c>
      <c r="AT1894" t="s">
        <v>81</v>
      </c>
      <c r="AU1894">
        <v>22.51</v>
      </c>
      <c r="AV1894">
        <v>-42.93</v>
      </c>
      <c r="AW1894" t="s">
        <v>82</v>
      </c>
      <c r="AX1894">
        <v>702</v>
      </c>
      <c r="AY1894" t="s">
        <v>81</v>
      </c>
      <c r="AZ1894">
        <v>24.25</v>
      </c>
      <c r="BA1894">
        <v>-52.74</v>
      </c>
      <c r="BB1894" t="s">
        <v>83</v>
      </c>
    </row>
    <row r="1895" spans="1:54" x14ac:dyDescent="0.4">
      <c r="A1895">
        <v>1285964</v>
      </c>
      <c r="D1895" t="s">
        <v>498</v>
      </c>
      <c r="E1895" t="s">
        <v>55</v>
      </c>
      <c r="G1895">
        <v>1</v>
      </c>
      <c r="H1895" t="s">
        <v>56</v>
      </c>
      <c r="I1895" t="s">
        <v>57</v>
      </c>
      <c r="K1895" t="s">
        <v>2135</v>
      </c>
      <c r="L1895" t="s">
        <v>2606</v>
      </c>
      <c r="M1895" t="s">
        <v>60</v>
      </c>
      <c r="P1895" t="s">
        <v>511</v>
      </c>
      <c r="Q1895" t="s">
        <v>1536</v>
      </c>
      <c r="R1895" t="s">
        <v>512</v>
      </c>
      <c r="S1895" t="s">
        <v>123</v>
      </c>
      <c r="T1895">
        <v>259.51</v>
      </c>
      <c r="U1895">
        <v>251.90199999999999</v>
      </c>
      <c r="V1895">
        <f t="shared" si="58"/>
        <v>255.70599999999999</v>
      </c>
      <c r="W1895">
        <f t="shared" si="59"/>
        <v>7.6080000000000041</v>
      </c>
      <c r="X1895">
        <v>44.416668000000001</v>
      </c>
      <c r="Y1895">
        <v>-24</v>
      </c>
      <c r="Z1895" t="s">
        <v>124</v>
      </c>
      <c r="AA1895" t="s">
        <v>1913</v>
      </c>
      <c r="AB1895" t="s">
        <v>1914</v>
      </c>
      <c r="AD1895" t="s">
        <v>1915</v>
      </c>
      <c r="AE1895" t="s">
        <v>1916</v>
      </c>
      <c r="AH1895" t="s">
        <v>72</v>
      </c>
      <c r="AI1895" t="s">
        <v>2595</v>
      </c>
      <c r="AJ1895">
        <v>1926</v>
      </c>
      <c r="AK1895" t="s">
        <v>1918</v>
      </c>
      <c r="AM1895" t="s">
        <v>1919</v>
      </c>
      <c r="AN1895" t="s">
        <v>192</v>
      </c>
      <c r="AO1895" t="s">
        <v>657</v>
      </c>
      <c r="AP1895" t="s">
        <v>359</v>
      </c>
      <c r="AQ1895" t="s">
        <v>1920</v>
      </c>
      <c r="AR1895" t="s">
        <v>80</v>
      </c>
      <c r="AS1895">
        <v>702</v>
      </c>
      <c r="AT1895" t="s">
        <v>81</v>
      </c>
      <c r="AU1895">
        <v>22.51</v>
      </c>
      <c r="AV1895">
        <v>-42.93</v>
      </c>
      <c r="AW1895" t="s">
        <v>82</v>
      </c>
      <c r="AX1895">
        <v>702</v>
      </c>
      <c r="AY1895" t="s">
        <v>81</v>
      </c>
      <c r="AZ1895">
        <v>24.25</v>
      </c>
      <c r="BA1895">
        <v>-52.74</v>
      </c>
      <c r="BB1895" t="s">
        <v>83</v>
      </c>
    </row>
    <row r="1896" spans="1:54" x14ac:dyDescent="0.4">
      <c r="A1896">
        <v>1285964</v>
      </c>
      <c r="D1896" t="s">
        <v>498</v>
      </c>
      <c r="E1896" t="s">
        <v>55</v>
      </c>
      <c r="G1896">
        <v>1</v>
      </c>
      <c r="H1896" t="s">
        <v>56</v>
      </c>
      <c r="I1896" t="s">
        <v>57</v>
      </c>
      <c r="K1896" t="s">
        <v>2135</v>
      </c>
      <c r="L1896" t="s">
        <v>2606</v>
      </c>
      <c r="M1896" t="s">
        <v>60</v>
      </c>
      <c r="P1896" t="s">
        <v>511</v>
      </c>
      <c r="Q1896" t="s">
        <v>1536</v>
      </c>
      <c r="R1896" t="s">
        <v>512</v>
      </c>
      <c r="S1896" t="s">
        <v>123</v>
      </c>
      <c r="T1896">
        <v>259.51</v>
      </c>
      <c r="U1896">
        <v>251.90199999999999</v>
      </c>
      <c r="V1896">
        <f t="shared" si="58"/>
        <v>255.70599999999999</v>
      </c>
      <c r="W1896">
        <f t="shared" si="59"/>
        <v>7.6080000000000041</v>
      </c>
      <c r="X1896">
        <v>44.416668000000001</v>
      </c>
      <c r="Y1896">
        <v>-24</v>
      </c>
      <c r="Z1896" t="s">
        <v>124</v>
      </c>
      <c r="AA1896" t="s">
        <v>1913</v>
      </c>
      <c r="AB1896" t="s">
        <v>1914</v>
      </c>
      <c r="AD1896" t="s">
        <v>1915</v>
      </c>
      <c r="AE1896" t="s">
        <v>1916</v>
      </c>
      <c r="AH1896" t="s">
        <v>72</v>
      </c>
      <c r="AI1896" t="s">
        <v>2595</v>
      </c>
      <c r="AJ1896">
        <v>1926</v>
      </c>
      <c r="AK1896" t="s">
        <v>1918</v>
      </c>
      <c r="AM1896" t="s">
        <v>1919</v>
      </c>
      <c r="AN1896" t="s">
        <v>192</v>
      </c>
      <c r="AO1896" t="s">
        <v>657</v>
      </c>
      <c r="AP1896" t="s">
        <v>359</v>
      </c>
      <c r="AQ1896" t="s">
        <v>1920</v>
      </c>
      <c r="AR1896" t="s">
        <v>80</v>
      </c>
      <c r="AS1896">
        <v>702</v>
      </c>
      <c r="AT1896" t="s">
        <v>81</v>
      </c>
      <c r="AU1896">
        <v>22.51</v>
      </c>
      <c r="AV1896">
        <v>-42.93</v>
      </c>
      <c r="AW1896" t="s">
        <v>82</v>
      </c>
      <c r="AX1896">
        <v>702</v>
      </c>
      <c r="AY1896" t="s">
        <v>81</v>
      </c>
      <c r="AZ1896">
        <v>24.25</v>
      </c>
      <c r="BA1896">
        <v>-52.74</v>
      </c>
      <c r="BB1896" t="s">
        <v>83</v>
      </c>
    </row>
    <row r="1897" spans="1:54" x14ac:dyDescent="0.4">
      <c r="A1897">
        <v>1285964</v>
      </c>
      <c r="D1897" t="s">
        <v>498</v>
      </c>
      <c r="E1897" t="s">
        <v>55</v>
      </c>
      <c r="G1897">
        <v>1</v>
      </c>
      <c r="H1897" t="s">
        <v>56</v>
      </c>
      <c r="I1897" t="s">
        <v>57</v>
      </c>
      <c r="K1897" t="s">
        <v>2135</v>
      </c>
      <c r="L1897" t="s">
        <v>2606</v>
      </c>
      <c r="M1897" t="s">
        <v>60</v>
      </c>
      <c r="P1897" t="s">
        <v>511</v>
      </c>
      <c r="Q1897" t="s">
        <v>1536</v>
      </c>
      <c r="R1897" t="s">
        <v>512</v>
      </c>
      <c r="S1897" t="s">
        <v>123</v>
      </c>
      <c r="T1897">
        <v>259.51</v>
      </c>
      <c r="U1897">
        <v>251.90199999999999</v>
      </c>
      <c r="V1897">
        <f t="shared" si="58"/>
        <v>255.70599999999999</v>
      </c>
      <c r="W1897">
        <f t="shared" si="59"/>
        <v>7.6080000000000041</v>
      </c>
      <c r="X1897">
        <v>44.416668000000001</v>
      </c>
      <c r="Y1897">
        <v>-24</v>
      </c>
      <c r="Z1897" t="s">
        <v>124</v>
      </c>
      <c r="AA1897" t="s">
        <v>1913</v>
      </c>
      <c r="AB1897" t="s">
        <v>1914</v>
      </c>
      <c r="AD1897" t="s">
        <v>1915</v>
      </c>
      <c r="AE1897" t="s">
        <v>1916</v>
      </c>
      <c r="AH1897" t="s">
        <v>72</v>
      </c>
      <c r="AI1897" t="s">
        <v>2595</v>
      </c>
      <c r="AJ1897">
        <v>1926</v>
      </c>
      <c r="AK1897" t="s">
        <v>1918</v>
      </c>
      <c r="AM1897" t="s">
        <v>1919</v>
      </c>
      <c r="AN1897" t="s">
        <v>192</v>
      </c>
      <c r="AO1897" t="s">
        <v>657</v>
      </c>
      <c r="AP1897" t="s">
        <v>359</v>
      </c>
      <c r="AQ1897" t="s">
        <v>1920</v>
      </c>
      <c r="AR1897" t="s">
        <v>80</v>
      </c>
      <c r="AS1897">
        <v>702</v>
      </c>
      <c r="AT1897" t="s">
        <v>81</v>
      </c>
      <c r="AU1897">
        <v>22.51</v>
      </c>
      <c r="AV1897">
        <v>-42.93</v>
      </c>
      <c r="AW1897" t="s">
        <v>82</v>
      </c>
      <c r="AX1897">
        <v>702</v>
      </c>
      <c r="AY1897" t="s">
        <v>81</v>
      </c>
      <c r="AZ1897">
        <v>24.25</v>
      </c>
      <c r="BA1897">
        <v>-52.74</v>
      </c>
      <c r="BB1897" t="s">
        <v>83</v>
      </c>
    </row>
    <row r="1898" spans="1:54" x14ac:dyDescent="0.4">
      <c r="A1898">
        <v>1285964</v>
      </c>
      <c r="D1898" t="s">
        <v>498</v>
      </c>
      <c r="E1898" t="s">
        <v>55</v>
      </c>
      <c r="G1898">
        <v>1</v>
      </c>
      <c r="H1898" t="s">
        <v>56</v>
      </c>
      <c r="I1898" t="s">
        <v>57</v>
      </c>
      <c r="K1898" t="s">
        <v>2135</v>
      </c>
      <c r="L1898" t="s">
        <v>2606</v>
      </c>
      <c r="M1898" t="s">
        <v>60</v>
      </c>
      <c r="P1898" t="s">
        <v>511</v>
      </c>
      <c r="Q1898" t="s">
        <v>1536</v>
      </c>
      <c r="R1898" t="s">
        <v>512</v>
      </c>
      <c r="S1898" t="s">
        <v>123</v>
      </c>
      <c r="T1898">
        <v>259.51</v>
      </c>
      <c r="U1898">
        <v>251.90199999999999</v>
      </c>
      <c r="V1898">
        <f t="shared" si="58"/>
        <v>255.70599999999999</v>
      </c>
      <c r="W1898">
        <f t="shared" si="59"/>
        <v>7.6080000000000041</v>
      </c>
      <c r="X1898">
        <v>44.416668000000001</v>
      </c>
      <c r="Y1898">
        <v>-24</v>
      </c>
      <c r="Z1898" t="s">
        <v>124</v>
      </c>
      <c r="AA1898" t="s">
        <v>1913</v>
      </c>
      <c r="AB1898" t="s">
        <v>1914</v>
      </c>
      <c r="AD1898" t="s">
        <v>1915</v>
      </c>
      <c r="AE1898" t="s">
        <v>1916</v>
      </c>
      <c r="AH1898" t="s">
        <v>72</v>
      </c>
      <c r="AI1898" t="s">
        <v>2595</v>
      </c>
      <c r="AJ1898">
        <v>1926</v>
      </c>
      <c r="AK1898" t="s">
        <v>1918</v>
      </c>
      <c r="AM1898" t="s">
        <v>1919</v>
      </c>
      <c r="AN1898" t="s">
        <v>192</v>
      </c>
      <c r="AO1898" t="s">
        <v>657</v>
      </c>
      <c r="AP1898" t="s">
        <v>359</v>
      </c>
      <c r="AQ1898" t="s">
        <v>1920</v>
      </c>
      <c r="AR1898" t="s">
        <v>80</v>
      </c>
      <c r="AS1898">
        <v>702</v>
      </c>
      <c r="AT1898" t="s">
        <v>81</v>
      </c>
      <c r="AU1898">
        <v>22.51</v>
      </c>
      <c r="AV1898">
        <v>-42.93</v>
      </c>
      <c r="AW1898" t="s">
        <v>82</v>
      </c>
      <c r="AX1898">
        <v>702</v>
      </c>
      <c r="AY1898" t="s">
        <v>81</v>
      </c>
      <c r="AZ1898">
        <v>24.25</v>
      </c>
      <c r="BA1898">
        <v>-52.74</v>
      </c>
      <c r="BB1898" t="s">
        <v>83</v>
      </c>
    </row>
    <row r="1899" spans="1:54" x14ac:dyDescent="0.4">
      <c r="A1899">
        <v>1285964</v>
      </c>
      <c r="D1899" t="s">
        <v>498</v>
      </c>
      <c r="E1899" t="s">
        <v>55</v>
      </c>
      <c r="G1899">
        <v>1</v>
      </c>
      <c r="H1899" t="s">
        <v>56</v>
      </c>
      <c r="I1899" t="s">
        <v>57</v>
      </c>
      <c r="K1899" t="s">
        <v>2135</v>
      </c>
      <c r="L1899" t="s">
        <v>2606</v>
      </c>
      <c r="M1899" t="s">
        <v>60</v>
      </c>
      <c r="P1899" t="s">
        <v>511</v>
      </c>
      <c r="Q1899" t="s">
        <v>1536</v>
      </c>
      <c r="R1899" t="s">
        <v>512</v>
      </c>
      <c r="S1899" t="s">
        <v>123</v>
      </c>
      <c r="T1899">
        <v>259.51</v>
      </c>
      <c r="U1899">
        <v>251.90199999999999</v>
      </c>
      <c r="V1899">
        <f t="shared" si="58"/>
        <v>255.70599999999999</v>
      </c>
      <c r="W1899">
        <f t="shared" si="59"/>
        <v>7.6080000000000041</v>
      </c>
      <c r="X1899">
        <v>44.416668000000001</v>
      </c>
      <c r="Y1899">
        <v>-24</v>
      </c>
      <c r="Z1899" t="s">
        <v>124</v>
      </c>
      <c r="AA1899" t="s">
        <v>1913</v>
      </c>
      <c r="AB1899" t="s">
        <v>1914</v>
      </c>
      <c r="AD1899" t="s">
        <v>1915</v>
      </c>
      <c r="AE1899" t="s">
        <v>1916</v>
      </c>
      <c r="AH1899" t="s">
        <v>72</v>
      </c>
      <c r="AI1899" t="s">
        <v>2595</v>
      </c>
      <c r="AJ1899">
        <v>1926</v>
      </c>
      <c r="AK1899" t="s">
        <v>1918</v>
      </c>
      <c r="AM1899" t="s">
        <v>1919</v>
      </c>
      <c r="AN1899" t="s">
        <v>192</v>
      </c>
      <c r="AO1899" t="s">
        <v>657</v>
      </c>
      <c r="AP1899" t="s">
        <v>359</v>
      </c>
      <c r="AQ1899" t="s">
        <v>1920</v>
      </c>
      <c r="AR1899" t="s">
        <v>80</v>
      </c>
      <c r="AS1899">
        <v>702</v>
      </c>
      <c r="AT1899" t="s">
        <v>81</v>
      </c>
      <c r="AU1899">
        <v>22.51</v>
      </c>
      <c r="AV1899">
        <v>-42.93</v>
      </c>
      <c r="AW1899" t="s">
        <v>82</v>
      </c>
      <c r="AX1899">
        <v>702</v>
      </c>
      <c r="AY1899" t="s">
        <v>81</v>
      </c>
      <c r="AZ1899">
        <v>24.25</v>
      </c>
      <c r="BA1899">
        <v>-52.74</v>
      </c>
      <c r="BB1899" t="s">
        <v>83</v>
      </c>
    </row>
    <row r="1900" spans="1:54" x14ac:dyDescent="0.4">
      <c r="A1900">
        <v>1285964</v>
      </c>
      <c r="D1900" t="s">
        <v>498</v>
      </c>
      <c r="E1900" t="s">
        <v>55</v>
      </c>
      <c r="G1900">
        <v>1</v>
      </c>
      <c r="H1900" t="s">
        <v>56</v>
      </c>
      <c r="I1900" t="s">
        <v>57</v>
      </c>
      <c r="K1900" t="s">
        <v>2135</v>
      </c>
      <c r="L1900" t="s">
        <v>2606</v>
      </c>
      <c r="M1900" t="s">
        <v>60</v>
      </c>
      <c r="P1900" t="s">
        <v>511</v>
      </c>
      <c r="Q1900" t="s">
        <v>1536</v>
      </c>
      <c r="R1900" t="s">
        <v>512</v>
      </c>
      <c r="S1900" t="s">
        <v>123</v>
      </c>
      <c r="T1900">
        <v>259.51</v>
      </c>
      <c r="U1900">
        <v>251.90199999999999</v>
      </c>
      <c r="V1900">
        <f t="shared" si="58"/>
        <v>255.70599999999999</v>
      </c>
      <c r="W1900">
        <f t="shared" si="59"/>
        <v>7.6080000000000041</v>
      </c>
      <c r="X1900">
        <v>44.416668000000001</v>
      </c>
      <c r="Y1900">
        <v>-24</v>
      </c>
      <c r="Z1900" t="s">
        <v>124</v>
      </c>
      <c r="AA1900" t="s">
        <v>1913</v>
      </c>
      <c r="AB1900" t="s">
        <v>1914</v>
      </c>
      <c r="AD1900" t="s">
        <v>1915</v>
      </c>
      <c r="AE1900" t="s">
        <v>1916</v>
      </c>
      <c r="AH1900" t="s">
        <v>72</v>
      </c>
      <c r="AI1900" t="s">
        <v>2595</v>
      </c>
      <c r="AJ1900">
        <v>1926</v>
      </c>
      <c r="AK1900" t="s">
        <v>1918</v>
      </c>
      <c r="AM1900" t="s">
        <v>1919</v>
      </c>
      <c r="AN1900" t="s">
        <v>192</v>
      </c>
      <c r="AO1900" t="s">
        <v>657</v>
      </c>
      <c r="AP1900" t="s">
        <v>359</v>
      </c>
      <c r="AQ1900" t="s">
        <v>1920</v>
      </c>
      <c r="AR1900" t="s">
        <v>80</v>
      </c>
      <c r="AS1900">
        <v>702</v>
      </c>
      <c r="AT1900" t="s">
        <v>81</v>
      </c>
      <c r="AU1900">
        <v>22.51</v>
      </c>
      <c r="AV1900">
        <v>-42.93</v>
      </c>
      <c r="AW1900" t="s">
        <v>82</v>
      </c>
      <c r="AX1900">
        <v>702</v>
      </c>
      <c r="AY1900" t="s">
        <v>81</v>
      </c>
      <c r="AZ1900">
        <v>24.25</v>
      </c>
      <c r="BA1900">
        <v>-52.74</v>
      </c>
      <c r="BB1900" t="s">
        <v>83</v>
      </c>
    </row>
    <row r="1901" spans="1:54" x14ac:dyDescent="0.4">
      <c r="A1901">
        <v>1285964</v>
      </c>
      <c r="D1901" t="s">
        <v>498</v>
      </c>
      <c r="E1901" t="s">
        <v>55</v>
      </c>
      <c r="G1901">
        <v>1</v>
      </c>
      <c r="H1901" t="s">
        <v>56</v>
      </c>
      <c r="I1901" t="s">
        <v>57</v>
      </c>
      <c r="K1901" t="s">
        <v>2135</v>
      </c>
      <c r="L1901" t="s">
        <v>2606</v>
      </c>
      <c r="M1901" t="s">
        <v>60</v>
      </c>
      <c r="P1901" t="s">
        <v>511</v>
      </c>
      <c r="Q1901" t="s">
        <v>1536</v>
      </c>
      <c r="R1901" t="s">
        <v>512</v>
      </c>
      <c r="S1901" t="s">
        <v>123</v>
      </c>
      <c r="T1901">
        <v>259.51</v>
      </c>
      <c r="U1901">
        <v>251.90199999999999</v>
      </c>
      <c r="V1901">
        <f t="shared" si="58"/>
        <v>255.70599999999999</v>
      </c>
      <c r="W1901">
        <f t="shared" si="59"/>
        <v>7.6080000000000041</v>
      </c>
      <c r="X1901">
        <v>44.416668000000001</v>
      </c>
      <c r="Y1901">
        <v>-24</v>
      </c>
      <c r="Z1901" t="s">
        <v>124</v>
      </c>
      <c r="AA1901" t="s">
        <v>1913</v>
      </c>
      <c r="AB1901" t="s">
        <v>1914</v>
      </c>
      <c r="AD1901" t="s">
        <v>1915</v>
      </c>
      <c r="AE1901" t="s">
        <v>1916</v>
      </c>
      <c r="AH1901" t="s">
        <v>72</v>
      </c>
      <c r="AI1901" t="s">
        <v>2595</v>
      </c>
      <c r="AJ1901">
        <v>1926</v>
      </c>
      <c r="AK1901" t="s">
        <v>1918</v>
      </c>
      <c r="AM1901" t="s">
        <v>1919</v>
      </c>
      <c r="AN1901" t="s">
        <v>192</v>
      </c>
      <c r="AO1901" t="s">
        <v>657</v>
      </c>
      <c r="AP1901" t="s">
        <v>359</v>
      </c>
      <c r="AQ1901" t="s">
        <v>1920</v>
      </c>
      <c r="AR1901" t="s">
        <v>80</v>
      </c>
      <c r="AS1901">
        <v>702</v>
      </c>
      <c r="AT1901" t="s">
        <v>81</v>
      </c>
      <c r="AU1901">
        <v>22.51</v>
      </c>
      <c r="AV1901">
        <v>-42.93</v>
      </c>
      <c r="AW1901" t="s">
        <v>82</v>
      </c>
      <c r="AX1901">
        <v>702</v>
      </c>
      <c r="AY1901" t="s">
        <v>81</v>
      </c>
      <c r="AZ1901">
        <v>24.25</v>
      </c>
      <c r="BA1901">
        <v>-52.74</v>
      </c>
      <c r="BB1901" t="s">
        <v>83</v>
      </c>
    </row>
    <row r="1902" spans="1:54" x14ac:dyDescent="0.4">
      <c r="A1902">
        <v>1285964</v>
      </c>
      <c r="D1902" t="s">
        <v>498</v>
      </c>
      <c r="E1902" t="s">
        <v>55</v>
      </c>
      <c r="G1902">
        <v>1</v>
      </c>
      <c r="H1902" t="s">
        <v>56</v>
      </c>
      <c r="I1902" t="s">
        <v>57</v>
      </c>
      <c r="K1902" t="s">
        <v>2135</v>
      </c>
      <c r="L1902" t="s">
        <v>2606</v>
      </c>
      <c r="M1902" t="s">
        <v>60</v>
      </c>
      <c r="P1902" t="s">
        <v>511</v>
      </c>
      <c r="Q1902" t="s">
        <v>1536</v>
      </c>
      <c r="R1902" t="s">
        <v>512</v>
      </c>
      <c r="S1902" t="s">
        <v>123</v>
      </c>
      <c r="T1902">
        <v>259.51</v>
      </c>
      <c r="U1902">
        <v>251.90199999999999</v>
      </c>
      <c r="V1902">
        <f t="shared" si="58"/>
        <v>255.70599999999999</v>
      </c>
      <c r="W1902">
        <f t="shared" si="59"/>
        <v>7.6080000000000041</v>
      </c>
      <c r="X1902">
        <v>44.416668000000001</v>
      </c>
      <c r="Y1902">
        <v>-24</v>
      </c>
      <c r="Z1902" t="s">
        <v>124</v>
      </c>
      <c r="AA1902" t="s">
        <v>1913</v>
      </c>
      <c r="AB1902" t="s">
        <v>1914</v>
      </c>
      <c r="AD1902" t="s">
        <v>1915</v>
      </c>
      <c r="AE1902" t="s">
        <v>1916</v>
      </c>
      <c r="AH1902" t="s">
        <v>72</v>
      </c>
      <c r="AI1902" t="s">
        <v>2595</v>
      </c>
      <c r="AJ1902">
        <v>1926</v>
      </c>
      <c r="AK1902" t="s">
        <v>1918</v>
      </c>
      <c r="AM1902" t="s">
        <v>1919</v>
      </c>
      <c r="AN1902" t="s">
        <v>192</v>
      </c>
      <c r="AO1902" t="s">
        <v>657</v>
      </c>
      <c r="AP1902" t="s">
        <v>359</v>
      </c>
      <c r="AQ1902" t="s">
        <v>1920</v>
      </c>
      <c r="AR1902" t="s">
        <v>80</v>
      </c>
      <c r="AS1902">
        <v>702</v>
      </c>
      <c r="AT1902" t="s">
        <v>81</v>
      </c>
      <c r="AU1902">
        <v>22.51</v>
      </c>
      <c r="AV1902">
        <v>-42.93</v>
      </c>
      <c r="AW1902" t="s">
        <v>82</v>
      </c>
      <c r="AX1902">
        <v>702</v>
      </c>
      <c r="AY1902" t="s">
        <v>81</v>
      </c>
      <c r="AZ1902">
        <v>24.25</v>
      </c>
      <c r="BA1902">
        <v>-52.74</v>
      </c>
      <c r="BB1902" t="s">
        <v>83</v>
      </c>
    </row>
    <row r="1903" spans="1:54" x14ac:dyDescent="0.4">
      <c r="A1903">
        <v>1285964</v>
      </c>
      <c r="D1903" t="s">
        <v>498</v>
      </c>
      <c r="E1903" t="s">
        <v>55</v>
      </c>
      <c r="G1903">
        <v>1</v>
      </c>
      <c r="H1903" t="s">
        <v>56</v>
      </c>
      <c r="I1903" t="s">
        <v>57</v>
      </c>
      <c r="K1903" t="s">
        <v>2135</v>
      </c>
      <c r="L1903" t="s">
        <v>2606</v>
      </c>
      <c r="M1903" t="s">
        <v>60</v>
      </c>
      <c r="P1903" t="s">
        <v>511</v>
      </c>
      <c r="Q1903" t="s">
        <v>1536</v>
      </c>
      <c r="R1903" t="s">
        <v>512</v>
      </c>
      <c r="S1903" t="s">
        <v>123</v>
      </c>
      <c r="T1903">
        <v>259.51</v>
      </c>
      <c r="U1903">
        <v>251.90199999999999</v>
      </c>
      <c r="V1903">
        <f t="shared" si="58"/>
        <v>255.70599999999999</v>
      </c>
      <c r="W1903">
        <f t="shared" si="59"/>
        <v>7.6080000000000041</v>
      </c>
      <c r="X1903">
        <v>44.416668000000001</v>
      </c>
      <c r="Y1903">
        <v>-24</v>
      </c>
      <c r="Z1903" t="s">
        <v>124</v>
      </c>
      <c r="AA1903" t="s">
        <v>1913</v>
      </c>
      <c r="AB1903" t="s">
        <v>1914</v>
      </c>
      <c r="AD1903" t="s">
        <v>1915</v>
      </c>
      <c r="AE1903" t="s">
        <v>1916</v>
      </c>
      <c r="AH1903" t="s">
        <v>72</v>
      </c>
      <c r="AI1903" t="s">
        <v>2595</v>
      </c>
      <c r="AJ1903">
        <v>1926</v>
      </c>
      <c r="AK1903" t="s">
        <v>1918</v>
      </c>
      <c r="AM1903" t="s">
        <v>1919</v>
      </c>
      <c r="AN1903" t="s">
        <v>192</v>
      </c>
      <c r="AO1903" t="s">
        <v>657</v>
      </c>
      <c r="AP1903" t="s">
        <v>359</v>
      </c>
      <c r="AQ1903" t="s">
        <v>1920</v>
      </c>
      <c r="AR1903" t="s">
        <v>80</v>
      </c>
      <c r="AS1903">
        <v>702</v>
      </c>
      <c r="AT1903" t="s">
        <v>81</v>
      </c>
      <c r="AU1903">
        <v>22.51</v>
      </c>
      <c r="AV1903">
        <v>-42.93</v>
      </c>
      <c r="AW1903" t="s">
        <v>82</v>
      </c>
      <c r="AX1903">
        <v>702</v>
      </c>
      <c r="AY1903" t="s">
        <v>81</v>
      </c>
      <c r="AZ1903">
        <v>24.25</v>
      </c>
      <c r="BA1903">
        <v>-52.74</v>
      </c>
      <c r="BB1903" t="s">
        <v>83</v>
      </c>
    </row>
    <row r="1904" spans="1:54" x14ac:dyDescent="0.4">
      <c r="A1904">
        <v>1285964</v>
      </c>
      <c r="D1904" t="s">
        <v>498</v>
      </c>
      <c r="E1904" t="s">
        <v>55</v>
      </c>
      <c r="G1904">
        <v>1</v>
      </c>
      <c r="H1904" t="s">
        <v>56</v>
      </c>
      <c r="I1904" t="s">
        <v>57</v>
      </c>
      <c r="K1904" t="s">
        <v>2135</v>
      </c>
      <c r="L1904" t="s">
        <v>2606</v>
      </c>
      <c r="M1904" t="s">
        <v>60</v>
      </c>
      <c r="P1904" t="s">
        <v>511</v>
      </c>
      <c r="Q1904" t="s">
        <v>1536</v>
      </c>
      <c r="R1904" t="s">
        <v>512</v>
      </c>
      <c r="S1904" t="s">
        <v>123</v>
      </c>
      <c r="T1904">
        <v>259.51</v>
      </c>
      <c r="U1904">
        <v>251.90199999999999</v>
      </c>
      <c r="V1904">
        <f t="shared" si="58"/>
        <v>255.70599999999999</v>
      </c>
      <c r="W1904">
        <f t="shared" si="59"/>
        <v>7.6080000000000041</v>
      </c>
      <c r="X1904">
        <v>44.416668000000001</v>
      </c>
      <c r="Y1904">
        <v>-24</v>
      </c>
      <c r="Z1904" t="s">
        <v>124</v>
      </c>
      <c r="AA1904" t="s">
        <v>1913</v>
      </c>
      <c r="AB1904" t="s">
        <v>1914</v>
      </c>
      <c r="AD1904" t="s">
        <v>1915</v>
      </c>
      <c r="AE1904" t="s">
        <v>1916</v>
      </c>
      <c r="AH1904" t="s">
        <v>72</v>
      </c>
      <c r="AI1904" t="s">
        <v>2595</v>
      </c>
      <c r="AJ1904">
        <v>1926</v>
      </c>
      <c r="AK1904" t="s">
        <v>1918</v>
      </c>
      <c r="AM1904" t="s">
        <v>1919</v>
      </c>
      <c r="AN1904" t="s">
        <v>192</v>
      </c>
      <c r="AO1904" t="s">
        <v>657</v>
      </c>
      <c r="AP1904" t="s">
        <v>359</v>
      </c>
      <c r="AQ1904" t="s">
        <v>1920</v>
      </c>
      <c r="AR1904" t="s">
        <v>80</v>
      </c>
      <c r="AS1904">
        <v>702</v>
      </c>
      <c r="AT1904" t="s">
        <v>81</v>
      </c>
      <c r="AU1904">
        <v>22.51</v>
      </c>
      <c r="AV1904">
        <v>-42.93</v>
      </c>
      <c r="AW1904" t="s">
        <v>82</v>
      </c>
      <c r="AX1904">
        <v>702</v>
      </c>
      <c r="AY1904" t="s">
        <v>81</v>
      </c>
      <c r="AZ1904">
        <v>24.25</v>
      </c>
      <c r="BA1904">
        <v>-52.74</v>
      </c>
      <c r="BB1904" t="s">
        <v>83</v>
      </c>
    </row>
    <row r="1905" spans="1:54" x14ac:dyDescent="0.4">
      <c r="A1905">
        <v>1285964</v>
      </c>
      <c r="D1905" t="s">
        <v>498</v>
      </c>
      <c r="E1905" t="s">
        <v>55</v>
      </c>
      <c r="G1905">
        <v>1</v>
      </c>
      <c r="H1905" t="s">
        <v>56</v>
      </c>
      <c r="I1905" t="s">
        <v>57</v>
      </c>
      <c r="K1905" t="s">
        <v>2135</v>
      </c>
      <c r="L1905" t="s">
        <v>2606</v>
      </c>
      <c r="M1905" t="s">
        <v>60</v>
      </c>
      <c r="P1905" t="s">
        <v>511</v>
      </c>
      <c r="Q1905" t="s">
        <v>1536</v>
      </c>
      <c r="R1905" t="s">
        <v>512</v>
      </c>
      <c r="S1905" t="s">
        <v>123</v>
      </c>
      <c r="T1905">
        <v>259.51</v>
      </c>
      <c r="U1905">
        <v>251.90199999999999</v>
      </c>
      <c r="V1905">
        <f t="shared" si="58"/>
        <v>255.70599999999999</v>
      </c>
      <c r="W1905">
        <f t="shared" si="59"/>
        <v>7.6080000000000041</v>
      </c>
      <c r="X1905">
        <v>44.416668000000001</v>
      </c>
      <c r="Y1905">
        <v>-24</v>
      </c>
      <c r="Z1905" t="s">
        <v>124</v>
      </c>
      <c r="AA1905" t="s">
        <v>1913</v>
      </c>
      <c r="AB1905" t="s">
        <v>1914</v>
      </c>
      <c r="AD1905" t="s">
        <v>1915</v>
      </c>
      <c r="AE1905" t="s">
        <v>1916</v>
      </c>
      <c r="AH1905" t="s">
        <v>72</v>
      </c>
      <c r="AI1905" t="s">
        <v>2595</v>
      </c>
      <c r="AJ1905">
        <v>1926</v>
      </c>
      <c r="AK1905" t="s">
        <v>1918</v>
      </c>
      <c r="AM1905" t="s">
        <v>1919</v>
      </c>
      <c r="AN1905" t="s">
        <v>192</v>
      </c>
      <c r="AO1905" t="s">
        <v>657</v>
      </c>
      <c r="AP1905" t="s">
        <v>359</v>
      </c>
      <c r="AQ1905" t="s">
        <v>1920</v>
      </c>
      <c r="AR1905" t="s">
        <v>80</v>
      </c>
      <c r="AS1905">
        <v>702</v>
      </c>
      <c r="AT1905" t="s">
        <v>81</v>
      </c>
      <c r="AU1905">
        <v>22.51</v>
      </c>
      <c r="AV1905">
        <v>-42.93</v>
      </c>
      <c r="AW1905" t="s">
        <v>82</v>
      </c>
      <c r="AX1905">
        <v>702</v>
      </c>
      <c r="AY1905" t="s">
        <v>81</v>
      </c>
      <c r="AZ1905">
        <v>24.25</v>
      </c>
      <c r="BA1905">
        <v>-52.74</v>
      </c>
      <c r="BB1905" t="s">
        <v>83</v>
      </c>
    </row>
    <row r="1906" spans="1:54" x14ac:dyDescent="0.4">
      <c r="A1906">
        <v>1285964</v>
      </c>
      <c r="D1906" t="s">
        <v>498</v>
      </c>
      <c r="E1906" t="s">
        <v>55</v>
      </c>
      <c r="G1906">
        <v>1</v>
      </c>
      <c r="H1906" t="s">
        <v>56</v>
      </c>
      <c r="I1906" t="s">
        <v>57</v>
      </c>
      <c r="K1906" t="s">
        <v>2135</v>
      </c>
      <c r="L1906" t="s">
        <v>2606</v>
      </c>
      <c r="M1906" t="s">
        <v>60</v>
      </c>
      <c r="P1906" t="s">
        <v>511</v>
      </c>
      <c r="Q1906" t="s">
        <v>1536</v>
      </c>
      <c r="R1906" t="s">
        <v>512</v>
      </c>
      <c r="S1906" t="s">
        <v>123</v>
      </c>
      <c r="T1906">
        <v>259.51</v>
      </c>
      <c r="U1906">
        <v>251.90199999999999</v>
      </c>
      <c r="V1906">
        <f t="shared" si="58"/>
        <v>255.70599999999999</v>
      </c>
      <c r="W1906">
        <f t="shared" si="59"/>
        <v>7.6080000000000041</v>
      </c>
      <c r="X1906">
        <v>44.416668000000001</v>
      </c>
      <c r="Y1906">
        <v>-24</v>
      </c>
      <c r="Z1906" t="s">
        <v>124</v>
      </c>
      <c r="AA1906" t="s">
        <v>1913</v>
      </c>
      <c r="AB1906" t="s">
        <v>1914</v>
      </c>
      <c r="AD1906" t="s">
        <v>1915</v>
      </c>
      <c r="AE1906" t="s">
        <v>1916</v>
      </c>
      <c r="AH1906" t="s">
        <v>72</v>
      </c>
      <c r="AI1906" t="s">
        <v>2595</v>
      </c>
      <c r="AJ1906">
        <v>1926</v>
      </c>
      <c r="AK1906" t="s">
        <v>1918</v>
      </c>
      <c r="AM1906" t="s">
        <v>1919</v>
      </c>
      <c r="AN1906" t="s">
        <v>192</v>
      </c>
      <c r="AO1906" t="s">
        <v>657</v>
      </c>
      <c r="AP1906" t="s">
        <v>359</v>
      </c>
      <c r="AQ1906" t="s">
        <v>1920</v>
      </c>
      <c r="AR1906" t="s">
        <v>80</v>
      </c>
      <c r="AS1906">
        <v>702</v>
      </c>
      <c r="AT1906" t="s">
        <v>81</v>
      </c>
      <c r="AU1906">
        <v>22.51</v>
      </c>
      <c r="AV1906">
        <v>-42.93</v>
      </c>
      <c r="AW1906" t="s">
        <v>82</v>
      </c>
      <c r="AX1906">
        <v>702</v>
      </c>
      <c r="AY1906" t="s">
        <v>81</v>
      </c>
      <c r="AZ1906">
        <v>24.25</v>
      </c>
      <c r="BA1906">
        <v>-52.74</v>
      </c>
      <c r="BB1906" t="s">
        <v>83</v>
      </c>
    </row>
    <row r="1907" spans="1:54" x14ac:dyDescent="0.4">
      <c r="A1907">
        <v>1285964</v>
      </c>
      <c r="D1907" t="s">
        <v>498</v>
      </c>
      <c r="E1907" t="s">
        <v>55</v>
      </c>
      <c r="G1907">
        <v>1</v>
      </c>
      <c r="H1907" t="s">
        <v>56</v>
      </c>
      <c r="I1907" t="s">
        <v>57</v>
      </c>
      <c r="K1907" t="s">
        <v>2135</v>
      </c>
      <c r="L1907" t="s">
        <v>2606</v>
      </c>
      <c r="M1907" t="s">
        <v>60</v>
      </c>
      <c r="P1907" t="s">
        <v>511</v>
      </c>
      <c r="Q1907" t="s">
        <v>1536</v>
      </c>
      <c r="R1907" t="s">
        <v>512</v>
      </c>
      <c r="S1907" t="s">
        <v>123</v>
      </c>
      <c r="T1907">
        <v>259.51</v>
      </c>
      <c r="U1907">
        <v>251.90199999999999</v>
      </c>
      <c r="V1907">
        <f t="shared" si="58"/>
        <v>255.70599999999999</v>
      </c>
      <c r="W1907">
        <f t="shared" si="59"/>
        <v>7.6080000000000041</v>
      </c>
      <c r="X1907">
        <v>44.416668000000001</v>
      </c>
      <c r="Y1907">
        <v>-24</v>
      </c>
      <c r="Z1907" t="s">
        <v>124</v>
      </c>
      <c r="AA1907" t="s">
        <v>1913</v>
      </c>
      <c r="AB1907" t="s">
        <v>1914</v>
      </c>
      <c r="AD1907" t="s">
        <v>1915</v>
      </c>
      <c r="AE1907" t="s">
        <v>1916</v>
      </c>
      <c r="AH1907" t="s">
        <v>72</v>
      </c>
      <c r="AI1907" t="s">
        <v>2595</v>
      </c>
      <c r="AJ1907">
        <v>1926</v>
      </c>
      <c r="AK1907" t="s">
        <v>1918</v>
      </c>
      <c r="AM1907" t="s">
        <v>1919</v>
      </c>
      <c r="AN1907" t="s">
        <v>192</v>
      </c>
      <c r="AO1907" t="s">
        <v>657</v>
      </c>
      <c r="AP1907" t="s">
        <v>359</v>
      </c>
      <c r="AQ1907" t="s">
        <v>1920</v>
      </c>
      <c r="AR1907" t="s">
        <v>80</v>
      </c>
      <c r="AS1907">
        <v>702</v>
      </c>
      <c r="AT1907" t="s">
        <v>81</v>
      </c>
      <c r="AU1907">
        <v>22.51</v>
      </c>
      <c r="AV1907">
        <v>-42.93</v>
      </c>
      <c r="AW1907" t="s">
        <v>82</v>
      </c>
      <c r="AX1907">
        <v>702</v>
      </c>
      <c r="AY1907" t="s">
        <v>81</v>
      </c>
      <c r="AZ1907">
        <v>24.25</v>
      </c>
      <c r="BA1907">
        <v>-52.74</v>
      </c>
      <c r="BB1907" t="s">
        <v>83</v>
      </c>
    </row>
    <row r="1908" spans="1:54" x14ac:dyDescent="0.4">
      <c r="A1908">
        <v>1285964</v>
      </c>
      <c r="D1908" t="s">
        <v>498</v>
      </c>
      <c r="E1908" t="s">
        <v>55</v>
      </c>
      <c r="G1908">
        <v>1</v>
      </c>
      <c r="H1908" t="s">
        <v>56</v>
      </c>
      <c r="I1908" t="s">
        <v>57</v>
      </c>
      <c r="K1908" t="s">
        <v>2135</v>
      </c>
      <c r="L1908" t="s">
        <v>2606</v>
      </c>
      <c r="M1908" t="s">
        <v>60</v>
      </c>
      <c r="P1908" t="s">
        <v>511</v>
      </c>
      <c r="Q1908" t="s">
        <v>1536</v>
      </c>
      <c r="R1908" t="s">
        <v>512</v>
      </c>
      <c r="S1908" t="s">
        <v>123</v>
      </c>
      <c r="T1908">
        <v>259.51</v>
      </c>
      <c r="U1908">
        <v>251.90199999999999</v>
      </c>
      <c r="V1908">
        <f t="shared" si="58"/>
        <v>255.70599999999999</v>
      </c>
      <c r="W1908">
        <f t="shared" si="59"/>
        <v>7.6080000000000041</v>
      </c>
      <c r="X1908">
        <v>44.416668000000001</v>
      </c>
      <c r="Y1908">
        <v>-24</v>
      </c>
      <c r="Z1908" t="s">
        <v>124</v>
      </c>
      <c r="AA1908" t="s">
        <v>1913</v>
      </c>
      <c r="AB1908" t="s">
        <v>1914</v>
      </c>
      <c r="AD1908" t="s">
        <v>1915</v>
      </c>
      <c r="AE1908" t="s">
        <v>1916</v>
      </c>
      <c r="AH1908" t="s">
        <v>72</v>
      </c>
      <c r="AI1908" t="s">
        <v>2595</v>
      </c>
      <c r="AJ1908">
        <v>1926</v>
      </c>
      <c r="AK1908" t="s">
        <v>1918</v>
      </c>
      <c r="AM1908" t="s">
        <v>1919</v>
      </c>
      <c r="AN1908" t="s">
        <v>192</v>
      </c>
      <c r="AO1908" t="s">
        <v>657</v>
      </c>
      <c r="AP1908" t="s">
        <v>359</v>
      </c>
      <c r="AQ1908" t="s">
        <v>1920</v>
      </c>
      <c r="AR1908" t="s">
        <v>80</v>
      </c>
      <c r="AS1908">
        <v>702</v>
      </c>
      <c r="AT1908" t="s">
        <v>81</v>
      </c>
      <c r="AU1908">
        <v>22.51</v>
      </c>
      <c r="AV1908">
        <v>-42.93</v>
      </c>
      <c r="AW1908" t="s">
        <v>82</v>
      </c>
      <c r="AX1908">
        <v>702</v>
      </c>
      <c r="AY1908" t="s">
        <v>81</v>
      </c>
      <c r="AZ1908">
        <v>24.25</v>
      </c>
      <c r="BA1908">
        <v>-52.74</v>
      </c>
      <c r="BB1908" t="s">
        <v>83</v>
      </c>
    </row>
    <row r="1909" spans="1:54" x14ac:dyDescent="0.4">
      <c r="A1909">
        <v>1285964</v>
      </c>
      <c r="D1909" t="s">
        <v>498</v>
      </c>
      <c r="E1909" t="s">
        <v>55</v>
      </c>
      <c r="G1909">
        <v>1</v>
      </c>
      <c r="H1909" t="s">
        <v>56</v>
      </c>
      <c r="I1909" t="s">
        <v>57</v>
      </c>
      <c r="K1909" t="s">
        <v>2135</v>
      </c>
      <c r="L1909" t="s">
        <v>2606</v>
      </c>
      <c r="M1909" t="s">
        <v>60</v>
      </c>
      <c r="P1909" t="s">
        <v>511</v>
      </c>
      <c r="Q1909" t="s">
        <v>1536</v>
      </c>
      <c r="R1909" t="s">
        <v>512</v>
      </c>
      <c r="S1909" t="s">
        <v>123</v>
      </c>
      <c r="T1909">
        <v>259.51</v>
      </c>
      <c r="U1909">
        <v>251.90199999999999</v>
      </c>
      <c r="V1909">
        <f t="shared" si="58"/>
        <v>255.70599999999999</v>
      </c>
      <c r="W1909">
        <f t="shared" si="59"/>
        <v>7.6080000000000041</v>
      </c>
      <c r="X1909">
        <v>44.416668000000001</v>
      </c>
      <c r="Y1909">
        <v>-24</v>
      </c>
      <c r="Z1909" t="s">
        <v>124</v>
      </c>
      <c r="AA1909" t="s">
        <v>1913</v>
      </c>
      <c r="AB1909" t="s">
        <v>1914</v>
      </c>
      <c r="AD1909" t="s">
        <v>1915</v>
      </c>
      <c r="AE1909" t="s">
        <v>1916</v>
      </c>
      <c r="AH1909" t="s">
        <v>72</v>
      </c>
      <c r="AI1909" t="s">
        <v>2595</v>
      </c>
      <c r="AJ1909">
        <v>1926</v>
      </c>
      <c r="AK1909" t="s">
        <v>1918</v>
      </c>
      <c r="AM1909" t="s">
        <v>1919</v>
      </c>
      <c r="AN1909" t="s">
        <v>192</v>
      </c>
      <c r="AO1909" t="s">
        <v>657</v>
      </c>
      <c r="AP1909" t="s">
        <v>359</v>
      </c>
      <c r="AQ1909" t="s">
        <v>1920</v>
      </c>
      <c r="AR1909" t="s">
        <v>80</v>
      </c>
      <c r="AS1909">
        <v>702</v>
      </c>
      <c r="AT1909" t="s">
        <v>81</v>
      </c>
      <c r="AU1909">
        <v>22.51</v>
      </c>
      <c r="AV1909">
        <v>-42.93</v>
      </c>
      <c r="AW1909" t="s">
        <v>82</v>
      </c>
      <c r="AX1909">
        <v>702</v>
      </c>
      <c r="AY1909" t="s">
        <v>81</v>
      </c>
      <c r="AZ1909">
        <v>24.25</v>
      </c>
      <c r="BA1909">
        <v>-52.74</v>
      </c>
      <c r="BB1909" t="s">
        <v>83</v>
      </c>
    </row>
    <row r="1910" spans="1:54" x14ac:dyDescent="0.4">
      <c r="A1910">
        <v>1304576</v>
      </c>
      <c r="D1910" t="s">
        <v>54</v>
      </c>
      <c r="G1910">
        <v>1</v>
      </c>
      <c r="H1910" t="s">
        <v>56</v>
      </c>
      <c r="I1910" t="s">
        <v>57</v>
      </c>
      <c r="K1910" t="s">
        <v>1600</v>
      </c>
      <c r="L1910" t="s">
        <v>2609</v>
      </c>
      <c r="M1910" t="s">
        <v>60</v>
      </c>
      <c r="P1910" t="s">
        <v>511</v>
      </c>
      <c r="Q1910" t="s">
        <v>1536</v>
      </c>
      <c r="R1910" t="s">
        <v>512</v>
      </c>
      <c r="S1910" t="s">
        <v>123</v>
      </c>
      <c r="T1910">
        <v>259.51</v>
      </c>
      <c r="U1910">
        <v>251.90199999999999</v>
      </c>
      <c r="V1910">
        <f t="shared" si="58"/>
        <v>255.70599999999999</v>
      </c>
      <c r="W1910">
        <f t="shared" si="59"/>
        <v>7.6080000000000041</v>
      </c>
      <c r="X1910">
        <v>23.200001</v>
      </c>
      <c r="Y1910">
        <v>-31.616667</v>
      </c>
      <c r="Z1910" t="s">
        <v>124</v>
      </c>
      <c r="AA1910" t="s">
        <v>106</v>
      </c>
      <c r="AB1910" t="s">
        <v>334</v>
      </c>
      <c r="AC1910" t="s">
        <v>4607</v>
      </c>
      <c r="AE1910" t="s">
        <v>110</v>
      </c>
      <c r="AG1910" t="s">
        <v>1646</v>
      </c>
      <c r="AH1910" t="s">
        <v>72</v>
      </c>
      <c r="AI1910" t="s">
        <v>3650</v>
      </c>
      <c r="AJ1910">
        <v>1977</v>
      </c>
      <c r="AK1910" t="s">
        <v>4608</v>
      </c>
      <c r="AM1910" t="s">
        <v>4609</v>
      </c>
      <c r="AN1910" t="s">
        <v>114</v>
      </c>
      <c r="AO1910" t="s">
        <v>160</v>
      </c>
      <c r="AP1910" t="s">
        <v>359</v>
      </c>
      <c r="AR1910" t="s">
        <v>80</v>
      </c>
      <c r="AS1910">
        <v>701</v>
      </c>
      <c r="AT1910" t="s">
        <v>81</v>
      </c>
      <c r="AU1910">
        <v>-18.559999999999999</v>
      </c>
      <c r="AV1910">
        <v>-50.64</v>
      </c>
      <c r="AW1910" t="s">
        <v>82</v>
      </c>
      <c r="AX1910">
        <v>701</v>
      </c>
      <c r="AY1910" t="s">
        <v>81</v>
      </c>
      <c r="AZ1910">
        <v>-28.69</v>
      </c>
      <c r="BA1910">
        <v>-60.73</v>
      </c>
      <c r="BB1910" t="s">
        <v>83</v>
      </c>
    </row>
    <row r="1911" spans="1:54" x14ac:dyDescent="0.4">
      <c r="A1911">
        <v>1304576</v>
      </c>
      <c r="D1911" t="s">
        <v>54</v>
      </c>
      <c r="G1911">
        <v>1</v>
      </c>
      <c r="H1911" t="s">
        <v>56</v>
      </c>
      <c r="I1911" t="s">
        <v>57</v>
      </c>
      <c r="K1911" t="s">
        <v>1600</v>
      </c>
      <c r="L1911" t="s">
        <v>2609</v>
      </c>
      <c r="M1911" t="s">
        <v>60</v>
      </c>
      <c r="P1911" t="s">
        <v>511</v>
      </c>
      <c r="Q1911" t="s">
        <v>1536</v>
      </c>
      <c r="R1911" t="s">
        <v>512</v>
      </c>
      <c r="S1911" t="s">
        <v>123</v>
      </c>
      <c r="T1911">
        <v>259.51</v>
      </c>
      <c r="U1911">
        <v>251.90199999999999</v>
      </c>
      <c r="V1911">
        <f t="shared" si="58"/>
        <v>255.70599999999999</v>
      </c>
      <c r="W1911">
        <f t="shared" si="59"/>
        <v>7.6080000000000041</v>
      </c>
      <c r="X1911">
        <v>23.200001</v>
      </c>
      <c r="Y1911">
        <v>-31.616667</v>
      </c>
      <c r="Z1911" t="s">
        <v>124</v>
      </c>
      <c r="AA1911" t="s">
        <v>106</v>
      </c>
      <c r="AB1911" t="s">
        <v>334</v>
      </c>
      <c r="AC1911" t="s">
        <v>4607</v>
      </c>
      <c r="AE1911" t="s">
        <v>110</v>
      </c>
      <c r="AG1911" t="s">
        <v>1646</v>
      </c>
      <c r="AH1911" t="s">
        <v>72</v>
      </c>
      <c r="AI1911" t="s">
        <v>3650</v>
      </c>
      <c r="AJ1911">
        <v>1977</v>
      </c>
      <c r="AK1911" t="s">
        <v>4608</v>
      </c>
      <c r="AM1911" t="s">
        <v>4609</v>
      </c>
      <c r="AN1911" t="s">
        <v>114</v>
      </c>
      <c r="AO1911" t="s">
        <v>160</v>
      </c>
      <c r="AP1911" t="s">
        <v>359</v>
      </c>
      <c r="AR1911" t="s">
        <v>80</v>
      </c>
      <c r="AS1911">
        <v>701</v>
      </c>
      <c r="AT1911" t="s">
        <v>81</v>
      </c>
      <c r="AU1911">
        <v>-18.559999999999999</v>
      </c>
      <c r="AV1911">
        <v>-50.64</v>
      </c>
      <c r="AW1911" t="s">
        <v>82</v>
      </c>
      <c r="AX1911">
        <v>701</v>
      </c>
      <c r="AY1911" t="s">
        <v>81</v>
      </c>
      <c r="AZ1911">
        <v>-28.69</v>
      </c>
      <c r="BA1911">
        <v>-60.73</v>
      </c>
      <c r="BB1911" t="s">
        <v>83</v>
      </c>
    </row>
    <row r="1912" spans="1:54" x14ac:dyDescent="0.4">
      <c r="A1912">
        <v>1304767</v>
      </c>
      <c r="D1912" t="s">
        <v>54</v>
      </c>
      <c r="I1912" t="s">
        <v>57</v>
      </c>
      <c r="K1912" t="s">
        <v>1600</v>
      </c>
      <c r="L1912" t="s">
        <v>2609</v>
      </c>
      <c r="M1912" t="s">
        <v>60</v>
      </c>
      <c r="P1912" t="s">
        <v>511</v>
      </c>
      <c r="Q1912" t="s">
        <v>1536</v>
      </c>
      <c r="R1912" t="s">
        <v>512</v>
      </c>
      <c r="S1912" t="s">
        <v>123</v>
      </c>
      <c r="T1912">
        <v>259.51</v>
      </c>
      <c r="U1912">
        <v>251.90199999999999</v>
      </c>
      <c r="V1912">
        <f t="shared" si="58"/>
        <v>255.70599999999999</v>
      </c>
      <c r="W1912">
        <f t="shared" si="59"/>
        <v>7.6080000000000041</v>
      </c>
      <c r="X1912">
        <v>24.424999</v>
      </c>
      <c r="Y1912">
        <v>-32.101391</v>
      </c>
      <c r="Z1912" t="s">
        <v>124</v>
      </c>
      <c r="AA1912" t="s">
        <v>106</v>
      </c>
      <c r="AB1912" t="s">
        <v>107</v>
      </c>
      <c r="AC1912" t="s">
        <v>4566</v>
      </c>
      <c r="AE1912" t="s">
        <v>110</v>
      </c>
      <c r="AG1912" t="s">
        <v>1646</v>
      </c>
      <c r="AH1912" t="s">
        <v>72</v>
      </c>
      <c r="AI1912" t="s">
        <v>3650</v>
      </c>
      <c r="AJ1912">
        <v>1977</v>
      </c>
      <c r="AK1912" t="s">
        <v>4610</v>
      </c>
      <c r="AM1912" t="s">
        <v>4576</v>
      </c>
      <c r="AN1912" t="s">
        <v>114</v>
      </c>
      <c r="AO1912" t="s">
        <v>77</v>
      </c>
      <c r="AP1912" t="s">
        <v>78</v>
      </c>
      <c r="AR1912" t="s">
        <v>80</v>
      </c>
      <c r="AS1912">
        <v>701</v>
      </c>
      <c r="AT1912" t="s">
        <v>81</v>
      </c>
      <c r="AU1912">
        <v>-18.399999999999999</v>
      </c>
      <c r="AV1912">
        <v>-51.78</v>
      </c>
      <c r="AW1912" t="s">
        <v>82</v>
      </c>
      <c r="AX1912">
        <v>701</v>
      </c>
      <c r="AY1912" t="s">
        <v>81</v>
      </c>
      <c r="AZ1912">
        <v>-28.76</v>
      </c>
      <c r="BA1912">
        <v>-61.87</v>
      </c>
      <c r="BB1912" t="s">
        <v>83</v>
      </c>
    </row>
    <row r="1913" spans="1:54" x14ac:dyDescent="0.4">
      <c r="A1913">
        <v>1310102</v>
      </c>
      <c r="D1913" t="s">
        <v>1645</v>
      </c>
      <c r="G1913">
        <v>1</v>
      </c>
      <c r="H1913" t="s">
        <v>56</v>
      </c>
      <c r="I1913" t="s">
        <v>57</v>
      </c>
      <c r="K1913" t="s">
        <v>1600</v>
      </c>
      <c r="L1913" t="s">
        <v>2609</v>
      </c>
      <c r="M1913" t="s">
        <v>60</v>
      </c>
      <c r="P1913" t="s">
        <v>511</v>
      </c>
      <c r="Q1913" t="s">
        <v>1536</v>
      </c>
      <c r="R1913" t="s">
        <v>512</v>
      </c>
      <c r="S1913" t="s">
        <v>123</v>
      </c>
      <c r="T1913">
        <v>259.51</v>
      </c>
      <c r="U1913">
        <v>251.90199999999999</v>
      </c>
      <c r="V1913">
        <f t="shared" si="58"/>
        <v>255.70599999999999</v>
      </c>
      <c r="W1913">
        <f t="shared" si="59"/>
        <v>7.6080000000000041</v>
      </c>
      <c r="X1913">
        <v>24.549999</v>
      </c>
      <c r="Y1913">
        <v>-31.866667</v>
      </c>
      <c r="Z1913" t="s">
        <v>124</v>
      </c>
      <c r="AA1913" t="s">
        <v>106</v>
      </c>
      <c r="AB1913" t="s">
        <v>107</v>
      </c>
      <c r="AC1913" t="s">
        <v>1641</v>
      </c>
      <c r="AD1913" t="s">
        <v>1603</v>
      </c>
      <c r="AE1913" t="s">
        <v>110</v>
      </c>
      <c r="AG1913" t="s">
        <v>1646</v>
      </c>
      <c r="AH1913" t="s">
        <v>72</v>
      </c>
      <c r="AI1913" t="s">
        <v>1627</v>
      </c>
      <c r="AJ1913">
        <v>2002</v>
      </c>
      <c r="AK1913" t="s">
        <v>1647</v>
      </c>
      <c r="AM1913" t="s">
        <v>1648</v>
      </c>
      <c r="AN1913" t="s">
        <v>114</v>
      </c>
      <c r="AO1913" t="s">
        <v>160</v>
      </c>
      <c r="AP1913" t="s">
        <v>359</v>
      </c>
      <c r="AQ1913" t="s">
        <v>1649</v>
      </c>
      <c r="AR1913" t="s">
        <v>80</v>
      </c>
      <c r="AS1913">
        <v>701</v>
      </c>
      <c r="AT1913" t="s">
        <v>81</v>
      </c>
      <c r="AU1913">
        <v>-17.98</v>
      </c>
      <c r="AV1913">
        <v>-51.75</v>
      </c>
      <c r="AW1913" t="s">
        <v>82</v>
      </c>
      <c r="AX1913">
        <v>701</v>
      </c>
      <c r="AY1913" t="s">
        <v>81</v>
      </c>
      <c r="AZ1913">
        <v>-28.21</v>
      </c>
      <c r="BA1913">
        <v>-61.88</v>
      </c>
      <c r="BB1913" t="s">
        <v>83</v>
      </c>
    </row>
    <row r="1914" spans="1:54" x14ac:dyDescent="0.4">
      <c r="A1914">
        <v>1314179</v>
      </c>
      <c r="D1914" t="s">
        <v>54</v>
      </c>
      <c r="I1914" t="s">
        <v>57</v>
      </c>
      <c r="K1914" t="s">
        <v>141</v>
      </c>
      <c r="L1914" t="s">
        <v>4542</v>
      </c>
      <c r="M1914" t="s">
        <v>60</v>
      </c>
      <c r="O1914" t="s">
        <v>170</v>
      </c>
      <c r="P1914" t="s">
        <v>511</v>
      </c>
      <c r="Q1914" t="s">
        <v>1536</v>
      </c>
      <c r="R1914" t="s">
        <v>512</v>
      </c>
      <c r="S1914" t="s">
        <v>123</v>
      </c>
      <c r="T1914">
        <v>259.51</v>
      </c>
      <c r="U1914">
        <v>251.90199999999999</v>
      </c>
      <c r="V1914">
        <f t="shared" si="58"/>
        <v>255.70599999999999</v>
      </c>
      <c r="W1914">
        <f t="shared" si="59"/>
        <v>7.6080000000000041</v>
      </c>
      <c r="X1914">
        <v>24.598057000000001</v>
      </c>
      <c r="Y1914">
        <v>-31.912779</v>
      </c>
      <c r="Z1914" t="s">
        <v>124</v>
      </c>
      <c r="AA1914" t="s">
        <v>106</v>
      </c>
      <c r="AB1914" t="s">
        <v>107</v>
      </c>
      <c r="AC1914" t="s">
        <v>4566</v>
      </c>
      <c r="AE1914" t="s">
        <v>110</v>
      </c>
      <c r="AG1914" t="s">
        <v>1646</v>
      </c>
      <c r="AH1914" t="s">
        <v>72</v>
      </c>
      <c r="AI1914" t="s">
        <v>3650</v>
      </c>
      <c r="AJ1914">
        <v>1977</v>
      </c>
      <c r="AK1914" t="s">
        <v>4661</v>
      </c>
      <c r="AM1914" t="s">
        <v>4662</v>
      </c>
      <c r="AN1914" t="s">
        <v>114</v>
      </c>
      <c r="AO1914" t="s">
        <v>77</v>
      </c>
      <c r="AQ1914" t="s">
        <v>4663</v>
      </c>
      <c r="AR1914" t="s">
        <v>80</v>
      </c>
      <c r="AS1914">
        <v>701</v>
      </c>
      <c r="AT1914" t="s">
        <v>81</v>
      </c>
      <c r="AU1914">
        <v>-18.010000000000002</v>
      </c>
      <c r="AV1914">
        <v>-51.81</v>
      </c>
      <c r="AW1914" t="s">
        <v>82</v>
      </c>
      <c r="AX1914">
        <v>701</v>
      </c>
      <c r="AY1914" t="s">
        <v>81</v>
      </c>
      <c r="AZ1914">
        <v>-28.27</v>
      </c>
      <c r="BA1914">
        <v>-61.94</v>
      </c>
      <c r="BB1914" t="s">
        <v>83</v>
      </c>
    </row>
    <row r="1915" spans="1:54" x14ac:dyDescent="0.4">
      <c r="A1915">
        <v>1314180</v>
      </c>
      <c r="D1915" t="s">
        <v>54</v>
      </c>
      <c r="I1915" t="s">
        <v>57</v>
      </c>
      <c r="K1915" t="s">
        <v>100</v>
      </c>
      <c r="L1915" t="s">
        <v>4536</v>
      </c>
      <c r="M1915" t="s">
        <v>60</v>
      </c>
      <c r="P1915" t="s">
        <v>511</v>
      </c>
      <c r="Q1915" t="s">
        <v>1536</v>
      </c>
      <c r="R1915" t="s">
        <v>512</v>
      </c>
      <c r="S1915" t="s">
        <v>123</v>
      </c>
      <c r="T1915">
        <v>259.51</v>
      </c>
      <c r="U1915">
        <v>251.90199999999999</v>
      </c>
      <c r="V1915">
        <f t="shared" si="58"/>
        <v>255.70599999999999</v>
      </c>
      <c r="W1915">
        <f t="shared" si="59"/>
        <v>7.6080000000000041</v>
      </c>
      <c r="X1915">
        <v>24.598057000000001</v>
      </c>
      <c r="Y1915">
        <v>-31.912779</v>
      </c>
      <c r="Z1915" t="s">
        <v>124</v>
      </c>
      <c r="AA1915" t="s">
        <v>106</v>
      </c>
      <c r="AB1915" t="s">
        <v>107</v>
      </c>
      <c r="AC1915" t="s">
        <v>4566</v>
      </c>
      <c r="AE1915" t="s">
        <v>110</v>
      </c>
      <c r="AG1915" t="s">
        <v>1646</v>
      </c>
      <c r="AH1915" t="s">
        <v>72</v>
      </c>
      <c r="AI1915" t="s">
        <v>3650</v>
      </c>
      <c r="AJ1915">
        <v>1977</v>
      </c>
      <c r="AK1915" t="s">
        <v>4661</v>
      </c>
      <c r="AM1915" t="s">
        <v>4662</v>
      </c>
      <c r="AN1915" t="s">
        <v>114</v>
      </c>
      <c r="AO1915" t="s">
        <v>77</v>
      </c>
      <c r="AQ1915" t="s">
        <v>4663</v>
      </c>
      <c r="AR1915" t="s">
        <v>80</v>
      </c>
      <c r="AS1915">
        <v>701</v>
      </c>
      <c r="AT1915" t="s">
        <v>81</v>
      </c>
      <c r="AU1915">
        <v>-18.010000000000002</v>
      </c>
      <c r="AV1915">
        <v>-51.81</v>
      </c>
      <c r="AW1915" t="s">
        <v>82</v>
      </c>
      <c r="AX1915">
        <v>701</v>
      </c>
      <c r="AY1915" t="s">
        <v>81</v>
      </c>
      <c r="AZ1915">
        <v>-28.27</v>
      </c>
      <c r="BA1915">
        <v>-61.94</v>
      </c>
      <c r="BB1915" t="s">
        <v>83</v>
      </c>
    </row>
    <row r="1916" spans="1:54" x14ac:dyDescent="0.4">
      <c r="A1916">
        <v>1314298</v>
      </c>
      <c r="D1916" t="s">
        <v>54</v>
      </c>
      <c r="E1916" t="s">
        <v>297</v>
      </c>
      <c r="I1916" t="s">
        <v>57</v>
      </c>
      <c r="K1916" t="s">
        <v>141</v>
      </c>
      <c r="L1916" t="s">
        <v>4542</v>
      </c>
      <c r="M1916" t="s">
        <v>60</v>
      </c>
      <c r="O1916" t="s">
        <v>170</v>
      </c>
      <c r="P1916" t="s">
        <v>511</v>
      </c>
      <c r="Q1916" t="s">
        <v>1536</v>
      </c>
      <c r="R1916" t="s">
        <v>512</v>
      </c>
      <c r="S1916" t="s">
        <v>123</v>
      </c>
      <c r="T1916">
        <v>259.51</v>
      </c>
      <c r="U1916">
        <v>251.90199999999999</v>
      </c>
      <c r="V1916">
        <f t="shared" si="58"/>
        <v>255.70599999999999</v>
      </c>
      <c r="W1916">
        <f t="shared" si="59"/>
        <v>7.6080000000000041</v>
      </c>
      <c r="X1916">
        <v>24.215554999999998</v>
      </c>
      <c r="Y1916">
        <v>-32.043331000000002</v>
      </c>
      <c r="Z1916" t="s">
        <v>124</v>
      </c>
      <c r="AA1916" t="s">
        <v>106</v>
      </c>
      <c r="AB1916" t="s">
        <v>107</v>
      </c>
      <c r="AC1916" t="s">
        <v>1641</v>
      </c>
      <c r="AD1916" t="s">
        <v>1603</v>
      </c>
      <c r="AE1916" t="s">
        <v>110</v>
      </c>
      <c r="AG1916" t="s">
        <v>1646</v>
      </c>
      <c r="AH1916" t="s">
        <v>72</v>
      </c>
      <c r="AI1916" t="s">
        <v>3650</v>
      </c>
      <c r="AJ1916">
        <v>1977</v>
      </c>
      <c r="AK1916" t="s">
        <v>4664</v>
      </c>
      <c r="AM1916" t="s">
        <v>4665</v>
      </c>
      <c r="AN1916" t="s">
        <v>114</v>
      </c>
      <c r="AO1916" t="s">
        <v>77</v>
      </c>
      <c r="AP1916" t="s">
        <v>115</v>
      </c>
      <c r="AQ1916" t="s">
        <v>4666</v>
      </c>
      <c r="AR1916" t="s">
        <v>80</v>
      </c>
      <c r="AS1916">
        <v>701</v>
      </c>
      <c r="AT1916" t="s">
        <v>81</v>
      </c>
      <c r="AU1916">
        <v>-18.46</v>
      </c>
      <c r="AV1916">
        <v>-51.6</v>
      </c>
      <c r="AW1916" t="s">
        <v>82</v>
      </c>
      <c r="AX1916">
        <v>701</v>
      </c>
      <c r="AY1916" t="s">
        <v>81</v>
      </c>
      <c r="AZ1916">
        <v>-28.79</v>
      </c>
      <c r="BA1916">
        <v>-61.69</v>
      </c>
      <c r="BB1916" t="s">
        <v>83</v>
      </c>
    </row>
    <row r="1917" spans="1:54" x14ac:dyDescent="0.4">
      <c r="A1917">
        <v>1316956</v>
      </c>
      <c r="D1917" t="s">
        <v>54</v>
      </c>
      <c r="E1917" t="s">
        <v>55</v>
      </c>
      <c r="I1917" t="s">
        <v>57</v>
      </c>
      <c r="K1917" t="s">
        <v>1600</v>
      </c>
      <c r="L1917" t="s">
        <v>2609</v>
      </c>
      <c r="M1917" t="s">
        <v>60</v>
      </c>
      <c r="P1917" t="s">
        <v>511</v>
      </c>
      <c r="Q1917" t="s">
        <v>1536</v>
      </c>
      <c r="R1917" t="s">
        <v>512</v>
      </c>
      <c r="S1917" t="s">
        <v>123</v>
      </c>
      <c r="T1917">
        <v>259.51</v>
      </c>
      <c r="U1917">
        <v>251.90199999999999</v>
      </c>
      <c r="V1917">
        <f t="shared" si="58"/>
        <v>255.70599999999999</v>
      </c>
      <c r="W1917">
        <f t="shared" si="59"/>
        <v>7.6080000000000041</v>
      </c>
      <c r="X1917">
        <v>24.288889000000001</v>
      </c>
      <c r="Y1917">
        <v>-32.053333000000002</v>
      </c>
      <c r="Z1917" t="s">
        <v>124</v>
      </c>
      <c r="AA1917" t="s">
        <v>106</v>
      </c>
      <c r="AB1917" t="s">
        <v>107</v>
      </c>
      <c r="AC1917" t="s">
        <v>1641</v>
      </c>
      <c r="AD1917" t="s">
        <v>1603</v>
      </c>
      <c r="AE1917" t="s">
        <v>110</v>
      </c>
      <c r="AG1917" t="s">
        <v>1632</v>
      </c>
      <c r="AH1917" t="s">
        <v>72</v>
      </c>
      <c r="AI1917" t="s">
        <v>3650</v>
      </c>
      <c r="AJ1917">
        <v>1977</v>
      </c>
      <c r="AK1917" t="s">
        <v>1642</v>
      </c>
      <c r="AM1917" t="s">
        <v>1643</v>
      </c>
      <c r="AN1917" t="s">
        <v>114</v>
      </c>
      <c r="AO1917" t="s">
        <v>77</v>
      </c>
      <c r="AP1917" t="s">
        <v>78</v>
      </c>
      <c r="AQ1917" t="s">
        <v>1644</v>
      </c>
      <c r="AR1917" t="s">
        <v>80</v>
      </c>
      <c r="AS1917">
        <v>701</v>
      </c>
      <c r="AT1917" t="s">
        <v>81</v>
      </c>
      <c r="AU1917">
        <v>-18.420000000000002</v>
      </c>
      <c r="AV1917">
        <v>-51.66</v>
      </c>
      <c r="AW1917" t="s">
        <v>82</v>
      </c>
      <c r="AX1917">
        <v>701</v>
      </c>
      <c r="AY1917" t="s">
        <v>81</v>
      </c>
      <c r="AZ1917">
        <v>-28.76</v>
      </c>
      <c r="BA1917">
        <v>-61.75</v>
      </c>
      <c r="BB1917" t="s">
        <v>83</v>
      </c>
    </row>
    <row r="1918" spans="1:54" x14ac:dyDescent="0.4">
      <c r="A1918">
        <v>1320596</v>
      </c>
      <c r="D1918" t="s">
        <v>54</v>
      </c>
      <c r="G1918">
        <v>1</v>
      </c>
      <c r="H1918" t="s">
        <v>56</v>
      </c>
      <c r="I1918" t="s">
        <v>57</v>
      </c>
      <c r="K1918" t="s">
        <v>141</v>
      </c>
      <c r="L1918" t="s">
        <v>4542</v>
      </c>
      <c r="M1918" t="s">
        <v>60</v>
      </c>
      <c r="O1918" t="s">
        <v>170</v>
      </c>
      <c r="P1918" t="s">
        <v>511</v>
      </c>
      <c r="Q1918" t="s">
        <v>1536</v>
      </c>
      <c r="R1918" t="s">
        <v>512</v>
      </c>
      <c r="S1918" t="s">
        <v>123</v>
      </c>
      <c r="T1918">
        <v>259.51</v>
      </c>
      <c r="U1918">
        <v>251.90199999999999</v>
      </c>
      <c r="V1918">
        <f t="shared" si="58"/>
        <v>255.70599999999999</v>
      </c>
      <c r="W1918">
        <f t="shared" si="59"/>
        <v>7.6080000000000041</v>
      </c>
      <c r="X1918">
        <v>25.416668000000001</v>
      </c>
      <c r="Y1918">
        <v>-32.5</v>
      </c>
      <c r="Z1918" t="s">
        <v>124</v>
      </c>
      <c r="AA1918" t="s">
        <v>106</v>
      </c>
      <c r="AB1918" t="s">
        <v>107</v>
      </c>
      <c r="AC1918" t="s">
        <v>4566</v>
      </c>
      <c r="AE1918" t="s">
        <v>110</v>
      </c>
      <c r="AG1918" t="s">
        <v>1646</v>
      </c>
      <c r="AH1918" t="s">
        <v>72</v>
      </c>
      <c r="AI1918" t="s">
        <v>111</v>
      </c>
      <c r="AJ1918">
        <v>1940</v>
      </c>
      <c r="AK1918" t="s">
        <v>4687</v>
      </c>
      <c r="AM1918" t="s">
        <v>4688</v>
      </c>
      <c r="AN1918" t="s">
        <v>114</v>
      </c>
      <c r="AO1918" t="s">
        <v>160</v>
      </c>
      <c r="AP1918" t="s">
        <v>78</v>
      </c>
      <c r="AQ1918" t="s">
        <v>4689</v>
      </c>
      <c r="AR1918" t="s">
        <v>80</v>
      </c>
      <c r="AS1918">
        <v>701</v>
      </c>
      <c r="AT1918" t="s">
        <v>81</v>
      </c>
      <c r="AU1918">
        <v>-18.28</v>
      </c>
      <c r="AV1918">
        <v>-52.71</v>
      </c>
      <c r="AW1918" t="s">
        <v>82</v>
      </c>
      <c r="AX1918">
        <v>701</v>
      </c>
      <c r="AY1918" t="s">
        <v>81</v>
      </c>
      <c r="AZ1918">
        <v>-28.85</v>
      </c>
      <c r="BA1918">
        <v>-62.8</v>
      </c>
      <c r="BB1918" t="s">
        <v>83</v>
      </c>
    </row>
    <row r="1919" spans="1:54" x14ac:dyDescent="0.4">
      <c r="A1919">
        <v>1338339</v>
      </c>
      <c r="D1919" t="s">
        <v>179</v>
      </c>
      <c r="I1919" t="s">
        <v>57</v>
      </c>
      <c r="K1919" t="s">
        <v>141</v>
      </c>
      <c r="L1919" t="s">
        <v>4542</v>
      </c>
      <c r="M1919" t="s">
        <v>60</v>
      </c>
      <c r="O1919" t="s">
        <v>170</v>
      </c>
      <c r="P1919" t="s">
        <v>511</v>
      </c>
      <c r="Q1919" t="s">
        <v>1536</v>
      </c>
      <c r="R1919" t="s">
        <v>512</v>
      </c>
      <c r="S1919" t="s">
        <v>123</v>
      </c>
      <c r="T1919">
        <v>259.51</v>
      </c>
      <c r="U1919">
        <v>251.90199999999999</v>
      </c>
      <c r="V1919">
        <f t="shared" si="58"/>
        <v>255.70599999999999</v>
      </c>
      <c r="W1919">
        <f t="shared" si="59"/>
        <v>7.6080000000000041</v>
      </c>
      <c r="X1919">
        <v>23.766666000000001</v>
      </c>
      <c r="Y1919">
        <v>-31.950001</v>
      </c>
      <c r="Z1919" t="s">
        <v>124</v>
      </c>
      <c r="AA1919" t="s">
        <v>106</v>
      </c>
      <c r="AB1919" t="s">
        <v>334</v>
      </c>
      <c r="AD1919" t="s">
        <v>1603</v>
      </c>
      <c r="AE1919" t="s">
        <v>110</v>
      </c>
      <c r="AG1919" t="s">
        <v>1632</v>
      </c>
      <c r="AH1919" t="s">
        <v>72</v>
      </c>
      <c r="AI1919" t="s">
        <v>3650</v>
      </c>
      <c r="AJ1919">
        <v>1977</v>
      </c>
      <c r="AK1919" t="s">
        <v>1634</v>
      </c>
      <c r="AM1919" t="s">
        <v>1635</v>
      </c>
      <c r="AN1919" t="s">
        <v>114</v>
      </c>
      <c r="AO1919" t="s">
        <v>160</v>
      </c>
      <c r="AP1919" t="s">
        <v>78</v>
      </c>
      <c r="AQ1919" t="s">
        <v>1636</v>
      </c>
      <c r="AR1919" t="s">
        <v>80</v>
      </c>
      <c r="AS1919">
        <v>701</v>
      </c>
      <c r="AT1919" t="s">
        <v>81</v>
      </c>
      <c r="AU1919">
        <v>-18.63</v>
      </c>
      <c r="AV1919">
        <v>-51.22</v>
      </c>
      <c r="AW1919" t="s">
        <v>82</v>
      </c>
      <c r="AX1919">
        <v>701</v>
      </c>
      <c r="AY1919" t="s">
        <v>81</v>
      </c>
      <c r="AZ1919">
        <v>-28.93</v>
      </c>
      <c r="BA1919">
        <v>-61.3</v>
      </c>
      <c r="BB1919" t="s">
        <v>83</v>
      </c>
    </row>
    <row r="1920" spans="1:54" x14ac:dyDescent="0.4">
      <c r="A1920">
        <v>1338350</v>
      </c>
      <c r="D1920" t="s">
        <v>54</v>
      </c>
      <c r="I1920" t="s">
        <v>57</v>
      </c>
      <c r="K1920" t="s">
        <v>141</v>
      </c>
      <c r="L1920" t="s">
        <v>4542</v>
      </c>
      <c r="M1920" t="s">
        <v>60</v>
      </c>
      <c r="O1920" t="s">
        <v>170</v>
      </c>
      <c r="P1920" t="s">
        <v>511</v>
      </c>
      <c r="Q1920" t="s">
        <v>1536</v>
      </c>
      <c r="R1920" t="s">
        <v>512</v>
      </c>
      <c r="S1920" t="s">
        <v>123</v>
      </c>
      <c r="T1920">
        <v>259.51</v>
      </c>
      <c r="U1920">
        <v>251.90199999999999</v>
      </c>
      <c r="V1920">
        <f t="shared" si="58"/>
        <v>255.70599999999999</v>
      </c>
      <c r="W1920">
        <f t="shared" si="59"/>
        <v>7.6080000000000041</v>
      </c>
      <c r="X1920">
        <v>24.166668000000001</v>
      </c>
      <c r="Y1920">
        <v>-32.049720999999998</v>
      </c>
      <c r="Z1920" t="s">
        <v>124</v>
      </c>
      <c r="AA1920" t="s">
        <v>106</v>
      </c>
      <c r="AB1920" t="s">
        <v>107</v>
      </c>
      <c r="AC1920" t="s">
        <v>4566</v>
      </c>
      <c r="AE1920" t="s">
        <v>110</v>
      </c>
      <c r="AG1920" t="s">
        <v>1646</v>
      </c>
      <c r="AH1920" t="s">
        <v>72</v>
      </c>
      <c r="AI1920" t="s">
        <v>3650</v>
      </c>
      <c r="AJ1920">
        <v>1977</v>
      </c>
      <c r="AK1920" t="s">
        <v>4735</v>
      </c>
      <c r="AM1920" t="s">
        <v>4736</v>
      </c>
      <c r="AN1920" t="s">
        <v>114</v>
      </c>
      <c r="AO1920" t="s">
        <v>77</v>
      </c>
      <c r="AQ1920" t="s">
        <v>4737</v>
      </c>
      <c r="AR1920" t="s">
        <v>80</v>
      </c>
      <c r="AS1920">
        <v>701</v>
      </c>
      <c r="AT1920" t="s">
        <v>81</v>
      </c>
      <c r="AU1920">
        <v>-18.5</v>
      </c>
      <c r="AV1920">
        <v>-51.56</v>
      </c>
      <c r="AW1920" t="s">
        <v>82</v>
      </c>
      <c r="AX1920">
        <v>701</v>
      </c>
      <c r="AY1920" t="s">
        <v>81</v>
      </c>
      <c r="AZ1920">
        <v>-28.84</v>
      </c>
      <c r="BA1920">
        <v>-61.65</v>
      </c>
      <c r="BB1920" t="s">
        <v>83</v>
      </c>
    </row>
    <row r="1921" spans="1:54" x14ac:dyDescent="0.4">
      <c r="A1921">
        <v>1338406</v>
      </c>
      <c r="D1921" t="s">
        <v>54</v>
      </c>
      <c r="E1921" t="s">
        <v>55</v>
      </c>
      <c r="F1921" t="s">
        <v>719</v>
      </c>
      <c r="I1921" t="s">
        <v>57</v>
      </c>
      <c r="K1921" t="s">
        <v>141</v>
      </c>
      <c r="L1921" t="s">
        <v>4542</v>
      </c>
      <c r="M1921" t="s">
        <v>60</v>
      </c>
      <c r="O1921" t="s">
        <v>170</v>
      </c>
      <c r="P1921" t="s">
        <v>511</v>
      </c>
      <c r="Q1921" t="s">
        <v>1536</v>
      </c>
      <c r="R1921" t="s">
        <v>512</v>
      </c>
      <c r="S1921" t="s">
        <v>123</v>
      </c>
      <c r="T1921">
        <v>259.51</v>
      </c>
      <c r="U1921">
        <v>251.90199999999999</v>
      </c>
      <c r="V1921">
        <f t="shared" si="58"/>
        <v>255.70599999999999</v>
      </c>
      <c r="W1921">
        <f t="shared" si="59"/>
        <v>7.6080000000000041</v>
      </c>
      <c r="X1921">
        <v>24.533611000000001</v>
      </c>
      <c r="Y1921">
        <v>-31.856112</v>
      </c>
      <c r="Z1921" t="s">
        <v>124</v>
      </c>
      <c r="AA1921" t="s">
        <v>106</v>
      </c>
      <c r="AB1921" t="s">
        <v>107</v>
      </c>
      <c r="AC1921" t="s">
        <v>4566</v>
      </c>
      <c r="AE1921" t="s">
        <v>110</v>
      </c>
      <c r="AG1921" t="s">
        <v>1646</v>
      </c>
      <c r="AH1921" t="s">
        <v>72</v>
      </c>
      <c r="AI1921" t="s">
        <v>3650</v>
      </c>
      <c r="AJ1921">
        <v>1977</v>
      </c>
      <c r="AK1921" t="s">
        <v>4738</v>
      </c>
      <c r="AM1921" t="s">
        <v>4739</v>
      </c>
      <c r="AN1921" t="s">
        <v>114</v>
      </c>
      <c r="AO1921" t="s">
        <v>77</v>
      </c>
      <c r="AQ1921" t="s">
        <v>4740</v>
      </c>
      <c r="AR1921" t="s">
        <v>80</v>
      </c>
      <c r="AS1921">
        <v>701</v>
      </c>
      <c r="AT1921" t="s">
        <v>81</v>
      </c>
      <c r="AU1921">
        <v>-17.98</v>
      </c>
      <c r="AV1921">
        <v>-51.74</v>
      </c>
      <c r="AW1921" t="s">
        <v>82</v>
      </c>
      <c r="AX1921">
        <v>701</v>
      </c>
      <c r="AY1921" t="s">
        <v>81</v>
      </c>
      <c r="AZ1921">
        <v>-28.2</v>
      </c>
      <c r="BA1921">
        <v>-61.86</v>
      </c>
      <c r="BB1921" t="s">
        <v>83</v>
      </c>
    </row>
    <row r="1922" spans="1:54" x14ac:dyDescent="0.4">
      <c r="A1922">
        <v>1338904</v>
      </c>
      <c r="D1922" t="s">
        <v>54</v>
      </c>
      <c r="E1922" t="s">
        <v>152</v>
      </c>
      <c r="I1922" t="s">
        <v>57</v>
      </c>
      <c r="K1922" t="s">
        <v>1911</v>
      </c>
      <c r="L1922" t="s">
        <v>2179</v>
      </c>
      <c r="M1922" t="s">
        <v>60</v>
      </c>
      <c r="P1922" t="s">
        <v>511</v>
      </c>
      <c r="Q1922" t="s">
        <v>1536</v>
      </c>
      <c r="R1922" t="s">
        <v>512</v>
      </c>
      <c r="S1922" t="s">
        <v>123</v>
      </c>
      <c r="T1922">
        <v>259.51</v>
      </c>
      <c r="U1922">
        <v>251.90199999999999</v>
      </c>
      <c r="V1922">
        <f t="shared" si="58"/>
        <v>255.70599999999999</v>
      </c>
      <c r="W1922">
        <f t="shared" si="59"/>
        <v>7.6080000000000041</v>
      </c>
      <c r="X1922">
        <v>24.549999</v>
      </c>
      <c r="Y1922">
        <v>-31.866667</v>
      </c>
      <c r="Z1922" t="s">
        <v>124</v>
      </c>
      <c r="AA1922" t="s">
        <v>106</v>
      </c>
      <c r="AB1922" t="s">
        <v>107</v>
      </c>
      <c r="AC1922" t="s">
        <v>1641</v>
      </c>
      <c r="AD1922" t="s">
        <v>1603</v>
      </c>
      <c r="AE1922" t="s">
        <v>110</v>
      </c>
      <c r="AG1922" t="s">
        <v>1658</v>
      </c>
      <c r="AH1922" t="s">
        <v>72</v>
      </c>
      <c r="AI1922" t="s">
        <v>3650</v>
      </c>
      <c r="AJ1922">
        <v>1977</v>
      </c>
      <c r="AK1922" t="s">
        <v>1659</v>
      </c>
      <c r="AM1922" t="s">
        <v>1660</v>
      </c>
      <c r="AN1922" t="s">
        <v>114</v>
      </c>
      <c r="AO1922" t="s">
        <v>160</v>
      </c>
      <c r="AP1922" t="s">
        <v>78</v>
      </c>
      <c r="AQ1922" t="s">
        <v>1661</v>
      </c>
      <c r="AR1922" t="s">
        <v>80</v>
      </c>
      <c r="AS1922">
        <v>701</v>
      </c>
      <c r="AT1922" t="s">
        <v>81</v>
      </c>
      <c r="AU1922">
        <v>-17.98</v>
      </c>
      <c r="AV1922">
        <v>-51.75</v>
      </c>
      <c r="AW1922" t="s">
        <v>82</v>
      </c>
      <c r="AX1922">
        <v>701</v>
      </c>
      <c r="AY1922" t="s">
        <v>81</v>
      </c>
      <c r="AZ1922">
        <v>-28.21</v>
      </c>
      <c r="BA1922">
        <v>-61.88</v>
      </c>
      <c r="BB1922" t="s">
        <v>83</v>
      </c>
    </row>
    <row r="1923" spans="1:54" x14ac:dyDescent="0.4">
      <c r="A1923">
        <v>1406770</v>
      </c>
      <c r="D1923" t="s">
        <v>54</v>
      </c>
      <c r="G1923">
        <v>1</v>
      </c>
      <c r="H1923" t="s">
        <v>56</v>
      </c>
      <c r="I1923" t="s">
        <v>57</v>
      </c>
      <c r="K1923" t="s">
        <v>2060</v>
      </c>
      <c r="L1923" t="s">
        <v>2568</v>
      </c>
      <c r="M1923" t="s">
        <v>60</v>
      </c>
      <c r="O1923" t="s">
        <v>170</v>
      </c>
      <c r="P1923" t="s">
        <v>511</v>
      </c>
      <c r="Q1923" t="s">
        <v>1536</v>
      </c>
      <c r="R1923" t="s">
        <v>512</v>
      </c>
      <c r="S1923" t="s">
        <v>123</v>
      </c>
      <c r="T1923">
        <v>259.51</v>
      </c>
      <c r="U1923">
        <v>251.90199999999999</v>
      </c>
      <c r="V1923">
        <f t="shared" ref="V1923:V1986" si="60">(T1923+U1923)/2</f>
        <v>255.70599999999999</v>
      </c>
      <c r="W1923">
        <f t="shared" ref="W1923:W1986" si="61">T1923-U1923</f>
        <v>7.6080000000000041</v>
      </c>
      <c r="X1923">
        <v>110.42028000000001</v>
      </c>
      <c r="Y1923">
        <v>40.660831000000002</v>
      </c>
      <c r="Z1923" t="s">
        <v>124</v>
      </c>
      <c r="AA1923" t="s">
        <v>379</v>
      </c>
      <c r="AB1923" t="s">
        <v>380</v>
      </c>
      <c r="AD1923" t="s">
        <v>3986</v>
      </c>
      <c r="AF1923" t="s">
        <v>3374</v>
      </c>
      <c r="AH1923" t="s">
        <v>72</v>
      </c>
      <c r="AI1923" t="s">
        <v>4948</v>
      </c>
      <c r="AJ1923">
        <v>2018</v>
      </c>
      <c r="AK1923" t="s">
        <v>4949</v>
      </c>
      <c r="AN1923" t="s">
        <v>192</v>
      </c>
      <c r="AO1923" t="s">
        <v>77</v>
      </c>
      <c r="AP1923" t="s">
        <v>115</v>
      </c>
      <c r="AQ1923" t="s">
        <v>4950</v>
      </c>
      <c r="AR1923" t="s">
        <v>80</v>
      </c>
      <c r="AS1923">
        <v>604</v>
      </c>
      <c r="AT1923" t="s">
        <v>81</v>
      </c>
      <c r="AU1923">
        <v>114.68</v>
      </c>
      <c r="AV1923">
        <v>13.88</v>
      </c>
      <c r="AW1923" t="s">
        <v>82</v>
      </c>
      <c r="AX1923">
        <v>604</v>
      </c>
      <c r="AY1923" t="s">
        <v>81</v>
      </c>
      <c r="AZ1923">
        <v>92.25</v>
      </c>
      <c r="BA1923">
        <v>32.75</v>
      </c>
      <c r="BB1923" t="s">
        <v>83</v>
      </c>
    </row>
    <row r="1924" spans="1:54" x14ac:dyDescent="0.4">
      <c r="A1924">
        <v>1418846</v>
      </c>
      <c r="D1924" t="s">
        <v>54</v>
      </c>
      <c r="I1924" t="s">
        <v>57</v>
      </c>
      <c r="K1924" t="s">
        <v>141</v>
      </c>
      <c r="L1924" t="s">
        <v>4574</v>
      </c>
      <c r="M1924" t="s">
        <v>60</v>
      </c>
      <c r="O1924" t="s">
        <v>170</v>
      </c>
      <c r="P1924" t="s">
        <v>511</v>
      </c>
      <c r="Q1924" t="s">
        <v>1536</v>
      </c>
      <c r="R1924" t="s">
        <v>512</v>
      </c>
      <c r="S1924" t="s">
        <v>123</v>
      </c>
      <c r="T1924">
        <v>259.51</v>
      </c>
      <c r="U1924">
        <v>251.90199999999999</v>
      </c>
      <c r="V1924">
        <f t="shared" si="60"/>
        <v>255.70599999999999</v>
      </c>
      <c r="W1924">
        <f t="shared" si="61"/>
        <v>7.6080000000000041</v>
      </c>
      <c r="X1924">
        <v>23.946667000000001</v>
      </c>
      <c r="Y1924">
        <v>-31.413333999999999</v>
      </c>
      <c r="Z1924" t="s">
        <v>124</v>
      </c>
      <c r="AA1924" t="s">
        <v>106</v>
      </c>
      <c r="AB1924" t="s">
        <v>575</v>
      </c>
      <c r="AE1924" t="s">
        <v>110</v>
      </c>
      <c r="AG1924" t="s">
        <v>5207</v>
      </c>
      <c r="AH1924" t="s">
        <v>72</v>
      </c>
      <c r="AI1924" t="s">
        <v>3716</v>
      </c>
      <c r="AJ1924">
        <v>1955</v>
      </c>
      <c r="AK1924" t="s">
        <v>5208</v>
      </c>
      <c r="AN1924" t="s">
        <v>114</v>
      </c>
      <c r="AO1924" t="s">
        <v>77</v>
      </c>
      <c r="AP1924" t="s">
        <v>78</v>
      </c>
      <c r="AQ1924" t="s">
        <v>5209</v>
      </c>
      <c r="AR1924" t="s">
        <v>80</v>
      </c>
      <c r="AS1924">
        <v>701</v>
      </c>
      <c r="AT1924" t="s">
        <v>81</v>
      </c>
      <c r="AU1924">
        <v>-17.77</v>
      </c>
      <c r="AV1924">
        <v>-51.08</v>
      </c>
      <c r="AW1924" t="s">
        <v>82</v>
      </c>
      <c r="AX1924">
        <v>701</v>
      </c>
      <c r="AY1924" t="s">
        <v>81</v>
      </c>
      <c r="AZ1924">
        <v>-27.78</v>
      </c>
      <c r="BA1924">
        <v>-61.23</v>
      </c>
      <c r="BB1924" t="s">
        <v>83</v>
      </c>
    </row>
    <row r="1925" spans="1:54" x14ac:dyDescent="0.4">
      <c r="A1925">
        <v>1605042</v>
      </c>
      <c r="D1925" t="s">
        <v>54</v>
      </c>
      <c r="E1925" t="s">
        <v>55</v>
      </c>
      <c r="F1925" t="s">
        <v>5615</v>
      </c>
      <c r="I1925" t="s">
        <v>57</v>
      </c>
      <c r="K1925" t="s">
        <v>275</v>
      </c>
      <c r="L1925" t="s">
        <v>1772</v>
      </c>
      <c r="M1925" t="s">
        <v>60</v>
      </c>
      <c r="N1925" t="s">
        <v>119</v>
      </c>
      <c r="O1925" t="s">
        <v>134</v>
      </c>
      <c r="P1925" t="s">
        <v>511</v>
      </c>
      <c r="Q1925" t="s">
        <v>1536</v>
      </c>
      <c r="R1925" t="s">
        <v>512</v>
      </c>
      <c r="S1925" t="s">
        <v>123</v>
      </c>
      <c r="T1925">
        <v>259.51</v>
      </c>
      <c r="U1925">
        <v>251.90199999999999</v>
      </c>
      <c r="V1925">
        <f t="shared" si="60"/>
        <v>255.70599999999999</v>
      </c>
      <c r="W1925">
        <f t="shared" si="61"/>
        <v>7.6080000000000041</v>
      </c>
      <c r="X1925">
        <v>7.664167</v>
      </c>
      <c r="Y1925">
        <v>18.34111</v>
      </c>
      <c r="Z1925" t="s">
        <v>124</v>
      </c>
      <c r="AA1925" t="s">
        <v>1773</v>
      </c>
      <c r="AB1925" t="s">
        <v>1774</v>
      </c>
      <c r="AD1925" t="s">
        <v>1776</v>
      </c>
      <c r="AE1925" t="s">
        <v>1777</v>
      </c>
      <c r="AH1925" t="s">
        <v>72</v>
      </c>
      <c r="AI1925" t="s">
        <v>1792</v>
      </c>
      <c r="AJ1925">
        <v>2022</v>
      </c>
      <c r="AK1925" t="s">
        <v>5616</v>
      </c>
      <c r="AN1925" t="s">
        <v>76</v>
      </c>
      <c r="AO1925" t="s">
        <v>77</v>
      </c>
      <c r="AR1925" t="s">
        <v>80</v>
      </c>
      <c r="AS1925">
        <v>714</v>
      </c>
      <c r="AT1925" t="s">
        <v>81</v>
      </c>
      <c r="AU1925">
        <v>6.57</v>
      </c>
      <c r="AV1925">
        <v>-21.5</v>
      </c>
      <c r="AW1925" t="s">
        <v>82</v>
      </c>
      <c r="AX1925">
        <v>714</v>
      </c>
      <c r="AY1925" t="s">
        <v>81</v>
      </c>
      <c r="AZ1925">
        <v>7.44</v>
      </c>
      <c r="BA1925">
        <v>-19.48</v>
      </c>
      <c r="BB1925" t="s">
        <v>83</v>
      </c>
    </row>
    <row r="1926" spans="1:54" x14ac:dyDescent="0.4">
      <c r="A1926" s="2" t="s">
        <v>6482</v>
      </c>
      <c r="B1926" s="2"/>
      <c r="C1926" s="2"/>
      <c r="D1926" s="2" t="s">
        <v>54</v>
      </c>
      <c r="E1926" s="2"/>
      <c r="F1926" s="2" t="s">
        <v>6483</v>
      </c>
      <c r="G1926" s="2">
        <v>1</v>
      </c>
      <c r="H1926" s="2" t="s">
        <v>5718</v>
      </c>
      <c r="I1926" s="3" t="s">
        <v>57</v>
      </c>
      <c r="J1926" s="3" t="s">
        <v>5911</v>
      </c>
      <c r="K1926" s="3" t="s">
        <v>275</v>
      </c>
      <c r="L1926" s="4" t="s">
        <v>6484</v>
      </c>
      <c r="M1926" s="3" t="s">
        <v>60</v>
      </c>
      <c r="N1926" s="4"/>
      <c r="O1926" s="4"/>
      <c r="P1926" s="3" t="s">
        <v>405</v>
      </c>
      <c r="Q1926" s="3"/>
      <c r="R1926" s="3" t="s">
        <v>238</v>
      </c>
      <c r="S1926" s="3" t="s">
        <v>123</v>
      </c>
      <c r="T1926">
        <v>274.39999999999998</v>
      </c>
      <c r="U1926">
        <v>266.89999999999998</v>
      </c>
      <c r="V1926">
        <f t="shared" si="60"/>
        <v>270.64999999999998</v>
      </c>
      <c r="W1926">
        <f t="shared" si="61"/>
        <v>7.5</v>
      </c>
      <c r="X1926" s="5" t="s">
        <v>6485</v>
      </c>
      <c r="Y1926" s="5" t="s">
        <v>6486</v>
      </c>
      <c r="Z1926" s="5"/>
      <c r="AA1926" s="3" t="s">
        <v>3881</v>
      </c>
      <c r="AB1926" s="3" t="s">
        <v>6487</v>
      </c>
      <c r="AC1926" s="3" t="s">
        <v>6488</v>
      </c>
      <c r="AD1926" s="3" t="s">
        <v>6489</v>
      </c>
      <c r="AE1926" s="3" t="s">
        <v>6490</v>
      </c>
      <c r="AF1926" s="3" t="s">
        <v>5720</v>
      </c>
      <c r="AG1926" s="4" t="s">
        <v>5720</v>
      </c>
      <c r="AH1926" s="4"/>
      <c r="AI1926" s="3" t="s">
        <v>6491</v>
      </c>
      <c r="AJ1926" s="3">
        <v>2023</v>
      </c>
      <c r="AK1926" s="5" t="s">
        <v>6492</v>
      </c>
      <c r="AL1926" s="9" t="s">
        <v>6493</v>
      </c>
      <c r="AM1926" s="5"/>
      <c r="AN1926" s="5"/>
      <c r="AO1926" s="3"/>
      <c r="AP1926" s="3"/>
      <c r="AQ1926" s="3"/>
      <c r="AR1926" s="3"/>
      <c r="AS1926" s="3"/>
      <c r="AT1926" s="3"/>
      <c r="AU1926" s="3"/>
      <c r="AV1926" s="3"/>
      <c r="AW1926" s="3"/>
      <c r="AX1926" s="3"/>
      <c r="AY1926" s="3"/>
      <c r="AZ1926" s="3"/>
      <c r="BA1926" s="3"/>
      <c r="BB1926" s="3"/>
    </row>
    <row r="1927" spans="1:54" x14ac:dyDescent="0.4">
      <c r="A1927" s="2" t="s">
        <v>6494</v>
      </c>
      <c r="B1927" s="2"/>
      <c r="C1927" s="2"/>
      <c r="D1927" s="2" t="s">
        <v>54</v>
      </c>
      <c r="E1927" s="2"/>
      <c r="F1927" s="2" t="s">
        <v>6495</v>
      </c>
      <c r="G1927" s="2">
        <v>1</v>
      </c>
      <c r="H1927" s="2" t="s">
        <v>5718</v>
      </c>
      <c r="I1927" s="3" t="s">
        <v>57</v>
      </c>
      <c r="J1927" s="3" t="s">
        <v>5911</v>
      </c>
      <c r="K1927" s="3" t="s">
        <v>275</v>
      </c>
      <c r="L1927" s="4" t="s">
        <v>6496</v>
      </c>
      <c r="M1927" s="3" t="s">
        <v>60</v>
      </c>
      <c r="N1927" s="4"/>
      <c r="O1927" s="4"/>
      <c r="P1927" s="3" t="s">
        <v>405</v>
      </c>
      <c r="Q1927" s="3"/>
      <c r="R1927" s="3" t="s">
        <v>238</v>
      </c>
      <c r="S1927" s="3" t="s">
        <v>123</v>
      </c>
      <c r="T1927">
        <v>274.39999999999998</v>
      </c>
      <c r="U1927">
        <v>266.89999999999998</v>
      </c>
      <c r="V1927">
        <f t="shared" si="60"/>
        <v>270.64999999999998</v>
      </c>
      <c r="W1927">
        <f t="shared" si="61"/>
        <v>7.5</v>
      </c>
      <c r="X1927" s="5" t="s">
        <v>6497</v>
      </c>
      <c r="Y1927" s="5" t="s">
        <v>6498</v>
      </c>
      <c r="Z1927" s="5"/>
      <c r="AA1927" s="3" t="s">
        <v>5871</v>
      </c>
      <c r="AB1927" s="3" t="s">
        <v>125</v>
      </c>
      <c r="AC1927" s="8" t="s">
        <v>439</v>
      </c>
      <c r="AD1927" s="3" t="s">
        <v>6499</v>
      </c>
      <c r="AE1927" s="3" t="s">
        <v>6500</v>
      </c>
      <c r="AF1927" s="3" t="s">
        <v>6501</v>
      </c>
      <c r="AG1927" s="4" t="s">
        <v>5720</v>
      </c>
      <c r="AH1927" s="4"/>
      <c r="AI1927" s="3" t="s">
        <v>411</v>
      </c>
      <c r="AJ1927" s="3">
        <v>1962</v>
      </c>
      <c r="AK1927" s="5" t="s">
        <v>5919</v>
      </c>
      <c r="AL1927" s="9" t="s">
        <v>6502</v>
      </c>
      <c r="AM1927" s="5"/>
      <c r="AN1927" s="5"/>
      <c r="AO1927" s="3"/>
      <c r="AP1927" s="3"/>
      <c r="AQ1927" s="3"/>
      <c r="AR1927" s="3"/>
      <c r="AS1927" s="3"/>
      <c r="AT1927" s="3"/>
      <c r="AU1927" s="3"/>
      <c r="AV1927" s="3"/>
      <c r="AW1927" s="3"/>
      <c r="AX1927" s="3"/>
      <c r="AY1927" s="3"/>
      <c r="AZ1927" s="3"/>
      <c r="BA1927" s="3"/>
      <c r="BB1927" s="3"/>
    </row>
    <row r="1928" spans="1:54" x14ac:dyDescent="0.4">
      <c r="A1928">
        <v>789995</v>
      </c>
      <c r="D1928" t="s">
        <v>54</v>
      </c>
      <c r="G1928">
        <v>2</v>
      </c>
      <c r="H1928" t="s">
        <v>84</v>
      </c>
      <c r="I1928" t="s">
        <v>57</v>
      </c>
      <c r="K1928" t="s">
        <v>1504</v>
      </c>
      <c r="L1928" t="s">
        <v>1882</v>
      </c>
      <c r="M1928" t="s">
        <v>60</v>
      </c>
      <c r="N1928" t="s">
        <v>61</v>
      </c>
      <c r="P1928" t="s">
        <v>333</v>
      </c>
      <c r="Q1928" t="s">
        <v>511</v>
      </c>
      <c r="R1928" t="s">
        <v>238</v>
      </c>
      <c r="S1928" t="s">
        <v>123</v>
      </c>
      <c r="T1928">
        <v>264.27999999999997</v>
      </c>
      <c r="U1928">
        <v>256.8</v>
      </c>
      <c r="V1928">
        <f t="shared" si="60"/>
        <v>260.53999999999996</v>
      </c>
      <c r="W1928">
        <f t="shared" si="61"/>
        <v>7.4799999999999613</v>
      </c>
      <c r="X1928">
        <v>56.290832999999999</v>
      </c>
      <c r="Y1928">
        <v>51.875832000000003</v>
      </c>
      <c r="Z1928" t="s">
        <v>1883</v>
      </c>
      <c r="AA1928" t="s">
        <v>239</v>
      </c>
      <c r="AB1928" t="s">
        <v>638</v>
      </c>
      <c r="AC1928" t="s">
        <v>1884</v>
      </c>
      <c r="AD1928" t="s">
        <v>1885</v>
      </c>
      <c r="AH1928" t="s">
        <v>72</v>
      </c>
      <c r="AI1928" t="s">
        <v>1886</v>
      </c>
      <c r="AJ1928">
        <v>2006</v>
      </c>
      <c r="AK1928" t="s">
        <v>1887</v>
      </c>
      <c r="AM1928" t="s">
        <v>1888</v>
      </c>
      <c r="AN1928" t="s">
        <v>114</v>
      </c>
      <c r="AO1928" t="s">
        <v>77</v>
      </c>
      <c r="AP1928" t="s">
        <v>115</v>
      </c>
      <c r="AQ1928" t="s">
        <v>1889</v>
      </c>
      <c r="AR1928" t="s">
        <v>80</v>
      </c>
      <c r="AS1928">
        <v>302</v>
      </c>
      <c r="AT1928" t="s">
        <v>81</v>
      </c>
      <c r="AU1928">
        <v>58.81</v>
      </c>
      <c r="AV1928">
        <v>34.68</v>
      </c>
      <c r="AW1928" t="s">
        <v>82</v>
      </c>
      <c r="AX1928">
        <v>301</v>
      </c>
      <c r="AY1928" t="s">
        <v>81</v>
      </c>
      <c r="AZ1928">
        <v>49.61</v>
      </c>
      <c r="BA1928">
        <v>30.06</v>
      </c>
      <c r="BB1928" t="s">
        <v>83</v>
      </c>
    </row>
    <row r="1929" spans="1:54" x14ac:dyDescent="0.4">
      <c r="A1929">
        <v>789996</v>
      </c>
      <c r="D1929" t="s">
        <v>54</v>
      </c>
      <c r="G1929">
        <v>2</v>
      </c>
      <c r="H1929" t="s">
        <v>84</v>
      </c>
      <c r="I1929" t="s">
        <v>57</v>
      </c>
      <c r="K1929" t="s">
        <v>1504</v>
      </c>
      <c r="L1929" t="s">
        <v>1882</v>
      </c>
      <c r="M1929" t="s">
        <v>60</v>
      </c>
      <c r="N1929" t="s">
        <v>61</v>
      </c>
      <c r="P1929" t="s">
        <v>333</v>
      </c>
      <c r="Q1929" t="s">
        <v>511</v>
      </c>
      <c r="R1929" t="s">
        <v>238</v>
      </c>
      <c r="S1929" t="s">
        <v>123</v>
      </c>
      <c r="T1929">
        <v>264.27999999999997</v>
      </c>
      <c r="U1929">
        <v>256.8</v>
      </c>
      <c r="V1929">
        <f t="shared" si="60"/>
        <v>260.53999999999996</v>
      </c>
      <c r="W1929">
        <f t="shared" si="61"/>
        <v>7.4799999999999613</v>
      </c>
      <c r="X1929">
        <v>56.290832999999999</v>
      </c>
      <c r="Y1929">
        <v>51.875832000000003</v>
      </c>
      <c r="Z1929" t="s">
        <v>1883</v>
      </c>
      <c r="AA1929" t="s">
        <v>239</v>
      </c>
      <c r="AB1929" t="s">
        <v>638</v>
      </c>
      <c r="AC1929" t="s">
        <v>1884</v>
      </c>
      <c r="AD1929" t="s">
        <v>1885</v>
      </c>
      <c r="AH1929" t="s">
        <v>72</v>
      </c>
      <c r="AI1929" t="s">
        <v>1886</v>
      </c>
      <c r="AJ1929">
        <v>2006</v>
      </c>
      <c r="AK1929" t="s">
        <v>1887</v>
      </c>
      <c r="AM1929" t="s">
        <v>1888</v>
      </c>
      <c r="AN1929" t="s">
        <v>114</v>
      </c>
      <c r="AO1929" t="s">
        <v>77</v>
      </c>
      <c r="AP1929" t="s">
        <v>115</v>
      </c>
      <c r="AQ1929" t="s">
        <v>1889</v>
      </c>
      <c r="AR1929" t="s">
        <v>80</v>
      </c>
      <c r="AS1929">
        <v>302</v>
      </c>
      <c r="AT1929" t="s">
        <v>81</v>
      </c>
      <c r="AU1929">
        <v>58.81</v>
      </c>
      <c r="AV1929">
        <v>34.68</v>
      </c>
      <c r="AW1929" t="s">
        <v>82</v>
      </c>
      <c r="AX1929">
        <v>301</v>
      </c>
      <c r="AY1929" t="s">
        <v>81</v>
      </c>
      <c r="AZ1929">
        <v>49.61</v>
      </c>
      <c r="BA1929">
        <v>30.06</v>
      </c>
      <c r="BB1929" t="s">
        <v>83</v>
      </c>
    </row>
    <row r="1930" spans="1:54" x14ac:dyDescent="0.4">
      <c r="A1930">
        <v>837648</v>
      </c>
      <c r="D1930" t="s">
        <v>54</v>
      </c>
      <c r="G1930">
        <v>1</v>
      </c>
      <c r="H1930" t="s">
        <v>56</v>
      </c>
      <c r="I1930" t="s">
        <v>57</v>
      </c>
      <c r="K1930" t="s">
        <v>499</v>
      </c>
      <c r="L1930" t="s">
        <v>510</v>
      </c>
      <c r="M1930" t="s">
        <v>60</v>
      </c>
      <c r="O1930" t="s">
        <v>170</v>
      </c>
      <c r="P1930" t="s">
        <v>333</v>
      </c>
      <c r="Q1930" t="s">
        <v>511</v>
      </c>
      <c r="R1930" t="s">
        <v>238</v>
      </c>
      <c r="S1930" t="s">
        <v>123</v>
      </c>
      <c r="T1930">
        <v>264.27999999999997</v>
      </c>
      <c r="U1930">
        <v>256.8</v>
      </c>
      <c r="V1930">
        <f t="shared" si="60"/>
        <v>260.53999999999996</v>
      </c>
      <c r="W1930">
        <f t="shared" si="61"/>
        <v>7.4799999999999613</v>
      </c>
      <c r="X1930">
        <v>46.634998000000003</v>
      </c>
      <c r="Y1930">
        <v>61.191113000000001</v>
      </c>
      <c r="Z1930" t="s">
        <v>124</v>
      </c>
      <c r="AA1930" t="s">
        <v>239</v>
      </c>
      <c r="AB1930" t="s">
        <v>1586</v>
      </c>
      <c r="AC1930" t="s">
        <v>2688</v>
      </c>
      <c r="AD1930" t="s">
        <v>2689</v>
      </c>
      <c r="AG1930" t="s">
        <v>2690</v>
      </c>
      <c r="AH1930" t="s">
        <v>72</v>
      </c>
      <c r="AI1930" t="s">
        <v>400</v>
      </c>
      <c r="AJ1930">
        <v>2008</v>
      </c>
      <c r="AK1930" t="s">
        <v>2691</v>
      </c>
      <c r="AM1930" t="s">
        <v>2692</v>
      </c>
      <c r="AN1930" t="s">
        <v>114</v>
      </c>
      <c r="AO1930" t="s">
        <v>77</v>
      </c>
      <c r="AP1930" t="s">
        <v>78</v>
      </c>
      <c r="AQ1930" t="s">
        <v>2693</v>
      </c>
      <c r="AR1930" t="s">
        <v>80</v>
      </c>
      <c r="AS1930">
        <v>302</v>
      </c>
      <c r="AT1930" t="s">
        <v>81</v>
      </c>
      <c r="AU1930">
        <v>46.9</v>
      </c>
      <c r="AV1930">
        <v>39.659999999999997</v>
      </c>
      <c r="AW1930" t="s">
        <v>82</v>
      </c>
      <c r="AX1930">
        <v>301</v>
      </c>
      <c r="AY1930" t="s">
        <v>81</v>
      </c>
      <c r="AZ1930">
        <v>37.67</v>
      </c>
      <c r="BA1930">
        <v>33.479999999999997</v>
      </c>
      <c r="BB1930" t="s">
        <v>83</v>
      </c>
    </row>
    <row r="1931" spans="1:54" x14ac:dyDescent="0.4">
      <c r="A1931">
        <v>837649</v>
      </c>
      <c r="D1931" t="s">
        <v>54</v>
      </c>
      <c r="G1931">
        <v>1</v>
      </c>
      <c r="H1931" t="s">
        <v>56</v>
      </c>
      <c r="I1931" t="s">
        <v>57</v>
      </c>
      <c r="K1931" t="s">
        <v>499</v>
      </c>
      <c r="L1931" t="s">
        <v>510</v>
      </c>
      <c r="M1931" t="s">
        <v>60</v>
      </c>
      <c r="O1931" t="s">
        <v>170</v>
      </c>
      <c r="P1931" t="s">
        <v>333</v>
      </c>
      <c r="Q1931" t="s">
        <v>511</v>
      </c>
      <c r="R1931" t="s">
        <v>238</v>
      </c>
      <c r="S1931" t="s">
        <v>123</v>
      </c>
      <c r="T1931">
        <v>264.27999999999997</v>
      </c>
      <c r="U1931">
        <v>256.8</v>
      </c>
      <c r="V1931">
        <f t="shared" si="60"/>
        <v>260.53999999999996</v>
      </c>
      <c r="W1931">
        <f t="shared" si="61"/>
        <v>7.4799999999999613</v>
      </c>
      <c r="X1931">
        <v>46.634998000000003</v>
      </c>
      <c r="Y1931">
        <v>61.191113000000001</v>
      </c>
      <c r="Z1931" t="s">
        <v>124</v>
      </c>
      <c r="AA1931" t="s">
        <v>239</v>
      </c>
      <c r="AB1931" t="s">
        <v>1586</v>
      </c>
      <c r="AC1931" t="s">
        <v>2688</v>
      </c>
      <c r="AD1931" t="s">
        <v>2689</v>
      </c>
      <c r="AG1931" t="s">
        <v>2690</v>
      </c>
      <c r="AH1931" t="s">
        <v>72</v>
      </c>
      <c r="AI1931" t="s">
        <v>400</v>
      </c>
      <c r="AJ1931">
        <v>2008</v>
      </c>
      <c r="AK1931" t="s">
        <v>2691</v>
      </c>
      <c r="AM1931" t="s">
        <v>2692</v>
      </c>
      <c r="AN1931" t="s">
        <v>114</v>
      </c>
      <c r="AO1931" t="s">
        <v>77</v>
      </c>
      <c r="AP1931" t="s">
        <v>78</v>
      </c>
      <c r="AQ1931" t="s">
        <v>2693</v>
      </c>
      <c r="AR1931" t="s">
        <v>80</v>
      </c>
      <c r="AS1931">
        <v>302</v>
      </c>
      <c r="AT1931" t="s">
        <v>81</v>
      </c>
      <c r="AU1931">
        <v>46.9</v>
      </c>
      <c r="AV1931">
        <v>39.659999999999997</v>
      </c>
      <c r="AW1931" t="s">
        <v>82</v>
      </c>
      <c r="AX1931">
        <v>301</v>
      </c>
      <c r="AY1931" t="s">
        <v>81</v>
      </c>
      <c r="AZ1931">
        <v>37.67</v>
      </c>
      <c r="BA1931">
        <v>33.479999999999997</v>
      </c>
      <c r="BB1931" t="s">
        <v>83</v>
      </c>
    </row>
    <row r="1932" spans="1:54" x14ac:dyDescent="0.4">
      <c r="A1932">
        <v>837650</v>
      </c>
      <c r="D1932" t="s">
        <v>54</v>
      </c>
      <c r="G1932">
        <v>1</v>
      </c>
      <c r="H1932" t="s">
        <v>56</v>
      </c>
      <c r="I1932" t="s">
        <v>57</v>
      </c>
      <c r="K1932" t="s">
        <v>499</v>
      </c>
      <c r="L1932" t="s">
        <v>510</v>
      </c>
      <c r="M1932" t="s">
        <v>60</v>
      </c>
      <c r="O1932" t="s">
        <v>170</v>
      </c>
      <c r="P1932" t="s">
        <v>333</v>
      </c>
      <c r="Q1932" t="s">
        <v>511</v>
      </c>
      <c r="R1932" t="s">
        <v>238</v>
      </c>
      <c r="S1932" t="s">
        <v>123</v>
      </c>
      <c r="T1932">
        <v>264.27999999999997</v>
      </c>
      <c r="U1932">
        <v>256.8</v>
      </c>
      <c r="V1932">
        <f t="shared" si="60"/>
        <v>260.53999999999996</v>
      </c>
      <c r="W1932">
        <f t="shared" si="61"/>
        <v>7.4799999999999613</v>
      </c>
      <c r="X1932">
        <v>46.634998000000003</v>
      </c>
      <c r="Y1932">
        <v>61.191113000000001</v>
      </c>
      <c r="Z1932" t="s">
        <v>124</v>
      </c>
      <c r="AA1932" t="s">
        <v>239</v>
      </c>
      <c r="AB1932" t="s">
        <v>1586</v>
      </c>
      <c r="AC1932" t="s">
        <v>2688</v>
      </c>
      <c r="AD1932" t="s">
        <v>2689</v>
      </c>
      <c r="AG1932" t="s">
        <v>2690</v>
      </c>
      <c r="AH1932" t="s">
        <v>72</v>
      </c>
      <c r="AI1932" t="s">
        <v>400</v>
      </c>
      <c r="AJ1932">
        <v>2008</v>
      </c>
      <c r="AK1932" t="s">
        <v>2691</v>
      </c>
      <c r="AM1932" t="s">
        <v>2692</v>
      </c>
      <c r="AN1932" t="s">
        <v>114</v>
      </c>
      <c r="AO1932" t="s">
        <v>77</v>
      </c>
      <c r="AP1932" t="s">
        <v>78</v>
      </c>
      <c r="AQ1932" t="s">
        <v>2693</v>
      </c>
      <c r="AR1932" t="s">
        <v>80</v>
      </c>
      <c r="AS1932">
        <v>302</v>
      </c>
      <c r="AT1932" t="s">
        <v>81</v>
      </c>
      <c r="AU1932">
        <v>46.9</v>
      </c>
      <c r="AV1932">
        <v>39.659999999999997</v>
      </c>
      <c r="AW1932" t="s">
        <v>82</v>
      </c>
      <c r="AX1932">
        <v>301</v>
      </c>
      <c r="AY1932" t="s">
        <v>81</v>
      </c>
      <c r="AZ1932">
        <v>37.67</v>
      </c>
      <c r="BA1932">
        <v>33.479999999999997</v>
      </c>
      <c r="BB1932" t="s">
        <v>83</v>
      </c>
    </row>
    <row r="1933" spans="1:54" x14ac:dyDescent="0.4">
      <c r="A1933">
        <v>837651</v>
      </c>
      <c r="D1933" t="s">
        <v>54</v>
      </c>
      <c r="G1933">
        <v>1</v>
      </c>
      <c r="H1933" t="s">
        <v>56</v>
      </c>
      <c r="I1933" t="s">
        <v>57</v>
      </c>
      <c r="K1933" t="s">
        <v>499</v>
      </c>
      <c r="L1933" t="s">
        <v>510</v>
      </c>
      <c r="M1933" t="s">
        <v>60</v>
      </c>
      <c r="O1933" t="s">
        <v>170</v>
      </c>
      <c r="P1933" t="s">
        <v>333</v>
      </c>
      <c r="Q1933" t="s">
        <v>511</v>
      </c>
      <c r="R1933" t="s">
        <v>238</v>
      </c>
      <c r="S1933" t="s">
        <v>123</v>
      </c>
      <c r="T1933">
        <v>264.27999999999997</v>
      </c>
      <c r="U1933">
        <v>256.8</v>
      </c>
      <c r="V1933">
        <f t="shared" si="60"/>
        <v>260.53999999999996</v>
      </c>
      <c r="W1933">
        <f t="shared" si="61"/>
        <v>7.4799999999999613</v>
      </c>
      <c r="X1933">
        <v>46.634998000000003</v>
      </c>
      <c r="Y1933">
        <v>61.191113000000001</v>
      </c>
      <c r="Z1933" t="s">
        <v>124</v>
      </c>
      <c r="AA1933" t="s">
        <v>239</v>
      </c>
      <c r="AB1933" t="s">
        <v>1586</v>
      </c>
      <c r="AC1933" t="s">
        <v>2688</v>
      </c>
      <c r="AD1933" t="s">
        <v>2689</v>
      </c>
      <c r="AG1933" t="s">
        <v>2690</v>
      </c>
      <c r="AH1933" t="s">
        <v>72</v>
      </c>
      <c r="AI1933" t="s">
        <v>400</v>
      </c>
      <c r="AJ1933">
        <v>2008</v>
      </c>
      <c r="AK1933" t="s">
        <v>2691</v>
      </c>
      <c r="AM1933" t="s">
        <v>2692</v>
      </c>
      <c r="AN1933" t="s">
        <v>114</v>
      </c>
      <c r="AO1933" t="s">
        <v>77</v>
      </c>
      <c r="AP1933" t="s">
        <v>78</v>
      </c>
      <c r="AQ1933" t="s">
        <v>2693</v>
      </c>
      <c r="AR1933" t="s">
        <v>80</v>
      </c>
      <c r="AS1933">
        <v>302</v>
      </c>
      <c r="AT1933" t="s">
        <v>81</v>
      </c>
      <c r="AU1933">
        <v>46.9</v>
      </c>
      <c r="AV1933">
        <v>39.659999999999997</v>
      </c>
      <c r="AW1933" t="s">
        <v>82</v>
      </c>
      <c r="AX1933">
        <v>301</v>
      </c>
      <c r="AY1933" t="s">
        <v>81</v>
      </c>
      <c r="AZ1933">
        <v>37.67</v>
      </c>
      <c r="BA1933">
        <v>33.479999999999997</v>
      </c>
      <c r="BB1933" t="s">
        <v>83</v>
      </c>
    </row>
    <row r="1934" spans="1:54" x14ac:dyDescent="0.4">
      <c r="A1934">
        <v>837652</v>
      </c>
      <c r="D1934" t="s">
        <v>54</v>
      </c>
      <c r="G1934">
        <v>1</v>
      </c>
      <c r="H1934" t="s">
        <v>56</v>
      </c>
      <c r="I1934" t="s">
        <v>57</v>
      </c>
      <c r="K1934" t="s">
        <v>499</v>
      </c>
      <c r="L1934" t="s">
        <v>510</v>
      </c>
      <c r="M1934" t="s">
        <v>60</v>
      </c>
      <c r="O1934" t="s">
        <v>170</v>
      </c>
      <c r="P1934" t="s">
        <v>333</v>
      </c>
      <c r="Q1934" t="s">
        <v>511</v>
      </c>
      <c r="R1934" t="s">
        <v>238</v>
      </c>
      <c r="S1934" t="s">
        <v>123</v>
      </c>
      <c r="T1934">
        <v>264.27999999999997</v>
      </c>
      <c r="U1934">
        <v>256.8</v>
      </c>
      <c r="V1934">
        <f t="shared" si="60"/>
        <v>260.53999999999996</v>
      </c>
      <c r="W1934">
        <f t="shared" si="61"/>
        <v>7.4799999999999613</v>
      </c>
      <c r="X1934">
        <v>46.634998000000003</v>
      </c>
      <c r="Y1934">
        <v>61.191113000000001</v>
      </c>
      <c r="Z1934" t="s">
        <v>124</v>
      </c>
      <c r="AA1934" t="s">
        <v>239</v>
      </c>
      <c r="AB1934" t="s">
        <v>1586</v>
      </c>
      <c r="AC1934" t="s">
        <v>2688</v>
      </c>
      <c r="AD1934" t="s">
        <v>2689</v>
      </c>
      <c r="AG1934" t="s">
        <v>2690</v>
      </c>
      <c r="AH1934" t="s">
        <v>72</v>
      </c>
      <c r="AI1934" t="s">
        <v>400</v>
      </c>
      <c r="AJ1934">
        <v>2008</v>
      </c>
      <c r="AK1934" t="s">
        <v>2694</v>
      </c>
      <c r="AM1934" t="s">
        <v>2695</v>
      </c>
      <c r="AN1934" t="s">
        <v>114</v>
      </c>
      <c r="AO1934" t="s">
        <v>77</v>
      </c>
      <c r="AP1934" t="s">
        <v>115</v>
      </c>
      <c r="AQ1934" t="s">
        <v>2696</v>
      </c>
      <c r="AR1934" t="s">
        <v>80</v>
      </c>
      <c r="AS1934">
        <v>302</v>
      </c>
      <c r="AT1934" t="s">
        <v>81</v>
      </c>
      <c r="AU1934">
        <v>46.9</v>
      </c>
      <c r="AV1934">
        <v>39.659999999999997</v>
      </c>
      <c r="AW1934" t="s">
        <v>82</v>
      </c>
      <c r="AX1934">
        <v>301</v>
      </c>
      <c r="AY1934" t="s">
        <v>81</v>
      </c>
      <c r="AZ1934">
        <v>37.67</v>
      </c>
      <c r="BA1934">
        <v>33.479999999999997</v>
      </c>
      <c r="BB1934" t="s">
        <v>83</v>
      </c>
    </row>
    <row r="1935" spans="1:54" x14ac:dyDescent="0.4">
      <c r="A1935">
        <v>838080</v>
      </c>
      <c r="D1935" t="s">
        <v>54</v>
      </c>
      <c r="G1935">
        <v>1</v>
      </c>
      <c r="H1935" t="s">
        <v>56</v>
      </c>
      <c r="I1935" t="s">
        <v>57</v>
      </c>
      <c r="K1935" t="s">
        <v>499</v>
      </c>
      <c r="L1935" t="s">
        <v>510</v>
      </c>
      <c r="M1935" t="s">
        <v>60</v>
      </c>
      <c r="O1935" t="s">
        <v>170</v>
      </c>
      <c r="P1935" t="s">
        <v>333</v>
      </c>
      <c r="Q1935" t="s">
        <v>511</v>
      </c>
      <c r="R1935" t="s">
        <v>238</v>
      </c>
      <c r="S1935" t="s">
        <v>123</v>
      </c>
      <c r="T1935">
        <v>264.27999999999997</v>
      </c>
      <c r="U1935">
        <v>256.8</v>
      </c>
      <c r="V1935">
        <f t="shared" si="60"/>
        <v>260.53999999999996</v>
      </c>
      <c r="W1935">
        <f t="shared" si="61"/>
        <v>7.4799999999999613</v>
      </c>
      <c r="X1935">
        <v>46.634998000000003</v>
      </c>
      <c r="Y1935">
        <v>61.191113000000001</v>
      </c>
      <c r="Z1935" t="s">
        <v>124</v>
      </c>
      <c r="AA1935" t="s">
        <v>239</v>
      </c>
      <c r="AB1935" t="s">
        <v>1586</v>
      </c>
      <c r="AC1935" t="s">
        <v>2688</v>
      </c>
      <c r="AD1935" t="s">
        <v>2689</v>
      </c>
      <c r="AG1935" t="s">
        <v>2690</v>
      </c>
      <c r="AH1935" t="s">
        <v>72</v>
      </c>
      <c r="AI1935" t="s">
        <v>400</v>
      </c>
      <c r="AJ1935">
        <v>2008</v>
      </c>
      <c r="AK1935" t="s">
        <v>2691</v>
      </c>
      <c r="AM1935" t="s">
        <v>2692</v>
      </c>
      <c r="AN1935" t="s">
        <v>114</v>
      </c>
      <c r="AO1935" t="s">
        <v>77</v>
      </c>
      <c r="AP1935" t="s">
        <v>78</v>
      </c>
      <c r="AQ1935" t="s">
        <v>2693</v>
      </c>
      <c r="AR1935" t="s">
        <v>80</v>
      </c>
      <c r="AS1935">
        <v>302</v>
      </c>
      <c r="AT1935" t="s">
        <v>81</v>
      </c>
      <c r="AU1935">
        <v>46.9</v>
      </c>
      <c r="AV1935">
        <v>39.659999999999997</v>
      </c>
      <c r="AW1935" t="s">
        <v>82</v>
      </c>
      <c r="AX1935">
        <v>301</v>
      </c>
      <c r="AY1935" t="s">
        <v>81</v>
      </c>
      <c r="AZ1935">
        <v>37.67</v>
      </c>
      <c r="BA1935">
        <v>33.479999999999997</v>
      </c>
      <c r="BB1935" t="s">
        <v>83</v>
      </c>
    </row>
    <row r="1936" spans="1:54" x14ac:dyDescent="0.4">
      <c r="A1936">
        <v>838081</v>
      </c>
      <c r="D1936" t="s">
        <v>54</v>
      </c>
      <c r="G1936">
        <v>1</v>
      </c>
      <c r="H1936" t="s">
        <v>56</v>
      </c>
      <c r="I1936" t="s">
        <v>57</v>
      </c>
      <c r="K1936" t="s">
        <v>499</v>
      </c>
      <c r="L1936" t="s">
        <v>510</v>
      </c>
      <c r="M1936" t="s">
        <v>60</v>
      </c>
      <c r="O1936" t="s">
        <v>170</v>
      </c>
      <c r="P1936" t="s">
        <v>333</v>
      </c>
      <c r="Q1936" t="s">
        <v>511</v>
      </c>
      <c r="R1936" t="s">
        <v>238</v>
      </c>
      <c r="S1936" t="s">
        <v>123</v>
      </c>
      <c r="T1936">
        <v>264.27999999999997</v>
      </c>
      <c r="U1936">
        <v>256.8</v>
      </c>
      <c r="V1936">
        <f t="shared" si="60"/>
        <v>260.53999999999996</v>
      </c>
      <c r="W1936">
        <f t="shared" si="61"/>
        <v>7.4799999999999613</v>
      </c>
      <c r="X1936">
        <v>46.634998000000003</v>
      </c>
      <c r="Y1936">
        <v>61.191113000000001</v>
      </c>
      <c r="Z1936" t="s">
        <v>124</v>
      </c>
      <c r="AA1936" t="s">
        <v>239</v>
      </c>
      <c r="AB1936" t="s">
        <v>1586</v>
      </c>
      <c r="AC1936" t="s">
        <v>2688</v>
      </c>
      <c r="AD1936" t="s">
        <v>2689</v>
      </c>
      <c r="AG1936" t="s">
        <v>2690</v>
      </c>
      <c r="AH1936" t="s">
        <v>72</v>
      </c>
      <c r="AI1936" t="s">
        <v>400</v>
      </c>
      <c r="AJ1936">
        <v>2008</v>
      </c>
      <c r="AK1936" t="s">
        <v>2691</v>
      </c>
      <c r="AM1936" t="s">
        <v>2692</v>
      </c>
      <c r="AN1936" t="s">
        <v>114</v>
      </c>
      <c r="AO1936" t="s">
        <v>77</v>
      </c>
      <c r="AP1936" t="s">
        <v>78</v>
      </c>
      <c r="AQ1936" t="s">
        <v>2693</v>
      </c>
      <c r="AR1936" t="s">
        <v>80</v>
      </c>
      <c r="AS1936">
        <v>302</v>
      </c>
      <c r="AT1936" t="s">
        <v>81</v>
      </c>
      <c r="AU1936">
        <v>46.9</v>
      </c>
      <c r="AV1936">
        <v>39.659999999999997</v>
      </c>
      <c r="AW1936" t="s">
        <v>82</v>
      </c>
      <c r="AX1936">
        <v>301</v>
      </c>
      <c r="AY1936" t="s">
        <v>81</v>
      </c>
      <c r="AZ1936">
        <v>37.67</v>
      </c>
      <c r="BA1936">
        <v>33.479999999999997</v>
      </c>
      <c r="BB1936" t="s">
        <v>83</v>
      </c>
    </row>
    <row r="1937" spans="1:54" x14ac:dyDescent="0.4">
      <c r="A1937">
        <v>838081</v>
      </c>
      <c r="D1937" t="s">
        <v>54</v>
      </c>
      <c r="G1937">
        <v>1</v>
      </c>
      <c r="H1937" t="s">
        <v>56</v>
      </c>
      <c r="I1937" t="s">
        <v>57</v>
      </c>
      <c r="K1937" t="s">
        <v>499</v>
      </c>
      <c r="L1937" t="s">
        <v>510</v>
      </c>
      <c r="M1937" t="s">
        <v>60</v>
      </c>
      <c r="O1937" t="s">
        <v>170</v>
      </c>
      <c r="P1937" t="s">
        <v>333</v>
      </c>
      <c r="Q1937" t="s">
        <v>511</v>
      </c>
      <c r="R1937" t="s">
        <v>238</v>
      </c>
      <c r="S1937" t="s">
        <v>123</v>
      </c>
      <c r="T1937">
        <v>264.27999999999997</v>
      </c>
      <c r="U1937">
        <v>256.8</v>
      </c>
      <c r="V1937">
        <f t="shared" si="60"/>
        <v>260.53999999999996</v>
      </c>
      <c r="W1937">
        <f t="shared" si="61"/>
        <v>7.4799999999999613</v>
      </c>
      <c r="X1937">
        <v>46.634998000000003</v>
      </c>
      <c r="Y1937">
        <v>61.191113000000001</v>
      </c>
      <c r="Z1937" t="s">
        <v>124</v>
      </c>
      <c r="AA1937" t="s">
        <v>239</v>
      </c>
      <c r="AB1937" t="s">
        <v>1586</v>
      </c>
      <c r="AC1937" t="s">
        <v>2688</v>
      </c>
      <c r="AD1937" t="s">
        <v>2689</v>
      </c>
      <c r="AG1937" t="s">
        <v>2690</v>
      </c>
      <c r="AH1937" t="s">
        <v>72</v>
      </c>
      <c r="AI1937" t="s">
        <v>400</v>
      </c>
      <c r="AJ1937">
        <v>2008</v>
      </c>
      <c r="AK1937" t="s">
        <v>2691</v>
      </c>
      <c r="AM1937" t="s">
        <v>2692</v>
      </c>
      <c r="AN1937" t="s">
        <v>114</v>
      </c>
      <c r="AO1937" t="s">
        <v>77</v>
      </c>
      <c r="AP1937" t="s">
        <v>78</v>
      </c>
      <c r="AQ1937" t="s">
        <v>2693</v>
      </c>
      <c r="AR1937" t="s">
        <v>80</v>
      </c>
      <c r="AS1937">
        <v>302</v>
      </c>
      <c r="AT1937" t="s">
        <v>81</v>
      </c>
      <c r="AU1937">
        <v>46.9</v>
      </c>
      <c r="AV1937">
        <v>39.659999999999997</v>
      </c>
      <c r="AW1937" t="s">
        <v>82</v>
      </c>
      <c r="AX1937">
        <v>301</v>
      </c>
      <c r="AY1937" t="s">
        <v>81</v>
      </c>
      <c r="AZ1937">
        <v>37.67</v>
      </c>
      <c r="BA1937">
        <v>33.479999999999997</v>
      </c>
      <c r="BB1937" t="s">
        <v>83</v>
      </c>
    </row>
    <row r="1938" spans="1:54" x14ac:dyDescent="0.4">
      <c r="A1938">
        <v>838081</v>
      </c>
      <c r="D1938" t="s">
        <v>54</v>
      </c>
      <c r="G1938">
        <v>1</v>
      </c>
      <c r="H1938" t="s">
        <v>56</v>
      </c>
      <c r="I1938" t="s">
        <v>57</v>
      </c>
      <c r="K1938" t="s">
        <v>499</v>
      </c>
      <c r="L1938" t="s">
        <v>510</v>
      </c>
      <c r="M1938" t="s">
        <v>60</v>
      </c>
      <c r="O1938" t="s">
        <v>170</v>
      </c>
      <c r="P1938" t="s">
        <v>333</v>
      </c>
      <c r="Q1938" t="s">
        <v>511</v>
      </c>
      <c r="R1938" t="s">
        <v>238</v>
      </c>
      <c r="S1938" t="s">
        <v>123</v>
      </c>
      <c r="T1938">
        <v>264.27999999999997</v>
      </c>
      <c r="U1938">
        <v>256.8</v>
      </c>
      <c r="V1938">
        <f t="shared" si="60"/>
        <v>260.53999999999996</v>
      </c>
      <c r="W1938">
        <f t="shared" si="61"/>
        <v>7.4799999999999613</v>
      </c>
      <c r="X1938">
        <v>46.634998000000003</v>
      </c>
      <c r="Y1938">
        <v>61.191113000000001</v>
      </c>
      <c r="Z1938" t="s">
        <v>124</v>
      </c>
      <c r="AA1938" t="s">
        <v>239</v>
      </c>
      <c r="AB1938" t="s">
        <v>1586</v>
      </c>
      <c r="AC1938" t="s">
        <v>2688</v>
      </c>
      <c r="AD1938" t="s">
        <v>2689</v>
      </c>
      <c r="AG1938" t="s">
        <v>2690</v>
      </c>
      <c r="AH1938" t="s">
        <v>72</v>
      </c>
      <c r="AI1938" t="s">
        <v>400</v>
      </c>
      <c r="AJ1938">
        <v>2008</v>
      </c>
      <c r="AK1938" t="s">
        <v>2691</v>
      </c>
      <c r="AM1938" t="s">
        <v>2692</v>
      </c>
      <c r="AN1938" t="s">
        <v>114</v>
      </c>
      <c r="AO1938" t="s">
        <v>77</v>
      </c>
      <c r="AP1938" t="s">
        <v>78</v>
      </c>
      <c r="AQ1938" t="s">
        <v>2693</v>
      </c>
      <c r="AR1938" t="s">
        <v>80</v>
      </c>
      <c r="AS1938">
        <v>302</v>
      </c>
      <c r="AT1938" t="s">
        <v>81</v>
      </c>
      <c r="AU1938">
        <v>46.9</v>
      </c>
      <c r="AV1938">
        <v>39.659999999999997</v>
      </c>
      <c r="AW1938" t="s">
        <v>82</v>
      </c>
      <c r="AX1938">
        <v>301</v>
      </c>
      <c r="AY1938" t="s">
        <v>81</v>
      </c>
      <c r="AZ1938">
        <v>37.67</v>
      </c>
      <c r="BA1938">
        <v>33.479999999999997</v>
      </c>
      <c r="BB1938" t="s">
        <v>83</v>
      </c>
    </row>
    <row r="1939" spans="1:54" x14ac:dyDescent="0.4">
      <c r="A1939">
        <v>838081</v>
      </c>
      <c r="D1939" t="s">
        <v>54</v>
      </c>
      <c r="G1939">
        <v>1</v>
      </c>
      <c r="H1939" t="s">
        <v>56</v>
      </c>
      <c r="I1939" t="s">
        <v>57</v>
      </c>
      <c r="K1939" t="s">
        <v>499</v>
      </c>
      <c r="L1939" t="s">
        <v>510</v>
      </c>
      <c r="M1939" t="s">
        <v>60</v>
      </c>
      <c r="O1939" t="s">
        <v>170</v>
      </c>
      <c r="P1939" t="s">
        <v>333</v>
      </c>
      <c r="Q1939" t="s">
        <v>511</v>
      </c>
      <c r="R1939" t="s">
        <v>238</v>
      </c>
      <c r="S1939" t="s">
        <v>123</v>
      </c>
      <c r="T1939">
        <v>264.27999999999997</v>
      </c>
      <c r="U1939">
        <v>256.8</v>
      </c>
      <c r="V1939">
        <f t="shared" si="60"/>
        <v>260.53999999999996</v>
      </c>
      <c r="W1939">
        <f t="shared" si="61"/>
        <v>7.4799999999999613</v>
      </c>
      <c r="X1939">
        <v>46.634998000000003</v>
      </c>
      <c r="Y1939">
        <v>61.191113000000001</v>
      </c>
      <c r="Z1939" t="s">
        <v>124</v>
      </c>
      <c r="AA1939" t="s">
        <v>239</v>
      </c>
      <c r="AB1939" t="s">
        <v>1586</v>
      </c>
      <c r="AC1939" t="s">
        <v>2688</v>
      </c>
      <c r="AD1939" t="s">
        <v>2689</v>
      </c>
      <c r="AG1939" t="s">
        <v>2690</v>
      </c>
      <c r="AH1939" t="s">
        <v>72</v>
      </c>
      <c r="AI1939" t="s">
        <v>400</v>
      </c>
      <c r="AJ1939">
        <v>2008</v>
      </c>
      <c r="AK1939" t="s">
        <v>2691</v>
      </c>
      <c r="AM1939" t="s">
        <v>2692</v>
      </c>
      <c r="AN1939" t="s">
        <v>114</v>
      </c>
      <c r="AO1939" t="s">
        <v>77</v>
      </c>
      <c r="AP1939" t="s">
        <v>78</v>
      </c>
      <c r="AQ1939" t="s">
        <v>2693</v>
      </c>
      <c r="AR1939" t="s">
        <v>80</v>
      </c>
      <c r="AS1939">
        <v>302</v>
      </c>
      <c r="AT1939" t="s">
        <v>81</v>
      </c>
      <c r="AU1939">
        <v>46.9</v>
      </c>
      <c r="AV1939">
        <v>39.659999999999997</v>
      </c>
      <c r="AW1939" t="s">
        <v>82</v>
      </c>
      <c r="AX1939">
        <v>301</v>
      </c>
      <c r="AY1939" t="s">
        <v>81</v>
      </c>
      <c r="AZ1939">
        <v>37.67</v>
      </c>
      <c r="BA1939">
        <v>33.479999999999997</v>
      </c>
      <c r="BB1939" t="s">
        <v>83</v>
      </c>
    </row>
    <row r="1940" spans="1:54" x14ac:dyDescent="0.4">
      <c r="A1940">
        <v>838081</v>
      </c>
      <c r="D1940" t="s">
        <v>54</v>
      </c>
      <c r="G1940">
        <v>1</v>
      </c>
      <c r="H1940" t="s">
        <v>56</v>
      </c>
      <c r="I1940" t="s">
        <v>57</v>
      </c>
      <c r="K1940" t="s">
        <v>499</v>
      </c>
      <c r="L1940" t="s">
        <v>510</v>
      </c>
      <c r="M1940" t="s">
        <v>60</v>
      </c>
      <c r="O1940" t="s">
        <v>170</v>
      </c>
      <c r="P1940" t="s">
        <v>333</v>
      </c>
      <c r="Q1940" t="s">
        <v>511</v>
      </c>
      <c r="R1940" t="s">
        <v>238</v>
      </c>
      <c r="S1940" t="s">
        <v>123</v>
      </c>
      <c r="T1940">
        <v>264.27999999999997</v>
      </c>
      <c r="U1940">
        <v>256.8</v>
      </c>
      <c r="V1940">
        <f t="shared" si="60"/>
        <v>260.53999999999996</v>
      </c>
      <c r="W1940">
        <f t="shared" si="61"/>
        <v>7.4799999999999613</v>
      </c>
      <c r="X1940">
        <v>46.634998000000003</v>
      </c>
      <c r="Y1940">
        <v>61.191113000000001</v>
      </c>
      <c r="Z1940" t="s">
        <v>124</v>
      </c>
      <c r="AA1940" t="s">
        <v>239</v>
      </c>
      <c r="AB1940" t="s">
        <v>1586</v>
      </c>
      <c r="AC1940" t="s">
        <v>2688</v>
      </c>
      <c r="AD1940" t="s">
        <v>2689</v>
      </c>
      <c r="AG1940" t="s">
        <v>2690</v>
      </c>
      <c r="AH1940" t="s">
        <v>72</v>
      </c>
      <c r="AI1940" t="s">
        <v>400</v>
      </c>
      <c r="AJ1940">
        <v>2008</v>
      </c>
      <c r="AK1940" t="s">
        <v>2691</v>
      </c>
      <c r="AM1940" t="s">
        <v>2692</v>
      </c>
      <c r="AN1940" t="s">
        <v>114</v>
      </c>
      <c r="AO1940" t="s">
        <v>77</v>
      </c>
      <c r="AP1940" t="s">
        <v>78</v>
      </c>
      <c r="AQ1940" t="s">
        <v>2693</v>
      </c>
      <c r="AR1940" t="s">
        <v>80</v>
      </c>
      <c r="AS1940">
        <v>302</v>
      </c>
      <c r="AT1940" t="s">
        <v>81</v>
      </c>
      <c r="AU1940">
        <v>46.9</v>
      </c>
      <c r="AV1940">
        <v>39.659999999999997</v>
      </c>
      <c r="AW1940" t="s">
        <v>82</v>
      </c>
      <c r="AX1940">
        <v>301</v>
      </c>
      <c r="AY1940" t="s">
        <v>81</v>
      </c>
      <c r="AZ1940">
        <v>37.67</v>
      </c>
      <c r="BA1940">
        <v>33.479999999999997</v>
      </c>
      <c r="BB1940" t="s">
        <v>83</v>
      </c>
    </row>
    <row r="1941" spans="1:54" x14ac:dyDescent="0.4">
      <c r="A1941">
        <v>838081</v>
      </c>
      <c r="D1941" t="s">
        <v>54</v>
      </c>
      <c r="G1941">
        <v>1</v>
      </c>
      <c r="H1941" t="s">
        <v>56</v>
      </c>
      <c r="I1941" t="s">
        <v>57</v>
      </c>
      <c r="K1941" t="s">
        <v>499</v>
      </c>
      <c r="L1941" t="s">
        <v>510</v>
      </c>
      <c r="M1941" t="s">
        <v>60</v>
      </c>
      <c r="O1941" t="s">
        <v>170</v>
      </c>
      <c r="P1941" t="s">
        <v>333</v>
      </c>
      <c r="Q1941" t="s">
        <v>511</v>
      </c>
      <c r="R1941" t="s">
        <v>238</v>
      </c>
      <c r="S1941" t="s">
        <v>123</v>
      </c>
      <c r="T1941">
        <v>264.27999999999997</v>
      </c>
      <c r="U1941">
        <v>256.8</v>
      </c>
      <c r="V1941">
        <f t="shared" si="60"/>
        <v>260.53999999999996</v>
      </c>
      <c r="W1941">
        <f t="shared" si="61"/>
        <v>7.4799999999999613</v>
      </c>
      <c r="X1941">
        <v>46.634998000000003</v>
      </c>
      <c r="Y1941">
        <v>61.191113000000001</v>
      </c>
      <c r="Z1941" t="s">
        <v>124</v>
      </c>
      <c r="AA1941" t="s">
        <v>239</v>
      </c>
      <c r="AB1941" t="s">
        <v>1586</v>
      </c>
      <c r="AC1941" t="s">
        <v>2688</v>
      </c>
      <c r="AD1941" t="s">
        <v>2689</v>
      </c>
      <c r="AG1941" t="s">
        <v>2690</v>
      </c>
      <c r="AH1941" t="s">
        <v>72</v>
      </c>
      <c r="AI1941" t="s">
        <v>400</v>
      </c>
      <c r="AJ1941">
        <v>2008</v>
      </c>
      <c r="AK1941" t="s">
        <v>2691</v>
      </c>
      <c r="AM1941" t="s">
        <v>2692</v>
      </c>
      <c r="AN1941" t="s">
        <v>114</v>
      </c>
      <c r="AO1941" t="s">
        <v>77</v>
      </c>
      <c r="AP1941" t="s">
        <v>78</v>
      </c>
      <c r="AQ1941" t="s">
        <v>2693</v>
      </c>
      <c r="AR1941" t="s">
        <v>80</v>
      </c>
      <c r="AS1941">
        <v>302</v>
      </c>
      <c r="AT1941" t="s">
        <v>81</v>
      </c>
      <c r="AU1941">
        <v>46.9</v>
      </c>
      <c r="AV1941">
        <v>39.659999999999997</v>
      </c>
      <c r="AW1941" t="s">
        <v>82</v>
      </c>
      <c r="AX1941">
        <v>301</v>
      </c>
      <c r="AY1941" t="s">
        <v>81</v>
      </c>
      <c r="AZ1941">
        <v>37.67</v>
      </c>
      <c r="BA1941">
        <v>33.479999999999997</v>
      </c>
      <c r="BB1941" t="s">
        <v>83</v>
      </c>
    </row>
    <row r="1942" spans="1:54" x14ac:dyDescent="0.4">
      <c r="A1942">
        <v>838081</v>
      </c>
      <c r="D1942" t="s">
        <v>54</v>
      </c>
      <c r="G1942">
        <v>1</v>
      </c>
      <c r="H1942" t="s">
        <v>56</v>
      </c>
      <c r="I1942" t="s">
        <v>57</v>
      </c>
      <c r="K1942" t="s">
        <v>499</v>
      </c>
      <c r="L1942" t="s">
        <v>510</v>
      </c>
      <c r="M1942" t="s">
        <v>60</v>
      </c>
      <c r="O1942" t="s">
        <v>170</v>
      </c>
      <c r="P1942" t="s">
        <v>333</v>
      </c>
      <c r="Q1942" t="s">
        <v>511</v>
      </c>
      <c r="R1942" t="s">
        <v>238</v>
      </c>
      <c r="S1942" t="s">
        <v>123</v>
      </c>
      <c r="T1942">
        <v>264.27999999999997</v>
      </c>
      <c r="U1942">
        <v>256.8</v>
      </c>
      <c r="V1942">
        <f t="shared" si="60"/>
        <v>260.53999999999996</v>
      </c>
      <c r="W1942">
        <f t="shared" si="61"/>
        <v>7.4799999999999613</v>
      </c>
      <c r="X1942">
        <v>46.634998000000003</v>
      </c>
      <c r="Y1942">
        <v>61.191113000000001</v>
      </c>
      <c r="Z1942" t="s">
        <v>124</v>
      </c>
      <c r="AA1942" t="s">
        <v>239</v>
      </c>
      <c r="AB1942" t="s">
        <v>1586</v>
      </c>
      <c r="AC1942" t="s">
        <v>2688</v>
      </c>
      <c r="AD1942" t="s">
        <v>2689</v>
      </c>
      <c r="AG1942" t="s">
        <v>2690</v>
      </c>
      <c r="AH1942" t="s">
        <v>72</v>
      </c>
      <c r="AI1942" t="s">
        <v>400</v>
      </c>
      <c r="AJ1942">
        <v>2008</v>
      </c>
      <c r="AK1942" t="s">
        <v>2691</v>
      </c>
      <c r="AM1942" t="s">
        <v>2692</v>
      </c>
      <c r="AN1942" t="s">
        <v>114</v>
      </c>
      <c r="AO1942" t="s">
        <v>77</v>
      </c>
      <c r="AP1942" t="s">
        <v>78</v>
      </c>
      <c r="AQ1942" t="s">
        <v>2693</v>
      </c>
      <c r="AR1942" t="s">
        <v>80</v>
      </c>
      <c r="AS1942">
        <v>302</v>
      </c>
      <c r="AT1942" t="s">
        <v>81</v>
      </c>
      <c r="AU1942">
        <v>46.9</v>
      </c>
      <c r="AV1942">
        <v>39.659999999999997</v>
      </c>
      <c r="AW1942" t="s">
        <v>82</v>
      </c>
      <c r="AX1942">
        <v>301</v>
      </c>
      <c r="AY1942" t="s">
        <v>81</v>
      </c>
      <c r="AZ1942">
        <v>37.67</v>
      </c>
      <c r="BA1942">
        <v>33.479999999999997</v>
      </c>
      <c r="BB1942" t="s">
        <v>83</v>
      </c>
    </row>
    <row r="1943" spans="1:54" x14ac:dyDescent="0.4">
      <c r="A1943">
        <v>838081</v>
      </c>
      <c r="D1943" t="s">
        <v>54</v>
      </c>
      <c r="G1943">
        <v>1</v>
      </c>
      <c r="H1943" t="s">
        <v>56</v>
      </c>
      <c r="I1943" t="s">
        <v>57</v>
      </c>
      <c r="K1943" t="s">
        <v>499</v>
      </c>
      <c r="L1943" t="s">
        <v>510</v>
      </c>
      <c r="M1943" t="s">
        <v>60</v>
      </c>
      <c r="O1943" t="s">
        <v>170</v>
      </c>
      <c r="P1943" t="s">
        <v>333</v>
      </c>
      <c r="Q1943" t="s">
        <v>511</v>
      </c>
      <c r="R1943" t="s">
        <v>238</v>
      </c>
      <c r="S1943" t="s">
        <v>123</v>
      </c>
      <c r="T1943">
        <v>264.27999999999997</v>
      </c>
      <c r="U1943">
        <v>256.8</v>
      </c>
      <c r="V1943">
        <f t="shared" si="60"/>
        <v>260.53999999999996</v>
      </c>
      <c r="W1943">
        <f t="shared" si="61"/>
        <v>7.4799999999999613</v>
      </c>
      <c r="X1943">
        <v>46.634998000000003</v>
      </c>
      <c r="Y1943">
        <v>61.191113000000001</v>
      </c>
      <c r="Z1943" t="s">
        <v>124</v>
      </c>
      <c r="AA1943" t="s">
        <v>239</v>
      </c>
      <c r="AB1943" t="s">
        <v>1586</v>
      </c>
      <c r="AC1943" t="s">
        <v>2688</v>
      </c>
      <c r="AD1943" t="s">
        <v>2689</v>
      </c>
      <c r="AG1943" t="s">
        <v>2690</v>
      </c>
      <c r="AH1943" t="s">
        <v>72</v>
      </c>
      <c r="AI1943" t="s">
        <v>400</v>
      </c>
      <c r="AJ1943">
        <v>2008</v>
      </c>
      <c r="AK1943" t="s">
        <v>2691</v>
      </c>
      <c r="AM1943" t="s">
        <v>2692</v>
      </c>
      <c r="AN1943" t="s">
        <v>114</v>
      </c>
      <c r="AO1943" t="s">
        <v>77</v>
      </c>
      <c r="AP1943" t="s">
        <v>78</v>
      </c>
      <c r="AQ1943" t="s">
        <v>2693</v>
      </c>
      <c r="AR1943" t="s">
        <v>80</v>
      </c>
      <c r="AS1943">
        <v>302</v>
      </c>
      <c r="AT1943" t="s">
        <v>81</v>
      </c>
      <c r="AU1943">
        <v>46.9</v>
      </c>
      <c r="AV1943">
        <v>39.659999999999997</v>
      </c>
      <c r="AW1943" t="s">
        <v>82</v>
      </c>
      <c r="AX1943">
        <v>301</v>
      </c>
      <c r="AY1943" t="s">
        <v>81</v>
      </c>
      <c r="AZ1943">
        <v>37.67</v>
      </c>
      <c r="BA1943">
        <v>33.479999999999997</v>
      </c>
      <c r="BB1943" t="s">
        <v>83</v>
      </c>
    </row>
    <row r="1944" spans="1:54" x14ac:dyDescent="0.4">
      <c r="A1944">
        <v>838081</v>
      </c>
      <c r="D1944" t="s">
        <v>54</v>
      </c>
      <c r="G1944">
        <v>1</v>
      </c>
      <c r="H1944" t="s">
        <v>56</v>
      </c>
      <c r="I1944" t="s">
        <v>57</v>
      </c>
      <c r="K1944" t="s">
        <v>499</v>
      </c>
      <c r="L1944" t="s">
        <v>510</v>
      </c>
      <c r="M1944" t="s">
        <v>60</v>
      </c>
      <c r="O1944" t="s">
        <v>170</v>
      </c>
      <c r="P1944" t="s">
        <v>333</v>
      </c>
      <c r="Q1944" t="s">
        <v>511</v>
      </c>
      <c r="R1944" t="s">
        <v>238</v>
      </c>
      <c r="S1944" t="s">
        <v>123</v>
      </c>
      <c r="T1944">
        <v>264.27999999999997</v>
      </c>
      <c r="U1944">
        <v>256.8</v>
      </c>
      <c r="V1944">
        <f t="shared" si="60"/>
        <v>260.53999999999996</v>
      </c>
      <c r="W1944">
        <f t="shared" si="61"/>
        <v>7.4799999999999613</v>
      </c>
      <c r="X1944">
        <v>46.634998000000003</v>
      </c>
      <c r="Y1944">
        <v>61.191113000000001</v>
      </c>
      <c r="Z1944" t="s">
        <v>124</v>
      </c>
      <c r="AA1944" t="s">
        <v>239</v>
      </c>
      <c r="AB1944" t="s">
        <v>1586</v>
      </c>
      <c r="AC1944" t="s">
        <v>2688</v>
      </c>
      <c r="AD1944" t="s">
        <v>2689</v>
      </c>
      <c r="AG1944" t="s">
        <v>2690</v>
      </c>
      <c r="AH1944" t="s">
        <v>72</v>
      </c>
      <c r="AI1944" t="s">
        <v>400</v>
      </c>
      <c r="AJ1944">
        <v>2008</v>
      </c>
      <c r="AK1944" t="s">
        <v>2691</v>
      </c>
      <c r="AM1944" t="s">
        <v>2692</v>
      </c>
      <c r="AN1944" t="s">
        <v>114</v>
      </c>
      <c r="AO1944" t="s">
        <v>77</v>
      </c>
      <c r="AP1944" t="s">
        <v>78</v>
      </c>
      <c r="AQ1944" t="s">
        <v>2693</v>
      </c>
      <c r="AR1944" t="s">
        <v>80</v>
      </c>
      <c r="AS1944">
        <v>302</v>
      </c>
      <c r="AT1944" t="s">
        <v>81</v>
      </c>
      <c r="AU1944">
        <v>46.9</v>
      </c>
      <c r="AV1944">
        <v>39.659999999999997</v>
      </c>
      <c r="AW1944" t="s">
        <v>82</v>
      </c>
      <c r="AX1944">
        <v>301</v>
      </c>
      <c r="AY1944" t="s">
        <v>81</v>
      </c>
      <c r="AZ1944">
        <v>37.67</v>
      </c>
      <c r="BA1944">
        <v>33.479999999999997</v>
      </c>
      <c r="BB1944" t="s">
        <v>83</v>
      </c>
    </row>
    <row r="1945" spans="1:54" x14ac:dyDescent="0.4">
      <c r="A1945">
        <v>838082</v>
      </c>
      <c r="D1945" t="s">
        <v>54</v>
      </c>
      <c r="G1945">
        <v>1</v>
      </c>
      <c r="H1945" t="s">
        <v>421</v>
      </c>
      <c r="I1945" t="s">
        <v>57</v>
      </c>
      <c r="K1945" t="s">
        <v>2060</v>
      </c>
      <c r="L1945" t="s">
        <v>2061</v>
      </c>
      <c r="M1945" t="s">
        <v>60</v>
      </c>
      <c r="O1945" t="s">
        <v>170</v>
      </c>
      <c r="P1945" t="s">
        <v>333</v>
      </c>
      <c r="Q1945" t="s">
        <v>511</v>
      </c>
      <c r="R1945" t="s">
        <v>238</v>
      </c>
      <c r="S1945" t="s">
        <v>123</v>
      </c>
      <c r="T1945">
        <v>264.27999999999997</v>
      </c>
      <c r="U1945">
        <v>256.8</v>
      </c>
      <c r="V1945">
        <f t="shared" si="60"/>
        <v>260.53999999999996</v>
      </c>
      <c r="W1945">
        <f t="shared" si="61"/>
        <v>7.4799999999999613</v>
      </c>
      <c r="X1945">
        <v>43.108333999999999</v>
      </c>
      <c r="Y1945">
        <v>59.964443000000003</v>
      </c>
      <c r="Z1945" t="s">
        <v>124</v>
      </c>
      <c r="AA1945" t="s">
        <v>239</v>
      </c>
      <c r="AB1945" t="s">
        <v>2702</v>
      </c>
      <c r="AC1945" t="s">
        <v>2703</v>
      </c>
      <c r="AD1945" t="s">
        <v>2689</v>
      </c>
      <c r="AG1945" t="s">
        <v>2690</v>
      </c>
      <c r="AH1945" t="s">
        <v>72</v>
      </c>
      <c r="AI1945" t="s">
        <v>2062</v>
      </c>
      <c r="AJ1945">
        <v>2005</v>
      </c>
      <c r="AK1945" t="s">
        <v>2704</v>
      </c>
      <c r="AM1945" t="s">
        <v>2705</v>
      </c>
      <c r="AN1945" t="s">
        <v>114</v>
      </c>
      <c r="AO1945" t="s">
        <v>77</v>
      </c>
      <c r="AP1945" t="s">
        <v>115</v>
      </c>
      <c r="AQ1945" t="s">
        <v>2706</v>
      </c>
      <c r="AR1945" t="s">
        <v>80</v>
      </c>
      <c r="AS1945">
        <v>302</v>
      </c>
      <c r="AT1945" t="s">
        <v>81</v>
      </c>
      <c r="AU1945">
        <v>45.81</v>
      </c>
      <c r="AV1945">
        <v>37.72</v>
      </c>
      <c r="AW1945" t="s">
        <v>82</v>
      </c>
      <c r="AX1945">
        <v>301</v>
      </c>
      <c r="AY1945" t="s">
        <v>81</v>
      </c>
      <c r="AZ1945">
        <v>37</v>
      </c>
      <c r="BA1945">
        <v>31.44</v>
      </c>
      <c r="BB1945" t="s">
        <v>83</v>
      </c>
    </row>
    <row r="1946" spans="1:54" x14ac:dyDescent="0.4">
      <c r="A1946">
        <v>1381716</v>
      </c>
      <c r="D1946" t="s">
        <v>54</v>
      </c>
      <c r="I1946" t="s">
        <v>57</v>
      </c>
      <c r="K1946" t="s">
        <v>499</v>
      </c>
      <c r="L1946" t="s">
        <v>510</v>
      </c>
      <c r="M1946" t="s">
        <v>60</v>
      </c>
      <c r="O1946" t="s">
        <v>170</v>
      </c>
      <c r="P1946" t="s">
        <v>333</v>
      </c>
      <c r="Q1946" t="s">
        <v>511</v>
      </c>
      <c r="R1946" t="s">
        <v>238</v>
      </c>
      <c r="S1946" t="s">
        <v>123</v>
      </c>
      <c r="T1946">
        <v>264.27999999999997</v>
      </c>
      <c r="U1946">
        <v>256.8</v>
      </c>
      <c r="V1946">
        <f t="shared" si="60"/>
        <v>260.53999999999996</v>
      </c>
      <c r="W1946">
        <f t="shared" si="61"/>
        <v>7.4799999999999613</v>
      </c>
      <c r="X1946">
        <v>42.702221000000002</v>
      </c>
      <c r="Y1946">
        <v>56.202778000000002</v>
      </c>
      <c r="Z1946" t="s">
        <v>124</v>
      </c>
      <c r="AA1946" t="s">
        <v>239</v>
      </c>
      <c r="AB1946" t="s">
        <v>2054</v>
      </c>
      <c r="AC1946" t="s">
        <v>4859</v>
      </c>
      <c r="AG1946" t="s">
        <v>2690</v>
      </c>
      <c r="AH1946" t="s">
        <v>11</v>
      </c>
      <c r="AI1946" t="s">
        <v>400</v>
      </c>
      <c r="AJ1946">
        <v>2011</v>
      </c>
      <c r="AK1946" t="s">
        <v>4860</v>
      </c>
      <c r="AM1946" t="s">
        <v>4861</v>
      </c>
      <c r="AN1946" t="s">
        <v>114</v>
      </c>
      <c r="AO1946" t="s">
        <v>77</v>
      </c>
      <c r="AP1946" t="s">
        <v>78</v>
      </c>
      <c r="AQ1946" t="s">
        <v>4862</v>
      </c>
      <c r="AR1946" t="s">
        <v>80</v>
      </c>
      <c r="AS1946">
        <v>302</v>
      </c>
      <c r="AT1946" t="s">
        <v>81</v>
      </c>
      <c r="AU1946">
        <v>47.83</v>
      </c>
      <c r="AV1946">
        <v>34.32</v>
      </c>
      <c r="AW1946" t="s">
        <v>82</v>
      </c>
      <c r="AX1946">
        <v>301</v>
      </c>
      <c r="AY1946" t="s">
        <v>81</v>
      </c>
      <c r="AZ1946">
        <v>39.43</v>
      </c>
      <c r="BA1946">
        <v>28.31</v>
      </c>
      <c r="BB1946" t="s">
        <v>83</v>
      </c>
    </row>
    <row r="1947" spans="1:54" x14ac:dyDescent="0.4">
      <c r="A1947">
        <v>1382091</v>
      </c>
      <c r="D1947" t="s">
        <v>54</v>
      </c>
      <c r="I1947" t="s">
        <v>57</v>
      </c>
      <c r="K1947" t="s">
        <v>499</v>
      </c>
      <c r="L1947" t="s">
        <v>510</v>
      </c>
      <c r="M1947" t="s">
        <v>60</v>
      </c>
      <c r="O1947" t="s">
        <v>170</v>
      </c>
      <c r="P1947" t="s">
        <v>333</v>
      </c>
      <c r="Q1947" t="s">
        <v>511</v>
      </c>
      <c r="R1947" t="s">
        <v>238</v>
      </c>
      <c r="S1947" t="s">
        <v>123</v>
      </c>
      <c r="T1947">
        <v>264.27999999999997</v>
      </c>
      <c r="U1947">
        <v>256.8</v>
      </c>
      <c r="V1947">
        <f t="shared" si="60"/>
        <v>260.53999999999996</v>
      </c>
      <c r="W1947">
        <f t="shared" si="61"/>
        <v>7.4799999999999613</v>
      </c>
      <c r="X1947">
        <v>46.241390000000003</v>
      </c>
      <c r="Y1947">
        <v>60.745277000000002</v>
      </c>
      <c r="Z1947" t="s">
        <v>124</v>
      </c>
      <c r="AA1947" t="s">
        <v>239</v>
      </c>
      <c r="AB1947" t="s">
        <v>2702</v>
      </c>
      <c r="AC1947" t="s">
        <v>4863</v>
      </c>
      <c r="AG1947" t="s">
        <v>2690</v>
      </c>
      <c r="AH1947" t="s">
        <v>72</v>
      </c>
      <c r="AI1947" t="s">
        <v>400</v>
      </c>
      <c r="AJ1947">
        <v>2011</v>
      </c>
      <c r="AK1947" t="s">
        <v>4864</v>
      </c>
      <c r="AN1947" t="s">
        <v>192</v>
      </c>
      <c r="AO1947" t="s">
        <v>77</v>
      </c>
      <c r="AP1947" t="s">
        <v>78</v>
      </c>
      <c r="AR1947" t="s">
        <v>80</v>
      </c>
      <c r="AS1947">
        <v>302</v>
      </c>
      <c r="AT1947" t="s">
        <v>81</v>
      </c>
      <c r="AU1947">
        <v>47</v>
      </c>
      <c r="AV1947">
        <v>39.18</v>
      </c>
      <c r="AW1947" t="s">
        <v>82</v>
      </c>
      <c r="AX1947">
        <v>301</v>
      </c>
      <c r="AY1947" t="s">
        <v>81</v>
      </c>
      <c r="AZ1947">
        <v>37.840000000000003</v>
      </c>
      <c r="BA1947">
        <v>33.020000000000003</v>
      </c>
      <c r="BB1947" t="s">
        <v>83</v>
      </c>
    </row>
    <row r="1948" spans="1:54" x14ac:dyDescent="0.4">
      <c r="A1948">
        <v>1382836</v>
      </c>
      <c r="D1948" t="s">
        <v>54</v>
      </c>
      <c r="G1948">
        <v>1</v>
      </c>
      <c r="H1948" t="s">
        <v>84</v>
      </c>
      <c r="I1948" t="s">
        <v>57</v>
      </c>
      <c r="K1948" t="s">
        <v>1592</v>
      </c>
      <c r="L1948" t="s">
        <v>2048</v>
      </c>
      <c r="M1948" t="s">
        <v>60</v>
      </c>
      <c r="P1948" t="s">
        <v>333</v>
      </c>
      <c r="Q1948" t="s">
        <v>511</v>
      </c>
      <c r="R1948" t="s">
        <v>238</v>
      </c>
      <c r="S1948" t="s">
        <v>123</v>
      </c>
      <c r="T1948">
        <v>264.27999999999997</v>
      </c>
      <c r="U1948">
        <v>256.8</v>
      </c>
      <c r="V1948">
        <f t="shared" si="60"/>
        <v>260.53999999999996</v>
      </c>
      <c r="W1948">
        <f t="shared" si="61"/>
        <v>7.4799999999999613</v>
      </c>
      <c r="X1948">
        <v>53.158611000000001</v>
      </c>
      <c r="Y1948">
        <v>52.779998999999997</v>
      </c>
      <c r="Z1948" t="s">
        <v>124</v>
      </c>
      <c r="AA1948" t="s">
        <v>239</v>
      </c>
      <c r="AB1948" t="s">
        <v>638</v>
      </c>
      <c r="AD1948" t="s">
        <v>2068</v>
      </c>
      <c r="AG1948" t="s">
        <v>2690</v>
      </c>
      <c r="AH1948" t="s">
        <v>72</v>
      </c>
      <c r="AI1948" t="s">
        <v>400</v>
      </c>
      <c r="AJ1948">
        <v>2008</v>
      </c>
      <c r="AK1948" t="s">
        <v>4866</v>
      </c>
      <c r="AN1948" t="s">
        <v>192</v>
      </c>
      <c r="AO1948" t="s">
        <v>77</v>
      </c>
      <c r="AP1948" t="s">
        <v>78</v>
      </c>
      <c r="AQ1948" t="s">
        <v>4867</v>
      </c>
      <c r="AR1948" t="s">
        <v>80</v>
      </c>
      <c r="AS1948">
        <v>302</v>
      </c>
      <c r="AT1948" t="s">
        <v>81</v>
      </c>
      <c r="AU1948">
        <v>56.26</v>
      </c>
      <c r="AV1948">
        <v>34.409999999999997</v>
      </c>
      <c r="AW1948" t="s">
        <v>82</v>
      </c>
      <c r="AX1948">
        <v>301</v>
      </c>
      <c r="AY1948" t="s">
        <v>81</v>
      </c>
      <c r="AZ1948">
        <v>47.27</v>
      </c>
      <c r="BA1948">
        <v>29.46</v>
      </c>
      <c r="BB1948" t="s">
        <v>83</v>
      </c>
    </row>
    <row r="1949" spans="1:54" x14ac:dyDescent="0.4">
      <c r="A1949">
        <v>1382837</v>
      </c>
      <c r="D1949" t="s">
        <v>54</v>
      </c>
      <c r="G1949">
        <v>1</v>
      </c>
      <c r="H1949" t="s">
        <v>56</v>
      </c>
      <c r="I1949" t="s">
        <v>57</v>
      </c>
      <c r="K1949" t="s">
        <v>100</v>
      </c>
      <c r="L1949" t="s">
        <v>4868</v>
      </c>
      <c r="M1949" t="s">
        <v>60</v>
      </c>
      <c r="P1949" t="s">
        <v>333</v>
      </c>
      <c r="Q1949" t="s">
        <v>511</v>
      </c>
      <c r="R1949" t="s">
        <v>238</v>
      </c>
      <c r="S1949" t="s">
        <v>123</v>
      </c>
      <c r="T1949">
        <v>264.27999999999997</v>
      </c>
      <c r="U1949">
        <v>256.8</v>
      </c>
      <c r="V1949">
        <f t="shared" si="60"/>
        <v>260.53999999999996</v>
      </c>
      <c r="W1949">
        <f t="shared" si="61"/>
        <v>7.4799999999999613</v>
      </c>
      <c r="X1949">
        <v>46.477778999999998</v>
      </c>
      <c r="Y1949">
        <v>60.926665999999997</v>
      </c>
      <c r="Z1949" t="s">
        <v>124</v>
      </c>
      <c r="AA1949" t="s">
        <v>239</v>
      </c>
      <c r="AD1949" t="s">
        <v>4869</v>
      </c>
      <c r="AG1949" t="s">
        <v>2690</v>
      </c>
      <c r="AH1949" t="s">
        <v>72</v>
      </c>
      <c r="AI1949" t="s">
        <v>4870</v>
      </c>
      <c r="AJ1949">
        <v>2009</v>
      </c>
      <c r="AK1949" t="s">
        <v>2689</v>
      </c>
      <c r="AN1949" t="s">
        <v>192</v>
      </c>
      <c r="AO1949" t="s">
        <v>77</v>
      </c>
      <c r="AP1949" t="s">
        <v>78</v>
      </c>
      <c r="AR1949" t="s">
        <v>80</v>
      </c>
      <c r="AS1949">
        <v>302</v>
      </c>
      <c r="AT1949" t="s">
        <v>81</v>
      </c>
      <c r="AU1949">
        <v>47</v>
      </c>
      <c r="AV1949">
        <v>39.39</v>
      </c>
      <c r="AW1949" t="s">
        <v>82</v>
      </c>
      <c r="AX1949">
        <v>301</v>
      </c>
      <c r="AY1949" t="s">
        <v>81</v>
      </c>
      <c r="AZ1949">
        <v>37.799999999999997</v>
      </c>
      <c r="BA1949">
        <v>33.229999999999997</v>
      </c>
      <c r="BB1949" t="s">
        <v>83</v>
      </c>
    </row>
    <row r="1950" spans="1:54" x14ac:dyDescent="0.4">
      <c r="A1950">
        <v>1417264</v>
      </c>
      <c r="D1950" t="s">
        <v>54</v>
      </c>
      <c r="I1950" t="s">
        <v>57</v>
      </c>
      <c r="K1950" t="s">
        <v>499</v>
      </c>
      <c r="L1950" t="s">
        <v>510</v>
      </c>
      <c r="M1950" t="s">
        <v>60</v>
      </c>
      <c r="O1950" t="s">
        <v>170</v>
      </c>
      <c r="P1950" t="s">
        <v>333</v>
      </c>
      <c r="Q1950" t="s">
        <v>511</v>
      </c>
      <c r="R1950" t="s">
        <v>238</v>
      </c>
      <c r="S1950" t="s">
        <v>123</v>
      </c>
      <c r="T1950">
        <v>264.27999999999997</v>
      </c>
      <c r="U1950">
        <v>256.8</v>
      </c>
      <c r="V1950">
        <f t="shared" si="60"/>
        <v>260.53999999999996</v>
      </c>
      <c r="W1950">
        <f t="shared" si="61"/>
        <v>7.4799999999999613</v>
      </c>
      <c r="X1950">
        <v>55</v>
      </c>
      <c r="Y1950">
        <v>51.166668000000001</v>
      </c>
      <c r="Z1950" t="s">
        <v>124</v>
      </c>
      <c r="AA1950" t="s">
        <v>239</v>
      </c>
      <c r="AB1950" t="s">
        <v>638</v>
      </c>
      <c r="AC1950" t="s">
        <v>2791</v>
      </c>
      <c r="AG1950" t="s">
        <v>2690</v>
      </c>
      <c r="AH1950" t="s">
        <v>11</v>
      </c>
      <c r="AI1950" t="s">
        <v>1937</v>
      </c>
      <c r="AJ1950">
        <v>2005</v>
      </c>
      <c r="AK1950" t="s">
        <v>5135</v>
      </c>
      <c r="AM1950" t="s">
        <v>5136</v>
      </c>
      <c r="AN1950" t="s">
        <v>114</v>
      </c>
      <c r="AO1950" t="s">
        <v>160</v>
      </c>
      <c r="AP1950" t="s">
        <v>636</v>
      </c>
      <c r="AQ1950" t="s">
        <v>5137</v>
      </c>
      <c r="AR1950" t="s">
        <v>80</v>
      </c>
      <c r="AS1950">
        <v>302</v>
      </c>
      <c r="AT1950" t="s">
        <v>81</v>
      </c>
      <c r="AU1950">
        <v>58.46</v>
      </c>
      <c r="AV1950">
        <v>33.65</v>
      </c>
      <c r="AW1950" t="s">
        <v>82</v>
      </c>
      <c r="AX1950">
        <v>301</v>
      </c>
      <c r="AY1950" t="s">
        <v>81</v>
      </c>
      <c r="AZ1950">
        <v>49.47</v>
      </c>
      <c r="BA1950">
        <v>29</v>
      </c>
      <c r="BB1950" t="s">
        <v>83</v>
      </c>
    </row>
    <row r="1951" spans="1:54" x14ac:dyDescent="0.4">
      <c r="A1951">
        <v>733154</v>
      </c>
      <c r="D1951" t="s">
        <v>54</v>
      </c>
      <c r="G1951">
        <v>1</v>
      </c>
      <c r="H1951" t="s">
        <v>56</v>
      </c>
      <c r="I1951" t="s">
        <v>57</v>
      </c>
      <c r="K1951" t="s">
        <v>499</v>
      </c>
      <c r="L1951" t="s">
        <v>1521</v>
      </c>
      <c r="M1951" t="s">
        <v>60</v>
      </c>
      <c r="O1951" t="s">
        <v>170</v>
      </c>
      <c r="P1951" t="s">
        <v>237</v>
      </c>
      <c r="Q1951" t="s">
        <v>333</v>
      </c>
      <c r="R1951" t="s">
        <v>238</v>
      </c>
      <c r="S1951" t="s">
        <v>123</v>
      </c>
      <c r="T1951">
        <v>266.89999999999998</v>
      </c>
      <c r="U1951">
        <v>259.51</v>
      </c>
      <c r="V1951">
        <f t="shared" si="60"/>
        <v>263.20499999999998</v>
      </c>
      <c r="W1951">
        <f t="shared" si="61"/>
        <v>7.3899999999999864</v>
      </c>
      <c r="X1951">
        <v>-54.150002000000001</v>
      </c>
      <c r="Y1951">
        <v>-30.016666000000001</v>
      </c>
      <c r="Z1951" t="s">
        <v>184</v>
      </c>
      <c r="AA1951" t="s">
        <v>783</v>
      </c>
      <c r="AB1951" t="s">
        <v>784</v>
      </c>
      <c r="AC1951" t="s">
        <v>1522</v>
      </c>
      <c r="AD1951" t="s">
        <v>1523</v>
      </c>
      <c r="AE1951" t="s">
        <v>1524</v>
      </c>
      <c r="AF1951" t="s">
        <v>1525</v>
      </c>
      <c r="AH1951" t="s">
        <v>72</v>
      </c>
      <c r="AI1951" t="s">
        <v>1526</v>
      </c>
      <c r="AJ1951">
        <v>2003</v>
      </c>
      <c r="AK1951" t="s">
        <v>1527</v>
      </c>
      <c r="AM1951" t="s">
        <v>1528</v>
      </c>
      <c r="AN1951" t="s">
        <v>76</v>
      </c>
      <c r="AO1951" t="s">
        <v>160</v>
      </c>
      <c r="AP1951" t="s">
        <v>78</v>
      </c>
      <c r="AR1951" t="s">
        <v>80</v>
      </c>
      <c r="AS1951">
        <v>201</v>
      </c>
      <c r="AT1951" t="s">
        <v>81</v>
      </c>
      <c r="AU1951">
        <v>-24.87</v>
      </c>
      <c r="AV1951">
        <v>-40.200000000000003</v>
      </c>
      <c r="AW1951" t="s">
        <v>82</v>
      </c>
      <c r="AX1951">
        <v>202</v>
      </c>
      <c r="AY1951" t="s">
        <v>81</v>
      </c>
      <c r="AZ1951">
        <v>-28.66</v>
      </c>
      <c r="BA1951">
        <v>-45.6</v>
      </c>
      <c r="BB1951" t="s">
        <v>83</v>
      </c>
    </row>
    <row r="1952" spans="1:54" x14ac:dyDescent="0.4">
      <c r="A1952">
        <v>1381590</v>
      </c>
      <c r="D1952" t="s">
        <v>54</v>
      </c>
      <c r="E1952" t="s">
        <v>154</v>
      </c>
      <c r="G1952">
        <v>1</v>
      </c>
      <c r="H1952" t="s">
        <v>56</v>
      </c>
      <c r="I1952" t="s">
        <v>57</v>
      </c>
      <c r="K1952" t="s">
        <v>397</v>
      </c>
      <c r="L1952" t="s">
        <v>4853</v>
      </c>
      <c r="M1952" t="s">
        <v>60</v>
      </c>
      <c r="P1952" t="s">
        <v>237</v>
      </c>
      <c r="R1952" t="s">
        <v>238</v>
      </c>
      <c r="S1952" t="s">
        <v>123</v>
      </c>
      <c r="T1952">
        <v>266.89999999999998</v>
      </c>
      <c r="U1952">
        <v>264.27999999999997</v>
      </c>
      <c r="V1952">
        <f t="shared" si="60"/>
        <v>265.58999999999997</v>
      </c>
      <c r="W1952">
        <f t="shared" si="61"/>
        <v>2.6200000000000045</v>
      </c>
      <c r="X1952">
        <v>48.531387000000002</v>
      </c>
      <c r="Y1952">
        <v>55.148609</v>
      </c>
      <c r="Z1952" t="s">
        <v>105</v>
      </c>
      <c r="AA1952" t="s">
        <v>239</v>
      </c>
      <c r="AB1952" t="s">
        <v>513</v>
      </c>
      <c r="AC1952" t="s">
        <v>4854</v>
      </c>
      <c r="AG1952" t="s">
        <v>4855</v>
      </c>
      <c r="AH1952" t="s">
        <v>72</v>
      </c>
      <c r="AI1952" t="s">
        <v>400</v>
      </c>
      <c r="AJ1952">
        <v>2008</v>
      </c>
      <c r="AK1952" t="s">
        <v>4856</v>
      </c>
      <c r="AM1952" t="s">
        <v>4857</v>
      </c>
      <c r="AN1952" t="s">
        <v>114</v>
      </c>
      <c r="AO1952" t="s">
        <v>77</v>
      </c>
      <c r="AP1952" t="s">
        <v>78</v>
      </c>
      <c r="AQ1952" t="s">
        <v>4858</v>
      </c>
      <c r="AR1952" t="s">
        <v>80</v>
      </c>
      <c r="AS1952">
        <v>302</v>
      </c>
      <c r="AT1952" t="s">
        <v>81</v>
      </c>
      <c r="AU1952">
        <v>51.68</v>
      </c>
      <c r="AV1952">
        <v>34.35</v>
      </c>
      <c r="AW1952" t="s">
        <v>82</v>
      </c>
      <c r="AX1952">
        <v>301</v>
      </c>
      <c r="AY1952" t="s">
        <v>81</v>
      </c>
      <c r="AZ1952">
        <v>43.28</v>
      </c>
      <c r="BA1952">
        <v>29.28</v>
      </c>
      <c r="BB1952" t="s">
        <v>83</v>
      </c>
    </row>
    <row r="1953" spans="1:54" x14ac:dyDescent="0.4">
      <c r="A1953">
        <v>1382839</v>
      </c>
      <c r="D1953" t="s">
        <v>54</v>
      </c>
      <c r="E1953" t="s">
        <v>154</v>
      </c>
      <c r="I1953" t="s">
        <v>57</v>
      </c>
      <c r="K1953" t="s">
        <v>4873</v>
      </c>
      <c r="L1953" t="s">
        <v>4874</v>
      </c>
      <c r="M1953" t="s">
        <v>60</v>
      </c>
      <c r="P1953" t="s">
        <v>237</v>
      </c>
      <c r="R1953" t="s">
        <v>238</v>
      </c>
      <c r="S1953" t="s">
        <v>123</v>
      </c>
      <c r="T1953">
        <v>266.89999999999998</v>
      </c>
      <c r="U1953">
        <v>264.27999999999997</v>
      </c>
      <c r="V1953">
        <f t="shared" si="60"/>
        <v>265.58999999999997</v>
      </c>
      <c r="W1953">
        <f t="shared" si="61"/>
        <v>2.6200000000000045</v>
      </c>
      <c r="X1953">
        <v>48.531387000000002</v>
      </c>
      <c r="Y1953">
        <v>55.148609</v>
      </c>
      <c r="Z1953" t="s">
        <v>105</v>
      </c>
      <c r="AA1953" t="s">
        <v>239</v>
      </c>
      <c r="AB1953" t="s">
        <v>513</v>
      </c>
      <c r="AC1953" t="s">
        <v>4854</v>
      </c>
      <c r="AG1953" t="s">
        <v>4855</v>
      </c>
      <c r="AH1953" t="s">
        <v>72</v>
      </c>
      <c r="AI1953" t="s">
        <v>400</v>
      </c>
      <c r="AJ1953">
        <v>2008</v>
      </c>
      <c r="AK1953" t="s">
        <v>4856</v>
      </c>
      <c r="AM1953" t="s">
        <v>4857</v>
      </c>
      <c r="AN1953" t="s">
        <v>114</v>
      </c>
      <c r="AO1953" t="s">
        <v>77</v>
      </c>
      <c r="AP1953" t="s">
        <v>78</v>
      </c>
      <c r="AQ1953" t="s">
        <v>4858</v>
      </c>
      <c r="AR1953" t="s">
        <v>80</v>
      </c>
      <c r="AS1953">
        <v>302</v>
      </c>
      <c r="AT1953" t="s">
        <v>81</v>
      </c>
      <c r="AU1953">
        <v>51.68</v>
      </c>
      <c r="AV1953">
        <v>34.35</v>
      </c>
      <c r="AW1953" t="s">
        <v>82</v>
      </c>
      <c r="AX1953">
        <v>301</v>
      </c>
      <c r="AY1953" t="s">
        <v>81</v>
      </c>
      <c r="AZ1953">
        <v>43.28</v>
      </c>
      <c r="BA1953">
        <v>29.28</v>
      </c>
      <c r="BB1953" t="s">
        <v>83</v>
      </c>
    </row>
    <row r="1954" spans="1:54" x14ac:dyDescent="0.4">
      <c r="A1954">
        <v>146086</v>
      </c>
      <c r="D1954" t="s">
        <v>54</v>
      </c>
      <c r="I1954" t="s">
        <v>57</v>
      </c>
      <c r="K1954" t="s">
        <v>58</v>
      </c>
      <c r="L1954" t="s">
        <v>88</v>
      </c>
      <c r="M1954" t="s">
        <v>60</v>
      </c>
      <c r="P1954" t="s">
        <v>89</v>
      </c>
      <c r="R1954" t="s">
        <v>63</v>
      </c>
      <c r="S1954" t="s">
        <v>64</v>
      </c>
      <c r="T1954">
        <v>208.5</v>
      </c>
      <c r="U1954">
        <v>201.4</v>
      </c>
      <c r="V1954">
        <f t="shared" si="60"/>
        <v>204.95</v>
      </c>
      <c r="W1954">
        <f t="shared" si="61"/>
        <v>7.0999999999999943</v>
      </c>
      <c r="X1954">
        <v>-2.7749999999999999</v>
      </c>
      <c r="Y1954">
        <v>51.291943000000003</v>
      </c>
      <c r="Z1954" t="s">
        <v>90</v>
      </c>
      <c r="AA1954" t="s">
        <v>91</v>
      </c>
      <c r="AB1954" t="s">
        <v>92</v>
      </c>
      <c r="AC1954" t="s">
        <v>93</v>
      </c>
      <c r="AH1954" t="s">
        <v>72</v>
      </c>
      <c r="AI1954" t="s">
        <v>94</v>
      </c>
      <c r="AJ1954">
        <v>1962</v>
      </c>
      <c r="AK1954" t="s">
        <v>95</v>
      </c>
      <c r="AN1954" t="s">
        <v>76</v>
      </c>
      <c r="AO1954" t="s">
        <v>77</v>
      </c>
      <c r="AP1954" t="s">
        <v>78</v>
      </c>
      <c r="AQ1954" t="s">
        <v>96</v>
      </c>
      <c r="AR1954" t="s">
        <v>80</v>
      </c>
      <c r="AS1954">
        <v>315</v>
      </c>
      <c r="AT1954" t="s">
        <v>81</v>
      </c>
      <c r="AU1954">
        <v>8.91</v>
      </c>
      <c r="AV1954">
        <v>33.99</v>
      </c>
      <c r="AW1954" t="s">
        <v>82</v>
      </c>
      <c r="AX1954">
        <v>315</v>
      </c>
      <c r="AY1954" t="s">
        <v>81</v>
      </c>
      <c r="AZ1954">
        <v>-1.63</v>
      </c>
      <c r="BA1954">
        <v>36.659999999999997</v>
      </c>
      <c r="BB1954" t="s">
        <v>83</v>
      </c>
    </row>
    <row r="1955" spans="1:54" x14ac:dyDescent="0.4">
      <c r="A1955">
        <v>146087</v>
      </c>
      <c r="D1955" t="s">
        <v>54</v>
      </c>
      <c r="G1955">
        <v>3</v>
      </c>
      <c r="H1955" t="s">
        <v>84</v>
      </c>
      <c r="I1955" t="s">
        <v>57</v>
      </c>
      <c r="K1955" t="s">
        <v>58</v>
      </c>
      <c r="L1955" t="s">
        <v>97</v>
      </c>
      <c r="M1955" t="s">
        <v>60</v>
      </c>
      <c r="P1955" t="s">
        <v>89</v>
      </c>
      <c r="R1955" t="s">
        <v>63</v>
      </c>
      <c r="S1955" t="s">
        <v>64</v>
      </c>
      <c r="T1955">
        <v>208.5</v>
      </c>
      <c r="U1955">
        <v>201.4</v>
      </c>
      <c r="V1955">
        <f t="shared" si="60"/>
        <v>204.95</v>
      </c>
      <c r="W1955">
        <f t="shared" si="61"/>
        <v>7.0999999999999943</v>
      </c>
      <c r="X1955">
        <v>-2.5436109999999998</v>
      </c>
      <c r="Y1955">
        <v>51.252777000000002</v>
      </c>
      <c r="Z1955" t="s">
        <v>90</v>
      </c>
      <c r="AA1955" t="s">
        <v>91</v>
      </c>
      <c r="AB1955" t="s">
        <v>92</v>
      </c>
      <c r="AC1955" t="s">
        <v>93</v>
      </c>
      <c r="AH1955" t="s">
        <v>72</v>
      </c>
      <c r="AI1955" t="s">
        <v>94</v>
      </c>
      <c r="AJ1955">
        <v>1962</v>
      </c>
      <c r="AK1955" t="s">
        <v>98</v>
      </c>
      <c r="AN1955" t="s">
        <v>76</v>
      </c>
      <c r="AO1955" t="s">
        <v>77</v>
      </c>
      <c r="AP1955" t="s">
        <v>78</v>
      </c>
      <c r="AQ1955" t="s">
        <v>99</v>
      </c>
      <c r="AR1955" t="s">
        <v>80</v>
      </c>
      <c r="AS1955">
        <v>315</v>
      </c>
      <c r="AT1955" t="s">
        <v>81</v>
      </c>
      <c r="AU1955">
        <v>9.08</v>
      </c>
      <c r="AV1955">
        <v>34.01</v>
      </c>
      <c r="AW1955" t="s">
        <v>82</v>
      </c>
      <c r="AX1955">
        <v>315</v>
      </c>
      <c r="AY1955" t="s">
        <v>81</v>
      </c>
      <c r="AZ1955">
        <v>-1.44</v>
      </c>
      <c r="BA1955">
        <v>36.68</v>
      </c>
      <c r="BB1955" t="s">
        <v>83</v>
      </c>
    </row>
    <row r="1956" spans="1:54" x14ac:dyDescent="0.4">
      <c r="A1956">
        <v>220086</v>
      </c>
      <c r="D1956" t="s">
        <v>54</v>
      </c>
      <c r="E1956" t="s">
        <v>55</v>
      </c>
      <c r="G1956">
        <v>1</v>
      </c>
      <c r="H1956" t="s">
        <v>56</v>
      </c>
      <c r="I1956" t="s">
        <v>57</v>
      </c>
      <c r="K1956" t="s">
        <v>141</v>
      </c>
      <c r="L1956" t="s">
        <v>264</v>
      </c>
      <c r="M1956" t="s">
        <v>60</v>
      </c>
      <c r="P1956" t="s">
        <v>89</v>
      </c>
      <c r="R1956" t="s">
        <v>63</v>
      </c>
      <c r="S1956" t="s">
        <v>64</v>
      </c>
      <c r="T1956">
        <v>208.5</v>
      </c>
      <c r="U1956">
        <v>201.4</v>
      </c>
      <c r="V1956">
        <f t="shared" si="60"/>
        <v>204.95</v>
      </c>
      <c r="W1956">
        <f t="shared" si="61"/>
        <v>7.0999999999999943</v>
      </c>
      <c r="X1956">
        <v>11.073611</v>
      </c>
      <c r="Y1956">
        <v>51.897499000000003</v>
      </c>
      <c r="Z1956" t="s">
        <v>198</v>
      </c>
      <c r="AA1956" t="s">
        <v>211</v>
      </c>
      <c r="AB1956" t="s">
        <v>266</v>
      </c>
      <c r="AD1956" t="s">
        <v>267</v>
      </c>
      <c r="AE1956" t="s">
        <v>215</v>
      </c>
      <c r="AF1956" t="s">
        <v>268</v>
      </c>
      <c r="AH1956" t="s">
        <v>72</v>
      </c>
      <c r="AI1956" t="s">
        <v>269</v>
      </c>
      <c r="AJ1956">
        <v>1914</v>
      </c>
      <c r="AK1956" t="s">
        <v>270</v>
      </c>
      <c r="AM1956" t="s">
        <v>271</v>
      </c>
      <c r="AN1956" t="s">
        <v>114</v>
      </c>
      <c r="AO1956" t="s">
        <v>77</v>
      </c>
      <c r="AP1956" t="s">
        <v>78</v>
      </c>
      <c r="AQ1956" t="s">
        <v>272</v>
      </c>
      <c r="AR1956" t="s">
        <v>80</v>
      </c>
      <c r="AS1956">
        <v>315</v>
      </c>
      <c r="AT1956" t="s">
        <v>81</v>
      </c>
      <c r="AU1956">
        <v>17.95</v>
      </c>
      <c r="AV1956">
        <v>38.58</v>
      </c>
      <c r="AW1956" t="s">
        <v>82</v>
      </c>
      <c r="AX1956">
        <v>315</v>
      </c>
      <c r="AY1956" t="s">
        <v>81</v>
      </c>
      <c r="AZ1956">
        <v>7.92</v>
      </c>
      <c r="BA1956">
        <v>41.02</v>
      </c>
      <c r="BB1956" t="s">
        <v>83</v>
      </c>
    </row>
    <row r="1957" spans="1:54" x14ac:dyDescent="0.4">
      <c r="A1957">
        <v>220087</v>
      </c>
      <c r="D1957" t="s">
        <v>54</v>
      </c>
      <c r="E1957" t="s">
        <v>55</v>
      </c>
      <c r="G1957">
        <v>1</v>
      </c>
      <c r="H1957" t="s">
        <v>84</v>
      </c>
      <c r="I1957" t="s">
        <v>57</v>
      </c>
      <c r="K1957" t="s">
        <v>141</v>
      </c>
      <c r="L1957" t="s">
        <v>255</v>
      </c>
      <c r="M1957" t="s">
        <v>60</v>
      </c>
      <c r="N1957" t="s">
        <v>256</v>
      </c>
      <c r="O1957" t="s">
        <v>87</v>
      </c>
      <c r="P1957" t="s">
        <v>89</v>
      </c>
      <c r="R1957" t="s">
        <v>63</v>
      </c>
      <c r="S1957" t="s">
        <v>64</v>
      </c>
      <c r="T1957">
        <v>208.5</v>
      </c>
      <c r="U1957">
        <v>201.4</v>
      </c>
      <c r="V1957">
        <f t="shared" si="60"/>
        <v>204.95</v>
      </c>
      <c r="W1957">
        <f t="shared" si="61"/>
        <v>7.0999999999999943</v>
      </c>
      <c r="X1957">
        <v>11.073611</v>
      </c>
      <c r="Y1957">
        <v>51.897499000000003</v>
      </c>
      <c r="Z1957" t="s">
        <v>198</v>
      </c>
      <c r="AA1957" t="s">
        <v>211</v>
      </c>
      <c r="AB1957" t="s">
        <v>266</v>
      </c>
      <c r="AD1957" t="s">
        <v>267</v>
      </c>
      <c r="AE1957" t="s">
        <v>215</v>
      </c>
      <c r="AF1957" t="s">
        <v>268</v>
      </c>
      <c r="AH1957" t="s">
        <v>11</v>
      </c>
      <c r="AI1957" t="s">
        <v>228</v>
      </c>
      <c r="AJ1957">
        <v>1992</v>
      </c>
      <c r="AK1957" t="s">
        <v>270</v>
      </c>
      <c r="AM1957" t="s">
        <v>271</v>
      </c>
      <c r="AN1957" t="s">
        <v>114</v>
      </c>
      <c r="AO1957" t="s">
        <v>77</v>
      </c>
      <c r="AP1957" t="s">
        <v>78</v>
      </c>
      <c r="AQ1957" t="s">
        <v>272</v>
      </c>
      <c r="AR1957" t="s">
        <v>80</v>
      </c>
      <c r="AS1957">
        <v>315</v>
      </c>
      <c r="AT1957" t="s">
        <v>81</v>
      </c>
      <c r="AU1957">
        <v>17.95</v>
      </c>
      <c r="AV1957">
        <v>38.58</v>
      </c>
      <c r="AW1957" t="s">
        <v>82</v>
      </c>
      <c r="AX1957">
        <v>315</v>
      </c>
      <c r="AY1957" t="s">
        <v>81</v>
      </c>
      <c r="AZ1957">
        <v>7.92</v>
      </c>
      <c r="BA1957">
        <v>41.02</v>
      </c>
      <c r="BB1957" t="s">
        <v>83</v>
      </c>
    </row>
    <row r="1958" spans="1:54" x14ac:dyDescent="0.4">
      <c r="A1958">
        <v>220088</v>
      </c>
      <c r="D1958" t="s">
        <v>54</v>
      </c>
      <c r="E1958" t="s">
        <v>55</v>
      </c>
      <c r="G1958">
        <v>1</v>
      </c>
      <c r="H1958" t="s">
        <v>56</v>
      </c>
      <c r="I1958" t="s">
        <v>57</v>
      </c>
      <c r="K1958" t="s">
        <v>149</v>
      </c>
      <c r="L1958" t="s">
        <v>273</v>
      </c>
      <c r="M1958" t="s">
        <v>60</v>
      </c>
      <c r="P1958" t="s">
        <v>89</v>
      </c>
      <c r="R1958" t="s">
        <v>63</v>
      </c>
      <c r="S1958" t="s">
        <v>64</v>
      </c>
      <c r="T1958">
        <v>208.5</v>
      </c>
      <c r="U1958">
        <v>201.4</v>
      </c>
      <c r="V1958">
        <f t="shared" si="60"/>
        <v>204.95</v>
      </c>
      <c r="W1958">
        <f t="shared" si="61"/>
        <v>7.0999999999999943</v>
      </c>
      <c r="X1958">
        <v>11.073611</v>
      </c>
      <c r="Y1958">
        <v>51.897499000000003</v>
      </c>
      <c r="Z1958" t="s">
        <v>198</v>
      </c>
      <c r="AA1958" t="s">
        <v>211</v>
      </c>
      <c r="AB1958" t="s">
        <v>266</v>
      </c>
      <c r="AD1958" t="s">
        <v>267</v>
      </c>
      <c r="AE1958" t="s">
        <v>215</v>
      </c>
      <c r="AF1958" t="s">
        <v>268</v>
      </c>
      <c r="AH1958" t="s">
        <v>72</v>
      </c>
      <c r="AI1958" t="s">
        <v>274</v>
      </c>
      <c r="AJ1958">
        <v>1949</v>
      </c>
      <c r="AK1958" t="s">
        <v>270</v>
      </c>
      <c r="AM1958" t="s">
        <v>271</v>
      </c>
      <c r="AN1958" t="s">
        <v>114</v>
      </c>
      <c r="AO1958" t="s">
        <v>77</v>
      </c>
      <c r="AP1958" t="s">
        <v>78</v>
      </c>
      <c r="AQ1958" t="s">
        <v>272</v>
      </c>
      <c r="AR1958" t="s">
        <v>80</v>
      </c>
      <c r="AS1958">
        <v>315</v>
      </c>
      <c r="AT1958" t="s">
        <v>81</v>
      </c>
      <c r="AU1958">
        <v>17.95</v>
      </c>
      <c r="AV1958">
        <v>38.58</v>
      </c>
      <c r="AW1958" t="s">
        <v>82</v>
      </c>
      <c r="AX1958">
        <v>315</v>
      </c>
      <c r="AY1958" t="s">
        <v>81</v>
      </c>
      <c r="AZ1958">
        <v>7.92</v>
      </c>
      <c r="BA1958">
        <v>41.02</v>
      </c>
      <c r="BB1958" t="s">
        <v>83</v>
      </c>
    </row>
    <row r="1959" spans="1:54" x14ac:dyDescent="0.4">
      <c r="A1959">
        <v>337723</v>
      </c>
      <c r="D1959" t="s">
        <v>54</v>
      </c>
      <c r="I1959" t="s">
        <v>57</v>
      </c>
      <c r="K1959" t="s">
        <v>141</v>
      </c>
      <c r="L1959" t="s">
        <v>533</v>
      </c>
      <c r="M1959" t="s">
        <v>60</v>
      </c>
      <c r="O1959" t="s">
        <v>87</v>
      </c>
      <c r="P1959" t="s">
        <v>89</v>
      </c>
      <c r="R1959" t="s">
        <v>63</v>
      </c>
      <c r="S1959" t="s">
        <v>64</v>
      </c>
      <c r="T1959">
        <v>208.5</v>
      </c>
      <c r="U1959">
        <v>201.4</v>
      </c>
      <c r="V1959">
        <f t="shared" si="60"/>
        <v>204.95</v>
      </c>
      <c r="W1959">
        <f t="shared" si="61"/>
        <v>7.0999999999999943</v>
      </c>
      <c r="X1959">
        <v>5.8</v>
      </c>
      <c r="Y1959">
        <v>43.183334000000002</v>
      </c>
      <c r="Z1959" t="s">
        <v>520</v>
      </c>
      <c r="AA1959" t="s">
        <v>521</v>
      </c>
      <c r="AB1959" t="s">
        <v>522</v>
      </c>
      <c r="AC1959" t="s">
        <v>523</v>
      </c>
      <c r="AH1959" t="s">
        <v>11</v>
      </c>
      <c r="AI1959" t="s">
        <v>524</v>
      </c>
      <c r="AJ1959">
        <v>1934</v>
      </c>
      <c r="AK1959" t="s">
        <v>534</v>
      </c>
      <c r="AM1959" t="s">
        <v>535</v>
      </c>
      <c r="AN1959" t="s">
        <v>192</v>
      </c>
      <c r="AO1959" t="s">
        <v>160</v>
      </c>
      <c r="AP1959" t="s">
        <v>78</v>
      </c>
      <c r="AQ1959" t="s">
        <v>536</v>
      </c>
      <c r="AR1959" t="s">
        <v>80</v>
      </c>
      <c r="AS1959" t="s">
        <v>528</v>
      </c>
      <c r="AT1959" t="s">
        <v>81</v>
      </c>
      <c r="AW1959" t="s">
        <v>82</v>
      </c>
      <c r="AX1959">
        <v>305</v>
      </c>
      <c r="AY1959" t="s">
        <v>81</v>
      </c>
      <c r="AZ1959">
        <v>8.7899999999999991</v>
      </c>
      <c r="BA1959">
        <v>31.64</v>
      </c>
      <c r="BB1959" t="s">
        <v>83</v>
      </c>
    </row>
    <row r="1960" spans="1:54" x14ac:dyDescent="0.4">
      <c r="A1960">
        <v>337737</v>
      </c>
      <c r="D1960" t="s">
        <v>54</v>
      </c>
      <c r="I1960" t="s">
        <v>57</v>
      </c>
      <c r="K1960" t="s">
        <v>537</v>
      </c>
      <c r="L1960" t="s">
        <v>538</v>
      </c>
      <c r="M1960" t="s">
        <v>223</v>
      </c>
      <c r="N1960" t="s">
        <v>234</v>
      </c>
      <c r="O1960" t="s">
        <v>87</v>
      </c>
      <c r="P1960" t="s">
        <v>89</v>
      </c>
      <c r="R1960" t="s">
        <v>63</v>
      </c>
      <c r="S1960" t="s">
        <v>64</v>
      </c>
      <c r="T1960">
        <v>208.5</v>
      </c>
      <c r="U1960">
        <v>201.4</v>
      </c>
      <c r="V1960">
        <f t="shared" si="60"/>
        <v>204.95</v>
      </c>
      <c r="W1960">
        <f t="shared" si="61"/>
        <v>7.0999999999999943</v>
      </c>
      <c r="X1960">
        <v>6.0613890000000001</v>
      </c>
      <c r="Y1960">
        <v>43.256390000000003</v>
      </c>
      <c r="Z1960" t="s">
        <v>520</v>
      </c>
      <c r="AA1960" t="s">
        <v>521</v>
      </c>
      <c r="AB1960" t="s">
        <v>522</v>
      </c>
      <c r="AC1960" t="s">
        <v>523</v>
      </c>
      <c r="AH1960" t="s">
        <v>11</v>
      </c>
      <c r="AI1960" t="s">
        <v>524</v>
      </c>
      <c r="AJ1960">
        <v>1934</v>
      </c>
      <c r="AK1960" t="s">
        <v>539</v>
      </c>
      <c r="AM1960" t="s">
        <v>540</v>
      </c>
      <c r="AN1960" t="s">
        <v>192</v>
      </c>
      <c r="AO1960" t="s">
        <v>77</v>
      </c>
      <c r="AP1960" t="s">
        <v>78</v>
      </c>
      <c r="AQ1960" t="s">
        <v>541</v>
      </c>
      <c r="AR1960" t="s">
        <v>80</v>
      </c>
      <c r="AS1960" t="s">
        <v>528</v>
      </c>
      <c r="AT1960" t="s">
        <v>81</v>
      </c>
      <c r="AW1960" t="s">
        <v>82</v>
      </c>
      <c r="AX1960">
        <v>305</v>
      </c>
      <c r="AY1960" t="s">
        <v>81</v>
      </c>
      <c r="AZ1960">
        <v>8.9499999999999993</v>
      </c>
      <c r="BA1960">
        <v>31.78</v>
      </c>
      <c r="BB1960" t="s">
        <v>83</v>
      </c>
    </row>
    <row r="1961" spans="1:54" x14ac:dyDescent="0.4">
      <c r="A1961">
        <v>337745</v>
      </c>
      <c r="D1961" t="s">
        <v>54</v>
      </c>
      <c r="I1961" t="s">
        <v>57</v>
      </c>
      <c r="K1961" t="s">
        <v>141</v>
      </c>
      <c r="L1961" t="s">
        <v>533</v>
      </c>
      <c r="M1961" t="s">
        <v>60</v>
      </c>
      <c r="O1961" t="s">
        <v>87</v>
      </c>
      <c r="P1961" t="s">
        <v>89</v>
      </c>
      <c r="R1961" t="s">
        <v>63</v>
      </c>
      <c r="S1961" t="s">
        <v>64</v>
      </c>
      <c r="T1961">
        <v>208.5</v>
      </c>
      <c r="U1961">
        <v>201.4</v>
      </c>
      <c r="V1961">
        <f t="shared" si="60"/>
        <v>204.95</v>
      </c>
      <c r="W1961">
        <f t="shared" si="61"/>
        <v>7.0999999999999943</v>
      </c>
      <c r="X1961">
        <v>6.0333329999999998</v>
      </c>
      <c r="Y1961">
        <v>43.216667000000001</v>
      </c>
      <c r="Z1961" t="s">
        <v>520</v>
      </c>
      <c r="AA1961" t="s">
        <v>521</v>
      </c>
      <c r="AB1961" t="s">
        <v>522</v>
      </c>
      <c r="AC1961" t="s">
        <v>523</v>
      </c>
      <c r="AH1961" t="s">
        <v>11</v>
      </c>
      <c r="AI1961" t="s">
        <v>524</v>
      </c>
      <c r="AJ1961">
        <v>1934</v>
      </c>
      <c r="AK1961" t="s">
        <v>542</v>
      </c>
      <c r="AM1961" t="s">
        <v>543</v>
      </c>
      <c r="AN1961" t="s">
        <v>192</v>
      </c>
      <c r="AO1961" t="s">
        <v>160</v>
      </c>
      <c r="AP1961" t="s">
        <v>359</v>
      </c>
      <c r="AQ1961" t="s">
        <v>544</v>
      </c>
      <c r="AR1961" t="s">
        <v>80</v>
      </c>
      <c r="AS1961" t="s">
        <v>528</v>
      </c>
      <c r="AT1961" t="s">
        <v>81</v>
      </c>
      <c r="AW1961" t="s">
        <v>82</v>
      </c>
      <c r="AX1961">
        <v>305</v>
      </c>
      <c r="AY1961" t="s">
        <v>81</v>
      </c>
      <c r="AZ1961">
        <v>8.9499999999999993</v>
      </c>
      <c r="BA1961">
        <v>31.74</v>
      </c>
      <c r="BB1961" t="s">
        <v>83</v>
      </c>
    </row>
    <row r="1962" spans="1:54" x14ac:dyDescent="0.4">
      <c r="A1962">
        <v>337746</v>
      </c>
      <c r="D1962" t="s">
        <v>54</v>
      </c>
      <c r="I1962" t="s">
        <v>57</v>
      </c>
      <c r="K1962" t="s">
        <v>537</v>
      </c>
      <c r="L1962" t="s">
        <v>538</v>
      </c>
      <c r="M1962" t="s">
        <v>223</v>
      </c>
      <c r="N1962" t="s">
        <v>234</v>
      </c>
      <c r="O1962" t="s">
        <v>87</v>
      </c>
      <c r="P1962" t="s">
        <v>89</v>
      </c>
      <c r="R1962" t="s">
        <v>63</v>
      </c>
      <c r="S1962" t="s">
        <v>64</v>
      </c>
      <c r="T1962">
        <v>208.5</v>
      </c>
      <c r="U1962">
        <v>201.4</v>
      </c>
      <c r="V1962">
        <f t="shared" si="60"/>
        <v>204.95</v>
      </c>
      <c r="W1962">
        <f t="shared" si="61"/>
        <v>7.0999999999999943</v>
      </c>
      <c r="X1962">
        <v>6.0333329999999998</v>
      </c>
      <c r="Y1962">
        <v>43.216667000000001</v>
      </c>
      <c r="Z1962" t="s">
        <v>520</v>
      </c>
      <c r="AA1962" t="s">
        <v>521</v>
      </c>
      <c r="AB1962" t="s">
        <v>522</v>
      </c>
      <c r="AC1962" t="s">
        <v>523</v>
      </c>
      <c r="AH1962" t="s">
        <v>11</v>
      </c>
      <c r="AI1962" t="s">
        <v>524</v>
      </c>
      <c r="AJ1962">
        <v>1934</v>
      </c>
      <c r="AK1962" t="s">
        <v>542</v>
      </c>
      <c r="AM1962" t="s">
        <v>543</v>
      </c>
      <c r="AN1962" t="s">
        <v>192</v>
      </c>
      <c r="AO1962" t="s">
        <v>160</v>
      </c>
      <c r="AP1962" t="s">
        <v>359</v>
      </c>
      <c r="AQ1962" t="s">
        <v>544</v>
      </c>
      <c r="AR1962" t="s">
        <v>80</v>
      </c>
      <c r="AS1962" t="s">
        <v>528</v>
      </c>
      <c r="AT1962" t="s">
        <v>81</v>
      </c>
      <c r="AW1962" t="s">
        <v>82</v>
      </c>
      <c r="AX1962">
        <v>305</v>
      </c>
      <c r="AY1962" t="s">
        <v>81</v>
      </c>
      <c r="AZ1962">
        <v>8.9499999999999993</v>
      </c>
      <c r="BA1962">
        <v>31.74</v>
      </c>
      <c r="BB1962" t="s">
        <v>83</v>
      </c>
    </row>
    <row r="1963" spans="1:54" x14ac:dyDescent="0.4">
      <c r="A1963">
        <v>389770</v>
      </c>
      <c r="D1963" t="s">
        <v>54</v>
      </c>
      <c r="E1963" t="s">
        <v>55</v>
      </c>
      <c r="G1963">
        <v>1</v>
      </c>
      <c r="H1963" t="s">
        <v>84</v>
      </c>
      <c r="I1963" t="s">
        <v>57</v>
      </c>
      <c r="K1963" t="s">
        <v>141</v>
      </c>
      <c r="L1963" t="s">
        <v>601</v>
      </c>
      <c r="M1963" t="s">
        <v>223</v>
      </c>
      <c r="P1963" t="s">
        <v>89</v>
      </c>
      <c r="R1963" t="s">
        <v>63</v>
      </c>
      <c r="S1963" t="s">
        <v>64</v>
      </c>
      <c r="T1963">
        <v>208.5</v>
      </c>
      <c r="U1963">
        <v>201.4</v>
      </c>
      <c r="V1963">
        <f t="shared" si="60"/>
        <v>204.95</v>
      </c>
      <c r="W1963">
        <f t="shared" si="61"/>
        <v>7.0999999999999943</v>
      </c>
      <c r="X1963">
        <v>9.266667</v>
      </c>
      <c r="Y1963">
        <v>45.833331999999999</v>
      </c>
      <c r="Z1963" t="s">
        <v>520</v>
      </c>
      <c r="AA1963" t="s">
        <v>593</v>
      </c>
      <c r="AB1963" t="s">
        <v>603</v>
      </c>
      <c r="AD1963" t="s">
        <v>668</v>
      </c>
      <c r="AH1963" t="s">
        <v>72</v>
      </c>
      <c r="AI1963" t="s">
        <v>664</v>
      </c>
      <c r="AJ1963">
        <v>1986</v>
      </c>
      <c r="AK1963" t="s">
        <v>669</v>
      </c>
      <c r="AM1963" t="s">
        <v>670</v>
      </c>
      <c r="AN1963" t="s">
        <v>114</v>
      </c>
      <c r="AO1963" t="s">
        <v>160</v>
      </c>
      <c r="AP1963" t="s">
        <v>115</v>
      </c>
      <c r="AQ1963" t="s">
        <v>671</v>
      </c>
      <c r="AR1963" t="s">
        <v>80</v>
      </c>
      <c r="AS1963">
        <v>307</v>
      </c>
      <c r="AT1963" t="s">
        <v>81</v>
      </c>
      <c r="AU1963">
        <v>26.69</v>
      </c>
      <c r="AV1963">
        <v>27.66</v>
      </c>
      <c r="AW1963" t="s">
        <v>82</v>
      </c>
      <c r="AX1963">
        <v>307</v>
      </c>
      <c r="AY1963" t="s">
        <v>81</v>
      </c>
      <c r="AZ1963">
        <v>11.64</v>
      </c>
      <c r="BA1963">
        <v>32.39</v>
      </c>
      <c r="BB1963" t="s">
        <v>83</v>
      </c>
    </row>
    <row r="1964" spans="1:54" x14ac:dyDescent="0.4">
      <c r="A1964">
        <v>389771</v>
      </c>
      <c r="D1964" t="s">
        <v>54</v>
      </c>
      <c r="E1964" t="s">
        <v>55</v>
      </c>
      <c r="G1964">
        <v>1</v>
      </c>
      <c r="H1964" t="s">
        <v>84</v>
      </c>
      <c r="I1964" t="s">
        <v>57</v>
      </c>
      <c r="K1964" t="s">
        <v>141</v>
      </c>
      <c r="L1964" t="s">
        <v>601</v>
      </c>
      <c r="M1964" t="s">
        <v>223</v>
      </c>
      <c r="P1964" t="s">
        <v>89</v>
      </c>
      <c r="R1964" t="s">
        <v>63</v>
      </c>
      <c r="S1964" t="s">
        <v>64</v>
      </c>
      <c r="T1964">
        <v>208.5</v>
      </c>
      <c r="U1964">
        <v>201.4</v>
      </c>
      <c r="V1964">
        <f t="shared" si="60"/>
        <v>204.95</v>
      </c>
      <c r="W1964">
        <f t="shared" si="61"/>
        <v>7.0999999999999943</v>
      </c>
      <c r="X1964">
        <v>9.6</v>
      </c>
      <c r="Y1964">
        <v>45.766666000000001</v>
      </c>
      <c r="Z1964" t="s">
        <v>520</v>
      </c>
      <c r="AA1964" t="s">
        <v>593</v>
      </c>
      <c r="AB1964" t="s">
        <v>603</v>
      </c>
      <c r="AD1964" t="s">
        <v>668</v>
      </c>
      <c r="AH1964" t="s">
        <v>72</v>
      </c>
      <c r="AI1964" t="s">
        <v>664</v>
      </c>
      <c r="AJ1964">
        <v>1986</v>
      </c>
      <c r="AK1964" t="s">
        <v>672</v>
      </c>
      <c r="AM1964" t="s">
        <v>673</v>
      </c>
      <c r="AN1964" t="s">
        <v>114</v>
      </c>
      <c r="AO1964" t="s">
        <v>160</v>
      </c>
      <c r="AP1964" t="s">
        <v>115</v>
      </c>
      <c r="AQ1964" t="s">
        <v>674</v>
      </c>
      <c r="AR1964" t="s">
        <v>80</v>
      </c>
      <c r="AS1964">
        <v>307</v>
      </c>
      <c r="AT1964" t="s">
        <v>81</v>
      </c>
      <c r="AU1964">
        <v>26.81</v>
      </c>
      <c r="AV1964">
        <v>27.44</v>
      </c>
      <c r="AW1964" t="s">
        <v>82</v>
      </c>
      <c r="AX1964">
        <v>307</v>
      </c>
      <c r="AY1964" t="s">
        <v>81</v>
      </c>
      <c r="AZ1964">
        <v>11.83</v>
      </c>
      <c r="BA1964">
        <v>32.21</v>
      </c>
      <c r="BB1964" t="s">
        <v>83</v>
      </c>
    </row>
    <row r="1965" spans="1:54" x14ac:dyDescent="0.4">
      <c r="A1965">
        <v>465575</v>
      </c>
      <c r="D1965" t="s">
        <v>54</v>
      </c>
      <c r="E1965" t="s">
        <v>55</v>
      </c>
      <c r="G1965">
        <v>4</v>
      </c>
      <c r="H1965" t="s">
        <v>84</v>
      </c>
      <c r="I1965" t="s">
        <v>57</v>
      </c>
      <c r="K1965" t="s">
        <v>168</v>
      </c>
      <c r="L1965" t="s">
        <v>793</v>
      </c>
      <c r="M1965" t="s">
        <v>60</v>
      </c>
      <c r="P1965" t="s">
        <v>89</v>
      </c>
      <c r="R1965" t="s">
        <v>63</v>
      </c>
      <c r="S1965" t="s">
        <v>64</v>
      </c>
      <c r="T1965">
        <v>208.5</v>
      </c>
      <c r="U1965">
        <v>201.4</v>
      </c>
      <c r="V1965">
        <f t="shared" si="60"/>
        <v>204.95</v>
      </c>
      <c r="W1965">
        <f t="shared" si="61"/>
        <v>7.0999999999999943</v>
      </c>
      <c r="X1965">
        <v>-3.4782000000000002</v>
      </c>
      <c r="Y1965">
        <v>51.505099999999999</v>
      </c>
      <c r="Z1965" t="s">
        <v>90</v>
      </c>
      <c r="AA1965" t="s">
        <v>91</v>
      </c>
      <c r="AB1965" t="s">
        <v>373</v>
      </c>
      <c r="AC1965" t="s">
        <v>794</v>
      </c>
      <c r="AH1965" t="s">
        <v>72</v>
      </c>
      <c r="AI1965" t="s">
        <v>94</v>
      </c>
      <c r="AJ1965">
        <v>1957</v>
      </c>
      <c r="AK1965" t="s">
        <v>795</v>
      </c>
      <c r="AM1965" t="s">
        <v>796</v>
      </c>
      <c r="AN1965" t="s">
        <v>76</v>
      </c>
      <c r="AO1965">
        <v>4</v>
      </c>
      <c r="AP1965" t="s">
        <v>115</v>
      </c>
      <c r="AQ1965" t="s">
        <v>797</v>
      </c>
      <c r="AR1965" t="s">
        <v>80</v>
      </c>
      <c r="AS1965">
        <v>315</v>
      </c>
      <c r="AT1965" t="s">
        <v>81</v>
      </c>
      <c r="AU1965">
        <v>8.32</v>
      </c>
      <c r="AV1965">
        <v>33.99</v>
      </c>
      <c r="AW1965" t="s">
        <v>82</v>
      </c>
      <c r="AX1965">
        <v>315</v>
      </c>
      <c r="AY1965" t="s">
        <v>81</v>
      </c>
      <c r="AZ1965">
        <v>-2.2400000000000002</v>
      </c>
      <c r="BA1965">
        <v>36.68</v>
      </c>
      <c r="BB1965" t="s">
        <v>83</v>
      </c>
    </row>
    <row r="1966" spans="1:54" x14ac:dyDescent="0.4">
      <c r="A1966">
        <v>465579</v>
      </c>
      <c r="D1966" t="s">
        <v>54</v>
      </c>
      <c r="E1966" t="s">
        <v>55</v>
      </c>
      <c r="G1966">
        <v>1</v>
      </c>
      <c r="H1966" t="s">
        <v>84</v>
      </c>
      <c r="I1966" t="s">
        <v>57</v>
      </c>
      <c r="K1966" t="s">
        <v>141</v>
      </c>
      <c r="L1966" t="s">
        <v>148</v>
      </c>
      <c r="M1966" t="s">
        <v>60</v>
      </c>
      <c r="P1966" t="s">
        <v>89</v>
      </c>
      <c r="R1966" t="s">
        <v>63</v>
      </c>
      <c r="S1966" t="s">
        <v>64</v>
      </c>
      <c r="T1966">
        <v>208.5</v>
      </c>
      <c r="U1966">
        <v>201.4</v>
      </c>
      <c r="V1966">
        <f t="shared" si="60"/>
        <v>204.95</v>
      </c>
      <c r="W1966">
        <f t="shared" si="61"/>
        <v>7.0999999999999943</v>
      </c>
      <c r="X1966">
        <v>-3.4782000000000002</v>
      </c>
      <c r="Y1966">
        <v>51.505099999999999</v>
      </c>
      <c r="Z1966" t="s">
        <v>90</v>
      </c>
      <c r="AA1966" t="s">
        <v>91</v>
      </c>
      <c r="AB1966" t="s">
        <v>373</v>
      </c>
      <c r="AC1966" t="s">
        <v>794</v>
      </c>
      <c r="AH1966" t="s">
        <v>72</v>
      </c>
      <c r="AI1966" t="s">
        <v>798</v>
      </c>
      <c r="AJ1966">
        <v>2020</v>
      </c>
      <c r="AK1966" t="s">
        <v>795</v>
      </c>
      <c r="AM1966" t="s">
        <v>796</v>
      </c>
      <c r="AN1966" t="s">
        <v>76</v>
      </c>
      <c r="AO1966">
        <v>4</v>
      </c>
      <c r="AP1966" t="s">
        <v>115</v>
      </c>
      <c r="AQ1966" t="s">
        <v>797</v>
      </c>
      <c r="AR1966" t="s">
        <v>80</v>
      </c>
      <c r="AS1966">
        <v>315</v>
      </c>
      <c r="AT1966" t="s">
        <v>81</v>
      </c>
      <c r="AU1966">
        <v>8.32</v>
      </c>
      <c r="AV1966">
        <v>33.99</v>
      </c>
      <c r="AW1966" t="s">
        <v>82</v>
      </c>
      <c r="AX1966">
        <v>315</v>
      </c>
      <c r="AY1966" t="s">
        <v>81</v>
      </c>
      <c r="AZ1966">
        <v>-2.2400000000000002</v>
      </c>
      <c r="BA1966">
        <v>36.68</v>
      </c>
      <c r="BB1966" t="s">
        <v>83</v>
      </c>
    </row>
    <row r="1967" spans="1:54" x14ac:dyDescent="0.4">
      <c r="A1967">
        <v>465580</v>
      </c>
      <c r="D1967" t="s">
        <v>54</v>
      </c>
      <c r="E1967" t="s">
        <v>55</v>
      </c>
      <c r="I1967" t="s">
        <v>57</v>
      </c>
      <c r="K1967" t="s">
        <v>100</v>
      </c>
      <c r="L1967" t="s">
        <v>799</v>
      </c>
      <c r="M1967" t="s">
        <v>60</v>
      </c>
      <c r="P1967" t="s">
        <v>89</v>
      </c>
      <c r="R1967" t="s">
        <v>63</v>
      </c>
      <c r="S1967" t="s">
        <v>64</v>
      </c>
      <c r="T1967">
        <v>208.5</v>
      </c>
      <c r="U1967">
        <v>201.4</v>
      </c>
      <c r="V1967">
        <f t="shared" si="60"/>
        <v>204.95</v>
      </c>
      <c r="W1967">
        <f t="shared" si="61"/>
        <v>7.0999999999999943</v>
      </c>
      <c r="X1967">
        <v>-3.4782000000000002</v>
      </c>
      <c r="Y1967">
        <v>51.505099999999999</v>
      </c>
      <c r="Z1967" t="s">
        <v>90</v>
      </c>
      <c r="AA1967" t="s">
        <v>91</v>
      </c>
      <c r="AB1967" t="s">
        <v>373</v>
      </c>
      <c r="AC1967" t="s">
        <v>794</v>
      </c>
      <c r="AH1967" t="s">
        <v>11</v>
      </c>
      <c r="AI1967" t="s">
        <v>800</v>
      </c>
      <c r="AJ1967">
        <v>2006</v>
      </c>
      <c r="AK1967" t="s">
        <v>795</v>
      </c>
      <c r="AM1967" t="s">
        <v>796</v>
      </c>
      <c r="AN1967" t="s">
        <v>76</v>
      </c>
      <c r="AO1967">
        <v>4</v>
      </c>
      <c r="AP1967" t="s">
        <v>115</v>
      </c>
      <c r="AQ1967" t="s">
        <v>797</v>
      </c>
      <c r="AR1967" t="s">
        <v>80</v>
      </c>
      <c r="AS1967">
        <v>315</v>
      </c>
      <c r="AT1967" t="s">
        <v>81</v>
      </c>
      <c r="AU1967">
        <v>8.32</v>
      </c>
      <c r="AV1967">
        <v>33.99</v>
      </c>
      <c r="AW1967" t="s">
        <v>82</v>
      </c>
      <c r="AX1967">
        <v>315</v>
      </c>
      <c r="AY1967" t="s">
        <v>81</v>
      </c>
      <c r="AZ1967">
        <v>-2.2400000000000002</v>
      </c>
      <c r="BA1967">
        <v>36.68</v>
      </c>
      <c r="BB1967" t="s">
        <v>83</v>
      </c>
    </row>
    <row r="1968" spans="1:54" x14ac:dyDescent="0.4">
      <c r="A1968">
        <v>465685</v>
      </c>
      <c r="D1968" t="s">
        <v>54</v>
      </c>
      <c r="G1968">
        <v>2</v>
      </c>
      <c r="H1968" t="s">
        <v>84</v>
      </c>
      <c r="I1968" t="s">
        <v>57</v>
      </c>
      <c r="K1968" t="s">
        <v>168</v>
      </c>
      <c r="L1968" t="s">
        <v>801</v>
      </c>
      <c r="M1968" t="s">
        <v>60</v>
      </c>
      <c r="P1968" t="s">
        <v>89</v>
      </c>
      <c r="R1968" t="s">
        <v>63</v>
      </c>
      <c r="S1968" t="s">
        <v>64</v>
      </c>
      <c r="T1968">
        <v>208.5</v>
      </c>
      <c r="U1968">
        <v>201.4</v>
      </c>
      <c r="V1968">
        <f t="shared" si="60"/>
        <v>204.95</v>
      </c>
      <c r="W1968">
        <f t="shared" si="61"/>
        <v>7.0999999999999943</v>
      </c>
      <c r="X1968">
        <v>-2.5436109999999998</v>
      </c>
      <c r="Y1968">
        <v>51.252777000000002</v>
      </c>
      <c r="Z1968" t="s">
        <v>90</v>
      </c>
      <c r="AA1968" t="s">
        <v>91</v>
      </c>
      <c r="AB1968" t="s">
        <v>92</v>
      </c>
      <c r="AC1968" t="s">
        <v>93</v>
      </c>
      <c r="AH1968" t="s">
        <v>72</v>
      </c>
      <c r="AI1968" t="s">
        <v>94</v>
      </c>
      <c r="AJ1968">
        <v>1957</v>
      </c>
      <c r="AK1968" t="s">
        <v>98</v>
      </c>
      <c r="AN1968" t="s">
        <v>76</v>
      </c>
      <c r="AO1968" t="s">
        <v>77</v>
      </c>
      <c r="AP1968" t="s">
        <v>78</v>
      </c>
      <c r="AQ1968" t="s">
        <v>99</v>
      </c>
      <c r="AR1968" t="s">
        <v>80</v>
      </c>
      <c r="AS1968">
        <v>315</v>
      </c>
      <c r="AT1968" t="s">
        <v>81</v>
      </c>
      <c r="AU1968">
        <v>9.08</v>
      </c>
      <c r="AV1968">
        <v>34.01</v>
      </c>
      <c r="AW1968" t="s">
        <v>82</v>
      </c>
      <c r="AX1968">
        <v>315</v>
      </c>
      <c r="AY1968" t="s">
        <v>81</v>
      </c>
      <c r="AZ1968">
        <v>-1.44</v>
      </c>
      <c r="BA1968">
        <v>36.68</v>
      </c>
      <c r="BB1968" t="s">
        <v>83</v>
      </c>
    </row>
    <row r="1969" spans="1:54" x14ac:dyDescent="0.4">
      <c r="A1969">
        <v>483867</v>
      </c>
      <c r="D1969" t="s">
        <v>54</v>
      </c>
      <c r="E1969" t="s">
        <v>55</v>
      </c>
      <c r="F1969" t="s">
        <v>885</v>
      </c>
      <c r="I1969" t="s">
        <v>57</v>
      </c>
      <c r="K1969" t="s">
        <v>741</v>
      </c>
      <c r="L1969" t="s">
        <v>854</v>
      </c>
      <c r="M1969" t="s">
        <v>60</v>
      </c>
      <c r="N1969" t="s">
        <v>256</v>
      </c>
      <c r="O1969" t="s">
        <v>87</v>
      </c>
      <c r="P1969" t="s">
        <v>89</v>
      </c>
      <c r="R1969" t="s">
        <v>63</v>
      </c>
      <c r="S1969" t="s">
        <v>64</v>
      </c>
      <c r="T1969">
        <v>208.5</v>
      </c>
      <c r="U1969">
        <v>201.4</v>
      </c>
      <c r="V1969">
        <f t="shared" si="60"/>
        <v>204.95</v>
      </c>
      <c r="W1969">
        <f t="shared" si="61"/>
        <v>7.0999999999999943</v>
      </c>
      <c r="X1969">
        <v>-106.473099</v>
      </c>
      <c r="Y1969">
        <v>36.331699</v>
      </c>
      <c r="Z1969" t="s">
        <v>886</v>
      </c>
      <c r="AA1969" t="s">
        <v>66</v>
      </c>
      <c r="AB1969" t="s">
        <v>846</v>
      </c>
      <c r="AC1969" t="s">
        <v>847</v>
      </c>
      <c r="AD1969" t="s">
        <v>174</v>
      </c>
      <c r="AF1969" t="s">
        <v>887</v>
      </c>
      <c r="AH1969" t="s">
        <v>72</v>
      </c>
      <c r="AI1969" t="s">
        <v>73</v>
      </c>
      <c r="AJ1969">
        <v>1947</v>
      </c>
      <c r="AK1969" t="s">
        <v>888</v>
      </c>
      <c r="AM1969" t="s">
        <v>889</v>
      </c>
      <c r="AN1969" t="s">
        <v>76</v>
      </c>
      <c r="AO1969">
        <v>4</v>
      </c>
      <c r="AP1969" t="s">
        <v>115</v>
      </c>
      <c r="AQ1969" t="s">
        <v>890</v>
      </c>
      <c r="AR1969" t="s">
        <v>80</v>
      </c>
      <c r="AS1969">
        <v>101</v>
      </c>
      <c r="AT1969" t="s">
        <v>81</v>
      </c>
      <c r="AU1969">
        <v>-35.96</v>
      </c>
      <c r="AV1969">
        <v>10.83</v>
      </c>
      <c r="AW1969" t="s">
        <v>82</v>
      </c>
      <c r="AX1969">
        <v>133</v>
      </c>
      <c r="AY1969" t="s">
        <v>81</v>
      </c>
      <c r="AZ1969">
        <v>-51.55</v>
      </c>
      <c r="BA1969">
        <v>13.24</v>
      </c>
      <c r="BB1969" t="s">
        <v>83</v>
      </c>
    </row>
    <row r="1970" spans="1:54" x14ac:dyDescent="0.4">
      <c r="A1970">
        <v>483868</v>
      </c>
      <c r="D1970" t="s">
        <v>54</v>
      </c>
      <c r="E1970" t="s">
        <v>55</v>
      </c>
      <c r="F1970" t="s">
        <v>885</v>
      </c>
      <c r="G1970">
        <v>2</v>
      </c>
      <c r="H1970" t="s">
        <v>84</v>
      </c>
      <c r="I1970" t="s">
        <v>57</v>
      </c>
      <c r="K1970" t="s">
        <v>85</v>
      </c>
      <c r="L1970" t="s">
        <v>845</v>
      </c>
      <c r="M1970" t="s">
        <v>60</v>
      </c>
      <c r="O1970" t="s">
        <v>87</v>
      </c>
      <c r="P1970" t="s">
        <v>89</v>
      </c>
      <c r="R1970" t="s">
        <v>63</v>
      </c>
      <c r="S1970" t="s">
        <v>64</v>
      </c>
      <c r="T1970">
        <v>208.5</v>
      </c>
      <c r="U1970">
        <v>201.4</v>
      </c>
      <c r="V1970">
        <f t="shared" si="60"/>
        <v>204.95</v>
      </c>
      <c r="W1970">
        <f t="shared" si="61"/>
        <v>7.0999999999999943</v>
      </c>
      <c r="X1970">
        <v>-106.473099</v>
      </c>
      <c r="Y1970">
        <v>36.331699</v>
      </c>
      <c r="Z1970" t="s">
        <v>886</v>
      </c>
      <c r="AA1970" t="s">
        <v>66</v>
      </c>
      <c r="AB1970" t="s">
        <v>846</v>
      </c>
      <c r="AC1970" t="s">
        <v>847</v>
      </c>
      <c r="AD1970" t="s">
        <v>174</v>
      </c>
      <c r="AF1970" t="s">
        <v>887</v>
      </c>
      <c r="AH1970" t="s">
        <v>72</v>
      </c>
      <c r="AI1970" t="s">
        <v>779</v>
      </c>
      <c r="AJ1970">
        <v>1993</v>
      </c>
      <c r="AK1970" t="s">
        <v>888</v>
      </c>
      <c r="AM1970" t="s">
        <v>889</v>
      </c>
      <c r="AN1970" t="s">
        <v>76</v>
      </c>
      <c r="AO1970">
        <v>4</v>
      </c>
      <c r="AP1970" t="s">
        <v>115</v>
      </c>
      <c r="AQ1970" t="s">
        <v>890</v>
      </c>
      <c r="AR1970" t="s">
        <v>80</v>
      </c>
      <c r="AS1970">
        <v>101</v>
      </c>
      <c r="AT1970" t="s">
        <v>81</v>
      </c>
      <c r="AU1970">
        <v>-35.96</v>
      </c>
      <c r="AV1970">
        <v>10.83</v>
      </c>
      <c r="AW1970" t="s">
        <v>82</v>
      </c>
      <c r="AX1970">
        <v>133</v>
      </c>
      <c r="AY1970" t="s">
        <v>81</v>
      </c>
      <c r="AZ1970">
        <v>-51.55</v>
      </c>
      <c r="BA1970">
        <v>13.24</v>
      </c>
      <c r="BB1970" t="s">
        <v>83</v>
      </c>
    </row>
    <row r="1971" spans="1:54" x14ac:dyDescent="0.4">
      <c r="A1971">
        <v>486128</v>
      </c>
      <c r="D1971" t="s">
        <v>54</v>
      </c>
      <c r="E1971" t="s">
        <v>152</v>
      </c>
      <c r="G1971">
        <v>11</v>
      </c>
      <c r="H1971" t="s">
        <v>84</v>
      </c>
      <c r="I1971" t="s">
        <v>57</v>
      </c>
      <c r="K1971" t="s">
        <v>244</v>
      </c>
      <c r="L1971" t="s">
        <v>245</v>
      </c>
      <c r="M1971" t="s">
        <v>60</v>
      </c>
      <c r="O1971" t="s">
        <v>170</v>
      </c>
      <c r="P1971" t="s">
        <v>89</v>
      </c>
      <c r="R1971" t="s">
        <v>63</v>
      </c>
      <c r="S1971" t="s">
        <v>64</v>
      </c>
      <c r="T1971">
        <v>208.5</v>
      </c>
      <c r="U1971">
        <v>201.4</v>
      </c>
      <c r="V1971">
        <f t="shared" si="60"/>
        <v>204.95</v>
      </c>
      <c r="W1971">
        <f t="shared" si="61"/>
        <v>7.0999999999999943</v>
      </c>
      <c r="X1971">
        <v>6.3328439999999997</v>
      </c>
      <c r="Y1971">
        <v>48.615555000000001</v>
      </c>
      <c r="Z1971" t="s">
        <v>184</v>
      </c>
      <c r="AA1971" t="s">
        <v>521</v>
      </c>
      <c r="AB1971" t="s">
        <v>925</v>
      </c>
      <c r="AC1971" t="s">
        <v>926</v>
      </c>
      <c r="AD1971" t="s">
        <v>927</v>
      </c>
      <c r="AH1971" t="s">
        <v>11</v>
      </c>
      <c r="AI1971" t="s">
        <v>928</v>
      </c>
      <c r="AJ1971">
        <v>1986</v>
      </c>
      <c r="AK1971" t="s">
        <v>929</v>
      </c>
      <c r="AM1971" t="s">
        <v>930</v>
      </c>
      <c r="AN1971" t="s">
        <v>192</v>
      </c>
      <c r="AO1971">
        <v>6</v>
      </c>
      <c r="AP1971" t="s">
        <v>78</v>
      </c>
      <c r="AQ1971" t="s">
        <v>931</v>
      </c>
      <c r="AR1971" t="s">
        <v>80</v>
      </c>
      <c r="AS1971">
        <v>305</v>
      </c>
      <c r="AT1971" t="s">
        <v>81</v>
      </c>
      <c r="AU1971">
        <v>16.68</v>
      </c>
      <c r="AV1971">
        <v>34.229999999999997</v>
      </c>
      <c r="AW1971" t="s">
        <v>82</v>
      </c>
      <c r="AX1971">
        <v>305</v>
      </c>
      <c r="AY1971" t="s">
        <v>81</v>
      </c>
      <c r="AZ1971">
        <v>6.4</v>
      </c>
      <c r="BA1971">
        <v>36.71</v>
      </c>
      <c r="BB1971" t="s">
        <v>83</v>
      </c>
    </row>
    <row r="1972" spans="1:54" x14ac:dyDescent="0.4">
      <c r="A1972">
        <v>486165</v>
      </c>
      <c r="D1972" t="s">
        <v>54</v>
      </c>
      <c r="E1972" t="s">
        <v>152</v>
      </c>
      <c r="G1972">
        <v>1</v>
      </c>
      <c r="H1972" t="s">
        <v>56</v>
      </c>
      <c r="I1972" t="s">
        <v>57</v>
      </c>
      <c r="K1972" t="s">
        <v>141</v>
      </c>
      <c r="L1972" t="s">
        <v>936</v>
      </c>
      <c r="M1972" t="s">
        <v>60</v>
      </c>
      <c r="P1972" t="s">
        <v>89</v>
      </c>
      <c r="R1972" t="s">
        <v>63</v>
      </c>
      <c r="S1972" t="s">
        <v>64</v>
      </c>
      <c r="T1972">
        <v>208.5</v>
      </c>
      <c r="U1972">
        <v>201.4</v>
      </c>
      <c r="V1972">
        <f t="shared" si="60"/>
        <v>204.95</v>
      </c>
      <c r="W1972">
        <f t="shared" si="61"/>
        <v>7.0999999999999943</v>
      </c>
      <c r="X1972">
        <v>-2.8166669999999998</v>
      </c>
      <c r="Y1972">
        <v>51.216670999999998</v>
      </c>
      <c r="Z1972" t="s">
        <v>124</v>
      </c>
      <c r="AA1972" t="s">
        <v>91</v>
      </c>
      <c r="AB1972" t="s">
        <v>92</v>
      </c>
      <c r="AC1972" t="s">
        <v>93</v>
      </c>
      <c r="AD1972" t="s">
        <v>937</v>
      </c>
      <c r="AE1972" t="s">
        <v>938</v>
      </c>
      <c r="AF1972" t="s">
        <v>939</v>
      </c>
      <c r="AH1972" t="s">
        <v>72</v>
      </c>
      <c r="AI1972" t="s">
        <v>365</v>
      </c>
      <c r="AJ1972">
        <v>1998</v>
      </c>
      <c r="AK1972" t="s">
        <v>940</v>
      </c>
      <c r="AN1972" t="s">
        <v>114</v>
      </c>
      <c r="AO1972">
        <v>5</v>
      </c>
      <c r="AP1972" t="s">
        <v>115</v>
      </c>
      <c r="AQ1972" t="s">
        <v>941</v>
      </c>
      <c r="AR1972" t="s">
        <v>80</v>
      </c>
      <c r="AS1972">
        <v>315</v>
      </c>
      <c r="AT1972" t="s">
        <v>81</v>
      </c>
      <c r="AU1972">
        <v>8.92</v>
      </c>
      <c r="AV1972">
        <v>33.909999999999997</v>
      </c>
      <c r="AW1972" t="s">
        <v>82</v>
      </c>
      <c r="AX1972">
        <v>315</v>
      </c>
      <c r="AY1972" t="s">
        <v>81</v>
      </c>
      <c r="AZ1972">
        <v>-1.62</v>
      </c>
      <c r="BA1972">
        <v>36.58</v>
      </c>
      <c r="BB1972" t="s">
        <v>83</v>
      </c>
    </row>
    <row r="1973" spans="1:54" x14ac:dyDescent="0.4">
      <c r="A1973">
        <v>486402</v>
      </c>
      <c r="D1973" t="s">
        <v>54</v>
      </c>
      <c r="E1973" t="s">
        <v>55</v>
      </c>
      <c r="G1973">
        <v>1</v>
      </c>
      <c r="H1973" t="s">
        <v>56</v>
      </c>
      <c r="I1973" t="s">
        <v>57</v>
      </c>
      <c r="K1973" t="s">
        <v>244</v>
      </c>
      <c r="L1973" t="s">
        <v>245</v>
      </c>
      <c r="M1973" t="s">
        <v>60</v>
      </c>
      <c r="O1973" t="s">
        <v>170</v>
      </c>
      <c r="P1973" t="s">
        <v>89</v>
      </c>
      <c r="R1973" t="s">
        <v>63</v>
      </c>
      <c r="S1973" t="s">
        <v>64</v>
      </c>
      <c r="T1973">
        <v>208.5</v>
      </c>
      <c r="U1973">
        <v>201.4</v>
      </c>
      <c r="V1973">
        <f t="shared" si="60"/>
        <v>204.95</v>
      </c>
      <c r="W1973">
        <f t="shared" si="61"/>
        <v>7.0999999999999943</v>
      </c>
      <c r="X1973">
        <v>9.0500000000000007</v>
      </c>
      <c r="Y1973">
        <v>48.533329000000002</v>
      </c>
      <c r="Z1973" t="s">
        <v>124</v>
      </c>
      <c r="AA1973" t="s">
        <v>211</v>
      </c>
      <c r="AB1973" t="s">
        <v>212</v>
      </c>
      <c r="AD1973" t="s">
        <v>267</v>
      </c>
      <c r="AE1973" t="s">
        <v>215</v>
      </c>
      <c r="AF1973" t="s">
        <v>268</v>
      </c>
      <c r="AH1973" t="s">
        <v>11</v>
      </c>
      <c r="AI1973" t="s">
        <v>693</v>
      </c>
      <c r="AJ1973">
        <v>1905</v>
      </c>
      <c r="AK1973" t="s">
        <v>966</v>
      </c>
      <c r="AM1973" t="s">
        <v>967</v>
      </c>
      <c r="AN1973" t="s">
        <v>114</v>
      </c>
      <c r="AO1973">
        <v>5</v>
      </c>
      <c r="AP1973" t="s">
        <v>78</v>
      </c>
      <c r="AQ1973" t="s">
        <v>968</v>
      </c>
      <c r="AR1973" t="s">
        <v>80</v>
      </c>
      <c r="AS1973">
        <v>305</v>
      </c>
      <c r="AT1973" t="s">
        <v>81</v>
      </c>
      <c r="AU1973">
        <v>18.64</v>
      </c>
      <c r="AV1973">
        <v>35.020000000000003</v>
      </c>
      <c r="AW1973" t="s">
        <v>82</v>
      </c>
      <c r="AX1973">
        <v>305</v>
      </c>
      <c r="AY1973" t="s">
        <v>81</v>
      </c>
      <c r="AZ1973">
        <v>8.4600000000000009</v>
      </c>
      <c r="BA1973">
        <v>37.44</v>
      </c>
      <c r="BB1973" t="s">
        <v>83</v>
      </c>
    </row>
    <row r="1974" spans="1:54" x14ac:dyDescent="0.4">
      <c r="A1974">
        <v>486407</v>
      </c>
      <c r="D1974" t="s">
        <v>54</v>
      </c>
      <c r="E1974" t="s">
        <v>152</v>
      </c>
      <c r="G1974">
        <v>1</v>
      </c>
      <c r="H1974" t="s">
        <v>56</v>
      </c>
      <c r="I1974" t="s">
        <v>57</v>
      </c>
      <c r="K1974" t="s">
        <v>244</v>
      </c>
      <c r="L1974" t="s">
        <v>245</v>
      </c>
      <c r="M1974" t="s">
        <v>60</v>
      </c>
      <c r="O1974" t="s">
        <v>170</v>
      </c>
      <c r="P1974" t="s">
        <v>89</v>
      </c>
      <c r="R1974" t="s">
        <v>63</v>
      </c>
      <c r="S1974" t="s">
        <v>64</v>
      </c>
      <c r="T1974">
        <v>208.5</v>
      </c>
      <c r="U1974">
        <v>201.4</v>
      </c>
      <c r="V1974">
        <f t="shared" si="60"/>
        <v>204.95</v>
      </c>
      <c r="W1974">
        <f t="shared" si="61"/>
        <v>7.0999999999999943</v>
      </c>
      <c r="X1974">
        <v>9.1</v>
      </c>
      <c r="Y1974">
        <v>48.733299000000002</v>
      </c>
      <c r="Z1974" t="s">
        <v>124</v>
      </c>
      <c r="AA1974" t="s">
        <v>211</v>
      </c>
      <c r="AB1974" t="s">
        <v>212</v>
      </c>
      <c r="AD1974" t="s">
        <v>267</v>
      </c>
      <c r="AH1974" t="s">
        <v>72</v>
      </c>
      <c r="AI1974" t="s">
        <v>693</v>
      </c>
      <c r="AJ1974">
        <v>1905</v>
      </c>
      <c r="AK1974" t="s">
        <v>972</v>
      </c>
      <c r="AN1974" t="s">
        <v>114</v>
      </c>
      <c r="AO1974">
        <v>4</v>
      </c>
      <c r="AP1974" t="s">
        <v>115</v>
      </c>
      <c r="AQ1974" t="s">
        <v>973</v>
      </c>
      <c r="AR1974" t="s">
        <v>80</v>
      </c>
      <c r="AS1974">
        <v>305</v>
      </c>
      <c r="AT1974" t="s">
        <v>81</v>
      </c>
      <c r="AU1974">
        <v>18.559999999999999</v>
      </c>
      <c r="AV1974">
        <v>35.21</v>
      </c>
      <c r="AW1974" t="s">
        <v>82</v>
      </c>
      <c r="AX1974">
        <v>305</v>
      </c>
      <c r="AY1974" t="s">
        <v>81</v>
      </c>
      <c r="AZ1974">
        <v>8.39</v>
      </c>
      <c r="BA1974">
        <v>37.630000000000003</v>
      </c>
      <c r="BB1974" t="s">
        <v>83</v>
      </c>
    </row>
    <row r="1975" spans="1:54" x14ac:dyDescent="0.4">
      <c r="A1975">
        <v>486407</v>
      </c>
      <c r="D1975" t="s">
        <v>54</v>
      </c>
      <c r="E1975" t="s">
        <v>152</v>
      </c>
      <c r="G1975">
        <v>1</v>
      </c>
      <c r="H1975" t="s">
        <v>56</v>
      </c>
      <c r="I1975" t="s">
        <v>57</v>
      </c>
      <c r="K1975" t="s">
        <v>244</v>
      </c>
      <c r="L1975" t="s">
        <v>245</v>
      </c>
      <c r="M1975" t="s">
        <v>60</v>
      </c>
      <c r="O1975" t="s">
        <v>170</v>
      </c>
      <c r="P1975" t="s">
        <v>89</v>
      </c>
      <c r="R1975" t="s">
        <v>63</v>
      </c>
      <c r="S1975" t="s">
        <v>64</v>
      </c>
      <c r="T1975">
        <v>208.5</v>
      </c>
      <c r="U1975">
        <v>201.4</v>
      </c>
      <c r="V1975">
        <f t="shared" si="60"/>
        <v>204.95</v>
      </c>
      <c r="W1975">
        <f t="shared" si="61"/>
        <v>7.0999999999999943</v>
      </c>
      <c r="X1975">
        <v>9.1</v>
      </c>
      <c r="Y1975">
        <v>48.733299000000002</v>
      </c>
      <c r="Z1975" t="s">
        <v>124</v>
      </c>
      <c r="AA1975" t="s">
        <v>211</v>
      </c>
      <c r="AB1975" t="s">
        <v>212</v>
      </c>
      <c r="AD1975" t="s">
        <v>267</v>
      </c>
      <c r="AH1975" t="s">
        <v>72</v>
      </c>
      <c r="AI1975" t="s">
        <v>693</v>
      </c>
      <c r="AJ1975">
        <v>1905</v>
      </c>
      <c r="AK1975" t="s">
        <v>972</v>
      </c>
      <c r="AN1975" t="s">
        <v>114</v>
      </c>
      <c r="AO1975">
        <v>4</v>
      </c>
      <c r="AP1975" t="s">
        <v>115</v>
      </c>
      <c r="AQ1975" t="s">
        <v>973</v>
      </c>
      <c r="AR1975" t="s">
        <v>80</v>
      </c>
      <c r="AS1975">
        <v>305</v>
      </c>
      <c r="AT1975" t="s">
        <v>81</v>
      </c>
      <c r="AU1975">
        <v>18.559999999999999</v>
      </c>
      <c r="AV1975">
        <v>35.21</v>
      </c>
      <c r="AW1975" t="s">
        <v>82</v>
      </c>
      <c r="AX1975">
        <v>305</v>
      </c>
      <c r="AY1975" t="s">
        <v>81</v>
      </c>
      <c r="AZ1975">
        <v>8.39</v>
      </c>
      <c r="BA1975">
        <v>37.630000000000003</v>
      </c>
      <c r="BB1975" t="s">
        <v>83</v>
      </c>
    </row>
    <row r="1976" spans="1:54" x14ac:dyDescent="0.4">
      <c r="A1976">
        <v>486411</v>
      </c>
      <c r="D1976" t="s">
        <v>54</v>
      </c>
      <c r="E1976" t="s">
        <v>55</v>
      </c>
      <c r="G1976">
        <v>1</v>
      </c>
      <c r="H1976" t="s">
        <v>56</v>
      </c>
      <c r="I1976" t="s">
        <v>57</v>
      </c>
      <c r="K1976" t="s">
        <v>244</v>
      </c>
      <c r="L1976" t="s">
        <v>245</v>
      </c>
      <c r="M1976" t="s">
        <v>60</v>
      </c>
      <c r="O1976" t="s">
        <v>170</v>
      </c>
      <c r="P1976" t="s">
        <v>89</v>
      </c>
      <c r="R1976" t="s">
        <v>63</v>
      </c>
      <c r="S1976" t="s">
        <v>64</v>
      </c>
      <c r="T1976">
        <v>208.5</v>
      </c>
      <c r="U1976">
        <v>201.4</v>
      </c>
      <c r="V1976">
        <f t="shared" si="60"/>
        <v>204.95</v>
      </c>
      <c r="W1976">
        <f t="shared" si="61"/>
        <v>7.0999999999999943</v>
      </c>
      <c r="X1976">
        <v>11.073611</v>
      </c>
      <c r="Y1976">
        <v>51.897499000000003</v>
      </c>
      <c r="Z1976" t="s">
        <v>198</v>
      </c>
      <c r="AA1976" t="s">
        <v>211</v>
      </c>
      <c r="AB1976" t="s">
        <v>266</v>
      </c>
      <c r="AD1976" t="s">
        <v>267</v>
      </c>
      <c r="AE1976" t="s">
        <v>215</v>
      </c>
      <c r="AF1976" t="s">
        <v>268</v>
      </c>
      <c r="AH1976" t="s">
        <v>72</v>
      </c>
      <c r="AI1976" t="s">
        <v>365</v>
      </c>
      <c r="AJ1976">
        <v>2001</v>
      </c>
      <c r="AK1976" t="s">
        <v>270</v>
      </c>
      <c r="AM1976" t="s">
        <v>271</v>
      </c>
      <c r="AN1976" t="s">
        <v>114</v>
      </c>
      <c r="AO1976" t="s">
        <v>77</v>
      </c>
      <c r="AP1976" t="s">
        <v>78</v>
      </c>
      <c r="AQ1976" t="s">
        <v>272</v>
      </c>
      <c r="AR1976" t="s">
        <v>80</v>
      </c>
      <c r="AS1976">
        <v>315</v>
      </c>
      <c r="AT1976" t="s">
        <v>81</v>
      </c>
      <c r="AU1976">
        <v>17.95</v>
      </c>
      <c r="AV1976">
        <v>38.58</v>
      </c>
      <c r="AW1976" t="s">
        <v>82</v>
      </c>
      <c r="AX1976">
        <v>315</v>
      </c>
      <c r="AY1976" t="s">
        <v>81</v>
      </c>
      <c r="AZ1976">
        <v>7.92</v>
      </c>
      <c r="BA1976">
        <v>41.02</v>
      </c>
      <c r="BB1976" t="s">
        <v>83</v>
      </c>
    </row>
    <row r="1977" spans="1:54" x14ac:dyDescent="0.4">
      <c r="A1977">
        <v>486411</v>
      </c>
      <c r="D1977" t="s">
        <v>54</v>
      </c>
      <c r="E1977" t="s">
        <v>55</v>
      </c>
      <c r="G1977">
        <v>1</v>
      </c>
      <c r="H1977" t="s">
        <v>56</v>
      </c>
      <c r="I1977" t="s">
        <v>57</v>
      </c>
      <c r="K1977" t="s">
        <v>244</v>
      </c>
      <c r="L1977" t="s">
        <v>245</v>
      </c>
      <c r="M1977" t="s">
        <v>60</v>
      </c>
      <c r="O1977" t="s">
        <v>170</v>
      </c>
      <c r="P1977" t="s">
        <v>89</v>
      </c>
      <c r="R1977" t="s">
        <v>63</v>
      </c>
      <c r="S1977" t="s">
        <v>64</v>
      </c>
      <c r="T1977">
        <v>208.5</v>
      </c>
      <c r="U1977">
        <v>201.4</v>
      </c>
      <c r="V1977">
        <f t="shared" si="60"/>
        <v>204.95</v>
      </c>
      <c r="W1977">
        <f t="shared" si="61"/>
        <v>7.0999999999999943</v>
      </c>
      <c r="X1977">
        <v>11.073611</v>
      </c>
      <c r="Y1977">
        <v>51.897499000000003</v>
      </c>
      <c r="Z1977" t="s">
        <v>198</v>
      </c>
      <c r="AA1977" t="s">
        <v>211</v>
      </c>
      <c r="AB1977" t="s">
        <v>266</v>
      </c>
      <c r="AD1977" t="s">
        <v>267</v>
      </c>
      <c r="AE1977" t="s">
        <v>215</v>
      </c>
      <c r="AF1977" t="s">
        <v>268</v>
      </c>
      <c r="AH1977" t="s">
        <v>72</v>
      </c>
      <c r="AI1977" t="s">
        <v>365</v>
      </c>
      <c r="AJ1977">
        <v>2001</v>
      </c>
      <c r="AK1977" t="s">
        <v>270</v>
      </c>
      <c r="AM1977" t="s">
        <v>271</v>
      </c>
      <c r="AN1977" t="s">
        <v>114</v>
      </c>
      <c r="AO1977" t="s">
        <v>77</v>
      </c>
      <c r="AP1977" t="s">
        <v>78</v>
      </c>
      <c r="AQ1977" t="s">
        <v>272</v>
      </c>
      <c r="AR1977" t="s">
        <v>80</v>
      </c>
      <c r="AS1977">
        <v>315</v>
      </c>
      <c r="AT1977" t="s">
        <v>81</v>
      </c>
      <c r="AU1977">
        <v>17.95</v>
      </c>
      <c r="AV1977">
        <v>38.58</v>
      </c>
      <c r="AW1977" t="s">
        <v>82</v>
      </c>
      <c r="AX1977">
        <v>315</v>
      </c>
      <c r="AY1977" t="s">
        <v>81</v>
      </c>
      <c r="AZ1977">
        <v>7.92</v>
      </c>
      <c r="BA1977">
        <v>41.02</v>
      </c>
      <c r="BB1977" t="s">
        <v>83</v>
      </c>
    </row>
    <row r="1978" spans="1:54" x14ac:dyDescent="0.4">
      <c r="A1978">
        <v>486411</v>
      </c>
      <c r="D1978" t="s">
        <v>54</v>
      </c>
      <c r="E1978" t="s">
        <v>55</v>
      </c>
      <c r="G1978">
        <v>1</v>
      </c>
      <c r="H1978" t="s">
        <v>56</v>
      </c>
      <c r="I1978" t="s">
        <v>57</v>
      </c>
      <c r="K1978" t="s">
        <v>244</v>
      </c>
      <c r="L1978" t="s">
        <v>245</v>
      </c>
      <c r="M1978" t="s">
        <v>60</v>
      </c>
      <c r="O1978" t="s">
        <v>170</v>
      </c>
      <c r="P1978" t="s">
        <v>89</v>
      </c>
      <c r="R1978" t="s">
        <v>63</v>
      </c>
      <c r="S1978" t="s">
        <v>64</v>
      </c>
      <c r="T1978">
        <v>208.5</v>
      </c>
      <c r="U1978">
        <v>201.4</v>
      </c>
      <c r="V1978">
        <f t="shared" si="60"/>
        <v>204.95</v>
      </c>
      <c r="W1978">
        <f t="shared" si="61"/>
        <v>7.0999999999999943</v>
      </c>
      <c r="X1978">
        <v>11.073611</v>
      </c>
      <c r="Y1978">
        <v>51.897499000000003</v>
      </c>
      <c r="Z1978" t="s">
        <v>198</v>
      </c>
      <c r="AA1978" t="s">
        <v>211</v>
      </c>
      <c r="AB1978" t="s">
        <v>266</v>
      </c>
      <c r="AD1978" t="s">
        <v>267</v>
      </c>
      <c r="AE1978" t="s">
        <v>215</v>
      </c>
      <c r="AF1978" t="s">
        <v>268</v>
      </c>
      <c r="AH1978" t="s">
        <v>72</v>
      </c>
      <c r="AI1978" t="s">
        <v>365</v>
      </c>
      <c r="AJ1978">
        <v>2001</v>
      </c>
      <c r="AK1978" t="s">
        <v>270</v>
      </c>
      <c r="AM1978" t="s">
        <v>271</v>
      </c>
      <c r="AN1978" t="s">
        <v>114</v>
      </c>
      <c r="AO1978" t="s">
        <v>77</v>
      </c>
      <c r="AP1978" t="s">
        <v>78</v>
      </c>
      <c r="AQ1978" t="s">
        <v>272</v>
      </c>
      <c r="AR1978" t="s">
        <v>80</v>
      </c>
      <c r="AS1978">
        <v>315</v>
      </c>
      <c r="AT1978" t="s">
        <v>81</v>
      </c>
      <c r="AU1978">
        <v>17.95</v>
      </c>
      <c r="AV1978">
        <v>38.58</v>
      </c>
      <c r="AW1978" t="s">
        <v>82</v>
      </c>
      <c r="AX1978">
        <v>315</v>
      </c>
      <c r="AY1978" t="s">
        <v>81</v>
      </c>
      <c r="AZ1978">
        <v>7.92</v>
      </c>
      <c r="BA1978">
        <v>41.02</v>
      </c>
      <c r="BB1978" t="s">
        <v>83</v>
      </c>
    </row>
    <row r="1979" spans="1:54" x14ac:dyDescent="0.4">
      <c r="A1979">
        <v>486411</v>
      </c>
      <c r="D1979" t="s">
        <v>54</v>
      </c>
      <c r="E1979" t="s">
        <v>55</v>
      </c>
      <c r="G1979">
        <v>1</v>
      </c>
      <c r="H1979" t="s">
        <v>56</v>
      </c>
      <c r="I1979" t="s">
        <v>57</v>
      </c>
      <c r="K1979" t="s">
        <v>244</v>
      </c>
      <c r="L1979" t="s">
        <v>245</v>
      </c>
      <c r="M1979" t="s">
        <v>60</v>
      </c>
      <c r="O1979" t="s">
        <v>170</v>
      </c>
      <c r="P1979" t="s">
        <v>89</v>
      </c>
      <c r="R1979" t="s">
        <v>63</v>
      </c>
      <c r="S1979" t="s">
        <v>64</v>
      </c>
      <c r="T1979">
        <v>208.5</v>
      </c>
      <c r="U1979">
        <v>201.4</v>
      </c>
      <c r="V1979">
        <f t="shared" si="60"/>
        <v>204.95</v>
      </c>
      <c r="W1979">
        <f t="shared" si="61"/>
        <v>7.0999999999999943</v>
      </c>
      <c r="X1979">
        <v>11.073611</v>
      </c>
      <c r="Y1979">
        <v>51.897499000000003</v>
      </c>
      <c r="Z1979" t="s">
        <v>198</v>
      </c>
      <c r="AA1979" t="s">
        <v>211</v>
      </c>
      <c r="AB1979" t="s">
        <v>266</v>
      </c>
      <c r="AD1979" t="s">
        <v>267</v>
      </c>
      <c r="AE1979" t="s">
        <v>215</v>
      </c>
      <c r="AF1979" t="s">
        <v>268</v>
      </c>
      <c r="AH1979" t="s">
        <v>72</v>
      </c>
      <c r="AI1979" t="s">
        <v>365</v>
      </c>
      <c r="AJ1979">
        <v>2001</v>
      </c>
      <c r="AK1979" t="s">
        <v>270</v>
      </c>
      <c r="AM1979" t="s">
        <v>271</v>
      </c>
      <c r="AN1979" t="s">
        <v>114</v>
      </c>
      <c r="AO1979" t="s">
        <v>77</v>
      </c>
      <c r="AP1979" t="s">
        <v>78</v>
      </c>
      <c r="AQ1979" t="s">
        <v>272</v>
      </c>
      <c r="AR1979" t="s">
        <v>80</v>
      </c>
      <c r="AS1979">
        <v>315</v>
      </c>
      <c r="AT1979" t="s">
        <v>81</v>
      </c>
      <c r="AU1979">
        <v>17.95</v>
      </c>
      <c r="AV1979">
        <v>38.58</v>
      </c>
      <c r="AW1979" t="s">
        <v>82</v>
      </c>
      <c r="AX1979">
        <v>315</v>
      </c>
      <c r="AY1979" t="s">
        <v>81</v>
      </c>
      <c r="AZ1979">
        <v>7.92</v>
      </c>
      <c r="BA1979">
        <v>41.02</v>
      </c>
      <c r="BB1979" t="s">
        <v>83</v>
      </c>
    </row>
    <row r="1980" spans="1:54" x14ac:dyDescent="0.4">
      <c r="A1980">
        <v>486411</v>
      </c>
      <c r="D1980" t="s">
        <v>54</v>
      </c>
      <c r="E1980" t="s">
        <v>55</v>
      </c>
      <c r="G1980">
        <v>1</v>
      </c>
      <c r="H1980" t="s">
        <v>56</v>
      </c>
      <c r="I1980" t="s">
        <v>57</v>
      </c>
      <c r="K1980" t="s">
        <v>244</v>
      </c>
      <c r="L1980" t="s">
        <v>245</v>
      </c>
      <c r="M1980" t="s">
        <v>60</v>
      </c>
      <c r="O1980" t="s">
        <v>170</v>
      </c>
      <c r="P1980" t="s">
        <v>89</v>
      </c>
      <c r="R1980" t="s">
        <v>63</v>
      </c>
      <c r="S1980" t="s">
        <v>64</v>
      </c>
      <c r="T1980">
        <v>208.5</v>
      </c>
      <c r="U1980">
        <v>201.4</v>
      </c>
      <c r="V1980">
        <f t="shared" si="60"/>
        <v>204.95</v>
      </c>
      <c r="W1980">
        <f t="shared" si="61"/>
        <v>7.0999999999999943</v>
      </c>
      <c r="X1980">
        <v>11.073611</v>
      </c>
      <c r="Y1980">
        <v>51.897499000000003</v>
      </c>
      <c r="Z1980" t="s">
        <v>198</v>
      </c>
      <c r="AA1980" t="s">
        <v>211</v>
      </c>
      <c r="AB1980" t="s">
        <v>266</v>
      </c>
      <c r="AD1980" t="s">
        <v>267</v>
      </c>
      <c r="AE1980" t="s">
        <v>215</v>
      </c>
      <c r="AF1980" t="s">
        <v>268</v>
      </c>
      <c r="AH1980" t="s">
        <v>72</v>
      </c>
      <c r="AI1980" t="s">
        <v>365</v>
      </c>
      <c r="AJ1980">
        <v>2001</v>
      </c>
      <c r="AK1980" t="s">
        <v>270</v>
      </c>
      <c r="AM1980" t="s">
        <v>271</v>
      </c>
      <c r="AN1980" t="s">
        <v>114</v>
      </c>
      <c r="AO1980" t="s">
        <v>77</v>
      </c>
      <c r="AP1980" t="s">
        <v>78</v>
      </c>
      <c r="AQ1980" t="s">
        <v>272</v>
      </c>
      <c r="AR1980" t="s">
        <v>80</v>
      </c>
      <c r="AS1980">
        <v>315</v>
      </c>
      <c r="AT1980" t="s">
        <v>81</v>
      </c>
      <c r="AU1980">
        <v>17.95</v>
      </c>
      <c r="AV1980">
        <v>38.58</v>
      </c>
      <c r="AW1980" t="s">
        <v>82</v>
      </c>
      <c r="AX1980">
        <v>315</v>
      </c>
      <c r="AY1980" t="s">
        <v>81</v>
      </c>
      <c r="AZ1980">
        <v>7.92</v>
      </c>
      <c r="BA1980">
        <v>41.02</v>
      </c>
      <c r="BB1980" t="s">
        <v>83</v>
      </c>
    </row>
    <row r="1981" spans="1:54" x14ac:dyDescent="0.4">
      <c r="A1981">
        <v>486411</v>
      </c>
      <c r="D1981" t="s">
        <v>54</v>
      </c>
      <c r="E1981" t="s">
        <v>55</v>
      </c>
      <c r="G1981">
        <v>1</v>
      </c>
      <c r="H1981" t="s">
        <v>56</v>
      </c>
      <c r="I1981" t="s">
        <v>57</v>
      </c>
      <c r="K1981" t="s">
        <v>244</v>
      </c>
      <c r="L1981" t="s">
        <v>245</v>
      </c>
      <c r="M1981" t="s">
        <v>60</v>
      </c>
      <c r="O1981" t="s">
        <v>170</v>
      </c>
      <c r="P1981" t="s">
        <v>89</v>
      </c>
      <c r="R1981" t="s">
        <v>63</v>
      </c>
      <c r="S1981" t="s">
        <v>64</v>
      </c>
      <c r="T1981">
        <v>208.5</v>
      </c>
      <c r="U1981">
        <v>201.4</v>
      </c>
      <c r="V1981">
        <f t="shared" si="60"/>
        <v>204.95</v>
      </c>
      <c r="W1981">
        <f t="shared" si="61"/>
        <v>7.0999999999999943</v>
      </c>
      <c r="X1981">
        <v>11.073611</v>
      </c>
      <c r="Y1981">
        <v>51.897499000000003</v>
      </c>
      <c r="Z1981" t="s">
        <v>198</v>
      </c>
      <c r="AA1981" t="s">
        <v>211</v>
      </c>
      <c r="AB1981" t="s">
        <v>266</v>
      </c>
      <c r="AD1981" t="s">
        <v>267</v>
      </c>
      <c r="AE1981" t="s">
        <v>215</v>
      </c>
      <c r="AF1981" t="s">
        <v>268</v>
      </c>
      <c r="AH1981" t="s">
        <v>72</v>
      </c>
      <c r="AI1981" t="s">
        <v>365</v>
      </c>
      <c r="AJ1981">
        <v>2001</v>
      </c>
      <c r="AK1981" t="s">
        <v>270</v>
      </c>
      <c r="AM1981" t="s">
        <v>271</v>
      </c>
      <c r="AN1981" t="s">
        <v>114</v>
      </c>
      <c r="AO1981" t="s">
        <v>77</v>
      </c>
      <c r="AP1981" t="s">
        <v>78</v>
      </c>
      <c r="AQ1981" t="s">
        <v>272</v>
      </c>
      <c r="AR1981" t="s">
        <v>80</v>
      </c>
      <c r="AS1981">
        <v>315</v>
      </c>
      <c r="AT1981" t="s">
        <v>81</v>
      </c>
      <c r="AU1981">
        <v>17.95</v>
      </c>
      <c r="AV1981">
        <v>38.58</v>
      </c>
      <c r="AW1981" t="s">
        <v>82</v>
      </c>
      <c r="AX1981">
        <v>315</v>
      </c>
      <c r="AY1981" t="s">
        <v>81</v>
      </c>
      <c r="AZ1981">
        <v>7.92</v>
      </c>
      <c r="BA1981">
        <v>41.02</v>
      </c>
      <c r="BB1981" t="s">
        <v>83</v>
      </c>
    </row>
    <row r="1982" spans="1:54" x14ac:dyDescent="0.4">
      <c r="A1982">
        <v>486411</v>
      </c>
      <c r="D1982" t="s">
        <v>54</v>
      </c>
      <c r="E1982" t="s">
        <v>55</v>
      </c>
      <c r="G1982">
        <v>1</v>
      </c>
      <c r="H1982" t="s">
        <v>56</v>
      </c>
      <c r="I1982" t="s">
        <v>57</v>
      </c>
      <c r="K1982" t="s">
        <v>244</v>
      </c>
      <c r="L1982" t="s">
        <v>245</v>
      </c>
      <c r="M1982" t="s">
        <v>60</v>
      </c>
      <c r="O1982" t="s">
        <v>170</v>
      </c>
      <c r="P1982" t="s">
        <v>89</v>
      </c>
      <c r="R1982" t="s">
        <v>63</v>
      </c>
      <c r="S1982" t="s">
        <v>64</v>
      </c>
      <c r="T1982">
        <v>208.5</v>
      </c>
      <c r="U1982">
        <v>201.4</v>
      </c>
      <c r="V1982">
        <f t="shared" si="60"/>
        <v>204.95</v>
      </c>
      <c r="W1982">
        <f t="shared" si="61"/>
        <v>7.0999999999999943</v>
      </c>
      <c r="X1982">
        <v>11.073611</v>
      </c>
      <c r="Y1982">
        <v>51.897499000000003</v>
      </c>
      <c r="Z1982" t="s">
        <v>198</v>
      </c>
      <c r="AA1982" t="s">
        <v>211</v>
      </c>
      <c r="AB1982" t="s">
        <v>266</v>
      </c>
      <c r="AD1982" t="s">
        <v>267</v>
      </c>
      <c r="AE1982" t="s">
        <v>215</v>
      </c>
      <c r="AF1982" t="s">
        <v>268</v>
      </c>
      <c r="AH1982" t="s">
        <v>72</v>
      </c>
      <c r="AI1982" t="s">
        <v>365</v>
      </c>
      <c r="AJ1982">
        <v>2001</v>
      </c>
      <c r="AK1982" t="s">
        <v>270</v>
      </c>
      <c r="AM1982" t="s">
        <v>271</v>
      </c>
      <c r="AN1982" t="s">
        <v>114</v>
      </c>
      <c r="AO1982" t="s">
        <v>77</v>
      </c>
      <c r="AP1982" t="s">
        <v>78</v>
      </c>
      <c r="AQ1982" t="s">
        <v>272</v>
      </c>
      <c r="AR1982" t="s">
        <v>80</v>
      </c>
      <c r="AS1982">
        <v>315</v>
      </c>
      <c r="AT1982" t="s">
        <v>81</v>
      </c>
      <c r="AU1982">
        <v>17.95</v>
      </c>
      <c r="AV1982">
        <v>38.58</v>
      </c>
      <c r="AW1982" t="s">
        <v>82</v>
      </c>
      <c r="AX1982">
        <v>315</v>
      </c>
      <c r="AY1982" t="s">
        <v>81</v>
      </c>
      <c r="AZ1982">
        <v>7.92</v>
      </c>
      <c r="BA1982">
        <v>41.02</v>
      </c>
      <c r="BB1982" t="s">
        <v>83</v>
      </c>
    </row>
    <row r="1983" spans="1:54" x14ac:dyDescent="0.4">
      <c r="A1983">
        <v>486411</v>
      </c>
      <c r="D1983" t="s">
        <v>54</v>
      </c>
      <c r="E1983" t="s">
        <v>55</v>
      </c>
      <c r="G1983">
        <v>1</v>
      </c>
      <c r="H1983" t="s">
        <v>56</v>
      </c>
      <c r="I1983" t="s">
        <v>57</v>
      </c>
      <c r="K1983" t="s">
        <v>244</v>
      </c>
      <c r="L1983" t="s">
        <v>245</v>
      </c>
      <c r="M1983" t="s">
        <v>60</v>
      </c>
      <c r="O1983" t="s">
        <v>170</v>
      </c>
      <c r="P1983" t="s">
        <v>89</v>
      </c>
      <c r="R1983" t="s">
        <v>63</v>
      </c>
      <c r="S1983" t="s">
        <v>64</v>
      </c>
      <c r="T1983">
        <v>208.5</v>
      </c>
      <c r="U1983">
        <v>201.4</v>
      </c>
      <c r="V1983">
        <f t="shared" si="60"/>
        <v>204.95</v>
      </c>
      <c r="W1983">
        <f t="shared" si="61"/>
        <v>7.0999999999999943</v>
      </c>
      <c r="X1983">
        <v>11.073611</v>
      </c>
      <c r="Y1983">
        <v>51.897499000000003</v>
      </c>
      <c r="Z1983" t="s">
        <v>198</v>
      </c>
      <c r="AA1983" t="s">
        <v>211</v>
      </c>
      <c r="AB1983" t="s">
        <v>266</v>
      </c>
      <c r="AD1983" t="s">
        <v>267</v>
      </c>
      <c r="AE1983" t="s">
        <v>215</v>
      </c>
      <c r="AF1983" t="s">
        <v>268</v>
      </c>
      <c r="AH1983" t="s">
        <v>72</v>
      </c>
      <c r="AI1983" t="s">
        <v>365</v>
      </c>
      <c r="AJ1983">
        <v>2001</v>
      </c>
      <c r="AK1983" t="s">
        <v>270</v>
      </c>
      <c r="AM1983" t="s">
        <v>271</v>
      </c>
      <c r="AN1983" t="s">
        <v>114</v>
      </c>
      <c r="AO1983" t="s">
        <v>77</v>
      </c>
      <c r="AP1983" t="s">
        <v>78</v>
      </c>
      <c r="AQ1983" t="s">
        <v>272</v>
      </c>
      <c r="AR1983" t="s">
        <v>80</v>
      </c>
      <c r="AS1983">
        <v>315</v>
      </c>
      <c r="AT1983" t="s">
        <v>81</v>
      </c>
      <c r="AU1983">
        <v>17.95</v>
      </c>
      <c r="AV1983">
        <v>38.58</v>
      </c>
      <c r="AW1983" t="s">
        <v>82</v>
      </c>
      <c r="AX1983">
        <v>315</v>
      </c>
      <c r="AY1983" t="s">
        <v>81</v>
      </c>
      <c r="AZ1983">
        <v>7.92</v>
      </c>
      <c r="BA1983">
        <v>41.02</v>
      </c>
      <c r="BB1983" t="s">
        <v>83</v>
      </c>
    </row>
    <row r="1984" spans="1:54" x14ac:dyDescent="0.4">
      <c r="A1984">
        <v>486411</v>
      </c>
      <c r="D1984" t="s">
        <v>54</v>
      </c>
      <c r="E1984" t="s">
        <v>55</v>
      </c>
      <c r="G1984">
        <v>1</v>
      </c>
      <c r="H1984" t="s">
        <v>56</v>
      </c>
      <c r="I1984" t="s">
        <v>57</v>
      </c>
      <c r="K1984" t="s">
        <v>244</v>
      </c>
      <c r="L1984" t="s">
        <v>245</v>
      </c>
      <c r="M1984" t="s">
        <v>60</v>
      </c>
      <c r="O1984" t="s">
        <v>170</v>
      </c>
      <c r="P1984" t="s">
        <v>89</v>
      </c>
      <c r="R1984" t="s">
        <v>63</v>
      </c>
      <c r="S1984" t="s">
        <v>64</v>
      </c>
      <c r="T1984">
        <v>208.5</v>
      </c>
      <c r="U1984">
        <v>201.4</v>
      </c>
      <c r="V1984">
        <f t="shared" si="60"/>
        <v>204.95</v>
      </c>
      <c r="W1984">
        <f t="shared" si="61"/>
        <v>7.0999999999999943</v>
      </c>
      <c r="X1984">
        <v>11.073611</v>
      </c>
      <c r="Y1984">
        <v>51.897499000000003</v>
      </c>
      <c r="Z1984" t="s">
        <v>198</v>
      </c>
      <c r="AA1984" t="s">
        <v>211</v>
      </c>
      <c r="AB1984" t="s">
        <v>266</v>
      </c>
      <c r="AD1984" t="s">
        <v>267</v>
      </c>
      <c r="AE1984" t="s">
        <v>215</v>
      </c>
      <c r="AF1984" t="s">
        <v>268</v>
      </c>
      <c r="AH1984" t="s">
        <v>72</v>
      </c>
      <c r="AI1984" t="s">
        <v>365</v>
      </c>
      <c r="AJ1984">
        <v>2001</v>
      </c>
      <c r="AK1984" t="s">
        <v>270</v>
      </c>
      <c r="AM1984" t="s">
        <v>271</v>
      </c>
      <c r="AN1984" t="s">
        <v>114</v>
      </c>
      <c r="AO1984" t="s">
        <v>77</v>
      </c>
      <c r="AP1984" t="s">
        <v>78</v>
      </c>
      <c r="AQ1984" t="s">
        <v>272</v>
      </c>
      <c r="AR1984" t="s">
        <v>80</v>
      </c>
      <c r="AS1984">
        <v>315</v>
      </c>
      <c r="AT1984" t="s">
        <v>81</v>
      </c>
      <c r="AU1984">
        <v>17.95</v>
      </c>
      <c r="AV1984">
        <v>38.58</v>
      </c>
      <c r="AW1984" t="s">
        <v>82</v>
      </c>
      <c r="AX1984">
        <v>315</v>
      </c>
      <c r="AY1984" t="s">
        <v>81</v>
      </c>
      <c r="AZ1984">
        <v>7.92</v>
      </c>
      <c r="BA1984">
        <v>41.02</v>
      </c>
      <c r="BB1984" t="s">
        <v>83</v>
      </c>
    </row>
    <row r="1985" spans="1:54" x14ac:dyDescent="0.4">
      <c r="A1985">
        <v>486411</v>
      </c>
      <c r="D1985" t="s">
        <v>54</v>
      </c>
      <c r="E1985" t="s">
        <v>55</v>
      </c>
      <c r="G1985">
        <v>1</v>
      </c>
      <c r="H1985" t="s">
        <v>56</v>
      </c>
      <c r="I1985" t="s">
        <v>57</v>
      </c>
      <c r="K1985" t="s">
        <v>244</v>
      </c>
      <c r="L1985" t="s">
        <v>245</v>
      </c>
      <c r="M1985" t="s">
        <v>60</v>
      </c>
      <c r="O1985" t="s">
        <v>170</v>
      </c>
      <c r="P1985" t="s">
        <v>89</v>
      </c>
      <c r="R1985" t="s">
        <v>63</v>
      </c>
      <c r="S1985" t="s">
        <v>64</v>
      </c>
      <c r="T1985">
        <v>208.5</v>
      </c>
      <c r="U1985">
        <v>201.4</v>
      </c>
      <c r="V1985">
        <f t="shared" si="60"/>
        <v>204.95</v>
      </c>
      <c r="W1985">
        <f t="shared" si="61"/>
        <v>7.0999999999999943</v>
      </c>
      <c r="X1985">
        <v>11.073611</v>
      </c>
      <c r="Y1985">
        <v>51.897499000000003</v>
      </c>
      <c r="Z1985" t="s">
        <v>198</v>
      </c>
      <c r="AA1985" t="s">
        <v>211</v>
      </c>
      <c r="AB1985" t="s">
        <v>266</v>
      </c>
      <c r="AD1985" t="s">
        <v>267</v>
      </c>
      <c r="AE1985" t="s">
        <v>215</v>
      </c>
      <c r="AF1985" t="s">
        <v>268</v>
      </c>
      <c r="AH1985" t="s">
        <v>72</v>
      </c>
      <c r="AI1985" t="s">
        <v>365</v>
      </c>
      <c r="AJ1985">
        <v>2001</v>
      </c>
      <c r="AK1985" t="s">
        <v>270</v>
      </c>
      <c r="AM1985" t="s">
        <v>271</v>
      </c>
      <c r="AN1985" t="s">
        <v>114</v>
      </c>
      <c r="AO1985" t="s">
        <v>77</v>
      </c>
      <c r="AP1985" t="s">
        <v>78</v>
      </c>
      <c r="AQ1985" t="s">
        <v>272</v>
      </c>
      <c r="AR1985" t="s">
        <v>80</v>
      </c>
      <c r="AS1985">
        <v>315</v>
      </c>
      <c r="AT1985" t="s">
        <v>81</v>
      </c>
      <c r="AU1985">
        <v>17.95</v>
      </c>
      <c r="AV1985">
        <v>38.58</v>
      </c>
      <c r="AW1985" t="s">
        <v>82</v>
      </c>
      <c r="AX1985">
        <v>315</v>
      </c>
      <c r="AY1985" t="s">
        <v>81</v>
      </c>
      <c r="AZ1985">
        <v>7.92</v>
      </c>
      <c r="BA1985">
        <v>41.02</v>
      </c>
      <c r="BB1985" t="s">
        <v>83</v>
      </c>
    </row>
    <row r="1986" spans="1:54" x14ac:dyDescent="0.4">
      <c r="A1986">
        <v>486411</v>
      </c>
      <c r="D1986" t="s">
        <v>54</v>
      </c>
      <c r="E1986" t="s">
        <v>55</v>
      </c>
      <c r="G1986">
        <v>1</v>
      </c>
      <c r="H1986" t="s">
        <v>56</v>
      </c>
      <c r="I1986" t="s">
        <v>57</v>
      </c>
      <c r="K1986" t="s">
        <v>244</v>
      </c>
      <c r="L1986" t="s">
        <v>245</v>
      </c>
      <c r="M1986" t="s">
        <v>60</v>
      </c>
      <c r="O1986" t="s">
        <v>170</v>
      </c>
      <c r="P1986" t="s">
        <v>89</v>
      </c>
      <c r="R1986" t="s">
        <v>63</v>
      </c>
      <c r="S1986" t="s">
        <v>64</v>
      </c>
      <c r="T1986">
        <v>208.5</v>
      </c>
      <c r="U1986">
        <v>201.4</v>
      </c>
      <c r="V1986">
        <f t="shared" si="60"/>
        <v>204.95</v>
      </c>
      <c r="W1986">
        <f t="shared" si="61"/>
        <v>7.0999999999999943</v>
      </c>
      <c r="X1986">
        <v>11.073611</v>
      </c>
      <c r="Y1986">
        <v>51.897499000000003</v>
      </c>
      <c r="Z1986" t="s">
        <v>198</v>
      </c>
      <c r="AA1986" t="s">
        <v>211</v>
      </c>
      <c r="AB1986" t="s">
        <v>266</v>
      </c>
      <c r="AD1986" t="s">
        <v>267</v>
      </c>
      <c r="AE1986" t="s">
        <v>215</v>
      </c>
      <c r="AF1986" t="s">
        <v>268</v>
      </c>
      <c r="AH1986" t="s">
        <v>72</v>
      </c>
      <c r="AI1986" t="s">
        <v>365</v>
      </c>
      <c r="AJ1986">
        <v>2001</v>
      </c>
      <c r="AK1986" t="s">
        <v>270</v>
      </c>
      <c r="AM1986" t="s">
        <v>271</v>
      </c>
      <c r="AN1986" t="s">
        <v>114</v>
      </c>
      <c r="AO1986" t="s">
        <v>77</v>
      </c>
      <c r="AP1986" t="s">
        <v>78</v>
      </c>
      <c r="AQ1986" t="s">
        <v>272</v>
      </c>
      <c r="AR1986" t="s">
        <v>80</v>
      </c>
      <c r="AS1986">
        <v>315</v>
      </c>
      <c r="AT1986" t="s">
        <v>81</v>
      </c>
      <c r="AU1986">
        <v>17.95</v>
      </c>
      <c r="AV1986">
        <v>38.58</v>
      </c>
      <c r="AW1986" t="s">
        <v>82</v>
      </c>
      <c r="AX1986">
        <v>315</v>
      </c>
      <c r="AY1986" t="s">
        <v>81</v>
      </c>
      <c r="AZ1986">
        <v>7.92</v>
      </c>
      <c r="BA1986">
        <v>41.02</v>
      </c>
      <c r="BB1986" t="s">
        <v>83</v>
      </c>
    </row>
    <row r="1987" spans="1:54" x14ac:dyDescent="0.4">
      <c r="A1987">
        <v>486411</v>
      </c>
      <c r="D1987" t="s">
        <v>54</v>
      </c>
      <c r="E1987" t="s">
        <v>55</v>
      </c>
      <c r="G1987">
        <v>1</v>
      </c>
      <c r="H1987" t="s">
        <v>56</v>
      </c>
      <c r="I1987" t="s">
        <v>57</v>
      </c>
      <c r="K1987" t="s">
        <v>244</v>
      </c>
      <c r="L1987" t="s">
        <v>245</v>
      </c>
      <c r="M1987" t="s">
        <v>60</v>
      </c>
      <c r="O1987" t="s">
        <v>170</v>
      </c>
      <c r="P1987" t="s">
        <v>89</v>
      </c>
      <c r="R1987" t="s">
        <v>63</v>
      </c>
      <c r="S1987" t="s">
        <v>64</v>
      </c>
      <c r="T1987">
        <v>208.5</v>
      </c>
      <c r="U1987">
        <v>201.4</v>
      </c>
      <c r="V1987">
        <f t="shared" ref="V1987:V2050" si="62">(T1987+U1987)/2</f>
        <v>204.95</v>
      </c>
      <c r="W1987">
        <f t="shared" ref="W1987:W2050" si="63">T1987-U1987</f>
        <v>7.0999999999999943</v>
      </c>
      <c r="X1987">
        <v>11.073611</v>
      </c>
      <c r="Y1987">
        <v>51.897499000000003</v>
      </c>
      <c r="Z1987" t="s">
        <v>198</v>
      </c>
      <c r="AA1987" t="s">
        <v>211</v>
      </c>
      <c r="AB1987" t="s">
        <v>266</v>
      </c>
      <c r="AD1987" t="s">
        <v>267</v>
      </c>
      <c r="AE1987" t="s">
        <v>215</v>
      </c>
      <c r="AF1987" t="s">
        <v>268</v>
      </c>
      <c r="AH1987" t="s">
        <v>72</v>
      </c>
      <c r="AI1987" t="s">
        <v>365</v>
      </c>
      <c r="AJ1987">
        <v>2001</v>
      </c>
      <c r="AK1987" t="s">
        <v>270</v>
      </c>
      <c r="AM1987" t="s">
        <v>271</v>
      </c>
      <c r="AN1987" t="s">
        <v>114</v>
      </c>
      <c r="AO1987" t="s">
        <v>77</v>
      </c>
      <c r="AP1987" t="s">
        <v>78</v>
      </c>
      <c r="AQ1987" t="s">
        <v>272</v>
      </c>
      <c r="AR1987" t="s">
        <v>80</v>
      </c>
      <c r="AS1987">
        <v>315</v>
      </c>
      <c r="AT1987" t="s">
        <v>81</v>
      </c>
      <c r="AU1987">
        <v>17.95</v>
      </c>
      <c r="AV1987">
        <v>38.58</v>
      </c>
      <c r="AW1987" t="s">
        <v>82</v>
      </c>
      <c r="AX1987">
        <v>315</v>
      </c>
      <c r="AY1987" t="s">
        <v>81</v>
      </c>
      <c r="AZ1987">
        <v>7.92</v>
      </c>
      <c r="BA1987">
        <v>41.02</v>
      </c>
      <c r="BB1987" t="s">
        <v>83</v>
      </c>
    </row>
    <row r="1988" spans="1:54" x14ac:dyDescent="0.4">
      <c r="A1988">
        <v>486411</v>
      </c>
      <c r="D1988" t="s">
        <v>54</v>
      </c>
      <c r="E1988" t="s">
        <v>55</v>
      </c>
      <c r="G1988">
        <v>1</v>
      </c>
      <c r="H1988" t="s">
        <v>56</v>
      </c>
      <c r="I1988" t="s">
        <v>57</v>
      </c>
      <c r="K1988" t="s">
        <v>244</v>
      </c>
      <c r="L1988" t="s">
        <v>245</v>
      </c>
      <c r="M1988" t="s">
        <v>60</v>
      </c>
      <c r="O1988" t="s">
        <v>170</v>
      </c>
      <c r="P1988" t="s">
        <v>89</v>
      </c>
      <c r="R1988" t="s">
        <v>63</v>
      </c>
      <c r="S1988" t="s">
        <v>64</v>
      </c>
      <c r="T1988">
        <v>208.5</v>
      </c>
      <c r="U1988">
        <v>201.4</v>
      </c>
      <c r="V1988">
        <f t="shared" si="62"/>
        <v>204.95</v>
      </c>
      <c r="W1988">
        <f t="shared" si="63"/>
        <v>7.0999999999999943</v>
      </c>
      <c r="X1988">
        <v>11.073611</v>
      </c>
      <c r="Y1988">
        <v>51.897499000000003</v>
      </c>
      <c r="Z1988" t="s">
        <v>198</v>
      </c>
      <c r="AA1988" t="s">
        <v>211</v>
      </c>
      <c r="AB1988" t="s">
        <v>266</v>
      </c>
      <c r="AD1988" t="s">
        <v>267</v>
      </c>
      <c r="AE1988" t="s">
        <v>215</v>
      </c>
      <c r="AF1988" t="s">
        <v>268</v>
      </c>
      <c r="AH1988" t="s">
        <v>72</v>
      </c>
      <c r="AI1988" t="s">
        <v>365</v>
      </c>
      <c r="AJ1988">
        <v>2001</v>
      </c>
      <c r="AK1988" t="s">
        <v>270</v>
      </c>
      <c r="AM1988" t="s">
        <v>271</v>
      </c>
      <c r="AN1988" t="s">
        <v>114</v>
      </c>
      <c r="AO1988" t="s">
        <v>77</v>
      </c>
      <c r="AP1988" t="s">
        <v>78</v>
      </c>
      <c r="AQ1988" t="s">
        <v>272</v>
      </c>
      <c r="AR1988" t="s">
        <v>80</v>
      </c>
      <c r="AS1988">
        <v>315</v>
      </c>
      <c r="AT1988" t="s">
        <v>81</v>
      </c>
      <c r="AU1988">
        <v>17.95</v>
      </c>
      <c r="AV1988">
        <v>38.58</v>
      </c>
      <c r="AW1988" t="s">
        <v>82</v>
      </c>
      <c r="AX1988">
        <v>315</v>
      </c>
      <c r="AY1988" t="s">
        <v>81</v>
      </c>
      <c r="AZ1988">
        <v>7.92</v>
      </c>
      <c r="BA1988">
        <v>41.02</v>
      </c>
      <c r="BB1988" t="s">
        <v>83</v>
      </c>
    </row>
    <row r="1989" spans="1:54" x14ac:dyDescent="0.4">
      <c r="A1989">
        <v>486411</v>
      </c>
      <c r="D1989" t="s">
        <v>54</v>
      </c>
      <c r="E1989" t="s">
        <v>55</v>
      </c>
      <c r="G1989">
        <v>1</v>
      </c>
      <c r="H1989" t="s">
        <v>56</v>
      </c>
      <c r="I1989" t="s">
        <v>57</v>
      </c>
      <c r="K1989" t="s">
        <v>244</v>
      </c>
      <c r="L1989" t="s">
        <v>245</v>
      </c>
      <c r="M1989" t="s">
        <v>60</v>
      </c>
      <c r="O1989" t="s">
        <v>170</v>
      </c>
      <c r="P1989" t="s">
        <v>89</v>
      </c>
      <c r="R1989" t="s">
        <v>63</v>
      </c>
      <c r="S1989" t="s">
        <v>64</v>
      </c>
      <c r="T1989">
        <v>208.5</v>
      </c>
      <c r="U1989">
        <v>201.4</v>
      </c>
      <c r="V1989">
        <f t="shared" si="62"/>
        <v>204.95</v>
      </c>
      <c r="W1989">
        <f t="shared" si="63"/>
        <v>7.0999999999999943</v>
      </c>
      <c r="X1989">
        <v>11.073611</v>
      </c>
      <c r="Y1989">
        <v>51.897499000000003</v>
      </c>
      <c r="Z1989" t="s">
        <v>198</v>
      </c>
      <c r="AA1989" t="s">
        <v>211</v>
      </c>
      <c r="AB1989" t="s">
        <v>266</v>
      </c>
      <c r="AD1989" t="s">
        <v>267</v>
      </c>
      <c r="AE1989" t="s">
        <v>215</v>
      </c>
      <c r="AF1989" t="s">
        <v>268</v>
      </c>
      <c r="AH1989" t="s">
        <v>72</v>
      </c>
      <c r="AI1989" t="s">
        <v>365</v>
      </c>
      <c r="AJ1989">
        <v>2001</v>
      </c>
      <c r="AK1989" t="s">
        <v>270</v>
      </c>
      <c r="AM1989" t="s">
        <v>271</v>
      </c>
      <c r="AN1989" t="s">
        <v>114</v>
      </c>
      <c r="AO1989" t="s">
        <v>77</v>
      </c>
      <c r="AP1989" t="s">
        <v>78</v>
      </c>
      <c r="AQ1989" t="s">
        <v>272</v>
      </c>
      <c r="AR1989" t="s">
        <v>80</v>
      </c>
      <c r="AS1989">
        <v>315</v>
      </c>
      <c r="AT1989" t="s">
        <v>81</v>
      </c>
      <c r="AU1989">
        <v>17.95</v>
      </c>
      <c r="AV1989">
        <v>38.58</v>
      </c>
      <c r="AW1989" t="s">
        <v>82</v>
      </c>
      <c r="AX1989">
        <v>315</v>
      </c>
      <c r="AY1989" t="s">
        <v>81</v>
      </c>
      <c r="AZ1989">
        <v>7.92</v>
      </c>
      <c r="BA1989">
        <v>41.02</v>
      </c>
      <c r="BB1989" t="s">
        <v>83</v>
      </c>
    </row>
    <row r="1990" spans="1:54" x14ac:dyDescent="0.4">
      <c r="A1990">
        <v>486411</v>
      </c>
      <c r="D1990" t="s">
        <v>54</v>
      </c>
      <c r="E1990" t="s">
        <v>55</v>
      </c>
      <c r="G1990">
        <v>1</v>
      </c>
      <c r="H1990" t="s">
        <v>56</v>
      </c>
      <c r="I1990" t="s">
        <v>57</v>
      </c>
      <c r="K1990" t="s">
        <v>244</v>
      </c>
      <c r="L1990" t="s">
        <v>245</v>
      </c>
      <c r="M1990" t="s">
        <v>60</v>
      </c>
      <c r="O1990" t="s">
        <v>170</v>
      </c>
      <c r="P1990" t="s">
        <v>89</v>
      </c>
      <c r="R1990" t="s">
        <v>63</v>
      </c>
      <c r="S1990" t="s">
        <v>64</v>
      </c>
      <c r="T1990">
        <v>208.5</v>
      </c>
      <c r="U1990">
        <v>201.4</v>
      </c>
      <c r="V1990">
        <f t="shared" si="62"/>
        <v>204.95</v>
      </c>
      <c r="W1990">
        <f t="shared" si="63"/>
        <v>7.0999999999999943</v>
      </c>
      <c r="X1990">
        <v>11.073611</v>
      </c>
      <c r="Y1990">
        <v>51.897499000000003</v>
      </c>
      <c r="Z1990" t="s">
        <v>198</v>
      </c>
      <c r="AA1990" t="s">
        <v>211</v>
      </c>
      <c r="AB1990" t="s">
        <v>266</v>
      </c>
      <c r="AD1990" t="s">
        <v>267</v>
      </c>
      <c r="AE1990" t="s">
        <v>215</v>
      </c>
      <c r="AF1990" t="s">
        <v>268</v>
      </c>
      <c r="AH1990" t="s">
        <v>72</v>
      </c>
      <c r="AI1990" t="s">
        <v>365</v>
      </c>
      <c r="AJ1990">
        <v>2001</v>
      </c>
      <c r="AK1990" t="s">
        <v>270</v>
      </c>
      <c r="AM1990" t="s">
        <v>271</v>
      </c>
      <c r="AN1990" t="s">
        <v>114</v>
      </c>
      <c r="AO1990" t="s">
        <v>77</v>
      </c>
      <c r="AP1990" t="s">
        <v>78</v>
      </c>
      <c r="AQ1990" t="s">
        <v>272</v>
      </c>
      <c r="AR1990" t="s">
        <v>80</v>
      </c>
      <c r="AS1990">
        <v>315</v>
      </c>
      <c r="AT1990" t="s">
        <v>81</v>
      </c>
      <c r="AU1990">
        <v>17.95</v>
      </c>
      <c r="AV1990">
        <v>38.58</v>
      </c>
      <c r="AW1990" t="s">
        <v>82</v>
      </c>
      <c r="AX1990">
        <v>315</v>
      </c>
      <c r="AY1990" t="s">
        <v>81</v>
      </c>
      <c r="AZ1990">
        <v>7.92</v>
      </c>
      <c r="BA1990">
        <v>41.02</v>
      </c>
      <c r="BB1990" t="s">
        <v>83</v>
      </c>
    </row>
    <row r="1991" spans="1:54" x14ac:dyDescent="0.4">
      <c r="A1991">
        <v>486411</v>
      </c>
      <c r="D1991" t="s">
        <v>54</v>
      </c>
      <c r="E1991" t="s">
        <v>55</v>
      </c>
      <c r="G1991">
        <v>1</v>
      </c>
      <c r="H1991" t="s">
        <v>56</v>
      </c>
      <c r="I1991" t="s">
        <v>57</v>
      </c>
      <c r="K1991" t="s">
        <v>244</v>
      </c>
      <c r="L1991" t="s">
        <v>245</v>
      </c>
      <c r="M1991" t="s">
        <v>60</v>
      </c>
      <c r="O1991" t="s">
        <v>170</v>
      </c>
      <c r="P1991" t="s">
        <v>89</v>
      </c>
      <c r="R1991" t="s">
        <v>63</v>
      </c>
      <c r="S1991" t="s">
        <v>64</v>
      </c>
      <c r="T1991">
        <v>208.5</v>
      </c>
      <c r="U1991">
        <v>201.4</v>
      </c>
      <c r="V1991">
        <f t="shared" si="62"/>
        <v>204.95</v>
      </c>
      <c r="W1991">
        <f t="shared" si="63"/>
        <v>7.0999999999999943</v>
      </c>
      <c r="X1991">
        <v>11.073611</v>
      </c>
      <c r="Y1991">
        <v>51.897499000000003</v>
      </c>
      <c r="Z1991" t="s">
        <v>198</v>
      </c>
      <c r="AA1991" t="s">
        <v>211</v>
      </c>
      <c r="AB1991" t="s">
        <v>266</v>
      </c>
      <c r="AD1991" t="s">
        <v>267</v>
      </c>
      <c r="AE1991" t="s">
        <v>215</v>
      </c>
      <c r="AF1991" t="s">
        <v>268</v>
      </c>
      <c r="AH1991" t="s">
        <v>72</v>
      </c>
      <c r="AI1991" t="s">
        <v>365</v>
      </c>
      <c r="AJ1991">
        <v>2001</v>
      </c>
      <c r="AK1991" t="s">
        <v>270</v>
      </c>
      <c r="AM1991" t="s">
        <v>271</v>
      </c>
      <c r="AN1991" t="s">
        <v>114</v>
      </c>
      <c r="AO1991" t="s">
        <v>77</v>
      </c>
      <c r="AP1991" t="s">
        <v>78</v>
      </c>
      <c r="AQ1991" t="s">
        <v>272</v>
      </c>
      <c r="AR1991" t="s">
        <v>80</v>
      </c>
      <c r="AS1991">
        <v>315</v>
      </c>
      <c r="AT1991" t="s">
        <v>81</v>
      </c>
      <c r="AU1991">
        <v>17.95</v>
      </c>
      <c r="AV1991">
        <v>38.58</v>
      </c>
      <c r="AW1991" t="s">
        <v>82</v>
      </c>
      <c r="AX1991">
        <v>315</v>
      </c>
      <c r="AY1991" t="s">
        <v>81</v>
      </c>
      <c r="AZ1991">
        <v>7.92</v>
      </c>
      <c r="BA1991">
        <v>41.02</v>
      </c>
      <c r="BB1991" t="s">
        <v>83</v>
      </c>
    </row>
    <row r="1992" spans="1:54" x14ac:dyDescent="0.4">
      <c r="A1992">
        <v>486411</v>
      </c>
      <c r="D1992" t="s">
        <v>54</v>
      </c>
      <c r="E1992" t="s">
        <v>55</v>
      </c>
      <c r="G1992">
        <v>1</v>
      </c>
      <c r="H1992" t="s">
        <v>56</v>
      </c>
      <c r="I1992" t="s">
        <v>57</v>
      </c>
      <c r="K1992" t="s">
        <v>244</v>
      </c>
      <c r="L1992" t="s">
        <v>245</v>
      </c>
      <c r="M1992" t="s">
        <v>60</v>
      </c>
      <c r="O1992" t="s">
        <v>170</v>
      </c>
      <c r="P1992" t="s">
        <v>89</v>
      </c>
      <c r="R1992" t="s">
        <v>63</v>
      </c>
      <c r="S1992" t="s">
        <v>64</v>
      </c>
      <c r="T1992">
        <v>208.5</v>
      </c>
      <c r="U1992">
        <v>201.4</v>
      </c>
      <c r="V1992">
        <f t="shared" si="62"/>
        <v>204.95</v>
      </c>
      <c r="W1992">
        <f t="shared" si="63"/>
        <v>7.0999999999999943</v>
      </c>
      <c r="X1992">
        <v>11.073611</v>
      </c>
      <c r="Y1992">
        <v>51.897499000000003</v>
      </c>
      <c r="Z1992" t="s">
        <v>198</v>
      </c>
      <c r="AA1992" t="s">
        <v>211</v>
      </c>
      <c r="AB1992" t="s">
        <v>266</v>
      </c>
      <c r="AD1992" t="s">
        <v>267</v>
      </c>
      <c r="AE1992" t="s">
        <v>215</v>
      </c>
      <c r="AF1992" t="s">
        <v>268</v>
      </c>
      <c r="AH1992" t="s">
        <v>72</v>
      </c>
      <c r="AI1992" t="s">
        <v>365</v>
      </c>
      <c r="AJ1992">
        <v>2001</v>
      </c>
      <c r="AK1992" t="s">
        <v>270</v>
      </c>
      <c r="AM1992" t="s">
        <v>271</v>
      </c>
      <c r="AN1992" t="s">
        <v>114</v>
      </c>
      <c r="AO1992" t="s">
        <v>77</v>
      </c>
      <c r="AP1992" t="s">
        <v>78</v>
      </c>
      <c r="AQ1992" t="s">
        <v>272</v>
      </c>
      <c r="AR1992" t="s">
        <v>80</v>
      </c>
      <c r="AS1992">
        <v>315</v>
      </c>
      <c r="AT1992" t="s">
        <v>81</v>
      </c>
      <c r="AU1992">
        <v>17.95</v>
      </c>
      <c r="AV1992">
        <v>38.58</v>
      </c>
      <c r="AW1992" t="s">
        <v>82</v>
      </c>
      <c r="AX1992">
        <v>315</v>
      </c>
      <c r="AY1992" t="s">
        <v>81</v>
      </c>
      <c r="AZ1992">
        <v>7.92</v>
      </c>
      <c r="BA1992">
        <v>41.02</v>
      </c>
      <c r="BB1992" t="s">
        <v>83</v>
      </c>
    </row>
    <row r="1993" spans="1:54" x14ac:dyDescent="0.4">
      <c r="A1993">
        <v>486411</v>
      </c>
      <c r="D1993" t="s">
        <v>54</v>
      </c>
      <c r="E1993" t="s">
        <v>55</v>
      </c>
      <c r="G1993">
        <v>1</v>
      </c>
      <c r="H1993" t="s">
        <v>56</v>
      </c>
      <c r="I1993" t="s">
        <v>57</v>
      </c>
      <c r="K1993" t="s">
        <v>244</v>
      </c>
      <c r="L1993" t="s">
        <v>245</v>
      </c>
      <c r="M1993" t="s">
        <v>60</v>
      </c>
      <c r="O1993" t="s">
        <v>170</v>
      </c>
      <c r="P1993" t="s">
        <v>89</v>
      </c>
      <c r="R1993" t="s">
        <v>63</v>
      </c>
      <c r="S1993" t="s">
        <v>64</v>
      </c>
      <c r="T1993">
        <v>208.5</v>
      </c>
      <c r="U1993">
        <v>201.4</v>
      </c>
      <c r="V1993">
        <f t="shared" si="62"/>
        <v>204.95</v>
      </c>
      <c r="W1993">
        <f t="shared" si="63"/>
        <v>7.0999999999999943</v>
      </c>
      <c r="X1993">
        <v>11.073611</v>
      </c>
      <c r="Y1993">
        <v>51.897499000000003</v>
      </c>
      <c r="Z1993" t="s">
        <v>198</v>
      </c>
      <c r="AA1993" t="s">
        <v>211</v>
      </c>
      <c r="AB1993" t="s">
        <v>266</v>
      </c>
      <c r="AD1993" t="s">
        <v>267</v>
      </c>
      <c r="AE1993" t="s">
        <v>215</v>
      </c>
      <c r="AF1993" t="s">
        <v>268</v>
      </c>
      <c r="AH1993" t="s">
        <v>72</v>
      </c>
      <c r="AI1993" t="s">
        <v>365</v>
      </c>
      <c r="AJ1993">
        <v>2001</v>
      </c>
      <c r="AK1993" t="s">
        <v>270</v>
      </c>
      <c r="AM1993" t="s">
        <v>271</v>
      </c>
      <c r="AN1993" t="s">
        <v>114</v>
      </c>
      <c r="AO1993" t="s">
        <v>77</v>
      </c>
      <c r="AP1993" t="s">
        <v>78</v>
      </c>
      <c r="AQ1993" t="s">
        <v>272</v>
      </c>
      <c r="AR1993" t="s">
        <v>80</v>
      </c>
      <c r="AS1993">
        <v>315</v>
      </c>
      <c r="AT1993" t="s">
        <v>81</v>
      </c>
      <c r="AU1993">
        <v>17.95</v>
      </c>
      <c r="AV1993">
        <v>38.58</v>
      </c>
      <c r="AW1993" t="s">
        <v>82</v>
      </c>
      <c r="AX1993">
        <v>315</v>
      </c>
      <c r="AY1993" t="s">
        <v>81</v>
      </c>
      <c r="AZ1993">
        <v>7.92</v>
      </c>
      <c r="BA1993">
        <v>41.02</v>
      </c>
      <c r="BB1993" t="s">
        <v>83</v>
      </c>
    </row>
    <row r="1994" spans="1:54" x14ac:dyDescent="0.4">
      <c r="A1994">
        <v>486411</v>
      </c>
      <c r="D1994" t="s">
        <v>54</v>
      </c>
      <c r="E1994" t="s">
        <v>55</v>
      </c>
      <c r="G1994">
        <v>1</v>
      </c>
      <c r="H1994" t="s">
        <v>56</v>
      </c>
      <c r="I1994" t="s">
        <v>57</v>
      </c>
      <c r="K1994" t="s">
        <v>244</v>
      </c>
      <c r="L1994" t="s">
        <v>245</v>
      </c>
      <c r="M1994" t="s">
        <v>60</v>
      </c>
      <c r="O1994" t="s">
        <v>170</v>
      </c>
      <c r="P1994" t="s">
        <v>89</v>
      </c>
      <c r="R1994" t="s">
        <v>63</v>
      </c>
      <c r="S1994" t="s">
        <v>64</v>
      </c>
      <c r="T1994">
        <v>208.5</v>
      </c>
      <c r="U1994">
        <v>201.4</v>
      </c>
      <c r="V1994">
        <f t="shared" si="62"/>
        <v>204.95</v>
      </c>
      <c r="W1994">
        <f t="shared" si="63"/>
        <v>7.0999999999999943</v>
      </c>
      <c r="X1994">
        <v>11.073611</v>
      </c>
      <c r="Y1994">
        <v>51.897499000000003</v>
      </c>
      <c r="Z1994" t="s">
        <v>198</v>
      </c>
      <c r="AA1994" t="s">
        <v>211</v>
      </c>
      <c r="AB1994" t="s">
        <v>266</v>
      </c>
      <c r="AD1994" t="s">
        <v>267</v>
      </c>
      <c r="AE1994" t="s">
        <v>215</v>
      </c>
      <c r="AF1994" t="s">
        <v>268</v>
      </c>
      <c r="AH1994" t="s">
        <v>72</v>
      </c>
      <c r="AI1994" t="s">
        <v>365</v>
      </c>
      <c r="AJ1994">
        <v>2001</v>
      </c>
      <c r="AK1994" t="s">
        <v>270</v>
      </c>
      <c r="AM1994" t="s">
        <v>271</v>
      </c>
      <c r="AN1994" t="s">
        <v>114</v>
      </c>
      <c r="AO1994" t="s">
        <v>77</v>
      </c>
      <c r="AP1994" t="s">
        <v>78</v>
      </c>
      <c r="AQ1994" t="s">
        <v>272</v>
      </c>
      <c r="AR1994" t="s">
        <v>80</v>
      </c>
      <c r="AS1994">
        <v>315</v>
      </c>
      <c r="AT1994" t="s">
        <v>81</v>
      </c>
      <c r="AU1994">
        <v>17.95</v>
      </c>
      <c r="AV1994">
        <v>38.58</v>
      </c>
      <c r="AW1994" t="s">
        <v>82</v>
      </c>
      <c r="AX1994">
        <v>315</v>
      </c>
      <c r="AY1994" t="s">
        <v>81</v>
      </c>
      <c r="AZ1994">
        <v>7.92</v>
      </c>
      <c r="BA1994">
        <v>41.02</v>
      </c>
      <c r="BB1994" t="s">
        <v>83</v>
      </c>
    </row>
    <row r="1995" spans="1:54" x14ac:dyDescent="0.4">
      <c r="A1995">
        <v>486411</v>
      </c>
      <c r="D1995" t="s">
        <v>54</v>
      </c>
      <c r="E1995" t="s">
        <v>55</v>
      </c>
      <c r="G1995">
        <v>1</v>
      </c>
      <c r="H1995" t="s">
        <v>56</v>
      </c>
      <c r="I1995" t="s">
        <v>57</v>
      </c>
      <c r="K1995" t="s">
        <v>244</v>
      </c>
      <c r="L1995" t="s">
        <v>245</v>
      </c>
      <c r="M1995" t="s">
        <v>60</v>
      </c>
      <c r="O1995" t="s">
        <v>170</v>
      </c>
      <c r="P1995" t="s">
        <v>89</v>
      </c>
      <c r="R1995" t="s">
        <v>63</v>
      </c>
      <c r="S1995" t="s">
        <v>64</v>
      </c>
      <c r="T1995">
        <v>208.5</v>
      </c>
      <c r="U1995">
        <v>201.4</v>
      </c>
      <c r="V1995">
        <f t="shared" si="62"/>
        <v>204.95</v>
      </c>
      <c r="W1995">
        <f t="shared" si="63"/>
        <v>7.0999999999999943</v>
      </c>
      <c r="X1995">
        <v>11.073611</v>
      </c>
      <c r="Y1995">
        <v>51.897499000000003</v>
      </c>
      <c r="Z1995" t="s">
        <v>198</v>
      </c>
      <c r="AA1995" t="s">
        <v>211</v>
      </c>
      <c r="AB1995" t="s">
        <v>266</v>
      </c>
      <c r="AD1995" t="s">
        <v>267</v>
      </c>
      <c r="AE1995" t="s">
        <v>215</v>
      </c>
      <c r="AF1995" t="s">
        <v>268</v>
      </c>
      <c r="AH1995" t="s">
        <v>72</v>
      </c>
      <c r="AI1995" t="s">
        <v>365</v>
      </c>
      <c r="AJ1995">
        <v>2001</v>
      </c>
      <c r="AK1995" t="s">
        <v>270</v>
      </c>
      <c r="AM1995" t="s">
        <v>271</v>
      </c>
      <c r="AN1995" t="s">
        <v>114</v>
      </c>
      <c r="AO1995" t="s">
        <v>77</v>
      </c>
      <c r="AP1995" t="s">
        <v>78</v>
      </c>
      <c r="AQ1995" t="s">
        <v>272</v>
      </c>
      <c r="AR1995" t="s">
        <v>80</v>
      </c>
      <c r="AS1995">
        <v>315</v>
      </c>
      <c r="AT1995" t="s">
        <v>81</v>
      </c>
      <c r="AU1995">
        <v>17.95</v>
      </c>
      <c r="AV1995">
        <v>38.58</v>
      </c>
      <c r="AW1995" t="s">
        <v>82</v>
      </c>
      <c r="AX1995">
        <v>315</v>
      </c>
      <c r="AY1995" t="s">
        <v>81</v>
      </c>
      <c r="AZ1995">
        <v>7.92</v>
      </c>
      <c r="BA1995">
        <v>41.02</v>
      </c>
      <c r="BB1995" t="s">
        <v>83</v>
      </c>
    </row>
    <row r="1996" spans="1:54" x14ac:dyDescent="0.4">
      <c r="A1996">
        <v>486411</v>
      </c>
      <c r="D1996" t="s">
        <v>54</v>
      </c>
      <c r="E1996" t="s">
        <v>55</v>
      </c>
      <c r="G1996">
        <v>1</v>
      </c>
      <c r="H1996" t="s">
        <v>56</v>
      </c>
      <c r="I1996" t="s">
        <v>57</v>
      </c>
      <c r="K1996" t="s">
        <v>244</v>
      </c>
      <c r="L1996" t="s">
        <v>245</v>
      </c>
      <c r="M1996" t="s">
        <v>60</v>
      </c>
      <c r="O1996" t="s">
        <v>170</v>
      </c>
      <c r="P1996" t="s">
        <v>89</v>
      </c>
      <c r="R1996" t="s">
        <v>63</v>
      </c>
      <c r="S1996" t="s">
        <v>64</v>
      </c>
      <c r="T1996">
        <v>208.5</v>
      </c>
      <c r="U1996">
        <v>201.4</v>
      </c>
      <c r="V1996">
        <f t="shared" si="62"/>
        <v>204.95</v>
      </c>
      <c r="W1996">
        <f t="shared" si="63"/>
        <v>7.0999999999999943</v>
      </c>
      <c r="X1996">
        <v>11.073611</v>
      </c>
      <c r="Y1996">
        <v>51.897499000000003</v>
      </c>
      <c r="Z1996" t="s">
        <v>198</v>
      </c>
      <c r="AA1996" t="s">
        <v>211</v>
      </c>
      <c r="AB1996" t="s">
        <v>266</v>
      </c>
      <c r="AD1996" t="s">
        <v>267</v>
      </c>
      <c r="AE1996" t="s">
        <v>215</v>
      </c>
      <c r="AF1996" t="s">
        <v>268</v>
      </c>
      <c r="AH1996" t="s">
        <v>72</v>
      </c>
      <c r="AI1996" t="s">
        <v>365</v>
      </c>
      <c r="AJ1996">
        <v>2001</v>
      </c>
      <c r="AK1996" t="s">
        <v>270</v>
      </c>
      <c r="AM1996" t="s">
        <v>271</v>
      </c>
      <c r="AN1996" t="s">
        <v>114</v>
      </c>
      <c r="AO1996" t="s">
        <v>77</v>
      </c>
      <c r="AP1996" t="s">
        <v>78</v>
      </c>
      <c r="AQ1996" t="s">
        <v>272</v>
      </c>
      <c r="AR1996" t="s">
        <v>80</v>
      </c>
      <c r="AS1996">
        <v>315</v>
      </c>
      <c r="AT1996" t="s">
        <v>81</v>
      </c>
      <c r="AU1996">
        <v>17.95</v>
      </c>
      <c r="AV1996">
        <v>38.58</v>
      </c>
      <c r="AW1996" t="s">
        <v>82</v>
      </c>
      <c r="AX1996">
        <v>315</v>
      </c>
      <c r="AY1996" t="s">
        <v>81</v>
      </c>
      <c r="AZ1996">
        <v>7.92</v>
      </c>
      <c r="BA1996">
        <v>41.02</v>
      </c>
      <c r="BB1996" t="s">
        <v>83</v>
      </c>
    </row>
    <row r="1997" spans="1:54" x14ac:dyDescent="0.4">
      <c r="A1997">
        <v>486411</v>
      </c>
      <c r="D1997" t="s">
        <v>54</v>
      </c>
      <c r="E1997" t="s">
        <v>55</v>
      </c>
      <c r="G1997">
        <v>1</v>
      </c>
      <c r="H1997" t="s">
        <v>56</v>
      </c>
      <c r="I1997" t="s">
        <v>57</v>
      </c>
      <c r="K1997" t="s">
        <v>244</v>
      </c>
      <c r="L1997" t="s">
        <v>245</v>
      </c>
      <c r="M1997" t="s">
        <v>60</v>
      </c>
      <c r="O1997" t="s">
        <v>170</v>
      </c>
      <c r="P1997" t="s">
        <v>89</v>
      </c>
      <c r="R1997" t="s">
        <v>63</v>
      </c>
      <c r="S1997" t="s">
        <v>64</v>
      </c>
      <c r="T1997">
        <v>208.5</v>
      </c>
      <c r="U1997">
        <v>201.4</v>
      </c>
      <c r="V1997">
        <f t="shared" si="62"/>
        <v>204.95</v>
      </c>
      <c r="W1997">
        <f t="shared" si="63"/>
        <v>7.0999999999999943</v>
      </c>
      <c r="X1997">
        <v>11.073611</v>
      </c>
      <c r="Y1997">
        <v>51.897499000000003</v>
      </c>
      <c r="Z1997" t="s">
        <v>198</v>
      </c>
      <c r="AA1997" t="s">
        <v>211</v>
      </c>
      <c r="AB1997" t="s">
        <v>266</v>
      </c>
      <c r="AD1997" t="s">
        <v>267</v>
      </c>
      <c r="AE1997" t="s">
        <v>215</v>
      </c>
      <c r="AF1997" t="s">
        <v>268</v>
      </c>
      <c r="AH1997" t="s">
        <v>72</v>
      </c>
      <c r="AI1997" t="s">
        <v>365</v>
      </c>
      <c r="AJ1997">
        <v>2001</v>
      </c>
      <c r="AK1997" t="s">
        <v>270</v>
      </c>
      <c r="AM1997" t="s">
        <v>271</v>
      </c>
      <c r="AN1997" t="s">
        <v>114</v>
      </c>
      <c r="AO1997" t="s">
        <v>77</v>
      </c>
      <c r="AP1997" t="s">
        <v>78</v>
      </c>
      <c r="AQ1997" t="s">
        <v>272</v>
      </c>
      <c r="AR1997" t="s">
        <v>80</v>
      </c>
      <c r="AS1997">
        <v>315</v>
      </c>
      <c r="AT1997" t="s">
        <v>81</v>
      </c>
      <c r="AU1997">
        <v>17.95</v>
      </c>
      <c r="AV1997">
        <v>38.58</v>
      </c>
      <c r="AW1997" t="s">
        <v>82</v>
      </c>
      <c r="AX1997">
        <v>315</v>
      </c>
      <c r="AY1997" t="s">
        <v>81</v>
      </c>
      <c r="AZ1997">
        <v>7.92</v>
      </c>
      <c r="BA1997">
        <v>41.02</v>
      </c>
      <c r="BB1997" t="s">
        <v>83</v>
      </c>
    </row>
    <row r="1998" spans="1:54" x14ac:dyDescent="0.4">
      <c r="A1998">
        <v>486411</v>
      </c>
      <c r="D1998" t="s">
        <v>54</v>
      </c>
      <c r="E1998" t="s">
        <v>55</v>
      </c>
      <c r="G1998">
        <v>1</v>
      </c>
      <c r="H1998" t="s">
        <v>56</v>
      </c>
      <c r="I1998" t="s">
        <v>57</v>
      </c>
      <c r="K1998" t="s">
        <v>244</v>
      </c>
      <c r="L1998" t="s">
        <v>245</v>
      </c>
      <c r="M1998" t="s">
        <v>60</v>
      </c>
      <c r="O1998" t="s">
        <v>170</v>
      </c>
      <c r="P1998" t="s">
        <v>89</v>
      </c>
      <c r="R1998" t="s">
        <v>63</v>
      </c>
      <c r="S1998" t="s">
        <v>64</v>
      </c>
      <c r="T1998">
        <v>208.5</v>
      </c>
      <c r="U1998">
        <v>201.4</v>
      </c>
      <c r="V1998">
        <f t="shared" si="62"/>
        <v>204.95</v>
      </c>
      <c r="W1998">
        <f t="shared" si="63"/>
        <v>7.0999999999999943</v>
      </c>
      <c r="X1998">
        <v>11.073611</v>
      </c>
      <c r="Y1998">
        <v>51.897499000000003</v>
      </c>
      <c r="Z1998" t="s">
        <v>198</v>
      </c>
      <c r="AA1998" t="s">
        <v>211</v>
      </c>
      <c r="AB1998" t="s">
        <v>266</v>
      </c>
      <c r="AD1998" t="s">
        <v>267</v>
      </c>
      <c r="AE1998" t="s">
        <v>215</v>
      </c>
      <c r="AF1998" t="s">
        <v>268</v>
      </c>
      <c r="AH1998" t="s">
        <v>72</v>
      </c>
      <c r="AI1998" t="s">
        <v>365</v>
      </c>
      <c r="AJ1998">
        <v>2001</v>
      </c>
      <c r="AK1998" t="s">
        <v>270</v>
      </c>
      <c r="AM1998" t="s">
        <v>271</v>
      </c>
      <c r="AN1998" t="s">
        <v>114</v>
      </c>
      <c r="AO1998" t="s">
        <v>77</v>
      </c>
      <c r="AP1998" t="s">
        <v>78</v>
      </c>
      <c r="AQ1998" t="s">
        <v>272</v>
      </c>
      <c r="AR1998" t="s">
        <v>80</v>
      </c>
      <c r="AS1998">
        <v>315</v>
      </c>
      <c r="AT1998" t="s">
        <v>81</v>
      </c>
      <c r="AU1998">
        <v>17.95</v>
      </c>
      <c r="AV1998">
        <v>38.58</v>
      </c>
      <c r="AW1998" t="s">
        <v>82</v>
      </c>
      <c r="AX1998">
        <v>315</v>
      </c>
      <c r="AY1998" t="s">
        <v>81</v>
      </c>
      <c r="AZ1998">
        <v>7.92</v>
      </c>
      <c r="BA1998">
        <v>41.02</v>
      </c>
      <c r="BB1998" t="s">
        <v>83</v>
      </c>
    </row>
    <row r="1999" spans="1:54" x14ac:dyDescent="0.4">
      <c r="A1999">
        <v>486411</v>
      </c>
      <c r="D1999" t="s">
        <v>54</v>
      </c>
      <c r="E1999" t="s">
        <v>55</v>
      </c>
      <c r="G1999">
        <v>1</v>
      </c>
      <c r="H1999" t="s">
        <v>56</v>
      </c>
      <c r="I1999" t="s">
        <v>57</v>
      </c>
      <c r="K1999" t="s">
        <v>244</v>
      </c>
      <c r="L1999" t="s">
        <v>245</v>
      </c>
      <c r="M1999" t="s">
        <v>60</v>
      </c>
      <c r="O1999" t="s">
        <v>170</v>
      </c>
      <c r="P1999" t="s">
        <v>89</v>
      </c>
      <c r="R1999" t="s">
        <v>63</v>
      </c>
      <c r="S1999" t="s">
        <v>64</v>
      </c>
      <c r="T1999">
        <v>208.5</v>
      </c>
      <c r="U1999">
        <v>201.4</v>
      </c>
      <c r="V1999">
        <f t="shared" si="62"/>
        <v>204.95</v>
      </c>
      <c r="W1999">
        <f t="shared" si="63"/>
        <v>7.0999999999999943</v>
      </c>
      <c r="X1999">
        <v>11.073611</v>
      </c>
      <c r="Y1999">
        <v>51.897499000000003</v>
      </c>
      <c r="Z1999" t="s">
        <v>198</v>
      </c>
      <c r="AA1999" t="s">
        <v>211</v>
      </c>
      <c r="AB1999" t="s">
        <v>266</v>
      </c>
      <c r="AD1999" t="s">
        <v>267</v>
      </c>
      <c r="AE1999" t="s">
        <v>215</v>
      </c>
      <c r="AF1999" t="s">
        <v>268</v>
      </c>
      <c r="AH1999" t="s">
        <v>72</v>
      </c>
      <c r="AI1999" t="s">
        <v>365</v>
      </c>
      <c r="AJ1999">
        <v>2001</v>
      </c>
      <c r="AK1999" t="s">
        <v>270</v>
      </c>
      <c r="AM1999" t="s">
        <v>271</v>
      </c>
      <c r="AN1999" t="s">
        <v>114</v>
      </c>
      <c r="AO1999" t="s">
        <v>77</v>
      </c>
      <c r="AP1999" t="s">
        <v>78</v>
      </c>
      <c r="AQ1999" t="s">
        <v>272</v>
      </c>
      <c r="AR1999" t="s">
        <v>80</v>
      </c>
      <c r="AS1999">
        <v>315</v>
      </c>
      <c r="AT1999" t="s">
        <v>81</v>
      </c>
      <c r="AU1999">
        <v>17.95</v>
      </c>
      <c r="AV1999">
        <v>38.58</v>
      </c>
      <c r="AW1999" t="s">
        <v>82</v>
      </c>
      <c r="AX1999">
        <v>315</v>
      </c>
      <c r="AY1999" t="s">
        <v>81</v>
      </c>
      <c r="AZ1999">
        <v>7.92</v>
      </c>
      <c r="BA1999">
        <v>41.02</v>
      </c>
      <c r="BB1999" t="s">
        <v>83</v>
      </c>
    </row>
    <row r="2000" spans="1:54" x14ac:dyDescent="0.4">
      <c r="A2000">
        <v>486411</v>
      </c>
      <c r="D2000" t="s">
        <v>54</v>
      </c>
      <c r="E2000" t="s">
        <v>55</v>
      </c>
      <c r="G2000">
        <v>1</v>
      </c>
      <c r="H2000" t="s">
        <v>56</v>
      </c>
      <c r="I2000" t="s">
        <v>57</v>
      </c>
      <c r="K2000" t="s">
        <v>244</v>
      </c>
      <c r="L2000" t="s">
        <v>245</v>
      </c>
      <c r="M2000" t="s">
        <v>60</v>
      </c>
      <c r="O2000" t="s">
        <v>170</v>
      </c>
      <c r="P2000" t="s">
        <v>89</v>
      </c>
      <c r="R2000" t="s">
        <v>63</v>
      </c>
      <c r="S2000" t="s">
        <v>64</v>
      </c>
      <c r="T2000">
        <v>208.5</v>
      </c>
      <c r="U2000">
        <v>201.4</v>
      </c>
      <c r="V2000">
        <f t="shared" si="62"/>
        <v>204.95</v>
      </c>
      <c r="W2000">
        <f t="shared" si="63"/>
        <v>7.0999999999999943</v>
      </c>
      <c r="X2000">
        <v>11.073611</v>
      </c>
      <c r="Y2000">
        <v>51.897499000000003</v>
      </c>
      <c r="Z2000" t="s">
        <v>198</v>
      </c>
      <c r="AA2000" t="s">
        <v>211</v>
      </c>
      <c r="AB2000" t="s">
        <v>266</v>
      </c>
      <c r="AD2000" t="s">
        <v>267</v>
      </c>
      <c r="AE2000" t="s">
        <v>215</v>
      </c>
      <c r="AF2000" t="s">
        <v>268</v>
      </c>
      <c r="AH2000" t="s">
        <v>72</v>
      </c>
      <c r="AI2000" t="s">
        <v>365</v>
      </c>
      <c r="AJ2000">
        <v>2001</v>
      </c>
      <c r="AK2000" t="s">
        <v>270</v>
      </c>
      <c r="AM2000" t="s">
        <v>271</v>
      </c>
      <c r="AN2000" t="s">
        <v>114</v>
      </c>
      <c r="AO2000" t="s">
        <v>77</v>
      </c>
      <c r="AP2000" t="s">
        <v>78</v>
      </c>
      <c r="AQ2000" t="s">
        <v>272</v>
      </c>
      <c r="AR2000" t="s">
        <v>80</v>
      </c>
      <c r="AS2000">
        <v>315</v>
      </c>
      <c r="AT2000" t="s">
        <v>81</v>
      </c>
      <c r="AU2000">
        <v>17.95</v>
      </c>
      <c r="AV2000">
        <v>38.58</v>
      </c>
      <c r="AW2000" t="s">
        <v>82</v>
      </c>
      <c r="AX2000">
        <v>315</v>
      </c>
      <c r="AY2000" t="s">
        <v>81</v>
      </c>
      <c r="AZ2000">
        <v>7.92</v>
      </c>
      <c r="BA2000">
        <v>41.02</v>
      </c>
      <c r="BB2000" t="s">
        <v>83</v>
      </c>
    </row>
    <row r="2001" spans="1:54" x14ac:dyDescent="0.4">
      <c r="A2001">
        <v>504266</v>
      </c>
      <c r="D2001" t="s">
        <v>54</v>
      </c>
      <c r="E2001" t="s">
        <v>152</v>
      </c>
      <c r="G2001">
        <v>3</v>
      </c>
      <c r="H2001" t="s">
        <v>84</v>
      </c>
      <c r="I2001" t="s">
        <v>57</v>
      </c>
      <c r="K2001" t="s">
        <v>1029</v>
      </c>
      <c r="L2001" t="s">
        <v>1030</v>
      </c>
      <c r="M2001" t="s">
        <v>60</v>
      </c>
      <c r="N2001" t="s">
        <v>61</v>
      </c>
      <c r="O2001" t="s">
        <v>345</v>
      </c>
      <c r="P2001" t="s">
        <v>89</v>
      </c>
      <c r="R2001" t="s">
        <v>63</v>
      </c>
      <c r="S2001" t="s">
        <v>64</v>
      </c>
      <c r="T2001">
        <v>208.5</v>
      </c>
      <c r="U2001">
        <v>201.4</v>
      </c>
      <c r="V2001">
        <f t="shared" si="62"/>
        <v>204.95</v>
      </c>
      <c r="W2001">
        <f t="shared" si="63"/>
        <v>7.0999999999999943</v>
      </c>
      <c r="X2001">
        <v>8.4519439999999992</v>
      </c>
      <c r="Y2001">
        <v>47.706111999999997</v>
      </c>
      <c r="Z2001" t="s">
        <v>520</v>
      </c>
      <c r="AA2001" t="s">
        <v>226</v>
      </c>
      <c r="AB2001" t="s">
        <v>877</v>
      </c>
      <c r="AD2001" t="s">
        <v>247</v>
      </c>
      <c r="AF2001" t="s">
        <v>248</v>
      </c>
      <c r="AH2001" t="s">
        <v>11</v>
      </c>
      <c r="AI2001" t="s">
        <v>1031</v>
      </c>
      <c r="AJ2001">
        <v>1980</v>
      </c>
      <c r="AK2001" t="s">
        <v>1032</v>
      </c>
      <c r="AM2001" t="s">
        <v>1035</v>
      </c>
      <c r="AN2001" t="s">
        <v>76</v>
      </c>
      <c r="AO2001" t="s">
        <v>77</v>
      </c>
      <c r="AP2001" t="s">
        <v>115</v>
      </c>
      <c r="AQ2001" t="s">
        <v>1036</v>
      </c>
      <c r="AR2001" t="s">
        <v>80</v>
      </c>
      <c r="AS2001">
        <v>305</v>
      </c>
      <c r="AT2001" t="s">
        <v>81</v>
      </c>
      <c r="AU2001">
        <v>18.7</v>
      </c>
      <c r="AV2001">
        <v>34.1</v>
      </c>
      <c r="AW2001" t="s">
        <v>82</v>
      </c>
      <c r="AX2001">
        <v>305</v>
      </c>
      <c r="AY2001" t="s">
        <v>81</v>
      </c>
      <c r="AZ2001">
        <v>8.48</v>
      </c>
      <c r="BA2001">
        <v>36.520000000000003</v>
      </c>
      <c r="BB2001" t="s">
        <v>83</v>
      </c>
    </row>
    <row r="2002" spans="1:54" x14ac:dyDescent="0.4">
      <c r="A2002">
        <v>504276</v>
      </c>
      <c r="D2002" t="s">
        <v>54</v>
      </c>
      <c r="E2002" t="s">
        <v>152</v>
      </c>
      <c r="G2002">
        <v>1</v>
      </c>
      <c r="H2002" t="s">
        <v>84</v>
      </c>
      <c r="I2002" t="s">
        <v>57</v>
      </c>
      <c r="K2002" t="s">
        <v>168</v>
      </c>
      <c r="L2002" t="s">
        <v>801</v>
      </c>
      <c r="M2002" t="s">
        <v>60</v>
      </c>
      <c r="P2002" t="s">
        <v>89</v>
      </c>
      <c r="R2002" t="s">
        <v>63</v>
      </c>
      <c r="S2002" t="s">
        <v>64</v>
      </c>
      <c r="T2002">
        <v>208.5</v>
      </c>
      <c r="U2002">
        <v>201.4</v>
      </c>
      <c r="V2002">
        <f t="shared" si="62"/>
        <v>204.95</v>
      </c>
      <c r="W2002">
        <f t="shared" si="63"/>
        <v>7.0999999999999943</v>
      </c>
      <c r="X2002">
        <v>8.4519439999999992</v>
      </c>
      <c r="Y2002">
        <v>47.706111999999997</v>
      </c>
      <c r="Z2002" t="s">
        <v>520</v>
      </c>
      <c r="AA2002" t="s">
        <v>226</v>
      </c>
      <c r="AB2002" t="s">
        <v>877</v>
      </c>
      <c r="AD2002" t="s">
        <v>247</v>
      </c>
      <c r="AF2002" t="s">
        <v>248</v>
      </c>
      <c r="AH2002" t="s">
        <v>11</v>
      </c>
      <c r="AI2002" t="s">
        <v>1031</v>
      </c>
      <c r="AJ2002">
        <v>1980</v>
      </c>
      <c r="AK2002" t="s">
        <v>1032</v>
      </c>
      <c r="AM2002" t="s">
        <v>1035</v>
      </c>
      <c r="AN2002" t="s">
        <v>76</v>
      </c>
      <c r="AO2002" t="s">
        <v>77</v>
      </c>
      <c r="AP2002" t="s">
        <v>115</v>
      </c>
      <c r="AQ2002" t="s">
        <v>1036</v>
      </c>
      <c r="AR2002" t="s">
        <v>80</v>
      </c>
      <c r="AS2002">
        <v>305</v>
      </c>
      <c r="AT2002" t="s">
        <v>81</v>
      </c>
      <c r="AU2002">
        <v>18.7</v>
      </c>
      <c r="AV2002">
        <v>34.1</v>
      </c>
      <c r="AW2002" t="s">
        <v>82</v>
      </c>
      <c r="AX2002">
        <v>305</v>
      </c>
      <c r="AY2002" t="s">
        <v>81</v>
      </c>
      <c r="AZ2002">
        <v>8.48</v>
      </c>
      <c r="BA2002">
        <v>36.520000000000003</v>
      </c>
      <c r="BB2002" t="s">
        <v>83</v>
      </c>
    </row>
    <row r="2003" spans="1:54" x14ac:dyDescent="0.4">
      <c r="A2003">
        <v>513479</v>
      </c>
      <c r="D2003" t="s">
        <v>54</v>
      </c>
      <c r="E2003" t="s">
        <v>152</v>
      </c>
      <c r="G2003">
        <v>1</v>
      </c>
      <c r="H2003" t="s">
        <v>56</v>
      </c>
      <c r="I2003" t="s">
        <v>57</v>
      </c>
      <c r="K2003" t="s">
        <v>141</v>
      </c>
      <c r="L2003" t="s">
        <v>1043</v>
      </c>
      <c r="M2003" t="s">
        <v>60</v>
      </c>
      <c r="P2003" t="s">
        <v>89</v>
      </c>
      <c r="R2003" t="s">
        <v>63</v>
      </c>
      <c r="S2003" t="s">
        <v>64</v>
      </c>
      <c r="T2003">
        <v>208.5</v>
      </c>
      <c r="U2003">
        <v>201.4</v>
      </c>
      <c r="V2003">
        <f t="shared" si="62"/>
        <v>204.95</v>
      </c>
      <c r="W2003">
        <f t="shared" si="63"/>
        <v>7.0999999999999943</v>
      </c>
      <c r="X2003">
        <v>-2.6166670000000001</v>
      </c>
      <c r="Y2003">
        <v>51.469166000000001</v>
      </c>
      <c r="Z2003" t="s">
        <v>90</v>
      </c>
      <c r="AA2003" t="s">
        <v>91</v>
      </c>
      <c r="AB2003" t="s">
        <v>92</v>
      </c>
      <c r="AD2003" t="s">
        <v>1044</v>
      </c>
      <c r="AH2003" t="s">
        <v>72</v>
      </c>
      <c r="AI2003" t="s">
        <v>1045</v>
      </c>
      <c r="AJ2003">
        <v>1842</v>
      </c>
      <c r="AK2003" t="s">
        <v>1046</v>
      </c>
      <c r="AM2003" t="s">
        <v>1047</v>
      </c>
      <c r="AN2003" t="s">
        <v>76</v>
      </c>
      <c r="AO2003" t="s">
        <v>77</v>
      </c>
      <c r="AP2003" t="s">
        <v>115</v>
      </c>
      <c r="AQ2003" t="s">
        <v>1048</v>
      </c>
      <c r="AR2003" t="s">
        <v>80</v>
      </c>
      <c r="AS2003">
        <v>315</v>
      </c>
      <c r="AT2003" t="s">
        <v>81</v>
      </c>
      <c r="AU2003">
        <v>8.92</v>
      </c>
      <c r="AV2003">
        <v>34.19</v>
      </c>
      <c r="AW2003" t="s">
        <v>82</v>
      </c>
      <c r="AX2003">
        <v>315</v>
      </c>
      <c r="AY2003" t="s">
        <v>81</v>
      </c>
      <c r="AZ2003">
        <v>-1.61</v>
      </c>
      <c r="BA2003">
        <v>36.86</v>
      </c>
      <c r="BB2003" t="s">
        <v>83</v>
      </c>
    </row>
    <row r="2004" spans="1:54" x14ac:dyDescent="0.4">
      <c r="A2004">
        <v>513479</v>
      </c>
      <c r="D2004" t="s">
        <v>54</v>
      </c>
      <c r="E2004" t="s">
        <v>152</v>
      </c>
      <c r="G2004">
        <v>1</v>
      </c>
      <c r="H2004" t="s">
        <v>56</v>
      </c>
      <c r="I2004" t="s">
        <v>57</v>
      </c>
      <c r="K2004" t="s">
        <v>141</v>
      </c>
      <c r="L2004" t="s">
        <v>1043</v>
      </c>
      <c r="M2004" t="s">
        <v>60</v>
      </c>
      <c r="P2004" t="s">
        <v>89</v>
      </c>
      <c r="R2004" t="s">
        <v>63</v>
      </c>
      <c r="S2004" t="s">
        <v>64</v>
      </c>
      <c r="T2004">
        <v>208.5</v>
      </c>
      <c r="U2004">
        <v>201.4</v>
      </c>
      <c r="V2004">
        <f t="shared" si="62"/>
        <v>204.95</v>
      </c>
      <c r="W2004">
        <f t="shared" si="63"/>
        <v>7.0999999999999943</v>
      </c>
      <c r="X2004">
        <v>-2.6166670000000001</v>
      </c>
      <c r="Y2004">
        <v>51.469166000000001</v>
      </c>
      <c r="Z2004" t="s">
        <v>90</v>
      </c>
      <c r="AA2004" t="s">
        <v>91</v>
      </c>
      <c r="AB2004" t="s">
        <v>92</v>
      </c>
      <c r="AD2004" t="s">
        <v>1044</v>
      </c>
      <c r="AH2004" t="s">
        <v>72</v>
      </c>
      <c r="AI2004" t="s">
        <v>1045</v>
      </c>
      <c r="AJ2004">
        <v>1842</v>
      </c>
      <c r="AK2004" t="s">
        <v>1046</v>
      </c>
      <c r="AM2004" t="s">
        <v>1047</v>
      </c>
      <c r="AN2004" t="s">
        <v>76</v>
      </c>
      <c r="AO2004" t="s">
        <v>77</v>
      </c>
      <c r="AP2004" t="s">
        <v>115</v>
      </c>
      <c r="AQ2004" t="s">
        <v>1048</v>
      </c>
      <c r="AR2004" t="s">
        <v>80</v>
      </c>
      <c r="AS2004">
        <v>315</v>
      </c>
      <c r="AT2004" t="s">
        <v>81</v>
      </c>
      <c r="AU2004">
        <v>8.92</v>
      </c>
      <c r="AV2004">
        <v>34.19</v>
      </c>
      <c r="AW2004" t="s">
        <v>82</v>
      </c>
      <c r="AX2004">
        <v>315</v>
      </c>
      <c r="AY2004" t="s">
        <v>81</v>
      </c>
      <c r="AZ2004">
        <v>-1.61</v>
      </c>
      <c r="BA2004">
        <v>36.86</v>
      </c>
      <c r="BB2004" t="s">
        <v>83</v>
      </c>
    </row>
    <row r="2005" spans="1:54" x14ac:dyDescent="0.4">
      <c r="A2005">
        <v>513479</v>
      </c>
      <c r="D2005" t="s">
        <v>54</v>
      </c>
      <c r="E2005" t="s">
        <v>152</v>
      </c>
      <c r="G2005">
        <v>1</v>
      </c>
      <c r="H2005" t="s">
        <v>56</v>
      </c>
      <c r="I2005" t="s">
        <v>57</v>
      </c>
      <c r="K2005" t="s">
        <v>141</v>
      </c>
      <c r="L2005" t="s">
        <v>1043</v>
      </c>
      <c r="M2005" t="s">
        <v>60</v>
      </c>
      <c r="P2005" t="s">
        <v>89</v>
      </c>
      <c r="R2005" t="s">
        <v>63</v>
      </c>
      <c r="S2005" t="s">
        <v>64</v>
      </c>
      <c r="T2005">
        <v>208.5</v>
      </c>
      <c r="U2005">
        <v>201.4</v>
      </c>
      <c r="V2005">
        <f t="shared" si="62"/>
        <v>204.95</v>
      </c>
      <c r="W2005">
        <f t="shared" si="63"/>
        <v>7.0999999999999943</v>
      </c>
      <c r="X2005">
        <v>-2.6166670000000001</v>
      </c>
      <c r="Y2005">
        <v>51.469166000000001</v>
      </c>
      <c r="Z2005" t="s">
        <v>90</v>
      </c>
      <c r="AA2005" t="s">
        <v>91</v>
      </c>
      <c r="AB2005" t="s">
        <v>92</v>
      </c>
      <c r="AD2005" t="s">
        <v>1044</v>
      </c>
      <c r="AH2005" t="s">
        <v>72</v>
      </c>
      <c r="AI2005" t="s">
        <v>1045</v>
      </c>
      <c r="AJ2005">
        <v>1842</v>
      </c>
      <c r="AK2005" t="s">
        <v>1046</v>
      </c>
      <c r="AM2005" t="s">
        <v>1047</v>
      </c>
      <c r="AN2005" t="s">
        <v>76</v>
      </c>
      <c r="AO2005" t="s">
        <v>77</v>
      </c>
      <c r="AP2005" t="s">
        <v>115</v>
      </c>
      <c r="AQ2005" t="s">
        <v>1048</v>
      </c>
      <c r="AR2005" t="s">
        <v>80</v>
      </c>
      <c r="AS2005">
        <v>315</v>
      </c>
      <c r="AT2005" t="s">
        <v>81</v>
      </c>
      <c r="AU2005">
        <v>8.92</v>
      </c>
      <c r="AV2005">
        <v>34.19</v>
      </c>
      <c r="AW2005" t="s">
        <v>82</v>
      </c>
      <c r="AX2005">
        <v>315</v>
      </c>
      <c r="AY2005" t="s">
        <v>81</v>
      </c>
      <c r="AZ2005">
        <v>-1.61</v>
      </c>
      <c r="BA2005">
        <v>36.86</v>
      </c>
      <c r="BB2005" t="s">
        <v>83</v>
      </c>
    </row>
    <row r="2006" spans="1:54" x14ac:dyDescent="0.4">
      <c r="A2006">
        <v>513479</v>
      </c>
      <c r="D2006" t="s">
        <v>54</v>
      </c>
      <c r="E2006" t="s">
        <v>152</v>
      </c>
      <c r="G2006">
        <v>1</v>
      </c>
      <c r="H2006" t="s">
        <v>56</v>
      </c>
      <c r="I2006" t="s">
        <v>57</v>
      </c>
      <c r="K2006" t="s">
        <v>141</v>
      </c>
      <c r="L2006" t="s">
        <v>1043</v>
      </c>
      <c r="M2006" t="s">
        <v>60</v>
      </c>
      <c r="P2006" t="s">
        <v>89</v>
      </c>
      <c r="R2006" t="s">
        <v>63</v>
      </c>
      <c r="S2006" t="s">
        <v>64</v>
      </c>
      <c r="T2006">
        <v>208.5</v>
      </c>
      <c r="U2006">
        <v>201.4</v>
      </c>
      <c r="V2006">
        <f t="shared" si="62"/>
        <v>204.95</v>
      </c>
      <c r="W2006">
        <f t="shared" si="63"/>
        <v>7.0999999999999943</v>
      </c>
      <c r="X2006">
        <v>-2.6166670000000001</v>
      </c>
      <c r="Y2006">
        <v>51.469166000000001</v>
      </c>
      <c r="Z2006" t="s">
        <v>90</v>
      </c>
      <c r="AA2006" t="s">
        <v>91</v>
      </c>
      <c r="AB2006" t="s">
        <v>92</v>
      </c>
      <c r="AD2006" t="s">
        <v>1044</v>
      </c>
      <c r="AH2006" t="s">
        <v>72</v>
      </c>
      <c r="AI2006" t="s">
        <v>1045</v>
      </c>
      <c r="AJ2006">
        <v>1842</v>
      </c>
      <c r="AK2006" t="s">
        <v>1046</v>
      </c>
      <c r="AM2006" t="s">
        <v>1047</v>
      </c>
      <c r="AN2006" t="s">
        <v>76</v>
      </c>
      <c r="AO2006" t="s">
        <v>77</v>
      </c>
      <c r="AP2006" t="s">
        <v>115</v>
      </c>
      <c r="AQ2006" t="s">
        <v>1048</v>
      </c>
      <c r="AR2006" t="s">
        <v>80</v>
      </c>
      <c r="AS2006">
        <v>315</v>
      </c>
      <c r="AT2006" t="s">
        <v>81</v>
      </c>
      <c r="AU2006">
        <v>8.92</v>
      </c>
      <c r="AV2006">
        <v>34.19</v>
      </c>
      <c r="AW2006" t="s">
        <v>82</v>
      </c>
      <c r="AX2006">
        <v>315</v>
      </c>
      <c r="AY2006" t="s">
        <v>81</v>
      </c>
      <c r="AZ2006">
        <v>-1.61</v>
      </c>
      <c r="BA2006">
        <v>36.86</v>
      </c>
      <c r="BB2006" t="s">
        <v>83</v>
      </c>
    </row>
    <row r="2007" spans="1:54" x14ac:dyDescent="0.4">
      <c r="A2007">
        <v>513479</v>
      </c>
      <c r="D2007" t="s">
        <v>54</v>
      </c>
      <c r="E2007" t="s">
        <v>152</v>
      </c>
      <c r="G2007">
        <v>1</v>
      </c>
      <c r="H2007" t="s">
        <v>56</v>
      </c>
      <c r="I2007" t="s">
        <v>57</v>
      </c>
      <c r="K2007" t="s">
        <v>141</v>
      </c>
      <c r="L2007" t="s">
        <v>1043</v>
      </c>
      <c r="M2007" t="s">
        <v>60</v>
      </c>
      <c r="P2007" t="s">
        <v>89</v>
      </c>
      <c r="R2007" t="s">
        <v>63</v>
      </c>
      <c r="S2007" t="s">
        <v>64</v>
      </c>
      <c r="T2007">
        <v>208.5</v>
      </c>
      <c r="U2007">
        <v>201.4</v>
      </c>
      <c r="V2007">
        <f t="shared" si="62"/>
        <v>204.95</v>
      </c>
      <c r="W2007">
        <f t="shared" si="63"/>
        <v>7.0999999999999943</v>
      </c>
      <c r="X2007">
        <v>-2.6166670000000001</v>
      </c>
      <c r="Y2007">
        <v>51.469166000000001</v>
      </c>
      <c r="Z2007" t="s">
        <v>90</v>
      </c>
      <c r="AA2007" t="s">
        <v>91</v>
      </c>
      <c r="AB2007" t="s">
        <v>92</v>
      </c>
      <c r="AD2007" t="s">
        <v>1044</v>
      </c>
      <c r="AH2007" t="s">
        <v>72</v>
      </c>
      <c r="AI2007" t="s">
        <v>1045</v>
      </c>
      <c r="AJ2007">
        <v>1842</v>
      </c>
      <c r="AK2007" t="s">
        <v>1046</v>
      </c>
      <c r="AM2007" t="s">
        <v>1047</v>
      </c>
      <c r="AN2007" t="s">
        <v>76</v>
      </c>
      <c r="AO2007" t="s">
        <v>77</v>
      </c>
      <c r="AP2007" t="s">
        <v>115</v>
      </c>
      <c r="AQ2007" t="s">
        <v>1048</v>
      </c>
      <c r="AR2007" t="s">
        <v>80</v>
      </c>
      <c r="AS2007">
        <v>315</v>
      </c>
      <c r="AT2007" t="s">
        <v>81</v>
      </c>
      <c r="AU2007">
        <v>8.92</v>
      </c>
      <c r="AV2007">
        <v>34.19</v>
      </c>
      <c r="AW2007" t="s">
        <v>82</v>
      </c>
      <c r="AX2007">
        <v>315</v>
      </c>
      <c r="AY2007" t="s">
        <v>81</v>
      </c>
      <c r="AZ2007">
        <v>-1.61</v>
      </c>
      <c r="BA2007">
        <v>36.86</v>
      </c>
      <c r="BB2007" t="s">
        <v>83</v>
      </c>
    </row>
    <row r="2008" spans="1:54" x14ac:dyDescent="0.4">
      <c r="A2008">
        <v>513479</v>
      </c>
      <c r="D2008" t="s">
        <v>54</v>
      </c>
      <c r="E2008" t="s">
        <v>152</v>
      </c>
      <c r="G2008">
        <v>1</v>
      </c>
      <c r="H2008" t="s">
        <v>56</v>
      </c>
      <c r="I2008" t="s">
        <v>57</v>
      </c>
      <c r="K2008" t="s">
        <v>141</v>
      </c>
      <c r="L2008" t="s">
        <v>1043</v>
      </c>
      <c r="M2008" t="s">
        <v>60</v>
      </c>
      <c r="P2008" t="s">
        <v>89</v>
      </c>
      <c r="R2008" t="s">
        <v>63</v>
      </c>
      <c r="S2008" t="s">
        <v>64</v>
      </c>
      <c r="T2008">
        <v>208.5</v>
      </c>
      <c r="U2008">
        <v>201.4</v>
      </c>
      <c r="V2008">
        <f t="shared" si="62"/>
        <v>204.95</v>
      </c>
      <c r="W2008">
        <f t="shared" si="63"/>
        <v>7.0999999999999943</v>
      </c>
      <c r="X2008">
        <v>-2.6166670000000001</v>
      </c>
      <c r="Y2008">
        <v>51.469166000000001</v>
      </c>
      <c r="Z2008" t="s">
        <v>90</v>
      </c>
      <c r="AA2008" t="s">
        <v>91</v>
      </c>
      <c r="AB2008" t="s">
        <v>92</v>
      </c>
      <c r="AD2008" t="s">
        <v>1044</v>
      </c>
      <c r="AH2008" t="s">
        <v>72</v>
      </c>
      <c r="AI2008" t="s">
        <v>1045</v>
      </c>
      <c r="AJ2008">
        <v>1842</v>
      </c>
      <c r="AK2008" t="s">
        <v>1046</v>
      </c>
      <c r="AM2008" t="s">
        <v>1047</v>
      </c>
      <c r="AN2008" t="s">
        <v>76</v>
      </c>
      <c r="AO2008" t="s">
        <v>77</v>
      </c>
      <c r="AP2008" t="s">
        <v>115</v>
      </c>
      <c r="AQ2008" t="s">
        <v>1048</v>
      </c>
      <c r="AR2008" t="s">
        <v>80</v>
      </c>
      <c r="AS2008">
        <v>315</v>
      </c>
      <c r="AT2008" t="s">
        <v>81</v>
      </c>
      <c r="AU2008">
        <v>8.92</v>
      </c>
      <c r="AV2008">
        <v>34.19</v>
      </c>
      <c r="AW2008" t="s">
        <v>82</v>
      </c>
      <c r="AX2008">
        <v>315</v>
      </c>
      <c r="AY2008" t="s">
        <v>81</v>
      </c>
      <c r="AZ2008">
        <v>-1.61</v>
      </c>
      <c r="BA2008">
        <v>36.86</v>
      </c>
      <c r="BB2008" t="s">
        <v>83</v>
      </c>
    </row>
    <row r="2009" spans="1:54" x14ac:dyDescent="0.4">
      <c r="A2009">
        <v>513479</v>
      </c>
      <c r="D2009" t="s">
        <v>54</v>
      </c>
      <c r="E2009" t="s">
        <v>152</v>
      </c>
      <c r="G2009">
        <v>1</v>
      </c>
      <c r="H2009" t="s">
        <v>56</v>
      </c>
      <c r="I2009" t="s">
        <v>57</v>
      </c>
      <c r="K2009" t="s">
        <v>141</v>
      </c>
      <c r="L2009" t="s">
        <v>1043</v>
      </c>
      <c r="M2009" t="s">
        <v>60</v>
      </c>
      <c r="P2009" t="s">
        <v>89</v>
      </c>
      <c r="R2009" t="s">
        <v>63</v>
      </c>
      <c r="S2009" t="s">
        <v>64</v>
      </c>
      <c r="T2009">
        <v>208.5</v>
      </c>
      <c r="U2009">
        <v>201.4</v>
      </c>
      <c r="V2009">
        <f t="shared" si="62"/>
        <v>204.95</v>
      </c>
      <c r="W2009">
        <f t="shared" si="63"/>
        <v>7.0999999999999943</v>
      </c>
      <c r="X2009">
        <v>-2.6166670000000001</v>
      </c>
      <c r="Y2009">
        <v>51.469166000000001</v>
      </c>
      <c r="Z2009" t="s">
        <v>90</v>
      </c>
      <c r="AA2009" t="s">
        <v>91</v>
      </c>
      <c r="AB2009" t="s">
        <v>92</v>
      </c>
      <c r="AD2009" t="s">
        <v>1044</v>
      </c>
      <c r="AH2009" t="s">
        <v>72</v>
      </c>
      <c r="AI2009" t="s">
        <v>1045</v>
      </c>
      <c r="AJ2009">
        <v>1842</v>
      </c>
      <c r="AK2009" t="s">
        <v>1046</v>
      </c>
      <c r="AM2009" t="s">
        <v>1047</v>
      </c>
      <c r="AN2009" t="s">
        <v>76</v>
      </c>
      <c r="AO2009" t="s">
        <v>77</v>
      </c>
      <c r="AP2009" t="s">
        <v>115</v>
      </c>
      <c r="AQ2009" t="s">
        <v>1048</v>
      </c>
      <c r="AR2009" t="s">
        <v>80</v>
      </c>
      <c r="AS2009">
        <v>315</v>
      </c>
      <c r="AT2009" t="s">
        <v>81</v>
      </c>
      <c r="AU2009">
        <v>8.92</v>
      </c>
      <c r="AV2009">
        <v>34.19</v>
      </c>
      <c r="AW2009" t="s">
        <v>82</v>
      </c>
      <c r="AX2009">
        <v>315</v>
      </c>
      <c r="AY2009" t="s">
        <v>81</v>
      </c>
      <c r="AZ2009">
        <v>-1.61</v>
      </c>
      <c r="BA2009">
        <v>36.86</v>
      </c>
      <c r="BB2009" t="s">
        <v>83</v>
      </c>
    </row>
    <row r="2010" spans="1:54" x14ac:dyDescent="0.4">
      <c r="A2010">
        <v>513479</v>
      </c>
      <c r="D2010" t="s">
        <v>54</v>
      </c>
      <c r="E2010" t="s">
        <v>152</v>
      </c>
      <c r="G2010">
        <v>1</v>
      </c>
      <c r="H2010" t="s">
        <v>56</v>
      </c>
      <c r="I2010" t="s">
        <v>57</v>
      </c>
      <c r="K2010" t="s">
        <v>141</v>
      </c>
      <c r="L2010" t="s">
        <v>1043</v>
      </c>
      <c r="M2010" t="s">
        <v>60</v>
      </c>
      <c r="P2010" t="s">
        <v>89</v>
      </c>
      <c r="R2010" t="s">
        <v>63</v>
      </c>
      <c r="S2010" t="s">
        <v>64</v>
      </c>
      <c r="T2010">
        <v>208.5</v>
      </c>
      <c r="U2010">
        <v>201.4</v>
      </c>
      <c r="V2010">
        <f t="shared" si="62"/>
        <v>204.95</v>
      </c>
      <c r="W2010">
        <f t="shared" si="63"/>
        <v>7.0999999999999943</v>
      </c>
      <c r="X2010">
        <v>-2.6166670000000001</v>
      </c>
      <c r="Y2010">
        <v>51.469166000000001</v>
      </c>
      <c r="Z2010" t="s">
        <v>90</v>
      </c>
      <c r="AA2010" t="s">
        <v>91</v>
      </c>
      <c r="AB2010" t="s">
        <v>92</v>
      </c>
      <c r="AD2010" t="s">
        <v>1044</v>
      </c>
      <c r="AH2010" t="s">
        <v>72</v>
      </c>
      <c r="AI2010" t="s">
        <v>1045</v>
      </c>
      <c r="AJ2010">
        <v>1842</v>
      </c>
      <c r="AK2010" t="s">
        <v>1046</v>
      </c>
      <c r="AM2010" t="s">
        <v>1047</v>
      </c>
      <c r="AN2010" t="s">
        <v>76</v>
      </c>
      <c r="AO2010" t="s">
        <v>77</v>
      </c>
      <c r="AP2010" t="s">
        <v>115</v>
      </c>
      <c r="AQ2010" t="s">
        <v>1048</v>
      </c>
      <c r="AR2010" t="s">
        <v>80</v>
      </c>
      <c r="AS2010">
        <v>315</v>
      </c>
      <c r="AT2010" t="s">
        <v>81</v>
      </c>
      <c r="AU2010">
        <v>8.92</v>
      </c>
      <c r="AV2010">
        <v>34.19</v>
      </c>
      <c r="AW2010" t="s">
        <v>82</v>
      </c>
      <c r="AX2010">
        <v>315</v>
      </c>
      <c r="AY2010" t="s">
        <v>81</v>
      </c>
      <c r="AZ2010">
        <v>-1.61</v>
      </c>
      <c r="BA2010">
        <v>36.86</v>
      </c>
      <c r="BB2010" t="s">
        <v>83</v>
      </c>
    </row>
    <row r="2011" spans="1:54" x14ac:dyDescent="0.4">
      <c r="A2011">
        <v>513479</v>
      </c>
      <c r="D2011" t="s">
        <v>54</v>
      </c>
      <c r="E2011" t="s">
        <v>152</v>
      </c>
      <c r="G2011">
        <v>1</v>
      </c>
      <c r="H2011" t="s">
        <v>56</v>
      </c>
      <c r="I2011" t="s">
        <v>57</v>
      </c>
      <c r="K2011" t="s">
        <v>141</v>
      </c>
      <c r="L2011" t="s">
        <v>1043</v>
      </c>
      <c r="M2011" t="s">
        <v>60</v>
      </c>
      <c r="P2011" t="s">
        <v>89</v>
      </c>
      <c r="R2011" t="s">
        <v>63</v>
      </c>
      <c r="S2011" t="s">
        <v>64</v>
      </c>
      <c r="T2011">
        <v>208.5</v>
      </c>
      <c r="U2011">
        <v>201.4</v>
      </c>
      <c r="V2011">
        <f t="shared" si="62"/>
        <v>204.95</v>
      </c>
      <c r="W2011">
        <f t="shared" si="63"/>
        <v>7.0999999999999943</v>
      </c>
      <c r="X2011">
        <v>-2.6166670000000001</v>
      </c>
      <c r="Y2011">
        <v>51.469166000000001</v>
      </c>
      <c r="Z2011" t="s">
        <v>90</v>
      </c>
      <c r="AA2011" t="s">
        <v>91</v>
      </c>
      <c r="AB2011" t="s">
        <v>92</v>
      </c>
      <c r="AD2011" t="s">
        <v>1044</v>
      </c>
      <c r="AH2011" t="s">
        <v>72</v>
      </c>
      <c r="AI2011" t="s">
        <v>1045</v>
      </c>
      <c r="AJ2011">
        <v>1842</v>
      </c>
      <c r="AK2011" t="s">
        <v>1046</v>
      </c>
      <c r="AM2011" t="s">
        <v>1047</v>
      </c>
      <c r="AN2011" t="s">
        <v>76</v>
      </c>
      <c r="AO2011" t="s">
        <v>77</v>
      </c>
      <c r="AP2011" t="s">
        <v>115</v>
      </c>
      <c r="AQ2011" t="s">
        <v>1048</v>
      </c>
      <c r="AR2011" t="s">
        <v>80</v>
      </c>
      <c r="AS2011">
        <v>315</v>
      </c>
      <c r="AT2011" t="s">
        <v>81</v>
      </c>
      <c r="AU2011">
        <v>8.92</v>
      </c>
      <c r="AV2011">
        <v>34.19</v>
      </c>
      <c r="AW2011" t="s">
        <v>82</v>
      </c>
      <c r="AX2011">
        <v>315</v>
      </c>
      <c r="AY2011" t="s">
        <v>81</v>
      </c>
      <c r="AZ2011">
        <v>-1.61</v>
      </c>
      <c r="BA2011">
        <v>36.86</v>
      </c>
      <c r="BB2011" t="s">
        <v>83</v>
      </c>
    </row>
    <row r="2012" spans="1:54" x14ac:dyDescent="0.4">
      <c r="A2012">
        <v>513479</v>
      </c>
      <c r="D2012" t="s">
        <v>54</v>
      </c>
      <c r="E2012" t="s">
        <v>152</v>
      </c>
      <c r="G2012">
        <v>1</v>
      </c>
      <c r="H2012" t="s">
        <v>56</v>
      </c>
      <c r="I2012" t="s">
        <v>57</v>
      </c>
      <c r="K2012" t="s">
        <v>141</v>
      </c>
      <c r="L2012" t="s">
        <v>1043</v>
      </c>
      <c r="M2012" t="s">
        <v>60</v>
      </c>
      <c r="P2012" t="s">
        <v>89</v>
      </c>
      <c r="R2012" t="s">
        <v>63</v>
      </c>
      <c r="S2012" t="s">
        <v>64</v>
      </c>
      <c r="T2012">
        <v>208.5</v>
      </c>
      <c r="U2012">
        <v>201.4</v>
      </c>
      <c r="V2012">
        <f t="shared" si="62"/>
        <v>204.95</v>
      </c>
      <c r="W2012">
        <f t="shared" si="63"/>
        <v>7.0999999999999943</v>
      </c>
      <c r="X2012">
        <v>-2.6166670000000001</v>
      </c>
      <c r="Y2012">
        <v>51.469166000000001</v>
      </c>
      <c r="Z2012" t="s">
        <v>90</v>
      </c>
      <c r="AA2012" t="s">
        <v>91</v>
      </c>
      <c r="AB2012" t="s">
        <v>92</v>
      </c>
      <c r="AD2012" t="s">
        <v>1044</v>
      </c>
      <c r="AH2012" t="s">
        <v>72</v>
      </c>
      <c r="AI2012" t="s">
        <v>1045</v>
      </c>
      <c r="AJ2012">
        <v>1842</v>
      </c>
      <c r="AK2012" t="s">
        <v>1046</v>
      </c>
      <c r="AM2012" t="s">
        <v>1047</v>
      </c>
      <c r="AN2012" t="s">
        <v>76</v>
      </c>
      <c r="AO2012" t="s">
        <v>77</v>
      </c>
      <c r="AP2012" t="s">
        <v>115</v>
      </c>
      <c r="AQ2012" t="s">
        <v>1048</v>
      </c>
      <c r="AR2012" t="s">
        <v>80</v>
      </c>
      <c r="AS2012">
        <v>315</v>
      </c>
      <c r="AT2012" t="s">
        <v>81</v>
      </c>
      <c r="AU2012">
        <v>8.92</v>
      </c>
      <c r="AV2012">
        <v>34.19</v>
      </c>
      <c r="AW2012" t="s">
        <v>82</v>
      </c>
      <c r="AX2012">
        <v>315</v>
      </c>
      <c r="AY2012" t="s">
        <v>81</v>
      </c>
      <c r="AZ2012">
        <v>-1.61</v>
      </c>
      <c r="BA2012">
        <v>36.86</v>
      </c>
      <c r="BB2012" t="s">
        <v>83</v>
      </c>
    </row>
    <row r="2013" spans="1:54" x14ac:dyDescent="0.4">
      <c r="A2013">
        <v>513479</v>
      </c>
      <c r="D2013" t="s">
        <v>54</v>
      </c>
      <c r="E2013" t="s">
        <v>152</v>
      </c>
      <c r="G2013">
        <v>1</v>
      </c>
      <c r="H2013" t="s">
        <v>56</v>
      </c>
      <c r="I2013" t="s">
        <v>57</v>
      </c>
      <c r="K2013" t="s">
        <v>141</v>
      </c>
      <c r="L2013" t="s">
        <v>1043</v>
      </c>
      <c r="M2013" t="s">
        <v>60</v>
      </c>
      <c r="P2013" t="s">
        <v>89</v>
      </c>
      <c r="R2013" t="s">
        <v>63</v>
      </c>
      <c r="S2013" t="s">
        <v>64</v>
      </c>
      <c r="T2013">
        <v>208.5</v>
      </c>
      <c r="U2013">
        <v>201.4</v>
      </c>
      <c r="V2013">
        <f t="shared" si="62"/>
        <v>204.95</v>
      </c>
      <c r="W2013">
        <f t="shared" si="63"/>
        <v>7.0999999999999943</v>
      </c>
      <c r="X2013">
        <v>-2.6166670000000001</v>
      </c>
      <c r="Y2013">
        <v>51.469166000000001</v>
      </c>
      <c r="Z2013" t="s">
        <v>90</v>
      </c>
      <c r="AA2013" t="s">
        <v>91</v>
      </c>
      <c r="AB2013" t="s">
        <v>92</v>
      </c>
      <c r="AD2013" t="s">
        <v>1044</v>
      </c>
      <c r="AH2013" t="s">
        <v>72</v>
      </c>
      <c r="AI2013" t="s">
        <v>1045</v>
      </c>
      <c r="AJ2013">
        <v>1842</v>
      </c>
      <c r="AK2013" t="s">
        <v>1046</v>
      </c>
      <c r="AM2013" t="s">
        <v>1047</v>
      </c>
      <c r="AN2013" t="s">
        <v>76</v>
      </c>
      <c r="AO2013" t="s">
        <v>77</v>
      </c>
      <c r="AP2013" t="s">
        <v>115</v>
      </c>
      <c r="AQ2013" t="s">
        <v>1048</v>
      </c>
      <c r="AR2013" t="s">
        <v>80</v>
      </c>
      <c r="AS2013">
        <v>315</v>
      </c>
      <c r="AT2013" t="s">
        <v>81</v>
      </c>
      <c r="AU2013">
        <v>8.92</v>
      </c>
      <c r="AV2013">
        <v>34.19</v>
      </c>
      <c r="AW2013" t="s">
        <v>82</v>
      </c>
      <c r="AX2013">
        <v>315</v>
      </c>
      <c r="AY2013" t="s">
        <v>81</v>
      </c>
      <c r="AZ2013">
        <v>-1.61</v>
      </c>
      <c r="BA2013">
        <v>36.86</v>
      </c>
      <c r="BB2013" t="s">
        <v>83</v>
      </c>
    </row>
    <row r="2014" spans="1:54" x14ac:dyDescent="0.4">
      <c r="A2014">
        <v>513481</v>
      </c>
      <c r="D2014" t="s">
        <v>54</v>
      </c>
      <c r="E2014" t="s">
        <v>152</v>
      </c>
      <c r="G2014">
        <v>19</v>
      </c>
      <c r="H2014" t="s">
        <v>84</v>
      </c>
      <c r="I2014" t="s">
        <v>57</v>
      </c>
      <c r="K2014" t="s">
        <v>141</v>
      </c>
      <c r="L2014" t="s">
        <v>142</v>
      </c>
      <c r="M2014" t="s">
        <v>60</v>
      </c>
      <c r="P2014" t="s">
        <v>89</v>
      </c>
      <c r="R2014" t="s">
        <v>63</v>
      </c>
      <c r="S2014" t="s">
        <v>64</v>
      </c>
      <c r="T2014">
        <v>208.5</v>
      </c>
      <c r="U2014">
        <v>201.4</v>
      </c>
      <c r="V2014">
        <f t="shared" si="62"/>
        <v>204.95</v>
      </c>
      <c r="W2014">
        <f t="shared" si="63"/>
        <v>7.0999999999999943</v>
      </c>
      <c r="X2014">
        <v>-2.6166670000000001</v>
      </c>
      <c r="Y2014">
        <v>51.469166000000001</v>
      </c>
      <c r="Z2014" t="s">
        <v>90</v>
      </c>
      <c r="AA2014" t="s">
        <v>91</v>
      </c>
      <c r="AB2014" t="s">
        <v>92</v>
      </c>
      <c r="AD2014" t="s">
        <v>1044</v>
      </c>
      <c r="AH2014" t="s">
        <v>72</v>
      </c>
      <c r="AI2014" t="s">
        <v>1049</v>
      </c>
      <c r="AJ2014">
        <v>2000</v>
      </c>
      <c r="AK2014" t="s">
        <v>1046</v>
      </c>
      <c r="AM2014" t="s">
        <v>1047</v>
      </c>
      <c r="AN2014" t="s">
        <v>76</v>
      </c>
      <c r="AO2014" t="s">
        <v>77</v>
      </c>
      <c r="AP2014" t="s">
        <v>115</v>
      </c>
      <c r="AQ2014" t="s">
        <v>1048</v>
      </c>
      <c r="AR2014" t="s">
        <v>80</v>
      </c>
      <c r="AS2014">
        <v>315</v>
      </c>
      <c r="AT2014" t="s">
        <v>81</v>
      </c>
      <c r="AU2014">
        <v>8.92</v>
      </c>
      <c r="AV2014">
        <v>34.19</v>
      </c>
      <c r="AW2014" t="s">
        <v>82</v>
      </c>
      <c r="AX2014">
        <v>315</v>
      </c>
      <c r="AY2014" t="s">
        <v>81</v>
      </c>
      <c r="AZ2014">
        <v>-1.61</v>
      </c>
      <c r="BA2014">
        <v>36.86</v>
      </c>
      <c r="BB2014" t="s">
        <v>83</v>
      </c>
    </row>
    <row r="2015" spans="1:54" x14ac:dyDescent="0.4">
      <c r="A2015">
        <v>513482</v>
      </c>
      <c r="D2015" t="s">
        <v>54</v>
      </c>
      <c r="E2015" t="s">
        <v>152</v>
      </c>
      <c r="G2015">
        <v>1</v>
      </c>
      <c r="H2015" t="s">
        <v>84</v>
      </c>
      <c r="I2015" t="s">
        <v>57</v>
      </c>
      <c r="K2015" t="s">
        <v>141</v>
      </c>
      <c r="L2015" t="s">
        <v>142</v>
      </c>
      <c r="M2015" t="s">
        <v>60</v>
      </c>
      <c r="P2015" t="s">
        <v>89</v>
      </c>
      <c r="R2015" t="s">
        <v>63</v>
      </c>
      <c r="S2015" t="s">
        <v>64</v>
      </c>
      <c r="T2015">
        <v>208.5</v>
      </c>
      <c r="U2015">
        <v>201.4</v>
      </c>
      <c r="V2015">
        <f t="shared" si="62"/>
        <v>204.95</v>
      </c>
      <c r="W2015">
        <f t="shared" si="63"/>
        <v>7.0999999999999943</v>
      </c>
      <c r="X2015">
        <v>-2.6166670000000001</v>
      </c>
      <c r="Y2015">
        <v>51.469166000000001</v>
      </c>
      <c r="Z2015" t="s">
        <v>90</v>
      </c>
      <c r="AA2015" t="s">
        <v>91</v>
      </c>
      <c r="AB2015" t="s">
        <v>92</v>
      </c>
      <c r="AD2015" t="s">
        <v>1044</v>
      </c>
      <c r="AH2015" t="s">
        <v>72</v>
      </c>
      <c r="AI2015" t="s">
        <v>365</v>
      </c>
      <c r="AJ2015">
        <v>2007</v>
      </c>
      <c r="AK2015" t="s">
        <v>1046</v>
      </c>
      <c r="AM2015" t="s">
        <v>1047</v>
      </c>
      <c r="AN2015" t="s">
        <v>76</v>
      </c>
      <c r="AO2015" t="s">
        <v>77</v>
      </c>
      <c r="AP2015" t="s">
        <v>115</v>
      </c>
      <c r="AQ2015" t="s">
        <v>1048</v>
      </c>
      <c r="AR2015" t="s">
        <v>80</v>
      </c>
      <c r="AS2015">
        <v>315</v>
      </c>
      <c r="AT2015" t="s">
        <v>81</v>
      </c>
      <c r="AU2015">
        <v>8.92</v>
      </c>
      <c r="AV2015">
        <v>34.19</v>
      </c>
      <c r="AW2015" t="s">
        <v>82</v>
      </c>
      <c r="AX2015">
        <v>315</v>
      </c>
      <c r="AY2015" t="s">
        <v>81</v>
      </c>
      <c r="AZ2015">
        <v>-1.61</v>
      </c>
      <c r="BA2015">
        <v>36.86</v>
      </c>
      <c r="BB2015" t="s">
        <v>83</v>
      </c>
    </row>
    <row r="2016" spans="1:54" x14ac:dyDescent="0.4">
      <c r="A2016">
        <v>521673</v>
      </c>
      <c r="D2016" t="s">
        <v>54</v>
      </c>
      <c r="E2016" t="s">
        <v>55</v>
      </c>
      <c r="F2016" t="s">
        <v>885</v>
      </c>
      <c r="G2016">
        <v>1</v>
      </c>
      <c r="H2016" t="s">
        <v>56</v>
      </c>
      <c r="I2016" t="s">
        <v>57</v>
      </c>
      <c r="K2016" t="s">
        <v>323</v>
      </c>
      <c r="L2016" t="s">
        <v>1124</v>
      </c>
      <c r="M2016" t="s">
        <v>1125</v>
      </c>
      <c r="N2016" t="s">
        <v>1126</v>
      </c>
      <c r="O2016" t="s">
        <v>87</v>
      </c>
      <c r="P2016" t="s">
        <v>89</v>
      </c>
      <c r="R2016" t="s">
        <v>63</v>
      </c>
      <c r="S2016" t="s">
        <v>64</v>
      </c>
      <c r="T2016">
        <v>208.5</v>
      </c>
      <c r="U2016">
        <v>201.4</v>
      </c>
      <c r="V2016">
        <f t="shared" si="62"/>
        <v>204.95</v>
      </c>
      <c r="W2016">
        <f t="shared" si="63"/>
        <v>7.0999999999999943</v>
      </c>
      <c r="X2016">
        <v>-106.473099</v>
      </c>
      <c r="Y2016">
        <v>36.331699</v>
      </c>
      <c r="Z2016" t="s">
        <v>886</v>
      </c>
      <c r="AA2016" t="s">
        <v>66</v>
      </c>
      <c r="AB2016" t="s">
        <v>846</v>
      </c>
      <c r="AC2016" t="s">
        <v>847</v>
      </c>
      <c r="AD2016" t="s">
        <v>174</v>
      </c>
      <c r="AF2016" t="s">
        <v>887</v>
      </c>
      <c r="AH2016" t="s">
        <v>72</v>
      </c>
      <c r="AI2016" t="s">
        <v>1127</v>
      </c>
      <c r="AJ2016">
        <v>2009</v>
      </c>
      <c r="AK2016" t="s">
        <v>888</v>
      </c>
      <c r="AM2016" t="s">
        <v>889</v>
      </c>
      <c r="AN2016" t="s">
        <v>76</v>
      </c>
      <c r="AO2016">
        <v>4</v>
      </c>
      <c r="AP2016" t="s">
        <v>115</v>
      </c>
      <c r="AQ2016" t="s">
        <v>890</v>
      </c>
      <c r="AR2016" t="s">
        <v>80</v>
      </c>
      <c r="AS2016">
        <v>101</v>
      </c>
      <c r="AT2016" t="s">
        <v>81</v>
      </c>
      <c r="AU2016">
        <v>-35.96</v>
      </c>
      <c r="AV2016">
        <v>10.83</v>
      </c>
      <c r="AW2016" t="s">
        <v>82</v>
      </c>
      <c r="AX2016">
        <v>133</v>
      </c>
      <c r="AY2016" t="s">
        <v>81</v>
      </c>
      <c r="AZ2016">
        <v>-51.55</v>
      </c>
      <c r="BA2016">
        <v>13.24</v>
      </c>
      <c r="BB2016" t="s">
        <v>83</v>
      </c>
    </row>
    <row r="2017" spans="1:54" x14ac:dyDescent="0.4">
      <c r="A2017">
        <v>521673</v>
      </c>
      <c r="D2017" t="s">
        <v>54</v>
      </c>
      <c r="E2017" t="s">
        <v>55</v>
      </c>
      <c r="F2017" t="s">
        <v>885</v>
      </c>
      <c r="G2017">
        <v>1</v>
      </c>
      <c r="H2017" t="s">
        <v>56</v>
      </c>
      <c r="I2017" t="s">
        <v>57</v>
      </c>
      <c r="K2017" t="s">
        <v>323</v>
      </c>
      <c r="L2017" t="s">
        <v>1124</v>
      </c>
      <c r="M2017" t="s">
        <v>1125</v>
      </c>
      <c r="N2017" t="s">
        <v>1126</v>
      </c>
      <c r="O2017" t="s">
        <v>87</v>
      </c>
      <c r="P2017" t="s">
        <v>89</v>
      </c>
      <c r="R2017" t="s">
        <v>63</v>
      </c>
      <c r="S2017" t="s">
        <v>64</v>
      </c>
      <c r="T2017">
        <v>208.5</v>
      </c>
      <c r="U2017">
        <v>201.4</v>
      </c>
      <c r="V2017">
        <f t="shared" si="62"/>
        <v>204.95</v>
      </c>
      <c r="W2017">
        <f t="shared" si="63"/>
        <v>7.0999999999999943</v>
      </c>
      <c r="X2017">
        <v>-106.473099</v>
      </c>
      <c r="Y2017">
        <v>36.331699</v>
      </c>
      <c r="Z2017" t="s">
        <v>886</v>
      </c>
      <c r="AA2017" t="s">
        <v>66</v>
      </c>
      <c r="AB2017" t="s">
        <v>846</v>
      </c>
      <c r="AC2017" t="s">
        <v>847</v>
      </c>
      <c r="AD2017" t="s">
        <v>174</v>
      </c>
      <c r="AF2017" t="s">
        <v>887</v>
      </c>
      <c r="AH2017" t="s">
        <v>72</v>
      </c>
      <c r="AI2017" t="s">
        <v>1127</v>
      </c>
      <c r="AJ2017">
        <v>2009</v>
      </c>
      <c r="AK2017" t="s">
        <v>888</v>
      </c>
      <c r="AM2017" t="s">
        <v>889</v>
      </c>
      <c r="AN2017" t="s">
        <v>76</v>
      </c>
      <c r="AO2017">
        <v>4</v>
      </c>
      <c r="AP2017" t="s">
        <v>115</v>
      </c>
      <c r="AQ2017" t="s">
        <v>890</v>
      </c>
      <c r="AR2017" t="s">
        <v>80</v>
      </c>
      <c r="AS2017">
        <v>101</v>
      </c>
      <c r="AT2017" t="s">
        <v>81</v>
      </c>
      <c r="AU2017">
        <v>-35.96</v>
      </c>
      <c r="AV2017">
        <v>10.83</v>
      </c>
      <c r="AW2017" t="s">
        <v>82</v>
      </c>
      <c r="AX2017">
        <v>133</v>
      </c>
      <c r="AY2017" t="s">
        <v>81</v>
      </c>
      <c r="AZ2017">
        <v>-51.55</v>
      </c>
      <c r="BA2017">
        <v>13.24</v>
      </c>
      <c r="BB2017" t="s">
        <v>83</v>
      </c>
    </row>
    <row r="2018" spans="1:54" x14ac:dyDescent="0.4">
      <c r="A2018">
        <v>521673</v>
      </c>
      <c r="D2018" t="s">
        <v>54</v>
      </c>
      <c r="E2018" t="s">
        <v>55</v>
      </c>
      <c r="F2018" t="s">
        <v>885</v>
      </c>
      <c r="G2018">
        <v>1</v>
      </c>
      <c r="H2018" t="s">
        <v>56</v>
      </c>
      <c r="I2018" t="s">
        <v>57</v>
      </c>
      <c r="K2018" t="s">
        <v>323</v>
      </c>
      <c r="L2018" t="s">
        <v>1124</v>
      </c>
      <c r="M2018" t="s">
        <v>1125</v>
      </c>
      <c r="N2018" t="s">
        <v>1126</v>
      </c>
      <c r="O2018" t="s">
        <v>87</v>
      </c>
      <c r="P2018" t="s">
        <v>89</v>
      </c>
      <c r="R2018" t="s">
        <v>63</v>
      </c>
      <c r="S2018" t="s">
        <v>64</v>
      </c>
      <c r="T2018">
        <v>208.5</v>
      </c>
      <c r="U2018">
        <v>201.4</v>
      </c>
      <c r="V2018">
        <f t="shared" si="62"/>
        <v>204.95</v>
      </c>
      <c r="W2018">
        <f t="shared" si="63"/>
        <v>7.0999999999999943</v>
      </c>
      <c r="X2018">
        <v>-106.473099</v>
      </c>
      <c r="Y2018">
        <v>36.331699</v>
      </c>
      <c r="Z2018" t="s">
        <v>886</v>
      </c>
      <c r="AA2018" t="s">
        <v>66</v>
      </c>
      <c r="AB2018" t="s">
        <v>846</v>
      </c>
      <c r="AC2018" t="s">
        <v>847</v>
      </c>
      <c r="AD2018" t="s">
        <v>174</v>
      </c>
      <c r="AF2018" t="s">
        <v>887</v>
      </c>
      <c r="AH2018" t="s">
        <v>72</v>
      </c>
      <c r="AI2018" t="s">
        <v>1127</v>
      </c>
      <c r="AJ2018">
        <v>2009</v>
      </c>
      <c r="AK2018" t="s">
        <v>888</v>
      </c>
      <c r="AM2018" t="s">
        <v>889</v>
      </c>
      <c r="AN2018" t="s">
        <v>76</v>
      </c>
      <c r="AO2018">
        <v>4</v>
      </c>
      <c r="AP2018" t="s">
        <v>115</v>
      </c>
      <c r="AQ2018" t="s">
        <v>890</v>
      </c>
      <c r="AR2018" t="s">
        <v>80</v>
      </c>
      <c r="AS2018">
        <v>101</v>
      </c>
      <c r="AT2018" t="s">
        <v>81</v>
      </c>
      <c r="AU2018">
        <v>-35.96</v>
      </c>
      <c r="AV2018">
        <v>10.83</v>
      </c>
      <c r="AW2018" t="s">
        <v>82</v>
      </c>
      <c r="AX2018">
        <v>133</v>
      </c>
      <c r="AY2018" t="s">
        <v>81</v>
      </c>
      <c r="AZ2018">
        <v>-51.55</v>
      </c>
      <c r="BA2018">
        <v>13.24</v>
      </c>
      <c r="BB2018" t="s">
        <v>83</v>
      </c>
    </row>
    <row r="2019" spans="1:54" x14ac:dyDescent="0.4">
      <c r="A2019">
        <v>521674</v>
      </c>
      <c r="D2019" t="s">
        <v>54</v>
      </c>
      <c r="E2019" t="s">
        <v>55</v>
      </c>
      <c r="F2019" t="s">
        <v>885</v>
      </c>
      <c r="G2019">
        <v>1</v>
      </c>
      <c r="H2019" t="s">
        <v>84</v>
      </c>
      <c r="I2019" t="s">
        <v>57</v>
      </c>
      <c r="K2019" t="s">
        <v>141</v>
      </c>
      <c r="L2019" t="s">
        <v>1128</v>
      </c>
      <c r="M2019" t="s">
        <v>60</v>
      </c>
      <c r="P2019" t="s">
        <v>89</v>
      </c>
      <c r="R2019" t="s">
        <v>63</v>
      </c>
      <c r="S2019" t="s">
        <v>64</v>
      </c>
      <c r="T2019">
        <v>208.5</v>
      </c>
      <c r="U2019">
        <v>201.4</v>
      </c>
      <c r="V2019">
        <f t="shared" si="62"/>
        <v>204.95</v>
      </c>
      <c r="W2019">
        <f t="shared" si="63"/>
        <v>7.0999999999999943</v>
      </c>
      <c r="X2019">
        <v>-106.473099</v>
      </c>
      <c r="Y2019">
        <v>36.331699</v>
      </c>
      <c r="Z2019" t="s">
        <v>886</v>
      </c>
      <c r="AA2019" t="s">
        <v>66</v>
      </c>
      <c r="AB2019" t="s">
        <v>846</v>
      </c>
      <c r="AC2019" t="s">
        <v>847</v>
      </c>
      <c r="AD2019" t="s">
        <v>174</v>
      </c>
      <c r="AF2019" t="s">
        <v>887</v>
      </c>
      <c r="AH2019" t="s">
        <v>72</v>
      </c>
      <c r="AI2019" t="s">
        <v>1129</v>
      </c>
      <c r="AJ2019">
        <v>2008</v>
      </c>
      <c r="AK2019" t="s">
        <v>888</v>
      </c>
      <c r="AM2019" t="s">
        <v>889</v>
      </c>
      <c r="AN2019" t="s">
        <v>76</v>
      </c>
      <c r="AO2019">
        <v>4</v>
      </c>
      <c r="AP2019" t="s">
        <v>115</v>
      </c>
      <c r="AQ2019" t="s">
        <v>890</v>
      </c>
      <c r="AR2019" t="s">
        <v>80</v>
      </c>
      <c r="AS2019">
        <v>101</v>
      </c>
      <c r="AT2019" t="s">
        <v>81</v>
      </c>
      <c r="AU2019">
        <v>-35.96</v>
      </c>
      <c r="AV2019">
        <v>10.83</v>
      </c>
      <c r="AW2019" t="s">
        <v>82</v>
      </c>
      <c r="AX2019">
        <v>133</v>
      </c>
      <c r="AY2019" t="s">
        <v>81</v>
      </c>
      <c r="AZ2019">
        <v>-51.55</v>
      </c>
      <c r="BA2019">
        <v>13.24</v>
      </c>
      <c r="BB2019" t="s">
        <v>83</v>
      </c>
    </row>
    <row r="2020" spans="1:54" x14ac:dyDescent="0.4">
      <c r="A2020">
        <v>521679</v>
      </c>
      <c r="D2020" t="s">
        <v>54</v>
      </c>
      <c r="E2020" t="s">
        <v>55</v>
      </c>
      <c r="F2020" t="s">
        <v>885</v>
      </c>
      <c r="G2020">
        <v>1</v>
      </c>
      <c r="H2020" t="s">
        <v>56</v>
      </c>
      <c r="I2020" t="s">
        <v>57</v>
      </c>
      <c r="K2020" t="s">
        <v>141</v>
      </c>
      <c r="L2020" t="s">
        <v>990</v>
      </c>
      <c r="M2020" t="s">
        <v>60</v>
      </c>
      <c r="O2020" t="s">
        <v>87</v>
      </c>
      <c r="P2020" t="s">
        <v>89</v>
      </c>
      <c r="R2020" t="s">
        <v>63</v>
      </c>
      <c r="S2020" t="s">
        <v>64</v>
      </c>
      <c r="T2020">
        <v>208.5</v>
      </c>
      <c r="U2020">
        <v>201.4</v>
      </c>
      <c r="V2020">
        <f t="shared" si="62"/>
        <v>204.95</v>
      </c>
      <c r="W2020">
        <f t="shared" si="63"/>
        <v>7.0999999999999943</v>
      </c>
      <c r="X2020">
        <v>-106.473099</v>
      </c>
      <c r="Y2020">
        <v>36.331699</v>
      </c>
      <c r="Z2020" t="s">
        <v>886</v>
      </c>
      <c r="AA2020" t="s">
        <v>66</v>
      </c>
      <c r="AB2020" t="s">
        <v>846</v>
      </c>
      <c r="AC2020" t="s">
        <v>847</v>
      </c>
      <c r="AD2020" t="s">
        <v>174</v>
      </c>
      <c r="AF2020" t="s">
        <v>887</v>
      </c>
      <c r="AH2020" t="s">
        <v>72</v>
      </c>
      <c r="AI2020" t="s">
        <v>1130</v>
      </c>
      <c r="AJ2020">
        <v>2019</v>
      </c>
      <c r="AK2020" t="s">
        <v>888</v>
      </c>
      <c r="AM2020" t="s">
        <v>889</v>
      </c>
      <c r="AN2020" t="s">
        <v>76</v>
      </c>
      <c r="AO2020">
        <v>4</v>
      </c>
      <c r="AP2020" t="s">
        <v>115</v>
      </c>
      <c r="AQ2020" t="s">
        <v>890</v>
      </c>
      <c r="AR2020" t="s">
        <v>80</v>
      </c>
      <c r="AS2020">
        <v>101</v>
      </c>
      <c r="AT2020" t="s">
        <v>81</v>
      </c>
      <c r="AU2020">
        <v>-35.96</v>
      </c>
      <c r="AV2020">
        <v>10.83</v>
      </c>
      <c r="AW2020" t="s">
        <v>82</v>
      </c>
      <c r="AX2020">
        <v>133</v>
      </c>
      <c r="AY2020" t="s">
        <v>81</v>
      </c>
      <c r="AZ2020">
        <v>-51.55</v>
      </c>
      <c r="BA2020">
        <v>13.24</v>
      </c>
      <c r="BB2020" t="s">
        <v>83</v>
      </c>
    </row>
    <row r="2021" spans="1:54" x14ac:dyDescent="0.4">
      <c r="A2021">
        <v>521679</v>
      </c>
      <c r="D2021" t="s">
        <v>54</v>
      </c>
      <c r="E2021" t="s">
        <v>55</v>
      </c>
      <c r="F2021" t="s">
        <v>885</v>
      </c>
      <c r="G2021">
        <v>1</v>
      </c>
      <c r="H2021" t="s">
        <v>56</v>
      </c>
      <c r="I2021" t="s">
        <v>57</v>
      </c>
      <c r="K2021" t="s">
        <v>141</v>
      </c>
      <c r="L2021" t="s">
        <v>990</v>
      </c>
      <c r="M2021" t="s">
        <v>60</v>
      </c>
      <c r="O2021" t="s">
        <v>87</v>
      </c>
      <c r="P2021" t="s">
        <v>89</v>
      </c>
      <c r="R2021" t="s">
        <v>63</v>
      </c>
      <c r="S2021" t="s">
        <v>64</v>
      </c>
      <c r="T2021">
        <v>208.5</v>
      </c>
      <c r="U2021">
        <v>201.4</v>
      </c>
      <c r="V2021">
        <f t="shared" si="62"/>
        <v>204.95</v>
      </c>
      <c r="W2021">
        <f t="shared" si="63"/>
        <v>7.0999999999999943</v>
      </c>
      <c r="X2021">
        <v>-106.473099</v>
      </c>
      <c r="Y2021">
        <v>36.331699</v>
      </c>
      <c r="Z2021" t="s">
        <v>886</v>
      </c>
      <c r="AA2021" t="s">
        <v>66</v>
      </c>
      <c r="AB2021" t="s">
        <v>846</v>
      </c>
      <c r="AC2021" t="s">
        <v>847</v>
      </c>
      <c r="AD2021" t="s">
        <v>174</v>
      </c>
      <c r="AF2021" t="s">
        <v>887</v>
      </c>
      <c r="AH2021" t="s">
        <v>72</v>
      </c>
      <c r="AI2021" t="s">
        <v>1130</v>
      </c>
      <c r="AJ2021">
        <v>2019</v>
      </c>
      <c r="AK2021" t="s">
        <v>888</v>
      </c>
      <c r="AM2021" t="s">
        <v>889</v>
      </c>
      <c r="AN2021" t="s">
        <v>76</v>
      </c>
      <c r="AO2021">
        <v>4</v>
      </c>
      <c r="AP2021" t="s">
        <v>115</v>
      </c>
      <c r="AQ2021" t="s">
        <v>890</v>
      </c>
      <c r="AR2021" t="s">
        <v>80</v>
      </c>
      <c r="AS2021">
        <v>101</v>
      </c>
      <c r="AT2021" t="s">
        <v>81</v>
      </c>
      <c r="AU2021">
        <v>-35.96</v>
      </c>
      <c r="AV2021">
        <v>10.83</v>
      </c>
      <c r="AW2021" t="s">
        <v>82</v>
      </c>
      <c r="AX2021">
        <v>133</v>
      </c>
      <c r="AY2021" t="s">
        <v>81</v>
      </c>
      <c r="AZ2021">
        <v>-51.55</v>
      </c>
      <c r="BA2021">
        <v>13.24</v>
      </c>
      <c r="BB2021" t="s">
        <v>83</v>
      </c>
    </row>
    <row r="2022" spans="1:54" x14ac:dyDescent="0.4">
      <c r="A2022">
        <v>527467</v>
      </c>
      <c r="D2022" t="s">
        <v>54</v>
      </c>
      <c r="E2022" t="s">
        <v>154</v>
      </c>
      <c r="G2022">
        <v>1</v>
      </c>
      <c r="H2022" t="s">
        <v>84</v>
      </c>
      <c r="I2022" t="s">
        <v>57</v>
      </c>
      <c r="K2022" t="s">
        <v>244</v>
      </c>
      <c r="L2022" t="s">
        <v>245</v>
      </c>
      <c r="M2022" t="s">
        <v>60</v>
      </c>
      <c r="O2022" t="s">
        <v>170</v>
      </c>
      <c r="P2022" t="s">
        <v>89</v>
      </c>
      <c r="R2022" t="s">
        <v>63</v>
      </c>
      <c r="S2022" t="s">
        <v>64</v>
      </c>
      <c r="T2022">
        <v>208.5</v>
      </c>
      <c r="U2022">
        <v>201.4</v>
      </c>
      <c r="V2022">
        <f t="shared" si="62"/>
        <v>204.95</v>
      </c>
      <c r="W2022">
        <f t="shared" si="63"/>
        <v>7.0999999999999943</v>
      </c>
      <c r="X2022">
        <v>-0.81083300000000003</v>
      </c>
      <c r="Y2022">
        <v>53.034720999999998</v>
      </c>
      <c r="Z2022" t="s">
        <v>124</v>
      </c>
      <c r="AA2022" t="s">
        <v>91</v>
      </c>
      <c r="AB2022" t="s">
        <v>92</v>
      </c>
      <c r="AC2022" t="s">
        <v>1131</v>
      </c>
      <c r="AD2022" t="s">
        <v>937</v>
      </c>
      <c r="AE2022" t="s">
        <v>938</v>
      </c>
      <c r="AH2022" t="s">
        <v>11</v>
      </c>
      <c r="AI2022" t="s">
        <v>1132</v>
      </c>
      <c r="AJ2022">
        <v>1986</v>
      </c>
      <c r="AK2022" t="s">
        <v>1133</v>
      </c>
      <c r="AN2022" t="s">
        <v>114</v>
      </c>
      <c r="AO2022" t="s">
        <v>77</v>
      </c>
      <c r="AP2022" t="s">
        <v>115</v>
      </c>
      <c r="AQ2022" t="s">
        <v>1134</v>
      </c>
      <c r="AR2022" t="s">
        <v>80</v>
      </c>
      <c r="AS2022">
        <v>315</v>
      </c>
      <c r="AT2022" t="s">
        <v>81</v>
      </c>
      <c r="AU2022">
        <v>9.2899999999999991</v>
      </c>
      <c r="AV2022">
        <v>36.08</v>
      </c>
      <c r="AW2022" t="s">
        <v>82</v>
      </c>
      <c r="AX2022">
        <v>315</v>
      </c>
      <c r="AY2022" t="s">
        <v>81</v>
      </c>
      <c r="AZ2022">
        <v>-1.1599999999999999</v>
      </c>
      <c r="BA2022">
        <v>38.75</v>
      </c>
      <c r="BB2022" t="s">
        <v>83</v>
      </c>
    </row>
    <row r="2023" spans="1:54" x14ac:dyDescent="0.4">
      <c r="A2023">
        <v>534736</v>
      </c>
      <c r="D2023" t="s">
        <v>54</v>
      </c>
      <c r="E2023" t="s">
        <v>152</v>
      </c>
      <c r="G2023">
        <v>1</v>
      </c>
      <c r="H2023" t="s">
        <v>56</v>
      </c>
      <c r="I2023" t="s">
        <v>57</v>
      </c>
      <c r="K2023" t="s">
        <v>244</v>
      </c>
      <c r="L2023" t="s">
        <v>245</v>
      </c>
      <c r="M2023" t="s">
        <v>60</v>
      </c>
      <c r="O2023" t="s">
        <v>170</v>
      </c>
      <c r="P2023" t="s">
        <v>89</v>
      </c>
      <c r="R2023" t="s">
        <v>63</v>
      </c>
      <c r="S2023" t="s">
        <v>64</v>
      </c>
      <c r="T2023">
        <v>208.5</v>
      </c>
      <c r="U2023">
        <v>201.4</v>
      </c>
      <c r="V2023">
        <f t="shared" si="62"/>
        <v>204.95</v>
      </c>
      <c r="W2023">
        <f t="shared" si="63"/>
        <v>7.0999999999999943</v>
      </c>
      <c r="X2023">
        <v>10.68333</v>
      </c>
      <c r="Y2023">
        <v>52.066668999999997</v>
      </c>
      <c r="Z2023" t="s">
        <v>124</v>
      </c>
      <c r="AA2023" t="s">
        <v>211</v>
      </c>
      <c r="AB2023" t="s">
        <v>1163</v>
      </c>
      <c r="AD2023" t="s">
        <v>1164</v>
      </c>
      <c r="AE2023" t="s">
        <v>215</v>
      </c>
      <c r="AH2023" t="s">
        <v>11</v>
      </c>
      <c r="AI2023" t="s">
        <v>1165</v>
      </c>
      <c r="AJ2023">
        <v>1998</v>
      </c>
      <c r="AK2023" t="s">
        <v>1166</v>
      </c>
      <c r="AN2023" t="s">
        <v>114</v>
      </c>
      <c r="AO2023">
        <v>5</v>
      </c>
      <c r="AP2023" t="s">
        <v>115</v>
      </c>
      <c r="AQ2023" t="s">
        <v>1167</v>
      </c>
      <c r="AR2023" t="s">
        <v>80</v>
      </c>
      <c r="AS2023">
        <v>315</v>
      </c>
      <c r="AT2023" t="s">
        <v>81</v>
      </c>
      <c r="AU2023">
        <v>17.579999999999998</v>
      </c>
      <c r="AV2023">
        <v>38.6</v>
      </c>
      <c r="AW2023" t="s">
        <v>82</v>
      </c>
      <c r="AX2023">
        <v>315</v>
      </c>
      <c r="AY2023" t="s">
        <v>81</v>
      </c>
      <c r="AZ2023">
        <v>7.53</v>
      </c>
      <c r="BA2023">
        <v>41.05</v>
      </c>
      <c r="BB2023" t="s">
        <v>83</v>
      </c>
    </row>
    <row r="2024" spans="1:54" x14ac:dyDescent="0.4">
      <c r="A2024">
        <v>534770</v>
      </c>
      <c r="D2024" t="s">
        <v>54</v>
      </c>
      <c r="E2024" t="s">
        <v>152</v>
      </c>
      <c r="G2024">
        <v>1</v>
      </c>
      <c r="H2024" t="s">
        <v>56</v>
      </c>
      <c r="I2024" t="s">
        <v>57</v>
      </c>
      <c r="K2024" t="s">
        <v>141</v>
      </c>
      <c r="L2024" t="s">
        <v>1168</v>
      </c>
      <c r="M2024" t="s">
        <v>60</v>
      </c>
      <c r="P2024" t="s">
        <v>89</v>
      </c>
      <c r="R2024" t="s">
        <v>63</v>
      </c>
      <c r="S2024" t="s">
        <v>64</v>
      </c>
      <c r="T2024">
        <v>208.5</v>
      </c>
      <c r="U2024">
        <v>201.4</v>
      </c>
      <c r="V2024">
        <f t="shared" si="62"/>
        <v>204.95</v>
      </c>
      <c r="W2024">
        <f t="shared" si="63"/>
        <v>7.0999999999999943</v>
      </c>
      <c r="X2024">
        <v>-2.6166670000000001</v>
      </c>
      <c r="Y2024">
        <v>51.469166000000001</v>
      </c>
      <c r="Z2024" t="s">
        <v>90</v>
      </c>
      <c r="AA2024" t="s">
        <v>91</v>
      </c>
      <c r="AB2024" t="s">
        <v>92</v>
      </c>
      <c r="AD2024" t="s">
        <v>1044</v>
      </c>
      <c r="AH2024" t="s">
        <v>72</v>
      </c>
      <c r="AI2024" t="s">
        <v>365</v>
      </c>
      <c r="AJ2024">
        <v>2007</v>
      </c>
      <c r="AK2024" t="s">
        <v>1046</v>
      </c>
      <c r="AM2024" t="s">
        <v>1047</v>
      </c>
      <c r="AN2024" t="s">
        <v>76</v>
      </c>
      <c r="AO2024" t="s">
        <v>77</v>
      </c>
      <c r="AP2024" t="s">
        <v>115</v>
      </c>
      <c r="AQ2024" t="s">
        <v>1048</v>
      </c>
      <c r="AR2024" t="s">
        <v>80</v>
      </c>
      <c r="AS2024">
        <v>315</v>
      </c>
      <c r="AT2024" t="s">
        <v>81</v>
      </c>
      <c r="AU2024">
        <v>8.92</v>
      </c>
      <c r="AV2024">
        <v>34.19</v>
      </c>
      <c r="AW2024" t="s">
        <v>82</v>
      </c>
      <c r="AX2024">
        <v>315</v>
      </c>
      <c r="AY2024" t="s">
        <v>81</v>
      </c>
      <c r="AZ2024">
        <v>-1.61</v>
      </c>
      <c r="BA2024">
        <v>36.86</v>
      </c>
      <c r="BB2024" t="s">
        <v>83</v>
      </c>
    </row>
    <row r="2025" spans="1:54" x14ac:dyDescent="0.4">
      <c r="A2025">
        <v>534770</v>
      </c>
      <c r="D2025" t="s">
        <v>54</v>
      </c>
      <c r="E2025" t="s">
        <v>152</v>
      </c>
      <c r="G2025">
        <v>1</v>
      </c>
      <c r="H2025" t="s">
        <v>56</v>
      </c>
      <c r="I2025" t="s">
        <v>57</v>
      </c>
      <c r="K2025" t="s">
        <v>141</v>
      </c>
      <c r="L2025" t="s">
        <v>1168</v>
      </c>
      <c r="M2025" t="s">
        <v>60</v>
      </c>
      <c r="P2025" t="s">
        <v>89</v>
      </c>
      <c r="R2025" t="s">
        <v>63</v>
      </c>
      <c r="S2025" t="s">
        <v>64</v>
      </c>
      <c r="T2025">
        <v>208.5</v>
      </c>
      <c r="U2025">
        <v>201.4</v>
      </c>
      <c r="V2025">
        <f t="shared" si="62"/>
        <v>204.95</v>
      </c>
      <c r="W2025">
        <f t="shared" si="63"/>
        <v>7.0999999999999943</v>
      </c>
      <c r="X2025">
        <v>-2.6166670000000001</v>
      </c>
      <c r="Y2025">
        <v>51.469166000000001</v>
      </c>
      <c r="Z2025" t="s">
        <v>90</v>
      </c>
      <c r="AA2025" t="s">
        <v>91</v>
      </c>
      <c r="AB2025" t="s">
        <v>92</v>
      </c>
      <c r="AD2025" t="s">
        <v>1044</v>
      </c>
      <c r="AH2025" t="s">
        <v>72</v>
      </c>
      <c r="AI2025" t="s">
        <v>365</v>
      </c>
      <c r="AJ2025">
        <v>2007</v>
      </c>
      <c r="AK2025" t="s">
        <v>1046</v>
      </c>
      <c r="AM2025" t="s">
        <v>1047</v>
      </c>
      <c r="AN2025" t="s">
        <v>76</v>
      </c>
      <c r="AO2025" t="s">
        <v>77</v>
      </c>
      <c r="AP2025" t="s">
        <v>115</v>
      </c>
      <c r="AQ2025" t="s">
        <v>1048</v>
      </c>
      <c r="AR2025" t="s">
        <v>80</v>
      </c>
      <c r="AS2025">
        <v>315</v>
      </c>
      <c r="AT2025" t="s">
        <v>81</v>
      </c>
      <c r="AU2025">
        <v>8.92</v>
      </c>
      <c r="AV2025">
        <v>34.19</v>
      </c>
      <c r="AW2025" t="s">
        <v>82</v>
      </c>
      <c r="AX2025">
        <v>315</v>
      </c>
      <c r="AY2025" t="s">
        <v>81</v>
      </c>
      <c r="AZ2025">
        <v>-1.61</v>
      </c>
      <c r="BA2025">
        <v>36.86</v>
      </c>
      <c r="BB2025" t="s">
        <v>83</v>
      </c>
    </row>
    <row r="2026" spans="1:54" x14ac:dyDescent="0.4">
      <c r="A2026">
        <v>534770</v>
      </c>
      <c r="D2026" t="s">
        <v>54</v>
      </c>
      <c r="E2026" t="s">
        <v>152</v>
      </c>
      <c r="G2026">
        <v>1</v>
      </c>
      <c r="H2026" t="s">
        <v>56</v>
      </c>
      <c r="I2026" t="s">
        <v>57</v>
      </c>
      <c r="K2026" t="s">
        <v>141</v>
      </c>
      <c r="L2026" t="s">
        <v>1168</v>
      </c>
      <c r="M2026" t="s">
        <v>60</v>
      </c>
      <c r="P2026" t="s">
        <v>89</v>
      </c>
      <c r="R2026" t="s">
        <v>63</v>
      </c>
      <c r="S2026" t="s">
        <v>64</v>
      </c>
      <c r="T2026">
        <v>208.5</v>
      </c>
      <c r="U2026">
        <v>201.4</v>
      </c>
      <c r="V2026">
        <f t="shared" si="62"/>
        <v>204.95</v>
      </c>
      <c r="W2026">
        <f t="shared" si="63"/>
        <v>7.0999999999999943</v>
      </c>
      <c r="X2026">
        <v>-2.6166670000000001</v>
      </c>
      <c r="Y2026">
        <v>51.469166000000001</v>
      </c>
      <c r="Z2026" t="s">
        <v>90</v>
      </c>
      <c r="AA2026" t="s">
        <v>91</v>
      </c>
      <c r="AB2026" t="s">
        <v>92</v>
      </c>
      <c r="AD2026" t="s">
        <v>1044</v>
      </c>
      <c r="AH2026" t="s">
        <v>72</v>
      </c>
      <c r="AI2026" t="s">
        <v>365</v>
      </c>
      <c r="AJ2026">
        <v>2007</v>
      </c>
      <c r="AK2026" t="s">
        <v>1046</v>
      </c>
      <c r="AM2026" t="s">
        <v>1047</v>
      </c>
      <c r="AN2026" t="s">
        <v>76</v>
      </c>
      <c r="AO2026" t="s">
        <v>77</v>
      </c>
      <c r="AP2026" t="s">
        <v>115</v>
      </c>
      <c r="AQ2026" t="s">
        <v>1048</v>
      </c>
      <c r="AR2026" t="s">
        <v>80</v>
      </c>
      <c r="AS2026">
        <v>315</v>
      </c>
      <c r="AT2026" t="s">
        <v>81</v>
      </c>
      <c r="AU2026">
        <v>8.92</v>
      </c>
      <c r="AV2026">
        <v>34.19</v>
      </c>
      <c r="AW2026" t="s">
        <v>82</v>
      </c>
      <c r="AX2026">
        <v>315</v>
      </c>
      <c r="AY2026" t="s">
        <v>81</v>
      </c>
      <c r="AZ2026">
        <v>-1.61</v>
      </c>
      <c r="BA2026">
        <v>36.86</v>
      </c>
      <c r="BB2026" t="s">
        <v>83</v>
      </c>
    </row>
    <row r="2027" spans="1:54" x14ac:dyDescent="0.4">
      <c r="A2027">
        <v>534770</v>
      </c>
      <c r="D2027" t="s">
        <v>54</v>
      </c>
      <c r="E2027" t="s">
        <v>152</v>
      </c>
      <c r="G2027">
        <v>1</v>
      </c>
      <c r="H2027" t="s">
        <v>56</v>
      </c>
      <c r="I2027" t="s">
        <v>57</v>
      </c>
      <c r="K2027" t="s">
        <v>141</v>
      </c>
      <c r="L2027" t="s">
        <v>1168</v>
      </c>
      <c r="M2027" t="s">
        <v>60</v>
      </c>
      <c r="P2027" t="s">
        <v>89</v>
      </c>
      <c r="R2027" t="s">
        <v>63</v>
      </c>
      <c r="S2027" t="s">
        <v>64</v>
      </c>
      <c r="T2027">
        <v>208.5</v>
      </c>
      <c r="U2027">
        <v>201.4</v>
      </c>
      <c r="V2027">
        <f t="shared" si="62"/>
        <v>204.95</v>
      </c>
      <c r="W2027">
        <f t="shared" si="63"/>
        <v>7.0999999999999943</v>
      </c>
      <c r="X2027">
        <v>-2.6166670000000001</v>
      </c>
      <c r="Y2027">
        <v>51.469166000000001</v>
      </c>
      <c r="Z2027" t="s">
        <v>90</v>
      </c>
      <c r="AA2027" t="s">
        <v>91</v>
      </c>
      <c r="AB2027" t="s">
        <v>92</v>
      </c>
      <c r="AD2027" t="s">
        <v>1044</v>
      </c>
      <c r="AH2027" t="s">
        <v>72</v>
      </c>
      <c r="AI2027" t="s">
        <v>365</v>
      </c>
      <c r="AJ2027">
        <v>2007</v>
      </c>
      <c r="AK2027" t="s">
        <v>1046</v>
      </c>
      <c r="AM2027" t="s">
        <v>1047</v>
      </c>
      <c r="AN2027" t="s">
        <v>76</v>
      </c>
      <c r="AO2027" t="s">
        <v>77</v>
      </c>
      <c r="AP2027" t="s">
        <v>115</v>
      </c>
      <c r="AQ2027" t="s">
        <v>1048</v>
      </c>
      <c r="AR2027" t="s">
        <v>80</v>
      </c>
      <c r="AS2027">
        <v>315</v>
      </c>
      <c r="AT2027" t="s">
        <v>81</v>
      </c>
      <c r="AU2027">
        <v>8.92</v>
      </c>
      <c r="AV2027">
        <v>34.19</v>
      </c>
      <c r="AW2027" t="s">
        <v>82</v>
      </c>
      <c r="AX2027">
        <v>315</v>
      </c>
      <c r="AY2027" t="s">
        <v>81</v>
      </c>
      <c r="AZ2027">
        <v>-1.61</v>
      </c>
      <c r="BA2027">
        <v>36.86</v>
      </c>
      <c r="BB2027" t="s">
        <v>83</v>
      </c>
    </row>
    <row r="2028" spans="1:54" x14ac:dyDescent="0.4">
      <c r="A2028">
        <v>534770</v>
      </c>
      <c r="D2028" t="s">
        <v>54</v>
      </c>
      <c r="E2028" t="s">
        <v>152</v>
      </c>
      <c r="G2028">
        <v>1</v>
      </c>
      <c r="H2028" t="s">
        <v>56</v>
      </c>
      <c r="I2028" t="s">
        <v>57</v>
      </c>
      <c r="K2028" t="s">
        <v>141</v>
      </c>
      <c r="L2028" t="s">
        <v>1168</v>
      </c>
      <c r="M2028" t="s">
        <v>60</v>
      </c>
      <c r="P2028" t="s">
        <v>89</v>
      </c>
      <c r="R2028" t="s">
        <v>63</v>
      </c>
      <c r="S2028" t="s">
        <v>64</v>
      </c>
      <c r="T2028">
        <v>208.5</v>
      </c>
      <c r="U2028">
        <v>201.4</v>
      </c>
      <c r="V2028">
        <f t="shared" si="62"/>
        <v>204.95</v>
      </c>
      <c r="W2028">
        <f t="shared" si="63"/>
        <v>7.0999999999999943</v>
      </c>
      <c r="X2028">
        <v>-2.6166670000000001</v>
      </c>
      <c r="Y2028">
        <v>51.469166000000001</v>
      </c>
      <c r="Z2028" t="s">
        <v>90</v>
      </c>
      <c r="AA2028" t="s">
        <v>91</v>
      </c>
      <c r="AB2028" t="s">
        <v>92</v>
      </c>
      <c r="AD2028" t="s">
        <v>1044</v>
      </c>
      <c r="AH2028" t="s">
        <v>72</v>
      </c>
      <c r="AI2028" t="s">
        <v>365</v>
      </c>
      <c r="AJ2028">
        <v>2007</v>
      </c>
      <c r="AK2028" t="s">
        <v>1046</v>
      </c>
      <c r="AM2028" t="s">
        <v>1047</v>
      </c>
      <c r="AN2028" t="s">
        <v>76</v>
      </c>
      <c r="AO2028" t="s">
        <v>77</v>
      </c>
      <c r="AP2028" t="s">
        <v>115</v>
      </c>
      <c r="AQ2028" t="s">
        <v>1048</v>
      </c>
      <c r="AR2028" t="s">
        <v>80</v>
      </c>
      <c r="AS2028">
        <v>315</v>
      </c>
      <c r="AT2028" t="s">
        <v>81</v>
      </c>
      <c r="AU2028">
        <v>8.92</v>
      </c>
      <c r="AV2028">
        <v>34.19</v>
      </c>
      <c r="AW2028" t="s">
        <v>82</v>
      </c>
      <c r="AX2028">
        <v>315</v>
      </c>
      <c r="AY2028" t="s">
        <v>81</v>
      </c>
      <c r="AZ2028">
        <v>-1.61</v>
      </c>
      <c r="BA2028">
        <v>36.86</v>
      </c>
      <c r="BB2028" t="s">
        <v>83</v>
      </c>
    </row>
    <row r="2029" spans="1:54" x14ac:dyDescent="0.4">
      <c r="A2029">
        <v>534770</v>
      </c>
      <c r="D2029" t="s">
        <v>54</v>
      </c>
      <c r="E2029" t="s">
        <v>152</v>
      </c>
      <c r="G2029">
        <v>1</v>
      </c>
      <c r="H2029" t="s">
        <v>56</v>
      </c>
      <c r="I2029" t="s">
        <v>57</v>
      </c>
      <c r="K2029" t="s">
        <v>141</v>
      </c>
      <c r="L2029" t="s">
        <v>1168</v>
      </c>
      <c r="M2029" t="s">
        <v>60</v>
      </c>
      <c r="P2029" t="s">
        <v>89</v>
      </c>
      <c r="R2029" t="s">
        <v>63</v>
      </c>
      <c r="S2029" t="s">
        <v>64</v>
      </c>
      <c r="T2029">
        <v>208.5</v>
      </c>
      <c r="U2029">
        <v>201.4</v>
      </c>
      <c r="V2029">
        <f t="shared" si="62"/>
        <v>204.95</v>
      </c>
      <c r="W2029">
        <f t="shared" si="63"/>
        <v>7.0999999999999943</v>
      </c>
      <c r="X2029">
        <v>-2.6166670000000001</v>
      </c>
      <c r="Y2029">
        <v>51.469166000000001</v>
      </c>
      <c r="Z2029" t="s">
        <v>90</v>
      </c>
      <c r="AA2029" t="s">
        <v>91</v>
      </c>
      <c r="AB2029" t="s">
        <v>92</v>
      </c>
      <c r="AD2029" t="s">
        <v>1044</v>
      </c>
      <c r="AH2029" t="s">
        <v>72</v>
      </c>
      <c r="AI2029" t="s">
        <v>365</v>
      </c>
      <c r="AJ2029">
        <v>2007</v>
      </c>
      <c r="AK2029" t="s">
        <v>1046</v>
      </c>
      <c r="AM2029" t="s">
        <v>1047</v>
      </c>
      <c r="AN2029" t="s">
        <v>76</v>
      </c>
      <c r="AO2029" t="s">
        <v>77</v>
      </c>
      <c r="AP2029" t="s">
        <v>115</v>
      </c>
      <c r="AQ2029" t="s">
        <v>1048</v>
      </c>
      <c r="AR2029" t="s">
        <v>80</v>
      </c>
      <c r="AS2029">
        <v>315</v>
      </c>
      <c r="AT2029" t="s">
        <v>81</v>
      </c>
      <c r="AU2029">
        <v>8.92</v>
      </c>
      <c r="AV2029">
        <v>34.19</v>
      </c>
      <c r="AW2029" t="s">
        <v>82</v>
      </c>
      <c r="AX2029">
        <v>315</v>
      </c>
      <c r="AY2029" t="s">
        <v>81</v>
      </c>
      <c r="AZ2029">
        <v>-1.61</v>
      </c>
      <c r="BA2029">
        <v>36.86</v>
      </c>
      <c r="BB2029" t="s">
        <v>83</v>
      </c>
    </row>
    <row r="2030" spans="1:54" x14ac:dyDescent="0.4">
      <c r="A2030">
        <v>534971</v>
      </c>
      <c r="D2030" t="s">
        <v>54</v>
      </c>
      <c r="E2030" t="s">
        <v>55</v>
      </c>
      <c r="F2030" t="s">
        <v>885</v>
      </c>
      <c r="G2030">
        <v>1</v>
      </c>
      <c r="H2030" t="s">
        <v>84</v>
      </c>
      <c r="I2030" t="s">
        <v>57</v>
      </c>
      <c r="K2030" t="s">
        <v>1169</v>
      </c>
      <c r="L2030" t="s">
        <v>1170</v>
      </c>
      <c r="M2030" t="s">
        <v>60</v>
      </c>
      <c r="P2030" t="s">
        <v>89</v>
      </c>
      <c r="R2030" t="s">
        <v>63</v>
      </c>
      <c r="S2030" t="s">
        <v>64</v>
      </c>
      <c r="T2030">
        <v>208.5</v>
      </c>
      <c r="U2030">
        <v>201.4</v>
      </c>
      <c r="V2030">
        <f t="shared" si="62"/>
        <v>204.95</v>
      </c>
      <c r="W2030">
        <f t="shared" si="63"/>
        <v>7.0999999999999943</v>
      </c>
      <c r="X2030">
        <v>-106.473099</v>
      </c>
      <c r="Y2030">
        <v>36.331699</v>
      </c>
      <c r="Z2030" t="s">
        <v>886</v>
      </c>
      <c r="AA2030" t="s">
        <v>66</v>
      </c>
      <c r="AB2030" t="s">
        <v>846</v>
      </c>
      <c r="AC2030" t="s">
        <v>847</v>
      </c>
      <c r="AD2030" t="s">
        <v>174</v>
      </c>
      <c r="AF2030" t="s">
        <v>887</v>
      </c>
      <c r="AH2030" t="s">
        <v>11</v>
      </c>
      <c r="AI2030" t="s">
        <v>1171</v>
      </c>
      <c r="AJ2030">
        <v>2010</v>
      </c>
      <c r="AK2030" t="s">
        <v>888</v>
      </c>
      <c r="AM2030" t="s">
        <v>889</v>
      </c>
      <c r="AN2030" t="s">
        <v>76</v>
      </c>
      <c r="AO2030">
        <v>4</v>
      </c>
      <c r="AP2030" t="s">
        <v>115</v>
      </c>
      <c r="AQ2030" t="s">
        <v>890</v>
      </c>
      <c r="AR2030" t="s">
        <v>80</v>
      </c>
      <c r="AS2030">
        <v>101</v>
      </c>
      <c r="AT2030" t="s">
        <v>81</v>
      </c>
      <c r="AU2030">
        <v>-35.96</v>
      </c>
      <c r="AV2030">
        <v>10.83</v>
      </c>
      <c r="AW2030" t="s">
        <v>82</v>
      </c>
      <c r="AX2030">
        <v>133</v>
      </c>
      <c r="AY2030" t="s">
        <v>81</v>
      </c>
      <c r="AZ2030">
        <v>-51.55</v>
      </c>
      <c r="BA2030">
        <v>13.24</v>
      </c>
      <c r="BB2030" t="s">
        <v>83</v>
      </c>
    </row>
    <row r="2031" spans="1:54" x14ac:dyDescent="0.4">
      <c r="A2031">
        <v>558385</v>
      </c>
      <c r="D2031" t="s">
        <v>54</v>
      </c>
      <c r="I2031" t="s">
        <v>57</v>
      </c>
      <c r="K2031" t="s">
        <v>537</v>
      </c>
      <c r="L2031" t="s">
        <v>538</v>
      </c>
      <c r="M2031" t="s">
        <v>223</v>
      </c>
      <c r="N2031" t="s">
        <v>234</v>
      </c>
      <c r="O2031" t="s">
        <v>87</v>
      </c>
      <c r="P2031" t="s">
        <v>89</v>
      </c>
      <c r="R2031" t="s">
        <v>63</v>
      </c>
      <c r="S2031" t="s">
        <v>64</v>
      </c>
      <c r="T2031">
        <v>208.5</v>
      </c>
      <c r="U2031">
        <v>201.4</v>
      </c>
      <c r="V2031">
        <f t="shared" si="62"/>
        <v>204.95</v>
      </c>
      <c r="W2031">
        <f t="shared" si="63"/>
        <v>7.0999999999999943</v>
      </c>
      <c r="X2031">
        <v>-2.63</v>
      </c>
      <c r="Y2031">
        <v>51.599997999999999</v>
      </c>
      <c r="Z2031" t="s">
        <v>1251</v>
      </c>
      <c r="AA2031" t="s">
        <v>91</v>
      </c>
      <c r="AB2031" t="s">
        <v>92</v>
      </c>
      <c r="AC2031" t="s">
        <v>136</v>
      </c>
      <c r="AD2031" t="s">
        <v>937</v>
      </c>
      <c r="AE2031" t="s">
        <v>938</v>
      </c>
      <c r="AH2031" t="s">
        <v>11</v>
      </c>
      <c r="AI2031" t="s">
        <v>1252</v>
      </c>
      <c r="AJ2031">
        <v>1995</v>
      </c>
      <c r="AK2031" t="s">
        <v>1253</v>
      </c>
      <c r="AN2031" t="s">
        <v>114</v>
      </c>
      <c r="AO2031">
        <v>1</v>
      </c>
      <c r="AP2031" t="s">
        <v>78</v>
      </c>
      <c r="AR2031" t="s">
        <v>80</v>
      </c>
      <c r="AS2031">
        <v>315</v>
      </c>
      <c r="AT2031" t="s">
        <v>81</v>
      </c>
      <c r="AU2031">
        <v>8.84</v>
      </c>
      <c r="AV2031">
        <v>34.299999999999997</v>
      </c>
      <c r="AW2031" t="s">
        <v>82</v>
      </c>
      <c r="AX2031">
        <v>315</v>
      </c>
      <c r="AY2031" t="s">
        <v>81</v>
      </c>
      <c r="AZ2031">
        <v>-1.68</v>
      </c>
      <c r="BA2031">
        <v>36.979999999999997</v>
      </c>
      <c r="BB2031" t="s">
        <v>83</v>
      </c>
    </row>
    <row r="2032" spans="1:54" x14ac:dyDescent="0.4">
      <c r="A2032">
        <v>558388</v>
      </c>
      <c r="D2032" t="s">
        <v>1254</v>
      </c>
      <c r="E2032" t="s">
        <v>297</v>
      </c>
      <c r="I2032" t="s">
        <v>57</v>
      </c>
      <c r="K2032" t="s">
        <v>141</v>
      </c>
      <c r="L2032" t="s">
        <v>936</v>
      </c>
      <c r="M2032" t="s">
        <v>60</v>
      </c>
      <c r="P2032" t="s">
        <v>89</v>
      </c>
      <c r="R2032" t="s">
        <v>63</v>
      </c>
      <c r="S2032" t="s">
        <v>64</v>
      </c>
      <c r="T2032">
        <v>208.5</v>
      </c>
      <c r="U2032">
        <v>201.4</v>
      </c>
      <c r="V2032">
        <f t="shared" si="62"/>
        <v>204.95</v>
      </c>
      <c r="W2032">
        <f t="shared" si="63"/>
        <v>7.0999999999999943</v>
      </c>
      <c r="X2032">
        <v>-2.6294780000000002</v>
      </c>
      <c r="Y2032">
        <v>51.602649999999997</v>
      </c>
      <c r="Z2032" t="s">
        <v>1251</v>
      </c>
      <c r="AA2032" t="s">
        <v>91</v>
      </c>
      <c r="AB2032" t="s">
        <v>92</v>
      </c>
      <c r="AC2032" t="s">
        <v>822</v>
      </c>
      <c r="AD2032" t="s">
        <v>937</v>
      </c>
      <c r="AE2032" t="s">
        <v>938</v>
      </c>
      <c r="AG2032" t="s">
        <v>1255</v>
      </c>
      <c r="AH2032" t="s">
        <v>11</v>
      </c>
      <c r="AI2032" t="s">
        <v>365</v>
      </c>
      <c r="AJ2032">
        <v>2005</v>
      </c>
      <c r="AK2032" t="s">
        <v>1256</v>
      </c>
      <c r="AN2032" t="s">
        <v>76</v>
      </c>
      <c r="AO2032">
        <v>6</v>
      </c>
      <c r="AP2032" t="s">
        <v>115</v>
      </c>
      <c r="AQ2032" t="s">
        <v>1257</v>
      </c>
      <c r="AR2032" t="s">
        <v>80</v>
      </c>
      <c r="AS2032">
        <v>315</v>
      </c>
      <c r="AT2032" t="s">
        <v>81</v>
      </c>
      <c r="AU2032">
        <v>8.84</v>
      </c>
      <c r="AV2032">
        <v>34.31</v>
      </c>
      <c r="AW2032" t="s">
        <v>82</v>
      </c>
      <c r="AX2032">
        <v>315</v>
      </c>
      <c r="AY2032" t="s">
        <v>81</v>
      </c>
      <c r="AZ2032">
        <v>-1.68</v>
      </c>
      <c r="BA2032">
        <v>36.979999999999997</v>
      </c>
      <c r="BB2032" t="s">
        <v>83</v>
      </c>
    </row>
    <row r="2033" spans="1:54" x14ac:dyDescent="0.4">
      <c r="A2033">
        <v>560165</v>
      </c>
      <c r="D2033" t="s">
        <v>54</v>
      </c>
      <c r="E2033" t="s">
        <v>55</v>
      </c>
      <c r="F2033" t="s">
        <v>885</v>
      </c>
      <c r="G2033">
        <v>1</v>
      </c>
      <c r="H2033" t="s">
        <v>56</v>
      </c>
      <c r="I2033" t="s">
        <v>57</v>
      </c>
      <c r="K2033" t="s">
        <v>767</v>
      </c>
      <c r="L2033" t="s">
        <v>1263</v>
      </c>
      <c r="M2033" t="s">
        <v>60</v>
      </c>
      <c r="N2033" t="s">
        <v>119</v>
      </c>
      <c r="O2033" t="s">
        <v>87</v>
      </c>
      <c r="P2033" t="s">
        <v>89</v>
      </c>
      <c r="R2033" t="s">
        <v>63</v>
      </c>
      <c r="S2033" t="s">
        <v>64</v>
      </c>
      <c r="T2033">
        <v>208.5</v>
      </c>
      <c r="U2033">
        <v>201.4</v>
      </c>
      <c r="V2033">
        <f t="shared" si="62"/>
        <v>204.95</v>
      </c>
      <c r="W2033">
        <f t="shared" si="63"/>
        <v>7.0999999999999943</v>
      </c>
      <c r="X2033">
        <v>-106.473099</v>
      </c>
      <c r="Y2033">
        <v>36.331699</v>
      </c>
      <c r="Z2033" t="s">
        <v>886</v>
      </c>
      <c r="AA2033" t="s">
        <v>66</v>
      </c>
      <c r="AB2033" t="s">
        <v>846</v>
      </c>
      <c r="AC2033" t="s">
        <v>847</v>
      </c>
      <c r="AD2033" t="s">
        <v>174</v>
      </c>
      <c r="AF2033" t="s">
        <v>887</v>
      </c>
      <c r="AH2033" t="s">
        <v>72</v>
      </c>
      <c r="AI2033" t="s">
        <v>1264</v>
      </c>
      <c r="AJ2033">
        <v>2006</v>
      </c>
      <c r="AK2033" t="s">
        <v>888</v>
      </c>
      <c r="AM2033" t="s">
        <v>889</v>
      </c>
      <c r="AN2033" t="s">
        <v>76</v>
      </c>
      <c r="AO2033">
        <v>4</v>
      </c>
      <c r="AP2033" t="s">
        <v>115</v>
      </c>
      <c r="AQ2033" t="s">
        <v>890</v>
      </c>
      <c r="AR2033" t="s">
        <v>80</v>
      </c>
      <c r="AS2033">
        <v>101</v>
      </c>
      <c r="AT2033" t="s">
        <v>81</v>
      </c>
      <c r="AU2033">
        <v>-35.96</v>
      </c>
      <c r="AV2033">
        <v>10.83</v>
      </c>
      <c r="AW2033" t="s">
        <v>82</v>
      </c>
      <c r="AX2033">
        <v>133</v>
      </c>
      <c r="AY2033" t="s">
        <v>81</v>
      </c>
      <c r="AZ2033">
        <v>-51.55</v>
      </c>
      <c r="BA2033">
        <v>13.24</v>
      </c>
      <c r="BB2033" t="s">
        <v>83</v>
      </c>
    </row>
    <row r="2034" spans="1:54" x14ac:dyDescent="0.4">
      <c r="A2034">
        <v>560165</v>
      </c>
      <c r="D2034" t="s">
        <v>54</v>
      </c>
      <c r="E2034" t="s">
        <v>55</v>
      </c>
      <c r="F2034" t="s">
        <v>885</v>
      </c>
      <c r="G2034">
        <v>1</v>
      </c>
      <c r="H2034" t="s">
        <v>56</v>
      </c>
      <c r="I2034" t="s">
        <v>57</v>
      </c>
      <c r="K2034" t="s">
        <v>767</v>
      </c>
      <c r="L2034" t="s">
        <v>1263</v>
      </c>
      <c r="M2034" t="s">
        <v>60</v>
      </c>
      <c r="N2034" t="s">
        <v>119</v>
      </c>
      <c r="O2034" t="s">
        <v>87</v>
      </c>
      <c r="P2034" t="s">
        <v>89</v>
      </c>
      <c r="R2034" t="s">
        <v>63</v>
      </c>
      <c r="S2034" t="s">
        <v>64</v>
      </c>
      <c r="T2034">
        <v>208.5</v>
      </c>
      <c r="U2034">
        <v>201.4</v>
      </c>
      <c r="V2034">
        <f t="shared" si="62"/>
        <v>204.95</v>
      </c>
      <c r="W2034">
        <f t="shared" si="63"/>
        <v>7.0999999999999943</v>
      </c>
      <c r="X2034">
        <v>-106.473099</v>
      </c>
      <c r="Y2034">
        <v>36.331699</v>
      </c>
      <c r="Z2034" t="s">
        <v>886</v>
      </c>
      <c r="AA2034" t="s">
        <v>66</v>
      </c>
      <c r="AB2034" t="s">
        <v>846</v>
      </c>
      <c r="AC2034" t="s">
        <v>847</v>
      </c>
      <c r="AD2034" t="s">
        <v>174</v>
      </c>
      <c r="AF2034" t="s">
        <v>887</v>
      </c>
      <c r="AH2034" t="s">
        <v>72</v>
      </c>
      <c r="AI2034" t="s">
        <v>1264</v>
      </c>
      <c r="AJ2034">
        <v>2006</v>
      </c>
      <c r="AK2034" t="s">
        <v>888</v>
      </c>
      <c r="AM2034" t="s">
        <v>889</v>
      </c>
      <c r="AN2034" t="s">
        <v>76</v>
      </c>
      <c r="AO2034">
        <v>4</v>
      </c>
      <c r="AP2034" t="s">
        <v>115</v>
      </c>
      <c r="AQ2034" t="s">
        <v>890</v>
      </c>
      <c r="AR2034" t="s">
        <v>80</v>
      </c>
      <c r="AS2034">
        <v>101</v>
      </c>
      <c r="AT2034" t="s">
        <v>81</v>
      </c>
      <c r="AU2034">
        <v>-35.96</v>
      </c>
      <c r="AV2034">
        <v>10.83</v>
      </c>
      <c r="AW2034" t="s">
        <v>82</v>
      </c>
      <c r="AX2034">
        <v>133</v>
      </c>
      <c r="AY2034" t="s">
        <v>81</v>
      </c>
      <c r="AZ2034">
        <v>-51.55</v>
      </c>
      <c r="BA2034">
        <v>13.24</v>
      </c>
      <c r="BB2034" t="s">
        <v>83</v>
      </c>
    </row>
    <row r="2035" spans="1:54" x14ac:dyDescent="0.4">
      <c r="A2035">
        <v>560165</v>
      </c>
      <c r="D2035" t="s">
        <v>54</v>
      </c>
      <c r="E2035" t="s">
        <v>55</v>
      </c>
      <c r="F2035" t="s">
        <v>885</v>
      </c>
      <c r="G2035">
        <v>1</v>
      </c>
      <c r="H2035" t="s">
        <v>56</v>
      </c>
      <c r="I2035" t="s">
        <v>57</v>
      </c>
      <c r="K2035" t="s">
        <v>767</v>
      </c>
      <c r="L2035" t="s">
        <v>1263</v>
      </c>
      <c r="M2035" t="s">
        <v>60</v>
      </c>
      <c r="N2035" t="s">
        <v>119</v>
      </c>
      <c r="O2035" t="s">
        <v>87</v>
      </c>
      <c r="P2035" t="s">
        <v>89</v>
      </c>
      <c r="R2035" t="s">
        <v>63</v>
      </c>
      <c r="S2035" t="s">
        <v>64</v>
      </c>
      <c r="T2035">
        <v>208.5</v>
      </c>
      <c r="U2035">
        <v>201.4</v>
      </c>
      <c r="V2035">
        <f t="shared" si="62"/>
        <v>204.95</v>
      </c>
      <c r="W2035">
        <f t="shared" si="63"/>
        <v>7.0999999999999943</v>
      </c>
      <c r="X2035">
        <v>-106.473099</v>
      </c>
      <c r="Y2035">
        <v>36.331699</v>
      </c>
      <c r="Z2035" t="s">
        <v>886</v>
      </c>
      <c r="AA2035" t="s">
        <v>66</v>
      </c>
      <c r="AB2035" t="s">
        <v>846</v>
      </c>
      <c r="AC2035" t="s">
        <v>847</v>
      </c>
      <c r="AD2035" t="s">
        <v>174</v>
      </c>
      <c r="AF2035" t="s">
        <v>887</v>
      </c>
      <c r="AH2035" t="s">
        <v>72</v>
      </c>
      <c r="AI2035" t="s">
        <v>1264</v>
      </c>
      <c r="AJ2035">
        <v>2006</v>
      </c>
      <c r="AK2035" t="s">
        <v>888</v>
      </c>
      <c r="AM2035" t="s">
        <v>889</v>
      </c>
      <c r="AN2035" t="s">
        <v>76</v>
      </c>
      <c r="AO2035">
        <v>4</v>
      </c>
      <c r="AP2035" t="s">
        <v>115</v>
      </c>
      <c r="AQ2035" t="s">
        <v>890</v>
      </c>
      <c r="AR2035" t="s">
        <v>80</v>
      </c>
      <c r="AS2035">
        <v>101</v>
      </c>
      <c r="AT2035" t="s">
        <v>81</v>
      </c>
      <c r="AU2035">
        <v>-35.96</v>
      </c>
      <c r="AV2035">
        <v>10.83</v>
      </c>
      <c r="AW2035" t="s">
        <v>82</v>
      </c>
      <c r="AX2035">
        <v>133</v>
      </c>
      <c r="AY2035" t="s">
        <v>81</v>
      </c>
      <c r="AZ2035">
        <v>-51.55</v>
      </c>
      <c r="BA2035">
        <v>13.24</v>
      </c>
      <c r="BB2035" t="s">
        <v>83</v>
      </c>
    </row>
    <row r="2036" spans="1:54" x14ac:dyDescent="0.4">
      <c r="A2036">
        <v>560165</v>
      </c>
      <c r="D2036" t="s">
        <v>54</v>
      </c>
      <c r="E2036" t="s">
        <v>55</v>
      </c>
      <c r="F2036" t="s">
        <v>885</v>
      </c>
      <c r="G2036">
        <v>1</v>
      </c>
      <c r="H2036" t="s">
        <v>56</v>
      </c>
      <c r="I2036" t="s">
        <v>57</v>
      </c>
      <c r="K2036" t="s">
        <v>767</v>
      </c>
      <c r="L2036" t="s">
        <v>1263</v>
      </c>
      <c r="M2036" t="s">
        <v>60</v>
      </c>
      <c r="N2036" t="s">
        <v>119</v>
      </c>
      <c r="O2036" t="s">
        <v>87</v>
      </c>
      <c r="P2036" t="s">
        <v>89</v>
      </c>
      <c r="R2036" t="s">
        <v>63</v>
      </c>
      <c r="S2036" t="s">
        <v>64</v>
      </c>
      <c r="T2036">
        <v>208.5</v>
      </c>
      <c r="U2036">
        <v>201.4</v>
      </c>
      <c r="V2036">
        <f t="shared" si="62"/>
        <v>204.95</v>
      </c>
      <c r="W2036">
        <f t="shared" si="63"/>
        <v>7.0999999999999943</v>
      </c>
      <c r="X2036">
        <v>-106.473099</v>
      </c>
      <c r="Y2036">
        <v>36.331699</v>
      </c>
      <c r="Z2036" t="s">
        <v>886</v>
      </c>
      <c r="AA2036" t="s">
        <v>66</v>
      </c>
      <c r="AB2036" t="s">
        <v>846</v>
      </c>
      <c r="AC2036" t="s">
        <v>847</v>
      </c>
      <c r="AD2036" t="s">
        <v>174</v>
      </c>
      <c r="AF2036" t="s">
        <v>887</v>
      </c>
      <c r="AH2036" t="s">
        <v>72</v>
      </c>
      <c r="AI2036" t="s">
        <v>1264</v>
      </c>
      <c r="AJ2036">
        <v>2006</v>
      </c>
      <c r="AK2036" t="s">
        <v>888</v>
      </c>
      <c r="AM2036" t="s">
        <v>889</v>
      </c>
      <c r="AN2036" t="s">
        <v>76</v>
      </c>
      <c r="AO2036">
        <v>4</v>
      </c>
      <c r="AP2036" t="s">
        <v>115</v>
      </c>
      <c r="AQ2036" t="s">
        <v>890</v>
      </c>
      <c r="AR2036" t="s">
        <v>80</v>
      </c>
      <c r="AS2036">
        <v>101</v>
      </c>
      <c r="AT2036" t="s">
        <v>81</v>
      </c>
      <c r="AU2036">
        <v>-35.96</v>
      </c>
      <c r="AV2036">
        <v>10.83</v>
      </c>
      <c r="AW2036" t="s">
        <v>82</v>
      </c>
      <c r="AX2036">
        <v>133</v>
      </c>
      <c r="AY2036" t="s">
        <v>81</v>
      </c>
      <c r="AZ2036">
        <v>-51.55</v>
      </c>
      <c r="BA2036">
        <v>13.24</v>
      </c>
      <c r="BB2036" t="s">
        <v>83</v>
      </c>
    </row>
    <row r="2037" spans="1:54" x14ac:dyDescent="0.4">
      <c r="A2037">
        <v>587325</v>
      </c>
      <c r="D2037" t="s">
        <v>54</v>
      </c>
      <c r="E2037" t="s">
        <v>55</v>
      </c>
      <c r="I2037" t="s">
        <v>57</v>
      </c>
      <c r="K2037" t="s">
        <v>141</v>
      </c>
      <c r="L2037" t="s">
        <v>1043</v>
      </c>
      <c r="M2037" t="s">
        <v>60</v>
      </c>
      <c r="P2037" t="s">
        <v>89</v>
      </c>
      <c r="R2037" t="s">
        <v>63</v>
      </c>
      <c r="S2037" t="s">
        <v>64</v>
      </c>
      <c r="T2037">
        <v>208.5</v>
      </c>
      <c r="U2037">
        <v>201.4</v>
      </c>
      <c r="V2037">
        <f t="shared" si="62"/>
        <v>204.95</v>
      </c>
      <c r="W2037">
        <f t="shared" si="63"/>
        <v>7.0999999999999943</v>
      </c>
      <c r="X2037">
        <v>-3.4782000000000002</v>
      </c>
      <c r="Y2037">
        <v>51.505099999999999</v>
      </c>
      <c r="Z2037" t="s">
        <v>90</v>
      </c>
      <c r="AA2037" t="s">
        <v>91</v>
      </c>
      <c r="AB2037" t="s">
        <v>373</v>
      </c>
      <c r="AC2037" t="s">
        <v>794</v>
      </c>
      <c r="AH2037" t="s">
        <v>11</v>
      </c>
      <c r="AI2037" t="s">
        <v>800</v>
      </c>
      <c r="AJ2037">
        <v>2006</v>
      </c>
      <c r="AK2037" t="s">
        <v>795</v>
      </c>
      <c r="AM2037" t="s">
        <v>796</v>
      </c>
      <c r="AN2037" t="s">
        <v>76</v>
      </c>
      <c r="AO2037">
        <v>4</v>
      </c>
      <c r="AP2037" t="s">
        <v>115</v>
      </c>
      <c r="AQ2037" t="s">
        <v>797</v>
      </c>
      <c r="AR2037" t="s">
        <v>80</v>
      </c>
      <c r="AS2037">
        <v>315</v>
      </c>
      <c r="AT2037" t="s">
        <v>81</v>
      </c>
      <c r="AU2037">
        <v>8.32</v>
      </c>
      <c r="AV2037">
        <v>33.99</v>
      </c>
      <c r="AW2037" t="s">
        <v>82</v>
      </c>
      <c r="AX2037">
        <v>315</v>
      </c>
      <c r="AY2037" t="s">
        <v>81</v>
      </c>
      <c r="AZ2037">
        <v>-2.2400000000000002</v>
      </c>
      <c r="BA2037">
        <v>36.68</v>
      </c>
      <c r="BB2037" t="s">
        <v>83</v>
      </c>
    </row>
    <row r="2038" spans="1:54" x14ac:dyDescent="0.4">
      <c r="A2038">
        <v>604143</v>
      </c>
      <c r="D2038" t="s">
        <v>54</v>
      </c>
      <c r="E2038" t="s">
        <v>297</v>
      </c>
      <c r="G2038">
        <v>1</v>
      </c>
      <c r="H2038" t="s">
        <v>84</v>
      </c>
      <c r="I2038" t="s">
        <v>57</v>
      </c>
      <c r="K2038" t="s">
        <v>244</v>
      </c>
      <c r="L2038" t="s">
        <v>245</v>
      </c>
      <c r="M2038" t="s">
        <v>60</v>
      </c>
      <c r="O2038" t="s">
        <v>170</v>
      </c>
      <c r="P2038" t="s">
        <v>89</v>
      </c>
      <c r="R2038" t="s">
        <v>63</v>
      </c>
      <c r="S2038" t="s">
        <v>64</v>
      </c>
      <c r="T2038">
        <v>208.5</v>
      </c>
      <c r="U2038">
        <v>201.4</v>
      </c>
      <c r="V2038">
        <f t="shared" si="62"/>
        <v>204.95</v>
      </c>
      <c r="W2038">
        <f t="shared" si="63"/>
        <v>7.0999999999999943</v>
      </c>
      <c r="X2038">
        <v>2.1716669999999998</v>
      </c>
      <c r="Y2038">
        <v>61.512501</v>
      </c>
      <c r="Z2038" t="s">
        <v>836</v>
      </c>
      <c r="AD2038" t="s">
        <v>1374</v>
      </c>
      <c r="AH2038" t="s">
        <v>11</v>
      </c>
      <c r="AI2038" t="s">
        <v>1375</v>
      </c>
      <c r="AJ2038">
        <v>2006</v>
      </c>
      <c r="AK2038" t="s">
        <v>1376</v>
      </c>
      <c r="AN2038" t="s">
        <v>76</v>
      </c>
      <c r="AO2038" t="s">
        <v>77</v>
      </c>
      <c r="AP2038" t="s">
        <v>115</v>
      </c>
      <c r="AQ2038" t="s">
        <v>1377</v>
      </c>
      <c r="AR2038" t="s">
        <v>80</v>
      </c>
      <c r="AS2038">
        <v>313</v>
      </c>
      <c r="AT2038" t="s">
        <v>81</v>
      </c>
      <c r="AU2038">
        <v>5.75</v>
      </c>
      <c r="AV2038">
        <v>44.28</v>
      </c>
      <c r="AW2038" t="s">
        <v>82</v>
      </c>
      <c r="AX2038">
        <v>313</v>
      </c>
      <c r="AY2038" t="s">
        <v>81</v>
      </c>
      <c r="AZ2038">
        <v>-4.55</v>
      </c>
      <c r="BA2038">
        <v>47.01</v>
      </c>
      <c r="BB2038" t="s">
        <v>83</v>
      </c>
    </row>
    <row r="2039" spans="1:54" x14ac:dyDescent="0.4">
      <c r="A2039">
        <v>630027</v>
      </c>
      <c r="D2039" t="s">
        <v>54</v>
      </c>
      <c r="G2039">
        <v>1</v>
      </c>
      <c r="H2039" t="s">
        <v>84</v>
      </c>
      <c r="I2039" t="s">
        <v>57</v>
      </c>
      <c r="K2039" t="s">
        <v>1029</v>
      </c>
      <c r="L2039" t="s">
        <v>1030</v>
      </c>
      <c r="M2039" t="s">
        <v>60</v>
      </c>
      <c r="N2039" t="s">
        <v>61</v>
      </c>
      <c r="O2039" t="s">
        <v>345</v>
      </c>
      <c r="P2039" t="s">
        <v>89</v>
      </c>
      <c r="R2039" t="s">
        <v>63</v>
      </c>
      <c r="S2039" t="s">
        <v>64</v>
      </c>
      <c r="T2039">
        <v>208.5</v>
      </c>
      <c r="U2039">
        <v>201.4</v>
      </c>
      <c r="V2039">
        <f t="shared" si="62"/>
        <v>204.95</v>
      </c>
      <c r="W2039">
        <f t="shared" si="63"/>
        <v>7.0999999999999943</v>
      </c>
      <c r="X2039">
        <v>6.218458</v>
      </c>
      <c r="Y2039">
        <v>49.567909</v>
      </c>
      <c r="Z2039" t="s">
        <v>124</v>
      </c>
      <c r="AA2039" t="s">
        <v>1201</v>
      </c>
      <c r="AH2039" t="s">
        <v>11</v>
      </c>
      <c r="AI2039" t="s">
        <v>1400</v>
      </c>
      <c r="AJ2039">
        <v>1998</v>
      </c>
      <c r="AK2039" t="s">
        <v>1401</v>
      </c>
      <c r="AM2039" t="s">
        <v>1402</v>
      </c>
      <c r="AN2039" t="s">
        <v>192</v>
      </c>
      <c r="AO2039">
        <v>6</v>
      </c>
      <c r="AP2039" t="s">
        <v>78</v>
      </c>
      <c r="AQ2039" t="s">
        <v>1403</v>
      </c>
      <c r="AR2039" t="s">
        <v>80</v>
      </c>
      <c r="AS2039">
        <v>315</v>
      </c>
      <c r="AT2039" t="s">
        <v>81</v>
      </c>
      <c r="AU2039">
        <v>16.05</v>
      </c>
      <c r="AV2039">
        <v>35.04</v>
      </c>
      <c r="AW2039" t="s">
        <v>82</v>
      </c>
      <c r="AX2039">
        <v>315</v>
      </c>
      <c r="AY2039" t="s">
        <v>81</v>
      </c>
      <c r="AZ2039">
        <v>5.79</v>
      </c>
      <c r="BA2039">
        <v>37.53</v>
      </c>
      <c r="BB2039" t="s">
        <v>83</v>
      </c>
    </row>
    <row r="2040" spans="1:54" x14ac:dyDescent="0.4">
      <c r="A2040">
        <v>630464</v>
      </c>
      <c r="D2040" t="s">
        <v>54</v>
      </c>
      <c r="E2040" t="s">
        <v>152</v>
      </c>
      <c r="G2040">
        <v>8</v>
      </c>
      <c r="H2040" t="s">
        <v>84</v>
      </c>
      <c r="I2040" t="s">
        <v>57</v>
      </c>
      <c r="K2040" t="s">
        <v>1029</v>
      </c>
      <c r="L2040" t="s">
        <v>1030</v>
      </c>
      <c r="M2040" t="s">
        <v>60</v>
      </c>
      <c r="N2040" t="s">
        <v>61</v>
      </c>
      <c r="O2040" t="s">
        <v>345</v>
      </c>
      <c r="P2040" t="s">
        <v>89</v>
      </c>
      <c r="R2040" t="s">
        <v>63</v>
      </c>
      <c r="S2040" t="s">
        <v>64</v>
      </c>
      <c r="T2040">
        <v>208.5</v>
      </c>
      <c r="U2040">
        <v>201.4</v>
      </c>
      <c r="V2040">
        <f t="shared" si="62"/>
        <v>204.95</v>
      </c>
      <c r="W2040">
        <f t="shared" si="63"/>
        <v>7.0999999999999943</v>
      </c>
      <c r="X2040">
        <v>6.3328439999999997</v>
      </c>
      <c r="Y2040">
        <v>48.615555000000001</v>
      </c>
      <c r="Z2040" t="s">
        <v>184</v>
      </c>
      <c r="AA2040" t="s">
        <v>521</v>
      </c>
      <c r="AB2040" t="s">
        <v>925</v>
      </c>
      <c r="AC2040" t="s">
        <v>926</v>
      </c>
      <c r="AD2040" t="s">
        <v>927</v>
      </c>
      <c r="AH2040" t="s">
        <v>11</v>
      </c>
      <c r="AI2040" t="s">
        <v>1404</v>
      </c>
      <c r="AJ2040">
        <v>1997</v>
      </c>
      <c r="AK2040" t="s">
        <v>929</v>
      </c>
      <c r="AM2040" t="s">
        <v>930</v>
      </c>
      <c r="AN2040" t="s">
        <v>192</v>
      </c>
      <c r="AO2040">
        <v>6</v>
      </c>
      <c r="AP2040" t="s">
        <v>78</v>
      </c>
      <c r="AQ2040" t="s">
        <v>931</v>
      </c>
      <c r="AR2040" t="s">
        <v>80</v>
      </c>
      <c r="AS2040">
        <v>305</v>
      </c>
      <c r="AT2040" t="s">
        <v>81</v>
      </c>
      <c r="AU2040">
        <v>16.68</v>
      </c>
      <c r="AV2040">
        <v>34.229999999999997</v>
      </c>
      <c r="AW2040" t="s">
        <v>82</v>
      </c>
      <c r="AX2040">
        <v>305</v>
      </c>
      <c r="AY2040" t="s">
        <v>81</v>
      </c>
      <c r="AZ2040">
        <v>6.4</v>
      </c>
      <c r="BA2040">
        <v>36.71</v>
      </c>
      <c r="BB2040" t="s">
        <v>83</v>
      </c>
    </row>
    <row r="2041" spans="1:54" x14ac:dyDescent="0.4">
      <c r="A2041">
        <v>630480</v>
      </c>
      <c r="D2041" t="s">
        <v>54</v>
      </c>
      <c r="E2041" t="s">
        <v>152</v>
      </c>
      <c r="G2041">
        <v>3</v>
      </c>
      <c r="H2041" t="s">
        <v>84</v>
      </c>
      <c r="I2041" t="s">
        <v>57</v>
      </c>
      <c r="K2041" t="s">
        <v>141</v>
      </c>
      <c r="L2041" t="s">
        <v>1405</v>
      </c>
      <c r="M2041" t="s">
        <v>60</v>
      </c>
      <c r="P2041" t="s">
        <v>89</v>
      </c>
      <c r="R2041" t="s">
        <v>63</v>
      </c>
      <c r="S2041" t="s">
        <v>64</v>
      </c>
      <c r="T2041">
        <v>208.5</v>
      </c>
      <c r="U2041">
        <v>201.4</v>
      </c>
      <c r="V2041">
        <f t="shared" si="62"/>
        <v>204.95</v>
      </c>
      <c r="W2041">
        <f t="shared" si="63"/>
        <v>7.0999999999999943</v>
      </c>
      <c r="X2041">
        <v>6.3328439999999997</v>
      </c>
      <c r="Y2041">
        <v>48.615555000000001</v>
      </c>
      <c r="Z2041" t="s">
        <v>184</v>
      </c>
      <c r="AA2041" t="s">
        <v>521</v>
      </c>
      <c r="AB2041" t="s">
        <v>925</v>
      </c>
      <c r="AC2041" t="s">
        <v>926</v>
      </c>
      <c r="AD2041" t="s">
        <v>927</v>
      </c>
      <c r="AH2041" t="s">
        <v>72</v>
      </c>
      <c r="AI2041" t="s">
        <v>1404</v>
      </c>
      <c r="AJ2041">
        <v>1997</v>
      </c>
      <c r="AK2041" t="s">
        <v>929</v>
      </c>
      <c r="AM2041" t="s">
        <v>930</v>
      </c>
      <c r="AN2041" t="s">
        <v>192</v>
      </c>
      <c r="AO2041">
        <v>6</v>
      </c>
      <c r="AP2041" t="s">
        <v>78</v>
      </c>
      <c r="AQ2041" t="s">
        <v>931</v>
      </c>
      <c r="AR2041" t="s">
        <v>80</v>
      </c>
      <c r="AS2041">
        <v>305</v>
      </c>
      <c r="AT2041" t="s">
        <v>81</v>
      </c>
      <c r="AU2041">
        <v>16.68</v>
      </c>
      <c r="AV2041">
        <v>34.229999999999997</v>
      </c>
      <c r="AW2041" t="s">
        <v>82</v>
      </c>
      <c r="AX2041">
        <v>305</v>
      </c>
      <c r="AY2041" t="s">
        <v>81</v>
      </c>
      <c r="AZ2041">
        <v>6.4</v>
      </c>
      <c r="BA2041">
        <v>36.71</v>
      </c>
      <c r="BB2041" t="s">
        <v>83</v>
      </c>
    </row>
    <row r="2042" spans="1:54" x14ac:dyDescent="0.4">
      <c r="A2042">
        <v>780623</v>
      </c>
      <c r="D2042" t="s">
        <v>54</v>
      </c>
      <c r="G2042">
        <v>2</v>
      </c>
      <c r="H2042" t="s">
        <v>421</v>
      </c>
      <c r="I2042" t="s">
        <v>57</v>
      </c>
      <c r="K2042" t="s">
        <v>206</v>
      </c>
      <c r="L2042" t="s">
        <v>851</v>
      </c>
      <c r="M2042" t="s">
        <v>60</v>
      </c>
      <c r="O2042" t="s">
        <v>170</v>
      </c>
      <c r="P2042" t="s">
        <v>89</v>
      </c>
      <c r="R2042" t="s">
        <v>63</v>
      </c>
      <c r="S2042" t="s">
        <v>64</v>
      </c>
      <c r="T2042">
        <v>208.5</v>
      </c>
      <c r="U2042">
        <v>201.4</v>
      </c>
      <c r="V2042">
        <f t="shared" si="62"/>
        <v>204.95</v>
      </c>
      <c r="W2042">
        <f t="shared" si="63"/>
        <v>7.0999999999999943</v>
      </c>
      <c r="X2042">
        <v>-111.35833</v>
      </c>
      <c r="Y2042">
        <v>36.087502000000001</v>
      </c>
      <c r="Z2042" t="s">
        <v>582</v>
      </c>
      <c r="AA2042" t="s">
        <v>66</v>
      </c>
      <c r="AB2042" t="s">
        <v>583</v>
      </c>
      <c r="AC2042" t="s">
        <v>807</v>
      </c>
      <c r="AD2042" t="s">
        <v>174</v>
      </c>
      <c r="AF2042" t="s">
        <v>1724</v>
      </c>
      <c r="AH2042" t="s">
        <v>72</v>
      </c>
      <c r="AI2042" t="s">
        <v>1725</v>
      </c>
      <c r="AJ2042">
        <v>1991</v>
      </c>
      <c r="AK2042" t="s">
        <v>1729</v>
      </c>
      <c r="AM2042" t="s">
        <v>1730</v>
      </c>
      <c r="AN2042" t="s">
        <v>192</v>
      </c>
      <c r="AO2042" t="s">
        <v>77</v>
      </c>
      <c r="AP2042" t="s">
        <v>115</v>
      </c>
      <c r="AQ2042" t="s">
        <v>1731</v>
      </c>
      <c r="AR2042" t="s">
        <v>80</v>
      </c>
      <c r="AS2042">
        <v>101</v>
      </c>
      <c r="AT2042" t="s">
        <v>81</v>
      </c>
      <c r="AU2042">
        <v>-39.979999999999997</v>
      </c>
      <c r="AV2042">
        <v>10.91</v>
      </c>
      <c r="AW2042" t="s">
        <v>82</v>
      </c>
      <c r="AX2042">
        <v>133</v>
      </c>
      <c r="AY2042" t="s">
        <v>81</v>
      </c>
      <c r="AZ2042">
        <v>-55.6</v>
      </c>
      <c r="BA2042">
        <v>13.27</v>
      </c>
      <c r="BB2042" t="s">
        <v>83</v>
      </c>
    </row>
    <row r="2043" spans="1:54" x14ac:dyDescent="0.4">
      <c r="A2043">
        <v>780624</v>
      </c>
      <c r="D2043" t="s">
        <v>54</v>
      </c>
      <c r="G2043">
        <v>1</v>
      </c>
      <c r="H2043" t="s">
        <v>56</v>
      </c>
      <c r="I2043" t="s">
        <v>57</v>
      </c>
      <c r="K2043" t="s">
        <v>85</v>
      </c>
      <c r="L2043" t="s">
        <v>845</v>
      </c>
      <c r="M2043" t="s">
        <v>60</v>
      </c>
      <c r="O2043" t="s">
        <v>87</v>
      </c>
      <c r="P2043" t="s">
        <v>89</v>
      </c>
      <c r="R2043" t="s">
        <v>63</v>
      </c>
      <c r="S2043" t="s">
        <v>64</v>
      </c>
      <c r="T2043">
        <v>208.5</v>
      </c>
      <c r="U2043">
        <v>201.4</v>
      </c>
      <c r="V2043">
        <f t="shared" si="62"/>
        <v>204.95</v>
      </c>
      <c r="W2043">
        <f t="shared" si="63"/>
        <v>7.0999999999999943</v>
      </c>
      <c r="X2043">
        <v>-111.35833</v>
      </c>
      <c r="Y2043">
        <v>36.087502000000001</v>
      </c>
      <c r="Z2043" t="s">
        <v>582</v>
      </c>
      <c r="AA2043" t="s">
        <v>66</v>
      </c>
      <c r="AB2043" t="s">
        <v>583</v>
      </c>
      <c r="AC2043" t="s">
        <v>807</v>
      </c>
      <c r="AD2043" t="s">
        <v>174</v>
      </c>
      <c r="AF2043" t="s">
        <v>1724</v>
      </c>
      <c r="AH2043" t="s">
        <v>72</v>
      </c>
      <c r="AI2043" t="s">
        <v>1728</v>
      </c>
      <c r="AJ2043">
        <v>2007</v>
      </c>
      <c r="AK2043" t="s">
        <v>1729</v>
      </c>
      <c r="AM2043" t="s">
        <v>1730</v>
      </c>
      <c r="AN2043" t="s">
        <v>192</v>
      </c>
      <c r="AO2043" t="s">
        <v>77</v>
      </c>
      <c r="AP2043" t="s">
        <v>115</v>
      </c>
      <c r="AQ2043" t="s">
        <v>1731</v>
      </c>
      <c r="AR2043" t="s">
        <v>80</v>
      </c>
      <c r="AS2043">
        <v>101</v>
      </c>
      <c r="AT2043" t="s">
        <v>81</v>
      </c>
      <c r="AU2043">
        <v>-39.979999999999997</v>
      </c>
      <c r="AV2043">
        <v>10.91</v>
      </c>
      <c r="AW2043" t="s">
        <v>82</v>
      </c>
      <c r="AX2043">
        <v>133</v>
      </c>
      <c r="AY2043" t="s">
        <v>81</v>
      </c>
      <c r="AZ2043">
        <v>-55.6</v>
      </c>
      <c r="BA2043">
        <v>13.27</v>
      </c>
      <c r="BB2043" t="s">
        <v>83</v>
      </c>
    </row>
    <row r="2044" spans="1:54" x14ac:dyDescent="0.4">
      <c r="A2044">
        <v>780625</v>
      </c>
      <c r="D2044" t="s">
        <v>54</v>
      </c>
      <c r="G2044">
        <v>27</v>
      </c>
      <c r="H2044" t="s">
        <v>421</v>
      </c>
      <c r="I2044" t="s">
        <v>57</v>
      </c>
      <c r="K2044" t="s">
        <v>85</v>
      </c>
      <c r="L2044" t="s">
        <v>845</v>
      </c>
      <c r="M2044" t="s">
        <v>60</v>
      </c>
      <c r="O2044" t="s">
        <v>87</v>
      </c>
      <c r="P2044" t="s">
        <v>89</v>
      </c>
      <c r="R2044" t="s">
        <v>63</v>
      </c>
      <c r="S2044" t="s">
        <v>64</v>
      </c>
      <c r="T2044">
        <v>208.5</v>
      </c>
      <c r="U2044">
        <v>201.4</v>
      </c>
      <c r="V2044">
        <f t="shared" si="62"/>
        <v>204.95</v>
      </c>
      <c r="W2044">
        <f t="shared" si="63"/>
        <v>7.0999999999999943</v>
      </c>
      <c r="X2044">
        <v>-111.35833</v>
      </c>
      <c r="Y2044">
        <v>36.087502000000001</v>
      </c>
      <c r="Z2044" t="s">
        <v>582</v>
      </c>
      <c r="AA2044" t="s">
        <v>66</v>
      </c>
      <c r="AB2044" t="s">
        <v>583</v>
      </c>
      <c r="AC2044" t="s">
        <v>807</v>
      </c>
      <c r="AD2044" t="s">
        <v>174</v>
      </c>
      <c r="AF2044" t="s">
        <v>1724</v>
      </c>
      <c r="AH2044" t="s">
        <v>72</v>
      </c>
      <c r="AI2044" t="s">
        <v>1728</v>
      </c>
      <c r="AJ2044">
        <v>2007</v>
      </c>
      <c r="AK2044" t="s">
        <v>1729</v>
      </c>
      <c r="AM2044" t="s">
        <v>1730</v>
      </c>
      <c r="AN2044" t="s">
        <v>192</v>
      </c>
      <c r="AO2044" t="s">
        <v>77</v>
      </c>
      <c r="AP2044" t="s">
        <v>115</v>
      </c>
      <c r="AQ2044" t="s">
        <v>1731</v>
      </c>
      <c r="AR2044" t="s">
        <v>80</v>
      </c>
      <c r="AS2044">
        <v>101</v>
      </c>
      <c r="AT2044" t="s">
        <v>81</v>
      </c>
      <c r="AU2044">
        <v>-39.979999999999997</v>
      </c>
      <c r="AV2044">
        <v>10.91</v>
      </c>
      <c r="AW2044" t="s">
        <v>82</v>
      </c>
      <c r="AX2044">
        <v>133</v>
      </c>
      <c r="AY2044" t="s">
        <v>81</v>
      </c>
      <c r="AZ2044">
        <v>-55.6</v>
      </c>
      <c r="BA2044">
        <v>13.27</v>
      </c>
      <c r="BB2044" t="s">
        <v>83</v>
      </c>
    </row>
    <row r="2045" spans="1:54" x14ac:dyDescent="0.4">
      <c r="A2045">
        <v>780630</v>
      </c>
      <c r="D2045" t="s">
        <v>54</v>
      </c>
      <c r="G2045">
        <v>1</v>
      </c>
      <c r="H2045" t="s">
        <v>84</v>
      </c>
      <c r="I2045" t="s">
        <v>57</v>
      </c>
      <c r="K2045" t="s">
        <v>85</v>
      </c>
      <c r="L2045" t="s">
        <v>845</v>
      </c>
      <c r="M2045" t="s">
        <v>60</v>
      </c>
      <c r="O2045" t="s">
        <v>87</v>
      </c>
      <c r="P2045" t="s">
        <v>89</v>
      </c>
      <c r="R2045" t="s">
        <v>63</v>
      </c>
      <c r="S2045" t="s">
        <v>64</v>
      </c>
      <c r="T2045">
        <v>208.5</v>
      </c>
      <c r="U2045">
        <v>201.4</v>
      </c>
      <c r="V2045">
        <f t="shared" si="62"/>
        <v>204.95</v>
      </c>
      <c r="W2045">
        <f t="shared" si="63"/>
        <v>7.0999999999999943</v>
      </c>
      <c r="X2045">
        <v>-111.336113</v>
      </c>
      <c r="Y2045">
        <v>36.069443</v>
      </c>
      <c r="Z2045" t="s">
        <v>886</v>
      </c>
      <c r="AA2045" t="s">
        <v>66</v>
      </c>
      <c r="AB2045" t="s">
        <v>583</v>
      </c>
      <c r="AC2045" t="s">
        <v>807</v>
      </c>
      <c r="AD2045" t="s">
        <v>174</v>
      </c>
      <c r="AF2045" t="s">
        <v>1724</v>
      </c>
      <c r="AH2045" t="s">
        <v>72</v>
      </c>
      <c r="AI2045" t="s">
        <v>1728</v>
      </c>
      <c r="AJ2045">
        <v>2007</v>
      </c>
      <c r="AK2045" t="s">
        <v>1732</v>
      </c>
      <c r="AN2045" t="s">
        <v>192</v>
      </c>
      <c r="AO2045" t="s">
        <v>77</v>
      </c>
      <c r="AP2045" t="s">
        <v>115</v>
      </c>
      <c r="AQ2045" t="s">
        <v>1733</v>
      </c>
      <c r="AR2045" t="s">
        <v>80</v>
      </c>
      <c r="AS2045">
        <v>101</v>
      </c>
      <c r="AT2045" t="s">
        <v>81</v>
      </c>
      <c r="AU2045">
        <v>-39.97</v>
      </c>
      <c r="AV2045">
        <v>10.89</v>
      </c>
      <c r="AW2045" t="s">
        <v>82</v>
      </c>
      <c r="AX2045">
        <v>133</v>
      </c>
      <c r="AY2045" t="s">
        <v>81</v>
      </c>
      <c r="AZ2045">
        <v>-55.59</v>
      </c>
      <c r="BA2045">
        <v>13.25</v>
      </c>
      <c r="BB2045" t="s">
        <v>83</v>
      </c>
    </row>
    <row r="2046" spans="1:54" x14ac:dyDescent="0.4">
      <c r="A2046">
        <v>780633</v>
      </c>
      <c r="D2046" t="s">
        <v>54</v>
      </c>
      <c r="G2046">
        <v>13</v>
      </c>
      <c r="H2046" t="s">
        <v>421</v>
      </c>
      <c r="I2046" t="s">
        <v>57</v>
      </c>
      <c r="K2046" t="s">
        <v>206</v>
      </c>
      <c r="L2046" t="s">
        <v>851</v>
      </c>
      <c r="M2046" t="s">
        <v>60</v>
      </c>
      <c r="O2046" t="s">
        <v>170</v>
      </c>
      <c r="P2046" t="s">
        <v>89</v>
      </c>
      <c r="R2046" t="s">
        <v>63</v>
      </c>
      <c r="S2046" t="s">
        <v>64</v>
      </c>
      <c r="T2046">
        <v>208.5</v>
      </c>
      <c r="U2046">
        <v>201.4</v>
      </c>
      <c r="V2046">
        <f t="shared" si="62"/>
        <v>204.95</v>
      </c>
      <c r="W2046">
        <f t="shared" si="63"/>
        <v>7.0999999999999943</v>
      </c>
      <c r="X2046">
        <v>-111.287498</v>
      </c>
      <c r="Y2046">
        <v>35.900002000000001</v>
      </c>
      <c r="Z2046" t="s">
        <v>886</v>
      </c>
      <c r="AA2046" t="s">
        <v>66</v>
      </c>
      <c r="AB2046" t="s">
        <v>583</v>
      </c>
      <c r="AC2046" t="s">
        <v>807</v>
      </c>
      <c r="AD2046" t="s">
        <v>174</v>
      </c>
      <c r="AF2046" t="s">
        <v>1724</v>
      </c>
      <c r="AH2046" t="s">
        <v>72</v>
      </c>
      <c r="AI2046" t="s">
        <v>1725</v>
      </c>
      <c r="AJ2046">
        <v>1991</v>
      </c>
      <c r="AK2046" t="s">
        <v>1734</v>
      </c>
      <c r="AN2046" t="s">
        <v>192</v>
      </c>
      <c r="AO2046" t="s">
        <v>160</v>
      </c>
      <c r="AP2046" t="s">
        <v>115</v>
      </c>
      <c r="AQ2046" t="s">
        <v>1734</v>
      </c>
      <c r="AR2046" t="s">
        <v>80</v>
      </c>
      <c r="AS2046">
        <v>101</v>
      </c>
      <c r="AT2046" t="s">
        <v>81</v>
      </c>
      <c r="AU2046">
        <v>-39.94</v>
      </c>
      <c r="AV2046">
        <v>10.72</v>
      </c>
      <c r="AW2046" t="s">
        <v>82</v>
      </c>
      <c r="AX2046">
        <v>133</v>
      </c>
      <c r="AY2046" t="s">
        <v>81</v>
      </c>
      <c r="AZ2046">
        <v>-55.56</v>
      </c>
      <c r="BA2046">
        <v>13.08</v>
      </c>
      <c r="BB2046" t="s">
        <v>83</v>
      </c>
    </row>
    <row r="2047" spans="1:54" x14ac:dyDescent="0.4">
      <c r="A2047">
        <v>780634</v>
      </c>
      <c r="D2047" t="s">
        <v>54</v>
      </c>
      <c r="I2047" t="s">
        <v>57</v>
      </c>
      <c r="K2047" t="s">
        <v>85</v>
      </c>
      <c r="L2047" t="s">
        <v>845</v>
      </c>
      <c r="M2047" t="s">
        <v>60</v>
      </c>
      <c r="O2047" t="s">
        <v>87</v>
      </c>
      <c r="P2047" t="s">
        <v>89</v>
      </c>
      <c r="R2047" t="s">
        <v>63</v>
      </c>
      <c r="S2047" t="s">
        <v>64</v>
      </c>
      <c r="T2047">
        <v>208.5</v>
      </c>
      <c r="U2047">
        <v>201.4</v>
      </c>
      <c r="V2047">
        <f t="shared" si="62"/>
        <v>204.95</v>
      </c>
      <c r="W2047">
        <f t="shared" si="63"/>
        <v>7.0999999999999943</v>
      </c>
      <c r="X2047">
        <v>-111.287498</v>
      </c>
      <c r="Y2047">
        <v>35.900002000000001</v>
      </c>
      <c r="Z2047" t="s">
        <v>886</v>
      </c>
      <c r="AA2047" t="s">
        <v>66</v>
      </c>
      <c r="AB2047" t="s">
        <v>583</v>
      </c>
      <c r="AC2047" t="s">
        <v>807</v>
      </c>
      <c r="AD2047" t="s">
        <v>174</v>
      </c>
      <c r="AF2047" t="s">
        <v>1724</v>
      </c>
      <c r="AH2047" t="s">
        <v>72</v>
      </c>
      <c r="AI2047" t="s">
        <v>1728</v>
      </c>
      <c r="AJ2047">
        <v>2007</v>
      </c>
      <c r="AK2047" t="s">
        <v>1734</v>
      </c>
      <c r="AN2047" t="s">
        <v>192</v>
      </c>
      <c r="AO2047" t="s">
        <v>160</v>
      </c>
      <c r="AP2047" t="s">
        <v>115</v>
      </c>
      <c r="AQ2047" t="s">
        <v>1734</v>
      </c>
      <c r="AR2047" t="s">
        <v>80</v>
      </c>
      <c r="AS2047">
        <v>101</v>
      </c>
      <c r="AT2047" t="s">
        <v>81</v>
      </c>
      <c r="AU2047">
        <v>-39.94</v>
      </c>
      <c r="AV2047">
        <v>10.72</v>
      </c>
      <c r="AW2047" t="s">
        <v>82</v>
      </c>
      <c r="AX2047">
        <v>133</v>
      </c>
      <c r="AY2047" t="s">
        <v>81</v>
      </c>
      <c r="AZ2047">
        <v>-55.56</v>
      </c>
      <c r="BA2047">
        <v>13.08</v>
      </c>
      <c r="BB2047" t="s">
        <v>83</v>
      </c>
    </row>
    <row r="2048" spans="1:54" x14ac:dyDescent="0.4">
      <c r="A2048">
        <v>780635</v>
      </c>
      <c r="D2048" t="s">
        <v>54</v>
      </c>
      <c r="G2048">
        <v>4</v>
      </c>
      <c r="H2048" t="s">
        <v>421</v>
      </c>
      <c r="I2048" t="s">
        <v>57</v>
      </c>
      <c r="K2048" t="s">
        <v>85</v>
      </c>
      <c r="L2048" t="s">
        <v>845</v>
      </c>
      <c r="M2048" t="s">
        <v>60</v>
      </c>
      <c r="O2048" t="s">
        <v>87</v>
      </c>
      <c r="P2048" t="s">
        <v>89</v>
      </c>
      <c r="R2048" t="s">
        <v>63</v>
      </c>
      <c r="S2048" t="s">
        <v>64</v>
      </c>
      <c r="T2048">
        <v>208.5</v>
      </c>
      <c r="U2048">
        <v>201.4</v>
      </c>
      <c r="V2048">
        <f t="shared" si="62"/>
        <v>204.95</v>
      </c>
      <c r="W2048">
        <f t="shared" si="63"/>
        <v>7.0999999999999943</v>
      </c>
      <c r="X2048">
        <v>-111.287498</v>
      </c>
      <c r="Y2048">
        <v>35.900002000000001</v>
      </c>
      <c r="Z2048" t="s">
        <v>886</v>
      </c>
      <c r="AA2048" t="s">
        <v>66</v>
      </c>
      <c r="AB2048" t="s">
        <v>583</v>
      </c>
      <c r="AC2048" t="s">
        <v>807</v>
      </c>
      <c r="AD2048" t="s">
        <v>174</v>
      </c>
      <c r="AF2048" t="s">
        <v>1724</v>
      </c>
      <c r="AH2048" t="s">
        <v>72</v>
      </c>
      <c r="AI2048" t="s">
        <v>1728</v>
      </c>
      <c r="AJ2048">
        <v>2007</v>
      </c>
      <c r="AK2048" t="s">
        <v>1734</v>
      </c>
      <c r="AN2048" t="s">
        <v>192</v>
      </c>
      <c r="AO2048" t="s">
        <v>160</v>
      </c>
      <c r="AP2048" t="s">
        <v>115</v>
      </c>
      <c r="AQ2048" t="s">
        <v>1734</v>
      </c>
      <c r="AR2048" t="s">
        <v>80</v>
      </c>
      <c r="AS2048">
        <v>101</v>
      </c>
      <c r="AT2048" t="s">
        <v>81</v>
      </c>
      <c r="AU2048">
        <v>-39.94</v>
      </c>
      <c r="AV2048">
        <v>10.72</v>
      </c>
      <c r="AW2048" t="s">
        <v>82</v>
      </c>
      <c r="AX2048">
        <v>133</v>
      </c>
      <c r="AY2048" t="s">
        <v>81</v>
      </c>
      <c r="AZ2048">
        <v>-55.56</v>
      </c>
      <c r="BA2048">
        <v>13.08</v>
      </c>
      <c r="BB2048" t="s">
        <v>83</v>
      </c>
    </row>
    <row r="2049" spans="1:54" x14ac:dyDescent="0.4">
      <c r="A2049">
        <v>780638</v>
      </c>
      <c r="D2049" t="s">
        <v>54</v>
      </c>
      <c r="G2049">
        <v>1</v>
      </c>
      <c r="H2049" t="s">
        <v>84</v>
      </c>
      <c r="I2049" t="s">
        <v>57</v>
      </c>
      <c r="K2049" t="s">
        <v>206</v>
      </c>
      <c r="L2049" t="s">
        <v>851</v>
      </c>
      <c r="M2049" t="s">
        <v>60</v>
      </c>
      <c r="O2049" t="s">
        <v>170</v>
      </c>
      <c r="P2049" t="s">
        <v>89</v>
      </c>
      <c r="R2049" t="s">
        <v>63</v>
      </c>
      <c r="S2049" t="s">
        <v>64</v>
      </c>
      <c r="T2049">
        <v>208.5</v>
      </c>
      <c r="U2049">
        <v>201.4</v>
      </c>
      <c r="V2049">
        <f t="shared" si="62"/>
        <v>204.95</v>
      </c>
      <c r="W2049">
        <f t="shared" si="63"/>
        <v>7.0999999999999943</v>
      </c>
      <c r="X2049">
        <v>-111.287498</v>
      </c>
      <c r="Y2049">
        <v>35.891666000000001</v>
      </c>
      <c r="Z2049" t="s">
        <v>886</v>
      </c>
      <c r="AA2049" t="s">
        <v>66</v>
      </c>
      <c r="AB2049" t="s">
        <v>583</v>
      </c>
      <c r="AC2049" t="s">
        <v>807</v>
      </c>
      <c r="AD2049" t="s">
        <v>174</v>
      </c>
      <c r="AF2049" t="s">
        <v>1724</v>
      </c>
      <c r="AH2049" t="s">
        <v>72</v>
      </c>
      <c r="AI2049" t="s">
        <v>1725</v>
      </c>
      <c r="AJ2049">
        <v>1991</v>
      </c>
      <c r="AK2049" t="s">
        <v>1735</v>
      </c>
      <c r="AN2049" t="s">
        <v>192</v>
      </c>
      <c r="AO2049" t="s">
        <v>77</v>
      </c>
      <c r="AP2049" t="s">
        <v>115</v>
      </c>
      <c r="AQ2049" t="s">
        <v>1735</v>
      </c>
      <c r="AR2049" t="s">
        <v>80</v>
      </c>
      <c r="AS2049">
        <v>101</v>
      </c>
      <c r="AT2049" t="s">
        <v>81</v>
      </c>
      <c r="AU2049">
        <v>-39.950000000000003</v>
      </c>
      <c r="AV2049">
        <v>10.71</v>
      </c>
      <c r="AW2049" t="s">
        <v>82</v>
      </c>
      <c r="AX2049">
        <v>133</v>
      </c>
      <c r="AY2049" t="s">
        <v>81</v>
      </c>
      <c r="AZ2049">
        <v>-55.56</v>
      </c>
      <c r="BA2049">
        <v>13.07</v>
      </c>
      <c r="BB2049" t="s">
        <v>83</v>
      </c>
    </row>
    <row r="2050" spans="1:54" x14ac:dyDescent="0.4">
      <c r="A2050">
        <v>780639</v>
      </c>
      <c r="D2050" t="s">
        <v>54</v>
      </c>
      <c r="I2050" t="s">
        <v>57</v>
      </c>
      <c r="K2050" t="s">
        <v>85</v>
      </c>
      <c r="L2050" t="s">
        <v>845</v>
      </c>
      <c r="M2050" t="s">
        <v>60</v>
      </c>
      <c r="O2050" t="s">
        <v>87</v>
      </c>
      <c r="P2050" t="s">
        <v>89</v>
      </c>
      <c r="R2050" t="s">
        <v>63</v>
      </c>
      <c r="S2050" t="s">
        <v>64</v>
      </c>
      <c r="T2050">
        <v>208.5</v>
      </c>
      <c r="U2050">
        <v>201.4</v>
      </c>
      <c r="V2050">
        <f t="shared" si="62"/>
        <v>204.95</v>
      </c>
      <c r="W2050">
        <f t="shared" si="63"/>
        <v>7.0999999999999943</v>
      </c>
      <c r="X2050">
        <v>-111.287498</v>
      </c>
      <c r="Y2050">
        <v>35.891666000000001</v>
      </c>
      <c r="Z2050" t="s">
        <v>886</v>
      </c>
      <c r="AA2050" t="s">
        <v>66</v>
      </c>
      <c r="AB2050" t="s">
        <v>583</v>
      </c>
      <c r="AC2050" t="s">
        <v>807</v>
      </c>
      <c r="AD2050" t="s">
        <v>174</v>
      </c>
      <c r="AF2050" t="s">
        <v>1724</v>
      </c>
      <c r="AH2050" t="s">
        <v>72</v>
      </c>
      <c r="AI2050" t="s">
        <v>1728</v>
      </c>
      <c r="AJ2050">
        <v>2007</v>
      </c>
      <c r="AK2050" t="s">
        <v>1735</v>
      </c>
      <c r="AN2050" t="s">
        <v>192</v>
      </c>
      <c r="AO2050" t="s">
        <v>77</v>
      </c>
      <c r="AP2050" t="s">
        <v>115</v>
      </c>
      <c r="AQ2050" t="s">
        <v>1735</v>
      </c>
      <c r="AR2050" t="s">
        <v>80</v>
      </c>
      <c r="AS2050">
        <v>101</v>
      </c>
      <c r="AT2050" t="s">
        <v>81</v>
      </c>
      <c r="AU2050">
        <v>-39.950000000000003</v>
      </c>
      <c r="AV2050">
        <v>10.71</v>
      </c>
      <c r="AW2050" t="s">
        <v>82</v>
      </c>
      <c r="AX2050">
        <v>133</v>
      </c>
      <c r="AY2050" t="s">
        <v>81</v>
      </c>
      <c r="AZ2050">
        <v>-55.56</v>
      </c>
      <c r="BA2050">
        <v>13.07</v>
      </c>
      <c r="BB2050" t="s">
        <v>83</v>
      </c>
    </row>
    <row r="2051" spans="1:54" x14ac:dyDescent="0.4">
      <c r="A2051">
        <v>780640</v>
      </c>
      <c r="D2051" t="s">
        <v>54</v>
      </c>
      <c r="G2051">
        <v>10</v>
      </c>
      <c r="H2051" t="s">
        <v>421</v>
      </c>
      <c r="I2051" t="s">
        <v>57</v>
      </c>
      <c r="K2051" t="s">
        <v>85</v>
      </c>
      <c r="L2051" t="s">
        <v>845</v>
      </c>
      <c r="M2051" t="s">
        <v>60</v>
      </c>
      <c r="O2051" t="s">
        <v>87</v>
      </c>
      <c r="P2051" t="s">
        <v>89</v>
      </c>
      <c r="R2051" t="s">
        <v>63</v>
      </c>
      <c r="S2051" t="s">
        <v>64</v>
      </c>
      <c r="T2051">
        <v>208.5</v>
      </c>
      <c r="U2051">
        <v>201.4</v>
      </c>
      <c r="V2051">
        <f t="shared" ref="V2051:V2114" si="64">(T2051+U2051)/2</f>
        <v>204.95</v>
      </c>
      <c r="W2051">
        <f t="shared" ref="W2051:W2114" si="65">T2051-U2051</f>
        <v>7.0999999999999943</v>
      </c>
      <c r="X2051">
        <v>-111.287498</v>
      </c>
      <c r="Y2051">
        <v>35.891666000000001</v>
      </c>
      <c r="Z2051" t="s">
        <v>886</v>
      </c>
      <c r="AA2051" t="s">
        <v>66</v>
      </c>
      <c r="AB2051" t="s">
        <v>583</v>
      </c>
      <c r="AC2051" t="s">
        <v>807</v>
      </c>
      <c r="AD2051" t="s">
        <v>174</v>
      </c>
      <c r="AF2051" t="s">
        <v>1724</v>
      </c>
      <c r="AH2051" t="s">
        <v>72</v>
      </c>
      <c r="AI2051" t="s">
        <v>1728</v>
      </c>
      <c r="AJ2051">
        <v>2007</v>
      </c>
      <c r="AK2051" t="s">
        <v>1735</v>
      </c>
      <c r="AN2051" t="s">
        <v>192</v>
      </c>
      <c r="AO2051" t="s">
        <v>77</v>
      </c>
      <c r="AP2051" t="s">
        <v>115</v>
      </c>
      <c r="AQ2051" t="s">
        <v>1735</v>
      </c>
      <c r="AR2051" t="s">
        <v>80</v>
      </c>
      <c r="AS2051">
        <v>101</v>
      </c>
      <c r="AT2051" t="s">
        <v>81</v>
      </c>
      <c r="AU2051">
        <v>-39.950000000000003</v>
      </c>
      <c r="AV2051">
        <v>10.71</v>
      </c>
      <c r="AW2051" t="s">
        <v>82</v>
      </c>
      <c r="AX2051">
        <v>133</v>
      </c>
      <c r="AY2051" t="s">
        <v>81</v>
      </c>
      <c r="AZ2051">
        <v>-55.56</v>
      </c>
      <c r="BA2051">
        <v>13.07</v>
      </c>
      <c r="BB2051" t="s">
        <v>83</v>
      </c>
    </row>
    <row r="2052" spans="1:54" x14ac:dyDescent="0.4">
      <c r="A2052">
        <v>780641</v>
      </c>
      <c r="D2052" t="s">
        <v>54</v>
      </c>
      <c r="I2052" t="s">
        <v>57</v>
      </c>
      <c r="K2052" t="s">
        <v>767</v>
      </c>
      <c r="L2052" t="s">
        <v>768</v>
      </c>
      <c r="M2052" t="s">
        <v>60</v>
      </c>
      <c r="N2052" t="s">
        <v>119</v>
      </c>
      <c r="O2052" t="s">
        <v>87</v>
      </c>
      <c r="P2052" t="s">
        <v>89</v>
      </c>
      <c r="R2052" t="s">
        <v>63</v>
      </c>
      <c r="S2052" t="s">
        <v>64</v>
      </c>
      <c r="T2052">
        <v>208.5</v>
      </c>
      <c r="U2052">
        <v>201.4</v>
      </c>
      <c r="V2052">
        <f t="shared" si="64"/>
        <v>204.95</v>
      </c>
      <c r="W2052">
        <f t="shared" si="65"/>
        <v>7.0999999999999943</v>
      </c>
      <c r="X2052">
        <v>-111.277779</v>
      </c>
      <c r="Y2052">
        <v>35.884723999999999</v>
      </c>
      <c r="Z2052" t="s">
        <v>886</v>
      </c>
      <c r="AA2052" t="s">
        <v>66</v>
      </c>
      <c r="AB2052" t="s">
        <v>583</v>
      </c>
      <c r="AC2052" t="s">
        <v>807</v>
      </c>
      <c r="AD2052" t="s">
        <v>174</v>
      </c>
      <c r="AF2052" t="s">
        <v>1724</v>
      </c>
      <c r="AH2052" t="s">
        <v>11</v>
      </c>
      <c r="AI2052" t="s">
        <v>1725</v>
      </c>
      <c r="AJ2052">
        <v>1993</v>
      </c>
      <c r="AK2052" t="s">
        <v>1736</v>
      </c>
      <c r="AN2052" t="s">
        <v>192</v>
      </c>
      <c r="AO2052" t="s">
        <v>77</v>
      </c>
      <c r="AP2052" t="s">
        <v>115</v>
      </c>
      <c r="AQ2052" t="s">
        <v>1736</v>
      </c>
      <c r="AR2052" t="s">
        <v>80</v>
      </c>
      <c r="AS2052">
        <v>101</v>
      </c>
      <c r="AT2052" t="s">
        <v>81</v>
      </c>
      <c r="AU2052">
        <v>-39.94</v>
      </c>
      <c r="AV2052">
        <v>10.7</v>
      </c>
      <c r="AW2052" t="s">
        <v>82</v>
      </c>
      <c r="AX2052">
        <v>133</v>
      </c>
      <c r="AY2052" t="s">
        <v>81</v>
      </c>
      <c r="AZ2052">
        <v>-55.55</v>
      </c>
      <c r="BA2052">
        <v>13.06</v>
      </c>
      <c r="BB2052" t="s">
        <v>83</v>
      </c>
    </row>
    <row r="2053" spans="1:54" x14ac:dyDescent="0.4">
      <c r="A2053">
        <v>780642</v>
      </c>
      <c r="D2053" t="s">
        <v>54</v>
      </c>
      <c r="G2053">
        <v>3</v>
      </c>
      <c r="H2053" t="s">
        <v>421</v>
      </c>
      <c r="I2053" t="s">
        <v>57</v>
      </c>
      <c r="K2053" t="s">
        <v>206</v>
      </c>
      <c r="L2053" t="s">
        <v>851</v>
      </c>
      <c r="M2053" t="s">
        <v>60</v>
      </c>
      <c r="O2053" t="s">
        <v>170</v>
      </c>
      <c r="P2053" t="s">
        <v>89</v>
      </c>
      <c r="R2053" t="s">
        <v>63</v>
      </c>
      <c r="S2053" t="s">
        <v>64</v>
      </c>
      <c r="T2053">
        <v>208.5</v>
      </c>
      <c r="U2053">
        <v>201.4</v>
      </c>
      <c r="V2053">
        <f t="shared" si="64"/>
        <v>204.95</v>
      </c>
      <c r="W2053">
        <f t="shared" si="65"/>
        <v>7.0999999999999943</v>
      </c>
      <c r="X2053">
        <v>-111.277779</v>
      </c>
      <c r="Y2053">
        <v>35.884723999999999</v>
      </c>
      <c r="Z2053" t="s">
        <v>886</v>
      </c>
      <c r="AA2053" t="s">
        <v>66</v>
      </c>
      <c r="AB2053" t="s">
        <v>583</v>
      </c>
      <c r="AC2053" t="s">
        <v>807</v>
      </c>
      <c r="AD2053" t="s">
        <v>174</v>
      </c>
      <c r="AF2053" t="s">
        <v>1724</v>
      </c>
      <c r="AH2053" t="s">
        <v>72</v>
      </c>
      <c r="AI2053" t="s">
        <v>1725</v>
      </c>
      <c r="AJ2053">
        <v>1991</v>
      </c>
      <c r="AK2053" t="s">
        <v>1736</v>
      </c>
      <c r="AN2053" t="s">
        <v>192</v>
      </c>
      <c r="AO2053" t="s">
        <v>77</v>
      </c>
      <c r="AP2053" t="s">
        <v>115</v>
      </c>
      <c r="AQ2053" t="s">
        <v>1736</v>
      </c>
      <c r="AR2053" t="s">
        <v>80</v>
      </c>
      <c r="AS2053">
        <v>101</v>
      </c>
      <c r="AT2053" t="s">
        <v>81</v>
      </c>
      <c r="AU2053">
        <v>-39.94</v>
      </c>
      <c r="AV2053">
        <v>10.7</v>
      </c>
      <c r="AW2053" t="s">
        <v>82</v>
      </c>
      <c r="AX2053">
        <v>133</v>
      </c>
      <c r="AY2053" t="s">
        <v>81</v>
      </c>
      <c r="AZ2053">
        <v>-55.55</v>
      </c>
      <c r="BA2053">
        <v>13.06</v>
      </c>
      <c r="BB2053" t="s">
        <v>83</v>
      </c>
    </row>
    <row r="2054" spans="1:54" x14ac:dyDescent="0.4">
      <c r="A2054">
        <v>780643</v>
      </c>
      <c r="D2054" t="s">
        <v>54</v>
      </c>
      <c r="G2054">
        <v>3</v>
      </c>
      <c r="H2054" t="s">
        <v>84</v>
      </c>
      <c r="I2054" t="s">
        <v>57</v>
      </c>
      <c r="K2054" t="s">
        <v>85</v>
      </c>
      <c r="L2054" t="s">
        <v>845</v>
      </c>
      <c r="M2054" t="s">
        <v>60</v>
      </c>
      <c r="O2054" t="s">
        <v>87</v>
      </c>
      <c r="P2054" t="s">
        <v>89</v>
      </c>
      <c r="R2054" t="s">
        <v>63</v>
      </c>
      <c r="S2054" t="s">
        <v>64</v>
      </c>
      <c r="T2054">
        <v>208.5</v>
      </c>
      <c r="U2054">
        <v>201.4</v>
      </c>
      <c r="V2054">
        <f t="shared" si="64"/>
        <v>204.95</v>
      </c>
      <c r="W2054">
        <f t="shared" si="65"/>
        <v>7.0999999999999943</v>
      </c>
      <c r="X2054">
        <v>-111.277779</v>
      </c>
      <c r="Y2054">
        <v>35.884723999999999</v>
      </c>
      <c r="Z2054" t="s">
        <v>886</v>
      </c>
      <c r="AA2054" t="s">
        <v>66</v>
      </c>
      <c r="AB2054" t="s">
        <v>583</v>
      </c>
      <c r="AC2054" t="s">
        <v>807</v>
      </c>
      <c r="AD2054" t="s">
        <v>174</v>
      </c>
      <c r="AF2054" t="s">
        <v>1724</v>
      </c>
      <c r="AH2054" t="s">
        <v>72</v>
      </c>
      <c r="AI2054" t="s">
        <v>1728</v>
      </c>
      <c r="AJ2054">
        <v>2007</v>
      </c>
      <c r="AK2054" t="s">
        <v>1736</v>
      </c>
      <c r="AN2054" t="s">
        <v>192</v>
      </c>
      <c r="AO2054" t="s">
        <v>77</v>
      </c>
      <c r="AP2054" t="s">
        <v>115</v>
      </c>
      <c r="AQ2054" t="s">
        <v>1736</v>
      </c>
      <c r="AR2054" t="s">
        <v>80</v>
      </c>
      <c r="AS2054">
        <v>101</v>
      </c>
      <c r="AT2054" t="s">
        <v>81</v>
      </c>
      <c r="AU2054">
        <v>-39.94</v>
      </c>
      <c r="AV2054">
        <v>10.7</v>
      </c>
      <c r="AW2054" t="s">
        <v>82</v>
      </c>
      <c r="AX2054">
        <v>133</v>
      </c>
      <c r="AY2054" t="s">
        <v>81</v>
      </c>
      <c r="AZ2054">
        <v>-55.55</v>
      </c>
      <c r="BA2054">
        <v>13.06</v>
      </c>
      <c r="BB2054" t="s">
        <v>83</v>
      </c>
    </row>
    <row r="2055" spans="1:54" x14ac:dyDescent="0.4">
      <c r="A2055">
        <v>780644</v>
      </c>
      <c r="D2055" t="s">
        <v>54</v>
      </c>
      <c r="G2055">
        <v>8</v>
      </c>
      <c r="H2055" t="s">
        <v>421</v>
      </c>
      <c r="I2055" t="s">
        <v>57</v>
      </c>
      <c r="K2055" t="s">
        <v>85</v>
      </c>
      <c r="L2055" t="s">
        <v>845</v>
      </c>
      <c r="M2055" t="s">
        <v>60</v>
      </c>
      <c r="O2055" t="s">
        <v>87</v>
      </c>
      <c r="P2055" t="s">
        <v>89</v>
      </c>
      <c r="R2055" t="s">
        <v>63</v>
      </c>
      <c r="S2055" t="s">
        <v>64</v>
      </c>
      <c r="T2055">
        <v>208.5</v>
      </c>
      <c r="U2055">
        <v>201.4</v>
      </c>
      <c r="V2055">
        <f t="shared" si="64"/>
        <v>204.95</v>
      </c>
      <c r="W2055">
        <f t="shared" si="65"/>
        <v>7.0999999999999943</v>
      </c>
      <c r="X2055">
        <v>-111.277779</v>
      </c>
      <c r="Y2055">
        <v>35.884723999999999</v>
      </c>
      <c r="Z2055" t="s">
        <v>886</v>
      </c>
      <c r="AA2055" t="s">
        <v>66</v>
      </c>
      <c r="AB2055" t="s">
        <v>583</v>
      </c>
      <c r="AC2055" t="s">
        <v>807</v>
      </c>
      <c r="AD2055" t="s">
        <v>174</v>
      </c>
      <c r="AF2055" t="s">
        <v>1724</v>
      </c>
      <c r="AH2055" t="s">
        <v>72</v>
      </c>
      <c r="AI2055" t="s">
        <v>1728</v>
      </c>
      <c r="AJ2055">
        <v>2007</v>
      </c>
      <c r="AK2055" t="s">
        <v>1736</v>
      </c>
      <c r="AN2055" t="s">
        <v>192</v>
      </c>
      <c r="AO2055" t="s">
        <v>77</v>
      </c>
      <c r="AP2055" t="s">
        <v>115</v>
      </c>
      <c r="AQ2055" t="s">
        <v>1736</v>
      </c>
      <c r="AR2055" t="s">
        <v>80</v>
      </c>
      <c r="AS2055">
        <v>101</v>
      </c>
      <c r="AT2055" t="s">
        <v>81</v>
      </c>
      <c r="AU2055">
        <v>-39.94</v>
      </c>
      <c r="AV2055">
        <v>10.7</v>
      </c>
      <c r="AW2055" t="s">
        <v>82</v>
      </c>
      <c r="AX2055">
        <v>133</v>
      </c>
      <c r="AY2055" t="s">
        <v>81</v>
      </c>
      <c r="AZ2055">
        <v>-55.55</v>
      </c>
      <c r="BA2055">
        <v>13.06</v>
      </c>
      <c r="BB2055" t="s">
        <v>83</v>
      </c>
    </row>
    <row r="2056" spans="1:54" x14ac:dyDescent="0.4">
      <c r="A2056">
        <v>780648</v>
      </c>
      <c r="D2056" t="s">
        <v>54</v>
      </c>
      <c r="G2056">
        <v>60</v>
      </c>
      <c r="H2056" t="s">
        <v>435</v>
      </c>
      <c r="I2056" t="s">
        <v>57</v>
      </c>
      <c r="K2056" t="s">
        <v>196</v>
      </c>
      <c r="L2056" t="s">
        <v>197</v>
      </c>
      <c r="M2056" t="s">
        <v>60</v>
      </c>
      <c r="O2056" t="s">
        <v>87</v>
      </c>
      <c r="P2056" t="s">
        <v>89</v>
      </c>
      <c r="R2056" t="s">
        <v>63</v>
      </c>
      <c r="S2056" t="s">
        <v>64</v>
      </c>
      <c r="T2056">
        <v>208.5</v>
      </c>
      <c r="U2056">
        <v>201.4</v>
      </c>
      <c r="V2056">
        <f t="shared" si="64"/>
        <v>204.95</v>
      </c>
      <c r="W2056">
        <f t="shared" si="65"/>
        <v>7.0999999999999943</v>
      </c>
      <c r="X2056">
        <v>-111.24722300000001</v>
      </c>
      <c r="Y2056">
        <v>35.816665999999998</v>
      </c>
      <c r="Z2056" t="s">
        <v>582</v>
      </c>
      <c r="AA2056" t="s">
        <v>66</v>
      </c>
      <c r="AB2056" t="s">
        <v>583</v>
      </c>
      <c r="AC2056" t="s">
        <v>807</v>
      </c>
      <c r="AD2056" t="s">
        <v>174</v>
      </c>
      <c r="AF2056" t="s">
        <v>1724</v>
      </c>
      <c r="AH2056" t="s">
        <v>11</v>
      </c>
      <c r="AI2056" t="s">
        <v>1725</v>
      </c>
      <c r="AJ2056">
        <v>1991</v>
      </c>
      <c r="AK2056" t="s">
        <v>1737</v>
      </c>
      <c r="AM2056" t="s">
        <v>1738</v>
      </c>
      <c r="AN2056" t="s">
        <v>192</v>
      </c>
      <c r="AO2056" t="s">
        <v>160</v>
      </c>
      <c r="AP2056" t="s">
        <v>115</v>
      </c>
      <c r="AQ2056" t="s">
        <v>1739</v>
      </c>
      <c r="AR2056" t="s">
        <v>80</v>
      </c>
      <c r="AS2056">
        <v>101</v>
      </c>
      <c r="AT2056" t="s">
        <v>81</v>
      </c>
      <c r="AU2056">
        <v>-39.92</v>
      </c>
      <c r="AV2056">
        <v>10.63</v>
      </c>
      <c r="AW2056" t="s">
        <v>82</v>
      </c>
      <c r="AX2056">
        <v>133</v>
      </c>
      <c r="AY2056" t="s">
        <v>81</v>
      </c>
      <c r="AZ2056">
        <v>-55.53</v>
      </c>
      <c r="BA2056">
        <v>12.99</v>
      </c>
      <c r="BB2056" t="s">
        <v>83</v>
      </c>
    </row>
    <row r="2057" spans="1:54" x14ac:dyDescent="0.4">
      <c r="A2057">
        <v>780649</v>
      </c>
      <c r="D2057" t="s">
        <v>54</v>
      </c>
      <c r="I2057" t="s">
        <v>57</v>
      </c>
      <c r="K2057" t="s">
        <v>767</v>
      </c>
      <c r="L2057" t="s">
        <v>768</v>
      </c>
      <c r="M2057" t="s">
        <v>60</v>
      </c>
      <c r="N2057" t="s">
        <v>119</v>
      </c>
      <c r="O2057" t="s">
        <v>87</v>
      </c>
      <c r="P2057" t="s">
        <v>89</v>
      </c>
      <c r="R2057" t="s">
        <v>63</v>
      </c>
      <c r="S2057" t="s">
        <v>64</v>
      </c>
      <c r="T2057">
        <v>208.5</v>
      </c>
      <c r="U2057">
        <v>201.4</v>
      </c>
      <c r="V2057">
        <f t="shared" si="64"/>
        <v>204.95</v>
      </c>
      <c r="W2057">
        <f t="shared" si="65"/>
        <v>7.0999999999999943</v>
      </c>
      <c r="X2057">
        <v>-111.24722300000001</v>
      </c>
      <c r="Y2057">
        <v>35.816665999999998</v>
      </c>
      <c r="Z2057" t="s">
        <v>582</v>
      </c>
      <c r="AA2057" t="s">
        <v>66</v>
      </c>
      <c r="AB2057" t="s">
        <v>583</v>
      </c>
      <c r="AC2057" t="s">
        <v>807</v>
      </c>
      <c r="AD2057" t="s">
        <v>174</v>
      </c>
      <c r="AF2057" t="s">
        <v>1724</v>
      </c>
      <c r="AH2057" t="s">
        <v>11</v>
      </c>
      <c r="AI2057" t="s">
        <v>1725</v>
      </c>
      <c r="AJ2057">
        <v>1993</v>
      </c>
      <c r="AK2057" t="s">
        <v>1737</v>
      </c>
      <c r="AM2057" t="s">
        <v>1738</v>
      </c>
      <c r="AN2057" t="s">
        <v>192</v>
      </c>
      <c r="AO2057" t="s">
        <v>160</v>
      </c>
      <c r="AP2057" t="s">
        <v>115</v>
      </c>
      <c r="AQ2057" t="s">
        <v>1739</v>
      </c>
      <c r="AR2057" t="s">
        <v>80</v>
      </c>
      <c r="AS2057">
        <v>101</v>
      </c>
      <c r="AT2057" t="s">
        <v>81</v>
      </c>
      <c r="AU2057">
        <v>-39.92</v>
      </c>
      <c r="AV2057">
        <v>10.63</v>
      </c>
      <c r="AW2057" t="s">
        <v>82</v>
      </c>
      <c r="AX2057">
        <v>133</v>
      </c>
      <c r="AY2057" t="s">
        <v>81</v>
      </c>
      <c r="AZ2057">
        <v>-55.53</v>
      </c>
      <c r="BA2057">
        <v>12.99</v>
      </c>
      <c r="BB2057" t="s">
        <v>83</v>
      </c>
    </row>
    <row r="2058" spans="1:54" x14ac:dyDescent="0.4">
      <c r="A2058">
        <v>780650</v>
      </c>
      <c r="D2058" t="s">
        <v>54</v>
      </c>
      <c r="G2058">
        <v>2</v>
      </c>
      <c r="H2058" t="s">
        <v>421</v>
      </c>
      <c r="I2058" t="s">
        <v>57</v>
      </c>
      <c r="K2058" t="s">
        <v>206</v>
      </c>
      <c r="L2058" t="s">
        <v>851</v>
      </c>
      <c r="M2058" t="s">
        <v>60</v>
      </c>
      <c r="O2058" t="s">
        <v>170</v>
      </c>
      <c r="P2058" t="s">
        <v>89</v>
      </c>
      <c r="R2058" t="s">
        <v>63</v>
      </c>
      <c r="S2058" t="s">
        <v>64</v>
      </c>
      <c r="T2058">
        <v>208.5</v>
      </c>
      <c r="U2058">
        <v>201.4</v>
      </c>
      <c r="V2058">
        <f t="shared" si="64"/>
        <v>204.95</v>
      </c>
      <c r="W2058">
        <f t="shared" si="65"/>
        <v>7.0999999999999943</v>
      </c>
      <c r="X2058">
        <v>-111.24722300000001</v>
      </c>
      <c r="Y2058">
        <v>35.816665999999998</v>
      </c>
      <c r="Z2058" t="s">
        <v>582</v>
      </c>
      <c r="AA2058" t="s">
        <v>66</v>
      </c>
      <c r="AB2058" t="s">
        <v>583</v>
      </c>
      <c r="AC2058" t="s">
        <v>807</v>
      </c>
      <c r="AD2058" t="s">
        <v>174</v>
      </c>
      <c r="AF2058" t="s">
        <v>1724</v>
      </c>
      <c r="AH2058" t="s">
        <v>72</v>
      </c>
      <c r="AI2058" t="s">
        <v>1725</v>
      </c>
      <c r="AJ2058">
        <v>1991</v>
      </c>
      <c r="AK2058" t="s">
        <v>1737</v>
      </c>
      <c r="AM2058" t="s">
        <v>1738</v>
      </c>
      <c r="AN2058" t="s">
        <v>192</v>
      </c>
      <c r="AO2058" t="s">
        <v>160</v>
      </c>
      <c r="AP2058" t="s">
        <v>115</v>
      </c>
      <c r="AQ2058" t="s">
        <v>1739</v>
      </c>
      <c r="AR2058" t="s">
        <v>80</v>
      </c>
      <c r="AS2058">
        <v>101</v>
      </c>
      <c r="AT2058" t="s">
        <v>81</v>
      </c>
      <c r="AU2058">
        <v>-39.92</v>
      </c>
      <c r="AV2058">
        <v>10.63</v>
      </c>
      <c r="AW2058" t="s">
        <v>82</v>
      </c>
      <c r="AX2058">
        <v>133</v>
      </c>
      <c r="AY2058" t="s">
        <v>81</v>
      </c>
      <c r="AZ2058">
        <v>-55.53</v>
      </c>
      <c r="BA2058">
        <v>12.99</v>
      </c>
      <c r="BB2058" t="s">
        <v>83</v>
      </c>
    </row>
    <row r="2059" spans="1:54" x14ac:dyDescent="0.4">
      <c r="A2059">
        <v>780651</v>
      </c>
      <c r="D2059" t="s">
        <v>54</v>
      </c>
      <c r="I2059" t="s">
        <v>57</v>
      </c>
      <c r="K2059" t="s">
        <v>85</v>
      </c>
      <c r="L2059" t="s">
        <v>845</v>
      </c>
      <c r="M2059" t="s">
        <v>60</v>
      </c>
      <c r="O2059" t="s">
        <v>87</v>
      </c>
      <c r="P2059" t="s">
        <v>89</v>
      </c>
      <c r="R2059" t="s">
        <v>63</v>
      </c>
      <c r="S2059" t="s">
        <v>64</v>
      </c>
      <c r="T2059">
        <v>208.5</v>
      </c>
      <c r="U2059">
        <v>201.4</v>
      </c>
      <c r="V2059">
        <f t="shared" si="64"/>
        <v>204.95</v>
      </c>
      <c r="W2059">
        <f t="shared" si="65"/>
        <v>7.0999999999999943</v>
      </c>
      <c r="X2059">
        <v>-111.24722300000001</v>
      </c>
      <c r="Y2059">
        <v>35.816665999999998</v>
      </c>
      <c r="Z2059" t="s">
        <v>582</v>
      </c>
      <c r="AA2059" t="s">
        <v>66</v>
      </c>
      <c r="AB2059" t="s">
        <v>583</v>
      </c>
      <c r="AC2059" t="s">
        <v>807</v>
      </c>
      <c r="AD2059" t="s">
        <v>174</v>
      </c>
      <c r="AF2059" t="s">
        <v>1724</v>
      </c>
      <c r="AH2059" t="s">
        <v>72</v>
      </c>
      <c r="AI2059" t="s">
        <v>1728</v>
      </c>
      <c r="AJ2059">
        <v>2007</v>
      </c>
      <c r="AK2059" t="s">
        <v>1737</v>
      </c>
      <c r="AM2059" t="s">
        <v>1738</v>
      </c>
      <c r="AN2059" t="s">
        <v>192</v>
      </c>
      <c r="AO2059" t="s">
        <v>160</v>
      </c>
      <c r="AP2059" t="s">
        <v>115</v>
      </c>
      <c r="AQ2059" t="s">
        <v>1739</v>
      </c>
      <c r="AR2059" t="s">
        <v>80</v>
      </c>
      <c r="AS2059">
        <v>101</v>
      </c>
      <c r="AT2059" t="s">
        <v>81</v>
      </c>
      <c r="AU2059">
        <v>-39.92</v>
      </c>
      <c r="AV2059">
        <v>10.63</v>
      </c>
      <c r="AW2059" t="s">
        <v>82</v>
      </c>
      <c r="AX2059">
        <v>133</v>
      </c>
      <c r="AY2059" t="s">
        <v>81</v>
      </c>
      <c r="AZ2059">
        <v>-55.53</v>
      </c>
      <c r="BA2059">
        <v>12.99</v>
      </c>
      <c r="BB2059" t="s">
        <v>83</v>
      </c>
    </row>
    <row r="2060" spans="1:54" x14ac:dyDescent="0.4">
      <c r="A2060">
        <v>780652</v>
      </c>
      <c r="D2060" t="s">
        <v>54</v>
      </c>
      <c r="I2060" t="s">
        <v>57</v>
      </c>
      <c r="K2060" t="s">
        <v>85</v>
      </c>
      <c r="L2060" t="s">
        <v>845</v>
      </c>
      <c r="M2060" t="s">
        <v>60</v>
      </c>
      <c r="O2060" t="s">
        <v>87</v>
      </c>
      <c r="P2060" t="s">
        <v>89</v>
      </c>
      <c r="R2060" t="s">
        <v>63</v>
      </c>
      <c r="S2060" t="s">
        <v>64</v>
      </c>
      <c r="T2060">
        <v>208.5</v>
      </c>
      <c r="U2060">
        <v>201.4</v>
      </c>
      <c r="V2060">
        <f t="shared" si="64"/>
        <v>204.95</v>
      </c>
      <c r="W2060">
        <f t="shared" si="65"/>
        <v>7.0999999999999943</v>
      </c>
      <c r="X2060">
        <v>-111.24722300000001</v>
      </c>
      <c r="Y2060">
        <v>35.816665999999998</v>
      </c>
      <c r="Z2060" t="s">
        <v>582</v>
      </c>
      <c r="AA2060" t="s">
        <v>66</v>
      </c>
      <c r="AB2060" t="s">
        <v>583</v>
      </c>
      <c r="AC2060" t="s">
        <v>807</v>
      </c>
      <c r="AD2060" t="s">
        <v>174</v>
      </c>
      <c r="AF2060" t="s">
        <v>1724</v>
      </c>
      <c r="AH2060" t="s">
        <v>72</v>
      </c>
      <c r="AI2060" t="s">
        <v>1728</v>
      </c>
      <c r="AJ2060">
        <v>2007</v>
      </c>
      <c r="AK2060" t="s">
        <v>1737</v>
      </c>
      <c r="AM2060" t="s">
        <v>1738</v>
      </c>
      <c r="AN2060" t="s">
        <v>192</v>
      </c>
      <c r="AO2060" t="s">
        <v>160</v>
      </c>
      <c r="AP2060" t="s">
        <v>115</v>
      </c>
      <c r="AQ2060" t="s">
        <v>1739</v>
      </c>
      <c r="AR2060" t="s">
        <v>80</v>
      </c>
      <c r="AS2060">
        <v>101</v>
      </c>
      <c r="AT2060" t="s">
        <v>81</v>
      </c>
      <c r="AU2060">
        <v>-39.92</v>
      </c>
      <c r="AV2060">
        <v>10.63</v>
      </c>
      <c r="AW2060" t="s">
        <v>82</v>
      </c>
      <c r="AX2060">
        <v>133</v>
      </c>
      <c r="AY2060" t="s">
        <v>81</v>
      </c>
      <c r="AZ2060">
        <v>-55.53</v>
      </c>
      <c r="BA2060">
        <v>12.99</v>
      </c>
      <c r="BB2060" t="s">
        <v>83</v>
      </c>
    </row>
    <row r="2061" spans="1:54" x14ac:dyDescent="0.4">
      <c r="A2061">
        <v>780655</v>
      </c>
      <c r="D2061" t="s">
        <v>54</v>
      </c>
      <c r="G2061">
        <v>3</v>
      </c>
      <c r="H2061" t="s">
        <v>435</v>
      </c>
      <c r="I2061" t="s">
        <v>57</v>
      </c>
      <c r="K2061" t="s">
        <v>196</v>
      </c>
      <c r="L2061" t="s">
        <v>197</v>
      </c>
      <c r="M2061" t="s">
        <v>60</v>
      </c>
      <c r="O2061" t="s">
        <v>87</v>
      </c>
      <c r="P2061" t="s">
        <v>89</v>
      </c>
      <c r="R2061" t="s">
        <v>63</v>
      </c>
      <c r="S2061" t="s">
        <v>64</v>
      </c>
      <c r="T2061">
        <v>208.5</v>
      </c>
      <c r="U2061">
        <v>201.4</v>
      </c>
      <c r="V2061">
        <f t="shared" si="64"/>
        <v>204.95</v>
      </c>
      <c r="W2061">
        <f t="shared" si="65"/>
        <v>7.0999999999999943</v>
      </c>
      <c r="X2061">
        <v>-111.212502</v>
      </c>
      <c r="Y2061">
        <v>35.795833999999999</v>
      </c>
      <c r="Z2061" t="s">
        <v>582</v>
      </c>
      <c r="AA2061" t="s">
        <v>66</v>
      </c>
      <c r="AB2061" t="s">
        <v>583</v>
      </c>
      <c r="AC2061" t="s">
        <v>807</v>
      </c>
      <c r="AD2061" t="s">
        <v>174</v>
      </c>
      <c r="AF2061" t="s">
        <v>1724</v>
      </c>
      <c r="AH2061" t="s">
        <v>11</v>
      </c>
      <c r="AI2061" t="s">
        <v>1725</v>
      </c>
      <c r="AJ2061">
        <v>1991</v>
      </c>
      <c r="AK2061" t="s">
        <v>1740</v>
      </c>
      <c r="AM2061" t="s">
        <v>1741</v>
      </c>
      <c r="AN2061" t="s">
        <v>192</v>
      </c>
      <c r="AO2061" t="s">
        <v>77</v>
      </c>
      <c r="AP2061" t="s">
        <v>115</v>
      </c>
      <c r="AQ2061" t="s">
        <v>1740</v>
      </c>
      <c r="AR2061" t="s">
        <v>80</v>
      </c>
      <c r="AS2061">
        <v>101</v>
      </c>
      <c r="AT2061" t="s">
        <v>81</v>
      </c>
      <c r="AU2061">
        <v>-39.89</v>
      </c>
      <c r="AV2061">
        <v>10.61</v>
      </c>
      <c r="AW2061" t="s">
        <v>82</v>
      </c>
      <c r="AX2061">
        <v>133</v>
      </c>
      <c r="AY2061" t="s">
        <v>81</v>
      </c>
      <c r="AZ2061">
        <v>-55.51</v>
      </c>
      <c r="BA2061">
        <v>12.97</v>
      </c>
      <c r="BB2061" t="s">
        <v>83</v>
      </c>
    </row>
    <row r="2062" spans="1:54" x14ac:dyDescent="0.4">
      <c r="A2062">
        <v>780656</v>
      </c>
      <c r="D2062" t="s">
        <v>54</v>
      </c>
      <c r="I2062" t="s">
        <v>57</v>
      </c>
      <c r="K2062" t="s">
        <v>767</v>
      </c>
      <c r="L2062" t="s">
        <v>768</v>
      </c>
      <c r="M2062" t="s">
        <v>60</v>
      </c>
      <c r="N2062" t="s">
        <v>119</v>
      </c>
      <c r="O2062" t="s">
        <v>87</v>
      </c>
      <c r="P2062" t="s">
        <v>89</v>
      </c>
      <c r="R2062" t="s">
        <v>63</v>
      </c>
      <c r="S2062" t="s">
        <v>64</v>
      </c>
      <c r="T2062">
        <v>208.5</v>
      </c>
      <c r="U2062">
        <v>201.4</v>
      </c>
      <c r="V2062">
        <f t="shared" si="64"/>
        <v>204.95</v>
      </c>
      <c r="W2062">
        <f t="shared" si="65"/>
        <v>7.0999999999999943</v>
      </c>
      <c r="X2062">
        <v>-111.212502</v>
      </c>
      <c r="Y2062">
        <v>35.795833999999999</v>
      </c>
      <c r="Z2062" t="s">
        <v>582</v>
      </c>
      <c r="AA2062" t="s">
        <v>66</v>
      </c>
      <c r="AB2062" t="s">
        <v>583</v>
      </c>
      <c r="AC2062" t="s">
        <v>807</v>
      </c>
      <c r="AD2062" t="s">
        <v>174</v>
      </c>
      <c r="AF2062" t="s">
        <v>1724</v>
      </c>
      <c r="AH2062" t="s">
        <v>11</v>
      </c>
      <c r="AI2062" t="s">
        <v>1725</v>
      </c>
      <c r="AJ2062">
        <v>1993</v>
      </c>
      <c r="AK2062" t="s">
        <v>1740</v>
      </c>
      <c r="AM2062" t="s">
        <v>1741</v>
      </c>
      <c r="AN2062" t="s">
        <v>192</v>
      </c>
      <c r="AO2062" t="s">
        <v>77</v>
      </c>
      <c r="AP2062" t="s">
        <v>115</v>
      </c>
      <c r="AQ2062" t="s">
        <v>1740</v>
      </c>
      <c r="AR2062" t="s">
        <v>80</v>
      </c>
      <c r="AS2062">
        <v>101</v>
      </c>
      <c r="AT2062" t="s">
        <v>81</v>
      </c>
      <c r="AU2062">
        <v>-39.89</v>
      </c>
      <c r="AV2062">
        <v>10.61</v>
      </c>
      <c r="AW2062" t="s">
        <v>82</v>
      </c>
      <c r="AX2062">
        <v>133</v>
      </c>
      <c r="AY2062" t="s">
        <v>81</v>
      </c>
      <c r="AZ2062">
        <v>-55.51</v>
      </c>
      <c r="BA2062">
        <v>12.97</v>
      </c>
      <c r="BB2062" t="s">
        <v>83</v>
      </c>
    </row>
    <row r="2063" spans="1:54" x14ac:dyDescent="0.4">
      <c r="A2063">
        <v>780657</v>
      </c>
      <c r="D2063" t="s">
        <v>54</v>
      </c>
      <c r="I2063" t="s">
        <v>57</v>
      </c>
      <c r="K2063" t="s">
        <v>206</v>
      </c>
      <c r="L2063" t="s">
        <v>851</v>
      </c>
      <c r="M2063" t="s">
        <v>60</v>
      </c>
      <c r="O2063" t="s">
        <v>170</v>
      </c>
      <c r="P2063" t="s">
        <v>89</v>
      </c>
      <c r="R2063" t="s">
        <v>63</v>
      </c>
      <c r="S2063" t="s">
        <v>64</v>
      </c>
      <c r="T2063">
        <v>208.5</v>
      </c>
      <c r="U2063">
        <v>201.4</v>
      </c>
      <c r="V2063">
        <f t="shared" si="64"/>
        <v>204.95</v>
      </c>
      <c r="W2063">
        <f t="shared" si="65"/>
        <v>7.0999999999999943</v>
      </c>
      <c r="X2063">
        <v>-111.212502</v>
      </c>
      <c r="Y2063">
        <v>35.795833999999999</v>
      </c>
      <c r="Z2063" t="s">
        <v>582</v>
      </c>
      <c r="AA2063" t="s">
        <v>66</v>
      </c>
      <c r="AB2063" t="s">
        <v>583</v>
      </c>
      <c r="AC2063" t="s">
        <v>807</v>
      </c>
      <c r="AD2063" t="s">
        <v>174</v>
      </c>
      <c r="AF2063" t="s">
        <v>1724</v>
      </c>
      <c r="AH2063" t="s">
        <v>72</v>
      </c>
      <c r="AI2063" t="s">
        <v>1725</v>
      </c>
      <c r="AJ2063">
        <v>1993</v>
      </c>
      <c r="AK2063" t="s">
        <v>1740</v>
      </c>
      <c r="AM2063" t="s">
        <v>1741</v>
      </c>
      <c r="AN2063" t="s">
        <v>192</v>
      </c>
      <c r="AO2063" t="s">
        <v>77</v>
      </c>
      <c r="AP2063" t="s">
        <v>115</v>
      </c>
      <c r="AQ2063" t="s">
        <v>1740</v>
      </c>
      <c r="AR2063" t="s">
        <v>80</v>
      </c>
      <c r="AS2063">
        <v>101</v>
      </c>
      <c r="AT2063" t="s">
        <v>81</v>
      </c>
      <c r="AU2063">
        <v>-39.89</v>
      </c>
      <c r="AV2063">
        <v>10.61</v>
      </c>
      <c r="AW2063" t="s">
        <v>82</v>
      </c>
      <c r="AX2063">
        <v>133</v>
      </c>
      <c r="AY2063" t="s">
        <v>81</v>
      </c>
      <c r="AZ2063">
        <v>-55.51</v>
      </c>
      <c r="BA2063">
        <v>12.97</v>
      </c>
      <c r="BB2063" t="s">
        <v>83</v>
      </c>
    </row>
    <row r="2064" spans="1:54" x14ac:dyDescent="0.4">
      <c r="A2064">
        <v>780658</v>
      </c>
      <c r="D2064" t="s">
        <v>54</v>
      </c>
      <c r="I2064" t="s">
        <v>57</v>
      </c>
      <c r="K2064" t="s">
        <v>85</v>
      </c>
      <c r="L2064" t="s">
        <v>845</v>
      </c>
      <c r="M2064" t="s">
        <v>60</v>
      </c>
      <c r="O2064" t="s">
        <v>87</v>
      </c>
      <c r="P2064" t="s">
        <v>89</v>
      </c>
      <c r="R2064" t="s">
        <v>63</v>
      </c>
      <c r="S2064" t="s">
        <v>64</v>
      </c>
      <c r="T2064">
        <v>208.5</v>
      </c>
      <c r="U2064">
        <v>201.4</v>
      </c>
      <c r="V2064">
        <f t="shared" si="64"/>
        <v>204.95</v>
      </c>
      <c r="W2064">
        <f t="shared" si="65"/>
        <v>7.0999999999999943</v>
      </c>
      <c r="X2064">
        <v>-111.212502</v>
      </c>
      <c r="Y2064">
        <v>35.795833999999999</v>
      </c>
      <c r="Z2064" t="s">
        <v>582</v>
      </c>
      <c r="AA2064" t="s">
        <v>66</v>
      </c>
      <c r="AB2064" t="s">
        <v>583</v>
      </c>
      <c r="AC2064" t="s">
        <v>807</v>
      </c>
      <c r="AD2064" t="s">
        <v>174</v>
      </c>
      <c r="AF2064" t="s">
        <v>1724</v>
      </c>
      <c r="AH2064" t="s">
        <v>72</v>
      </c>
      <c r="AI2064" t="s">
        <v>1728</v>
      </c>
      <c r="AJ2064">
        <v>2007</v>
      </c>
      <c r="AK2064" t="s">
        <v>1740</v>
      </c>
      <c r="AM2064" t="s">
        <v>1741</v>
      </c>
      <c r="AN2064" t="s">
        <v>192</v>
      </c>
      <c r="AO2064" t="s">
        <v>77</v>
      </c>
      <c r="AP2064" t="s">
        <v>115</v>
      </c>
      <c r="AQ2064" t="s">
        <v>1740</v>
      </c>
      <c r="AR2064" t="s">
        <v>80</v>
      </c>
      <c r="AS2064">
        <v>101</v>
      </c>
      <c r="AT2064" t="s">
        <v>81</v>
      </c>
      <c r="AU2064">
        <v>-39.89</v>
      </c>
      <c r="AV2064">
        <v>10.61</v>
      </c>
      <c r="AW2064" t="s">
        <v>82</v>
      </c>
      <c r="AX2064">
        <v>133</v>
      </c>
      <c r="AY2064" t="s">
        <v>81</v>
      </c>
      <c r="AZ2064">
        <v>-55.51</v>
      </c>
      <c r="BA2064">
        <v>12.97</v>
      </c>
      <c r="BB2064" t="s">
        <v>83</v>
      </c>
    </row>
    <row r="2065" spans="1:54" x14ac:dyDescent="0.4">
      <c r="A2065">
        <v>780659</v>
      </c>
      <c r="D2065" t="s">
        <v>54</v>
      </c>
      <c r="I2065" t="s">
        <v>57</v>
      </c>
      <c r="K2065" t="s">
        <v>85</v>
      </c>
      <c r="L2065" t="s">
        <v>845</v>
      </c>
      <c r="M2065" t="s">
        <v>60</v>
      </c>
      <c r="O2065" t="s">
        <v>87</v>
      </c>
      <c r="P2065" t="s">
        <v>89</v>
      </c>
      <c r="R2065" t="s">
        <v>63</v>
      </c>
      <c r="S2065" t="s">
        <v>64</v>
      </c>
      <c r="T2065">
        <v>208.5</v>
      </c>
      <c r="U2065">
        <v>201.4</v>
      </c>
      <c r="V2065">
        <f t="shared" si="64"/>
        <v>204.95</v>
      </c>
      <c r="W2065">
        <f t="shared" si="65"/>
        <v>7.0999999999999943</v>
      </c>
      <c r="X2065">
        <v>-111.212502</v>
      </c>
      <c r="Y2065">
        <v>35.795833999999999</v>
      </c>
      <c r="Z2065" t="s">
        <v>582</v>
      </c>
      <c r="AA2065" t="s">
        <v>66</v>
      </c>
      <c r="AB2065" t="s">
        <v>583</v>
      </c>
      <c r="AC2065" t="s">
        <v>807</v>
      </c>
      <c r="AD2065" t="s">
        <v>174</v>
      </c>
      <c r="AF2065" t="s">
        <v>1724</v>
      </c>
      <c r="AH2065" t="s">
        <v>72</v>
      </c>
      <c r="AI2065" t="s">
        <v>1728</v>
      </c>
      <c r="AJ2065">
        <v>2007</v>
      </c>
      <c r="AK2065" t="s">
        <v>1740</v>
      </c>
      <c r="AM2065" t="s">
        <v>1741</v>
      </c>
      <c r="AN2065" t="s">
        <v>192</v>
      </c>
      <c r="AO2065" t="s">
        <v>77</v>
      </c>
      <c r="AP2065" t="s">
        <v>115</v>
      </c>
      <c r="AQ2065" t="s">
        <v>1740</v>
      </c>
      <c r="AR2065" t="s">
        <v>80</v>
      </c>
      <c r="AS2065">
        <v>101</v>
      </c>
      <c r="AT2065" t="s">
        <v>81</v>
      </c>
      <c r="AU2065">
        <v>-39.89</v>
      </c>
      <c r="AV2065">
        <v>10.61</v>
      </c>
      <c r="AW2065" t="s">
        <v>82</v>
      </c>
      <c r="AX2065">
        <v>133</v>
      </c>
      <c r="AY2065" t="s">
        <v>81</v>
      </c>
      <c r="AZ2065">
        <v>-55.51</v>
      </c>
      <c r="BA2065">
        <v>12.97</v>
      </c>
      <c r="BB2065" t="s">
        <v>83</v>
      </c>
    </row>
    <row r="2066" spans="1:54" x14ac:dyDescent="0.4">
      <c r="A2066">
        <v>811782</v>
      </c>
      <c r="D2066" t="s">
        <v>2001</v>
      </c>
      <c r="E2066" t="s">
        <v>152</v>
      </c>
      <c r="G2066">
        <v>1</v>
      </c>
      <c r="H2066" t="s">
        <v>56</v>
      </c>
      <c r="I2066" t="s">
        <v>57</v>
      </c>
      <c r="K2066" t="s">
        <v>100</v>
      </c>
      <c r="L2066" t="s">
        <v>2260</v>
      </c>
      <c r="M2066" t="s">
        <v>60</v>
      </c>
      <c r="P2066" t="s">
        <v>89</v>
      </c>
      <c r="R2066" t="s">
        <v>63</v>
      </c>
      <c r="S2066" t="s">
        <v>64</v>
      </c>
      <c r="T2066">
        <v>208.5</v>
      </c>
      <c r="U2066">
        <v>201.4</v>
      </c>
      <c r="V2066">
        <f t="shared" si="64"/>
        <v>204.95</v>
      </c>
      <c r="W2066">
        <f t="shared" si="65"/>
        <v>7.0999999999999943</v>
      </c>
      <c r="X2066">
        <v>-72.802779999999998</v>
      </c>
      <c r="Y2066">
        <v>41.538055</v>
      </c>
      <c r="Z2066" t="s">
        <v>124</v>
      </c>
      <c r="AA2066" t="s">
        <v>66</v>
      </c>
      <c r="AB2066" t="s">
        <v>855</v>
      </c>
      <c r="AC2066" t="s">
        <v>856</v>
      </c>
      <c r="AD2066" t="s">
        <v>856</v>
      </c>
      <c r="AE2066" t="s">
        <v>70</v>
      </c>
      <c r="AH2066" t="s">
        <v>72</v>
      </c>
      <c r="AI2066" t="s">
        <v>730</v>
      </c>
      <c r="AJ2066">
        <v>2000</v>
      </c>
      <c r="AK2066" t="s">
        <v>2261</v>
      </c>
      <c r="AN2066" t="s">
        <v>114</v>
      </c>
      <c r="AO2066" t="s">
        <v>77</v>
      </c>
      <c r="AP2066" t="s">
        <v>115</v>
      </c>
      <c r="AQ2066" t="s">
        <v>2262</v>
      </c>
      <c r="AR2066" t="s">
        <v>80</v>
      </c>
      <c r="AS2066">
        <v>101</v>
      </c>
      <c r="AT2066" t="s">
        <v>81</v>
      </c>
      <c r="AU2066">
        <v>-9.49</v>
      </c>
      <c r="AV2066">
        <v>17.72</v>
      </c>
      <c r="AW2066" t="s">
        <v>82</v>
      </c>
      <c r="AX2066">
        <v>101</v>
      </c>
      <c r="AY2066" t="s">
        <v>81</v>
      </c>
      <c r="AZ2066">
        <v>-20.79</v>
      </c>
      <c r="BA2066">
        <v>20.64</v>
      </c>
      <c r="BB2066" t="s">
        <v>83</v>
      </c>
    </row>
    <row r="2067" spans="1:54" x14ac:dyDescent="0.4">
      <c r="A2067">
        <v>824857</v>
      </c>
      <c r="D2067" t="s">
        <v>54</v>
      </c>
      <c r="E2067" t="s">
        <v>152</v>
      </c>
      <c r="G2067">
        <v>4</v>
      </c>
      <c r="H2067" t="s">
        <v>84</v>
      </c>
      <c r="I2067" t="s">
        <v>57</v>
      </c>
      <c r="K2067" t="s">
        <v>141</v>
      </c>
      <c r="L2067" t="s">
        <v>533</v>
      </c>
      <c r="M2067" t="s">
        <v>60</v>
      </c>
      <c r="O2067" t="s">
        <v>87</v>
      </c>
      <c r="P2067" t="s">
        <v>89</v>
      </c>
      <c r="R2067" t="s">
        <v>63</v>
      </c>
      <c r="S2067" t="s">
        <v>64</v>
      </c>
      <c r="T2067">
        <v>208.5</v>
      </c>
      <c r="U2067">
        <v>201.4</v>
      </c>
      <c r="V2067">
        <f t="shared" si="64"/>
        <v>204.95</v>
      </c>
      <c r="W2067">
        <f t="shared" si="65"/>
        <v>7.0999999999999943</v>
      </c>
      <c r="X2067">
        <v>5.516667</v>
      </c>
      <c r="Y2067">
        <v>47.200001</v>
      </c>
      <c r="Z2067" t="s">
        <v>520</v>
      </c>
      <c r="AA2067" t="s">
        <v>521</v>
      </c>
      <c r="AB2067" t="s">
        <v>2465</v>
      </c>
      <c r="AC2067" t="s">
        <v>2466</v>
      </c>
      <c r="AH2067" t="s">
        <v>72</v>
      </c>
      <c r="AI2067" t="s">
        <v>2467</v>
      </c>
      <c r="AJ2067">
        <v>1876</v>
      </c>
      <c r="AK2067" t="s">
        <v>2468</v>
      </c>
      <c r="AN2067" t="s">
        <v>114</v>
      </c>
      <c r="AO2067">
        <v>1</v>
      </c>
      <c r="AP2067" t="s">
        <v>359</v>
      </c>
      <c r="AQ2067" t="s">
        <v>2469</v>
      </c>
      <c r="AR2067" t="s">
        <v>80</v>
      </c>
      <c r="AS2067">
        <v>305</v>
      </c>
      <c r="AT2067" t="s">
        <v>81</v>
      </c>
      <c r="AU2067">
        <v>16.88</v>
      </c>
      <c r="AV2067">
        <v>32.72</v>
      </c>
      <c r="AW2067" t="s">
        <v>82</v>
      </c>
      <c r="AX2067">
        <v>305</v>
      </c>
      <c r="AY2067" t="s">
        <v>81</v>
      </c>
      <c r="AZ2067">
        <v>6.55</v>
      </c>
      <c r="BA2067">
        <v>35.200000000000003</v>
      </c>
      <c r="BB2067" t="s">
        <v>83</v>
      </c>
    </row>
    <row r="2068" spans="1:54" x14ac:dyDescent="0.4">
      <c r="A2068">
        <v>824858</v>
      </c>
      <c r="D2068" t="s">
        <v>54</v>
      </c>
      <c r="E2068" t="s">
        <v>152</v>
      </c>
      <c r="G2068">
        <v>2</v>
      </c>
      <c r="H2068" t="s">
        <v>84</v>
      </c>
      <c r="I2068" t="s">
        <v>57</v>
      </c>
      <c r="K2068" t="s">
        <v>537</v>
      </c>
      <c r="L2068" t="s">
        <v>538</v>
      </c>
      <c r="M2068" t="s">
        <v>223</v>
      </c>
      <c r="N2068" t="s">
        <v>234</v>
      </c>
      <c r="O2068" t="s">
        <v>87</v>
      </c>
      <c r="P2068" t="s">
        <v>89</v>
      </c>
      <c r="R2068" t="s">
        <v>63</v>
      </c>
      <c r="S2068" t="s">
        <v>64</v>
      </c>
      <c r="T2068">
        <v>208.5</v>
      </c>
      <c r="U2068">
        <v>201.4</v>
      </c>
      <c r="V2068">
        <f t="shared" si="64"/>
        <v>204.95</v>
      </c>
      <c r="W2068">
        <f t="shared" si="65"/>
        <v>7.0999999999999943</v>
      </c>
      <c r="X2068">
        <v>5.516667</v>
      </c>
      <c r="Y2068">
        <v>47.200001</v>
      </c>
      <c r="Z2068" t="s">
        <v>520</v>
      </c>
      <c r="AA2068" t="s">
        <v>521</v>
      </c>
      <c r="AB2068" t="s">
        <v>2465</v>
      </c>
      <c r="AC2068" t="s">
        <v>2466</v>
      </c>
      <c r="AH2068" t="s">
        <v>11</v>
      </c>
      <c r="AI2068" t="s">
        <v>2467</v>
      </c>
      <c r="AJ2068">
        <v>1876</v>
      </c>
      <c r="AK2068" t="s">
        <v>2468</v>
      </c>
      <c r="AN2068" t="s">
        <v>114</v>
      </c>
      <c r="AO2068">
        <v>1</v>
      </c>
      <c r="AP2068" t="s">
        <v>359</v>
      </c>
      <c r="AQ2068" t="s">
        <v>2469</v>
      </c>
      <c r="AR2068" t="s">
        <v>80</v>
      </c>
      <c r="AS2068">
        <v>305</v>
      </c>
      <c r="AT2068" t="s">
        <v>81</v>
      </c>
      <c r="AU2068">
        <v>16.88</v>
      </c>
      <c r="AV2068">
        <v>32.72</v>
      </c>
      <c r="AW2068" t="s">
        <v>82</v>
      </c>
      <c r="AX2068">
        <v>305</v>
      </c>
      <c r="AY2068" t="s">
        <v>81</v>
      </c>
      <c r="AZ2068">
        <v>6.55</v>
      </c>
      <c r="BA2068">
        <v>35.200000000000003</v>
      </c>
      <c r="BB2068" t="s">
        <v>83</v>
      </c>
    </row>
    <row r="2069" spans="1:54" x14ac:dyDescent="0.4">
      <c r="A2069">
        <v>824859</v>
      </c>
      <c r="D2069" t="s">
        <v>54</v>
      </c>
      <c r="E2069" t="s">
        <v>152</v>
      </c>
      <c r="G2069">
        <v>1</v>
      </c>
      <c r="H2069" t="s">
        <v>84</v>
      </c>
      <c r="I2069" t="s">
        <v>57</v>
      </c>
      <c r="K2069" t="s">
        <v>2470</v>
      </c>
      <c r="L2069" t="s">
        <v>2471</v>
      </c>
      <c r="M2069" t="s">
        <v>223</v>
      </c>
      <c r="P2069" t="s">
        <v>89</v>
      </c>
      <c r="R2069" t="s">
        <v>63</v>
      </c>
      <c r="S2069" t="s">
        <v>64</v>
      </c>
      <c r="T2069">
        <v>208.5</v>
      </c>
      <c r="U2069">
        <v>201.4</v>
      </c>
      <c r="V2069">
        <f t="shared" si="64"/>
        <v>204.95</v>
      </c>
      <c r="W2069">
        <f t="shared" si="65"/>
        <v>7.0999999999999943</v>
      </c>
      <c r="X2069">
        <v>5.516667</v>
      </c>
      <c r="Y2069">
        <v>47.200001</v>
      </c>
      <c r="Z2069" t="s">
        <v>520</v>
      </c>
      <c r="AA2069" t="s">
        <v>521</v>
      </c>
      <c r="AB2069" t="s">
        <v>2465</v>
      </c>
      <c r="AC2069" t="s">
        <v>2466</v>
      </c>
      <c r="AH2069" t="s">
        <v>11</v>
      </c>
      <c r="AI2069" t="s">
        <v>2467</v>
      </c>
      <c r="AJ2069">
        <v>1876</v>
      </c>
      <c r="AK2069" t="s">
        <v>2468</v>
      </c>
      <c r="AN2069" t="s">
        <v>114</v>
      </c>
      <c r="AO2069">
        <v>1</v>
      </c>
      <c r="AP2069" t="s">
        <v>359</v>
      </c>
      <c r="AQ2069" t="s">
        <v>2469</v>
      </c>
      <c r="AR2069" t="s">
        <v>80</v>
      </c>
      <c r="AS2069">
        <v>305</v>
      </c>
      <c r="AT2069" t="s">
        <v>81</v>
      </c>
      <c r="AU2069">
        <v>16.88</v>
      </c>
      <c r="AV2069">
        <v>32.72</v>
      </c>
      <c r="AW2069" t="s">
        <v>82</v>
      </c>
      <c r="AX2069">
        <v>305</v>
      </c>
      <c r="AY2069" t="s">
        <v>81</v>
      </c>
      <c r="AZ2069">
        <v>6.55</v>
      </c>
      <c r="BA2069">
        <v>35.200000000000003</v>
      </c>
      <c r="BB2069" t="s">
        <v>83</v>
      </c>
    </row>
    <row r="2070" spans="1:54" x14ac:dyDescent="0.4">
      <c r="A2070">
        <v>824866</v>
      </c>
      <c r="D2070" t="s">
        <v>54</v>
      </c>
      <c r="E2070" t="s">
        <v>152</v>
      </c>
      <c r="G2070">
        <v>1</v>
      </c>
      <c r="H2070" t="s">
        <v>84</v>
      </c>
      <c r="I2070" t="s">
        <v>57</v>
      </c>
      <c r="K2070" t="s">
        <v>141</v>
      </c>
      <c r="L2070" t="s">
        <v>2472</v>
      </c>
      <c r="M2070" t="s">
        <v>60</v>
      </c>
      <c r="N2070" t="s">
        <v>256</v>
      </c>
      <c r="O2070" t="s">
        <v>87</v>
      </c>
      <c r="P2070" t="s">
        <v>89</v>
      </c>
      <c r="R2070" t="s">
        <v>63</v>
      </c>
      <c r="S2070" t="s">
        <v>64</v>
      </c>
      <c r="T2070">
        <v>208.5</v>
      </c>
      <c r="U2070">
        <v>201.4</v>
      </c>
      <c r="V2070">
        <f t="shared" si="64"/>
        <v>204.95</v>
      </c>
      <c r="W2070">
        <f t="shared" si="65"/>
        <v>7.0999999999999943</v>
      </c>
      <c r="X2070">
        <v>5.97</v>
      </c>
      <c r="Y2070">
        <v>47.284999999999997</v>
      </c>
      <c r="Z2070" t="s">
        <v>520</v>
      </c>
      <c r="AA2070" t="s">
        <v>521</v>
      </c>
      <c r="AB2070" t="s">
        <v>917</v>
      </c>
      <c r="AC2070" t="s">
        <v>2466</v>
      </c>
      <c r="AH2070" t="s">
        <v>11</v>
      </c>
      <c r="AI2070" t="s">
        <v>2467</v>
      </c>
      <c r="AJ2070">
        <v>1876</v>
      </c>
      <c r="AK2070" t="s">
        <v>2473</v>
      </c>
      <c r="AN2070" t="s">
        <v>114</v>
      </c>
      <c r="AO2070">
        <v>3</v>
      </c>
      <c r="AP2070" t="s">
        <v>78</v>
      </c>
      <c r="AQ2070" t="s">
        <v>2474</v>
      </c>
      <c r="AR2070" t="s">
        <v>80</v>
      </c>
      <c r="AS2070">
        <v>305</v>
      </c>
      <c r="AT2070" t="s">
        <v>81</v>
      </c>
      <c r="AU2070">
        <v>17.16</v>
      </c>
      <c r="AV2070">
        <v>32.94</v>
      </c>
      <c r="AW2070" t="s">
        <v>82</v>
      </c>
      <c r="AX2070">
        <v>305</v>
      </c>
      <c r="AY2070" t="s">
        <v>81</v>
      </c>
      <c r="AZ2070">
        <v>6.84</v>
      </c>
      <c r="BA2070">
        <v>35.409999999999997</v>
      </c>
      <c r="BB2070" t="s">
        <v>83</v>
      </c>
    </row>
    <row r="2071" spans="1:54" x14ac:dyDescent="0.4">
      <c r="A2071">
        <v>837010</v>
      </c>
      <c r="D2071" t="s">
        <v>54</v>
      </c>
      <c r="G2071">
        <v>1</v>
      </c>
      <c r="H2071" t="s">
        <v>84</v>
      </c>
      <c r="I2071" t="s">
        <v>57</v>
      </c>
      <c r="K2071" t="s">
        <v>323</v>
      </c>
      <c r="L2071" t="s">
        <v>1124</v>
      </c>
      <c r="M2071" t="s">
        <v>1125</v>
      </c>
      <c r="N2071" t="s">
        <v>1126</v>
      </c>
      <c r="O2071" t="s">
        <v>87</v>
      </c>
      <c r="P2071" t="s">
        <v>89</v>
      </c>
      <c r="R2071" t="s">
        <v>63</v>
      </c>
      <c r="S2071" t="s">
        <v>64</v>
      </c>
      <c r="T2071">
        <v>208.5</v>
      </c>
      <c r="U2071">
        <v>201.4</v>
      </c>
      <c r="V2071">
        <f t="shared" si="64"/>
        <v>204.95</v>
      </c>
      <c r="W2071">
        <f t="shared" si="65"/>
        <v>7.0999999999999943</v>
      </c>
      <c r="X2071">
        <v>-111.24722300000001</v>
      </c>
      <c r="Y2071">
        <v>35.816665999999998</v>
      </c>
      <c r="Z2071" t="s">
        <v>582</v>
      </c>
      <c r="AA2071" t="s">
        <v>66</v>
      </c>
      <c r="AB2071" t="s">
        <v>583</v>
      </c>
      <c r="AC2071" t="s">
        <v>807</v>
      </c>
      <c r="AD2071" t="s">
        <v>174</v>
      </c>
      <c r="AF2071" t="s">
        <v>1724</v>
      </c>
      <c r="AH2071" t="s">
        <v>72</v>
      </c>
      <c r="AI2071" t="s">
        <v>1127</v>
      </c>
      <c r="AJ2071">
        <v>2009</v>
      </c>
      <c r="AK2071" t="s">
        <v>1737</v>
      </c>
      <c r="AM2071" t="s">
        <v>1738</v>
      </c>
      <c r="AN2071" t="s">
        <v>192</v>
      </c>
      <c r="AO2071" t="s">
        <v>160</v>
      </c>
      <c r="AP2071" t="s">
        <v>115</v>
      </c>
      <c r="AQ2071" t="s">
        <v>1739</v>
      </c>
      <c r="AR2071" t="s">
        <v>80</v>
      </c>
      <c r="AS2071">
        <v>101</v>
      </c>
      <c r="AT2071" t="s">
        <v>81</v>
      </c>
      <c r="AU2071">
        <v>-39.92</v>
      </c>
      <c r="AV2071">
        <v>10.63</v>
      </c>
      <c r="AW2071" t="s">
        <v>82</v>
      </c>
      <c r="AX2071">
        <v>133</v>
      </c>
      <c r="AY2071" t="s">
        <v>81</v>
      </c>
      <c r="AZ2071">
        <v>-55.53</v>
      </c>
      <c r="BA2071">
        <v>12.99</v>
      </c>
      <c r="BB2071" t="s">
        <v>83</v>
      </c>
    </row>
    <row r="2072" spans="1:54" x14ac:dyDescent="0.4">
      <c r="A2072">
        <v>842670</v>
      </c>
      <c r="D2072" t="s">
        <v>54</v>
      </c>
      <c r="G2072">
        <v>1</v>
      </c>
      <c r="H2072" t="s">
        <v>421</v>
      </c>
      <c r="I2072" t="s">
        <v>57</v>
      </c>
      <c r="K2072" t="s">
        <v>767</v>
      </c>
      <c r="L2072" t="s">
        <v>768</v>
      </c>
      <c r="M2072" t="s">
        <v>60</v>
      </c>
      <c r="N2072" t="s">
        <v>119</v>
      </c>
      <c r="O2072" t="s">
        <v>87</v>
      </c>
      <c r="P2072" t="s">
        <v>89</v>
      </c>
      <c r="R2072" t="s">
        <v>63</v>
      </c>
      <c r="S2072" t="s">
        <v>64</v>
      </c>
      <c r="T2072">
        <v>208.5</v>
      </c>
      <c r="U2072">
        <v>201.4</v>
      </c>
      <c r="V2072">
        <f t="shared" si="64"/>
        <v>204.95</v>
      </c>
      <c r="W2072">
        <f t="shared" si="65"/>
        <v>7.0999999999999943</v>
      </c>
      <c r="X2072">
        <v>-111.287498</v>
      </c>
      <c r="Y2072">
        <v>35.891666000000001</v>
      </c>
      <c r="Z2072" t="s">
        <v>886</v>
      </c>
      <c r="AA2072" t="s">
        <v>66</v>
      </c>
      <c r="AB2072" t="s">
        <v>583</v>
      </c>
      <c r="AC2072" t="s">
        <v>807</v>
      </c>
      <c r="AD2072" t="s">
        <v>174</v>
      </c>
      <c r="AF2072" t="s">
        <v>1724</v>
      </c>
      <c r="AH2072" t="s">
        <v>11</v>
      </c>
      <c r="AI2072" t="s">
        <v>1725</v>
      </c>
      <c r="AJ2072">
        <v>1993</v>
      </c>
      <c r="AK2072" t="s">
        <v>1735</v>
      </c>
      <c r="AN2072" t="s">
        <v>192</v>
      </c>
      <c r="AO2072" t="s">
        <v>77</v>
      </c>
      <c r="AP2072" t="s">
        <v>115</v>
      </c>
      <c r="AQ2072" t="s">
        <v>1735</v>
      </c>
      <c r="AR2072" t="s">
        <v>80</v>
      </c>
      <c r="AS2072">
        <v>101</v>
      </c>
      <c r="AT2072" t="s">
        <v>81</v>
      </c>
      <c r="AU2072">
        <v>-39.950000000000003</v>
      </c>
      <c r="AV2072">
        <v>10.71</v>
      </c>
      <c r="AW2072" t="s">
        <v>82</v>
      </c>
      <c r="AX2072">
        <v>133</v>
      </c>
      <c r="AY2072" t="s">
        <v>81</v>
      </c>
      <c r="AZ2072">
        <v>-55.56</v>
      </c>
      <c r="BA2072">
        <v>13.07</v>
      </c>
      <c r="BB2072" t="s">
        <v>83</v>
      </c>
    </row>
    <row r="2073" spans="1:54" x14ac:dyDescent="0.4">
      <c r="A2073">
        <v>842671</v>
      </c>
      <c r="D2073" t="s">
        <v>54</v>
      </c>
      <c r="G2073">
        <v>4</v>
      </c>
      <c r="H2073" t="s">
        <v>435</v>
      </c>
      <c r="I2073" t="s">
        <v>57</v>
      </c>
      <c r="K2073" t="s">
        <v>767</v>
      </c>
      <c r="L2073" t="s">
        <v>768</v>
      </c>
      <c r="M2073" t="s">
        <v>60</v>
      </c>
      <c r="N2073" t="s">
        <v>119</v>
      </c>
      <c r="O2073" t="s">
        <v>87</v>
      </c>
      <c r="P2073" t="s">
        <v>89</v>
      </c>
      <c r="R2073" t="s">
        <v>63</v>
      </c>
      <c r="S2073" t="s">
        <v>64</v>
      </c>
      <c r="T2073">
        <v>208.5</v>
      </c>
      <c r="U2073">
        <v>201.4</v>
      </c>
      <c r="V2073">
        <f t="shared" si="64"/>
        <v>204.95</v>
      </c>
      <c r="W2073">
        <f t="shared" si="65"/>
        <v>7.0999999999999943</v>
      </c>
      <c r="X2073">
        <v>-111.35833</v>
      </c>
      <c r="Y2073">
        <v>36.087502000000001</v>
      </c>
      <c r="Z2073" t="s">
        <v>582</v>
      </c>
      <c r="AA2073" t="s">
        <v>66</v>
      </c>
      <c r="AB2073" t="s">
        <v>583</v>
      </c>
      <c r="AC2073" t="s">
        <v>807</v>
      </c>
      <c r="AD2073" t="s">
        <v>174</v>
      </c>
      <c r="AF2073" t="s">
        <v>1724</v>
      </c>
      <c r="AH2073" t="s">
        <v>11</v>
      </c>
      <c r="AI2073" t="s">
        <v>1725</v>
      </c>
      <c r="AJ2073">
        <v>1993</v>
      </c>
      <c r="AK2073" t="s">
        <v>1729</v>
      </c>
      <c r="AM2073" t="s">
        <v>1730</v>
      </c>
      <c r="AN2073" t="s">
        <v>192</v>
      </c>
      <c r="AO2073" t="s">
        <v>77</v>
      </c>
      <c r="AP2073" t="s">
        <v>115</v>
      </c>
      <c r="AQ2073" t="s">
        <v>1731</v>
      </c>
      <c r="AR2073" t="s">
        <v>80</v>
      </c>
      <c r="AS2073">
        <v>101</v>
      </c>
      <c r="AT2073" t="s">
        <v>81</v>
      </c>
      <c r="AU2073">
        <v>-39.979999999999997</v>
      </c>
      <c r="AV2073">
        <v>10.91</v>
      </c>
      <c r="AW2073" t="s">
        <v>82</v>
      </c>
      <c r="AX2073">
        <v>133</v>
      </c>
      <c r="AY2073" t="s">
        <v>81</v>
      </c>
      <c r="AZ2073">
        <v>-55.6</v>
      </c>
      <c r="BA2073">
        <v>13.27</v>
      </c>
      <c r="BB2073" t="s">
        <v>83</v>
      </c>
    </row>
    <row r="2074" spans="1:54" x14ac:dyDescent="0.4">
      <c r="A2074">
        <v>842717</v>
      </c>
      <c r="D2074" t="s">
        <v>54</v>
      </c>
      <c r="G2074">
        <v>1</v>
      </c>
      <c r="H2074" t="s">
        <v>421</v>
      </c>
      <c r="I2074" t="s">
        <v>57</v>
      </c>
      <c r="K2074" t="s">
        <v>196</v>
      </c>
      <c r="L2074" t="s">
        <v>197</v>
      </c>
      <c r="M2074" t="s">
        <v>60</v>
      </c>
      <c r="O2074" t="s">
        <v>87</v>
      </c>
      <c r="P2074" t="s">
        <v>89</v>
      </c>
      <c r="R2074" t="s">
        <v>63</v>
      </c>
      <c r="S2074" t="s">
        <v>64</v>
      </c>
      <c r="T2074">
        <v>208.5</v>
      </c>
      <c r="U2074">
        <v>201.4</v>
      </c>
      <c r="V2074">
        <f t="shared" si="64"/>
        <v>204.95</v>
      </c>
      <c r="W2074">
        <f t="shared" si="65"/>
        <v>7.0999999999999943</v>
      </c>
      <c r="X2074">
        <v>-111.24722300000001</v>
      </c>
      <c r="Y2074">
        <v>35.816665999999998</v>
      </c>
      <c r="Z2074" t="s">
        <v>582</v>
      </c>
      <c r="AA2074" t="s">
        <v>66</v>
      </c>
      <c r="AB2074" t="s">
        <v>583</v>
      </c>
      <c r="AC2074" t="s">
        <v>807</v>
      </c>
      <c r="AD2074" t="s">
        <v>174</v>
      </c>
      <c r="AF2074" t="s">
        <v>1724</v>
      </c>
      <c r="AH2074" t="s">
        <v>11</v>
      </c>
      <c r="AI2074" t="s">
        <v>1728</v>
      </c>
      <c r="AJ2074">
        <v>2007</v>
      </c>
      <c r="AK2074" t="s">
        <v>1737</v>
      </c>
      <c r="AM2074" t="s">
        <v>1738</v>
      </c>
      <c r="AN2074" t="s">
        <v>192</v>
      </c>
      <c r="AO2074" t="s">
        <v>160</v>
      </c>
      <c r="AP2074" t="s">
        <v>115</v>
      </c>
      <c r="AQ2074" t="s">
        <v>1739</v>
      </c>
      <c r="AR2074" t="s">
        <v>80</v>
      </c>
      <c r="AS2074">
        <v>101</v>
      </c>
      <c r="AT2074" t="s">
        <v>81</v>
      </c>
      <c r="AU2074">
        <v>-39.92</v>
      </c>
      <c r="AV2074">
        <v>10.63</v>
      </c>
      <c r="AW2074" t="s">
        <v>82</v>
      </c>
      <c r="AX2074">
        <v>133</v>
      </c>
      <c r="AY2074" t="s">
        <v>81</v>
      </c>
      <c r="AZ2074">
        <v>-55.53</v>
      </c>
      <c r="BA2074">
        <v>12.99</v>
      </c>
      <c r="BB2074" t="s">
        <v>83</v>
      </c>
    </row>
    <row r="2075" spans="1:54" x14ac:dyDescent="0.4">
      <c r="A2075">
        <v>842718</v>
      </c>
      <c r="D2075" t="s">
        <v>54</v>
      </c>
      <c r="G2075">
        <v>1</v>
      </c>
      <c r="H2075" t="s">
        <v>421</v>
      </c>
      <c r="I2075" t="s">
        <v>57</v>
      </c>
      <c r="K2075" t="s">
        <v>141</v>
      </c>
      <c r="L2075" t="s">
        <v>766</v>
      </c>
      <c r="M2075" t="s">
        <v>60</v>
      </c>
      <c r="O2075" t="s">
        <v>87</v>
      </c>
      <c r="P2075" t="s">
        <v>89</v>
      </c>
      <c r="R2075" t="s">
        <v>63</v>
      </c>
      <c r="S2075" t="s">
        <v>64</v>
      </c>
      <c r="T2075">
        <v>208.5</v>
      </c>
      <c r="U2075">
        <v>201.4</v>
      </c>
      <c r="V2075">
        <f t="shared" si="64"/>
        <v>204.95</v>
      </c>
      <c r="W2075">
        <f t="shared" si="65"/>
        <v>7.0999999999999943</v>
      </c>
      <c r="X2075">
        <v>-111.24722300000001</v>
      </c>
      <c r="Y2075">
        <v>35.816665999999998</v>
      </c>
      <c r="Z2075" t="s">
        <v>582</v>
      </c>
      <c r="AA2075" t="s">
        <v>66</v>
      </c>
      <c r="AB2075" t="s">
        <v>583</v>
      </c>
      <c r="AC2075" t="s">
        <v>807</v>
      </c>
      <c r="AD2075" t="s">
        <v>174</v>
      </c>
      <c r="AF2075" t="s">
        <v>1724</v>
      </c>
      <c r="AH2075" t="s">
        <v>11</v>
      </c>
      <c r="AI2075" t="s">
        <v>1728</v>
      </c>
      <c r="AJ2075">
        <v>2007</v>
      </c>
      <c r="AK2075" t="s">
        <v>1737</v>
      </c>
      <c r="AM2075" t="s">
        <v>1738</v>
      </c>
      <c r="AN2075" t="s">
        <v>192</v>
      </c>
      <c r="AO2075" t="s">
        <v>160</v>
      </c>
      <c r="AP2075" t="s">
        <v>115</v>
      </c>
      <c r="AQ2075" t="s">
        <v>1739</v>
      </c>
      <c r="AR2075" t="s">
        <v>80</v>
      </c>
      <c r="AS2075">
        <v>101</v>
      </c>
      <c r="AT2075" t="s">
        <v>81</v>
      </c>
      <c r="AU2075">
        <v>-39.92</v>
      </c>
      <c r="AV2075">
        <v>10.63</v>
      </c>
      <c r="AW2075" t="s">
        <v>82</v>
      </c>
      <c r="AX2075">
        <v>133</v>
      </c>
      <c r="AY2075" t="s">
        <v>81</v>
      </c>
      <c r="AZ2075">
        <v>-55.53</v>
      </c>
      <c r="BA2075">
        <v>12.99</v>
      </c>
      <c r="BB2075" t="s">
        <v>83</v>
      </c>
    </row>
    <row r="2076" spans="1:54" x14ac:dyDescent="0.4">
      <c r="A2076">
        <v>846853</v>
      </c>
      <c r="D2076" t="s">
        <v>54</v>
      </c>
      <c r="E2076" t="s">
        <v>152</v>
      </c>
      <c r="F2076" t="s">
        <v>1200</v>
      </c>
      <c r="G2076">
        <v>1</v>
      </c>
      <c r="H2076" t="s">
        <v>84</v>
      </c>
      <c r="I2076" t="s">
        <v>57</v>
      </c>
      <c r="K2076" t="s">
        <v>1029</v>
      </c>
      <c r="L2076" t="s">
        <v>1030</v>
      </c>
      <c r="M2076" t="s">
        <v>60</v>
      </c>
      <c r="N2076" t="s">
        <v>61</v>
      </c>
      <c r="O2076" t="s">
        <v>345</v>
      </c>
      <c r="P2076" t="s">
        <v>89</v>
      </c>
      <c r="R2076" t="s">
        <v>63</v>
      </c>
      <c r="S2076" t="s">
        <v>64</v>
      </c>
      <c r="T2076">
        <v>208.5</v>
      </c>
      <c r="U2076">
        <v>201.4</v>
      </c>
      <c r="V2076">
        <f t="shared" si="64"/>
        <v>204.95</v>
      </c>
      <c r="W2076">
        <f t="shared" si="65"/>
        <v>7.0999999999999943</v>
      </c>
      <c r="X2076">
        <v>6.3055560000000002</v>
      </c>
      <c r="Y2076">
        <v>48.640278000000002</v>
      </c>
      <c r="Z2076" t="s">
        <v>1251</v>
      </c>
      <c r="AA2076" t="s">
        <v>521</v>
      </c>
      <c r="AB2076" t="s">
        <v>925</v>
      </c>
      <c r="AC2076" t="s">
        <v>3095</v>
      </c>
      <c r="AH2076" t="s">
        <v>11</v>
      </c>
      <c r="AI2076" t="s">
        <v>3096</v>
      </c>
      <c r="AJ2076">
        <v>1997</v>
      </c>
      <c r="AK2076" t="s">
        <v>3097</v>
      </c>
      <c r="AN2076" t="s">
        <v>192</v>
      </c>
      <c r="AO2076" t="s">
        <v>77</v>
      </c>
      <c r="AP2076" t="s">
        <v>115</v>
      </c>
      <c r="AR2076" t="s">
        <v>80</v>
      </c>
      <c r="AS2076">
        <v>305</v>
      </c>
      <c r="AT2076" t="s">
        <v>81</v>
      </c>
      <c r="AU2076">
        <v>16.64</v>
      </c>
      <c r="AV2076">
        <v>34.24</v>
      </c>
      <c r="AW2076" t="s">
        <v>82</v>
      </c>
      <c r="AX2076">
        <v>305</v>
      </c>
      <c r="AY2076" t="s">
        <v>81</v>
      </c>
      <c r="AZ2076">
        <v>6.37</v>
      </c>
      <c r="BA2076">
        <v>36.729999999999997</v>
      </c>
      <c r="BB2076" t="s">
        <v>83</v>
      </c>
    </row>
    <row r="2077" spans="1:54" x14ac:dyDescent="0.4">
      <c r="A2077">
        <v>849947</v>
      </c>
      <c r="D2077" t="s">
        <v>54</v>
      </c>
      <c r="E2077" t="s">
        <v>55</v>
      </c>
      <c r="F2077" t="s">
        <v>885</v>
      </c>
      <c r="G2077">
        <v>1</v>
      </c>
      <c r="H2077" t="s">
        <v>84</v>
      </c>
      <c r="I2077" t="s">
        <v>57</v>
      </c>
      <c r="K2077" t="s">
        <v>180</v>
      </c>
      <c r="L2077" t="s">
        <v>1139</v>
      </c>
      <c r="M2077" t="s">
        <v>60</v>
      </c>
      <c r="N2077" t="s">
        <v>119</v>
      </c>
      <c r="P2077" t="s">
        <v>89</v>
      </c>
      <c r="R2077" t="s">
        <v>63</v>
      </c>
      <c r="S2077" t="s">
        <v>64</v>
      </c>
      <c r="T2077">
        <v>208.5</v>
      </c>
      <c r="U2077">
        <v>201.4</v>
      </c>
      <c r="V2077">
        <f t="shared" si="64"/>
        <v>204.95</v>
      </c>
      <c r="W2077">
        <f t="shared" si="65"/>
        <v>7.0999999999999943</v>
      </c>
      <c r="X2077">
        <v>-106.473099</v>
      </c>
      <c r="Y2077">
        <v>36.331699</v>
      </c>
      <c r="Z2077" t="s">
        <v>886</v>
      </c>
      <c r="AA2077" t="s">
        <v>66</v>
      </c>
      <c r="AB2077" t="s">
        <v>846</v>
      </c>
      <c r="AC2077" t="s">
        <v>847</v>
      </c>
      <c r="AD2077" t="s">
        <v>174</v>
      </c>
      <c r="AF2077" t="s">
        <v>887</v>
      </c>
      <c r="AH2077" t="s">
        <v>11</v>
      </c>
      <c r="AI2077" t="s">
        <v>3124</v>
      </c>
      <c r="AJ2077">
        <v>2009</v>
      </c>
      <c r="AK2077" t="s">
        <v>888</v>
      </c>
      <c r="AM2077" t="s">
        <v>889</v>
      </c>
      <c r="AN2077" t="s">
        <v>76</v>
      </c>
      <c r="AO2077">
        <v>4</v>
      </c>
      <c r="AP2077" t="s">
        <v>115</v>
      </c>
      <c r="AQ2077" t="s">
        <v>890</v>
      </c>
      <c r="AR2077" t="s">
        <v>80</v>
      </c>
      <c r="AS2077">
        <v>101</v>
      </c>
      <c r="AT2077" t="s">
        <v>81</v>
      </c>
      <c r="AU2077">
        <v>-35.96</v>
      </c>
      <c r="AV2077">
        <v>10.83</v>
      </c>
      <c r="AW2077" t="s">
        <v>82</v>
      </c>
      <c r="AX2077">
        <v>133</v>
      </c>
      <c r="AY2077" t="s">
        <v>81</v>
      </c>
      <c r="AZ2077">
        <v>-51.55</v>
      </c>
      <c r="BA2077">
        <v>13.24</v>
      </c>
      <c r="BB2077" t="s">
        <v>83</v>
      </c>
    </row>
    <row r="2078" spans="1:54" x14ac:dyDescent="0.4">
      <c r="A2078">
        <v>871913</v>
      </c>
      <c r="D2078" t="s">
        <v>54</v>
      </c>
      <c r="E2078" t="s">
        <v>55</v>
      </c>
      <c r="I2078" t="s">
        <v>57</v>
      </c>
      <c r="K2078" t="s">
        <v>3184</v>
      </c>
      <c r="L2078" t="s">
        <v>3185</v>
      </c>
      <c r="M2078" t="s">
        <v>223</v>
      </c>
      <c r="N2078" t="s">
        <v>2449</v>
      </c>
      <c r="O2078" t="s">
        <v>87</v>
      </c>
      <c r="P2078" t="s">
        <v>89</v>
      </c>
      <c r="R2078" t="s">
        <v>63</v>
      </c>
      <c r="S2078" t="s">
        <v>64</v>
      </c>
      <c r="T2078">
        <v>208.5</v>
      </c>
      <c r="U2078">
        <v>201.4</v>
      </c>
      <c r="V2078">
        <f t="shared" si="64"/>
        <v>204.95</v>
      </c>
      <c r="W2078">
        <f t="shared" si="65"/>
        <v>7.0999999999999943</v>
      </c>
      <c r="X2078">
        <v>-1.75</v>
      </c>
      <c r="Y2078">
        <v>52.216667000000001</v>
      </c>
      <c r="Z2078" t="s">
        <v>1596</v>
      </c>
      <c r="AA2078" t="s">
        <v>91</v>
      </c>
      <c r="AB2078" t="s">
        <v>92</v>
      </c>
      <c r="AC2078" t="s">
        <v>690</v>
      </c>
      <c r="AD2078" t="s">
        <v>937</v>
      </c>
      <c r="AE2078" t="s">
        <v>938</v>
      </c>
      <c r="AG2078" t="s">
        <v>1255</v>
      </c>
      <c r="AH2078" t="s">
        <v>72</v>
      </c>
      <c r="AI2078" t="s">
        <v>3174</v>
      </c>
      <c r="AJ2078">
        <v>1860</v>
      </c>
      <c r="AK2078" t="s">
        <v>3186</v>
      </c>
      <c r="AN2078" t="s">
        <v>114</v>
      </c>
      <c r="AO2078" t="s">
        <v>160</v>
      </c>
      <c r="AP2078" t="s">
        <v>78</v>
      </c>
      <c r="AQ2078" t="s">
        <v>3187</v>
      </c>
      <c r="AR2078" t="s">
        <v>80</v>
      </c>
      <c r="AS2078">
        <v>315</v>
      </c>
      <c r="AT2078" t="s">
        <v>81</v>
      </c>
      <c r="AU2078">
        <v>9.11</v>
      </c>
      <c r="AV2078">
        <v>35.1</v>
      </c>
      <c r="AW2078" t="s">
        <v>82</v>
      </c>
      <c r="AX2078">
        <v>315</v>
      </c>
      <c r="AY2078" t="s">
        <v>81</v>
      </c>
      <c r="AZ2078">
        <v>-1.38</v>
      </c>
      <c r="BA2078">
        <v>37.770000000000003</v>
      </c>
      <c r="BB2078" t="s">
        <v>83</v>
      </c>
    </row>
    <row r="2079" spans="1:54" x14ac:dyDescent="0.4">
      <c r="A2079">
        <v>935231</v>
      </c>
      <c r="D2079" t="s">
        <v>54</v>
      </c>
      <c r="E2079" t="s">
        <v>55</v>
      </c>
      <c r="F2079" t="s">
        <v>885</v>
      </c>
      <c r="G2079">
        <v>1</v>
      </c>
      <c r="H2079" t="s">
        <v>56</v>
      </c>
      <c r="I2079" t="s">
        <v>57</v>
      </c>
      <c r="K2079" t="s">
        <v>141</v>
      </c>
      <c r="L2079" t="s">
        <v>3854</v>
      </c>
      <c r="M2079" t="s">
        <v>60</v>
      </c>
      <c r="N2079" t="s">
        <v>256</v>
      </c>
      <c r="O2079" t="s">
        <v>87</v>
      </c>
      <c r="P2079" t="s">
        <v>89</v>
      </c>
      <c r="R2079" t="s">
        <v>63</v>
      </c>
      <c r="S2079" t="s">
        <v>64</v>
      </c>
      <c r="T2079">
        <v>208.5</v>
      </c>
      <c r="U2079">
        <v>201.4</v>
      </c>
      <c r="V2079">
        <f t="shared" si="64"/>
        <v>204.95</v>
      </c>
      <c r="W2079">
        <f t="shared" si="65"/>
        <v>7.0999999999999943</v>
      </c>
      <c r="X2079">
        <v>-106.473099</v>
      </c>
      <c r="Y2079">
        <v>36.331699</v>
      </c>
      <c r="Z2079" t="s">
        <v>886</v>
      </c>
      <c r="AA2079" t="s">
        <v>66</v>
      </c>
      <c r="AB2079" t="s">
        <v>846</v>
      </c>
      <c r="AC2079" t="s">
        <v>847</v>
      </c>
      <c r="AD2079" t="s">
        <v>174</v>
      </c>
      <c r="AF2079" t="s">
        <v>887</v>
      </c>
      <c r="AH2079" t="s">
        <v>72</v>
      </c>
      <c r="AI2079" t="s">
        <v>730</v>
      </c>
      <c r="AJ2079">
        <v>2011</v>
      </c>
      <c r="AK2079" t="s">
        <v>888</v>
      </c>
      <c r="AM2079" t="s">
        <v>889</v>
      </c>
      <c r="AN2079" t="s">
        <v>76</v>
      </c>
      <c r="AO2079">
        <v>4</v>
      </c>
      <c r="AP2079" t="s">
        <v>115</v>
      </c>
      <c r="AQ2079" t="s">
        <v>890</v>
      </c>
      <c r="AR2079" t="s">
        <v>80</v>
      </c>
      <c r="AS2079">
        <v>101</v>
      </c>
      <c r="AT2079" t="s">
        <v>81</v>
      </c>
      <c r="AU2079">
        <v>-35.96</v>
      </c>
      <c r="AV2079">
        <v>10.83</v>
      </c>
      <c r="AW2079" t="s">
        <v>82</v>
      </c>
      <c r="AX2079">
        <v>133</v>
      </c>
      <c r="AY2079" t="s">
        <v>81</v>
      </c>
      <c r="AZ2079">
        <v>-51.55</v>
      </c>
      <c r="BA2079">
        <v>13.24</v>
      </c>
      <c r="BB2079" t="s">
        <v>83</v>
      </c>
    </row>
    <row r="2080" spans="1:54" x14ac:dyDescent="0.4">
      <c r="A2080">
        <v>945501</v>
      </c>
      <c r="D2080" t="s">
        <v>54</v>
      </c>
      <c r="G2080">
        <v>2</v>
      </c>
      <c r="H2080" t="s">
        <v>84</v>
      </c>
      <c r="I2080" t="s">
        <v>57</v>
      </c>
      <c r="K2080" t="s">
        <v>141</v>
      </c>
      <c r="L2080" t="s">
        <v>1043</v>
      </c>
      <c r="M2080" t="s">
        <v>60</v>
      </c>
      <c r="P2080" t="s">
        <v>89</v>
      </c>
      <c r="R2080" t="s">
        <v>63</v>
      </c>
      <c r="S2080" t="s">
        <v>64</v>
      </c>
      <c r="T2080">
        <v>208.5</v>
      </c>
      <c r="U2080">
        <v>201.4</v>
      </c>
      <c r="V2080">
        <f t="shared" si="64"/>
        <v>204.95</v>
      </c>
      <c r="W2080">
        <f t="shared" si="65"/>
        <v>7.0999999999999943</v>
      </c>
      <c r="X2080">
        <v>4.67</v>
      </c>
      <c r="Y2080">
        <v>46.900002000000001</v>
      </c>
      <c r="Z2080" t="s">
        <v>124</v>
      </c>
      <c r="AA2080" t="s">
        <v>521</v>
      </c>
      <c r="AB2080" t="s">
        <v>3886</v>
      </c>
      <c r="AC2080" t="s">
        <v>3887</v>
      </c>
      <c r="AH2080" t="s">
        <v>11</v>
      </c>
      <c r="AI2080" t="s">
        <v>3888</v>
      </c>
      <c r="AJ2080">
        <v>1930</v>
      </c>
      <c r="AK2080" t="s">
        <v>3889</v>
      </c>
      <c r="AN2080" t="s">
        <v>114</v>
      </c>
      <c r="AO2080">
        <v>1</v>
      </c>
      <c r="AP2080" t="s">
        <v>78</v>
      </c>
      <c r="AQ2080" t="s">
        <v>3890</v>
      </c>
      <c r="AR2080" t="s">
        <v>80</v>
      </c>
      <c r="AS2080">
        <v>305</v>
      </c>
      <c r="AT2080" t="s">
        <v>81</v>
      </c>
      <c r="AU2080">
        <v>16.43</v>
      </c>
      <c r="AV2080">
        <v>32.19</v>
      </c>
      <c r="AW2080" t="s">
        <v>82</v>
      </c>
      <c r="AX2080">
        <v>305</v>
      </c>
      <c r="AY2080" t="s">
        <v>81</v>
      </c>
      <c r="AZ2080">
        <v>6.07</v>
      </c>
      <c r="BA2080">
        <v>34.68</v>
      </c>
      <c r="BB2080" t="s">
        <v>83</v>
      </c>
    </row>
    <row r="2081" spans="1:54" x14ac:dyDescent="0.4">
      <c r="A2081">
        <v>989456</v>
      </c>
      <c r="D2081" t="s">
        <v>54</v>
      </c>
      <c r="G2081">
        <v>1</v>
      </c>
      <c r="H2081" t="s">
        <v>84</v>
      </c>
      <c r="I2081" t="s">
        <v>57</v>
      </c>
      <c r="K2081" t="s">
        <v>141</v>
      </c>
      <c r="L2081" t="s">
        <v>2448</v>
      </c>
      <c r="M2081" t="s">
        <v>223</v>
      </c>
      <c r="N2081" t="s">
        <v>2449</v>
      </c>
      <c r="O2081" t="s">
        <v>87</v>
      </c>
      <c r="P2081" t="s">
        <v>89</v>
      </c>
      <c r="R2081" t="s">
        <v>63</v>
      </c>
      <c r="S2081" t="s">
        <v>64</v>
      </c>
      <c r="T2081">
        <v>208.5</v>
      </c>
      <c r="U2081">
        <v>201.4</v>
      </c>
      <c r="V2081">
        <f t="shared" si="64"/>
        <v>204.95</v>
      </c>
      <c r="W2081">
        <f t="shared" si="65"/>
        <v>7.0999999999999943</v>
      </c>
      <c r="X2081">
        <v>-2.63</v>
      </c>
      <c r="Y2081">
        <v>51.599997999999999</v>
      </c>
      <c r="Z2081" t="s">
        <v>1251</v>
      </c>
      <c r="AA2081" t="s">
        <v>91</v>
      </c>
      <c r="AB2081" t="s">
        <v>92</v>
      </c>
      <c r="AC2081" t="s">
        <v>136</v>
      </c>
      <c r="AD2081" t="s">
        <v>937</v>
      </c>
      <c r="AE2081" t="s">
        <v>938</v>
      </c>
      <c r="AH2081" t="s">
        <v>72</v>
      </c>
      <c r="AI2081" t="s">
        <v>1045</v>
      </c>
      <c r="AJ2081">
        <v>1840</v>
      </c>
      <c r="AK2081" t="s">
        <v>1253</v>
      </c>
      <c r="AN2081" t="s">
        <v>114</v>
      </c>
      <c r="AO2081">
        <v>1</v>
      </c>
      <c r="AP2081" t="s">
        <v>78</v>
      </c>
      <c r="AR2081" t="s">
        <v>80</v>
      </c>
      <c r="AS2081">
        <v>315</v>
      </c>
      <c r="AT2081" t="s">
        <v>81</v>
      </c>
      <c r="AU2081">
        <v>8.84</v>
      </c>
      <c r="AV2081">
        <v>34.299999999999997</v>
      </c>
      <c r="AW2081" t="s">
        <v>82</v>
      </c>
      <c r="AX2081">
        <v>315</v>
      </c>
      <c r="AY2081" t="s">
        <v>81</v>
      </c>
      <c r="AZ2081">
        <v>-1.68</v>
      </c>
      <c r="BA2081">
        <v>36.979999999999997</v>
      </c>
      <c r="BB2081" t="s">
        <v>83</v>
      </c>
    </row>
    <row r="2082" spans="1:54" x14ac:dyDescent="0.4">
      <c r="A2082">
        <v>1005254</v>
      </c>
      <c r="D2082" t="s">
        <v>1254</v>
      </c>
      <c r="E2082" t="s">
        <v>297</v>
      </c>
      <c r="I2082" t="s">
        <v>57</v>
      </c>
      <c r="K2082" t="s">
        <v>141</v>
      </c>
      <c r="L2082" t="s">
        <v>3994</v>
      </c>
      <c r="M2082" t="s">
        <v>60</v>
      </c>
      <c r="P2082" t="s">
        <v>89</v>
      </c>
      <c r="R2082" t="s">
        <v>63</v>
      </c>
      <c r="S2082" t="s">
        <v>64</v>
      </c>
      <c r="T2082">
        <v>208.5</v>
      </c>
      <c r="U2082">
        <v>201.4</v>
      </c>
      <c r="V2082">
        <f t="shared" si="64"/>
        <v>204.95</v>
      </c>
      <c r="W2082">
        <f t="shared" si="65"/>
        <v>7.0999999999999943</v>
      </c>
      <c r="X2082">
        <v>-2.6294780000000002</v>
      </c>
      <c r="Y2082">
        <v>51.602649999999997</v>
      </c>
      <c r="Z2082" t="s">
        <v>1251</v>
      </c>
      <c r="AA2082" t="s">
        <v>91</v>
      </c>
      <c r="AB2082" t="s">
        <v>92</v>
      </c>
      <c r="AC2082" t="s">
        <v>822</v>
      </c>
      <c r="AD2082" t="s">
        <v>937</v>
      </c>
      <c r="AE2082" t="s">
        <v>938</v>
      </c>
      <c r="AG2082" t="s">
        <v>1255</v>
      </c>
      <c r="AH2082" t="s">
        <v>72</v>
      </c>
      <c r="AI2082" t="s">
        <v>1252</v>
      </c>
      <c r="AJ2082">
        <v>1995</v>
      </c>
      <c r="AK2082" t="s">
        <v>1256</v>
      </c>
      <c r="AN2082" t="s">
        <v>76</v>
      </c>
      <c r="AO2082">
        <v>6</v>
      </c>
      <c r="AP2082" t="s">
        <v>115</v>
      </c>
      <c r="AQ2082" t="s">
        <v>1257</v>
      </c>
      <c r="AR2082" t="s">
        <v>80</v>
      </c>
      <c r="AS2082">
        <v>315</v>
      </c>
      <c r="AT2082" t="s">
        <v>81</v>
      </c>
      <c r="AU2082">
        <v>8.84</v>
      </c>
      <c r="AV2082">
        <v>34.31</v>
      </c>
      <c r="AW2082" t="s">
        <v>82</v>
      </c>
      <c r="AX2082">
        <v>315</v>
      </c>
      <c r="AY2082" t="s">
        <v>81</v>
      </c>
      <c r="AZ2082">
        <v>-1.68</v>
      </c>
      <c r="BA2082">
        <v>36.979999999999997</v>
      </c>
      <c r="BB2082" t="s">
        <v>83</v>
      </c>
    </row>
    <row r="2083" spans="1:54" x14ac:dyDescent="0.4">
      <c r="A2083">
        <v>1091742</v>
      </c>
      <c r="D2083" t="s">
        <v>54</v>
      </c>
      <c r="G2083">
        <v>1</v>
      </c>
      <c r="H2083" t="s">
        <v>84</v>
      </c>
      <c r="I2083" t="s">
        <v>57</v>
      </c>
      <c r="K2083" t="s">
        <v>537</v>
      </c>
      <c r="L2083" t="s">
        <v>538</v>
      </c>
      <c r="M2083" t="s">
        <v>223</v>
      </c>
      <c r="N2083" t="s">
        <v>234</v>
      </c>
      <c r="O2083" t="s">
        <v>87</v>
      </c>
      <c r="P2083" t="s">
        <v>89</v>
      </c>
      <c r="R2083" t="s">
        <v>63</v>
      </c>
      <c r="S2083" t="s">
        <v>64</v>
      </c>
      <c r="T2083">
        <v>208.5</v>
      </c>
      <c r="U2083">
        <v>201.4</v>
      </c>
      <c r="V2083">
        <f t="shared" si="64"/>
        <v>204.95</v>
      </c>
      <c r="W2083">
        <f t="shared" si="65"/>
        <v>7.0999999999999943</v>
      </c>
      <c r="X2083">
        <v>9.0667000000000009</v>
      </c>
      <c r="Y2083">
        <v>48.549999</v>
      </c>
      <c r="Z2083" t="s">
        <v>124</v>
      </c>
      <c r="AA2083" t="s">
        <v>211</v>
      </c>
      <c r="AB2083" t="s">
        <v>212</v>
      </c>
      <c r="AD2083" t="s">
        <v>4082</v>
      </c>
      <c r="AE2083" t="s">
        <v>215</v>
      </c>
      <c r="AH2083" t="s">
        <v>11</v>
      </c>
      <c r="AI2083" t="s">
        <v>260</v>
      </c>
      <c r="AJ2083">
        <v>1896</v>
      </c>
      <c r="AK2083" t="s">
        <v>4083</v>
      </c>
      <c r="AN2083" t="s">
        <v>114</v>
      </c>
      <c r="AO2083">
        <v>2</v>
      </c>
      <c r="AP2083" t="s">
        <v>115</v>
      </c>
      <c r="AQ2083" t="s">
        <v>4084</v>
      </c>
      <c r="AR2083" t="s">
        <v>80</v>
      </c>
      <c r="AS2083">
        <v>305</v>
      </c>
      <c r="AT2083" t="s">
        <v>81</v>
      </c>
      <c r="AU2083">
        <v>18.649999999999999</v>
      </c>
      <c r="AV2083">
        <v>35.03</v>
      </c>
      <c r="AW2083" t="s">
        <v>82</v>
      </c>
      <c r="AX2083">
        <v>305</v>
      </c>
      <c r="AY2083" t="s">
        <v>81</v>
      </c>
      <c r="AZ2083">
        <v>8.4700000000000006</v>
      </c>
      <c r="BA2083">
        <v>37.46</v>
      </c>
      <c r="BB2083" t="s">
        <v>83</v>
      </c>
    </row>
    <row r="2084" spans="1:54" x14ac:dyDescent="0.4">
      <c r="A2084">
        <v>1091846</v>
      </c>
      <c r="D2084" t="s">
        <v>2001</v>
      </c>
      <c r="G2084">
        <v>1</v>
      </c>
      <c r="H2084" t="s">
        <v>56</v>
      </c>
      <c r="I2084" t="s">
        <v>57</v>
      </c>
      <c r="K2084" t="s">
        <v>85</v>
      </c>
      <c r="L2084" t="s">
        <v>845</v>
      </c>
      <c r="M2084" t="s">
        <v>60</v>
      </c>
      <c r="O2084" t="s">
        <v>87</v>
      </c>
      <c r="P2084" t="s">
        <v>89</v>
      </c>
      <c r="R2084" t="s">
        <v>63</v>
      </c>
      <c r="S2084" t="s">
        <v>64</v>
      </c>
      <c r="T2084">
        <v>208.5</v>
      </c>
      <c r="U2084">
        <v>201.4</v>
      </c>
      <c r="V2084">
        <f t="shared" si="64"/>
        <v>204.95</v>
      </c>
      <c r="W2084">
        <f t="shared" si="65"/>
        <v>7.0999999999999943</v>
      </c>
      <c r="X2084">
        <v>-109.243332</v>
      </c>
      <c r="Y2084">
        <v>38.155555999999997</v>
      </c>
      <c r="Z2084" t="s">
        <v>105</v>
      </c>
      <c r="AA2084" t="s">
        <v>66</v>
      </c>
      <c r="AB2084" t="s">
        <v>2563</v>
      </c>
      <c r="AC2084" t="s">
        <v>285</v>
      </c>
      <c r="AD2084" t="s">
        <v>4088</v>
      </c>
      <c r="AE2084" t="s">
        <v>809</v>
      </c>
      <c r="AH2084" t="s">
        <v>11</v>
      </c>
      <c r="AI2084" t="s">
        <v>209</v>
      </c>
      <c r="AJ2084">
        <v>2014</v>
      </c>
      <c r="AK2084" t="s">
        <v>4089</v>
      </c>
      <c r="AN2084" t="s">
        <v>76</v>
      </c>
      <c r="AO2084" t="s">
        <v>77</v>
      </c>
      <c r="AP2084" t="s">
        <v>115</v>
      </c>
      <c r="AQ2084" t="s">
        <v>4090</v>
      </c>
      <c r="AR2084" t="s">
        <v>80</v>
      </c>
      <c r="AS2084">
        <v>101</v>
      </c>
      <c r="AT2084" t="s">
        <v>81</v>
      </c>
      <c r="AU2084">
        <v>-38.07</v>
      </c>
      <c r="AV2084">
        <v>12.82</v>
      </c>
      <c r="AW2084" t="s">
        <v>82</v>
      </c>
      <c r="AX2084">
        <v>133</v>
      </c>
      <c r="AY2084" t="s">
        <v>81</v>
      </c>
      <c r="AZ2084">
        <v>-53.7</v>
      </c>
      <c r="BA2084">
        <v>15.2</v>
      </c>
      <c r="BB2084" t="s">
        <v>83</v>
      </c>
    </row>
    <row r="2085" spans="1:54" x14ac:dyDescent="0.4">
      <c r="A2085">
        <v>1092801</v>
      </c>
      <c r="D2085" t="s">
        <v>54</v>
      </c>
      <c r="F2085" t="s">
        <v>1200</v>
      </c>
      <c r="I2085" t="s">
        <v>57</v>
      </c>
      <c r="K2085" t="s">
        <v>141</v>
      </c>
      <c r="L2085" t="s">
        <v>3994</v>
      </c>
      <c r="M2085" t="s">
        <v>60</v>
      </c>
      <c r="P2085" t="s">
        <v>89</v>
      </c>
      <c r="R2085" t="s">
        <v>63</v>
      </c>
      <c r="S2085" t="s">
        <v>64</v>
      </c>
      <c r="T2085">
        <v>208.5</v>
      </c>
      <c r="U2085">
        <v>201.4</v>
      </c>
      <c r="V2085">
        <f t="shared" si="64"/>
        <v>204.95</v>
      </c>
      <c r="W2085">
        <f t="shared" si="65"/>
        <v>7.0999999999999943</v>
      </c>
      <c r="X2085">
        <v>-2.3913890000000002</v>
      </c>
      <c r="Y2085">
        <v>51.203055999999997</v>
      </c>
      <c r="Z2085" t="s">
        <v>90</v>
      </c>
      <c r="AA2085" t="s">
        <v>91</v>
      </c>
      <c r="AB2085" t="s">
        <v>92</v>
      </c>
      <c r="AC2085" t="s">
        <v>93</v>
      </c>
      <c r="AH2085" t="s">
        <v>11</v>
      </c>
      <c r="AI2085" t="s">
        <v>4101</v>
      </c>
      <c r="AJ2085">
        <v>1994</v>
      </c>
      <c r="AK2085" t="s">
        <v>4102</v>
      </c>
      <c r="AM2085" t="s">
        <v>4103</v>
      </c>
      <c r="AN2085" t="s">
        <v>76</v>
      </c>
      <c r="AO2085" t="s">
        <v>77</v>
      </c>
      <c r="AP2085" t="s">
        <v>78</v>
      </c>
      <c r="AQ2085" t="s">
        <v>4104</v>
      </c>
      <c r="AR2085" t="s">
        <v>80</v>
      </c>
      <c r="AS2085">
        <v>315</v>
      </c>
      <c r="AT2085" t="s">
        <v>81</v>
      </c>
      <c r="AU2085">
        <v>9.2100000000000009</v>
      </c>
      <c r="AV2085">
        <v>34.01</v>
      </c>
      <c r="AW2085" t="s">
        <v>82</v>
      </c>
      <c r="AX2085">
        <v>315</v>
      </c>
      <c r="AY2085" t="s">
        <v>81</v>
      </c>
      <c r="AZ2085">
        <v>-1.31</v>
      </c>
      <c r="BA2085">
        <v>36.68</v>
      </c>
      <c r="BB2085" t="s">
        <v>83</v>
      </c>
    </row>
    <row r="2086" spans="1:54" x14ac:dyDescent="0.4">
      <c r="A2086">
        <v>1093393</v>
      </c>
      <c r="D2086" t="s">
        <v>54</v>
      </c>
      <c r="I2086" t="s">
        <v>57</v>
      </c>
      <c r="K2086" t="s">
        <v>132</v>
      </c>
      <c r="L2086" t="s">
        <v>133</v>
      </c>
      <c r="M2086" t="s">
        <v>60</v>
      </c>
      <c r="N2086" t="s">
        <v>119</v>
      </c>
      <c r="O2086" t="s">
        <v>134</v>
      </c>
      <c r="P2086" t="s">
        <v>89</v>
      </c>
      <c r="R2086" t="s">
        <v>63</v>
      </c>
      <c r="S2086" t="s">
        <v>64</v>
      </c>
      <c r="T2086">
        <v>208.5</v>
      </c>
      <c r="U2086">
        <v>201.4</v>
      </c>
      <c r="V2086">
        <f t="shared" si="64"/>
        <v>204.95</v>
      </c>
      <c r="W2086">
        <f t="shared" si="65"/>
        <v>7.0999999999999943</v>
      </c>
      <c r="X2086">
        <v>-2.5436109999999998</v>
      </c>
      <c r="Y2086">
        <v>51.252777000000002</v>
      </c>
      <c r="Z2086" t="s">
        <v>90</v>
      </c>
      <c r="AA2086" t="s">
        <v>91</v>
      </c>
      <c r="AB2086" t="s">
        <v>92</v>
      </c>
      <c r="AC2086" t="s">
        <v>93</v>
      </c>
      <c r="AH2086" t="s">
        <v>11</v>
      </c>
      <c r="AI2086" t="s">
        <v>147</v>
      </c>
      <c r="AJ2086">
        <v>2008</v>
      </c>
      <c r="AK2086" t="s">
        <v>98</v>
      </c>
      <c r="AN2086" t="s">
        <v>76</v>
      </c>
      <c r="AO2086" t="s">
        <v>77</v>
      </c>
      <c r="AP2086" t="s">
        <v>78</v>
      </c>
      <c r="AQ2086" t="s">
        <v>99</v>
      </c>
      <c r="AR2086" t="s">
        <v>80</v>
      </c>
      <c r="AS2086">
        <v>315</v>
      </c>
      <c r="AT2086" t="s">
        <v>81</v>
      </c>
      <c r="AU2086">
        <v>9.08</v>
      </c>
      <c r="AV2086">
        <v>34.01</v>
      </c>
      <c r="AW2086" t="s">
        <v>82</v>
      </c>
      <c r="AX2086">
        <v>315</v>
      </c>
      <c r="AY2086" t="s">
        <v>81</v>
      </c>
      <c r="AZ2086">
        <v>-1.44</v>
      </c>
      <c r="BA2086">
        <v>36.68</v>
      </c>
      <c r="BB2086" t="s">
        <v>83</v>
      </c>
    </row>
    <row r="2087" spans="1:54" x14ac:dyDescent="0.4">
      <c r="A2087">
        <v>1095301</v>
      </c>
      <c r="D2087" t="s">
        <v>54</v>
      </c>
      <c r="G2087">
        <v>1</v>
      </c>
      <c r="H2087" t="s">
        <v>84</v>
      </c>
      <c r="I2087" t="s">
        <v>57</v>
      </c>
      <c r="K2087" t="s">
        <v>141</v>
      </c>
      <c r="L2087" t="s">
        <v>4225</v>
      </c>
      <c r="M2087" t="s">
        <v>223</v>
      </c>
      <c r="P2087" t="s">
        <v>89</v>
      </c>
      <c r="R2087" t="s">
        <v>63</v>
      </c>
      <c r="S2087" t="s">
        <v>64</v>
      </c>
      <c r="T2087">
        <v>208.5</v>
      </c>
      <c r="U2087">
        <v>201.4</v>
      </c>
      <c r="V2087">
        <f t="shared" si="64"/>
        <v>204.95</v>
      </c>
      <c r="W2087">
        <f t="shared" si="65"/>
        <v>7.0999999999999943</v>
      </c>
      <c r="X2087">
        <v>10.405832999999999</v>
      </c>
      <c r="Y2087">
        <v>47.481110000000001</v>
      </c>
      <c r="Z2087" t="s">
        <v>520</v>
      </c>
      <c r="AA2087" t="s">
        <v>211</v>
      </c>
      <c r="AB2087" t="s">
        <v>953</v>
      </c>
      <c r="AD2087" t="s">
        <v>4226</v>
      </c>
      <c r="AH2087" t="s">
        <v>72</v>
      </c>
      <c r="AI2087" t="s">
        <v>2013</v>
      </c>
      <c r="AJ2087">
        <v>2001</v>
      </c>
      <c r="AK2087" t="s">
        <v>4227</v>
      </c>
      <c r="AN2087" t="s">
        <v>192</v>
      </c>
      <c r="AO2087" t="s">
        <v>77</v>
      </c>
      <c r="AP2087" t="s">
        <v>115</v>
      </c>
      <c r="AQ2087" t="s">
        <v>4227</v>
      </c>
      <c r="AR2087" t="s">
        <v>80</v>
      </c>
      <c r="AS2087">
        <v>305</v>
      </c>
      <c r="AT2087" t="s">
        <v>81</v>
      </c>
      <c r="AU2087">
        <v>20.23</v>
      </c>
      <c r="AV2087">
        <v>34.53</v>
      </c>
      <c r="AW2087" t="s">
        <v>82</v>
      </c>
      <c r="AX2087">
        <v>307</v>
      </c>
      <c r="AY2087" t="s">
        <v>81</v>
      </c>
      <c r="AZ2087">
        <v>13.51</v>
      </c>
      <c r="BA2087">
        <v>33.33</v>
      </c>
      <c r="BB2087" t="s">
        <v>83</v>
      </c>
    </row>
    <row r="2088" spans="1:54" x14ac:dyDescent="0.4">
      <c r="A2088">
        <v>1099947</v>
      </c>
      <c r="D2088" t="s">
        <v>54</v>
      </c>
      <c r="F2088" t="s">
        <v>1200</v>
      </c>
      <c r="I2088" t="s">
        <v>57</v>
      </c>
      <c r="K2088" t="s">
        <v>537</v>
      </c>
      <c r="L2088" t="s">
        <v>538</v>
      </c>
      <c r="M2088" t="s">
        <v>223</v>
      </c>
      <c r="N2088" t="s">
        <v>234</v>
      </c>
      <c r="O2088" t="s">
        <v>87</v>
      </c>
      <c r="P2088" t="s">
        <v>89</v>
      </c>
      <c r="R2088" t="s">
        <v>63</v>
      </c>
      <c r="S2088" t="s">
        <v>64</v>
      </c>
      <c r="T2088">
        <v>208.5</v>
      </c>
      <c r="U2088">
        <v>201.4</v>
      </c>
      <c r="V2088">
        <f t="shared" si="64"/>
        <v>204.95</v>
      </c>
      <c r="W2088">
        <f t="shared" si="65"/>
        <v>7.0999999999999943</v>
      </c>
      <c r="X2088">
        <v>9.0661109999999994</v>
      </c>
      <c r="Y2088">
        <v>48.558613000000001</v>
      </c>
      <c r="Z2088" t="s">
        <v>406</v>
      </c>
      <c r="AA2088" t="s">
        <v>211</v>
      </c>
      <c r="AB2088" t="s">
        <v>212</v>
      </c>
      <c r="AC2088" t="s">
        <v>4252</v>
      </c>
      <c r="AD2088" t="s">
        <v>4082</v>
      </c>
      <c r="AE2088" t="s">
        <v>215</v>
      </c>
      <c r="AH2088" t="s">
        <v>11</v>
      </c>
      <c r="AI2088" t="s">
        <v>693</v>
      </c>
      <c r="AJ2088">
        <v>1933</v>
      </c>
      <c r="AK2088" t="s">
        <v>4253</v>
      </c>
      <c r="AN2088" t="s">
        <v>114</v>
      </c>
      <c r="AO2088" t="s">
        <v>77</v>
      </c>
      <c r="AP2088" t="s">
        <v>115</v>
      </c>
      <c r="AQ2088" t="s">
        <v>4254</v>
      </c>
      <c r="AR2088" t="s">
        <v>80</v>
      </c>
      <c r="AS2088">
        <v>305</v>
      </c>
      <c r="AT2088" t="s">
        <v>81</v>
      </c>
      <c r="AU2088">
        <v>18.64</v>
      </c>
      <c r="AV2088">
        <v>35.04</v>
      </c>
      <c r="AW2088" t="s">
        <v>82</v>
      </c>
      <c r="AX2088">
        <v>305</v>
      </c>
      <c r="AY2088" t="s">
        <v>81</v>
      </c>
      <c r="AZ2088">
        <v>8.4600000000000009</v>
      </c>
      <c r="BA2088">
        <v>37.47</v>
      </c>
      <c r="BB2088" t="s">
        <v>83</v>
      </c>
    </row>
    <row r="2089" spans="1:54" x14ac:dyDescent="0.4">
      <c r="A2089">
        <v>1099948</v>
      </c>
      <c r="D2089" t="s">
        <v>54</v>
      </c>
      <c r="F2089" t="s">
        <v>1200</v>
      </c>
      <c r="I2089" t="s">
        <v>57</v>
      </c>
      <c r="K2089" t="s">
        <v>141</v>
      </c>
      <c r="L2089" t="s">
        <v>2448</v>
      </c>
      <c r="M2089" t="s">
        <v>223</v>
      </c>
      <c r="N2089" t="s">
        <v>2449</v>
      </c>
      <c r="O2089" t="s">
        <v>87</v>
      </c>
      <c r="P2089" t="s">
        <v>89</v>
      </c>
      <c r="R2089" t="s">
        <v>63</v>
      </c>
      <c r="S2089" t="s">
        <v>64</v>
      </c>
      <c r="T2089">
        <v>208.5</v>
      </c>
      <c r="U2089">
        <v>201.4</v>
      </c>
      <c r="V2089">
        <f t="shared" si="64"/>
        <v>204.95</v>
      </c>
      <c r="W2089">
        <f t="shared" si="65"/>
        <v>7.0999999999999943</v>
      </c>
      <c r="X2089">
        <v>9.0661109999999994</v>
      </c>
      <c r="Y2089">
        <v>48.558613000000001</v>
      </c>
      <c r="Z2089" t="s">
        <v>406</v>
      </c>
      <c r="AA2089" t="s">
        <v>211</v>
      </c>
      <c r="AB2089" t="s">
        <v>212</v>
      </c>
      <c r="AC2089" t="s">
        <v>4252</v>
      </c>
      <c r="AD2089" t="s">
        <v>4082</v>
      </c>
      <c r="AE2089" t="s">
        <v>215</v>
      </c>
      <c r="AH2089" t="s">
        <v>11</v>
      </c>
      <c r="AI2089" t="s">
        <v>693</v>
      </c>
      <c r="AJ2089">
        <v>1933</v>
      </c>
      <c r="AK2089" t="s">
        <v>4253</v>
      </c>
      <c r="AN2089" t="s">
        <v>114</v>
      </c>
      <c r="AO2089" t="s">
        <v>77</v>
      </c>
      <c r="AP2089" t="s">
        <v>115</v>
      </c>
      <c r="AQ2089" t="s">
        <v>4254</v>
      </c>
      <c r="AR2089" t="s">
        <v>80</v>
      </c>
      <c r="AS2089">
        <v>305</v>
      </c>
      <c r="AT2089" t="s">
        <v>81</v>
      </c>
      <c r="AU2089">
        <v>18.64</v>
      </c>
      <c r="AV2089">
        <v>35.04</v>
      </c>
      <c r="AW2089" t="s">
        <v>82</v>
      </c>
      <c r="AX2089">
        <v>305</v>
      </c>
      <c r="AY2089" t="s">
        <v>81</v>
      </c>
      <c r="AZ2089">
        <v>8.4600000000000009</v>
      </c>
      <c r="BA2089">
        <v>37.47</v>
      </c>
      <c r="BB2089" t="s">
        <v>83</v>
      </c>
    </row>
    <row r="2090" spans="1:54" x14ac:dyDescent="0.4">
      <c r="A2090">
        <v>1099949</v>
      </c>
      <c r="D2090" t="s">
        <v>54</v>
      </c>
      <c r="F2090" t="s">
        <v>1200</v>
      </c>
      <c r="I2090" t="s">
        <v>57</v>
      </c>
      <c r="K2090" t="s">
        <v>141</v>
      </c>
      <c r="L2090" t="s">
        <v>533</v>
      </c>
      <c r="M2090" t="s">
        <v>60</v>
      </c>
      <c r="O2090" t="s">
        <v>87</v>
      </c>
      <c r="P2090" t="s">
        <v>89</v>
      </c>
      <c r="R2090" t="s">
        <v>63</v>
      </c>
      <c r="S2090" t="s">
        <v>64</v>
      </c>
      <c r="T2090">
        <v>208.5</v>
      </c>
      <c r="U2090">
        <v>201.4</v>
      </c>
      <c r="V2090">
        <f t="shared" si="64"/>
        <v>204.95</v>
      </c>
      <c r="W2090">
        <f t="shared" si="65"/>
        <v>7.0999999999999943</v>
      </c>
      <c r="X2090">
        <v>9.0661109999999994</v>
      </c>
      <c r="Y2090">
        <v>48.558613000000001</v>
      </c>
      <c r="Z2090" t="s">
        <v>406</v>
      </c>
      <c r="AA2090" t="s">
        <v>211</v>
      </c>
      <c r="AB2090" t="s">
        <v>212</v>
      </c>
      <c r="AC2090" t="s">
        <v>4252</v>
      </c>
      <c r="AD2090" t="s">
        <v>4082</v>
      </c>
      <c r="AE2090" t="s">
        <v>215</v>
      </c>
      <c r="AH2090" t="s">
        <v>11</v>
      </c>
      <c r="AI2090" t="s">
        <v>693</v>
      </c>
      <c r="AJ2090">
        <v>1933</v>
      </c>
      <c r="AK2090" t="s">
        <v>4253</v>
      </c>
      <c r="AN2090" t="s">
        <v>114</v>
      </c>
      <c r="AO2090" t="s">
        <v>77</v>
      </c>
      <c r="AP2090" t="s">
        <v>115</v>
      </c>
      <c r="AQ2090" t="s">
        <v>4254</v>
      </c>
      <c r="AR2090" t="s">
        <v>80</v>
      </c>
      <c r="AS2090">
        <v>305</v>
      </c>
      <c r="AT2090" t="s">
        <v>81</v>
      </c>
      <c r="AU2090">
        <v>18.64</v>
      </c>
      <c r="AV2090">
        <v>35.04</v>
      </c>
      <c r="AW2090" t="s">
        <v>82</v>
      </c>
      <c r="AX2090">
        <v>305</v>
      </c>
      <c r="AY2090" t="s">
        <v>81</v>
      </c>
      <c r="AZ2090">
        <v>8.4600000000000009</v>
      </c>
      <c r="BA2090">
        <v>37.47</v>
      </c>
      <c r="BB2090" t="s">
        <v>83</v>
      </c>
    </row>
    <row r="2091" spans="1:54" x14ac:dyDescent="0.4">
      <c r="A2091">
        <v>1101333</v>
      </c>
      <c r="D2091" t="s">
        <v>54</v>
      </c>
      <c r="F2091" t="s">
        <v>1200</v>
      </c>
      <c r="I2091" t="s">
        <v>57</v>
      </c>
      <c r="K2091" t="s">
        <v>537</v>
      </c>
      <c r="L2091" t="s">
        <v>538</v>
      </c>
      <c r="M2091" t="s">
        <v>223</v>
      </c>
      <c r="N2091" t="s">
        <v>234</v>
      </c>
      <c r="O2091" t="s">
        <v>87</v>
      </c>
      <c r="P2091" t="s">
        <v>89</v>
      </c>
      <c r="R2091" t="s">
        <v>63</v>
      </c>
      <c r="S2091" t="s">
        <v>64</v>
      </c>
      <c r="T2091">
        <v>208.5</v>
      </c>
      <c r="U2091">
        <v>201.4</v>
      </c>
      <c r="V2091">
        <f t="shared" si="64"/>
        <v>204.95</v>
      </c>
      <c r="W2091">
        <f t="shared" si="65"/>
        <v>7.0999999999999943</v>
      </c>
      <c r="X2091">
        <v>5.6166669999999996</v>
      </c>
      <c r="Y2091">
        <v>49.708331999999999</v>
      </c>
      <c r="Z2091" t="s">
        <v>1004</v>
      </c>
      <c r="AA2091" t="s">
        <v>4268</v>
      </c>
      <c r="AB2091" t="s">
        <v>4269</v>
      </c>
      <c r="AD2091" t="s">
        <v>4270</v>
      </c>
      <c r="AH2091" t="s">
        <v>11</v>
      </c>
      <c r="AI2091" t="s">
        <v>4271</v>
      </c>
      <c r="AJ2091">
        <v>1983</v>
      </c>
      <c r="AK2091" t="s">
        <v>4272</v>
      </c>
      <c r="AN2091" t="s">
        <v>192</v>
      </c>
      <c r="AO2091" t="s">
        <v>77</v>
      </c>
      <c r="AP2091" t="s">
        <v>115</v>
      </c>
      <c r="AQ2091" t="s">
        <v>4273</v>
      </c>
      <c r="AR2091" t="s">
        <v>80</v>
      </c>
      <c r="AS2091">
        <v>315</v>
      </c>
      <c r="AT2091" t="s">
        <v>81</v>
      </c>
      <c r="AU2091">
        <v>15.55</v>
      </c>
      <c r="AV2091">
        <v>34.979999999999997</v>
      </c>
      <c r="AW2091" t="s">
        <v>82</v>
      </c>
      <c r="AX2091">
        <v>315</v>
      </c>
      <c r="AY2091" t="s">
        <v>81</v>
      </c>
      <c r="AZ2091">
        <v>5.27</v>
      </c>
      <c r="BA2091">
        <v>37.49</v>
      </c>
      <c r="BB2091" t="s">
        <v>83</v>
      </c>
    </row>
    <row r="2092" spans="1:54" x14ac:dyDescent="0.4">
      <c r="A2092">
        <v>1101354</v>
      </c>
      <c r="D2092" t="s">
        <v>54</v>
      </c>
      <c r="F2092" t="s">
        <v>1200</v>
      </c>
      <c r="I2092" t="s">
        <v>57</v>
      </c>
      <c r="K2092" t="s">
        <v>141</v>
      </c>
      <c r="L2092" t="s">
        <v>2448</v>
      </c>
      <c r="M2092" t="s">
        <v>223</v>
      </c>
      <c r="N2092" t="s">
        <v>2449</v>
      </c>
      <c r="O2092" t="s">
        <v>87</v>
      </c>
      <c r="P2092" t="s">
        <v>89</v>
      </c>
      <c r="R2092" t="s">
        <v>63</v>
      </c>
      <c r="S2092" t="s">
        <v>64</v>
      </c>
      <c r="T2092">
        <v>208.5</v>
      </c>
      <c r="U2092">
        <v>201.4</v>
      </c>
      <c r="V2092">
        <f t="shared" si="64"/>
        <v>204.95</v>
      </c>
      <c r="W2092">
        <f t="shared" si="65"/>
        <v>7.0999999999999943</v>
      </c>
      <c r="X2092">
        <v>5.6623479999999997</v>
      </c>
      <c r="Y2092">
        <v>49.697243</v>
      </c>
      <c r="Z2092" t="s">
        <v>1004</v>
      </c>
      <c r="AA2092" t="s">
        <v>4268</v>
      </c>
      <c r="AB2092" t="s">
        <v>4269</v>
      </c>
      <c r="AD2092" t="s">
        <v>4274</v>
      </c>
      <c r="AH2092" t="s">
        <v>11</v>
      </c>
      <c r="AI2092" t="s">
        <v>4271</v>
      </c>
      <c r="AJ2092">
        <v>1983</v>
      </c>
      <c r="AK2092" t="s">
        <v>4275</v>
      </c>
      <c r="AN2092" t="s">
        <v>192</v>
      </c>
      <c r="AO2092">
        <v>6</v>
      </c>
      <c r="AP2092" t="s">
        <v>115</v>
      </c>
      <c r="AQ2092" t="s">
        <v>4276</v>
      </c>
      <c r="AR2092" t="s">
        <v>80</v>
      </c>
      <c r="AS2092">
        <v>315</v>
      </c>
      <c r="AT2092" t="s">
        <v>81</v>
      </c>
      <c r="AU2092">
        <v>15.59</v>
      </c>
      <c r="AV2092">
        <v>34.979999999999997</v>
      </c>
      <c r="AW2092" t="s">
        <v>82</v>
      </c>
      <c r="AX2092">
        <v>315</v>
      </c>
      <c r="AY2092" t="s">
        <v>81</v>
      </c>
      <c r="AZ2092">
        <v>5.31</v>
      </c>
      <c r="BA2092">
        <v>37.49</v>
      </c>
      <c r="BB2092" t="s">
        <v>83</v>
      </c>
    </row>
    <row r="2093" spans="1:54" x14ac:dyDescent="0.4">
      <c r="A2093">
        <v>1101373</v>
      </c>
      <c r="D2093" t="s">
        <v>54</v>
      </c>
      <c r="F2093" t="s">
        <v>1200</v>
      </c>
      <c r="I2093" t="s">
        <v>57</v>
      </c>
      <c r="K2093" t="s">
        <v>537</v>
      </c>
      <c r="L2093" t="s">
        <v>538</v>
      </c>
      <c r="M2093" t="s">
        <v>223</v>
      </c>
      <c r="N2093" t="s">
        <v>234</v>
      </c>
      <c r="O2093" t="s">
        <v>87</v>
      </c>
      <c r="P2093" t="s">
        <v>89</v>
      </c>
      <c r="R2093" t="s">
        <v>63</v>
      </c>
      <c r="S2093" t="s">
        <v>64</v>
      </c>
      <c r="T2093">
        <v>208.5</v>
      </c>
      <c r="U2093">
        <v>201.4</v>
      </c>
      <c r="V2093">
        <f t="shared" si="64"/>
        <v>204.95</v>
      </c>
      <c r="W2093">
        <f t="shared" si="65"/>
        <v>7.0999999999999943</v>
      </c>
      <c r="X2093">
        <v>5.6623479999999997</v>
      </c>
      <c r="Y2093">
        <v>49.697243</v>
      </c>
      <c r="Z2093" t="s">
        <v>1004</v>
      </c>
      <c r="AA2093" t="s">
        <v>4268</v>
      </c>
      <c r="AB2093" t="s">
        <v>4269</v>
      </c>
      <c r="AD2093" t="s">
        <v>4274</v>
      </c>
      <c r="AH2093" t="s">
        <v>11</v>
      </c>
      <c r="AI2093" t="s">
        <v>4271</v>
      </c>
      <c r="AJ2093">
        <v>1983</v>
      </c>
      <c r="AK2093" t="s">
        <v>4277</v>
      </c>
      <c r="AN2093" t="s">
        <v>192</v>
      </c>
      <c r="AO2093">
        <v>6</v>
      </c>
      <c r="AP2093" t="s">
        <v>115</v>
      </c>
      <c r="AQ2093" t="s">
        <v>4276</v>
      </c>
      <c r="AR2093" t="s">
        <v>80</v>
      </c>
      <c r="AS2093">
        <v>315</v>
      </c>
      <c r="AT2093" t="s">
        <v>81</v>
      </c>
      <c r="AU2093">
        <v>15.59</v>
      </c>
      <c r="AV2093">
        <v>34.979999999999997</v>
      </c>
      <c r="AW2093" t="s">
        <v>82</v>
      </c>
      <c r="AX2093">
        <v>315</v>
      </c>
      <c r="AY2093" t="s">
        <v>81</v>
      </c>
      <c r="AZ2093">
        <v>5.31</v>
      </c>
      <c r="BA2093">
        <v>37.49</v>
      </c>
      <c r="BB2093" t="s">
        <v>83</v>
      </c>
    </row>
    <row r="2094" spans="1:54" x14ac:dyDescent="0.4">
      <c r="A2094">
        <v>1101374</v>
      </c>
      <c r="D2094" t="s">
        <v>54</v>
      </c>
      <c r="F2094" t="s">
        <v>1200</v>
      </c>
      <c r="I2094" t="s">
        <v>57</v>
      </c>
      <c r="K2094" t="s">
        <v>141</v>
      </c>
      <c r="L2094" t="s">
        <v>2448</v>
      </c>
      <c r="M2094" t="s">
        <v>223</v>
      </c>
      <c r="N2094" t="s">
        <v>2449</v>
      </c>
      <c r="O2094" t="s">
        <v>87</v>
      </c>
      <c r="P2094" t="s">
        <v>89</v>
      </c>
      <c r="R2094" t="s">
        <v>63</v>
      </c>
      <c r="S2094" t="s">
        <v>64</v>
      </c>
      <c r="T2094">
        <v>208.5</v>
      </c>
      <c r="U2094">
        <v>201.4</v>
      </c>
      <c r="V2094">
        <f t="shared" si="64"/>
        <v>204.95</v>
      </c>
      <c r="W2094">
        <f t="shared" si="65"/>
        <v>7.0999999999999943</v>
      </c>
      <c r="X2094">
        <v>5.6623479999999997</v>
      </c>
      <c r="Y2094">
        <v>49.697243</v>
      </c>
      <c r="Z2094" t="s">
        <v>1004</v>
      </c>
      <c r="AA2094" t="s">
        <v>4268</v>
      </c>
      <c r="AB2094" t="s">
        <v>4269</v>
      </c>
      <c r="AD2094" t="s">
        <v>4274</v>
      </c>
      <c r="AH2094" t="s">
        <v>11</v>
      </c>
      <c r="AI2094" t="s">
        <v>4271</v>
      </c>
      <c r="AJ2094">
        <v>1983</v>
      </c>
      <c r="AK2094" t="s">
        <v>4277</v>
      </c>
      <c r="AN2094" t="s">
        <v>192</v>
      </c>
      <c r="AO2094">
        <v>6</v>
      </c>
      <c r="AP2094" t="s">
        <v>115</v>
      </c>
      <c r="AQ2094" t="s">
        <v>4276</v>
      </c>
      <c r="AR2094" t="s">
        <v>80</v>
      </c>
      <c r="AS2094">
        <v>315</v>
      </c>
      <c r="AT2094" t="s">
        <v>81</v>
      </c>
      <c r="AU2094">
        <v>15.59</v>
      </c>
      <c r="AV2094">
        <v>34.979999999999997</v>
      </c>
      <c r="AW2094" t="s">
        <v>82</v>
      </c>
      <c r="AX2094">
        <v>315</v>
      </c>
      <c r="AY2094" t="s">
        <v>81</v>
      </c>
      <c r="AZ2094">
        <v>5.31</v>
      </c>
      <c r="BA2094">
        <v>37.49</v>
      </c>
      <c r="BB2094" t="s">
        <v>83</v>
      </c>
    </row>
    <row r="2095" spans="1:54" x14ac:dyDescent="0.4">
      <c r="A2095">
        <v>1104052</v>
      </c>
      <c r="D2095" t="s">
        <v>54</v>
      </c>
      <c r="E2095" t="s">
        <v>55</v>
      </c>
      <c r="I2095" t="s">
        <v>57</v>
      </c>
      <c r="K2095" t="s">
        <v>141</v>
      </c>
      <c r="L2095" t="s">
        <v>264</v>
      </c>
      <c r="M2095" t="s">
        <v>60</v>
      </c>
      <c r="P2095" t="s">
        <v>89</v>
      </c>
      <c r="R2095" t="s">
        <v>63</v>
      </c>
      <c r="S2095" t="s">
        <v>64</v>
      </c>
      <c r="T2095">
        <v>208.5</v>
      </c>
      <c r="U2095">
        <v>201.4</v>
      </c>
      <c r="V2095">
        <f t="shared" si="64"/>
        <v>204.95</v>
      </c>
      <c r="W2095">
        <f t="shared" si="65"/>
        <v>7.0999999999999943</v>
      </c>
      <c r="X2095">
        <v>11.073611</v>
      </c>
      <c r="Y2095">
        <v>51.897499000000003</v>
      </c>
      <c r="Z2095" t="s">
        <v>198</v>
      </c>
      <c r="AA2095" t="s">
        <v>211</v>
      </c>
      <c r="AB2095" t="s">
        <v>266</v>
      </c>
      <c r="AD2095" t="s">
        <v>267</v>
      </c>
      <c r="AE2095" t="s">
        <v>215</v>
      </c>
      <c r="AF2095" t="s">
        <v>268</v>
      </c>
      <c r="AH2095" t="s">
        <v>72</v>
      </c>
      <c r="AI2095" t="s">
        <v>3273</v>
      </c>
      <c r="AJ2095">
        <v>1939</v>
      </c>
      <c r="AK2095" t="s">
        <v>270</v>
      </c>
      <c r="AM2095" t="s">
        <v>271</v>
      </c>
      <c r="AN2095" t="s">
        <v>114</v>
      </c>
      <c r="AO2095" t="s">
        <v>77</v>
      </c>
      <c r="AP2095" t="s">
        <v>78</v>
      </c>
      <c r="AQ2095" t="s">
        <v>272</v>
      </c>
      <c r="AR2095" t="s">
        <v>80</v>
      </c>
      <c r="AS2095">
        <v>315</v>
      </c>
      <c r="AT2095" t="s">
        <v>81</v>
      </c>
      <c r="AU2095">
        <v>17.95</v>
      </c>
      <c r="AV2095">
        <v>38.58</v>
      </c>
      <c r="AW2095" t="s">
        <v>82</v>
      </c>
      <c r="AX2095">
        <v>315</v>
      </c>
      <c r="AY2095" t="s">
        <v>81</v>
      </c>
      <c r="AZ2095">
        <v>7.92</v>
      </c>
      <c r="BA2095">
        <v>41.02</v>
      </c>
      <c r="BB2095" t="s">
        <v>83</v>
      </c>
    </row>
    <row r="2096" spans="1:54" x14ac:dyDescent="0.4">
      <c r="A2096">
        <v>1104085</v>
      </c>
      <c r="D2096" t="s">
        <v>54</v>
      </c>
      <c r="I2096" t="s">
        <v>57</v>
      </c>
      <c r="K2096" t="s">
        <v>4284</v>
      </c>
      <c r="L2096" t="s">
        <v>4285</v>
      </c>
      <c r="M2096" t="s">
        <v>223</v>
      </c>
      <c r="P2096" t="s">
        <v>89</v>
      </c>
      <c r="R2096" t="s">
        <v>63</v>
      </c>
      <c r="S2096" t="s">
        <v>64</v>
      </c>
      <c r="T2096">
        <v>208.5</v>
      </c>
      <c r="U2096">
        <v>201.4</v>
      </c>
      <c r="V2096">
        <f t="shared" si="64"/>
        <v>204.95</v>
      </c>
      <c r="W2096">
        <f t="shared" si="65"/>
        <v>7.0999999999999943</v>
      </c>
      <c r="X2096">
        <v>11.073611</v>
      </c>
      <c r="Y2096">
        <v>51.897499000000003</v>
      </c>
      <c r="Z2096" t="s">
        <v>198</v>
      </c>
      <c r="AA2096" t="s">
        <v>211</v>
      </c>
      <c r="AB2096" t="s">
        <v>266</v>
      </c>
      <c r="AD2096" t="s">
        <v>267</v>
      </c>
      <c r="AE2096" t="s">
        <v>215</v>
      </c>
      <c r="AF2096" t="s">
        <v>268</v>
      </c>
      <c r="AH2096" t="s">
        <v>72</v>
      </c>
      <c r="AI2096" t="s">
        <v>3273</v>
      </c>
      <c r="AJ2096">
        <v>1939</v>
      </c>
      <c r="AK2096" t="s">
        <v>4286</v>
      </c>
      <c r="AN2096" t="s">
        <v>114</v>
      </c>
      <c r="AO2096" t="s">
        <v>77</v>
      </c>
      <c r="AP2096" t="s">
        <v>78</v>
      </c>
      <c r="AQ2096" t="s">
        <v>4287</v>
      </c>
      <c r="AR2096" t="s">
        <v>80</v>
      </c>
      <c r="AS2096">
        <v>315</v>
      </c>
      <c r="AT2096" t="s">
        <v>81</v>
      </c>
      <c r="AU2096">
        <v>17.95</v>
      </c>
      <c r="AV2096">
        <v>38.58</v>
      </c>
      <c r="AW2096" t="s">
        <v>82</v>
      </c>
      <c r="AX2096">
        <v>315</v>
      </c>
      <c r="AY2096" t="s">
        <v>81</v>
      </c>
      <c r="AZ2096">
        <v>7.92</v>
      </c>
      <c r="BA2096">
        <v>41.02</v>
      </c>
      <c r="BB2096" t="s">
        <v>83</v>
      </c>
    </row>
    <row r="2097" spans="1:54" x14ac:dyDescent="0.4">
      <c r="A2097">
        <v>1104086</v>
      </c>
      <c r="D2097" t="s">
        <v>54</v>
      </c>
      <c r="I2097" t="s">
        <v>57</v>
      </c>
      <c r="K2097" t="s">
        <v>746</v>
      </c>
      <c r="L2097" t="s">
        <v>1357</v>
      </c>
      <c r="M2097" t="s">
        <v>60</v>
      </c>
      <c r="N2097" t="s">
        <v>119</v>
      </c>
      <c r="O2097" t="s">
        <v>345</v>
      </c>
      <c r="P2097" t="s">
        <v>89</v>
      </c>
      <c r="R2097" t="s">
        <v>63</v>
      </c>
      <c r="S2097" t="s">
        <v>64</v>
      </c>
      <c r="T2097">
        <v>208.5</v>
      </c>
      <c r="U2097">
        <v>201.4</v>
      </c>
      <c r="V2097">
        <f t="shared" si="64"/>
        <v>204.95</v>
      </c>
      <c r="W2097">
        <f t="shared" si="65"/>
        <v>7.0999999999999943</v>
      </c>
      <c r="X2097">
        <v>11.073611</v>
      </c>
      <c r="Y2097">
        <v>51.897499000000003</v>
      </c>
      <c r="Z2097" t="s">
        <v>198</v>
      </c>
      <c r="AA2097" t="s">
        <v>211</v>
      </c>
      <c r="AB2097" t="s">
        <v>266</v>
      </c>
      <c r="AD2097" t="s">
        <v>267</v>
      </c>
      <c r="AE2097" t="s">
        <v>215</v>
      </c>
      <c r="AF2097" t="s">
        <v>268</v>
      </c>
      <c r="AH2097" t="s">
        <v>11</v>
      </c>
      <c r="AI2097" t="s">
        <v>3273</v>
      </c>
      <c r="AJ2097">
        <v>1939</v>
      </c>
      <c r="AK2097" t="s">
        <v>4286</v>
      </c>
      <c r="AN2097" t="s">
        <v>114</v>
      </c>
      <c r="AO2097" t="s">
        <v>77</v>
      </c>
      <c r="AP2097" t="s">
        <v>78</v>
      </c>
      <c r="AQ2097" t="s">
        <v>4287</v>
      </c>
      <c r="AR2097" t="s">
        <v>80</v>
      </c>
      <c r="AS2097">
        <v>315</v>
      </c>
      <c r="AT2097" t="s">
        <v>81</v>
      </c>
      <c r="AU2097">
        <v>17.95</v>
      </c>
      <c r="AV2097">
        <v>38.58</v>
      </c>
      <c r="AW2097" t="s">
        <v>82</v>
      </c>
      <c r="AX2097">
        <v>315</v>
      </c>
      <c r="AY2097" t="s">
        <v>81</v>
      </c>
      <c r="AZ2097">
        <v>7.92</v>
      </c>
      <c r="BA2097">
        <v>41.02</v>
      </c>
      <c r="BB2097" t="s">
        <v>83</v>
      </c>
    </row>
    <row r="2098" spans="1:54" x14ac:dyDescent="0.4">
      <c r="A2098">
        <v>1104090</v>
      </c>
      <c r="D2098" t="s">
        <v>54</v>
      </c>
      <c r="I2098" t="s">
        <v>57</v>
      </c>
      <c r="K2098" t="s">
        <v>85</v>
      </c>
      <c r="L2098" t="s">
        <v>1517</v>
      </c>
      <c r="M2098" t="s">
        <v>60</v>
      </c>
      <c r="O2098" t="s">
        <v>87</v>
      </c>
      <c r="P2098" t="s">
        <v>89</v>
      </c>
      <c r="R2098" t="s">
        <v>63</v>
      </c>
      <c r="S2098" t="s">
        <v>64</v>
      </c>
      <c r="T2098">
        <v>208.5</v>
      </c>
      <c r="U2098">
        <v>201.4</v>
      </c>
      <c r="V2098">
        <f t="shared" si="64"/>
        <v>204.95</v>
      </c>
      <c r="W2098">
        <f t="shared" si="65"/>
        <v>7.0999999999999943</v>
      </c>
      <c r="X2098">
        <v>11.073611</v>
      </c>
      <c r="Y2098">
        <v>51.897499000000003</v>
      </c>
      <c r="Z2098" t="s">
        <v>198</v>
      </c>
      <c r="AA2098" t="s">
        <v>211</v>
      </c>
      <c r="AB2098" t="s">
        <v>266</v>
      </c>
      <c r="AD2098" t="s">
        <v>267</v>
      </c>
      <c r="AE2098" t="s">
        <v>215</v>
      </c>
      <c r="AF2098" t="s">
        <v>268</v>
      </c>
      <c r="AH2098" t="s">
        <v>11</v>
      </c>
      <c r="AI2098" t="s">
        <v>3273</v>
      </c>
      <c r="AJ2098">
        <v>1939</v>
      </c>
      <c r="AK2098" t="s">
        <v>4288</v>
      </c>
      <c r="AN2098" t="s">
        <v>114</v>
      </c>
      <c r="AO2098" t="s">
        <v>77</v>
      </c>
      <c r="AP2098" t="s">
        <v>78</v>
      </c>
      <c r="AQ2098" t="s">
        <v>4287</v>
      </c>
      <c r="AR2098" t="s">
        <v>80</v>
      </c>
      <c r="AS2098">
        <v>315</v>
      </c>
      <c r="AT2098" t="s">
        <v>81</v>
      </c>
      <c r="AU2098">
        <v>17.95</v>
      </c>
      <c r="AV2098">
        <v>38.58</v>
      </c>
      <c r="AW2098" t="s">
        <v>82</v>
      </c>
      <c r="AX2098">
        <v>315</v>
      </c>
      <c r="AY2098" t="s">
        <v>81</v>
      </c>
      <c r="AZ2098">
        <v>7.92</v>
      </c>
      <c r="BA2098">
        <v>41.02</v>
      </c>
      <c r="BB2098" t="s">
        <v>83</v>
      </c>
    </row>
    <row r="2099" spans="1:54" x14ac:dyDescent="0.4">
      <c r="A2099">
        <v>1104093</v>
      </c>
      <c r="D2099" t="s">
        <v>54</v>
      </c>
      <c r="I2099" t="s">
        <v>57</v>
      </c>
      <c r="K2099" t="s">
        <v>746</v>
      </c>
      <c r="L2099" t="s">
        <v>1357</v>
      </c>
      <c r="M2099" t="s">
        <v>60</v>
      </c>
      <c r="N2099" t="s">
        <v>119</v>
      </c>
      <c r="O2099" t="s">
        <v>345</v>
      </c>
      <c r="P2099" t="s">
        <v>89</v>
      </c>
      <c r="R2099" t="s">
        <v>63</v>
      </c>
      <c r="S2099" t="s">
        <v>64</v>
      </c>
      <c r="T2099">
        <v>208.5</v>
      </c>
      <c r="U2099">
        <v>201.4</v>
      </c>
      <c r="V2099">
        <f t="shared" si="64"/>
        <v>204.95</v>
      </c>
      <c r="W2099">
        <f t="shared" si="65"/>
        <v>7.0999999999999943</v>
      </c>
      <c r="X2099">
        <v>11.073611</v>
      </c>
      <c r="Y2099">
        <v>51.897499000000003</v>
      </c>
      <c r="Z2099" t="s">
        <v>1004</v>
      </c>
      <c r="AA2099" t="s">
        <v>211</v>
      </c>
      <c r="AB2099" t="s">
        <v>266</v>
      </c>
      <c r="AD2099" t="s">
        <v>267</v>
      </c>
      <c r="AE2099" t="s">
        <v>215</v>
      </c>
      <c r="AF2099" t="s">
        <v>268</v>
      </c>
      <c r="AH2099" t="s">
        <v>11</v>
      </c>
      <c r="AI2099" t="s">
        <v>3273</v>
      </c>
      <c r="AJ2099">
        <v>1939</v>
      </c>
      <c r="AK2099" t="s">
        <v>4289</v>
      </c>
      <c r="AN2099" t="s">
        <v>114</v>
      </c>
      <c r="AO2099" t="s">
        <v>77</v>
      </c>
      <c r="AP2099" t="s">
        <v>78</v>
      </c>
      <c r="AQ2099" t="s">
        <v>4287</v>
      </c>
      <c r="AR2099" t="s">
        <v>80</v>
      </c>
      <c r="AS2099">
        <v>315</v>
      </c>
      <c r="AT2099" t="s">
        <v>81</v>
      </c>
      <c r="AU2099">
        <v>17.95</v>
      </c>
      <c r="AV2099">
        <v>38.58</v>
      </c>
      <c r="AW2099" t="s">
        <v>82</v>
      </c>
      <c r="AX2099">
        <v>315</v>
      </c>
      <c r="AY2099" t="s">
        <v>81</v>
      </c>
      <c r="AZ2099">
        <v>7.92</v>
      </c>
      <c r="BA2099">
        <v>41.02</v>
      </c>
      <c r="BB2099" t="s">
        <v>83</v>
      </c>
    </row>
    <row r="2100" spans="1:54" x14ac:dyDescent="0.4">
      <c r="A2100">
        <v>1104094</v>
      </c>
      <c r="D2100" t="s">
        <v>54</v>
      </c>
      <c r="I2100" t="s">
        <v>57</v>
      </c>
      <c r="K2100" t="s">
        <v>141</v>
      </c>
      <c r="L2100" t="s">
        <v>2448</v>
      </c>
      <c r="M2100" t="s">
        <v>223</v>
      </c>
      <c r="N2100" t="s">
        <v>2449</v>
      </c>
      <c r="O2100" t="s">
        <v>87</v>
      </c>
      <c r="P2100" t="s">
        <v>89</v>
      </c>
      <c r="R2100" t="s">
        <v>63</v>
      </c>
      <c r="S2100" t="s">
        <v>64</v>
      </c>
      <c r="T2100">
        <v>208.5</v>
      </c>
      <c r="U2100">
        <v>201.4</v>
      </c>
      <c r="V2100">
        <f t="shared" si="64"/>
        <v>204.95</v>
      </c>
      <c r="W2100">
        <f t="shared" si="65"/>
        <v>7.0999999999999943</v>
      </c>
      <c r="X2100">
        <v>11.073611</v>
      </c>
      <c r="Y2100">
        <v>51.897499000000003</v>
      </c>
      <c r="Z2100" t="s">
        <v>1004</v>
      </c>
      <c r="AA2100" t="s">
        <v>211</v>
      </c>
      <c r="AB2100" t="s">
        <v>266</v>
      </c>
      <c r="AD2100" t="s">
        <v>267</v>
      </c>
      <c r="AE2100" t="s">
        <v>215</v>
      </c>
      <c r="AF2100" t="s">
        <v>268</v>
      </c>
      <c r="AH2100" t="s">
        <v>11</v>
      </c>
      <c r="AI2100" t="s">
        <v>3273</v>
      </c>
      <c r="AJ2100">
        <v>1939</v>
      </c>
      <c r="AK2100" t="s">
        <v>4289</v>
      </c>
      <c r="AN2100" t="s">
        <v>114</v>
      </c>
      <c r="AO2100" t="s">
        <v>77</v>
      </c>
      <c r="AP2100" t="s">
        <v>78</v>
      </c>
      <c r="AQ2100" t="s">
        <v>4287</v>
      </c>
      <c r="AR2100" t="s">
        <v>80</v>
      </c>
      <c r="AS2100">
        <v>315</v>
      </c>
      <c r="AT2100" t="s">
        <v>81</v>
      </c>
      <c r="AU2100">
        <v>17.95</v>
      </c>
      <c r="AV2100">
        <v>38.58</v>
      </c>
      <c r="AW2100" t="s">
        <v>82</v>
      </c>
      <c r="AX2100">
        <v>315</v>
      </c>
      <c r="AY2100" t="s">
        <v>81</v>
      </c>
      <c r="AZ2100">
        <v>7.92</v>
      </c>
      <c r="BA2100">
        <v>41.02</v>
      </c>
      <c r="BB2100" t="s">
        <v>83</v>
      </c>
    </row>
    <row r="2101" spans="1:54" x14ac:dyDescent="0.4">
      <c r="A2101">
        <v>1106462</v>
      </c>
      <c r="D2101" t="s">
        <v>54</v>
      </c>
      <c r="E2101" t="s">
        <v>55</v>
      </c>
      <c r="G2101">
        <v>1</v>
      </c>
      <c r="H2101" t="s">
        <v>84</v>
      </c>
      <c r="I2101" t="s">
        <v>57</v>
      </c>
      <c r="K2101" t="s">
        <v>244</v>
      </c>
      <c r="L2101" t="s">
        <v>245</v>
      </c>
      <c r="M2101" t="s">
        <v>60</v>
      </c>
      <c r="O2101" t="s">
        <v>170</v>
      </c>
      <c r="P2101" t="s">
        <v>89</v>
      </c>
      <c r="R2101" t="s">
        <v>63</v>
      </c>
      <c r="S2101" t="s">
        <v>64</v>
      </c>
      <c r="T2101">
        <v>208.5</v>
      </c>
      <c r="U2101">
        <v>201.4</v>
      </c>
      <c r="V2101">
        <f t="shared" si="64"/>
        <v>204.95</v>
      </c>
      <c r="W2101">
        <f t="shared" si="65"/>
        <v>7.0999999999999943</v>
      </c>
      <c r="X2101">
        <v>5.5288449999999996</v>
      </c>
      <c r="Y2101">
        <v>48.009726999999998</v>
      </c>
      <c r="Z2101" t="s">
        <v>520</v>
      </c>
      <c r="AA2101" t="s">
        <v>521</v>
      </c>
      <c r="AB2101" t="s">
        <v>4298</v>
      </c>
      <c r="AC2101" t="s">
        <v>4299</v>
      </c>
      <c r="AD2101" t="s">
        <v>4300</v>
      </c>
      <c r="AH2101" t="s">
        <v>72</v>
      </c>
      <c r="AI2101" t="s">
        <v>4301</v>
      </c>
      <c r="AJ2101">
        <v>1907</v>
      </c>
      <c r="AK2101" t="s">
        <v>4302</v>
      </c>
      <c r="AN2101" t="s">
        <v>114</v>
      </c>
      <c r="AO2101">
        <v>6</v>
      </c>
      <c r="AP2101" t="s">
        <v>115</v>
      </c>
      <c r="AR2101" t="s">
        <v>80</v>
      </c>
      <c r="AS2101">
        <v>305</v>
      </c>
      <c r="AT2101" t="s">
        <v>81</v>
      </c>
      <c r="AU2101">
        <v>16.45</v>
      </c>
      <c r="AV2101">
        <v>33.450000000000003</v>
      </c>
      <c r="AW2101" t="s">
        <v>82</v>
      </c>
      <c r="AX2101">
        <v>305</v>
      </c>
      <c r="AY2101" t="s">
        <v>81</v>
      </c>
      <c r="AZ2101">
        <v>6.13</v>
      </c>
      <c r="BA2101">
        <v>35.93</v>
      </c>
      <c r="BB2101" t="s">
        <v>83</v>
      </c>
    </row>
    <row r="2102" spans="1:54" x14ac:dyDescent="0.4">
      <c r="A2102">
        <v>1106817</v>
      </c>
      <c r="D2102" t="s">
        <v>54</v>
      </c>
      <c r="G2102">
        <v>1</v>
      </c>
      <c r="H2102" t="s">
        <v>84</v>
      </c>
      <c r="I2102" t="s">
        <v>57</v>
      </c>
      <c r="K2102" t="s">
        <v>244</v>
      </c>
      <c r="L2102" t="s">
        <v>245</v>
      </c>
      <c r="M2102" t="s">
        <v>60</v>
      </c>
      <c r="O2102" t="s">
        <v>170</v>
      </c>
      <c r="P2102" t="s">
        <v>89</v>
      </c>
      <c r="R2102" t="s">
        <v>63</v>
      </c>
      <c r="S2102" t="s">
        <v>64</v>
      </c>
      <c r="T2102">
        <v>208.5</v>
      </c>
      <c r="U2102">
        <v>201.4</v>
      </c>
      <c r="V2102">
        <f t="shared" si="64"/>
        <v>204.95</v>
      </c>
      <c r="W2102">
        <f t="shared" si="65"/>
        <v>7.0999999999999943</v>
      </c>
      <c r="X2102">
        <v>5.4406330000000001</v>
      </c>
      <c r="Y2102">
        <v>47.764595</v>
      </c>
      <c r="Z2102" t="s">
        <v>124</v>
      </c>
      <c r="AA2102" t="s">
        <v>521</v>
      </c>
      <c r="AB2102" t="s">
        <v>4303</v>
      </c>
      <c r="AC2102" t="s">
        <v>4299</v>
      </c>
      <c r="AH2102" t="s">
        <v>11</v>
      </c>
      <c r="AI2102" t="s">
        <v>4304</v>
      </c>
      <c r="AJ2102">
        <v>1967</v>
      </c>
      <c r="AK2102" t="s">
        <v>4305</v>
      </c>
      <c r="AN2102" t="s">
        <v>114</v>
      </c>
      <c r="AO2102">
        <v>6</v>
      </c>
      <c r="AP2102" t="s">
        <v>115</v>
      </c>
      <c r="AQ2102" t="s">
        <v>4306</v>
      </c>
      <c r="AR2102" t="s">
        <v>80</v>
      </c>
      <c r="AS2102">
        <v>305</v>
      </c>
      <c r="AT2102" t="s">
        <v>81</v>
      </c>
      <c r="AU2102">
        <v>16.52</v>
      </c>
      <c r="AV2102">
        <v>33.200000000000003</v>
      </c>
      <c r="AW2102" t="s">
        <v>82</v>
      </c>
      <c r="AX2102">
        <v>305</v>
      </c>
      <c r="AY2102" t="s">
        <v>81</v>
      </c>
      <c r="AZ2102">
        <v>6.19</v>
      </c>
      <c r="BA2102">
        <v>35.69</v>
      </c>
      <c r="BB2102" t="s">
        <v>83</v>
      </c>
    </row>
    <row r="2103" spans="1:54" x14ac:dyDescent="0.4">
      <c r="A2103">
        <v>1107581</v>
      </c>
      <c r="D2103" t="s">
        <v>54</v>
      </c>
      <c r="E2103" t="s">
        <v>55</v>
      </c>
      <c r="G2103">
        <v>2</v>
      </c>
      <c r="H2103" t="s">
        <v>84</v>
      </c>
      <c r="I2103" t="s">
        <v>57</v>
      </c>
      <c r="K2103" t="s">
        <v>141</v>
      </c>
      <c r="L2103" t="s">
        <v>2448</v>
      </c>
      <c r="M2103" t="s">
        <v>223</v>
      </c>
      <c r="N2103" t="s">
        <v>2449</v>
      </c>
      <c r="O2103" t="s">
        <v>87</v>
      </c>
      <c r="P2103" t="s">
        <v>89</v>
      </c>
      <c r="R2103" t="s">
        <v>63</v>
      </c>
      <c r="S2103" t="s">
        <v>64</v>
      </c>
      <c r="T2103">
        <v>208.5</v>
      </c>
      <c r="U2103">
        <v>201.4</v>
      </c>
      <c r="V2103">
        <f t="shared" si="64"/>
        <v>204.95</v>
      </c>
      <c r="W2103">
        <f t="shared" si="65"/>
        <v>7.0999999999999943</v>
      </c>
      <c r="X2103">
        <v>5.5288449999999996</v>
      </c>
      <c r="Y2103">
        <v>48.009726999999998</v>
      </c>
      <c r="Z2103" t="s">
        <v>520</v>
      </c>
      <c r="AA2103" t="s">
        <v>521</v>
      </c>
      <c r="AB2103" t="s">
        <v>4298</v>
      </c>
      <c r="AC2103" t="s">
        <v>4299</v>
      </c>
      <c r="AD2103" t="s">
        <v>4300</v>
      </c>
      <c r="AH2103" t="s">
        <v>72</v>
      </c>
      <c r="AI2103" t="s">
        <v>4301</v>
      </c>
      <c r="AJ2103">
        <v>1907</v>
      </c>
      <c r="AK2103" t="s">
        <v>4302</v>
      </c>
      <c r="AN2103" t="s">
        <v>114</v>
      </c>
      <c r="AO2103">
        <v>6</v>
      </c>
      <c r="AP2103" t="s">
        <v>115</v>
      </c>
      <c r="AR2103" t="s">
        <v>80</v>
      </c>
      <c r="AS2103">
        <v>305</v>
      </c>
      <c r="AT2103" t="s">
        <v>81</v>
      </c>
      <c r="AU2103">
        <v>16.45</v>
      </c>
      <c r="AV2103">
        <v>33.450000000000003</v>
      </c>
      <c r="AW2103" t="s">
        <v>82</v>
      </c>
      <c r="AX2103">
        <v>305</v>
      </c>
      <c r="AY2103" t="s">
        <v>81</v>
      </c>
      <c r="AZ2103">
        <v>6.13</v>
      </c>
      <c r="BA2103">
        <v>35.93</v>
      </c>
      <c r="BB2103" t="s">
        <v>83</v>
      </c>
    </row>
    <row r="2104" spans="1:54" x14ac:dyDescent="0.4">
      <c r="A2104">
        <v>1110864</v>
      </c>
      <c r="D2104" t="s">
        <v>54</v>
      </c>
      <c r="G2104">
        <v>1</v>
      </c>
      <c r="H2104" t="s">
        <v>84</v>
      </c>
      <c r="I2104" t="s">
        <v>57</v>
      </c>
      <c r="K2104" t="s">
        <v>141</v>
      </c>
      <c r="L2104" t="s">
        <v>2448</v>
      </c>
      <c r="M2104" t="s">
        <v>223</v>
      </c>
      <c r="N2104" t="s">
        <v>2449</v>
      </c>
      <c r="O2104" t="s">
        <v>87</v>
      </c>
      <c r="P2104" t="s">
        <v>89</v>
      </c>
      <c r="R2104" t="s">
        <v>63</v>
      </c>
      <c r="S2104" t="s">
        <v>64</v>
      </c>
      <c r="T2104">
        <v>208.5</v>
      </c>
      <c r="U2104">
        <v>201.4</v>
      </c>
      <c r="V2104">
        <f t="shared" si="64"/>
        <v>204.95</v>
      </c>
      <c r="W2104">
        <f t="shared" si="65"/>
        <v>7.0999999999999943</v>
      </c>
      <c r="X2104">
        <v>-2.63</v>
      </c>
      <c r="Y2104">
        <v>51.599997999999999</v>
      </c>
      <c r="Z2104" t="s">
        <v>1251</v>
      </c>
      <c r="AA2104" t="s">
        <v>91</v>
      </c>
      <c r="AB2104" t="s">
        <v>92</v>
      </c>
      <c r="AC2104" t="s">
        <v>136</v>
      </c>
      <c r="AD2104" t="s">
        <v>937</v>
      </c>
      <c r="AE2104" t="s">
        <v>938</v>
      </c>
      <c r="AH2104" t="s">
        <v>72</v>
      </c>
      <c r="AI2104" t="s">
        <v>1045</v>
      </c>
      <c r="AJ2104">
        <v>1840</v>
      </c>
      <c r="AK2104" t="s">
        <v>1253</v>
      </c>
      <c r="AN2104" t="s">
        <v>114</v>
      </c>
      <c r="AO2104">
        <v>1</v>
      </c>
      <c r="AP2104" t="s">
        <v>78</v>
      </c>
      <c r="AR2104" t="s">
        <v>80</v>
      </c>
      <c r="AS2104">
        <v>315</v>
      </c>
      <c r="AT2104" t="s">
        <v>81</v>
      </c>
      <c r="AU2104">
        <v>8.84</v>
      </c>
      <c r="AV2104">
        <v>34.299999999999997</v>
      </c>
      <c r="AW2104" t="s">
        <v>82</v>
      </c>
      <c r="AX2104">
        <v>315</v>
      </c>
      <c r="AY2104" t="s">
        <v>81</v>
      </c>
      <c r="AZ2104">
        <v>-1.68</v>
      </c>
      <c r="BA2104">
        <v>36.979999999999997</v>
      </c>
      <c r="BB2104" t="s">
        <v>83</v>
      </c>
    </row>
    <row r="2105" spans="1:54" x14ac:dyDescent="0.4">
      <c r="A2105">
        <v>1119323</v>
      </c>
      <c r="D2105" t="s">
        <v>54</v>
      </c>
      <c r="F2105" t="s">
        <v>1200</v>
      </c>
      <c r="G2105">
        <v>1</v>
      </c>
      <c r="H2105" t="s">
        <v>84</v>
      </c>
      <c r="I2105" t="s">
        <v>57</v>
      </c>
      <c r="K2105" t="s">
        <v>141</v>
      </c>
      <c r="L2105" t="s">
        <v>1043</v>
      </c>
      <c r="M2105" t="s">
        <v>60</v>
      </c>
      <c r="P2105" t="s">
        <v>89</v>
      </c>
      <c r="R2105" t="s">
        <v>63</v>
      </c>
      <c r="S2105" t="s">
        <v>64</v>
      </c>
      <c r="T2105">
        <v>208.5</v>
      </c>
      <c r="U2105">
        <v>201.4</v>
      </c>
      <c r="V2105">
        <f t="shared" si="64"/>
        <v>204.95</v>
      </c>
      <c r="W2105">
        <f t="shared" si="65"/>
        <v>7.0999999999999943</v>
      </c>
      <c r="X2105">
        <v>-2.3199999999999998</v>
      </c>
      <c r="Y2105">
        <v>51.23</v>
      </c>
      <c r="Z2105" t="s">
        <v>520</v>
      </c>
      <c r="AA2105" t="s">
        <v>91</v>
      </c>
      <c r="AB2105" t="s">
        <v>92</v>
      </c>
      <c r="AC2105" t="s">
        <v>93</v>
      </c>
      <c r="AH2105" t="s">
        <v>11</v>
      </c>
      <c r="AI2105" t="s">
        <v>4333</v>
      </c>
      <c r="AJ2105">
        <v>1890</v>
      </c>
      <c r="AK2105" t="s">
        <v>4334</v>
      </c>
      <c r="AO2105">
        <v>2</v>
      </c>
      <c r="AR2105" t="s">
        <v>80</v>
      </c>
      <c r="AS2105">
        <v>315</v>
      </c>
      <c r="AT2105" t="s">
        <v>81</v>
      </c>
      <c r="AU2105">
        <v>9.25</v>
      </c>
      <c r="AV2105">
        <v>34.049999999999997</v>
      </c>
      <c r="AW2105" t="s">
        <v>82</v>
      </c>
      <c r="AX2105">
        <v>315</v>
      </c>
      <c r="AY2105" t="s">
        <v>81</v>
      </c>
      <c r="AZ2105">
        <v>-1.27</v>
      </c>
      <c r="BA2105">
        <v>36.72</v>
      </c>
      <c r="BB2105" t="s">
        <v>83</v>
      </c>
    </row>
    <row r="2106" spans="1:54" x14ac:dyDescent="0.4">
      <c r="A2106">
        <v>1136049</v>
      </c>
      <c r="D2106" t="s">
        <v>54</v>
      </c>
      <c r="E2106" t="s">
        <v>55</v>
      </c>
      <c r="F2106" t="s">
        <v>3159</v>
      </c>
      <c r="G2106">
        <v>5</v>
      </c>
      <c r="H2106" t="s">
        <v>84</v>
      </c>
      <c r="I2106" t="s">
        <v>57</v>
      </c>
      <c r="K2106" t="s">
        <v>141</v>
      </c>
      <c r="L2106" t="s">
        <v>2448</v>
      </c>
      <c r="M2106" t="s">
        <v>223</v>
      </c>
      <c r="N2106" t="s">
        <v>2449</v>
      </c>
      <c r="O2106" t="s">
        <v>87</v>
      </c>
      <c r="P2106" t="s">
        <v>89</v>
      </c>
      <c r="R2106" t="s">
        <v>63</v>
      </c>
      <c r="S2106" t="s">
        <v>64</v>
      </c>
      <c r="T2106">
        <v>208.5</v>
      </c>
      <c r="U2106">
        <v>201.4</v>
      </c>
      <c r="V2106">
        <f t="shared" si="64"/>
        <v>204.95</v>
      </c>
      <c r="W2106">
        <f t="shared" si="65"/>
        <v>7.0999999999999943</v>
      </c>
      <c r="X2106">
        <v>4.4098030000000001</v>
      </c>
      <c r="Y2106">
        <v>46.903537999999998</v>
      </c>
      <c r="Z2106" t="s">
        <v>520</v>
      </c>
      <c r="AA2106" t="s">
        <v>521</v>
      </c>
      <c r="AB2106" t="s">
        <v>4394</v>
      </c>
      <c r="AC2106" t="s">
        <v>4395</v>
      </c>
      <c r="AH2106" t="s">
        <v>72</v>
      </c>
      <c r="AI2106" t="s">
        <v>4301</v>
      </c>
      <c r="AJ2106">
        <v>1883</v>
      </c>
      <c r="AK2106" t="s">
        <v>4396</v>
      </c>
      <c r="AN2106" t="s">
        <v>114</v>
      </c>
      <c r="AO2106">
        <v>6</v>
      </c>
      <c r="AP2106" t="s">
        <v>115</v>
      </c>
      <c r="AQ2106" t="s">
        <v>4397</v>
      </c>
      <c r="AR2106" t="s">
        <v>80</v>
      </c>
      <c r="AS2106">
        <v>305</v>
      </c>
      <c r="AT2106" t="s">
        <v>81</v>
      </c>
      <c r="AU2106">
        <v>16.239999999999998</v>
      </c>
      <c r="AV2106">
        <v>32.119999999999997</v>
      </c>
      <c r="AW2106" t="s">
        <v>82</v>
      </c>
      <c r="AX2106">
        <v>305</v>
      </c>
      <c r="AY2106" t="s">
        <v>81</v>
      </c>
      <c r="AZ2106">
        <v>5.87</v>
      </c>
      <c r="BA2106">
        <v>34.61</v>
      </c>
      <c r="BB2106" t="s">
        <v>83</v>
      </c>
    </row>
    <row r="2107" spans="1:54" x14ac:dyDescent="0.4">
      <c r="A2107">
        <v>1136050</v>
      </c>
      <c r="D2107" t="s">
        <v>54</v>
      </c>
      <c r="F2107" t="s">
        <v>3159</v>
      </c>
      <c r="G2107">
        <v>1</v>
      </c>
      <c r="H2107" t="s">
        <v>84</v>
      </c>
      <c r="I2107" t="s">
        <v>57</v>
      </c>
      <c r="K2107" t="s">
        <v>141</v>
      </c>
      <c r="L2107" t="s">
        <v>2448</v>
      </c>
      <c r="M2107" t="s">
        <v>223</v>
      </c>
      <c r="N2107" t="s">
        <v>2449</v>
      </c>
      <c r="O2107" t="s">
        <v>87</v>
      </c>
      <c r="P2107" t="s">
        <v>89</v>
      </c>
      <c r="R2107" t="s">
        <v>63</v>
      </c>
      <c r="S2107" t="s">
        <v>64</v>
      </c>
      <c r="T2107">
        <v>208.5</v>
      </c>
      <c r="U2107">
        <v>201.4</v>
      </c>
      <c r="V2107">
        <f t="shared" si="64"/>
        <v>204.95</v>
      </c>
      <c r="W2107">
        <f t="shared" si="65"/>
        <v>7.0999999999999943</v>
      </c>
      <c r="X2107">
        <v>4.3938329999999999</v>
      </c>
      <c r="Y2107">
        <v>46.923344</v>
      </c>
      <c r="Z2107" t="s">
        <v>520</v>
      </c>
      <c r="AA2107" t="s">
        <v>521</v>
      </c>
      <c r="AB2107" t="s">
        <v>4394</v>
      </c>
      <c r="AC2107" t="s">
        <v>4395</v>
      </c>
      <c r="AH2107" t="s">
        <v>72</v>
      </c>
      <c r="AI2107" t="s">
        <v>4301</v>
      </c>
      <c r="AJ2107">
        <v>1883</v>
      </c>
      <c r="AK2107" t="s">
        <v>4398</v>
      </c>
      <c r="AN2107" t="s">
        <v>114</v>
      </c>
      <c r="AO2107">
        <v>6</v>
      </c>
      <c r="AP2107" t="s">
        <v>115</v>
      </c>
      <c r="AQ2107" t="s">
        <v>4399</v>
      </c>
      <c r="AR2107" t="s">
        <v>80</v>
      </c>
      <c r="AS2107">
        <v>305</v>
      </c>
      <c r="AT2107" t="s">
        <v>81</v>
      </c>
      <c r="AU2107">
        <v>16.22</v>
      </c>
      <c r="AV2107">
        <v>32.130000000000003</v>
      </c>
      <c r="AW2107" t="s">
        <v>82</v>
      </c>
      <c r="AX2107">
        <v>305</v>
      </c>
      <c r="AY2107" t="s">
        <v>81</v>
      </c>
      <c r="AZ2107">
        <v>5.85</v>
      </c>
      <c r="BA2107">
        <v>34.619999999999997</v>
      </c>
      <c r="BB2107" t="s">
        <v>83</v>
      </c>
    </row>
    <row r="2108" spans="1:54" x14ac:dyDescent="0.4">
      <c r="A2108">
        <v>1136051</v>
      </c>
      <c r="D2108" t="s">
        <v>54</v>
      </c>
      <c r="F2108" t="s">
        <v>3159</v>
      </c>
      <c r="G2108">
        <v>1</v>
      </c>
      <c r="H2108" t="s">
        <v>84</v>
      </c>
      <c r="I2108" t="s">
        <v>57</v>
      </c>
      <c r="K2108" t="s">
        <v>141</v>
      </c>
      <c r="L2108" t="s">
        <v>2448</v>
      </c>
      <c r="M2108" t="s">
        <v>223</v>
      </c>
      <c r="N2108" t="s">
        <v>2449</v>
      </c>
      <c r="O2108" t="s">
        <v>87</v>
      </c>
      <c r="P2108" t="s">
        <v>89</v>
      </c>
      <c r="R2108" t="s">
        <v>63</v>
      </c>
      <c r="S2108" t="s">
        <v>64</v>
      </c>
      <c r="T2108">
        <v>208.5</v>
      </c>
      <c r="U2108">
        <v>201.4</v>
      </c>
      <c r="V2108">
        <f t="shared" si="64"/>
        <v>204.95</v>
      </c>
      <c r="W2108">
        <f t="shared" si="65"/>
        <v>7.0999999999999943</v>
      </c>
      <c r="X2108">
        <v>4.3938329999999999</v>
      </c>
      <c r="Y2108">
        <v>46.923344</v>
      </c>
      <c r="Z2108" t="s">
        <v>520</v>
      </c>
      <c r="AA2108" t="s">
        <v>521</v>
      </c>
      <c r="AB2108" t="s">
        <v>4394</v>
      </c>
      <c r="AC2108" t="s">
        <v>4395</v>
      </c>
      <c r="AH2108" t="s">
        <v>72</v>
      </c>
      <c r="AI2108" t="s">
        <v>4301</v>
      </c>
      <c r="AJ2108">
        <v>1883</v>
      </c>
      <c r="AK2108" t="s">
        <v>4398</v>
      </c>
      <c r="AN2108" t="s">
        <v>114</v>
      </c>
      <c r="AO2108">
        <v>6</v>
      </c>
      <c r="AP2108" t="s">
        <v>115</v>
      </c>
      <c r="AQ2108" t="s">
        <v>4399</v>
      </c>
      <c r="AR2108" t="s">
        <v>80</v>
      </c>
      <c r="AS2108">
        <v>305</v>
      </c>
      <c r="AT2108" t="s">
        <v>81</v>
      </c>
      <c r="AU2108">
        <v>16.22</v>
      </c>
      <c r="AV2108">
        <v>32.130000000000003</v>
      </c>
      <c r="AW2108" t="s">
        <v>82</v>
      </c>
      <c r="AX2108">
        <v>305</v>
      </c>
      <c r="AY2108" t="s">
        <v>81</v>
      </c>
      <c r="AZ2108">
        <v>5.85</v>
      </c>
      <c r="BA2108">
        <v>34.619999999999997</v>
      </c>
      <c r="BB2108" t="s">
        <v>83</v>
      </c>
    </row>
    <row r="2109" spans="1:54" x14ac:dyDescent="0.4">
      <c r="A2109">
        <v>1136052</v>
      </c>
      <c r="D2109" t="s">
        <v>54</v>
      </c>
      <c r="E2109" t="s">
        <v>55</v>
      </c>
      <c r="F2109" t="s">
        <v>3159</v>
      </c>
      <c r="G2109">
        <v>1</v>
      </c>
      <c r="H2109" t="s">
        <v>84</v>
      </c>
      <c r="I2109" t="s">
        <v>57</v>
      </c>
      <c r="K2109" t="s">
        <v>141</v>
      </c>
      <c r="L2109" t="s">
        <v>2448</v>
      </c>
      <c r="M2109" t="s">
        <v>223</v>
      </c>
      <c r="N2109" t="s">
        <v>2449</v>
      </c>
      <c r="O2109" t="s">
        <v>87</v>
      </c>
      <c r="P2109" t="s">
        <v>89</v>
      </c>
      <c r="R2109" t="s">
        <v>63</v>
      </c>
      <c r="S2109" t="s">
        <v>64</v>
      </c>
      <c r="T2109">
        <v>208.5</v>
      </c>
      <c r="U2109">
        <v>201.4</v>
      </c>
      <c r="V2109">
        <f t="shared" si="64"/>
        <v>204.95</v>
      </c>
      <c r="W2109">
        <f t="shared" si="65"/>
        <v>7.0999999999999943</v>
      </c>
      <c r="X2109">
        <v>4.4098030000000001</v>
      </c>
      <c r="Y2109">
        <v>46.903537999999998</v>
      </c>
      <c r="Z2109" t="s">
        <v>520</v>
      </c>
      <c r="AA2109" t="s">
        <v>521</v>
      </c>
      <c r="AB2109" t="s">
        <v>4394</v>
      </c>
      <c r="AC2109" t="s">
        <v>4395</v>
      </c>
      <c r="AH2109" t="s">
        <v>72</v>
      </c>
      <c r="AI2109" t="s">
        <v>4301</v>
      </c>
      <c r="AJ2109">
        <v>1883</v>
      </c>
      <c r="AK2109" t="s">
        <v>4396</v>
      </c>
      <c r="AN2109" t="s">
        <v>114</v>
      </c>
      <c r="AO2109">
        <v>6</v>
      </c>
      <c r="AP2109" t="s">
        <v>115</v>
      </c>
      <c r="AQ2109" t="s">
        <v>4397</v>
      </c>
      <c r="AR2109" t="s">
        <v>80</v>
      </c>
      <c r="AS2109">
        <v>305</v>
      </c>
      <c r="AT2109" t="s">
        <v>81</v>
      </c>
      <c r="AU2109">
        <v>16.239999999999998</v>
      </c>
      <c r="AV2109">
        <v>32.119999999999997</v>
      </c>
      <c r="AW2109" t="s">
        <v>82</v>
      </c>
      <c r="AX2109">
        <v>305</v>
      </c>
      <c r="AY2109" t="s">
        <v>81</v>
      </c>
      <c r="AZ2109">
        <v>5.87</v>
      </c>
      <c r="BA2109">
        <v>34.61</v>
      </c>
      <c r="BB2109" t="s">
        <v>83</v>
      </c>
    </row>
    <row r="2110" spans="1:54" x14ac:dyDescent="0.4">
      <c r="A2110">
        <v>1136054</v>
      </c>
      <c r="D2110" t="s">
        <v>54</v>
      </c>
      <c r="F2110" t="s">
        <v>3159</v>
      </c>
      <c r="I2110" t="s">
        <v>57</v>
      </c>
      <c r="K2110" t="s">
        <v>537</v>
      </c>
      <c r="L2110" t="s">
        <v>538</v>
      </c>
      <c r="M2110" t="s">
        <v>223</v>
      </c>
      <c r="N2110" t="s">
        <v>234</v>
      </c>
      <c r="O2110" t="s">
        <v>87</v>
      </c>
      <c r="P2110" t="s">
        <v>89</v>
      </c>
      <c r="R2110" t="s">
        <v>63</v>
      </c>
      <c r="S2110" t="s">
        <v>64</v>
      </c>
      <c r="T2110">
        <v>208.5</v>
      </c>
      <c r="U2110">
        <v>201.4</v>
      </c>
      <c r="V2110">
        <f t="shared" si="64"/>
        <v>204.95</v>
      </c>
      <c r="W2110">
        <f t="shared" si="65"/>
        <v>7.0999999999999943</v>
      </c>
      <c r="X2110">
        <v>4.3938329999999999</v>
      </c>
      <c r="Y2110">
        <v>46.923344</v>
      </c>
      <c r="Z2110" t="s">
        <v>520</v>
      </c>
      <c r="AA2110" t="s">
        <v>521</v>
      </c>
      <c r="AB2110" t="s">
        <v>4394</v>
      </c>
      <c r="AC2110" t="s">
        <v>4395</v>
      </c>
      <c r="AH2110" t="s">
        <v>11</v>
      </c>
      <c r="AI2110" t="s">
        <v>4301</v>
      </c>
      <c r="AJ2110">
        <v>1883</v>
      </c>
      <c r="AK2110" t="s">
        <v>4398</v>
      </c>
      <c r="AN2110" t="s">
        <v>114</v>
      </c>
      <c r="AO2110">
        <v>6</v>
      </c>
      <c r="AP2110" t="s">
        <v>115</v>
      </c>
      <c r="AQ2110" t="s">
        <v>4399</v>
      </c>
      <c r="AR2110" t="s">
        <v>80</v>
      </c>
      <c r="AS2110">
        <v>305</v>
      </c>
      <c r="AT2110" t="s">
        <v>81</v>
      </c>
      <c r="AU2110">
        <v>16.22</v>
      </c>
      <c r="AV2110">
        <v>32.130000000000003</v>
      </c>
      <c r="AW2110" t="s">
        <v>82</v>
      </c>
      <c r="AX2110">
        <v>305</v>
      </c>
      <c r="AY2110" t="s">
        <v>81</v>
      </c>
      <c r="AZ2110">
        <v>5.85</v>
      </c>
      <c r="BA2110">
        <v>34.619999999999997</v>
      </c>
      <c r="BB2110" t="s">
        <v>83</v>
      </c>
    </row>
    <row r="2111" spans="1:54" x14ac:dyDescent="0.4">
      <c r="A2111">
        <v>1136057</v>
      </c>
      <c r="D2111" t="s">
        <v>54</v>
      </c>
      <c r="E2111" t="s">
        <v>55</v>
      </c>
      <c r="F2111" t="s">
        <v>3159</v>
      </c>
      <c r="G2111">
        <v>2</v>
      </c>
      <c r="H2111" t="s">
        <v>84</v>
      </c>
      <c r="I2111" t="s">
        <v>57</v>
      </c>
      <c r="K2111" t="s">
        <v>999</v>
      </c>
      <c r="L2111" t="s">
        <v>4400</v>
      </c>
      <c r="M2111" t="s">
        <v>60</v>
      </c>
      <c r="N2111" t="s">
        <v>119</v>
      </c>
      <c r="O2111" t="s">
        <v>170</v>
      </c>
      <c r="P2111" t="s">
        <v>89</v>
      </c>
      <c r="R2111" t="s">
        <v>63</v>
      </c>
      <c r="S2111" t="s">
        <v>64</v>
      </c>
      <c r="T2111">
        <v>208.5</v>
      </c>
      <c r="U2111">
        <v>201.4</v>
      </c>
      <c r="V2111">
        <f t="shared" si="64"/>
        <v>204.95</v>
      </c>
      <c r="W2111">
        <f t="shared" si="65"/>
        <v>7.0999999999999943</v>
      </c>
      <c r="X2111">
        <v>4.4098030000000001</v>
      </c>
      <c r="Y2111">
        <v>46.903537999999998</v>
      </c>
      <c r="Z2111" t="s">
        <v>520</v>
      </c>
      <c r="AA2111" t="s">
        <v>521</v>
      </c>
      <c r="AB2111" t="s">
        <v>4394</v>
      </c>
      <c r="AC2111" t="s">
        <v>4395</v>
      </c>
      <c r="AH2111" t="s">
        <v>72</v>
      </c>
      <c r="AI2111" t="s">
        <v>4301</v>
      </c>
      <c r="AJ2111">
        <v>1883</v>
      </c>
      <c r="AK2111" t="s">
        <v>4396</v>
      </c>
      <c r="AN2111" t="s">
        <v>114</v>
      </c>
      <c r="AO2111">
        <v>6</v>
      </c>
      <c r="AP2111" t="s">
        <v>115</v>
      </c>
      <c r="AQ2111" t="s">
        <v>4397</v>
      </c>
      <c r="AR2111" t="s">
        <v>80</v>
      </c>
      <c r="AS2111">
        <v>305</v>
      </c>
      <c r="AT2111" t="s">
        <v>81</v>
      </c>
      <c r="AU2111">
        <v>16.239999999999998</v>
      </c>
      <c r="AV2111">
        <v>32.119999999999997</v>
      </c>
      <c r="AW2111" t="s">
        <v>82</v>
      </c>
      <c r="AX2111">
        <v>305</v>
      </c>
      <c r="AY2111" t="s">
        <v>81</v>
      </c>
      <c r="AZ2111">
        <v>5.87</v>
      </c>
      <c r="BA2111">
        <v>34.61</v>
      </c>
      <c r="BB2111" t="s">
        <v>83</v>
      </c>
    </row>
    <row r="2112" spans="1:54" x14ac:dyDescent="0.4">
      <c r="A2112">
        <v>1161985</v>
      </c>
      <c r="D2112" t="s">
        <v>167</v>
      </c>
      <c r="F2112" t="s">
        <v>1200</v>
      </c>
      <c r="G2112">
        <v>1</v>
      </c>
      <c r="H2112" t="s">
        <v>84</v>
      </c>
      <c r="I2112" t="s">
        <v>57</v>
      </c>
      <c r="K2112" t="s">
        <v>537</v>
      </c>
      <c r="L2112" t="s">
        <v>538</v>
      </c>
      <c r="M2112" t="s">
        <v>223</v>
      </c>
      <c r="N2112" t="s">
        <v>234</v>
      </c>
      <c r="O2112" t="s">
        <v>87</v>
      </c>
      <c r="P2112" t="s">
        <v>89</v>
      </c>
      <c r="R2112" t="s">
        <v>63</v>
      </c>
      <c r="S2112" t="s">
        <v>64</v>
      </c>
      <c r="T2112">
        <v>208.5</v>
      </c>
      <c r="U2112">
        <v>201.4</v>
      </c>
      <c r="V2112">
        <f t="shared" si="64"/>
        <v>204.95</v>
      </c>
      <c r="W2112">
        <f t="shared" si="65"/>
        <v>7.0999999999999943</v>
      </c>
      <c r="X2112">
        <v>-2.413017</v>
      </c>
      <c r="Y2112">
        <v>51.815845000000003</v>
      </c>
      <c r="Z2112" t="s">
        <v>520</v>
      </c>
      <c r="AA2112" t="s">
        <v>91</v>
      </c>
      <c r="AB2112" t="s">
        <v>92</v>
      </c>
      <c r="AC2112" t="s">
        <v>136</v>
      </c>
      <c r="AD2112" t="s">
        <v>937</v>
      </c>
      <c r="AE2112" t="s">
        <v>938</v>
      </c>
      <c r="AG2112" t="s">
        <v>1255</v>
      </c>
      <c r="AH2112" t="s">
        <v>11</v>
      </c>
      <c r="AI2112" t="s">
        <v>3174</v>
      </c>
      <c r="AJ2112">
        <v>1860</v>
      </c>
      <c r="AK2112" t="s">
        <v>4430</v>
      </c>
      <c r="AM2112" t="s">
        <v>4431</v>
      </c>
      <c r="AN2112" t="s">
        <v>114</v>
      </c>
      <c r="AO2112">
        <v>6</v>
      </c>
      <c r="AP2112" t="s">
        <v>78</v>
      </c>
      <c r="AQ2112" t="s">
        <v>4432</v>
      </c>
      <c r="AR2112" t="s">
        <v>80</v>
      </c>
      <c r="AS2112">
        <v>315</v>
      </c>
      <c r="AT2112" t="s">
        <v>81</v>
      </c>
      <c r="AU2112">
        <v>8.8800000000000008</v>
      </c>
      <c r="AV2112">
        <v>34.56</v>
      </c>
      <c r="AW2112" t="s">
        <v>82</v>
      </c>
      <c r="AX2112">
        <v>315</v>
      </c>
      <c r="AY2112" t="s">
        <v>81</v>
      </c>
      <c r="AZ2112">
        <v>-1.64</v>
      </c>
      <c r="BA2112">
        <v>37.229999999999997</v>
      </c>
      <c r="BB2112" t="s">
        <v>83</v>
      </c>
    </row>
    <row r="2113" spans="1:54" x14ac:dyDescent="0.4">
      <c r="A2113">
        <v>1161986</v>
      </c>
      <c r="D2113" t="s">
        <v>167</v>
      </c>
      <c r="F2113" t="s">
        <v>1200</v>
      </c>
      <c r="I2113" t="s">
        <v>57</v>
      </c>
      <c r="K2113" t="s">
        <v>141</v>
      </c>
      <c r="L2113" t="s">
        <v>2448</v>
      </c>
      <c r="M2113" t="s">
        <v>223</v>
      </c>
      <c r="N2113" t="s">
        <v>2449</v>
      </c>
      <c r="O2113" t="s">
        <v>87</v>
      </c>
      <c r="P2113" t="s">
        <v>89</v>
      </c>
      <c r="R2113" t="s">
        <v>63</v>
      </c>
      <c r="S2113" t="s">
        <v>64</v>
      </c>
      <c r="T2113">
        <v>208.5</v>
      </c>
      <c r="U2113">
        <v>201.4</v>
      </c>
      <c r="V2113">
        <f t="shared" si="64"/>
        <v>204.95</v>
      </c>
      <c r="W2113">
        <f t="shared" si="65"/>
        <v>7.0999999999999943</v>
      </c>
      <c r="X2113">
        <v>-2.413017</v>
      </c>
      <c r="Y2113">
        <v>51.815845000000003</v>
      </c>
      <c r="Z2113" t="s">
        <v>520</v>
      </c>
      <c r="AA2113" t="s">
        <v>91</v>
      </c>
      <c r="AB2113" t="s">
        <v>92</v>
      </c>
      <c r="AC2113" t="s">
        <v>136</v>
      </c>
      <c r="AD2113" t="s">
        <v>937</v>
      </c>
      <c r="AE2113" t="s">
        <v>938</v>
      </c>
      <c r="AG2113" t="s">
        <v>1255</v>
      </c>
      <c r="AH2113" t="s">
        <v>11</v>
      </c>
      <c r="AI2113" t="s">
        <v>3174</v>
      </c>
      <c r="AJ2113">
        <v>1860</v>
      </c>
      <c r="AK2113" t="s">
        <v>4430</v>
      </c>
      <c r="AM2113" t="s">
        <v>4431</v>
      </c>
      <c r="AN2113" t="s">
        <v>114</v>
      </c>
      <c r="AO2113">
        <v>6</v>
      </c>
      <c r="AP2113" t="s">
        <v>78</v>
      </c>
      <c r="AQ2113" t="s">
        <v>4432</v>
      </c>
      <c r="AR2113" t="s">
        <v>80</v>
      </c>
      <c r="AS2113">
        <v>315</v>
      </c>
      <c r="AT2113" t="s">
        <v>81</v>
      </c>
      <c r="AU2113">
        <v>8.8800000000000008</v>
      </c>
      <c r="AV2113">
        <v>34.56</v>
      </c>
      <c r="AW2113" t="s">
        <v>82</v>
      </c>
      <c r="AX2113">
        <v>315</v>
      </c>
      <c r="AY2113" t="s">
        <v>81</v>
      </c>
      <c r="AZ2113">
        <v>-1.64</v>
      </c>
      <c r="BA2113">
        <v>37.229999999999997</v>
      </c>
      <c r="BB2113" t="s">
        <v>83</v>
      </c>
    </row>
    <row r="2114" spans="1:54" x14ac:dyDescent="0.4">
      <c r="A2114">
        <v>1161987</v>
      </c>
      <c r="D2114" t="s">
        <v>904</v>
      </c>
      <c r="F2114" t="s">
        <v>1200</v>
      </c>
      <c r="I2114" t="s">
        <v>57</v>
      </c>
      <c r="K2114" t="s">
        <v>537</v>
      </c>
      <c r="L2114" t="s">
        <v>538</v>
      </c>
      <c r="M2114" t="s">
        <v>223</v>
      </c>
      <c r="N2114" t="s">
        <v>234</v>
      </c>
      <c r="O2114" t="s">
        <v>87</v>
      </c>
      <c r="P2114" t="s">
        <v>89</v>
      </c>
      <c r="R2114" t="s">
        <v>63</v>
      </c>
      <c r="S2114" t="s">
        <v>64</v>
      </c>
      <c r="T2114">
        <v>208.5</v>
      </c>
      <c r="U2114">
        <v>201.4</v>
      </c>
      <c r="V2114">
        <f t="shared" si="64"/>
        <v>204.95</v>
      </c>
      <c r="W2114">
        <f t="shared" si="65"/>
        <v>7.0999999999999943</v>
      </c>
      <c r="X2114">
        <v>-2.226111</v>
      </c>
      <c r="Y2114">
        <v>51.93</v>
      </c>
      <c r="Z2114" t="s">
        <v>520</v>
      </c>
      <c r="AA2114" t="s">
        <v>91</v>
      </c>
      <c r="AB2114" t="s">
        <v>92</v>
      </c>
      <c r="AC2114" t="s">
        <v>136</v>
      </c>
      <c r="AD2114" t="s">
        <v>937</v>
      </c>
      <c r="AE2114" t="s">
        <v>938</v>
      </c>
      <c r="AG2114" t="s">
        <v>1255</v>
      </c>
      <c r="AH2114" t="s">
        <v>11</v>
      </c>
      <c r="AI2114" t="s">
        <v>3174</v>
      </c>
      <c r="AJ2114">
        <v>1860</v>
      </c>
      <c r="AK2114" t="s">
        <v>4433</v>
      </c>
      <c r="AN2114" t="s">
        <v>76</v>
      </c>
      <c r="AO2114" t="s">
        <v>77</v>
      </c>
      <c r="AP2114" t="s">
        <v>78</v>
      </c>
      <c r="AQ2114" t="s">
        <v>4434</v>
      </c>
      <c r="AR2114" t="s">
        <v>80</v>
      </c>
      <c r="AS2114">
        <v>315</v>
      </c>
      <c r="AT2114" t="s">
        <v>81</v>
      </c>
      <c r="AU2114">
        <v>8.94</v>
      </c>
      <c r="AV2114">
        <v>34.71</v>
      </c>
      <c r="AW2114" t="s">
        <v>82</v>
      </c>
      <c r="AX2114">
        <v>315</v>
      </c>
      <c r="AY2114" t="s">
        <v>81</v>
      </c>
      <c r="AZ2114">
        <v>-1.56</v>
      </c>
      <c r="BA2114">
        <v>37.380000000000003</v>
      </c>
      <c r="BB2114" t="s">
        <v>83</v>
      </c>
    </row>
    <row r="2115" spans="1:54" x14ac:dyDescent="0.4">
      <c r="A2115">
        <v>1162208</v>
      </c>
      <c r="D2115" t="s">
        <v>54</v>
      </c>
      <c r="I2115" t="s">
        <v>57</v>
      </c>
      <c r="K2115" t="s">
        <v>141</v>
      </c>
      <c r="L2115" t="s">
        <v>533</v>
      </c>
      <c r="M2115" t="s">
        <v>60</v>
      </c>
      <c r="O2115" t="s">
        <v>87</v>
      </c>
      <c r="P2115" t="s">
        <v>89</v>
      </c>
      <c r="R2115" t="s">
        <v>63</v>
      </c>
      <c r="S2115" t="s">
        <v>64</v>
      </c>
      <c r="T2115">
        <v>208.5</v>
      </c>
      <c r="U2115">
        <v>201.4</v>
      </c>
      <c r="V2115">
        <f t="shared" ref="V2115:V2178" si="66">(T2115+U2115)/2</f>
        <v>204.95</v>
      </c>
      <c r="W2115">
        <f t="shared" ref="W2115:W2178" si="67">T2115-U2115</f>
        <v>7.0999999999999943</v>
      </c>
      <c r="X2115">
        <v>10.865</v>
      </c>
      <c r="Y2115">
        <v>50.900002000000001</v>
      </c>
      <c r="Z2115" t="s">
        <v>520</v>
      </c>
      <c r="AA2115" t="s">
        <v>211</v>
      </c>
      <c r="AH2115" t="s">
        <v>72</v>
      </c>
      <c r="AI2115" t="s">
        <v>4443</v>
      </c>
      <c r="AJ2115">
        <v>1908</v>
      </c>
      <c r="AK2115" t="s">
        <v>4444</v>
      </c>
      <c r="AN2115" t="s">
        <v>192</v>
      </c>
      <c r="AO2115">
        <v>1</v>
      </c>
      <c r="AP2115" t="s">
        <v>115</v>
      </c>
      <c r="AR2115" t="s">
        <v>80</v>
      </c>
      <c r="AS2115">
        <v>305</v>
      </c>
      <c r="AT2115" t="s">
        <v>81</v>
      </c>
      <c r="AU2115">
        <v>18.46</v>
      </c>
      <c r="AV2115">
        <v>37.65</v>
      </c>
      <c r="AW2115" t="s">
        <v>82</v>
      </c>
      <c r="AX2115">
        <v>305</v>
      </c>
      <c r="AY2115" t="s">
        <v>81</v>
      </c>
      <c r="AZ2115">
        <v>8.39</v>
      </c>
      <c r="BA2115">
        <v>40.08</v>
      </c>
      <c r="BB2115" t="s">
        <v>83</v>
      </c>
    </row>
    <row r="2116" spans="1:54" x14ac:dyDescent="0.4">
      <c r="A2116">
        <v>1239968</v>
      </c>
      <c r="D2116" t="s">
        <v>54</v>
      </c>
      <c r="I2116" t="s">
        <v>57</v>
      </c>
      <c r="K2116" t="s">
        <v>141</v>
      </c>
      <c r="L2116" t="s">
        <v>2448</v>
      </c>
      <c r="M2116" t="s">
        <v>223</v>
      </c>
      <c r="N2116" t="s">
        <v>2449</v>
      </c>
      <c r="O2116" t="s">
        <v>87</v>
      </c>
      <c r="P2116" t="s">
        <v>89</v>
      </c>
      <c r="R2116" t="s">
        <v>63</v>
      </c>
      <c r="S2116" t="s">
        <v>64</v>
      </c>
      <c r="T2116">
        <v>208.5</v>
      </c>
      <c r="U2116">
        <v>201.4</v>
      </c>
      <c r="V2116">
        <f t="shared" si="66"/>
        <v>204.95</v>
      </c>
      <c r="W2116">
        <f t="shared" si="67"/>
        <v>7.0999999999999943</v>
      </c>
      <c r="X2116">
        <v>-2.3972220000000002</v>
      </c>
      <c r="Y2116">
        <v>51.545555</v>
      </c>
      <c r="Z2116" t="s">
        <v>520</v>
      </c>
      <c r="AA2116" t="s">
        <v>91</v>
      </c>
      <c r="AB2116" t="s">
        <v>92</v>
      </c>
      <c r="AC2116" t="s">
        <v>136</v>
      </c>
      <c r="AD2116" t="s">
        <v>937</v>
      </c>
      <c r="AE2116" t="s">
        <v>938</v>
      </c>
      <c r="AH2116" t="s">
        <v>11</v>
      </c>
      <c r="AI2116" t="s">
        <v>4518</v>
      </c>
      <c r="AJ2116">
        <v>1970</v>
      </c>
      <c r="AK2116" t="s">
        <v>4519</v>
      </c>
      <c r="AM2116" t="s">
        <v>4520</v>
      </c>
      <c r="AN2116" t="s">
        <v>76</v>
      </c>
      <c r="AO2116" t="s">
        <v>77</v>
      </c>
      <c r="AP2116" t="s">
        <v>78</v>
      </c>
      <c r="AQ2116" t="s">
        <v>4521</v>
      </c>
      <c r="AR2116" t="s">
        <v>80</v>
      </c>
      <c r="AS2116">
        <v>315</v>
      </c>
      <c r="AT2116" t="s">
        <v>81</v>
      </c>
      <c r="AU2116">
        <v>9.0299999999999994</v>
      </c>
      <c r="AV2116">
        <v>34.32</v>
      </c>
      <c r="AW2116" t="s">
        <v>82</v>
      </c>
      <c r="AX2116">
        <v>315</v>
      </c>
      <c r="AY2116" t="s">
        <v>81</v>
      </c>
      <c r="AZ2116">
        <v>-1.49</v>
      </c>
      <c r="BA2116">
        <v>36.99</v>
      </c>
      <c r="BB2116" t="s">
        <v>83</v>
      </c>
    </row>
    <row r="2117" spans="1:54" x14ac:dyDescent="0.4">
      <c r="A2117">
        <v>1239985</v>
      </c>
      <c r="D2117" t="s">
        <v>54</v>
      </c>
      <c r="F2117" t="s">
        <v>1200</v>
      </c>
      <c r="I2117" t="s">
        <v>57</v>
      </c>
      <c r="K2117" t="s">
        <v>141</v>
      </c>
      <c r="L2117" t="s">
        <v>1043</v>
      </c>
      <c r="M2117" t="s">
        <v>60</v>
      </c>
      <c r="P2117" t="s">
        <v>89</v>
      </c>
      <c r="R2117" t="s">
        <v>63</v>
      </c>
      <c r="S2117" t="s">
        <v>64</v>
      </c>
      <c r="T2117">
        <v>208.5</v>
      </c>
      <c r="U2117">
        <v>201.4</v>
      </c>
      <c r="V2117">
        <f t="shared" si="66"/>
        <v>204.95</v>
      </c>
      <c r="W2117">
        <f t="shared" si="67"/>
        <v>7.0999999999999943</v>
      </c>
      <c r="X2117">
        <v>-2.3913890000000002</v>
      </c>
      <c r="Y2117">
        <v>51.203055999999997</v>
      </c>
      <c r="Z2117" t="s">
        <v>90</v>
      </c>
      <c r="AA2117" t="s">
        <v>91</v>
      </c>
      <c r="AB2117" t="s">
        <v>92</v>
      </c>
      <c r="AC2117" t="s">
        <v>93</v>
      </c>
      <c r="AH2117" t="s">
        <v>11</v>
      </c>
      <c r="AI2117" t="s">
        <v>4518</v>
      </c>
      <c r="AJ2117">
        <v>1970</v>
      </c>
      <c r="AK2117" t="s">
        <v>4102</v>
      </c>
      <c r="AM2117" t="s">
        <v>4103</v>
      </c>
      <c r="AN2117" t="s">
        <v>76</v>
      </c>
      <c r="AO2117" t="s">
        <v>77</v>
      </c>
      <c r="AP2117" t="s">
        <v>78</v>
      </c>
      <c r="AQ2117" t="s">
        <v>4104</v>
      </c>
      <c r="AR2117" t="s">
        <v>80</v>
      </c>
      <c r="AS2117">
        <v>315</v>
      </c>
      <c r="AT2117" t="s">
        <v>81</v>
      </c>
      <c r="AU2117">
        <v>9.2100000000000009</v>
      </c>
      <c r="AV2117">
        <v>34.01</v>
      </c>
      <c r="AW2117" t="s">
        <v>82</v>
      </c>
      <c r="AX2117">
        <v>315</v>
      </c>
      <c r="AY2117" t="s">
        <v>81</v>
      </c>
      <c r="AZ2117">
        <v>-1.31</v>
      </c>
      <c r="BA2117">
        <v>36.68</v>
      </c>
      <c r="BB2117" t="s">
        <v>83</v>
      </c>
    </row>
    <row r="2118" spans="1:54" x14ac:dyDescent="0.4">
      <c r="A2118">
        <v>1313178</v>
      </c>
      <c r="D2118" t="s">
        <v>54</v>
      </c>
      <c r="E2118" t="s">
        <v>55</v>
      </c>
      <c r="F2118" t="s">
        <v>1200</v>
      </c>
      <c r="G2118">
        <v>1</v>
      </c>
      <c r="H2118" t="s">
        <v>84</v>
      </c>
      <c r="I2118" t="s">
        <v>57</v>
      </c>
      <c r="K2118" t="s">
        <v>141</v>
      </c>
      <c r="L2118" t="s">
        <v>142</v>
      </c>
      <c r="M2118" t="s">
        <v>60</v>
      </c>
      <c r="P2118" t="s">
        <v>89</v>
      </c>
      <c r="R2118" t="s">
        <v>63</v>
      </c>
      <c r="S2118" t="s">
        <v>64</v>
      </c>
      <c r="T2118">
        <v>208.5</v>
      </c>
      <c r="U2118">
        <v>201.4</v>
      </c>
      <c r="V2118">
        <f t="shared" si="66"/>
        <v>204.95</v>
      </c>
      <c r="W2118">
        <f t="shared" si="67"/>
        <v>7.0999999999999943</v>
      </c>
      <c r="X2118">
        <v>5.6166669999999996</v>
      </c>
      <c r="Y2118">
        <v>49.708331999999999</v>
      </c>
      <c r="Z2118" t="s">
        <v>1004</v>
      </c>
      <c r="AA2118" t="s">
        <v>4268</v>
      </c>
      <c r="AB2118" t="s">
        <v>4269</v>
      </c>
      <c r="AD2118" t="s">
        <v>4270</v>
      </c>
      <c r="AH2118" t="s">
        <v>11</v>
      </c>
      <c r="AI2118" t="s">
        <v>4647</v>
      </c>
      <c r="AJ2118">
        <v>1995</v>
      </c>
      <c r="AK2118" t="s">
        <v>4648</v>
      </c>
      <c r="AN2118" t="s">
        <v>192</v>
      </c>
      <c r="AO2118" t="s">
        <v>77</v>
      </c>
      <c r="AP2118" t="s">
        <v>115</v>
      </c>
      <c r="AQ2118" t="s">
        <v>4273</v>
      </c>
      <c r="AR2118" t="s">
        <v>80</v>
      </c>
      <c r="AS2118">
        <v>315</v>
      </c>
      <c r="AT2118" t="s">
        <v>81</v>
      </c>
      <c r="AU2118">
        <v>15.55</v>
      </c>
      <c r="AV2118">
        <v>34.979999999999997</v>
      </c>
      <c r="AW2118" t="s">
        <v>82</v>
      </c>
      <c r="AX2118">
        <v>315</v>
      </c>
      <c r="AY2118" t="s">
        <v>81</v>
      </c>
      <c r="AZ2118">
        <v>5.27</v>
      </c>
      <c r="BA2118">
        <v>37.49</v>
      </c>
      <c r="BB2118" t="s">
        <v>83</v>
      </c>
    </row>
    <row r="2119" spans="1:54" x14ac:dyDescent="0.4">
      <c r="A2119">
        <v>1313506</v>
      </c>
      <c r="D2119" t="s">
        <v>54</v>
      </c>
      <c r="E2119" t="s">
        <v>152</v>
      </c>
      <c r="G2119">
        <v>2</v>
      </c>
      <c r="H2119" t="s">
        <v>84</v>
      </c>
      <c r="I2119" t="s">
        <v>57</v>
      </c>
      <c r="K2119" t="s">
        <v>132</v>
      </c>
      <c r="L2119" t="s">
        <v>133</v>
      </c>
      <c r="M2119" t="s">
        <v>60</v>
      </c>
      <c r="N2119" t="s">
        <v>119</v>
      </c>
      <c r="O2119" t="s">
        <v>134</v>
      </c>
      <c r="P2119" t="s">
        <v>89</v>
      </c>
      <c r="R2119" t="s">
        <v>63</v>
      </c>
      <c r="S2119" t="s">
        <v>64</v>
      </c>
      <c r="T2119">
        <v>208.5</v>
      </c>
      <c r="U2119">
        <v>201.4</v>
      </c>
      <c r="V2119">
        <f t="shared" si="66"/>
        <v>204.95</v>
      </c>
      <c r="W2119">
        <f t="shared" si="67"/>
        <v>7.0999999999999943</v>
      </c>
      <c r="X2119">
        <v>-2.6166670000000001</v>
      </c>
      <c r="Y2119">
        <v>51.469166000000001</v>
      </c>
      <c r="Z2119" t="s">
        <v>90</v>
      </c>
      <c r="AA2119" t="s">
        <v>91</v>
      </c>
      <c r="AB2119" t="s">
        <v>92</v>
      </c>
      <c r="AD2119" t="s">
        <v>1044</v>
      </c>
      <c r="AH2119" t="s">
        <v>11</v>
      </c>
      <c r="AI2119" t="s">
        <v>4660</v>
      </c>
      <c r="AJ2119">
        <v>2014</v>
      </c>
      <c r="AK2119" t="s">
        <v>1046</v>
      </c>
      <c r="AM2119" t="s">
        <v>1047</v>
      </c>
      <c r="AN2119" t="s">
        <v>76</v>
      </c>
      <c r="AO2119" t="s">
        <v>77</v>
      </c>
      <c r="AP2119" t="s">
        <v>115</v>
      </c>
      <c r="AQ2119" t="s">
        <v>1048</v>
      </c>
      <c r="AR2119" t="s">
        <v>80</v>
      </c>
      <c r="AS2119">
        <v>315</v>
      </c>
      <c r="AT2119" t="s">
        <v>81</v>
      </c>
      <c r="AU2119">
        <v>8.92</v>
      </c>
      <c r="AV2119">
        <v>34.19</v>
      </c>
      <c r="AW2119" t="s">
        <v>82</v>
      </c>
      <c r="AX2119">
        <v>315</v>
      </c>
      <c r="AY2119" t="s">
        <v>81</v>
      </c>
      <c r="AZ2119">
        <v>-1.61</v>
      </c>
      <c r="BA2119">
        <v>36.86</v>
      </c>
      <c r="BB2119" t="s">
        <v>83</v>
      </c>
    </row>
    <row r="2120" spans="1:54" x14ac:dyDescent="0.4">
      <c r="A2120">
        <v>1313507</v>
      </c>
      <c r="D2120" t="s">
        <v>54</v>
      </c>
      <c r="E2120" t="s">
        <v>152</v>
      </c>
      <c r="G2120">
        <v>1</v>
      </c>
      <c r="H2120" t="s">
        <v>84</v>
      </c>
      <c r="I2120" t="s">
        <v>57</v>
      </c>
      <c r="K2120" t="s">
        <v>141</v>
      </c>
      <c r="L2120" t="s">
        <v>148</v>
      </c>
      <c r="M2120" t="s">
        <v>60</v>
      </c>
      <c r="P2120" t="s">
        <v>89</v>
      </c>
      <c r="R2120" t="s">
        <v>63</v>
      </c>
      <c r="S2120" t="s">
        <v>64</v>
      </c>
      <c r="T2120">
        <v>208.5</v>
      </c>
      <c r="U2120">
        <v>201.4</v>
      </c>
      <c r="V2120">
        <f t="shared" si="66"/>
        <v>204.95</v>
      </c>
      <c r="W2120">
        <f t="shared" si="67"/>
        <v>7.0999999999999943</v>
      </c>
      <c r="X2120">
        <v>-2.6166670000000001</v>
      </c>
      <c r="Y2120">
        <v>51.469166000000001</v>
      </c>
      <c r="Z2120" t="s">
        <v>90</v>
      </c>
      <c r="AA2120" t="s">
        <v>91</v>
      </c>
      <c r="AB2120" t="s">
        <v>92</v>
      </c>
      <c r="AD2120" t="s">
        <v>1044</v>
      </c>
      <c r="AH2120" t="s">
        <v>11</v>
      </c>
      <c r="AI2120" t="s">
        <v>4660</v>
      </c>
      <c r="AJ2120">
        <v>2014</v>
      </c>
      <c r="AK2120" t="s">
        <v>1046</v>
      </c>
      <c r="AM2120" t="s">
        <v>1047</v>
      </c>
      <c r="AN2120" t="s">
        <v>76</v>
      </c>
      <c r="AO2120" t="s">
        <v>77</v>
      </c>
      <c r="AP2120" t="s">
        <v>115</v>
      </c>
      <c r="AQ2120" t="s">
        <v>1048</v>
      </c>
      <c r="AR2120" t="s">
        <v>80</v>
      </c>
      <c r="AS2120">
        <v>315</v>
      </c>
      <c r="AT2120" t="s">
        <v>81</v>
      </c>
      <c r="AU2120">
        <v>8.92</v>
      </c>
      <c r="AV2120">
        <v>34.19</v>
      </c>
      <c r="AW2120" t="s">
        <v>82</v>
      </c>
      <c r="AX2120">
        <v>315</v>
      </c>
      <c r="AY2120" t="s">
        <v>81</v>
      </c>
      <c r="AZ2120">
        <v>-1.61</v>
      </c>
      <c r="BA2120">
        <v>36.86</v>
      </c>
      <c r="BB2120" t="s">
        <v>83</v>
      </c>
    </row>
    <row r="2121" spans="1:54" x14ac:dyDescent="0.4">
      <c r="A2121">
        <v>1326606</v>
      </c>
      <c r="D2121" t="s">
        <v>54</v>
      </c>
      <c r="I2121" t="s">
        <v>57</v>
      </c>
      <c r="K2121" t="s">
        <v>141</v>
      </c>
      <c r="L2121" t="s">
        <v>533</v>
      </c>
      <c r="M2121" t="s">
        <v>60</v>
      </c>
      <c r="O2121" t="s">
        <v>87</v>
      </c>
      <c r="P2121" t="s">
        <v>89</v>
      </c>
      <c r="R2121" t="s">
        <v>63</v>
      </c>
      <c r="S2121" t="s">
        <v>64</v>
      </c>
      <c r="T2121">
        <v>208.5</v>
      </c>
      <c r="U2121">
        <v>201.4</v>
      </c>
      <c r="V2121">
        <f t="shared" si="66"/>
        <v>204.95</v>
      </c>
      <c r="W2121">
        <f t="shared" si="67"/>
        <v>7.0999999999999943</v>
      </c>
      <c r="X2121">
        <v>-2.63</v>
      </c>
      <c r="Y2121">
        <v>51.599997999999999</v>
      </c>
      <c r="Z2121" t="s">
        <v>1251</v>
      </c>
      <c r="AA2121" t="s">
        <v>91</v>
      </c>
      <c r="AB2121" t="s">
        <v>92</v>
      </c>
      <c r="AC2121" t="s">
        <v>136</v>
      </c>
      <c r="AD2121" t="s">
        <v>937</v>
      </c>
      <c r="AE2121" t="s">
        <v>938</v>
      </c>
      <c r="AH2121" t="s">
        <v>72</v>
      </c>
      <c r="AI2121" t="s">
        <v>4693</v>
      </c>
      <c r="AJ2121">
        <v>1894</v>
      </c>
      <c r="AK2121" t="s">
        <v>4694</v>
      </c>
      <c r="AN2121" t="s">
        <v>114</v>
      </c>
      <c r="AO2121">
        <v>1</v>
      </c>
      <c r="AP2121" t="s">
        <v>78</v>
      </c>
      <c r="AR2121" t="s">
        <v>80</v>
      </c>
      <c r="AS2121">
        <v>315</v>
      </c>
      <c r="AT2121" t="s">
        <v>81</v>
      </c>
      <c r="AU2121">
        <v>8.84</v>
      </c>
      <c r="AV2121">
        <v>34.299999999999997</v>
      </c>
      <c r="AW2121" t="s">
        <v>82</v>
      </c>
      <c r="AX2121">
        <v>315</v>
      </c>
      <c r="AY2121" t="s">
        <v>81</v>
      </c>
      <c r="AZ2121">
        <v>-1.68</v>
      </c>
      <c r="BA2121">
        <v>36.979999999999997</v>
      </c>
      <c r="BB2121" t="s">
        <v>83</v>
      </c>
    </row>
    <row r="2122" spans="1:54" x14ac:dyDescent="0.4">
      <c r="A2122">
        <v>1326607</v>
      </c>
      <c r="D2122" t="s">
        <v>54</v>
      </c>
      <c r="I2122" t="s">
        <v>57</v>
      </c>
      <c r="K2122" t="s">
        <v>141</v>
      </c>
      <c r="L2122" t="s">
        <v>2448</v>
      </c>
      <c r="M2122" t="s">
        <v>223</v>
      </c>
      <c r="N2122" t="s">
        <v>2449</v>
      </c>
      <c r="O2122" t="s">
        <v>87</v>
      </c>
      <c r="P2122" t="s">
        <v>89</v>
      </c>
      <c r="R2122" t="s">
        <v>63</v>
      </c>
      <c r="S2122" t="s">
        <v>64</v>
      </c>
      <c r="T2122">
        <v>208.5</v>
      </c>
      <c r="U2122">
        <v>201.4</v>
      </c>
      <c r="V2122">
        <f t="shared" si="66"/>
        <v>204.95</v>
      </c>
      <c r="W2122">
        <f t="shared" si="67"/>
        <v>7.0999999999999943</v>
      </c>
      <c r="X2122">
        <v>-2.63</v>
      </c>
      <c r="Y2122">
        <v>51.599997999999999</v>
      </c>
      <c r="Z2122" t="s">
        <v>1251</v>
      </c>
      <c r="AA2122" t="s">
        <v>91</v>
      </c>
      <c r="AB2122" t="s">
        <v>92</v>
      </c>
      <c r="AC2122" t="s">
        <v>136</v>
      </c>
      <c r="AD2122" t="s">
        <v>937</v>
      </c>
      <c r="AE2122" t="s">
        <v>938</v>
      </c>
      <c r="AH2122" t="s">
        <v>72</v>
      </c>
      <c r="AI2122" t="s">
        <v>4693</v>
      </c>
      <c r="AJ2122">
        <v>1894</v>
      </c>
      <c r="AK2122" t="s">
        <v>4694</v>
      </c>
      <c r="AN2122" t="s">
        <v>114</v>
      </c>
      <c r="AO2122">
        <v>1</v>
      </c>
      <c r="AP2122" t="s">
        <v>78</v>
      </c>
      <c r="AR2122" t="s">
        <v>80</v>
      </c>
      <c r="AS2122">
        <v>315</v>
      </c>
      <c r="AT2122" t="s">
        <v>81</v>
      </c>
      <c r="AU2122">
        <v>8.84</v>
      </c>
      <c r="AV2122">
        <v>34.299999999999997</v>
      </c>
      <c r="AW2122" t="s">
        <v>82</v>
      </c>
      <c r="AX2122">
        <v>315</v>
      </c>
      <c r="AY2122" t="s">
        <v>81</v>
      </c>
      <c r="AZ2122">
        <v>-1.68</v>
      </c>
      <c r="BA2122">
        <v>36.979999999999997</v>
      </c>
      <c r="BB2122" t="s">
        <v>83</v>
      </c>
    </row>
    <row r="2123" spans="1:54" x14ac:dyDescent="0.4">
      <c r="A2123">
        <v>1333948</v>
      </c>
      <c r="D2123" t="s">
        <v>54</v>
      </c>
      <c r="F2123" t="s">
        <v>1200</v>
      </c>
      <c r="I2123" t="s">
        <v>57</v>
      </c>
      <c r="K2123" t="s">
        <v>168</v>
      </c>
      <c r="L2123" t="s">
        <v>801</v>
      </c>
      <c r="M2123" t="s">
        <v>60</v>
      </c>
      <c r="P2123" t="s">
        <v>89</v>
      </c>
      <c r="R2123" t="s">
        <v>63</v>
      </c>
      <c r="S2123" t="s">
        <v>64</v>
      </c>
      <c r="T2123">
        <v>208.5</v>
      </c>
      <c r="U2123">
        <v>201.4</v>
      </c>
      <c r="V2123">
        <f t="shared" si="66"/>
        <v>204.95</v>
      </c>
      <c r="W2123">
        <f t="shared" si="67"/>
        <v>7.0999999999999943</v>
      </c>
      <c r="X2123">
        <v>-2.3913890000000002</v>
      </c>
      <c r="Y2123">
        <v>51.203055999999997</v>
      </c>
      <c r="Z2123" t="s">
        <v>90</v>
      </c>
      <c r="AA2123" t="s">
        <v>91</v>
      </c>
      <c r="AB2123" t="s">
        <v>92</v>
      </c>
      <c r="AC2123" t="s">
        <v>93</v>
      </c>
      <c r="AH2123" t="s">
        <v>11</v>
      </c>
      <c r="AI2123" t="s">
        <v>4719</v>
      </c>
      <c r="AJ2123">
        <v>2016</v>
      </c>
      <c r="AK2123" t="s">
        <v>4102</v>
      </c>
      <c r="AM2123" t="s">
        <v>4103</v>
      </c>
      <c r="AN2123" t="s">
        <v>76</v>
      </c>
      <c r="AO2123" t="s">
        <v>77</v>
      </c>
      <c r="AP2123" t="s">
        <v>78</v>
      </c>
      <c r="AQ2123" t="s">
        <v>4104</v>
      </c>
      <c r="AR2123" t="s">
        <v>80</v>
      </c>
      <c r="AS2123">
        <v>315</v>
      </c>
      <c r="AT2123" t="s">
        <v>81</v>
      </c>
      <c r="AU2123">
        <v>9.2100000000000009</v>
      </c>
      <c r="AV2123">
        <v>34.01</v>
      </c>
      <c r="AW2123" t="s">
        <v>82</v>
      </c>
      <c r="AX2123">
        <v>315</v>
      </c>
      <c r="AY2123" t="s">
        <v>81</v>
      </c>
      <c r="AZ2123">
        <v>-1.31</v>
      </c>
      <c r="BA2123">
        <v>36.68</v>
      </c>
      <c r="BB2123" t="s">
        <v>83</v>
      </c>
    </row>
    <row r="2124" spans="1:54" x14ac:dyDescent="0.4">
      <c r="A2124">
        <v>1333949</v>
      </c>
      <c r="D2124" t="s">
        <v>54</v>
      </c>
      <c r="F2124" t="s">
        <v>1200</v>
      </c>
      <c r="I2124" t="s">
        <v>57</v>
      </c>
      <c r="K2124" t="s">
        <v>141</v>
      </c>
      <c r="L2124" t="s">
        <v>4720</v>
      </c>
      <c r="M2124" t="s">
        <v>60</v>
      </c>
      <c r="P2124" t="s">
        <v>89</v>
      </c>
      <c r="R2124" t="s">
        <v>63</v>
      </c>
      <c r="S2124" t="s">
        <v>64</v>
      </c>
      <c r="T2124">
        <v>208.5</v>
      </c>
      <c r="U2124">
        <v>201.4</v>
      </c>
      <c r="V2124">
        <f t="shared" si="66"/>
        <v>204.95</v>
      </c>
      <c r="W2124">
        <f t="shared" si="67"/>
        <v>7.0999999999999943</v>
      </c>
      <c r="X2124">
        <v>-2.3913890000000002</v>
      </c>
      <c r="Y2124">
        <v>51.203055999999997</v>
      </c>
      <c r="Z2124" t="s">
        <v>90</v>
      </c>
      <c r="AA2124" t="s">
        <v>91</v>
      </c>
      <c r="AB2124" t="s">
        <v>92</v>
      </c>
      <c r="AC2124" t="s">
        <v>93</v>
      </c>
      <c r="AH2124" t="s">
        <v>11</v>
      </c>
      <c r="AI2124" t="s">
        <v>4719</v>
      </c>
      <c r="AJ2124">
        <v>2016</v>
      </c>
      <c r="AK2124" t="s">
        <v>4102</v>
      </c>
      <c r="AM2124" t="s">
        <v>4103</v>
      </c>
      <c r="AN2124" t="s">
        <v>76</v>
      </c>
      <c r="AO2124" t="s">
        <v>77</v>
      </c>
      <c r="AP2124" t="s">
        <v>78</v>
      </c>
      <c r="AQ2124" t="s">
        <v>4104</v>
      </c>
      <c r="AR2124" t="s">
        <v>80</v>
      </c>
      <c r="AS2124">
        <v>315</v>
      </c>
      <c r="AT2124" t="s">
        <v>81</v>
      </c>
      <c r="AU2124">
        <v>9.2100000000000009</v>
      </c>
      <c r="AV2124">
        <v>34.01</v>
      </c>
      <c r="AW2124" t="s">
        <v>82</v>
      </c>
      <c r="AX2124">
        <v>315</v>
      </c>
      <c r="AY2124" t="s">
        <v>81</v>
      </c>
      <c r="AZ2124">
        <v>-1.31</v>
      </c>
      <c r="BA2124">
        <v>36.68</v>
      </c>
      <c r="BB2124" t="s">
        <v>83</v>
      </c>
    </row>
    <row r="2125" spans="1:54" x14ac:dyDescent="0.4">
      <c r="A2125">
        <v>1384346</v>
      </c>
      <c r="D2125" t="s">
        <v>54</v>
      </c>
      <c r="I2125" t="s">
        <v>57</v>
      </c>
      <c r="K2125" t="s">
        <v>141</v>
      </c>
      <c r="L2125" t="s">
        <v>601</v>
      </c>
      <c r="M2125" t="s">
        <v>223</v>
      </c>
      <c r="P2125" t="s">
        <v>89</v>
      </c>
      <c r="R2125" t="s">
        <v>63</v>
      </c>
      <c r="S2125" t="s">
        <v>64</v>
      </c>
      <c r="T2125">
        <v>208.5</v>
      </c>
      <c r="U2125">
        <v>201.4</v>
      </c>
      <c r="V2125">
        <f t="shared" si="66"/>
        <v>204.95</v>
      </c>
      <c r="W2125">
        <f t="shared" si="67"/>
        <v>7.0999999999999943</v>
      </c>
      <c r="X2125">
        <v>16.085277999999999</v>
      </c>
      <c r="Y2125">
        <v>48.152222000000002</v>
      </c>
      <c r="Z2125" t="s">
        <v>520</v>
      </c>
      <c r="AA2125" t="s">
        <v>211</v>
      </c>
      <c r="AB2125" t="s">
        <v>4881</v>
      </c>
      <c r="AD2125" t="s">
        <v>4882</v>
      </c>
      <c r="AG2125" t="s">
        <v>4883</v>
      </c>
      <c r="AH2125" t="s">
        <v>72</v>
      </c>
      <c r="AI2125" t="s">
        <v>4884</v>
      </c>
      <c r="AJ2125">
        <v>1976</v>
      </c>
      <c r="AK2125" t="s">
        <v>4885</v>
      </c>
      <c r="AN2125" t="s">
        <v>192</v>
      </c>
      <c r="AO2125" t="s">
        <v>77</v>
      </c>
      <c r="AQ2125" t="s">
        <v>4886</v>
      </c>
      <c r="AR2125" t="s">
        <v>80</v>
      </c>
      <c r="AS2125">
        <v>305</v>
      </c>
      <c r="AT2125" t="s">
        <v>81</v>
      </c>
      <c r="AU2125">
        <v>23.89</v>
      </c>
      <c r="AV2125">
        <v>37.020000000000003</v>
      </c>
      <c r="AW2125" t="s">
        <v>82</v>
      </c>
      <c r="AX2125">
        <v>307</v>
      </c>
      <c r="AY2125" t="s">
        <v>81</v>
      </c>
      <c r="AZ2125">
        <v>17.739999999999998</v>
      </c>
      <c r="BA2125">
        <v>31.82</v>
      </c>
      <c r="BB2125" t="s">
        <v>83</v>
      </c>
    </row>
    <row r="2126" spans="1:54" x14ac:dyDescent="0.4">
      <c r="A2126">
        <v>1384354</v>
      </c>
      <c r="D2126" t="s">
        <v>54</v>
      </c>
      <c r="I2126" t="s">
        <v>57</v>
      </c>
      <c r="K2126" t="s">
        <v>141</v>
      </c>
      <c r="L2126" t="s">
        <v>592</v>
      </c>
      <c r="M2126" t="s">
        <v>223</v>
      </c>
      <c r="P2126" t="s">
        <v>89</v>
      </c>
      <c r="R2126" t="s">
        <v>63</v>
      </c>
      <c r="S2126" t="s">
        <v>64</v>
      </c>
      <c r="T2126">
        <v>208.5</v>
      </c>
      <c r="U2126">
        <v>201.4</v>
      </c>
      <c r="V2126">
        <f t="shared" si="66"/>
        <v>204.95</v>
      </c>
      <c r="W2126">
        <f t="shared" si="67"/>
        <v>7.0999999999999943</v>
      </c>
      <c r="X2126">
        <v>16.085277999999999</v>
      </c>
      <c r="Y2126">
        <v>48.152222000000002</v>
      </c>
      <c r="Z2126" t="s">
        <v>520</v>
      </c>
      <c r="AA2126" t="s">
        <v>211</v>
      </c>
      <c r="AB2126" t="s">
        <v>4881</v>
      </c>
      <c r="AD2126" t="s">
        <v>4882</v>
      </c>
      <c r="AG2126" t="s">
        <v>4883</v>
      </c>
      <c r="AH2126" t="s">
        <v>11</v>
      </c>
      <c r="AI2126" t="s">
        <v>4884</v>
      </c>
      <c r="AJ2126">
        <v>1976</v>
      </c>
      <c r="AK2126" t="s">
        <v>4885</v>
      </c>
      <c r="AN2126" t="s">
        <v>192</v>
      </c>
      <c r="AO2126" t="s">
        <v>77</v>
      </c>
      <c r="AQ2126" t="s">
        <v>4886</v>
      </c>
      <c r="AR2126" t="s">
        <v>80</v>
      </c>
      <c r="AS2126">
        <v>305</v>
      </c>
      <c r="AT2126" t="s">
        <v>81</v>
      </c>
      <c r="AU2126">
        <v>23.89</v>
      </c>
      <c r="AV2126">
        <v>37.020000000000003</v>
      </c>
      <c r="AW2126" t="s">
        <v>82</v>
      </c>
      <c r="AX2126">
        <v>307</v>
      </c>
      <c r="AY2126" t="s">
        <v>81</v>
      </c>
      <c r="AZ2126">
        <v>17.739999999999998</v>
      </c>
      <c r="BA2126">
        <v>31.82</v>
      </c>
      <c r="BB2126" t="s">
        <v>83</v>
      </c>
    </row>
    <row r="2127" spans="1:54" x14ac:dyDescent="0.4">
      <c r="A2127">
        <v>1384355</v>
      </c>
      <c r="D2127" t="s">
        <v>54</v>
      </c>
      <c r="I2127" t="s">
        <v>57</v>
      </c>
      <c r="K2127" t="s">
        <v>141</v>
      </c>
      <c r="L2127" t="s">
        <v>601</v>
      </c>
      <c r="M2127" t="s">
        <v>223</v>
      </c>
      <c r="P2127" t="s">
        <v>89</v>
      </c>
      <c r="R2127" t="s">
        <v>63</v>
      </c>
      <c r="S2127" t="s">
        <v>64</v>
      </c>
      <c r="T2127">
        <v>208.5</v>
      </c>
      <c r="U2127">
        <v>201.4</v>
      </c>
      <c r="V2127">
        <f t="shared" si="66"/>
        <v>204.95</v>
      </c>
      <c r="W2127">
        <f t="shared" si="67"/>
        <v>7.0999999999999943</v>
      </c>
      <c r="X2127">
        <v>16.085277999999999</v>
      </c>
      <c r="Y2127">
        <v>48.152222000000002</v>
      </c>
      <c r="Z2127" t="s">
        <v>520</v>
      </c>
      <c r="AA2127" t="s">
        <v>211</v>
      </c>
      <c r="AB2127" t="s">
        <v>4881</v>
      </c>
      <c r="AD2127" t="s">
        <v>4882</v>
      </c>
      <c r="AG2127" t="s">
        <v>4883</v>
      </c>
      <c r="AH2127" t="s">
        <v>72</v>
      </c>
      <c r="AI2127" t="s">
        <v>4884</v>
      </c>
      <c r="AJ2127">
        <v>1976</v>
      </c>
      <c r="AK2127" t="s">
        <v>4885</v>
      </c>
      <c r="AN2127" t="s">
        <v>192</v>
      </c>
      <c r="AO2127" t="s">
        <v>77</v>
      </c>
      <c r="AQ2127" t="s">
        <v>4886</v>
      </c>
      <c r="AR2127" t="s">
        <v>80</v>
      </c>
      <c r="AS2127">
        <v>305</v>
      </c>
      <c r="AT2127" t="s">
        <v>81</v>
      </c>
      <c r="AU2127">
        <v>23.89</v>
      </c>
      <c r="AV2127">
        <v>37.020000000000003</v>
      </c>
      <c r="AW2127" t="s">
        <v>82</v>
      </c>
      <c r="AX2127">
        <v>307</v>
      </c>
      <c r="AY2127" t="s">
        <v>81</v>
      </c>
      <c r="AZ2127">
        <v>17.739999999999998</v>
      </c>
      <c r="BA2127">
        <v>31.82</v>
      </c>
      <c r="BB2127" t="s">
        <v>83</v>
      </c>
    </row>
    <row r="2128" spans="1:54" x14ac:dyDescent="0.4">
      <c r="A2128">
        <v>1384356</v>
      </c>
      <c r="D2128" t="s">
        <v>54</v>
      </c>
      <c r="I2128" t="s">
        <v>57</v>
      </c>
      <c r="K2128" t="s">
        <v>141</v>
      </c>
      <c r="L2128" t="s">
        <v>4329</v>
      </c>
      <c r="M2128" t="s">
        <v>223</v>
      </c>
      <c r="N2128" t="s">
        <v>234</v>
      </c>
      <c r="O2128" t="s">
        <v>87</v>
      </c>
      <c r="P2128" t="s">
        <v>89</v>
      </c>
      <c r="R2128" t="s">
        <v>63</v>
      </c>
      <c r="S2128" t="s">
        <v>64</v>
      </c>
      <c r="T2128">
        <v>208.5</v>
      </c>
      <c r="U2128">
        <v>201.4</v>
      </c>
      <c r="V2128">
        <f t="shared" si="66"/>
        <v>204.95</v>
      </c>
      <c r="W2128">
        <f t="shared" si="67"/>
        <v>7.0999999999999943</v>
      </c>
      <c r="X2128">
        <v>16.085277999999999</v>
      </c>
      <c r="Y2128">
        <v>48.152222000000002</v>
      </c>
      <c r="Z2128" t="s">
        <v>520</v>
      </c>
      <c r="AA2128" t="s">
        <v>211</v>
      </c>
      <c r="AB2128" t="s">
        <v>4881</v>
      </c>
      <c r="AD2128" t="s">
        <v>4882</v>
      </c>
      <c r="AG2128" t="s">
        <v>4883</v>
      </c>
      <c r="AH2128" t="s">
        <v>11</v>
      </c>
      <c r="AI2128" t="s">
        <v>4884</v>
      </c>
      <c r="AJ2128">
        <v>1976</v>
      </c>
      <c r="AK2128" t="s">
        <v>4885</v>
      </c>
      <c r="AN2128" t="s">
        <v>192</v>
      </c>
      <c r="AO2128" t="s">
        <v>77</v>
      </c>
      <c r="AQ2128" t="s">
        <v>4886</v>
      </c>
      <c r="AR2128" t="s">
        <v>80</v>
      </c>
      <c r="AS2128">
        <v>305</v>
      </c>
      <c r="AT2128" t="s">
        <v>81</v>
      </c>
      <c r="AU2128">
        <v>23.89</v>
      </c>
      <c r="AV2128">
        <v>37.020000000000003</v>
      </c>
      <c r="AW2128" t="s">
        <v>82</v>
      </c>
      <c r="AX2128">
        <v>307</v>
      </c>
      <c r="AY2128" t="s">
        <v>81</v>
      </c>
      <c r="AZ2128">
        <v>17.739999999999998</v>
      </c>
      <c r="BA2128">
        <v>31.82</v>
      </c>
      <c r="BB2128" t="s">
        <v>83</v>
      </c>
    </row>
    <row r="2129" spans="1:54" x14ac:dyDescent="0.4">
      <c r="A2129">
        <v>1391294</v>
      </c>
      <c r="D2129" t="s">
        <v>54</v>
      </c>
      <c r="E2129" t="s">
        <v>55</v>
      </c>
      <c r="G2129">
        <v>1</v>
      </c>
      <c r="H2129" t="s">
        <v>84</v>
      </c>
      <c r="I2129" t="s">
        <v>57</v>
      </c>
      <c r="K2129" t="s">
        <v>132</v>
      </c>
      <c r="L2129" t="s">
        <v>133</v>
      </c>
      <c r="M2129" t="s">
        <v>60</v>
      </c>
      <c r="N2129" t="s">
        <v>119</v>
      </c>
      <c r="O2129" t="s">
        <v>134</v>
      </c>
      <c r="P2129" t="s">
        <v>89</v>
      </c>
      <c r="R2129" t="s">
        <v>63</v>
      </c>
      <c r="S2129" t="s">
        <v>64</v>
      </c>
      <c r="T2129">
        <v>208.5</v>
      </c>
      <c r="U2129">
        <v>201.4</v>
      </c>
      <c r="V2129">
        <f t="shared" si="66"/>
        <v>204.95</v>
      </c>
      <c r="W2129">
        <f t="shared" si="67"/>
        <v>7.0999999999999943</v>
      </c>
      <c r="X2129">
        <v>5.6166669999999996</v>
      </c>
      <c r="Y2129">
        <v>49.708331999999999</v>
      </c>
      <c r="Z2129" t="s">
        <v>602</v>
      </c>
      <c r="AA2129" t="s">
        <v>4268</v>
      </c>
      <c r="AB2129" t="s">
        <v>4269</v>
      </c>
      <c r="AD2129" t="s">
        <v>4274</v>
      </c>
      <c r="AH2129" t="s">
        <v>11</v>
      </c>
      <c r="AI2129" t="s">
        <v>4647</v>
      </c>
      <c r="AJ2129">
        <v>1995</v>
      </c>
      <c r="AK2129" t="s">
        <v>4904</v>
      </c>
      <c r="AN2129" t="s">
        <v>192</v>
      </c>
      <c r="AO2129" t="s">
        <v>77</v>
      </c>
      <c r="AP2129" t="s">
        <v>115</v>
      </c>
      <c r="AQ2129" t="s">
        <v>4273</v>
      </c>
      <c r="AR2129" t="s">
        <v>80</v>
      </c>
      <c r="AS2129">
        <v>315</v>
      </c>
      <c r="AT2129" t="s">
        <v>81</v>
      </c>
      <c r="AU2129">
        <v>15.55</v>
      </c>
      <c r="AV2129">
        <v>34.979999999999997</v>
      </c>
      <c r="AW2129" t="s">
        <v>82</v>
      </c>
      <c r="AX2129">
        <v>315</v>
      </c>
      <c r="AY2129" t="s">
        <v>81</v>
      </c>
      <c r="AZ2129">
        <v>5.27</v>
      </c>
      <c r="BA2129">
        <v>37.49</v>
      </c>
      <c r="BB2129" t="s">
        <v>83</v>
      </c>
    </row>
    <row r="2130" spans="1:54" x14ac:dyDescent="0.4">
      <c r="A2130">
        <v>1406773</v>
      </c>
      <c r="D2130" t="s">
        <v>54</v>
      </c>
      <c r="E2130" t="s">
        <v>55</v>
      </c>
      <c r="F2130" t="s">
        <v>885</v>
      </c>
      <c r="G2130">
        <v>1</v>
      </c>
      <c r="H2130" t="s">
        <v>56</v>
      </c>
      <c r="I2130" t="s">
        <v>57</v>
      </c>
      <c r="K2130" t="s">
        <v>1169</v>
      </c>
      <c r="L2130" t="s">
        <v>4953</v>
      </c>
      <c r="M2130" t="s">
        <v>60</v>
      </c>
      <c r="P2130" t="s">
        <v>89</v>
      </c>
      <c r="R2130" t="s">
        <v>63</v>
      </c>
      <c r="S2130" t="s">
        <v>64</v>
      </c>
      <c r="T2130">
        <v>208.5</v>
      </c>
      <c r="U2130">
        <v>201.4</v>
      </c>
      <c r="V2130">
        <f t="shared" si="66"/>
        <v>204.95</v>
      </c>
      <c r="W2130">
        <f t="shared" si="67"/>
        <v>7.0999999999999943</v>
      </c>
      <c r="X2130">
        <v>-106.473099</v>
      </c>
      <c r="Y2130">
        <v>36.331699</v>
      </c>
      <c r="Z2130" t="s">
        <v>886</v>
      </c>
      <c r="AA2130" t="s">
        <v>66</v>
      </c>
      <c r="AB2130" t="s">
        <v>846</v>
      </c>
      <c r="AC2130" t="s">
        <v>847</v>
      </c>
      <c r="AD2130" t="s">
        <v>174</v>
      </c>
      <c r="AF2130" t="s">
        <v>887</v>
      </c>
      <c r="AH2130" t="s">
        <v>72</v>
      </c>
      <c r="AI2130" t="s">
        <v>4954</v>
      </c>
      <c r="AJ2130">
        <v>2017</v>
      </c>
      <c r="AK2130" t="s">
        <v>888</v>
      </c>
      <c r="AM2130" t="s">
        <v>889</v>
      </c>
      <c r="AN2130" t="s">
        <v>76</v>
      </c>
      <c r="AO2130">
        <v>4</v>
      </c>
      <c r="AP2130" t="s">
        <v>115</v>
      </c>
      <c r="AQ2130" t="s">
        <v>890</v>
      </c>
      <c r="AR2130" t="s">
        <v>80</v>
      </c>
      <c r="AS2130">
        <v>101</v>
      </c>
      <c r="AT2130" t="s">
        <v>81</v>
      </c>
      <c r="AU2130">
        <v>-35.96</v>
      </c>
      <c r="AV2130">
        <v>10.83</v>
      </c>
      <c r="AW2130" t="s">
        <v>82</v>
      </c>
      <c r="AX2130">
        <v>133</v>
      </c>
      <c r="AY2130" t="s">
        <v>81</v>
      </c>
      <c r="AZ2130">
        <v>-51.55</v>
      </c>
      <c r="BA2130">
        <v>13.24</v>
      </c>
      <c r="BB2130" t="s">
        <v>83</v>
      </c>
    </row>
    <row r="2131" spans="1:54" x14ac:dyDescent="0.4">
      <c r="A2131">
        <v>1406954</v>
      </c>
      <c r="D2131" t="s">
        <v>54</v>
      </c>
      <c r="F2131" t="s">
        <v>1200</v>
      </c>
      <c r="G2131">
        <v>1</v>
      </c>
      <c r="H2131" t="s">
        <v>84</v>
      </c>
      <c r="I2131" t="s">
        <v>57</v>
      </c>
      <c r="K2131" t="s">
        <v>168</v>
      </c>
      <c r="L2131" t="s">
        <v>801</v>
      </c>
      <c r="M2131" t="s">
        <v>60</v>
      </c>
      <c r="P2131" t="s">
        <v>89</v>
      </c>
      <c r="R2131" t="s">
        <v>63</v>
      </c>
      <c r="S2131" t="s">
        <v>64</v>
      </c>
      <c r="T2131">
        <v>208.5</v>
      </c>
      <c r="U2131">
        <v>201.4</v>
      </c>
      <c r="V2131">
        <f t="shared" si="66"/>
        <v>204.95</v>
      </c>
      <c r="W2131">
        <f t="shared" si="67"/>
        <v>7.0999999999999943</v>
      </c>
      <c r="X2131">
        <v>-2.3913890000000002</v>
      </c>
      <c r="Y2131">
        <v>51.203055999999997</v>
      </c>
      <c r="Z2131" t="s">
        <v>90</v>
      </c>
      <c r="AA2131" t="s">
        <v>91</v>
      </c>
      <c r="AB2131" t="s">
        <v>92</v>
      </c>
      <c r="AC2131" t="s">
        <v>93</v>
      </c>
      <c r="AH2131" t="s">
        <v>72</v>
      </c>
      <c r="AI2131" t="s">
        <v>4963</v>
      </c>
      <c r="AJ2131">
        <v>2017</v>
      </c>
      <c r="AK2131" t="s">
        <v>4102</v>
      </c>
      <c r="AM2131" t="s">
        <v>4103</v>
      </c>
      <c r="AN2131" t="s">
        <v>76</v>
      </c>
      <c r="AO2131" t="s">
        <v>77</v>
      </c>
      <c r="AP2131" t="s">
        <v>78</v>
      </c>
      <c r="AQ2131" t="s">
        <v>4104</v>
      </c>
      <c r="AR2131" t="s">
        <v>80</v>
      </c>
      <c r="AS2131">
        <v>315</v>
      </c>
      <c r="AT2131" t="s">
        <v>81</v>
      </c>
      <c r="AU2131">
        <v>9.2100000000000009</v>
      </c>
      <c r="AV2131">
        <v>34.01</v>
      </c>
      <c r="AW2131" t="s">
        <v>82</v>
      </c>
      <c r="AX2131">
        <v>315</v>
      </c>
      <c r="AY2131" t="s">
        <v>81</v>
      </c>
      <c r="AZ2131">
        <v>-1.31</v>
      </c>
      <c r="BA2131">
        <v>36.68</v>
      </c>
      <c r="BB2131" t="s">
        <v>83</v>
      </c>
    </row>
    <row r="2132" spans="1:54" x14ac:dyDescent="0.4">
      <c r="A2132">
        <v>1406955</v>
      </c>
      <c r="D2132" t="s">
        <v>54</v>
      </c>
      <c r="F2132" t="s">
        <v>1200</v>
      </c>
      <c r="G2132">
        <v>1</v>
      </c>
      <c r="H2132" t="s">
        <v>84</v>
      </c>
      <c r="I2132" t="s">
        <v>57</v>
      </c>
      <c r="K2132" t="s">
        <v>141</v>
      </c>
      <c r="L2132" t="s">
        <v>4720</v>
      </c>
      <c r="M2132" t="s">
        <v>60</v>
      </c>
      <c r="P2132" t="s">
        <v>89</v>
      </c>
      <c r="R2132" t="s">
        <v>63</v>
      </c>
      <c r="S2132" t="s">
        <v>64</v>
      </c>
      <c r="T2132">
        <v>208.5</v>
      </c>
      <c r="U2132">
        <v>201.4</v>
      </c>
      <c r="V2132">
        <f t="shared" si="66"/>
        <v>204.95</v>
      </c>
      <c r="W2132">
        <f t="shared" si="67"/>
        <v>7.0999999999999943</v>
      </c>
      <c r="X2132">
        <v>-2.3913890000000002</v>
      </c>
      <c r="Y2132">
        <v>51.203055999999997</v>
      </c>
      <c r="Z2132" t="s">
        <v>90</v>
      </c>
      <c r="AA2132" t="s">
        <v>91</v>
      </c>
      <c r="AB2132" t="s">
        <v>92</v>
      </c>
      <c r="AC2132" t="s">
        <v>93</v>
      </c>
      <c r="AH2132" t="s">
        <v>72</v>
      </c>
      <c r="AI2132" t="s">
        <v>4963</v>
      </c>
      <c r="AJ2132">
        <v>2017</v>
      </c>
      <c r="AK2132" t="s">
        <v>4102</v>
      </c>
      <c r="AM2132" t="s">
        <v>4103</v>
      </c>
      <c r="AN2132" t="s">
        <v>76</v>
      </c>
      <c r="AO2132" t="s">
        <v>77</v>
      </c>
      <c r="AP2132" t="s">
        <v>78</v>
      </c>
      <c r="AQ2132" t="s">
        <v>4104</v>
      </c>
      <c r="AR2132" t="s">
        <v>80</v>
      </c>
      <c r="AS2132">
        <v>315</v>
      </c>
      <c r="AT2132" t="s">
        <v>81</v>
      </c>
      <c r="AU2132">
        <v>9.2100000000000009</v>
      </c>
      <c r="AV2132">
        <v>34.01</v>
      </c>
      <c r="AW2132" t="s">
        <v>82</v>
      </c>
      <c r="AX2132">
        <v>315</v>
      </c>
      <c r="AY2132" t="s">
        <v>81</v>
      </c>
      <c r="AZ2132">
        <v>-1.31</v>
      </c>
      <c r="BA2132">
        <v>36.68</v>
      </c>
      <c r="BB2132" t="s">
        <v>83</v>
      </c>
    </row>
    <row r="2133" spans="1:54" x14ac:dyDescent="0.4">
      <c r="A2133">
        <v>1408746</v>
      </c>
      <c r="D2133" t="s">
        <v>54</v>
      </c>
      <c r="E2133" t="s">
        <v>152</v>
      </c>
      <c r="G2133">
        <v>8</v>
      </c>
      <c r="H2133" t="s">
        <v>84</v>
      </c>
      <c r="I2133" t="s">
        <v>57</v>
      </c>
      <c r="K2133" t="s">
        <v>4974</v>
      </c>
      <c r="L2133" t="s">
        <v>4975</v>
      </c>
      <c r="M2133" t="s">
        <v>60</v>
      </c>
      <c r="P2133" t="s">
        <v>89</v>
      </c>
      <c r="R2133" t="s">
        <v>63</v>
      </c>
      <c r="S2133" t="s">
        <v>64</v>
      </c>
      <c r="T2133">
        <v>208.5</v>
      </c>
      <c r="U2133">
        <v>201.4</v>
      </c>
      <c r="V2133">
        <f t="shared" si="66"/>
        <v>204.95</v>
      </c>
      <c r="W2133">
        <f t="shared" si="67"/>
        <v>7.0999999999999943</v>
      </c>
      <c r="X2133">
        <v>8.4519439999999992</v>
      </c>
      <c r="Y2133">
        <v>47.706111999999997</v>
      </c>
      <c r="Z2133" t="s">
        <v>520</v>
      </c>
      <c r="AA2133" t="s">
        <v>226</v>
      </c>
      <c r="AB2133" t="s">
        <v>877</v>
      </c>
      <c r="AD2133" t="s">
        <v>247</v>
      </c>
      <c r="AF2133" t="s">
        <v>248</v>
      </c>
      <c r="AH2133" t="s">
        <v>72</v>
      </c>
      <c r="AI2133" t="s">
        <v>4719</v>
      </c>
      <c r="AJ2133">
        <v>2017</v>
      </c>
      <c r="AK2133" t="s">
        <v>1032</v>
      </c>
      <c r="AM2133" t="s">
        <v>1035</v>
      </c>
      <c r="AN2133" t="s">
        <v>76</v>
      </c>
      <c r="AO2133" t="s">
        <v>77</v>
      </c>
      <c r="AP2133" t="s">
        <v>115</v>
      </c>
      <c r="AQ2133" t="s">
        <v>1036</v>
      </c>
      <c r="AR2133" t="s">
        <v>80</v>
      </c>
      <c r="AS2133">
        <v>305</v>
      </c>
      <c r="AT2133" t="s">
        <v>81</v>
      </c>
      <c r="AU2133">
        <v>18.7</v>
      </c>
      <c r="AV2133">
        <v>34.1</v>
      </c>
      <c r="AW2133" t="s">
        <v>82</v>
      </c>
      <c r="AX2133">
        <v>305</v>
      </c>
      <c r="AY2133" t="s">
        <v>81</v>
      </c>
      <c r="AZ2133">
        <v>8.48</v>
      </c>
      <c r="BA2133">
        <v>36.520000000000003</v>
      </c>
      <c r="BB2133" t="s">
        <v>83</v>
      </c>
    </row>
    <row r="2134" spans="1:54" x14ac:dyDescent="0.4">
      <c r="A2134">
        <v>1408748</v>
      </c>
      <c r="D2134" t="s">
        <v>54</v>
      </c>
      <c r="E2134" t="s">
        <v>152</v>
      </c>
      <c r="G2134">
        <v>1</v>
      </c>
      <c r="H2134" t="s">
        <v>84</v>
      </c>
      <c r="I2134" t="s">
        <v>57</v>
      </c>
      <c r="K2134" t="s">
        <v>149</v>
      </c>
      <c r="L2134" t="s">
        <v>1315</v>
      </c>
      <c r="M2134" t="s">
        <v>60</v>
      </c>
      <c r="P2134" t="s">
        <v>89</v>
      </c>
      <c r="R2134" t="s">
        <v>63</v>
      </c>
      <c r="S2134" t="s">
        <v>64</v>
      </c>
      <c r="T2134">
        <v>208.5</v>
      </c>
      <c r="U2134">
        <v>201.4</v>
      </c>
      <c r="V2134">
        <f t="shared" si="66"/>
        <v>204.95</v>
      </c>
      <c r="W2134">
        <f t="shared" si="67"/>
        <v>7.0999999999999943</v>
      </c>
      <c r="X2134">
        <v>8.4519439999999992</v>
      </c>
      <c r="Y2134">
        <v>47.706111999999997</v>
      </c>
      <c r="Z2134" t="s">
        <v>520</v>
      </c>
      <c r="AA2134" t="s">
        <v>226</v>
      </c>
      <c r="AB2134" t="s">
        <v>877</v>
      </c>
      <c r="AD2134" t="s">
        <v>247</v>
      </c>
      <c r="AF2134" t="s">
        <v>248</v>
      </c>
      <c r="AH2134" t="s">
        <v>11</v>
      </c>
      <c r="AI2134" t="s">
        <v>4719</v>
      </c>
      <c r="AJ2134">
        <v>2017</v>
      </c>
      <c r="AK2134" t="s">
        <v>1032</v>
      </c>
      <c r="AM2134" t="s">
        <v>1035</v>
      </c>
      <c r="AN2134" t="s">
        <v>76</v>
      </c>
      <c r="AO2134" t="s">
        <v>77</v>
      </c>
      <c r="AP2134" t="s">
        <v>115</v>
      </c>
      <c r="AQ2134" t="s">
        <v>1036</v>
      </c>
      <c r="AR2134" t="s">
        <v>80</v>
      </c>
      <c r="AS2134">
        <v>305</v>
      </c>
      <c r="AT2134" t="s">
        <v>81</v>
      </c>
      <c r="AU2134">
        <v>18.7</v>
      </c>
      <c r="AV2134">
        <v>34.1</v>
      </c>
      <c r="AW2134" t="s">
        <v>82</v>
      </c>
      <c r="AX2134">
        <v>305</v>
      </c>
      <c r="AY2134" t="s">
        <v>81</v>
      </c>
      <c r="AZ2134">
        <v>8.48</v>
      </c>
      <c r="BA2134">
        <v>36.520000000000003</v>
      </c>
      <c r="BB2134" t="s">
        <v>83</v>
      </c>
    </row>
    <row r="2135" spans="1:54" x14ac:dyDescent="0.4">
      <c r="A2135">
        <v>1409647</v>
      </c>
      <c r="D2135" t="s">
        <v>54</v>
      </c>
      <c r="G2135">
        <v>1</v>
      </c>
      <c r="H2135" t="s">
        <v>84</v>
      </c>
      <c r="I2135" t="s">
        <v>57</v>
      </c>
      <c r="K2135" t="s">
        <v>141</v>
      </c>
      <c r="L2135" t="s">
        <v>4994</v>
      </c>
      <c r="M2135" t="s">
        <v>223</v>
      </c>
      <c r="N2135" t="s">
        <v>2449</v>
      </c>
      <c r="O2135" t="s">
        <v>87</v>
      </c>
      <c r="P2135" t="s">
        <v>89</v>
      </c>
      <c r="R2135" t="s">
        <v>63</v>
      </c>
      <c r="S2135" t="s">
        <v>64</v>
      </c>
      <c r="T2135">
        <v>208.5</v>
      </c>
      <c r="U2135">
        <v>201.4</v>
      </c>
      <c r="V2135">
        <f t="shared" si="66"/>
        <v>204.95</v>
      </c>
      <c r="W2135">
        <f t="shared" si="67"/>
        <v>7.0999999999999943</v>
      </c>
      <c r="X2135">
        <v>9.0511110000000006</v>
      </c>
      <c r="Y2135">
        <v>51.565556000000001</v>
      </c>
      <c r="Z2135" t="s">
        <v>520</v>
      </c>
      <c r="AA2135" t="s">
        <v>211</v>
      </c>
      <c r="AB2135" t="s">
        <v>4995</v>
      </c>
      <c r="AD2135" t="s">
        <v>4082</v>
      </c>
      <c r="AH2135" t="s">
        <v>72</v>
      </c>
      <c r="AI2135" t="s">
        <v>4996</v>
      </c>
      <c r="AJ2135">
        <v>2017</v>
      </c>
      <c r="AK2135" t="s">
        <v>4997</v>
      </c>
      <c r="AM2135" t="s">
        <v>4998</v>
      </c>
      <c r="AN2135" t="s">
        <v>192</v>
      </c>
      <c r="AO2135" t="s">
        <v>77</v>
      </c>
      <c r="AR2135" t="s">
        <v>80</v>
      </c>
      <c r="AS2135">
        <v>315</v>
      </c>
      <c r="AT2135" t="s">
        <v>81</v>
      </c>
      <c r="AU2135">
        <v>16.79</v>
      </c>
      <c r="AV2135">
        <v>37.659999999999997</v>
      </c>
      <c r="AW2135" t="s">
        <v>82</v>
      </c>
      <c r="AX2135">
        <v>315</v>
      </c>
      <c r="AY2135" t="s">
        <v>81</v>
      </c>
      <c r="AZ2135">
        <v>6.67</v>
      </c>
      <c r="BA2135">
        <v>40.130000000000003</v>
      </c>
      <c r="BB2135" t="s">
        <v>83</v>
      </c>
    </row>
    <row r="2136" spans="1:54" x14ac:dyDescent="0.4">
      <c r="A2136">
        <v>1418648</v>
      </c>
      <c r="D2136" t="s">
        <v>54</v>
      </c>
      <c r="E2136" t="s">
        <v>55</v>
      </c>
      <c r="F2136" t="s">
        <v>885</v>
      </c>
      <c r="I2136" t="s">
        <v>57</v>
      </c>
      <c r="K2136" t="s">
        <v>85</v>
      </c>
      <c r="L2136" t="s">
        <v>845</v>
      </c>
      <c r="M2136" t="s">
        <v>60</v>
      </c>
      <c r="O2136" t="s">
        <v>87</v>
      </c>
      <c r="P2136" t="s">
        <v>89</v>
      </c>
      <c r="R2136" t="s">
        <v>63</v>
      </c>
      <c r="S2136" t="s">
        <v>64</v>
      </c>
      <c r="T2136">
        <v>208.5</v>
      </c>
      <c r="U2136">
        <v>201.4</v>
      </c>
      <c r="V2136">
        <f t="shared" si="66"/>
        <v>204.95</v>
      </c>
      <c r="W2136">
        <f t="shared" si="67"/>
        <v>7.0999999999999943</v>
      </c>
      <c r="X2136">
        <v>-106.473099</v>
      </c>
      <c r="Y2136">
        <v>36.331699</v>
      </c>
      <c r="Z2136" t="s">
        <v>886</v>
      </c>
      <c r="AA2136" t="s">
        <v>66</v>
      </c>
      <c r="AB2136" t="s">
        <v>846</v>
      </c>
      <c r="AC2136" t="s">
        <v>847</v>
      </c>
      <c r="AD2136" t="s">
        <v>174</v>
      </c>
      <c r="AF2136" t="s">
        <v>887</v>
      </c>
      <c r="AH2136" t="s">
        <v>72</v>
      </c>
      <c r="AI2136" t="s">
        <v>2483</v>
      </c>
      <c r="AJ2136">
        <v>2013</v>
      </c>
      <c r="AK2136" t="s">
        <v>888</v>
      </c>
      <c r="AM2136" t="s">
        <v>889</v>
      </c>
      <c r="AN2136" t="s">
        <v>76</v>
      </c>
      <c r="AO2136">
        <v>4</v>
      </c>
      <c r="AP2136" t="s">
        <v>115</v>
      </c>
      <c r="AQ2136" t="s">
        <v>890</v>
      </c>
      <c r="AR2136" t="s">
        <v>80</v>
      </c>
      <c r="AS2136">
        <v>101</v>
      </c>
      <c r="AT2136" t="s">
        <v>81</v>
      </c>
      <c r="AU2136">
        <v>-35.96</v>
      </c>
      <c r="AV2136">
        <v>10.83</v>
      </c>
      <c r="AW2136" t="s">
        <v>82</v>
      </c>
      <c r="AX2136">
        <v>133</v>
      </c>
      <c r="AY2136" t="s">
        <v>81</v>
      </c>
      <c r="AZ2136">
        <v>-51.55</v>
      </c>
      <c r="BA2136">
        <v>13.24</v>
      </c>
      <c r="BB2136" t="s">
        <v>83</v>
      </c>
    </row>
    <row r="2137" spans="1:54" x14ac:dyDescent="0.4">
      <c r="A2137">
        <v>1419207</v>
      </c>
      <c r="D2137" t="s">
        <v>54</v>
      </c>
      <c r="I2137" t="s">
        <v>57</v>
      </c>
      <c r="K2137" t="s">
        <v>141</v>
      </c>
      <c r="L2137" t="s">
        <v>601</v>
      </c>
      <c r="M2137" t="s">
        <v>223</v>
      </c>
      <c r="P2137" t="s">
        <v>89</v>
      </c>
      <c r="R2137" t="s">
        <v>63</v>
      </c>
      <c r="S2137" t="s">
        <v>64</v>
      </c>
      <c r="T2137">
        <v>208.5</v>
      </c>
      <c r="U2137">
        <v>201.4</v>
      </c>
      <c r="V2137">
        <f t="shared" si="66"/>
        <v>204.95</v>
      </c>
      <c r="W2137">
        <f t="shared" si="67"/>
        <v>7.0999999999999943</v>
      </c>
      <c r="X2137">
        <v>9.6999999999999993</v>
      </c>
      <c r="Y2137">
        <v>47.049999</v>
      </c>
      <c r="Z2137" t="s">
        <v>520</v>
      </c>
      <c r="AA2137" t="s">
        <v>712</v>
      </c>
      <c r="AD2137" t="s">
        <v>2155</v>
      </c>
      <c r="AH2137" t="s">
        <v>72</v>
      </c>
      <c r="AI2137" t="s">
        <v>5252</v>
      </c>
      <c r="AJ2137">
        <v>2014</v>
      </c>
      <c r="AK2137" t="s">
        <v>5253</v>
      </c>
      <c r="AN2137" t="s">
        <v>114</v>
      </c>
      <c r="AO2137">
        <v>2</v>
      </c>
      <c r="AP2137" t="s">
        <v>78</v>
      </c>
      <c r="AQ2137" t="s">
        <v>5254</v>
      </c>
      <c r="AR2137" t="s">
        <v>80</v>
      </c>
      <c r="AS2137">
        <v>307</v>
      </c>
      <c r="AT2137" t="s">
        <v>81</v>
      </c>
      <c r="AU2137">
        <v>27.95</v>
      </c>
      <c r="AV2137">
        <v>28.24</v>
      </c>
      <c r="AW2137" t="s">
        <v>82</v>
      </c>
      <c r="AX2137">
        <v>307</v>
      </c>
      <c r="AY2137" t="s">
        <v>81</v>
      </c>
      <c r="AZ2137">
        <v>12.74</v>
      </c>
      <c r="BA2137">
        <v>33.229999999999997</v>
      </c>
      <c r="BB2137" t="s">
        <v>83</v>
      </c>
    </row>
    <row r="2138" spans="1:54" x14ac:dyDescent="0.4">
      <c r="A2138">
        <v>1419208</v>
      </c>
      <c r="D2138" t="s">
        <v>54</v>
      </c>
      <c r="I2138" t="s">
        <v>57</v>
      </c>
      <c r="K2138" t="s">
        <v>141</v>
      </c>
      <c r="L2138" t="s">
        <v>601</v>
      </c>
      <c r="M2138" t="s">
        <v>223</v>
      </c>
      <c r="P2138" t="s">
        <v>89</v>
      </c>
      <c r="R2138" t="s">
        <v>63</v>
      </c>
      <c r="S2138" t="s">
        <v>64</v>
      </c>
      <c r="T2138">
        <v>208.5</v>
      </c>
      <c r="U2138">
        <v>201.4</v>
      </c>
      <c r="V2138">
        <f t="shared" si="66"/>
        <v>204.95</v>
      </c>
      <c r="W2138">
        <f t="shared" si="67"/>
        <v>7.0999999999999943</v>
      </c>
      <c r="X2138">
        <v>9.8000000000000007</v>
      </c>
      <c r="Y2138">
        <v>45.816665999999998</v>
      </c>
      <c r="Z2138" t="s">
        <v>3447</v>
      </c>
      <c r="AA2138" t="s">
        <v>593</v>
      </c>
      <c r="AB2138" t="s">
        <v>5255</v>
      </c>
      <c r="AD2138" t="s">
        <v>668</v>
      </c>
      <c r="AH2138" t="s">
        <v>72</v>
      </c>
      <c r="AI2138" t="s">
        <v>2013</v>
      </c>
      <c r="AJ2138">
        <v>2002</v>
      </c>
      <c r="AK2138" t="s">
        <v>5256</v>
      </c>
      <c r="AN2138" t="s">
        <v>192</v>
      </c>
      <c r="AO2138" t="s">
        <v>160</v>
      </c>
      <c r="AP2138" t="s">
        <v>78</v>
      </c>
      <c r="AR2138" t="s">
        <v>80</v>
      </c>
      <c r="AS2138">
        <v>307</v>
      </c>
      <c r="AT2138" t="s">
        <v>81</v>
      </c>
      <c r="AU2138">
        <v>26.96</v>
      </c>
      <c r="AV2138">
        <v>27.37</v>
      </c>
      <c r="AW2138" t="s">
        <v>82</v>
      </c>
      <c r="AX2138">
        <v>307</v>
      </c>
      <c r="AY2138" t="s">
        <v>81</v>
      </c>
      <c r="AZ2138">
        <v>12</v>
      </c>
      <c r="BA2138">
        <v>32.17</v>
      </c>
      <c r="BB2138" t="s">
        <v>83</v>
      </c>
    </row>
    <row r="2139" spans="1:54" x14ac:dyDescent="0.4">
      <c r="A2139">
        <v>1419213</v>
      </c>
      <c r="D2139" t="s">
        <v>54</v>
      </c>
      <c r="I2139" t="s">
        <v>57</v>
      </c>
      <c r="K2139" t="s">
        <v>141</v>
      </c>
      <c r="L2139" t="s">
        <v>601</v>
      </c>
      <c r="M2139" t="s">
        <v>223</v>
      </c>
      <c r="P2139" t="s">
        <v>89</v>
      </c>
      <c r="R2139" t="s">
        <v>63</v>
      </c>
      <c r="S2139" t="s">
        <v>64</v>
      </c>
      <c r="T2139">
        <v>208.5</v>
      </c>
      <c r="U2139">
        <v>201.4</v>
      </c>
      <c r="V2139">
        <f t="shared" si="66"/>
        <v>204.95</v>
      </c>
      <c r="W2139">
        <f t="shared" si="67"/>
        <v>7.0999999999999943</v>
      </c>
      <c r="X2139">
        <v>-2.63</v>
      </c>
      <c r="Y2139">
        <v>51.599997999999999</v>
      </c>
      <c r="Z2139" t="s">
        <v>1251</v>
      </c>
      <c r="AA2139" t="s">
        <v>91</v>
      </c>
      <c r="AB2139" t="s">
        <v>92</v>
      </c>
      <c r="AC2139" t="s">
        <v>136</v>
      </c>
      <c r="AD2139" t="s">
        <v>937</v>
      </c>
      <c r="AE2139" t="s">
        <v>938</v>
      </c>
      <c r="AH2139" t="s">
        <v>72</v>
      </c>
      <c r="AI2139" t="s">
        <v>2013</v>
      </c>
      <c r="AJ2139">
        <v>2002</v>
      </c>
      <c r="AK2139" t="s">
        <v>5262</v>
      </c>
      <c r="AN2139" t="s">
        <v>114</v>
      </c>
      <c r="AO2139">
        <v>1</v>
      </c>
      <c r="AP2139" t="s">
        <v>78</v>
      </c>
      <c r="AQ2139" t="s">
        <v>5263</v>
      </c>
      <c r="AR2139" t="s">
        <v>80</v>
      </c>
      <c r="AS2139">
        <v>315</v>
      </c>
      <c r="AT2139" t="s">
        <v>81</v>
      </c>
      <c r="AU2139">
        <v>8.84</v>
      </c>
      <c r="AV2139">
        <v>34.299999999999997</v>
      </c>
      <c r="AW2139" t="s">
        <v>82</v>
      </c>
      <c r="AX2139">
        <v>315</v>
      </c>
      <c r="AY2139" t="s">
        <v>81</v>
      </c>
      <c r="AZ2139">
        <v>-1.68</v>
      </c>
      <c r="BA2139">
        <v>36.979999999999997</v>
      </c>
      <c r="BB2139" t="s">
        <v>83</v>
      </c>
    </row>
    <row r="2140" spans="1:54" x14ac:dyDescent="0.4">
      <c r="A2140">
        <v>1427995</v>
      </c>
      <c r="D2140" t="s">
        <v>54</v>
      </c>
      <c r="I2140" t="s">
        <v>57</v>
      </c>
      <c r="K2140" t="s">
        <v>206</v>
      </c>
      <c r="L2140" t="s">
        <v>851</v>
      </c>
      <c r="M2140" t="s">
        <v>60</v>
      </c>
      <c r="O2140" t="s">
        <v>170</v>
      </c>
      <c r="P2140" t="s">
        <v>89</v>
      </c>
      <c r="R2140" t="s">
        <v>63</v>
      </c>
      <c r="S2140" t="s">
        <v>64</v>
      </c>
      <c r="T2140">
        <v>208.5</v>
      </c>
      <c r="U2140">
        <v>201.4</v>
      </c>
      <c r="V2140">
        <f t="shared" si="66"/>
        <v>204.95</v>
      </c>
      <c r="W2140">
        <f t="shared" si="67"/>
        <v>7.0999999999999943</v>
      </c>
      <c r="X2140">
        <v>-111.449448</v>
      </c>
      <c r="Y2140">
        <v>35.921391</v>
      </c>
      <c r="Z2140" t="s">
        <v>124</v>
      </c>
      <c r="AA2140" t="s">
        <v>66</v>
      </c>
      <c r="AB2140" t="s">
        <v>583</v>
      </c>
      <c r="AC2140" t="s">
        <v>807</v>
      </c>
      <c r="AD2140" t="s">
        <v>174</v>
      </c>
      <c r="AF2140" t="s">
        <v>1724</v>
      </c>
      <c r="AH2140" t="s">
        <v>72</v>
      </c>
      <c r="AI2140" t="s">
        <v>5340</v>
      </c>
      <c r="AJ2140">
        <v>2018</v>
      </c>
      <c r="AK2140" t="s">
        <v>5341</v>
      </c>
      <c r="AN2140" t="s">
        <v>192</v>
      </c>
      <c r="AO2140" t="s">
        <v>77</v>
      </c>
      <c r="AP2140" t="s">
        <v>115</v>
      </c>
      <c r="AQ2140" t="s">
        <v>5342</v>
      </c>
      <c r="AR2140" t="s">
        <v>80</v>
      </c>
      <c r="AS2140">
        <v>101</v>
      </c>
      <c r="AT2140" t="s">
        <v>81</v>
      </c>
      <c r="AU2140">
        <v>-40.08</v>
      </c>
      <c r="AV2140">
        <v>10.75</v>
      </c>
      <c r="AW2140" t="s">
        <v>82</v>
      </c>
      <c r="AX2140">
        <v>133</v>
      </c>
      <c r="AY2140" t="s">
        <v>81</v>
      </c>
      <c r="AZ2140">
        <v>-55.69</v>
      </c>
      <c r="BA2140">
        <v>13.11</v>
      </c>
      <c r="BB2140" t="s">
        <v>83</v>
      </c>
    </row>
    <row r="2141" spans="1:54" x14ac:dyDescent="0.4">
      <c r="A2141">
        <v>1427999</v>
      </c>
      <c r="D2141" t="s">
        <v>54</v>
      </c>
      <c r="I2141" t="s">
        <v>57</v>
      </c>
      <c r="K2141" t="s">
        <v>194</v>
      </c>
      <c r="L2141" t="s">
        <v>1445</v>
      </c>
      <c r="M2141" t="s">
        <v>60</v>
      </c>
      <c r="P2141" t="s">
        <v>89</v>
      </c>
      <c r="R2141" t="s">
        <v>63</v>
      </c>
      <c r="S2141" t="s">
        <v>64</v>
      </c>
      <c r="T2141">
        <v>208.5</v>
      </c>
      <c r="U2141">
        <v>201.4</v>
      </c>
      <c r="V2141">
        <f t="shared" si="66"/>
        <v>204.95</v>
      </c>
      <c r="W2141">
        <f t="shared" si="67"/>
        <v>7.0999999999999943</v>
      </c>
      <c r="X2141">
        <v>-111.449448</v>
      </c>
      <c r="Y2141">
        <v>35.921391</v>
      </c>
      <c r="Z2141" t="s">
        <v>124</v>
      </c>
      <c r="AA2141" t="s">
        <v>66</v>
      </c>
      <c r="AB2141" t="s">
        <v>583</v>
      </c>
      <c r="AC2141" t="s">
        <v>807</v>
      </c>
      <c r="AD2141" t="s">
        <v>174</v>
      </c>
      <c r="AF2141" t="s">
        <v>1724</v>
      </c>
      <c r="AH2141" t="s">
        <v>72</v>
      </c>
      <c r="AI2141" t="s">
        <v>5340</v>
      </c>
      <c r="AJ2141">
        <v>2018</v>
      </c>
      <c r="AK2141" t="s">
        <v>5341</v>
      </c>
      <c r="AN2141" t="s">
        <v>192</v>
      </c>
      <c r="AO2141" t="s">
        <v>77</v>
      </c>
      <c r="AP2141" t="s">
        <v>115</v>
      </c>
      <c r="AQ2141" t="s">
        <v>5342</v>
      </c>
      <c r="AR2141" t="s">
        <v>80</v>
      </c>
      <c r="AS2141">
        <v>101</v>
      </c>
      <c r="AT2141" t="s">
        <v>81</v>
      </c>
      <c r="AU2141">
        <v>-40.08</v>
      </c>
      <c r="AV2141">
        <v>10.75</v>
      </c>
      <c r="AW2141" t="s">
        <v>82</v>
      </c>
      <c r="AX2141">
        <v>133</v>
      </c>
      <c r="AY2141" t="s">
        <v>81</v>
      </c>
      <c r="AZ2141">
        <v>-55.69</v>
      </c>
      <c r="BA2141">
        <v>13.11</v>
      </c>
      <c r="BB2141" t="s">
        <v>83</v>
      </c>
    </row>
    <row r="2142" spans="1:54" x14ac:dyDescent="0.4">
      <c r="A2142">
        <v>1453483</v>
      </c>
      <c r="D2142" t="s">
        <v>54</v>
      </c>
      <c r="I2142" t="s">
        <v>57</v>
      </c>
      <c r="K2142" t="s">
        <v>141</v>
      </c>
      <c r="L2142" t="s">
        <v>533</v>
      </c>
      <c r="M2142" t="s">
        <v>60</v>
      </c>
      <c r="O2142" t="s">
        <v>87</v>
      </c>
      <c r="P2142" t="s">
        <v>89</v>
      </c>
      <c r="R2142" t="s">
        <v>63</v>
      </c>
      <c r="S2142" t="s">
        <v>64</v>
      </c>
      <c r="T2142">
        <v>208.5</v>
      </c>
      <c r="U2142">
        <v>201.4</v>
      </c>
      <c r="V2142">
        <f t="shared" si="66"/>
        <v>204.95</v>
      </c>
      <c r="W2142">
        <f t="shared" si="67"/>
        <v>7.0999999999999943</v>
      </c>
      <c r="X2142">
        <v>9.0667000000000009</v>
      </c>
      <c r="Y2142">
        <v>48.549999</v>
      </c>
      <c r="Z2142" t="s">
        <v>124</v>
      </c>
      <c r="AA2142" t="s">
        <v>211</v>
      </c>
      <c r="AB2142" t="s">
        <v>212</v>
      </c>
      <c r="AD2142" t="s">
        <v>4082</v>
      </c>
      <c r="AE2142" t="s">
        <v>215</v>
      </c>
      <c r="AH2142" t="s">
        <v>72</v>
      </c>
      <c r="AI2142" t="s">
        <v>5419</v>
      </c>
      <c r="AJ2142">
        <v>1870</v>
      </c>
      <c r="AK2142" t="s">
        <v>4083</v>
      </c>
      <c r="AN2142" t="s">
        <v>114</v>
      </c>
      <c r="AO2142">
        <v>2</v>
      </c>
      <c r="AP2142" t="s">
        <v>115</v>
      </c>
      <c r="AQ2142" t="s">
        <v>4084</v>
      </c>
      <c r="AR2142" t="s">
        <v>80</v>
      </c>
      <c r="AS2142">
        <v>305</v>
      </c>
      <c r="AT2142" t="s">
        <v>81</v>
      </c>
      <c r="AU2142">
        <v>18.649999999999999</v>
      </c>
      <c r="AV2142">
        <v>35.03</v>
      </c>
      <c r="AW2142" t="s">
        <v>82</v>
      </c>
      <c r="AX2142">
        <v>305</v>
      </c>
      <c r="AY2142" t="s">
        <v>81</v>
      </c>
      <c r="AZ2142">
        <v>8.4700000000000006</v>
      </c>
      <c r="BA2142">
        <v>37.46</v>
      </c>
      <c r="BB2142" t="s">
        <v>83</v>
      </c>
    </row>
    <row r="2143" spans="1:54" x14ac:dyDescent="0.4">
      <c r="A2143">
        <v>1453484</v>
      </c>
      <c r="D2143" t="s">
        <v>54</v>
      </c>
      <c r="I2143" t="s">
        <v>57</v>
      </c>
      <c r="K2143" t="s">
        <v>771</v>
      </c>
      <c r="L2143" t="s">
        <v>772</v>
      </c>
      <c r="M2143" t="s">
        <v>223</v>
      </c>
      <c r="P2143" t="s">
        <v>89</v>
      </c>
      <c r="R2143" t="s">
        <v>63</v>
      </c>
      <c r="S2143" t="s">
        <v>64</v>
      </c>
      <c r="T2143">
        <v>208.5</v>
      </c>
      <c r="U2143">
        <v>201.4</v>
      </c>
      <c r="V2143">
        <f t="shared" si="66"/>
        <v>204.95</v>
      </c>
      <c r="W2143">
        <f t="shared" si="67"/>
        <v>7.0999999999999943</v>
      </c>
      <c r="X2143">
        <v>9.0667000000000009</v>
      </c>
      <c r="Y2143">
        <v>48.549999</v>
      </c>
      <c r="Z2143" t="s">
        <v>124</v>
      </c>
      <c r="AA2143" t="s">
        <v>211</v>
      </c>
      <c r="AB2143" t="s">
        <v>212</v>
      </c>
      <c r="AD2143" t="s">
        <v>4082</v>
      </c>
      <c r="AE2143" t="s">
        <v>215</v>
      </c>
      <c r="AH2143" t="s">
        <v>11</v>
      </c>
      <c r="AI2143" t="s">
        <v>5419</v>
      </c>
      <c r="AJ2143">
        <v>1870</v>
      </c>
      <c r="AK2143" t="s">
        <v>4083</v>
      </c>
      <c r="AN2143" t="s">
        <v>114</v>
      </c>
      <c r="AO2143">
        <v>2</v>
      </c>
      <c r="AP2143" t="s">
        <v>115</v>
      </c>
      <c r="AQ2143" t="s">
        <v>4084</v>
      </c>
      <c r="AR2143" t="s">
        <v>80</v>
      </c>
      <c r="AS2143">
        <v>305</v>
      </c>
      <c r="AT2143" t="s">
        <v>81</v>
      </c>
      <c r="AU2143">
        <v>18.649999999999999</v>
      </c>
      <c r="AV2143">
        <v>35.03</v>
      </c>
      <c r="AW2143" t="s">
        <v>82</v>
      </c>
      <c r="AX2143">
        <v>305</v>
      </c>
      <c r="AY2143" t="s">
        <v>81</v>
      </c>
      <c r="AZ2143">
        <v>8.4700000000000006</v>
      </c>
      <c r="BA2143">
        <v>37.46</v>
      </c>
      <c r="BB2143" t="s">
        <v>83</v>
      </c>
    </row>
    <row r="2144" spans="1:54" x14ac:dyDescent="0.4">
      <c r="A2144">
        <v>1534868</v>
      </c>
      <c r="D2144" t="s">
        <v>54</v>
      </c>
      <c r="E2144" t="s">
        <v>55</v>
      </c>
      <c r="G2144">
        <v>2</v>
      </c>
      <c r="H2144" t="s">
        <v>84</v>
      </c>
      <c r="I2144" t="s">
        <v>57</v>
      </c>
      <c r="K2144" t="s">
        <v>100</v>
      </c>
      <c r="L2144" t="s">
        <v>799</v>
      </c>
      <c r="M2144" t="s">
        <v>60</v>
      </c>
      <c r="P2144" t="s">
        <v>89</v>
      </c>
      <c r="R2144" t="s">
        <v>63</v>
      </c>
      <c r="S2144" t="s">
        <v>64</v>
      </c>
      <c r="T2144">
        <v>208.5</v>
      </c>
      <c r="U2144">
        <v>201.4</v>
      </c>
      <c r="V2144">
        <f t="shared" si="66"/>
        <v>204.95</v>
      </c>
      <c r="W2144">
        <f t="shared" si="67"/>
        <v>7.0999999999999943</v>
      </c>
      <c r="X2144">
        <v>-3.4782000000000002</v>
      </c>
      <c r="Y2144">
        <v>51.505099999999999</v>
      </c>
      <c r="Z2144" t="s">
        <v>90</v>
      </c>
      <c r="AA2144" t="s">
        <v>91</v>
      </c>
      <c r="AB2144" t="s">
        <v>373</v>
      </c>
      <c r="AC2144" t="s">
        <v>794</v>
      </c>
      <c r="AH2144" t="s">
        <v>72</v>
      </c>
      <c r="AI2144" t="s">
        <v>798</v>
      </c>
      <c r="AJ2144">
        <v>2020</v>
      </c>
      <c r="AK2144" t="s">
        <v>795</v>
      </c>
      <c r="AM2144" t="s">
        <v>796</v>
      </c>
      <c r="AN2144" t="s">
        <v>76</v>
      </c>
      <c r="AO2144">
        <v>4</v>
      </c>
      <c r="AP2144" t="s">
        <v>115</v>
      </c>
      <c r="AQ2144" t="s">
        <v>797</v>
      </c>
      <c r="AR2144" t="s">
        <v>80</v>
      </c>
      <c r="AS2144">
        <v>315</v>
      </c>
      <c r="AT2144" t="s">
        <v>81</v>
      </c>
      <c r="AU2144">
        <v>8.32</v>
      </c>
      <c r="AV2144">
        <v>33.99</v>
      </c>
      <c r="AW2144" t="s">
        <v>82</v>
      </c>
      <c r="AX2144">
        <v>315</v>
      </c>
      <c r="AY2144" t="s">
        <v>81</v>
      </c>
      <c r="AZ2144">
        <v>-2.2400000000000002</v>
      </c>
      <c r="BA2144">
        <v>36.68</v>
      </c>
      <c r="BB2144" t="s">
        <v>83</v>
      </c>
    </row>
    <row r="2145" spans="1:54" x14ac:dyDescent="0.4">
      <c r="A2145">
        <v>1534869</v>
      </c>
      <c r="D2145" t="s">
        <v>54</v>
      </c>
      <c r="E2145" t="s">
        <v>55</v>
      </c>
      <c r="I2145" t="s">
        <v>57</v>
      </c>
      <c r="K2145" t="s">
        <v>100</v>
      </c>
      <c r="L2145" t="s">
        <v>1621</v>
      </c>
      <c r="M2145" t="s">
        <v>60</v>
      </c>
      <c r="P2145" t="s">
        <v>89</v>
      </c>
      <c r="R2145" t="s">
        <v>63</v>
      </c>
      <c r="S2145" t="s">
        <v>64</v>
      </c>
      <c r="T2145">
        <v>208.5</v>
      </c>
      <c r="U2145">
        <v>201.4</v>
      </c>
      <c r="V2145">
        <f t="shared" si="66"/>
        <v>204.95</v>
      </c>
      <c r="W2145">
        <f t="shared" si="67"/>
        <v>7.0999999999999943</v>
      </c>
      <c r="X2145">
        <v>-3.4782000000000002</v>
      </c>
      <c r="Y2145">
        <v>51.505099999999999</v>
      </c>
      <c r="Z2145" t="s">
        <v>90</v>
      </c>
      <c r="AA2145" t="s">
        <v>91</v>
      </c>
      <c r="AB2145" t="s">
        <v>373</v>
      </c>
      <c r="AC2145" t="s">
        <v>794</v>
      </c>
      <c r="AH2145" t="s">
        <v>11</v>
      </c>
      <c r="AI2145" t="s">
        <v>798</v>
      </c>
      <c r="AJ2145">
        <v>2020</v>
      </c>
      <c r="AK2145" t="s">
        <v>795</v>
      </c>
      <c r="AM2145" t="s">
        <v>796</v>
      </c>
      <c r="AN2145" t="s">
        <v>76</v>
      </c>
      <c r="AO2145">
        <v>4</v>
      </c>
      <c r="AP2145" t="s">
        <v>115</v>
      </c>
      <c r="AQ2145" t="s">
        <v>797</v>
      </c>
      <c r="AR2145" t="s">
        <v>80</v>
      </c>
      <c r="AS2145">
        <v>315</v>
      </c>
      <c r="AT2145" t="s">
        <v>81</v>
      </c>
      <c r="AU2145">
        <v>8.32</v>
      </c>
      <c r="AV2145">
        <v>33.99</v>
      </c>
      <c r="AW2145" t="s">
        <v>82</v>
      </c>
      <c r="AX2145">
        <v>315</v>
      </c>
      <c r="AY2145" t="s">
        <v>81</v>
      </c>
      <c r="AZ2145">
        <v>-2.2400000000000002</v>
      </c>
      <c r="BA2145">
        <v>36.68</v>
      </c>
      <c r="BB2145" t="s">
        <v>83</v>
      </c>
    </row>
    <row r="2146" spans="1:54" x14ac:dyDescent="0.4">
      <c r="A2146">
        <v>1534870</v>
      </c>
      <c r="D2146" t="s">
        <v>54</v>
      </c>
      <c r="E2146" t="s">
        <v>55</v>
      </c>
      <c r="G2146">
        <v>11</v>
      </c>
      <c r="H2146" t="s">
        <v>84</v>
      </c>
      <c r="I2146" t="s">
        <v>57</v>
      </c>
      <c r="K2146" t="s">
        <v>100</v>
      </c>
      <c r="L2146" t="s">
        <v>5509</v>
      </c>
      <c r="M2146" t="s">
        <v>60</v>
      </c>
      <c r="P2146" t="s">
        <v>89</v>
      </c>
      <c r="R2146" t="s">
        <v>63</v>
      </c>
      <c r="S2146" t="s">
        <v>64</v>
      </c>
      <c r="T2146">
        <v>208.5</v>
      </c>
      <c r="U2146">
        <v>201.4</v>
      </c>
      <c r="V2146">
        <f t="shared" si="66"/>
        <v>204.95</v>
      </c>
      <c r="W2146">
        <f t="shared" si="67"/>
        <v>7.0999999999999943</v>
      </c>
      <c r="X2146">
        <v>-3.4782000000000002</v>
      </c>
      <c r="Y2146">
        <v>51.505099999999999</v>
      </c>
      <c r="Z2146" t="s">
        <v>90</v>
      </c>
      <c r="AA2146" t="s">
        <v>91</v>
      </c>
      <c r="AB2146" t="s">
        <v>373</v>
      </c>
      <c r="AC2146" t="s">
        <v>794</v>
      </c>
      <c r="AH2146" t="s">
        <v>72</v>
      </c>
      <c r="AI2146" t="s">
        <v>798</v>
      </c>
      <c r="AJ2146">
        <v>2020</v>
      </c>
      <c r="AK2146" t="s">
        <v>795</v>
      </c>
      <c r="AM2146" t="s">
        <v>796</v>
      </c>
      <c r="AN2146" t="s">
        <v>76</v>
      </c>
      <c r="AO2146">
        <v>4</v>
      </c>
      <c r="AP2146" t="s">
        <v>115</v>
      </c>
      <c r="AQ2146" t="s">
        <v>797</v>
      </c>
      <c r="AR2146" t="s">
        <v>80</v>
      </c>
      <c r="AS2146">
        <v>315</v>
      </c>
      <c r="AT2146" t="s">
        <v>81</v>
      </c>
      <c r="AU2146">
        <v>8.32</v>
      </c>
      <c r="AV2146">
        <v>33.99</v>
      </c>
      <c r="AW2146" t="s">
        <v>82</v>
      </c>
      <c r="AX2146">
        <v>315</v>
      </c>
      <c r="AY2146" t="s">
        <v>81</v>
      </c>
      <c r="AZ2146">
        <v>-2.2400000000000002</v>
      </c>
      <c r="BA2146">
        <v>36.68</v>
      </c>
      <c r="BB2146" t="s">
        <v>83</v>
      </c>
    </row>
    <row r="2147" spans="1:54" x14ac:dyDescent="0.4">
      <c r="A2147">
        <v>1534871</v>
      </c>
      <c r="D2147" t="s">
        <v>54</v>
      </c>
      <c r="E2147" t="s">
        <v>55</v>
      </c>
      <c r="I2147" t="s">
        <v>57</v>
      </c>
      <c r="K2147" t="s">
        <v>100</v>
      </c>
      <c r="L2147" t="s">
        <v>2260</v>
      </c>
      <c r="M2147" t="s">
        <v>60</v>
      </c>
      <c r="P2147" t="s">
        <v>89</v>
      </c>
      <c r="R2147" t="s">
        <v>63</v>
      </c>
      <c r="S2147" t="s">
        <v>64</v>
      </c>
      <c r="T2147">
        <v>208.5</v>
      </c>
      <c r="U2147">
        <v>201.4</v>
      </c>
      <c r="V2147">
        <f t="shared" si="66"/>
        <v>204.95</v>
      </c>
      <c r="W2147">
        <f t="shared" si="67"/>
        <v>7.0999999999999943</v>
      </c>
      <c r="X2147">
        <v>-3.4782000000000002</v>
      </c>
      <c r="Y2147">
        <v>51.505099999999999</v>
      </c>
      <c r="Z2147" t="s">
        <v>90</v>
      </c>
      <c r="AA2147" t="s">
        <v>91</v>
      </c>
      <c r="AB2147" t="s">
        <v>373</v>
      </c>
      <c r="AC2147" t="s">
        <v>794</v>
      </c>
      <c r="AH2147" t="s">
        <v>11</v>
      </c>
      <c r="AI2147" t="s">
        <v>798</v>
      </c>
      <c r="AJ2147">
        <v>2020</v>
      </c>
      <c r="AK2147" t="s">
        <v>795</v>
      </c>
      <c r="AM2147" t="s">
        <v>796</v>
      </c>
      <c r="AN2147" t="s">
        <v>76</v>
      </c>
      <c r="AO2147">
        <v>4</v>
      </c>
      <c r="AP2147" t="s">
        <v>115</v>
      </c>
      <c r="AQ2147" t="s">
        <v>797</v>
      </c>
      <c r="AR2147" t="s">
        <v>80</v>
      </c>
      <c r="AS2147">
        <v>315</v>
      </c>
      <c r="AT2147" t="s">
        <v>81</v>
      </c>
      <c r="AU2147">
        <v>8.32</v>
      </c>
      <c r="AV2147">
        <v>33.99</v>
      </c>
      <c r="AW2147" t="s">
        <v>82</v>
      </c>
      <c r="AX2147">
        <v>315</v>
      </c>
      <c r="AY2147" t="s">
        <v>81</v>
      </c>
      <c r="AZ2147">
        <v>-2.2400000000000002</v>
      </c>
      <c r="BA2147">
        <v>36.68</v>
      </c>
      <c r="BB2147" t="s">
        <v>83</v>
      </c>
    </row>
    <row r="2148" spans="1:54" x14ac:dyDescent="0.4">
      <c r="A2148">
        <v>1534872</v>
      </c>
      <c r="D2148" t="s">
        <v>54</v>
      </c>
      <c r="E2148" t="s">
        <v>55</v>
      </c>
      <c r="G2148">
        <v>3</v>
      </c>
      <c r="H2148" t="s">
        <v>84</v>
      </c>
      <c r="I2148" t="s">
        <v>57</v>
      </c>
      <c r="K2148" t="s">
        <v>141</v>
      </c>
      <c r="L2148" t="s">
        <v>142</v>
      </c>
      <c r="M2148" t="s">
        <v>60</v>
      </c>
      <c r="P2148" t="s">
        <v>89</v>
      </c>
      <c r="R2148" t="s">
        <v>63</v>
      </c>
      <c r="S2148" t="s">
        <v>64</v>
      </c>
      <c r="T2148">
        <v>208.5</v>
      </c>
      <c r="U2148">
        <v>201.4</v>
      </c>
      <c r="V2148">
        <f t="shared" si="66"/>
        <v>204.95</v>
      </c>
      <c r="W2148">
        <f t="shared" si="67"/>
        <v>7.0999999999999943</v>
      </c>
      <c r="X2148">
        <v>-3.4782000000000002</v>
      </c>
      <c r="Y2148">
        <v>51.505099999999999</v>
      </c>
      <c r="Z2148" t="s">
        <v>90</v>
      </c>
      <c r="AA2148" t="s">
        <v>91</v>
      </c>
      <c r="AB2148" t="s">
        <v>373</v>
      </c>
      <c r="AC2148" t="s">
        <v>794</v>
      </c>
      <c r="AH2148" t="s">
        <v>11</v>
      </c>
      <c r="AI2148" t="s">
        <v>798</v>
      </c>
      <c r="AJ2148">
        <v>2020</v>
      </c>
      <c r="AK2148" t="s">
        <v>795</v>
      </c>
      <c r="AM2148" t="s">
        <v>796</v>
      </c>
      <c r="AN2148" t="s">
        <v>76</v>
      </c>
      <c r="AO2148">
        <v>4</v>
      </c>
      <c r="AP2148" t="s">
        <v>115</v>
      </c>
      <c r="AQ2148" t="s">
        <v>797</v>
      </c>
      <c r="AR2148" t="s">
        <v>80</v>
      </c>
      <c r="AS2148">
        <v>315</v>
      </c>
      <c r="AT2148" t="s">
        <v>81</v>
      </c>
      <c r="AU2148">
        <v>8.32</v>
      </c>
      <c r="AV2148">
        <v>33.99</v>
      </c>
      <c r="AW2148" t="s">
        <v>82</v>
      </c>
      <c r="AX2148">
        <v>315</v>
      </c>
      <c r="AY2148" t="s">
        <v>81</v>
      </c>
      <c r="AZ2148">
        <v>-2.2400000000000002</v>
      </c>
      <c r="BA2148">
        <v>36.68</v>
      </c>
      <c r="BB2148" t="s">
        <v>83</v>
      </c>
    </row>
    <row r="2149" spans="1:54" x14ac:dyDescent="0.4">
      <c r="A2149">
        <v>1546985</v>
      </c>
      <c r="D2149" t="s">
        <v>54</v>
      </c>
      <c r="I2149" t="s">
        <v>57</v>
      </c>
      <c r="K2149" t="s">
        <v>1816</v>
      </c>
      <c r="L2149" t="s">
        <v>3405</v>
      </c>
      <c r="M2149" t="s">
        <v>223</v>
      </c>
      <c r="N2149" t="s">
        <v>234</v>
      </c>
      <c r="O2149" t="s">
        <v>345</v>
      </c>
      <c r="P2149" t="s">
        <v>89</v>
      </c>
      <c r="R2149" t="s">
        <v>63</v>
      </c>
      <c r="S2149" t="s">
        <v>64</v>
      </c>
      <c r="T2149">
        <v>208.5</v>
      </c>
      <c r="U2149">
        <v>201.4</v>
      </c>
      <c r="V2149">
        <f t="shared" si="66"/>
        <v>204.95</v>
      </c>
      <c r="W2149">
        <f t="shared" si="67"/>
        <v>7.0999999999999943</v>
      </c>
      <c r="X2149">
        <v>9.0511110000000006</v>
      </c>
      <c r="Y2149">
        <v>51.565556000000001</v>
      </c>
      <c r="Z2149" t="s">
        <v>520</v>
      </c>
      <c r="AA2149" t="s">
        <v>211</v>
      </c>
      <c r="AB2149" t="s">
        <v>4995</v>
      </c>
      <c r="AD2149" t="s">
        <v>4082</v>
      </c>
      <c r="AH2149" t="s">
        <v>11</v>
      </c>
      <c r="AI2149" t="s">
        <v>5533</v>
      </c>
      <c r="AJ2149">
        <v>2019</v>
      </c>
      <c r="AK2149" t="s">
        <v>5534</v>
      </c>
      <c r="AN2149" t="s">
        <v>192</v>
      </c>
      <c r="AO2149" t="s">
        <v>77</v>
      </c>
      <c r="AQ2149" t="s">
        <v>5535</v>
      </c>
      <c r="AR2149" t="s">
        <v>80</v>
      </c>
      <c r="AS2149">
        <v>315</v>
      </c>
      <c r="AT2149" t="s">
        <v>81</v>
      </c>
      <c r="AU2149">
        <v>16.79</v>
      </c>
      <c r="AV2149">
        <v>37.659999999999997</v>
      </c>
      <c r="AW2149" t="s">
        <v>82</v>
      </c>
      <c r="AX2149">
        <v>315</v>
      </c>
      <c r="AY2149" t="s">
        <v>81</v>
      </c>
      <c r="AZ2149">
        <v>6.67</v>
      </c>
      <c r="BA2149">
        <v>40.130000000000003</v>
      </c>
      <c r="BB2149" t="s">
        <v>83</v>
      </c>
    </row>
    <row r="2150" spans="1:54" x14ac:dyDescent="0.4">
      <c r="A2150">
        <v>1546987</v>
      </c>
      <c r="D2150" t="s">
        <v>54</v>
      </c>
      <c r="I2150" t="s">
        <v>57</v>
      </c>
      <c r="K2150" t="s">
        <v>141</v>
      </c>
      <c r="L2150" t="s">
        <v>3994</v>
      </c>
      <c r="M2150" t="s">
        <v>60</v>
      </c>
      <c r="P2150" t="s">
        <v>89</v>
      </c>
      <c r="R2150" t="s">
        <v>63</v>
      </c>
      <c r="S2150" t="s">
        <v>64</v>
      </c>
      <c r="T2150">
        <v>208.5</v>
      </c>
      <c r="U2150">
        <v>201.4</v>
      </c>
      <c r="V2150">
        <f t="shared" si="66"/>
        <v>204.95</v>
      </c>
      <c r="W2150">
        <f t="shared" si="67"/>
        <v>7.0999999999999943</v>
      </c>
      <c r="X2150">
        <v>9.0511110000000006</v>
      </c>
      <c r="Y2150">
        <v>51.565556000000001</v>
      </c>
      <c r="Z2150" t="s">
        <v>520</v>
      </c>
      <c r="AA2150" t="s">
        <v>211</v>
      </c>
      <c r="AB2150" t="s">
        <v>4995</v>
      </c>
      <c r="AD2150" t="s">
        <v>4082</v>
      </c>
      <c r="AH2150" t="s">
        <v>72</v>
      </c>
      <c r="AI2150" t="s">
        <v>5533</v>
      </c>
      <c r="AJ2150">
        <v>2019</v>
      </c>
      <c r="AK2150" t="s">
        <v>5534</v>
      </c>
      <c r="AN2150" t="s">
        <v>192</v>
      </c>
      <c r="AO2150" t="s">
        <v>77</v>
      </c>
      <c r="AQ2150" t="s">
        <v>5535</v>
      </c>
      <c r="AR2150" t="s">
        <v>80</v>
      </c>
      <c r="AS2150">
        <v>315</v>
      </c>
      <c r="AT2150" t="s">
        <v>81</v>
      </c>
      <c r="AU2150">
        <v>16.79</v>
      </c>
      <c r="AV2150">
        <v>37.659999999999997</v>
      </c>
      <c r="AW2150" t="s">
        <v>82</v>
      </c>
      <c r="AX2150">
        <v>315</v>
      </c>
      <c r="AY2150" t="s">
        <v>81</v>
      </c>
      <c r="AZ2150">
        <v>6.67</v>
      </c>
      <c r="BA2150">
        <v>40.130000000000003</v>
      </c>
      <c r="BB2150" t="s">
        <v>83</v>
      </c>
    </row>
    <row r="2151" spans="1:54" x14ac:dyDescent="0.4">
      <c r="A2151">
        <v>1563922</v>
      </c>
      <c r="D2151" t="s">
        <v>54</v>
      </c>
      <c r="E2151" t="s">
        <v>55</v>
      </c>
      <c r="I2151" t="s">
        <v>57</v>
      </c>
      <c r="K2151" t="s">
        <v>141</v>
      </c>
      <c r="L2151" t="s">
        <v>533</v>
      </c>
      <c r="M2151" t="s">
        <v>60</v>
      </c>
      <c r="O2151" t="s">
        <v>87</v>
      </c>
      <c r="P2151" t="s">
        <v>89</v>
      </c>
      <c r="R2151" t="s">
        <v>63</v>
      </c>
      <c r="S2151" t="s">
        <v>64</v>
      </c>
      <c r="T2151">
        <v>208.5</v>
      </c>
      <c r="U2151">
        <v>201.4</v>
      </c>
      <c r="V2151">
        <f t="shared" si="66"/>
        <v>204.95</v>
      </c>
      <c r="W2151">
        <f t="shared" si="67"/>
        <v>7.0999999999999943</v>
      </c>
      <c r="X2151">
        <v>5.5288449999999996</v>
      </c>
      <c r="Y2151">
        <v>48.009726999999998</v>
      </c>
      <c r="Z2151" t="s">
        <v>520</v>
      </c>
      <c r="AA2151" t="s">
        <v>521</v>
      </c>
      <c r="AB2151" t="s">
        <v>4298</v>
      </c>
      <c r="AC2151" t="s">
        <v>4299</v>
      </c>
      <c r="AD2151" t="s">
        <v>4300</v>
      </c>
      <c r="AH2151" t="s">
        <v>72</v>
      </c>
      <c r="AI2151" t="s">
        <v>524</v>
      </c>
      <c r="AJ2151">
        <v>1934</v>
      </c>
      <c r="AK2151" t="s">
        <v>4302</v>
      </c>
      <c r="AN2151" t="s">
        <v>114</v>
      </c>
      <c r="AO2151">
        <v>6</v>
      </c>
      <c r="AP2151" t="s">
        <v>115</v>
      </c>
      <c r="AR2151" t="s">
        <v>80</v>
      </c>
      <c r="AS2151">
        <v>305</v>
      </c>
      <c r="AT2151" t="s">
        <v>81</v>
      </c>
      <c r="AU2151">
        <v>16.45</v>
      </c>
      <c r="AV2151">
        <v>33.450000000000003</v>
      </c>
      <c r="AW2151" t="s">
        <v>82</v>
      </c>
      <c r="AX2151">
        <v>305</v>
      </c>
      <c r="AY2151" t="s">
        <v>81</v>
      </c>
      <c r="AZ2151">
        <v>6.13</v>
      </c>
      <c r="BA2151">
        <v>35.93</v>
      </c>
      <c r="BB2151" t="s">
        <v>83</v>
      </c>
    </row>
    <row r="2152" spans="1:54" x14ac:dyDescent="0.4">
      <c r="A2152">
        <v>1564169</v>
      </c>
      <c r="D2152" t="s">
        <v>1254</v>
      </c>
      <c r="E2152" t="s">
        <v>297</v>
      </c>
      <c r="I2152" t="s">
        <v>57</v>
      </c>
      <c r="K2152" t="s">
        <v>141</v>
      </c>
      <c r="L2152" t="s">
        <v>959</v>
      </c>
      <c r="M2152" t="s">
        <v>60</v>
      </c>
      <c r="P2152" t="s">
        <v>89</v>
      </c>
      <c r="R2152" t="s">
        <v>63</v>
      </c>
      <c r="S2152" t="s">
        <v>64</v>
      </c>
      <c r="T2152">
        <v>208.5</v>
      </c>
      <c r="U2152">
        <v>201.4</v>
      </c>
      <c r="V2152">
        <f t="shared" si="66"/>
        <v>204.95</v>
      </c>
      <c r="W2152">
        <f t="shared" si="67"/>
        <v>7.0999999999999943</v>
      </c>
      <c r="X2152">
        <v>-2.6294780000000002</v>
      </c>
      <c r="Y2152">
        <v>51.602649999999997</v>
      </c>
      <c r="Z2152" t="s">
        <v>1251</v>
      </c>
      <c r="AA2152" t="s">
        <v>91</v>
      </c>
      <c r="AB2152" t="s">
        <v>92</v>
      </c>
      <c r="AC2152" t="s">
        <v>822</v>
      </c>
      <c r="AD2152" t="s">
        <v>937</v>
      </c>
      <c r="AE2152" t="s">
        <v>938</v>
      </c>
      <c r="AG2152" t="s">
        <v>1255</v>
      </c>
      <c r="AH2152" t="s">
        <v>11</v>
      </c>
      <c r="AI2152" t="s">
        <v>4693</v>
      </c>
      <c r="AJ2152">
        <v>1894</v>
      </c>
      <c r="AK2152" t="s">
        <v>1256</v>
      </c>
      <c r="AN2152" t="s">
        <v>76</v>
      </c>
      <c r="AO2152">
        <v>6</v>
      </c>
      <c r="AP2152" t="s">
        <v>115</v>
      </c>
      <c r="AQ2152" t="s">
        <v>1257</v>
      </c>
      <c r="AR2152" t="s">
        <v>80</v>
      </c>
      <c r="AS2152">
        <v>315</v>
      </c>
      <c r="AT2152" t="s">
        <v>81</v>
      </c>
      <c r="AU2152">
        <v>8.84</v>
      </c>
      <c r="AV2152">
        <v>34.31</v>
      </c>
      <c r="AW2152" t="s">
        <v>82</v>
      </c>
      <c r="AX2152">
        <v>315</v>
      </c>
      <c r="AY2152" t="s">
        <v>81</v>
      </c>
      <c r="AZ2152">
        <v>-1.68</v>
      </c>
      <c r="BA2152">
        <v>36.979999999999997</v>
      </c>
      <c r="BB2152" t="s">
        <v>83</v>
      </c>
    </row>
    <row r="2153" spans="1:54" x14ac:dyDescent="0.4">
      <c r="A2153">
        <v>1586158</v>
      </c>
      <c r="D2153" t="s">
        <v>54</v>
      </c>
      <c r="E2153" t="s">
        <v>55</v>
      </c>
      <c r="G2153">
        <v>23</v>
      </c>
      <c r="H2153" t="s">
        <v>84</v>
      </c>
      <c r="I2153" t="s">
        <v>57</v>
      </c>
      <c r="K2153" t="s">
        <v>244</v>
      </c>
      <c r="L2153" t="s">
        <v>245</v>
      </c>
      <c r="M2153" t="s">
        <v>60</v>
      </c>
      <c r="O2153" t="s">
        <v>170</v>
      </c>
      <c r="P2153" t="s">
        <v>89</v>
      </c>
      <c r="R2153" t="s">
        <v>63</v>
      </c>
      <c r="S2153" t="s">
        <v>64</v>
      </c>
      <c r="T2153">
        <v>208.5</v>
      </c>
      <c r="U2153">
        <v>201.4</v>
      </c>
      <c r="V2153">
        <f t="shared" si="66"/>
        <v>204.95</v>
      </c>
      <c r="W2153">
        <f t="shared" si="67"/>
        <v>7.0999999999999943</v>
      </c>
      <c r="X2153">
        <v>8.65</v>
      </c>
      <c r="Y2153">
        <v>48.066668999999997</v>
      </c>
      <c r="Z2153" t="s">
        <v>198</v>
      </c>
      <c r="AA2153" t="s">
        <v>211</v>
      </c>
      <c r="AB2153" t="s">
        <v>212</v>
      </c>
      <c r="AD2153" t="s">
        <v>267</v>
      </c>
      <c r="AH2153" t="s">
        <v>11</v>
      </c>
      <c r="AI2153" t="s">
        <v>2525</v>
      </c>
      <c r="AJ2153">
        <v>2011</v>
      </c>
      <c r="AK2153" t="s">
        <v>5595</v>
      </c>
      <c r="AM2153" t="s">
        <v>5596</v>
      </c>
      <c r="AN2153" t="s">
        <v>114</v>
      </c>
      <c r="AO2153">
        <v>5</v>
      </c>
      <c r="AP2153" t="s">
        <v>78</v>
      </c>
      <c r="AQ2153" t="s">
        <v>263</v>
      </c>
      <c r="AR2153" t="s">
        <v>80</v>
      </c>
      <c r="AS2153">
        <v>305</v>
      </c>
      <c r="AT2153" t="s">
        <v>81</v>
      </c>
      <c r="AU2153">
        <v>18.63</v>
      </c>
      <c r="AV2153">
        <v>34.479999999999997</v>
      </c>
      <c r="AW2153" t="s">
        <v>82</v>
      </c>
      <c r="AX2153">
        <v>305</v>
      </c>
      <c r="AY2153" t="s">
        <v>81</v>
      </c>
      <c r="AZ2153">
        <v>8.43</v>
      </c>
      <c r="BA2153">
        <v>36.9</v>
      </c>
      <c r="BB2153" t="s">
        <v>83</v>
      </c>
    </row>
    <row r="2154" spans="1:54" x14ac:dyDescent="0.4">
      <c r="A2154">
        <v>1633861</v>
      </c>
      <c r="D2154" t="s">
        <v>1254</v>
      </c>
      <c r="E2154" t="s">
        <v>297</v>
      </c>
      <c r="G2154">
        <v>1</v>
      </c>
      <c r="H2154" t="s">
        <v>84</v>
      </c>
      <c r="I2154" t="s">
        <v>57</v>
      </c>
      <c r="K2154" t="s">
        <v>141</v>
      </c>
      <c r="L2154" t="s">
        <v>2448</v>
      </c>
      <c r="M2154" t="s">
        <v>223</v>
      </c>
      <c r="N2154" t="s">
        <v>2449</v>
      </c>
      <c r="O2154" t="s">
        <v>87</v>
      </c>
      <c r="P2154" t="s">
        <v>89</v>
      </c>
      <c r="R2154" t="s">
        <v>63</v>
      </c>
      <c r="S2154" t="s">
        <v>64</v>
      </c>
      <c r="T2154">
        <v>208.5</v>
      </c>
      <c r="U2154">
        <v>201.4</v>
      </c>
      <c r="V2154">
        <f t="shared" si="66"/>
        <v>204.95</v>
      </c>
      <c r="W2154">
        <f t="shared" si="67"/>
        <v>7.0999999999999943</v>
      </c>
      <c r="X2154">
        <v>-2.6294780000000002</v>
      </c>
      <c r="Y2154">
        <v>51.602649999999997</v>
      </c>
      <c r="Z2154" t="s">
        <v>1251</v>
      </c>
      <c r="AA2154" t="s">
        <v>91</v>
      </c>
      <c r="AB2154" t="s">
        <v>92</v>
      </c>
      <c r="AC2154" t="s">
        <v>822</v>
      </c>
      <c r="AD2154" t="s">
        <v>937</v>
      </c>
      <c r="AE2154" t="s">
        <v>938</v>
      </c>
      <c r="AG2154" t="s">
        <v>1255</v>
      </c>
      <c r="AH2154" t="s">
        <v>11</v>
      </c>
      <c r="AI2154" t="s">
        <v>1045</v>
      </c>
      <c r="AJ2154">
        <v>1854</v>
      </c>
      <c r="AK2154" t="s">
        <v>1256</v>
      </c>
      <c r="AN2154" t="s">
        <v>76</v>
      </c>
      <c r="AO2154">
        <v>6</v>
      </c>
      <c r="AP2154" t="s">
        <v>115</v>
      </c>
      <c r="AQ2154" t="s">
        <v>1257</v>
      </c>
      <c r="AR2154" t="s">
        <v>80</v>
      </c>
      <c r="AS2154">
        <v>315</v>
      </c>
      <c r="AT2154" t="s">
        <v>81</v>
      </c>
      <c r="AU2154">
        <v>8.84</v>
      </c>
      <c r="AV2154">
        <v>34.31</v>
      </c>
      <c r="AW2154" t="s">
        <v>82</v>
      </c>
      <c r="AX2154">
        <v>315</v>
      </c>
      <c r="AY2154" t="s">
        <v>81</v>
      </c>
      <c r="AZ2154">
        <v>-1.68</v>
      </c>
      <c r="BA2154">
        <v>36.979999999999997</v>
      </c>
      <c r="BB2154" t="s">
        <v>83</v>
      </c>
    </row>
    <row r="2155" spans="1:54" x14ac:dyDescent="0.4">
      <c r="A2155">
        <v>1651914</v>
      </c>
      <c r="D2155" t="s">
        <v>54</v>
      </c>
      <c r="F2155" t="s">
        <v>1200</v>
      </c>
      <c r="G2155">
        <v>1</v>
      </c>
      <c r="H2155" t="s">
        <v>84</v>
      </c>
      <c r="I2155" t="s">
        <v>57</v>
      </c>
      <c r="K2155" t="s">
        <v>1816</v>
      </c>
      <c r="L2155" t="s">
        <v>5688</v>
      </c>
      <c r="M2155" t="s">
        <v>223</v>
      </c>
      <c r="N2155" t="s">
        <v>234</v>
      </c>
      <c r="O2155" t="s">
        <v>345</v>
      </c>
      <c r="P2155" t="s">
        <v>89</v>
      </c>
      <c r="R2155" t="s">
        <v>63</v>
      </c>
      <c r="S2155" t="s">
        <v>64</v>
      </c>
      <c r="T2155">
        <v>208.5</v>
      </c>
      <c r="U2155">
        <v>201.4</v>
      </c>
      <c r="V2155">
        <f t="shared" si="66"/>
        <v>204.95</v>
      </c>
      <c r="W2155">
        <f t="shared" si="67"/>
        <v>7.0999999999999943</v>
      </c>
      <c r="X2155">
        <v>-3.444</v>
      </c>
      <c r="Y2155">
        <v>51.207000999999998</v>
      </c>
      <c r="Z2155" t="s">
        <v>1251</v>
      </c>
      <c r="AA2155" t="s">
        <v>91</v>
      </c>
      <c r="AB2155" t="s">
        <v>92</v>
      </c>
      <c r="AC2155" t="s">
        <v>93</v>
      </c>
      <c r="AD2155" t="s">
        <v>937</v>
      </c>
      <c r="AE2155" t="s">
        <v>938</v>
      </c>
      <c r="AH2155" t="s">
        <v>72</v>
      </c>
      <c r="AI2155" t="s">
        <v>5689</v>
      </c>
      <c r="AJ2155">
        <v>2024</v>
      </c>
      <c r="AK2155" t="s">
        <v>5690</v>
      </c>
      <c r="AN2155" t="s">
        <v>76</v>
      </c>
      <c r="AO2155">
        <v>3</v>
      </c>
      <c r="AP2155" t="s">
        <v>78</v>
      </c>
      <c r="AQ2155" t="s">
        <v>5691</v>
      </c>
      <c r="AR2155" t="s">
        <v>80</v>
      </c>
      <c r="AS2155">
        <v>315</v>
      </c>
      <c r="AT2155" t="s">
        <v>81</v>
      </c>
      <c r="AU2155">
        <v>8.49</v>
      </c>
      <c r="AV2155">
        <v>33.729999999999997</v>
      </c>
      <c r="AW2155" t="s">
        <v>82</v>
      </c>
      <c r="AX2155">
        <v>315</v>
      </c>
      <c r="AY2155" t="s">
        <v>81</v>
      </c>
      <c r="AZ2155">
        <v>-2.06</v>
      </c>
      <c r="BA2155">
        <v>36.42</v>
      </c>
      <c r="BB2155" t="s">
        <v>83</v>
      </c>
    </row>
    <row r="2156" spans="1:54" x14ac:dyDescent="0.4">
      <c r="A2156" s="2" t="s">
        <v>6466</v>
      </c>
      <c r="B2156" s="2"/>
      <c r="C2156" s="2"/>
      <c r="D2156" s="2" t="s">
        <v>54</v>
      </c>
      <c r="E2156" s="2"/>
      <c r="F2156" s="2" t="s">
        <v>6467</v>
      </c>
      <c r="G2156" s="2">
        <v>1</v>
      </c>
      <c r="H2156" s="2" t="s">
        <v>5718</v>
      </c>
      <c r="I2156" s="3" t="s">
        <v>57</v>
      </c>
      <c r="J2156" s="3" t="s">
        <v>6468</v>
      </c>
      <c r="K2156" s="3" t="s">
        <v>5720</v>
      </c>
      <c r="L2156" s="4" t="s">
        <v>6469</v>
      </c>
      <c r="M2156" s="3" t="s">
        <v>60</v>
      </c>
      <c r="N2156" s="4"/>
      <c r="O2156" s="4"/>
      <c r="P2156" s="3" t="s">
        <v>89</v>
      </c>
      <c r="Q2156" s="3"/>
      <c r="R2156" s="3" t="s">
        <v>5827</v>
      </c>
      <c r="S2156" s="3" t="s">
        <v>64</v>
      </c>
      <c r="T2156">
        <v>208.5</v>
      </c>
      <c r="U2156">
        <v>201.4</v>
      </c>
      <c r="V2156">
        <f t="shared" si="66"/>
        <v>204.95</v>
      </c>
      <c r="W2156">
        <f t="shared" si="67"/>
        <v>7.0999999999999943</v>
      </c>
      <c r="X2156" s="5">
        <v>27.341699999999999</v>
      </c>
      <c r="Y2156" s="5">
        <v>-29.22</v>
      </c>
      <c r="Z2156" s="5"/>
      <c r="AA2156" s="3" t="s">
        <v>106</v>
      </c>
      <c r="AB2156" s="3" t="s">
        <v>5721</v>
      </c>
      <c r="AC2156" s="3" t="s">
        <v>6470</v>
      </c>
      <c r="AD2156" s="3" t="s">
        <v>618</v>
      </c>
      <c r="AE2156" s="3" t="s">
        <v>6471</v>
      </c>
      <c r="AF2156" s="3" t="s">
        <v>620</v>
      </c>
      <c r="AG2156" s="4" t="s">
        <v>5558</v>
      </c>
      <c r="AH2156" s="4"/>
      <c r="AI2156" s="3" t="s">
        <v>6472</v>
      </c>
      <c r="AJ2156" s="3">
        <v>2008</v>
      </c>
      <c r="AK2156" s="5" t="s">
        <v>5723</v>
      </c>
      <c r="AL2156" s="9" t="s">
        <v>6473</v>
      </c>
      <c r="AM2156" s="5"/>
      <c r="AN2156" s="5"/>
      <c r="AO2156" s="3"/>
      <c r="AP2156" s="3"/>
      <c r="AQ2156" s="3"/>
      <c r="AR2156" s="3"/>
      <c r="AS2156" s="3"/>
      <c r="AT2156" s="3"/>
      <c r="AU2156" s="3"/>
      <c r="AV2156" s="3"/>
      <c r="AW2156" s="3"/>
      <c r="AX2156" s="3"/>
      <c r="AY2156" s="3"/>
      <c r="AZ2156" s="3"/>
      <c r="BA2156" s="3"/>
      <c r="BB2156" s="3"/>
    </row>
    <row r="2157" spans="1:54" x14ac:dyDescent="0.4">
      <c r="A2157" s="2" t="s">
        <v>6474</v>
      </c>
      <c r="B2157" s="2"/>
      <c r="C2157" s="2"/>
      <c r="D2157" s="2" t="s">
        <v>54</v>
      </c>
      <c r="E2157" s="2"/>
      <c r="F2157" s="2" t="s">
        <v>6475</v>
      </c>
      <c r="G2157" s="2">
        <v>1</v>
      </c>
      <c r="H2157" s="2" t="s">
        <v>5718</v>
      </c>
      <c r="I2157" s="3" t="s">
        <v>57</v>
      </c>
      <c r="J2157" s="3" t="s">
        <v>6468</v>
      </c>
      <c r="K2157" s="3" t="s">
        <v>5720</v>
      </c>
      <c r="L2157" s="4" t="s">
        <v>6476</v>
      </c>
      <c r="M2157" s="3" t="s">
        <v>60</v>
      </c>
      <c r="N2157" s="4"/>
      <c r="O2157" s="4"/>
      <c r="P2157" s="3" t="s">
        <v>89</v>
      </c>
      <c r="Q2157" s="3"/>
      <c r="R2157" s="3" t="s">
        <v>5827</v>
      </c>
      <c r="S2157" s="3" t="s">
        <v>64</v>
      </c>
      <c r="T2157">
        <v>208.5</v>
      </c>
      <c r="U2157">
        <v>201.4</v>
      </c>
      <c r="V2157">
        <f t="shared" si="66"/>
        <v>204.95</v>
      </c>
      <c r="W2157">
        <f t="shared" si="67"/>
        <v>7.0999999999999943</v>
      </c>
      <c r="X2157" s="5" t="s">
        <v>6477</v>
      </c>
      <c r="Y2157" s="5" t="s">
        <v>6478</v>
      </c>
      <c r="Z2157" s="5"/>
      <c r="AA2157" s="3" t="s">
        <v>1194</v>
      </c>
      <c r="AB2157" s="3" t="s">
        <v>6479</v>
      </c>
      <c r="AC2157" s="3" t="s">
        <v>5720</v>
      </c>
      <c r="AD2157" s="3" t="s">
        <v>618</v>
      </c>
      <c r="AE2157" s="3" t="s">
        <v>6471</v>
      </c>
      <c r="AF2157" s="3" t="s">
        <v>620</v>
      </c>
      <c r="AG2157" s="4" t="s">
        <v>5558</v>
      </c>
      <c r="AH2157" s="4"/>
      <c r="AI2157" s="3" t="s">
        <v>1282</v>
      </c>
      <c r="AJ2157" s="3">
        <v>1993</v>
      </c>
      <c r="AK2157" s="5" t="s">
        <v>6480</v>
      </c>
      <c r="AL2157" s="9" t="s">
        <v>6481</v>
      </c>
      <c r="AM2157" s="5"/>
      <c r="AN2157" s="5"/>
      <c r="AO2157" s="3"/>
      <c r="AP2157" s="3"/>
      <c r="AQ2157" s="3"/>
      <c r="AR2157" s="3"/>
      <c r="AS2157" s="3"/>
      <c r="AT2157" s="3"/>
      <c r="AU2157" s="3"/>
      <c r="AV2157" s="3"/>
      <c r="AW2157" s="3"/>
      <c r="AX2157" s="3"/>
      <c r="AY2157" s="3"/>
      <c r="AZ2157" s="3"/>
      <c r="BA2157" s="3"/>
      <c r="BB2157" s="3"/>
    </row>
    <row r="2158" spans="1:54" x14ac:dyDescent="0.4">
      <c r="A2158">
        <v>933167</v>
      </c>
      <c r="D2158" t="s">
        <v>54</v>
      </c>
      <c r="E2158" t="s">
        <v>152</v>
      </c>
      <c r="F2158" t="s">
        <v>3645</v>
      </c>
      <c r="G2158">
        <v>10</v>
      </c>
      <c r="H2158" t="s">
        <v>84</v>
      </c>
      <c r="I2158" t="s">
        <v>57</v>
      </c>
      <c r="K2158" t="s">
        <v>141</v>
      </c>
      <c r="L2158" t="s">
        <v>3805</v>
      </c>
      <c r="M2158" t="s">
        <v>60</v>
      </c>
      <c r="P2158" t="s">
        <v>224</v>
      </c>
      <c r="R2158" t="s">
        <v>183</v>
      </c>
      <c r="S2158" t="s">
        <v>64</v>
      </c>
      <c r="T2158">
        <v>246.7</v>
      </c>
      <c r="U2158">
        <v>242</v>
      </c>
      <c r="V2158">
        <f t="shared" si="66"/>
        <v>244.35</v>
      </c>
      <c r="W2158">
        <f t="shared" si="67"/>
        <v>4.6999999999999886</v>
      </c>
      <c r="X2158">
        <v>9.7833330000000007</v>
      </c>
      <c r="Y2158">
        <v>27.85</v>
      </c>
      <c r="Z2158" t="s">
        <v>184</v>
      </c>
      <c r="AA2158" t="s">
        <v>3806</v>
      </c>
      <c r="AB2158" t="s">
        <v>3807</v>
      </c>
      <c r="AD2158" t="s">
        <v>3808</v>
      </c>
      <c r="AE2158" t="s">
        <v>3809</v>
      </c>
      <c r="AF2158" t="s">
        <v>3810</v>
      </c>
      <c r="AH2158" t="s">
        <v>72</v>
      </c>
      <c r="AI2158" t="s">
        <v>3811</v>
      </c>
      <c r="AJ2158">
        <v>1997</v>
      </c>
      <c r="AK2158" t="s">
        <v>3812</v>
      </c>
      <c r="AN2158" t="s">
        <v>192</v>
      </c>
      <c r="AO2158" t="s">
        <v>160</v>
      </c>
      <c r="AP2158" t="s">
        <v>78</v>
      </c>
      <c r="AQ2158" t="s">
        <v>3813</v>
      </c>
      <c r="AR2158" t="s">
        <v>80</v>
      </c>
      <c r="AS2158">
        <v>715</v>
      </c>
      <c r="AT2158" t="s">
        <v>81</v>
      </c>
      <c r="AU2158">
        <v>19.29</v>
      </c>
      <c r="AV2158">
        <v>4.68</v>
      </c>
      <c r="AW2158" t="s">
        <v>82</v>
      </c>
      <c r="AX2158">
        <v>715</v>
      </c>
      <c r="AY2158" t="s">
        <v>81</v>
      </c>
      <c r="AZ2158">
        <v>13.7</v>
      </c>
      <c r="BA2158">
        <v>-8.9700000000000006</v>
      </c>
      <c r="BB2158" t="s">
        <v>83</v>
      </c>
    </row>
    <row r="2159" spans="1:54" x14ac:dyDescent="0.4">
      <c r="A2159">
        <v>147523</v>
      </c>
      <c r="D2159" t="s">
        <v>54</v>
      </c>
      <c r="E2159" t="s">
        <v>55</v>
      </c>
      <c r="G2159">
        <v>1</v>
      </c>
      <c r="H2159" t="s">
        <v>56</v>
      </c>
      <c r="I2159" t="s">
        <v>57</v>
      </c>
      <c r="K2159" t="s">
        <v>117</v>
      </c>
      <c r="L2159" t="s">
        <v>118</v>
      </c>
      <c r="M2159" t="s">
        <v>60</v>
      </c>
      <c r="N2159" t="s">
        <v>119</v>
      </c>
      <c r="O2159" t="s">
        <v>120</v>
      </c>
      <c r="P2159" t="s">
        <v>121</v>
      </c>
      <c r="R2159" t="s">
        <v>122</v>
      </c>
      <c r="S2159" t="s">
        <v>123</v>
      </c>
      <c r="T2159">
        <v>290.10000000000002</v>
      </c>
      <c r="U2159">
        <v>283.5</v>
      </c>
      <c r="V2159">
        <f t="shared" si="66"/>
        <v>286.8</v>
      </c>
      <c r="W2159">
        <f t="shared" si="67"/>
        <v>6.6000000000000227</v>
      </c>
      <c r="X2159">
        <v>-98.933609000000004</v>
      </c>
      <c r="Y2159">
        <v>33.611668000000002</v>
      </c>
      <c r="Z2159" t="s">
        <v>124</v>
      </c>
      <c r="AA2159" t="s">
        <v>66</v>
      </c>
      <c r="AB2159" t="s">
        <v>125</v>
      </c>
      <c r="AC2159" t="s">
        <v>126</v>
      </c>
      <c r="AD2159" t="s">
        <v>127</v>
      </c>
      <c r="AE2159" t="s">
        <v>128</v>
      </c>
      <c r="AH2159" t="s">
        <v>72</v>
      </c>
      <c r="AI2159" t="s">
        <v>111</v>
      </c>
      <c r="AJ2159">
        <v>1913</v>
      </c>
      <c r="AK2159" t="s">
        <v>129</v>
      </c>
      <c r="AM2159" t="s">
        <v>130</v>
      </c>
      <c r="AN2159" t="s">
        <v>114</v>
      </c>
      <c r="AO2159" t="s">
        <v>77</v>
      </c>
      <c r="AP2159" t="s">
        <v>115</v>
      </c>
      <c r="AQ2159" t="s">
        <v>131</v>
      </c>
      <c r="AR2159" t="s">
        <v>80</v>
      </c>
      <c r="AS2159">
        <v>101</v>
      </c>
      <c r="AT2159" t="s">
        <v>81</v>
      </c>
      <c r="AU2159">
        <v>-30.27</v>
      </c>
      <c r="AV2159">
        <v>-1.1499999999999999</v>
      </c>
      <c r="AW2159" t="s">
        <v>82</v>
      </c>
      <c r="AX2159">
        <v>101</v>
      </c>
      <c r="AY2159" t="s">
        <v>81</v>
      </c>
      <c r="AZ2159">
        <v>-29.78</v>
      </c>
      <c r="BA2159">
        <v>-0.24</v>
      </c>
      <c r="BB2159" t="s">
        <v>83</v>
      </c>
    </row>
    <row r="2160" spans="1:54" x14ac:dyDescent="0.4">
      <c r="A2160">
        <v>147523</v>
      </c>
      <c r="D2160" t="s">
        <v>54</v>
      </c>
      <c r="E2160" t="s">
        <v>55</v>
      </c>
      <c r="G2160">
        <v>1</v>
      </c>
      <c r="H2160" t="s">
        <v>56</v>
      </c>
      <c r="I2160" t="s">
        <v>57</v>
      </c>
      <c r="K2160" t="s">
        <v>117</v>
      </c>
      <c r="L2160" t="s">
        <v>118</v>
      </c>
      <c r="M2160" t="s">
        <v>60</v>
      </c>
      <c r="N2160" t="s">
        <v>119</v>
      </c>
      <c r="O2160" t="s">
        <v>120</v>
      </c>
      <c r="P2160" t="s">
        <v>121</v>
      </c>
      <c r="R2160" t="s">
        <v>122</v>
      </c>
      <c r="S2160" t="s">
        <v>123</v>
      </c>
      <c r="T2160">
        <v>290.10000000000002</v>
      </c>
      <c r="U2160">
        <v>283.5</v>
      </c>
      <c r="V2160">
        <f t="shared" si="66"/>
        <v>286.8</v>
      </c>
      <c r="W2160">
        <f t="shared" si="67"/>
        <v>6.6000000000000227</v>
      </c>
      <c r="X2160">
        <v>-98.933609000000004</v>
      </c>
      <c r="Y2160">
        <v>33.611668000000002</v>
      </c>
      <c r="Z2160" t="s">
        <v>124</v>
      </c>
      <c r="AA2160" t="s">
        <v>66</v>
      </c>
      <c r="AB2160" t="s">
        <v>125</v>
      </c>
      <c r="AC2160" t="s">
        <v>126</v>
      </c>
      <c r="AD2160" t="s">
        <v>127</v>
      </c>
      <c r="AE2160" t="s">
        <v>128</v>
      </c>
      <c r="AH2160" t="s">
        <v>72</v>
      </c>
      <c r="AI2160" t="s">
        <v>111</v>
      </c>
      <c r="AJ2160">
        <v>1913</v>
      </c>
      <c r="AK2160" t="s">
        <v>129</v>
      </c>
      <c r="AM2160" t="s">
        <v>130</v>
      </c>
      <c r="AN2160" t="s">
        <v>114</v>
      </c>
      <c r="AO2160" t="s">
        <v>77</v>
      </c>
      <c r="AP2160" t="s">
        <v>115</v>
      </c>
      <c r="AQ2160" t="s">
        <v>131</v>
      </c>
      <c r="AR2160" t="s">
        <v>80</v>
      </c>
      <c r="AS2160">
        <v>101</v>
      </c>
      <c r="AT2160" t="s">
        <v>81</v>
      </c>
      <c r="AU2160">
        <v>-30.27</v>
      </c>
      <c r="AV2160">
        <v>-1.1499999999999999</v>
      </c>
      <c r="AW2160" t="s">
        <v>82</v>
      </c>
      <c r="AX2160">
        <v>101</v>
      </c>
      <c r="AY2160" t="s">
        <v>81</v>
      </c>
      <c r="AZ2160">
        <v>-29.78</v>
      </c>
      <c r="BA2160">
        <v>-0.24</v>
      </c>
      <c r="BB2160" t="s">
        <v>83</v>
      </c>
    </row>
    <row r="2161" spans="1:54" x14ac:dyDescent="0.4">
      <c r="A2161">
        <v>295924</v>
      </c>
      <c r="D2161" t="s">
        <v>54</v>
      </c>
      <c r="G2161">
        <v>1</v>
      </c>
      <c r="H2161" t="s">
        <v>56</v>
      </c>
      <c r="I2161" t="s">
        <v>57</v>
      </c>
      <c r="K2161" t="s">
        <v>397</v>
      </c>
      <c r="L2161" t="s">
        <v>444</v>
      </c>
      <c r="M2161" t="s">
        <v>60</v>
      </c>
      <c r="N2161" t="s">
        <v>119</v>
      </c>
      <c r="O2161" t="s">
        <v>134</v>
      </c>
      <c r="P2161" t="s">
        <v>121</v>
      </c>
      <c r="R2161" t="s">
        <v>122</v>
      </c>
      <c r="S2161" t="s">
        <v>123</v>
      </c>
      <c r="T2161">
        <v>290.10000000000002</v>
      </c>
      <c r="U2161">
        <v>283.5</v>
      </c>
      <c r="V2161">
        <f t="shared" si="66"/>
        <v>286.8</v>
      </c>
      <c r="W2161">
        <f t="shared" si="67"/>
        <v>6.6000000000000227</v>
      </c>
      <c r="X2161">
        <v>-98.694725000000005</v>
      </c>
      <c r="Y2161">
        <v>33.816113000000001</v>
      </c>
      <c r="Z2161" t="s">
        <v>124</v>
      </c>
      <c r="AA2161" t="s">
        <v>66</v>
      </c>
      <c r="AB2161" t="s">
        <v>125</v>
      </c>
      <c r="AC2161" t="s">
        <v>128</v>
      </c>
      <c r="AD2161" t="s">
        <v>445</v>
      </c>
      <c r="AE2161" t="s">
        <v>128</v>
      </c>
      <c r="AH2161" t="s">
        <v>72</v>
      </c>
      <c r="AI2161" t="s">
        <v>189</v>
      </c>
      <c r="AJ2161">
        <v>1928</v>
      </c>
      <c r="AK2161" t="s">
        <v>446</v>
      </c>
      <c r="AM2161" t="s">
        <v>447</v>
      </c>
      <c r="AN2161" t="s">
        <v>114</v>
      </c>
      <c r="AO2161" t="s">
        <v>77</v>
      </c>
      <c r="AP2161" t="s">
        <v>359</v>
      </c>
      <c r="AQ2161" t="s">
        <v>448</v>
      </c>
      <c r="AR2161" t="s">
        <v>80</v>
      </c>
      <c r="AS2161">
        <v>101</v>
      </c>
      <c r="AT2161" t="s">
        <v>81</v>
      </c>
      <c r="AU2161">
        <v>-30</v>
      </c>
      <c r="AV2161">
        <v>-1.0900000000000001</v>
      </c>
      <c r="AW2161" t="s">
        <v>82</v>
      </c>
      <c r="AX2161">
        <v>101</v>
      </c>
      <c r="AY2161" t="s">
        <v>81</v>
      </c>
      <c r="AZ2161">
        <v>-29.51</v>
      </c>
      <c r="BA2161">
        <v>-0.17</v>
      </c>
      <c r="BB2161" t="s">
        <v>83</v>
      </c>
    </row>
    <row r="2162" spans="1:54" x14ac:dyDescent="0.4">
      <c r="A2162">
        <v>295924</v>
      </c>
      <c r="D2162" t="s">
        <v>54</v>
      </c>
      <c r="G2162">
        <v>1</v>
      </c>
      <c r="H2162" t="s">
        <v>56</v>
      </c>
      <c r="I2162" t="s">
        <v>57</v>
      </c>
      <c r="K2162" t="s">
        <v>397</v>
      </c>
      <c r="L2162" t="s">
        <v>444</v>
      </c>
      <c r="M2162" t="s">
        <v>60</v>
      </c>
      <c r="N2162" t="s">
        <v>119</v>
      </c>
      <c r="O2162" t="s">
        <v>134</v>
      </c>
      <c r="P2162" t="s">
        <v>121</v>
      </c>
      <c r="R2162" t="s">
        <v>122</v>
      </c>
      <c r="S2162" t="s">
        <v>123</v>
      </c>
      <c r="T2162">
        <v>290.10000000000002</v>
      </c>
      <c r="U2162">
        <v>283.5</v>
      </c>
      <c r="V2162">
        <f t="shared" si="66"/>
        <v>286.8</v>
      </c>
      <c r="W2162">
        <f t="shared" si="67"/>
        <v>6.6000000000000227</v>
      </c>
      <c r="X2162">
        <v>-98.694725000000005</v>
      </c>
      <c r="Y2162">
        <v>33.816113000000001</v>
      </c>
      <c r="Z2162" t="s">
        <v>124</v>
      </c>
      <c r="AA2162" t="s">
        <v>66</v>
      </c>
      <c r="AB2162" t="s">
        <v>125</v>
      </c>
      <c r="AC2162" t="s">
        <v>128</v>
      </c>
      <c r="AD2162" t="s">
        <v>445</v>
      </c>
      <c r="AE2162" t="s">
        <v>128</v>
      </c>
      <c r="AH2162" t="s">
        <v>72</v>
      </c>
      <c r="AI2162" t="s">
        <v>189</v>
      </c>
      <c r="AJ2162">
        <v>1928</v>
      </c>
      <c r="AK2162" t="s">
        <v>446</v>
      </c>
      <c r="AM2162" t="s">
        <v>447</v>
      </c>
      <c r="AN2162" t="s">
        <v>114</v>
      </c>
      <c r="AO2162" t="s">
        <v>77</v>
      </c>
      <c r="AP2162" t="s">
        <v>359</v>
      </c>
      <c r="AQ2162" t="s">
        <v>448</v>
      </c>
      <c r="AR2162" t="s">
        <v>80</v>
      </c>
      <c r="AS2162">
        <v>101</v>
      </c>
      <c r="AT2162" t="s">
        <v>81</v>
      </c>
      <c r="AU2162">
        <v>-30</v>
      </c>
      <c r="AV2162">
        <v>-1.0900000000000001</v>
      </c>
      <c r="AW2162" t="s">
        <v>82</v>
      </c>
      <c r="AX2162">
        <v>101</v>
      </c>
      <c r="AY2162" t="s">
        <v>81</v>
      </c>
      <c r="AZ2162">
        <v>-29.51</v>
      </c>
      <c r="BA2162">
        <v>-0.17</v>
      </c>
      <c r="BB2162" t="s">
        <v>83</v>
      </c>
    </row>
    <row r="2163" spans="1:54" x14ac:dyDescent="0.4">
      <c r="A2163">
        <v>295924</v>
      </c>
      <c r="D2163" t="s">
        <v>54</v>
      </c>
      <c r="G2163">
        <v>1</v>
      </c>
      <c r="H2163" t="s">
        <v>56</v>
      </c>
      <c r="I2163" t="s">
        <v>57</v>
      </c>
      <c r="K2163" t="s">
        <v>397</v>
      </c>
      <c r="L2163" t="s">
        <v>444</v>
      </c>
      <c r="M2163" t="s">
        <v>60</v>
      </c>
      <c r="N2163" t="s">
        <v>119</v>
      </c>
      <c r="O2163" t="s">
        <v>134</v>
      </c>
      <c r="P2163" t="s">
        <v>121</v>
      </c>
      <c r="R2163" t="s">
        <v>122</v>
      </c>
      <c r="S2163" t="s">
        <v>123</v>
      </c>
      <c r="T2163">
        <v>290.10000000000002</v>
      </c>
      <c r="U2163">
        <v>283.5</v>
      </c>
      <c r="V2163">
        <f t="shared" si="66"/>
        <v>286.8</v>
      </c>
      <c r="W2163">
        <f t="shared" si="67"/>
        <v>6.6000000000000227</v>
      </c>
      <c r="X2163">
        <v>-98.694725000000005</v>
      </c>
      <c r="Y2163">
        <v>33.816113000000001</v>
      </c>
      <c r="Z2163" t="s">
        <v>124</v>
      </c>
      <c r="AA2163" t="s">
        <v>66</v>
      </c>
      <c r="AB2163" t="s">
        <v>125</v>
      </c>
      <c r="AC2163" t="s">
        <v>128</v>
      </c>
      <c r="AD2163" t="s">
        <v>445</v>
      </c>
      <c r="AE2163" t="s">
        <v>128</v>
      </c>
      <c r="AH2163" t="s">
        <v>72</v>
      </c>
      <c r="AI2163" t="s">
        <v>189</v>
      </c>
      <c r="AJ2163">
        <v>1928</v>
      </c>
      <c r="AK2163" t="s">
        <v>446</v>
      </c>
      <c r="AM2163" t="s">
        <v>447</v>
      </c>
      <c r="AN2163" t="s">
        <v>114</v>
      </c>
      <c r="AO2163" t="s">
        <v>77</v>
      </c>
      <c r="AP2163" t="s">
        <v>359</v>
      </c>
      <c r="AQ2163" t="s">
        <v>448</v>
      </c>
      <c r="AR2163" t="s">
        <v>80</v>
      </c>
      <c r="AS2163">
        <v>101</v>
      </c>
      <c r="AT2163" t="s">
        <v>81</v>
      </c>
      <c r="AU2163">
        <v>-30</v>
      </c>
      <c r="AV2163">
        <v>-1.0900000000000001</v>
      </c>
      <c r="AW2163" t="s">
        <v>82</v>
      </c>
      <c r="AX2163">
        <v>101</v>
      </c>
      <c r="AY2163" t="s">
        <v>81</v>
      </c>
      <c r="AZ2163">
        <v>-29.51</v>
      </c>
      <c r="BA2163">
        <v>-0.17</v>
      </c>
      <c r="BB2163" t="s">
        <v>83</v>
      </c>
    </row>
    <row r="2164" spans="1:54" x14ac:dyDescent="0.4">
      <c r="A2164">
        <v>295924</v>
      </c>
      <c r="D2164" t="s">
        <v>54</v>
      </c>
      <c r="G2164">
        <v>1</v>
      </c>
      <c r="H2164" t="s">
        <v>56</v>
      </c>
      <c r="I2164" t="s">
        <v>57</v>
      </c>
      <c r="K2164" t="s">
        <v>397</v>
      </c>
      <c r="L2164" t="s">
        <v>444</v>
      </c>
      <c r="M2164" t="s">
        <v>60</v>
      </c>
      <c r="N2164" t="s">
        <v>119</v>
      </c>
      <c r="O2164" t="s">
        <v>134</v>
      </c>
      <c r="P2164" t="s">
        <v>121</v>
      </c>
      <c r="R2164" t="s">
        <v>122</v>
      </c>
      <c r="S2164" t="s">
        <v>123</v>
      </c>
      <c r="T2164">
        <v>290.10000000000002</v>
      </c>
      <c r="U2164">
        <v>283.5</v>
      </c>
      <c r="V2164">
        <f t="shared" si="66"/>
        <v>286.8</v>
      </c>
      <c r="W2164">
        <f t="shared" si="67"/>
        <v>6.6000000000000227</v>
      </c>
      <c r="X2164">
        <v>-98.694725000000005</v>
      </c>
      <c r="Y2164">
        <v>33.816113000000001</v>
      </c>
      <c r="Z2164" t="s">
        <v>124</v>
      </c>
      <c r="AA2164" t="s">
        <v>66</v>
      </c>
      <c r="AB2164" t="s">
        <v>125</v>
      </c>
      <c r="AC2164" t="s">
        <v>128</v>
      </c>
      <c r="AD2164" t="s">
        <v>445</v>
      </c>
      <c r="AE2164" t="s">
        <v>128</v>
      </c>
      <c r="AH2164" t="s">
        <v>72</v>
      </c>
      <c r="AI2164" t="s">
        <v>189</v>
      </c>
      <c r="AJ2164">
        <v>1928</v>
      </c>
      <c r="AK2164" t="s">
        <v>446</v>
      </c>
      <c r="AM2164" t="s">
        <v>447</v>
      </c>
      <c r="AN2164" t="s">
        <v>114</v>
      </c>
      <c r="AO2164" t="s">
        <v>77</v>
      </c>
      <c r="AP2164" t="s">
        <v>359</v>
      </c>
      <c r="AQ2164" t="s">
        <v>448</v>
      </c>
      <c r="AR2164" t="s">
        <v>80</v>
      </c>
      <c r="AS2164">
        <v>101</v>
      </c>
      <c r="AT2164" t="s">
        <v>81</v>
      </c>
      <c r="AU2164">
        <v>-30</v>
      </c>
      <c r="AV2164">
        <v>-1.0900000000000001</v>
      </c>
      <c r="AW2164" t="s">
        <v>82</v>
      </c>
      <c r="AX2164">
        <v>101</v>
      </c>
      <c r="AY2164" t="s">
        <v>81</v>
      </c>
      <c r="AZ2164">
        <v>-29.51</v>
      </c>
      <c r="BA2164">
        <v>-0.17</v>
      </c>
      <c r="BB2164" t="s">
        <v>83</v>
      </c>
    </row>
    <row r="2165" spans="1:54" x14ac:dyDescent="0.4">
      <c r="A2165">
        <v>295924</v>
      </c>
      <c r="D2165" t="s">
        <v>54</v>
      </c>
      <c r="G2165">
        <v>1</v>
      </c>
      <c r="H2165" t="s">
        <v>56</v>
      </c>
      <c r="I2165" t="s">
        <v>57</v>
      </c>
      <c r="K2165" t="s">
        <v>397</v>
      </c>
      <c r="L2165" t="s">
        <v>444</v>
      </c>
      <c r="M2165" t="s">
        <v>60</v>
      </c>
      <c r="N2165" t="s">
        <v>119</v>
      </c>
      <c r="O2165" t="s">
        <v>134</v>
      </c>
      <c r="P2165" t="s">
        <v>121</v>
      </c>
      <c r="R2165" t="s">
        <v>122</v>
      </c>
      <c r="S2165" t="s">
        <v>123</v>
      </c>
      <c r="T2165">
        <v>290.10000000000002</v>
      </c>
      <c r="U2165">
        <v>283.5</v>
      </c>
      <c r="V2165">
        <f t="shared" si="66"/>
        <v>286.8</v>
      </c>
      <c r="W2165">
        <f t="shared" si="67"/>
        <v>6.6000000000000227</v>
      </c>
      <c r="X2165">
        <v>-98.694725000000005</v>
      </c>
      <c r="Y2165">
        <v>33.816113000000001</v>
      </c>
      <c r="Z2165" t="s">
        <v>124</v>
      </c>
      <c r="AA2165" t="s">
        <v>66</v>
      </c>
      <c r="AB2165" t="s">
        <v>125</v>
      </c>
      <c r="AC2165" t="s">
        <v>128</v>
      </c>
      <c r="AD2165" t="s">
        <v>445</v>
      </c>
      <c r="AE2165" t="s">
        <v>128</v>
      </c>
      <c r="AH2165" t="s">
        <v>72</v>
      </c>
      <c r="AI2165" t="s">
        <v>189</v>
      </c>
      <c r="AJ2165">
        <v>1928</v>
      </c>
      <c r="AK2165" t="s">
        <v>446</v>
      </c>
      <c r="AM2165" t="s">
        <v>447</v>
      </c>
      <c r="AN2165" t="s">
        <v>114</v>
      </c>
      <c r="AO2165" t="s">
        <v>77</v>
      </c>
      <c r="AP2165" t="s">
        <v>359</v>
      </c>
      <c r="AQ2165" t="s">
        <v>448</v>
      </c>
      <c r="AR2165" t="s">
        <v>80</v>
      </c>
      <c r="AS2165">
        <v>101</v>
      </c>
      <c r="AT2165" t="s">
        <v>81</v>
      </c>
      <c r="AU2165">
        <v>-30</v>
      </c>
      <c r="AV2165">
        <v>-1.0900000000000001</v>
      </c>
      <c r="AW2165" t="s">
        <v>82</v>
      </c>
      <c r="AX2165">
        <v>101</v>
      </c>
      <c r="AY2165" t="s">
        <v>81</v>
      </c>
      <c r="AZ2165">
        <v>-29.51</v>
      </c>
      <c r="BA2165">
        <v>-0.17</v>
      </c>
      <c r="BB2165" t="s">
        <v>83</v>
      </c>
    </row>
    <row r="2166" spans="1:54" x14ac:dyDescent="0.4">
      <c r="A2166">
        <v>295924</v>
      </c>
      <c r="D2166" t="s">
        <v>54</v>
      </c>
      <c r="G2166">
        <v>1</v>
      </c>
      <c r="H2166" t="s">
        <v>56</v>
      </c>
      <c r="I2166" t="s">
        <v>57</v>
      </c>
      <c r="K2166" t="s">
        <v>397</v>
      </c>
      <c r="L2166" t="s">
        <v>444</v>
      </c>
      <c r="M2166" t="s">
        <v>60</v>
      </c>
      <c r="N2166" t="s">
        <v>119</v>
      </c>
      <c r="O2166" t="s">
        <v>134</v>
      </c>
      <c r="P2166" t="s">
        <v>121</v>
      </c>
      <c r="R2166" t="s">
        <v>122</v>
      </c>
      <c r="S2166" t="s">
        <v>123</v>
      </c>
      <c r="T2166">
        <v>290.10000000000002</v>
      </c>
      <c r="U2166">
        <v>283.5</v>
      </c>
      <c r="V2166">
        <f t="shared" si="66"/>
        <v>286.8</v>
      </c>
      <c r="W2166">
        <f t="shared" si="67"/>
        <v>6.6000000000000227</v>
      </c>
      <c r="X2166">
        <v>-98.694725000000005</v>
      </c>
      <c r="Y2166">
        <v>33.816113000000001</v>
      </c>
      <c r="Z2166" t="s">
        <v>124</v>
      </c>
      <c r="AA2166" t="s">
        <v>66</v>
      </c>
      <c r="AB2166" t="s">
        <v>125</v>
      </c>
      <c r="AC2166" t="s">
        <v>128</v>
      </c>
      <c r="AD2166" t="s">
        <v>445</v>
      </c>
      <c r="AE2166" t="s">
        <v>128</v>
      </c>
      <c r="AH2166" t="s">
        <v>72</v>
      </c>
      <c r="AI2166" t="s">
        <v>189</v>
      </c>
      <c r="AJ2166">
        <v>1928</v>
      </c>
      <c r="AK2166" t="s">
        <v>446</v>
      </c>
      <c r="AM2166" t="s">
        <v>447</v>
      </c>
      <c r="AN2166" t="s">
        <v>114</v>
      </c>
      <c r="AO2166" t="s">
        <v>77</v>
      </c>
      <c r="AP2166" t="s">
        <v>359</v>
      </c>
      <c r="AQ2166" t="s">
        <v>448</v>
      </c>
      <c r="AR2166" t="s">
        <v>80</v>
      </c>
      <c r="AS2166">
        <v>101</v>
      </c>
      <c r="AT2166" t="s">
        <v>81</v>
      </c>
      <c r="AU2166">
        <v>-30</v>
      </c>
      <c r="AV2166">
        <v>-1.0900000000000001</v>
      </c>
      <c r="AW2166" t="s">
        <v>82</v>
      </c>
      <c r="AX2166">
        <v>101</v>
      </c>
      <c r="AY2166" t="s">
        <v>81</v>
      </c>
      <c r="AZ2166">
        <v>-29.51</v>
      </c>
      <c r="BA2166">
        <v>-0.17</v>
      </c>
      <c r="BB2166" t="s">
        <v>83</v>
      </c>
    </row>
    <row r="2167" spans="1:54" x14ac:dyDescent="0.4">
      <c r="A2167">
        <v>295924</v>
      </c>
      <c r="D2167" t="s">
        <v>54</v>
      </c>
      <c r="G2167">
        <v>1</v>
      </c>
      <c r="H2167" t="s">
        <v>56</v>
      </c>
      <c r="I2167" t="s">
        <v>57</v>
      </c>
      <c r="K2167" t="s">
        <v>397</v>
      </c>
      <c r="L2167" t="s">
        <v>444</v>
      </c>
      <c r="M2167" t="s">
        <v>60</v>
      </c>
      <c r="N2167" t="s">
        <v>119</v>
      </c>
      <c r="O2167" t="s">
        <v>134</v>
      </c>
      <c r="P2167" t="s">
        <v>121</v>
      </c>
      <c r="R2167" t="s">
        <v>122</v>
      </c>
      <c r="S2167" t="s">
        <v>123</v>
      </c>
      <c r="T2167">
        <v>290.10000000000002</v>
      </c>
      <c r="U2167">
        <v>283.5</v>
      </c>
      <c r="V2167">
        <f t="shared" si="66"/>
        <v>286.8</v>
      </c>
      <c r="W2167">
        <f t="shared" si="67"/>
        <v>6.6000000000000227</v>
      </c>
      <c r="X2167">
        <v>-98.694725000000005</v>
      </c>
      <c r="Y2167">
        <v>33.816113000000001</v>
      </c>
      <c r="Z2167" t="s">
        <v>124</v>
      </c>
      <c r="AA2167" t="s">
        <v>66</v>
      </c>
      <c r="AB2167" t="s">
        <v>125</v>
      </c>
      <c r="AC2167" t="s">
        <v>128</v>
      </c>
      <c r="AD2167" t="s">
        <v>445</v>
      </c>
      <c r="AE2167" t="s">
        <v>128</v>
      </c>
      <c r="AH2167" t="s">
        <v>72</v>
      </c>
      <c r="AI2167" t="s">
        <v>189</v>
      </c>
      <c r="AJ2167">
        <v>1928</v>
      </c>
      <c r="AK2167" t="s">
        <v>446</v>
      </c>
      <c r="AM2167" t="s">
        <v>447</v>
      </c>
      <c r="AN2167" t="s">
        <v>114</v>
      </c>
      <c r="AO2167" t="s">
        <v>77</v>
      </c>
      <c r="AP2167" t="s">
        <v>359</v>
      </c>
      <c r="AQ2167" t="s">
        <v>448</v>
      </c>
      <c r="AR2167" t="s">
        <v>80</v>
      </c>
      <c r="AS2167">
        <v>101</v>
      </c>
      <c r="AT2167" t="s">
        <v>81</v>
      </c>
      <c r="AU2167">
        <v>-30</v>
      </c>
      <c r="AV2167">
        <v>-1.0900000000000001</v>
      </c>
      <c r="AW2167" t="s">
        <v>82</v>
      </c>
      <c r="AX2167">
        <v>101</v>
      </c>
      <c r="AY2167" t="s">
        <v>81</v>
      </c>
      <c r="AZ2167">
        <v>-29.51</v>
      </c>
      <c r="BA2167">
        <v>-0.17</v>
      </c>
      <c r="BB2167" t="s">
        <v>83</v>
      </c>
    </row>
    <row r="2168" spans="1:54" x14ac:dyDescent="0.4">
      <c r="A2168">
        <v>295925</v>
      </c>
      <c r="D2168" t="s">
        <v>54</v>
      </c>
      <c r="G2168">
        <v>1</v>
      </c>
      <c r="H2168" t="s">
        <v>56</v>
      </c>
      <c r="I2168" t="s">
        <v>57</v>
      </c>
      <c r="K2168" t="s">
        <v>397</v>
      </c>
      <c r="L2168" t="s">
        <v>444</v>
      </c>
      <c r="M2168" t="s">
        <v>60</v>
      </c>
      <c r="N2168" t="s">
        <v>119</v>
      </c>
      <c r="O2168" t="s">
        <v>134</v>
      </c>
      <c r="P2168" t="s">
        <v>121</v>
      </c>
      <c r="R2168" t="s">
        <v>122</v>
      </c>
      <c r="S2168" t="s">
        <v>123</v>
      </c>
      <c r="T2168">
        <v>290.10000000000002</v>
      </c>
      <c r="U2168">
        <v>283.5</v>
      </c>
      <c r="V2168">
        <f t="shared" si="66"/>
        <v>286.8</v>
      </c>
      <c r="W2168">
        <f t="shared" si="67"/>
        <v>6.6000000000000227</v>
      </c>
      <c r="X2168">
        <v>-98.694725000000005</v>
      </c>
      <c r="Y2168">
        <v>33.816113000000001</v>
      </c>
      <c r="Z2168" t="s">
        <v>124</v>
      </c>
      <c r="AA2168" t="s">
        <v>66</v>
      </c>
      <c r="AB2168" t="s">
        <v>125</v>
      </c>
      <c r="AC2168" t="s">
        <v>128</v>
      </c>
      <c r="AD2168" t="s">
        <v>445</v>
      </c>
      <c r="AE2168" t="s">
        <v>128</v>
      </c>
      <c r="AH2168" t="s">
        <v>72</v>
      </c>
      <c r="AI2168" t="s">
        <v>189</v>
      </c>
      <c r="AJ2168">
        <v>1928</v>
      </c>
      <c r="AK2168" t="s">
        <v>446</v>
      </c>
      <c r="AM2168" t="s">
        <v>447</v>
      </c>
      <c r="AN2168" t="s">
        <v>114</v>
      </c>
      <c r="AO2168" t="s">
        <v>77</v>
      </c>
      <c r="AP2168" t="s">
        <v>359</v>
      </c>
      <c r="AQ2168" t="s">
        <v>448</v>
      </c>
      <c r="AR2168" t="s">
        <v>80</v>
      </c>
      <c r="AS2168">
        <v>101</v>
      </c>
      <c r="AT2168" t="s">
        <v>81</v>
      </c>
      <c r="AU2168">
        <v>-30</v>
      </c>
      <c r="AV2168">
        <v>-1.0900000000000001</v>
      </c>
      <c r="AW2168" t="s">
        <v>82</v>
      </c>
      <c r="AX2168">
        <v>101</v>
      </c>
      <c r="AY2168" t="s">
        <v>81</v>
      </c>
      <c r="AZ2168">
        <v>-29.51</v>
      </c>
      <c r="BA2168">
        <v>-0.17</v>
      </c>
      <c r="BB2168" t="s">
        <v>83</v>
      </c>
    </row>
    <row r="2169" spans="1:54" x14ac:dyDescent="0.4">
      <c r="A2169">
        <v>295928</v>
      </c>
      <c r="D2169" t="s">
        <v>54</v>
      </c>
      <c r="G2169">
        <v>7</v>
      </c>
      <c r="H2169" t="s">
        <v>84</v>
      </c>
      <c r="I2169" t="s">
        <v>57</v>
      </c>
      <c r="K2169" t="s">
        <v>397</v>
      </c>
      <c r="L2169" t="s">
        <v>444</v>
      </c>
      <c r="M2169" t="s">
        <v>60</v>
      </c>
      <c r="N2169" t="s">
        <v>119</v>
      </c>
      <c r="O2169" t="s">
        <v>134</v>
      </c>
      <c r="P2169" t="s">
        <v>121</v>
      </c>
      <c r="R2169" t="s">
        <v>122</v>
      </c>
      <c r="S2169" t="s">
        <v>123</v>
      </c>
      <c r="T2169">
        <v>290.10000000000002</v>
      </c>
      <c r="U2169">
        <v>283.5</v>
      </c>
      <c r="V2169">
        <f t="shared" si="66"/>
        <v>286.8</v>
      </c>
      <c r="W2169">
        <f t="shared" si="67"/>
        <v>6.6000000000000227</v>
      </c>
      <c r="X2169">
        <v>-98.856941000000006</v>
      </c>
      <c r="Y2169">
        <v>33.622501</v>
      </c>
      <c r="Z2169" t="s">
        <v>124</v>
      </c>
      <c r="AA2169" t="s">
        <v>66</v>
      </c>
      <c r="AB2169" t="s">
        <v>125</v>
      </c>
      <c r="AC2169" t="s">
        <v>126</v>
      </c>
      <c r="AD2169" t="s">
        <v>445</v>
      </c>
      <c r="AE2169" t="s">
        <v>128</v>
      </c>
      <c r="AH2169" t="s">
        <v>72</v>
      </c>
      <c r="AI2169" t="s">
        <v>449</v>
      </c>
      <c r="AJ2169">
        <v>2012</v>
      </c>
      <c r="AK2169" t="s">
        <v>450</v>
      </c>
      <c r="AM2169" t="s">
        <v>451</v>
      </c>
      <c r="AN2169" t="s">
        <v>114</v>
      </c>
      <c r="AO2169" t="s">
        <v>77</v>
      </c>
      <c r="AP2169" t="s">
        <v>78</v>
      </c>
      <c r="AQ2169" t="s">
        <v>452</v>
      </c>
      <c r="AR2169" t="s">
        <v>80</v>
      </c>
      <c r="AS2169">
        <v>101</v>
      </c>
      <c r="AT2169" t="s">
        <v>81</v>
      </c>
      <c r="AU2169">
        <v>-30.21</v>
      </c>
      <c r="AV2169">
        <v>-1.18</v>
      </c>
      <c r="AW2169" t="s">
        <v>82</v>
      </c>
      <c r="AX2169">
        <v>101</v>
      </c>
      <c r="AY2169" t="s">
        <v>81</v>
      </c>
      <c r="AZ2169">
        <v>-29.72</v>
      </c>
      <c r="BA2169">
        <v>-0.27</v>
      </c>
      <c r="BB2169" t="s">
        <v>83</v>
      </c>
    </row>
    <row r="2170" spans="1:54" x14ac:dyDescent="0.4">
      <c r="A2170">
        <v>297328</v>
      </c>
      <c r="D2170" t="s">
        <v>179</v>
      </c>
      <c r="I2170" t="s">
        <v>57</v>
      </c>
      <c r="K2170" t="s">
        <v>483</v>
      </c>
      <c r="L2170" t="s">
        <v>484</v>
      </c>
      <c r="M2170" t="s">
        <v>223</v>
      </c>
      <c r="N2170" t="s">
        <v>485</v>
      </c>
      <c r="O2170" t="s">
        <v>345</v>
      </c>
      <c r="P2170" t="s">
        <v>121</v>
      </c>
      <c r="R2170" t="s">
        <v>122</v>
      </c>
      <c r="S2170" t="s">
        <v>123</v>
      </c>
      <c r="T2170">
        <v>290.10000000000002</v>
      </c>
      <c r="U2170">
        <v>283.5</v>
      </c>
      <c r="V2170">
        <f t="shared" si="66"/>
        <v>286.8</v>
      </c>
      <c r="W2170">
        <f t="shared" si="67"/>
        <v>6.6000000000000227</v>
      </c>
      <c r="X2170">
        <v>14.05</v>
      </c>
      <c r="Y2170">
        <v>-21.200001</v>
      </c>
      <c r="Z2170" t="s">
        <v>356</v>
      </c>
      <c r="AB2170" t="s">
        <v>486</v>
      </c>
      <c r="AD2170" t="s">
        <v>487</v>
      </c>
      <c r="AE2170" t="s">
        <v>488</v>
      </c>
      <c r="AH2170" t="s">
        <v>72</v>
      </c>
      <c r="AI2170" t="s">
        <v>489</v>
      </c>
      <c r="AJ2170">
        <v>1990</v>
      </c>
      <c r="AK2170" t="s">
        <v>490</v>
      </c>
      <c r="AM2170" t="s">
        <v>491</v>
      </c>
      <c r="AN2170" t="s">
        <v>192</v>
      </c>
      <c r="AO2170" t="s">
        <v>160</v>
      </c>
      <c r="AP2170" t="s">
        <v>78</v>
      </c>
      <c r="AQ2170" t="s">
        <v>492</v>
      </c>
      <c r="AR2170" t="s">
        <v>80</v>
      </c>
      <c r="AS2170">
        <v>701</v>
      </c>
      <c r="AT2170" t="s">
        <v>81</v>
      </c>
      <c r="AU2170">
        <v>-32.369999999999997</v>
      </c>
      <c r="AV2170">
        <v>-52.31</v>
      </c>
      <c r="AW2170" t="s">
        <v>82</v>
      </c>
      <c r="AX2170">
        <v>701</v>
      </c>
      <c r="AY2170" t="s">
        <v>81</v>
      </c>
      <c r="AZ2170">
        <v>-30.43</v>
      </c>
      <c r="BA2170">
        <v>-51.42</v>
      </c>
      <c r="BB2170" t="s">
        <v>83</v>
      </c>
    </row>
    <row r="2171" spans="1:54" x14ac:dyDescent="0.4">
      <c r="A2171">
        <v>297329</v>
      </c>
      <c r="D2171" t="s">
        <v>179</v>
      </c>
      <c r="I2171" t="s">
        <v>57</v>
      </c>
      <c r="K2171" t="s">
        <v>483</v>
      </c>
      <c r="L2171" t="s">
        <v>484</v>
      </c>
      <c r="M2171" t="s">
        <v>223</v>
      </c>
      <c r="N2171" t="s">
        <v>485</v>
      </c>
      <c r="O2171" t="s">
        <v>345</v>
      </c>
      <c r="P2171" t="s">
        <v>121</v>
      </c>
      <c r="R2171" t="s">
        <v>122</v>
      </c>
      <c r="S2171" t="s">
        <v>123</v>
      </c>
      <c r="T2171">
        <v>290.10000000000002</v>
      </c>
      <c r="U2171">
        <v>283.5</v>
      </c>
      <c r="V2171">
        <f t="shared" si="66"/>
        <v>286.8</v>
      </c>
      <c r="W2171">
        <f t="shared" si="67"/>
        <v>6.6000000000000227</v>
      </c>
      <c r="X2171">
        <v>14.05</v>
      </c>
      <c r="Y2171">
        <v>-21.200001</v>
      </c>
      <c r="Z2171" t="s">
        <v>356</v>
      </c>
      <c r="AB2171" t="s">
        <v>486</v>
      </c>
      <c r="AD2171" t="s">
        <v>487</v>
      </c>
      <c r="AE2171" t="s">
        <v>488</v>
      </c>
      <c r="AH2171" t="s">
        <v>72</v>
      </c>
      <c r="AI2171" t="s">
        <v>489</v>
      </c>
      <c r="AJ2171">
        <v>1990</v>
      </c>
      <c r="AK2171" t="s">
        <v>493</v>
      </c>
      <c r="AM2171" t="s">
        <v>494</v>
      </c>
      <c r="AN2171" t="s">
        <v>192</v>
      </c>
      <c r="AO2171" t="s">
        <v>160</v>
      </c>
      <c r="AP2171" t="s">
        <v>78</v>
      </c>
      <c r="AQ2171" t="s">
        <v>495</v>
      </c>
      <c r="AR2171" t="s">
        <v>80</v>
      </c>
      <c r="AS2171">
        <v>701</v>
      </c>
      <c r="AT2171" t="s">
        <v>81</v>
      </c>
      <c r="AU2171">
        <v>-32.369999999999997</v>
      </c>
      <c r="AV2171">
        <v>-52.31</v>
      </c>
      <c r="AW2171" t="s">
        <v>82</v>
      </c>
      <c r="AX2171">
        <v>701</v>
      </c>
      <c r="AY2171" t="s">
        <v>81</v>
      </c>
      <c r="AZ2171">
        <v>-30.43</v>
      </c>
      <c r="BA2171">
        <v>-51.42</v>
      </c>
      <c r="BB2171" t="s">
        <v>83</v>
      </c>
    </row>
    <row r="2172" spans="1:54" x14ac:dyDescent="0.4">
      <c r="A2172">
        <v>297330</v>
      </c>
      <c r="D2172" t="s">
        <v>179</v>
      </c>
      <c r="I2172" t="s">
        <v>57</v>
      </c>
      <c r="K2172" t="s">
        <v>483</v>
      </c>
      <c r="L2172" t="s">
        <v>484</v>
      </c>
      <c r="M2172" t="s">
        <v>223</v>
      </c>
      <c r="N2172" t="s">
        <v>485</v>
      </c>
      <c r="O2172" t="s">
        <v>345</v>
      </c>
      <c r="P2172" t="s">
        <v>121</v>
      </c>
      <c r="R2172" t="s">
        <v>122</v>
      </c>
      <c r="S2172" t="s">
        <v>123</v>
      </c>
      <c r="T2172">
        <v>290.10000000000002</v>
      </c>
      <c r="U2172">
        <v>283.5</v>
      </c>
      <c r="V2172">
        <f t="shared" si="66"/>
        <v>286.8</v>
      </c>
      <c r="W2172">
        <f t="shared" si="67"/>
        <v>6.6000000000000227</v>
      </c>
      <c r="X2172">
        <v>14.05</v>
      </c>
      <c r="Y2172">
        <v>-21.200001</v>
      </c>
      <c r="Z2172" t="s">
        <v>356</v>
      </c>
      <c r="AB2172" t="s">
        <v>486</v>
      </c>
      <c r="AD2172" t="s">
        <v>487</v>
      </c>
      <c r="AE2172" t="s">
        <v>488</v>
      </c>
      <c r="AH2172" t="s">
        <v>72</v>
      </c>
      <c r="AI2172" t="s">
        <v>489</v>
      </c>
      <c r="AJ2172">
        <v>1990</v>
      </c>
      <c r="AK2172" t="s">
        <v>496</v>
      </c>
      <c r="AM2172" t="s">
        <v>494</v>
      </c>
      <c r="AN2172" t="s">
        <v>192</v>
      </c>
      <c r="AO2172" t="s">
        <v>160</v>
      </c>
      <c r="AP2172" t="s">
        <v>78</v>
      </c>
      <c r="AQ2172" t="s">
        <v>495</v>
      </c>
      <c r="AR2172" t="s">
        <v>80</v>
      </c>
      <c r="AS2172">
        <v>701</v>
      </c>
      <c r="AT2172" t="s">
        <v>81</v>
      </c>
      <c r="AU2172">
        <v>-32.369999999999997</v>
      </c>
      <c r="AV2172">
        <v>-52.31</v>
      </c>
      <c r="AW2172" t="s">
        <v>82</v>
      </c>
      <c r="AX2172">
        <v>701</v>
      </c>
      <c r="AY2172" t="s">
        <v>81</v>
      </c>
      <c r="AZ2172">
        <v>-30.43</v>
      </c>
      <c r="BA2172">
        <v>-51.42</v>
      </c>
      <c r="BB2172" t="s">
        <v>83</v>
      </c>
    </row>
    <row r="2173" spans="1:54" x14ac:dyDescent="0.4">
      <c r="A2173">
        <v>297331</v>
      </c>
      <c r="D2173" t="s">
        <v>179</v>
      </c>
      <c r="I2173" t="s">
        <v>57</v>
      </c>
      <c r="K2173" t="s">
        <v>483</v>
      </c>
      <c r="L2173" t="s">
        <v>484</v>
      </c>
      <c r="M2173" t="s">
        <v>223</v>
      </c>
      <c r="N2173" t="s">
        <v>485</v>
      </c>
      <c r="O2173" t="s">
        <v>345</v>
      </c>
      <c r="P2173" t="s">
        <v>121</v>
      </c>
      <c r="R2173" t="s">
        <v>122</v>
      </c>
      <c r="S2173" t="s">
        <v>123</v>
      </c>
      <c r="T2173">
        <v>290.10000000000002</v>
      </c>
      <c r="U2173">
        <v>283.5</v>
      </c>
      <c r="V2173">
        <f t="shared" si="66"/>
        <v>286.8</v>
      </c>
      <c r="W2173">
        <f t="shared" si="67"/>
        <v>6.6000000000000227</v>
      </c>
      <c r="X2173">
        <v>14.05</v>
      </c>
      <c r="Y2173">
        <v>-21.200001</v>
      </c>
      <c r="Z2173" t="s">
        <v>356</v>
      </c>
      <c r="AB2173" t="s">
        <v>486</v>
      </c>
      <c r="AD2173" t="s">
        <v>487</v>
      </c>
      <c r="AE2173" t="s">
        <v>488</v>
      </c>
      <c r="AH2173" t="s">
        <v>72</v>
      </c>
      <c r="AI2173" t="s">
        <v>489</v>
      </c>
      <c r="AJ2173">
        <v>1990</v>
      </c>
      <c r="AK2173" t="s">
        <v>497</v>
      </c>
      <c r="AM2173" t="s">
        <v>494</v>
      </c>
      <c r="AN2173" t="s">
        <v>192</v>
      </c>
      <c r="AO2173" t="s">
        <v>160</v>
      </c>
      <c r="AP2173" t="s">
        <v>78</v>
      </c>
      <c r="AQ2173" t="s">
        <v>495</v>
      </c>
      <c r="AR2173" t="s">
        <v>80</v>
      </c>
      <c r="AS2173">
        <v>701</v>
      </c>
      <c r="AT2173" t="s">
        <v>81</v>
      </c>
      <c r="AU2173">
        <v>-32.369999999999997</v>
      </c>
      <c r="AV2173">
        <v>-52.31</v>
      </c>
      <c r="AW2173" t="s">
        <v>82</v>
      </c>
      <c r="AX2173">
        <v>701</v>
      </c>
      <c r="AY2173" t="s">
        <v>81</v>
      </c>
      <c r="AZ2173">
        <v>-30.43</v>
      </c>
      <c r="BA2173">
        <v>-51.42</v>
      </c>
      <c r="BB2173" t="s">
        <v>83</v>
      </c>
    </row>
    <row r="2174" spans="1:54" x14ac:dyDescent="0.4">
      <c r="A2174">
        <v>629473</v>
      </c>
      <c r="D2174" t="s">
        <v>54</v>
      </c>
      <c r="E2174" t="s">
        <v>154</v>
      </c>
      <c r="F2174" t="s">
        <v>1386</v>
      </c>
      <c r="G2174">
        <v>1</v>
      </c>
      <c r="H2174" t="s">
        <v>56</v>
      </c>
      <c r="I2174" t="s">
        <v>57</v>
      </c>
      <c r="K2174" t="s">
        <v>275</v>
      </c>
      <c r="L2174" t="s">
        <v>1387</v>
      </c>
      <c r="M2174" t="s">
        <v>60</v>
      </c>
      <c r="N2174" t="s">
        <v>119</v>
      </c>
      <c r="O2174" t="s">
        <v>134</v>
      </c>
      <c r="P2174" t="s">
        <v>121</v>
      </c>
      <c r="R2174" t="s">
        <v>122</v>
      </c>
      <c r="S2174" t="s">
        <v>123</v>
      </c>
      <c r="T2174">
        <v>290.10000000000002</v>
      </c>
      <c r="U2174">
        <v>283.5</v>
      </c>
      <c r="V2174">
        <f t="shared" si="66"/>
        <v>286.8</v>
      </c>
      <c r="W2174">
        <f t="shared" si="67"/>
        <v>6.6000000000000227</v>
      </c>
      <c r="X2174">
        <v>-98.405997999999997</v>
      </c>
      <c r="Y2174">
        <v>34.775500999999998</v>
      </c>
      <c r="Z2174" t="s">
        <v>90</v>
      </c>
      <c r="AA2174" t="s">
        <v>66</v>
      </c>
      <c r="AB2174" t="s">
        <v>407</v>
      </c>
      <c r="AC2174" t="s">
        <v>1388</v>
      </c>
      <c r="AH2174" t="s">
        <v>72</v>
      </c>
      <c r="AI2174" t="s">
        <v>1389</v>
      </c>
      <c r="AJ2174">
        <v>2015</v>
      </c>
      <c r="AK2174" t="s">
        <v>1390</v>
      </c>
      <c r="AM2174" t="s">
        <v>1391</v>
      </c>
      <c r="AN2174" t="s">
        <v>192</v>
      </c>
      <c r="AO2174">
        <v>4</v>
      </c>
      <c r="AP2174" t="s">
        <v>78</v>
      </c>
      <c r="AQ2174" t="s">
        <v>1392</v>
      </c>
      <c r="AR2174" t="s">
        <v>80</v>
      </c>
      <c r="AS2174">
        <v>101</v>
      </c>
      <c r="AT2174" t="s">
        <v>81</v>
      </c>
      <c r="AU2174">
        <v>-29.29</v>
      </c>
      <c r="AV2174">
        <v>-0.39</v>
      </c>
      <c r="AW2174" t="s">
        <v>82</v>
      </c>
      <c r="AX2174">
        <v>101</v>
      </c>
      <c r="AY2174" t="s">
        <v>81</v>
      </c>
      <c r="AZ2174">
        <v>-28.82</v>
      </c>
      <c r="BA2174">
        <v>0.54</v>
      </c>
      <c r="BB2174" t="s">
        <v>83</v>
      </c>
    </row>
    <row r="2175" spans="1:54" x14ac:dyDescent="0.4">
      <c r="A2175">
        <v>629473</v>
      </c>
      <c r="D2175" t="s">
        <v>54</v>
      </c>
      <c r="E2175" t="s">
        <v>154</v>
      </c>
      <c r="F2175" t="s">
        <v>1386</v>
      </c>
      <c r="G2175">
        <v>1</v>
      </c>
      <c r="H2175" t="s">
        <v>56</v>
      </c>
      <c r="I2175" t="s">
        <v>57</v>
      </c>
      <c r="K2175" t="s">
        <v>275</v>
      </c>
      <c r="L2175" t="s">
        <v>1387</v>
      </c>
      <c r="M2175" t="s">
        <v>60</v>
      </c>
      <c r="N2175" t="s">
        <v>119</v>
      </c>
      <c r="O2175" t="s">
        <v>134</v>
      </c>
      <c r="P2175" t="s">
        <v>121</v>
      </c>
      <c r="R2175" t="s">
        <v>122</v>
      </c>
      <c r="S2175" t="s">
        <v>123</v>
      </c>
      <c r="T2175">
        <v>290.10000000000002</v>
      </c>
      <c r="U2175">
        <v>283.5</v>
      </c>
      <c r="V2175">
        <f t="shared" si="66"/>
        <v>286.8</v>
      </c>
      <c r="W2175">
        <f t="shared" si="67"/>
        <v>6.6000000000000227</v>
      </c>
      <c r="X2175">
        <v>-98.405997999999997</v>
      </c>
      <c r="Y2175">
        <v>34.775500999999998</v>
      </c>
      <c r="Z2175" t="s">
        <v>90</v>
      </c>
      <c r="AA2175" t="s">
        <v>66</v>
      </c>
      <c r="AB2175" t="s">
        <v>407</v>
      </c>
      <c r="AC2175" t="s">
        <v>1388</v>
      </c>
      <c r="AH2175" t="s">
        <v>72</v>
      </c>
      <c r="AI2175" t="s">
        <v>1389</v>
      </c>
      <c r="AJ2175">
        <v>2015</v>
      </c>
      <c r="AK2175" t="s">
        <v>1390</v>
      </c>
      <c r="AM2175" t="s">
        <v>1391</v>
      </c>
      <c r="AN2175" t="s">
        <v>192</v>
      </c>
      <c r="AO2175">
        <v>4</v>
      </c>
      <c r="AP2175" t="s">
        <v>78</v>
      </c>
      <c r="AQ2175" t="s">
        <v>1392</v>
      </c>
      <c r="AR2175" t="s">
        <v>80</v>
      </c>
      <c r="AS2175">
        <v>101</v>
      </c>
      <c r="AT2175" t="s">
        <v>81</v>
      </c>
      <c r="AU2175">
        <v>-29.29</v>
      </c>
      <c r="AV2175">
        <v>-0.39</v>
      </c>
      <c r="AW2175" t="s">
        <v>82</v>
      </c>
      <c r="AX2175">
        <v>101</v>
      </c>
      <c r="AY2175" t="s">
        <v>81</v>
      </c>
      <c r="AZ2175">
        <v>-28.82</v>
      </c>
      <c r="BA2175">
        <v>0.54</v>
      </c>
      <c r="BB2175" t="s">
        <v>83</v>
      </c>
    </row>
    <row r="2176" spans="1:54" x14ac:dyDescent="0.4">
      <c r="A2176">
        <v>629473</v>
      </c>
      <c r="D2176" t="s">
        <v>54</v>
      </c>
      <c r="E2176" t="s">
        <v>154</v>
      </c>
      <c r="F2176" t="s">
        <v>1386</v>
      </c>
      <c r="G2176">
        <v>1</v>
      </c>
      <c r="H2176" t="s">
        <v>56</v>
      </c>
      <c r="I2176" t="s">
        <v>57</v>
      </c>
      <c r="K2176" t="s">
        <v>275</v>
      </c>
      <c r="L2176" t="s">
        <v>1387</v>
      </c>
      <c r="M2176" t="s">
        <v>60</v>
      </c>
      <c r="N2176" t="s">
        <v>119</v>
      </c>
      <c r="O2176" t="s">
        <v>134</v>
      </c>
      <c r="P2176" t="s">
        <v>121</v>
      </c>
      <c r="R2176" t="s">
        <v>122</v>
      </c>
      <c r="S2176" t="s">
        <v>123</v>
      </c>
      <c r="T2176">
        <v>290.10000000000002</v>
      </c>
      <c r="U2176">
        <v>283.5</v>
      </c>
      <c r="V2176">
        <f t="shared" si="66"/>
        <v>286.8</v>
      </c>
      <c r="W2176">
        <f t="shared" si="67"/>
        <v>6.6000000000000227</v>
      </c>
      <c r="X2176">
        <v>-98.405997999999997</v>
      </c>
      <c r="Y2176">
        <v>34.775500999999998</v>
      </c>
      <c r="Z2176" t="s">
        <v>90</v>
      </c>
      <c r="AA2176" t="s">
        <v>66</v>
      </c>
      <c r="AB2176" t="s">
        <v>407</v>
      </c>
      <c r="AC2176" t="s">
        <v>1388</v>
      </c>
      <c r="AH2176" t="s">
        <v>72</v>
      </c>
      <c r="AI2176" t="s">
        <v>1389</v>
      </c>
      <c r="AJ2176">
        <v>2015</v>
      </c>
      <c r="AK2176" t="s">
        <v>1390</v>
      </c>
      <c r="AM2176" t="s">
        <v>1391</v>
      </c>
      <c r="AN2176" t="s">
        <v>192</v>
      </c>
      <c r="AO2176">
        <v>4</v>
      </c>
      <c r="AP2176" t="s">
        <v>78</v>
      </c>
      <c r="AQ2176" t="s">
        <v>1392</v>
      </c>
      <c r="AR2176" t="s">
        <v>80</v>
      </c>
      <c r="AS2176">
        <v>101</v>
      </c>
      <c r="AT2176" t="s">
        <v>81</v>
      </c>
      <c r="AU2176">
        <v>-29.29</v>
      </c>
      <c r="AV2176">
        <v>-0.39</v>
      </c>
      <c r="AW2176" t="s">
        <v>82</v>
      </c>
      <c r="AX2176">
        <v>101</v>
      </c>
      <c r="AY2176" t="s">
        <v>81</v>
      </c>
      <c r="AZ2176">
        <v>-28.82</v>
      </c>
      <c r="BA2176">
        <v>0.54</v>
      </c>
      <c r="BB2176" t="s">
        <v>83</v>
      </c>
    </row>
    <row r="2177" spans="1:54" x14ac:dyDescent="0.4">
      <c r="A2177">
        <v>629473</v>
      </c>
      <c r="D2177" t="s">
        <v>54</v>
      </c>
      <c r="E2177" t="s">
        <v>154</v>
      </c>
      <c r="F2177" t="s">
        <v>1386</v>
      </c>
      <c r="G2177">
        <v>1</v>
      </c>
      <c r="H2177" t="s">
        <v>56</v>
      </c>
      <c r="I2177" t="s">
        <v>57</v>
      </c>
      <c r="K2177" t="s">
        <v>275</v>
      </c>
      <c r="L2177" t="s">
        <v>1387</v>
      </c>
      <c r="M2177" t="s">
        <v>60</v>
      </c>
      <c r="N2177" t="s">
        <v>119</v>
      </c>
      <c r="O2177" t="s">
        <v>134</v>
      </c>
      <c r="P2177" t="s">
        <v>121</v>
      </c>
      <c r="R2177" t="s">
        <v>122</v>
      </c>
      <c r="S2177" t="s">
        <v>123</v>
      </c>
      <c r="T2177">
        <v>290.10000000000002</v>
      </c>
      <c r="U2177">
        <v>283.5</v>
      </c>
      <c r="V2177">
        <f t="shared" si="66"/>
        <v>286.8</v>
      </c>
      <c r="W2177">
        <f t="shared" si="67"/>
        <v>6.6000000000000227</v>
      </c>
      <c r="X2177">
        <v>-98.405997999999997</v>
      </c>
      <c r="Y2177">
        <v>34.775500999999998</v>
      </c>
      <c r="Z2177" t="s">
        <v>90</v>
      </c>
      <c r="AA2177" t="s">
        <v>66</v>
      </c>
      <c r="AB2177" t="s">
        <v>407</v>
      </c>
      <c r="AC2177" t="s">
        <v>1388</v>
      </c>
      <c r="AH2177" t="s">
        <v>72</v>
      </c>
      <c r="AI2177" t="s">
        <v>1389</v>
      </c>
      <c r="AJ2177">
        <v>2015</v>
      </c>
      <c r="AK2177" t="s">
        <v>1390</v>
      </c>
      <c r="AM2177" t="s">
        <v>1391</v>
      </c>
      <c r="AN2177" t="s">
        <v>192</v>
      </c>
      <c r="AO2177">
        <v>4</v>
      </c>
      <c r="AP2177" t="s">
        <v>78</v>
      </c>
      <c r="AQ2177" t="s">
        <v>1392</v>
      </c>
      <c r="AR2177" t="s">
        <v>80</v>
      </c>
      <c r="AS2177">
        <v>101</v>
      </c>
      <c r="AT2177" t="s">
        <v>81</v>
      </c>
      <c r="AU2177">
        <v>-29.29</v>
      </c>
      <c r="AV2177">
        <v>-0.39</v>
      </c>
      <c r="AW2177" t="s">
        <v>82</v>
      </c>
      <c r="AX2177">
        <v>101</v>
      </c>
      <c r="AY2177" t="s">
        <v>81</v>
      </c>
      <c r="AZ2177">
        <v>-28.82</v>
      </c>
      <c r="BA2177">
        <v>0.54</v>
      </c>
      <c r="BB2177" t="s">
        <v>83</v>
      </c>
    </row>
    <row r="2178" spans="1:54" x14ac:dyDescent="0.4">
      <c r="A2178">
        <v>629473</v>
      </c>
      <c r="D2178" t="s">
        <v>54</v>
      </c>
      <c r="E2178" t="s">
        <v>154</v>
      </c>
      <c r="F2178" t="s">
        <v>1386</v>
      </c>
      <c r="G2178">
        <v>1</v>
      </c>
      <c r="H2178" t="s">
        <v>56</v>
      </c>
      <c r="I2178" t="s">
        <v>57</v>
      </c>
      <c r="K2178" t="s">
        <v>275</v>
      </c>
      <c r="L2178" t="s">
        <v>1387</v>
      </c>
      <c r="M2178" t="s">
        <v>60</v>
      </c>
      <c r="N2178" t="s">
        <v>119</v>
      </c>
      <c r="O2178" t="s">
        <v>134</v>
      </c>
      <c r="P2178" t="s">
        <v>121</v>
      </c>
      <c r="R2178" t="s">
        <v>122</v>
      </c>
      <c r="S2178" t="s">
        <v>123</v>
      </c>
      <c r="T2178">
        <v>290.10000000000002</v>
      </c>
      <c r="U2178">
        <v>283.5</v>
      </c>
      <c r="V2178">
        <f t="shared" si="66"/>
        <v>286.8</v>
      </c>
      <c r="W2178">
        <f t="shared" si="67"/>
        <v>6.6000000000000227</v>
      </c>
      <c r="X2178">
        <v>-98.405997999999997</v>
      </c>
      <c r="Y2178">
        <v>34.775500999999998</v>
      </c>
      <c r="Z2178" t="s">
        <v>90</v>
      </c>
      <c r="AA2178" t="s">
        <v>66</v>
      </c>
      <c r="AB2178" t="s">
        <v>407</v>
      </c>
      <c r="AC2178" t="s">
        <v>1388</v>
      </c>
      <c r="AH2178" t="s">
        <v>72</v>
      </c>
      <c r="AI2178" t="s">
        <v>1389</v>
      </c>
      <c r="AJ2178">
        <v>2015</v>
      </c>
      <c r="AK2178" t="s">
        <v>1390</v>
      </c>
      <c r="AM2178" t="s">
        <v>1391</v>
      </c>
      <c r="AN2178" t="s">
        <v>192</v>
      </c>
      <c r="AO2178">
        <v>4</v>
      </c>
      <c r="AP2178" t="s">
        <v>78</v>
      </c>
      <c r="AQ2178" t="s">
        <v>1392</v>
      </c>
      <c r="AR2178" t="s">
        <v>80</v>
      </c>
      <c r="AS2178">
        <v>101</v>
      </c>
      <c r="AT2178" t="s">
        <v>81</v>
      </c>
      <c r="AU2178">
        <v>-29.29</v>
      </c>
      <c r="AV2178">
        <v>-0.39</v>
      </c>
      <c r="AW2178" t="s">
        <v>82</v>
      </c>
      <c r="AX2178">
        <v>101</v>
      </c>
      <c r="AY2178" t="s">
        <v>81</v>
      </c>
      <c r="AZ2178">
        <v>-28.82</v>
      </c>
      <c r="BA2178">
        <v>0.54</v>
      </c>
      <c r="BB2178" t="s">
        <v>83</v>
      </c>
    </row>
    <row r="2179" spans="1:54" x14ac:dyDescent="0.4">
      <c r="A2179">
        <v>629473</v>
      </c>
      <c r="D2179" t="s">
        <v>54</v>
      </c>
      <c r="E2179" t="s">
        <v>154</v>
      </c>
      <c r="F2179" t="s">
        <v>1386</v>
      </c>
      <c r="G2179">
        <v>1</v>
      </c>
      <c r="H2179" t="s">
        <v>56</v>
      </c>
      <c r="I2179" t="s">
        <v>57</v>
      </c>
      <c r="K2179" t="s">
        <v>275</v>
      </c>
      <c r="L2179" t="s">
        <v>1387</v>
      </c>
      <c r="M2179" t="s">
        <v>60</v>
      </c>
      <c r="N2179" t="s">
        <v>119</v>
      </c>
      <c r="O2179" t="s">
        <v>134</v>
      </c>
      <c r="P2179" t="s">
        <v>121</v>
      </c>
      <c r="R2179" t="s">
        <v>122</v>
      </c>
      <c r="S2179" t="s">
        <v>123</v>
      </c>
      <c r="T2179">
        <v>290.10000000000002</v>
      </c>
      <c r="U2179">
        <v>283.5</v>
      </c>
      <c r="V2179">
        <f t="shared" ref="V2179:V2242" si="68">(T2179+U2179)/2</f>
        <v>286.8</v>
      </c>
      <c r="W2179">
        <f t="shared" ref="W2179:W2242" si="69">T2179-U2179</f>
        <v>6.6000000000000227</v>
      </c>
      <c r="X2179">
        <v>-98.405997999999997</v>
      </c>
      <c r="Y2179">
        <v>34.775500999999998</v>
      </c>
      <c r="Z2179" t="s">
        <v>90</v>
      </c>
      <c r="AA2179" t="s">
        <v>66</v>
      </c>
      <c r="AB2179" t="s">
        <v>407</v>
      </c>
      <c r="AC2179" t="s">
        <v>1388</v>
      </c>
      <c r="AH2179" t="s">
        <v>72</v>
      </c>
      <c r="AI2179" t="s">
        <v>1389</v>
      </c>
      <c r="AJ2179">
        <v>2015</v>
      </c>
      <c r="AK2179" t="s">
        <v>1390</v>
      </c>
      <c r="AM2179" t="s">
        <v>1391</v>
      </c>
      <c r="AN2179" t="s">
        <v>192</v>
      </c>
      <c r="AO2179">
        <v>4</v>
      </c>
      <c r="AP2179" t="s">
        <v>78</v>
      </c>
      <c r="AQ2179" t="s">
        <v>1392</v>
      </c>
      <c r="AR2179" t="s">
        <v>80</v>
      </c>
      <c r="AS2179">
        <v>101</v>
      </c>
      <c r="AT2179" t="s">
        <v>81</v>
      </c>
      <c r="AU2179">
        <v>-29.29</v>
      </c>
      <c r="AV2179">
        <v>-0.39</v>
      </c>
      <c r="AW2179" t="s">
        <v>82</v>
      </c>
      <c r="AX2179">
        <v>101</v>
      </c>
      <c r="AY2179" t="s">
        <v>81</v>
      </c>
      <c r="AZ2179">
        <v>-28.82</v>
      </c>
      <c r="BA2179">
        <v>0.54</v>
      </c>
      <c r="BB2179" t="s">
        <v>83</v>
      </c>
    </row>
    <row r="2180" spans="1:54" x14ac:dyDescent="0.4">
      <c r="A2180">
        <v>629473</v>
      </c>
      <c r="D2180" t="s">
        <v>54</v>
      </c>
      <c r="E2180" t="s">
        <v>154</v>
      </c>
      <c r="F2180" t="s">
        <v>1386</v>
      </c>
      <c r="G2180">
        <v>1</v>
      </c>
      <c r="H2180" t="s">
        <v>56</v>
      </c>
      <c r="I2180" t="s">
        <v>57</v>
      </c>
      <c r="K2180" t="s">
        <v>275</v>
      </c>
      <c r="L2180" t="s">
        <v>1387</v>
      </c>
      <c r="M2180" t="s">
        <v>60</v>
      </c>
      <c r="N2180" t="s">
        <v>119</v>
      </c>
      <c r="O2180" t="s">
        <v>134</v>
      </c>
      <c r="P2180" t="s">
        <v>121</v>
      </c>
      <c r="R2180" t="s">
        <v>122</v>
      </c>
      <c r="S2180" t="s">
        <v>123</v>
      </c>
      <c r="T2180">
        <v>290.10000000000002</v>
      </c>
      <c r="U2180">
        <v>283.5</v>
      </c>
      <c r="V2180">
        <f t="shared" si="68"/>
        <v>286.8</v>
      </c>
      <c r="W2180">
        <f t="shared" si="69"/>
        <v>6.6000000000000227</v>
      </c>
      <c r="X2180">
        <v>-98.405997999999997</v>
      </c>
      <c r="Y2180">
        <v>34.775500999999998</v>
      </c>
      <c r="Z2180" t="s">
        <v>90</v>
      </c>
      <c r="AA2180" t="s">
        <v>66</v>
      </c>
      <c r="AB2180" t="s">
        <v>407</v>
      </c>
      <c r="AC2180" t="s">
        <v>1388</v>
      </c>
      <c r="AH2180" t="s">
        <v>72</v>
      </c>
      <c r="AI2180" t="s">
        <v>1389</v>
      </c>
      <c r="AJ2180">
        <v>2015</v>
      </c>
      <c r="AK2180" t="s">
        <v>1390</v>
      </c>
      <c r="AM2180" t="s">
        <v>1391</v>
      </c>
      <c r="AN2180" t="s">
        <v>192</v>
      </c>
      <c r="AO2180">
        <v>4</v>
      </c>
      <c r="AP2180" t="s">
        <v>78</v>
      </c>
      <c r="AQ2180" t="s">
        <v>1392</v>
      </c>
      <c r="AR2180" t="s">
        <v>80</v>
      </c>
      <c r="AS2180">
        <v>101</v>
      </c>
      <c r="AT2180" t="s">
        <v>81</v>
      </c>
      <c r="AU2180">
        <v>-29.29</v>
      </c>
      <c r="AV2180">
        <v>-0.39</v>
      </c>
      <c r="AW2180" t="s">
        <v>82</v>
      </c>
      <c r="AX2180">
        <v>101</v>
      </c>
      <c r="AY2180" t="s">
        <v>81</v>
      </c>
      <c r="AZ2180">
        <v>-28.82</v>
      </c>
      <c r="BA2180">
        <v>0.54</v>
      </c>
      <c r="BB2180" t="s">
        <v>83</v>
      </c>
    </row>
    <row r="2181" spans="1:54" x14ac:dyDescent="0.4">
      <c r="A2181">
        <v>629473</v>
      </c>
      <c r="D2181" t="s">
        <v>54</v>
      </c>
      <c r="E2181" t="s">
        <v>154</v>
      </c>
      <c r="F2181" t="s">
        <v>1386</v>
      </c>
      <c r="G2181">
        <v>1</v>
      </c>
      <c r="H2181" t="s">
        <v>56</v>
      </c>
      <c r="I2181" t="s">
        <v>57</v>
      </c>
      <c r="K2181" t="s">
        <v>275</v>
      </c>
      <c r="L2181" t="s">
        <v>1387</v>
      </c>
      <c r="M2181" t="s">
        <v>60</v>
      </c>
      <c r="N2181" t="s">
        <v>119</v>
      </c>
      <c r="O2181" t="s">
        <v>134</v>
      </c>
      <c r="P2181" t="s">
        <v>121</v>
      </c>
      <c r="R2181" t="s">
        <v>122</v>
      </c>
      <c r="S2181" t="s">
        <v>123</v>
      </c>
      <c r="T2181">
        <v>290.10000000000002</v>
      </c>
      <c r="U2181">
        <v>283.5</v>
      </c>
      <c r="V2181">
        <f t="shared" si="68"/>
        <v>286.8</v>
      </c>
      <c r="W2181">
        <f t="shared" si="69"/>
        <v>6.6000000000000227</v>
      </c>
      <c r="X2181">
        <v>-98.405997999999997</v>
      </c>
      <c r="Y2181">
        <v>34.775500999999998</v>
      </c>
      <c r="Z2181" t="s">
        <v>90</v>
      </c>
      <c r="AA2181" t="s">
        <v>66</v>
      </c>
      <c r="AB2181" t="s">
        <v>407</v>
      </c>
      <c r="AC2181" t="s">
        <v>1388</v>
      </c>
      <c r="AH2181" t="s">
        <v>72</v>
      </c>
      <c r="AI2181" t="s">
        <v>1389</v>
      </c>
      <c r="AJ2181">
        <v>2015</v>
      </c>
      <c r="AK2181" t="s">
        <v>1390</v>
      </c>
      <c r="AM2181" t="s">
        <v>1391</v>
      </c>
      <c r="AN2181" t="s">
        <v>192</v>
      </c>
      <c r="AO2181">
        <v>4</v>
      </c>
      <c r="AP2181" t="s">
        <v>78</v>
      </c>
      <c r="AQ2181" t="s">
        <v>1392</v>
      </c>
      <c r="AR2181" t="s">
        <v>80</v>
      </c>
      <c r="AS2181">
        <v>101</v>
      </c>
      <c r="AT2181" t="s">
        <v>81</v>
      </c>
      <c r="AU2181">
        <v>-29.29</v>
      </c>
      <c r="AV2181">
        <v>-0.39</v>
      </c>
      <c r="AW2181" t="s">
        <v>82</v>
      </c>
      <c r="AX2181">
        <v>101</v>
      </c>
      <c r="AY2181" t="s">
        <v>81</v>
      </c>
      <c r="AZ2181">
        <v>-28.82</v>
      </c>
      <c r="BA2181">
        <v>0.54</v>
      </c>
      <c r="BB2181" t="s">
        <v>83</v>
      </c>
    </row>
    <row r="2182" spans="1:54" x14ac:dyDescent="0.4">
      <c r="A2182">
        <v>629473</v>
      </c>
      <c r="D2182" t="s">
        <v>54</v>
      </c>
      <c r="E2182" t="s">
        <v>154</v>
      </c>
      <c r="F2182" t="s">
        <v>1386</v>
      </c>
      <c r="G2182">
        <v>1</v>
      </c>
      <c r="H2182" t="s">
        <v>56</v>
      </c>
      <c r="I2182" t="s">
        <v>57</v>
      </c>
      <c r="K2182" t="s">
        <v>275</v>
      </c>
      <c r="L2182" t="s">
        <v>1387</v>
      </c>
      <c r="M2182" t="s">
        <v>60</v>
      </c>
      <c r="N2182" t="s">
        <v>119</v>
      </c>
      <c r="O2182" t="s">
        <v>134</v>
      </c>
      <c r="P2182" t="s">
        <v>121</v>
      </c>
      <c r="R2182" t="s">
        <v>122</v>
      </c>
      <c r="S2182" t="s">
        <v>123</v>
      </c>
      <c r="T2182">
        <v>290.10000000000002</v>
      </c>
      <c r="U2182">
        <v>283.5</v>
      </c>
      <c r="V2182">
        <f t="shared" si="68"/>
        <v>286.8</v>
      </c>
      <c r="W2182">
        <f t="shared" si="69"/>
        <v>6.6000000000000227</v>
      </c>
      <c r="X2182">
        <v>-98.405997999999997</v>
      </c>
      <c r="Y2182">
        <v>34.775500999999998</v>
      </c>
      <c r="Z2182" t="s">
        <v>90</v>
      </c>
      <c r="AA2182" t="s">
        <v>66</v>
      </c>
      <c r="AB2182" t="s">
        <v>407</v>
      </c>
      <c r="AC2182" t="s">
        <v>1388</v>
      </c>
      <c r="AH2182" t="s">
        <v>72</v>
      </c>
      <c r="AI2182" t="s">
        <v>1389</v>
      </c>
      <c r="AJ2182">
        <v>2015</v>
      </c>
      <c r="AK2182" t="s">
        <v>1390</v>
      </c>
      <c r="AM2182" t="s">
        <v>1391</v>
      </c>
      <c r="AN2182" t="s">
        <v>192</v>
      </c>
      <c r="AO2182">
        <v>4</v>
      </c>
      <c r="AP2182" t="s">
        <v>78</v>
      </c>
      <c r="AQ2182" t="s">
        <v>1392</v>
      </c>
      <c r="AR2182" t="s">
        <v>80</v>
      </c>
      <c r="AS2182">
        <v>101</v>
      </c>
      <c r="AT2182" t="s">
        <v>81</v>
      </c>
      <c r="AU2182">
        <v>-29.29</v>
      </c>
      <c r="AV2182">
        <v>-0.39</v>
      </c>
      <c r="AW2182" t="s">
        <v>82</v>
      </c>
      <c r="AX2182">
        <v>101</v>
      </c>
      <c r="AY2182" t="s">
        <v>81</v>
      </c>
      <c r="AZ2182">
        <v>-28.82</v>
      </c>
      <c r="BA2182">
        <v>0.54</v>
      </c>
      <c r="BB2182" t="s">
        <v>83</v>
      </c>
    </row>
    <row r="2183" spans="1:54" x14ac:dyDescent="0.4">
      <c r="A2183">
        <v>629473</v>
      </c>
      <c r="D2183" t="s">
        <v>54</v>
      </c>
      <c r="E2183" t="s">
        <v>154</v>
      </c>
      <c r="F2183" t="s">
        <v>1386</v>
      </c>
      <c r="G2183">
        <v>1</v>
      </c>
      <c r="H2183" t="s">
        <v>56</v>
      </c>
      <c r="I2183" t="s">
        <v>57</v>
      </c>
      <c r="K2183" t="s">
        <v>275</v>
      </c>
      <c r="L2183" t="s">
        <v>1387</v>
      </c>
      <c r="M2183" t="s">
        <v>60</v>
      </c>
      <c r="N2183" t="s">
        <v>119</v>
      </c>
      <c r="O2183" t="s">
        <v>134</v>
      </c>
      <c r="P2183" t="s">
        <v>121</v>
      </c>
      <c r="R2183" t="s">
        <v>122</v>
      </c>
      <c r="S2183" t="s">
        <v>123</v>
      </c>
      <c r="T2183">
        <v>290.10000000000002</v>
      </c>
      <c r="U2183">
        <v>283.5</v>
      </c>
      <c r="V2183">
        <f t="shared" si="68"/>
        <v>286.8</v>
      </c>
      <c r="W2183">
        <f t="shared" si="69"/>
        <v>6.6000000000000227</v>
      </c>
      <c r="X2183">
        <v>-98.405997999999997</v>
      </c>
      <c r="Y2183">
        <v>34.775500999999998</v>
      </c>
      <c r="Z2183" t="s">
        <v>90</v>
      </c>
      <c r="AA2183" t="s">
        <v>66</v>
      </c>
      <c r="AB2183" t="s">
        <v>407</v>
      </c>
      <c r="AC2183" t="s">
        <v>1388</v>
      </c>
      <c r="AH2183" t="s">
        <v>72</v>
      </c>
      <c r="AI2183" t="s">
        <v>1389</v>
      </c>
      <c r="AJ2183">
        <v>2015</v>
      </c>
      <c r="AK2183" t="s">
        <v>1390</v>
      </c>
      <c r="AM2183" t="s">
        <v>1391</v>
      </c>
      <c r="AN2183" t="s">
        <v>192</v>
      </c>
      <c r="AO2183">
        <v>4</v>
      </c>
      <c r="AP2183" t="s">
        <v>78</v>
      </c>
      <c r="AQ2183" t="s">
        <v>1392</v>
      </c>
      <c r="AR2183" t="s">
        <v>80</v>
      </c>
      <c r="AS2183">
        <v>101</v>
      </c>
      <c r="AT2183" t="s">
        <v>81</v>
      </c>
      <c r="AU2183">
        <v>-29.29</v>
      </c>
      <c r="AV2183">
        <v>-0.39</v>
      </c>
      <c r="AW2183" t="s">
        <v>82</v>
      </c>
      <c r="AX2183">
        <v>101</v>
      </c>
      <c r="AY2183" t="s">
        <v>81</v>
      </c>
      <c r="AZ2183">
        <v>-28.82</v>
      </c>
      <c r="BA2183">
        <v>0.54</v>
      </c>
      <c r="BB2183" t="s">
        <v>83</v>
      </c>
    </row>
    <row r="2184" spans="1:54" x14ac:dyDescent="0.4">
      <c r="A2184">
        <v>629473</v>
      </c>
      <c r="D2184" t="s">
        <v>54</v>
      </c>
      <c r="E2184" t="s">
        <v>154</v>
      </c>
      <c r="F2184" t="s">
        <v>1386</v>
      </c>
      <c r="G2184">
        <v>1</v>
      </c>
      <c r="H2184" t="s">
        <v>56</v>
      </c>
      <c r="I2184" t="s">
        <v>57</v>
      </c>
      <c r="K2184" t="s">
        <v>275</v>
      </c>
      <c r="L2184" t="s">
        <v>1387</v>
      </c>
      <c r="M2184" t="s">
        <v>60</v>
      </c>
      <c r="N2184" t="s">
        <v>119</v>
      </c>
      <c r="O2184" t="s">
        <v>134</v>
      </c>
      <c r="P2184" t="s">
        <v>121</v>
      </c>
      <c r="R2184" t="s">
        <v>122</v>
      </c>
      <c r="S2184" t="s">
        <v>123</v>
      </c>
      <c r="T2184">
        <v>290.10000000000002</v>
      </c>
      <c r="U2184">
        <v>283.5</v>
      </c>
      <c r="V2184">
        <f t="shared" si="68"/>
        <v>286.8</v>
      </c>
      <c r="W2184">
        <f t="shared" si="69"/>
        <v>6.6000000000000227</v>
      </c>
      <c r="X2184">
        <v>-98.405997999999997</v>
      </c>
      <c r="Y2184">
        <v>34.775500999999998</v>
      </c>
      <c r="Z2184" t="s">
        <v>90</v>
      </c>
      <c r="AA2184" t="s">
        <v>66</v>
      </c>
      <c r="AB2184" t="s">
        <v>407</v>
      </c>
      <c r="AC2184" t="s">
        <v>1388</v>
      </c>
      <c r="AH2184" t="s">
        <v>72</v>
      </c>
      <c r="AI2184" t="s">
        <v>1389</v>
      </c>
      <c r="AJ2184">
        <v>2015</v>
      </c>
      <c r="AK2184" t="s">
        <v>1390</v>
      </c>
      <c r="AM2184" t="s">
        <v>1391</v>
      </c>
      <c r="AN2184" t="s">
        <v>192</v>
      </c>
      <c r="AO2184">
        <v>4</v>
      </c>
      <c r="AP2184" t="s">
        <v>78</v>
      </c>
      <c r="AQ2184" t="s">
        <v>1392</v>
      </c>
      <c r="AR2184" t="s">
        <v>80</v>
      </c>
      <c r="AS2184">
        <v>101</v>
      </c>
      <c r="AT2184" t="s">
        <v>81</v>
      </c>
      <c r="AU2184">
        <v>-29.29</v>
      </c>
      <c r="AV2184">
        <v>-0.39</v>
      </c>
      <c r="AW2184" t="s">
        <v>82</v>
      </c>
      <c r="AX2184">
        <v>101</v>
      </c>
      <c r="AY2184" t="s">
        <v>81</v>
      </c>
      <c r="AZ2184">
        <v>-28.82</v>
      </c>
      <c r="BA2184">
        <v>0.54</v>
      </c>
      <c r="BB2184" t="s">
        <v>83</v>
      </c>
    </row>
    <row r="2185" spans="1:54" x14ac:dyDescent="0.4">
      <c r="A2185">
        <v>629473</v>
      </c>
      <c r="D2185" t="s">
        <v>54</v>
      </c>
      <c r="E2185" t="s">
        <v>154</v>
      </c>
      <c r="F2185" t="s">
        <v>1386</v>
      </c>
      <c r="G2185">
        <v>1</v>
      </c>
      <c r="H2185" t="s">
        <v>56</v>
      </c>
      <c r="I2185" t="s">
        <v>57</v>
      </c>
      <c r="K2185" t="s">
        <v>275</v>
      </c>
      <c r="L2185" t="s">
        <v>1387</v>
      </c>
      <c r="M2185" t="s">
        <v>60</v>
      </c>
      <c r="N2185" t="s">
        <v>119</v>
      </c>
      <c r="O2185" t="s">
        <v>134</v>
      </c>
      <c r="P2185" t="s">
        <v>121</v>
      </c>
      <c r="R2185" t="s">
        <v>122</v>
      </c>
      <c r="S2185" t="s">
        <v>123</v>
      </c>
      <c r="T2185">
        <v>290.10000000000002</v>
      </c>
      <c r="U2185">
        <v>283.5</v>
      </c>
      <c r="V2185">
        <f t="shared" si="68"/>
        <v>286.8</v>
      </c>
      <c r="W2185">
        <f t="shared" si="69"/>
        <v>6.6000000000000227</v>
      </c>
      <c r="X2185">
        <v>-98.405997999999997</v>
      </c>
      <c r="Y2185">
        <v>34.775500999999998</v>
      </c>
      <c r="Z2185" t="s">
        <v>90</v>
      </c>
      <c r="AA2185" t="s">
        <v>66</v>
      </c>
      <c r="AB2185" t="s">
        <v>407</v>
      </c>
      <c r="AC2185" t="s">
        <v>1388</v>
      </c>
      <c r="AH2185" t="s">
        <v>72</v>
      </c>
      <c r="AI2185" t="s">
        <v>1389</v>
      </c>
      <c r="AJ2185">
        <v>2015</v>
      </c>
      <c r="AK2185" t="s">
        <v>1390</v>
      </c>
      <c r="AM2185" t="s">
        <v>1391</v>
      </c>
      <c r="AN2185" t="s">
        <v>192</v>
      </c>
      <c r="AO2185">
        <v>4</v>
      </c>
      <c r="AP2185" t="s">
        <v>78</v>
      </c>
      <c r="AQ2185" t="s">
        <v>1392</v>
      </c>
      <c r="AR2185" t="s">
        <v>80</v>
      </c>
      <c r="AS2185">
        <v>101</v>
      </c>
      <c r="AT2185" t="s">
        <v>81</v>
      </c>
      <c r="AU2185">
        <v>-29.29</v>
      </c>
      <c r="AV2185">
        <v>-0.39</v>
      </c>
      <c r="AW2185" t="s">
        <v>82</v>
      </c>
      <c r="AX2185">
        <v>101</v>
      </c>
      <c r="AY2185" t="s">
        <v>81</v>
      </c>
      <c r="AZ2185">
        <v>-28.82</v>
      </c>
      <c r="BA2185">
        <v>0.54</v>
      </c>
      <c r="BB2185" t="s">
        <v>83</v>
      </c>
    </row>
    <row r="2186" spans="1:54" x14ac:dyDescent="0.4">
      <c r="A2186">
        <v>629473</v>
      </c>
      <c r="D2186" t="s">
        <v>54</v>
      </c>
      <c r="E2186" t="s">
        <v>154</v>
      </c>
      <c r="F2186" t="s">
        <v>1386</v>
      </c>
      <c r="G2186">
        <v>1</v>
      </c>
      <c r="H2186" t="s">
        <v>56</v>
      </c>
      <c r="I2186" t="s">
        <v>57</v>
      </c>
      <c r="K2186" t="s">
        <v>275</v>
      </c>
      <c r="L2186" t="s">
        <v>1387</v>
      </c>
      <c r="M2186" t="s">
        <v>60</v>
      </c>
      <c r="N2186" t="s">
        <v>119</v>
      </c>
      <c r="O2186" t="s">
        <v>134</v>
      </c>
      <c r="P2186" t="s">
        <v>121</v>
      </c>
      <c r="R2186" t="s">
        <v>122</v>
      </c>
      <c r="S2186" t="s">
        <v>123</v>
      </c>
      <c r="T2186">
        <v>290.10000000000002</v>
      </c>
      <c r="U2186">
        <v>283.5</v>
      </c>
      <c r="V2186">
        <f t="shared" si="68"/>
        <v>286.8</v>
      </c>
      <c r="W2186">
        <f t="shared" si="69"/>
        <v>6.6000000000000227</v>
      </c>
      <c r="X2186">
        <v>-98.405997999999997</v>
      </c>
      <c r="Y2186">
        <v>34.775500999999998</v>
      </c>
      <c r="Z2186" t="s">
        <v>90</v>
      </c>
      <c r="AA2186" t="s">
        <v>66</v>
      </c>
      <c r="AB2186" t="s">
        <v>407</v>
      </c>
      <c r="AC2186" t="s">
        <v>1388</v>
      </c>
      <c r="AH2186" t="s">
        <v>72</v>
      </c>
      <c r="AI2186" t="s">
        <v>1389</v>
      </c>
      <c r="AJ2186">
        <v>2015</v>
      </c>
      <c r="AK2186" t="s">
        <v>1390</v>
      </c>
      <c r="AM2186" t="s">
        <v>1391</v>
      </c>
      <c r="AN2186" t="s">
        <v>192</v>
      </c>
      <c r="AO2186">
        <v>4</v>
      </c>
      <c r="AP2186" t="s">
        <v>78</v>
      </c>
      <c r="AQ2186" t="s">
        <v>1392</v>
      </c>
      <c r="AR2186" t="s">
        <v>80</v>
      </c>
      <c r="AS2186">
        <v>101</v>
      </c>
      <c r="AT2186" t="s">
        <v>81</v>
      </c>
      <c r="AU2186">
        <v>-29.29</v>
      </c>
      <c r="AV2186">
        <v>-0.39</v>
      </c>
      <c r="AW2186" t="s">
        <v>82</v>
      </c>
      <c r="AX2186">
        <v>101</v>
      </c>
      <c r="AY2186" t="s">
        <v>81</v>
      </c>
      <c r="AZ2186">
        <v>-28.82</v>
      </c>
      <c r="BA2186">
        <v>0.54</v>
      </c>
      <c r="BB2186" t="s">
        <v>83</v>
      </c>
    </row>
    <row r="2187" spans="1:54" x14ac:dyDescent="0.4">
      <c r="A2187">
        <v>629473</v>
      </c>
      <c r="D2187" t="s">
        <v>54</v>
      </c>
      <c r="E2187" t="s">
        <v>154</v>
      </c>
      <c r="F2187" t="s">
        <v>1386</v>
      </c>
      <c r="G2187">
        <v>1</v>
      </c>
      <c r="H2187" t="s">
        <v>56</v>
      </c>
      <c r="I2187" t="s">
        <v>57</v>
      </c>
      <c r="K2187" t="s">
        <v>275</v>
      </c>
      <c r="L2187" t="s">
        <v>1387</v>
      </c>
      <c r="M2187" t="s">
        <v>60</v>
      </c>
      <c r="N2187" t="s">
        <v>119</v>
      </c>
      <c r="O2187" t="s">
        <v>134</v>
      </c>
      <c r="P2187" t="s">
        <v>121</v>
      </c>
      <c r="R2187" t="s">
        <v>122</v>
      </c>
      <c r="S2187" t="s">
        <v>123</v>
      </c>
      <c r="T2187">
        <v>290.10000000000002</v>
      </c>
      <c r="U2187">
        <v>283.5</v>
      </c>
      <c r="V2187">
        <f t="shared" si="68"/>
        <v>286.8</v>
      </c>
      <c r="W2187">
        <f t="shared" si="69"/>
        <v>6.6000000000000227</v>
      </c>
      <c r="X2187">
        <v>-98.405997999999997</v>
      </c>
      <c r="Y2187">
        <v>34.775500999999998</v>
      </c>
      <c r="Z2187" t="s">
        <v>90</v>
      </c>
      <c r="AA2187" t="s">
        <v>66</v>
      </c>
      <c r="AB2187" t="s">
        <v>407</v>
      </c>
      <c r="AC2187" t="s">
        <v>1388</v>
      </c>
      <c r="AH2187" t="s">
        <v>72</v>
      </c>
      <c r="AI2187" t="s">
        <v>1389</v>
      </c>
      <c r="AJ2187">
        <v>2015</v>
      </c>
      <c r="AK2187" t="s">
        <v>1390</v>
      </c>
      <c r="AM2187" t="s">
        <v>1391</v>
      </c>
      <c r="AN2187" t="s">
        <v>192</v>
      </c>
      <c r="AO2187">
        <v>4</v>
      </c>
      <c r="AP2187" t="s">
        <v>78</v>
      </c>
      <c r="AQ2187" t="s">
        <v>1392</v>
      </c>
      <c r="AR2187" t="s">
        <v>80</v>
      </c>
      <c r="AS2187">
        <v>101</v>
      </c>
      <c r="AT2187" t="s">
        <v>81</v>
      </c>
      <c r="AU2187">
        <v>-29.29</v>
      </c>
      <c r="AV2187">
        <v>-0.39</v>
      </c>
      <c r="AW2187" t="s">
        <v>82</v>
      </c>
      <c r="AX2187">
        <v>101</v>
      </c>
      <c r="AY2187" t="s">
        <v>81</v>
      </c>
      <c r="AZ2187">
        <v>-28.82</v>
      </c>
      <c r="BA2187">
        <v>0.54</v>
      </c>
      <c r="BB2187" t="s">
        <v>83</v>
      </c>
    </row>
    <row r="2188" spans="1:54" x14ac:dyDescent="0.4">
      <c r="A2188">
        <v>629473</v>
      </c>
      <c r="D2188" t="s">
        <v>54</v>
      </c>
      <c r="E2188" t="s">
        <v>154</v>
      </c>
      <c r="F2188" t="s">
        <v>1386</v>
      </c>
      <c r="G2188">
        <v>1</v>
      </c>
      <c r="H2188" t="s">
        <v>56</v>
      </c>
      <c r="I2188" t="s">
        <v>57</v>
      </c>
      <c r="K2188" t="s">
        <v>275</v>
      </c>
      <c r="L2188" t="s">
        <v>1387</v>
      </c>
      <c r="M2188" t="s">
        <v>60</v>
      </c>
      <c r="N2188" t="s">
        <v>119</v>
      </c>
      <c r="O2188" t="s">
        <v>134</v>
      </c>
      <c r="P2188" t="s">
        <v>121</v>
      </c>
      <c r="R2188" t="s">
        <v>122</v>
      </c>
      <c r="S2188" t="s">
        <v>123</v>
      </c>
      <c r="T2188">
        <v>290.10000000000002</v>
      </c>
      <c r="U2188">
        <v>283.5</v>
      </c>
      <c r="V2188">
        <f t="shared" si="68"/>
        <v>286.8</v>
      </c>
      <c r="W2188">
        <f t="shared" si="69"/>
        <v>6.6000000000000227</v>
      </c>
      <c r="X2188">
        <v>-98.405997999999997</v>
      </c>
      <c r="Y2188">
        <v>34.775500999999998</v>
      </c>
      <c r="Z2188" t="s">
        <v>90</v>
      </c>
      <c r="AA2188" t="s">
        <v>66</v>
      </c>
      <c r="AB2188" t="s">
        <v>407</v>
      </c>
      <c r="AC2188" t="s">
        <v>1388</v>
      </c>
      <c r="AH2188" t="s">
        <v>72</v>
      </c>
      <c r="AI2188" t="s">
        <v>1389</v>
      </c>
      <c r="AJ2188">
        <v>2015</v>
      </c>
      <c r="AK2188" t="s">
        <v>1390</v>
      </c>
      <c r="AM2188" t="s">
        <v>1391</v>
      </c>
      <c r="AN2188" t="s">
        <v>192</v>
      </c>
      <c r="AO2188">
        <v>4</v>
      </c>
      <c r="AP2188" t="s">
        <v>78</v>
      </c>
      <c r="AQ2188" t="s">
        <v>1392</v>
      </c>
      <c r="AR2188" t="s">
        <v>80</v>
      </c>
      <c r="AS2188">
        <v>101</v>
      </c>
      <c r="AT2188" t="s">
        <v>81</v>
      </c>
      <c r="AU2188">
        <v>-29.29</v>
      </c>
      <c r="AV2188">
        <v>-0.39</v>
      </c>
      <c r="AW2188" t="s">
        <v>82</v>
      </c>
      <c r="AX2188">
        <v>101</v>
      </c>
      <c r="AY2188" t="s">
        <v>81</v>
      </c>
      <c r="AZ2188">
        <v>-28.82</v>
      </c>
      <c r="BA2188">
        <v>0.54</v>
      </c>
      <c r="BB2188" t="s">
        <v>83</v>
      </c>
    </row>
    <row r="2189" spans="1:54" x14ac:dyDescent="0.4">
      <c r="A2189">
        <v>629473</v>
      </c>
      <c r="D2189" t="s">
        <v>54</v>
      </c>
      <c r="E2189" t="s">
        <v>154</v>
      </c>
      <c r="F2189" t="s">
        <v>1386</v>
      </c>
      <c r="G2189">
        <v>1</v>
      </c>
      <c r="H2189" t="s">
        <v>56</v>
      </c>
      <c r="I2189" t="s">
        <v>57</v>
      </c>
      <c r="K2189" t="s">
        <v>275</v>
      </c>
      <c r="L2189" t="s">
        <v>1387</v>
      </c>
      <c r="M2189" t="s">
        <v>60</v>
      </c>
      <c r="N2189" t="s">
        <v>119</v>
      </c>
      <c r="O2189" t="s">
        <v>134</v>
      </c>
      <c r="P2189" t="s">
        <v>121</v>
      </c>
      <c r="R2189" t="s">
        <v>122</v>
      </c>
      <c r="S2189" t="s">
        <v>123</v>
      </c>
      <c r="T2189">
        <v>290.10000000000002</v>
      </c>
      <c r="U2189">
        <v>283.5</v>
      </c>
      <c r="V2189">
        <f t="shared" si="68"/>
        <v>286.8</v>
      </c>
      <c r="W2189">
        <f t="shared" si="69"/>
        <v>6.6000000000000227</v>
      </c>
      <c r="X2189">
        <v>-98.405997999999997</v>
      </c>
      <c r="Y2189">
        <v>34.775500999999998</v>
      </c>
      <c r="Z2189" t="s">
        <v>90</v>
      </c>
      <c r="AA2189" t="s">
        <v>66</v>
      </c>
      <c r="AB2189" t="s">
        <v>407</v>
      </c>
      <c r="AC2189" t="s">
        <v>1388</v>
      </c>
      <c r="AH2189" t="s">
        <v>72</v>
      </c>
      <c r="AI2189" t="s">
        <v>1389</v>
      </c>
      <c r="AJ2189">
        <v>2015</v>
      </c>
      <c r="AK2189" t="s">
        <v>1390</v>
      </c>
      <c r="AM2189" t="s">
        <v>1391</v>
      </c>
      <c r="AN2189" t="s">
        <v>192</v>
      </c>
      <c r="AO2189">
        <v>4</v>
      </c>
      <c r="AP2189" t="s">
        <v>78</v>
      </c>
      <c r="AQ2189" t="s">
        <v>1392</v>
      </c>
      <c r="AR2189" t="s">
        <v>80</v>
      </c>
      <c r="AS2189">
        <v>101</v>
      </c>
      <c r="AT2189" t="s">
        <v>81</v>
      </c>
      <c r="AU2189">
        <v>-29.29</v>
      </c>
      <c r="AV2189">
        <v>-0.39</v>
      </c>
      <c r="AW2189" t="s">
        <v>82</v>
      </c>
      <c r="AX2189">
        <v>101</v>
      </c>
      <c r="AY2189" t="s">
        <v>81</v>
      </c>
      <c r="AZ2189">
        <v>-28.82</v>
      </c>
      <c r="BA2189">
        <v>0.54</v>
      </c>
      <c r="BB2189" t="s">
        <v>83</v>
      </c>
    </row>
    <row r="2190" spans="1:54" x14ac:dyDescent="0.4">
      <c r="A2190">
        <v>629473</v>
      </c>
      <c r="D2190" t="s">
        <v>54</v>
      </c>
      <c r="E2190" t="s">
        <v>154</v>
      </c>
      <c r="F2190" t="s">
        <v>1386</v>
      </c>
      <c r="G2190">
        <v>1</v>
      </c>
      <c r="H2190" t="s">
        <v>56</v>
      </c>
      <c r="I2190" t="s">
        <v>57</v>
      </c>
      <c r="K2190" t="s">
        <v>275</v>
      </c>
      <c r="L2190" t="s">
        <v>1387</v>
      </c>
      <c r="M2190" t="s">
        <v>60</v>
      </c>
      <c r="N2190" t="s">
        <v>119</v>
      </c>
      <c r="O2190" t="s">
        <v>134</v>
      </c>
      <c r="P2190" t="s">
        <v>121</v>
      </c>
      <c r="R2190" t="s">
        <v>122</v>
      </c>
      <c r="S2190" t="s">
        <v>123</v>
      </c>
      <c r="T2190">
        <v>290.10000000000002</v>
      </c>
      <c r="U2190">
        <v>283.5</v>
      </c>
      <c r="V2190">
        <f t="shared" si="68"/>
        <v>286.8</v>
      </c>
      <c r="W2190">
        <f t="shared" si="69"/>
        <v>6.6000000000000227</v>
      </c>
      <c r="X2190">
        <v>-98.405997999999997</v>
      </c>
      <c r="Y2190">
        <v>34.775500999999998</v>
      </c>
      <c r="Z2190" t="s">
        <v>90</v>
      </c>
      <c r="AA2190" t="s">
        <v>66</v>
      </c>
      <c r="AB2190" t="s">
        <v>407</v>
      </c>
      <c r="AC2190" t="s">
        <v>1388</v>
      </c>
      <c r="AH2190" t="s">
        <v>72</v>
      </c>
      <c r="AI2190" t="s">
        <v>1389</v>
      </c>
      <c r="AJ2190">
        <v>2015</v>
      </c>
      <c r="AK2190" t="s">
        <v>1390</v>
      </c>
      <c r="AM2190" t="s">
        <v>1391</v>
      </c>
      <c r="AN2190" t="s">
        <v>192</v>
      </c>
      <c r="AO2190">
        <v>4</v>
      </c>
      <c r="AP2190" t="s">
        <v>78</v>
      </c>
      <c r="AQ2190" t="s">
        <v>1392</v>
      </c>
      <c r="AR2190" t="s">
        <v>80</v>
      </c>
      <c r="AS2190">
        <v>101</v>
      </c>
      <c r="AT2190" t="s">
        <v>81</v>
      </c>
      <c r="AU2190">
        <v>-29.29</v>
      </c>
      <c r="AV2190">
        <v>-0.39</v>
      </c>
      <c r="AW2190" t="s">
        <v>82</v>
      </c>
      <c r="AX2190">
        <v>101</v>
      </c>
      <c r="AY2190" t="s">
        <v>81</v>
      </c>
      <c r="AZ2190">
        <v>-28.82</v>
      </c>
      <c r="BA2190">
        <v>0.54</v>
      </c>
      <c r="BB2190" t="s">
        <v>83</v>
      </c>
    </row>
    <row r="2191" spans="1:54" x14ac:dyDescent="0.4">
      <c r="A2191">
        <v>629473</v>
      </c>
      <c r="D2191" t="s">
        <v>54</v>
      </c>
      <c r="E2191" t="s">
        <v>154</v>
      </c>
      <c r="F2191" t="s">
        <v>1386</v>
      </c>
      <c r="G2191">
        <v>1</v>
      </c>
      <c r="H2191" t="s">
        <v>56</v>
      </c>
      <c r="I2191" t="s">
        <v>57</v>
      </c>
      <c r="K2191" t="s">
        <v>275</v>
      </c>
      <c r="L2191" t="s">
        <v>1387</v>
      </c>
      <c r="M2191" t="s">
        <v>60</v>
      </c>
      <c r="N2191" t="s">
        <v>119</v>
      </c>
      <c r="O2191" t="s">
        <v>134</v>
      </c>
      <c r="P2191" t="s">
        <v>121</v>
      </c>
      <c r="R2191" t="s">
        <v>122</v>
      </c>
      <c r="S2191" t="s">
        <v>123</v>
      </c>
      <c r="T2191">
        <v>290.10000000000002</v>
      </c>
      <c r="U2191">
        <v>283.5</v>
      </c>
      <c r="V2191">
        <f t="shared" si="68"/>
        <v>286.8</v>
      </c>
      <c r="W2191">
        <f t="shared" si="69"/>
        <v>6.6000000000000227</v>
      </c>
      <c r="X2191">
        <v>-98.405997999999997</v>
      </c>
      <c r="Y2191">
        <v>34.775500999999998</v>
      </c>
      <c r="Z2191" t="s">
        <v>90</v>
      </c>
      <c r="AA2191" t="s">
        <v>66</v>
      </c>
      <c r="AB2191" t="s">
        <v>407</v>
      </c>
      <c r="AC2191" t="s">
        <v>1388</v>
      </c>
      <c r="AH2191" t="s">
        <v>72</v>
      </c>
      <c r="AI2191" t="s">
        <v>1389</v>
      </c>
      <c r="AJ2191">
        <v>2015</v>
      </c>
      <c r="AK2191" t="s">
        <v>1390</v>
      </c>
      <c r="AM2191" t="s">
        <v>1391</v>
      </c>
      <c r="AN2191" t="s">
        <v>192</v>
      </c>
      <c r="AO2191">
        <v>4</v>
      </c>
      <c r="AP2191" t="s">
        <v>78</v>
      </c>
      <c r="AQ2191" t="s">
        <v>1392</v>
      </c>
      <c r="AR2191" t="s">
        <v>80</v>
      </c>
      <c r="AS2191">
        <v>101</v>
      </c>
      <c r="AT2191" t="s">
        <v>81</v>
      </c>
      <c r="AU2191">
        <v>-29.29</v>
      </c>
      <c r="AV2191">
        <v>-0.39</v>
      </c>
      <c r="AW2191" t="s">
        <v>82</v>
      </c>
      <c r="AX2191">
        <v>101</v>
      </c>
      <c r="AY2191" t="s">
        <v>81</v>
      </c>
      <c r="AZ2191">
        <v>-28.82</v>
      </c>
      <c r="BA2191">
        <v>0.54</v>
      </c>
      <c r="BB2191" t="s">
        <v>83</v>
      </c>
    </row>
    <row r="2192" spans="1:54" x14ac:dyDescent="0.4">
      <c r="A2192">
        <v>629473</v>
      </c>
      <c r="D2192" t="s">
        <v>54</v>
      </c>
      <c r="E2192" t="s">
        <v>154</v>
      </c>
      <c r="F2192" t="s">
        <v>1386</v>
      </c>
      <c r="G2192">
        <v>1</v>
      </c>
      <c r="H2192" t="s">
        <v>56</v>
      </c>
      <c r="I2192" t="s">
        <v>57</v>
      </c>
      <c r="K2192" t="s">
        <v>275</v>
      </c>
      <c r="L2192" t="s">
        <v>1387</v>
      </c>
      <c r="M2192" t="s">
        <v>60</v>
      </c>
      <c r="N2192" t="s">
        <v>119</v>
      </c>
      <c r="O2192" t="s">
        <v>134</v>
      </c>
      <c r="P2192" t="s">
        <v>121</v>
      </c>
      <c r="R2192" t="s">
        <v>122</v>
      </c>
      <c r="S2192" t="s">
        <v>123</v>
      </c>
      <c r="T2192">
        <v>290.10000000000002</v>
      </c>
      <c r="U2192">
        <v>283.5</v>
      </c>
      <c r="V2192">
        <f t="shared" si="68"/>
        <v>286.8</v>
      </c>
      <c r="W2192">
        <f t="shared" si="69"/>
        <v>6.6000000000000227</v>
      </c>
      <c r="X2192">
        <v>-98.405997999999997</v>
      </c>
      <c r="Y2192">
        <v>34.775500999999998</v>
      </c>
      <c r="Z2192" t="s">
        <v>90</v>
      </c>
      <c r="AA2192" t="s">
        <v>66</v>
      </c>
      <c r="AB2192" t="s">
        <v>407</v>
      </c>
      <c r="AC2192" t="s">
        <v>1388</v>
      </c>
      <c r="AH2192" t="s">
        <v>72</v>
      </c>
      <c r="AI2192" t="s">
        <v>1389</v>
      </c>
      <c r="AJ2192">
        <v>2015</v>
      </c>
      <c r="AK2192" t="s">
        <v>1390</v>
      </c>
      <c r="AM2192" t="s">
        <v>1391</v>
      </c>
      <c r="AN2192" t="s">
        <v>192</v>
      </c>
      <c r="AO2192">
        <v>4</v>
      </c>
      <c r="AP2192" t="s">
        <v>78</v>
      </c>
      <c r="AQ2192" t="s">
        <v>1392</v>
      </c>
      <c r="AR2192" t="s">
        <v>80</v>
      </c>
      <c r="AS2192">
        <v>101</v>
      </c>
      <c r="AT2192" t="s">
        <v>81</v>
      </c>
      <c r="AU2192">
        <v>-29.29</v>
      </c>
      <c r="AV2192">
        <v>-0.39</v>
      </c>
      <c r="AW2192" t="s">
        <v>82</v>
      </c>
      <c r="AX2192">
        <v>101</v>
      </c>
      <c r="AY2192" t="s">
        <v>81</v>
      </c>
      <c r="AZ2192">
        <v>-28.82</v>
      </c>
      <c r="BA2192">
        <v>0.54</v>
      </c>
      <c r="BB2192" t="s">
        <v>83</v>
      </c>
    </row>
    <row r="2193" spans="1:54" x14ac:dyDescent="0.4">
      <c r="A2193">
        <v>629473</v>
      </c>
      <c r="D2193" t="s">
        <v>54</v>
      </c>
      <c r="E2193" t="s">
        <v>154</v>
      </c>
      <c r="F2193" t="s">
        <v>1386</v>
      </c>
      <c r="G2193">
        <v>1</v>
      </c>
      <c r="H2193" t="s">
        <v>56</v>
      </c>
      <c r="I2193" t="s">
        <v>57</v>
      </c>
      <c r="K2193" t="s">
        <v>275</v>
      </c>
      <c r="L2193" t="s">
        <v>1387</v>
      </c>
      <c r="M2193" t="s">
        <v>60</v>
      </c>
      <c r="N2193" t="s">
        <v>119</v>
      </c>
      <c r="O2193" t="s">
        <v>134</v>
      </c>
      <c r="P2193" t="s">
        <v>121</v>
      </c>
      <c r="R2193" t="s">
        <v>122</v>
      </c>
      <c r="S2193" t="s">
        <v>123</v>
      </c>
      <c r="T2193">
        <v>290.10000000000002</v>
      </c>
      <c r="U2193">
        <v>283.5</v>
      </c>
      <c r="V2193">
        <f t="shared" si="68"/>
        <v>286.8</v>
      </c>
      <c r="W2193">
        <f t="shared" si="69"/>
        <v>6.6000000000000227</v>
      </c>
      <c r="X2193">
        <v>-98.405997999999997</v>
      </c>
      <c r="Y2193">
        <v>34.775500999999998</v>
      </c>
      <c r="Z2193" t="s">
        <v>90</v>
      </c>
      <c r="AA2193" t="s">
        <v>66</v>
      </c>
      <c r="AB2193" t="s">
        <v>407</v>
      </c>
      <c r="AC2193" t="s">
        <v>1388</v>
      </c>
      <c r="AH2193" t="s">
        <v>72</v>
      </c>
      <c r="AI2193" t="s">
        <v>1389</v>
      </c>
      <c r="AJ2193">
        <v>2015</v>
      </c>
      <c r="AK2193" t="s">
        <v>1390</v>
      </c>
      <c r="AM2193" t="s">
        <v>1391</v>
      </c>
      <c r="AN2193" t="s">
        <v>192</v>
      </c>
      <c r="AO2193">
        <v>4</v>
      </c>
      <c r="AP2193" t="s">
        <v>78</v>
      </c>
      <c r="AQ2193" t="s">
        <v>1392</v>
      </c>
      <c r="AR2193" t="s">
        <v>80</v>
      </c>
      <c r="AS2193">
        <v>101</v>
      </c>
      <c r="AT2193" t="s">
        <v>81</v>
      </c>
      <c r="AU2193">
        <v>-29.29</v>
      </c>
      <c r="AV2193">
        <v>-0.39</v>
      </c>
      <c r="AW2193" t="s">
        <v>82</v>
      </c>
      <c r="AX2193">
        <v>101</v>
      </c>
      <c r="AY2193" t="s">
        <v>81</v>
      </c>
      <c r="AZ2193">
        <v>-28.82</v>
      </c>
      <c r="BA2193">
        <v>0.54</v>
      </c>
      <c r="BB2193" t="s">
        <v>83</v>
      </c>
    </row>
    <row r="2194" spans="1:54" x14ac:dyDescent="0.4">
      <c r="A2194">
        <v>629473</v>
      </c>
      <c r="D2194" t="s">
        <v>54</v>
      </c>
      <c r="E2194" t="s">
        <v>154</v>
      </c>
      <c r="F2194" t="s">
        <v>1386</v>
      </c>
      <c r="G2194">
        <v>1</v>
      </c>
      <c r="H2194" t="s">
        <v>56</v>
      </c>
      <c r="I2194" t="s">
        <v>57</v>
      </c>
      <c r="K2194" t="s">
        <v>275</v>
      </c>
      <c r="L2194" t="s">
        <v>1387</v>
      </c>
      <c r="M2194" t="s">
        <v>60</v>
      </c>
      <c r="N2194" t="s">
        <v>119</v>
      </c>
      <c r="O2194" t="s">
        <v>134</v>
      </c>
      <c r="P2194" t="s">
        <v>121</v>
      </c>
      <c r="R2194" t="s">
        <v>122</v>
      </c>
      <c r="S2194" t="s">
        <v>123</v>
      </c>
      <c r="T2194">
        <v>290.10000000000002</v>
      </c>
      <c r="U2194">
        <v>283.5</v>
      </c>
      <c r="V2194">
        <f t="shared" si="68"/>
        <v>286.8</v>
      </c>
      <c r="W2194">
        <f t="shared" si="69"/>
        <v>6.6000000000000227</v>
      </c>
      <c r="X2194">
        <v>-98.405997999999997</v>
      </c>
      <c r="Y2194">
        <v>34.775500999999998</v>
      </c>
      <c r="Z2194" t="s">
        <v>90</v>
      </c>
      <c r="AA2194" t="s">
        <v>66</v>
      </c>
      <c r="AB2194" t="s">
        <v>407</v>
      </c>
      <c r="AC2194" t="s">
        <v>1388</v>
      </c>
      <c r="AH2194" t="s">
        <v>72</v>
      </c>
      <c r="AI2194" t="s">
        <v>1389</v>
      </c>
      <c r="AJ2194">
        <v>2015</v>
      </c>
      <c r="AK2194" t="s">
        <v>1390</v>
      </c>
      <c r="AM2194" t="s">
        <v>1391</v>
      </c>
      <c r="AN2194" t="s">
        <v>192</v>
      </c>
      <c r="AO2194">
        <v>4</v>
      </c>
      <c r="AP2194" t="s">
        <v>78</v>
      </c>
      <c r="AQ2194" t="s">
        <v>1392</v>
      </c>
      <c r="AR2194" t="s">
        <v>80</v>
      </c>
      <c r="AS2194">
        <v>101</v>
      </c>
      <c r="AT2194" t="s">
        <v>81</v>
      </c>
      <c r="AU2194">
        <v>-29.29</v>
      </c>
      <c r="AV2194">
        <v>-0.39</v>
      </c>
      <c r="AW2194" t="s">
        <v>82</v>
      </c>
      <c r="AX2194">
        <v>101</v>
      </c>
      <c r="AY2194" t="s">
        <v>81</v>
      </c>
      <c r="AZ2194">
        <v>-28.82</v>
      </c>
      <c r="BA2194">
        <v>0.54</v>
      </c>
      <c r="BB2194" t="s">
        <v>83</v>
      </c>
    </row>
    <row r="2195" spans="1:54" x14ac:dyDescent="0.4">
      <c r="A2195">
        <v>629473</v>
      </c>
      <c r="D2195" t="s">
        <v>54</v>
      </c>
      <c r="E2195" t="s">
        <v>154</v>
      </c>
      <c r="F2195" t="s">
        <v>1386</v>
      </c>
      <c r="G2195">
        <v>1</v>
      </c>
      <c r="H2195" t="s">
        <v>56</v>
      </c>
      <c r="I2195" t="s">
        <v>57</v>
      </c>
      <c r="K2195" t="s">
        <v>275</v>
      </c>
      <c r="L2195" t="s">
        <v>1387</v>
      </c>
      <c r="M2195" t="s">
        <v>60</v>
      </c>
      <c r="N2195" t="s">
        <v>119</v>
      </c>
      <c r="O2195" t="s">
        <v>134</v>
      </c>
      <c r="P2195" t="s">
        <v>121</v>
      </c>
      <c r="R2195" t="s">
        <v>122</v>
      </c>
      <c r="S2195" t="s">
        <v>123</v>
      </c>
      <c r="T2195">
        <v>290.10000000000002</v>
      </c>
      <c r="U2195">
        <v>283.5</v>
      </c>
      <c r="V2195">
        <f t="shared" si="68"/>
        <v>286.8</v>
      </c>
      <c r="W2195">
        <f t="shared" si="69"/>
        <v>6.6000000000000227</v>
      </c>
      <c r="X2195">
        <v>-98.405997999999997</v>
      </c>
      <c r="Y2195">
        <v>34.775500999999998</v>
      </c>
      <c r="Z2195" t="s">
        <v>90</v>
      </c>
      <c r="AA2195" t="s">
        <v>66</v>
      </c>
      <c r="AB2195" t="s">
        <v>407</v>
      </c>
      <c r="AC2195" t="s">
        <v>1388</v>
      </c>
      <c r="AH2195" t="s">
        <v>72</v>
      </c>
      <c r="AI2195" t="s">
        <v>1389</v>
      </c>
      <c r="AJ2195">
        <v>2015</v>
      </c>
      <c r="AK2195" t="s">
        <v>1390</v>
      </c>
      <c r="AM2195" t="s">
        <v>1391</v>
      </c>
      <c r="AN2195" t="s">
        <v>192</v>
      </c>
      <c r="AO2195">
        <v>4</v>
      </c>
      <c r="AP2195" t="s">
        <v>78</v>
      </c>
      <c r="AQ2195" t="s">
        <v>1392</v>
      </c>
      <c r="AR2195" t="s">
        <v>80</v>
      </c>
      <c r="AS2195">
        <v>101</v>
      </c>
      <c r="AT2195" t="s">
        <v>81</v>
      </c>
      <c r="AU2195">
        <v>-29.29</v>
      </c>
      <c r="AV2195">
        <v>-0.39</v>
      </c>
      <c r="AW2195" t="s">
        <v>82</v>
      </c>
      <c r="AX2195">
        <v>101</v>
      </c>
      <c r="AY2195" t="s">
        <v>81</v>
      </c>
      <c r="AZ2195">
        <v>-28.82</v>
      </c>
      <c r="BA2195">
        <v>0.54</v>
      </c>
      <c r="BB2195" t="s">
        <v>83</v>
      </c>
    </row>
    <row r="2196" spans="1:54" x14ac:dyDescent="0.4">
      <c r="A2196">
        <v>629473</v>
      </c>
      <c r="D2196" t="s">
        <v>54</v>
      </c>
      <c r="E2196" t="s">
        <v>154</v>
      </c>
      <c r="F2196" t="s">
        <v>1386</v>
      </c>
      <c r="G2196">
        <v>1</v>
      </c>
      <c r="H2196" t="s">
        <v>56</v>
      </c>
      <c r="I2196" t="s">
        <v>57</v>
      </c>
      <c r="K2196" t="s">
        <v>275</v>
      </c>
      <c r="L2196" t="s">
        <v>1387</v>
      </c>
      <c r="M2196" t="s">
        <v>60</v>
      </c>
      <c r="N2196" t="s">
        <v>119</v>
      </c>
      <c r="O2196" t="s">
        <v>134</v>
      </c>
      <c r="P2196" t="s">
        <v>121</v>
      </c>
      <c r="R2196" t="s">
        <v>122</v>
      </c>
      <c r="S2196" t="s">
        <v>123</v>
      </c>
      <c r="T2196">
        <v>290.10000000000002</v>
      </c>
      <c r="U2196">
        <v>283.5</v>
      </c>
      <c r="V2196">
        <f t="shared" si="68"/>
        <v>286.8</v>
      </c>
      <c r="W2196">
        <f t="shared" si="69"/>
        <v>6.6000000000000227</v>
      </c>
      <c r="X2196">
        <v>-98.405997999999997</v>
      </c>
      <c r="Y2196">
        <v>34.775500999999998</v>
      </c>
      <c r="Z2196" t="s">
        <v>90</v>
      </c>
      <c r="AA2196" t="s">
        <v>66</v>
      </c>
      <c r="AB2196" t="s">
        <v>407</v>
      </c>
      <c r="AC2196" t="s">
        <v>1388</v>
      </c>
      <c r="AH2196" t="s">
        <v>72</v>
      </c>
      <c r="AI2196" t="s">
        <v>1389</v>
      </c>
      <c r="AJ2196">
        <v>2015</v>
      </c>
      <c r="AK2196" t="s">
        <v>1390</v>
      </c>
      <c r="AM2196" t="s">
        <v>1391</v>
      </c>
      <c r="AN2196" t="s">
        <v>192</v>
      </c>
      <c r="AO2196">
        <v>4</v>
      </c>
      <c r="AP2196" t="s">
        <v>78</v>
      </c>
      <c r="AQ2196" t="s">
        <v>1392</v>
      </c>
      <c r="AR2196" t="s">
        <v>80</v>
      </c>
      <c r="AS2196">
        <v>101</v>
      </c>
      <c r="AT2196" t="s">
        <v>81</v>
      </c>
      <c r="AU2196">
        <v>-29.29</v>
      </c>
      <c r="AV2196">
        <v>-0.39</v>
      </c>
      <c r="AW2196" t="s">
        <v>82</v>
      </c>
      <c r="AX2196">
        <v>101</v>
      </c>
      <c r="AY2196" t="s">
        <v>81</v>
      </c>
      <c r="AZ2196">
        <v>-28.82</v>
      </c>
      <c r="BA2196">
        <v>0.54</v>
      </c>
      <c r="BB2196" t="s">
        <v>83</v>
      </c>
    </row>
    <row r="2197" spans="1:54" x14ac:dyDescent="0.4">
      <c r="A2197">
        <v>629473</v>
      </c>
      <c r="D2197" t="s">
        <v>54</v>
      </c>
      <c r="E2197" t="s">
        <v>154</v>
      </c>
      <c r="F2197" t="s">
        <v>1386</v>
      </c>
      <c r="G2197">
        <v>1</v>
      </c>
      <c r="H2197" t="s">
        <v>56</v>
      </c>
      <c r="I2197" t="s">
        <v>57</v>
      </c>
      <c r="K2197" t="s">
        <v>275</v>
      </c>
      <c r="L2197" t="s">
        <v>1387</v>
      </c>
      <c r="M2197" t="s">
        <v>60</v>
      </c>
      <c r="N2197" t="s">
        <v>119</v>
      </c>
      <c r="O2197" t="s">
        <v>134</v>
      </c>
      <c r="P2197" t="s">
        <v>121</v>
      </c>
      <c r="R2197" t="s">
        <v>122</v>
      </c>
      <c r="S2197" t="s">
        <v>123</v>
      </c>
      <c r="T2197">
        <v>290.10000000000002</v>
      </c>
      <c r="U2197">
        <v>283.5</v>
      </c>
      <c r="V2197">
        <f t="shared" si="68"/>
        <v>286.8</v>
      </c>
      <c r="W2197">
        <f t="shared" si="69"/>
        <v>6.6000000000000227</v>
      </c>
      <c r="X2197">
        <v>-98.405997999999997</v>
      </c>
      <c r="Y2197">
        <v>34.775500999999998</v>
      </c>
      <c r="Z2197" t="s">
        <v>90</v>
      </c>
      <c r="AA2197" t="s">
        <v>66</v>
      </c>
      <c r="AB2197" t="s">
        <v>407</v>
      </c>
      <c r="AC2197" t="s">
        <v>1388</v>
      </c>
      <c r="AH2197" t="s">
        <v>72</v>
      </c>
      <c r="AI2197" t="s">
        <v>1389</v>
      </c>
      <c r="AJ2197">
        <v>2015</v>
      </c>
      <c r="AK2197" t="s">
        <v>1390</v>
      </c>
      <c r="AM2197" t="s">
        <v>1391</v>
      </c>
      <c r="AN2197" t="s">
        <v>192</v>
      </c>
      <c r="AO2197">
        <v>4</v>
      </c>
      <c r="AP2197" t="s">
        <v>78</v>
      </c>
      <c r="AQ2197" t="s">
        <v>1392</v>
      </c>
      <c r="AR2197" t="s">
        <v>80</v>
      </c>
      <c r="AS2197">
        <v>101</v>
      </c>
      <c r="AT2197" t="s">
        <v>81</v>
      </c>
      <c r="AU2197">
        <v>-29.29</v>
      </c>
      <c r="AV2197">
        <v>-0.39</v>
      </c>
      <c r="AW2197" t="s">
        <v>82</v>
      </c>
      <c r="AX2197">
        <v>101</v>
      </c>
      <c r="AY2197" t="s">
        <v>81</v>
      </c>
      <c r="AZ2197">
        <v>-28.82</v>
      </c>
      <c r="BA2197">
        <v>0.54</v>
      </c>
      <c r="BB2197" t="s">
        <v>83</v>
      </c>
    </row>
    <row r="2198" spans="1:54" x14ac:dyDescent="0.4">
      <c r="A2198">
        <v>629473</v>
      </c>
      <c r="D2198" t="s">
        <v>54</v>
      </c>
      <c r="E2198" t="s">
        <v>154</v>
      </c>
      <c r="F2198" t="s">
        <v>1386</v>
      </c>
      <c r="G2198">
        <v>1</v>
      </c>
      <c r="H2198" t="s">
        <v>56</v>
      </c>
      <c r="I2198" t="s">
        <v>57</v>
      </c>
      <c r="K2198" t="s">
        <v>275</v>
      </c>
      <c r="L2198" t="s">
        <v>1387</v>
      </c>
      <c r="M2198" t="s">
        <v>60</v>
      </c>
      <c r="N2198" t="s">
        <v>119</v>
      </c>
      <c r="O2198" t="s">
        <v>134</v>
      </c>
      <c r="P2198" t="s">
        <v>121</v>
      </c>
      <c r="R2198" t="s">
        <v>122</v>
      </c>
      <c r="S2198" t="s">
        <v>123</v>
      </c>
      <c r="T2198">
        <v>290.10000000000002</v>
      </c>
      <c r="U2198">
        <v>283.5</v>
      </c>
      <c r="V2198">
        <f t="shared" si="68"/>
        <v>286.8</v>
      </c>
      <c r="W2198">
        <f t="shared" si="69"/>
        <v>6.6000000000000227</v>
      </c>
      <c r="X2198">
        <v>-98.405997999999997</v>
      </c>
      <c r="Y2198">
        <v>34.775500999999998</v>
      </c>
      <c r="Z2198" t="s">
        <v>90</v>
      </c>
      <c r="AA2198" t="s">
        <v>66</v>
      </c>
      <c r="AB2198" t="s">
        <v>407</v>
      </c>
      <c r="AC2198" t="s">
        <v>1388</v>
      </c>
      <c r="AH2198" t="s">
        <v>72</v>
      </c>
      <c r="AI2198" t="s">
        <v>1389</v>
      </c>
      <c r="AJ2198">
        <v>2015</v>
      </c>
      <c r="AK2198" t="s">
        <v>1390</v>
      </c>
      <c r="AM2198" t="s">
        <v>1391</v>
      </c>
      <c r="AN2198" t="s">
        <v>192</v>
      </c>
      <c r="AO2198">
        <v>4</v>
      </c>
      <c r="AP2198" t="s">
        <v>78</v>
      </c>
      <c r="AQ2198" t="s">
        <v>1392</v>
      </c>
      <c r="AR2198" t="s">
        <v>80</v>
      </c>
      <c r="AS2198">
        <v>101</v>
      </c>
      <c r="AT2198" t="s">
        <v>81</v>
      </c>
      <c r="AU2198">
        <v>-29.29</v>
      </c>
      <c r="AV2198">
        <v>-0.39</v>
      </c>
      <c r="AW2198" t="s">
        <v>82</v>
      </c>
      <c r="AX2198">
        <v>101</v>
      </c>
      <c r="AY2198" t="s">
        <v>81</v>
      </c>
      <c r="AZ2198">
        <v>-28.82</v>
      </c>
      <c r="BA2198">
        <v>0.54</v>
      </c>
      <c r="BB2198" t="s">
        <v>83</v>
      </c>
    </row>
    <row r="2199" spans="1:54" x14ac:dyDescent="0.4">
      <c r="A2199">
        <v>629476</v>
      </c>
      <c r="D2199" t="s">
        <v>54</v>
      </c>
      <c r="E2199" t="s">
        <v>154</v>
      </c>
      <c r="F2199" t="s">
        <v>1386</v>
      </c>
      <c r="G2199">
        <v>1</v>
      </c>
      <c r="H2199" t="s">
        <v>56</v>
      </c>
      <c r="I2199" t="s">
        <v>57</v>
      </c>
      <c r="K2199" t="s">
        <v>1393</v>
      </c>
      <c r="L2199" t="s">
        <v>1394</v>
      </c>
      <c r="M2199" t="s">
        <v>60</v>
      </c>
      <c r="N2199" t="s">
        <v>119</v>
      </c>
      <c r="O2199" t="s">
        <v>120</v>
      </c>
      <c r="P2199" t="s">
        <v>121</v>
      </c>
      <c r="R2199" t="s">
        <v>122</v>
      </c>
      <c r="S2199" t="s">
        <v>123</v>
      </c>
      <c r="T2199">
        <v>290.10000000000002</v>
      </c>
      <c r="U2199">
        <v>283.5</v>
      </c>
      <c r="V2199">
        <f t="shared" si="68"/>
        <v>286.8</v>
      </c>
      <c r="W2199">
        <f t="shared" si="69"/>
        <v>6.6000000000000227</v>
      </c>
      <c r="X2199">
        <v>-98.405997999999997</v>
      </c>
      <c r="Y2199">
        <v>34.775500999999998</v>
      </c>
      <c r="Z2199" t="s">
        <v>90</v>
      </c>
      <c r="AA2199" t="s">
        <v>66</v>
      </c>
      <c r="AB2199" t="s">
        <v>407</v>
      </c>
      <c r="AC2199" t="s">
        <v>1388</v>
      </c>
      <c r="AH2199" t="s">
        <v>72</v>
      </c>
      <c r="AI2199" t="s">
        <v>476</v>
      </c>
      <c r="AJ2199">
        <v>1958</v>
      </c>
      <c r="AK2199" t="s">
        <v>1390</v>
      </c>
      <c r="AM2199" t="s">
        <v>1391</v>
      </c>
      <c r="AN2199" t="s">
        <v>192</v>
      </c>
      <c r="AO2199">
        <v>4</v>
      </c>
      <c r="AP2199" t="s">
        <v>78</v>
      </c>
      <c r="AQ2199" t="s">
        <v>1392</v>
      </c>
      <c r="AR2199" t="s">
        <v>80</v>
      </c>
      <c r="AS2199">
        <v>101</v>
      </c>
      <c r="AT2199" t="s">
        <v>81</v>
      </c>
      <c r="AU2199">
        <v>-29.29</v>
      </c>
      <c r="AV2199">
        <v>-0.39</v>
      </c>
      <c r="AW2199" t="s">
        <v>82</v>
      </c>
      <c r="AX2199">
        <v>101</v>
      </c>
      <c r="AY2199" t="s">
        <v>81</v>
      </c>
      <c r="AZ2199">
        <v>-28.82</v>
      </c>
      <c r="BA2199">
        <v>0.54</v>
      </c>
      <c r="BB2199" t="s">
        <v>83</v>
      </c>
    </row>
    <row r="2200" spans="1:54" x14ac:dyDescent="0.4">
      <c r="A2200">
        <v>629476</v>
      </c>
      <c r="D2200" t="s">
        <v>54</v>
      </c>
      <c r="E2200" t="s">
        <v>154</v>
      </c>
      <c r="F2200" t="s">
        <v>1386</v>
      </c>
      <c r="G2200">
        <v>1</v>
      </c>
      <c r="H2200" t="s">
        <v>56</v>
      </c>
      <c r="I2200" t="s">
        <v>57</v>
      </c>
      <c r="K2200" t="s">
        <v>1393</v>
      </c>
      <c r="L2200" t="s">
        <v>1394</v>
      </c>
      <c r="M2200" t="s">
        <v>60</v>
      </c>
      <c r="N2200" t="s">
        <v>119</v>
      </c>
      <c r="O2200" t="s">
        <v>120</v>
      </c>
      <c r="P2200" t="s">
        <v>121</v>
      </c>
      <c r="R2200" t="s">
        <v>122</v>
      </c>
      <c r="S2200" t="s">
        <v>123</v>
      </c>
      <c r="T2200">
        <v>290.10000000000002</v>
      </c>
      <c r="U2200">
        <v>283.5</v>
      </c>
      <c r="V2200">
        <f t="shared" si="68"/>
        <v>286.8</v>
      </c>
      <c r="W2200">
        <f t="shared" si="69"/>
        <v>6.6000000000000227</v>
      </c>
      <c r="X2200">
        <v>-98.405997999999997</v>
      </c>
      <c r="Y2200">
        <v>34.775500999999998</v>
      </c>
      <c r="Z2200" t="s">
        <v>90</v>
      </c>
      <c r="AA2200" t="s">
        <v>66</v>
      </c>
      <c r="AB2200" t="s">
        <v>407</v>
      </c>
      <c r="AC2200" t="s">
        <v>1388</v>
      </c>
      <c r="AH2200" t="s">
        <v>72</v>
      </c>
      <c r="AI2200" t="s">
        <v>476</v>
      </c>
      <c r="AJ2200">
        <v>1958</v>
      </c>
      <c r="AK2200" t="s">
        <v>1390</v>
      </c>
      <c r="AM2200" t="s">
        <v>1391</v>
      </c>
      <c r="AN2200" t="s">
        <v>192</v>
      </c>
      <c r="AO2200">
        <v>4</v>
      </c>
      <c r="AP2200" t="s">
        <v>78</v>
      </c>
      <c r="AQ2200" t="s">
        <v>1392</v>
      </c>
      <c r="AR2200" t="s">
        <v>80</v>
      </c>
      <c r="AS2200">
        <v>101</v>
      </c>
      <c r="AT2200" t="s">
        <v>81</v>
      </c>
      <c r="AU2200">
        <v>-29.29</v>
      </c>
      <c r="AV2200">
        <v>-0.39</v>
      </c>
      <c r="AW2200" t="s">
        <v>82</v>
      </c>
      <c r="AX2200">
        <v>101</v>
      </c>
      <c r="AY2200" t="s">
        <v>81</v>
      </c>
      <c r="AZ2200">
        <v>-28.82</v>
      </c>
      <c r="BA2200">
        <v>0.54</v>
      </c>
      <c r="BB2200" t="s">
        <v>83</v>
      </c>
    </row>
    <row r="2201" spans="1:54" x14ac:dyDescent="0.4">
      <c r="A2201">
        <v>629476</v>
      </c>
      <c r="D2201" t="s">
        <v>54</v>
      </c>
      <c r="E2201" t="s">
        <v>154</v>
      </c>
      <c r="F2201" t="s">
        <v>1386</v>
      </c>
      <c r="G2201">
        <v>1</v>
      </c>
      <c r="H2201" t="s">
        <v>56</v>
      </c>
      <c r="I2201" t="s">
        <v>57</v>
      </c>
      <c r="K2201" t="s">
        <v>1393</v>
      </c>
      <c r="L2201" t="s">
        <v>1394</v>
      </c>
      <c r="M2201" t="s">
        <v>60</v>
      </c>
      <c r="N2201" t="s">
        <v>119</v>
      </c>
      <c r="O2201" t="s">
        <v>120</v>
      </c>
      <c r="P2201" t="s">
        <v>121</v>
      </c>
      <c r="R2201" t="s">
        <v>122</v>
      </c>
      <c r="S2201" t="s">
        <v>123</v>
      </c>
      <c r="T2201">
        <v>290.10000000000002</v>
      </c>
      <c r="U2201">
        <v>283.5</v>
      </c>
      <c r="V2201">
        <f t="shared" si="68"/>
        <v>286.8</v>
      </c>
      <c r="W2201">
        <f t="shared" si="69"/>
        <v>6.6000000000000227</v>
      </c>
      <c r="X2201">
        <v>-98.405997999999997</v>
      </c>
      <c r="Y2201">
        <v>34.775500999999998</v>
      </c>
      <c r="Z2201" t="s">
        <v>90</v>
      </c>
      <c r="AA2201" t="s">
        <v>66</v>
      </c>
      <c r="AB2201" t="s">
        <v>407</v>
      </c>
      <c r="AC2201" t="s">
        <v>1388</v>
      </c>
      <c r="AH2201" t="s">
        <v>72</v>
      </c>
      <c r="AI2201" t="s">
        <v>476</v>
      </c>
      <c r="AJ2201">
        <v>1958</v>
      </c>
      <c r="AK2201" t="s">
        <v>1390</v>
      </c>
      <c r="AM2201" t="s">
        <v>1391</v>
      </c>
      <c r="AN2201" t="s">
        <v>192</v>
      </c>
      <c r="AO2201">
        <v>4</v>
      </c>
      <c r="AP2201" t="s">
        <v>78</v>
      </c>
      <c r="AQ2201" t="s">
        <v>1392</v>
      </c>
      <c r="AR2201" t="s">
        <v>80</v>
      </c>
      <c r="AS2201">
        <v>101</v>
      </c>
      <c r="AT2201" t="s">
        <v>81</v>
      </c>
      <c r="AU2201">
        <v>-29.29</v>
      </c>
      <c r="AV2201">
        <v>-0.39</v>
      </c>
      <c r="AW2201" t="s">
        <v>82</v>
      </c>
      <c r="AX2201">
        <v>101</v>
      </c>
      <c r="AY2201" t="s">
        <v>81</v>
      </c>
      <c r="AZ2201">
        <v>-28.82</v>
      </c>
      <c r="BA2201">
        <v>0.54</v>
      </c>
      <c r="BB2201" t="s">
        <v>83</v>
      </c>
    </row>
    <row r="2202" spans="1:54" x14ac:dyDescent="0.4">
      <c r="A2202">
        <v>629477</v>
      </c>
      <c r="D2202" t="s">
        <v>54</v>
      </c>
      <c r="E2202" t="s">
        <v>154</v>
      </c>
      <c r="F2202" t="s">
        <v>1386</v>
      </c>
      <c r="G2202">
        <v>1</v>
      </c>
      <c r="H2202" t="s">
        <v>56</v>
      </c>
      <c r="I2202" t="s">
        <v>57</v>
      </c>
      <c r="K2202" t="s">
        <v>275</v>
      </c>
      <c r="L2202" t="s">
        <v>276</v>
      </c>
      <c r="M2202" t="s">
        <v>60</v>
      </c>
      <c r="N2202" t="s">
        <v>119</v>
      </c>
      <c r="O2202" t="s">
        <v>134</v>
      </c>
      <c r="P2202" t="s">
        <v>121</v>
      </c>
      <c r="R2202" t="s">
        <v>122</v>
      </c>
      <c r="S2202" t="s">
        <v>123</v>
      </c>
      <c r="T2202">
        <v>290.10000000000002</v>
      </c>
      <c r="U2202">
        <v>283.5</v>
      </c>
      <c r="V2202">
        <f t="shared" si="68"/>
        <v>286.8</v>
      </c>
      <c r="W2202">
        <f t="shared" si="69"/>
        <v>6.6000000000000227</v>
      </c>
      <c r="X2202">
        <v>-98.405997999999997</v>
      </c>
      <c r="Y2202">
        <v>34.775500999999998</v>
      </c>
      <c r="Z2202" t="s">
        <v>90</v>
      </c>
      <c r="AA2202" t="s">
        <v>66</v>
      </c>
      <c r="AB2202" t="s">
        <v>407</v>
      </c>
      <c r="AC2202" t="s">
        <v>1388</v>
      </c>
      <c r="AH2202" t="s">
        <v>72</v>
      </c>
      <c r="AI2202" t="s">
        <v>1395</v>
      </c>
      <c r="AJ2202">
        <v>1999</v>
      </c>
      <c r="AK2202" t="s">
        <v>1390</v>
      </c>
      <c r="AM2202" t="s">
        <v>1391</v>
      </c>
      <c r="AN2202" t="s">
        <v>192</v>
      </c>
      <c r="AO2202">
        <v>4</v>
      </c>
      <c r="AP2202" t="s">
        <v>78</v>
      </c>
      <c r="AQ2202" t="s">
        <v>1392</v>
      </c>
      <c r="AR2202" t="s">
        <v>80</v>
      </c>
      <c r="AS2202">
        <v>101</v>
      </c>
      <c r="AT2202" t="s">
        <v>81</v>
      </c>
      <c r="AU2202">
        <v>-29.29</v>
      </c>
      <c r="AV2202">
        <v>-0.39</v>
      </c>
      <c r="AW2202" t="s">
        <v>82</v>
      </c>
      <c r="AX2202">
        <v>101</v>
      </c>
      <c r="AY2202" t="s">
        <v>81</v>
      </c>
      <c r="AZ2202">
        <v>-28.82</v>
      </c>
      <c r="BA2202">
        <v>0.54</v>
      </c>
      <c r="BB2202" t="s">
        <v>83</v>
      </c>
    </row>
    <row r="2203" spans="1:54" x14ac:dyDescent="0.4">
      <c r="A2203">
        <v>629477</v>
      </c>
      <c r="D2203" t="s">
        <v>54</v>
      </c>
      <c r="E2203" t="s">
        <v>154</v>
      </c>
      <c r="F2203" t="s">
        <v>1386</v>
      </c>
      <c r="G2203">
        <v>1</v>
      </c>
      <c r="H2203" t="s">
        <v>56</v>
      </c>
      <c r="I2203" t="s">
        <v>57</v>
      </c>
      <c r="K2203" t="s">
        <v>275</v>
      </c>
      <c r="L2203" t="s">
        <v>276</v>
      </c>
      <c r="M2203" t="s">
        <v>60</v>
      </c>
      <c r="N2203" t="s">
        <v>119</v>
      </c>
      <c r="O2203" t="s">
        <v>134</v>
      </c>
      <c r="P2203" t="s">
        <v>121</v>
      </c>
      <c r="R2203" t="s">
        <v>122</v>
      </c>
      <c r="S2203" t="s">
        <v>123</v>
      </c>
      <c r="T2203">
        <v>290.10000000000002</v>
      </c>
      <c r="U2203">
        <v>283.5</v>
      </c>
      <c r="V2203">
        <f t="shared" si="68"/>
        <v>286.8</v>
      </c>
      <c r="W2203">
        <f t="shared" si="69"/>
        <v>6.6000000000000227</v>
      </c>
      <c r="X2203">
        <v>-98.405997999999997</v>
      </c>
      <c r="Y2203">
        <v>34.775500999999998</v>
      </c>
      <c r="Z2203" t="s">
        <v>90</v>
      </c>
      <c r="AA2203" t="s">
        <v>66</v>
      </c>
      <c r="AB2203" t="s">
        <v>407</v>
      </c>
      <c r="AC2203" t="s">
        <v>1388</v>
      </c>
      <c r="AH2203" t="s">
        <v>72</v>
      </c>
      <c r="AI2203" t="s">
        <v>1395</v>
      </c>
      <c r="AJ2203">
        <v>1999</v>
      </c>
      <c r="AK2203" t="s">
        <v>1390</v>
      </c>
      <c r="AM2203" t="s">
        <v>1391</v>
      </c>
      <c r="AN2203" t="s">
        <v>192</v>
      </c>
      <c r="AO2203">
        <v>4</v>
      </c>
      <c r="AP2203" t="s">
        <v>78</v>
      </c>
      <c r="AQ2203" t="s">
        <v>1392</v>
      </c>
      <c r="AR2203" t="s">
        <v>80</v>
      </c>
      <c r="AS2203">
        <v>101</v>
      </c>
      <c r="AT2203" t="s">
        <v>81</v>
      </c>
      <c r="AU2203">
        <v>-29.29</v>
      </c>
      <c r="AV2203">
        <v>-0.39</v>
      </c>
      <c r="AW2203" t="s">
        <v>82</v>
      </c>
      <c r="AX2203">
        <v>101</v>
      </c>
      <c r="AY2203" t="s">
        <v>81</v>
      </c>
      <c r="AZ2203">
        <v>-28.82</v>
      </c>
      <c r="BA2203">
        <v>0.54</v>
      </c>
      <c r="BB2203" t="s">
        <v>83</v>
      </c>
    </row>
    <row r="2204" spans="1:54" x14ac:dyDescent="0.4">
      <c r="A2204">
        <v>629477</v>
      </c>
      <c r="D2204" t="s">
        <v>54</v>
      </c>
      <c r="E2204" t="s">
        <v>154</v>
      </c>
      <c r="F2204" t="s">
        <v>1386</v>
      </c>
      <c r="G2204">
        <v>1</v>
      </c>
      <c r="H2204" t="s">
        <v>56</v>
      </c>
      <c r="I2204" t="s">
        <v>57</v>
      </c>
      <c r="K2204" t="s">
        <v>275</v>
      </c>
      <c r="L2204" t="s">
        <v>276</v>
      </c>
      <c r="M2204" t="s">
        <v>60</v>
      </c>
      <c r="N2204" t="s">
        <v>119</v>
      </c>
      <c r="O2204" t="s">
        <v>134</v>
      </c>
      <c r="P2204" t="s">
        <v>121</v>
      </c>
      <c r="R2204" t="s">
        <v>122</v>
      </c>
      <c r="S2204" t="s">
        <v>123</v>
      </c>
      <c r="T2204">
        <v>290.10000000000002</v>
      </c>
      <c r="U2204">
        <v>283.5</v>
      </c>
      <c r="V2204">
        <f t="shared" si="68"/>
        <v>286.8</v>
      </c>
      <c r="W2204">
        <f t="shared" si="69"/>
        <v>6.6000000000000227</v>
      </c>
      <c r="X2204">
        <v>-98.405997999999997</v>
      </c>
      <c r="Y2204">
        <v>34.775500999999998</v>
      </c>
      <c r="Z2204" t="s">
        <v>90</v>
      </c>
      <c r="AA2204" t="s">
        <v>66</v>
      </c>
      <c r="AB2204" t="s">
        <v>407</v>
      </c>
      <c r="AC2204" t="s">
        <v>1388</v>
      </c>
      <c r="AH2204" t="s">
        <v>72</v>
      </c>
      <c r="AI2204" t="s">
        <v>1395</v>
      </c>
      <c r="AJ2204">
        <v>1999</v>
      </c>
      <c r="AK2204" t="s">
        <v>1390</v>
      </c>
      <c r="AM2204" t="s">
        <v>1391</v>
      </c>
      <c r="AN2204" t="s">
        <v>192</v>
      </c>
      <c r="AO2204">
        <v>4</v>
      </c>
      <c r="AP2204" t="s">
        <v>78</v>
      </c>
      <c r="AQ2204" t="s">
        <v>1392</v>
      </c>
      <c r="AR2204" t="s">
        <v>80</v>
      </c>
      <c r="AS2204">
        <v>101</v>
      </c>
      <c r="AT2204" t="s">
        <v>81</v>
      </c>
      <c r="AU2204">
        <v>-29.29</v>
      </c>
      <c r="AV2204">
        <v>-0.39</v>
      </c>
      <c r="AW2204" t="s">
        <v>82</v>
      </c>
      <c r="AX2204">
        <v>101</v>
      </c>
      <c r="AY2204" t="s">
        <v>81</v>
      </c>
      <c r="AZ2204">
        <v>-28.82</v>
      </c>
      <c r="BA2204">
        <v>0.54</v>
      </c>
      <c r="BB2204" t="s">
        <v>83</v>
      </c>
    </row>
    <row r="2205" spans="1:54" x14ac:dyDescent="0.4">
      <c r="A2205">
        <v>629477</v>
      </c>
      <c r="D2205" t="s">
        <v>54</v>
      </c>
      <c r="E2205" t="s">
        <v>154</v>
      </c>
      <c r="F2205" t="s">
        <v>1386</v>
      </c>
      <c r="G2205">
        <v>1</v>
      </c>
      <c r="H2205" t="s">
        <v>56</v>
      </c>
      <c r="I2205" t="s">
        <v>57</v>
      </c>
      <c r="K2205" t="s">
        <v>275</v>
      </c>
      <c r="L2205" t="s">
        <v>276</v>
      </c>
      <c r="M2205" t="s">
        <v>60</v>
      </c>
      <c r="N2205" t="s">
        <v>119</v>
      </c>
      <c r="O2205" t="s">
        <v>134</v>
      </c>
      <c r="P2205" t="s">
        <v>121</v>
      </c>
      <c r="R2205" t="s">
        <v>122</v>
      </c>
      <c r="S2205" t="s">
        <v>123</v>
      </c>
      <c r="T2205">
        <v>290.10000000000002</v>
      </c>
      <c r="U2205">
        <v>283.5</v>
      </c>
      <c r="V2205">
        <f t="shared" si="68"/>
        <v>286.8</v>
      </c>
      <c r="W2205">
        <f t="shared" si="69"/>
        <v>6.6000000000000227</v>
      </c>
      <c r="X2205">
        <v>-98.405997999999997</v>
      </c>
      <c r="Y2205">
        <v>34.775500999999998</v>
      </c>
      <c r="Z2205" t="s">
        <v>90</v>
      </c>
      <c r="AA2205" t="s">
        <v>66</v>
      </c>
      <c r="AB2205" t="s">
        <v>407</v>
      </c>
      <c r="AC2205" t="s">
        <v>1388</v>
      </c>
      <c r="AH2205" t="s">
        <v>72</v>
      </c>
      <c r="AI2205" t="s">
        <v>1395</v>
      </c>
      <c r="AJ2205">
        <v>1999</v>
      </c>
      <c r="AK2205" t="s">
        <v>1390</v>
      </c>
      <c r="AM2205" t="s">
        <v>1391</v>
      </c>
      <c r="AN2205" t="s">
        <v>192</v>
      </c>
      <c r="AO2205">
        <v>4</v>
      </c>
      <c r="AP2205" t="s">
        <v>78</v>
      </c>
      <c r="AQ2205" t="s">
        <v>1392</v>
      </c>
      <c r="AR2205" t="s">
        <v>80</v>
      </c>
      <c r="AS2205">
        <v>101</v>
      </c>
      <c r="AT2205" t="s">
        <v>81</v>
      </c>
      <c r="AU2205">
        <v>-29.29</v>
      </c>
      <c r="AV2205">
        <v>-0.39</v>
      </c>
      <c r="AW2205" t="s">
        <v>82</v>
      </c>
      <c r="AX2205">
        <v>101</v>
      </c>
      <c r="AY2205" t="s">
        <v>81</v>
      </c>
      <c r="AZ2205">
        <v>-28.82</v>
      </c>
      <c r="BA2205">
        <v>0.54</v>
      </c>
      <c r="BB2205" t="s">
        <v>83</v>
      </c>
    </row>
    <row r="2206" spans="1:54" x14ac:dyDescent="0.4">
      <c r="A2206">
        <v>629477</v>
      </c>
      <c r="D2206" t="s">
        <v>54</v>
      </c>
      <c r="E2206" t="s">
        <v>154</v>
      </c>
      <c r="F2206" t="s">
        <v>1386</v>
      </c>
      <c r="G2206">
        <v>1</v>
      </c>
      <c r="H2206" t="s">
        <v>56</v>
      </c>
      <c r="I2206" t="s">
        <v>57</v>
      </c>
      <c r="K2206" t="s">
        <v>275</v>
      </c>
      <c r="L2206" t="s">
        <v>276</v>
      </c>
      <c r="M2206" t="s">
        <v>60</v>
      </c>
      <c r="N2206" t="s">
        <v>119</v>
      </c>
      <c r="O2206" t="s">
        <v>134</v>
      </c>
      <c r="P2206" t="s">
        <v>121</v>
      </c>
      <c r="R2206" t="s">
        <v>122</v>
      </c>
      <c r="S2206" t="s">
        <v>123</v>
      </c>
      <c r="T2206">
        <v>290.10000000000002</v>
      </c>
      <c r="U2206">
        <v>283.5</v>
      </c>
      <c r="V2206">
        <f t="shared" si="68"/>
        <v>286.8</v>
      </c>
      <c r="W2206">
        <f t="shared" si="69"/>
        <v>6.6000000000000227</v>
      </c>
      <c r="X2206">
        <v>-98.405997999999997</v>
      </c>
      <c r="Y2206">
        <v>34.775500999999998</v>
      </c>
      <c r="Z2206" t="s">
        <v>90</v>
      </c>
      <c r="AA2206" t="s">
        <v>66</v>
      </c>
      <c r="AB2206" t="s">
        <v>407</v>
      </c>
      <c r="AC2206" t="s">
        <v>1388</v>
      </c>
      <c r="AH2206" t="s">
        <v>72</v>
      </c>
      <c r="AI2206" t="s">
        <v>1395</v>
      </c>
      <c r="AJ2206">
        <v>1999</v>
      </c>
      <c r="AK2206" t="s">
        <v>1390</v>
      </c>
      <c r="AM2206" t="s">
        <v>1391</v>
      </c>
      <c r="AN2206" t="s">
        <v>192</v>
      </c>
      <c r="AO2206">
        <v>4</v>
      </c>
      <c r="AP2206" t="s">
        <v>78</v>
      </c>
      <c r="AQ2206" t="s">
        <v>1392</v>
      </c>
      <c r="AR2206" t="s">
        <v>80</v>
      </c>
      <c r="AS2206">
        <v>101</v>
      </c>
      <c r="AT2206" t="s">
        <v>81</v>
      </c>
      <c r="AU2206">
        <v>-29.29</v>
      </c>
      <c r="AV2206">
        <v>-0.39</v>
      </c>
      <c r="AW2206" t="s">
        <v>82</v>
      </c>
      <c r="AX2206">
        <v>101</v>
      </c>
      <c r="AY2206" t="s">
        <v>81</v>
      </c>
      <c r="AZ2206">
        <v>-28.82</v>
      </c>
      <c r="BA2206">
        <v>0.54</v>
      </c>
      <c r="BB2206" t="s">
        <v>83</v>
      </c>
    </row>
    <row r="2207" spans="1:54" x14ac:dyDescent="0.4">
      <c r="A2207">
        <v>629477</v>
      </c>
      <c r="D2207" t="s">
        <v>54</v>
      </c>
      <c r="E2207" t="s">
        <v>154</v>
      </c>
      <c r="F2207" t="s">
        <v>1386</v>
      </c>
      <c r="G2207">
        <v>1</v>
      </c>
      <c r="H2207" t="s">
        <v>56</v>
      </c>
      <c r="I2207" t="s">
        <v>57</v>
      </c>
      <c r="K2207" t="s">
        <v>275</v>
      </c>
      <c r="L2207" t="s">
        <v>276</v>
      </c>
      <c r="M2207" t="s">
        <v>60</v>
      </c>
      <c r="N2207" t="s">
        <v>119</v>
      </c>
      <c r="O2207" t="s">
        <v>134</v>
      </c>
      <c r="P2207" t="s">
        <v>121</v>
      </c>
      <c r="R2207" t="s">
        <v>122</v>
      </c>
      <c r="S2207" t="s">
        <v>123</v>
      </c>
      <c r="T2207">
        <v>290.10000000000002</v>
      </c>
      <c r="U2207">
        <v>283.5</v>
      </c>
      <c r="V2207">
        <f t="shared" si="68"/>
        <v>286.8</v>
      </c>
      <c r="W2207">
        <f t="shared" si="69"/>
        <v>6.6000000000000227</v>
      </c>
      <c r="X2207">
        <v>-98.405997999999997</v>
      </c>
      <c r="Y2207">
        <v>34.775500999999998</v>
      </c>
      <c r="Z2207" t="s">
        <v>90</v>
      </c>
      <c r="AA2207" t="s">
        <v>66</v>
      </c>
      <c r="AB2207" t="s">
        <v>407</v>
      </c>
      <c r="AC2207" t="s">
        <v>1388</v>
      </c>
      <c r="AH2207" t="s">
        <v>72</v>
      </c>
      <c r="AI2207" t="s">
        <v>1395</v>
      </c>
      <c r="AJ2207">
        <v>1999</v>
      </c>
      <c r="AK2207" t="s">
        <v>1390</v>
      </c>
      <c r="AM2207" t="s">
        <v>1391</v>
      </c>
      <c r="AN2207" t="s">
        <v>192</v>
      </c>
      <c r="AO2207">
        <v>4</v>
      </c>
      <c r="AP2207" t="s">
        <v>78</v>
      </c>
      <c r="AQ2207" t="s">
        <v>1392</v>
      </c>
      <c r="AR2207" t="s">
        <v>80</v>
      </c>
      <c r="AS2207">
        <v>101</v>
      </c>
      <c r="AT2207" t="s">
        <v>81</v>
      </c>
      <c r="AU2207">
        <v>-29.29</v>
      </c>
      <c r="AV2207">
        <v>-0.39</v>
      </c>
      <c r="AW2207" t="s">
        <v>82</v>
      </c>
      <c r="AX2207">
        <v>101</v>
      </c>
      <c r="AY2207" t="s">
        <v>81</v>
      </c>
      <c r="AZ2207">
        <v>-28.82</v>
      </c>
      <c r="BA2207">
        <v>0.54</v>
      </c>
      <c r="BB2207" t="s">
        <v>83</v>
      </c>
    </row>
    <row r="2208" spans="1:54" x14ac:dyDescent="0.4">
      <c r="A2208">
        <v>629477</v>
      </c>
      <c r="D2208" t="s">
        <v>54</v>
      </c>
      <c r="E2208" t="s">
        <v>154</v>
      </c>
      <c r="F2208" t="s">
        <v>1386</v>
      </c>
      <c r="G2208">
        <v>1</v>
      </c>
      <c r="H2208" t="s">
        <v>56</v>
      </c>
      <c r="I2208" t="s">
        <v>57</v>
      </c>
      <c r="K2208" t="s">
        <v>275</v>
      </c>
      <c r="L2208" t="s">
        <v>276</v>
      </c>
      <c r="M2208" t="s">
        <v>60</v>
      </c>
      <c r="N2208" t="s">
        <v>119</v>
      </c>
      <c r="O2208" t="s">
        <v>134</v>
      </c>
      <c r="P2208" t="s">
        <v>121</v>
      </c>
      <c r="R2208" t="s">
        <v>122</v>
      </c>
      <c r="S2208" t="s">
        <v>123</v>
      </c>
      <c r="T2208">
        <v>290.10000000000002</v>
      </c>
      <c r="U2208">
        <v>283.5</v>
      </c>
      <c r="V2208">
        <f t="shared" si="68"/>
        <v>286.8</v>
      </c>
      <c r="W2208">
        <f t="shared" si="69"/>
        <v>6.6000000000000227</v>
      </c>
      <c r="X2208">
        <v>-98.405997999999997</v>
      </c>
      <c r="Y2208">
        <v>34.775500999999998</v>
      </c>
      <c r="Z2208" t="s">
        <v>90</v>
      </c>
      <c r="AA2208" t="s">
        <v>66</v>
      </c>
      <c r="AB2208" t="s">
        <v>407</v>
      </c>
      <c r="AC2208" t="s">
        <v>1388</v>
      </c>
      <c r="AH2208" t="s">
        <v>72</v>
      </c>
      <c r="AI2208" t="s">
        <v>1395</v>
      </c>
      <c r="AJ2208">
        <v>1999</v>
      </c>
      <c r="AK2208" t="s">
        <v>1390</v>
      </c>
      <c r="AM2208" t="s">
        <v>1391</v>
      </c>
      <c r="AN2208" t="s">
        <v>192</v>
      </c>
      <c r="AO2208">
        <v>4</v>
      </c>
      <c r="AP2208" t="s">
        <v>78</v>
      </c>
      <c r="AQ2208" t="s">
        <v>1392</v>
      </c>
      <c r="AR2208" t="s">
        <v>80</v>
      </c>
      <c r="AS2208">
        <v>101</v>
      </c>
      <c r="AT2208" t="s">
        <v>81</v>
      </c>
      <c r="AU2208">
        <v>-29.29</v>
      </c>
      <c r="AV2208">
        <v>-0.39</v>
      </c>
      <c r="AW2208" t="s">
        <v>82</v>
      </c>
      <c r="AX2208">
        <v>101</v>
      </c>
      <c r="AY2208" t="s">
        <v>81</v>
      </c>
      <c r="AZ2208">
        <v>-28.82</v>
      </c>
      <c r="BA2208">
        <v>0.54</v>
      </c>
      <c r="BB2208" t="s">
        <v>83</v>
      </c>
    </row>
    <row r="2209" spans="1:54" x14ac:dyDescent="0.4">
      <c r="A2209">
        <v>629477</v>
      </c>
      <c r="D2209" t="s">
        <v>54</v>
      </c>
      <c r="E2209" t="s">
        <v>154</v>
      </c>
      <c r="F2209" t="s">
        <v>1386</v>
      </c>
      <c r="G2209">
        <v>1</v>
      </c>
      <c r="H2209" t="s">
        <v>56</v>
      </c>
      <c r="I2209" t="s">
        <v>57</v>
      </c>
      <c r="K2209" t="s">
        <v>275</v>
      </c>
      <c r="L2209" t="s">
        <v>276</v>
      </c>
      <c r="M2209" t="s">
        <v>60</v>
      </c>
      <c r="N2209" t="s">
        <v>119</v>
      </c>
      <c r="O2209" t="s">
        <v>134</v>
      </c>
      <c r="P2209" t="s">
        <v>121</v>
      </c>
      <c r="R2209" t="s">
        <v>122</v>
      </c>
      <c r="S2209" t="s">
        <v>123</v>
      </c>
      <c r="T2209">
        <v>290.10000000000002</v>
      </c>
      <c r="U2209">
        <v>283.5</v>
      </c>
      <c r="V2209">
        <f t="shared" si="68"/>
        <v>286.8</v>
      </c>
      <c r="W2209">
        <f t="shared" si="69"/>
        <v>6.6000000000000227</v>
      </c>
      <c r="X2209">
        <v>-98.405997999999997</v>
      </c>
      <c r="Y2209">
        <v>34.775500999999998</v>
      </c>
      <c r="Z2209" t="s">
        <v>90</v>
      </c>
      <c r="AA2209" t="s">
        <v>66</v>
      </c>
      <c r="AB2209" t="s">
        <v>407</v>
      </c>
      <c r="AC2209" t="s">
        <v>1388</v>
      </c>
      <c r="AH2209" t="s">
        <v>72</v>
      </c>
      <c r="AI2209" t="s">
        <v>1395</v>
      </c>
      <c r="AJ2209">
        <v>1999</v>
      </c>
      <c r="AK2209" t="s">
        <v>1390</v>
      </c>
      <c r="AM2209" t="s">
        <v>1391</v>
      </c>
      <c r="AN2209" t="s">
        <v>192</v>
      </c>
      <c r="AO2209">
        <v>4</v>
      </c>
      <c r="AP2209" t="s">
        <v>78</v>
      </c>
      <c r="AQ2209" t="s">
        <v>1392</v>
      </c>
      <c r="AR2209" t="s">
        <v>80</v>
      </c>
      <c r="AS2209">
        <v>101</v>
      </c>
      <c r="AT2209" t="s">
        <v>81</v>
      </c>
      <c r="AU2209">
        <v>-29.29</v>
      </c>
      <c r="AV2209">
        <v>-0.39</v>
      </c>
      <c r="AW2209" t="s">
        <v>82</v>
      </c>
      <c r="AX2209">
        <v>101</v>
      </c>
      <c r="AY2209" t="s">
        <v>81</v>
      </c>
      <c r="AZ2209">
        <v>-28.82</v>
      </c>
      <c r="BA2209">
        <v>0.54</v>
      </c>
      <c r="BB2209" t="s">
        <v>83</v>
      </c>
    </row>
    <row r="2210" spans="1:54" x14ac:dyDescent="0.4">
      <c r="A2210">
        <v>629477</v>
      </c>
      <c r="D2210" t="s">
        <v>54</v>
      </c>
      <c r="E2210" t="s">
        <v>154</v>
      </c>
      <c r="F2210" t="s">
        <v>1386</v>
      </c>
      <c r="G2210">
        <v>1</v>
      </c>
      <c r="H2210" t="s">
        <v>56</v>
      </c>
      <c r="I2210" t="s">
        <v>57</v>
      </c>
      <c r="K2210" t="s">
        <v>275</v>
      </c>
      <c r="L2210" t="s">
        <v>276</v>
      </c>
      <c r="M2210" t="s">
        <v>60</v>
      </c>
      <c r="N2210" t="s">
        <v>119</v>
      </c>
      <c r="O2210" t="s">
        <v>134</v>
      </c>
      <c r="P2210" t="s">
        <v>121</v>
      </c>
      <c r="R2210" t="s">
        <v>122</v>
      </c>
      <c r="S2210" t="s">
        <v>123</v>
      </c>
      <c r="T2210">
        <v>290.10000000000002</v>
      </c>
      <c r="U2210">
        <v>283.5</v>
      </c>
      <c r="V2210">
        <f t="shared" si="68"/>
        <v>286.8</v>
      </c>
      <c r="W2210">
        <f t="shared" si="69"/>
        <v>6.6000000000000227</v>
      </c>
      <c r="X2210">
        <v>-98.405997999999997</v>
      </c>
      <c r="Y2210">
        <v>34.775500999999998</v>
      </c>
      <c r="Z2210" t="s">
        <v>90</v>
      </c>
      <c r="AA2210" t="s">
        <v>66</v>
      </c>
      <c r="AB2210" t="s">
        <v>407</v>
      </c>
      <c r="AC2210" t="s">
        <v>1388</v>
      </c>
      <c r="AH2210" t="s">
        <v>72</v>
      </c>
      <c r="AI2210" t="s">
        <v>1395</v>
      </c>
      <c r="AJ2210">
        <v>1999</v>
      </c>
      <c r="AK2210" t="s">
        <v>1390</v>
      </c>
      <c r="AM2210" t="s">
        <v>1391</v>
      </c>
      <c r="AN2210" t="s">
        <v>192</v>
      </c>
      <c r="AO2210">
        <v>4</v>
      </c>
      <c r="AP2210" t="s">
        <v>78</v>
      </c>
      <c r="AQ2210" t="s">
        <v>1392</v>
      </c>
      <c r="AR2210" t="s">
        <v>80</v>
      </c>
      <c r="AS2210">
        <v>101</v>
      </c>
      <c r="AT2210" t="s">
        <v>81</v>
      </c>
      <c r="AU2210">
        <v>-29.29</v>
      </c>
      <c r="AV2210">
        <v>-0.39</v>
      </c>
      <c r="AW2210" t="s">
        <v>82</v>
      </c>
      <c r="AX2210">
        <v>101</v>
      </c>
      <c r="AY2210" t="s">
        <v>81</v>
      </c>
      <c r="AZ2210">
        <v>-28.82</v>
      </c>
      <c r="BA2210">
        <v>0.54</v>
      </c>
      <c r="BB2210" t="s">
        <v>83</v>
      </c>
    </row>
    <row r="2211" spans="1:54" x14ac:dyDescent="0.4">
      <c r="A2211">
        <v>629477</v>
      </c>
      <c r="D2211" t="s">
        <v>54</v>
      </c>
      <c r="E2211" t="s">
        <v>154</v>
      </c>
      <c r="F2211" t="s">
        <v>1386</v>
      </c>
      <c r="G2211">
        <v>1</v>
      </c>
      <c r="H2211" t="s">
        <v>56</v>
      </c>
      <c r="I2211" t="s">
        <v>57</v>
      </c>
      <c r="K2211" t="s">
        <v>275</v>
      </c>
      <c r="L2211" t="s">
        <v>276</v>
      </c>
      <c r="M2211" t="s">
        <v>60</v>
      </c>
      <c r="N2211" t="s">
        <v>119</v>
      </c>
      <c r="O2211" t="s">
        <v>134</v>
      </c>
      <c r="P2211" t="s">
        <v>121</v>
      </c>
      <c r="R2211" t="s">
        <v>122</v>
      </c>
      <c r="S2211" t="s">
        <v>123</v>
      </c>
      <c r="T2211">
        <v>290.10000000000002</v>
      </c>
      <c r="U2211">
        <v>283.5</v>
      </c>
      <c r="V2211">
        <f t="shared" si="68"/>
        <v>286.8</v>
      </c>
      <c r="W2211">
        <f t="shared" si="69"/>
        <v>6.6000000000000227</v>
      </c>
      <c r="X2211">
        <v>-98.405997999999997</v>
      </c>
      <c r="Y2211">
        <v>34.775500999999998</v>
      </c>
      <c r="Z2211" t="s">
        <v>90</v>
      </c>
      <c r="AA2211" t="s">
        <v>66</v>
      </c>
      <c r="AB2211" t="s">
        <v>407</v>
      </c>
      <c r="AC2211" t="s">
        <v>1388</v>
      </c>
      <c r="AH2211" t="s">
        <v>72</v>
      </c>
      <c r="AI2211" t="s">
        <v>1395</v>
      </c>
      <c r="AJ2211">
        <v>1999</v>
      </c>
      <c r="AK2211" t="s">
        <v>1390</v>
      </c>
      <c r="AM2211" t="s">
        <v>1391</v>
      </c>
      <c r="AN2211" t="s">
        <v>192</v>
      </c>
      <c r="AO2211">
        <v>4</v>
      </c>
      <c r="AP2211" t="s">
        <v>78</v>
      </c>
      <c r="AQ2211" t="s">
        <v>1392</v>
      </c>
      <c r="AR2211" t="s">
        <v>80</v>
      </c>
      <c r="AS2211">
        <v>101</v>
      </c>
      <c r="AT2211" t="s">
        <v>81</v>
      </c>
      <c r="AU2211">
        <v>-29.29</v>
      </c>
      <c r="AV2211">
        <v>-0.39</v>
      </c>
      <c r="AW2211" t="s">
        <v>82</v>
      </c>
      <c r="AX2211">
        <v>101</v>
      </c>
      <c r="AY2211" t="s">
        <v>81</v>
      </c>
      <c r="AZ2211">
        <v>-28.82</v>
      </c>
      <c r="BA2211">
        <v>0.54</v>
      </c>
      <c r="BB2211" t="s">
        <v>83</v>
      </c>
    </row>
    <row r="2212" spans="1:54" x14ac:dyDescent="0.4">
      <c r="A2212">
        <v>629477</v>
      </c>
      <c r="D2212" t="s">
        <v>54</v>
      </c>
      <c r="E2212" t="s">
        <v>154</v>
      </c>
      <c r="F2212" t="s">
        <v>1386</v>
      </c>
      <c r="G2212">
        <v>1</v>
      </c>
      <c r="H2212" t="s">
        <v>56</v>
      </c>
      <c r="I2212" t="s">
        <v>57</v>
      </c>
      <c r="K2212" t="s">
        <v>275</v>
      </c>
      <c r="L2212" t="s">
        <v>276</v>
      </c>
      <c r="M2212" t="s">
        <v>60</v>
      </c>
      <c r="N2212" t="s">
        <v>119</v>
      </c>
      <c r="O2212" t="s">
        <v>134</v>
      </c>
      <c r="P2212" t="s">
        <v>121</v>
      </c>
      <c r="R2212" t="s">
        <v>122</v>
      </c>
      <c r="S2212" t="s">
        <v>123</v>
      </c>
      <c r="T2212">
        <v>290.10000000000002</v>
      </c>
      <c r="U2212">
        <v>283.5</v>
      </c>
      <c r="V2212">
        <f t="shared" si="68"/>
        <v>286.8</v>
      </c>
      <c r="W2212">
        <f t="shared" si="69"/>
        <v>6.6000000000000227</v>
      </c>
      <c r="X2212">
        <v>-98.405997999999997</v>
      </c>
      <c r="Y2212">
        <v>34.775500999999998</v>
      </c>
      <c r="Z2212" t="s">
        <v>90</v>
      </c>
      <c r="AA2212" t="s">
        <v>66</v>
      </c>
      <c r="AB2212" t="s">
        <v>407</v>
      </c>
      <c r="AC2212" t="s">
        <v>1388</v>
      </c>
      <c r="AH2212" t="s">
        <v>72</v>
      </c>
      <c r="AI2212" t="s">
        <v>1395</v>
      </c>
      <c r="AJ2212">
        <v>1999</v>
      </c>
      <c r="AK2212" t="s">
        <v>1390</v>
      </c>
      <c r="AM2212" t="s">
        <v>1391</v>
      </c>
      <c r="AN2212" t="s">
        <v>192</v>
      </c>
      <c r="AO2212">
        <v>4</v>
      </c>
      <c r="AP2212" t="s">
        <v>78</v>
      </c>
      <c r="AQ2212" t="s">
        <v>1392</v>
      </c>
      <c r="AR2212" t="s">
        <v>80</v>
      </c>
      <c r="AS2212">
        <v>101</v>
      </c>
      <c r="AT2212" t="s">
        <v>81</v>
      </c>
      <c r="AU2212">
        <v>-29.29</v>
      </c>
      <c r="AV2212">
        <v>-0.39</v>
      </c>
      <c r="AW2212" t="s">
        <v>82</v>
      </c>
      <c r="AX2212">
        <v>101</v>
      </c>
      <c r="AY2212" t="s">
        <v>81</v>
      </c>
      <c r="AZ2212">
        <v>-28.82</v>
      </c>
      <c r="BA2212">
        <v>0.54</v>
      </c>
      <c r="BB2212" t="s">
        <v>83</v>
      </c>
    </row>
    <row r="2213" spans="1:54" x14ac:dyDescent="0.4">
      <c r="A2213">
        <v>629477</v>
      </c>
      <c r="D2213" t="s">
        <v>54</v>
      </c>
      <c r="E2213" t="s">
        <v>154</v>
      </c>
      <c r="F2213" t="s">
        <v>1386</v>
      </c>
      <c r="G2213">
        <v>1</v>
      </c>
      <c r="H2213" t="s">
        <v>56</v>
      </c>
      <c r="I2213" t="s">
        <v>57</v>
      </c>
      <c r="K2213" t="s">
        <v>275</v>
      </c>
      <c r="L2213" t="s">
        <v>276</v>
      </c>
      <c r="M2213" t="s">
        <v>60</v>
      </c>
      <c r="N2213" t="s">
        <v>119</v>
      </c>
      <c r="O2213" t="s">
        <v>134</v>
      </c>
      <c r="P2213" t="s">
        <v>121</v>
      </c>
      <c r="R2213" t="s">
        <v>122</v>
      </c>
      <c r="S2213" t="s">
        <v>123</v>
      </c>
      <c r="T2213">
        <v>290.10000000000002</v>
      </c>
      <c r="U2213">
        <v>283.5</v>
      </c>
      <c r="V2213">
        <f t="shared" si="68"/>
        <v>286.8</v>
      </c>
      <c r="W2213">
        <f t="shared" si="69"/>
        <v>6.6000000000000227</v>
      </c>
      <c r="X2213">
        <v>-98.405997999999997</v>
      </c>
      <c r="Y2213">
        <v>34.775500999999998</v>
      </c>
      <c r="Z2213" t="s">
        <v>90</v>
      </c>
      <c r="AA2213" t="s">
        <v>66</v>
      </c>
      <c r="AB2213" t="s">
        <v>407</v>
      </c>
      <c r="AC2213" t="s">
        <v>1388</v>
      </c>
      <c r="AH2213" t="s">
        <v>72</v>
      </c>
      <c r="AI2213" t="s">
        <v>1395</v>
      </c>
      <c r="AJ2213">
        <v>1999</v>
      </c>
      <c r="AK2213" t="s">
        <v>1390</v>
      </c>
      <c r="AM2213" t="s">
        <v>1391</v>
      </c>
      <c r="AN2213" t="s">
        <v>192</v>
      </c>
      <c r="AO2213">
        <v>4</v>
      </c>
      <c r="AP2213" t="s">
        <v>78</v>
      </c>
      <c r="AQ2213" t="s">
        <v>1392</v>
      </c>
      <c r="AR2213" t="s">
        <v>80</v>
      </c>
      <c r="AS2213">
        <v>101</v>
      </c>
      <c r="AT2213" t="s">
        <v>81</v>
      </c>
      <c r="AU2213">
        <v>-29.29</v>
      </c>
      <c r="AV2213">
        <v>-0.39</v>
      </c>
      <c r="AW2213" t="s">
        <v>82</v>
      </c>
      <c r="AX2213">
        <v>101</v>
      </c>
      <c r="AY2213" t="s">
        <v>81</v>
      </c>
      <c r="AZ2213">
        <v>-28.82</v>
      </c>
      <c r="BA2213">
        <v>0.54</v>
      </c>
      <c r="BB2213" t="s">
        <v>83</v>
      </c>
    </row>
    <row r="2214" spans="1:54" x14ac:dyDescent="0.4">
      <c r="A2214">
        <v>629477</v>
      </c>
      <c r="D2214" t="s">
        <v>54</v>
      </c>
      <c r="E2214" t="s">
        <v>154</v>
      </c>
      <c r="F2214" t="s">
        <v>1386</v>
      </c>
      <c r="G2214">
        <v>1</v>
      </c>
      <c r="H2214" t="s">
        <v>56</v>
      </c>
      <c r="I2214" t="s">
        <v>57</v>
      </c>
      <c r="K2214" t="s">
        <v>275</v>
      </c>
      <c r="L2214" t="s">
        <v>276</v>
      </c>
      <c r="M2214" t="s">
        <v>60</v>
      </c>
      <c r="N2214" t="s">
        <v>119</v>
      </c>
      <c r="O2214" t="s">
        <v>134</v>
      </c>
      <c r="P2214" t="s">
        <v>121</v>
      </c>
      <c r="R2214" t="s">
        <v>122</v>
      </c>
      <c r="S2214" t="s">
        <v>123</v>
      </c>
      <c r="T2214">
        <v>290.10000000000002</v>
      </c>
      <c r="U2214">
        <v>283.5</v>
      </c>
      <c r="V2214">
        <f t="shared" si="68"/>
        <v>286.8</v>
      </c>
      <c r="W2214">
        <f t="shared" si="69"/>
        <v>6.6000000000000227</v>
      </c>
      <c r="X2214">
        <v>-98.405997999999997</v>
      </c>
      <c r="Y2214">
        <v>34.775500999999998</v>
      </c>
      <c r="Z2214" t="s">
        <v>90</v>
      </c>
      <c r="AA2214" t="s">
        <v>66</v>
      </c>
      <c r="AB2214" t="s">
        <v>407</v>
      </c>
      <c r="AC2214" t="s">
        <v>1388</v>
      </c>
      <c r="AH2214" t="s">
        <v>72</v>
      </c>
      <c r="AI2214" t="s">
        <v>1395</v>
      </c>
      <c r="AJ2214">
        <v>1999</v>
      </c>
      <c r="AK2214" t="s">
        <v>1390</v>
      </c>
      <c r="AM2214" t="s">
        <v>1391</v>
      </c>
      <c r="AN2214" t="s">
        <v>192</v>
      </c>
      <c r="AO2214">
        <v>4</v>
      </c>
      <c r="AP2214" t="s">
        <v>78</v>
      </c>
      <c r="AQ2214" t="s">
        <v>1392</v>
      </c>
      <c r="AR2214" t="s">
        <v>80</v>
      </c>
      <c r="AS2214">
        <v>101</v>
      </c>
      <c r="AT2214" t="s">
        <v>81</v>
      </c>
      <c r="AU2214">
        <v>-29.29</v>
      </c>
      <c r="AV2214">
        <v>-0.39</v>
      </c>
      <c r="AW2214" t="s">
        <v>82</v>
      </c>
      <c r="AX2214">
        <v>101</v>
      </c>
      <c r="AY2214" t="s">
        <v>81</v>
      </c>
      <c r="AZ2214">
        <v>-28.82</v>
      </c>
      <c r="BA2214">
        <v>0.54</v>
      </c>
      <c r="BB2214" t="s">
        <v>83</v>
      </c>
    </row>
    <row r="2215" spans="1:54" x14ac:dyDescent="0.4">
      <c r="A2215">
        <v>629477</v>
      </c>
      <c r="D2215" t="s">
        <v>54</v>
      </c>
      <c r="E2215" t="s">
        <v>154</v>
      </c>
      <c r="F2215" t="s">
        <v>1386</v>
      </c>
      <c r="G2215">
        <v>1</v>
      </c>
      <c r="H2215" t="s">
        <v>56</v>
      </c>
      <c r="I2215" t="s">
        <v>57</v>
      </c>
      <c r="K2215" t="s">
        <v>275</v>
      </c>
      <c r="L2215" t="s">
        <v>276</v>
      </c>
      <c r="M2215" t="s">
        <v>60</v>
      </c>
      <c r="N2215" t="s">
        <v>119</v>
      </c>
      <c r="O2215" t="s">
        <v>134</v>
      </c>
      <c r="P2215" t="s">
        <v>121</v>
      </c>
      <c r="R2215" t="s">
        <v>122</v>
      </c>
      <c r="S2215" t="s">
        <v>123</v>
      </c>
      <c r="T2215">
        <v>290.10000000000002</v>
      </c>
      <c r="U2215">
        <v>283.5</v>
      </c>
      <c r="V2215">
        <f t="shared" si="68"/>
        <v>286.8</v>
      </c>
      <c r="W2215">
        <f t="shared" si="69"/>
        <v>6.6000000000000227</v>
      </c>
      <c r="X2215">
        <v>-98.405997999999997</v>
      </c>
      <c r="Y2215">
        <v>34.775500999999998</v>
      </c>
      <c r="Z2215" t="s">
        <v>90</v>
      </c>
      <c r="AA2215" t="s">
        <v>66</v>
      </c>
      <c r="AB2215" t="s">
        <v>407</v>
      </c>
      <c r="AC2215" t="s">
        <v>1388</v>
      </c>
      <c r="AH2215" t="s">
        <v>72</v>
      </c>
      <c r="AI2215" t="s">
        <v>1395</v>
      </c>
      <c r="AJ2215">
        <v>1999</v>
      </c>
      <c r="AK2215" t="s">
        <v>1390</v>
      </c>
      <c r="AM2215" t="s">
        <v>1391</v>
      </c>
      <c r="AN2215" t="s">
        <v>192</v>
      </c>
      <c r="AO2215">
        <v>4</v>
      </c>
      <c r="AP2215" t="s">
        <v>78</v>
      </c>
      <c r="AQ2215" t="s">
        <v>1392</v>
      </c>
      <c r="AR2215" t="s">
        <v>80</v>
      </c>
      <c r="AS2215">
        <v>101</v>
      </c>
      <c r="AT2215" t="s">
        <v>81</v>
      </c>
      <c r="AU2215">
        <v>-29.29</v>
      </c>
      <c r="AV2215">
        <v>-0.39</v>
      </c>
      <c r="AW2215" t="s">
        <v>82</v>
      </c>
      <c r="AX2215">
        <v>101</v>
      </c>
      <c r="AY2215" t="s">
        <v>81</v>
      </c>
      <c r="AZ2215">
        <v>-28.82</v>
      </c>
      <c r="BA2215">
        <v>0.54</v>
      </c>
      <c r="BB2215" t="s">
        <v>83</v>
      </c>
    </row>
    <row r="2216" spans="1:54" x14ac:dyDescent="0.4">
      <c r="A2216">
        <v>629477</v>
      </c>
      <c r="D2216" t="s">
        <v>54</v>
      </c>
      <c r="E2216" t="s">
        <v>154</v>
      </c>
      <c r="F2216" t="s">
        <v>1386</v>
      </c>
      <c r="G2216">
        <v>1</v>
      </c>
      <c r="H2216" t="s">
        <v>56</v>
      </c>
      <c r="I2216" t="s">
        <v>57</v>
      </c>
      <c r="K2216" t="s">
        <v>275</v>
      </c>
      <c r="L2216" t="s">
        <v>276</v>
      </c>
      <c r="M2216" t="s">
        <v>60</v>
      </c>
      <c r="N2216" t="s">
        <v>119</v>
      </c>
      <c r="O2216" t="s">
        <v>134</v>
      </c>
      <c r="P2216" t="s">
        <v>121</v>
      </c>
      <c r="R2216" t="s">
        <v>122</v>
      </c>
      <c r="S2216" t="s">
        <v>123</v>
      </c>
      <c r="T2216">
        <v>290.10000000000002</v>
      </c>
      <c r="U2216">
        <v>283.5</v>
      </c>
      <c r="V2216">
        <f t="shared" si="68"/>
        <v>286.8</v>
      </c>
      <c r="W2216">
        <f t="shared" si="69"/>
        <v>6.6000000000000227</v>
      </c>
      <c r="X2216">
        <v>-98.405997999999997</v>
      </c>
      <c r="Y2216">
        <v>34.775500999999998</v>
      </c>
      <c r="Z2216" t="s">
        <v>90</v>
      </c>
      <c r="AA2216" t="s">
        <v>66</v>
      </c>
      <c r="AB2216" t="s">
        <v>407</v>
      </c>
      <c r="AC2216" t="s">
        <v>1388</v>
      </c>
      <c r="AH2216" t="s">
        <v>72</v>
      </c>
      <c r="AI2216" t="s">
        <v>1395</v>
      </c>
      <c r="AJ2216">
        <v>1999</v>
      </c>
      <c r="AK2216" t="s">
        <v>1390</v>
      </c>
      <c r="AM2216" t="s">
        <v>1391</v>
      </c>
      <c r="AN2216" t="s">
        <v>192</v>
      </c>
      <c r="AO2216">
        <v>4</v>
      </c>
      <c r="AP2216" t="s">
        <v>78</v>
      </c>
      <c r="AQ2216" t="s">
        <v>1392</v>
      </c>
      <c r="AR2216" t="s">
        <v>80</v>
      </c>
      <c r="AS2216">
        <v>101</v>
      </c>
      <c r="AT2216" t="s">
        <v>81</v>
      </c>
      <c r="AU2216">
        <v>-29.29</v>
      </c>
      <c r="AV2216">
        <v>-0.39</v>
      </c>
      <c r="AW2216" t="s">
        <v>82</v>
      </c>
      <c r="AX2216">
        <v>101</v>
      </c>
      <c r="AY2216" t="s">
        <v>81</v>
      </c>
      <c r="AZ2216">
        <v>-28.82</v>
      </c>
      <c r="BA2216">
        <v>0.54</v>
      </c>
      <c r="BB2216" t="s">
        <v>83</v>
      </c>
    </row>
    <row r="2217" spans="1:54" x14ac:dyDescent="0.4">
      <c r="A2217">
        <v>629477</v>
      </c>
      <c r="D2217" t="s">
        <v>54</v>
      </c>
      <c r="E2217" t="s">
        <v>154</v>
      </c>
      <c r="F2217" t="s">
        <v>1386</v>
      </c>
      <c r="G2217">
        <v>1</v>
      </c>
      <c r="H2217" t="s">
        <v>56</v>
      </c>
      <c r="I2217" t="s">
        <v>57</v>
      </c>
      <c r="K2217" t="s">
        <v>275</v>
      </c>
      <c r="L2217" t="s">
        <v>276</v>
      </c>
      <c r="M2217" t="s">
        <v>60</v>
      </c>
      <c r="N2217" t="s">
        <v>119</v>
      </c>
      <c r="O2217" t="s">
        <v>134</v>
      </c>
      <c r="P2217" t="s">
        <v>121</v>
      </c>
      <c r="R2217" t="s">
        <v>122</v>
      </c>
      <c r="S2217" t="s">
        <v>123</v>
      </c>
      <c r="T2217">
        <v>290.10000000000002</v>
      </c>
      <c r="U2217">
        <v>283.5</v>
      </c>
      <c r="V2217">
        <f t="shared" si="68"/>
        <v>286.8</v>
      </c>
      <c r="W2217">
        <f t="shared" si="69"/>
        <v>6.6000000000000227</v>
      </c>
      <c r="X2217">
        <v>-98.405997999999997</v>
      </c>
      <c r="Y2217">
        <v>34.775500999999998</v>
      </c>
      <c r="Z2217" t="s">
        <v>90</v>
      </c>
      <c r="AA2217" t="s">
        <v>66</v>
      </c>
      <c r="AB2217" t="s">
        <v>407</v>
      </c>
      <c r="AC2217" t="s">
        <v>1388</v>
      </c>
      <c r="AH2217" t="s">
        <v>72</v>
      </c>
      <c r="AI2217" t="s">
        <v>1395</v>
      </c>
      <c r="AJ2217">
        <v>1999</v>
      </c>
      <c r="AK2217" t="s">
        <v>1390</v>
      </c>
      <c r="AM2217" t="s">
        <v>1391</v>
      </c>
      <c r="AN2217" t="s">
        <v>192</v>
      </c>
      <c r="AO2217">
        <v>4</v>
      </c>
      <c r="AP2217" t="s">
        <v>78</v>
      </c>
      <c r="AQ2217" t="s">
        <v>1392</v>
      </c>
      <c r="AR2217" t="s">
        <v>80</v>
      </c>
      <c r="AS2217">
        <v>101</v>
      </c>
      <c r="AT2217" t="s">
        <v>81</v>
      </c>
      <c r="AU2217">
        <v>-29.29</v>
      </c>
      <c r="AV2217">
        <v>-0.39</v>
      </c>
      <c r="AW2217" t="s">
        <v>82</v>
      </c>
      <c r="AX2217">
        <v>101</v>
      </c>
      <c r="AY2217" t="s">
        <v>81</v>
      </c>
      <c r="AZ2217">
        <v>-28.82</v>
      </c>
      <c r="BA2217">
        <v>0.54</v>
      </c>
      <c r="BB2217" t="s">
        <v>83</v>
      </c>
    </row>
    <row r="2218" spans="1:54" x14ac:dyDescent="0.4">
      <c r="A2218">
        <v>629477</v>
      </c>
      <c r="D2218" t="s">
        <v>54</v>
      </c>
      <c r="E2218" t="s">
        <v>154</v>
      </c>
      <c r="F2218" t="s">
        <v>1386</v>
      </c>
      <c r="G2218">
        <v>1</v>
      </c>
      <c r="H2218" t="s">
        <v>56</v>
      </c>
      <c r="I2218" t="s">
        <v>57</v>
      </c>
      <c r="K2218" t="s">
        <v>275</v>
      </c>
      <c r="L2218" t="s">
        <v>276</v>
      </c>
      <c r="M2218" t="s">
        <v>60</v>
      </c>
      <c r="N2218" t="s">
        <v>119</v>
      </c>
      <c r="O2218" t="s">
        <v>134</v>
      </c>
      <c r="P2218" t="s">
        <v>121</v>
      </c>
      <c r="R2218" t="s">
        <v>122</v>
      </c>
      <c r="S2218" t="s">
        <v>123</v>
      </c>
      <c r="T2218">
        <v>290.10000000000002</v>
      </c>
      <c r="U2218">
        <v>283.5</v>
      </c>
      <c r="V2218">
        <f t="shared" si="68"/>
        <v>286.8</v>
      </c>
      <c r="W2218">
        <f t="shared" si="69"/>
        <v>6.6000000000000227</v>
      </c>
      <c r="X2218">
        <v>-98.405997999999997</v>
      </c>
      <c r="Y2218">
        <v>34.775500999999998</v>
      </c>
      <c r="Z2218" t="s">
        <v>90</v>
      </c>
      <c r="AA2218" t="s">
        <v>66</v>
      </c>
      <c r="AB2218" t="s">
        <v>407</v>
      </c>
      <c r="AC2218" t="s">
        <v>1388</v>
      </c>
      <c r="AH2218" t="s">
        <v>72</v>
      </c>
      <c r="AI2218" t="s">
        <v>1395</v>
      </c>
      <c r="AJ2218">
        <v>1999</v>
      </c>
      <c r="AK2218" t="s">
        <v>1390</v>
      </c>
      <c r="AM2218" t="s">
        <v>1391</v>
      </c>
      <c r="AN2218" t="s">
        <v>192</v>
      </c>
      <c r="AO2218">
        <v>4</v>
      </c>
      <c r="AP2218" t="s">
        <v>78</v>
      </c>
      <c r="AQ2218" t="s">
        <v>1392</v>
      </c>
      <c r="AR2218" t="s">
        <v>80</v>
      </c>
      <c r="AS2218">
        <v>101</v>
      </c>
      <c r="AT2218" t="s">
        <v>81</v>
      </c>
      <c r="AU2218">
        <v>-29.29</v>
      </c>
      <c r="AV2218">
        <v>-0.39</v>
      </c>
      <c r="AW2218" t="s">
        <v>82</v>
      </c>
      <c r="AX2218">
        <v>101</v>
      </c>
      <c r="AY2218" t="s">
        <v>81</v>
      </c>
      <c r="AZ2218">
        <v>-28.82</v>
      </c>
      <c r="BA2218">
        <v>0.54</v>
      </c>
      <c r="BB2218" t="s">
        <v>83</v>
      </c>
    </row>
    <row r="2219" spans="1:54" x14ac:dyDescent="0.4">
      <c r="A2219">
        <v>629477</v>
      </c>
      <c r="D2219" t="s">
        <v>54</v>
      </c>
      <c r="E2219" t="s">
        <v>154</v>
      </c>
      <c r="F2219" t="s">
        <v>1386</v>
      </c>
      <c r="G2219">
        <v>1</v>
      </c>
      <c r="H2219" t="s">
        <v>56</v>
      </c>
      <c r="I2219" t="s">
        <v>57</v>
      </c>
      <c r="K2219" t="s">
        <v>275</v>
      </c>
      <c r="L2219" t="s">
        <v>276</v>
      </c>
      <c r="M2219" t="s">
        <v>60</v>
      </c>
      <c r="N2219" t="s">
        <v>119</v>
      </c>
      <c r="O2219" t="s">
        <v>134</v>
      </c>
      <c r="P2219" t="s">
        <v>121</v>
      </c>
      <c r="R2219" t="s">
        <v>122</v>
      </c>
      <c r="S2219" t="s">
        <v>123</v>
      </c>
      <c r="T2219">
        <v>290.10000000000002</v>
      </c>
      <c r="U2219">
        <v>283.5</v>
      </c>
      <c r="V2219">
        <f t="shared" si="68"/>
        <v>286.8</v>
      </c>
      <c r="W2219">
        <f t="shared" si="69"/>
        <v>6.6000000000000227</v>
      </c>
      <c r="X2219">
        <v>-98.405997999999997</v>
      </c>
      <c r="Y2219">
        <v>34.775500999999998</v>
      </c>
      <c r="Z2219" t="s">
        <v>90</v>
      </c>
      <c r="AA2219" t="s">
        <v>66</v>
      </c>
      <c r="AB2219" t="s">
        <v>407</v>
      </c>
      <c r="AC2219" t="s">
        <v>1388</v>
      </c>
      <c r="AH2219" t="s">
        <v>72</v>
      </c>
      <c r="AI2219" t="s">
        <v>1395</v>
      </c>
      <c r="AJ2219">
        <v>1999</v>
      </c>
      <c r="AK2219" t="s">
        <v>1390</v>
      </c>
      <c r="AM2219" t="s">
        <v>1391</v>
      </c>
      <c r="AN2219" t="s">
        <v>192</v>
      </c>
      <c r="AO2219">
        <v>4</v>
      </c>
      <c r="AP2219" t="s">
        <v>78</v>
      </c>
      <c r="AQ2219" t="s">
        <v>1392</v>
      </c>
      <c r="AR2219" t="s">
        <v>80</v>
      </c>
      <c r="AS2219">
        <v>101</v>
      </c>
      <c r="AT2219" t="s">
        <v>81</v>
      </c>
      <c r="AU2219">
        <v>-29.29</v>
      </c>
      <c r="AV2219">
        <v>-0.39</v>
      </c>
      <c r="AW2219" t="s">
        <v>82</v>
      </c>
      <c r="AX2219">
        <v>101</v>
      </c>
      <c r="AY2219" t="s">
        <v>81</v>
      </c>
      <c r="AZ2219">
        <v>-28.82</v>
      </c>
      <c r="BA2219">
        <v>0.54</v>
      </c>
      <c r="BB2219" t="s">
        <v>83</v>
      </c>
    </row>
    <row r="2220" spans="1:54" x14ac:dyDescent="0.4">
      <c r="A2220">
        <v>629477</v>
      </c>
      <c r="D2220" t="s">
        <v>54</v>
      </c>
      <c r="E2220" t="s">
        <v>154</v>
      </c>
      <c r="F2220" t="s">
        <v>1386</v>
      </c>
      <c r="G2220">
        <v>1</v>
      </c>
      <c r="H2220" t="s">
        <v>56</v>
      </c>
      <c r="I2220" t="s">
        <v>57</v>
      </c>
      <c r="K2220" t="s">
        <v>275</v>
      </c>
      <c r="L2220" t="s">
        <v>276</v>
      </c>
      <c r="M2220" t="s">
        <v>60</v>
      </c>
      <c r="N2220" t="s">
        <v>119</v>
      </c>
      <c r="O2220" t="s">
        <v>134</v>
      </c>
      <c r="P2220" t="s">
        <v>121</v>
      </c>
      <c r="R2220" t="s">
        <v>122</v>
      </c>
      <c r="S2220" t="s">
        <v>123</v>
      </c>
      <c r="T2220">
        <v>290.10000000000002</v>
      </c>
      <c r="U2220">
        <v>283.5</v>
      </c>
      <c r="V2220">
        <f t="shared" si="68"/>
        <v>286.8</v>
      </c>
      <c r="W2220">
        <f t="shared" si="69"/>
        <v>6.6000000000000227</v>
      </c>
      <c r="X2220">
        <v>-98.405997999999997</v>
      </c>
      <c r="Y2220">
        <v>34.775500999999998</v>
      </c>
      <c r="Z2220" t="s">
        <v>90</v>
      </c>
      <c r="AA2220" t="s">
        <v>66</v>
      </c>
      <c r="AB2220" t="s">
        <v>407</v>
      </c>
      <c r="AC2220" t="s">
        <v>1388</v>
      </c>
      <c r="AH2220" t="s">
        <v>72</v>
      </c>
      <c r="AI2220" t="s">
        <v>1395</v>
      </c>
      <c r="AJ2220">
        <v>1999</v>
      </c>
      <c r="AK2220" t="s">
        <v>1390</v>
      </c>
      <c r="AM2220" t="s">
        <v>1391</v>
      </c>
      <c r="AN2220" t="s">
        <v>192</v>
      </c>
      <c r="AO2220">
        <v>4</v>
      </c>
      <c r="AP2220" t="s">
        <v>78</v>
      </c>
      <c r="AQ2220" t="s">
        <v>1392</v>
      </c>
      <c r="AR2220" t="s">
        <v>80</v>
      </c>
      <c r="AS2220">
        <v>101</v>
      </c>
      <c r="AT2220" t="s">
        <v>81</v>
      </c>
      <c r="AU2220">
        <v>-29.29</v>
      </c>
      <c r="AV2220">
        <v>-0.39</v>
      </c>
      <c r="AW2220" t="s">
        <v>82</v>
      </c>
      <c r="AX2220">
        <v>101</v>
      </c>
      <c r="AY2220" t="s">
        <v>81</v>
      </c>
      <c r="AZ2220">
        <v>-28.82</v>
      </c>
      <c r="BA2220">
        <v>0.54</v>
      </c>
      <c r="BB2220" t="s">
        <v>83</v>
      </c>
    </row>
    <row r="2221" spans="1:54" x14ac:dyDescent="0.4">
      <c r="A2221">
        <v>629477</v>
      </c>
      <c r="D2221" t="s">
        <v>54</v>
      </c>
      <c r="E2221" t="s">
        <v>154</v>
      </c>
      <c r="F2221" t="s">
        <v>1386</v>
      </c>
      <c r="G2221">
        <v>1</v>
      </c>
      <c r="H2221" t="s">
        <v>56</v>
      </c>
      <c r="I2221" t="s">
        <v>57</v>
      </c>
      <c r="K2221" t="s">
        <v>275</v>
      </c>
      <c r="L2221" t="s">
        <v>276</v>
      </c>
      <c r="M2221" t="s">
        <v>60</v>
      </c>
      <c r="N2221" t="s">
        <v>119</v>
      </c>
      <c r="O2221" t="s">
        <v>134</v>
      </c>
      <c r="P2221" t="s">
        <v>121</v>
      </c>
      <c r="R2221" t="s">
        <v>122</v>
      </c>
      <c r="S2221" t="s">
        <v>123</v>
      </c>
      <c r="T2221">
        <v>290.10000000000002</v>
      </c>
      <c r="U2221">
        <v>283.5</v>
      </c>
      <c r="V2221">
        <f t="shared" si="68"/>
        <v>286.8</v>
      </c>
      <c r="W2221">
        <f t="shared" si="69"/>
        <v>6.6000000000000227</v>
      </c>
      <c r="X2221">
        <v>-98.405997999999997</v>
      </c>
      <c r="Y2221">
        <v>34.775500999999998</v>
      </c>
      <c r="Z2221" t="s">
        <v>90</v>
      </c>
      <c r="AA2221" t="s">
        <v>66</v>
      </c>
      <c r="AB2221" t="s">
        <v>407</v>
      </c>
      <c r="AC2221" t="s">
        <v>1388</v>
      </c>
      <c r="AH2221" t="s">
        <v>72</v>
      </c>
      <c r="AI2221" t="s">
        <v>1395</v>
      </c>
      <c r="AJ2221">
        <v>1999</v>
      </c>
      <c r="AK2221" t="s">
        <v>1390</v>
      </c>
      <c r="AM2221" t="s">
        <v>1391</v>
      </c>
      <c r="AN2221" t="s">
        <v>192</v>
      </c>
      <c r="AO2221">
        <v>4</v>
      </c>
      <c r="AP2221" t="s">
        <v>78</v>
      </c>
      <c r="AQ2221" t="s">
        <v>1392</v>
      </c>
      <c r="AR2221" t="s">
        <v>80</v>
      </c>
      <c r="AS2221">
        <v>101</v>
      </c>
      <c r="AT2221" t="s">
        <v>81</v>
      </c>
      <c r="AU2221">
        <v>-29.29</v>
      </c>
      <c r="AV2221">
        <v>-0.39</v>
      </c>
      <c r="AW2221" t="s">
        <v>82</v>
      </c>
      <c r="AX2221">
        <v>101</v>
      </c>
      <c r="AY2221" t="s">
        <v>81</v>
      </c>
      <c r="AZ2221">
        <v>-28.82</v>
      </c>
      <c r="BA2221">
        <v>0.54</v>
      </c>
      <c r="BB2221" t="s">
        <v>83</v>
      </c>
    </row>
    <row r="2222" spans="1:54" x14ac:dyDescent="0.4">
      <c r="A2222">
        <v>629477</v>
      </c>
      <c r="D2222" t="s">
        <v>54</v>
      </c>
      <c r="E2222" t="s">
        <v>154</v>
      </c>
      <c r="F2222" t="s">
        <v>1386</v>
      </c>
      <c r="G2222">
        <v>1</v>
      </c>
      <c r="H2222" t="s">
        <v>56</v>
      </c>
      <c r="I2222" t="s">
        <v>57</v>
      </c>
      <c r="K2222" t="s">
        <v>275</v>
      </c>
      <c r="L2222" t="s">
        <v>276</v>
      </c>
      <c r="M2222" t="s">
        <v>60</v>
      </c>
      <c r="N2222" t="s">
        <v>119</v>
      </c>
      <c r="O2222" t="s">
        <v>134</v>
      </c>
      <c r="P2222" t="s">
        <v>121</v>
      </c>
      <c r="R2222" t="s">
        <v>122</v>
      </c>
      <c r="S2222" t="s">
        <v>123</v>
      </c>
      <c r="T2222">
        <v>290.10000000000002</v>
      </c>
      <c r="U2222">
        <v>283.5</v>
      </c>
      <c r="V2222">
        <f t="shared" si="68"/>
        <v>286.8</v>
      </c>
      <c r="W2222">
        <f t="shared" si="69"/>
        <v>6.6000000000000227</v>
      </c>
      <c r="X2222">
        <v>-98.405997999999997</v>
      </c>
      <c r="Y2222">
        <v>34.775500999999998</v>
      </c>
      <c r="Z2222" t="s">
        <v>90</v>
      </c>
      <c r="AA2222" t="s">
        <v>66</v>
      </c>
      <c r="AB2222" t="s">
        <v>407</v>
      </c>
      <c r="AC2222" t="s">
        <v>1388</v>
      </c>
      <c r="AH2222" t="s">
        <v>72</v>
      </c>
      <c r="AI2222" t="s">
        <v>1395</v>
      </c>
      <c r="AJ2222">
        <v>1999</v>
      </c>
      <c r="AK2222" t="s">
        <v>1390</v>
      </c>
      <c r="AM2222" t="s">
        <v>1391</v>
      </c>
      <c r="AN2222" t="s">
        <v>192</v>
      </c>
      <c r="AO2222">
        <v>4</v>
      </c>
      <c r="AP2222" t="s">
        <v>78</v>
      </c>
      <c r="AQ2222" t="s">
        <v>1392</v>
      </c>
      <c r="AR2222" t="s">
        <v>80</v>
      </c>
      <c r="AS2222">
        <v>101</v>
      </c>
      <c r="AT2222" t="s">
        <v>81</v>
      </c>
      <c r="AU2222">
        <v>-29.29</v>
      </c>
      <c r="AV2222">
        <v>-0.39</v>
      </c>
      <c r="AW2222" t="s">
        <v>82</v>
      </c>
      <c r="AX2222">
        <v>101</v>
      </c>
      <c r="AY2222" t="s">
        <v>81</v>
      </c>
      <c r="AZ2222">
        <v>-28.82</v>
      </c>
      <c r="BA2222">
        <v>0.54</v>
      </c>
      <c r="BB2222" t="s">
        <v>83</v>
      </c>
    </row>
    <row r="2223" spans="1:54" x14ac:dyDescent="0.4">
      <c r="A2223">
        <v>629477</v>
      </c>
      <c r="D2223" t="s">
        <v>54</v>
      </c>
      <c r="E2223" t="s">
        <v>154</v>
      </c>
      <c r="F2223" t="s">
        <v>1386</v>
      </c>
      <c r="G2223">
        <v>1</v>
      </c>
      <c r="H2223" t="s">
        <v>56</v>
      </c>
      <c r="I2223" t="s">
        <v>57</v>
      </c>
      <c r="K2223" t="s">
        <v>275</v>
      </c>
      <c r="L2223" t="s">
        <v>276</v>
      </c>
      <c r="M2223" t="s">
        <v>60</v>
      </c>
      <c r="N2223" t="s">
        <v>119</v>
      </c>
      <c r="O2223" t="s">
        <v>134</v>
      </c>
      <c r="P2223" t="s">
        <v>121</v>
      </c>
      <c r="R2223" t="s">
        <v>122</v>
      </c>
      <c r="S2223" t="s">
        <v>123</v>
      </c>
      <c r="T2223">
        <v>290.10000000000002</v>
      </c>
      <c r="U2223">
        <v>283.5</v>
      </c>
      <c r="V2223">
        <f t="shared" si="68"/>
        <v>286.8</v>
      </c>
      <c r="W2223">
        <f t="shared" si="69"/>
        <v>6.6000000000000227</v>
      </c>
      <c r="X2223">
        <v>-98.405997999999997</v>
      </c>
      <c r="Y2223">
        <v>34.775500999999998</v>
      </c>
      <c r="Z2223" t="s">
        <v>90</v>
      </c>
      <c r="AA2223" t="s">
        <v>66</v>
      </c>
      <c r="AB2223" t="s">
        <v>407</v>
      </c>
      <c r="AC2223" t="s">
        <v>1388</v>
      </c>
      <c r="AH2223" t="s">
        <v>72</v>
      </c>
      <c r="AI2223" t="s">
        <v>1395</v>
      </c>
      <c r="AJ2223">
        <v>1999</v>
      </c>
      <c r="AK2223" t="s">
        <v>1390</v>
      </c>
      <c r="AM2223" t="s">
        <v>1391</v>
      </c>
      <c r="AN2223" t="s">
        <v>192</v>
      </c>
      <c r="AO2223">
        <v>4</v>
      </c>
      <c r="AP2223" t="s">
        <v>78</v>
      </c>
      <c r="AQ2223" t="s">
        <v>1392</v>
      </c>
      <c r="AR2223" t="s">
        <v>80</v>
      </c>
      <c r="AS2223">
        <v>101</v>
      </c>
      <c r="AT2223" t="s">
        <v>81</v>
      </c>
      <c r="AU2223">
        <v>-29.29</v>
      </c>
      <c r="AV2223">
        <v>-0.39</v>
      </c>
      <c r="AW2223" t="s">
        <v>82</v>
      </c>
      <c r="AX2223">
        <v>101</v>
      </c>
      <c r="AY2223" t="s">
        <v>81</v>
      </c>
      <c r="AZ2223">
        <v>-28.82</v>
      </c>
      <c r="BA2223">
        <v>0.54</v>
      </c>
      <c r="BB2223" t="s">
        <v>83</v>
      </c>
    </row>
    <row r="2224" spans="1:54" x14ac:dyDescent="0.4">
      <c r="A2224">
        <v>629477</v>
      </c>
      <c r="D2224" t="s">
        <v>54</v>
      </c>
      <c r="E2224" t="s">
        <v>154</v>
      </c>
      <c r="F2224" t="s">
        <v>1386</v>
      </c>
      <c r="G2224">
        <v>1</v>
      </c>
      <c r="H2224" t="s">
        <v>56</v>
      </c>
      <c r="I2224" t="s">
        <v>57</v>
      </c>
      <c r="K2224" t="s">
        <v>275</v>
      </c>
      <c r="L2224" t="s">
        <v>276</v>
      </c>
      <c r="M2224" t="s">
        <v>60</v>
      </c>
      <c r="N2224" t="s">
        <v>119</v>
      </c>
      <c r="O2224" t="s">
        <v>134</v>
      </c>
      <c r="P2224" t="s">
        <v>121</v>
      </c>
      <c r="R2224" t="s">
        <v>122</v>
      </c>
      <c r="S2224" t="s">
        <v>123</v>
      </c>
      <c r="T2224">
        <v>290.10000000000002</v>
      </c>
      <c r="U2224">
        <v>283.5</v>
      </c>
      <c r="V2224">
        <f t="shared" si="68"/>
        <v>286.8</v>
      </c>
      <c r="W2224">
        <f t="shared" si="69"/>
        <v>6.6000000000000227</v>
      </c>
      <c r="X2224">
        <v>-98.405997999999997</v>
      </c>
      <c r="Y2224">
        <v>34.775500999999998</v>
      </c>
      <c r="Z2224" t="s">
        <v>90</v>
      </c>
      <c r="AA2224" t="s">
        <v>66</v>
      </c>
      <c r="AB2224" t="s">
        <v>407</v>
      </c>
      <c r="AC2224" t="s">
        <v>1388</v>
      </c>
      <c r="AH2224" t="s">
        <v>72</v>
      </c>
      <c r="AI2224" t="s">
        <v>1395</v>
      </c>
      <c r="AJ2224">
        <v>1999</v>
      </c>
      <c r="AK2224" t="s">
        <v>1390</v>
      </c>
      <c r="AM2224" t="s">
        <v>1391</v>
      </c>
      <c r="AN2224" t="s">
        <v>192</v>
      </c>
      <c r="AO2224">
        <v>4</v>
      </c>
      <c r="AP2224" t="s">
        <v>78</v>
      </c>
      <c r="AQ2224" t="s">
        <v>1392</v>
      </c>
      <c r="AR2224" t="s">
        <v>80</v>
      </c>
      <c r="AS2224">
        <v>101</v>
      </c>
      <c r="AT2224" t="s">
        <v>81</v>
      </c>
      <c r="AU2224">
        <v>-29.29</v>
      </c>
      <c r="AV2224">
        <v>-0.39</v>
      </c>
      <c r="AW2224" t="s">
        <v>82</v>
      </c>
      <c r="AX2224">
        <v>101</v>
      </c>
      <c r="AY2224" t="s">
        <v>81</v>
      </c>
      <c r="AZ2224">
        <v>-28.82</v>
      </c>
      <c r="BA2224">
        <v>0.54</v>
      </c>
      <c r="BB2224" t="s">
        <v>83</v>
      </c>
    </row>
    <row r="2225" spans="1:54" x14ac:dyDescent="0.4">
      <c r="A2225">
        <v>629477</v>
      </c>
      <c r="D2225" t="s">
        <v>54</v>
      </c>
      <c r="E2225" t="s">
        <v>154</v>
      </c>
      <c r="F2225" t="s">
        <v>1386</v>
      </c>
      <c r="G2225">
        <v>1</v>
      </c>
      <c r="H2225" t="s">
        <v>56</v>
      </c>
      <c r="I2225" t="s">
        <v>57</v>
      </c>
      <c r="K2225" t="s">
        <v>275</v>
      </c>
      <c r="L2225" t="s">
        <v>276</v>
      </c>
      <c r="M2225" t="s">
        <v>60</v>
      </c>
      <c r="N2225" t="s">
        <v>119</v>
      </c>
      <c r="O2225" t="s">
        <v>134</v>
      </c>
      <c r="P2225" t="s">
        <v>121</v>
      </c>
      <c r="R2225" t="s">
        <v>122</v>
      </c>
      <c r="S2225" t="s">
        <v>123</v>
      </c>
      <c r="T2225">
        <v>290.10000000000002</v>
      </c>
      <c r="U2225">
        <v>283.5</v>
      </c>
      <c r="V2225">
        <f t="shared" si="68"/>
        <v>286.8</v>
      </c>
      <c r="W2225">
        <f t="shared" si="69"/>
        <v>6.6000000000000227</v>
      </c>
      <c r="X2225">
        <v>-98.405997999999997</v>
      </c>
      <c r="Y2225">
        <v>34.775500999999998</v>
      </c>
      <c r="Z2225" t="s">
        <v>90</v>
      </c>
      <c r="AA2225" t="s">
        <v>66</v>
      </c>
      <c r="AB2225" t="s">
        <v>407</v>
      </c>
      <c r="AC2225" t="s">
        <v>1388</v>
      </c>
      <c r="AH2225" t="s">
        <v>72</v>
      </c>
      <c r="AI2225" t="s">
        <v>1395</v>
      </c>
      <c r="AJ2225">
        <v>1999</v>
      </c>
      <c r="AK2225" t="s">
        <v>1390</v>
      </c>
      <c r="AM2225" t="s">
        <v>1391</v>
      </c>
      <c r="AN2225" t="s">
        <v>192</v>
      </c>
      <c r="AO2225">
        <v>4</v>
      </c>
      <c r="AP2225" t="s">
        <v>78</v>
      </c>
      <c r="AQ2225" t="s">
        <v>1392</v>
      </c>
      <c r="AR2225" t="s">
        <v>80</v>
      </c>
      <c r="AS2225">
        <v>101</v>
      </c>
      <c r="AT2225" t="s">
        <v>81</v>
      </c>
      <c r="AU2225">
        <v>-29.29</v>
      </c>
      <c r="AV2225">
        <v>-0.39</v>
      </c>
      <c r="AW2225" t="s">
        <v>82</v>
      </c>
      <c r="AX2225">
        <v>101</v>
      </c>
      <c r="AY2225" t="s">
        <v>81</v>
      </c>
      <c r="AZ2225">
        <v>-28.82</v>
      </c>
      <c r="BA2225">
        <v>0.54</v>
      </c>
      <c r="BB2225" t="s">
        <v>83</v>
      </c>
    </row>
    <row r="2226" spans="1:54" x14ac:dyDescent="0.4">
      <c r="A2226">
        <v>629477</v>
      </c>
      <c r="D2226" t="s">
        <v>54</v>
      </c>
      <c r="E2226" t="s">
        <v>154</v>
      </c>
      <c r="F2226" t="s">
        <v>1386</v>
      </c>
      <c r="G2226">
        <v>1</v>
      </c>
      <c r="H2226" t="s">
        <v>56</v>
      </c>
      <c r="I2226" t="s">
        <v>57</v>
      </c>
      <c r="K2226" t="s">
        <v>275</v>
      </c>
      <c r="L2226" t="s">
        <v>276</v>
      </c>
      <c r="M2226" t="s">
        <v>60</v>
      </c>
      <c r="N2226" t="s">
        <v>119</v>
      </c>
      <c r="O2226" t="s">
        <v>134</v>
      </c>
      <c r="P2226" t="s">
        <v>121</v>
      </c>
      <c r="R2226" t="s">
        <v>122</v>
      </c>
      <c r="S2226" t="s">
        <v>123</v>
      </c>
      <c r="T2226">
        <v>290.10000000000002</v>
      </c>
      <c r="U2226">
        <v>283.5</v>
      </c>
      <c r="V2226">
        <f t="shared" si="68"/>
        <v>286.8</v>
      </c>
      <c r="W2226">
        <f t="shared" si="69"/>
        <v>6.6000000000000227</v>
      </c>
      <c r="X2226">
        <v>-98.405997999999997</v>
      </c>
      <c r="Y2226">
        <v>34.775500999999998</v>
      </c>
      <c r="Z2226" t="s">
        <v>90</v>
      </c>
      <c r="AA2226" t="s">
        <v>66</v>
      </c>
      <c r="AB2226" t="s">
        <v>407</v>
      </c>
      <c r="AC2226" t="s">
        <v>1388</v>
      </c>
      <c r="AH2226" t="s">
        <v>72</v>
      </c>
      <c r="AI2226" t="s">
        <v>1395</v>
      </c>
      <c r="AJ2226">
        <v>1999</v>
      </c>
      <c r="AK2226" t="s">
        <v>1390</v>
      </c>
      <c r="AM2226" t="s">
        <v>1391</v>
      </c>
      <c r="AN2226" t="s">
        <v>192</v>
      </c>
      <c r="AO2226">
        <v>4</v>
      </c>
      <c r="AP2226" t="s">
        <v>78</v>
      </c>
      <c r="AQ2226" t="s">
        <v>1392</v>
      </c>
      <c r="AR2226" t="s">
        <v>80</v>
      </c>
      <c r="AS2226">
        <v>101</v>
      </c>
      <c r="AT2226" t="s">
        <v>81</v>
      </c>
      <c r="AU2226">
        <v>-29.29</v>
      </c>
      <c r="AV2226">
        <v>-0.39</v>
      </c>
      <c r="AW2226" t="s">
        <v>82</v>
      </c>
      <c r="AX2226">
        <v>101</v>
      </c>
      <c r="AY2226" t="s">
        <v>81</v>
      </c>
      <c r="AZ2226">
        <v>-28.82</v>
      </c>
      <c r="BA2226">
        <v>0.54</v>
      </c>
      <c r="BB2226" t="s">
        <v>83</v>
      </c>
    </row>
    <row r="2227" spans="1:54" x14ac:dyDescent="0.4">
      <c r="A2227">
        <v>629477</v>
      </c>
      <c r="D2227" t="s">
        <v>54</v>
      </c>
      <c r="E2227" t="s">
        <v>154</v>
      </c>
      <c r="F2227" t="s">
        <v>1386</v>
      </c>
      <c r="G2227">
        <v>1</v>
      </c>
      <c r="H2227" t="s">
        <v>56</v>
      </c>
      <c r="I2227" t="s">
        <v>57</v>
      </c>
      <c r="K2227" t="s">
        <v>275</v>
      </c>
      <c r="L2227" t="s">
        <v>276</v>
      </c>
      <c r="M2227" t="s">
        <v>60</v>
      </c>
      <c r="N2227" t="s">
        <v>119</v>
      </c>
      <c r="O2227" t="s">
        <v>134</v>
      </c>
      <c r="P2227" t="s">
        <v>121</v>
      </c>
      <c r="R2227" t="s">
        <v>122</v>
      </c>
      <c r="S2227" t="s">
        <v>123</v>
      </c>
      <c r="T2227">
        <v>290.10000000000002</v>
      </c>
      <c r="U2227">
        <v>283.5</v>
      </c>
      <c r="V2227">
        <f t="shared" si="68"/>
        <v>286.8</v>
      </c>
      <c r="W2227">
        <f t="shared" si="69"/>
        <v>6.6000000000000227</v>
      </c>
      <c r="X2227">
        <v>-98.405997999999997</v>
      </c>
      <c r="Y2227">
        <v>34.775500999999998</v>
      </c>
      <c r="Z2227" t="s">
        <v>90</v>
      </c>
      <c r="AA2227" t="s">
        <v>66</v>
      </c>
      <c r="AB2227" t="s">
        <v>407</v>
      </c>
      <c r="AC2227" t="s">
        <v>1388</v>
      </c>
      <c r="AH2227" t="s">
        <v>72</v>
      </c>
      <c r="AI2227" t="s">
        <v>1395</v>
      </c>
      <c r="AJ2227">
        <v>1999</v>
      </c>
      <c r="AK2227" t="s">
        <v>1390</v>
      </c>
      <c r="AM2227" t="s">
        <v>1391</v>
      </c>
      <c r="AN2227" t="s">
        <v>192</v>
      </c>
      <c r="AO2227">
        <v>4</v>
      </c>
      <c r="AP2227" t="s">
        <v>78</v>
      </c>
      <c r="AQ2227" t="s">
        <v>1392</v>
      </c>
      <c r="AR2227" t="s">
        <v>80</v>
      </c>
      <c r="AS2227">
        <v>101</v>
      </c>
      <c r="AT2227" t="s">
        <v>81</v>
      </c>
      <c r="AU2227">
        <v>-29.29</v>
      </c>
      <c r="AV2227">
        <v>-0.39</v>
      </c>
      <c r="AW2227" t="s">
        <v>82</v>
      </c>
      <c r="AX2227">
        <v>101</v>
      </c>
      <c r="AY2227" t="s">
        <v>81</v>
      </c>
      <c r="AZ2227">
        <v>-28.82</v>
      </c>
      <c r="BA2227">
        <v>0.54</v>
      </c>
      <c r="BB2227" t="s">
        <v>83</v>
      </c>
    </row>
    <row r="2228" spans="1:54" x14ac:dyDescent="0.4">
      <c r="A2228">
        <v>629477</v>
      </c>
      <c r="D2228" t="s">
        <v>54</v>
      </c>
      <c r="E2228" t="s">
        <v>154</v>
      </c>
      <c r="F2228" t="s">
        <v>1386</v>
      </c>
      <c r="G2228">
        <v>1</v>
      </c>
      <c r="H2228" t="s">
        <v>56</v>
      </c>
      <c r="I2228" t="s">
        <v>57</v>
      </c>
      <c r="K2228" t="s">
        <v>275</v>
      </c>
      <c r="L2228" t="s">
        <v>276</v>
      </c>
      <c r="M2228" t="s">
        <v>60</v>
      </c>
      <c r="N2228" t="s">
        <v>119</v>
      </c>
      <c r="O2228" t="s">
        <v>134</v>
      </c>
      <c r="P2228" t="s">
        <v>121</v>
      </c>
      <c r="R2228" t="s">
        <v>122</v>
      </c>
      <c r="S2228" t="s">
        <v>123</v>
      </c>
      <c r="T2228">
        <v>290.10000000000002</v>
      </c>
      <c r="U2228">
        <v>283.5</v>
      </c>
      <c r="V2228">
        <f t="shared" si="68"/>
        <v>286.8</v>
      </c>
      <c r="W2228">
        <f t="shared" si="69"/>
        <v>6.6000000000000227</v>
      </c>
      <c r="X2228">
        <v>-98.405997999999997</v>
      </c>
      <c r="Y2228">
        <v>34.775500999999998</v>
      </c>
      <c r="Z2228" t="s">
        <v>90</v>
      </c>
      <c r="AA2228" t="s">
        <v>66</v>
      </c>
      <c r="AB2228" t="s">
        <v>407</v>
      </c>
      <c r="AC2228" t="s">
        <v>1388</v>
      </c>
      <c r="AH2228" t="s">
        <v>72</v>
      </c>
      <c r="AI2228" t="s">
        <v>1395</v>
      </c>
      <c r="AJ2228">
        <v>1999</v>
      </c>
      <c r="AK2228" t="s">
        <v>1390</v>
      </c>
      <c r="AM2228" t="s">
        <v>1391</v>
      </c>
      <c r="AN2228" t="s">
        <v>192</v>
      </c>
      <c r="AO2228">
        <v>4</v>
      </c>
      <c r="AP2228" t="s">
        <v>78</v>
      </c>
      <c r="AQ2228" t="s">
        <v>1392</v>
      </c>
      <c r="AR2228" t="s">
        <v>80</v>
      </c>
      <c r="AS2228">
        <v>101</v>
      </c>
      <c r="AT2228" t="s">
        <v>81</v>
      </c>
      <c r="AU2228">
        <v>-29.29</v>
      </c>
      <c r="AV2228">
        <v>-0.39</v>
      </c>
      <c r="AW2228" t="s">
        <v>82</v>
      </c>
      <c r="AX2228">
        <v>101</v>
      </c>
      <c r="AY2228" t="s">
        <v>81</v>
      </c>
      <c r="AZ2228">
        <v>-28.82</v>
      </c>
      <c r="BA2228">
        <v>0.54</v>
      </c>
      <c r="BB2228" t="s">
        <v>83</v>
      </c>
    </row>
    <row r="2229" spans="1:54" x14ac:dyDescent="0.4">
      <c r="A2229">
        <v>629477</v>
      </c>
      <c r="D2229" t="s">
        <v>54</v>
      </c>
      <c r="E2229" t="s">
        <v>154</v>
      </c>
      <c r="F2229" t="s">
        <v>1386</v>
      </c>
      <c r="G2229">
        <v>1</v>
      </c>
      <c r="H2229" t="s">
        <v>56</v>
      </c>
      <c r="I2229" t="s">
        <v>57</v>
      </c>
      <c r="K2229" t="s">
        <v>275</v>
      </c>
      <c r="L2229" t="s">
        <v>276</v>
      </c>
      <c r="M2229" t="s">
        <v>60</v>
      </c>
      <c r="N2229" t="s">
        <v>119</v>
      </c>
      <c r="O2229" t="s">
        <v>134</v>
      </c>
      <c r="P2229" t="s">
        <v>121</v>
      </c>
      <c r="R2229" t="s">
        <v>122</v>
      </c>
      <c r="S2229" t="s">
        <v>123</v>
      </c>
      <c r="T2229">
        <v>290.10000000000002</v>
      </c>
      <c r="U2229">
        <v>283.5</v>
      </c>
      <c r="V2229">
        <f t="shared" si="68"/>
        <v>286.8</v>
      </c>
      <c r="W2229">
        <f t="shared" si="69"/>
        <v>6.6000000000000227</v>
      </c>
      <c r="X2229">
        <v>-98.405997999999997</v>
      </c>
      <c r="Y2229">
        <v>34.775500999999998</v>
      </c>
      <c r="Z2229" t="s">
        <v>90</v>
      </c>
      <c r="AA2229" t="s">
        <v>66</v>
      </c>
      <c r="AB2229" t="s">
        <v>407</v>
      </c>
      <c r="AC2229" t="s">
        <v>1388</v>
      </c>
      <c r="AH2229" t="s">
        <v>72</v>
      </c>
      <c r="AI2229" t="s">
        <v>1395</v>
      </c>
      <c r="AJ2229">
        <v>1999</v>
      </c>
      <c r="AK2229" t="s">
        <v>1390</v>
      </c>
      <c r="AM2229" t="s">
        <v>1391</v>
      </c>
      <c r="AN2229" t="s">
        <v>192</v>
      </c>
      <c r="AO2229">
        <v>4</v>
      </c>
      <c r="AP2229" t="s">
        <v>78</v>
      </c>
      <c r="AQ2229" t="s">
        <v>1392</v>
      </c>
      <c r="AR2229" t="s">
        <v>80</v>
      </c>
      <c r="AS2229">
        <v>101</v>
      </c>
      <c r="AT2229" t="s">
        <v>81</v>
      </c>
      <c r="AU2229">
        <v>-29.29</v>
      </c>
      <c r="AV2229">
        <v>-0.39</v>
      </c>
      <c r="AW2229" t="s">
        <v>82</v>
      </c>
      <c r="AX2229">
        <v>101</v>
      </c>
      <c r="AY2229" t="s">
        <v>81</v>
      </c>
      <c r="AZ2229">
        <v>-28.82</v>
      </c>
      <c r="BA2229">
        <v>0.54</v>
      </c>
      <c r="BB2229" t="s">
        <v>83</v>
      </c>
    </row>
    <row r="2230" spans="1:54" x14ac:dyDescent="0.4">
      <c r="A2230">
        <v>629477</v>
      </c>
      <c r="D2230" t="s">
        <v>54</v>
      </c>
      <c r="E2230" t="s">
        <v>154</v>
      </c>
      <c r="F2230" t="s">
        <v>1386</v>
      </c>
      <c r="G2230">
        <v>1</v>
      </c>
      <c r="H2230" t="s">
        <v>56</v>
      </c>
      <c r="I2230" t="s">
        <v>57</v>
      </c>
      <c r="K2230" t="s">
        <v>275</v>
      </c>
      <c r="L2230" t="s">
        <v>276</v>
      </c>
      <c r="M2230" t="s">
        <v>60</v>
      </c>
      <c r="N2230" t="s">
        <v>119</v>
      </c>
      <c r="O2230" t="s">
        <v>134</v>
      </c>
      <c r="P2230" t="s">
        <v>121</v>
      </c>
      <c r="R2230" t="s">
        <v>122</v>
      </c>
      <c r="S2230" t="s">
        <v>123</v>
      </c>
      <c r="T2230">
        <v>290.10000000000002</v>
      </c>
      <c r="U2230">
        <v>283.5</v>
      </c>
      <c r="V2230">
        <f t="shared" si="68"/>
        <v>286.8</v>
      </c>
      <c r="W2230">
        <f t="shared" si="69"/>
        <v>6.6000000000000227</v>
      </c>
      <c r="X2230">
        <v>-98.405997999999997</v>
      </c>
      <c r="Y2230">
        <v>34.775500999999998</v>
      </c>
      <c r="Z2230" t="s">
        <v>90</v>
      </c>
      <c r="AA2230" t="s">
        <v>66</v>
      </c>
      <c r="AB2230" t="s">
        <v>407</v>
      </c>
      <c r="AC2230" t="s">
        <v>1388</v>
      </c>
      <c r="AH2230" t="s">
        <v>72</v>
      </c>
      <c r="AI2230" t="s">
        <v>1395</v>
      </c>
      <c r="AJ2230">
        <v>1999</v>
      </c>
      <c r="AK2230" t="s">
        <v>1390</v>
      </c>
      <c r="AM2230" t="s">
        <v>1391</v>
      </c>
      <c r="AN2230" t="s">
        <v>192</v>
      </c>
      <c r="AO2230">
        <v>4</v>
      </c>
      <c r="AP2230" t="s">
        <v>78</v>
      </c>
      <c r="AQ2230" t="s">
        <v>1392</v>
      </c>
      <c r="AR2230" t="s">
        <v>80</v>
      </c>
      <c r="AS2230">
        <v>101</v>
      </c>
      <c r="AT2230" t="s">
        <v>81</v>
      </c>
      <c r="AU2230">
        <v>-29.29</v>
      </c>
      <c r="AV2230">
        <v>-0.39</v>
      </c>
      <c r="AW2230" t="s">
        <v>82</v>
      </c>
      <c r="AX2230">
        <v>101</v>
      </c>
      <c r="AY2230" t="s">
        <v>81</v>
      </c>
      <c r="AZ2230">
        <v>-28.82</v>
      </c>
      <c r="BA2230">
        <v>0.54</v>
      </c>
      <c r="BB2230" t="s">
        <v>83</v>
      </c>
    </row>
    <row r="2231" spans="1:54" x14ac:dyDescent="0.4">
      <c r="A2231">
        <v>629477</v>
      </c>
      <c r="D2231" t="s">
        <v>54</v>
      </c>
      <c r="E2231" t="s">
        <v>154</v>
      </c>
      <c r="F2231" t="s">
        <v>1386</v>
      </c>
      <c r="G2231">
        <v>1</v>
      </c>
      <c r="H2231" t="s">
        <v>56</v>
      </c>
      <c r="I2231" t="s">
        <v>57</v>
      </c>
      <c r="K2231" t="s">
        <v>275</v>
      </c>
      <c r="L2231" t="s">
        <v>276</v>
      </c>
      <c r="M2231" t="s">
        <v>60</v>
      </c>
      <c r="N2231" t="s">
        <v>119</v>
      </c>
      <c r="O2231" t="s">
        <v>134</v>
      </c>
      <c r="P2231" t="s">
        <v>121</v>
      </c>
      <c r="R2231" t="s">
        <v>122</v>
      </c>
      <c r="S2231" t="s">
        <v>123</v>
      </c>
      <c r="T2231">
        <v>290.10000000000002</v>
      </c>
      <c r="U2231">
        <v>283.5</v>
      </c>
      <c r="V2231">
        <f t="shared" si="68"/>
        <v>286.8</v>
      </c>
      <c r="W2231">
        <f t="shared" si="69"/>
        <v>6.6000000000000227</v>
      </c>
      <c r="X2231">
        <v>-98.405997999999997</v>
      </c>
      <c r="Y2231">
        <v>34.775500999999998</v>
      </c>
      <c r="Z2231" t="s">
        <v>90</v>
      </c>
      <c r="AA2231" t="s">
        <v>66</v>
      </c>
      <c r="AB2231" t="s">
        <v>407</v>
      </c>
      <c r="AC2231" t="s">
        <v>1388</v>
      </c>
      <c r="AH2231" t="s">
        <v>72</v>
      </c>
      <c r="AI2231" t="s">
        <v>1395</v>
      </c>
      <c r="AJ2231">
        <v>1999</v>
      </c>
      <c r="AK2231" t="s">
        <v>1390</v>
      </c>
      <c r="AM2231" t="s">
        <v>1391</v>
      </c>
      <c r="AN2231" t="s">
        <v>192</v>
      </c>
      <c r="AO2231">
        <v>4</v>
      </c>
      <c r="AP2231" t="s">
        <v>78</v>
      </c>
      <c r="AQ2231" t="s">
        <v>1392</v>
      </c>
      <c r="AR2231" t="s">
        <v>80</v>
      </c>
      <c r="AS2231">
        <v>101</v>
      </c>
      <c r="AT2231" t="s">
        <v>81</v>
      </c>
      <c r="AU2231">
        <v>-29.29</v>
      </c>
      <c r="AV2231">
        <v>-0.39</v>
      </c>
      <c r="AW2231" t="s">
        <v>82</v>
      </c>
      <c r="AX2231">
        <v>101</v>
      </c>
      <c r="AY2231" t="s">
        <v>81</v>
      </c>
      <c r="AZ2231">
        <v>-28.82</v>
      </c>
      <c r="BA2231">
        <v>0.54</v>
      </c>
      <c r="BB2231" t="s">
        <v>83</v>
      </c>
    </row>
    <row r="2232" spans="1:54" x14ac:dyDescent="0.4">
      <c r="A2232">
        <v>629477</v>
      </c>
      <c r="D2232" t="s">
        <v>54</v>
      </c>
      <c r="E2232" t="s">
        <v>154</v>
      </c>
      <c r="F2232" t="s">
        <v>1386</v>
      </c>
      <c r="G2232">
        <v>1</v>
      </c>
      <c r="H2232" t="s">
        <v>56</v>
      </c>
      <c r="I2232" t="s">
        <v>57</v>
      </c>
      <c r="K2232" t="s">
        <v>275</v>
      </c>
      <c r="L2232" t="s">
        <v>276</v>
      </c>
      <c r="M2232" t="s">
        <v>60</v>
      </c>
      <c r="N2232" t="s">
        <v>119</v>
      </c>
      <c r="O2232" t="s">
        <v>134</v>
      </c>
      <c r="P2232" t="s">
        <v>121</v>
      </c>
      <c r="R2232" t="s">
        <v>122</v>
      </c>
      <c r="S2232" t="s">
        <v>123</v>
      </c>
      <c r="T2232">
        <v>290.10000000000002</v>
      </c>
      <c r="U2232">
        <v>283.5</v>
      </c>
      <c r="V2232">
        <f t="shared" si="68"/>
        <v>286.8</v>
      </c>
      <c r="W2232">
        <f t="shared" si="69"/>
        <v>6.6000000000000227</v>
      </c>
      <c r="X2232">
        <v>-98.405997999999997</v>
      </c>
      <c r="Y2232">
        <v>34.775500999999998</v>
      </c>
      <c r="Z2232" t="s">
        <v>90</v>
      </c>
      <c r="AA2232" t="s">
        <v>66</v>
      </c>
      <c r="AB2232" t="s">
        <v>407</v>
      </c>
      <c r="AC2232" t="s">
        <v>1388</v>
      </c>
      <c r="AH2232" t="s">
        <v>72</v>
      </c>
      <c r="AI2232" t="s">
        <v>1395</v>
      </c>
      <c r="AJ2232">
        <v>1999</v>
      </c>
      <c r="AK2232" t="s">
        <v>1390</v>
      </c>
      <c r="AM2232" t="s">
        <v>1391</v>
      </c>
      <c r="AN2232" t="s">
        <v>192</v>
      </c>
      <c r="AO2232">
        <v>4</v>
      </c>
      <c r="AP2232" t="s">
        <v>78</v>
      </c>
      <c r="AQ2232" t="s">
        <v>1392</v>
      </c>
      <c r="AR2232" t="s">
        <v>80</v>
      </c>
      <c r="AS2232">
        <v>101</v>
      </c>
      <c r="AT2232" t="s">
        <v>81</v>
      </c>
      <c r="AU2232">
        <v>-29.29</v>
      </c>
      <c r="AV2232">
        <v>-0.39</v>
      </c>
      <c r="AW2232" t="s">
        <v>82</v>
      </c>
      <c r="AX2232">
        <v>101</v>
      </c>
      <c r="AY2232" t="s">
        <v>81</v>
      </c>
      <c r="AZ2232">
        <v>-28.82</v>
      </c>
      <c r="BA2232">
        <v>0.54</v>
      </c>
      <c r="BB2232" t="s">
        <v>83</v>
      </c>
    </row>
    <row r="2233" spans="1:54" x14ac:dyDescent="0.4">
      <c r="A2233">
        <v>629477</v>
      </c>
      <c r="D2233" t="s">
        <v>54</v>
      </c>
      <c r="E2233" t="s">
        <v>154</v>
      </c>
      <c r="F2233" t="s">
        <v>1386</v>
      </c>
      <c r="G2233">
        <v>1</v>
      </c>
      <c r="H2233" t="s">
        <v>56</v>
      </c>
      <c r="I2233" t="s">
        <v>57</v>
      </c>
      <c r="K2233" t="s">
        <v>275</v>
      </c>
      <c r="L2233" t="s">
        <v>276</v>
      </c>
      <c r="M2233" t="s">
        <v>60</v>
      </c>
      <c r="N2233" t="s">
        <v>119</v>
      </c>
      <c r="O2233" t="s">
        <v>134</v>
      </c>
      <c r="P2233" t="s">
        <v>121</v>
      </c>
      <c r="R2233" t="s">
        <v>122</v>
      </c>
      <c r="S2233" t="s">
        <v>123</v>
      </c>
      <c r="T2233">
        <v>290.10000000000002</v>
      </c>
      <c r="U2233">
        <v>283.5</v>
      </c>
      <c r="V2233">
        <f t="shared" si="68"/>
        <v>286.8</v>
      </c>
      <c r="W2233">
        <f t="shared" si="69"/>
        <v>6.6000000000000227</v>
      </c>
      <c r="X2233">
        <v>-98.405997999999997</v>
      </c>
      <c r="Y2233">
        <v>34.775500999999998</v>
      </c>
      <c r="Z2233" t="s">
        <v>90</v>
      </c>
      <c r="AA2233" t="s">
        <v>66</v>
      </c>
      <c r="AB2233" t="s">
        <v>407</v>
      </c>
      <c r="AC2233" t="s">
        <v>1388</v>
      </c>
      <c r="AH2233" t="s">
        <v>72</v>
      </c>
      <c r="AI2233" t="s">
        <v>1395</v>
      </c>
      <c r="AJ2233">
        <v>1999</v>
      </c>
      <c r="AK2233" t="s">
        <v>1390</v>
      </c>
      <c r="AM2233" t="s">
        <v>1391</v>
      </c>
      <c r="AN2233" t="s">
        <v>192</v>
      </c>
      <c r="AO2233">
        <v>4</v>
      </c>
      <c r="AP2233" t="s">
        <v>78</v>
      </c>
      <c r="AQ2233" t="s">
        <v>1392</v>
      </c>
      <c r="AR2233" t="s">
        <v>80</v>
      </c>
      <c r="AS2233">
        <v>101</v>
      </c>
      <c r="AT2233" t="s">
        <v>81</v>
      </c>
      <c r="AU2233">
        <v>-29.29</v>
      </c>
      <c r="AV2233">
        <v>-0.39</v>
      </c>
      <c r="AW2233" t="s">
        <v>82</v>
      </c>
      <c r="AX2233">
        <v>101</v>
      </c>
      <c r="AY2233" t="s">
        <v>81</v>
      </c>
      <c r="AZ2233">
        <v>-28.82</v>
      </c>
      <c r="BA2233">
        <v>0.54</v>
      </c>
      <c r="BB2233" t="s">
        <v>83</v>
      </c>
    </row>
    <row r="2234" spans="1:54" x14ac:dyDescent="0.4">
      <c r="A2234">
        <v>629477</v>
      </c>
      <c r="D2234" t="s">
        <v>54</v>
      </c>
      <c r="E2234" t="s">
        <v>154</v>
      </c>
      <c r="F2234" t="s">
        <v>1386</v>
      </c>
      <c r="G2234">
        <v>1</v>
      </c>
      <c r="H2234" t="s">
        <v>56</v>
      </c>
      <c r="I2234" t="s">
        <v>57</v>
      </c>
      <c r="K2234" t="s">
        <v>275</v>
      </c>
      <c r="L2234" t="s">
        <v>276</v>
      </c>
      <c r="M2234" t="s">
        <v>60</v>
      </c>
      <c r="N2234" t="s">
        <v>119</v>
      </c>
      <c r="O2234" t="s">
        <v>134</v>
      </c>
      <c r="P2234" t="s">
        <v>121</v>
      </c>
      <c r="R2234" t="s">
        <v>122</v>
      </c>
      <c r="S2234" t="s">
        <v>123</v>
      </c>
      <c r="T2234">
        <v>290.10000000000002</v>
      </c>
      <c r="U2234">
        <v>283.5</v>
      </c>
      <c r="V2234">
        <f t="shared" si="68"/>
        <v>286.8</v>
      </c>
      <c r="W2234">
        <f t="shared" si="69"/>
        <v>6.6000000000000227</v>
      </c>
      <c r="X2234">
        <v>-98.405997999999997</v>
      </c>
      <c r="Y2234">
        <v>34.775500999999998</v>
      </c>
      <c r="Z2234" t="s">
        <v>90</v>
      </c>
      <c r="AA2234" t="s">
        <v>66</v>
      </c>
      <c r="AB2234" t="s">
        <v>407</v>
      </c>
      <c r="AC2234" t="s">
        <v>1388</v>
      </c>
      <c r="AH2234" t="s">
        <v>72</v>
      </c>
      <c r="AI2234" t="s">
        <v>1395</v>
      </c>
      <c r="AJ2234">
        <v>1999</v>
      </c>
      <c r="AK2234" t="s">
        <v>1390</v>
      </c>
      <c r="AM2234" t="s">
        <v>1391</v>
      </c>
      <c r="AN2234" t="s">
        <v>192</v>
      </c>
      <c r="AO2234">
        <v>4</v>
      </c>
      <c r="AP2234" t="s">
        <v>78</v>
      </c>
      <c r="AQ2234" t="s">
        <v>1392</v>
      </c>
      <c r="AR2234" t="s">
        <v>80</v>
      </c>
      <c r="AS2234">
        <v>101</v>
      </c>
      <c r="AT2234" t="s">
        <v>81</v>
      </c>
      <c r="AU2234">
        <v>-29.29</v>
      </c>
      <c r="AV2234">
        <v>-0.39</v>
      </c>
      <c r="AW2234" t="s">
        <v>82</v>
      </c>
      <c r="AX2234">
        <v>101</v>
      </c>
      <c r="AY2234" t="s">
        <v>81</v>
      </c>
      <c r="AZ2234">
        <v>-28.82</v>
      </c>
      <c r="BA2234">
        <v>0.54</v>
      </c>
      <c r="BB2234" t="s">
        <v>83</v>
      </c>
    </row>
    <row r="2235" spans="1:54" x14ac:dyDescent="0.4">
      <c r="A2235">
        <v>629477</v>
      </c>
      <c r="D2235" t="s">
        <v>54</v>
      </c>
      <c r="E2235" t="s">
        <v>154</v>
      </c>
      <c r="F2235" t="s">
        <v>1386</v>
      </c>
      <c r="G2235">
        <v>1</v>
      </c>
      <c r="H2235" t="s">
        <v>56</v>
      </c>
      <c r="I2235" t="s">
        <v>57</v>
      </c>
      <c r="K2235" t="s">
        <v>275</v>
      </c>
      <c r="L2235" t="s">
        <v>276</v>
      </c>
      <c r="M2235" t="s">
        <v>60</v>
      </c>
      <c r="N2235" t="s">
        <v>119</v>
      </c>
      <c r="O2235" t="s">
        <v>134</v>
      </c>
      <c r="P2235" t="s">
        <v>121</v>
      </c>
      <c r="R2235" t="s">
        <v>122</v>
      </c>
      <c r="S2235" t="s">
        <v>123</v>
      </c>
      <c r="T2235">
        <v>290.10000000000002</v>
      </c>
      <c r="U2235">
        <v>283.5</v>
      </c>
      <c r="V2235">
        <f t="shared" si="68"/>
        <v>286.8</v>
      </c>
      <c r="W2235">
        <f t="shared" si="69"/>
        <v>6.6000000000000227</v>
      </c>
      <c r="X2235">
        <v>-98.405997999999997</v>
      </c>
      <c r="Y2235">
        <v>34.775500999999998</v>
      </c>
      <c r="Z2235" t="s">
        <v>90</v>
      </c>
      <c r="AA2235" t="s">
        <v>66</v>
      </c>
      <c r="AB2235" t="s">
        <v>407</v>
      </c>
      <c r="AC2235" t="s">
        <v>1388</v>
      </c>
      <c r="AH2235" t="s">
        <v>72</v>
      </c>
      <c r="AI2235" t="s">
        <v>1395</v>
      </c>
      <c r="AJ2235">
        <v>1999</v>
      </c>
      <c r="AK2235" t="s">
        <v>1390</v>
      </c>
      <c r="AM2235" t="s">
        <v>1391</v>
      </c>
      <c r="AN2235" t="s">
        <v>192</v>
      </c>
      <c r="AO2235">
        <v>4</v>
      </c>
      <c r="AP2235" t="s">
        <v>78</v>
      </c>
      <c r="AQ2235" t="s">
        <v>1392</v>
      </c>
      <c r="AR2235" t="s">
        <v>80</v>
      </c>
      <c r="AS2235">
        <v>101</v>
      </c>
      <c r="AT2235" t="s">
        <v>81</v>
      </c>
      <c r="AU2235">
        <v>-29.29</v>
      </c>
      <c r="AV2235">
        <v>-0.39</v>
      </c>
      <c r="AW2235" t="s">
        <v>82</v>
      </c>
      <c r="AX2235">
        <v>101</v>
      </c>
      <c r="AY2235" t="s">
        <v>81</v>
      </c>
      <c r="AZ2235">
        <v>-28.82</v>
      </c>
      <c r="BA2235">
        <v>0.54</v>
      </c>
      <c r="BB2235" t="s">
        <v>83</v>
      </c>
    </row>
    <row r="2236" spans="1:54" x14ac:dyDescent="0.4">
      <c r="A2236">
        <v>629477</v>
      </c>
      <c r="D2236" t="s">
        <v>54</v>
      </c>
      <c r="E2236" t="s">
        <v>154</v>
      </c>
      <c r="F2236" t="s">
        <v>1386</v>
      </c>
      <c r="G2236">
        <v>1</v>
      </c>
      <c r="H2236" t="s">
        <v>56</v>
      </c>
      <c r="I2236" t="s">
        <v>57</v>
      </c>
      <c r="K2236" t="s">
        <v>275</v>
      </c>
      <c r="L2236" t="s">
        <v>276</v>
      </c>
      <c r="M2236" t="s">
        <v>60</v>
      </c>
      <c r="N2236" t="s">
        <v>119</v>
      </c>
      <c r="O2236" t="s">
        <v>134</v>
      </c>
      <c r="P2236" t="s">
        <v>121</v>
      </c>
      <c r="R2236" t="s">
        <v>122</v>
      </c>
      <c r="S2236" t="s">
        <v>123</v>
      </c>
      <c r="T2236">
        <v>290.10000000000002</v>
      </c>
      <c r="U2236">
        <v>283.5</v>
      </c>
      <c r="V2236">
        <f t="shared" si="68"/>
        <v>286.8</v>
      </c>
      <c r="W2236">
        <f t="shared" si="69"/>
        <v>6.6000000000000227</v>
      </c>
      <c r="X2236">
        <v>-98.405997999999997</v>
      </c>
      <c r="Y2236">
        <v>34.775500999999998</v>
      </c>
      <c r="Z2236" t="s">
        <v>90</v>
      </c>
      <c r="AA2236" t="s">
        <v>66</v>
      </c>
      <c r="AB2236" t="s">
        <v>407</v>
      </c>
      <c r="AC2236" t="s">
        <v>1388</v>
      </c>
      <c r="AH2236" t="s">
        <v>72</v>
      </c>
      <c r="AI2236" t="s">
        <v>1395</v>
      </c>
      <c r="AJ2236">
        <v>1999</v>
      </c>
      <c r="AK2236" t="s">
        <v>1390</v>
      </c>
      <c r="AM2236" t="s">
        <v>1391</v>
      </c>
      <c r="AN2236" t="s">
        <v>192</v>
      </c>
      <c r="AO2236">
        <v>4</v>
      </c>
      <c r="AP2236" t="s">
        <v>78</v>
      </c>
      <c r="AQ2236" t="s">
        <v>1392</v>
      </c>
      <c r="AR2236" t="s">
        <v>80</v>
      </c>
      <c r="AS2236">
        <v>101</v>
      </c>
      <c r="AT2236" t="s">
        <v>81</v>
      </c>
      <c r="AU2236">
        <v>-29.29</v>
      </c>
      <c r="AV2236">
        <v>-0.39</v>
      </c>
      <c r="AW2236" t="s">
        <v>82</v>
      </c>
      <c r="AX2236">
        <v>101</v>
      </c>
      <c r="AY2236" t="s">
        <v>81</v>
      </c>
      <c r="AZ2236">
        <v>-28.82</v>
      </c>
      <c r="BA2236">
        <v>0.54</v>
      </c>
      <c r="BB2236" t="s">
        <v>83</v>
      </c>
    </row>
    <row r="2237" spans="1:54" x14ac:dyDescent="0.4">
      <c r="A2237">
        <v>629477</v>
      </c>
      <c r="D2237" t="s">
        <v>54</v>
      </c>
      <c r="E2237" t="s">
        <v>154</v>
      </c>
      <c r="F2237" t="s">
        <v>1386</v>
      </c>
      <c r="G2237">
        <v>1</v>
      </c>
      <c r="H2237" t="s">
        <v>56</v>
      </c>
      <c r="I2237" t="s">
        <v>57</v>
      </c>
      <c r="K2237" t="s">
        <v>275</v>
      </c>
      <c r="L2237" t="s">
        <v>276</v>
      </c>
      <c r="M2237" t="s">
        <v>60</v>
      </c>
      <c r="N2237" t="s">
        <v>119</v>
      </c>
      <c r="O2237" t="s">
        <v>134</v>
      </c>
      <c r="P2237" t="s">
        <v>121</v>
      </c>
      <c r="R2237" t="s">
        <v>122</v>
      </c>
      <c r="S2237" t="s">
        <v>123</v>
      </c>
      <c r="T2237">
        <v>290.10000000000002</v>
      </c>
      <c r="U2237">
        <v>283.5</v>
      </c>
      <c r="V2237">
        <f t="shared" si="68"/>
        <v>286.8</v>
      </c>
      <c r="W2237">
        <f t="shared" si="69"/>
        <v>6.6000000000000227</v>
      </c>
      <c r="X2237">
        <v>-98.405997999999997</v>
      </c>
      <c r="Y2237">
        <v>34.775500999999998</v>
      </c>
      <c r="Z2237" t="s">
        <v>90</v>
      </c>
      <c r="AA2237" t="s">
        <v>66</v>
      </c>
      <c r="AB2237" t="s">
        <v>407</v>
      </c>
      <c r="AC2237" t="s">
        <v>1388</v>
      </c>
      <c r="AH2237" t="s">
        <v>72</v>
      </c>
      <c r="AI2237" t="s">
        <v>1395</v>
      </c>
      <c r="AJ2237">
        <v>1999</v>
      </c>
      <c r="AK2237" t="s">
        <v>1390</v>
      </c>
      <c r="AM2237" t="s">
        <v>1391</v>
      </c>
      <c r="AN2237" t="s">
        <v>192</v>
      </c>
      <c r="AO2237">
        <v>4</v>
      </c>
      <c r="AP2237" t="s">
        <v>78</v>
      </c>
      <c r="AQ2237" t="s">
        <v>1392</v>
      </c>
      <c r="AR2237" t="s">
        <v>80</v>
      </c>
      <c r="AS2237">
        <v>101</v>
      </c>
      <c r="AT2237" t="s">
        <v>81</v>
      </c>
      <c r="AU2237">
        <v>-29.29</v>
      </c>
      <c r="AV2237">
        <v>-0.39</v>
      </c>
      <c r="AW2237" t="s">
        <v>82</v>
      </c>
      <c r="AX2237">
        <v>101</v>
      </c>
      <c r="AY2237" t="s">
        <v>81</v>
      </c>
      <c r="AZ2237">
        <v>-28.82</v>
      </c>
      <c r="BA2237">
        <v>0.54</v>
      </c>
      <c r="BB2237" t="s">
        <v>83</v>
      </c>
    </row>
    <row r="2238" spans="1:54" x14ac:dyDescent="0.4">
      <c r="A2238">
        <v>629477</v>
      </c>
      <c r="D2238" t="s">
        <v>54</v>
      </c>
      <c r="E2238" t="s">
        <v>154</v>
      </c>
      <c r="F2238" t="s">
        <v>1386</v>
      </c>
      <c r="G2238">
        <v>1</v>
      </c>
      <c r="H2238" t="s">
        <v>56</v>
      </c>
      <c r="I2238" t="s">
        <v>57</v>
      </c>
      <c r="K2238" t="s">
        <v>275</v>
      </c>
      <c r="L2238" t="s">
        <v>276</v>
      </c>
      <c r="M2238" t="s">
        <v>60</v>
      </c>
      <c r="N2238" t="s">
        <v>119</v>
      </c>
      <c r="O2238" t="s">
        <v>134</v>
      </c>
      <c r="P2238" t="s">
        <v>121</v>
      </c>
      <c r="R2238" t="s">
        <v>122</v>
      </c>
      <c r="S2238" t="s">
        <v>123</v>
      </c>
      <c r="T2238">
        <v>290.10000000000002</v>
      </c>
      <c r="U2238">
        <v>283.5</v>
      </c>
      <c r="V2238">
        <f t="shared" si="68"/>
        <v>286.8</v>
      </c>
      <c r="W2238">
        <f t="shared" si="69"/>
        <v>6.6000000000000227</v>
      </c>
      <c r="X2238">
        <v>-98.405997999999997</v>
      </c>
      <c r="Y2238">
        <v>34.775500999999998</v>
      </c>
      <c r="Z2238" t="s">
        <v>90</v>
      </c>
      <c r="AA2238" t="s">
        <v>66</v>
      </c>
      <c r="AB2238" t="s">
        <v>407</v>
      </c>
      <c r="AC2238" t="s">
        <v>1388</v>
      </c>
      <c r="AH2238" t="s">
        <v>72</v>
      </c>
      <c r="AI2238" t="s">
        <v>1395</v>
      </c>
      <c r="AJ2238">
        <v>1999</v>
      </c>
      <c r="AK2238" t="s">
        <v>1390</v>
      </c>
      <c r="AM2238" t="s">
        <v>1391</v>
      </c>
      <c r="AN2238" t="s">
        <v>192</v>
      </c>
      <c r="AO2238">
        <v>4</v>
      </c>
      <c r="AP2238" t="s">
        <v>78</v>
      </c>
      <c r="AQ2238" t="s">
        <v>1392</v>
      </c>
      <c r="AR2238" t="s">
        <v>80</v>
      </c>
      <c r="AS2238">
        <v>101</v>
      </c>
      <c r="AT2238" t="s">
        <v>81</v>
      </c>
      <c r="AU2238">
        <v>-29.29</v>
      </c>
      <c r="AV2238">
        <v>-0.39</v>
      </c>
      <c r="AW2238" t="s">
        <v>82</v>
      </c>
      <c r="AX2238">
        <v>101</v>
      </c>
      <c r="AY2238" t="s">
        <v>81</v>
      </c>
      <c r="AZ2238">
        <v>-28.82</v>
      </c>
      <c r="BA2238">
        <v>0.54</v>
      </c>
      <c r="BB2238" t="s">
        <v>83</v>
      </c>
    </row>
    <row r="2239" spans="1:54" x14ac:dyDescent="0.4">
      <c r="A2239">
        <v>629477</v>
      </c>
      <c r="D2239" t="s">
        <v>54</v>
      </c>
      <c r="E2239" t="s">
        <v>154</v>
      </c>
      <c r="F2239" t="s">
        <v>1386</v>
      </c>
      <c r="G2239">
        <v>1</v>
      </c>
      <c r="H2239" t="s">
        <v>56</v>
      </c>
      <c r="I2239" t="s">
        <v>57</v>
      </c>
      <c r="K2239" t="s">
        <v>275</v>
      </c>
      <c r="L2239" t="s">
        <v>276</v>
      </c>
      <c r="M2239" t="s">
        <v>60</v>
      </c>
      <c r="N2239" t="s">
        <v>119</v>
      </c>
      <c r="O2239" t="s">
        <v>134</v>
      </c>
      <c r="P2239" t="s">
        <v>121</v>
      </c>
      <c r="R2239" t="s">
        <v>122</v>
      </c>
      <c r="S2239" t="s">
        <v>123</v>
      </c>
      <c r="T2239">
        <v>290.10000000000002</v>
      </c>
      <c r="U2239">
        <v>283.5</v>
      </c>
      <c r="V2239">
        <f t="shared" si="68"/>
        <v>286.8</v>
      </c>
      <c r="W2239">
        <f t="shared" si="69"/>
        <v>6.6000000000000227</v>
      </c>
      <c r="X2239">
        <v>-98.405997999999997</v>
      </c>
      <c r="Y2239">
        <v>34.775500999999998</v>
      </c>
      <c r="Z2239" t="s">
        <v>90</v>
      </c>
      <c r="AA2239" t="s">
        <v>66</v>
      </c>
      <c r="AB2239" t="s">
        <v>407</v>
      </c>
      <c r="AC2239" t="s">
        <v>1388</v>
      </c>
      <c r="AH2239" t="s">
        <v>72</v>
      </c>
      <c r="AI2239" t="s">
        <v>1395</v>
      </c>
      <c r="AJ2239">
        <v>1999</v>
      </c>
      <c r="AK2239" t="s">
        <v>1390</v>
      </c>
      <c r="AM2239" t="s">
        <v>1391</v>
      </c>
      <c r="AN2239" t="s">
        <v>192</v>
      </c>
      <c r="AO2239">
        <v>4</v>
      </c>
      <c r="AP2239" t="s">
        <v>78</v>
      </c>
      <c r="AQ2239" t="s">
        <v>1392</v>
      </c>
      <c r="AR2239" t="s">
        <v>80</v>
      </c>
      <c r="AS2239">
        <v>101</v>
      </c>
      <c r="AT2239" t="s">
        <v>81</v>
      </c>
      <c r="AU2239">
        <v>-29.29</v>
      </c>
      <c r="AV2239">
        <v>-0.39</v>
      </c>
      <c r="AW2239" t="s">
        <v>82</v>
      </c>
      <c r="AX2239">
        <v>101</v>
      </c>
      <c r="AY2239" t="s">
        <v>81</v>
      </c>
      <c r="AZ2239">
        <v>-28.82</v>
      </c>
      <c r="BA2239">
        <v>0.54</v>
      </c>
      <c r="BB2239" t="s">
        <v>83</v>
      </c>
    </row>
    <row r="2240" spans="1:54" x14ac:dyDescent="0.4">
      <c r="A2240">
        <v>629477</v>
      </c>
      <c r="D2240" t="s">
        <v>54</v>
      </c>
      <c r="E2240" t="s">
        <v>154</v>
      </c>
      <c r="F2240" t="s">
        <v>1386</v>
      </c>
      <c r="G2240">
        <v>1</v>
      </c>
      <c r="H2240" t="s">
        <v>56</v>
      </c>
      <c r="I2240" t="s">
        <v>57</v>
      </c>
      <c r="K2240" t="s">
        <v>275</v>
      </c>
      <c r="L2240" t="s">
        <v>276</v>
      </c>
      <c r="M2240" t="s">
        <v>60</v>
      </c>
      <c r="N2240" t="s">
        <v>119</v>
      </c>
      <c r="O2240" t="s">
        <v>134</v>
      </c>
      <c r="P2240" t="s">
        <v>121</v>
      </c>
      <c r="R2240" t="s">
        <v>122</v>
      </c>
      <c r="S2240" t="s">
        <v>123</v>
      </c>
      <c r="T2240">
        <v>290.10000000000002</v>
      </c>
      <c r="U2240">
        <v>283.5</v>
      </c>
      <c r="V2240">
        <f t="shared" si="68"/>
        <v>286.8</v>
      </c>
      <c r="W2240">
        <f t="shared" si="69"/>
        <v>6.6000000000000227</v>
      </c>
      <c r="X2240">
        <v>-98.405997999999997</v>
      </c>
      <c r="Y2240">
        <v>34.775500999999998</v>
      </c>
      <c r="Z2240" t="s">
        <v>90</v>
      </c>
      <c r="AA2240" t="s">
        <v>66</v>
      </c>
      <c r="AB2240" t="s">
        <v>407</v>
      </c>
      <c r="AC2240" t="s">
        <v>1388</v>
      </c>
      <c r="AH2240" t="s">
        <v>72</v>
      </c>
      <c r="AI2240" t="s">
        <v>1395</v>
      </c>
      <c r="AJ2240">
        <v>1999</v>
      </c>
      <c r="AK2240" t="s">
        <v>1390</v>
      </c>
      <c r="AM2240" t="s">
        <v>1391</v>
      </c>
      <c r="AN2240" t="s">
        <v>192</v>
      </c>
      <c r="AO2240">
        <v>4</v>
      </c>
      <c r="AP2240" t="s">
        <v>78</v>
      </c>
      <c r="AQ2240" t="s">
        <v>1392</v>
      </c>
      <c r="AR2240" t="s">
        <v>80</v>
      </c>
      <c r="AS2240">
        <v>101</v>
      </c>
      <c r="AT2240" t="s">
        <v>81</v>
      </c>
      <c r="AU2240">
        <v>-29.29</v>
      </c>
      <c r="AV2240">
        <v>-0.39</v>
      </c>
      <c r="AW2240" t="s">
        <v>82</v>
      </c>
      <c r="AX2240">
        <v>101</v>
      </c>
      <c r="AY2240" t="s">
        <v>81</v>
      </c>
      <c r="AZ2240">
        <v>-28.82</v>
      </c>
      <c r="BA2240">
        <v>0.54</v>
      </c>
      <c r="BB2240" t="s">
        <v>83</v>
      </c>
    </row>
    <row r="2241" spans="1:54" x14ac:dyDescent="0.4">
      <c r="A2241">
        <v>629477</v>
      </c>
      <c r="D2241" t="s">
        <v>54</v>
      </c>
      <c r="E2241" t="s">
        <v>154</v>
      </c>
      <c r="F2241" t="s">
        <v>1386</v>
      </c>
      <c r="G2241">
        <v>1</v>
      </c>
      <c r="H2241" t="s">
        <v>56</v>
      </c>
      <c r="I2241" t="s">
        <v>57</v>
      </c>
      <c r="K2241" t="s">
        <v>275</v>
      </c>
      <c r="L2241" t="s">
        <v>276</v>
      </c>
      <c r="M2241" t="s">
        <v>60</v>
      </c>
      <c r="N2241" t="s">
        <v>119</v>
      </c>
      <c r="O2241" t="s">
        <v>134</v>
      </c>
      <c r="P2241" t="s">
        <v>121</v>
      </c>
      <c r="R2241" t="s">
        <v>122</v>
      </c>
      <c r="S2241" t="s">
        <v>123</v>
      </c>
      <c r="T2241">
        <v>290.10000000000002</v>
      </c>
      <c r="U2241">
        <v>283.5</v>
      </c>
      <c r="V2241">
        <f t="shared" si="68"/>
        <v>286.8</v>
      </c>
      <c r="W2241">
        <f t="shared" si="69"/>
        <v>6.6000000000000227</v>
      </c>
      <c r="X2241">
        <v>-98.405997999999997</v>
      </c>
      <c r="Y2241">
        <v>34.775500999999998</v>
      </c>
      <c r="Z2241" t="s">
        <v>90</v>
      </c>
      <c r="AA2241" t="s">
        <v>66</v>
      </c>
      <c r="AB2241" t="s">
        <v>407</v>
      </c>
      <c r="AC2241" t="s">
        <v>1388</v>
      </c>
      <c r="AH2241" t="s">
        <v>72</v>
      </c>
      <c r="AI2241" t="s">
        <v>1395</v>
      </c>
      <c r="AJ2241">
        <v>1999</v>
      </c>
      <c r="AK2241" t="s">
        <v>1390</v>
      </c>
      <c r="AM2241" t="s">
        <v>1391</v>
      </c>
      <c r="AN2241" t="s">
        <v>192</v>
      </c>
      <c r="AO2241">
        <v>4</v>
      </c>
      <c r="AP2241" t="s">
        <v>78</v>
      </c>
      <c r="AQ2241" t="s">
        <v>1392</v>
      </c>
      <c r="AR2241" t="s">
        <v>80</v>
      </c>
      <c r="AS2241">
        <v>101</v>
      </c>
      <c r="AT2241" t="s">
        <v>81</v>
      </c>
      <c r="AU2241">
        <v>-29.29</v>
      </c>
      <c r="AV2241">
        <v>-0.39</v>
      </c>
      <c r="AW2241" t="s">
        <v>82</v>
      </c>
      <c r="AX2241">
        <v>101</v>
      </c>
      <c r="AY2241" t="s">
        <v>81</v>
      </c>
      <c r="AZ2241">
        <v>-28.82</v>
      </c>
      <c r="BA2241">
        <v>0.54</v>
      </c>
      <c r="BB2241" t="s">
        <v>83</v>
      </c>
    </row>
    <row r="2242" spans="1:54" x14ac:dyDescent="0.4">
      <c r="A2242">
        <v>629477</v>
      </c>
      <c r="D2242" t="s">
        <v>54</v>
      </c>
      <c r="E2242" t="s">
        <v>154</v>
      </c>
      <c r="F2242" t="s">
        <v>1386</v>
      </c>
      <c r="G2242">
        <v>1</v>
      </c>
      <c r="H2242" t="s">
        <v>56</v>
      </c>
      <c r="I2242" t="s">
        <v>57</v>
      </c>
      <c r="K2242" t="s">
        <v>275</v>
      </c>
      <c r="L2242" t="s">
        <v>276</v>
      </c>
      <c r="M2242" t="s">
        <v>60</v>
      </c>
      <c r="N2242" t="s">
        <v>119</v>
      </c>
      <c r="O2242" t="s">
        <v>134</v>
      </c>
      <c r="P2242" t="s">
        <v>121</v>
      </c>
      <c r="R2242" t="s">
        <v>122</v>
      </c>
      <c r="S2242" t="s">
        <v>123</v>
      </c>
      <c r="T2242">
        <v>290.10000000000002</v>
      </c>
      <c r="U2242">
        <v>283.5</v>
      </c>
      <c r="V2242">
        <f t="shared" si="68"/>
        <v>286.8</v>
      </c>
      <c r="W2242">
        <f t="shared" si="69"/>
        <v>6.6000000000000227</v>
      </c>
      <c r="X2242">
        <v>-98.405997999999997</v>
      </c>
      <c r="Y2242">
        <v>34.775500999999998</v>
      </c>
      <c r="Z2242" t="s">
        <v>90</v>
      </c>
      <c r="AA2242" t="s">
        <v>66</v>
      </c>
      <c r="AB2242" t="s">
        <v>407</v>
      </c>
      <c r="AC2242" t="s">
        <v>1388</v>
      </c>
      <c r="AH2242" t="s">
        <v>72</v>
      </c>
      <c r="AI2242" t="s">
        <v>1395</v>
      </c>
      <c r="AJ2242">
        <v>1999</v>
      </c>
      <c r="AK2242" t="s">
        <v>1390</v>
      </c>
      <c r="AM2242" t="s">
        <v>1391</v>
      </c>
      <c r="AN2242" t="s">
        <v>192</v>
      </c>
      <c r="AO2242">
        <v>4</v>
      </c>
      <c r="AP2242" t="s">
        <v>78</v>
      </c>
      <c r="AQ2242" t="s">
        <v>1392</v>
      </c>
      <c r="AR2242" t="s">
        <v>80</v>
      </c>
      <c r="AS2242">
        <v>101</v>
      </c>
      <c r="AT2242" t="s">
        <v>81</v>
      </c>
      <c r="AU2242">
        <v>-29.29</v>
      </c>
      <c r="AV2242">
        <v>-0.39</v>
      </c>
      <c r="AW2242" t="s">
        <v>82</v>
      </c>
      <c r="AX2242">
        <v>101</v>
      </c>
      <c r="AY2242" t="s">
        <v>81</v>
      </c>
      <c r="AZ2242">
        <v>-28.82</v>
      </c>
      <c r="BA2242">
        <v>0.54</v>
      </c>
      <c r="BB2242" t="s">
        <v>83</v>
      </c>
    </row>
    <row r="2243" spans="1:54" x14ac:dyDescent="0.4">
      <c r="A2243">
        <v>629477</v>
      </c>
      <c r="D2243" t="s">
        <v>54</v>
      </c>
      <c r="E2243" t="s">
        <v>154</v>
      </c>
      <c r="F2243" t="s">
        <v>1386</v>
      </c>
      <c r="G2243">
        <v>1</v>
      </c>
      <c r="H2243" t="s">
        <v>56</v>
      </c>
      <c r="I2243" t="s">
        <v>57</v>
      </c>
      <c r="K2243" t="s">
        <v>275</v>
      </c>
      <c r="L2243" t="s">
        <v>276</v>
      </c>
      <c r="M2243" t="s">
        <v>60</v>
      </c>
      <c r="N2243" t="s">
        <v>119</v>
      </c>
      <c r="O2243" t="s">
        <v>134</v>
      </c>
      <c r="P2243" t="s">
        <v>121</v>
      </c>
      <c r="R2243" t="s">
        <v>122</v>
      </c>
      <c r="S2243" t="s">
        <v>123</v>
      </c>
      <c r="T2243">
        <v>290.10000000000002</v>
      </c>
      <c r="U2243">
        <v>283.5</v>
      </c>
      <c r="V2243">
        <f t="shared" ref="V2243:V2306" si="70">(T2243+U2243)/2</f>
        <v>286.8</v>
      </c>
      <c r="W2243">
        <f t="shared" ref="W2243:W2306" si="71">T2243-U2243</f>
        <v>6.6000000000000227</v>
      </c>
      <c r="X2243">
        <v>-98.405997999999997</v>
      </c>
      <c r="Y2243">
        <v>34.775500999999998</v>
      </c>
      <c r="Z2243" t="s">
        <v>90</v>
      </c>
      <c r="AA2243" t="s">
        <v>66</v>
      </c>
      <c r="AB2243" t="s">
        <v>407</v>
      </c>
      <c r="AC2243" t="s">
        <v>1388</v>
      </c>
      <c r="AH2243" t="s">
        <v>72</v>
      </c>
      <c r="AI2243" t="s">
        <v>1395</v>
      </c>
      <c r="AJ2243">
        <v>1999</v>
      </c>
      <c r="AK2243" t="s">
        <v>1390</v>
      </c>
      <c r="AM2243" t="s">
        <v>1391</v>
      </c>
      <c r="AN2243" t="s">
        <v>192</v>
      </c>
      <c r="AO2243">
        <v>4</v>
      </c>
      <c r="AP2243" t="s">
        <v>78</v>
      </c>
      <c r="AQ2243" t="s">
        <v>1392</v>
      </c>
      <c r="AR2243" t="s">
        <v>80</v>
      </c>
      <c r="AS2243">
        <v>101</v>
      </c>
      <c r="AT2243" t="s">
        <v>81</v>
      </c>
      <c r="AU2243">
        <v>-29.29</v>
      </c>
      <c r="AV2243">
        <v>-0.39</v>
      </c>
      <c r="AW2243" t="s">
        <v>82</v>
      </c>
      <c r="AX2243">
        <v>101</v>
      </c>
      <c r="AY2243" t="s">
        <v>81</v>
      </c>
      <c r="AZ2243">
        <v>-28.82</v>
      </c>
      <c r="BA2243">
        <v>0.54</v>
      </c>
      <c r="BB2243" t="s">
        <v>83</v>
      </c>
    </row>
    <row r="2244" spans="1:54" x14ac:dyDescent="0.4">
      <c r="A2244">
        <v>629477</v>
      </c>
      <c r="D2244" t="s">
        <v>54</v>
      </c>
      <c r="E2244" t="s">
        <v>154</v>
      </c>
      <c r="F2244" t="s">
        <v>1386</v>
      </c>
      <c r="G2244">
        <v>1</v>
      </c>
      <c r="H2244" t="s">
        <v>56</v>
      </c>
      <c r="I2244" t="s">
        <v>57</v>
      </c>
      <c r="K2244" t="s">
        <v>275</v>
      </c>
      <c r="L2244" t="s">
        <v>276</v>
      </c>
      <c r="M2244" t="s">
        <v>60</v>
      </c>
      <c r="N2244" t="s">
        <v>119</v>
      </c>
      <c r="O2244" t="s">
        <v>134</v>
      </c>
      <c r="P2244" t="s">
        <v>121</v>
      </c>
      <c r="R2244" t="s">
        <v>122</v>
      </c>
      <c r="S2244" t="s">
        <v>123</v>
      </c>
      <c r="T2244">
        <v>290.10000000000002</v>
      </c>
      <c r="U2244">
        <v>283.5</v>
      </c>
      <c r="V2244">
        <f t="shared" si="70"/>
        <v>286.8</v>
      </c>
      <c r="W2244">
        <f t="shared" si="71"/>
        <v>6.6000000000000227</v>
      </c>
      <c r="X2244">
        <v>-98.405997999999997</v>
      </c>
      <c r="Y2244">
        <v>34.775500999999998</v>
      </c>
      <c r="Z2244" t="s">
        <v>90</v>
      </c>
      <c r="AA2244" t="s">
        <v>66</v>
      </c>
      <c r="AB2244" t="s">
        <v>407</v>
      </c>
      <c r="AC2244" t="s">
        <v>1388</v>
      </c>
      <c r="AH2244" t="s">
        <v>72</v>
      </c>
      <c r="AI2244" t="s">
        <v>1395</v>
      </c>
      <c r="AJ2244">
        <v>1999</v>
      </c>
      <c r="AK2244" t="s">
        <v>1390</v>
      </c>
      <c r="AM2244" t="s">
        <v>1391</v>
      </c>
      <c r="AN2244" t="s">
        <v>192</v>
      </c>
      <c r="AO2244">
        <v>4</v>
      </c>
      <c r="AP2244" t="s">
        <v>78</v>
      </c>
      <c r="AQ2244" t="s">
        <v>1392</v>
      </c>
      <c r="AR2244" t="s">
        <v>80</v>
      </c>
      <c r="AS2244">
        <v>101</v>
      </c>
      <c r="AT2244" t="s">
        <v>81</v>
      </c>
      <c r="AU2244">
        <v>-29.29</v>
      </c>
      <c r="AV2244">
        <v>-0.39</v>
      </c>
      <c r="AW2244" t="s">
        <v>82</v>
      </c>
      <c r="AX2244">
        <v>101</v>
      </c>
      <c r="AY2244" t="s">
        <v>81</v>
      </c>
      <c r="AZ2244">
        <v>-28.82</v>
      </c>
      <c r="BA2244">
        <v>0.54</v>
      </c>
      <c r="BB2244" t="s">
        <v>83</v>
      </c>
    </row>
    <row r="2245" spans="1:54" x14ac:dyDescent="0.4">
      <c r="A2245">
        <v>629477</v>
      </c>
      <c r="D2245" t="s">
        <v>54</v>
      </c>
      <c r="E2245" t="s">
        <v>154</v>
      </c>
      <c r="F2245" t="s">
        <v>1386</v>
      </c>
      <c r="G2245">
        <v>1</v>
      </c>
      <c r="H2245" t="s">
        <v>56</v>
      </c>
      <c r="I2245" t="s">
        <v>57</v>
      </c>
      <c r="K2245" t="s">
        <v>275</v>
      </c>
      <c r="L2245" t="s">
        <v>276</v>
      </c>
      <c r="M2245" t="s">
        <v>60</v>
      </c>
      <c r="N2245" t="s">
        <v>119</v>
      </c>
      <c r="O2245" t="s">
        <v>134</v>
      </c>
      <c r="P2245" t="s">
        <v>121</v>
      </c>
      <c r="R2245" t="s">
        <v>122</v>
      </c>
      <c r="S2245" t="s">
        <v>123</v>
      </c>
      <c r="T2245">
        <v>290.10000000000002</v>
      </c>
      <c r="U2245">
        <v>283.5</v>
      </c>
      <c r="V2245">
        <f t="shared" si="70"/>
        <v>286.8</v>
      </c>
      <c r="W2245">
        <f t="shared" si="71"/>
        <v>6.6000000000000227</v>
      </c>
      <c r="X2245">
        <v>-98.405997999999997</v>
      </c>
      <c r="Y2245">
        <v>34.775500999999998</v>
      </c>
      <c r="Z2245" t="s">
        <v>90</v>
      </c>
      <c r="AA2245" t="s">
        <v>66</v>
      </c>
      <c r="AB2245" t="s">
        <v>407</v>
      </c>
      <c r="AC2245" t="s">
        <v>1388</v>
      </c>
      <c r="AH2245" t="s">
        <v>72</v>
      </c>
      <c r="AI2245" t="s">
        <v>1395</v>
      </c>
      <c r="AJ2245">
        <v>1999</v>
      </c>
      <c r="AK2245" t="s">
        <v>1390</v>
      </c>
      <c r="AM2245" t="s">
        <v>1391</v>
      </c>
      <c r="AN2245" t="s">
        <v>192</v>
      </c>
      <c r="AO2245">
        <v>4</v>
      </c>
      <c r="AP2245" t="s">
        <v>78</v>
      </c>
      <c r="AQ2245" t="s">
        <v>1392</v>
      </c>
      <c r="AR2245" t="s">
        <v>80</v>
      </c>
      <c r="AS2245">
        <v>101</v>
      </c>
      <c r="AT2245" t="s">
        <v>81</v>
      </c>
      <c r="AU2245">
        <v>-29.29</v>
      </c>
      <c r="AV2245">
        <v>-0.39</v>
      </c>
      <c r="AW2245" t="s">
        <v>82</v>
      </c>
      <c r="AX2245">
        <v>101</v>
      </c>
      <c r="AY2245" t="s">
        <v>81</v>
      </c>
      <c r="AZ2245">
        <v>-28.82</v>
      </c>
      <c r="BA2245">
        <v>0.54</v>
      </c>
      <c r="BB2245" t="s">
        <v>83</v>
      </c>
    </row>
    <row r="2246" spans="1:54" x14ac:dyDescent="0.4">
      <c r="A2246">
        <v>629477</v>
      </c>
      <c r="D2246" t="s">
        <v>54</v>
      </c>
      <c r="E2246" t="s">
        <v>154</v>
      </c>
      <c r="F2246" t="s">
        <v>1386</v>
      </c>
      <c r="G2246">
        <v>1</v>
      </c>
      <c r="H2246" t="s">
        <v>56</v>
      </c>
      <c r="I2246" t="s">
        <v>57</v>
      </c>
      <c r="K2246" t="s">
        <v>275</v>
      </c>
      <c r="L2246" t="s">
        <v>276</v>
      </c>
      <c r="M2246" t="s">
        <v>60</v>
      </c>
      <c r="N2246" t="s">
        <v>119</v>
      </c>
      <c r="O2246" t="s">
        <v>134</v>
      </c>
      <c r="P2246" t="s">
        <v>121</v>
      </c>
      <c r="R2246" t="s">
        <v>122</v>
      </c>
      <c r="S2246" t="s">
        <v>123</v>
      </c>
      <c r="T2246">
        <v>290.10000000000002</v>
      </c>
      <c r="U2246">
        <v>283.5</v>
      </c>
      <c r="V2246">
        <f t="shared" si="70"/>
        <v>286.8</v>
      </c>
      <c r="W2246">
        <f t="shared" si="71"/>
        <v>6.6000000000000227</v>
      </c>
      <c r="X2246">
        <v>-98.405997999999997</v>
      </c>
      <c r="Y2246">
        <v>34.775500999999998</v>
      </c>
      <c r="Z2246" t="s">
        <v>90</v>
      </c>
      <c r="AA2246" t="s">
        <v>66</v>
      </c>
      <c r="AB2246" t="s">
        <v>407</v>
      </c>
      <c r="AC2246" t="s">
        <v>1388</v>
      </c>
      <c r="AH2246" t="s">
        <v>72</v>
      </c>
      <c r="AI2246" t="s">
        <v>1395</v>
      </c>
      <c r="AJ2246">
        <v>1999</v>
      </c>
      <c r="AK2246" t="s">
        <v>1390</v>
      </c>
      <c r="AM2246" t="s">
        <v>1391</v>
      </c>
      <c r="AN2246" t="s">
        <v>192</v>
      </c>
      <c r="AO2246">
        <v>4</v>
      </c>
      <c r="AP2246" t="s">
        <v>78</v>
      </c>
      <c r="AQ2246" t="s">
        <v>1392</v>
      </c>
      <c r="AR2246" t="s">
        <v>80</v>
      </c>
      <c r="AS2246">
        <v>101</v>
      </c>
      <c r="AT2246" t="s">
        <v>81</v>
      </c>
      <c r="AU2246">
        <v>-29.29</v>
      </c>
      <c r="AV2246">
        <v>-0.39</v>
      </c>
      <c r="AW2246" t="s">
        <v>82</v>
      </c>
      <c r="AX2246">
        <v>101</v>
      </c>
      <c r="AY2246" t="s">
        <v>81</v>
      </c>
      <c r="AZ2246">
        <v>-28.82</v>
      </c>
      <c r="BA2246">
        <v>0.54</v>
      </c>
      <c r="BB2246" t="s">
        <v>83</v>
      </c>
    </row>
    <row r="2247" spans="1:54" x14ac:dyDescent="0.4">
      <c r="A2247">
        <v>629477</v>
      </c>
      <c r="D2247" t="s">
        <v>54</v>
      </c>
      <c r="E2247" t="s">
        <v>154</v>
      </c>
      <c r="F2247" t="s">
        <v>1386</v>
      </c>
      <c r="G2247">
        <v>1</v>
      </c>
      <c r="H2247" t="s">
        <v>56</v>
      </c>
      <c r="I2247" t="s">
        <v>57</v>
      </c>
      <c r="K2247" t="s">
        <v>275</v>
      </c>
      <c r="L2247" t="s">
        <v>276</v>
      </c>
      <c r="M2247" t="s">
        <v>60</v>
      </c>
      <c r="N2247" t="s">
        <v>119</v>
      </c>
      <c r="O2247" t="s">
        <v>134</v>
      </c>
      <c r="P2247" t="s">
        <v>121</v>
      </c>
      <c r="R2247" t="s">
        <v>122</v>
      </c>
      <c r="S2247" t="s">
        <v>123</v>
      </c>
      <c r="T2247">
        <v>290.10000000000002</v>
      </c>
      <c r="U2247">
        <v>283.5</v>
      </c>
      <c r="V2247">
        <f t="shared" si="70"/>
        <v>286.8</v>
      </c>
      <c r="W2247">
        <f t="shared" si="71"/>
        <v>6.6000000000000227</v>
      </c>
      <c r="X2247">
        <v>-98.405997999999997</v>
      </c>
      <c r="Y2247">
        <v>34.775500999999998</v>
      </c>
      <c r="Z2247" t="s">
        <v>90</v>
      </c>
      <c r="AA2247" t="s">
        <v>66</v>
      </c>
      <c r="AB2247" t="s">
        <v>407</v>
      </c>
      <c r="AC2247" t="s">
        <v>1388</v>
      </c>
      <c r="AH2247" t="s">
        <v>72</v>
      </c>
      <c r="AI2247" t="s">
        <v>1395</v>
      </c>
      <c r="AJ2247">
        <v>1999</v>
      </c>
      <c r="AK2247" t="s">
        <v>1390</v>
      </c>
      <c r="AM2247" t="s">
        <v>1391</v>
      </c>
      <c r="AN2247" t="s">
        <v>192</v>
      </c>
      <c r="AO2247">
        <v>4</v>
      </c>
      <c r="AP2247" t="s">
        <v>78</v>
      </c>
      <c r="AQ2247" t="s">
        <v>1392</v>
      </c>
      <c r="AR2247" t="s">
        <v>80</v>
      </c>
      <c r="AS2247">
        <v>101</v>
      </c>
      <c r="AT2247" t="s">
        <v>81</v>
      </c>
      <c r="AU2247">
        <v>-29.29</v>
      </c>
      <c r="AV2247">
        <v>-0.39</v>
      </c>
      <c r="AW2247" t="s">
        <v>82</v>
      </c>
      <c r="AX2247">
        <v>101</v>
      </c>
      <c r="AY2247" t="s">
        <v>81</v>
      </c>
      <c r="AZ2247">
        <v>-28.82</v>
      </c>
      <c r="BA2247">
        <v>0.54</v>
      </c>
      <c r="BB2247" t="s">
        <v>83</v>
      </c>
    </row>
    <row r="2248" spans="1:54" x14ac:dyDescent="0.4">
      <c r="A2248">
        <v>629477</v>
      </c>
      <c r="D2248" t="s">
        <v>54</v>
      </c>
      <c r="E2248" t="s">
        <v>154</v>
      </c>
      <c r="F2248" t="s">
        <v>1386</v>
      </c>
      <c r="G2248">
        <v>1</v>
      </c>
      <c r="H2248" t="s">
        <v>56</v>
      </c>
      <c r="I2248" t="s">
        <v>57</v>
      </c>
      <c r="K2248" t="s">
        <v>275</v>
      </c>
      <c r="L2248" t="s">
        <v>276</v>
      </c>
      <c r="M2248" t="s">
        <v>60</v>
      </c>
      <c r="N2248" t="s">
        <v>119</v>
      </c>
      <c r="O2248" t="s">
        <v>134</v>
      </c>
      <c r="P2248" t="s">
        <v>121</v>
      </c>
      <c r="R2248" t="s">
        <v>122</v>
      </c>
      <c r="S2248" t="s">
        <v>123</v>
      </c>
      <c r="T2248">
        <v>290.10000000000002</v>
      </c>
      <c r="U2248">
        <v>283.5</v>
      </c>
      <c r="V2248">
        <f t="shared" si="70"/>
        <v>286.8</v>
      </c>
      <c r="W2248">
        <f t="shared" si="71"/>
        <v>6.6000000000000227</v>
      </c>
      <c r="X2248">
        <v>-98.405997999999997</v>
      </c>
      <c r="Y2248">
        <v>34.775500999999998</v>
      </c>
      <c r="Z2248" t="s">
        <v>90</v>
      </c>
      <c r="AA2248" t="s">
        <v>66</v>
      </c>
      <c r="AB2248" t="s">
        <v>407</v>
      </c>
      <c r="AC2248" t="s">
        <v>1388</v>
      </c>
      <c r="AH2248" t="s">
        <v>72</v>
      </c>
      <c r="AI2248" t="s">
        <v>1395</v>
      </c>
      <c r="AJ2248">
        <v>1999</v>
      </c>
      <c r="AK2248" t="s">
        <v>1390</v>
      </c>
      <c r="AM2248" t="s">
        <v>1391</v>
      </c>
      <c r="AN2248" t="s">
        <v>192</v>
      </c>
      <c r="AO2248">
        <v>4</v>
      </c>
      <c r="AP2248" t="s">
        <v>78</v>
      </c>
      <c r="AQ2248" t="s">
        <v>1392</v>
      </c>
      <c r="AR2248" t="s">
        <v>80</v>
      </c>
      <c r="AS2248">
        <v>101</v>
      </c>
      <c r="AT2248" t="s">
        <v>81</v>
      </c>
      <c r="AU2248">
        <v>-29.29</v>
      </c>
      <c r="AV2248">
        <v>-0.39</v>
      </c>
      <c r="AW2248" t="s">
        <v>82</v>
      </c>
      <c r="AX2248">
        <v>101</v>
      </c>
      <c r="AY2248" t="s">
        <v>81</v>
      </c>
      <c r="AZ2248">
        <v>-28.82</v>
      </c>
      <c r="BA2248">
        <v>0.54</v>
      </c>
      <c r="BB2248" t="s">
        <v>83</v>
      </c>
    </row>
    <row r="2249" spans="1:54" x14ac:dyDescent="0.4">
      <c r="A2249">
        <v>629477</v>
      </c>
      <c r="D2249" t="s">
        <v>54</v>
      </c>
      <c r="E2249" t="s">
        <v>154</v>
      </c>
      <c r="F2249" t="s">
        <v>1386</v>
      </c>
      <c r="G2249">
        <v>1</v>
      </c>
      <c r="H2249" t="s">
        <v>56</v>
      </c>
      <c r="I2249" t="s">
        <v>57</v>
      </c>
      <c r="K2249" t="s">
        <v>275</v>
      </c>
      <c r="L2249" t="s">
        <v>276</v>
      </c>
      <c r="M2249" t="s">
        <v>60</v>
      </c>
      <c r="N2249" t="s">
        <v>119</v>
      </c>
      <c r="O2249" t="s">
        <v>134</v>
      </c>
      <c r="P2249" t="s">
        <v>121</v>
      </c>
      <c r="R2249" t="s">
        <v>122</v>
      </c>
      <c r="S2249" t="s">
        <v>123</v>
      </c>
      <c r="T2249">
        <v>290.10000000000002</v>
      </c>
      <c r="U2249">
        <v>283.5</v>
      </c>
      <c r="V2249">
        <f t="shared" si="70"/>
        <v>286.8</v>
      </c>
      <c r="W2249">
        <f t="shared" si="71"/>
        <v>6.6000000000000227</v>
      </c>
      <c r="X2249">
        <v>-98.405997999999997</v>
      </c>
      <c r="Y2249">
        <v>34.775500999999998</v>
      </c>
      <c r="Z2249" t="s">
        <v>90</v>
      </c>
      <c r="AA2249" t="s">
        <v>66</v>
      </c>
      <c r="AB2249" t="s">
        <v>407</v>
      </c>
      <c r="AC2249" t="s">
        <v>1388</v>
      </c>
      <c r="AH2249" t="s">
        <v>72</v>
      </c>
      <c r="AI2249" t="s">
        <v>1395</v>
      </c>
      <c r="AJ2249">
        <v>1999</v>
      </c>
      <c r="AK2249" t="s">
        <v>1390</v>
      </c>
      <c r="AM2249" t="s">
        <v>1391</v>
      </c>
      <c r="AN2249" t="s">
        <v>192</v>
      </c>
      <c r="AO2249">
        <v>4</v>
      </c>
      <c r="AP2249" t="s">
        <v>78</v>
      </c>
      <c r="AQ2249" t="s">
        <v>1392</v>
      </c>
      <c r="AR2249" t="s">
        <v>80</v>
      </c>
      <c r="AS2249">
        <v>101</v>
      </c>
      <c r="AT2249" t="s">
        <v>81</v>
      </c>
      <c r="AU2249">
        <v>-29.29</v>
      </c>
      <c r="AV2249">
        <v>-0.39</v>
      </c>
      <c r="AW2249" t="s">
        <v>82</v>
      </c>
      <c r="AX2249">
        <v>101</v>
      </c>
      <c r="AY2249" t="s">
        <v>81</v>
      </c>
      <c r="AZ2249">
        <v>-28.82</v>
      </c>
      <c r="BA2249">
        <v>0.54</v>
      </c>
      <c r="BB2249" t="s">
        <v>83</v>
      </c>
    </row>
    <row r="2250" spans="1:54" x14ac:dyDescent="0.4">
      <c r="A2250">
        <v>629477</v>
      </c>
      <c r="D2250" t="s">
        <v>54</v>
      </c>
      <c r="E2250" t="s">
        <v>154</v>
      </c>
      <c r="F2250" t="s">
        <v>1386</v>
      </c>
      <c r="G2250">
        <v>1</v>
      </c>
      <c r="H2250" t="s">
        <v>56</v>
      </c>
      <c r="I2250" t="s">
        <v>57</v>
      </c>
      <c r="K2250" t="s">
        <v>275</v>
      </c>
      <c r="L2250" t="s">
        <v>276</v>
      </c>
      <c r="M2250" t="s">
        <v>60</v>
      </c>
      <c r="N2250" t="s">
        <v>119</v>
      </c>
      <c r="O2250" t="s">
        <v>134</v>
      </c>
      <c r="P2250" t="s">
        <v>121</v>
      </c>
      <c r="R2250" t="s">
        <v>122</v>
      </c>
      <c r="S2250" t="s">
        <v>123</v>
      </c>
      <c r="T2250">
        <v>290.10000000000002</v>
      </c>
      <c r="U2250">
        <v>283.5</v>
      </c>
      <c r="V2250">
        <f t="shared" si="70"/>
        <v>286.8</v>
      </c>
      <c r="W2250">
        <f t="shared" si="71"/>
        <v>6.6000000000000227</v>
      </c>
      <c r="X2250">
        <v>-98.405997999999997</v>
      </c>
      <c r="Y2250">
        <v>34.775500999999998</v>
      </c>
      <c r="Z2250" t="s">
        <v>90</v>
      </c>
      <c r="AA2250" t="s">
        <v>66</v>
      </c>
      <c r="AB2250" t="s">
        <v>407</v>
      </c>
      <c r="AC2250" t="s">
        <v>1388</v>
      </c>
      <c r="AH2250" t="s">
        <v>72</v>
      </c>
      <c r="AI2250" t="s">
        <v>1395</v>
      </c>
      <c r="AJ2250">
        <v>1999</v>
      </c>
      <c r="AK2250" t="s">
        <v>1390</v>
      </c>
      <c r="AM2250" t="s">
        <v>1391</v>
      </c>
      <c r="AN2250" t="s">
        <v>192</v>
      </c>
      <c r="AO2250">
        <v>4</v>
      </c>
      <c r="AP2250" t="s">
        <v>78</v>
      </c>
      <c r="AQ2250" t="s">
        <v>1392</v>
      </c>
      <c r="AR2250" t="s">
        <v>80</v>
      </c>
      <c r="AS2250">
        <v>101</v>
      </c>
      <c r="AT2250" t="s">
        <v>81</v>
      </c>
      <c r="AU2250">
        <v>-29.29</v>
      </c>
      <c r="AV2250">
        <v>-0.39</v>
      </c>
      <c r="AW2250" t="s">
        <v>82</v>
      </c>
      <c r="AX2250">
        <v>101</v>
      </c>
      <c r="AY2250" t="s">
        <v>81</v>
      </c>
      <c r="AZ2250">
        <v>-28.82</v>
      </c>
      <c r="BA2250">
        <v>0.54</v>
      </c>
      <c r="BB2250" t="s">
        <v>83</v>
      </c>
    </row>
    <row r="2251" spans="1:54" x14ac:dyDescent="0.4">
      <c r="A2251">
        <v>629477</v>
      </c>
      <c r="D2251" t="s">
        <v>54</v>
      </c>
      <c r="E2251" t="s">
        <v>154</v>
      </c>
      <c r="F2251" t="s">
        <v>1386</v>
      </c>
      <c r="G2251">
        <v>1</v>
      </c>
      <c r="H2251" t="s">
        <v>56</v>
      </c>
      <c r="I2251" t="s">
        <v>57</v>
      </c>
      <c r="K2251" t="s">
        <v>275</v>
      </c>
      <c r="L2251" t="s">
        <v>276</v>
      </c>
      <c r="M2251" t="s">
        <v>60</v>
      </c>
      <c r="N2251" t="s">
        <v>119</v>
      </c>
      <c r="O2251" t="s">
        <v>134</v>
      </c>
      <c r="P2251" t="s">
        <v>121</v>
      </c>
      <c r="R2251" t="s">
        <v>122</v>
      </c>
      <c r="S2251" t="s">
        <v>123</v>
      </c>
      <c r="T2251">
        <v>290.10000000000002</v>
      </c>
      <c r="U2251">
        <v>283.5</v>
      </c>
      <c r="V2251">
        <f t="shared" si="70"/>
        <v>286.8</v>
      </c>
      <c r="W2251">
        <f t="shared" si="71"/>
        <v>6.6000000000000227</v>
      </c>
      <c r="X2251">
        <v>-98.405997999999997</v>
      </c>
      <c r="Y2251">
        <v>34.775500999999998</v>
      </c>
      <c r="Z2251" t="s">
        <v>90</v>
      </c>
      <c r="AA2251" t="s">
        <v>66</v>
      </c>
      <c r="AB2251" t="s">
        <v>407</v>
      </c>
      <c r="AC2251" t="s">
        <v>1388</v>
      </c>
      <c r="AH2251" t="s">
        <v>72</v>
      </c>
      <c r="AI2251" t="s">
        <v>1395</v>
      </c>
      <c r="AJ2251">
        <v>1999</v>
      </c>
      <c r="AK2251" t="s">
        <v>1390</v>
      </c>
      <c r="AM2251" t="s">
        <v>1391</v>
      </c>
      <c r="AN2251" t="s">
        <v>192</v>
      </c>
      <c r="AO2251">
        <v>4</v>
      </c>
      <c r="AP2251" t="s">
        <v>78</v>
      </c>
      <c r="AQ2251" t="s">
        <v>1392</v>
      </c>
      <c r="AR2251" t="s">
        <v>80</v>
      </c>
      <c r="AS2251">
        <v>101</v>
      </c>
      <c r="AT2251" t="s">
        <v>81</v>
      </c>
      <c r="AU2251">
        <v>-29.29</v>
      </c>
      <c r="AV2251">
        <v>-0.39</v>
      </c>
      <c r="AW2251" t="s">
        <v>82</v>
      </c>
      <c r="AX2251">
        <v>101</v>
      </c>
      <c r="AY2251" t="s">
        <v>81</v>
      </c>
      <c r="AZ2251">
        <v>-28.82</v>
      </c>
      <c r="BA2251">
        <v>0.54</v>
      </c>
      <c r="BB2251" t="s">
        <v>83</v>
      </c>
    </row>
    <row r="2252" spans="1:54" x14ac:dyDescent="0.4">
      <c r="A2252">
        <v>629477</v>
      </c>
      <c r="D2252" t="s">
        <v>54</v>
      </c>
      <c r="E2252" t="s">
        <v>154</v>
      </c>
      <c r="F2252" t="s">
        <v>1386</v>
      </c>
      <c r="G2252">
        <v>1</v>
      </c>
      <c r="H2252" t="s">
        <v>56</v>
      </c>
      <c r="I2252" t="s">
        <v>57</v>
      </c>
      <c r="K2252" t="s">
        <v>275</v>
      </c>
      <c r="L2252" t="s">
        <v>276</v>
      </c>
      <c r="M2252" t="s">
        <v>60</v>
      </c>
      <c r="N2252" t="s">
        <v>119</v>
      </c>
      <c r="O2252" t="s">
        <v>134</v>
      </c>
      <c r="P2252" t="s">
        <v>121</v>
      </c>
      <c r="R2252" t="s">
        <v>122</v>
      </c>
      <c r="S2252" t="s">
        <v>123</v>
      </c>
      <c r="T2252">
        <v>290.10000000000002</v>
      </c>
      <c r="U2252">
        <v>283.5</v>
      </c>
      <c r="V2252">
        <f t="shared" si="70"/>
        <v>286.8</v>
      </c>
      <c r="W2252">
        <f t="shared" si="71"/>
        <v>6.6000000000000227</v>
      </c>
      <c r="X2252">
        <v>-98.405997999999997</v>
      </c>
      <c r="Y2252">
        <v>34.775500999999998</v>
      </c>
      <c r="Z2252" t="s">
        <v>90</v>
      </c>
      <c r="AA2252" t="s">
        <v>66</v>
      </c>
      <c r="AB2252" t="s">
        <v>407</v>
      </c>
      <c r="AC2252" t="s">
        <v>1388</v>
      </c>
      <c r="AH2252" t="s">
        <v>72</v>
      </c>
      <c r="AI2252" t="s">
        <v>1395</v>
      </c>
      <c r="AJ2252">
        <v>1999</v>
      </c>
      <c r="AK2252" t="s">
        <v>1390</v>
      </c>
      <c r="AM2252" t="s">
        <v>1391</v>
      </c>
      <c r="AN2252" t="s">
        <v>192</v>
      </c>
      <c r="AO2252">
        <v>4</v>
      </c>
      <c r="AP2252" t="s">
        <v>78</v>
      </c>
      <c r="AQ2252" t="s">
        <v>1392</v>
      </c>
      <c r="AR2252" t="s">
        <v>80</v>
      </c>
      <c r="AS2252">
        <v>101</v>
      </c>
      <c r="AT2252" t="s">
        <v>81</v>
      </c>
      <c r="AU2252">
        <v>-29.29</v>
      </c>
      <c r="AV2252">
        <v>-0.39</v>
      </c>
      <c r="AW2252" t="s">
        <v>82</v>
      </c>
      <c r="AX2252">
        <v>101</v>
      </c>
      <c r="AY2252" t="s">
        <v>81</v>
      </c>
      <c r="AZ2252">
        <v>-28.82</v>
      </c>
      <c r="BA2252">
        <v>0.54</v>
      </c>
      <c r="BB2252" t="s">
        <v>83</v>
      </c>
    </row>
    <row r="2253" spans="1:54" x14ac:dyDescent="0.4">
      <c r="A2253">
        <v>629477</v>
      </c>
      <c r="D2253" t="s">
        <v>54</v>
      </c>
      <c r="E2253" t="s">
        <v>154</v>
      </c>
      <c r="F2253" t="s">
        <v>1386</v>
      </c>
      <c r="G2253">
        <v>1</v>
      </c>
      <c r="H2253" t="s">
        <v>56</v>
      </c>
      <c r="I2253" t="s">
        <v>57</v>
      </c>
      <c r="K2253" t="s">
        <v>275</v>
      </c>
      <c r="L2253" t="s">
        <v>276</v>
      </c>
      <c r="M2253" t="s">
        <v>60</v>
      </c>
      <c r="N2253" t="s">
        <v>119</v>
      </c>
      <c r="O2253" t="s">
        <v>134</v>
      </c>
      <c r="P2253" t="s">
        <v>121</v>
      </c>
      <c r="R2253" t="s">
        <v>122</v>
      </c>
      <c r="S2253" t="s">
        <v>123</v>
      </c>
      <c r="T2253">
        <v>290.10000000000002</v>
      </c>
      <c r="U2253">
        <v>283.5</v>
      </c>
      <c r="V2253">
        <f t="shared" si="70"/>
        <v>286.8</v>
      </c>
      <c r="W2253">
        <f t="shared" si="71"/>
        <v>6.6000000000000227</v>
      </c>
      <c r="X2253">
        <v>-98.405997999999997</v>
      </c>
      <c r="Y2253">
        <v>34.775500999999998</v>
      </c>
      <c r="Z2253" t="s">
        <v>90</v>
      </c>
      <c r="AA2253" t="s">
        <v>66</v>
      </c>
      <c r="AB2253" t="s">
        <v>407</v>
      </c>
      <c r="AC2253" t="s">
        <v>1388</v>
      </c>
      <c r="AH2253" t="s">
        <v>72</v>
      </c>
      <c r="AI2253" t="s">
        <v>1395</v>
      </c>
      <c r="AJ2253">
        <v>1999</v>
      </c>
      <c r="AK2253" t="s">
        <v>1390</v>
      </c>
      <c r="AM2253" t="s">
        <v>1391</v>
      </c>
      <c r="AN2253" t="s">
        <v>192</v>
      </c>
      <c r="AO2253">
        <v>4</v>
      </c>
      <c r="AP2253" t="s">
        <v>78</v>
      </c>
      <c r="AQ2253" t="s">
        <v>1392</v>
      </c>
      <c r="AR2253" t="s">
        <v>80</v>
      </c>
      <c r="AS2253">
        <v>101</v>
      </c>
      <c r="AT2253" t="s">
        <v>81</v>
      </c>
      <c r="AU2253">
        <v>-29.29</v>
      </c>
      <c r="AV2253">
        <v>-0.39</v>
      </c>
      <c r="AW2253" t="s">
        <v>82</v>
      </c>
      <c r="AX2253">
        <v>101</v>
      </c>
      <c r="AY2253" t="s">
        <v>81</v>
      </c>
      <c r="AZ2253">
        <v>-28.82</v>
      </c>
      <c r="BA2253">
        <v>0.54</v>
      </c>
      <c r="BB2253" t="s">
        <v>83</v>
      </c>
    </row>
    <row r="2254" spans="1:54" x14ac:dyDescent="0.4">
      <c r="A2254">
        <v>629477</v>
      </c>
      <c r="D2254" t="s">
        <v>54</v>
      </c>
      <c r="E2254" t="s">
        <v>154</v>
      </c>
      <c r="F2254" t="s">
        <v>1386</v>
      </c>
      <c r="G2254">
        <v>1</v>
      </c>
      <c r="H2254" t="s">
        <v>56</v>
      </c>
      <c r="I2254" t="s">
        <v>57</v>
      </c>
      <c r="K2254" t="s">
        <v>275</v>
      </c>
      <c r="L2254" t="s">
        <v>276</v>
      </c>
      <c r="M2254" t="s">
        <v>60</v>
      </c>
      <c r="N2254" t="s">
        <v>119</v>
      </c>
      <c r="O2254" t="s">
        <v>134</v>
      </c>
      <c r="P2254" t="s">
        <v>121</v>
      </c>
      <c r="R2254" t="s">
        <v>122</v>
      </c>
      <c r="S2254" t="s">
        <v>123</v>
      </c>
      <c r="T2254">
        <v>290.10000000000002</v>
      </c>
      <c r="U2254">
        <v>283.5</v>
      </c>
      <c r="V2254">
        <f t="shared" si="70"/>
        <v>286.8</v>
      </c>
      <c r="W2254">
        <f t="shared" si="71"/>
        <v>6.6000000000000227</v>
      </c>
      <c r="X2254">
        <v>-98.405997999999997</v>
      </c>
      <c r="Y2254">
        <v>34.775500999999998</v>
      </c>
      <c r="Z2254" t="s">
        <v>90</v>
      </c>
      <c r="AA2254" t="s">
        <v>66</v>
      </c>
      <c r="AB2254" t="s">
        <v>407</v>
      </c>
      <c r="AC2254" t="s">
        <v>1388</v>
      </c>
      <c r="AH2254" t="s">
        <v>72</v>
      </c>
      <c r="AI2254" t="s">
        <v>1395</v>
      </c>
      <c r="AJ2254">
        <v>1999</v>
      </c>
      <c r="AK2254" t="s">
        <v>1390</v>
      </c>
      <c r="AM2254" t="s">
        <v>1391</v>
      </c>
      <c r="AN2254" t="s">
        <v>192</v>
      </c>
      <c r="AO2254">
        <v>4</v>
      </c>
      <c r="AP2254" t="s">
        <v>78</v>
      </c>
      <c r="AQ2254" t="s">
        <v>1392</v>
      </c>
      <c r="AR2254" t="s">
        <v>80</v>
      </c>
      <c r="AS2254">
        <v>101</v>
      </c>
      <c r="AT2254" t="s">
        <v>81</v>
      </c>
      <c r="AU2254">
        <v>-29.29</v>
      </c>
      <c r="AV2254">
        <v>-0.39</v>
      </c>
      <c r="AW2254" t="s">
        <v>82</v>
      </c>
      <c r="AX2254">
        <v>101</v>
      </c>
      <c r="AY2254" t="s">
        <v>81</v>
      </c>
      <c r="AZ2254">
        <v>-28.82</v>
      </c>
      <c r="BA2254">
        <v>0.54</v>
      </c>
      <c r="BB2254" t="s">
        <v>83</v>
      </c>
    </row>
    <row r="2255" spans="1:54" x14ac:dyDescent="0.4">
      <c r="A2255">
        <v>629477</v>
      </c>
      <c r="D2255" t="s">
        <v>54</v>
      </c>
      <c r="E2255" t="s">
        <v>154</v>
      </c>
      <c r="F2255" t="s">
        <v>1386</v>
      </c>
      <c r="G2255">
        <v>1</v>
      </c>
      <c r="H2255" t="s">
        <v>56</v>
      </c>
      <c r="I2255" t="s">
        <v>57</v>
      </c>
      <c r="K2255" t="s">
        <v>275</v>
      </c>
      <c r="L2255" t="s">
        <v>276</v>
      </c>
      <c r="M2255" t="s">
        <v>60</v>
      </c>
      <c r="N2255" t="s">
        <v>119</v>
      </c>
      <c r="O2255" t="s">
        <v>134</v>
      </c>
      <c r="P2255" t="s">
        <v>121</v>
      </c>
      <c r="R2255" t="s">
        <v>122</v>
      </c>
      <c r="S2255" t="s">
        <v>123</v>
      </c>
      <c r="T2255">
        <v>290.10000000000002</v>
      </c>
      <c r="U2255">
        <v>283.5</v>
      </c>
      <c r="V2255">
        <f t="shared" si="70"/>
        <v>286.8</v>
      </c>
      <c r="W2255">
        <f t="shared" si="71"/>
        <v>6.6000000000000227</v>
      </c>
      <c r="X2255">
        <v>-98.405997999999997</v>
      </c>
      <c r="Y2255">
        <v>34.775500999999998</v>
      </c>
      <c r="Z2255" t="s">
        <v>90</v>
      </c>
      <c r="AA2255" t="s">
        <v>66</v>
      </c>
      <c r="AB2255" t="s">
        <v>407</v>
      </c>
      <c r="AC2255" t="s">
        <v>1388</v>
      </c>
      <c r="AH2255" t="s">
        <v>72</v>
      </c>
      <c r="AI2255" t="s">
        <v>1395</v>
      </c>
      <c r="AJ2255">
        <v>1999</v>
      </c>
      <c r="AK2255" t="s">
        <v>1390</v>
      </c>
      <c r="AM2255" t="s">
        <v>1391</v>
      </c>
      <c r="AN2255" t="s">
        <v>192</v>
      </c>
      <c r="AO2255">
        <v>4</v>
      </c>
      <c r="AP2255" t="s">
        <v>78</v>
      </c>
      <c r="AQ2255" t="s">
        <v>1392</v>
      </c>
      <c r="AR2255" t="s">
        <v>80</v>
      </c>
      <c r="AS2255">
        <v>101</v>
      </c>
      <c r="AT2255" t="s">
        <v>81</v>
      </c>
      <c r="AU2255">
        <v>-29.29</v>
      </c>
      <c r="AV2255">
        <v>-0.39</v>
      </c>
      <c r="AW2255" t="s">
        <v>82</v>
      </c>
      <c r="AX2255">
        <v>101</v>
      </c>
      <c r="AY2255" t="s">
        <v>81</v>
      </c>
      <c r="AZ2255">
        <v>-28.82</v>
      </c>
      <c r="BA2255">
        <v>0.54</v>
      </c>
      <c r="BB2255" t="s">
        <v>83</v>
      </c>
    </row>
    <row r="2256" spans="1:54" x14ac:dyDescent="0.4">
      <c r="A2256">
        <v>629477</v>
      </c>
      <c r="D2256" t="s">
        <v>54</v>
      </c>
      <c r="E2256" t="s">
        <v>154</v>
      </c>
      <c r="F2256" t="s">
        <v>1386</v>
      </c>
      <c r="G2256">
        <v>1</v>
      </c>
      <c r="H2256" t="s">
        <v>56</v>
      </c>
      <c r="I2256" t="s">
        <v>57</v>
      </c>
      <c r="K2256" t="s">
        <v>275</v>
      </c>
      <c r="L2256" t="s">
        <v>276</v>
      </c>
      <c r="M2256" t="s">
        <v>60</v>
      </c>
      <c r="N2256" t="s">
        <v>119</v>
      </c>
      <c r="O2256" t="s">
        <v>134</v>
      </c>
      <c r="P2256" t="s">
        <v>121</v>
      </c>
      <c r="R2256" t="s">
        <v>122</v>
      </c>
      <c r="S2256" t="s">
        <v>123</v>
      </c>
      <c r="T2256">
        <v>290.10000000000002</v>
      </c>
      <c r="U2256">
        <v>283.5</v>
      </c>
      <c r="V2256">
        <f t="shared" si="70"/>
        <v>286.8</v>
      </c>
      <c r="W2256">
        <f t="shared" si="71"/>
        <v>6.6000000000000227</v>
      </c>
      <c r="X2256">
        <v>-98.405997999999997</v>
      </c>
      <c r="Y2256">
        <v>34.775500999999998</v>
      </c>
      <c r="Z2256" t="s">
        <v>90</v>
      </c>
      <c r="AA2256" t="s">
        <v>66</v>
      </c>
      <c r="AB2256" t="s">
        <v>407</v>
      </c>
      <c r="AC2256" t="s">
        <v>1388</v>
      </c>
      <c r="AH2256" t="s">
        <v>72</v>
      </c>
      <c r="AI2256" t="s">
        <v>1395</v>
      </c>
      <c r="AJ2256">
        <v>1999</v>
      </c>
      <c r="AK2256" t="s">
        <v>1390</v>
      </c>
      <c r="AM2256" t="s">
        <v>1391</v>
      </c>
      <c r="AN2256" t="s">
        <v>192</v>
      </c>
      <c r="AO2256">
        <v>4</v>
      </c>
      <c r="AP2256" t="s">
        <v>78</v>
      </c>
      <c r="AQ2256" t="s">
        <v>1392</v>
      </c>
      <c r="AR2256" t="s">
        <v>80</v>
      </c>
      <c r="AS2256">
        <v>101</v>
      </c>
      <c r="AT2256" t="s">
        <v>81</v>
      </c>
      <c r="AU2256">
        <v>-29.29</v>
      </c>
      <c r="AV2256">
        <v>-0.39</v>
      </c>
      <c r="AW2256" t="s">
        <v>82</v>
      </c>
      <c r="AX2256">
        <v>101</v>
      </c>
      <c r="AY2256" t="s">
        <v>81</v>
      </c>
      <c r="AZ2256">
        <v>-28.82</v>
      </c>
      <c r="BA2256">
        <v>0.54</v>
      </c>
      <c r="BB2256" t="s">
        <v>83</v>
      </c>
    </row>
    <row r="2257" spans="1:54" x14ac:dyDescent="0.4">
      <c r="A2257">
        <v>629477</v>
      </c>
      <c r="D2257" t="s">
        <v>54</v>
      </c>
      <c r="E2257" t="s">
        <v>154</v>
      </c>
      <c r="F2257" t="s">
        <v>1386</v>
      </c>
      <c r="G2257">
        <v>1</v>
      </c>
      <c r="H2257" t="s">
        <v>56</v>
      </c>
      <c r="I2257" t="s">
        <v>57</v>
      </c>
      <c r="K2257" t="s">
        <v>275</v>
      </c>
      <c r="L2257" t="s">
        <v>276</v>
      </c>
      <c r="M2257" t="s">
        <v>60</v>
      </c>
      <c r="N2257" t="s">
        <v>119</v>
      </c>
      <c r="O2257" t="s">
        <v>134</v>
      </c>
      <c r="P2257" t="s">
        <v>121</v>
      </c>
      <c r="R2257" t="s">
        <v>122</v>
      </c>
      <c r="S2257" t="s">
        <v>123</v>
      </c>
      <c r="T2257">
        <v>290.10000000000002</v>
      </c>
      <c r="U2257">
        <v>283.5</v>
      </c>
      <c r="V2257">
        <f t="shared" si="70"/>
        <v>286.8</v>
      </c>
      <c r="W2257">
        <f t="shared" si="71"/>
        <v>6.6000000000000227</v>
      </c>
      <c r="X2257">
        <v>-98.405997999999997</v>
      </c>
      <c r="Y2257">
        <v>34.775500999999998</v>
      </c>
      <c r="Z2257" t="s">
        <v>90</v>
      </c>
      <c r="AA2257" t="s">
        <v>66</v>
      </c>
      <c r="AB2257" t="s">
        <v>407</v>
      </c>
      <c r="AC2257" t="s">
        <v>1388</v>
      </c>
      <c r="AH2257" t="s">
        <v>72</v>
      </c>
      <c r="AI2257" t="s">
        <v>1395</v>
      </c>
      <c r="AJ2257">
        <v>1999</v>
      </c>
      <c r="AK2257" t="s">
        <v>1390</v>
      </c>
      <c r="AM2257" t="s">
        <v>1391</v>
      </c>
      <c r="AN2257" t="s">
        <v>192</v>
      </c>
      <c r="AO2257">
        <v>4</v>
      </c>
      <c r="AP2257" t="s">
        <v>78</v>
      </c>
      <c r="AQ2257" t="s">
        <v>1392</v>
      </c>
      <c r="AR2257" t="s">
        <v>80</v>
      </c>
      <c r="AS2257">
        <v>101</v>
      </c>
      <c r="AT2257" t="s">
        <v>81</v>
      </c>
      <c r="AU2257">
        <v>-29.29</v>
      </c>
      <c r="AV2257">
        <v>-0.39</v>
      </c>
      <c r="AW2257" t="s">
        <v>82</v>
      </c>
      <c r="AX2257">
        <v>101</v>
      </c>
      <c r="AY2257" t="s">
        <v>81</v>
      </c>
      <c r="AZ2257">
        <v>-28.82</v>
      </c>
      <c r="BA2257">
        <v>0.54</v>
      </c>
      <c r="BB2257" t="s">
        <v>83</v>
      </c>
    </row>
    <row r="2258" spans="1:54" x14ac:dyDescent="0.4">
      <c r="A2258">
        <v>629477</v>
      </c>
      <c r="D2258" t="s">
        <v>54</v>
      </c>
      <c r="E2258" t="s">
        <v>154</v>
      </c>
      <c r="F2258" t="s">
        <v>1386</v>
      </c>
      <c r="G2258">
        <v>1</v>
      </c>
      <c r="H2258" t="s">
        <v>56</v>
      </c>
      <c r="I2258" t="s">
        <v>57</v>
      </c>
      <c r="K2258" t="s">
        <v>275</v>
      </c>
      <c r="L2258" t="s">
        <v>276</v>
      </c>
      <c r="M2258" t="s">
        <v>60</v>
      </c>
      <c r="N2258" t="s">
        <v>119</v>
      </c>
      <c r="O2258" t="s">
        <v>134</v>
      </c>
      <c r="P2258" t="s">
        <v>121</v>
      </c>
      <c r="R2258" t="s">
        <v>122</v>
      </c>
      <c r="S2258" t="s">
        <v>123</v>
      </c>
      <c r="T2258">
        <v>290.10000000000002</v>
      </c>
      <c r="U2258">
        <v>283.5</v>
      </c>
      <c r="V2258">
        <f t="shared" si="70"/>
        <v>286.8</v>
      </c>
      <c r="W2258">
        <f t="shared" si="71"/>
        <v>6.6000000000000227</v>
      </c>
      <c r="X2258">
        <v>-98.405997999999997</v>
      </c>
      <c r="Y2258">
        <v>34.775500999999998</v>
      </c>
      <c r="Z2258" t="s">
        <v>90</v>
      </c>
      <c r="AA2258" t="s">
        <v>66</v>
      </c>
      <c r="AB2258" t="s">
        <v>407</v>
      </c>
      <c r="AC2258" t="s">
        <v>1388</v>
      </c>
      <c r="AH2258" t="s">
        <v>72</v>
      </c>
      <c r="AI2258" t="s">
        <v>1395</v>
      </c>
      <c r="AJ2258">
        <v>1999</v>
      </c>
      <c r="AK2258" t="s">
        <v>1390</v>
      </c>
      <c r="AM2258" t="s">
        <v>1391</v>
      </c>
      <c r="AN2258" t="s">
        <v>192</v>
      </c>
      <c r="AO2258">
        <v>4</v>
      </c>
      <c r="AP2258" t="s">
        <v>78</v>
      </c>
      <c r="AQ2258" t="s">
        <v>1392</v>
      </c>
      <c r="AR2258" t="s">
        <v>80</v>
      </c>
      <c r="AS2258">
        <v>101</v>
      </c>
      <c r="AT2258" t="s">
        <v>81</v>
      </c>
      <c r="AU2258">
        <v>-29.29</v>
      </c>
      <c r="AV2258">
        <v>-0.39</v>
      </c>
      <c r="AW2258" t="s">
        <v>82</v>
      </c>
      <c r="AX2258">
        <v>101</v>
      </c>
      <c r="AY2258" t="s">
        <v>81</v>
      </c>
      <c r="AZ2258">
        <v>-28.82</v>
      </c>
      <c r="BA2258">
        <v>0.54</v>
      </c>
      <c r="BB2258" t="s">
        <v>83</v>
      </c>
    </row>
    <row r="2259" spans="1:54" x14ac:dyDescent="0.4">
      <c r="A2259">
        <v>629477</v>
      </c>
      <c r="D2259" t="s">
        <v>54</v>
      </c>
      <c r="E2259" t="s">
        <v>154</v>
      </c>
      <c r="F2259" t="s">
        <v>1386</v>
      </c>
      <c r="G2259">
        <v>1</v>
      </c>
      <c r="H2259" t="s">
        <v>56</v>
      </c>
      <c r="I2259" t="s">
        <v>57</v>
      </c>
      <c r="K2259" t="s">
        <v>275</v>
      </c>
      <c r="L2259" t="s">
        <v>276</v>
      </c>
      <c r="M2259" t="s">
        <v>60</v>
      </c>
      <c r="N2259" t="s">
        <v>119</v>
      </c>
      <c r="O2259" t="s">
        <v>134</v>
      </c>
      <c r="P2259" t="s">
        <v>121</v>
      </c>
      <c r="R2259" t="s">
        <v>122</v>
      </c>
      <c r="S2259" t="s">
        <v>123</v>
      </c>
      <c r="T2259">
        <v>290.10000000000002</v>
      </c>
      <c r="U2259">
        <v>283.5</v>
      </c>
      <c r="V2259">
        <f t="shared" si="70"/>
        <v>286.8</v>
      </c>
      <c r="W2259">
        <f t="shared" si="71"/>
        <v>6.6000000000000227</v>
      </c>
      <c r="X2259">
        <v>-98.405997999999997</v>
      </c>
      <c r="Y2259">
        <v>34.775500999999998</v>
      </c>
      <c r="Z2259" t="s">
        <v>90</v>
      </c>
      <c r="AA2259" t="s">
        <v>66</v>
      </c>
      <c r="AB2259" t="s">
        <v>407</v>
      </c>
      <c r="AC2259" t="s">
        <v>1388</v>
      </c>
      <c r="AH2259" t="s">
        <v>72</v>
      </c>
      <c r="AI2259" t="s">
        <v>1395</v>
      </c>
      <c r="AJ2259">
        <v>1999</v>
      </c>
      <c r="AK2259" t="s">
        <v>1390</v>
      </c>
      <c r="AM2259" t="s">
        <v>1391</v>
      </c>
      <c r="AN2259" t="s">
        <v>192</v>
      </c>
      <c r="AO2259">
        <v>4</v>
      </c>
      <c r="AP2259" t="s">
        <v>78</v>
      </c>
      <c r="AQ2259" t="s">
        <v>1392</v>
      </c>
      <c r="AR2259" t="s">
        <v>80</v>
      </c>
      <c r="AS2259">
        <v>101</v>
      </c>
      <c r="AT2259" t="s">
        <v>81</v>
      </c>
      <c r="AU2259">
        <v>-29.29</v>
      </c>
      <c r="AV2259">
        <v>-0.39</v>
      </c>
      <c r="AW2259" t="s">
        <v>82</v>
      </c>
      <c r="AX2259">
        <v>101</v>
      </c>
      <c r="AY2259" t="s">
        <v>81</v>
      </c>
      <c r="AZ2259">
        <v>-28.82</v>
      </c>
      <c r="BA2259">
        <v>0.54</v>
      </c>
      <c r="BB2259" t="s">
        <v>83</v>
      </c>
    </row>
    <row r="2260" spans="1:54" x14ac:dyDescent="0.4">
      <c r="A2260">
        <v>629477</v>
      </c>
      <c r="D2260" t="s">
        <v>54</v>
      </c>
      <c r="E2260" t="s">
        <v>154</v>
      </c>
      <c r="F2260" t="s">
        <v>1386</v>
      </c>
      <c r="G2260">
        <v>1</v>
      </c>
      <c r="H2260" t="s">
        <v>56</v>
      </c>
      <c r="I2260" t="s">
        <v>57</v>
      </c>
      <c r="K2260" t="s">
        <v>275</v>
      </c>
      <c r="L2260" t="s">
        <v>276</v>
      </c>
      <c r="M2260" t="s">
        <v>60</v>
      </c>
      <c r="N2260" t="s">
        <v>119</v>
      </c>
      <c r="O2260" t="s">
        <v>134</v>
      </c>
      <c r="P2260" t="s">
        <v>121</v>
      </c>
      <c r="R2260" t="s">
        <v>122</v>
      </c>
      <c r="S2260" t="s">
        <v>123</v>
      </c>
      <c r="T2260">
        <v>290.10000000000002</v>
      </c>
      <c r="U2260">
        <v>283.5</v>
      </c>
      <c r="V2260">
        <f t="shared" si="70"/>
        <v>286.8</v>
      </c>
      <c r="W2260">
        <f t="shared" si="71"/>
        <v>6.6000000000000227</v>
      </c>
      <c r="X2260">
        <v>-98.405997999999997</v>
      </c>
      <c r="Y2260">
        <v>34.775500999999998</v>
      </c>
      <c r="Z2260" t="s">
        <v>90</v>
      </c>
      <c r="AA2260" t="s">
        <v>66</v>
      </c>
      <c r="AB2260" t="s">
        <v>407</v>
      </c>
      <c r="AC2260" t="s">
        <v>1388</v>
      </c>
      <c r="AH2260" t="s">
        <v>72</v>
      </c>
      <c r="AI2260" t="s">
        <v>1395</v>
      </c>
      <c r="AJ2260">
        <v>1999</v>
      </c>
      <c r="AK2260" t="s">
        <v>1390</v>
      </c>
      <c r="AM2260" t="s">
        <v>1391</v>
      </c>
      <c r="AN2260" t="s">
        <v>192</v>
      </c>
      <c r="AO2260">
        <v>4</v>
      </c>
      <c r="AP2260" t="s">
        <v>78</v>
      </c>
      <c r="AQ2260" t="s">
        <v>1392</v>
      </c>
      <c r="AR2260" t="s">
        <v>80</v>
      </c>
      <c r="AS2260">
        <v>101</v>
      </c>
      <c r="AT2260" t="s">
        <v>81</v>
      </c>
      <c r="AU2260">
        <v>-29.29</v>
      </c>
      <c r="AV2260">
        <v>-0.39</v>
      </c>
      <c r="AW2260" t="s">
        <v>82</v>
      </c>
      <c r="AX2260">
        <v>101</v>
      </c>
      <c r="AY2260" t="s">
        <v>81</v>
      </c>
      <c r="AZ2260">
        <v>-28.82</v>
      </c>
      <c r="BA2260">
        <v>0.54</v>
      </c>
      <c r="BB2260" t="s">
        <v>83</v>
      </c>
    </row>
    <row r="2261" spans="1:54" x14ac:dyDescent="0.4">
      <c r="A2261">
        <v>629477</v>
      </c>
      <c r="D2261" t="s">
        <v>54</v>
      </c>
      <c r="E2261" t="s">
        <v>154</v>
      </c>
      <c r="F2261" t="s">
        <v>1386</v>
      </c>
      <c r="G2261">
        <v>1</v>
      </c>
      <c r="H2261" t="s">
        <v>56</v>
      </c>
      <c r="I2261" t="s">
        <v>57</v>
      </c>
      <c r="K2261" t="s">
        <v>275</v>
      </c>
      <c r="L2261" t="s">
        <v>276</v>
      </c>
      <c r="M2261" t="s">
        <v>60</v>
      </c>
      <c r="N2261" t="s">
        <v>119</v>
      </c>
      <c r="O2261" t="s">
        <v>134</v>
      </c>
      <c r="P2261" t="s">
        <v>121</v>
      </c>
      <c r="R2261" t="s">
        <v>122</v>
      </c>
      <c r="S2261" t="s">
        <v>123</v>
      </c>
      <c r="T2261">
        <v>290.10000000000002</v>
      </c>
      <c r="U2261">
        <v>283.5</v>
      </c>
      <c r="V2261">
        <f t="shared" si="70"/>
        <v>286.8</v>
      </c>
      <c r="W2261">
        <f t="shared" si="71"/>
        <v>6.6000000000000227</v>
      </c>
      <c r="X2261">
        <v>-98.405997999999997</v>
      </c>
      <c r="Y2261">
        <v>34.775500999999998</v>
      </c>
      <c r="Z2261" t="s">
        <v>90</v>
      </c>
      <c r="AA2261" t="s">
        <v>66</v>
      </c>
      <c r="AB2261" t="s">
        <v>407</v>
      </c>
      <c r="AC2261" t="s">
        <v>1388</v>
      </c>
      <c r="AH2261" t="s">
        <v>72</v>
      </c>
      <c r="AI2261" t="s">
        <v>1395</v>
      </c>
      <c r="AJ2261">
        <v>1999</v>
      </c>
      <c r="AK2261" t="s">
        <v>1390</v>
      </c>
      <c r="AM2261" t="s">
        <v>1391</v>
      </c>
      <c r="AN2261" t="s">
        <v>192</v>
      </c>
      <c r="AO2261">
        <v>4</v>
      </c>
      <c r="AP2261" t="s">
        <v>78</v>
      </c>
      <c r="AQ2261" t="s">
        <v>1392</v>
      </c>
      <c r="AR2261" t="s">
        <v>80</v>
      </c>
      <c r="AS2261">
        <v>101</v>
      </c>
      <c r="AT2261" t="s">
        <v>81</v>
      </c>
      <c r="AU2261">
        <v>-29.29</v>
      </c>
      <c r="AV2261">
        <v>-0.39</v>
      </c>
      <c r="AW2261" t="s">
        <v>82</v>
      </c>
      <c r="AX2261">
        <v>101</v>
      </c>
      <c r="AY2261" t="s">
        <v>81</v>
      </c>
      <c r="AZ2261">
        <v>-28.82</v>
      </c>
      <c r="BA2261">
        <v>0.54</v>
      </c>
      <c r="BB2261" t="s">
        <v>83</v>
      </c>
    </row>
    <row r="2262" spans="1:54" x14ac:dyDescent="0.4">
      <c r="A2262">
        <v>629477</v>
      </c>
      <c r="D2262" t="s">
        <v>54</v>
      </c>
      <c r="E2262" t="s">
        <v>154</v>
      </c>
      <c r="F2262" t="s">
        <v>1386</v>
      </c>
      <c r="G2262">
        <v>1</v>
      </c>
      <c r="H2262" t="s">
        <v>56</v>
      </c>
      <c r="I2262" t="s">
        <v>57</v>
      </c>
      <c r="K2262" t="s">
        <v>275</v>
      </c>
      <c r="L2262" t="s">
        <v>276</v>
      </c>
      <c r="M2262" t="s">
        <v>60</v>
      </c>
      <c r="N2262" t="s">
        <v>119</v>
      </c>
      <c r="O2262" t="s">
        <v>134</v>
      </c>
      <c r="P2262" t="s">
        <v>121</v>
      </c>
      <c r="R2262" t="s">
        <v>122</v>
      </c>
      <c r="S2262" t="s">
        <v>123</v>
      </c>
      <c r="T2262">
        <v>290.10000000000002</v>
      </c>
      <c r="U2262">
        <v>283.5</v>
      </c>
      <c r="V2262">
        <f t="shared" si="70"/>
        <v>286.8</v>
      </c>
      <c r="W2262">
        <f t="shared" si="71"/>
        <v>6.6000000000000227</v>
      </c>
      <c r="X2262">
        <v>-98.405997999999997</v>
      </c>
      <c r="Y2262">
        <v>34.775500999999998</v>
      </c>
      <c r="Z2262" t="s">
        <v>90</v>
      </c>
      <c r="AA2262" t="s">
        <v>66</v>
      </c>
      <c r="AB2262" t="s">
        <v>407</v>
      </c>
      <c r="AC2262" t="s">
        <v>1388</v>
      </c>
      <c r="AH2262" t="s">
        <v>72</v>
      </c>
      <c r="AI2262" t="s">
        <v>1395</v>
      </c>
      <c r="AJ2262">
        <v>1999</v>
      </c>
      <c r="AK2262" t="s">
        <v>1390</v>
      </c>
      <c r="AM2262" t="s">
        <v>1391</v>
      </c>
      <c r="AN2262" t="s">
        <v>192</v>
      </c>
      <c r="AO2262">
        <v>4</v>
      </c>
      <c r="AP2262" t="s">
        <v>78</v>
      </c>
      <c r="AQ2262" t="s">
        <v>1392</v>
      </c>
      <c r="AR2262" t="s">
        <v>80</v>
      </c>
      <c r="AS2262">
        <v>101</v>
      </c>
      <c r="AT2262" t="s">
        <v>81</v>
      </c>
      <c r="AU2262">
        <v>-29.29</v>
      </c>
      <c r="AV2262">
        <v>-0.39</v>
      </c>
      <c r="AW2262" t="s">
        <v>82</v>
      </c>
      <c r="AX2262">
        <v>101</v>
      </c>
      <c r="AY2262" t="s">
        <v>81</v>
      </c>
      <c r="AZ2262">
        <v>-28.82</v>
      </c>
      <c r="BA2262">
        <v>0.54</v>
      </c>
      <c r="BB2262" t="s">
        <v>83</v>
      </c>
    </row>
    <row r="2263" spans="1:54" x14ac:dyDescent="0.4">
      <c r="A2263">
        <v>629477</v>
      </c>
      <c r="D2263" t="s">
        <v>54</v>
      </c>
      <c r="E2263" t="s">
        <v>154</v>
      </c>
      <c r="F2263" t="s">
        <v>1386</v>
      </c>
      <c r="G2263">
        <v>1</v>
      </c>
      <c r="H2263" t="s">
        <v>56</v>
      </c>
      <c r="I2263" t="s">
        <v>57</v>
      </c>
      <c r="K2263" t="s">
        <v>275</v>
      </c>
      <c r="L2263" t="s">
        <v>276</v>
      </c>
      <c r="M2263" t="s">
        <v>60</v>
      </c>
      <c r="N2263" t="s">
        <v>119</v>
      </c>
      <c r="O2263" t="s">
        <v>134</v>
      </c>
      <c r="P2263" t="s">
        <v>121</v>
      </c>
      <c r="R2263" t="s">
        <v>122</v>
      </c>
      <c r="S2263" t="s">
        <v>123</v>
      </c>
      <c r="T2263">
        <v>290.10000000000002</v>
      </c>
      <c r="U2263">
        <v>283.5</v>
      </c>
      <c r="V2263">
        <f t="shared" si="70"/>
        <v>286.8</v>
      </c>
      <c r="W2263">
        <f t="shared" si="71"/>
        <v>6.6000000000000227</v>
      </c>
      <c r="X2263">
        <v>-98.405997999999997</v>
      </c>
      <c r="Y2263">
        <v>34.775500999999998</v>
      </c>
      <c r="Z2263" t="s">
        <v>90</v>
      </c>
      <c r="AA2263" t="s">
        <v>66</v>
      </c>
      <c r="AB2263" t="s">
        <v>407</v>
      </c>
      <c r="AC2263" t="s">
        <v>1388</v>
      </c>
      <c r="AH2263" t="s">
        <v>72</v>
      </c>
      <c r="AI2263" t="s">
        <v>1395</v>
      </c>
      <c r="AJ2263">
        <v>1999</v>
      </c>
      <c r="AK2263" t="s">
        <v>1390</v>
      </c>
      <c r="AM2263" t="s">
        <v>1391</v>
      </c>
      <c r="AN2263" t="s">
        <v>192</v>
      </c>
      <c r="AO2263">
        <v>4</v>
      </c>
      <c r="AP2263" t="s">
        <v>78</v>
      </c>
      <c r="AQ2263" t="s">
        <v>1392</v>
      </c>
      <c r="AR2263" t="s">
        <v>80</v>
      </c>
      <c r="AS2263">
        <v>101</v>
      </c>
      <c r="AT2263" t="s">
        <v>81</v>
      </c>
      <c r="AU2263">
        <v>-29.29</v>
      </c>
      <c r="AV2263">
        <v>-0.39</v>
      </c>
      <c r="AW2263" t="s">
        <v>82</v>
      </c>
      <c r="AX2263">
        <v>101</v>
      </c>
      <c r="AY2263" t="s">
        <v>81</v>
      </c>
      <c r="AZ2263">
        <v>-28.82</v>
      </c>
      <c r="BA2263">
        <v>0.54</v>
      </c>
      <c r="BB2263" t="s">
        <v>83</v>
      </c>
    </row>
    <row r="2264" spans="1:54" x14ac:dyDescent="0.4">
      <c r="A2264">
        <v>629477</v>
      </c>
      <c r="D2264" t="s">
        <v>54</v>
      </c>
      <c r="E2264" t="s">
        <v>154</v>
      </c>
      <c r="F2264" t="s">
        <v>1386</v>
      </c>
      <c r="G2264">
        <v>1</v>
      </c>
      <c r="H2264" t="s">
        <v>56</v>
      </c>
      <c r="I2264" t="s">
        <v>57</v>
      </c>
      <c r="K2264" t="s">
        <v>275</v>
      </c>
      <c r="L2264" t="s">
        <v>276</v>
      </c>
      <c r="M2264" t="s">
        <v>60</v>
      </c>
      <c r="N2264" t="s">
        <v>119</v>
      </c>
      <c r="O2264" t="s">
        <v>134</v>
      </c>
      <c r="P2264" t="s">
        <v>121</v>
      </c>
      <c r="R2264" t="s">
        <v>122</v>
      </c>
      <c r="S2264" t="s">
        <v>123</v>
      </c>
      <c r="T2264">
        <v>290.10000000000002</v>
      </c>
      <c r="U2264">
        <v>283.5</v>
      </c>
      <c r="V2264">
        <f t="shared" si="70"/>
        <v>286.8</v>
      </c>
      <c r="W2264">
        <f t="shared" si="71"/>
        <v>6.6000000000000227</v>
      </c>
      <c r="X2264">
        <v>-98.405997999999997</v>
      </c>
      <c r="Y2264">
        <v>34.775500999999998</v>
      </c>
      <c r="Z2264" t="s">
        <v>90</v>
      </c>
      <c r="AA2264" t="s">
        <v>66</v>
      </c>
      <c r="AB2264" t="s">
        <v>407</v>
      </c>
      <c r="AC2264" t="s">
        <v>1388</v>
      </c>
      <c r="AH2264" t="s">
        <v>72</v>
      </c>
      <c r="AI2264" t="s">
        <v>1395</v>
      </c>
      <c r="AJ2264">
        <v>1999</v>
      </c>
      <c r="AK2264" t="s">
        <v>1390</v>
      </c>
      <c r="AM2264" t="s">
        <v>1391</v>
      </c>
      <c r="AN2264" t="s">
        <v>192</v>
      </c>
      <c r="AO2264">
        <v>4</v>
      </c>
      <c r="AP2264" t="s">
        <v>78</v>
      </c>
      <c r="AQ2264" t="s">
        <v>1392</v>
      </c>
      <c r="AR2264" t="s">
        <v>80</v>
      </c>
      <c r="AS2264">
        <v>101</v>
      </c>
      <c r="AT2264" t="s">
        <v>81</v>
      </c>
      <c r="AU2264">
        <v>-29.29</v>
      </c>
      <c r="AV2264">
        <v>-0.39</v>
      </c>
      <c r="AW2264" t="s">
        <v>82</v>
      </c>
      <c r="AX2264">
        <v>101</v>
      </c>
      <c r="AY2264" t="s">
        <v>81</v>
      </c>
      <c r="AZ2264">
        <v>-28.82</v>
      </c>
      <c r="BA2264">
        <v>0.54</v>
      </c>
      <c r="BB2264" t="s">
        <v>83</v>
      </c>
    </row>
    <row r="2265" spans="1:54" x14ac:dyDescent="0.4">
      <c r="A2265">
        <v>629477</v>
      </c>
      <c r="D2265" t="s">
        <v>54</v>
      </c>
      <c r="E2265" t="s">
        <v>154</v>
      </c>
      <c r="F2265" t="s">
        <v>1386</v>
      </c>
      <c r="G2265">
        <v>1</v>
      </c>
      <c r="H2265" t="s">
        <v>56</v>
      </c>
      <c r="I2265" t="s">
        <v>57</v>
      </c>
      <c r="K2265" t="s">
        <v>275</v>
      </c>
      <c r="L2265" t="s">
        <v>276</v>
      </c>
      <c r="M2265" t="s">
        <v>60</v>
      </c>
      <c r="N2265" t="s">
        <v>119</v>
      </c>
      <c r="O2265" t="s">
        <v>134</v>
      </c>
      <c r="P2265" t="s">
        <v>121</v>
      </c>
      <c r="R2265" t="s">
        <v>122</v>
      </c>
      <c r="S2265" t="s">
        <v>123</v>
      </c>
      <c r="T2265">
        <v>290.10000000000002</v>
      </c>
      <c r="U2265">
        <v>283.5</v>
      </c>
      <c r="V2265">
        <f t="shared" si="70"/>
        <v>286.8</v>
      </c>
      <c r="W2265">
        <f t="shared" si="71"/>
        <v>6.6000000000000227</v>
      </c>
      <c r="X2265">
        <v>-98.405997999999997</v>
      </c>
      <c r="Y2265">
        <v>34.775500999999998</v>
      </c>
      <c r="Z2265" t="s">
        <v>90</v>
      </c>
      <c r="AA2265" t="s">
        <v>66</v>
      </c>
      <c r="AB2265" t="s">
        <v>407</v>
      </c>
      <c r="AC2265" t="s">
        <v>1388</v>
      </c>
      <c r="AH2265" t="s">
        <v>72</v>
      </c>
      <c r="AI2265" t="s">
        <v>1395</v>
      </c>
      <c r="AJ2265">
        <v>1999</v>
      </c>
      <c r="AK2265" t="s">
        <v>1390</v>
      </c>
      <c r="AM2265" t="s">
        <v>1391</v>
      </c>
      <c r="AN2265" t="s">
        <v>192</v>
      </c>
      <c r="AO2265">
        <v>4</v>
      </c>
      <c r="AP2265" t="s">
        <v>78</v>
      </c>
      <c r="AQ2265" t="s">
        <v>1392</v>
      </c>
      <c r="AR2265" t="s">
        <v>80</v>
      </c>
      <c r="AS2265">
        <v>101</v>
      </c>
      <c r="AT2265" t="s">
        <v>81</v>
      </c>
      <c r="AU2265">
        <v>-29.29</v>
      </c>
      <c r="AV2265">
        <v>-0.39</v>
      </c>
      <c r="AW2265" t="s">
        <v>82</v>
      </c>
      <c r="AX2265">
        <v>101</v>
      </c>
      <c r="AY2265" t="s">
        <v>81</v>
      </c>
      <c r="AZ2265">
        <v>-28.82</v>
      </c>
      <c r="BA2265">
        <v>0.54</v>
      </c>
      <c r="BB2265" t="s">
        <v>83</v>
      </c>
    </row>
    <row r="2266" spans="1:54" x14ac:dyDescent="0.4">
      <c r="A2266">
        <v>629477</v>
      </c>
      <c r="D2266" t="s">
        <v>54</v>
      </c>
      <c r="E2266" t="s">
        <v>154</v>
      </c>
      <c r="F2266" t="s">
        <v>1386</v>
      </c>
      <c r="G2266">
        <v>1</v>
      </c>
      <c r="H2266" t="s">
        <v>56</v>
      </c>
      <c r="I2266" t="s">
        <v>57</v>
      </c>
      <c r="K2266" t="s">
        <v>275</v>
      </c>
      <c r="L2266" t="s">
        <v>276</v>
      </c>
      <c r="M2266" t="s">
        <v>60</v>
      </c>
      <c r="N2266" t="s">
        <v>119</v>
      </c>
      <c r="O2266" t="s">
        <v>134</v>
      </c>
      <c r="P2266" t="s">
        <v>121</v>
      </c>
      <c r="R2266" t="s">
        <v>122</v>
      </c>
      <c r="S2266" t="s">
        <v>123</v>
      </c>
      <c r="T2266">
        <v>290.10000000000002</v>
      </c>
      <c r="U2266">
        <v>283.5</v>
      </c>
      <c r="V2266">
        <f t="shared" si="70"/>
        <v>286.8</v>
      </c>
      <c r="W2266">
        <f t="shared" si="71"/>
        <v>6.6000000000000227</v>
      </c>
      <c r="X2266">
        <v>-98.405997999999997</v>
      </c>
      <c r="Y2266">
        <v>34.775500999999998</v>
      </c>
      <c r="Z2266" t="s">
        <v>90</v>
      </c>
      <c r="AA2266" t="s">
        <v>66</v>
      </c>
      <c r="AB2266" t="s">
        <v>407</v>
      </c>
      <c r="AC2266" t="s">
        <v>1388</v>
      </c>
      <c r="AH2266" t="s">
        <v>72</v>
      </c>
      <c r="AI2266" t="s">
        <v>1395</v>
      </c>
      <c r="AJ2266">
        <v>1999</v>
      </c>
      <c r="AK2266" t="s">
        <v>1390</v>
      </c>
      <c r="AM2266" t="s">
        <v>1391</v>
      </c>
      <c r="AN2266" t="s">
        <v>192</v>
      </c>
      <c r="AO2266">
        <v>4</v>
      </c>
      <c r="AP2266" t="s">
        <v>78</v>
      </c>
      <c r="AQ2266" t="s">
        <v>1392</v>
      </c>
      <c r="AR2266" t="s">
        <v>80</v>
      </c>
      <c r="AS2266">
        <v>101</v>
      </c>
      <c r="AT2266" t="s">
        <v>81</v>
      </c>
      <c r="AU2266">
        <v>-29.29</v>
      </c>
      <c r="AV2266">
        <v>-0.39</v>
      </c>
      <c r="AW2266" t="s">
        <v>82</v>
      </c>
      <c r="AX2266">
        <v>101</v>
      </c>
      <c r="AY2266" t="s">
        <v>81</v>
      </c>
      <c r="AZ2266">
        <v>-28.82</v>
      </c>
      <c r="BA2266">
        <v>0.54</v>
      </c>
      <c r="BB2266" t="s">
        <v>83</v>
      </c>
    </row>
    <row r="2267" spans="1:54" x14ac:dyDescent="0.4">
      <c r="A2267">
        <v>629477</v>
      </c>
      <c r="D2267" t="s">
        <v>54</v>
      </c>
      <c r="E2267" t="s">
        <v>154</v>
      </c>
      <c r="F2267" t="s">
        <v>1386</v>
      </c>
      <c r="G2267">
        <v>1</v>
      </c>
      <c r="H2267" t="s">
        <v>56</v>
      </c>
      <c r="I2267" t="s">
        <v>57</v>
      </c>
      <c r="K2267" t="s">
        <v>275</v>
      </c>
      <c r="L2267" t="s">
        <v>276</v>
      </c>
      <c r="M2267" t="s">
        <v>60</v>
      </c>
      <c r="N2267" t="s">
        <v>119</v>
      </c>
      <c r="O2267" t="s">
        <v>134</v>
      </c>
      <c r="P2267" t="s">
        <v>121</v>
      </c>
      <c r="R2267" t="s">
        <v>122</v>
      </c>
      <c r="S2267" t="s">
        <v>123</v>
      </c>
      <c r="T2267">
        <v>290.10000000000002</v>
      </c>
      <c r="U2267">
        <v>283.5</v>
      </c>
      <c r="V2267">
        <f t="shared" si="70"/>
        <v>286.8</v>
      </c>
      <c r="W2267">
        <f t="shared" si="71"/>
        <v>6.6000000000000227</v>
      </c>
      <c r="X2267">
        <v>-98.405997999999997</v>
      </c>
      <c r="Y2267">
        <v>34.775500999999998</v>
      </c>
      <c r="Z2267" t="s">
        <v>90</v>
      </c>
      <c r="AA2267" t="s">
        <v>66</v>
      </c>
      <c r="AB2267" t="s">
        <v>407</v>
      </c>
      <c r="AC2267" t="s">
        <v>1388</v>
      </c>
      <c r="AH2267" t="s">
        <v>72</v>
      </c>
      <c r="AI2267" t="s">
        <v>1395</v>
      </c>
      <c r="AJ2267">
        <v>1999</v>
      </c>
      <c r="AK2267" t="s">
        <v>1390</v>
      </c>
      <c r="AM2267" t="s">
        <v>1391</v>
      </c>
      <c r="AN2267" t="s">
        <v>192</v>
      </c>
      <c r="AO2267">
        <v>4</v>
      </c>
      <c r="AP2267" t="s">
        <v>78</v>
      </c>
      <c r="AQ2267" t="s">
        <v>1392</v>
      </c>
      <c r="AR2267" t="s">
        <v>80</v>
      </c>
      <c r="AS2267">
        <v>101</v>
      </c>
      <c r="AT2267" t="s">
        <v>81</v>
      </c>
      <c r="AU2267">
        <v>-29.29</v>
      </c>
      <c r="AV2267">
        <v>-0.39</v>
      </c>
      <c r="AW2267" t="s">
        <v>82</v>
      </c>
      <c r="AX2267">
        <v>101</v>
      </c>
      <c r="AY2267" t="s">
        <v>81</v>
      </c>
      <c r="AZ2267">
        <v>-28.82</v>
      </c>
      <c r="BA2267">
        <v>0.54</v>
      </c>
      <c r="BB2267" t="s">
        <v>83</v>
      </c>
    </row>
    <row r="2268" spans="1:54" x14ac:dyDescent="0.4">
      <c r="A2268">
        <v>629477</v>
      </c>
      <c r="D2268" t="s">
        <v>54</v>
      </c>
      <c r="E2268" t="s">
        <v>154</v>
      </c>
      <c r="F2268" t="s">
        <v>1386</v>
      </c>
      <c r="G2268">
        <v>1</v>
      </c>
      <c r="H2268" t="s">
        <v>56</v>
      </c>
      <c r="I2268" t="s">
        <v>57</v>
      </c>
      <c r="K2268" t="s">
        <v>275</v>
      </c>
      <c r="L2268" t="s">
        <v>276</v>
      </c>
      <c r="M2268" t="s">
        <v>60</v>
      </c>
      <c r="N2268" t="s">
        <v>119</v>
      </c>
      <c r="O2268" t="s">
        <v>134</v>
      </c>
      <c r="P2268" t="s">
        <v>121</v>
      </c>
      <c r="R2268" t="s">
        <v>122</v>
      </c>
      <c r="S2268" t="s">
        <v>123</v>
      </c>
      <c r="T2268">
        <v>290.10000000000002</v>
      </c>
      <c r="U2268">
        <v>283.5</v>
      </c>
      <c r="V2268">
        <f t="shared" si="70"/>
        <v>286.8</v>
      </c>
      <c r="W2268">
        <f t="shared" si="71"/>
        <v>6.6000000000000227</v>
      </c>
      <c r="X2268">
        <v>-98.405997999999997</v>
      </c>
      <c r="Y2268">
        <v>34.775500999999998</v>
      </c>
      <c r="Z2268" t="s">
        <v>90</v>
      </c>
      <c r="AA2268" t="s">
        <v>66</v>
      </c>
      <c r="AB2268" t="s">
        <v>407</v>
      </c>
      <c r="AC2268" t="s">
        <v>1388</v>
      </c>
      <c r="AH2268" t="s">
        <v>72</v>
      </c>
      <c r="AI2268" t="s">
        <v>1395</v>
      </c>
      <c r="AJ2268">
        <v>1999</v>
      </c>
      <c r="AK2268" t="s">
        <v>1390</v>
      </c>
      <c r="AM2268" t="s">
        <v>1391</v>
      </c>
      <c r="AN2268" t="s">
        <v>192</v>
      </c>
      <c r="AO2268">
        <v>4</v>
      </c>
      <c r="AP2268" t="s">
        <v>78</v>
      </c>
      <c r="AQ2268" t="s">
        <v>1392</v>
      </c>
      <c r="AR2268" t="s">
        <v>80</v>
      </c>
      <c r="AS2268">
        <v>101</v>
      </c>
      <c r="AT2268" t="s">
        <v>81</v>
      </c>
      <c r="AU2268">
        <v>-29.29</v>
      </c>
      <c r="AV2268">
        <v>-0.39</v>
      </c>
      <c r="AW2268" t="s">
        <v>82</v>
      </c>
      <c r="AX2268">
        <v>101</v>
      </c>
      <c r="AY2268" t="s">
        <v>81</v>
      </c>
      <c r="AZ2268">
        <v>-28.82</v>
      </c>
      <c r="BA2268">
        <v>0.54</v>
      </c>
      <c r="BB2268" t="s">
        <v>83</v>
      </c>
    </row>
    <row r="2269" spans="1:54" x14ac:dyDescent="0.4">
      <c r="A2269">
        <v>629477</v>
      </c>
      <c r="D2269" t="s">
        <v>54</v>
      </c>
      <c r="E2269" t="s">
        <v>154</v>
      </c>
      <c r="F2269" t="s">
        <v>1386</v>
      </c>
      <c r="G2269">
        <v>1</v>
      </c>
      <c r="H2269" t="s">
        <v>56</v>
      </c>
      <c r="I2269" t="s">
        <v>57</v>
      </c>
      <c r="K2269" t="s">
        <v>275</v>
      </c>
      <c r="L2269" t="s">
        <v>276</v>
      </c>
      <c r="M2269" t="s">
        <v>60</v>
      </c>
      <c r="N2269" t="s">
        <v>119</v>
      </c>
      <c r="O2269" t="s">
        <v>134</v>
      </c>
      <c r="P2269" t="s">
        <v>121</v>
      </c>
      <c r="R2269" t="s">
        <v>122</v>
      </c>
      <c r="S2269" t="s">
        <v>123</v>
      </c>
      <c r="T2269">
        <v>290.10000000000002</v>
      </c>
      <c r="U2269">
        <v>283.5</v>
      </c>
      <c r="V2269">
        <f t="shared" si="70"/>
        <v>286.8</v>
      </c>
      <c r="W2269">
        <f t="shared" si="71"/>
        <v>6.6000000000000227</v>
      </c>
      <c r="X2269">
        <v>-98.405997999999997</v>
      </c>
      <c r="Y2269">
        <v>34.775500999999998</v>
      </c>
      <c r="Z2269" t="s">
        <v>90</v>
      </c>
      <c r="AA2269" t="s">
        <v>66</v>
      </c>
      <c r="AB2269" t="s">
        <v>407</v>
      </c>
      <c r="AC2269" t="s">
        <v>1388</v>
      </c>
      <c r="AH2269" t="s">
        <v>72</v>
      </c>
      <c r="AI2269" t="s">
        <v>1395</v>
      </c>
      <c r="AJ2269">
        <v>1999</v>
      </c>
      <c r="AK2269" t="s">
        <v>1390</v>
      </c>
      <c r="AM2269" t="s">
        <v>1391</v>
      </c>
      <c r="AN2269" t="s">
        <v>192</v>
      </c>
      <c r="AO2269">
        <v>4</v>
      </c>
      <c r="AP2269" t="s">
        <v>78</v>
      </c>
      <c r="AQ2269" t="s">
        <v>1392</v>
      </c>
      <c r="AR2269" t="s">
        <v>80</v>
      </c>
      <c r="AS2269">
        <v>101</v>
      </c>
      <c r="AT2269" t="s">
        <v>81</v>
      </c>
      <c r="AU2269">
        <v>-29.29</v>
      </c>
      <c r="AV2269">
        <v>-0.39</v>
      </c>
      <c r="AW2269" t="s">
        <v>82</v>
      </c>
      <c r="AX2269">
        <v>101</v>
      </c>
      <c r="AY2269" t="s">
        <v>81</v>
      </c>
      <c r="AZ2269">
        <v>-28.82</v>
      </c>
      <c r="BA2269">
        <v>0.54</v>
      </c>
      <c r="BB2269" t="s">
        <v>83</v>
      </c>
    </row>
    <row r="2270" spans="1:54" x14ac:dyDescent="0.4">
      <c r="A2270">
        <v>629477</v>
      </c>
      <c r="D2270" t="s">
        <v>54</v>
      </c>
      <c r="E2270" t="s">
        <v>154</v>
      </c>
      <c r="F2270" t="s">
        <v>1386</v>
      </c>
      <c r="G2270">
        <v>1</v>
      </c>
      <c r="H2270" t="s">
        <v>56</v>
      </c>
      <c r="I2270" t="s">
        <v>57</v>
      </c>
      <c r="K2270" t="s">
        <v>275</v>
      </c>
      <c r="L2270" t="s">
        <v>276</v>
      </c>
      <c r="M2270" t="s">
        <v>60</v>
      </c>
      <c r="N2270" t="s">
        <v>119</v>
      </c>
      <c r="O2270" t="s">
        <v>134</v>
      </c>
      <c r="P2270" t="s">
        <v>121</v>
      </c>
      <c r="R2270" t="s">
        <v>122</v>
      </c>
      <c r="S2270" t="s">
        <v>123</v>
      </c>
      <c r="T2270">
        <v>290.10000000000002</v>
      </c>
      <c r="U2270">
        <v>283.5</v>
      </c>
      <c r="V2270">
        <f t="shared" si="70"/>
        <v>286.8</v>
      </c>
      <c r="W2270">
        <f t="shared" si="71"/>
        <v>6.6000000000000227</v>
      </c>
      <c r="X2270">
        <v>-98.405997999999997</v>
      </c>
      <c r="Y2270">
        <v>34.775500999999998</v>
      </c>
      <c r="Z2270" t="s">
        <v>90</v>
      </c>
      <c r="AA2270" t="s">
        <v>66</v>
      </c>
      <c r="AB2270" t="s">
        <v>407</v>
      </c>
      <c r="AC2270" t="s">
        <v>1388</v>
      </c>
      <c r="AH2270" t="s">
        <v>72</v>
      </c>
      <c r="AI2270" t="s">
        <v>1395</v>
      </c>
      <c r="AJ2270">
        <v>1999</v>
      </c>
      <c r="AK2270" t="s">
        <v>1390</v>
      </c>
      <c r="AM2270" t="s">
        <v>1391</v>
      </c>
      <c r="AN2270" t="s">
        <v>192</v>
      </c>
      <c r="AO2270">
        <v>4</v>
      </c>
      <c r="AP2270" t="s">
        <v>78</v>
      </c>
      <c r="AQ2270" t="s">
        <v>1392</v>
      </c>
      <c r="AR2270" t="s">
        <v>80</v>
      </c>
      <c r="AS2270">
        <v>101</v>
      </c>
      <c r="AT2270" t="s">
        <v>81</v>
      </c>
      <c r="AU2270">
        <v>-29.29</v>
      </c>
      <c r="AV2270">
        <v>-0.39</v>
      </c>
      <c r="AW2270" t="s">
        <v>82</v>
      </c>
      <c r="AX2270">
        <v>101</v>
      </c>
      <c r="AY2270" t="s">
        <v>81</v>
      </c>
      <c r="AZ2270">
        <v>-28.82</v>
      </c>
      <c r="BA2270">
        <v>0.54</v>
      </c>
      <c r="BB2270" t="s">
        <v>83</v>
      </c>
    </row>
    <row r="2271" spans="1:54" x14ac:dyDescent="0.4">
      <c r="A2271">
        <v>629477</v>
      </c>
      <c r="D2271" t="s">
        <v>54</v>
      </c>
      <c r="E2271" t="s">
        <v>154</v>
      </c>
      <c r="F2271" t="s">
        <v>1386</v>
      </c>
      <c r="G2271">
        <v>1</v>
      </c>
      <c r="H2271" t="s">
        <v>56</v>
      </c>
      <c r="I2271" t="s">
        <v>57</v>
      </c>
      <c r="K2271" t="s">
        <v>275</v>
      </c>
      <c r="L2271" t="s">
        <v>276</v>
      </c>
      <c r="M2271" t="s">
        <v>60</v>
      </c>
      <c r="N2271" t="s">
        <v>119</v>
      </c>
      <c r="O2271" t="s">
        <v>134</v>
      </c>
      <c r="P2271" t="s">
        <v>121</v>
      </c>
      <c r="R2271" t="s">
        <v>122</v>
      </c>
      <c r="S2271" t="s">
        <v>123</v>
      </c>
      <c r="T2271">
        <v>290.10000000000002</v>
      </c>
      <c r="U2271">
        <v>283.5</v>
      </c>
      <c r="V2271">
        <f t="shared" si="70"/>
        <v>286.8</v>
      </c>
      <c r="W2271">
        <f t="shared" si="71"/>
        <v>6.6000000000000227</v>
      </c>
      <c r="X2271">
        <v>-98.405997999999997</v>
      </c>
      <c r="Y2271">
        <v>34.775500999999998</v>
      </c>
      <c r="Z2271" t="s">
        <v>90</v>
      </c>
      <c r="AA2271" t="s">
        <v>66</v>
      </c>
      <c r="AB2271" t="s">
        <v>407</v>
      </c>
      <c r="AC2271" t="s">
        <v>1388</v>
      </c>
      <c r="AH2271" t="s">
        <v>72</v>
      </c>
      <c r="AI2271" t="s">
        <v>1395</v>
      </c>
      <c r="AJ2271">
        <v>1999</v>
      </c>
      <c r="AK2271" t="s">
        <v>1390</v>
      </c>
      <c r="AM2271" t="s">
        <v>1391</v>
      </c>
      <c r="AN2271" t="s">
        <v>192</v>
      </c>
      <c r="AO2271">
        <v>4</v>
      </c>
      <c r="AP2271" t="s">
        <v>78</v>
      </c>
      <c r="AQ2271" t="s">
        <v>1392</v>
      </c>
      <c r="AR2271" t="s">
        <v>80</v>
      </c>
      <c r="AS2271">
        <v>101</v>
      </c>
      <c r="AT2271" t="s">
        <v>81</v>
      </c>
      <c r="AU2271">
        <v>-29.29</v>
      </c>
      <c r="AV2271">
        <v>-0.39</v>
      </c>
      <c r="AW2271" t="s">
        <v>82</v>
      </c>
      <c r="AX2271">
        <v>101</v>
      </c>
      <c r="AY2271" t="s">
        <v>81</v>
      </c>
      <c r="AZ2271">
        <v>-28.82</v>
      </c>
      <c r="BA2271">
        <v>0.54</v>
      </c>
      <c r="BB2271" t="s">
        <v>83</v>
      </c>
    </row>
    <row r="2272" spans="1:54" x14ac:dyDescent="0.4">
      <c r="A2272">
        <v>629477</v>
      </c>
      <c r="D2272" t="s">
        <v>54</v>
      </c>
      <c r="E2272" t="s">
        <v>154</v>
      </c>
      <c r="F2272" t="s">
        <v>1386</v>
      </c>
      <c r="G2272">
        <v>1</v>
      </c>
      <c r="H2272" t="s">
        <v>56</v>
      </c>
      <c r="I2272" t="s">
        <v>57</v>
      </c>
      <c r="K2272" t="s">
        <v>275</v>
      </c>
      <c r="L2272" t="s">
        <v>276</v>
      </c>
      <c r="M2272" t="s">
        <v>60</v>
      </c>
      <c r="N2272" t="s">
        <v>119</v>
      </c>
      <c r="O2272" t="s">
        <v>134</v>
      </c>
      <c r="P2272" t="s">
        <v>121</v>
      </c>
      <c r="R2272" t="s">
        <v>122</v>
      </c>
      <c r="S2272" t="s">
        <v>123</v>
      </c>
      <c r="T2272">
        <v>290.10000000000002</v>
      </c>
      <c r="U2272">
        <v>283.5</v>
      </c>
      <c r="V2272">
        <f t="shared" si="70"/>
        <v>286.8</v>
      </c>
      <c r="W2272">
        <f t="shared" si="71"/>
        <v>6.6000000000000227</v>
      </c>
      <c r="X2272">
        <v>-98.405997999999997</v>
      </c>
      <c r="Y2272">
        <v>34.775500999999998</v>
      </c>
      <c r="Z2272" t="s">
        <v>90</v>
      </c>
      <c r="AA2272" t="s">
        <v>66</v>
      </c>
      <c r="AB2272" t="s">
        <v>407</v>
      </c>
      <c r="AC2272" t="s">
        <v>1388</v>
      </c>
      <c r="AH2272" t="s">
        <v>72</v>
      </c>
      <c r="AI2272" t="s">
        <v>1395</v>
      </c>
      <c r="AJ2272">
        <v>1999</v>
      </c>
      <c r="AK2272" t="s">
        <v>1390</v>
      </c>
      <c r="AM2272" t="s">
        <v>1391</v>
      </c>
      <c r="AN2272" t="s">
        <v>192</v>
      </c>
      <c r="AO2272">
        <v>4</v>
      </c>
      <c r="AP2272" t="s">
        <v>78</v>
      </c>
      <c r="AQ2272" t="s">
        <v>1392</v>
      </c>
      <c r="AR2272" t="s">
        <v>80</v>
      </c>
      <c r="AS2272">
        <v>101</v>
      </c>
      <c r="AT2272" t="s">
        <v>81</v>
      </c>
      <c r="AU2272">
        <v>-29.29</v>
      </c>
      <c r="AV2272">
        <v>-0.39</v>
      </c>
      <c r="AW2272" t="s">
        <v>82</v>
      </c>
      <c r="AX2272">
        <v>101</v>
      </c>
      <c r="AY2272" t="s">
        <v>81</v>
      </c>
      <c r="AZ2272">
        <v>-28.82</v>
      </c>
      <c r="BA2272">
        <v>0.54</v>
      </c>
      <c r="BB2272" t="s">
        <v>83</v>
      </c>
    </row>
    <row r="2273" spans="1:54" x14ac:dyDescent="0.4">
      <c r="A2273">
        <v>629477</v>
      </c>
      <c r="D2273" t="s">
        <v>54</v>
      </c>
      <c r="E2273" t="s">
        <v>154</v>
      </c>
      <c r="F2273" t="s">
        <v>1386</v>
      </c>
      <c r="G2273">
        <v>1</v>
      </c>
      <c r="H2273" t="s">
        <v>56</v>
      </c>
      <c r="I2273" t="s">
        <v>57</v>
      </c>
      <c r="K2273" t="s">
        <v>275</v>
      </c>
      <c r="L2273" t="s">
        <v>276</v>
      </c>
      <c r="M2273" t="s">
        <v>60</v>
      </c>
      <c r="N2273" t="s">
        <v>119</v>
      </c>
      <c r="O2273" t="s">
        <v>134</v>
      </c>
      <c r="P2273" t="s">
        <v>121</v>
      </c>
      <c r="R2273" t="s">
        <v>122</v>
      </c>
      <c r="S2273" t="s">
        <v>123</v>
      </c>
      <c r="T2273">
        <v>290.10000000000002</v>
      </c>
      <c r="U2273">
        <v>283.5</v>
      </c>
      <c r="V2273">
        <f t="shared" si="70"/>
        <v>286.8</v>
      </c>
      <c r="W2273">
        <f t="shared" si="71"/>
        <v>6.6000000000000227</v>
      </c>
      <c r="X2273">
        <v>-98.405997999999997</v>
      </c>
      <c r="Y2273">
        <v>34.775500999999998</v>
      </c>
      <c r="Z2273" t="s">
        <v>90</v>
      </c>
      <c r="AA2273" t="s">
        <v>66</v>
      </c>
      <c r="AB2273" t="s">
        <v>407</v>
      </c>
      <c r="AC2273" t="s">
        <v>1388</v>
      </c>
      <c r="AH2273" t="s">
        <v>72</v>
      </c>
      <c r="AI2273" t="s">
        <v>1395</v>
      </c>
      <c r="AJ2273">
        <v>1999</v>
      </c>
      <c r="AK2273" t="s">
        <v>1390</v>
      </c>
      <c r="AM2273" t="s">
        <v>1391</v>
      </c>
      <c r="AN2273" t="s">
        <v>192</v>
      </c>
      <c r="AO2273">
        <v>4</v>
      </c>
      <c r="AP2273" t="s">
        <v>78</v>
      </c>
      <c r="AQ2273" t="s">
        <v>1392</v>
      </c>
      <c r="AR2273" t="s">
        <v>80</v>
      </c>
      <c r="AS2273">
        <v>101</v>
      </c>
      <c r="AT2273" t="s">
        <v>81</v>
      </c>
      <c r="AU2273">
        <v>-29.29</v>
      </c>
      <c r="AV2273">
        <v>-0.39</v>
      </c>
      <c r="AW2273" t="s">
        <v>82</v>
      </c>
      <c r="AX2273">
        <v>101</v>
      </c>
      <c r="AY2273" t="s">
        <v>81</v>
      </c>
      <c r="AZ2273">
        <v>-28.82</v>
      </c>
      <c r="BA2273">
        <v>0.54</v>
      </c>
      <c r="BB2273" t="s">
        <v>83</v>
      </c>
    </row>
    <row r="2274" spans="1:54" x14ac:dyDescent="0.4">
      <c r="A2274">
        <v>629477</v>
      </c>
      <c r="D2274" t="s">
        <v>54</v>
      </c>
      <c r="E2274" t="s">
        <v>154</v>
      </c>
      <c r="F2274" t="s">
        <v>1386</v>
      </c>
      <c r="G2274">
        <v>1</v>
      </c>
      <c r="H2274" t="s">
        <v>56</v>
      </c>
      <c r="I2274" t="s">
        <v>57</v>
      </c>
      <c r="K2274" t="s">
        <v>275</v>
      </c>
      <c r="L2274" t="s">
        <v>276</v>
      </c>
      <c r="M2274" t="s">
        <v>60</v>
      </c>
      <c r="N2274" t="s">
        <v>119</v>
      </c>
      <c r="O2274" t="s">
        <v>134</v>
      </c>
      <c r="P2274" t="s">
        <v>121</v>
      </c>
      <c r="R2274" t="s">
        <v>122</v>
      </c>
      <c r="S2274" t="s">
        <v>123</v>
      </c>
      <c r="T2274">
        <v>290.10000000000002</v>
      </c>
      <c r="U2274">
        <v>283.5</v>
      </c>
      <c r="V2274">
        <f t="shared" si="70"/>
        <v>286.8</v>
      </c>
      <c r="W2274">
        <f t="shared" si="71"/>
        <v>6.6000000000000227</v>
      </c>
      <c r="X2274">
        <v>-98.405997999999997</v>
      </c>
      <c r="Y2274">
        <v>34.775500999999998</v>
      </c>
      <c r="Z2274" t="s">
        <v>90</v>
      </c>
      <c r="AA2274" t="s">
        <v>66</v>
      </c>
      <c r="AB2274" t="s">
        <v>407</v>
      </c>
      <c r="AC2274" t="s">
        <v>1388</v>
      </c>
      <c r="AH2274" t="s">
        <v>72</v>
      </c>
      <c r="AI2274" t="s">
        <v>1395</v>
      </c>
      <c r="AJ2274">
        <v>1999</v>
      </c>
      <c r="AK2274" t="s">
        <v>1390</v>
      </c>
      <c r="AM2274" t="s">
        <v>1391</v>
      </c>
      <c r="AN2274" t="s">
        <v>192</v>
      </c>
      <c r="AO2274">
        <v>4</v>
      </c>
      <c r="AP2274" t="s">
        <v>78</v>
      </c>
      <c r="AQ2274" t="s">
        <v>1392</v>
      </c>
      <c r="AR2274" t="s">
        <v>80</v>
      </c>
      <c r="AS2274">
        <v>101</v>
      </c>
      <c r="AT2274" t="s">
        <v>81</v>
      </c>
      <c r="AU2274">
        <v>-29.29</v>
      </c>
      <c r="AV2274">
        <v>-0.39</v>
      </c>
      <c r="AW2274" t="s">
        <v>82</v>
      </c>
      <c r="AX2274">
        <v>101</v>
      </c>
      <c r="AY2274" t="s">
        <v>81</v>
      </c>
      <c r="AZ2274">
        <v>-28.82</v>
      </c>
      <c r="BA2274">
        <v>0.54</v>
      </c>
      <c r="BB2274" t="s">
        <v>83</v>
      </c>
    </row>
    <row r="2275" spans="1:54" x14ac:dyDescent="0.4">
      <c r="A2275">
        <v>629477</v>
      </c>
      <c r="D2275" t="s">
        <v>54</v>
      </c>
      <c r="E2275" t="s">
        <v>154</v>
      </c>
      <c r="F2275" t="s">
        <v>1386</v>
      </c>
      <c r="G2275">
        <v>1</v>
      </c>
      <c r="H2275" t="s">
        <v>56</v>
      </c>
      <c r="I2275" t="s">
        <v>57</v>
      </c>
      <c r="K2275" t="s">
        <v>275</v>
      </c>
      <c r="L2275" t="s">
        <v>276</v>
      </c>
      <c r="M2275" t="s">
        <v>60</v>
      </c>
      <c r="N2275" t="s">
        <v>119</v>
      </c>
      <c r="O2275" t="s">
        <v>134</v>
      </c>
      <c r="P2275" t="s">
        <v>121</v>
      </c>
      <c r="R2275" t="s">
        <v>122</v>
      </c>
      <c r="S2275" t="s">
        <v>123</v>
      </c>
      <c r="T2275">
        <v>290.10000000000002</v>
      </c>
      <c r="U2275">
        <v>283.5</v>
      </c>
      <c r="V2275">
        <f t="shared" si="70"/>
        <v>286.8</v>
      </c>
      <c r="W2275">
        <f t="shared" si="71"/>
        <v>6.6000000000000227</v>
      </c>
      <c r="X2275">
        <v>-98.405997999999997</v>
      </c>
      <c r="Y2275">
        <v>34.775500999999998</v>
      </c>
      <c r="Z2275" t="s">
        <v>90</v>
      </c>
      <c r="AA2275" t="s">
        <v>66</v>
      </c>
      <c r="AB2275" t="s">
        <v>407</v>
      </c>
      <c r="AC2275" t="s">
        <v>1388</v>
      </c>
      <c r="AH2275" t="s">
        <v>72</v>
      </c>
      <c r="AI2275" t="s">
        <v>1395</v>
      </c>
      <c r="AJ2275">
        <v>1999</v>
      </c>
      <c r="AK2275" t="s">
        <v>1390</v>
      </c>
      <c r="AM2275" t="s">
        <v>1391</v>
      </c>
      <c r="AN2275" t="s">
        <v>192</v>
      </c>
      <c r="AO2275">
        <v>4</v>
      </c>
      <c r="AP2275" t="s">
        <v>78</v>
      </c>
      <c r="AQ2275" t="s">
        <v>1392</v>
      </c>
      <c r="AR2275" t="s">
        <v>80</v>
      </c>
      <c r="AS2275">
        <v>101</v>
      </c>
      <c r="AT2275" t="s">
        <v>81</v>
      </c>
      <c r="AU2275">
        <v>-29.29</v>
      </c>
      <c r="AV2275">
        <v>-0.39</v>
      </c>
      <c r="AW2275" t="s">
        <v>82</v>
      </c>
      <c r="AX2275">
        <v>101</v>
      </c>
      <c r="AY2275" t="s">
        <v>81</v>
      </c>
      <c r="AZ2275">
        <v>-28.82</v>
      </c>
      <c r="BA2275">
        <v>0.54</v>
      </c>
      <c r="BB2275" t="s">
        <v>83</v>
      </c>
    </row>
    <row r="2276" spans="1:54" x14ac:dyDescent="0.4">
      <c r="A2276">
        <v>629477</v>
      </c>
      <c r="D2276" t="s">
        <v>54</v>
      </c>
      <c r="E2276" t="s">
        <v>154</v>
      </c>
      <c r="F2276" t="s">
        <v>1386</v>
      </c>
      <c r="G2276">
        <v>1</v>
      </c>
      <c r="H2276" t="s">
        <v>56</v>
      </c>
      <c r="I2276" t="s">
        <v>57</v>
      </c>
      <c r="K2276" t="s">
        <v>275</v>
      </c>
      <c r="L2276" t="s">
        <v>276</v>
      </c>
      <c r="M2276" t="s">
        <v>60</v>
      </c>
      <c r="N2276" t="s">
        <v>119</v>
      </c>
      <c r="O2276" t="s">
        <v>134</v>
      </c>
      <c r="P2276" t="s">
        <v>121</v>
      </c>
      <c r="R2276" t="s">
        <v>122</v>
      </c>
      <c r="S2276" t="s">
        <v>123</v>
      </c>
      <c r="T2276">
        <v>290.10000000000002</v>
      </c>
      <c r="U2276">
        <v>283.5</v>
      </c>
      <c r="V2276">
        <f t="shared" si="70"/>
        <v>286.8</v>
      </c>
      <c r="W2276">
        <f t="shared" si="71"/>
        <v>6.6000000000000227</v>
      </c>
      <c r="X2276">
        <v>-98.405997999999997</v>
      </c>
      <c r="Y2276">
        <v>34.775500999999998</v>
      </c>
      <c r="Z2276" t="s">
        <v>90</v>
      </c>
      <c r="AA2276" t="s">
        <v>66</v>
      </c>
      <c r="AB2276" t="s">
        <v>407</v>
      </c>
      <c r="AC2276" t="s">
        <v>1388</v>
      </c>
      <c r="AH2276" t="s">
        <v>72</v>
      </c>
      <c r="AI2276" t="s">
        <v>1395</v>
      </c>
      <c r="AJ2276">
        <v>1999</v>
      </c>
      <c r="AK2276" t="s">
        <v>1390</v>
      </c>
      <c r="AM2276" t="s">
        <v>1391</v>
      </c>
      <c r="AN2276" t="s">
        <v>192</v>
      </c>
      <c r="AO2276">
        <v>4</v>
      </c>
      <c r="AP2276" t="s">
        <v>78</v>
      </c>
      <c r="AQ2276" t="s">
        <v>1392</v>
      </c>
      <c r="AR2276" t="s">
        <v>80</v>
      </c>
      <c r="AS2276">
        <v>101</v>
      </c>
      <c r="AT2276" t="s">
        <v>81</v>
      </c>
      <c r="AU2276">
        <v>-29.29</v>
      </c>
      <c r="AV2276">
        <v>-0.39</v>
      </c>
      <c r="AW2276" t="s">
        <v>82</v>
      </c>
      <c r="AX2276">
        <v>101</v>
      </c>
      <c r="AY2276" t="s">
        <v>81</v>
      </c>
      <c r="AZ2276">
        <v>-28.82</v>
      </c>
      <c r="BA2276">
        <v>0.54</v>
      </c>
      <c r="BB2276" t="s">
        <v>83</v>
      </c>
    </row>
    <row r="2277" spans="1:54" x14ac:dyDescent="0.4">
      <c r="A2277">
        <v>629477</v>
      </c>
      <c r="D2277" t="s">
        <v>54</v>
      </c>
      <c r="E2277" t="s">
        <v>154</v>
      </c>
      <c r="F2277" t="s">
        <v>1386</v>
      </c>
      <c r="G2277">
        <v>1</v>
      </c>
      <c r="H2277" t="s">
        <v>56</v>
      </c>
      <c r="I2277" t="s">
        <v>57</v>
      </c>
      <c r="K2277" t="s">
        <v>275</v>
      </c>
      <c r="L2277" t="s">
        <v>276</v>
      </c>
      <c r="M2277" t="s">
        <v>60</v>
      </c>
      <c r="N2277" t="s">
        <v>119</v>
      </c>
      <c r="O2277" t="s">
        <v>134</v>
      </c>
      <c r="P2277" t="s">
        <v>121</v>
      </c>
      <c r="R2277" t="s">
        <v>122</v>
      </c>
      <c r="S2277" t="s">
        <v>123</v>
      </c>
      <c r="T2277">
        <v>290.10000000000002</v>
      </c>
      <c r="U2277">
        <v>283.5</v>
      </c>
      <c r="V2277">
        <f t="shared" si="70"/>
        <v>286.8</v>
      </c>
      <c r="W2277">
        <f t="shared" si="71"/>
        <v>6.6000000000000227</v>
      </c>
      <c r="X2277">
        <v>-98.405997999999997</v>
      </c>
      <c r="Y2277">
        <v>34.775500999999998</v>
      </c>
      <c r="Z2277" t="s">
        <v>90</v>
      </c>
      <c r="AA2277" t="s">
        <v>66</v>
      </c>
      <c r="AB2277" t="s">
        <v>407</v>
      </c>
      <c r="AC2277" t="s">
        <v>1388</v>
      </c>
      <c r="AH2277" t="s">
        <v>72</v>
      </c>
      <c r="AI2277" t="s">
        <v>1395</v>
      </c>
      <c r="AJ2277">
        <v>1999</v>
      </c>
      <c r="AK2277" t="s">
        <v>1390</v>
      </c>
      <c r="AM2277" t="s">
        <v>1391</v>
      </c>
      <c r="AN2277" t="s">
        <v>192</v>
      </c>
      <c r="AO2277">
        <v>4</v>
      </c>
      <c r="AP2277" t="s">
        <v>78</v>
      </c>
      <c r="AQ2277" t="s">
        <v>1392</v>
      </c>
      <c r="AR2277" t="s">
        <v>80</v>
      </c>
      <c r="AS2277">
        <v>101</v>
      </c>
      <c r="AT2277" t="s">
        <v>81</v>
      </c>
      <c r="AU2277">
        <v>-29.29</v>
      </c>
      <c r="AV2277">
        <v>-0.39</v>
      </c>
      <c r="AW2277" t="s">
        <v>82</v>
      </c>
      <c r="AX2277">
        <v>101</v>
      </c>
      <c r="AY2277" t="s">
        <v>81</v>
      </c>
      <c r="AZ2277">
        <v>-28.82</v>
      </c>
      <c r="BA2277">
        <v>0.54</v>
      </c>
      <c r="BB2277" t="s">
        <v>83</v>
      </c>
    </row>
    <row r="2278" spans="1:54" x14ac:dyDescent="0.4">
      <c r="A2278">
        <v>629477</v>
      </c>
      <c r="D2278" t="s">
        <v>54</v>
      </c>
      <c r="E2278" t="s">
        <v>154</v>
      </c>
      <c r="F2278" t="s">
        <v>1386</v>
      </c>
      <c r="G2278">
        <v>1</v>
      </c>
      <c r="H2278" t="s">
        <v>56</v>
      </c>
      <c r="I2278" t="s">
        <v>57</v>
      </c>
      <c r="K2278" t="s">
        <v>275</v>
      </c>
      <c r="L2278" t="s">
        <v>276</v>
      </c>
      <c r="M2278" t="s">
        <v>60</v>
      </c>
      <c r="N2278" t="s">
        <v>119</v>
      </c>
      <c r="O2278" t="s">
        <v>134</v>
      </c>
      <c r="P2278" t="s">
        <v>121</v>
      </c>
      <c r="R2278" t="s">
        <v>122</v>
      </c>
      <c r="S2278" t="s">
        <v>123</v>
      </c>
      <c r="T2278">
        <v>290.10000000000002</v>
      </c>
      <c r="U2278">
        <v>283.5</v>
      </c>
      <c r="V2278">
        <f t="shared" si="70"/>
        <v>286.8</v>
      </c>
      <c r="W2278">
        <f t="shared" si="71"/>
        <v>6.6000000000000227</v>
      </c>
      <c r="X2278">
        <v>-98.405997999999997</v>
      </c>
      <c r="Y2278">
        <v>34.775500999999998</v>
      </c>
      <c r="Z2278" t="s">
        <v>90</v>
      </c>
      <c r="AA2278" t="s">
        <v>66</v>
      </c>
      <c r="AB2278" t="s">
        <v>407</v>
      </c>
      <c r="AC2278" t="s">
        <v>1388</v>
      </c>
      <c r="AH2278" t="s">
        <v>72</v>
      </c>
      <c r="AI2278" t="s">
        <v>1395</v>
      </c>
      <c r="AJ2278">
        <v>1999</v>
      </c>
      <c r="AK2278" t="s">
        <v>1390</v>
      </c>
      <c r="AM2278" t="s">
        <v>1391</v>
      </c>
      <c r="AN2278" t="s">
        <v>192</v>
      </c>
      <c r="AO2278">
        <v>4</v>
      </c>
      <c r="AP2278" t="s">
        <v>78</v>
      </c>
      <c r="AQ2278" t="s">
        <v>1392</v>
      </c>
      <c r="AR2278" t="s">
        <v>80</v>
      </c>
      <c r="AS2278">
        <v>101</v>
      </c>
      <c r="AT2278" t="s">
        <v>81</v>
      </c>
      <c r="AU2278">
        <v>-29.29</v>
      </c>
      <c r="AV2278">
        <v>-0.39</v>
      </c>
      <c r="AW2278" t="s">
        <v>82</v>
      </c>
      <c r="AX2278">
        <v>101</v>
      </c>
      <c r="AY2278" t="s">
        <v>81</v>
      </c>
      <c r="AZ2278">
        <v>-28.82</v>
      </c>
      <c r="BA2278">
        <v>0.54</v>
      </c>
      <c r="BB2278" t="s">
        <v>83</v>
      </c>
    </row>
    <row r="2279" spans="1:54" x14ac:dyDescent="0.4">
      <c r="A2279">
        <v>629477</v>
      </c>
      <c r="D2279" t="s">
        <v>54</v>
      </c>
      <c r="E2279" t="s">
        <v>154</v>
      </c>
      <c r="F2279" t="s">
        <v>1386</v>
      </c>
      <c r="G2279">
        <v>1</v>
      </c>
      <c r="H2279" t="s">
        <v>56</v>
      </c>
      <c r="I2279" t="s">
        <v>57</v>
      </c>
      <c r="K2279" t="s">
        <v>275</v>
      </c>
      <c r="L2279" t="s">
        <v>276</v>
      </c>
      <c r="M2279" t="s">
        <v>60</v>
      </c>
      <c r="N2279" t="s">
        <v>119</v>
      </c>
      <c r="O2279" t="s">
        <v>134</v>
      </c>
      <c r="P2279" t="s">
        <v>121</v>
      </c>
      <c r="R2279" t="s">
        <v>122</v>
      </c>
      <c r="S2279" t="s">
        <v>123</v>
      </c>
      <c r="T2279">
        <v>290.10000000000002</v>
      </c>
      <c r="U2279">
        <v>283.5</v>
      </c>
      <c r="V2279">
        <f t="shared" si="70"/>
        <v>286.8</v>
      </c>
      <c r="W2279">
        <f t="shared" si="71"/>
        <v>6.6000000000000227</v>
      </c>
      <c r="X2279">
        <v>-98.405997999999997</v>
      </c>
      <c r="Y2279">
        <v>34.775500999999998</v>
      </c>
      <c r="Z2279" t="s">
        <v>90</v>
      </c>
      <c r="AA2279" t="s">
        <v>66</v>
      </c>
      <c r="AB2279" t="s">
        <v>407</v>
      </c>
      <c r="AC2279" t="s">
        <v>1388</v>
      </c>
      <c r="AH2279" t="s">
        <v>72</v>
      </c>
      <c r="AI2279" t="s">
        <v>1395</v>
      </c>
      <c r="AJ2279">
        <v>1999</v>
      </c>
      <c r="AK2279" t="s">
        <v>1390</v>
      </c>
      <c r="AM2279" t="s">
        <v>1391</v>
      </c>
      <c r="AN2279" t="s">
        <v>192</v>
      </c>
      <c r="AO2279">
        <v>4</v>
      </c>
      <c r="AP2279" t="s">
        <v>78</v>
      </c>
      <c r="AQ2279" t="s">
        <v>1392</v>
      </c>
      <c r="AR2279" t="s">
        <v>80</v>
      </c>
      <c r="AS2279">
        <v>101</v>
      </c>
      <c r="AT2279" t="s">
        <v>81</v>
      </c>
      <c r="AU2279">
        <v>-29.29</v>
      </c>
      <c r="AV2279">
        <v>-0.39</v>
      </c>
      <c r="AW2279" t="s">
        <v>82</v>
      </c>
      <c r="AX2279">
        <v>101</v>
      </c>
      <c r="AY2279" t="s">
        <v>81</v>
      </c>
      <c r="AZ2279">
        <v>-28.82</v>
      </c>
      <c r="BA2279">
        <v>0.54</v>
      </c>
      <c r="BB2279" t="s">
        <v>83</v>
      </c>
    </row>
    <row r="2280" spans="1:54" x14ac:dyDescent="0.4">
      <c r="A2280">
        <v>629477</v>
      </c>
      <c r="D2280" t="s">
        <v>54</v>
      </c>
      <c r="E2280" t="s">
        <v>154</v>
      </c>
      <c r="F2280" t="s">
        <v>1386</v>
      </c>
      <c r="G2280">
        <v>1</v>
      </c>
      <c r="H2280" t="s">
        <v>56</v>
      </c>
      <c r="I2280" t="s">
        <v>57</v>
      </c>
      <c r="K2280" t="s">
        <v>275</v>
      </c>
      <c r="L2280" t="s">
        <v>276</v>
      </c>
      <c r="M2280" t="s">
        <v>60</v>
      </c>
      <c r="N2280" t="s">
        <v>119</v>
      </c>
      <c r="O2280" t="s">
        <v>134</v>
      </c>
      <c r="P2280" t="s">
        <v>121</v>
      </c>
      <c r="R2280" t="s">
        <v>122</v>
      </c>
      <c r="S2280" t="s">
        <v>123</v>
      </c>
      <c r="T2280">
        <v>290.10000000000002</v>
      </c>
      <c r="U2280">
        <v>283.5</v>
      </c>
      <c r="V2280">
        <f t="shared" si="70"/>
        <v>286.8</v>
      </c>
      <c r="W2280">
        <f t="shared" si="71"/>
        <v>6.6000000000000227</v>
      </c>
      <c r="X2280">
        <v>-98.405997999999997</v>
      </c>
      <c r="Y2280">
        <v>34.775500999999998</v>
      </c>
      <c r="Z2280" t="s">
        <v>90</v>
      </c>
      <c r="AA2280" t="s">
        <v>66</v>
      </c>
      <c r="AB2280" t="s">
        <v>407</v>
      </c>
      <c r="AC2280" t="s">
        <v>1388</v>
      </c>
      <c r="AH2280" t="s">
        <v>72</v>
      </c>
      <c r="AI2280" t="s">
        <v>1395</v>
      </c>
      <c r="AJ2280">
        <v>1999</v>
      </c>
      <c r="AK2280" t="s">
        <v>1390</v>
      </c>
      <c r="AM2280" t="s">
        <v>1391</v>
      </c>
      <c r="AN2280" t="s">
        <v>192</v>
      </c>
      <c r="AO2280">
        <v>4</v>
      </c>
      <c r="AP2280" t="s">
        <v>78</v>
      </c>
      <c r="AQ2280" t="s">
        <v>1392</v>
      </c>
      <c r="AR2280" t="s">
        <v>80</v>
      </c>
      <c r="AS2280">
        <v>101</v>
      </c>
      <c r="AT2280" t="s">
        <v>81</v>
      </c>
      <c r="AU2280">
        <v>-29.29</v>
      </c>
      <c r="AV2280">
        <v>-0.39</v>
      </c>
      <c r="AW2280" t="s">
        <v>82</v>
      </c>
      <c r="AX2280">
        <v>101</v>
      </c>
      <c r="AY2280" t="s">
        <v>81</v>
      </c>
      <c r="AZ2280">
        <v>-28.82</v>
      </c>
      <c r="BA2280">
        <v>0.54</v>
      </c>
      <c r="BB2280" t="s">
        <v>83</v>
      </c>
    </row>
    <row r="2281" spans="1:54" x14ac:dyDescent="0.4">
      <c r="A2281">
        <v>629477</v>
      </c>
      <c r="D2281" t="s">
        <v>54</v>
      </c>
      <c r="E2281" t="s">
        <v>154</v>
      </c>
      <c r="F2281" t="s">
        <v>1386</v>
      </c>
      <c r="G2281">
        <v>1</v>
      </c>
      <c r="H2281" t="s">
        <v>56</v>
      </c>
      <c r="I2281" t="s">
        <v>57</v>
      </c>
      <c r="K2281" t="s">
        <v>275</v>
      </c>
      <c r="L2281" t="s">
        <v>276</v>
      </c>
      <c r="M2281" t="s">
        <v>60</v>
      </c>
      <c r="N2281" t="s">
        <v>119</v>
      </c>
      <c r="O2281" t="s">
        <v>134</v>
      </c>
      <c r="P2281" t="s">
        <v>121</v>
      </c>
      <c r="R2281" t="s">
        <v>122</v>
      </c>
      <c r="S2281" t="s">
        <v>123</v>
      </c>
      <c r="T2281">
        <v>290.10000000000002</v>
      </c>
      <c r="U2281">
        <v>283.5</v>
      </c>
      <c r="V2281">
        <f t="shared" si="70"/>
        <v>286.8</v>
      </c>
      <c r="W2281">
        <f t="shared" si="71"/>
        <v>6.6000000000000227</v>
      </c>
      <c r="X2281">
        <v>-98.405997999999997</v>
      </c>
      <c r="Y2281">
        <v>34.775500999999998</v>
      </c>
      <c r="Z2281" t="s">
        <v>90</v>
      </c>
      <c r="AA2281" t="s">
        <v>66</v>
      </c>
      <c r="AB2281" t="s">
        <v>407</v>
      </c>
      <c r="AC2281" t="s">
        <v>1388</v>
      </c>
      <c r="AH2281" t="s">
        <v>72</v>
      </c>
      <c r="AI2281" t="s">
        <v>1395</v>
      </c>
      <c r="AJ2281">
        <v>1999</v>
      </c>
      <c r="AK2281" t="s">
        <v>1390</v>
      </c>
      <c r="AM2281" t="s">
        <v>1391</v>
      </c>
      <c r="AN2281" t="s">
        <v>192</v>
      </c>
      <c r="AO2281">
        <v>4</v>
      </c>
      <c r="AP2281" t="s">
        <v>78</v>
      </c>
      <c r="AQ2281" t="s">
        <v>1392</v>
      </c>
      <c r="AR2281" t="s">
        <v>80</v>
      </c>
      <c r="AS2281">
        <v>101</v>
      </c>
      <c r="AT2281" t="s">
        <v>81</v>
      </c>
      <c r="AU2281">
        <v>-29.29</v>
      </c>
      <c r="AV2281">
        <v>-0.39</v>
      </c>
      <c r="AW2281" t="s">
        <v>82</v>
      </c>
      <c r="AX2281">
        <v>101</v>
      </c>
      <c r="AY2281" t="s">
        <v>81</v>
      </c>
      <c r="AZ2281">
        <v>-28.82</v>
      </c>
      <c r="BA2281">
        <v>0.54</v>
      </c>
      <c r="BB2281" t="s">
        <v>83</v>
      </c>
    </row>
    <row r="2282" spans="1:54" x14ac:dyDescent="0.4">
      <c r="A2282">
        <v>629477</v>
      </c>
      <c r="D2282" t="s">
        <v>54</v>
      </c>
      <c r="E2282" t="s">
        <v>154</v>
      </c>
      <c r="F2282" t="s">
        <v>1386</v>
      </c>
      <c r="G2282">
        <v>1</v>
      </c>
      <c r="H2282" t="s">
        <v>56</v>
      </c>
      <c r="I2282" t="s">
        <v>57</v>
      </c>
      <c r="K2282" t="s">
        <v>275</v>
      </c>
      <c r="L2282" t="s">
        <v>276</v>
      </c>
      <c r="M2282" t="s">
        <v>60</v>
      </c>
      <c r="N2282" t="s">
        <v>119</v>
      </c>
      <c r="O2282" t="s">
        <v>134</v>
      </c>
      <c r="P2282" t="s">
        <v>121</v>
      </c>
      <c r="R2282" t="s">
        <v>122</v>
      </c>
      <c r="S2282" t="s">
        <v>123</v>
      </c>
      <c r="T2282">
        <v>290.10000000000002</v>
      </c>
      <c r="U2282">
        <v>283.5</v>
      </c>
      <c r="V2282">
        <f t="shared" si="70"/>
        <v>286.8</v>
      </c>
      <c r="W2282">
        <f t="shared" si="71"/>
        <v>6.6000000000000227</v>
      </c>
      <c r="X2282">
        <v>-98.405997999999997</v>
      </c>
      <c r="Y2282">
        <v>34.775500999999998</v>
      </c>
      <c r="Z2282" t="s">
        <v>90</v>
      </c>
      <c r="AA2282" t="s">
        <v>66</v>
      </c>
      <c r="AB2282" t="s">
        <v>407</v>
      </c>
      <c r="AC2282" t="s">
        <v>1388</v>
      </c>
      <c r="AH2282" t="s">
        <v>72</v>
      </c>
      <c r="AI2282" t="s">
        <v>1395</v>
      </c>
      <c r="AJ2282">
        <v>1999</v>
      </c>
      <c r="AK2282" t="s">
        <v>1390</v>
      </c>
      <c r="AM2282" t="s">
        <v>1391</v>
      </c>
      <c r="AN2282" t="s">
        <v>192</v>
      </c>
      <c r="AO2282">
        <v>4</v>
      </c>
      <c r="AP2282" t="s">
        <v>78</v>
      </c>
      <c r="AQ2282" t="s">
        <v>1392</v>
      </c>
      <c r="AR2282" t="s">
        <v>80</v>
      </c>
      <c r="AS2282">
        <v>101</v>
      </c>
      <c r="AT2282" t="s">
        <v>81</v>
      </c>
      <c r="AU2282">
        <v>-29.29</v>
      </c>
      <c r="AV2282">
        <v>-0.39</v>
      </c>
      <c r="AW2282" t="s">
        <v>82</v>
      </c>
      <c r="AX2282">
        <v>101</v>
      </c>
      <c r="AY2282" t="s">
        <v>81</v>
      </c>
      <c r="AZ2282">
        <v>-28.82</v>
      </c>
      <c r="BA2282">
        <v>0.54</v>
      </c>
      <c r="BB2282" t="s">
        <v>83</v>
      </c>
    </row>
    <row r="2283" spans="1:54" x14ac:dyDescent="0.4">
      <c r="A2283">
        <v>629477</v>
      </c>
      <c r="D2283" t="s">
        <v>54</v>
      </c>
      <c r="E2283" t="s">
        <v>154</v>
      </c>
      <c r="F2283" t="s">
        <v>1386</v>
      </c>
      <c r="G2283">
        <v>1</v>
      </c>
      <c r="H2283" t="s">
        <v>56</v>
      </c>
      <c r="I2283" t="s">
        <v>57</v>
      </c>
      <c r="K2283" t="s">
        <v>275</v>
      </c>
      <c r="L2283" t="s">
        <v>276</v>
      </c>
      <c r="M2283" t="s">
        <v>60</v>
      </c>
      <c r="N2283" t="s">
        <v>119</v>
      </c>
      <c r="O2283" t="s">
        <v>134</v>
      </c>
      <c r="P2283" t="s">
        <v>121</v>
      </c>
      <c r="R2283" t="s">
        <v>122</v>
      </c>
      <c r="S2283" t="s">
        <v>123</v>
      </c>
      <c r="T2283">
        <v>290.10000000000002</v>
      </c>
      <c r="U2283">
        <v>283.5</v>
      </c>
      <c r="V2283">
        <f t="shared" si="70"/>
        <v>286.8</v>
      </c>
      <c r="W2283">
        <f t="shared" si="71"/>
        <v>6.6000000000000227</v>
      </c>
      <c r="X2283">
        <v>-98.405997999999997</v>
      </c>
      <c r="Y2283">
        <v>34.775500999999998</v>
      </c>
      <c r="Z2283" t="s">
        <v>90</v>
      </c>
      <c r="AA2283" t="s">
        <v>66</v>
      </c>
      <c r="AB2283" t="s">
        <v>407</v>
      </c>
      <c r="AC2283" t="s">
        <v>1388</v>
      </c>
      <c r="AH2283" t="s">
        <v>72</v>
      </c>
      <c r="AI2283" t="s">
        <v>1395</v>
      </c>
      <c r="AJ2283">
        <v>1999</v>
      </c>
      <c r="AK2283" t="s">
        <v>1390</v>
      </c>
      <c r="AM2283" t="s">
        <v>1391</v>
      </c>
      <c r="AN2283" t="s">
        <v>192</v>
      </c>
      <c r="AO2283">
        <v>4</v>
      </c>
      <c r="AP2283" t="s">
        <v>78</v>
      </c>
      <c r="AQ2283" t="s">
        <v>1392</v>
      </c>
      <c r="AR2283" t="s">
        <v>80</v>
      </c>
      <c r="AS2283">
        <v>101</v>
      </c>
      <c r="AT2283" t="s">
        <v>81</v>
      </c>
      <c r="AU2283">
        <v>-29.29</v>
      </c>
      <c r="AV2283">
        <v>-0.39</v>
      </c>
      <c r="AW2283" t="s">
        <v>82</v>
      </c>
      <c r="AX2283">
        <v>101</v>
      </c>
      <c r="AY2283" t="s">
        <v>81</v>
      </c>
      <c r="AZ2283">
        <v>-28.82</v>
      </c>
      <c r="BA2283">
        <v>0.54</v>
      </c>
      <c r="BB2283" t="s">
        <v>83</v>
      </c>
    </row>
    <row r="2284" spans="1:54" x14ac:dyDescent="0.4">
      <c r="A2284">
        <v>629477</v>
      </c>
      <c r="D2284" t="s">
        <v>54</v>
      </c>
      <c r="E2284" t="s">
        <v>154</v>
      </c>
      <c r="F2284" t="s">
        <v>1386</v>
      </c>
      <c r="G2284">
        <v>1</v>
      </c>
      <c r="H2284" t="s">
        <v>56</v>
      </c>
      <c r="I2284" t="s">
        <v>57</v>
      </c>
      <c r="K2284" t="s">
        <v>275</v>
      </c>
      <c r="L2284" t="s">
        <v>276</v>
      </c>
      <c r="M2284" t="s">
        <v>60</v>
      </c>
      <c r="N2284" t="s">
        <v>119</v>
      </c>
      <c r="O2284" t="s">
        <v>134</v>
      </c>
      <c r="P2284" t="s">
        <v>121</v>
      </c>
      <c r="R2284" t="s">
        <v>122</v>
      </c>
      <c r="S2284" t="s">
        <v>123</v>
      </c>
      <c r="T2284">
        <v>290.10000000000002</v>
      </c>
      <c r="U2284">
        <v>283.5</v>
      </c>
      <c r="V2284">
        <f t="shared" si="70"/>
        <v>286.8</v>
      </c>
      <c r="W2284">
        <f t="shared" si="71"/>
        <v>6.6000000000000227</v>
      </c>
      <c r="X2284">
        <v>-98.405997999999997</v>
      </c>
      <c r="Y2284">
        <v>34.775500999999998</v>
      </c>
      <c r="Z2284" t="s">
        <v>90</v>
      </c>
      <c r="AA2284" t="s">
        <v>66</v>
      </c>
      <c r="AB2284" t="s">
        <v>407</v>
      </c>
      <c r="AC2284" t="s">
        <v>1388</v>
      </c>
      <c r="AH2284" t="s">
        <v>72</v>
      </c>
      <c r="AI2284" t="s">
        <v>1395</v>
      </c>
      <c r="AJ2284">
        <v>1999</v>
      </c>
      <c r="AK2284" t="s">
        <v>1390</v>
      </c>
      <c r="AM2284" t="s">
        <v>1391</v>
      </c>
      <c r="AN2284" t="s">
        <v>192</v>
      </c>
      <c r="AO2284">
        <v>4</v>
      </c>
      <c r="AP2284" t="s">
        <v>78</v>
      </c>
      <c r="AQ2284" t="s">
        <v>1392</v>
      </c>
      <c r="AR2284" t="s">
        <v>80</v>
      </c>
      <c r="AS2284">
        <v>101</v>
      </c>
      <c r="AT2284" t="s">
        <v>81</v>
      </c>
      <c r="AU2284">
        <v>-29.29</v>
      </c>
      <c r="AV2284">
        <v>-0.39</v>
      </c>
      <c r="AW2284" t="s">
        <v>82</v>
      </c>
      <c r="AX2284">
        <v>101</v>
      </c>
      <c r="AY2284" t="s">
        <v>81</v>
      </c>
      <c r="AZ2284">
        <v>-28.82</v>
      </c>
      <c r="BA2284">
        <v>0.54</v>
      </c>
      <c r="BB2284" t="s">
        <v>83</v>
      </c>
    </row>
    <row r="2285" spans="1:54" x14ac:dyDescent="0.4">
      <c r="A2285">
        <v>629477</v>
      </c>
      <c r="D2285" t="s">
        <v>54</v>
      </c>
      <c r="E2285" t="s">
        <v>154</v>
      </c>
      <c r="F2285" t="s">
        <v>1386</v>
      </c>
      <c r="G2285">
        <v>1</v>
      </c>
      <c r="H2285" t="s">
        <v>56</v>
      </c>
      <c r="I2285" t="s">
        <v>57</v>
      </c>
      <c r="K2285" t="s">
        <v>275</v>
      </c>
      <c r="L2285" t="s">
        <v>276</v>
      </c>
      <c r="M2285" t="s">
        <v>60</v>
      </c>
      <c r="N2285" t="s">
        <v>119</v>
      </c>
      <c r="O2285" t="s">
        <v>134</v>
      </c>
      <c r="P2285" t="s">
        <v>121</v>
      </c>
      <c r="R2285" t="s">
        <v>122</v>
      </c>
      <c r="S2285" t="s">
        <v>123</v>
      </c>
      <c r="T2285">
        <v>290.10000000000002</v>
      </c>
      <c r="U2285">
        <v>283.5</v>
      </c>
      <c r="V2285">
        <f t="shared" si="70"/>
        <v>286.8</v>
      </c>
      <c r="W2285">
        <f t="shared" si="71"/>
        <v>6.6000000000000227</v>
      </c>
      <c r="X2285">
        <v>-98.405997999999997</v>
      </c>
      <c r="Y2285">
        <v>34.775500999999998</v>
      </c>
      <c r="Z2285" t="s">
        <v>90</v>
      </c>
      <c r="AA2285" t="s">
        <v>66</v>
      </c>
      <c r="AB2285" t="s">
        <v>407</v>
      </c>
      <c r="AC2285" t="s">
        <v>1388</v>
      </c>
      <c r="AH2285" t="s">
        <v>72</v>
      </c>
      <c r="AI2285" t="s">
        <v>1395</v>
      </c>
      <c r="AJ2285">
        <v>1999</v>
      </c>
      <c r="AK2285" t="s">
        <v>1390</v>
      </c>
      <c r="AM2285" t="s">
        <v>1391</v>
      </c>
      <c r="AN2285" t="s">
        <v>192</v>
      </c>
      <c r="AO2285">
        <v>4</v>
      </c>
      <c r="AP2285" t="s">
        <v>78</v>
      </c>
      <c r="AQ2285" t="s">
        <v>1392</v>
      </c>
      <c r="AR2285" t="s">
        <v>80</v>
      </c>
      <c r="AS2285">
        <v>101</v>
      </c>
      <c r="AT2285" t="s">
        <v>81</v>
      </c>
      <c r="AU2285">
        <v>-29.29</v>
      </c>
      <c r="AV2285">
        <v>-0.39</v>
      </c>
      <c r="AW2285" t="s">
        <v>82</v>
      </c>
      <c r="AX2285">
        <v>101</v>
      </c>
      <c r="AY2285" t="s">
        <v>81</v>
      </c>
      <c r="AZ2285">
        <v>-28.82</v>
      </c>
      <c r="BA2285">
        <v>0.54</v>
      </c>
      <c r="BB2285" t="s">
        <v>83</v>
      </c>
    </row>
    <row r="2286" spans="1:54" x14ac:dyDescent="0.4">
      <c r="A2286">
        <v>629477</v>
      </c>
      <c r="D2286" t="s">
        <v>54</v>
      </c>
      <c r="E2286" t="s">
        <v>154</v>
      </c>
      <c r="F2286" t="s">
        <v>1386</v>
      </c>
      <c r="G2286">
        <v>1</v>
      </c>
      <c r="H2286" t="s">
        <v>56</v>
      </c>
      <c r="I2286" t="s">
        <v>57</v>
      </c>
      <c r="K2286" t="s">
        <v>275</v>
      </c>
      <c r="L2286" t="s">
        <v>276</v>
      </c>
      <c r="M2286" t="s">
        <v>60</v>
      </c>
      <c r="N2286" t="s">
        <v>119</v>
      </c>
      <c r="O2286" t="s">
        <v>134</v>
      </c>
      <c r="P2286" t="s">
        <v>121</v>
      </c>
      <c r="R2286" t="s">
        <v>122</v>
      </c>
      <c r="S2286" t="s">
        <v>123</v>
      </c>
      <c r="T2286">
        <v>290.10000000000002</v>
      </c>
      <c r="U2286">
        <v>283.5</v>
      </c>
      <c r="V2286">
        <f t="shared" si="70"/>
        <v>286.8</v>
      </c>
      <c r="W2286">
        <f t="shared" si="71"/>
        <v>6.6000000000000227</v>
      </c>
      <c r="X2286">
        <v>-98.405997999999997</v>
      </c>
      <c r="Y2286">
        <v>34.775500999999998</v>
      </c>
      <c r="Z2286" t="s">
        <v>90</v>
      </c>
      <c r="AA2286" t="s">
        <v>66</v>
      </c>
      <c r="AB2286" t="s">
        <v>407</v>
      </c>
      <c r="AC2286" t="s">
        <v>1388</v>
      </c>
      <c r="AH2286" t="s">
        <v>72</v>
      </c>
      <c r="AI2286" t="s">
        <v>1395</v>
      </c>
      <c r="AJ2286">
        <v>1999</v>
      </c>
      <c r="AK2286" t="s">
        <v>1390</v>
      </c>
      <c r="AM2286" t="s">
        <v>1391</v>
      </c>
      <c r="AN2286" t="s">
        <v>192</v>
      </c>
      <c r="AO2286">
        <v>4</v>
      </c>
      <c r="AP2286" t="s">
        <v>78</v>
      </c>
      <c r="AQ2286" t="s">
        <v>1392</v>
      </c>
      <c r="AR2286" t="s">
        <v>80</v>
      </c>
      <c r="AS2286">
        <v>101</v>
      </c>
      <c r="AT2286" t="s">
        <v>81</v>
      </c>
      <c r="AU2286">
        <v>-29.29</v>
      </c>
      <c r="AV2286">
        <v>-0.39</v>
      </c>
      <c r="AW2286" t="s">
        <v>82</v>
      </c>
      <c r="AX2286">
        <v>101</v>
      </c>
      <c r="AY2286" t="s">
        <v>81</v>
      </c>
      <c r="AZ2286">
        <v>-28.82</v>
      </c>
      <c r="BA2286">
        <v>0.54</v>
      </c>
      <c r="BB2286" t="s">
        <v>83</v>
      </c>
    </row>
    <row r="2287" spans="1:54" x14ac:dyDescent="0.4">
      <c r="A2287">
        <v>629477</v>
      </c>
      <c r="D2287" t="s">
        <v>54</v>
      </c>
      <c r="E2287" t="s">
        <v>154</v>
      </c>
      <c r="F2287" t="s">
        <v>1386</v>
      </c>
      <c r="G2287">
        <v>1</v>
      </c>
      <c r="H2287" t="s">
        <v>56</v>
      </c>
      <c r="I2287" t="s">
        <v>57</v>
      </c>
      <c r="K2287" t="s">
        <v>275</v>
      </c>
      <c r="L2287" t="s">
        <v>276</v>
      </c>
      <c r="M2287" t="s">
        <v>60</v>
      </c>
      <c r="N2287" t="s">
        <v>119</v>
      </c>
      <c r="O2287" t="s">
        <v>134</v>
      </c>
      <c r="P2287" t="s">
        <v>121</v>
      </c>
      <c r="R2287" t="s">
        <v>122</v>
      </c>
      <c r="S2287" t="s">
        <v>123</v>
      </c>
      <c r="T2287">
        <v>290.10000000000002</v>
      </c>
      <c r="U2287">
        <v>283.5</v>
      </c>
      <c r="V2287">
        <f t="shared" si="70"/>
        <v>286.8</v>
      </c>
      <c r="W2287">
        <f t="shared" si="71"/>
        <v>6.6000000000000227</v>
      </c>
      <c r="X2287">
        <v>-98.405997999999997</v>
      </c>
      <c r="Y2287">
        <v>34.775500999999998</v>
      </c>
      <c r="Z2287" t="s">
        <v>90</v>
      </c>
      <c r="AA2287" t="s">
        <v>66</v>
      </c>
      <c r="AB2287" t="s">
        <v>407</v>
      </c>
      <c r="AC2287" t="s">
        <v>1388</v>
      </c>
      <c r="AH2287" t="s">
        <v>72</v>
      </c>
      <c r="AI2287" t="s">
        <v>1395</v>
      </c>
      <c r="AJ2287">
        <v>1999</v>
      </c>
      <c r="AK2287" t="s">
        <v>1390</v>
      </c>
      <c r="AM2287" t="s">
        <v>1391</v>
      </c>
      <c r="AN2287" t="s">
        <v>192</v>
      </c>
      <c r="AO2287">
        <v>4</v>
      </c>
      <c r="AP2287" t="s">
        <v>78</v>
      </c>
      <c r="AQ2287" t="s">
        <v>1392</v>
      </c>
      <c r="AR2287" t="s">
        <v>80</v>
      </c>
      <c r="AS2287">
        <v>101</v>
      </c>
      <c r="AT2287" t="s">
        <v>81</v>
      </c>
      <c r="AU2287">
        <v>-29.29</v>
      </c>
      <c r="AV2287">
        <v>-0.39</v>
      </c>
      <c r="AW2287" t="s">
        <v>82</v>
      </c>
      <c r="AX2287">
        <v>101</v>
      </c>
      <c r="AY2287" t="s">
        <v>81</v>
      </c>
      <c r="AZ2287">
        <v>-28.82</v>
      </c>
      <c r="BA2287">
        <v>0.54</v>
      </c>
      <c r="BB2287" t="s">
        <v>83</v>
      </c>
    </row>
    <row r="2288" spans="1:54" x14ac:dyDescent="0.4">
      <c r="A2288">
        <v>629477</v>
      </c>
      <c r="D2288" t="s">
        <v>54</v>
      </c>
      <c r="E2288" t="s">
        <v>154</v>
      </c>
      <c r="F2288" t="s">
        <v>1386</v>
      </c>
      <c r="G2288">
        <v>1</v>
      </c>
      <c r="H2288" t="s">
        <v>56</v>
      </c>
      <c r="I2288" t="s">
        <v>57</v>
      </c>
      <c r="K2288" t="s">
        <v>275</v>
      </c>
      <c r="L2288" t="s">
        <v>276</v>
      </c>
      <c r="M2288" t="s">
        <v>60</v>
      </c>
      <c r="N2288" t="s">
        <v>119</v>
      </c>
      <c r="O2288" t="s">
        <v>134</v>
      </c>
      <c r="P2288" t="s">
        <v>121</v>
      </c>
      <c r="R2288" t="s">
        <v>122</v>
      </c>
      <c r="S2288" t="s">
        <v>123</v>
      </c>
      <c r="T2288">
        <v>290.10000000000002</v>
      </c>
      <c r="U2288">
        <v>283.5</v>
      </c>
      <c r="V2288">
        <f t="shared" si="70"/>
        <v>286.8</v>
      </c>
      <c r="W2288">
        <f t="shared" si="71"/>
        <v>6.6000000000000227</v>
      </c>
      <c r="X2288">
        <v>-98.405997999999997</v>
      </c>
      <c r="Y2288">
        <v>34.775500999999998</v>
      </c>
      <c r="Z2288" t="s">
        <v>90</v>
      </c>
      <c r="AA2288" t="s">
        <v>66</v>
      </c>
      <c r="AB2288" t="s">
        <v>407</v>
      </c>
      <c r="AC2288" t="s">
        <v>1388</v>
      </c>
      <c r="AH2288" t="s">
        <v>72</v>
      </c>
      <c r="AI2288" t="s">
        <v>1395</v>
      </c>
      <c r="AJ2288">
        <v>1999</v>
      </c>
      <c r="AK2288" t="s">
        <v>1390</v>
      </c>
      <c r="AM2288" t="s">
        <v>1391</v>
      </c>
      <c r="AN2288" t="s">
        <v>192</v>
      </c>
      <c r="AO2288">
        <v>4</v>
      </c>
      <c r="AP2288" t="s">
        <v>78</v>
      </c>
      <c r="AQ2288" t="s">
        <v>1392</v>
      </c>
      <c r="AR2288" t="s">
        <v>80</v>
      </c>
      <c r="AS2288">
        <v>101</v>
      </c>
      <c r="AT2288" t="s">
        <v>81</v>
      </c>
      <c r="AU2288">
        <v>-29.29</v>
      </c>
      <c r="AV2288">
        <v>-0.39</v>
      </c>
      <c r="AW2288" t="s">
        <v>82</v>
      </c>
      <c r="AX2288">
        <v>101</v>
      </c>
      <c r="AY2288" t="s">
        <v>81</v>
      </c>
      <c r="AZ2288">
        <v>-28.82</v>
      </c>
      <c r="BA2288">
        <v>0.54</v>
      </c>
      <c r="BB2288" t="s">
        <v>83</v>
      </c>
    </row>
    <row r="2289" spans="1:54" x14ac:dyDescent="0.4">
      <c r="A2289">
        <v>629477</v>
      </c>
      <c r="D2289" t="s">
        <v>54</v>
      </c>
      <c r="E2289" t="s">
        <v>154</v>
      </c>
      <c r="F2289" t="s">
        <v>1386</v>
      </c>
      <c r="G2289">
        <v>1</v>
      </c>
      <c r="H2289" t="s">
        <v>56</v>
      </c>
      <c r="I2289" t="s">
        <v>57</v>
      </c>
      <c r="K2289" t="s">
        <v>275</v>
      </c>
      <c r="L2289" t="s">
        <v>276</v>
      </c>
      <c r="M2289" t="s">
        <v>60</v>
      </c>
      <c r="N2289" t="s">
        <v>119</v>
      </c>
      <c r="O2289" t="s">
        <v>134</v>
      </c>
      <c r="P2289" t="s">
        <v>121</v>
      </c>
      <c r="R2289" t="s">
        <v>122</v>
      </c>
      <c r="S2289" t="s">
        <v>123</v>
      </c>
      <c r="T2289">
        <v>290.10000000000002</v>
      </c>
      <c r="U2289">
        <v>283.5</v>
      </c>
      <c r="V2289">
        <f t="shared" si="70"/>
        <v>286.8</v>
      </c>
      <c r="W2289">
        <f t="shared" si="71"/>
        <v>6.6000000000000227</v>
      </c>
      <c r="X2289">
        <v>-98.405997999999997</v>
      </c>
      <c r="Y2289">
        <v>34.775500999999998</v>
      </c>
      <c r="Z2289" t="s">
        <v>90</v>
      </c>
      <c r="AA2289" t="s">
        <v>66</v>
      </c>
      <c r="AB2289" t="s">
        <v>407</v>
      </c>
      <c r="AC2289" t="s">
        <v>1388</v>
      </c>
      <c r="AH2289" t="s">
        <v>72</v>
      </c>
      <c r="AI2289" t="s">
        <v>1395</v>
      </c>
      <c r="AJ2289">
        <v>1999</v>
      </c>
      <c r="AK2289" t="s">
        <v>1390</v>
      </c>
      <c r="AM2289" t="s">
        <v>1391</v>
      </c>
      <c r="AN2289" t="s">
        <v>192</v>
      </c>
      <c r="AO2289">
        <v>4</v>
      </c>
      <c r="AP2289" t="s">
        <v>78</v>
      </c>
      <c r="AQ2289" t="s">
        <v>1392</v>
      </c>
      <c r="AR2289" t="s">
        <v>80</v>
      </c>
      <c r="AS2289">
        <v>101</v>
      </c>
      <c r="AT2289" t="s">
        <v>81</v>
      </c>
      <c r="AU2289">
        <v>-29.29</v>
      </c>
      <c r="AV2289">
        <v>-0.39</v>
      </c>
      <c r="AW2289" t="s">
        <v>82</v>
      </c>
      <c r="AX2289">
        <v>101</v>
      </c>
      <c r="AY2289" t="s">
        <v>81</v>
      </c>
      <c r="AZ2289">
        <v>-28.82</v>
      </c>
      <c r="BA2289">
        <v>0.54</v>
      </c>
      <c r="BB2289" t="s">
        <v>83</v>
      </c>
    </row>
    <row r="2290" spans="1:54" x14ac:dyDescent="0.4">
      <c r="A2290">
        <v>629477</v>
      </c>
      <c r="D2290" t="s">
        <v>54</v>
      </c>
      <c r="E2290" t="s">
        <v>154</v>
      </c>
      <c r="F2290" t="s">
        <v>1386</v>
      </c>
      <c r="G2290">
        <v>1</v>
      </c>
      <c r="H2290" t="s">
        <v>56</v>
      </c>
      <c r="I2290" t="s">
        <v>57</v>
      </c>
      <c r="K2290" t="s">
        <v>275</v>
      </c>
      <c r="L2290" t="s">
        <v>276</v>
      </c>
      <c r="M2290" t="s">
        <v>60</v>
      </c>
      <c r="N2290" t="s">
        <v>119</v>
      </c>
      <c r="O2290" t="s">
        <v>134</v>
      </c>
      <c r="P2290" t="s">
        <v>121</v>
      </c>
      <c r="R2290" t="s">
        <v>122</v>
      </c>
      <c r="S2290" t="s">
        <v>123</v>
      </c>
      <c r="T2290">
        <v>290.10000000000002</v>
      </c>
      <c r="U2290">
        <v>283.5</v>
      </c>
      <c r="V2290">
        <f t="shared" si="70"/>
        <v>286.8</v>
      </c>
      <c r="W2290">
        <f t="shared" si="71"/>
        <v>6.6000000000000227</v>
      </c>
      <c r="X2290">
        <v>-98.405997999999997</v>
      </c>
      <c r="Y2290">
        <v>34.775500999999998</v>
      </c>
      <c r="Z2290" t="s">
        <v>90</v>
      </c>
      <c r="AA2290" t="s">
        <v>66</v>
      </c>
      <c r="AB2290" t="s">
        <v>407</v>
      </c>
      <c r="AC2290" t="s">
        <v>1388</v>
      </c>
      <c r="AH2290" t="s">
        <v>72</v>
      </c>
      <c r="AI2290" t="s">
        <v>1395</v>
      </c>
      <c r="AJ2290">
        <v>1999</v>
      </c>
      <c r="AK2290" t="s">
        <v>1390</v>
      </c>
      <c r="AM2290" t="s">
        <v>1391</v>
      </c>
      <c r="AN2290" t="s">
        <v>192</v>
      </c>
      <c r="AO2290">
        <v>4</v>
      </c>
      <c r="AP2290" t="s">
        <v>78</v>
      </c>
      <c r="AQ2290" t="s">
        <v>1392</v>
      </c>
      <c r="AR2290" t="s">
        <v>80</v>
      </c>
      <c r="AS2290">
        <v>101</v>
      </c>
      <c r="AT2290" t="s">
        <v>81</v>
      </c>
      <c r="AU2290">
        <v>-29.29</v>
      </c>
      <c r="AV2290">
        <v>-0.39</v>
      </c>
      <c r="AW2290" t="s">
        <v>82</v>
      </c>
      <c r="AX2290">
        <v>101</v>
      </c>
      <c r="AY2290" t="s">
        <v>81</v>
      </c>
      <c r="AZ2290">
        <v>-28.82</v>
      </c>
      <c r="BA2290">
        <v>0.54</v>
      </c>
      <c r="BB2290" t="s">
        <v>83</v>
      </c>
    </row>
    <row r="2291" spans="1:54" x14ac:dyDescent="0.4">
      <c r="A2291">
        <v>629477</v>
      </c>
      <c r="D2291" t="s">
        <v>54</v>
      </c>
      <c r="E2291" t="s">
        <v>154</v>
      </c>
      <c r="F2291" t="s">
        <v>1386</v>
      </c>
      <c r="G2291">
        <v>1</v>
      </c>
      <c r="H2291" t="s">
        <v>56</v>
      </c>
      <c r="I2291" t="s">
        <v>57</v>
      </c>
      <c r="K2291" t="s">
        <v>275</v>
      </c>
      <c r="L2291" t="s">
        <v>276</v>
      </c>
      <c r="M2291" t="s">
        <v>60</v>
      </c>
      <c r="N2291" t="s">
        <v>119</v>
      </c>
      <c r="O2291" t="s">
        <v>134</v>
      </c>
      <c r="P2291" t="s">
        <v>121</v>
      </c>
      <c r="R2291" t="s">
        <v>122</v>
      </c>
      <c r="S2291" t="s">
        <v>123</v>
      </c>
      <c r="T2291">
        <v>290.10000000000002</v>
      </c>
      <c r="U2291">
        <v>283.5</v>
      </c>
      <c r="V2291">
        <f t="shared" si="70"/>
        <v>286.8</v>
      </c>
      <c r="W2291">
        <f t="shared" si="71"/>
        <v>6.6000000000000227</v>
      </c>
      <c r="X2291">
        <v>-98.405997999999997</v>
      </c>
      <c r="Y2291">
        <v>34.775500999999998</v>
      </c>
      <c r="Z2291" t="s">
        <v>90</v>
      </c>
      <c r="AA2291" t="s">
        <v>66</v>
      </c>
      <c r="AB2291" t="s">
        <v>407</v>
      </c>
      <c r="AC2291" t="s">
        <v>1388</v>
      </c>
      <c r="AH2291" t="s">
        <v>72</v>
      </c>
      <c r="AI2291" t="s">
        <v>1395</v>
      </c>
      <c r="AJ2291">
        <v>1999</v>
      </c>
      <c r="AK2291" t="s">
        <v>1390</v>
      </c>
      <c r="AM2291" t="s">
        <v>1391</v>
      </c>
      <c r="AN2291" t="s">
        <v>192</v>
      </c>
      <c r="AO2291">
        <v>4</v>
      </c>
      <c r="AP2291" t="s">
        <v>78</v>
      </c>
      <c r="AQ2291" t="s">
        <v>1392</v>
      </c>
      <c r="AR2291" t="s">
        <v>80</v>
      </c>
      <c r="AS2291">
        <v>101</v>
      </c>
      <c r="AT2291" t="s">
        <v>81</v>
      </c>
      <c r="AU2291">
        <v>-29.29</v>
      </c>
      <c r="AV2291">
        <v>-0.39</v>
      </c>
      <c r="AW2291" t="s">
        <v>82</v>
      </c>
      <c r="AX2291">
        <v>101</v>
      </c>
      <c r="AY2291" t="s">
        <v>81</v>
      </c>
      <c r="AZ2291">
        <v>-28.82</v>
      </c>
      <c r="BA2291">
        <v>0.54</v>
      </c>
      <c r="BB2291" t="s">
        <v>83</v>
      </c>
    </row>
    <row r="2292" spans="1:54" x14ac:dyDescent="0.4">
      <c r="A2292">
        <v>629477</v>
      </c>
      <c r="D2292" t="s">
        <v>54</v>
      </c>
      <c r="E2292" t="s">
        <v>154</v>
      </c>
      <c r="F2292" t="s">
        <v>1386</v>
      </c>
      <c r="G2292">
        <v>1</v>
      </c>
      <c r="H2292" t="s">
        <v>56</v>
      </c>
      <c r="I2292" t="s">
        <v>57</v>
      </c>
      <c r="K2292" t="s">
        <v>275</v>
      </c>
      <c r="L2292" t="s">
        <v>276</v>
      </c>
      <c r="M2292" t="s">
        <v>60</v>
      </c>
      <c r="N2292" t="s">
        <v>119</v>
      </c>
      <c r="O2292" t="s">
        <v>134</v>
      </c>
      <c r="P2292" t="s">
        <v>121</v>
      </c>
      <c r="R2292" t="s">
        <v>122</v>
      </c>
      <c r="S2292" t="s">
        <v>123</v>
      </c>
      <c r="T2292">
        <v>290.10000000000002</v>
      </c>
      <c r="U2292">
        <v>283.5</v>
      </c>
      <c r="V2292">
        <f t="shared" si="70"/>
        <v>286.8</v>
      </c>
      <c r="W2292">
        <f t="shared" si="71"/>
        <v>6.6000000000000227</v>
      </c>
      <c r="X2292">
        <v>-98.405997999999997</v>
      </c>
      <c r="Y2292">
        <v>34.775500999999998</v>
      </c>
      <c r="Z2292" t="s">
        <v>90</v>
      </c>
      <c r="AA2292" t="s">
        <v>66</v>
      </c>
      <c r="AB2292" t="s">
        <v>407</v>
      </c>
      <c r="AC2292" t="s">
        <v>1388</v>
      </c>
      <c r="AH2292" t="s">
        <v>72</v>
      </c>
      <c r="AI2292" t="s">
        <v>1395</v>
      </c>
      <c r="AJ2292">
        <v>1999</v>
      </c>
      <c r="AK2292" t="s">
        <v>1390</v>
      </c>
      <c r="AM2292" t="s">
        <v>1391</v>
      </c>
      <c r="AN2292" t="s">
        <v>192</v>
      </c>
      <c r="AO2292">
        <v>4</v>
      </c>
      <c r="AP2292" t="s">
        <v>78</v>
      </c>
      <c r="AQ2292" t="s">
        <v>1392</v>
      </c>
      <c r="AR2292" t="s">
        <v>80</v>
      </c>
      <c r="AS2292">
        <v>101</v>
      </c>
      <c r="AT2292" t="s">
        <v>81</v>
      </c>
      <c r="AU2292">
        <v>-29.29</v>
      </c>
      <c r="AV2292">
        <v>-0.39</v>
      </c>
      <c r="AW2292" t="s">
        <v>82</v>
      </c>
      <c r="AX2292">
        <v>101</v>
      </c>
      <c r="AY2292" t="s">
        <v>81</v>
      </c>
      <c r="AZ2292">
        <v>-28.82</v>
      </c>
      <c r="BA2292">
        <v>0.54</v>
      </c>
      <c r="BB2292" t="s">
        <v>83</v>
      </c>
    </row>
    <row r="2293" spans="1:54" x14ac:dyDescent="0.4">
      <c r="A2293">
        <v>629480</v>
      </c>
      <c r="D2293" t="s">
        <v>54</v>
      </c>
      <c r="E2293" t="s">
        <v>154</v>
      </c>
      <c r="F2293" t="s">
        <v>1386</v>
      </c>
      <c r="G2293">
        <v>1</v>
      </c>
      <c r="H2293" t="s">
        <v>56</v>
      </c>
      <c r="I2293" t="s">
        <v>57</v>
      </c>
      <c r="K2293" t="s">
        <v>275</v>
      </c>
      <c r="L2293" t="s">
        <v>1396</v>
      </c>
      <c r="M2293" t="s">
        <v>60</v>
      </c>
      <c r="N2293" t="s">
        <v>119</v>
      </c>
      <c r="O2293" t="s">
        <v>134</v>
      </c>
      <c r="P2293" t="s">
        <v>121</v>
      </c>
      <c r="R2293" t="s">
        <v>122</v>
      </c>
      <c r="S2293" t="s">
        <v>123</v>
      </c>
      <c r="T2293">
        <v>290.10000000000002</v>
      </c>
      <c r="U2293">
        <v>283.5</v>
      </c>
      <c r="V2293">
        <f t="shared" si="70"/>
        <v>286.8</v>
      </c>
      <c r="W2293">
        <f t="shared" si="71"/>
        <v>6.6000000000000227</v>
      </c>
      <c r="X2293">
        <v>-98.405997999999997</v>
      </c>
      <c r="Y2293">
        <v>34.775500999999998</v>
      </c>
      <c r="Z2293" t="s">
        <v>90</v>
      </c>
      <c r="AA2293" t="s">
        <v>66</v>
      </c>
      <c r="AB2293" t="s">
        <v>407</v>
      </c>
      <c r="AC2293" t="s">
        <v>1388</v>
      </c>
      <c r="AH2293" t="s">
        <v>72</v>
      </c>
      <c r="AI2293" t="s">
        <v>1397</v>
      </c>
      <c r="AJ2293">
        <v>1998</v>
      </c>
      <c r="AK2293" t="s">
        <v>1390</v>
      </c>
      <c r="AM2293" t="s">
        <v>1391</v>
      </c>
      <c r="AN2293" t="s">
        <v>192</v>
      </c>
      <c r="AO2293">
        <v>4</v>
      </c>
      <c r="AP2293" t="s">
        <v>78</v>
      </c>
      <c r="AQ2293" t="s">
        <v>1392</v>
      </c>
      <c r="AR2293" t="s">
        <v>80</v>
      </c>
      <c r="AS2293">
        <v>101</v>
      </c>
      <c r="AT2293" t="s">
        <v>81</v>
      </c>
      <c r="AU2293">
        <v>-29.29</v>
      </c>
      <c r="AV2293">
        <v>-0.39</v>
      </c>
      <c r="AW2293" t="s">
        <v>82</v>
      </c>
      <c r="AX2293">
        <v>101</v>
      </c>
      <c r="AY2293" t="s">
        <v>81</v>
      </c>
      <c r="AZ2293">
        <v>-28.82</v>
      </c>
      <c r="BA2293">
        <v>0.54</v>
      </c>
      <c r="BB2293" t="s">
        <v>83</v>
      </c>
    </row>
    <row r="2294" spans="1:54" x14ac:dyDescent="0.4">
      <c r="A2294">
        <v>629481</v>
      </c>
      <c r="D2294" t="s">
        <v>54</v>
      </c>
      <c r="E2294" t="s">
        <v>154</v>
      </c>
      <c r="F2294" t="s">
        <v>1386</v>
      </c>
      <c r="G2294">
        <v>3</v>
      </c>
      <c r="H2294" t="s">
        <v>421</v>
      </c>
      <c r="I2294" t="s">
        <v>57</v>
      </c>
      <c r="K2294" t="s">
        <v>397</v>
      </c>
      <c r="L2294" t="s">
        <v>444</v>
      </c>
      <c r="M2294" t="s">
        <v>60</v>
      </c>
      <c r="N2294" t="s">
        <v>119</v>
      </c>
      <c r="O2294" t="s">
        <v>134</v>
      </c>
      <c r="P2294" t="s">
        <v>121</v>
      </c>
      <c r="R2294" t="s">
        <v>122</v>
      </c>
      <c r="S2294" t="s">
        <v>123</v>
      </c>
      <c r="T2294">
        <v>290.10000000000002</v>
      </c>
      <c r="U2294">
        <v>283.5</v>
      </c>
      <c r="V2294">
        <f t="shared" si="70"/>
        <v>286.8</v>
      </c>
      <c r="W2294">
        <f t="shared" si="71"/>
        <v>6.6000000000000227</v>
      </c>
      <c r="X2294">
        <v>-98.405997999999997</v>
      </c>
      <c r="Y2294">
        <v>34.775500999999998</v>
      </c>
      <c r="Z2294" t="s">
        <v>90</v>
      </c>
      <c r="AA2294" t="s">
        <v>66</v>
      </c>
      <c r="AB2294" t="s">
        <v>407</v>
      </c>
      <c r="AC2294" t="s">
        <v>1388</v>
      </c>
      <c r="AH2294" t="s">
        <v>72</v>
      </c>
      <c r="AI2294" t="s">
        <v>1389</v>
      </c>
      <c r="AJ2294">
        <v>2002</v>
      </c>
      <c r="AK2294" t="s">
        <v>1390</v>
      </c>
      <c r="AM2294" t="s">
        <v>1391</v>
      </c>
      <c r="AN2294" t="s">
        <v>192</v>
      </c>
      <c r="AO2294">
        <v>4</v>
      </c>
      <c r="AP2294" t="s">
        <v>78</v>
      </c>
      <c r="AQ2294" t="s">
        <v>1392</v>
      </c>
      <c r="AR2294" t="s">
        <v>80</v>
      </c>
      <c r="AS2294">
        <v>101</v>
      </c>
      <c r="AT2294" t="s">
        <v>81</v>
      </c>
      <c r="AU2294">
        <v>-29.29</v>
      </c>
      <c r="AV2294">
        <v>-0.39</v>
      </c>
      <c r="AW2294" t="s">
        <v>82</v>
      </c>
      <c r="AX2294">
        <v>101</v>
      </c>
      <c r="AY2294" t="s">
        <v>81</v>
      </c>
      <c r="AZ2294">
        <v>-28.82</v>
      </c>
      <c r="BA2294">
        <v>0.54</v>
      </c>
      <c r="BB2294" t="s">
        <v>83</v>
      </c>
    </row>
    <row r="2295" spans="1:54" x14ac:dyDescent="0.4">
      <c r="A2295">
        <v>629482</v>
      </c>
      <c r="D2295" t="s">
        <v>54</v>
      </c>
      <c r="E2295" t="s">
        <v>154</v>
      </c>
      <c r="F2295" t="s">
        <v>1386</v>
      </c>
      <c r="G2295">
        <v>3</v>
      </c>
      <c r="H2295" t="s">
        <v>435</v>
      </c>
      <c r="I2295" t="s">
        <v>57</v>
      </c>
      <c r="K2295" t="s">
        <v>1393</v>
      </c>
      <c r="L2295" t="s">
        <v>1398</v>
      </c>
      <c r="M2295" t="s">
        <v>60</v>
      </c>
      <c r="N2295" t="s">
        <v>119</v>
      </c>
      <c r="O2295" t="s">
        <v>120</v>
      </c>
      <c r="P2295" t="s">
        <v>121</v>
      </c>
      <c r="R2295" t="s">
        <v>122</v>
      </c>
      <c r="S2295" t="s">
        <v>123</v>
      </c>
      <c r="T2295">
        <v>290.10000000000002</v>
      </c>
      <c r="U2295">
        <v>283.5</v>
      </c>
      <c r="V2295">
        <f t="shared" si="70"/>
        <v>286.8</v>
      </c>
      <c r="W2295">
        <f t="shared" si="71"/>
        <v>6.6000000000000227</v>
      </c>
      <c r="X2295">
        <v>-98.405997999999997</v>
      </c>
      <c r="Y2295">
        <v>34.775500999999998</v>
      </c>
      <c r="Z2295" t="s">
        <v>90</v>
      </c>
      <c r="AA2295" t="s">
        <v>66</v>
      </c>
      <c r="AB2295" t="s">
        <v>407</v>
      </c>
      <c r="AC2295" t="s">
        <v>1388</v>
      </c>
      <c r="AH2295" t="s">
        <v>72</v>
      </c>
      <c r="AI2295" t="s">
        <v>1399</v>
      </c>
      <c r="AJ2295">
        <v>1962</v>
      </c>
      <c r="AK2295" t="s">
        <v>1390</v>
      </c>
      <c r="AM2295" t="s">
        <v>1391</v>
      </c>
      <c r="AN2295" t="s">
        <v>192</v>
      </c>
      <c r="AO2295">
        <v>4</v>
      </c>
      <c r="AP2295" t="s">
        <v>78</v>
      </c>
      <c r="AQ2295" t="s">
        <v>1392</v>
      </c>
      <c r="AR2295" t="s">
        <v>80</v>
      </c>
      <c r="AS2295">
        <v>101</v>
      </c>
      <c r="AT2295" t="s">
        <v>81</v>
      </c>
      <c r="AU2295">
        <v>-29.29</v>
      </c>
      <c r="AV2295">
        <v>-0.39</v>
      </c>
      <c r="AW2295" t="s">
        <v>82</v>
      </c>
      <c r="AX2295">
        <v>101</v>
      </c>
      <c r="AY2295" t="s">
        <v>81</v>
      </c>
      <c r="AZ2295">
        <v>-28.82</v>
      </c>
      <c r="BA2295">
        <v>0.54</v>
      </c>
      <c r="BB2295" t="s">
        <v>83</v>
      </c>
    </row>
    <row r="2296" spans="1:54" x14ac:dyDescent="0.4">
      <c r="A2296">
        <v>739044</v>
      </c>
      <c r="D2296" t="s">
        <v>179</v>
      </c>
      <c r="G2296">
        <v>50</v>
      </c>
      <c r="H2296" t="s">
        <v>84</v>
      </c>
      <c r="I2296" t="s">
        <v>57</v>
      </c>
      <c r="K2296" t="s">
        <v>275</v>
      </c>
      <c r="L2296" t="s">
        <v>1552</v>
      </c>
      <c r="M2296" t="s">
        <v>60</v>
      </c>
      <c r="N2296" t="s">
        <v>119</v>
      </c>
      <c r="O2296" t="s">
        <v>134</v>
      </c>
      <c r="P2296" t="s">
        <v>121</v>
      </c>
      <c r="R2296" t="s">
        <v>122</v>
      </c>
      <c r="S2296" t="s">
        <v>123</v>
      </c>
      <c r="T2296">
        <v>290.10000000000002</v>
      </c>
      <c r="U2296">
        <v>283.5</v>
      </c>
      <c r="V2296">
        <f t="shared" si="70"/>
        <v>286.8</v>
      </c>
      <c r="W2296">
        <f t="shared" si="71"/>
        <v>6.6000000000000227</v>
      </c>
      <c r="X2296">
        <v>-97.340553</v>
      </c>
      <c r="Y2296">
        <v>36.161667000000001</v>
      </c>
      <c r="Z2296" t="s">
        <v>124</v>
      </c>
      <c r="AA2296" t="s">
        <v>66</v>
      </c>
      <c r="AB2296" t="s">
        <v>407</v>
      </c>
      <c r="AC2296" t="s">
        <v>1553</v>
      </c>
      <c r="AD2296" t="s">
        <v>1554</v>
      </c>
      <c r="AE2296" t="s">
        <v>1555</v>
      </c>
      <c r="AH2296" t="s">
        <v>72</v>
      </c>
      <c r="AI2296" t="s">
        <v>411</v>
      </c>
      <c r="AJ2296">
        <v>1984</v>
      </c>
      <c r="AK2296" t="s">
        <v>1556</v>
      </c>
      <c r="AN2296" t="s">
        <v>76</v>
      </c>
      <c r="AO2296" t="s">
        <v>77</v>
      </c>
      <c r="AQ2296" t="s">
        <v>1557</v>
      </c>
      <c r="AR2296" t="s">
        <v>80</v>
      </c>
      <c r="AS2296">
        <v>101</v>
      </c>
      <c r="AT2296" t="s">
        <v>81</v>
      </c>
      <c r="AU2296">
        <v>-27.83</v>
      </c>
      <c r="AV2296">
        <v>0.34</v>
      </c>
      <c r="AW2296" t="s">
        <v>82</v>
      </c>
      <c r="AX2296">
        <v>101</v>
      </c>
      <c r="AY2296" t="s">
        <v>81</v>
      </c>
      <c r="AZ2296">
        <v>-27.37</v>
      </c>
      <c r="BA2296">
        <v>1.3</v>
      </c>
      <c r="BB2296" t="s">
        <v>83</v>
      </c>
    </row>
    <row r="2297" spans="1:54" x14ac:dyDescent="0.4">
      <c r="A2297">
        <v>753830</v>
      </c>
      <c r="D2297" t="s">
        <v>54</v>
      </c>
      <c r="G2297">
        <v>1</v>
      </c>
      <c r="H2297" t="s">
        <v>56</v>
      </c>
      <c r="I2297" t="s">
        <v>57</v>
      </c>
      <c r="K2297" t="s">
        <v>275</v>
      </c>
      <c r="L2297" t="s">
        <v>276</v>
      </c>
      <c r="M2297" t="s">
        <v>60</v>
      </c>
      <c r="N2297" t="s">
        <v>119</v>
      </c>
      <c r="O2297" t="s">
        <v>134</v>
      </c>
      <c r="P2297" t="s">
        <v>121</v>
      </c>
      <c r="R2297" t="s">
        <v>122</v>
      </c>
      <c r="S2297" t="s">
        <v>123</v>
      </c>
      <c r="T2297">
        <v>290.10000000000002</v>
      </c>
      <c r="U2297">
        <v>283.5</v>
      </c>
      <c r="V2297">
        <f t="shared" si="70"/>
        <v>286.8</v>
      </c>
      <c r="W2297">
        <f t="shared" si="71"/>
        <v>6.6000000000000227</v>
      </c>
      <c r="X2297">
        <v>-98.966667000000001</v>
      </c>
      <c r="Y2297">
        <v>33.666668000000001</v>
      </c>
      <c r="Z2297" t="s">
        <v>124</v>
      </c>
      <c r="AA2297" t="s">
        <v>66</v>
      </c>
      <c r="AB2297" t="s">
        <v>125</v>
      </c>
      <c r="AC2297" t="s">
        <v>278</v>
      </c>
      <c r="AD2297" t="s">
        <v>1665</v>
      </c>
      <c r="AE2297" t="s">
        <v>128</v>
      </c>
      <c r="AH2297" t="s">
        <v>72</v>
      </c>
      <c r="AI2297" t="s">
        <v>1666</v>
      </c>
      <c r="AJ2297">
        <v>1973</v>
      </c>
      <c r="AK2297" t="s">
        <v>1667</v>
      </c>
      <c r="AM2297" t="s">
        <v>1668</v>
      </c>
      <c r="AN2297" t="s">
        <v>76</v>
      </c>
      <c r="AO2297" t="s">
        <v>160</v>
      </c>
      <c r="AP2297" t="s">
        <v>78</v>
      </c>
      <c r="AQ2297" t="s">
        <v>1669</v>
      </c>
      <c r="AR2297" t="s">
        <v>80</v>
      </c>
      <c r="AS2297">
        <v>101</v>
      </c>
      <c r="AT2297" t="s">
        <v>81</v>
      </c>
      <c r="AU2297">
        <v>-30.27</v>
      </c>
      <c r="AV2297">
        <v>-1.0900000000000001</v>
      </c>
      <c r="AW2297" t="s">
        <v>82</v>
      </c>
      <c r="AX2297">
        <v>101</v>
      </c>
      <c r="AY2297" t="s">
        <v>81</v>
      </c>
      <c r="AZ2297">
        <v>-29.78</v>
      </c>
      <c r="BA2297">
        <v>-0.18</v>
      </c>
      <c r="BB2297" t="s">
        <v>83</v>
      </c>
    </row>
    <row r="2298" spans="1:54" x14ac:dyDescent="0.4">
      <c r="A2298">
        <v>785851</v>
      </c>
      <c r="D2298" t="s">
        <v>54</v>
      </c>
      <c r="G2298">
        <v>1</v>
      </c>
      <c r="H2298" t="s">
        <v>56</v>
      </c>
      <c r="I2298" t="s">
        <v>57</v>
      </c>
      <c r="K2298" t="s">
        <v>275</v>
      </c>
      <c r="L2298" t="s">
        <v>1552</v>
      </c>
      <c r="M2298" t="s">
        <v>60</v>
      </c>
      <c r="N2298" t="s">
        <v>119</v>
      </c>
      <c r="O2298" t="s">
        <v>134</v>
      </c>
      <c r="P2298" t="s">
        <v>121</v>
      </c>
      <c r="R2298" t="s">
        <v>122</v>
      </c>
      <c r="S2298" t="s">
        <v>123</v>
      </c>
      <c r="T2298">
        <v>290.10000000000002</v>
      </c>
      <c r="U2298">
        <v>283.5</v>
      </c>
      <c r="V2298">
        <f t="shared" si="70"/>
        <v>286.8</v>
      </c>
      <c r="W2298">
        <f t="shared" si="71"/>
        <v>6.6000000000000227</v>
      </c>
      <c r="X2298">
        <v>-98.900002000000001</v>
      </c>
      <c r="Y2298">
        <v>33.641666000000001</v>
      </c>
      <c r="Z2298" t="s">
        <v>124</v>
      </c>
      <c r="AA2298" t="s">
        <v>66</v>
      </c>
      <c r="AB2298" t="s">
        <v>125</v>
      </c>
      <c r="AC2298" t="s">
        <v>126</v>
      </c>
      <c r="AD2298" t="s">
        <v>1665</v>
      </c>
      <c r="AE2298" t="s">
        <v>128</v>
      </c>
      <c r="AH2298" t="s">
        <v>72</v>
      </c>
      <c r="AI2298" t="s">
        <v>1666</v>
      </c>
      <c r="AJ2298">
        <v>1973</v>
      </c>
      <c r="AK2298" t="s">
        <v>1769</v>
      </c>
      <c r="AM2298" t="s">
        <v>1770</v>
      </c>
      <c r="AN2298" t="s">
        <v>192</v>
      </c>
      <c r="AO2298" t="s">
        <v>77</v>
      </c>
      <c r="AP2298" t="s">
        <v>78</v>
      </c>
      <c r="AQ2298" t="s">
        <v>1771</v>
      </c>
      <c r="AR2298" t="s">
        <v>80</v>
      </c>
      <c r="AS2298">
        <v>101</v>
      </c>
      <c r="AT2298" t="s">
        <v>81</v>
      </c>
      <c r="AU2298">
        <v>-30.23</v>
      </c>
      <c r="AV2298">
        <v>-1.1399999999999999</v>
      </c>
      <c r="AW2298" t="s">
        <v>82</v>
      </c>
      <c r="AX2298">
        <v>101</v>
      </c>
      <c r="AY2298" t="s">
        <v>81</v>
      </c>
      <c r="AZ2298">
        <v>-29.74</v>
      </c>
      <c r="BA2298">
        <v>-0.23</v>
      </c>
      <c r="BB2298" t="s">
        <v>83</v>
      </c>
    </row>
    <row r="2299" spans="1:54" x14ac:dyDescent="0.4">
      <c r="A2299">
        <v>787464</v>
      </c>
      <c r="D2299" t="s">
        <v>179</v>
      </c>
      <c r="I2299" t="s">
        <v>57</v>
      </c>
      <c r="K2299" t="s">
        <v>275</v>
      </c>
      <c r="L2299" t="s">
        <v>276</v>
      </c>
      <c r="M2299" t="s">
        <v>60</v>
      </c>
      <c r="N2299" t="s">
        <v>119</v>
      </c>
      <c r="O2299" t="s">
        <v>134</v>
      </c>
      <c r="P2299" t="s">
        <v>121</v>
      </c>
      <c r="R2299" t="s">
        <v>122</v>
      </c>
      <c r="S2299" t="s">
        <v>123</v>
      </c>
      <c r="T2299">
        <v>290.10000000000002</v>
      </c>
      <c r="U2299">
        <v>283.5</v>
      </c>
      <c r="V2299">
        <f t="shared" si="70"/>
        <v>286.8</v>
      </c>
      <c r="W2299">
        <f t="shared" si="71"/>
        <v>6.6000000000000227</v>
      </c>
      <c r="X2299">
        <v>-97.340553</v>
      </c>
      <c r="Y2299">
        <v>36.161667000000001</v>
      </c>
      <c r="Z2299" t="s">
        <v>124</v>
      </c>
      <c r="AA2299" t="s">
        <v>66</v>
      </c>
      <c r="AB2299" t="s">
        <v>407</v>
      </c>
      <c r="AC2299" t="s">
        <v>1553</v>
      </c>
      <c r="AD2299" t="s">
        <v>1554</v>
      </c>
      <c r="AE2299" t="s">
        <v>1555</v>
      </c>
      <c r="AH2299" t="s">
        <v>72</v>
      </c>
      <c r="AI2299" t="s">
        <v>411</v>
      </c>
      <c r="AJ2299">
        <v>1967</v>
      </c>
      <c r="AK2299" t="s">
        <v>1556</v>
      </c>
      <c r="AN2299" t="s">
        <v>76</v>
      </c>
      <c r="AO2299" t="s">
        <v>77</v>
      </c>
      <c r="AQ2299" t="s">
        <v>1557</v>
      </c>
      <c r="AR2299" t="s">
        <v>80</v>
      </c>
      <c r="AS2299">
        <v>101</v>
      </c>
      <c r="AT2299" t="s">
        <v>81</v>
      </c>
      <c r="AU2299">
        <v>-27.83</v>
      </c>
      <c r="AV2299">
        <v>0.34</v>
      </c>
      <c r="AW2299" t="s">
        <v>82</v>
      </c>
      <c r="AX2299">
        <v>101</v>
      </c>
      <c r="AY2299" t="s">
        <v>81</v>
      </c>
      <c r="AZ2299">
        <v>-27.37</v>
      </c>
      <c r="BA2299">
        <v>1.3</v>
      </c>
      <c r="BB2299" t="s">
        <v>83</v>
      </c>
    </row>
    <row r="2300" spans="1:54" x14ac:dyDescent="0.4">
      <c r="A2300">
        <v>787989</v>
      </c>
      <c r="D2300" t="s">
        <v>54</v>
      </c>
      <c r="G2300">
        <v>1</v>
      </c>
      <c r="H2300" t="s">
        <v>56</v>
      </c>
      <c r="I2300" t="s">
        <v>57</v>
      </c>
      <c r="K2300" t="s">
        <v>275</v>
      </c>
      <c r="L2300" t="s">
        <v>1552</v>
      </c>
      <c r="M2300" t="s">
        <v>60</v>
      </c>
      <c r="N2300" t="s">
        <v>119</v>
      </c>
      <c r="O2300" t="s">
        <v>134</v>
      </c>
      <c r="P2300" t="s">
        <v>121</v>
      </c>
      <c r="R2300" t="s">
        <v>122</v>
      </c>
      <c r="S2300" t="s">
        <v>123</v>
      </c>
      <c r="T2300">
        <v>290.10000000000002</v>
      </c>
      <c r="U2300">
        <v>283.5</v>
      </c>
      <c r="V2300">
        <f t="shared" si="70"/>
        <v>286.8</v>
      </c>
      <c r="W2300">
        <f t="shared" si="71"/>
        <v>6.6000000000000227</v>
      </c>
      <c r="X2300">
        <v>-98.933334000000002</v>
      </c>
      <c r="Y2300">
        <v>33.566665999999998</v>
      </c>
      <c r="Z2300" t="s">
        <v>124</v>
      </c>
      <c r="AA2300" t="s">
        <v>66</v>
      </c>
      <c r="AB2300" t="s">
        <v>125</v>
      </c>
      <c r="AC2300" t="s">
        <v>126</v>
      </c>
      <c r="AD2300" t="s">
        <v>1665</v>
      </c>
      <c r="AE2300" t="s">
        <v>128</v>
      </c>
      <c r="AH2300" t="s">
        <v>72</v>
      </c>
      <c r="AI2300" t="s">
        <v>1666</v>
      </c>
      <c r="AJ2300">
        <v>1973</v>
      </c>
      <c r="AK2300" t="s">
        <v>1803</v>
      </c>
      <c r="AN2300" t="s">
        <v>192</v>
      </c>
      <c r="AO2300" t="s">
        <v>77</v>
      </c>
      <c r="AP2300" t="s">
        <v>78</v>
      </c>
      <c r="AQ2300" t="s">
        <v>1804</v>
      </c>
      <c r="AR2300" t="s">
        <v>80</v>
      </c>
      <c r="AS2300">
        <v>101</v>
      </c>
      <c r="AT2300" t="s">
        <v>81</v>
      </c>
      <c r="AU2300">
        <v>-30.3</v>
      </c>
      <c r="AV2300">
        <v>-1.19</v>
      </c>
      <c r="AW2300" t="s">
        <v>82</v>
      </c>
      <c r="AX2300">
        <v>101</v>
      </c>
      <c r="AY2300" t="s">
        <v>81</v>
      </c>
      <c r="AZ2300">
        <v>-29.81</v>
      </c>
      <c r="BA2300">
        <v>-0.28000000000000003</v>
      </c>
      <c r="BB2300" t="s">
        <v>83</v>
      </c>
    </row>
    <row r="2301" spans="1:54" x14ac:dyDescent="0.4">
      <c r="A2301">
        <v>788638</v>
      </c>
      <c r="D2301" t="s">
        <v>1645</v>
      </c>
      <c r="E2301" t="s">
        <v>310</v>
      </c>
      <c r="G2301">
        <v>1</v>
      </c>
      <c r="H2301" t="s">
        <v>56</v>
      </c>
      <c r="I2301" t="s">
        <v>57</v>
      </c>
      <c r="K2301" t="s">
        <v>141</v>
      </c>
      <c r="L2301" t="s">
        <v>1835</v>
      </c>
      <c r="M2301" t="s">
        <v>60</v>
      </c>
      <c r="P2301" t="s">
        <v>121</v>
      </c>
      <c r="R2301" t="s">
        <v>122</v>
      </c>
      <c r="S2301" t="s">
        <v>123</v>
      </c>
      <c r="T2301">
        <v>290.10000000000002</v>
      </c>
      <c r="U2301">
        <v>283.5</v>
      </c>
      <c r="V2301">
        <f t="shared" si="70"/>
        <v>286.8</v>
      </c>
      <c r="W2301">
        <f t="shared" si="71"/>
        <v>6.6000000000000227</v>
      </c>
      <c r="X2301">
        <v>10.618888999999999</v>
      </c>
      <c r="Y2301">
        <v>50.809722999999998</v>
      </c>
      <c r="Z2301" t="s">
        <v>184</v>
      </c>
      <c r="AA2301" t="s">
        <v>211</v>
      </c>
      <c r="AB2301" t="s">
        <v>977</v>
      </c>
      <c r="AC2301" t="s">
        <v>1836</v>
      </c>
      <c r="AD2301" t="s">
        <v>1837</v>
      </c>
      <c r="AE2301" t="s">
        <v>1838</v>
      </c>
      <c r="AF2301" t="s">
        <v>1839</v>
      </c>
      <c r="AH2301" t="s">
        <v>72</v>
      </c>
      <c r="AI2301" t="s">
        <v>1840</v>
      </c>
      <c r="AJ2301">
        <v>2006</v>
      </c>
      <c r="AK2301" t="s">
        <v>1841</v>
      </c>
      <c r="AN2301" t="s">
        <v>114</v>
      </c>
      <c r="AO2301" t="s">
        <v>77</v>
      </c>
      <c r="AP2301" t="s">
        <v>78</v>
      </c>
      <c r="AQ2301" t="s">
        <v>1842</v>
      </c>
      <c r="AR2301" t="s">
        <v>80</v>
      </c>
      <c r="AS2301">
        <v>305</v>
      </c>
      <c r="AT2301" t="s">
        <v>81</v>
      </c>
      <c r="AU2301">
        <v>21.71</v>
      </c>
      <c r="AV2301">
        <v>7.41</v>
      </c>
      <c r="AW2301" t="s">
        <v>82</v>
      </c>
      <c r="AX2301">
        <v>305</v>
      </c>
      <c r="AY2301" t="s">
        <v>81</v>
      </c>
      <c r="AZ2301">
        <v>22.18</v>
      </c>
      <c r="BA2301">
        <v>8.86</v>
      </c>
      <c r="BB2301" t="s">
        <v>83</v>
      </c>
    </row>
    <row r="2302" spans="1:54" x14ac:dyDescent="0.4">
      <c r="A2302">
        <v>788638</v>
      </c>
      <c r="D2302" t="s">
        <v>1645</v>
      </c>
      <c r="E2302" t="s">
        <v>310</v>
      </c>
      <c r="G2302">
        <v>1</v>
      </c>
      <c r="H2302" t="s">
        <v>56</v>
      </c>
      <c r="I2302" t="s">
        <v>57</v>
      </c>
      <c r="K2302" t="s">
        <v>141</v>
      </c>
      <c r="L2302" t="s">
        <v>1835</v>
      </c>
      <c r="M2302" t="s">
        <v>60</v>
      </c>
      <c r="P2302" t="s">
        <v>121</v>
      </c>
      <c r="R2302" t="s">
        <v>122</v>
      </c>
      <c r="S2302" t="s">
        <v>123</v>
      </c>
      <c r="T2302">
        <v>290.10000000000002</v>
      </c>
      <c r="U2302">
        <v>283.5</v>
      </c>
      <c r="V2302">
        <f t="shared" si="70"/>
        <v>286.8</v>
      </c>
      <c r="W2302">
        <f t="shared" si="71"/>
        <v>6.6000000000000227</v>
      </c>
      <c r="X2302">
        <v>10.618888999999999</v>
      </c>
      <c r="Y2302">
        <v>50.809722999999998</v>
      </c>
      <c r="Z2302" t="s">
        <v>184</v>
      </c>
      <c r="AA2302" t="s">
        <v>211</v>
      </c>
      <c r="AB2302" t="s">
        <v>977</v>
      </c>
      <c r="AC2302" t="s">
        <v>1836</v>
      </c>
      <c r="AD2302" t="s">
        <v>1837</v>
      </c>
      <c r="AE2302" t="s">
        <v>1838</v>
      </c>
      <c r="AF2302" t="s">
        <v>1839</v>
      </c>
      <c r="AH2302" t="s">
        <v>72</v>
      </c>
      <c r="AI2302" t="s">
        <v>1840</v>
      </c>
      <c r="AJ2302">
        <v>2006</v>
      </c>
      <c r="AK2302" t="s">
        <v>1841</v>
      </c>
      <c r="AN2302" t="s">
        <v>114</v>
      </c>
      <c r="AO2302" t="s">
        <v>77</v>
      </c>
      <c r="AP2302" t="s">
        <v>78</v>
      </c>
      <c r="AQ2302" t="s">
        <v>1842</v>
      </c>
      <c r="AR2302" t="s">
        <v>80</v>
      </c>
      <c r="AS2302">
        <v>305</v>
      </c>
      <c r="AT2302" t="s">
        <v>81</v>
      </c>
      <c r="AU2302">
        <v>21.71</v>
      </c>
      <c r="AV2302">
        <v>7.41</v>
      </c>
      <c r="AW2302" t="s">
        <v>82</v>
      </c>
      <c r="AX2302">
        <v>305</v>
      </c>
      <c r="AY2302" t="s">
        <v>81</v>
      </c>
      <c r="AZ2302">
        <v>22.18</v>
      </c>
      <c r="BA2302">
        <v>8.86</v>
      </c>
      <c r="BB2302" t="s">
        <v>83</v>
      </c>
    </row>
    <row r="2303" spans="1:54" x14ac:dyDescent="0.4">
      <c r="A2303">
        <v>788638</v>
      </c>
      <c r="D2303" t="s">
        <v>1645</v>
      </c>
      <c r="E2303" t="s">
        <v>310</v>
      </c>
      <c r="G2303">
        <v>1</v>
      </c>
      <c r="H2303" t="s">
        <v>56</v>
      </c>
      <c r="I2303" t="s">
        <v>57</v>
      </c>
      <c r="K2303" t="s">
        <v>141</v>
      </c>
      <c r="L2303" t="s">
        <v>1835</v>
      </c>
      <c r="M2303" t="s">
        <v>60</v>
      </c>
      <c r="P2303" t="s">
        <v>121</v>
      </c>
      <c r="R2303" t="s">
        <v>122</v>
      </c>
      <c r="S2303" t="s">
        <v>123</v>
      </c>
      <c r="T2303">
        <v>290.10000000000002</v>
      </c>
      <c r="U2303">
        <v>283.5</v>
      </c>
      <c r="V2303">
        <f t="shared" si="70"/>
        <v>286.8</v>
      </c>
      <c r="W2303">
        <f t="shared" si="71"/>
        <v>6.6000000000000227</v>
      </c>
      <c r="X2303">
        <v>10.618888999999999</v>
      </c>
      <c r="Y2303">
        <v>50.809722999999998</v>
      </c>
      <c r="Z2303" t="s">
        <v>184</v>
      </c>
      <c r="AA2303" t="s">
        <v>211</v>
      </c>
      <c r="AB2303" t="s">
        <v>977</v>
      </c>
      <c r="AC2303" t="s">
        <v>1836</v>
      </c>
      <c r="AD2303" t="s">
        <v>1837</v>
      </c>
      <c r="AE2303" t="s">
        <v>1838</v>
      </c>
      <c r="AF2303" t="s">
        <v>1839</v>
      </c>
      <c r="AH2303" t="s">
        <v>72</v>
      </c>
      <c r="AI2303" t="s">
        <v>1840</v>
      </c>
      <c r="AJ2303">
        <v>2006</v>
      </c>
      <c r="AK2303" t="s">
        <v>1841</v>
      </c>
      <c r="AN2303" t="s">
        <v>114</v>
      </c>
      <c r="AO2303" t="s">
        <v>77</v>
      </c>
      <c r="AP2303" t="s">
        <v>78</v>
      </c>
      <c r="AQ2303" t="s">
        <v>1842</v>
      </c>
      <c r="AR2303" t="s">
        <v>80</v>
      </c>
      <c r="AS2303">
        <v>305</v>
      </c>
      <c r="AT2303" t="s">
        <v>81</v>
      </c>
      <c r="AU2303">
        <v>21.71</v>
      </c>
      <c r="AV2303">
        <v>7.41</v>
      </c>
      <c r="AW2303" t="s">
        <v>82</v>
      </c>
      <c r="AX2303">
        <v>305</v>
      </c>
      <c r="AY2303" t="s">
        <v>81</v>
      </c>
      <c r="AZ2303">
        <v>22.18</v>
      </c>
      <c r="BA2303">
        <v>8.86</v>
      </c>
      <c r="BB2303" t="s">
        <v>83</v>
      </c>
    </row>
    <row r="2304" spans="1:54" x14ac:dyDescent="0.4">
      <c r="A2304">
        <v>788638</v>
      </c>
      <c r="D2304" t="s">
        <v>1645</v>
      </c>
      <c r="E2304" t="s">
        <v>310</v>
      </c>
      <c r="G2304">
        <v>1</v>
      </c>
      <c r="H2304" t="s">
        <v>56</v>
      </c>
      <c r="I2304" t="s">
        <v>57</v>
      </c>
      <c r="K2304" t="s">
        <v>141</v>
      </c>
      <c r="L2304" t="s">
        <v>1835</v>
      </c>
      <c r="M2304" t="s">
        <v>60</v>
      </c>
      <c r="P2304" t="s">
        <v>121</v>
      </c>
      <c r="R2304" t="s">
        <v>122</v>
      </c>
      <c r="S2304" t="s">
        <v>123</v>
      </c>
      <c r="T2304">
        <v>290.10000000000002</v>
      </c>
      <c r="U2304">
        <v>283.5</v>
      </c>
      <c r="V2304">
        <f t="shared" si="70"/>
        <v>286.8</v>
      </c>
      <c r="W2304">
        <f t="shared" si="71"/>
        <v>6.6000000000000227</v>
      </c>
      <c r="X2304">
        <v>10.618888999999999</v>
      </c>
      <c r="Y2304">
        <v>50.809722999999998</v>
      </c>
      <c r="Z2304" t="s">
        <v>184</v>
      </c>
      <c r="AA2304" t="s">
        <v>211</v>
      </c>
      <c r="AB2304" t="s">
        <v>977</v>
      </c>
      <c r="AC2304" t="s">
        <v>1836</v>
      </c>
      <c r="AD2304" t="s">
        <v>1837</v>
      </c>
      <c r="AE2304" t="s">
        <v>1838</v>
      </c>
      <c r="AF2304" t="s">
        <v>1839</v>
      </c>
      <c r="AH2304" t="s">
        <v>72</v>
      </c>
      <c r="AI2304" t="s">
        <v>1840</v>
      </c>
      <c r="AJ2304">
        <v>2006</v>
      </c>
      <c r="AK2304" t="s">
        <v>1841</v>
      </c>
      <c r="AN2304" t="s">
        <v>114</v>
      </c>
      <c r="AO2304" t="s">
        <v>77</v>
      </c>
      <c r="AP2304" t="s">
        <v>78</v>
      </c>
      <c r="AQ2304" t="s">
        <v>1842</v>
      </c>
      <c r="AR2304" t="s">
        <v>80</v>
      </c>
      <c r="AS2304">
        <v>305</v>
      </c>
      <c r="AT2304" t="s">
        <v>81</v>
      </c>
      <c r="AU2304">
        <v>21.71</v>
      </c>
      <c r="AV2304">
        <v>7.41</v>
      </c>
      <c r="AW2304" t="s">
        <v>82</v>
      </c>
      <c r="AX2304">
        <v>305</v>
      </c>
      <c r="AY2304" t="s">
        <v>81</v>
      </c>
      <c r="AZ2304">
        <v>22.18</v>
      </c>
      <c r="BA2304">
        <v>8.86</v>
      </c>
      <c r="BB2304" t="s">
        <v>83</v>
      </c>
    </row>
    <row r="2305" spans="1:54" x14ac:dyDescent="0.4">
      <c r="A2305">
        <v>788638</v>
      </c>
      <c r="D2305" t="s">
        <v>1645</v>
      </c>
      <c r="E2305" t="s">
        <v>310</v>
      </c>
      <c r="G2305">
        <v>1</v>
      </c>
      <c r="H2305" t="s">
        <v>56</v>
      </c>
      <c r="I2305" t="s">
        <v>57</v>
      </c>
      <c r="K2305" t="s">
        <v>141</v>
      </c>
      <c r="L2305" t="s">
        <v>1835</v>
      </c>
      <c r="M2305" t="s">
        <v>60</v>
      </c>
      <c r="P2305" t="s">
        <v>121</v>
      </c>
      <c r="R2305" t="s">
        <v>122</v>
      </c>
      <c r="S2305" t="s">
        <v>123</v>
      </c>
      <c r="T2305">
        <v>290.10000000000002</v>
      </c>
      <c r="U2305">
        <v>283.5</v>
      </c>
      <c r="V2305">
        <f t="shared" si="70"/>
        <v>286.8</v>
      </c>
      <c r="W2305">
        <f t="shared" si="71"/>
        <v>6.6000000000000227</v>
      </c>
      <c r="X2305">
        <v>10.618888999999999</v>
      </c>
      <c r="Y2305">
        <v>50.809722999999998</v>
      </c>
      <c r="Z2305" t="s">
        <v>184</v>
      </c>
      <c r="AA2305" t="s">
        <v>211</v>
      </c>
      <c r="AB2305" t="s">
        <v>977</v>
      </c>
      <c r="AC2305" t="s">
        <v>1836</v>
      </c>
      <c r="AD2305" t="s">
        <v>1837</v>
      </c>
      <c r="AE2305" t="s">
        <v>1838</v>
      </c>
      <c r="AF2305" t="s">
        <v>1839</v>
      </c>
      <c r="AH2305" t="s">
        <v>72</v>
      </c>
      <c r="AI2305" t="s">
        <v>1840</v>
      </c>
      <c r="AJ2305">
        <v>2006</v>
      </c>
      <c r="AK2305" t="s">
        <v>1841</v>
      </c>
      <c r="AN2305" t="s">
        <v>114</v>
      </c>
      <c r="AO2305" t="s">
        <v>77</v>
      </c>
      <c r="AP2305" t="s">
        <v>78</v>
      </c>
      <c r="AQ2305" t="s">
        <v>1842</v>
      </c>
      <c r="AR2305" t="s">
        <v>80</v>
      </c>
      <c r="AS2305">
        <v>305</v>
      </c>
      <c r="AT2305" t="s">
        <v>81</v>
      </c>
      <c r="AU2305">
        <v>21.71</v>
      </c>
      <c r="AV2305">
        <v>7.41</v>
      </c>
      <c r="AW2305" t="s">
        <v>82</v>
      </c>
      <c r="AX2305">
        <v>305</v>
      </c>
      <c r="AY2305" t="s">
        <v>81</v>
      </c>
      <c r="AZ2305">
        <v>22.18</v>
      </c>
      <c r="BA2305">
        <v>8.86</v>
      </c>
      <c r="BB2305" t="s">
        <v>83</v>
      </c>
    </row>
    <row r="2306" spans="1:54" x14ac:dyDescent="0.4">
      <c r="A2306">
        <v>788638</v>
      </c>
      <c r="D2306" t="s">
        <v>1645</v>
      </c>
      <c r="E2306" t="s">
        <v>310</v>
      </c>
      <c r="G2306">
        <v>1</v>
      </c>
      <c r="H2306" t="s">
        <v>56</v>
      </c>
      <c r="I2306" t="s">
        <v>57</v>
      </c>
      <c r="K2306" t="s">
        <v>141</v>
      </c>
      <c r="L2306" t="s">
        <v>1835</v>
      </c>
      <c r="M2306" t="s">
        <v>60</v>
      </c>
      <c r="P2306" t="s">
        <v>121</v>
      </c>
      <c r="R2306" t="s">
        <v>122</v>
      </c>
      <c r="S2306" t="s">
        <v>123</v>
      </c>
      <c r="T2306">
        <v>290.10000000000002</v>
      </c>
      <c r="U2306">
        <v>283.5</v>
      </c>
      <c r="V2306">
        <f t="shared" si="70"/>
        <v>286.8</v>
      </c>
      <c r="W2306">
        <f t="shared" si="71"/>
        <v>6.6000000000000227</v>
      </c>
      <c r="X2306">
        <v>10.618888999999999</v>
      </c>
      <c r="Y2306">
        <v>50.809722999999998</v>
      </c>
      <c r="Z2306" t="s">
        <v>184</v>
      </c>
      <c r="AA2306" t="s">
        <v>211</v>
      </c>
      <c r="AB2306" t="s">
        <v>977</v>
      </c>
      <c r="AC2306" t="s">
        <v>1836</v>
      </c>
      <c r="AD2306" t="s">
        <v>1837</v>
      </c>
      <c r="AE2306" t="s">
        <v>1838</v>
      </c>
      <c r="AF2306" t="s">
        <v>1839</v>
      </c>
      <c r="AH2306" t="s">
        <v>72</v>
      </c>
      <c r="AI2306" t="s">
        <v>1840</v>
      </c>
      <c r="AJ2306">
        <v>2006</v>
      </c>
      <c r="AK2306" t="s">
        <v>1841</v>
      </c>
      <c r="AN2306" t="s">
        <v>114</v>
      </c>
      <c r="AO2306" t="s">
        <v>77</v>
      </c>
      <c r="AP2306" t="s">
        <v>78</v>
      </c>
      <c r="AQ2306" t="s">
        <v>1842</v>
      </c>
      <c r="AR2306" t="s">
        <v>80</v>
      </c>
      <c r="AS2306">
        <v>305</v>
      </c>
      <c r="AT2306" t="s">
        <v>81</v>
      </c>
      <c r="AU2306">
        <v>21.71</v>
      </c>
      <c r="AV2306">
        <v>7.41</v>
      </c>
      <c r="AW2306" t="s">
        <v>82</v>
      </c>
      <c r="AX2306">
        <v>305</v>
      </c>
      <c r="AY2306" t="s">
        <v>81</v>
      </c>
      <c r="AZ2306">
        <v>22.18</v>
      </c>
      <c r="BA2306">
        <v>8.86</v>
      </c>
      <c r="BB2306" t="s">
        <v>83</v>
      </c>
    </row>
    <row r="2307" spans="1:54" x14ac:dyDescent="0.4">
      <c r="A2307">
        <v>788638</v>
      </c>
      <c r="D2307" t="s">
        <v>1645</v>
      </c>
      <c r="E2307" t="s">
        <v>310</v>
      </c>
      <c r="G2307">
        <v>1</v>
      </c>
      <c r="H2307" t="s">
        <v>56</v>
      </c>
      <c r="I2307" t="s">
        <v>57</v>
      </c>
      <c r="K2307" t="s">
        <v>141</v>
      </c>
      <c r="L2307" t="s">
        <v>1835</v>
      </c>
      <c r="M2307" t="s">
        <v>60</v>
      </c>
      <c r="P2307" t="s">
        <v>121</v>
      </c>
      <c r="R2307" t="s">
        <v>122</v>
      </c>
      <c r="S2307" t="s">
        <v>123</v>
      </c>
      <c r="T2307">
        <v>290.10000000000002</v>
      </c>
      <c r="U2307">
        <v>283.5</v>
      </c>
      <c r="V2307">
        <f t="shared" ref="V2307:V2370" si="72">(T2307+U2307)/2</f>
        <v>286.8</v>
      </c>
      <c r="W2307">
        <f t="shared" ref="W2307:W2370" si="73">T2307-U2307</f>
        <v>6.6000000000000227</v>
      </c>
      <c r="X2307">
        <v>10.618888999999999</v>
      </c>
      <c r="Y2307">
        <v>50.809722999999998</v>
      </c>
      <c r="Z2307" t="s">
        <v>184</v>
      </c>
      <c r="AA2307" t="s">
        <v>211</v>
      </c>
      <c r="AB2307" t="s">
        <v>977</v>
      </c>
      <c r="AC2307" t="s">
        <v>1836</v>
      </c>
      <c r="AD2307" t="s">
        <v>1837</v>
      </c>
      <c r="AE2307" t="s">
        <v>1838</v>
      </c>
      <c r="AF2307" t="s">
        <v>1839</v>
      </c>
      <c r="AH2307" t="s">
        <v>72</v>
      </c>
      <c r="AI2307" t="s">
        <v>1840</v>
      </c>
      <c r="AJ2307">
        <v>2006</v>
      </c>
      <c r="AK2307" t="s">
        <v>1841</v>
      </c>
      <c r="AN2307" t="s">
        <v>114</v>
      </c>
      <c r="AO2307" t="s">
        <v>77</v>
      </c>
      <c r="AP2307" t="s">
        <v>78</v>
      </c>
      <c r="AQ2307" t="s">
        <v>1842</v>
      </c>
      <c r="AR2307" t="s">
        <v>80</v>
      </c>
      <c r="AS2307">
        <v>305</v>
      </c>
      <c r="AT2307" t="s">
        <v>81</v>
      </c>
      <c r="AU2307">
        <v>21.71</v>
      </c>
      <c r="AV2307">
        <v>7.41</v>
      </c>
      <c r="AW2307" t="s">
        <v>82</v>
      </c>
      <c r="AX2307">
        <v>305</v>
      </c>
      <c r="AY2307" t="s">
        <v>81</v>
      </c>
      <c r="AZ2307">
        <v>22.18</v>
      </c>
      <c r="BA2307">
        <v>8.86</v>
      </c>
      <c r="BB2307" t="s">
        <v>83</v>
      </c>
    </row>
    <row r="2308" spans="1:54" x14ac:dyDescent="0.4">
      <c r="A2308">
        <v>788638</v>
      </c>
      <c r="D2308" t="s">
        <v>1645</v>
      </c>
      <c r="E2308" t="s">
        <v>310</v>
      </c>
      <c r="G2308">
        <v>1</v>
      </c>
      <c r="H2308" t="s">
        <v>56</v>
      </c>
      <c r="I2308" t="s">
        <v>57</v>
      </c>
      <c r="K2308" t="s">
        <v>141</v>
      </c>
      <c r="L2308" t="s">
        <v>1835</v>
      </c>
      <c r="M2308" t="s">
        <v>60</v>
      </c>
      <c r="P2308" t="s">
        <v>121</v>
      </c>
      <c r="R2308" t="s">
        <v>122</v>
      </c>
      <c r="S2308" t="s">
        <v>123</v>
      </c>
      <c r="T2308">
        <v>290.10000000000002</v>
      </c>
      <c r="U2308">
        <v>283.5</v>
      </c>
      <c r="V2308">
        <f t="shared" si="72"/>
        <v>286.8</v>
      </c>
      <c r="W2308">
        <f t="shared" si="73"/>
        <v>6.6000000000000227</v>
      </c>
      <c r="X2308">
        <v>10.618888999999999</v>
      </c>
      <c r="Y2308">
        <v>50.809722999999998</v>
      </c>
      <c r="Z2308" t="s">
        <v>184</v>
      </c>
      <c r="AA2308" t="s">
        <v>211</v>
      </c>
      <c r="AB2308" t="s">
        <v>977</v>
      </c>
      <c r="AC2308" t="s">
        <v>1836</v>
      </c>
      <c r="AD2308" t="s">
        <v>1837</v>
      </c>
      <c r="AE2308" t="s">
        <v>1838</v>
      </c>
      <c r="AF2308" t="s">
        <v>1839</v>
      </c>
      <c r="AH2308" t="s">
        <v>72</v>
      </c>
      <c r="AI2308" t="s">
        <v>1840</v>
      </c>
      <c r="AJ2308">
        <v>2006</v>
      </c>
      <c r="AK2308" t="s">
        <v>1841</v>
      </c>
      <c r="AN2308" t="s">
        <v>114</v>
      </c>
      <c r="AO2308" t="s">
        <v>77</v>
      </c>
      <c r="AP2308" t="s">
        <v>78</v>
      </c>
      <c r="AQ2308" t="s">
        <v>1842</v>
      </c>
      <c r="AR2308" t="s">
        <v>80</v>
      </c>
      <c r="AS2308">
        <v>305</v>
      </c>
      <c r="AT2308" t="s">
        <v>81</v>
      </c>
      <c r="AU2308">
        <v>21.71</v>
      </c>
      <c r="AV2308">
        <v>7.41</v>
      </c>
      <c r="AW2308" t="s">
        <v>82</v>
      </c>
      <c r="AX2308">
        <v>305</v>
      </c>
      <c r="AY2308" t="s">
        <v>81</v>
      </c>
      <c r="AZ2308">
        <v>22.18</v>
      </c>
      <c r="BA2308">
        <v>8.86</v>
      </c>
      <c r="BB2308" t="s">
        <v>83</v>
      </c>
    </row>
    <row r="2309" spans="1:54" x14ac:dyDescent="0.4">
      <c r="A2309">
        <v>788639</v>
      </c>
      <c r="D2309" t="s">
        <v>1645</v>
      </c>
      <c r="E2309" t="s">
        <v>310</v>
      </c>
      <c r="G2309">
        <v>1</v>
      </c>
      <c r="H2309" t="s">
        <v>56</v>
      </c>
      <c r="I2309" t="s">
        <v>57</v>
      </c>
      <c r="K2309" t="s">
        <v>397</v>
      </c>
      <c r="L2309" t="s">
        <v>1843</v>
      </c>
      <c r="M2309" t="s">
        <v>60</v>
      </c>
      <c r="N2309" t="s">
        <v>119</v>
      </c>
      <c r="O2309" t="s">
        <v>134</v>
      </c>
      <c r="P2309" t="s">
        <v>121</v>
      </c>
      <c r="R2309" t="s">
        <v>122</v>
      </c>
      <c r="S2309" t="s">
        <v>123</v>
      </c>
      <c r="T2309">
        <v>290.10000000000002</v>
      </c>
      <c r="U2309">
        <v>283.5</v>
      </c>
      <c r="V2309">
        <f t="shared" si="72"/>
        <v>286.8</v>
      </c>
      <c r="W2309">
        <f t="shared" si="73"/>
        <v>6.6000000000000227</v>
      </c>
      <c r="X2309">
        <v>10.618888999999999</v>
      </c>
      <c r="Y2309">
        <v>50.809722999999998</v>
      </c>
      <c r="Z2309" t="s">
        <v>184</v>
      </c>
      <c r="AA2309" t="s">
        <v>211</v>
      </c>
      <c r="AB2309" t="s">
        <v>977</v>
      </c>
      <c r="AC2309" t="s">
        <v>1836</v>
      </c>
      <c r="AD2309" t="s">
        <v>1837</v>
      </c>
      <c r="AE2309" t="s">
        <v>1838</v>
      </c>
      <c r="AF2309" t="s">
        <v>1839</v>
      </c>
      <c r="AH2309" t="s">
        <v>72</v>
      </c>
      <c r="AI2309" t="s">
        <v>1844</v>
      </c>
      <c r="AJ2309">
        <v>2000</v>
      </c>
      <c r="AK2309" t="s">
        <v>1841</v>
      </c>
      <c r="AN2309" t="s">
        <v>114</v>
      </c>
      <c r="AO2309" t="s">
        <v>77</v>
      </c>
      <c r="AP2309" t="s">
        <v>78</v>
      </c>
      <c r="AQ2309" t="s">
        <v>1842</v>
      </c>
      <c r="AR2309" t="s">
        <v>80</v>
      </c>
      <c r="AS2309">
        <v>305</v>
      </c>
      <c r="AT2309" t="s">
        <v>81</v>
      </c>
      <c r="AU2309">
        <v>21.71</v>
      </c>
      <c r="AV2309">
        <v>7.41</v>
      </c>
      <c r="AW2309" t="s">
        <v>82</v>
      </c>
      <c r="AX2309">
        <v>305</v>
      </c>
      <c r="AY2309" t="s">
        <v>81</v>
      </c>
      <c r="AZ2309">
        <v>22.18</v>
      </c>
      <c r="BA2309">
        <v>8.86</v>
      </c>
      <c r="BB2309" t="s">
        <v>83</v>
      </c>
    </row>
    <row r="2310" spans="1:54" x14ac:dyDescent="0.4">
      <c r="A2310">
        <v>789104</v>
      </c>
      <c r="D2310" t="s">
        <v>54</v>
      </c>
      <c r="E2310" t="s">
        <v>154</v>
      </c>
      <c r="F2310" t="s">
        <v>1386</v>
      </c>
      <c r="G2310">
        <v>1</v>
      </c>
      <c r="H2310" t="s">
        <v>56</v>
      </c>
      <c r="I2310" t="s">
        <v>57</v>
      </c>
      <c r="K2310" t="s">
        <v>275</v>
      </c>
      <c r="L2310" t="s">
        <v>276</v>
      </c>
      <c r="M2310" t="s">
        <v>60</v>
      </c>
      <c r="N2310" t="s">
        <v>119</v>
      </c>
      <c r="O2310" t="s">
        <v>134</v>
      </c>
      <c r="P2310" t="s">
        <v>121</v>
      </c>
      <c r="R2310" t="s">
        <v>122</v>
      </c>
      <c r="S2310" t="s">
        <v>123</v>
      </c>
      <c r="T2310">
        <v>290.10000000000002</v>
      </c>
      <c r="U2310">
        <v>283.5</v>
      </c>
      <c r="V2310">
        <f t="shared" si="72"/>
        <v>286.8</v>
      </c>
      <c r="W2310">
        <f t="shared" si="73"/>
        <v>6.6000000000000227</v>
      </c>
      <c r="X2310">
        <v>-98.405997999999997</v>
      </c>
      <c r="Y2310">
        <v>34.775500999999998</v>
      </c>
      <c r="Z2310" t="s">
        <v>90</v>
      </c>
      <c r="AA2310" t="s">
        <v>66</v>
      </c>
      <c r="AB2310" t="s">
        <v>407</v>
      </c>
      <c r="AC2310" t="s">
        <v>1388</v>
      </c>
      <c r="AH2310" t="s">
        <v>72</v>
      </c>
      <c r="AI2310" t="s">
        <v>1846</v>
      </c>
      <c r="AJ2310">
        <v>2002</v>
      </c>
      <c r="AK2310" t="s">
        <v>1390</v>
      </c>
      <c r="AM2310" t="s">
        <v>1391</v>
      </c>
      <c r="AN2310" t="s">
        <v>192</v>
      </c>
      <c r="AO2310">
        <v>4</v>
      </c>
      <c r="AP2310" t="s">
        <v>78</v>
      </c>
      <c r="AQ2310" t="s">
        <v>1392</v>
      </c>
      <c r="AR2310" t="s">
        <v>80</v>
      </c>
      <c r="AS2310">
        <v>101</v>
      </c>
      <c r="AT2310" t="s">
        <v>81</v>
      </c>
      <c r="AU2310">
        <v>-29.29</v>
      </c>
      <c r="AV2310">
        <v>-0.39</v>
      </c>
      <c r="AW2310" t="s">
        <v>82</v>
      </c>
      <c r="AX2310">
        <v>101</v>
      </c>
      <c r="AY2310" t="s">
        <v>81</v>
      </c>
      <c r="AZ2310">
        <v>-28.82</v>
      </c>
      <c r="BA2310">
        <v>0.54</v>
      </c>
      <c r="BB2310" t="s">
        <v>83</v>
      </c>
    </row>
    <row r="2311" spans="1:54" x14ac:dyDescent="0.4">
      <c r="A2311">
        <v>789104</v>
      </c>
      <c r="D2311" t="s">
        <v>54</v>
      </c>
      <c r="E2311" t="s">
        <v>154</v>
      </c>
      <c r="F2311" t="s">
        <v>1386</v>
      </c>
      <c r="G2311">
        <v>1</v>
      </c>
      <c r="H2311" t="s">
        <v>56</v>
      </c>
      <c r="I2311" t="s">
        <v>57</v>
      </c>
      <c r="K2311" t="s">
        <v>275</v>
      </c>
      <c r="L2311" t="s">
        <v>276</v>
      </c>
      <c r="M2311" t="s">
        <v>60</v>
      </c>
      <c r="N2311" t="s">
        <v>119</v>
      </c>
      <c r="O2311" t="s">
        <v>134</v>
      </c>
      <c r="P2311" t="s">
        <v>121</v>
      </c>
      <c r="R2311" t="s">
        <v>122</v>
      </c>
      <c r="S2311" t="s">
        <v>123</v>
      </c>
      <c r="T2311">
        <v>290.10000000000002</v>
      </c>
      <c r="U2311">
        <v>283.5</v>
      </c>
      <c r="V2311">
        <f t="shared" si="72"/>
        <v>286.8</v>
      </c>
      <c r="W2311">
        <f t="shared" si="73"/>
        <v>6.6000000000000227</v>
      </c>
      <c r="X2311">
        <v>-98.405997999999997</v>
      </c>
      <c r="Y2311">
        <v>34.775500999999998</v>
      </c>
      <c r="Z2311" t="s">
        <v>90</v>
      </c>
      <c r="AA2311" t="s">
        <v>66</v>
      </c>
      <c r="AB2311" t="s">
        <v>407</v>
      </c>
      <c r="AC2311" t="s">
        <v>1388</v>
      </c>
      <c r="AH2311" t="s">
        <v>72</v>
      </c>
      <c r="AI2311" t="s">
        <v>1846</v>
      </c>
      <c r="AJ2311">
        <v>2002</v>
      </c>
      <c r="AK2311" t="s">
        <v>1390</v>
      </c>
      <c r="AM2311" t="s">
        <v>1391</v>
      </c>
      <c r="AN2311" t="s">
        <v>192</v>
      </c>
      <c r="AO2311">
        <v>4</v>
      </c>
      <c r="AP2311" t="s">
        <v>78</v>
      </c>
      <c r="AQ2311" t="s">
        <v>1392</v>
      </c>
      <c r="AR2311" t="s">
        <v>80</v>
      </c>
      <c r="AS2311">
        <v>101</v>
      </c>
      <c r="AT2311" t="s">
        <v>81</v>
      </c>
      <c r="AU2311">
        <v>-29.29</v>
      </c>
      <c r="AV2311">
        <v>-0.39</v>
      </c>
      <c r="AW2311" t="s">
        <v>82</v>
      </c>
      <c r="AX2311">
        <v>101</v>
      </c>
      <c r="AY2311" t="s">
        <v>81</v>
      </c>
      <c r="AZ2311">
        <v>-28.82</v>
      </c>
      <c r="BA2311">
        <v>0.54</v>
      </c>
      <c r="BB2311" t="s">
        <v>83</v>
      </c>
    </row>
    <row r="2312" spans="1:54" x14ac:dyDescent="0.4">
      <c r="A2312">
        <v>789104</v>
      </c>
      <c r="D2312" t="s">
        <v>54</v>
      </c>
      <c r="E2312" t="s">
        <v>154</v>
      </c>
      <c r="F2312" t="s">
        <v>1386</v>
      </c>
      <c r="G2312">
        <v>1</v>
      </c>
      <c r="H2312" t="s">
        <v>56</v>
      </c>
      <c r="I2312" t="s">
        <v>57</v>
      </c>
      <c r="K2312" t="s">
        <v>275</v>
      </c>
      <c r="L2312" t="s">
        <v>276</v>
      </c>
      <c r="M2312" t="s">
        <v>60</v>
      </c>
      <c r="N2312" t="s">
        <v>119</v>
      </c>
      <c r="O2312" t="s">
        <v>134</v>
      </c>
      <c r="P2312" t="s">
        <v>121</v>
      </c>
      <c r="R2312" t="s">
        <v>122</v>
      </c>
      <c r="S2312" t="s">
        <v>123</v>
      </c>
      <c r="T2312">
        <v>290.10000000000002</v>
      </c>
      <c r="U2312">
        <v>283.5</v>
      </c>
      <c r="V2312">
        <f t="shared" si="72"/>
        <v>286.8</v>
      </c>
      <c r="W2312">
        <f t="shared" si="73"/>
        <v>6.6000000000000227</v>
      </c>
      <c r="X2312">
        <v>-98.405997999999997</v>
      </c>
      <c r="Y2312">
        <v>34.775500999999998</v>
      </c>
      <c r="Z2312" t="s">
        <v>90</v>
      </c>
      <c r="AA2312" t="s">
        <v>66</v>
      </c>
      <c r="AB2312" t="s">
        <v>407</v>
      </c>
      <c r="AC2312" t="s">
        <v>1388</v>
      </c>
      <c r="AH2312" t="s">
        <v>72</v>
      </c>
      <c r="AI2312" t="s">
        <v>1846</v>
      </c>
      <c r="AJ2312">
        <v>2002</v>
      </c>
      <c r="AK2312" t="s">
        <v>1390</v>
      </c>
      <c r="AM2312" t="s">
        <v>1391</v>
      </c>
      <c r="AN2312" t="s">
        <v>192</v>
      </c>
      <c r="AO2312">
        <v>4</v>
      </c>
      <c r="AP2312" t="s">
        <v>78</v>
      </c>
      <c r="AQ2312" t="s">
        <v>1392</v>
      </c>
      <c r="AR2312" t="s">
        <v>80</v>
      </c>
      <c r="AS2312">
        <v>101</v>
      </c>
      <c r="AT2312" t="s">
        <v>81</v>
      </c>
      <c r="AU2312">
        <v>-29.29</v>
      </c>
      <c r="AV2312">
        <v>-0.39</v>
      </c>
      <c r="AW2312" t="s">
        <v>82</v>
      </c>
      <c r="AX2312">
        <v>101</v>
      </c>
      <c r="AY2312" t="s">
        <v>81</v>
      </c>
      <c r="AZ2312">
        <v>-28.82</v>
      </c>
      <c r="BA2312">
        <v>0.54</v>
      </c>
      <c r="BB2312" t="s">
        <v>83</v>
      </c>
    </row>
    <row r="2313" spans="1:54" x14ac:dyDescent="0.4">
      <c r="A2313">
        <v>789104</v>
      </c>
      <c r="D2313" t="s">
        <v>54</v>
      </c>
      <c r="E2313" t="s">
        <v>154</v>
      </c>
      <c r="F2313" t="s">
        <v>1386</v>
      </c>
      <c r="G2313">
        <v>1</v>
      </c>
      <c r="H2313" t="s">
        <v>56</v>
      </c>
      <c r="I2313" t="s">
        <v>57</v>
      </c>
      <c r="K2313" t="s">
        <v>275</v>
      </c>
      <c r="L2313" t="s">
        <v>276</v>
      </c>
      <c r="M2313" t="s">
        <v>60</v>
      </c>
      <c r="N2313" t="s">
        <v>119</v>
      </c>
      <c r="O2313" t="s">
        <v>134</v>
      </c>
      <c r="P2313" t="s">
        <v>121</v>
      </c>
      <c r="R2313" t="s">
        <v>122</v>
      </c>
      <c r="S2313" t="s">
        <v>123</v>
      </c>
      <c r="T2313">
        <v>290.10000000000002</v>
      </c>
      <c r="U2313">
        <v>283.5</v>
      </c>
      <c r="V2313">
        <f t="shared" si="72"/>
        <v>286.8</v>
      </c>
      <c r="W2313">
        <f t="shared" si="73"/>
        <v>6.6000000000000227</v>
      </c>
      <c r="X2313">
        <v>-98.405997999999997</v>
      </c>
      <c r="Y2313">
        <v>34.775500999999998</v>
      </c>
      <c r="Z2313" t="s">
        <v>90</v>
      </c>
      <c r="AA2313" t="s">
        <v>66</v>
      </c>
      <c r="AB2313" t="s">
        <v>407</v>
      </c>
      <c r="AC2313" t="s">
        <v>1388</v>
      </c>
      <c r="AH2313" t="s">
        <v>72</v>
      </c>
      <c r="AI2313" t="s">
        <v>1846</v>
      </c>
      <c r="AJ2313">
        <v>2002</v>
      </c>
      <c r="AK2313" t="s">
        <v>1390</v>
      </c>
      <c r="AM2313" t="s">
        <v>1391</v>
      </c>
      <c r="AN2313" t="s">
        <v>192</v>
      </c>
      <c r="AO2313">
        <v>4</v>
      </c>
      <c r="AP2313" t="s">
        <v>78</v>
      </c>
      <c r="AQ2313" t="s">
        <v>1392</v>
      </c>
      <c r="AR2313" t="s">
        <v>80</v>
      </c>
      <c r="AS2313">
        <v>101</v>
      </c>
      <c r="AT2313" t="s">
        <v>81</v>
      </c>
      <c r="AU2313">
        <v>-29.29</v>
      </c>
      <c r="AV2313">
        <v>-0.39</v>
      </c>
      <c r="AW2313" t="s">
        <v>82</v>
      </c>
      <c r="AX2313">
        <v>101</v>
      </c>
      <c r="AY2313" t="s">
        <v>81</v>
      </c>
      <c r="AZ2313">
        <v>-28.82</v>
      </c>
      <c r="BA2313">
        <v>0.54</v>
      </c>
      <c r="BB2313" t="s">
        <v>83</v>
      </c>
    </row>
    <row r="2314" spans="1:54" x14ac:dyDescent="0.4">
      <c r="A2314">
        <v>789104</v>
      </c>
      <c r="D2314" t="s">
        <v>54</v>
      </c>
      <c r="E2314" t="s">
        <v>154</v>
      </c>
      <c r="F2314" t="s">
        <v>1386</v>
      </c>
      <c r="G2314">
        <v>1</v>
      </c>
      <c r="H2314" t="s">
        <v>56</v>
      </c>
      <c r="I2314" t="s">
        <v>57</v>
      </c>
      <c r="K2314" t="s">
        <v>275</v>
      </c>
      <c r="L2314" t="s">
        <v>276</v>
      </c>
      <c r="M2314" t="s">
        <v>60</v>
      </c>
      <c r="N2314" t="s">
        <v>119</v>
      </c>
      <c r="O2314" t="s">
        <v>134</v>
      </c>
      <c r="P2314" t="s">
        <v>121</v>
      </c>
      <c r="R2314" t="s">
        <v>122</v>
      </c>
      <c r="S2314" t="s">
        <v>123</v>
      </c>
      <c r="T2314">
        <v>290.10000000000002</v>
      </c>
      <c r="U2314">
        <v>283.5</v>
      </c>
      <c r="V2314">
        <f t="shared" si="72"/>
        <v>286.8</v>
      </c>
      <c r="W2314">
        <f t="shared" si="73"/>
        <v>6.6000000000000227</v>
      </c>
      <c r="X2314">
        <v>-98.405997999999997</v>
      </c>
      <c r="Y2314">
        <v>34.775500999999998</v>
      </c>
      <c r="Z2314" t="s">
        <v>90</v>
      </c>
      <c r="AA2314" t="s">
        <v>66</v>
      </c>
      <c r="AB2314" t="s">
        <v>407</v>
      </c>
      <c r="AC2314" t="s">
        <v>1388</v>
      </c>
      <c r="AH2314" t="s">
        <v>72</v>
      </c>
      <c r="AI2314" t="s">
        <v>1846</v>
      </c>
      <c r="AJ2314">
        <v>2002</v>
      </c>
      <c r="AK2314" t="s">
        <v>1390</v>
      </c>
      <c r="AM2314" t="s">
        <v>1391</v>
      </c>
      <c r="AN2314" t="s">
        <v>192</v>
      </c>
      <c r="AO2314">
        <v>4</v>
      </c>
      <c r="AP2314" t="s">
        <v>78</v>
      </c>
      <c r="AQ2314" t="s">
        <v>1392</v>
      </c>
      <c r="AR2314" t="s">
        <v>80</v>
      </c>
      <c r="AS2314">
        <v>101</v>
      </c>
      <c r="AT2314" t="s">
        <v>81</v>
      </c>
      <c r="AU2314">
        <v>-29.29</v>
      </c>
      <c r="AV2314">
        <v>-0.39</v>
      </c>
      <c r="AW2314" t="s">
        <v>82</v>
      </c>
      <c r="AX2314">
        <v>101</v>
      </c>
      <c r="AY2314" t="s">
        <v>81</v>
      </c>
      <c r="AZ2314">
        <v>-28.82</v>
      </c>
      <c r="BA2314">
        <v>0.54</v>
      </c>
      <c r="BB2314" t="s">
        <v>83</v>
      </c>
    </row>
    <row r="2315" spans="1:54" x14ac:dyDescent="0.4">
      <c r="A2315">
        <v>789104</v>
      </c>
      <c r="D2315" t="s">
        <v>54</v>
      </c>
      <c r="E2315" t="s">
        <v>154</v>
      </c>
      <c r="F2315" t="s">
        <v>1386</v>
      </c>
      <c r="G2315">
        <v>1</v>
      </c>
      <c r="H2315" t="s">
        <v>56</v>
      </c>
      <c r="I2315" t="s">
        <v>57</v>
      </c>
      <c r="K2315" t="s">
        <v>275</v>
      </c>
      <c r="L2315" t="s">
        <v>276</v>
      </c>
      <c r="M2315" t="s">
        <v>60</v>
      </c>
      <c r="N2315" t="s">
        <v>119</v>
      </c>
      <c r="O2315" t="s">
        <v>134</v>
      </c>
      <c r="P2315" t="s">
        <v>121</v>
      </c>
      <c r="R2315" t="s">
        <v>122</v>
      </c>
      <c r="S2315" t="s">
        <v>123</v>
      </c>
      <c r="T2315">
        <v>290.10000000000002</v>
      </c>
      <c r="U2315">
        <v>283.5</v>
      </c>
      <c r="V2315">
        <f t="shared" si="72"/>
        <v>286.8</v>
      </c>
      <c r="W2315">
        <f t="shared" si="73"/>
        <v>6.6000000000000227</v>
      </c>
      <c r="X2315">
        <v>-98.405997999999997</v>
      </c>
      <c r="Y2315">
        <v>34.775500999999998</v>
      </c>
      <c r="Z2315" t="s">
        <v>90</v>
      </c>
      <c r="AA2315" t="s">
        <v>66</v>
      </c>
      <c r="AB2315" t="s">
        <v>407</v>
      </c>
      <c r="AC2315" t="s">
        <v>1388</v>
      </c>
      <c r="AH2315" t="s">
        <v>72</v>
      </c>
      <c r="AI2315" t="s">
        <v>1846</v>
      </c>
      <c r="AJ2315">
        <v>2002</v>
      </c>
      <c r="AK2315" t="s">
        <v>1390</v>
      </c>
      <c r="AM2315" t="s">
        <v>1391</v>
      </c>
      <c r="AN2315" t="s">
        <v>192</v>
      </c>
      <c r="AO2315">
        <v>4</v>
      </c>
      <c r="AP2315" t="s">
        <v>78</v>
      </c>
      <c r="AQ2315" t="s">
        <v>1392</v>
      </c>
      <c r="AR2315" t="s">
        <v>80</v>
      </c>
      <c r="AS2315">
        <v>101</v>
      </c>
      <c r="AT2315" t="s">
        <v>81</v>
      </c>
      <c r="AU2315">
        <v>-29.29</v>
      </c>
      <c r="AV2315">
        <v>-0.39</v>
      </c>
      <c r="AW2315" t="s">
        <v>82</v>
      </c>
      <c r="AX2315">
        <v>101</v>
      </c>
      <c r="AY2315" t="s">
        <v>81</v>
      </c>
      <c r="AZ2315">
        <v>-28.82</v>
      </c>
      <c r="BA2315">
        <v>0.54</v>
      </c>
      <c r="BB2315" t="s">
        <v>83</v>
      </c>
    </row>
    <row r="2316" spans="1:54" x14ac:dyDescent="0.4">
      <c r="A2316">
        <v>814519</v>
      </c>
      <c r="D2316" t="s">
        <v>2134</v>
      </c>
      <c r="E2316" t="s">
        <v>55</v>
      </c>
      <c r="G2316">
        <v>1</v>
      </c>
      <c r="H2316" t="s">
        <v>84</v>
      </c>
      <c r="I2316" t="s">
        <v>57</v>
      </c>
      <c r="K2316" t="s">
        <v>483</v>
      </c>
      <c r="L2316" t="s">
        <v>484</v>
      </c>
      <c r="M2316" t="s">
        <v>223</v>
      </c>
      <c r="N2316" t="s">
        <v>485</v>
      </c>
      <c r="O2316" t="s">
        <v>345</v>
      </c>
      <c r="P2316" t="s">
        <v>121</v>
      </c>
      <c r="R2316" t="s">
        <v>122</v>
      </c>
      <c r="S2316" t="s">
        <v>123</v>
      </c>
      <c r="T2316">
        <v>290.10000000000002</v>
      </c>
      <c r="U2316">
        <v>283.5</v>
      </c>
      <c r="V2316">
        <f t="shared" si="72"/>
        <v>286.8</v>
      </c>
      <c r="W2316">
        <f t="shared" si="73"/>
        <v>6.6000000000000227</v>
      </c>
      <c r="X2316">
        <v>24.203056</v>
      </c>
      <c r="Y2316">
        <v>-29.646388999999999</v>
      </c>
      <c r="Z2316" t="s">
        <v>1890</v>
      </c>
      <c r="AA2316" t="s">
        <v>106</v>
      </c>
      <c r="AB2316" t="s">
        <v>575</v>
      </c>
      <c r="AC2316" t="s">
        <v>2285</v>
      </c>
      <c r="AD2316" t="s">
        <v>2286</v>
      </c>
      <c r="AE2316" t="s">
        <v>2287</v>
      </c>
      <c r="AH2316" t="s">
        <v>72</v>
      </c>
      <c r="AI2316" t="s">
        <v>2288</v>
      </c>
      <c r="AJ2316">
        <v>1889</v>
      </c>
      <c r="AK2316" t="s">
        <v>2289</v>
      </c>
      <c r="AN2316" t="s">
        <v>114</v>
      </c>
      <c r="AO2316" t="s">
        <v>77</v>
      </c>
      <c r="AP2316" t="s">
        <v>636</v>
      </c>
      <c r="AQ2316" t="s">
        <v>2290</v>
      </c>
      <c r="AR2316" t="s">
        <v>80</v>
      </c>
      <c r="AS2316">
        <v>701</v>
      </c>
      <c r="AT2316" t="s">
        <v>81</v>
      </c>
      <c r="AU2316">
        <v>-43.6</v>
      </c>
      <c r="AV2316">
        <v>-63.28</v>
      </c>
      <c r="AW2316" t="s">
        <v>82</v>
      </c>
      <c r="AX2316">
        <v>701</v>
      </c>
      <c r="AY2316" t="s">
        <v>81</v>
      </c>
      <c r="AZ2316">
        <v>-40.590000000000003</v>
      </c>
      <c r="BA2316">
        <v>-62.62</v>
      </c>
      <c r="BB2316" t="s">
        <v>83</v>
      </c>
    </row>
    <row r="2317" spans="1:54" x14ac:dyDescent="0.4">
      <c r="A2317">
        <v>814809</v>
      </c>
      <c r="D2317" t="s">
        <v>2001</v>
      </c>
      <c r="E2317" t="s">
        <v>55</v>
      </c>
      <c r="G2317">
        <v>1</v>
      </c>
      <c r="H2317" t="s">
        <v>56</v>
      </c>
      <c r="I2317" t="s">
        <v>57</v>
      </c>
      <c r="K2317" t="s">
        <v>483</v>
      </c>
      <c r="L2317" t="s">
        <v>2291</v>
      </c>
      <c r="M2317" t="s">
        <v>223</v>
      </c>
      <c r="N2317" t="s">
        <v>485</v>
      </c>
      <c r="O2317" t="s">
        <v>345</v>
      </c>
      <c r="P2317" t="s">
        <v>121</v>
      </c>
      <c r="R2317" t="s">
        <v>122</v>
      </c>
      <c r="S2317" t="s">
        <v>123</v>
      </c>
      <c r="T2317">
        <v>290.10000000000002</v>
      </c>
      <c r="U2317">
        <v>283.5</v>
      </c>
      <c r="V2317">
        <f t="shared" si="72"/>
        <v>286.8</v>
      </c>
      <c r="W2317">
        <f t="shared" si="73"/>
        <v>6.6000000000000227</v>
      </c>
      <c r="X2317">
        <v>-52.716667000000001</v>
      </c>
      <c r="Y2317">
        <v>-17.25</v>
      </c>
      <c r="Z2317" t="s">
        <v>1596</v>
      </c>
      <c r="AA2317" t="s">
        <v>783</v>
      </c>
      <c r="AB2317" t="s">
        <v>2292</v>
      </c>
      <c r="AC2317" t="s">
        <v>2293</v>
      </c>
      <c r="AD2317" t="s">
        <v>2294</v>
      </c>
      <c r="AE2317" t="s">
        <v>1524</v>
      </c>
      <c r="AF2317" t="s">
        <v>2295</v>
      </c>
      <c r="AH2317" t="s">
        <v>72</v>
      </c>
      <c r="AI2317" t="s">
        <v>2296</v>
      </c>
      <c r="AJ2317">
        <v>2001</v>
      </c>
      <c r="AK2317" t="s">
        <v>2297</v>
      </c>
      <c r="AM2317" t="s">
        <v>1528</v>
      </c>
      <c r="AN2317" t="s">
        <v>192</v>
      </c>
      <c r="AO2317" t="s">
        <v>160</v>
      </c>
      <c r="AP2317" t="s">
        <v>78</v>
      </c>
      <c r="AQ2317" t="s">
        <v>2298</v>
      </c>
      <c r="AR2317" t="s">
        <v>80</v>
      </c>
      <c r="AS2317">
        <v>201</v>
      </c>
      <c r="AT2317" t="s">
        <v>81</v>
      </c>
      <c r="AU2317">
        <v>-29.2</v>
      </c>
      <c r="AV2317">
        <v>-38.700000000000003</v>
      </c>
      <c r="AW2317" t="s">
        <v>82</v>
      </c>
      <c r="AX2317">
        <v>201</v>
      </c>
      <c r="AY2317" t="s">
        <v>81</v>
      </c>
      <c r="AZ2317">
        <v>-27.86</v>
      </c>
      <c r="BA2317">
        <v>-37.76</v>
      </c>
      <c r="BB2317" t="s">
        <v>83</v>
      </c>
    </row>
    <row r="2318" spans="1:54" x14ac:dyDescent="0.4">
      <c r="A2318">
        <v>814810</v>
      </c>
      <c r="D2318" t="s">
        <v>2001</v>
      </c>
      <c r="E2318" t="s">
        <v>55</v>
      </c>
      <c r="I2318" t="s">
        <v>57</v>
      </c>
      <c r="K2318" t="s">
        <v>483</v>
      </c>
      <c r="L2318" t="s">
        <v>2299</v>
      </c>
      <c r="M2318" t="s">
        <v>223</v>
      </c>
      <c r="N2318" t="s">
        <v>485</v>
      </c>
      <c r="O2318" t="s">
        <v>345</v>
      </c>
      <c r="P2318" t="s">
        <v>121</v>
      </c>
      <c r="R2318" t="s">
        <v>122</v>
      </c>
      <c r="S2318" t="s">
        <v>123</v>
      </c>
      <c r="T2318">
        <v>290.10000000000002</v>
      </c>
      <c r="U2318">
        <v>283.5</v>
      </c>
      <c r="V2318">
        <f t="shared" si="72"/>
        <v>286.8</v>
      </c>
      <c r="W2318">
        <f t="shared" si="73"/>
        <v>6.6000000000000227</v>
      </c>
      <c r="X2318">
        <v>-52.716667000000001</v>
      </c>
      <c r="Y2318">
        <v>-17.25</v>
      </c>
      <c r="Z2318" t="s">
        <v>1596</v>
      </c>
      <c r="AA2318" t="s">
        <v>783</v>
      </c>
      <c r="AB2318" t="s">
        <v>2292</v>
      </c>
      <c r="AC2318" t="s">
        <v>2293</v>
      </c>
      <c r="AD2318" t="s">
        <v>2294</v>
      </c>
      <c r="AE2318" t="s">
        <v>1524</v>
      </c>
      <c r="AF2318" t="s">
        <v>2295</v>
      </c>
      <c r="AH2318" t="s">
        <v>72</v>
      </c>
      <c r="AI2318" t="s">
        <v>2296</v>
      </c>
      <c r="AJ2318">
        <v>2001</v>
      </c>
      <c r="AK2318" t="s">
        <v>2297</v>
      </c>
      <c r="AM2318" t="s">
        <v>1528</v>
      </c>
      <c r="AN2318" t="s">
        <v>192</v>
      </c>
      <c r="AO2318" t="s">
        <v>160</v>
      </c>
      <c r="AP2318" t="s">
        <v>78</v>
      </c>
      <c r="AQ2318" t="s">
        <v>2298</v>
      </c>
      <c r="AR2318" t="s">
        <v>80</v>
      </c>
      <c r="AS2318">
        <v>201</v>
      </c>
      <c r="AT2318" t="s">
        <v>81</v>
      </c>
      <c r="AU2318">
        <v>-29.2</v>
      </c>
      <c r="AV2318">
        <v>-38.700000000000003</v>
      </c>
      <c r="AW2318" t="s">
        <v>82</v>
      </c>
      <c r="AX2318">
        <v>201</v>
      </c>
      <c r="AY2318" t="s">
        <v>81</v>
      </c>
      <c r="AZ2318">
        <v>-27.86</v>
      </c>
      <c r="BA2318">
        <v>-37.76</v>
      </c>
      <c r="BB2318" t="s">
        <v>83</v>
      </c>
    </row>
    <row r="2319" spans="1:54" x14ac:dyDescent="0.4">
      <c r="A2319">
        <v>815039</v>
      </c>
      <c r="D2319" t="s">
        <v>2001</v>
      </c>
      <c r="E2319" t="s">
        <v>154</v>
      </c>
      <c r="G2319">
        <v>1</v>
      </c>
      <c r="H2319" t="s">
        <v>56</v>
      </c>
      <c r="I2319" t="s">
        <v>57</v>
      </c>
      <c r="K2319" t="s">
        <v>483</v>
      </c>
      <c r="L2319" t="s">
        <v>2291</v>
      </c>
      <c r="M2319" t="s">
        <v>223</v>
      </c>
      <c r="N2319" t="s">
        <v>485</v>
      </c>
      <c r="O2319" t="s">
        <v>345</v>
      </c>
      <c r="P2319" t="s">
        <v>121</v>
      </c>
      <c r="R2319" t="s">
        <v>122</v>
      </c>
      <c r="S2319" t="s">
        <v>123</v>
      </c>
      <c r="T2319">
        <v>290.10000000000002</v>
      </c>
      <c r="U2319">
        <v>283.5</v>
      </c>
      <c r="V2319">
        <f t="shared" si="72"/>
        <v>286.8</v>
      </c>
      <c r="W2319">
        <f t="shared" si="73"/>
        <v>6.6000000000000227</v>
      </c>
      <c r="X2319">
        <v>-52.053333000000002</v>
      </c>
      <c r="Y2319">
        <v>-17.483333999999999</v>
      </c>
      <c r="Z2319" t="s">
        <v>1596</v>
      </c>
      <c r="AA2319" t="s">
        <v>783</v>
      </c>
      <c r="AB2319" t="s">
        <v>2292</v>
      </c>
      <c r="AC2319" t="s">
        <v>2300</v>
      </c>
      <c r="AD2319" t="s">
        <v>2294</v>
      </c>
      <c r="AE2319" t="s">
        <v>1524</v>
      </c>
      <c r="AF2319" t="s">
        <v>2295</v>
      </c>
      <c r="AH2319" t="s">
        <v>72</v>
      </c>
      <c r="AI2319" t="s">
        <v>2296</v>
      </c>
      <c r="AJ2319">
        <v>2001</v>
      </c>
      <c r="AK2319" t="s">
        <v>2301</v>
      </c>
      <c r="AM2319" t="s">
        <v>1528</v>
      </c>
      <c r="AN2319" t="s">
        <v>192</v>
      </c>
      <c r="AO2319" t="s">
        <v>160</v>
      </c>
      <c r="AP2319" t="s">
        <v>78</v>
      </c>
      <c r="AQ2319" t="s">
        <v>2302</v>
      </c>
      <c r="AR2319" t="s">
        <v>80</v>
      </c>
      <c r="AS2319">
        <v>201</v>
      </c>
      <c r="AT2319" t="s">
        <v>81</v>
      </c>
      <c r="AU2319">
        <v>-28.58</v>
      </c>
      <c r="AV2319">
        <v>-39.17</v>
      </c>
      <c r="AW2319" t="s">
        <v>82</v>
      </c>
      <c r="AX2319">
        <v>201</v>
      </c>
      <c r="AY2319" t="s">
        <v>81</v>
      </c>
      <c r="AZ2319">
        <v>-27.23</v>
      </c>
      <c r="BA2319">
        <v>-38.21</v>
      </c>
      <c r="BB2319" t="s">
        <v>83</v>
      </c>
    </row>
    <row r="2320" spans="1:54" x14ac:dyDescent="0.4">
      <c r="A2320">
        <v>815039</v>
      </c>
      <c r="D2320" t="s">
        <v>2001</v>
      </c>
      <c r="E2320" t="s">
        <v>154</v>
      </c>
      <c r="G2320">
        <v>1</v>
      </c>
      <c r="H2320" t="s">
        <v>56</v>
      </c>
      <c r="I2320" t="s">
        <v>57</v>
      </c>
      <c r="K2320" t="s">
        <v>483</v>
      </c>
      <c r="L2320" t="s">
        <v>2291</v>
      </c>
      <c r="M2320" t="s">
        <v>223</v>
      </c>
      <c r="N2320" t="s">
        <v>485</v>
      </c>
      <c r="O2320" t="s">
        <v>345</v>
      </c>
      <c r="P2320" t="s">
        <v>121</v>
      </c>
      <c r="R2320" t="s">
        <v>122</v>
      </c>
      <c r="S2320" t="s">
        <v>123</v>
      </c>
      <c r="T2320">
        <v>290.10000000000002</v>
      </c>
      <c r="U2320">
        <v>283.5</v>
      </c>
      <c r="V2320">
        <f t="shared" si="72"/>
        <v>286.8</v>
      </c>
      <c r="W2320">
        <f t="shared" si="73"/>
        <v>6.6000000000000227</v>
      </c>
      <c r="X2320">
        <v>-52.053333000000002</v>
      </c>
      <c r="Y2320">
        <v>-17.483333999999999</v>
      </c>
      <c r="Z2320" t="s">
        <v>1596</v>
      </c>
      <c r="AA2320" t="s">
        <v>783</v>
      </c>
      <c r="AB2320" t="s">
        <v>2292</v>
      </c>
      <c r="AC2320" t="s">
        <v>2300</v>
      </c>
      <c r="AD2320" t="s">
        <v>2294</v>
      </c>
      <c r="AE2320" t="s">
        <v>1524</v>
      </c>
      <c r="AF2320" t="s">
        <v>2295</v>
      </c>
      <c r="AH2320" t="s">
        <v>72</v>
      </c>
      <c r="AI2320" t="s">
        <v>2296</v>
      </c>
      <c r="AJ2320">
        <v>2001</v>
      </c>
      <c r="AK2320" t="s">
        <v>2301</v>
      </c>
      <c r="AM2320" t="s">
        <v>1528</v>
      </c>
      <c r="AN2320" t="s">
        <v>192</v>
      </c>
      <c r="AO2320" t="s">
        <v>160</v>
      </c>
      <c r="AP2320" t="s">
        <v>78</v>
      </c>
      <c r="AQ2320" t="s">
        <v>2302</v>
      </c>
      <c r="AR2320" t="s">
        <v>80</v>
      </c>
      <c r="AS2320">
        <v>201</v>
      </c>
      <c r="AT2320" t="s">
        <v>81</v>
      </c>
      <c r="AU2320">
        <v>-28.58</v>
      </c>
      <c r="AV2320">
        <v>-39.17</v>
      </c>
      <c r="AW2320" t="s">
        <v>82</v>
      </c>
      <c r="AX2320">
        <v>201</v>
      </c>
      <c r="AY2320" t="s">
        <v>81</v>
      </c>
      <c r="AZ2320">
        <v>-27.23</v>
      </c>
      <c r="BA2320">
        <v>-38.21</v>
      </c>
      <c r="BB2320" t="s">
        <v>83</v>
      </c>
    </row>
    <row r="2321" spans="1:54" x14ac:dyDescent="0.4">
      <c r="A2321">
        <v>815039</v>
      </c>
      <c r="D2321" t="s">
        <v>2001</v>
      </c>
      <c r="E2321" t="s">
        <v>154</v>
      </c>
      <c r="G2321">
        <v>1</v>
      </c>
      <c r="H2321" t="s">
        <v>56</v>
      </c>
      <c r="I2321" t="s">
        <v>57</v>
      </c>
      <c r="K2321" t="s">
        <v>483</v>
      </c>
      <c r="L2321" t="s">
        <v>2291</v>
      </c>
      <c r="M2321" t="s">
        <v>223</v>
      </c>
      <c r="N2321" t="s">
        <v>485</v>
      </c>
      <c r="O2321" t="s">
        <v>345</v>
      </c>
      <c r="P2321" t="s">
        <v>121</v>
      </c>
      <c r="R2321" t="s">
        <v>122</v>
      </c>
      <c r="S2321" t="s">
        <v>123</v>
      </c>
      <c r="T2321">
        <v>290.10000000000002</v>
      </c>
      <c r="U2321">
        <v>283.5</v>
      </c>
      <c r="V2321">
        <f t="shared" si="72"/>
        <v>286.8</v>
      </c>
      <c r="W2321">
        <f t="shared" si="73"/>
        <v>6.6000000000000227</v>
      </c>
      <c r="X2321">
        <v>-52.053333000000002</v>
      </c>
      <c r="Y2321">
        <v>-17.483333999999999</v>
      </c>
      <c r="Z2321" t="s">
        <v>1596</v>
      </c>
      <c r="AA2321" t="s">
        <v>783</v>
      </c>
      <c r="AB2321" t="s">
        <v>2292</v>
      </c>
      <c r="AC2321" t="s">
        <v>2300</v>
      </c>
      <c r="AD2321" t="s">
        <v>2294</v>
      </c>
      <c r="AE2321" t="s">
        <v>1524</v>
      </c>
      <c r="AF2321" t="s">
        <v>2295</v>
      </c>
      <c r="AH2321" t="s">
        <v>72</v>
      </c>
      <c r="AI2321" t="s">
        <v>2296</v>
      </c>
      <c r="AJ2321">
        <v>2001</v>
      </c>
      <c r="AK2321" t="s">
        <v>2301</v>
      </c>
      <c r="AM2321" t="s">
        <v>1528</v>
      </c>
      <c r="AN2321" t="s">
        <v>192</v>
      </c>
      <c r="AO2321" t="s">
        <v>160</v>
      </c>
      <c r="AP2321" t="s">
        <v>78</v>
      </c>
      <c r="AQ2321" t="s">
        <v>2302</v>
      </c>
      <c r="AR2321" t="s">
        <v>80</v>
      </c>
      <c r="AS2321">
        <v>201</v>
      </c>
      <c r="AT2321" t="s">
        <v>81</v>
      </c>
      <c r="AU2321">
        <v>-28.58</v>
      </c>
      <c r="AV2321">
        <v>-39.17</v>
      </c>
      <c r="AW2321" t="s">
        <v>82</v>
      </c>
      <c r="AX2321">
        <v>201</v>
      </c>
      <c r="AY2321" t="s">
        <v>81</v>
      </c>
      <c r="AZ2321">
        <v>-27.23</v>
      </c>
      <c r="BA2321">
        <v>-38.21</v>
      </c>
      <c r="BB2321" t="s">
        <v>83</v>
      </c>
    </row>
    <row r="2322" spans="1:54" x14ac:dyDescent="0.4">
      <c r="A2322">
        <v>815039</v>
      </c>
      <c r="D2322" t="s">
        <v>2001</v>
      </c>
      <c r="E2322" t="s">
        <v>154</v>
      </c>
      <c r="G2322">
        <v>1</v>
      </c>
      <c r="H2322" t="s">
        <v>56</v>
      </c>
      <c r="I2322" t="s">
        <v>57</v>
      </c>
      <c r="K2322" t="s">
        <v>483</v>
      </c>
      <c r="L2322" t="s">
        <v>2291</v>
      </c>
      <c r="M2322" t="s">
        <v>223</v>
      </c>
      <c r="N2322" t="s">
        <v>485</v>
      </c>
      <c r="O2322" t="s">
        <v>345</v>
      </c>
      <c r="P2322" t="s">
        <v>121</v>
      </c>
      <c r="R2322" t="s">
        <v>122</v>
      </c>
      <c r="S2322" t="s">
        <v>123</v>
      </c>
      <c r="T2322">
        <v>290.10000000000002</v>
      </c>
      <c r="U2322">
        <v>283.5</v>
      </c>
      <c r="V2322">
        <f t="shared" si="72"/>
        <v>286.8</v>
      </c>
      <c r="W2322">
        <f t="shared" si="73"/>
        <v>6.6000000000000227</v>
      </c>
      <c r="X2322">
        <v>-52.053333000000002</v>
      </c>
      <c r="Y2322">
        <v>-17.483333999999999</v>
      </c>
      <c r="Z2322" t="s">
        <v>1596</v>
      </c>
      <c r="AA2322" t="s">
        <v>783</v>
      </c>
      <c r="AB2322" t="s">
        <v>2292</v>
      </c>
      <c r="AC2322" t="s">
        <v>2300</v>
      </c>
      <c r="AD2322" t="s">
        <v>2294</v>
      </c>
      <c r="AE2322" t="s">
        <v>1524</v>
      </c>
      <c r="AF2322" t="s">
        <v>2295</v>
      </c>
      <c r="AH2322" t="s">
        <v>72</v>
      </c>
      <c r="AI2322" t="s">
        <v>2296</v>
      </c>
      <c r="AJ2322">
        <v>2001</v>
      </c>
      <c r="AK2322" t="s">
        <v>2301</v>
      </c>
      <c r="AM2322" t="s">
        <v>1528</v>
      </c>
      <c r="AN2322" t="s">
        <v>192</v>
      </c>
      <c r="AO2322" t="s">
        <v>160</v>
      </c>
      <c r="AP2322" t="s">
        <v>78</v>
      </c>
      <c r="AQ2322" t="s">
        <v>2302</v>
      </c>
      <c r="AR2322" t="s">
        <v>80</v>
      </c>
      <c r="AS2322">
        <v>201</v>
      </c>
      <c r="AT2322" t="s">
        <v>81</v>
      </c>
      <c r="AU2322">
        <v>-28.58</v>
      </c>
      <c r="AV2322">
        <v>-39.17</v>
      </c>
      <c r="AW2322" t="s">
        <v>82</v>
      </c>
      <c r="AX2322">
        <v>201</v>
      </c>
      <c r="AY2322" t="s">
        <v>81</v>
      </c>
      <c r="AZ2322">
        <v>-27.23</v>
      </c>
      <c r="BA2322">
        <v>-38.21</v>
      </c>
      <c r="BB2322" t="s">
        <v>83</v>
      </c>
    </row>
    <row r="2323" spans="1:54" x14ac:dyDescent="0.4">
      <c r="A2323">
        <v>815039</v>
      </c>
      <c r="D2323" t="s">
        <v>2001</v>
      </c>
      <c r="E2323" t="s">
        <v>154</v>
      </c>
      <c r="G2323">
        <v>1</v>
      </c>
      <c r="H2323" t="s">
        <v>56</v>
      </c>
      <c r="I2323" t="s">
        <v>57</v>
      </c>
      <c r="K2323" t="s">
        <v>483</v>
      </c>
      <c r="L2323" t="s">
        <v>2291</v>
      </c>
      <c r="M2323" t="s">
        <v>223</v>
      </c>
      <c r="N2323" t="s">
        <v>485</v>
      </c>
      <c r="O2323" t="s">
        <v>345</v>
      </c>
      <c r="P2323" t="s">
        <v>121</v>
      </c>
      <c r="R2323" t="s">
        <v>122</v>
      </c>
      <c r="S2323" t="s">
        <v>123</v>
      </c>
      <c r="T2323">
        <v>290.10000000000002</v>
      </c>
      <c r="U2323">
        <v>283.5</v>
      </c>
      <c r="V2323">
        <f t="shared" si="72"/>
        <v>286.8</v>
      </c>
      <c r="W2323">
        <f t="shared" si="73"/>
        <v>6.6000000000000227</v>
      </c>
      <c r="X2323">
        <v>-52.053333000000002</v>
      </c>
      <c r="Y2323">
        <v>-17.483333999999999</v>
      </c>
      <c r="Z2323" t="s">
        <v>1596</v>
      </c>
      <c r="AA2323" t="s">
        <v>783</v>
      </c>
      <c r="AB2323" t="s">
        <v>2292</v>
      </c>
      <c r="AC2323" t="s">
        <v>2300</v>
      </c>
      <c r="AD2323" t="s">
        <v>2294</v>
      </c>
      <c r="AE2323" t="s">
        <v>1524</v>
      </c>
      <c r="AF2323" t="s">
        <v>2295</v>
      </c>
      <c r="AH2323" t="s">
        <v>72</v>
      </c>
      <c r="AI2323" t="s">
        <v>2296</v>
      </c>
      <c r="AJ2323">
        <v>2001</v>
      </c>
      <c r="AK2323" t="s">
        <v>2301</v>
      </c>
      <c r="AM2323" t="s">
        <v>1528</v>
      </c>
      <c r="AN2323" t="s">
        <v>192</v>
      </c>
      <c r="AO2323" t="s">
        <v>160</v>
      </c>
      <c r="AP2323" t="s">
        <v>78</v>
      </c>
      <c r="AQ2323" t="s">
        <v>2302</v>
      </c>
      <c r="AR2323" t="s">
        <v>80</v>
      </c>
      <c r="AS2323">
        <v>201</v>
      </c>
      <c r="AT2323" t="s">
        <v>81</v>
      </c>
      <c r="AU2323">
        <v>-28.58</v>
      </c>
      <c r="AV2323">
        <v>-39.17</v>
      </c>
      <c r="AW2323" t="s">
        <v>82</v>
      </c>
      <c r="AX2323">
        <v>201</v>
      </c>
      <c r="AY2323" t="s">
        <v>81</v>
      </c>
      <c r="AZ2323">
        <v>-27.23</v>
      </c>
      <c r="BA2323">
        <v>-38.21</v>
      </c>
      <c r="BB2323" t="s">
        <v>83</v>
      </c>
    </row>
    <row r="2324" spans="1:54" x14ac:dyDescent="0.4">
      <c r="A2324">
        <v>815039</v>
      </c>
      <c r="D2324" t="s">
        <v>2001</v>
      </c>
      <c r="E2324" t="s">
        <v>154</v>
      </c>
      <c r="G2324">
        <v>1</v>
      </c>
      <c r="H2324" t="s">
        <v>56</v>
      </c>
      <c r="I2324" t="s">
        <v>57</v>
      </c>
      <c r="K2324" t="s">
        <v>483</v>
      </c>
      <c r="L2324" t="s">
        <v>2291</v>
      </c>
      <c r="M2324" t="s">
        <v>223</v>
      </c>
      <c r="N2324" t="s">
        <v>485</v>
      </c>
      <c r="O2324" t="s">
        <v>345</v>
      </c>
      <c r="P2324" t="s">
        <v>121</v>
      </c>
      <c r="R2324" t="s">
        <v>122</v>
      </c>
      <c r="S2324" t="s">
        <v>123</v>
      </c>
      <c r="T2324">
        <v>290.10000000000002</v>
      </c>
      <c r="U2324">
        <v>283.5</v>
      </c>
      <c r="V2324">
        <f t="shared" si="72"/>
        <v>286.8</v>
      </c>
      <c r="W2324">
        <f t="shared" si="73"/>
        <v>6.6000000000000227</v>
      </c>
      <c r="X2324">
        <v>-52.053333000000002</v>
      </c>
      <c r="Y2324">
        <v>-17.483333999999999</v>
      </c>
      <c r="Z2324" t="s">
        <v>1596</v>
      </c>
      <c r="AA2324" t="s">
        <v>783</v>
      </c>
      <c r="AB2324" t="s">
        <v>2292</v>
      </c>
      <c r="AC2324" t="s">
        <v>2300</v>
      </c>
      <c r="AD2324" t="s">
        <v>2294</v>
      </c>
      <c r="AE2324" t="s">
        <v>1524</v>
      </c>
      <c r="AF2324" t="s">
        <v>2295</v>
      </c>
      <c r="AH2324" t="s">
        <v>72</v>
      </c>
      <c r="AI2324" t="s">
        <v>2296</v>
      </c>
      <c r="AJ2324">
        <v>2001</v>
      </c>
      <c r="AK2324" t="s">
        <v>2301</v>
      </c>
      <c r="AM2324" t="s">
        <v>1528</v>
      </c>
      <c r="AN2324" t="s">
        <v>192</v>
      </c>
      <c r="AO2324" t="s">
        <v>160</v>
      </c>
      <c r="AP2324" t="s">
        <v>78</v>
      </c>
      <c r="AQ2324" t="s">
        <v>2302</v>
      </c>
      <c r="AR2324" t="s">
        <v>80</v>
      </c>
      <c r="AS2324">
        <v>201</v>
      </c>
      <c r="AT2324" t="s">
        <v>81</v>
      </c>
      <c r="AU2324">
        <v>-28.58</v>
      </c>
      <c r="AV2324">
        <v>-39.17</v>
      </c>
      <c r="AW2324" t="s">
        <v>82</v>
      </c>
      <c r="AX2324">
        <v>201</v>
      </c>
      <c r="AY2324" t="s">
        <v>81</v>
      </c>
      <c r="AZ2324">
        <v>-27.23</v>
      </c>
      <c r="BA2324">
        <v>-38.21</v>
      </c>
      <c r="BB2324" t="s">
        <v>83</v>
      </c>
    </row>
    <row r="2325" spans="1:54" x14ac:dyDescent="0.4">
      <c r="A2325">
        <v>815039</v>
      </c>
      <c r="D2325" t="s">
        <v>2001</v>
      </c>
      <c r="E2325" t="s">
        <v>154</v>
      </c>
      <c r="G2325">
        <v>1</v>
      </c>
      <c r="H2325" t="s">
        <v>56</v>
      </c>
      <c r="I2325" t="s">
        <v>57</v>
      </c>
      <c r="K2325" t="s">
        <v>483</v>
      </c>
      <c r="L2325" t="s">
        <v>2291</v>
      </c>
      <c r="M2325" t="s">
        <v>223</v>
      </c>
      <c r="N2325" t="s">
        <v>485</v>
      </c>
      <c r="O2325" t="s">
        <v>345</v>
      </c>
      <c r="P2325" t="s">
        <v>121</v>
      </c>
      <c r="R2325" t="s">
        <v>122</v>
      </c>
      <c r="S2325" t="s">
        <v>123</v>
      </c>
      <c r="T2325">
        <v>290.10000000000002</v>
      </c>
      <c r="U2325">
        <v>283.5</v>
      </c>
      <c r="V2325">
        <f t="shared" si="72"/>
        <v>286.8</v>
      </c>
      <c r="W2325">
        <f t="shared" si="73"/>
        <v>6.6000000000000227</v>
      </c>
      <c r="X2325">
        <v>-52.053333000000002</v>
      </c>
      <c r="Y2325">
        <v>-17.483333999999999</v>
      </c>
      <c r="Z2325" t="s">
        <v>1596</v>
      </c>
      <c r="AA2325" t="s">
        <v>783</v>
      </c>
      <c r="AB2325" t="s">
        <v>2292</v>
      </c>
      <c r="AC2325" t="s">
        <v>2300</v>
      </c>
      <c r="AD2325" t="s">
        <v>2294</v>
      </c>
      <c r="AE2325" t="s">
        <v>1524</v>
      </c>
      <c r="AF2325" t="s">
        <v>2295</v>
      </c>
      <c r="AH2325" t="s">
        <v>72</v>
      </c>
      <c r="AI2325" t="s">
        <v>2296</v>
      </c>
      <c r="AJ2325">
        <v>2001</v>
      </c>
      <c r="AK2325" t="s">
        <v>2301</v>
      </c>
      <c r="AM2325" t="s">
        <v>1528</v>
      </c>
      <c r="AN2325" t="s">
        <v>192</v>
      </c>
      <c r="AO2325" t="s">
        <v>160</v>
      </c>
      <c r="AP2325" t="s">
        <v>78</v>
      </c>
      <c r="AQ2325" t="s">
        <v>2302</v>
      </c>
      <c r="AR2325" t="s">
        <v>80</v>
      </c>
      <c r="AS2325">
        <v>201</v>
      </c>
      <c r="AT2325" t="s">
        <v>81</v>
      </c>
      <c r="AU2325">
        <v>-28.58</v>
      </c>
      <c r="AV2325">
        <v>-39.17</v>
      </c>
      <c r="AW2325" t="s">
        <v>82</v>
      </c>
      <c r="AX2325">
        <v>201</v>
      </c>
      <c r="AY2325" t="s">
        <v>81</v>
      </c>
      <c r="AZ2325">
        <v>-27.23</v>
      </c>
      <c r="BA2325">
        <v>-38.21</v>
      </c>
      <c r="BB2325" t="s">
        <v>83</v>
      </c>
    </row>
    <row r="2326" spans="1:54" x14ac:dyDescent="0.4">
      <c r="A2326">
        <v>815039</v>
      </c>
      <c r="D2326" t="s">
        <v>2001</v>
      </c>
      <c r="E2326" t="s">
        <v>154</v>
      </c>
      <c r="G2326">
        <v>1</v>
      </c>
      <c r="H2326" t="s">
        <v>56</v>
      </c>
      <c r="I2326" t="s">
        <v>57</v>
      </c>
      <c r="K2326" t="s">
        <v>483</v>
      </c>
      <c r="L2326" t="s">
        <v>2291</v>
      </c>
      <c r="M2326" t="s">
        <v>223</v>
      </c>
      <c r="N2326" t="s">
        <v>485</v>
      </c>
      <c r="O2326" t="s">
        <v>345</v>
      </c>
      <c r="P2326" t="s">
        <v>121</v>
      </c>
      <c r="R2326" t="s">
        <v>122</v>
      </c>
      <c r="S2326" t="s">
        <v>123</v>
      </c>
      <c r="T2326">
        <v>290.10000000000002</v>
      </c>
      <c r="U2326">
        <v>283.5</v>
      </c>
      <c r="V2326">
        <f t="shared" si="72"/>
        <v>286.8</v>
      </c>
      <c r="W2326">
        <f t="shared" si="73"/>
        <v>6.6000000000000227</v>
      </c>
      <c r="X2326">
        <v>-52.053333000000002</v>
      </c>
      <c r="Y2326">
        <v>-17.483333999999999</v>
      </c>
      <c r="Z2326" t="s">
        <v>1596</v>
      </c>
      <c r="AA2326" t="s">
        <v>783</v>
      </c>
      <c r="AB2326" t="s">
        <v>2292</v>
      </c>
      <c r="AC2326" t="s">
        <v>2300</v>
      </c>
      <c r="AD2326" t="s">
        <v>2294</v>
      </c>
      <c r="AE2326" t="s">
        <v>1524</v>
      </c>
      <c r="AF2326" t="s">
        <v>2295</v>
      </c>
      <c r="AH2326" t="s">
        <v>72</v>
      </c>
      <c r="AI2326" t="s">
        <v>2296</v>
      </c>
      <c r="AJ2326">
        <v>2001</v>
      </c>
      <c r="AK2326" t="s">
        <v>2301</v>
      </c>
      <c r="AM2326" t="s">
        <v>1528</v>
      </c>
      <c r="AN2326" t="s">
        <v>192</v>
      </c>
      <c r="AO2326" t="s">
        <v>160</v>
      </c>
      <c r="AP2326" t="s">
        <v>78</v>
      </c>
      <c r="AQ2326" t="s">
        <v>2302</v>
      </c>
      <c r="AR2326" t="s">
        <v>80</v>
      </c>
      <c r="AS2326">
        <v>201</v>
      </c>
      <c r="AT2326" t="s">
        <v>81</v>
      </c>
      <c r="AU2326">
        <v>-28.58</v>
      </c>
      <c r="AV2326">
        <v>-39.17</v>
      </c>
      <c r="AW2326" t="s">
        <v>82</v>
      </c>
      <c r="AX2326">
        <v>201</v>
      </c>
      <c r="AY2326" t="s">
        <v>81</v>
      </c>
      <c r="AZ2326">
        <v>-27.23</v>
      </c>
      <c r="BA2326">
        <v>-38.21</v>
      </c>
      <c r="BB2326" t="s">
        <v>83</v>
      </c>
    </row>
    <row r="2327" spans="1:54" x14ac:dyDescent="0.4">
      <c r="A2327">
        <v>815039</v>
      </c>
      <c r="D2327" t="s">
        <v>2001</v>
      </c>
      <c r="E2327" t="s">
        <v>154</v>
      </c>
      <c r="G2327">
        <v>1</v>
      </c>
      <c r="H2327" t="s">
        <v>56</v>
      </c>
      <c r="I2327" t="s">
        <v>57</v>
      </c>
      <c r="K2327" t="s">
        <v>483</v>
      </c>
      <c r="L2327" t="s">
        <v>2291</v>
      </c>
      <c r="M2327" t="s">
        <v>223</v>
      </c>
      <c r="N2327" t="s">
        <v>485</v>
      </c>
      <c r="O2327" t="s">
        <v>345</v>
      </c>
      <c r="P2327" t="s">
        <v>121</v>
      </c>
      <c r="R2327" t="s">
        <v>122</v>
      </c>
      <c r="S2327" t="s">
        <v>123</v>
      </c>
      <c r="T2327">
        <v>290.10000000000002</v>
      </c>
      <c r="U2327">
        <v>283.5</v>
      </c>
      <c r="V2327">
        <f t="shared" si="72"/>
        <v>286.8</v>
      </c>
      <c r="W2327">
        <f t="shared" si="73"/>
        <v>6.6000000000000227</v>
      </c>
      <c r="X2327">
        <v>-52.053333000000002</v>
      </c>
      <c r="Y2327">
        <v>-17.483333999999999</v>
      </c>
      <c r="Z2327" t="s">
        <v>1596</v>
      </c>
      <c r="AA2327" t="s">
        <v>783</v>
      </c>
      <c r="AB2327" t="s">
        <v>2292</v>
      </c>
      <c r="AC2327" t="s">
        <v>2300</v>
      </c>
      <c r="AD2327" t="s">
        <v>2294</v>
      </c>
      <c r="AE2327" t="s">
        <v>1524</v>
      </c>
      <c r="AF2327" t="s">
        <v>2295</v>
      </c>
      <c r="AH2327" t="s">
        <v>72</v>
      </c>
      <c r="AI2327" t="s">
        <v>2296</v>
      </c>
      <c r="AJ2327">
        <v>2001</v>
      </c>
      <c r="AK2327" t="s">
        <v>2301</v>
      </c>
      <c r="AM2327" t="s">
        <v>1528</v>
      </c>
      <c r="AN2327" t="s">
        <v>192</v>
      </c>
      <c r="AO2327" t="s">
        <v>160</v>
      </c>
      <c r="AP2327" t="s">
        <v>78</v>
      </c>
      <c r="AQ2327" t="s">
        <v>2302</v>
      </c>
      <c r="AR2327" t="s">
        <v>80</v>
      </c>
      <c r="AS2327">
        <v>201</v>
      </c>
      <c r="AT2327" t="s">
        <v>81</v>
      </c>
      <c r="AU2327">
        <v>-28.58</v>
      </c>
      <c r="AV2327">
        <v>-39.17</v>
      </c>
      <c r="AW2327" t="s">
        <v>82</v>
      </c>
      <c r="AX2327">
        <v>201</v>
      </c>
      <c r="AY2327" t="s">
        <v>81</v>
      </c>
      <c r="AZ2327">
        <v>-27.23</v>
      </c>
      <c r="BA2327">
        <v>-38.21</v>
      </c>
      <c r="BB2327" t="s">
        <v>83</v>
      </c>
    </row>
    <row r="2328" spans="1:54" x14ac:dyDescent="0.4">
      <c r="A2328">
        <v>815039</v>
      </c>
      <c r="D2328" t="s">
        <v>2001</v>
      </c>
      <c r="E2328" t="s">
        <v>154</v>
      </c>
      <c r="G2328">
        <v>1</v>
      </c>
      <c r="H2328" t="s">
        <v>56</v>
      </c>
      <c r="I2328" t="s">
        <v>57</v>
      </c>
      <c r="K2328" t="s">
        <v>483</v>
      </c>
      <c r="L2328" t="s">
        <v>2291</v>
      </c>
      <c r="M2328" t="s">
        <v>223</v>
      </c>
      <c r="N2328" t="s">
        <v>485</v>
      </c>
      <c r="O2328" t="s">
        <v>345</v>
      </c>
      <c r="P2328" t="s">
        <v>121</v>
      </c>
      <c r="R2328" t="s">
        <v>122</v>
      </c>
      <c r="S2328" t="s">
        <v>123</v>
      </c>
      <c r="T2328">
        <v>290.10000000000002</v>
      </c>
      <c r="U2328">
        <v>283.5</v>
      </c>
      <c r="V2328">
        <f t="shared" si="72"/>
        <v>286.8</v>
      </c>
      <c r="W2328">
        <f t="shared" si="73"/>
        <v>6.6000000000000227</v>
      </c>
      <c r="X2328">
        <v>-52.053333000000002</v>
      </c>
      <c r="Y2328">
        <v>-17.483333999999999</v>
      </c>
      <c r="Z2328" t="s">
        <v>1596</v>
      </c>
      <c r="AA2328" t="s">
        <v>783</v>
      </c>
      <c r="AB2328" t="s">
        <v>2292</v>
      </c>
      <c r="AC2328" t="s">
        <v>2300</v>
      </c>
      <c r="AD2328" t="s">
        <v>2294</v>
      </c>
      <c r="AE2328" t="s">
        <v>1524</v>
      </c>
      <c r="AF2328" t="s">
        <v>2295</v>
      </c>
      <c r="AH2328" t="s">
        <v>72</v>
      </c>
      <c r="AI2328" t="s">
        <v>2296</v>
      </c>
      <c r="AJ2328">
        <v>2001</v>
      </c>
      <c r="AK2328" t="s">
        <v>2301</v>
      </c>
      <c r="AM2328" t="s">
        <v>1528</v>
      </c>
      <c r="AN2328" t="s">
        <v>192</v>
      </c>
      <c r="AO2328" t="s">
        <v>160</v>
      </c>
      <c r="AP2328" t="s">
        <v>78</v>
      </c>
      <c r="AQ2328" t="s">
        <v>2302</v>
      </c>
      <c r="AR2328" t="s">
        <v>80</v>
      </c>
      <c r="AS2328">
        <v>201</v>
      </c>
      <c r="AT2328" t="s">
        <v>81</v>
      </c>
      <c r="AU2328">
        <v>-28.58</v>
      </c>
      <c r="AV2328">
        <v>-39.17</v>
      </c>
      <c r="AW2328" t="s">
        <v>82</v>
      </c>
      <c r="AX2328">
        <v>201</v>
      </c>
      <c r="AY2328" t="s">
        <v>81</v>
      </c>
      <c r="AZ2328">
        <v>-27.23</v>
      </c>
      <c r="BA2328">
        <v>-38.21</v>
      </c>
      <c r="BB2328" t="s">
        <v>83</v>
      </c>
    </row>
    <row r="2329" spans="1:54" x14ac:dyDescent="0.4">
      <c r="A2329">
        <v>815040</v>
      </c>
      <c r="D2329" t="s">
        <v>2001</v>
      </c>
      <c r="E2329" t="s">
        <v>154</v>
      </c>
      <c r="I2329" t="s">
        <v>57</v>
      </c>
      <c r="K2329" t="s">
        <v>483</v>
      </c>
      <c r="L2329" t="s">
        <v>484</v>
      </c>
      <c r="M2329" t="s">
        <v>223</v>
      </c>
      <c r="N2329" t="s">
        <v>485</v>
      </c>
      <c r="O2329" t="s">
        <v>345</v>
      </c>
      <c r="P2329" t="s">
        <v>121</v>
      </c>
      <c r="R2329" t="s">
        <v>122</v>
      </c>
      <c r="S2329" t="s">
        <v>123</v>
      </c>
      <c r="T2329">
        <v>290.10000000000002</v>
      </c>
      <c r="U2329">
        <v>283.5</v>
      </c>
      <c r="V2329">
        <f t="shared" si="72"/>
        <v>286.8</v>
      </c>
      <c r="W2329">
        <f t="shared" si="73"/>
        <v>6.6000000000000227</v>
      </c>
      <c r="X2329">
        <v>-52.053333000000002</v>
      </c>
      <c r="Y2329">
        <v>-17.483333999999999</v>
      </c>
      <c r="Z2329" t="s">
        <v>1596</v>
      </c>
      <c r="AA2329" t="s">
        <v>783</v>
      </c>
      <c r="AB2329" t="s">
        <v>2292</v>
      </c>
      <c r="AC2329" t="s">
        <v>2300</v>
      </c>
      <c r="AD2329" t="s">
        <v>2294</v>
      </c>
      <c r="AE2329" t="s">
        <v>1524</v>
      </c>
      <c r="AF2329" t="s">
        <v>2295</v>
      </c>
      <c r="AH2329" t="s">
        <v>72</v>
      </c>
      <c r="AI2329" t="s">
        <v>2296</v>
      </c>
      <c r="AJ2329">
        <v>2001</v>
      </c>
      <c r="AK2329" t="s">
        <v>2301</v>
      </c>
      <c r="AM2329" t="s">
        <v>1528</v>
      </c>
      <c r="AN2329" t="s">
        <v>192</v>
      </c>
      <c r="AO2329" t="s">
        <v>160</v>
      </c>
      <c r="AP2329" t="s">
        <v>78</v>
      </c>
      <c r="AQ2329" t="s">
        <v>2302</v>
      </c>
      <c r="AR2329" t="s">
        <v>80</v>
      </c>
      <c r="AS2329">
        <v>201</v>
      </c>
      <c r="AT2329" t="s">
        <v>81</v>
      </c>
      <c r="AU2329">
        <v>-28.58</v>
      </c>
      <c r="AV2329">
        <v>-39.17</v>
      </c>
      <c r="AW2329" t="s">
        <v>82</v>
      </c>
      <c r="AX2329">
        <v>201</v>
      </c>
      <c r="AY2329" t="s">
        <v>81</v>
      </c>
      <c r="AZ2329">
        <v>-27.23</v>
      </c>
      <c r="BA2329">
        <v>-38.21</v>
      </c>
      <c r="BB2329" t="s">
        <v>83</v>
      </c>
    </row>
    <row r="2330" spans="1:54" x14ac:dyDescent="0.4">
      <c r="A2330">
        <v>815041</v>
      </c>
      <c r="D2330" t="s">
        <v>2001</v>
      </c>
      <c r="E2330" t="s">
        <v>154</v>
      </c>
      <c r="I2330" t="s">
        <v>57</v>
      </c>
      <c r="K2330" t="s">
        <v>483</v>
      </c>
      <c r="L2330" t="s">
        <v>2299</v>
      </c>
      <c r="M2330" t="s">
        <v>223</v>
      </c>
      <c r="N2330" t="s">
        <v>485</v>
      </c>
      <c r="O2330" t="s">
        <v>345</v>
      </c>
      <c r="P2330" t="s">
        <v>121</v>
      </c>
      <c r="R2330" t="s">
        <v>122</v>
      </c>
      <c r="S2330" t="s">
        <v>123</v>
      </c>
      <c r="T2330">
        <v>290.10000000000002</v>
      </c>
      <c r="U2330">
        <v>283.5</v>
      </c>
      <c r="V2330">
        <f t="shared" si="72"/>
        <v>286.8</v>
      </c>
      <c r="W2330">
        <f t="shared" si="73"/>
        <v>6.6000000000000227</v>
      </c>
      <c r="X2330">
        <v>-52.053333000000002</v>
      </c>
      <c r="Y2330">
        <v>-17.483333999999999</v>
      </c>
      <c r="Z2330" t="s">
        <v>1596</v>
      </c>
      <c r="AA2330" t="s">
        <v>783</v>
      </c>
      <c r="AB2330" t="s">
        <v>2292</v>
      </c>
      <c r="AC2330" t="s">
        <v>2300</v>
      </c>
      <c r="AD2330" t="s">
        <v>2294</v>
      </c>
      <c r="AE2330" t="s">
        <v>1524</v>
      </c>
      <c r="AF2330" t="s">
        <v>2295</v>
      </c>
      <c r="AH2330" t="s">
        <v>72</v>
      </c>
      <c r="AI2330" t="s">
        <v>2296</v>
      </c>
      <c r="AJ2330">
        <v>2001</v>
      </c>
      <c r="AK2330" t="s">
        <v>2301</v>
      </c>
      <c r="AM2330" t="s">
        <v>1528</v>
      </c>
      <c r="AN2330" t="s">
        <v>192</v>
      </c>
      <c r="AO2330" t="s">
        <v>160</v>
      </c>
      <c r="AP2330" t="s">
        <v>78</v>
      </c>
      <c r="AQ2330" t="s">
        <v>2302</v>
      </c>
      <c r="AR2330" t="s">
        <v>80</v>
      </c>
      <c r="AS2330">
        <v>201</v>
      </c>
      <c r="AT2330" t="s">
        <v>81</v>
      </c>
      <c r="AU2330">
        <v>-28.58</v>
      </c>
      <c r="AV2330">
        <v>-39.17</v>
      </c>
      <c r="AW2330" t="s">
        <v>82</v>
      </c>
      <c r="AX2330">
        <v>201</v>
      </c>
      <c r="AY2330" t="s">
        <v>81</v>
      </c>
      <c r="AZ2330">
        <v>-27.23</v>
      </c>
      <c r="BA2330">
        <v>-38.21</v>
      </c>
      <c r="BB2330" t="s">
        <v>83</v>
      </c>
    </row>
    <row r="2331" spans="1:54" x14ac:dyDescent="0.4">
      <c r="A2331">
        <v>820351</v>
      </c>
      <c r="D2331" t="s">
        <v>2001</v>
      </c>
      <c r="E2331" t="s">
        <v>55</v>
      </c>
      <c r="G2331">
        <v>1</v>
      </c>
      <c r="H2331" t="s">
        <v>56</v>
      </c>
      <c r="I2331" t="s">
        <v>57</v>
      </c>
      <c r="K2331" t="s">
        <v>483</v>
      </c>
      <c r="L2331" t="s">
        <v>484</v>
      </c>
      <c r="M2331" t="s">
        <v>223</v>
      </c>
      <c r="N2331" t="s">
        <v>485</v>
      </c>
      <c r="O2331" t="s">
        <v>345</v>
      </c>
      <c r="P2331" t="s">
        <v>121</v>
      </c>
      <c r="R2331" t="s">
        <v>122</v>
      </c>
      <c r="S2331" t="s">
        <v>123</v>
      </c>
      <c r="T2331">
        <v>290.10000000000002</v>
      </c>
      <c r="U2331">
        <v>283.5</v>
      </c>
      <c r="V2331">
        <f t="shared" si="72"/>
        <v>286.8</v>
      </c>
      <c r="W2331">
        <f t="shared" si="73"/>
        <v>6.6000000000000227</v>
      </c>
      <c r="X2331">
        <v>-50.422221999999998</v>
      </c>
      <c r="Y2331">
        <v>-25.844443999999999</v>
      </c>
      <c r="Z2331" t="s">
        <v>1890</v>
      </c>
      <c r="AA2331" t="s">
        <v>783</v>
      </c>
      <c r="AB2331" t="s">
        <v>2334</v>
      </c>
      <c r="AC2331" t="s">
        <v>2335</v>
      </c>
      <c r="AD2331" t="s">
        <v>2294</v>
      </c>
      <c r="AE2331" t="s">
        <v>1524</v>
      </c>
      <c r="AH2331" t="s">
        <v>72</v>
      </c>
      <c r="AI2331" t="s">
        <v>2336</v>
      </c>
      <c r="AJ2331">
        <v>1999</v>
      </c>
      <c r="AK2331" t="s">
        <v>2337</v>
      </c>
      <c r="AM2331" t="s">
        <v>2338</v>
      </c>
      <c r="AN2331" t="s">
        <v>192</v>
      </c>
      <c r="AO2331" t="s">
        <v>77</v>
      </c>
      <c r="AP2331" t="s">
        <v>78</v>
      </c>
      <c r="AQ2331" t="s">
        <v>2339</v>
      </c>
      <c r="AR2331" t="s">
        <v>80</v>
      </c>
      <c r="AS2331">
        <v>201</v>
      </c>
      <c r="AT2331" t="s">
        <v>81</v>
      </c>
      <c r="AU2331">
        <v>-31.49</v>
      </c>
      <c r="AV2331">
        <v>-47.4</v>
      </c>
      <c r="AW2331" t="s">
        <v>82</v>
      </c>
      <c r="AX2331">
        <v>201</v>
      </c>
      <c r="AY2331" t="s">
        <v>81</v>
      </c>
      <c r="AZ2331">
        <v>-29.79</v>
      </c>
      <c r="BA2331">
        <v>-46.5</v>
      </c>
      <c r="BB2331" t="s">
        <v>83</v>
      </c>
    </row>
    <row r="2332" spans="1:54" x14ac:dyDescent="0.4">
      <c r="A2332">
        <v>820351</v>
      </c>
      <c r="D2332" t="s">
        <v>2001</v>
      </c>
      <c r="E2332" t="s">
        <v>55</v>
      </c>
      <c r="G2332">
        <v>1</v>
      </c>
      <c r="H2332" t="s">
        <v>56</v>
      </c>
      <c r="I2332" t="s">
        <v>57</v>
      </c>
      <c r="K2332" t="s">
        <v>483</v>
      </c>
      <c r="L2332" t="s">
        <v>484</v>
      </c>
      <c r="M2332" t="s">
        <v>223</v>
      </c>
      <c r="N2332" t="s">
        <v>485</v>
      </c>
      <c r="O2332" t="s">
        <v>345</v>
      </c>
      <c r="P2332" t="s">
        <v>121</v>
      </c>
      <c r="R2332" t="s">
        <v>122</v>
      </c>
      <c r="S2332" t="s">
        <v>123</v>
      </c>
      <c r="T2332">
        <v>290.10000000000002</v>
      </c>
      <c r="U2332">
        <v>283.5</v>
      </c>
      <c r="V2332">
        <f t="shared" si="72"/>
        <v>286.8</v>
      </c>
      <c r="W2332">
        <f t="shared" si="73"/>
        <v>6.6000000000000227</v>
      </c>
      <c r="X2332">
        <v>-50.422221999999998</v>
      </c>
      <c r="Y2332">
        <v>-25.844443999999999</v>
      </c>
      <c r="Z2332" t="s">
        <v>1890</v>
      </c>
      <c r="AA2332" t="s">
        <v>783</v>
      </c>
      <c r="AB2332" t="s">
        <v>2334</v>
      </c>
      <c r="AC2332" t="s">
        <v>2335</v>
      </c>
      <c r="AD2332" t="s">
        <v>2294</v>
      </c>
      <c r="AE2332" t="s">
        <v>1524</v>
      </c>
      <c r="AH2332" t="s">
        <v>72</v>
      </c>
      <c r="AI2332" t="s">
        <v>2336</v>
      </c>
      <c r="AJ2332">
        <v>1999</v>
      </c>
      <c r="AK2332" t="s">
        <v>2337</v>
      </c>
      <c r="AM2332" t="s">
        <v>2338</v>
      </c>
      <c r="AN2332" t="s">
        <v>192</v>
      </c>
      <c r="AO2332" t="s">
        <v>77</v>
      </c>
      <c r="AP2332" t="s">
        <v>78</v>
      </c>
      <c r="AQ2332" t="s">
        <v>2339</v>
      </c>
      <c r="AR2332" t="s">
        <v>80</v>
      </c>
      <c r="AS2332">
        <v>201</v>
      </c>
      <c r="AT2332" t="s">
        <v>81</v>
      </c>
      <c r="AU2332">
        <v>-31.49</v>
      </c>
      <c r="AV2332">
        <v>-47.4</v>
      </c>
      <c r="AW2332" t="s">
        <v>82</v>
      </c>
      <c r="AX2332">
        <v>201</v>
      </c>
      <c r="AY2332" t="s">
        <v>81</v>
      </c>
      <c r="AZ2332">
        <v>-29.79</v>
      </c>
      <c r="BA2332">
        <v>-46.5</v>
      </c>
      <c r="BB2332" t="s">
        <v>83</v>
      </c>
    </row>
    <row r="2333" spans="1:54" x14ac:dyDescent="0.4">
      <c r="A2333">
        <v>820351</v>
      </c>
      <c r="D2333" t="s">
        <v>2001</v>
      </c>
      <c r="E2333" t="s">
        <v>55</v>
      </c>
      <c r="G2333">
        <v>1</v>
      </c>
      <c r="H2333" t="s">
        <v>56</v>
      </c>
      <c r="I2333" t="s">
        <v>57</v>
      </c>
      <c r="K2333" t="s">
        <v>483</v>
      </c>
      <c r="L2333" t="s">
        <v>484</v>
      </c>
      <c r="M2333" t="s">
        <v>223</v>
      </c>
      <c r="N2333" t="s">
        <v>485</v>
      </c>
      <c r="O2333" t="s">
        <v>345</v>
      </c>
      <c r="P2333" t="s">
        <v>121</v>
      </c>
      <c r="R2333" t="s">
        <v>122</v>
      </c>
      <c r="S2333" t="s">
        <v>123</v>
      </c>
      <c r="T2333">
        <v>290.10000000000002</v>
      </c>
      <c r="U2333">
        <v>283.5</v>
      </c>
      <c r="V2333">
        <f t="shared" si="72"/>
        <v>286.8</v>
      </c>
      <c r="W2333">
        <f t="shared" si="73"/>
        <v>6.6000000000000227</v>
      </c>
      <c r="X2333">
        <v>-50.422221999999998</v>
      </c>
      <c r="Y2333">
        <v>-25.844443999999999</v>
      </c>
      <c r="Z2333" t="s">
        <v>1890</v>
      </c>
      <c r="AA2333" t="s">
        <v>783</v>
      </c>
      <c r="AB2333" t="s">
        <v>2334</v>
      </c>
      <c r="AC2333" t="s">
        <v>2335</v>
      </c>
      <c r="AD2333" t="s">
        <v>2294</v>
      </c>
      <c r="AE2333" t="s">
        <v>1524</v>
      </c>
      <c r="AH2333" t="s">
        <v>72</v>
      </c>
      <c r="AI2333" t="s">
        <v>2336</v>
      </c>
      <c r="AJ2333">
        <v>1999</v>
      </c>
      <c r="AK2333" t="s">
        <v>2337</v>
      </c>
      <c r="AM2333" t="s">
        <v>2338</v>
      </c>
      <c r="AN2333" t="s">
        <v>192</v>
      </c>
      <c r="AO2333" t="s">
        <v>77</v>
      </c>
      <c r="AP2333" t="s">
        <v>78</v>
      </c>
      <c r="AQ2333" t="s">
        <v>2339</v>
      </c>
      <c r="AR2333" t="s">
        <v>80</v>
      </c>
      <c r="AS2333">
        <v>201</v>
      </c>
      <c r="AT2333" t="s">
        <v>81</v>
      </c>
      <c r="AU2333">
        <v>-31.49</v>
      </c>
      <c r="AV2333">
        <v>-47.4</v>
      </c>
      <c r="AW2333" t="s">
        <v>82</v>
      </c>
      <c r="AX2333">
        <v>201</v>
      </c>
      <c r="AY2333" t="s">
        <v>81</v>
      </c>
      <c r="AZ2333">
        <v>-29.79</v>
      </c>
      <c r="BA2333">
        <v>-46.5</v>
      </c>
      <c r="BB2333" t="s">
        <v>83</v>
      </c>
    </row>
    <row r="2334" spans="1:54" x14ac:dyDescent="0.4">
      <c r="A2334">
        <v>820351</v>
      </c>
      <c r="D2334" t="s">
        <v>2001</v>
      </c>
      <c r="E2334" t="s">
        <v>55</v>
      </c>
      <c r="G2334">
        <v>1</v>
      </c>
      <c r="H2334" t="s">
        <v>56</v>
      </c>
      <c r="I2334" t="s">
        <v>57</v>
      </c>
      <c r="K2334" t="s">
        <v>483</v>
      </c>
      <c r="L2334" t="s">
        <v>484</v>
      </c>
      <c r="M2334" t="s">
        <v>223</v>
      </c>
      <c r="N2334" t="s">
        <v>485</v>
      </c>
      <c r="O2334" t="s">
        <v>345</v>
      </c>
      <c r="P2334" t="s">
        <v>121</v>
      </c>
      <c r="R2334" t="s">
        <v>122</v>
      </c>
      <c r="S2334" t="s">
        <v>123</v>
      </c>
      <c r="T2334">
        <v>290.10000000000002</v>
      </c>
      <c r="U2334">
        <v>283.5</v>
      </c>
      <c r="V2334">
        <f t="shared" si="72"/>
        <v>286.8</v>
      </c>
      <c r="W2334">
        <f t="shared" si="73"/>
        <v>6.6000000000000227</v>
      </c>
      <c r="X2334">
        <v>-50.422221999999998</v>
      </c>
      <c r="Y2334">
        <v>-25.844443999999999</v>
      </c>
      <c r="Z2334" t="s">
        <v>1890</v>
      </c>
      <c r="AA2334" t="s">
        <v>783</v>
      </c>
      <c r="AB2334" t="s">
        <v>2334</v>
      </c>
      <c r="AC2334" t="s">
        <v>2335</v>
      </c>
      <c r="AD2334" t="s">
        <v>2294</v>
      </c>
      <c r="AE2334" t="s">
        <v>1524</v>
      </c>
      <c r="AH2334" t="s">
        <v>72</v>
      </c>
      <c r="AI2334" t="s">
        <v>2336</v>
      </c>
      <c r="AJ2334">
        <v>1999</v>
      </c>
      <c r="AK2334" t="s">
        <v>2337</v>
      </c>
      <c r="AM2334" t="s">
        <v>2338</v>
      </c>
      <c r="AN2334" t="s">
        <v>192</v>
      </c>
      <c r="AO2334" t="s">
        <v>77</v>
      </c>
      <c r="AP2334" t="s">
        <v>78</v>
      </c>
      <c r="AQ2334" t="s">
        <v>2339</v>
      </c>
      <c r="AR2334" t="s">
        <v>80</v>
      </c>
      <c r="AS2334">
        <v>201</v>
      </c>
      <c r="AT2334" t="s">
        <v>81</v>
      </c>
      <c r="AU2334">
        <v>-31.49</v>
      </c>
      <c r="AV2334">
        <v>-47.4</v>
      </c>
      <c r="AW2334" t="s">
        <v>82</v>
      </c>
      <c r="AX2334">
        <v>201</v>
      </c>
      <c r="AY2334" t="s">
        <v>81</v>
      </c>
      <c r="AZ2334">
        <v>-29.79</v>
      </c>
      <c r="BA2334">
        <v>-46.5</v>
      </c>
      <c r="BB2334" t="s">
        <v>83</v>
      </c>
    </row>
    <row r="2335" spans="1:54" x14ac:dyDescent="0.4">
      <c r="A2335">
        <v>820351</v>
      </c>
      <c r="D2335" t="s">
        <v>2001</v>
      </c>
      <c r="E2335" t="s">
        <v>55</v>
      </c>
      <c r="G2335">
        <v>1</v>
      </c>
      <c r="H2335" t="s">
        <v>56</v>
      </c>
      <c r="I2335" t="s">
        <v>57</v>
      </c>
      <c r="K2335" t="s">
        <v>483</v>
      </c>
      <c r="L2335" t="s">
        <v>484</v>
      </c>
      <c r="M2335" t="s">
        <v>223</v>
      </c>
      <c r="N2335" t="s">
        <v>485</v>
      </c>
      <c r="O2335" t="s">
        <v>345</v>
      </c>
      <c r="P2335" t="s">
        <v>121</v>
      </c>
      <c r="R2335" t="s">
        <v>122</v>
      </c>
      <c r="S2335" t="s">
        <v>123</v>
      </c>
      <c r="T2335">
        <v>290.10000000000002</v>
      </c>
      <c r="U2335">
        <v>283.5</v>
      </c>
      <c r="V2335">
        <f t="shared" si="72"/>
        <v>286.8</v>
      </c>
      <c r="W2335">
        <f t="shared" si="73"/>
        <v>6.6000000000000227</v>
      </c>
      <c r="X2335">
        <v>-50.422221999999998</v>
      </c>
      <c r="Y2335">
        <v>-25.844443999999999</v>
      </c>
      <c r="Z2335" t="s">
        <v>1890</v>
      </c>
      <c r="AA2335" t="s">
        <v>783</v>
      </c>
      <c r="AB2335" t="s">
        <v>2334</v>
      </c>
      <c r="AC2335" t="s">
        <v>2335</v>
      </c>
      <c r="AD2335" t="s">
        <v>2294</v>
      </c>
      <c r="AE2335" t="s">
        <v>1524</v>
      </c>
      <c r="AH2335" t="s">
        <v>72</v>
      </c>
      <c r="AI2335" t="s">
        <v>2336</v>
      </c>
      <c r="AJ2335">
        <v>1999</v>
      </c>
      <c r="AK2335" t="s">
        <v>2337</v>
      </c>
      <c r="AM2335" t="s">
        <v>2338</v>
      </c>
      <c r="AN2335" t="s">
        <v>192</v>
      </c>
      <c r="AO2335" t="s">
        <v>77</v>
      </c>
      <c r="AP2335" t="s">
        <v>78</v>
      </c>
      <c r="AQ2335" t="s">
        <v>2339</v>
      </c>
      <c r="AR2335" t="s">
        <v>80</v>
      </c>
      <c r="AS2335">
        <v>201</v>
      </c>
      <c r="AT2335" t="s">
        <v>81</v>
      </c>
      <c r="AU2335">
        <v>-31.49</v>
      </c>
      <c r="AV2335">
        <v>-47.4</v>
      </c>
      <c r="AW2335" t="s">
        <v>82</v>
      </c>
      <c r="AX2335">
        <v>201</v>
      </c>
      <c r="AY2335" t="s">
        <v>81</v>
      </c>
      <c r="AZ2335">
        <v>-29.79</v>
      </c>
      <c r="BA2335">
        <v>-46.5</v>
      </c>
      <c r="BB2335" t="s">
        <v>83</v>
      </c>
    </row>
    <row r="2336" spans="1:54" x14ac:dyDescent="0.4">
      <c r="A2336">
        <v>820351</v>
      </c>
      <c r="D2336" t="s">
        <v>2001</v>
      </c>
      <c r="E2336" t="s">
        <v>55</v>
      </c>
      <c r="G2336">
        <v>1</v>
      </c>
      <c r="H2336" t="s">
        <v>56</v>
      </c>
      <c r="I2336" t="s">
        <v>57</v>
      </c>
      <c r="K2336" t="s">
        <v>483</v>
      </c>
      <c r="L2336" t="s">
        <v>484</v>
      </c>
      <c r="M2336" t="s">
        <v>223</v>
      </c>
      <c r="N2336" t="s">
        <v>485</v>
      </c>
      <c r="O2336" t="s">
        <v>345</v>
      </c>
      <c r="P2336" t="s">
        <v>121</v>
      </c>
      <c r="R2336" t="s">
        <v>122</v>
      </c>
      <c r="S2336" t="s">
        <v>123</v>
      </c>
      <c r="T2336">
        <v>290.10000000000002</v>
      </c>
      <c r="U2336">
        <v>283.5</v>
      </c>
      <c r="V2336">
        <f t="shared" si="72"/>
        <v>286.8</v>
      </c>
      <c r="W2336">
        <f t="shared" si="73"/>
        <v>6.6000000000000227</v>
      </c>
      <c r="X2336">
        <v>-50.422221999999998</v>
      </c>
      <c r="Y2336">
        <v>-25.844443999999999</v>
      </c>
      <c r="Z2336" t="s">
        <v>1890</v>
      </c>
      <c r="AA2336" t="s">
        <v>783</v>
      </c>
      <c r="AB2336" t="s">
        <v>2334</v>
      </c>
      <c r="AC2336" t="s">
        <v>2335</v>
      </c>
      <c r="AD2336" t="s">
        <v>2294</v>
      </c>
      <c r="AE2336" t="s">
        <v>1524</v>
      </c>
      <c r="AH2336" t="s">
        <v>72</v>
      </c>
      <c r="AI2336" t="s">
        <v>2336</v>
      </c>
      <c r="AJ2336">
        <v>1999</v>
      </c>
      <c r="AK2336" t="s">
        <v>2337</v>
      </c>
      <c r="AM2336" t="s">
        <v>2338</v>
      </c>
      <c r="AN2336" t="s">
        <v>192</v>
      </c>
      <c r="AO2336" t="s">
        <v>77</v>
      </c>
      <c r="AP2336" t="s">
        <v>78</v>
      </c>
      <c r="AQ2336" t="s">
        <v>2339</v>
      </c>
      <c r="AR2336" t="s">
        <v>80</v>
      </c>
      <c r="AS2336">
        <v>201</v>
      </c>
      <c r="AT2336" t="s">
        <v>81</v>
      </c>
      <c r="AU2336">
        <v>-31.49</v>
      </c>
      <c r="AV2336">
        <v>-47.4</v>
      </c>
      <c r="AW2336" t="s">
        <v>82</v>
      </c>
      <c r="AX2336">
        <v>201</v>
      </c>
      <c r="AY2336" t="s">
        <v>81</v>
      </c>
      <c r="AZ2336">
        <v>-29.79</v>
      </c>
      <c r="BA2336">
        <v>-46.5</v>
      </c>
      <c r="BB2336" t="s">
        <v>83</v>
      </c>
    </row>
    <row r="2337" spans="1:54" x14ac:dyDescent="0.4">
      <c r="A2337">
        <v>820351</v>
      </c>
      <c r="D2337" t="s">
        <v>2001</v>
      </c>
      <c r="E2337" t="s">
        <v>55</v>
      </c>
      <c r="G2337">
        <v>1</v>
      </c>
      <c r="H2337" t="s">
        <v>56</v>
      </c>
      <c r="I2337" t="s">
        <v>57</v>
      </c>
      <c r="K2337" t="s">
        <v>483</v>
      </c>
      <c r="L2337" t="s">
        <v>484</v>
      </c>
      <c r="M2337" t="s">
        <v>223</v>
      </c>
      <c r="N2337" t="s">
        <v>485</v>
      </c>
      <c r="O2337" t="s">
        <v>345</v>
      </c>
      <c r="P2337" t="s">
        <v>121</v>
      </c>
      <c r="R2337" t="s">
        <v>122</v>
      </c>
      <c r="S2337" t="s">
        <v>123</v>
      </c>
      <c r="T2337">
        <v>290.10000000000002</v>
      </c>
      <c r="U2337">
        <v>283.5</v>
      </c>
      <c r="V2337">
        <f t="shared" si="72"/>
        <v>286.8</v>
      </c>
      <c r="W2337">
        <f t="shared" si="73"/>
        <v>6.6000000000000227</v>
      </c>
      <c r="X2337">
        <v>-50.422221999999998</v>
      </c>
      <c r="Y2337">
        <v>-25.844443999999999</v>
      </c>
      <c r="Z2337" t="s">
        <v>1890</v>
      </c>
      <c r="AA2337" t="s">
        <v>783</v>
      </c>
      <c r="AB2337" t="s">
        <v>2334</v>
      </c>
      <c r="AC2337" t="s">
        <v>2335</v>
      </c>
      <c r="AD2337" t="s">
        <v>2294</v>
      </c>
      <c r="AE2337" t="s">
        <v>1524</v>
      </c>
      <c r="AH2337" t="s">
        <v>72</v>
      </c>
      <c r="AI2337" t="s">
        <v>2336</v>
      </c>
      <c r="AJ2337">
        <v>1999</v>
      </c>
      <c r="AK2337" t="s">
        <v>2337</v>
      </c>
      <c r="AM2337" t="s">
        <v>2338</v>
      </c>
      <c r="AN2337" t="s">
        <v>192</v>
      </c>
      <c r="AO2337" t="s">
        <v>77</v>
      </c>
      <c r="AP2337" t="s">
        <v>78</v>
      </c>
      <c r="AQ2337" t="s">
        <v>2339</v>
      </c>
      <c r="AR2337" t="s">
        <v>80</v>
      </c>
      <c r="AS2337">
        <v>201</v>
      </c>
      <c r="AT2337" t="s">
        <v>81</v>
      </c>
      <c r="AU2337">
        <v>-31.49</v>
      </c>
      <c r="AV2337">
        <v>-47.4</v>
      </c>
      <c r="AW2337" t="s">
        <v>82</v>
      </c>
      <c r="AX2337">
        <v>201</v>
      </c>
      <c r="AY2337" t="s">
        <v>81</v>
      </c>
      <c r="AZ2337">
        <v>-29.79</v>
      </c>
      <c r="BA2337">
        <v>-46.5</v>
      </c>
      <c r="BB2337" t="s">
        <v>83</v>
      </c>
    </row>
    <row r="2338" spans="1:54" x14ac:dyDescent="0.4">
      <c r="A2338">
        <v>820351</v>
      </c>
      <c r="D2338" t="s">
        <v>2001</v>
      </c>
      <c r="E2338" t="s">
        <v>55</v>
      </c>
      <c r="G2338">
        <v>1</v>
      </c>
      <c r="H2338" t="s">
        <v>56</v>
      </c>
      <c r="I2338" t="s">
        <v>57</v>
      </c>
      <c r="K2338" t="s">
        <v>483</v>
      </c>
      <c r="L2338" t="s">
        <v>484</v>
      </c>
      <c r="M2338" t="s">
        <v>223</v>
      </c>
      <c r="N2338" t="s">
        <v>485</v>
      </c>
      <c r="O2338" t="s">
        <v>345</v>
      </c>
      <c r="P2338" t="s">
        <v>121</v>
      </c>
      <c r="R2338" t="s">
        <v>122</v>
      </c>
      <c r="S2338" t="s">
        <v>123</v>
      </c>
      <c r="T2338">
        <v>290.10000000000002</v>
      </c>
      <c r="U2338">
        <v>283.5</v>
      </c>
      <c r="V2338">
        <f t="shared" si="72"/>
        <v>286.8</v>
      </c>
      <c r="W2338">
        <f t="shared" si="73"/>
        <v>6.6000000000000227</v>
      </c>
      <c r="X2338">
        <v>-50.422221999999998</v>
      </c>
      <c r="Y2338">
        <v>-25.844443999999999</v>
      </c>
      <c r="Z2338" t="s">
        <v>1890</v>
      </c>
      <c r="AA2338" t="s">
        <v>783</v>
      </c>
      <c r="AB2338" t="s">
        <v>2334</v>
      </c>
      <c r="AC2338" t="s">
        <v>2335</v>
      </c>
      <c r="AD2338" t="s">
        <v>2294</v>
      </c>
      <c r="AE2338" t="s">
        <v>1524</v>
      </c>
      <c r="AH2338" t="s">
        <v>72</v>
      </c>
      <c r="AI2338" t="s">
        <v>2336</v>
      </c>
      <c r="AJ2338">
        <v>1999</v>
      </c>
      <c r="AK2338" t="s">
        <v>2337</v>
      </c>
      <c r="AM2338" t="s">
        <v>2338</v>
      </c>
      <c r="AN2338" t="s">
        <v>192</v>
      </c>
      <c r="AO2338" t="s">
        <v>77</v>
      </c>
      <c r="AP2338" t="s">
        <v>78</v>
      </c>
      <c r="AQ2338" t="s">
        <v>2339</v>
      </c>
      <c r="AR2338" t="s">
        <v>80</v>
      </c>
      <c r="AS2338">
        <v>201</v>
      </c>
      <c r="AT2338" t="s">
        <v>81</v>
      </c>
      <c r="AU2338">
        <v>-31.49</v>
      </c>
      <c r="AV2338">
        <v>-47.4</v>
      </c>
      <c r="AW2338" t="s">
        <v>82</v>
      </c>
      <c r="AX2338">
        <v>201</v>
      </c>
      <c r="AY2338" t="s">
        <v>81</v>
      </c>
      <c r="AZ2338">
        <v>-29.79</v>
      </c>
      <c r="BA2338">
        <v>-46.5</v>
      </c>
      <c r="BB2338" t="s">
        <v>83</v>
      </c>
    </row>
    <row r="2339" spans="1:54" x14ac:dyDescent="0.4">
      <c r="A2339">
        <v>820351</v>
      </c>
      <c r="D2339" t="s">
        <v>2001</v>
      </c>
      <c r="E2339" t="s">
        <v>55</v>
      </c>
      <c r="G2339">
        <v>1</v>
      </c>
      <c r="H2339" t="s">
        <v>56</v>
      </c>
      <c r="I2339" t="s">
        <v>57</v>
      </c>
      <c r="K2339" t="s">
        <v>483</v>
      </c>
      <c r="L2339" t="s">
        <v>484</v>
      </c>
      <c r="M2339" t="s">
        <v>223</v>
      </c>
      <c r="N2339" t="s">
        <v>485</v>
      </c>
      <c r="O2339" t="s">
        <v>345</v>
      </c>
      <c r="P2339" t="s">
        <v>121</v>
      </c>
      <c r="R2339" t="s">
        <v>122</v>
      </c>
      <c r="S2339" t="s">
        <v>123</v>
      </c>
      <c r="T2339">
        <v>290.10000000000002</v>
      </c>
      <c r="U2339">
        <v>283.5</v>
      </c>
      <c r="V2339">
        <f t="shared" si="72"/>
        <v>286.8</v>
      </c>
      <c r="W2339">
        <f t="shared" si="73"/>
        <v>6.6000000000000227</v>
      </c>
      <c r="X2339">
        <v>-50.422221999999998</v>
      </c>
      <c r="Y2339">
        <v>-25.844443999999999</v>
      </c>
      <c r="Z2339" t="s">
        <v>1890</v>
      </c>
      <c r="AA2339" t="s">
        <v>783</v>
      </c>
      <c r="AB2339" t="s">
        <v>2334</v>
      </c>
      <c r="AC2339" t="s">
        <v>2335</v>
      </c>
      <c r="AD2339" t="s">
        <v>2294</v>
      </c>
      <c r="AE2339" t="s">
        <v>1524</v>
      </c>
      <c r="AH2339" t="s">
        <v>72</v>
      </c>
      <c r="AI2339" t="s">
        <v>2336</v>
      </c>
      <c r="AJ2339">
        <v>1999</v>
      </c>
      <c r="AK2339" t="s">
        <v>2337</v>
      </c>
      <c r="AM2339" t="s">
        <v>2338</v>
      </c>
      <c r="AN2339" t="s">
        <v>192</v>
      </c>
      <c r="AO2339" t="s">
        <v>77</v>
      </c>
      <c r="AP2339" t="s">
        <v>78</v>
      </c>
      <c r="AQ2339" t="s">
        <v>2339</v>
      </c>
      <c r="AR2339" t="s">
        <v>80</v>
      </c>
      <c r="AS2339">
        <v>201</v>
      </c>
      <c r="AT2339" t="s">
        <v>81</v>
      </c>
      <c r="AU2339">
        <v>-31.49</v>
      </c>
      <c r="AV2339">
        <v>-47.4</v>
      </c>
      <c r="AW2339" t="s">
        <v>82</v>
      </c>
      <c r="AX2339">
        <v>201</v>
      </c>
      <c r="AY2339" t="s">
        <v>81</v>
      </c>
      <c r="AZ2339">
        <v>-29.79</v>
      </c>
      <c r="BA2339">
        <v>-46.5</v>
      </c>
      <c r="BB2339" t="s">
        <v>83</v>
      </c>
    </row>
    <row r="2340" spans="1:54" x14ac:dyDescent="0.4">
      <c r="A2340">
        <v>820352</v>
      </c>
      <c r="D2340" t="s">
        <v>54</v>
      </c>
      <c r="E2340" t="s">
        <v>55</v>
      </c>
      <c r="G2340">
        <v>1</v>
      </c>
      <c r="H2340" t="s">
        <v>56</v>
      </c>
      <c r="I2340" t="s">
        <v>57</v>
      </c>
      <c r="K2340" t="s">
        <v>483</v>
      </c>
      <c r="L2340" t="s">
        <v>484</v>
      </c>
      <c r="M2340" t="s">
        <v>223</v>
      </c>
      <c r="N2340" t="s">
        <v>485</v>
      </c>
      <c r="O2340" t="s">
        <v>345</v>
      </c>
      <c r="P2340" t="s">
        <v>121</v>
      </c>
      <c r="R2340" t="s">
        <v>122</v>
      </c>
      <c r="S2340" t="s">
        <v>123</v>
      </c>
      <c r="T2340">
        <v>290.10000000000002</v>
      </c>
      <c r="U2340">
        <v>283.5</v>
      </c>
      <c r="V2340">
        <f t="shared" si="72"/>
        <v>286.8</v>
      </c>
      <c r="W2340">
        <f t="shared" si="73"/>
        <v>6.6000000000000227</v>
      </c>
      <c r="X2340">
        <v>-54.325001</v>
      </c>
      <c r="Y2340">
        <v>-30.341667000000001</v>
      </c>
      <c r="Z2340" t="s">
        <v>1596</v>
      </c>
      <c r="AA2340" t="s">
        <v>783</v>
      </c>
      <c r="AB2340" t="s">
        <v>784</v>
      </c>
      <c r="AC2340" t="s">
        <v>1522</v>
      </c>
      <c r="AD2340" t="s">
        <v>2294</v>
      </c>
      <c r="AE2340" t="s">
        <v>1524</v>
      </c>
      <c r="AH2340" t="s">
        <v>72</v>
      </c>
      <c r="AI2340" t="s">
        <v>2336</v>
      </c>
      <c r="AJ2340">
        <v>1999</v>
      </c>
      <c r="AK2340" t="s">
        <v>2340</v>
      </c>
      <c r="AM2340" t="s">
        <v>1528</v>
      </c>
      <c r="AN2340" t="s">
        <v>114</v>
      </c>
      <c r="AO2340" t="s">
        <v>77</v>
      </c>
      <c r="AP2340" t="s">
        <v>78</v>
      </c>
      <c r="AQ2340" t="s">
        <v>2341</v>
      </c>
      <c r="AR2340" t="s">
        <v>80</v>
      </c>
      <c r="AS2340">
        <v>201</v>
      </c>
      <c r="AT2340" t="s">
        <v>81</v>
      </c>
      <c r="AU2340">
        <v>-39.28</v>
      </c>
      <c r="AV2340">
        <v>-49.75</v>
      </c>
      <c r="AW2340" t="s">
        <v>82</v>
      </c>
      <c r="AX2340">
        <v>202</v>
      </c>
      <c r="AY2340" t="s">
        <v>81</v>
      </c>
      <c r="AZ2340">
        <v>-36.78</v>
      </c>
      <c r="BA2340">
        <v>-48.87</v>
      </c>
      <c r="BB2340" t="s">
        <v>83</v>
      </c>
    </row>
    <row r="2341" spans="1:54" x14ac:dyDescent="0.4">
      <c r="A2341">
        <v>820353</v>
      </c>
      <c r="D2341" t="s">
        <v>54</v>
      </c>
      <c r="E2341" t="s">
        <v>55</v>
      </c>
      <c r="G2341">
        <v>1</v>
      </c>
      <c r="H2341" t="s">
        <v>56</v>
      </c>
      <c r="I2341" t="s">
        <v>57</v>
      </c>
      <c r="K2341" t="s">
        <v>483</v>
      </c>
      <c r="L2341" t="s">
        <v>2299</v>
      </c>
      <c r="M2341" t="s">
        <v>223</v>
      </c>
      <c r="N2341" t="s">
        <v>485</v>
      </c>
      <c r="O2341" t="s">
        <v>345</v>
      </c>
      <c r="P2341" t="s">
        <v>121</v>
      </c>
      <c r="R2341" t="s">
        <v>122</v>
      </c>
      <c r="S2341" t="s">
        <v>123</v>
      </c>
      <c r="T2341">
        <v>290.10000000000002</v>
      </c>
      <c r="U2341">
        <v>283.5</v>
      </c>
      <c r="V2341">
        <f t="shared" si="72"/>
        <v>286.8</v>
      </c>
      <c r="W2341">
        <f t="shared" si="73"/>
        <v>6.6000000000000227</v>
      </c>
      <c r="X2341">
        <v>-54.325001</v>
      </c>
      <c r="Y2341">
        <v>-30.341667000000001</v>
      </c>
      <c r="Z2341" t="s">
        <v>1596</v>
      </c>
      <c r="AA2341" t="s">
        <v>783</v>
      </c>
      <c r="AB2341" t="s">
        <v>784</v>
      </c>
      <c r="AC2341" t="s">
        <v>1522</v>
      </c>
      <c r="AD2341" t="s">
        <v>2294</v>
      </c>
      <c r="AE2341" t="s">
        <v>1524</v>
      </c>
      <c r="AH2341" t="s">
        <v>72</v>
      </c>
      <c r="AI2341" t="s">
        <v>2342</v>
      </c>
      <c r="AJ2341">
        <v>2009</v>
      </c>
      <c r="AK2341" t="s">
        <v>2340</v>
      </c>
      <c r="AM2341" t="s">
        <v>1528</v>
      </c>
      <c r="AN2341" t="s">
        <v>114</v>
      </c>
      <c r="AO2341" t="s">
        <v>77</v>
      </c>
      <c r="AP2341" t="s">
        <v>78</v>
      </c>
      <c r="AQ2341" t="s">
        <v>2341</v>
      </c>
      <c r="AR2341" t="s">
        <v>80</v>
      </c>
      <c r="AS2341">
        <v>201</v>
      </c>
      <c r="AT2341" t="s">
        <v>81</v>
      </c>
      <c r="AU2341">
        <v>-39.28</v>
      </c>
      <c r="AV2341">
        <v>-49.75</v>
      </c>
      <c r="AW2341" t="s">
        <v>82</v>
      </c>
      <c r="AX2341">
        <v>202</v>
      </c>
      <c r="AY2341" t="s">
        <v>81</v>
      </c>
      <c r="AZ2341">
        <v>-36.78</v>
      </c>
      <c r="BA2341">
        <v>-48.87</v>
      </c>
      <c r="BB2341" t="s">
        <v>83</v>
      </c>
    </row>
    <row r="2342" spans="1:54" x14ac:dyDescent="0.4">
      <c r="A2342">
        <v>820353</v>
      </c>
      <c r="D2342" t="s">
        <v>54</v>
      </c>
      <c r="E2342" t="s">
        <v>55</v>
      </c>
      <c r="G2342">
        <v>1</v>
      </c>
      <c r="H2342" t="s">
        <v>56</v>
      </c>
      <c r="I2342" t="s">
        <v>57</v>
      </c>
      <c r="K2342" t="s">
        <v>483</v>
      </c>
      <c r="L2342" t="s">
        <v>2299</v>
      </c>
      <c r="M2342" t="s">
        <v>223</v>
      </c>
      <c r="N2342" t="s">
        <v>485</v>
      </c>
      <c r="O2342" t="s">
        <v>345</v>
      </c>
      <c r="P2342" t="s">
        <v>121</v>
      </c>
      <c r="R2342" t="s">
        <v>122</v>
      </c>
      <c r="S2342" t="s">
        <v>123</v>
      </c>
      <c r="T2342">
        <v>290.10000000000002</v>
      </c>
      <c r="U2342">
        <v>283.5</v>
      </c>
      <c r="V2342">
        <f t="shared" si="72"/>
        <v>286.8</v>
      </c>
      <c r="W2342">
        <f t="shared" si="73"/>
        <v>6.6000000000000227</v>
      </c>
      <c r="X2342">
        <v>-54.325001</v>
      </c>
      <c r="Y2342">
        <v>-30.341667000000001</v>
      </c>
      <c r="Z2342" t="s">
        <v>1596</v>
      </c>
      <c r="AA2342" t="s">
        <v>783</v>
      </c>
      <c r="AB2342" t="s">
        <v>784</v>
      </c>
      <c r="AC2342" t="s">
        <v>1522</v>
      </c>
      <c r="AD2342" t="s">
        <v>2294</v>
      </c>
      <c r="AE2342" t="s">
        <v>1524</v>
      </c>
      <c r="AH2342" t="s">
        <v>72</v>
      </c>
      <c r="AI2342" t="s">
        <v>2342</v>
      </c>
      <c r="AJ2342">
        <v>2009</v>
      </c>
      <c r="AK2342" t="s">
        <v>2340</v>
      </c>
      <c r="AM2342" t="s">
        <v>1528</v>
      </c>
      <c r="AN2342" t="s">
        <v>114</v>
      </c>
      <c r="AO2342" t="s">
        <v>77</v>
      </c>
      <c r="AP2342" t="s">
        <v>78</v>
      </c>
      <c r="AQ2342" t="s">
        <v>2341</v>
      </c>
      <c r="AR2342" t="s">
        <v>80</v>
      </c>
      <c r="AS2342">
        <v>201</v>
      </c>
      <c r="AT2342" t="s">
        <v>81</v>
      </c>
      <c r="AU2342">
        <v>-39.28</v>
      </c>
      <c r="AV2342">
        <v>-49.75</v>
      </c>
      <c r="AW2342" t="s">
        <v>82</v>
      </c>
      <c r="AX2342">
        <v>202</v>
      </c>
      <c r="AY2342" t="s">
        <v>81</v>
      </c>
      <c r="AZ2342">
        <v>-36.78</v>
      </c>
      <c r="BA2342">
        <v>-48.87</v>
      </c>
      <c r="BB2342" t="s">
        <v>83</v>
      </c>
    </row>
    <row r="2343" spans="1:54" x14ac:dyDescent="0.4">
      <c r="A2343">
        <v>820354</v>
      </c>
      <c r="D2343" t="s">
        <v>54</v>
      </c>
      <c r="E2343" t="s">
        <v>55</v>
      </c>
      <c r="G2343">
        <v>1</v>
      </c>
      <c r="H2343" t="s">
        <v>56</v>
      </c>
      <c r="I2343" t="s">
        <v>57</v>
      </c>
      <c r="K2343" t="s">
        <v>483</v>
      </c>
      <c r="L2343" t="s">
        <v>2299</v>
      </c>
      <c r="M2343" t="s">
        <v>223</v>
      </c>
      <c r="N2343" t="s">
        <v>485</v>
      </c>
      <c r="O2343" t="s">
        <v>345</v>
      </c>
      <c r="P2343" t="s">
        <v>121</v>
      </c>
      <c r="R2343" t="s">
        <v>122</v>
      </c>
      <c r="S2343" t="s">
        <v>123</v>
      </c>
      <c r="T2343">
        <v>290.10000000000002</v>
      </c>
      <c r="U2343">
        <v>283.5</v>
      </c>
      <c r="V2343">
        <f t="shared" si="72"/>
        <v>286.8</v>
      </c>
      <c r="W2343">
        <f t="shared" si="73"/>
        <v>6.6000000000000227</v>
      </c>
      <c r="X2343">
        <v>-47.861111000000001</v>
      </c>
      <c r="Y2343">
        <v>-22.977501</v>
      </c>
      <c r="Z2343" t="s">
        <v>1596</v>
      </c>
      <c r="AA2343" t="s">
        <v>783</v>
      </c>
      <c r="AB2343" t="s">
        <v>2343</v>
      </c>
      <c r="AD2343" t="s">
        <v>2294</v>
      </c>
      <c r="AE2343" t="s">
        <v>1524</v>
      </c>
      <c r="AF2343" t="s">
        <v>2295</v>
      </c>
      <c r="AH2343" t="s">
        <v>72</v>
      </c>
      <c r="AI2343" t="s">
        <v>2342</v>
      </c>
      <c r="AJ2343">
        <v>2009</v>
      </c>
      <c r="AK2343" t="s">
        <v>2344</v>
      </c>
      <c r="AM2343" t="s">
        <v>1528</v>
      </c>
      <c r="AN2343" t="s">
        <v>192</v>
      </c>
      <c r="AO2343" t="s">
        <v>77</v>
      </c>
      <c r="AP2343" t="s">
        <v>115</v>
      </c>
      <c r="AQ2343" t="s">
        <v>2345</v>
      </c>
      <c r="AR2343" t="s">
        <v>80</v>
      </c>
      <c r="AS2343">
        <v>201</v>
      </c>
      <c r="AT2343" t="s">
        <v>81</v>
      </c>
      <c r="AU2343">
        <v>-26.66</v>
      </c>
      <c r="AV2343">
        <v>-45.77</v>
      </c>
      <c r="AW2343" t="s">
        <v>82</v>
      </c>
      <c r="AX2343">
        <v>201</v>
      </c>
      <c r="AY2343" t="s">
        <v>81</v>
      </c>
      <c r="AZ2343">
        <v>-25.11</v>
      </c>
      <c r="BA2343">
        <v>-44.78</v>
      </c>
      <c r="BB2343" t="s">
        <v>83</v>
      </c>
    </row>
    <row r="2344" spans="1:54" x14ac:dyDescent="0.4">
      <c r="A2344">
        <v>820354</v>
      </c>
      <c r="D2344" t="s">
        <v>54</v>
      </c>
      <c r="E2344" t="s">
        <v>55</v>
      </c>
      <c r="G2344">
        <v>1</v>
      </c>
      <c r="H2344" t="s">
        <v>56</v>
      </c>
      <c r="I2344" t="s">
        <v>57</v>
      </c>
      <c r="K2344" t="s">
        <v>483</v>
      </c>
      <c r="L2344" t="s">
        <v>2299</v>
      </c>
      <c r="M2344" t="s">
        <v>223</v>
      </c>
      <c r="N2344" t="s">
        <v>485</v>
      </c>
      <c r="O2344" t="s">
        <v>345</v>
      </c>
      <c r="P2344" t="s">
        <v>121</v>
      </c>
      <c r="R2344" t="s">
        <v>122</v>
      </c>
      <c r="S2344" t="s">
        <v>123</v>
      </c>
      <c r="T2344">
        <v>290.10000000000002</v>
      </c>
      <c r="U2344">
        <v>283.5</v>
      </c>
      <c r="V2344">
        <f t="shared" si="72"/>
        <v>286.8</v>
      </c>
      <c r="W2344">
        <f t="shared" si="73"/>
        <v>6.6000000000000227</v>
      </c>
      <c r="X2344">
        <v>-47.861111000000001</v>
      </c>
      <c r="Y2344">
        <v>-22.977501</v>
      </c>
      <c r="Z2344" t="s">
        <v>1596</v>
      </c>
      <c r="AA2344" t="s">
        <v>783</v>
      </c>
      <c r="AB2344" t="s">
        <v>2343</v>
      </c>
      <c r="AD2344" t="s">
        <v>2294</v>
      </c>
      <c r="AE2344" t="s">
        <v>1524</v>
      </c>
      <c r="AF2344" t="s">
        <v>2295</v>
      </c>
      <c r="AH2344" t="s">
        <v>72</v>
      </c>
      <c r="AI2344" t="s">
        <v>2342</v>
      </c>
      <c r="AJ2344">
        <v>2009</v>
      </c>
      <c r="AK2344" t="s">
        <v>2344</v>
      </c>
      <c r="AM2344" t="s">
        <v>1528</v>
      </c>
      <c r="AN2344" t="s">
        <v>192</v>
      </c>
      <c r="AO2344" t="s">
        <v>77</v>
      </c>
      <c r="AP2344" t="s">
        <v>115</v>
      </c>
      <c r="AQ2344" t="s">
        <v>2345</v>
      </c>
      <c r="AR2344" t="s">
        <v>80</v>
      </c>
      <c r="AS2344">
        <v>201</v>
      </c>
      <c r="AT2344" t="s">
        <v>81</v>
      </c>
      <c r="AU2344">
        <v>-26.66</v>
      </c>
      <c r="AV2344">
        <v>-45.77</v>
      </c>
      <c r="AW2344" t="s">
        <v>82</v>
      </c>
      <c r="AX2344">
        <v>201</v>
      </c>
      <c r="AY2344" t="s">
        <v>81</v>
      </c>
      <c r="AZ2344">
        <v>-25.11</v>
      </c>
      <c r="BA2344">
        <v>-44.78</v>
      </c>
      <c r="BB2344" t="s">
        <v>83</v>
      </c>
    </row>
    <row r="2345" spans="1:54" x14ac:dyDescent="0.4">
      <c r="A2345">
        <v>820354</v>
      </c>
      <c r="D2345" t="s">
        <v>54</v>
      </c>
      <c r="E2345" t="s">
        <v>55</v>
      </c>
      <c r="G2345">
        <v>1</v>
      </c>
      <c r="H2345" t="s">
        <v>56</v>
      </c>
      <c r="I2345" t="s">
        <v>57</v>
      </c>
      <c r="K2345" t="s">
        <v>483</v>
      </c>
      <c r="L2345" t="s">
        <v>2299</v>
      </c>
      <c r="M2345" t="s">
        <v>223</v>
      </c>
      <c r="N2345" t="s">
        <v>485</v>
      </c>
      <c r="O2345" t="s">
        <v>345</v>
      </c>
      <c r="P2345" t="s">
        <v>121</v>
      </c>
      <c r="R2345" t="s">
        <v>122</v>
      </c>
      <c r="S2345" t="s">
        <v>123</v>
      </c>
      <c r="T2345">
        <v>290.10000000000002</v>
      </c>
      <c r="U2345">
        <v>283.5</v>
      </c>
      <c r="V2345">
        <f t="shared" si="72"/>
        <v>286.8</v>
      </c>
      <c r="W2345">
        <f t="shared" si="73"/>
        <v>6.6000000000000227</v>
      </c>
      <c r="X2345">
        <v>-47.861111000000001</v>
      </c>
      <c r="Y2345">
        <v>-22.977501</v>
      </c>
      <c r="Z2345" t="s">
        <v>1596</v>
      </c>
      <c r="AA2345" t="s">
        <v>783</v>
      </c>
      <c r="AB2345" t="s">
        <v>2343</v>
      </c>
      <c r="AD2345" t="s">
        <v>2294</v>
      </c>
      <c r="AE2345" t="s">
        <v>1524</v>
      </c>
      <c r="AF2345" t="s">
        <v>2295</v>
      </c>
      <c r="AH2345" t="s">
        <v>72</v>
      </c>
      <c r="AI2345" t="s">
        <v>2342</v>
      </c>
      <c r="AJ2345">
        <v>2009</v>
      </c>
      <c r="AK2345" t="s">
        <v>2344</v>
      </c>
      <c r="AM2345" t="s">
        <v>1528</v>
      </c>
      <c r="AN2345" t="s">
        <v>192</v>
      </c>
      <c r="AO2345" t="s">
        <v>77</v>
      </c>
      <c r="AP2345" t="s">
        <v>115</v>
      </c>
      <c r="AQ2345" t="s">
        <v>2345</v>
      </c>
      <c r="AR2345" t="s">
        <v>80</v>
      </c>
      <c r="AS2345">
        <v>201</v>
      </c>
      <c r="AT2345" t="s">
        <v>81</v>
      </c>
      <c r="AU2345">
        <v>-26.66</v>
      </c>
      <c r="AV2345">
        <v>-45.77</v>
      </c>
      <c r="AW2345" t="s">
        <v>82</v>
      </c>
      <c r="AX2345">
        <v>201</v>
      </c>
      <c r="AY2345" t="s">
        <v>81</v>
      </c>
      <c r="AZ2345">
        <v>-25.11</v>
      </c>
      <c r="BA2345">
        <v>-44.78</v>
      </c>
      <c r="BB2345" t="s">
        <v>83</v>
      </c>
    </row>
    <row r="2346" spans="1:54" x14ac:dyDescent="0.4">
      <c r="A2346">
        <v>820354</v>
      </c>
      <c r="D2346" t="s">
        <v>54</v>
      </c>
      <c r="E2346" t="s">
        <v>55</v>
      </c>
      <c r="G2346">
        <v>1</v>
      </c>
      <c r="H2346" t="s">
        <v>56</v>
      </c>
      <c r="I2346" t="s">
        <v>57</v>
      </c>
      <c r="K2346" t="s">
        <v>483</v>
      </c>
      <c r="L2346" t="s">
        <v>2299</v>
      </c>
      <c r="M2346" t="s">
        <v>223</v>
      </c>
      <c r="N2346" t="s">
        <v>485</v>
      </c>
      <c r="O2346" t="s">
        <v>345</v>
      </c>
      <c r="P2346" t="s">
        <v>121</v>
      </c>
      <c r="R2346" t="s">
        <v>122</v>
      </c>
      <c r="S2346" t="s">
        <v>123</v>
      </c>
      <c r="T2346">
        <v>290.10000000000002</v>
      </c>
      <c r="U2346">
        <v>283.5</v>
      </c>
      <c r="V2346">
        <f t="shared" si="72"/>
        <v>286.8</v>
      </c>
      <c r="W2346">
        <f t="shared" si="73"/>
        <v>6.6000000000000227</v>
      </c>
      <c r="X2346">
        <v>-47.861111000000001</v>
      </c>
      <c r="Y2346">
        <v>-22.977501</v>
      </c>
      <c r="Z2346" t="s">
        <v>1596</v>
      </c>
      <c r="AA2346" t="s">
        <v>783</v>
      </c>
      <c r="AB2346" t="s">
        <v>2343</v>
      </c>
      <c r="AD2346" t="s">
        <v>2294</v>
      </c>
      <c r="AE2346" t="s">
        <v>1524</v>
      </c>
      <c r="AF2346" t="s">
        <v>2295</v>
      </c>
      <c r="AH2346" t="s">
        <v>72</v>
      </c>
      <c r="AI2346" t="s">
        <v>2342</v>
      </c>
      <c r="AJ2346">
        <v>2009</v>
      </c>
      <c r="AK2346" t="s">
        <v>2344</v>
      </c>
      <c r="AM2346" t="s">
        <v>1528</v>
      </c>
      <c r="AN2346" t="s">
        <v>192</v>
      </c>
      <c r="AO2346" t="s">
        <v>77</v>
      </c>
      <c r="AP2346" t="s">
        <v>115</v>
      </c>
      <c r="AQ2346" t="s">
        <v>2345</v>
      </c>
      <c r="AR2346" t="s">
        <v>80</v>
      </c>
      <c r="AS2346">
        <v>201</v>
      </c>
      <c r="AT2346" t="s">
        <v>81</v>
      </c>
      <c r="AU2346">
        <v>-26.66</v>
      </c>
      <c r="AV2346">
        <v>-45.77</v>
      </c>
      <c r="AW2346" t="s">
        <v>82</v>
      </c>
      <c r="AX2346">
        <v>201</v>
      </c>
      <c r="AY2346" t="s">
        <v>81</v>
      </c>
      <c r="AZ2346">
        <v>-25.11</v>
      </c>
      <c r="BA2346">
        <v>-44.78</v>
      </c>
      <c r="BB2346" t="s">
        <v>83</v>
      </c>
    </row>
    <row r="2347" spans="1:54" x14ac:dyDescent="0.4">
      <c r="A2347">
        <v>820355</v>
      </c>
      <c r="D2347" t="s">
        <v>2001</v>
      </c>
      <c r="E2347" t="s">
        <v>55</v>
      </c>
      <c r="G2347">
        <v>1</v>
      </c>
      <c r="H2347" t="s">
        <v>56</v>
      </c>
      <c r="I2347" t="s">
        <v>57</v>
      </c>
      <c r="K2347" t="s">
        <v>483</v>
      </c>
      <c r="L2347" t="s">
        <v>2299</v>
      </c>
      <c r="M2347" t="s">
        <v>223</v>
      </c>
      <c r="N2347" t="s">
        <v>485</v>
      </c>
      <c r="O2347" t="s">
        <v>345</v>
      </c>
      <c r="P2347" t="s">
        <v>121</v>
      </c>
      <c r="R2347" t="s">
        <v>122</v>
      </c>
      <c r="S2347" t="s">
        <v>123</v>
      </c>
      <c r="T2347">
        <v>290.10000000000002</v>
      </c>
      <c r="U2347">
        <v>283.5</v>
      </c>
      <c r="V2347">
        <f t="shared" si="72"/>
        <v>286.8</v>
      </c>
      <c r="W2347">
        <f t="shared" si="73"/>
        <v>6.6000000000000227</v>
      </c>
      <c r="X2347">
        <v>-47.861111000000001</v>
      </c>
      <c r="Y2347">
        <v>-22.977501</v>
      </c>
      <c r="Z2347" t="s">
        <v>520</v>
      </c>
      <c r="AA2347" t="s">
        <v>783</v>
      </c>
      <c r="AB2347" t="s">
        <v>2343</v>
      </c>
      <c r="AD2347" t="s">
        <v>2294</v>
      </c>
      <c r="AE2347" t="s">
        <v>1524</v>
      </c>
      <c r="AH2347" t="s">
        <v>72</v>
      </c>
      <c r="AI2347" t="s">
        <v>2336</v>
      </c>
      <c r="AJ2347">
        <v>1999</v>
      </c>
      <c r="AK2347" t="s">
        <v>2346</v>
      </c>
      <c r="AM2347" t="s">
        <v>2347</v>
      </c>
      <c r="AN2347" t="s">
        <v>114</v>
      </c>
      <c r="AO2347" t="s">
        <v>77</v>
      </c>
      <c r="AP2347" t="s">
        <v>359</v>
      </c>
      <c r="AQ2347" t="s">
        <v>2348</v>
      </c>
      <c r="AR2347" t="s">
        <v>80</v>
      </c>
      <c r="AS2347">
        <v>201</v>
      </c>
      <c r="AT2347" t="s">
        <v>81</v>
      </c>
      <c r="AU2347">
        <v>-26.66</v>
      </c>
      <c r="AV2347">
        <v>-45.77</v>
      </c>
      <c r="AW2347" t="s">
        <v>82</v>
      </c>
      <c r="AX2347">
        <v>201</v>
      </c>
      <c r="AY2347" t="s">
        <v>81</v>
      </c>
      <c r="AZ2347">
        <v>-25.11</v>
      </c>
      <c r="BA2347">
        <v>-44.78</v>
      </c>
      <c r="BB2347" t="s">
        <v>83</v>
      </c>
    </row>
    <row r="2348" spans="1:54" x14ac:dyDescent="0.4">
      <c r="A2348">
        <v>820355</v>
      </c>
      <c r="D2348" t="s">
        <v>2001</v>
      </c>
      <c r="E2348" t="s">
        <v>55</v>
      </c>
      <c r="G2348">
        <v>1</v>
      </c>
      <c r="H2348" t="s">
        <v>56</v>
      </c>
      <c r="I2348" t="s">
        <v>57</v>
      </c>
      <c r="K2348" t="s">
        <v>483</v>
      </c>
      <c r="L2348" t="s">
        <v>2299</v>
      </c>
      <c r="M2348" t="s">
        <v>223</v>
      </c>
      <c r="N2348" t="s">
        <v>485</v>
      </c>
      <c r="O2348" t="s">
        <v>345</v>
      </c>
      <c r="P2348" t="s">
        <v>121</v>
      </c>
      <c r="R2348" t="s">
        <v>122</v>
      </c>
      <c r="S2348" t="s">
        <v>123</v>
      </c>
      <c r="T2348">
        <v>290.10000000000002</v>
      </c>
      <c r="U2348">
        <v>283.5</v>
      </c>
      <c r="V2348">
        <f t="shared" si="72"/>
        <v>286.8</v>
      </c>
      <c r="W2348">
        <f t="shared" si="73"/>
        <v>6.6000000000000227</v>
      </c>
      <c r="X2348">
        <v>-47.861111000000001</v>
      </c>
      <c r="Y2348">
        <v>-22.977501</v>
      </c>
      <c r="Z2348" t="s">
        <v>520</v>
      </c>
      <c r="AA2348" t="s">
        <v>783</v>
      </c>
      <c r="AB2348" t="s">
        <v>2343</v>
      </c>
      <c r="AD2348" t="s">
        <v>2294</v>
      </c>
      <c r="AE2348" t="s">
        <v>1524</v>
      </c>
      <c r="AH2348" t="s">
        <v>72</v>
      </c>
      <c r="AI2348" t="s">
        <v>2336</v>
      </c>
      <c r="AJ2348">
        <v>1999</v>
      </c>
      <c r="AK2348" t="s">
        <v>2346</v>
      </c>
      <c r="AM2348" t="s">
        <v>2347</v>
      </c>
      <c r="AN2348" t="s">
        <v>114</v>
      </c>
      <c r="AO2348" t="s">
        <v>77</v>
      </c>
      <c r="AP2348" t="s">
        <v>359</v>
      </c>
      <c r="AQ2348" t="s">
        <v>2348</v>
      </c>
      <c r="AR2348" t="s">
        <v>80</v>
      </c>
      <c r="AS2348">
        <v>201</v>
      </c>
      <c r="AT2348" t="s">
        <v>81</v>
      </c>
      <c r="AU2348">
        <v>-26.66</v>
      </c>
      <c r="AV2348">
        <v>-45.77</v>
      </c>
      <c r="AW2348" t="s">
        <v>82</v>
      </c>
      <c r="AX2348">
        <v>201</v>
      </c>
      <c r="AY2348" t="s">
        <v>81</v>
      </c>
      <c r="AZ2348">
        <v>-25.11</v>
      </c>
      <c r="BA2348">
        <v>-44.78</v>
      </c>
      <c r="BB2348" t="s">
        <v>83</v>
      </c>
    </row>
    <row r="2349" spans="1:54" x14ac:dyDescent="0.4">
      <c r="A2349">
        <v>820355</v>
      </c>
      <c r="D2349" t="s">
        <v>2001</v>
      </c>
      <c r="E2349" t="s">
        <v>55</v>
      </c>
      <c r="G2349">
        <v>1</v>
      </c>
      <c r="H2349" t="s">
        <v>56</v>
      </c>
      <c r="I2349" t="s">
        <v>57</v>
      </c>
      <c r="K2349" t="s">
        <v>483</v>
      </c>
      <c r="L2349" t="s">
        <v>2299</v>
      </c>
      <c r="M2349" t="s">
        <v>223</v>
      </c>
      <c r="N2349" t="s">
        <v>485</v>
      </c>
      <c r="O2349" t="s">
        <v>345</v>
      </c>
      <c r="P2349" t="s">
        <v>121</v>
      </c>
      <c r="R2349" t="s">
        <v>122</v>
      </c>
      <c r="S2349" t="s">
        <v>123</v>
      </c>
      <c r="T2349">
        <v>290.10000000000002</v>
      </c>
      <c r="U2349">
        <v>283.5</v>
      </c>
      <c r="V2349">
        <f t="shared" si="72"/>
        <v>286.8</v>
      </c>
      <c r="W2349">
        <f t="shared" si="73"/>
        <v>6.6000000000000227</v>
      </c>
      <c r="X2349">
        <v>-47.861111000000001</v>
      </c>
      <c r="Y2349">
        <v>-22.977501</v>
      </c>
      <c r="Z2349" t="s">
        <v>520</v>
      </c>
      <c r="AA2349" t="s">
        <v>783</v>
      </c>
      <c r="AB2349" t="s">
        <v>2343</v>
      </c>
      <c r="AD2349" t="s">
        <v>2294</v>
      </c>
      <c r="AE2349" t="s">
        <v>1524</v>
      </c>
      <c r="AH2349" t="s">
        <v>72</v>
      </c>
      <c r="AI2349" t="s">
        <v>2336</v>
      </c>
      <c r="AJ2349">
        <v>1999</v>
      </c>
      <c r="AK2349" t="s">
        <v>2346</v>
      </c>
      <c r="AM2349" t="s">
        <v>2347</v>
      </c>
      <c r="AN2349" t="s">
        <v>114</v>
      </c>
      <c r="AO2349" t="s">
        <v>77</v>
      </c>
      <c r="AP2349" t="s">
        <v>359</v>
      </c>
      <c r="AQ2349" t="s">
        <v>2348</v>
      </c>
      <c r="AR2349" t="s">
        <v>80</v>
      </c>
      <c r="AS2349">
        <v>201</v>
      </c>
      <c r="AT2349" t="s">
        <v>81</v>
      </c>
      <c r="AU2349">
        <v>-26.66</v>
      </c>
      <c r="AV2349">
        <v>-45.77</v>
      </c>
      <c r="AW2349" t="s">
        <v>82</v>
      </c>
      <c r="AX2349">
        <v>201</v>
      </c>
      <c r="AY2349" t="s">
        <v>81</v>
      </c>
      <c r="AZ2349">
        <v>-25.11</v>
      </c>
      <c r="BA2349">
        <v>-44.78</v>
      </c>
      <c r="BB2349" t="s">
        <v>83</v>
      </c>
    </row>
    <row r="2350" spans="1:54" x14ac:dyDescent="0.4">
      <c r="A2350">
        <v>820355</v>
      </c>
      <c r="D2350" t="s">
        <v>2001</v>
      </c>
      <c r="E2350" t="s">
        <v>55</v>
      </c>
      <c r="G2350">
        <v>1</v>
      </c>
      <c r="H2350" t="s">
        <v>56</v>
      </c>
      <c r="I2350" t="s">
        <v>57</v>
      </c>
      <c r="K2350" t="s">
        <v>483</v>
      </c>
      <c r="L2350" t="s">
        <v>2299</v>
      </c>
      <c r="M2350" t="s">
        <v>223</v>
      </c>
      <c r="N2350" t="s">
        <v>485</v>
      </c>
      <c r="O2350" t="s">
        <v>345</v>
      </c>
      <c r="P2350" t="s">
        <v>121</v>
      </c>
      <c r="R2350" t="s">
        <v>122</v>
      </c>
      <c r="S2350" t="s">
        <v>123</v>
      </c>
      <c r="T2350">
        <v>290.10000000000002</v>
      </c>
      <c r="U2350">
        <v>283.5</v>
      </c>
      <c r="V2350">
        <f t="shared" si="72"/>
        <v>286.8</v>
      </c>
      <c r="W2350">
        <f t="shared" si="73"/>
        <v>6.6000000000000227</v>
      </c>
      <c r="X2350">
        <v>-47.861111000000001</v>
      </c>
      <c r="Y2350">
        <v>-22.977501</v>
      </c>
      <c r="Z2350" t="s">
        <v>520</v>
      </c>
      <c r="AA2350" t="s">
        <v>783</v>
      </c>
      <c r="AB2350" t="s">
        <v>2343</v>
      </c>
      <c r="AD2350" t="s">
        <v>2294</v>
      </c>
      <c r="AE2350" t="s">
        <v>1524</v>
      </c>
      <c r="AH2350" t="s">
        <v>72</v>
      </c>
      <c r="AI2350" t="s">
        <v>2336</v>
      </c>
      <c r="AJ2350">
        <v>1999</v>
      </c>
      <c r="AK2350" t="s">
        <v>2346</v>
      </c>
      <c r="AM2350" t="s">
        <v>2347</v>
      </c>
      <c r="AN2350" t="s">
        <v>114</v>
      </c>
      <c r="AO2350" t="s">
        <v>77</v>
      </c>
      <c r="AP2350" t="s">
        <v>359</v>
      </c>
      <c r="AQ2350" t="s">
        <v>2348</v>
      </c>
      <c r="AR2350" t="s">
        <v>80</v>
      </c>
      <c r="AS2350">
        <v>201</v>
      </c>
      <c r="AT2350" t="s">
        <v>81</v>
      </c>
      <c r="AU2350">
        <v>-26.66</v>
      </c>
      <c r="AV2350">
        <v>-45.77</v>
      </c>
      <c r="AW2350" t="s">
        <v>82</v>
      </c>
      <c r="AX2350">
        <v>201</v>
      </c>
      <c r="AY2350" t="s">
        <v>81</v>
      </c>
      <c r="AZ2350">
        <v>-25.11</v>
      </c>
      <c r="BA2350">
        <v>-44.78</v>
      </c>
      <c r="BB2350" t="s">
        <v>83</v>
      </c>
    </row>
    <row r="2351" spans="1:54" x14ac:dyDescent="0.4">
      <c r="A2351">
        <v>820355</v>
      </c>
      <c r="D2351" t="s">
        <v>2001</v>
      </c>
      <c r="E2351" t="s">
        <v>55</v>
      </c>
      <c r="G2351">
        <v>1</v>
      </c>
      <c r="H2351" t="s">
        <v>56</v>
      </c>
      <c r="I2351" t="s">
        <v>57</v>
      </c>
      <c r="K2351" t="s">
        <v>483</v>
      </c>
      <c r="L2351" t="s">
        <v>2299</v>
      </c>
      <c r="M2351" t="s">
        <v>223</v>
      </c>
      <c r="N2351" t="s">
        <v>485</v>
      </c>
      <c r="O2351" t="s">
        <v>345</v>
      </c>
      <c r="P2351" t="s">
        <v>121</v>
      </c>
      <c r="R2351" t="s">
        <v>122</v>
      </c>
      <c r="S2351" t="s">
        <v>123</v>
      </c>
      <c r="T2351">
        <v>290.10000000000002</v>
      </c>
      <c r="U2351">
        <v>283.5</v>
      </c>
      <c r="V2351">
        <f t="shared" si="72"/>
        <v>286.8</v>
      </c>
      <c r="W2351">
        <f t="shared" si="73"/>
        <v>6.6000000000000227</v>
      </c>
      <c r="X2351">
        <v>-47.861111000000001</v>
      </c>
      <c r="Y2351">
        <v>-22.977501</v>
      </c>
      <c r="Z2351" t="s">
        <v>520</v>
      </c>
      <c r="AA2351" t="s">
        <v>783</v>
      </c>
      <c r="AB2351" t="s">
        <v>2343</v>
      </c>
      <c r="AD2351" t="s">
        <v>2294</v>
      </c>
      <c r="AE2351" t="s">
        <v>1524</v>
      </c>
      <c r="AH2351" t="s">
        <v>72</v>
      </c>
      <c r="AI2351" t="s">
        <v>2336</v>
      </c>
      <c r="AJ2351">
        <v>1999</v>
      </c>
      <c r="AK2351" t="s">
        <v>2346</v>
      </c>
      <c r="AM2351" t="s">
        <v>2347</v>
      </c>
      <c r="AN2351" t="s">
        <v>114</v>
      </c>
      <c r="AO2351" t="s">
        <v>77</v>
      </c>
      <c r="AP2351" t="s">
        <v>359</v>
      </c>
      <c r="AQ2351" t="s">
        <v>2348</v>
      </c>
      <c r="AR2351" t="s">
        <v>80</v>
      </c>
      <c r="AS2351">
        <v>201</v>
      </c>
      <c r="AT2351" t="s">
        <v>81</v>
      </c>
      <c r="AU2351">
        <v>-26.66</v>
      </c>
      <c r="AV2351">
        <v>-45.77</v>
      </c>
      <c r="AW2351" t="s">
        <v>82</v>
      </c>
      <c r="AX2351">
        <v>201</v>
      </c>
      <c r="AY2351" t="s">
        <v>81</v>
      </c>
      <c r="AZ2351">
        <v>-25.11</v>
      </c>
      <c r="BA2351">
        <v>-44.78</v>
      </c>
      <c r="BB2351" t="s">
        <v>83</v>
      </c>
    </row>
    <row r="2352" spans="1:54" x14ac:dyDescent="0.4">
      <c r="A2352">
        <v>820355</v>
      </c>
      <c r="D2352" t="s">
        <v>2001</v>
      </c>
      <c r="E2352" t="s">
        <v>55</v>
      </c>
      <c r="G2352">
        <v>1</v>
      </c>
      <c r="H2352" t="s">
        <v>56</v>
      </c>
      <c r="I2352" t="s">
        <v>57</v>
      </c>
      <c r="K2352" t="s">
        <v>483</v>
      </c>
      <c r="L2352" t="s">
        <v>2299</v>
      </c>
      <c r="M2352" t="s">
        <v>223</v>
      </c>
      <c r="N2352" t="s">
        <v>485</v>
      </c>
      <c r="O2352" t="s">
        <v>345</v>
      </c>
      <c r="P2352" t="s">
        <v>121</v>
      </c>
      <c r="R2352" t="s">
        <v>122</v>
      </c>
      <c r="S2352" t="s">
        <v>123</v>
      </c>
      <c r="T2352">
        <v>290.10000000000002</v>
      </c>
      <c r="U2352">
        <v>283.5</v>
      </c>
      <c r="V2352">
        <f t="shared" si="72"/>
        <v>286.8</v>
      </c>
      <c r="W2352">
        <f t="shared" si="73"/>
        <v>6.6000000000000227</v>
      </c>
      <c r="X2352">
        <v>-47.861111000000001</v>
      </c>
      <c r="Y2352">
        <v>-22.977501</v>
      </c>
      <c r="Z2352" t="s">
        <v>520</v>
      </c>
      <c r="AA2352" t="s">
        <v>783</v>
      </c>
      <c r="AB2352" t="s">
        <v>2343</v>
      </c>
      <c r="AD2352" t="s">
        <v>2294</v>
      </c>
      <c r="AE2352" t="s">
        <v>1524</v>
      </c>
      <c r="AH2352" t="s">
        <v>72</v>
      </c>
      <c r="AI2352" t="s">
        <v>2336</v>
      </c>
      <c r="AJ2352">
        <v>1999</v>
      </c>
      <c r="AK2352" t="s">
        <v>2346</v>
      </c>
      <c r="AM2352" t="s">
        <v>2347</v>
      </c>
      <c r="AN2352" t="s">
        <v>114</v>
      </c>
      <c r="AO2352" t="s">
        <v>77</v>
      </c>
      <c r="AP2352" t="s">
        <v>359</v>
      </c>
      <c r="AQ2352" t="s">
        <v>2348</v>
      </c>
      <c r="AR2352" t="s">
        <v>80</v>
      </c>
      <c r="AS2352">
        <v>201</v>
      </c>
      <c r="AT2352" t="s">
        <v>81</v>
      </c>
      <c r="AU2352">
        <v>-26.66</v>
      </c>
      <c r="AV2352">
        <v>-45.77</v>
      </c>
      <c r="AW2352" t="s">
        <v>82</v>
      </c>
      <c r="AX2352">
        <v>201</v>
      </c>
      <c r="AY2352" t="s">
        <v>81</v>
      </c>
      <c r="AZ2352">
        <v>-25.11</v>
      </c>
      <c r="BA2352">
        <v>-44.78</v>
      </c>
      <c r="BB2352" t="s">
        <v>83</v>
      </c>
    </row>
    <row r="2353" spans="1:54" x14ac:dyDescent="0.4">
      <c r="A2353">
        <v>820355</v>
      </c>
      <c r="D2353" t="s">
        <v>2001</v>
      </c>
      <c r="E2353" t="s">
        <v>55</v>
      </c>
      <c r="G2353">
        <v>1</v>
      </c>
      <c r="H2353" t="s">
        <v>56</v>
      </c>
      <c r="I2353" t="s">
        <v>57</v>
      </c>
      <c r="K2353" t="s">
        <v>483</v>
      </c>
      <c r="L2353" t="s">
        <v>2299</v>
      </c>
      <c r="M2353" t="s">
        <v>223</v>
      </c>
      <c r="N2353" t="s">
        <v>485</v>
      </c>
      <c r="O2353" t="s">
        <v>345</v>
      </c>
      <c r="P2353" t="s">
        <v>121</v>
      </c>
      <c r="R2353" t="s">
        <v>122</v>
      </c>
      <c r="S2353" t="s">
        <v>123</v>
      </c>
      <c r="T2353">
        <v>290.10000000000002</v>
      </c>
      <c r="U2353">
        <v>283.5</v>
      </c>
      <c r="V2353">
        <f t="shared" si="72"/>
        <v>286.8</v>
      </c>
      <c r="W2353">
        <f t="shared" si="73"/>
        <v>6.6000000000000227</v>
      </c>
      <c r="X2353">
        <v>-47.861111000000001</v>
      </c>
      <c r="Y2353">
        <v>-22.977501</v>
      </c>
      <c r="Z2353" t="s">
        <v>520</v>
      </c>
      <c r="AA2353" t="s">
        <v>783</v>
      </c>
      <c r="AB2353" t="s">
        <v>2343</v>
      </c>
      <c r="AD2353" t="s">
        <v>2294</v>
      </c>
      <c r="AE2353" t="s">
        <v>1524</v>
      </c>
      <c r="AH2353" t="s">
        <v>72</v>
      </c>
      <c r="AI2353" t="s">
        <v>2336</v>
      </c>
      <c r="AJ2353">
        <v>1999</v>
      </c>
      <c r="AK2353" t="s">
        <v>2346</v>
      </c>
      <c r="AM2353" t="s">
        <v>2347</v>
      </c>
      <c r="AN2353" t="s">
        <v>114</v>
      </c>
      <c r="AO2353" t="s">
        <v>77</v>
      </c>
      <c r="AP2353" t="s">
        <v>359</v>
      </c>
      <c r="AQ2353" t="s">
        <v>2348</v>
      </c>
      <c r="AR2353" t="s">
        <v>80</v>
      </c>
      <c r="AS2353">
        <v>201</v>
      </c>
      <c r="AT2353" t="s">
        <v>81</v>
      </c>
      <c r="AU2353">
        <v>-26.66</v>
      </c>
      <c r="AV2353">
        <v>-45.77</v>
      </c>
      <c r="AW2353" t="s">
        <v>82</v>
      </c>
      <c r="AX2353">
        <v>201</v>
      </c>
      <c r="AY2353" t="s">
        <v>81</v>
      </c>
      <c r="AZ2353">
        <v>-25.11</v>
      </c>
      <c r="BA2353">
        <v>-44.78</v>
      </c>
      <c r="BB2353" t="s">
        <v>83</v>
      </c>
    </row>
    <row r="2354" spans="1:54" x14ac:dyDescent="0.4">
      <c r="A2354">
        <v>820355</v>
      </c>
      <c r="D2354" t="s">
        <v>2001</v>
      </c>
      <c r="E2354" t="s">
        <v>55</v>
      </c>
      <c r="G2354">
        <v>1</v>
      </c>
      <c r="H2354" t="s">
        <v>56</v>
      </c>
      <c r="I2354" t="s">
        <v>57</v>
      </c>
      <c r="K2354" t="s">
        <v>483</v>
      </c>
      <c r="L2354" t="s">
        <v>2299</v>
      </c>
      <c r="M2354" t="s">
        <v>223</v>
      </c>
      <c r="N2354" t="s">
        <v>485</v>
      </c>
      <c r="O2354" t="s">
        <v>345</v>
      </c>
      <c r="P2354" t="s">
        <v>121</v>
      </c>
      <c r="R2354" t="s">
        <v>122</v>
      </c>
      <c r="S2354" t="s">
        <v>123</v>
      </c>
      <c r="T2354">
        <v>290.10000000000002</v>
      </c>
      <c r="U2354">
        <v>283.5</v>
      </c>
      <c r="V2354">
        <f t="shared" si="72"/>
        <v>286.8</v>
      </c>
      <c r="W2354">
        <f t="shared" si="73"/>
        <v>6.6000000000000227</v>
      </c>
      <c r="X2354">
        <v>-47.861111000000001</v>
      </c>
      <c r="Y2354">
        <v>-22.977501</v>
      </c>
      <c r="Z2354" t="s">
        <v>520</v>
      </c>
      <c r="AA2354" t="s">
        <v>783</v>
      </c>
      <c r="AB2354" t="s">
        <v>2343</v>
      </c>
      <c r="AD2354" t="s">
        <v>2294</v>
      </c>
      <c r="AE2354" t="s">
        <v>1524</v>
      </c>
      <c r="AH2354" t="s">
        <v>72</v>
      </c>
      <c r="AI2354" t="s">
        <v>2336</v>
      </c>
      <c r="AJ2354">
        <v>1999</v>
      </c>
      <c r="AK2354" t="s">
        <v>2346</v>
      </c>
      <c r="AM2354" t="s">
        <v>2347</v>
      </c>
      <c r="AN2354" t="s">
        <v>114</v>
      </c>
      <c r="AO2354" t="s">
        <v>77</v>
      </c>
      <c r="AP2354" t="s">
        <v>359</v>
      </c>
      <c r="AQ2354" t="s">
        <v>2348</v>
      </c>
      <c r="AR2354" t="s">
        <v>80</v>
      </c>
      <c r="AS2354">
        <v>201</v>
      </c>
      <c r="AT2354" t="s">
        <v>81</v>
      </c>
      <c r="AU2354">
        <v>-26.66</v>
      </c>
      <c r="AV2354">
        <v>-45.77</v>
      </c>
      <c r="AW2354" t="s">
        <v>82</v>
      </c>
      <c r="AX2354">
        <v>201</v>
      </c>
      <c r="AY2354" t="s">
        <v>81</v>
      </c>
      <c r="AZ2354">
        <v>-25.11</v>
      </c>
      <c r="BA2354">
        <v>-44.78</v>
      </c>
      <c r="BB2354" t="s">
        <v>83</v>
      </c>
    </row>
    <row r="2355" spans="1:54" x14ac:dyDescent="0.4">
      <c r="A2355">
        <v>820355</v>
      </c>
      <c r="D2355" t="s">
        <v>2001</v>
      </c>
      <c r="E2355" t="s">
        <v>55</v>
      </c>
      <c r="G2355">
        <v>1</v>
      </c>
      <c r="H2355" t="s">
        <v>56</v>
      </c>
      <c r="I2355" t="s">
        <v>57</v>
      </c>
      <c r="K2355" t="s">
        <v>483</v>
      </c>
      <c r="L2355" t="s">
        <v>2299</v>
      </c>
      <c r="M2355" t="s">
        <v>223</v>
      </c>
      <c r="N2355" t="s">
        <v>485</v>
      </c>
      <c r="O2355" t="s">
        <v>345</v>
      </c>
      <c r="P2355" t="s">
        <v>121</v>
      </c>
      <c r="R2355" t="s">
        <v>122</v>
      </c>
      <c r="S2355" t="s">
        <v>123</v>
      </c>
      <c r="T2355">
        <v>290.10000000000002</v>
      </c>
      <c r="U2355">
        <v>283.5</v>
      </c>
      <c r="V2355">
        <f t="shared" si="72"/>
        <v>286.8</v>
      </c>
      <c r="W2355">
        <f t="shared" si="73"/>
        <v>6.6000000000000227</v>
      </c>
      <c r="X2355">
        <v>-47.861111000000001</v>
      </c>
      <c r="Y2355">
        <v>-22.977501</v>
      </c>
      <c r="Z2355" t="s">
        <v>520</v>
      </c>
      <c r="AA2355" t="s">
        <v>783</v>
      </c>
      <c r="AB2355" t="s">
        <v>2343</v>
      </c>
      <c r="AD2355" t="s">
        <v>2294</v>
      </c>
      <c r="AE2355" t="s">
        <v>1524</v>
      </c>
      <c r="AH2355" t="s">
        <v>72</v>
      </c>
      <c r="AI2355" t="s">
        <v>2336</v>
      </c>
      <c r="AJ2355">
        <v>1999</v>
      </c>
      <c r="AK2355" t="s">
        <v>2346</v>
      </c>
      <c r="AM2355" t="s">
        <v>2347</v>
      </c>
      <c r="AN2355" t="s">
        <v>114</v>
      </c>
      <c r="AO2355" t="s">
        <v>77</v>
      </c>
      <c r="AP2355" t="s">
        <v>359</v>
      </c>
      <c r="AQ2355" t="s">
        <v>2348</v>
      </c>
      <c r="AR2355" t="s">
        <v>80</v>
      </c>
      <c r="AS2355">
        <v>201</v>
      </c>
      <c r="AT2355" t="s">
        <v>81</v>
      </c>
      <c r="AU2355">
        <v>-26.66</v>
      </c>
      <c r="AV2355">
        <v>-45.77</v>
      </c>
      <c r="AW2355" t="s">
        <v>82</v>
      </c>
      <c r="AX2355">
        <v>201</v>
      </c>
      <c r="AY2355" t="s">
        <v>81</v>
      </c>
      <c r="AZ2355">
        <v>-25.11</v>
      </c>
      <c r="BA2355">
        <v>-44.78</v>
      </c>
      <c r="BB2355" t="s">
        <v>83</v>
      </c>
    </row>
    <row r="2356" spans="1:54" x14ac:dyDescent="0.4">
      <c r="A2356">
        <v>820355</v>
      </c>
      <c r="D2356" t="s">
        <v>2001</v>
      </c>
      <c r="E2356" t="s">
        <v>55</v>
      </c>
      <c r="G2356">
        <v>1</v>
      </c>
      <c r="H2356" t="s">
        <v>56</v>
      </c>
      <c r="I2356" t="s">
        <v>57</v>
      </c>
      <c r="K2356" t="s">
        <v>483</v>
      </c>
      <c r="L2356" t="s">
        <v>2299</v>
      </c>
      <c r="M2356" t="s">
        <v>223</v>
      </c>
      <c r="N2356" t="s">
        <v>485</v>
      </c>
      <c r="O2356" t="s">
        <v>345</v>
      </c>
      <c r="P2356" t="s">
        <v>121</v>
      </c>
      <c r="R2356" t="s">
        <v>122</v>
      </c>
      <c r="S2356" t="s">
        <v>123</v>
      </c>
      <c r="T2356">
        <v>290.10000000000002</v>
      </c>
      <c r="U2356">
        <v>283.5</v>
      </c>
      <c r="V2356">
        <f t="shared" si="72"/>
        <v>286.8</v>
      </c>
      <c r="W2356">
        <f t="shared" si="73"/>
        <v>6.6000000000000227</v>
      </c>
      <c r="X2356">
        <v>-47.861111000000001</v>
      </c>
      <c r="Y2356">
        <v>-22.977501</v>
      </c>
      <c r="Z2356" t="s">
        <v>520</v>
      </c>
      <c r="AA2356" t="s">
        <v>783</v>
      </c>
      <c r="AB2356" t="s">
        <v>2343</v>
      </c>
      <c r="AD2356" t="s">
        <v>2294</v>
      </c>
      <c r="AE2356" t="s">
        <v>1524</v>
      </c>
      <c r="AH2356" t="s">
        <v>72</v>
      </c>
      <c r="AI2356" t="s">
        <v>2336</v>
      </c>
      <c r="AJ2356">
        <v>1999</v>
      </c>
      <c r="AK2356" t="s">
        <v>2346</v>
      </c>
      <c r="AM2356" t="s">
        <v>2347</v>
      </c>
      <c r="AN2356" t="s">
        <v>114</v>
      </c>
      <c r="AO2356" t="s">
        <v>77</v>
      </c>
      <c r="AP2356" t="s">
        <v>359</v>
      </c>
      <c r="AQ2356" t="s">
        <v>2348</v>
      </c>
      <c r="AR2356" t="s">
        <v>80</v>
      </c>
      <c r="AS2356">
        <v>201</v>
      </c>
      <c r="AT2356" t="s">
        <v>81</v>
      </c>
      <c r="AU2356">
        <v>-26.66</v>
      </c>
      <c r="AV2356">
        <v>-45.77</v>
      </c>
      <c r="AW2356" t="s">
        <v>82</v>
      </c>
      <c r="AX2356">
        <v>201</v>
      </c>
      <c r="AY2356" t="s">
        <v>81</v>
      </c>
      <c r="AZ2356">
        <v>-25.11</v>
      </c>
      <c r="BA2356">
        <v>-44.78</v>
      </c>
      <c r="BB2356" t="s">
        <v>83</v>
      </c>
    </row>
    <row r="2357" spans="1:54" x14ac:dyDescent="0.4">
      <c r="A2357">
        <v>820355</v>
      </c>
      <c r="D2357" t="s">
        <v>2001</v>
      </c>
      <c r="E2357" t="s">
        <v>55</v>
      </c>
      <c r="G2357">
        <v>1</v>
      </c>
      <c r="H2357" t="s">
        <v>56</v>
      </c>
      <c r="I2357" t="s">
        <v>57</v>
      </c>
      <c r="K2357" t="s">
        <v>483</v>
      </c>
      <c r="L2357" t="s">
        <v>2299</v>
      </c>
      <c r="M2357" t="s">
        <v>223</v>
      </c>
      <c r="N2357" t="s">
        <v>485</v>
      </c>
      <c r="O2357" t="s">
        <v>345</v>
      </c>
      <c r="P2357" t="s">
        <v>121</v>
      </c>
      <c r="R2357" t="s">
        <v>122</v>
      </c>
      <c r="S2357" t="s">
        <v>123</v>
      </c>
      <c r="T2357">
        <v>290.10000000000002</v>
      </c>
      <c r="U2357">
        <v>283.5</v>
      </c>
      <c r="V2357">
        <f t="shared" si="72"/>
        <v>286.8</v>
      </c>
      <c r="W2357">
        <f t="shared" si="73"/>
        <v>6.6000000000000227</v>
      </c>
      <c r="X2357">
        <v>-47.861111000000001</v>
      </c>
      <c r="Y2357">
        <v>-22.977501</v>
      </c>
      <c r="Z2357" t="s">
        <v>520</v>
      </c>
      <c r="AA2357" t="s">
        <v>783</v>
      </c>
      <c r="AB2357" t="s">
        <v>2343</v>
      </c>
      <c r="AD2357" t="s">
        <v>2294</v>
      </c>
      <c r="AE2357" t="s">
        <v>1524</v>
      </c>
      <c r="AH2357" t="s">
        <v>72</v>
      </c>
      <c r="AI2357" t="s">
        <v>2336</v>
      </c>
      <c r="AJ2357">
        <v>1999</v>
      </c>
      <c r="AK2357" t="s">
        <v>2346</v>
      </c>
      <c r="AM2357" t="s">
        <v>2347</v>
      </c>
      <c r="AN2357" t="s">
        <v>114</v>
      </c>
      <c r="AO2357" t="s">
        <v>77</v>
      </c>
      <c r="AP2357" t="s">
        <v>359</v>
      </c>
      <c r="AQ2357" t="s">
        <v>2348</v>
      </c>
      <c r="AR2357" t="s">
        <v>80</v>
      </c>
      <c r="AS2357">
        <v>201</v>
      </c>
      <c r="AT2357" t="s">
        <v>81</v>
      </c>
      <c r="AU2357">
        <v>-26.66</v>
      </c>
      <c r="AV2357">
        <v>-45.77</v>
      </c>
      <c r="AW2357" t="s">
        <v>82</v>
      </c>
      <c r="AX2357">
        <v>201</v>
      </c>
      <c r="AY2357" t="s">
        <v>81</v>
      </c>
      <c r="AZ2357">
        <v>-25.11</v>
      </c>
      <c r="BA2357">
        <v>-44.78</v>
      </c>
      <c r="BB2357" t="s">
        <v>83</v>
      </c>
    </row>
    <row r="2358" spans="1:54" x14ac:dyDescent="0.4">
      <c r="A2358">
        <v>820355</v>
      </c>
      <c r="D2358" t="s">
        <v>2001</v>
      </c>
      <c r="E2358" t="s">
        <v>55</v>
      </c>
      <c r="G2358">
        <v>1</v>
      </c>
      <c r="H2358" t="s">
        <v>56</v>
      </c>
      <c r="I2358" t="s">
        <v>57</v>
      </c>
      <c r="K2358" t="s">
        <v>483</v>
      </c>
      <c r="L2358" t="s">
        <v>2299</v>
      </c>
      <c r="M2358" t="s">
        <v>223</v>
      </c>
      <c r="N2358" t="s">
        <v>485</v>
      </c>
      <c r="O2358" t="s">
        <v>345</v>
      </c>
      <c r="P2358" t="s">
        <v>121</v>
      </c>
      <c r="R2358" t="s">
        <v>122</v>
      </c>
      <c r="S2358" t="s">
        <v>123</v>
      </c>
      <c r="T2358">
        <v>290.10000000000002</v>
      </c>
      <c r="U2358">
        <v>283.5</v>
      </c>
      <c r="V2358">
        <f t="shared" si="72"/>
        <v>286.8</v>
      </c>
      <c r="W2358">
        <f t="shared" si="73"/>
        <v>6.6000000000000227</v>
      </c>
      <c r="X2358">
        <v>-47.861111000000001</v>
      </c>
      <c r="Y2358">
        <v>-22.977501</v>
      </c>
      <c r="Z2358" t="s">
        <v>520</v>
      </c>
      <c r="AA2358" t="s">
        <v>783</v>
      </c>
      <c r="AB2358" t="s">
        <v>2343</v>
      </c>
      <c r="AD2358" t="s">
        <v>2294</v>
      </c>
      <c r="AE2358" t="s">
        <v>1524</v>
      </c>
      <c r="AH2358" t="s">
        <v>72</v>
      </c>
      <c r="AI2358" t="s">
        <v>2336</v>
      </c>
      <c r="AJ2358">
        <v>1999</v>
      </c>
      <c r="AK2358" t="s">
        <v>2346</v>
      </c>
      <c r="AM2358" t="s">
        <v>2347</v>
      </c>
      <c r="AN2358" t="s">
        <v>114</v>
      </c>
      <c r="AO2358" t="s">
        <v>77</v>
      </c>
      <c r="AP2358" t="s">
        <v>359</v>
      </c>
      <c r="AQ2358" t="s">
        <v>2348</v>
      </c>
      <c r="AR2358" t="s">
        <v>80</v>
      </c>
      <c r="AS2358">
        <v>201</v>
      </c>
      <c r="AT2358" t="s">
        <v>81</v>
      </c>
      <c r="AU2358">
        <v>-26.66</v>
      </c>
      <c r="AV2358">
        <v>-45.77</v>
      </c>
      <c r="AW2358" t="s">
        <v>82</v>
      </c>
      <c r="AX2358">
        <v>201</v>
      </c>
      <c r="AY2358" t="s">
        <v>81</v>
      </c>
      <c r="AZ2358">
        <v>-25.11</v>
      </c>
      <c r="BA2358">
        <v>-44.78</v>
      </c>
      <c r="BB2358" t="s">
        <v>83</v>
      </c>
    </row>
    <row r="2359" spans="1:54" x14ac:dyDescent="0.4">
      <c r="A2359">
        <v>820355</v>
      </c>
      <c r="D2359" t="s">
        <v>2001</v>
      </c>
      <c r="E2359" t="s">
        <v>55</v>
      </c>
      <c r="G2359">
        <v>1</v>
      </c>
      <c r="H2359" t="s">
        <v>56</v>
      </c>
      <c r="I2359" t="s">
        <v>57</v>
      </c>
      <c r="K2359" t="s">
        <v>483</v>
      </c>
      <c r="L2359" t="s">
        <v>2299</v>
      </c>
      <c r="M2359" t="s">
        <v>223</v>
      </c>
      <c r="N2359" t="s">
        <v>485</v>
      </c>
      <c r="O2359" t="s">
        <v>345</v>
      </c>
      <c r="P2359" t="s">
        <v>121</v>
      </c>
      <c r="R2359" t="s">
        <v>122</v>
      </c>
      <c r="S2359" t="s">
        <v>123</v>
      </c>
      <c r="T2359">
        <v>290.10000000000002</v>
      </c>
      <c r="U2359">
        <v>283.5</v>
      </c>
      <c r="V2359">
        <f t="shared" si="72"/>
        <v>286.8</v>
      </c>
      <c r="W2359">
        <f t="shared" si="73"/>
        <v>6.6000000000000227</v>
      </c>
      <c r="X2359">
        <v>-47.861111000000001</v>
      </c>
      <c r="Y2359">
        <v>-22.977501</v>
      </c>
      <c r="Z2359" t="s">
        <v>520</v>
      </c>
      <c r="AA2359" t="s">
        <v>783</v>
      </c>
      <c r="AB2359" t="s">
        <v>2343</v>
      </c>
      <c r="AD2359" t="s">
        <v>2294</v>
      </c>
      <c r="AE2359" t="s">
        <v>1524</v>
      </c>
      <c r="AH2359" t="s">
        <v>72</v>
      </c>
      <c r="AI2359" t="s">
        <v>2336</v>
      </c>
      <c r="AJ2359">
        <v>1999</v>
      </c>
      <c r="AK2359" t="s">
        <v>2346</v>
      </c>
      <c r="AM2359" t="s">
        <v>2347</v>
      </c>
      <c r="AN2359" t="s">
        <v>114</v>
      </c>
      <c r="AO2359" t="s">
        <v>77</v>
      </c>
      <c r="AP2359" t="s">
        <v>359</v>
      </c>
      <c r="AQ2359" t="s">
        <v>2348</v>
      </c>
      <c r="AR2359" t="s">
        <v>80</v>
      </c>
      <c r="AS2359">
        <v>201</v>
      </c>
      <c r="AT2359" t="s">
        <v>81</v>
      </c>
      <c r="AU2359">
        <v>-26.66</v>
      </c>
      <c r="AV2359">
        <v>-45.77</v>
      </c>
      <c r="AW2359" t="s">
        <v>82</v>
      </c>
      <c r="AX2359">
        <v>201</v>
      </c>
      <c r="AY2359" t="s">
        <v>81</v>
      </c>
      <c r="AZ2359">
        <v>-25.11</v>
      </c>
      <c r="BA2359">
        <v>-44.78</v>
      </c>
      <c r="BB2359" t="s">
        <v>83</v>
      </c>
    </row>
    <row r="2360" spans="1:54" x14ac:dyDescent="0.4">
      <c r="A2360">
        <v>820356</v>
      </c>
      <c r="D2360" t="s">
        <v>2001</v>
      </c>
      <c r="E2360" t="s">
        <v>55</v>
      </c>
      <c r="G2360">
        <v>1</v>
      </c>
      <c r="H2360" t="s">
        <v>56</v>
      </c>
      <c r="I2360" t="s">
        <v>57</v>
      </c>
      <c r="K2360" t="s">
        <v>483</v>
      </c>
      <c r="L2360" t="s">
        <v>2291</v>
      </c>
      <c r="M2360" t="s">
        <v>223</v>
      </c>
      <c r="N2360" t="s">
        <v>485</v>
      </c>
      <c r="O2360" t="s">
        <v>345</v>
      </c>
      <c r="P2360" t="s">
        <v>121</v>
      </c>
      <c r="R2360" t="s">
        <v>122</v>
      </c>
      <c r="S2360" t="s">
        <v>123</v>
      </c>
      <c r="T2360">
        <v>290.10000000000002</v>
      </c>
      <c r="U2360">
        <v>283.5</v>
      </c>
      <c r="V2360">
        <f t="shared" si="72"/>
        <v>286.8</v>
      </c>
      <c r="W2360">
        <f t="shared" si="73"/>
        <v>6.6000000000000227</v>
      </c>
      <c r="X2360">
        <v>-47.861111000000001</v>
      </c>
      <c r="Y2360">
        <v>-22.977501</v>
      </c>
      <c r="Z2360" t="s">
        <v>520</v>
      </c>
      <c r="AA2360" t="s">
        <v>783</v>
      </c>
      <c r="AB2360" t="s">
        <v>2343</v>
      </c>
      <c r="AD2360" t="s">
        <v>2294</v>
      </c>
      <c r="AE2360" t="s">
        <v>1524</v>
      </c>
      <c r="AH2360" t="s">
        <v>72</v>
      </c>
      <c r="AI2360" t="s">
        <v>2336</v>
      </c>
      <c r="AJ2360">
        <v>1999</v>
      </c>
      <c r="AK2360" t="s">
        <v>2346</v>
      </c>
      <c r="AM2360" t="s">
        <v>2347</v>
      </c>
      <c r="AN2360" t="s">
        <v>114</v>
      </c>
      <c r="AO2360" t="s">
        <v>77</v>
      </c>
      <c r="AP2360" t="s">
        <v>359</v>
      </c>
      <c r="AQ2360" t="s">
        <v>2348</v>
      </c>
      <c r="AR2360" t="s">
        <v>80</v>
      </c>
      <c r="AS2360">
        <v>201</v>
      </c>
      <c r="AT2360" t="s">
        <v>81</v>
      </c>
      <c r="AU2360">
        <v>-26.66</v>
      </c>
      <c r="AV2360">
        <v>-45.77</v>
      </c>
      <c r="AW2360" t="s">
        <v>82</v>
      </c>
      <c r="AX2360">
        <v>201</v>
      </c>
      <c r="AY2360" t="s">
        <v>81</v>
      </c>
      <c r="AZ2360">
        <v>-25.11</v>
      </c>
      <c r="BA2360">
        <v>-44.78</v>
      </c>
      <c r="BB2360" t="s">
        <v>83</v>
      </c>
    </row>
    <row r="2361" spans="1:54" x14ac:dyDescent="0.4">
      <c r="A2361">
        <v>820356</v>
      </c>
      <c r="D2361" t="s">
        <v>2001</v>
      </c>
      <c r="E2361" t="s">
        <v>55</v>
      </c>
      <c r="G2361">
        <v>1</v>
      </c>
      <c r="H2361" t="s">
        <v>56</v>
      </c>
      <c r="I2361" t="s">
        <v>57</v>
      </c>
      <c r="K2361" t="s">
        <v>483</v>
      </c>
      <c r="L2361" t="s">
        <v>2291</v>
      </c>
      <c r="M2361" t="s">
        <v>223</v>
      </c>
      <c r="N2361" t="s">
        <v>485</v>
      </c>
      <c r="O2361" t="s">
        <v>345</v>
      </c>
      <c r="P2361" t="s">
        <v>121</v>
      </c>
      <c r="R2361" t="s">
        <v>122</v>
      </c>
      <c r="S2361" t="s">
        <v>123</v>
      </c>
      <c r="T2361">
        <v>290.10000000000002</v>
      </c>
      <c r="U2361">
        <v>283.5</v>
      </c>
      <c r="V2361">
        <f t="shared" si="72"/>
        <v>286.8</v>
      </c>
      <c r="W2361">
        <f t="shared" si="73"/>
        <v>6.6000000000000227</v>
      </c>
      <c r="X2361">
        <v>-47.861111000000001</v>
      </c>
      <c r="Y2361">
        <v>-22.977501</v>
      </c>
      <c r="Z2361" t="s">
        <v>520</v>
      </c>
      <c r="AA2361" t="s">
        <v>783</v>
      </c>
      <c r="AB2361" t="s">
        <v>2343</v>
      </c>
      <c r="AD2361" t="s">
        <v>2294</v>
      </c>
      <c r="AE2361" t="s">
        <v>1524</v>
      </c>
      <c r="AH2361" t="s">
        <v>72</v>
      </c>
      <c r="AI2361" t="s">
        <v>2336</v>
      </c>
      <c r="AJ2361">
        <v>1999</v>
      </c>
      <c r="AK2361" t="s">
        <v>2346</v>
      </c>
      <c r="AM2361" t="s">
        <v>2347</v>
      </c>
      <c r="AN2361" t="s">
        <v>114</v>
      </c>
      <c r="AO2361" t="s">
        <v>77</v>
      </c>
      <c r="AP2361" t="s">
        <v>359</v>
      </c>
      <c r="AQ2361" t="s">
        <v>2348</v>
      </c>
      <c r="AR2361" t="s">
        <v>80</v>
      </c>
      <c r="AS2361">
        <v>201</v>
      </c>
      <c r="AT2361" t="s">
        <v>81</v>
      </c>
      <c r="AU2361">
        <v>-26.66</v>
      </c>
      <c r="AV2361">
        <v>-45.77</v>
      </c>
      <c r="AW2361" t="s">
        <v>82</v>
      </c>
      <c r="AX2361">
        <v>201</v>
      </c>
      <c r="AY2361" t="s">
        <v>81</v>
      </c>
      <c r="AZ2361">
        <v>-25.11</v>
      </c>
      <c r="BA2361">
        <v>-44.78</v>
      </c>
      <c r="BB2361" t="s">
        <v>83</v>
      </c>
    </row>
    <row r="2362" spans="1:54" x14ac:dyDescent="0.4">
      <c r="A2362">
        <v>820356</v>
      </c>
      <c r="D2362" t="s">
        <v>2001</v>
      </c>
      <c r="E2362" t="s">
        <v>55</v>
      </c>
      <c r="G2362">
        <v>1</v>
      </c>
      <c r="H2362" t="s">
        <v>56</v>
      </c>
      <c r="I2362" t="s">
        <v>57</v>
      </c>
      <c r="K2362" t="s">
        <v>483</v>
      </c>
      <c r="L2362" t="s">
        <v>2291</v>
      </c>
      <c r="M2362" t="s">
        <v>223</v>
      </c>
      <c r="N2362" t="s">
        <v>485</v>
      </c>
      <c r="O2362" t="s">
        <v>345</v>
      </c>
      <c r="P2362" t="s">
        <v>121</v>
      </c>
      <c r="R2362" t="s">
        <v>122</v>
      </c>
      <c r="S2362" t="s">
        <v>123</v>
      </c>
      <c r="T2362">
        <v>290.10000000000002</v>
      </c>
      <c r="U2362">
        <v>283.5</v>
      </c>
      <c r="V2362">
        <f t="shared" si="72"/>
        <v>286.8</v>
      </c>
      <c r="W2362">
        <f t="shared" si="73"/>
        <v>6.6000000000000227</v>
      </c>
      <c r="X2362">
        <v>-47.861111000000001</v>
      </c>
      <c r="Y2362">
        <v>-22.977501</v>
      </c>
      <c r="Z2362" t="s">
        <v>520</v>
      </c>
      <c r="AA2362" t="s">
        <v>783</v>
      </c>
      <c r="AB2362" t="s">
        <v>2343</v>
      </c>
      <c r="AD2362" t="s">
        <v>2294</v>
      </c>
      <c r="AE2362" t="s">
        <v>1524</v>
      </c>
      <c r="AH2362" t="s">
        <v>72</v>
      </c>
      <c r="AI2362" t="s">
        <v>2336</v>
      </c>
      <c r="AJ2362">
        <v>1999</v>
      </c>
      <c r="AK2362" t="s">
        <v>2346</v>
      </c>
      <c r="AM2362" t="s">
        <v>2347</v>
      </c>
      <c r="AN2362" t="s">
        <v>114</v>
      </c>
      <c r="AO2362" t="s">
        <v>77</v>
      </c>
      <c r="AP2362" t="s">
        <v>359</v>
      </c>
      <c r="AQ2362" t="s">
        <v>2348</v>
      </c>
      <c r="AR2362" t="s">
        <v>80</v>
      </c>
      <c r="AS2362">
        <v>201</v>
      </c>
      <c r="AT2362" t="s">
        <v>81</v>
      </c>
      <c r="AU2362">
        <v>-26.66</v>
      </c>
      <c r="AV2362">
        <v>-45.77</v>
      </c>
      <c r="AW2362" t="s">
        <v>82</v>
      </c>
      <c r="AX2362">
        <v>201</v>
      </c>
      <c r="AY2362" t="s">
        <v>81</v>
      </c>
      <c r="AZ2362">
        <v>-25.11</v>
      </c>
      <c r="BA2362">
        <v>-44.78</v>
      </c>
      <c r="BB2362" t="s">
        <v>83</v>
      </c>
    </row>
    <row r="2363" spans="1:54" x14ac:dyDescent="0.4">
      <c r="A2363">
        <v>820478</v>
      </c>
      <c r="D2363" t="s">
        <v>54</v>
      </c>
      <c r="E2363" t="s">
        <v>55</v>
      </c>
      <c r="G2363">
        <v>1</v>
      </c>
      <c r="H2363" t="s">
        <v>56</v>
      </c>
      <c r="I2363" t="s">
        <v>57</v>
      </c>
      <c r="K2363" t="s">
        <v>483</v>
      </c>
      <c r="L2363" t="s">
        <v>2291</v>
      </c>
      <c r="M2363" t="s">
        <v>223</v>
      </c>
      <c r="N2363" t="s">
        <v>485</v>
      </c>
      <c r="O2363" t="s">
        <v>345</v>
      </c>
      <c r="P2363" t="s">
        <v>121</v>
      </c>
      <c r="R2363" t="s">
        <v>122</v>
      </c>
      <c r="S2363" t="s">
        <v>123</v>
      </c>
      <c r="T2363">
        <v>290.10000000000002</v>
      </c>
      <c r="U2363">
        <v>283.5</v>
      </c>
      <c r="V2363">
        <f t="shared" si="72"/>
        <v>286.8</v>
      </c>
      <c r="W2363">
        <f t="shared" si="73"/>
        <v>6.6000000000000227</v>
      </c>
      <c r="X2363">
        <v>-47.849997999999999</v>
      </c>
      <c r="Y2363">
        <v>-23.35</v>
      </c>
      <c r="Z2363" t="s">
        <v>1596</v>
      </c>
      <c r="AA2363" t="s">
        <v>783</v>
      </c>
      <c r="AB2363" t="s">
        <v>2343</v>
      </c>
      <c r="AC2363" t="s">
        <v>2349</v>
      </c>
      <c r="AD2363" t="s">
        <v>2294</v>
      </c>
      <c r="AE2363" t="s">
        <v>1524</v>
      </c>
      <c r="AF2363" t="s">
        <v>2295</v>
      </c>
      <c r="AH2363" t="s">
        <v>72</v>
      </c>
      <c r="AI2363" t="s">
        <v>2350</v>
      </c>
      <c r="AJ2363">
        <v>1966</v>
      </c>
      <c r="AK2363" t="s">
        <v>2351</v>
      </c>
      <c r="AM2363" t="s">
        <v>1528</v>
      </c>
      <c r="AN2363" t="s">
        <v>114</v>
      </c>
      <c r="AO2363" t="s">
        <v>160</v>
      </c>
      <c r="AP2363" t="s">
        <v>636</v>
      </c>
      <c r="AQ2363" t="s">
        <v>2352</v>
      </c>
      <c r="AR2363" t="s">
        <v>80</v>
      </c>
      <c r="AS2363">
        <v>201</v>
      </c>
      <c r="AT2363" t="s">
        <v>81</v>
      </c>
      <c r="AU2363">
        <v>-26.86</v>
      </c>
      <c r="AV2363">
        <v>-46.12</v>
      </c>
      <c r="AW2363" t="s">
        <v>82</v>
      </c>
      <c r="AX2363">
        <v>201</v>
      </c>
      <c r="AY2363" t="s">
        <v>81</v>
      </c>
      <c r="AZ2363">
        <v>-25.3</v>
      </c>
      <c r="BA2363">
        <v>-45.13</v>
      </c>
      <c r="BB2363" t="s">
        <v>83</v>
      </c>
    </row>
    <row r="2364" spans="1:54" x14ac:dyDescent="0.4">
      <c r="A2364">
        <v>820479</v>
      </c>
      <c r="D2364" t="s">
        <v>54</v>
      </c>
      <c r="E2364" t="s">
        <v>55</v>
      </c>
      <c r="G2364">
        <v>1</v>
      </c>
      <c r="H2364" t="s">
        <v>56</v>
      </c>
      <c r="I2364" t="s">
        <v>57</v>
      </c>
      <c r="K2364" t="s">
        <v>483</v>
      </c>
      <c r="L2364" t="s">
        <v>2299</v>
      </c>
      <c r="M2364" t="s">
        <v>223</v>
      </c>
      <c r="N2364" t="s">
        <v>485</v>
      </c>
      <c r="O2364" t="s">
        <v>345</v>
      </c>
      <c r="P2364" t="s">
        <v>121</v>
      </c>
      <c r="R2364" t="s">
        <v>122</v>
      </c>
      <c r="S2364" t="s">
        <v>123</v>
      </c>
      <c r="T2364">
        <v>290.10000000000002</v>
      </c>
      <c r="U2364">
        <v>283.5</v>
      </c>
      <c r="V2364">
        <f t="shared" si="72"/>
        <v>286.8</v>
      </c>
      <c r="W2364">
        <f t="shared" si="73"/>
        <v>6.6000000000000227</v>
      </c>
      <c r="X2364">
        <v>-48.049999</v>
      </c>
      <c r="Y2364">
        <v>-23.591667000000001</v>
      </c>
      <c r="Z2364" t="s">
        <v>1596</v>
      </c>
      <c r="AA2364" t="s">
        <v>783</v>
      </c>
      <c r="AB2364" t="s">
        <v>2343</v>
      </c>
      <c r="AC2364" t="s">
        <v>2353</v>
      </c>
      <c r="AD2364" t="s">
        <v>2294</v>
      </c>
      <c r="AE2364" t="s">
        <v>1524</v>
      </c>
      <c r="AH2364" t="s">
        <v>72</v>
      </c>
      <c r="AI2364" t="s">
        <v>2336</v>
      </c>
      <c r="AJ2364">
        <v>1999</v>
      </c>
      <c r="AK2364" t="s">
        <v>2353</v>
      </c>
      <c r="AM2364" t="s">
        <v>2354</v>
      </c>
      <c r="AN2364" t="s">
        <v>114</v>
      </c>
      <c r="AO2364" t="s">
        <v>77</v>
      </c>
      <c r="AP2364" t="s">
        <v>78</v>
      </c>
      <c r="AQ2364" t="s">
        <v>2355</v>
      </c>
      <c r="AR2364" t="s">
        <v>80</v>
      </c>
      <c r="AS2364">
        <v>201</v>
      </c>
      <c r="AT2364" t="s">
        <v>81</v>
      </c>
      <c r="AU2364">
        <v>-27.24</v>
      </c>
      <c r="AV2364">
        <v>-46.27</v>
      </c>
      <c r="AW2364" t="s">
        <v>82</v>
      </c>
      <c r="AX2364">
        <v>201</v>
      </c>
      <c r="AY2364" t="s">
        <v>81</v>
      </c>
      <c r="AZ2364">
        <v>-25.67</v>
      </c>
      <c r="BA2364">
        <v>-45.29</v>
      </c>
      <c r="BB2364" t="s">
        <v>83</v>
      </c>
    </row>
    <row r="2365" spans="1:54" x14ac:dyDescent="0.4">
      <c r="A2365">
        <v>820479</v>
      </c>
      <c r="D2365" t="s">
        <v>54</v>
      </c>
      <c r="E2365" t="s">
        <v>55</v>
      </c>
      <c r="G2365">
        <v>1</v>
      </c>
      <c r="H2365" t="s">
        <v>56</v>
      </c>
      <c r="I2365" t="s">
        <v>57</v>
      </c>
      <c r="K2365" t="s">
        <v>483</v>
      </c>
      <c r="L2365" t="s">
        <v>2299</v>
      </c>
      <c r="M2365" t="s">
        <v>223</v>
      </c>
      <c r="N2365" t="s">
        <v>485</v>
      </c>
      <c r="O2365" t="s">
        <v>345</v>
      </c>
      <c r="P2365" t="s">
        <v>121</v>
      </c>
      <c r="R2365" t="s">
        <v>122</v>
      </c>
      <c r="S2365" t="s">
        <v>123</v>
      </c>
      <c r="T2365">
        <v>290.10000000000002</v>
      </c>
      <c r="U2365">
        <v>283.5</v>
      </c>
      <c r="V2365">
        <f t="shared" si="72"/>
        <v>286.8</v>
      </c>
      <c r="W2365">
        <f t="shared" si="73"/>
        <v>6.6000000000000227</v>
      </c>
      <c r="X2365">
        <v>-48.049999</v>
      </c>
      <c r="Y2365">
        <v>-23.591667000000001</v>
      </c>
      <c r="Z2365" t="s">
        <v>1596</v>
      </c>
      <c r="AA2365" t="s">
        <v>783</v>
      </c>
      <c r="AB2365" t="s">
        <v>2343</v>
      </c>
      <c r="AC2365" t="s">
        <v>2353</v>
      </c>
      <c r="AD2365" t="s">
        <v>2294</v>
      </c>
      <c r="AE2365" t="s">
        <v>1524</v>
      </c>
      <c r="AH2365" t="s">
        <v>72</v>
      </c>
      <c r="AI2365" t="s">
        <v>2336</v>
      </c>
      <c r="AJ2365">
        <v>1999</v>
      </c>
      <c r="AK2365" t="s">
        <v>2353</v>
      </c>
      <c r="AM2365" t="s">
        <v>2354</v>
      </c>
      <c r="AN2365" t="s">
        <v>114</v>
      </c>
      <c r="AO2365" t="s">
        <v>77</v>
      </c>
      <c r="AP2365" t="s">
        <v>78</v>
      </c>
      <c r="AQ2365" t="s">
        <v>2355</v>
      </c>
      <c r="AR2365" t="s">
        <v>80</v>
      </c>
      <c r="AS2365">
        <v>201</v>
      </c>
      <c r="AT2365" t="s">
        <v>81</v>
      </c>
      <c r="AU2365">
        <v>-27.24</v>
      </c>
      <c r="AV2365">
        <v>-46.27</v>
      </c>
      <c r="AW2365" t="s">
        <v>82</v>
      </c>
      <c r="AX2365">
        <v>201</v>
      </c>
      <c r="AY2365" t="s">
        <v>81</v>
      </c>
      <c r="AZ2365">
        <v>-25.67</v>
      </c>
      <c r="BA2365">
        <v>-45.29</v>
      </c>
      <c r="BB2365" t="s">
        <v>83</v>
      </c>
    </row>
    <row r="2366" spans="1:54" x14ac:dyDescent="0.4">
      <c r="A2366">
        <v>820479</v>
      </c>
      <c r="D2366" t="s">
        <v>54</v>
      </c>
      <c r="E2366" t="s">
        <v>55</v>
      </c>
      <c r="G2366">
        <v>1</v>
      </c>
      <c r="H2366" t="s">
        <v>56</v>
      </c>
      <c r="I2366" t="s">
        <v>57</v>
      </c>
      <c r="K2366" t="s">
        <v>483</v>
      </c>
      <c r="L2366" t="s">
        <v>2299</v>
      </c>
      <c r="M2366" t="s">
        <v>223</v>
      </c>
      <c r="N2366" t="s">
        <v>485</v>
      </c>
      <c r="O2366" t="s">
        <v>345</v>
      </c>
      <c r="P2366" t="s">
        <v>121</v>
      </c>
      <c r="R2366" t="s">
        <v>122</v>
      </c>
      <c r="S2366" t="s">
        <v>123</v>
      </c>
      <c r="T2366">
        <v>290.10000000000002</v>
      </c>
      <c r="U2366">
        <v>283.5</v>
      </c>
      <c r="V2366">
        <f t="shared" si="72"/>
        <v>286.8</v>
      </c>
      <c r="W2366">
        <f t="shared" si="73"/>
        <v>6.6000000000000227</v>
      </c>
      <c r="X2366">
        <v>-48.049999</v>
      </c>
      <c r="Y2366">
        <v>-23.591667000000001</v>
      </c>
      <c r="Z2366" t="s">
        <v>1596</v>
      </c>
      <c r="AA2366" t="s">
        <v>783</v>
      </c>
      <c r="AB2366" t="s">
        <v>2343</v>
      </c>
      <c r="AC2366" t="s">
        <v>2353</v>
      </c>
      <c r="AD2366" t="s">
        <v>2294</v>
      </c>
      <c r="AE2366" t="s">
        <v>1524</v>
      </c>
      <c r="AH2366" t="s">
        <v>72</v>
      </c>
      <c r="AI2366" t="s">
        <v>2336</v>
      </c>
      <c r="AJ2366">
        <v>1999</v>
      </c>
      <c r="AK2366" t="s">
        <v>2353</v>
      </c>
      <c r="AM2366" t="s">
        <v>2354</v>
      </c>
      <c r="AN2366" t="s">
        <v>114</v>
      </c>
      <c r="AO2366" t="s">
        <v>77</v>
      </c>
      <c r="AP2366" t="s">
        <v>78</v>
      </c>
      <c r="AQ2366" t="s">
        <v>2355</v>
      </c>
      <c r="AR2366" t="s">
        <v>80</v>
      </c>
      <c r="AS2366">
        <v>201</v>
      </c>
      <c r="AT2366" t="s">
        <v>81</v>
      </c>
      <c r="AU2366">
        <v>-27.24</v>
      </c>
      <c r="AV2366">
        <v>-46.27</v>
      </c>
      <c r="AW2366" t="s">
        <v>82</v>
      </c>
      <c r="AX2366">
        <v>201</v>
      </c>
      <c r="AY2366" t="s">
        <v>81</v>
      </c>
      <c r="AZ2366">
        <v>-25.67</v>
      </c>
      <c r="BA2366">
        <v>-45.29</v>
      </c>
      <c r="BB2366" t="s">
        <v>83</v>
      </c>
    </row>
    <row r="2367" spans="1:54" x14ac:dyDescent="0.4">
      <c r="A2367">
        <v>820479</v>
      </c>
      <c r="D2367" t="s">
        <v>54</v>
      </c>
      <c r="E2367" t="s">
        <v>55</v>
      </c>
      <c r="G2367">
        <v>1</v>
      </c>
      <c r="H2367" t="s">
        <v>56</v>
      </c>
      <c r="I2367" t="s">
        <v>57</v>
      </c>
      <c r="K2367" t="s">
        <v>483</v>
      </c>
      <c r="L2367" t="s">
        <v>2299</v>
      </c>
      <c r="M2367" t="s">
        <v>223</v>
      </c>
      <c r="N2367" t="s">
        <v>485</v>
      </c>
      <c r="O2367" t="s">
        <v>345</v>
      </c>
      <c r="P2367" t="s">
        <v>121</v>
      </c>
      <c r="R2367" t="s">
        <v>122</v>
      </c>
      <c r="S2367" t="s">
        <v>123</v>
      </c>
      <c r="T2367">
        <v>290.10000000000002</v>
      </c>
      <c r="U2367">
        <v>283.5</v>
      </c>
      <c r="V2367">
        <f t="shared" si="72"/>
        <v>286.8</v>
      </c>
      <c r="W2367">
        <f t="shared" si="73"/>
        <v>6.6000000000000227</v>
      </c>
      <c r="X2367">
        <v>-48.049999</v>
      </c>
      <c r="Y2367">
        <v>-23.591667000000001</v>
      </c>
      <c r="Z2367" t="s">
        <v>1596</v>
      </c>
      <c r="AA2367" t="s">
        <v>783</v>
      </c>
      <c r="AB2367" t="s">
        <v>2343</v>
      </c>
      <c r="AC2367" t="s">
        <v>2353</v>
      </c>
      <c r="AD2367" t="s">
        <v>2294</v>
      </c>
      <c r="AE2367" t="s">
        <v>1524</v>
      </c>
      <c r="AH2367" t="s">
        <v>72</v>
      </c>
      <c r="AI2367" t="s">
        <v>2336</v>
      </c>
      <c r="AJ2367">
        <v>1999</v>
      </c>
      <c r="AK2367" t="s">
        <v>2353</v>
      </c>
      <c r="AM2367" t="s">
        <v>2354</v>
      </c>
      <c r="AN2367" t="s">
        <v>114</v>
      </c>
      <c r="AO2367" t="s">
        <v>77</v>
      </c>
      <c r="AP2367" t="s">
        <v>78</v>
      </c>
      <c r="AQ2367" t="s">
        <v>2355</v>
      </c>
      <c r="AR2367" t="s">
        <v>80</v>
      </c>
      <c r="AS2367">
        <v>201</v>
      </c>
      <c r="AT2367" t="s">
        <v>81</v>
      </c>
      <c r="AU2367">
        <v>-27.24</v>
      </c>
      <c r="AV2367">
        <v>-46.27</v>
      </c>
      <c r="AW2367" t="s">
        <v>82</v>
      </c>
      <c r="AX2367">
        <v>201</v>
      </c>
      <c r="AY2367" t="s">
        <v>81</v>
      </c>
      <c r="AZ2367">
        <v>-25.67</v>
      </c>
      <c r="BA2367">
        <v>-45.29</v>
      </c>
      <c r="BB2367" t="s">
        <v>83</v>
      </c>
    </row>
    <row r="2368" spans="1:54" x14ac:dyDescent="0.4">
      <c r="A2368">
        <v>820480</v>
      </c>
      <c r="D2368" t="s">
        <v>54</v>
      </c>
      <c r="E2368" t="s">
        <v>55</v>
      </c>
      <c r="G2368">
        <v>1</v>
      </c>
      <c r="H2368" t="s">
        <v>56</v>
      </c>
      <c r="I2368" t="s">
        <v>57</v>
      </c>
      <c r="K2368" t="s">
        <v>483</v>
      </c>
      <c r="L2368" t="s">
        <v>484</v>
      </c>
      <c r="M2368" t="s">
        <v>223</v>
      </c>
      <c r="N2368" t="s">
        <v>485</v>
      </c>
      <c r="O2368" t="s">
        <v>345</v>
      </c>
      <c r="P2368" t="s">
        <v>121</v>
      </c>
      <c r="R2368" t="s">
        <v>122</v>
      </c>
      <c r="S2368" t="s">
        <v>123</v>
      </c>
      <c r="T2368">
        <v>290.10000000000002</v>
      </c>
      <c r="U2368">
        <v>283.5</v>
      </c>
      <c r="V2368">
        <f t="shared" si="72"/>
        <v>286.8</v>
      </c>
      <c r="W2368">
        <f t="shared" si="73"/>
        <v>6.6000000000000227</v>
      </c>
      <c r="X2368">
        <v>-48.049999</v>
      </c>
      <c r="Y2368">
        <v>-23.591667000000001</v>
      </c>
      <c r="Z2368" t="s">
        <v>1596</v>
      </c>
      <c r="AA2368" t="s">
        <v>783</v>
      </c>
      <c r="AB2368" t="s">
        <v>2343</v>
      </c>
      <c r="AC2368" t="s">
        <v>2353</v>
      </c>
      <c r="AD2368" t="s">
        <v>2294</v>
      </c>
      <c r="AE2368" t="s">
        <v>1524</v>
      </c>
      <c r="AH2368" t="s">
        <v>72</v>
      </c>
      <c r="AI2368" t="s">
        <v>2342</v>
      </c>
      <c r="AJ2368">
        <v>2009</v>
      </c>
      <c r="AK2368" t="s">
        <v>2353</v>
      </c>
      <c r="AM2368" t="s">
        <v>2354</v>
      </c>
      <c r="AN2368" t="s">
        <v>114</v>
      </c>
      <c r="AO2368" t="s">
        <v>77</v>
      </c>
      <c r="AP2368" t="s">
        <v>78</v>
      </c>
      <c r="AQ2368" t="s">
        <v>2355</v>
      </c>
      <c r="AR2368" t="s">
        <v>80</v>
      </c>
      <c r="AS2368">
        <v>201</v>
      </c>
      <c r="AT2368" t="s">
        <v>81</v>
      </c>
      <c r="AU2368">
        <v>-27.24</v>
      </c>
      <c r="AV2368">
        <v>-46.27</v>
      </c>
      <c r="AW2368" t="s">
        <v>82</v>
      </c>
      <c r="AX2368">
        <v>201</v>
      </c>
      <c r="AY2368" t="s">
        <v>81</v>
      </c>
      <c r="AZ2368">
        <v>-25.67</v>
      </c>
      <c r="BA2368">
        <v>-45.29</v>
      </c>
      <c r="BB2368" t="s">
        <v>83</v>
      </c>
    </row>
    <row r="2369" spans="1:54" x14ac:dyDescent="0.4">
      <c r="A2369">
        <v>820481</v>
      </c>
      <c r="D2369" t="s">
        <v>54</v>
      </c>
      <c r="E2369" t="s">
        <v>55</v>
      </c>
      <c r="G2369">
        <v>1</v>
      </c>
      <c r="H2369" t="s">
        <v>56</v>
      </c>
      <c r="I2369" t="s">
        <v>57</v>
      </c>
      <c r="K2369" t="s">
        <v>483</v>
      </c>
      <c r="L2369" t="s">
        <v>2299</v>
      </c>
      <c r="M2369" t="s">
        <v>223</v>
      </c>
      <c r="N2369" t="s">
        <v>485</v>
      </c>
      <c r="O2369" t="s">
        <v>345</v>
      </c>
      <c r="P2369" t="s">
        <v>121</v>
      </c>
      <c r="R2369" t="s">
        <v>122</v>
      </c>
      <c r="S2369" t="s">
        <v>123</v>
      </c>
      <c r="T2369">
        <v>290.10000000000002</v>
      </c>
      <c r="U2369">
        <v>283.5</v>
      </c>
      <c r="V2369">
        <f t="shared" si="72"/>
        <v>286.8</v>
      </c>
      <c r="W2369">
        <f t="shared" si="73"/>
        <v>6.6000000000000227</v>
      </c>
      <c r="X2369">
        <v>-39.25</v>
      </c>
      <c r="Y2369">
        <v>-7.6666670000000003</v>
      </c>
      <c r="Z2369" t="s">
        <v>1596</v>
      </c>
      <c r="AA2369" t="s">
        <v>783</v>
      </c>
      <c r="AB2369" t="s">
        <v>2356</v>
      </c>
      <c r="AD2369" t="s">
        <v>2294</v>
      </c>
      <c r="AE2369" t="s">
        <v>1524</v>
      </c>
      <c r="AH2369" t="s">
        <v>72</v>
      </c>
      <c r="AI2369" t="s">
        <v>2336</v>
      </c>
      <c r="AJ2369">
        <v>1999</v>
      </c>
      <c r="AK2369" t="s">
        <v>2357</v>
      </c>
      <c r="AN2369" t="s">
        <v>192</v>
      </c>
      <c r="AO2369" t="s">
        <v>160</v>
      </c>
      <c r="AP2369" t="s">
        <v>636</v>
      </c>
      <c r="AQ2369" t="s">
        <v>2358</v>
      </c>
      <c r="AR2369" t="s">
        <v>80</v>
      </c>
      <c r="AS2369">
        <v>201</v>
      </c>
      <c r="AT2369" t="s">
        <v>81</v>
      </c>
      <c r="AU2369">
        <v>-9.84</v>
      </c>
      <c r="AV2369">
        <v>-34</v>
      </c>
      <c r="AW2369" t="s">
        <v>82</v>
      </c>
      <c r="AX2369">
        <v>201</v>
      </c>
      <c r="AY2369" t="s">
        <v>81</v>
      </c>
      <c r="AZ2369">
        <v>-8.8800000000000008</v>
      </c>
      <c r="BA2369">
        <v>-32.75</v>
      </c>
      <c r="BB2369" t="s">
        <v>83</v>
      </c>
    </row>
    <row r="2370" spans="1:54" x14ac:dyDescent="0.4">
      <c r="A2370">
        <v>820482</v>
      </c>
      <c r="D2370" t="s">
        <v>54</v>
      </c>
      <c r="E2370" t="s">
        <v>55</v>
      </c>
      <c r="G2370">
        <v>1</v>
      </c>
      <c r="H2370" t="s">
        <v>56</v>
      </c>
      <c r="I2370" t="s">
        <v>57</v>
      </c>
      <c r="K2370" t="s">
        <v>483</v>
      </c>
      <c r="L2370" t="s">
        <v>2299</v>
      </c>
      <c r="M2370" t="s">
        <v>223</v>
      </c>
      <c r="N2370" t="s">
        <v>485</v>
      </c>
      <c r="O2370" t="s">
        <v>345</v>
      </c>
      <c r="P2370" t="s">
        <v>121</v>
      </c>
      <c r="R2370" t="s">
        <v>122</v>
      </c>
      <c r="S2370" t="s">
        <v>123</v>
      </c>
      <c r="T2370">
        <v>290.10000000000002</v>
      </c>
      <c r="U2370">
        <v>283.5</v>
      </c>
      <c r="V2370">
        <f t="shared" si="72"/>
        <v>286.8</v>
      </c>
      <c r="W2370">
        <f t="shared" si="73"/>
        <v>6.6000000000000227</v>
      </c>
      <c r="X2370">
        <v>-47.584721000000002</v>
      </c>
      <c r="Y2370">
        <v>-22.498611</v>
      </c>
      <c r="Z2370" t="s">
        <v>1596</v>
      </c>
      <c r="AA2370" t="s">
        <v>783</v>
      </c>
      <c r="AB2370" t="s">
        <v>2343</v>
      </c>
      <c r="AC2370" t="s">
        <v>2359</v>
      </c>
      <c r="AD2370" t="s">
        <v>2294</v>
      </c>
      <c r="AE2370" t="s">
        <v>1524</v>
      </c>
      <c r="AF2370" t="s">
        <v>2295</v>
      </c>
      <c r="AH2370" t="s">
        <v>72</v>
      </c>
      <c r="AI2370" t="s">
        <v>2336</v>
      </c>
      <c r="AJ2370">
        <v>1999</v>
      </c>
      <c r="AK2370" t="s">
        <v>2360</v>
      </c>
      <c r="AL2370">
        <v>90429</v>
      </c>
      <c r="AM2370" t="s">
        <v>2361</v>
      </c>
      <c r="AN2370" t="s">
        <v>114</v>
      </c>
      <c r="AO2370" t="s">
        <v>77</v>
      </c>
      <c r="AP2370" t="s">
        <v>636</v>
      </c>
      <c r="AQ2370" t="s">
        <v>2362</v>
      </c>
      <c r="AR2370" t="s">
        <v>80</v>
      </c>
      <c r="AS2370">
        <v>201</v>
      </c>
      <c r="AT2370" t="s">
        <v>81</v>
      </c>
      <c r="AU2370">
        <v>-26.05</v>
      </c>
      <c r="AV2370">
        <v>-45.44</v>
      </c>
      <c r="AW2370" t="s">
        <v>82</v>
      </c>
      <c r="AX2370">
        <v>201</v>
      </c>
      <c r="AY2370" t="s">
        <v>81</v>
      </c>
      <c r="AZ2370">
        <v>-24.53</v>
      </c>
      <c r="BA2370">
        <v>-44.43</v>
      </c>
      <c r="BB2370" t="s">
        <v>83</v>
      </c>
    </row>
    <row r="2371" spans="1:54" x14ac:dyDescent="0.4">
      <c r="A2371">
        <v>820574</v>
      </c>
      <c r="D2371" t="s">
        <v>54</v>
      </c>
      <c r="E2371" t="s">
        <v>55</v>
      </c>
      <c r="G2371">
        <v>1</v>
      </c>
      <c r="H2371" t="s">
        <v>56</v>
      </c>
      <c r="I2371" t="s">
        <v>57</v>
      </c>
      <c r="K2371" t="s">
        <v>483</v>
      </c>
      <c r="L2371" t="s">
        <v>2299</v>
      </c>
      <c r="M2371" t="s">
        <v>223</v>
      </c>
      <c r="N2371" t="s">
        <v>485</v>
      </c>
      <c r="O2371" t="s">
        <v>345</v>
      </c>
      <c r="P2371" t="s">
        <v>121</v>
      </c>
      <c r="R2371" t="s">
        <v>122</v>
      </c>
      <c r="S2371" t="s">
        <v>123</v>
      </c>
      <c r="T2371">
        <v>290.10000000000002</v>
      </c>
      <c r="U2371">
        <v>283.5</v>
      </c>
      <c r="V2371">
        <f t="shared" ref="V2371:V2434" si="74">(T2371+U2371)/2</f>
        <v>286.8</v>
      </c>
      <c r="W2371">
        <f t="shared" ref="W2371:W2434" si="75">T2371-U2371</f>
        <v>6.6000000000000227</v>
      </c>
      <c r="X2371">
        <v>-47.650002000000001</v>
      </c>
      <c r="Y2371">
        <v>-22.733333999999999</v>
      </c>
      <c r="Z2371" t="s">
        <v>520</v>
      </c>
      <c r="AA2371" t="s">
        <v>783</v>
      </c>
      <c r="AB2371" t="s">
        <v>2343</v>
      </c>
      <c r="AC2371" t="s">
        <v>2363</v>
      </c>
      <c r="AD2371" t="s">
        <v>2294</v>
      </c>
      <c r="AE2371" t="s">
        <v>1524</v>
      </c>
      <c r="AH2371" t="s">
        <v>72</v>
      </c>
      <c r="AI2371" t="s">
        <v>2336</v>
      </c>
      <c r="AJ2371">
        <v>1999</v>
      </c>
      <c r="AK2371" t="s">
        <v>2363</v>
      </c>
      <c r="AM2371" t="s">
        <v>2364</v>
      </c>
      <c r="AN2371" t="s">
        <v>114</v>
      </c>
      <c r="AO2371" t="s">
        <v>160</v>
      </c>
      <c r="AP2371" t="s">
        <v>78</v>
      </c>
      <c r="AQ2371" t="s">
        <v>2365</v>
      </c>
      <c r="AR2371" t="s">
        <v>80</v>
      </c>
      <c r="AS2371">
        <v>201</v>
      </c>
      <c r="AT2371" t="s">
        <v>81</v>
      </c>
      <c r="AU2371">
        <v>-26.26</v>
      </c>
      <c r="AV2371">
        <v>-45.63</v>
      </c>
      <c r="AW2371" t="s">
        <v>82</v>
      </c>
      <c r="AX2371">
        <v>201</v>
      </c>
      <c r="AY2371" t="s">
        <v>81</v>
      </c>
      <c r="AZ2371">
        <v>-24.73</v>
      </c>
      <c r="BA2371">
        <v>-44.63</v>
      </c>
      <c r="BB2371" t="s">
        <v>83</v>
      </c>
    </row>
    <row r="2372" spans="1:54" x14ac:dyDescent="0.4">
      <c r="A2372">
        <v>820575</v>
      </c>
      <c r="D2372" t="s">
        <v>2001</v>
      </c>
      <c r="E2372" t="s">
        <v>55</v>
      </c>
      <c r="G2372">
        <v>1</v>
      </c>
      <c r="H2372" t="s">
        <v>56</v>
      </c>
      <c r="I2372" t="s">
        <v>57</v>
      </c>
      <c r="K2372" t="s">
        <v>483</v>
      </c>
      <c r="L2372" t="s">
        <v>2291</v>
      </c>
      <c r="M2372" t="s">
        <v>223</v>
      </c>
      <c r="N2372" t="s">
        <v>485</v>
      </c>
      <c r="O2372" t="s">
        <v>345</v>
      </c>
      <c r="P2372" t="s">
        <v>121</v>
      </c>
      <c r="R2372" t="s">
        <v>122</v>
      </c>
      <c r="S2372" t="s">
        <v>123</v>
      </c>
      <c r="T2372">
        <v>290.10000000000002</v>
      </c>
      <c r="U2372">
        <v>283.5</v>
      </c>
      <c r="V2372">
        <f t="shared" si="74"/>
        <v>286.8</v>
      </c>
      <c r="W2372">
        <f t="shared" si="75"/>
        <v>6.6000000000000227</v>
      </c>
      <c r="X2372">
        <v>-50.650002000000001</v>
      </c>
      <c r="Y2372">
        <v>-25.475000000000001</v>
      </c>
      <c r="Z2372" t="s">
        <v>520</v>
      </c>
      <c r="AA2372" t="s">
        <v>783</v>
      </c>
      <c r="AB2372" t="s">
        <v>2334</v>
      </c>
      <c r="AD2372" t="s">
        <v>2294</v>
      </c>
      <c r="AE2372" t="s">
        <v>1524</v>
      </c>
      <c r="AH2372" t="s">
        <v>72</v>
      </c>
      <c r="AI2372" t="s">
        <v>2336</v>
      </c>
      <c r="AJ2372">
        <v>1999</v>
      </c>
      <c r="AK2372" t="s">
        <v>2366</v>
      </c>
      <c r="AM2372" t="s">
        <v>2367</v>
      </c>
      <c r="AN2372" t="s">
        <v>114</v>
      </c>
      <c r="AO2372" t="s">
        <v>77</v>
      </c>
      <c r="AP2372" t="s">
        <v>359</v>
      </c>
      <c r="AQ2372" t="s">
        <v>2368</v>
      </c>
      <c r="AR2372" t="s">
        <v>80</v>
      </c>
      <c r="AS2372">
        <v>201</v>
      </c>
      <c r="AT2372" t="s">
        <v>81</v>
      </c>
      <c r="AU2372">
        <v>-31.52</v>
      </c>
      <c r="AV2372">
        <v>-46.98</v>
      </c>
      <c r="AW2372" t="s">
        <v>82</v>
      </c>
      <c r="AX2372">
        <v>201</v>
      </c>
      <c r="AY2372" t="s">
        <v>81</v>
      </c>
      <c r="AZ2372">
        <v>-29.85</v>
      </c>
      <c r="BA2372">
        <v>-46.08</v>
      </c>
      <c r="BB2372" t="s">
        <v>83</v>
      </c>
    </row>
    <row r="2373" spans="1:54" x14ac:dyDescent="0.4">
      <c r="A2373">
        <v>820575</v>
      </c>
      <c r="D2373" t="s">
        <v>2001</v>
      </c>
      <c r="E2373" t="s">
        <v>55</v>
      </c>
      <c r="G2373">
        <v>1</v>
      </c>
      <c r="H2373" t="s">
        <v>56</v>
      </c>
      <c r="I2373" t="s">
        <v>57</v>
      </c>
      <c r="K2373" t="s">
        <v>483</v>
      </c>
      <c r="L2373" t="s">
        <v>2291</v>
      </c>
      <c r="M2373" t="s">
        <v>223</v>
      </c>
      <c r="N2373" t="s">
        <v>485</v>
      </c>
      <c r="O2373" t="s">
        <v>345</v>
      </c>
      <c r="P2373" t="s">
        <v>121</v>
      </c>
      <c r="R2373" t="s">
        <v>122</v>
      </c>
      <c r="S2373" t="s">
        <v>123</v>
      </c>
      <c r="T2373">
        <v>290.10000000000002</v>
      </c>
      <c r="U2373">
        <v>283.5</v>
      </c>
      <c r="V2373">
        <f t="shared" si="74"/>
        <v>286.8</v>
      </c>
      <c r="W2373">
        <f t="shared" si="75"/>
        <v>6.6000000000000227</v>
      </c>
      <c r="X2373">
        <v>-50.650002000000001</v>
      </c>
      <c r="Y2373">
        <v>-25.475000000000001</v>
      </c>
      <c r="Z2373" t="s">
        <v>520</v>
      </c>
      <c r="AA2373" t="s">
        <v>783</v>
      </c>
      <c r="AB2373" t="s">
        <v>2334</v>
      </c>
      <c r="AD2373" t="s">
        <v>2294</v>
      </c>
      <c r="AE2373" t="s">
        <v>1524</v>
      </c>
      <c r="AH2373" t="s">
        <v>72</v>
      </c>
      <c r="AI2373" t="s">
        <v>2336</v>
      </c>
      <c r="AJ2373">
        <v>1999</v>
      </c>
      <c r="AK2373" t="s">
        <v>2366</v>
      </c>
      <c r="AM2373" t="s">
        <v>2367</v>
      </c>
      <c r="AN2373" t="s">
        <v>114</v>
      </c>
      <c r="AO2373" t="s">
        <v>77</v>
      </c>
      <c r="AP2373" t="s">
        <v>359</v>
      </c>
      <c r="AQ2373" t="s">
        <v>2368</v>
      </c>
      <c r="AR2373" t="s">
        <v>80</v>
      </c>
      <c r="AS2373">
        <v>201</v>
      </c>
      <c r="AT2373" t="s">
        <v>81</v>
      </c>
      <c r="AU2373">
        <v>-31.52</v>
      </c>
      <c r="AV2373">
        <v>-46.98</v>
      </c>
      <c r="AW2373" t="s">
        <v>82</v>
      </c>
      <c r="AX2373">
        <v>201</v>
      </c>
      <c r="AY2373" t="s">
        <v>81</v>
      </c>
      <c r="AZ2373">
        <v>-29.85</v>
      </c>
      <c r="BA2373">
        <v>-46.08</v>
      </c>
      <c r="BB2373" t="s">
        <v>83</v>
      </c>
    </row>
    <row r="2374" spans="1:54" x14ac:dyDescent="0.4">
      <c r="A2374">
        <v>820575</v>
      </c>
      <c r="D2374" t="s">
        <v>2001</v>
      </c>
      <c r="E2374" t="s">
        <v>55</v>
      </c>
      <c r="G2374">
        <v>1</v>
      </c>
      <c r="H2374" t="s">
        <v>56</v>
      </c>
      <c r="I2374" t="s">
        <v>57</v>
      </c>
      <c r="K2374" t="s">
        <v>483</v>
      </c>
      <c r="L2374" t="s">
        <v>2291</v>
      </c>
      <c r="M2374" t="s">
        <v>223</v>
      </c>
      <c r="N2374" t="s">
        <v>485</v>
      </c>
      <c r="O2374" t="s">
        <v>345</v>
      </c>
      <c r="P2374" t="s">
        <v>121</v>
      </c>
      <c r="R2374" t="s">
        <v>122</v>
      </c>
      <c r="S2374" t="s">
        <v>123</v>
      </c>
      <c r="T2374">
        <v>290.10000000000002</v>
      </c>
      <c r="U2374">
        <v>283.5</v>
      </c>
      <c r="V2374">
        <f t="shared" si="74"/>
        <v>286.8</v>
      </c>
      <c r="W2374">
        <f t="shared" si="75"/>
        <v>6.6000000000000227</v>
      </c>
      <c r="X2374">
        <v>-50.650002000000001</v>
      </c>
      <c r="Y2374">
        <v>-25.475000000000001</v>
      </c>
      <c r="Z2374" t="s">
        <v>520</v>
      </c>
      <c r="AA2374" t="s">
        <v>783</v>
      </c>
      <c r="AB2374" t="s">
        <v>2334</v>
      </c>
      <c r="AD2374" t="s">
        <v>2294</v>
      </c>
      <c r="AE2374" t="s">
        <v>1524</v>
      </c>
      <c r="AH2374" t="s">
        <v>72</v>
      </c>
      <c r="AI2374" t="s">
        <v>2336</v>
      </c>
      <c r="AJ2374">
        <v>1999</v>
      </c>
      <c r="AK2374" t="s">
        <v>2366</v>
      </c>
      <c r="AM2374" t="s">
        <v>2367</v>
      </c>
      <c r="AN2374" t="s">
        <v>114</v>
      </c>
      <c r="AO2374" t="s">
        <v>77</v>
      </c>
      <c r="AP2374" t="s">
        <v>359</v>
      </c>
      <c r="AQ2374" t="s">
        <v>2368</v>
      </c>
      <c r="AR2374" t="s">
        <v>80</v>
      </c>
      <c r="AS2374">
        <v>201</v>
      </c>
      <c r="AT2374" t="s">
        <v>81</v>
      </c>
      <c r="AU2374">
        <v>-31.52</v>
      </c>
      <c r="AV2374">
        <v>-46.98</v>
      </c>
      <c r="AW2374" t="s">
        <v>82</v>
      </c>
      <c r="AX2374">
        <v>201</v>
      </c>
      <c r="AY2374" t="s">
        <v>81</v>
      </c>
      <c r="AZ2374">
        <v>-29.85</v>
      </c>
      <c r="BA2374">
        <v>-46.08</v>
      </c>
      <c r="BB2374" t="s">
        <v>83</v>
      </c>
    </row>
    <row r="2375" spans="1:54" x14ac:dyDescent="0.4">
      <c r="A2375">
        <v>820888</v>
      </c>
      <c r="D2375" t="s">
        <v>2134</v>
      </c>
      <c r="E2375" t="s">
        <v>55</v>
      </c>
      <c r="G2375">
        <v>1</v>
      </c>
      <c r="H2375" t="s">
        <v>56</v>
      </c>
      <c r="I2375" t="s">
        <v>57</v>
      </c>
      <c r="K2375" t="s">
        <v>483</v>
      </c>
      <c r="L2375" t="s">
        <v>2299</v>
      </c>
      <c r="M2375" t="s">
        <v>223</v>
      </c>
      <c r="N2375" t="s">
        <v>485</v>
      </c>
      <c r="O2375" t="s">
        <v>345</v>
      </c>
      <c r="P2375" t="s">
        <v>121</v>
      </c>
      <c r="R2375" t="s">
        <v>122</v>
      </c>
      <c r="S2375" t="s">
        <v>123</v>
      </c>
      <c r="T2375">
        <v>290.10000000000002</v>
      </c>
      <c r="U2375">
        <v>283.5</v>
      </c>
      <c r="V2375">
        <f t="shared" si="74"/>
        <v>286.8</v>
      </c>
      <c r="W2375">
        <f t="shared" si="75"/>
        <v>6.6000000000000227</v>
      </c>
      <c r="X2375">
        <v>24.166668000000001</v>
      </c>
      <c r="Y2375">
        <v>-29.383333</v>
      </c>
      <c r="Z2375" t="s">
        <v>520</v>
      </c>
      <c r="AA2375" t="s">
        <v>106</v>
      </c>
      <c r="AB2375" t="s">
        <v>575</v>
      </c>
      <c r="AC2375" t="s">
        <v>2374</v>
      </c>
      <c r="AD2375" t="s">
        <v>2375</v>
      </c>
      <c r="AE2375" t="s">
        <v>2287</v>
      </c>
      <c r="AH2375" t="s">
        <v>72</v>
      </c>
      <c r="AI2375" t="s">
        <v>2376</v>
      </c>
      <c r="AJ2375">
        <v>1996</v>
      </c>
      <c r="AK2375" t="s">
        <v>2377</v>
      </c>
      <c r="AM2375" t="s">
        <v>2378</v>
      </c>
      <c r="AN2375" t="s">
        <v>192</v>
      </c>
      <c r="AO2375" t="s">
        <v>160</v>
      </c>
      <c r="AP2375" t="s">
        <v>636</v>
      </c>
      <c r="AQ2375" t="s">
        <v>2379</v>
      </c>
      <c r="AR2375" t="s">
        <v>80</v>
      </c>
      <c r="AS2375">
        <v>701</v>
      </c>
      <c r="AT2375" t="s">
        <v>81</v>
      </c>
      <c r="AU2375">
        <v>-43.03</v>
      </c>
      <c r="AV2375">
        <v>-63.21</v>
      </c>
      <c r="AW2375" t="s">
        <v>82</v>
      </c>
      <c r="AX2375">
        <v>701</v>
      </c>
      <c r="AY2375" t="s">
        <v>81</v>
      </c>
      <c r="AZ2375">
        <v>-40.04</v>
      </c>
      <c r="BA2375">
        <v>-62.54</v>
      </c>
      <c r="BB2375" t="s">
        <v>83</v>
      </c>
    </row>
    <row r="2376" spans="1:54" x14ac:dyDescent="0.4">
      <c r="A2376">
        <v>820897</v>
      </c>
      <c r="D2376" t="s">
        <v>1795</v>
      </c>
      <c r="E2376" t="s">
        <v>154</v>
      </c>
      <c r="G2376">
        <v>1</v>
      </c>
      <c r="H2376" t="s">
        <v>56</v>
      </c>
      <c r="I2376" t="s">
        <v>57</v>
      </c>
      <c r="K2376" t="s">
        <v>483</v>
      </c>
      <c r="L2376" t="s">
        <v>484</v>
      </c>
      <c r="M2376" t="s">
        <v>223</v>
      </c>
      <c r="N2376" t="s">
        <v>485</v>
      </c>
      <c r="O2376" t="s">
        <v>345</v>
      </c>
      <c r="P2376" t="s">
        <v>121</v>
      </c>
      <c r="R2376" t="s">
        <v>122</v>
      </c>
      <c r="S2376" t="s">
        <v>123</v>
      </c>
      <c r="T2376">
        <v>290.10000000000002</v>
      </c>
      <c r="U2376">
        <v>283.5</v>
      </c>
      <c r="V2376">
        <f t="shared" si="74"/>
        <v>286.8</v>
      </c>
      <c r="W2376">
        <f t="shared" si="75"/>
        <v>6.6000000000000227</v>
      </c>
      <c r="X2376">
        <v>19.766666000000001</v>
      </c>
      <c r="Y2376">
        <v>-31.466667000000001</v>
      </c>
      <c r="Z2376" t="s">
        <v>520</v>
      </c>
      <c r="AA2376" t="s">
        <v>106</v>
      </c>
      <c r="AB2376" t="s">
        <v>575</v>
      </c>
      <c r="AC2376" t="s">
        <v>2389</v>
      </c>
      <c r="AD2376" t="s">
        <v>2375</v>
      </c>
      <c r="AE2376" t="s">
        <v>2287</v>
      </c>
      <c r="AH2376" t="s">
        <v>72</v>
      </c>
      <c r="AI2376" t="s">
        <v>111</v>
      </c>
      <c r="AJ2376">
        <v>1908</v>
      </c>
      <c r="AK2376" t="s">
        <v>2390</v>
      </c>
      <c r="AN2376" t="s">
        <v>114</v>
      </c>
      <c r="AO2376" t="s">
        <v>160</v>
      </c>
      <c r="AP2376" t="s">
        <v>636</v>
      </c>
      <c r="AQ2376" t="s">
        <v>2391</v>
      </c>
      <c r="AR2376" t="s">
        <v>80</v>
      </c>
      <c r="AS2376">
        <v>701</v>
      </c>
      <c r="AT2376" t="s">
        <v>81</v>
      </c>
      <c r="AU2376">
        <v>-48.22</v>
      </c>
      <c r="AV2376">
        <v>-59.66</v>
      </c>
      <c r="AW2376" t="s">
        <v>82</v>
      </c>
      <c r="AX2376">
        <v>701</v>
      </c>
      <c r="AY2376" t="s">
        <v>81</v>
      </c>
      <c r="AZ2376">
        <v>-45.47</v>
      </c>
      <c r="BA2376">
        <v>-59.12</v>
      </c>
      <c r="BB2376" t="s">
        <v>83</v>
      </c>
    </row>
    <row r="2377" spans="1:54" x14ac:dyDescent="0.4">
      <c r="A2377">
        <v>820898</v>
      </c>
      <c r="D2377" t="s">
        <v>2001</v>
      </c>
      <c r="E2377" t="s">
        <v>55</v>
      </c>
      <c r="G2377">
        <v>1</v>
      </c>
      <c r="H2377" t="s">
        <v>56</v>
      </c>
      <c r="I2377" t="s">
        <v>57</v>
      </c>
      <c r="K2377" t="s">
        <v>483</v>
      </c>
      <c r="L2377" t="s">
        <v>484</v>
      </c>
      <c r="M2377" t="s">
        <v>223</v>
      </c>
      <c r="N2377" t="s">
        <v>485</v>
      </c>
      <c r="O2377" t="s">
        <v>345</v>
      </c>
      <c r="P2377" t="s">
        <v>121</v>
      </c>
      <c r="R2377" t="s">
        <v>122</v>
      </c>
      <c r="S2377" t="s">
        <v>123</v>
      </c>
      <c r="T2377">
        <v>290.10000000000002</v>
      </c>
      <c r="U2377">
        <v>283.5</v>
      </c>
      <c r="V2377">
        <f t="shared" si="74"/>
        <v>286.8</v>
      </c>
      <c r="W2377">
        <f t="shared" si="75"/>
        <v>6.6000000000000227</v>
      </c>
      <c r="X2377">
        <v>19.112499</v>
      </c>
      <c r="Y2377">
        <v>-31.376944000000002</v>
      </c>
      <c r="Z2377" t="s">
        <v>520</v>
      </c>
      <c r="AA2377" t="s">
        <v>106</v>
      </c>
      <c r="AB2377" t="s">
        <v>575</v>
      </c>
      <c r="AD2377" t="s">
        <v>2375</v>
      </c>
      <c r="AE2377" t="s">
        <v>2287</v>
      </c>
      <c r="AH2377" t="s">
        <v>72</v>
      </c>
      <c r="AI2377" t="s">
        <v>111</v>
      </c>
      <c r="AJ2377">
        <v>1905</v>
      </c>
      <c r="AK2377" t="s">
        <v>2392</v>
      </c>
      <c r="AM2377" t="s">
        <v>2393</v>
      </c>
      <c r="AN2377" t="s">
        <v>114</v>
      </c>
      <c r="AO2377" t="s">
        <v>77</v>
      </c>
      <c r="AP2377" t="s">
        <v>636</v>
      </c>
      <c r="AQ2377" t="s">
        <v>2394</v>
      </c>
      <c r="AR2377" t="s">
        <v>80</v>
      </c>
      <c r="AS2377">
        <v>701</v>
      </c>
      <c r="AT2377" t="s">
        <v>81</v>
      </c>
      <c r="AU2377">
        <v>-48.14</v>
      </c>
      <c r="AV2377">
        <v>-59.1</v>
      </c>
      <c r="AW2377" t="s">
        <v>82</v>
      </c>
      <c r="AX2377">
        <v>701</v>
      </c>
      <c r="AY2377" t="s">
        <v>81</v>
      </c>
      <c r="AZ2377">
        <v>-45.45</v>
      </c>
      <c r="BA2377">
        <v>-58.55</v>
      </c>
      <c r="BB2377" t="s">
        <v>83</v>
      </c>
    </row>
    <row r="2378" spans="1:54" x14ac:dyDescent="0.4">
      <c r="A2378">
        <v>820921</v>
      </c>
      <c r="D2378" t="s">
        <v>2001</v>
      </c>
      <c r="E2378" t="s">
        <v>55</v>
      </c>
      <c r="G2378">
        <v>1</v>
      </c>
      <c r="H2378" t="s">
        <v>56</v>
      </c>
      <c r="I2378" t="s">
        <v>57</v>
      </c>
      <c r="K2378" t="s">
        <v>483</v>
      </c>
      <c r="L2378" t="s">
        <v>484</v>
      </c>
      <c r="M2378" t="s">
        <v>223</v>
      </c>
      <c r="N2378" t="s">
        <v>485</v>
      </c>
      <c r="O2378" t="s">
        <v>345</v>
      </c>
      <c r="P2378" t="s">
        <v>121</v>
      </c>
      <c r="R2378" t="s">
        <v>122</v>
      </c>
      <c r="S2378" t="s">
        <v>123</v>
      </c>
      <c r="T2378">
        <v>290.10000000000002</v>
      </c>
      <c r="U2378">
        <v>283.5</v>
      </c>
      <c r="V2378">
        <f t="shared" si="74"/>
        <v>286.8</v>
      </c>
      <c r="W2378">
        <f t="shared" si="75"/>
        <v>6.6000000000000227</v>
      </c>
      <c r="X2378">
        <v>-50.650002000000001</v>
      </c>
      <c r="Y2378">
        <v>-25.475000000000001</v>
      </c>
      <c r="Z2378" t="s">
        <v>1890</v>
      </c>
      <c r="AA2378" t="s">
        <v>783</v>
      </c>
      <c r="AB2378" t="s">
        <v>2334</v>
      </c>
      <c r="AC2378" t="s">
        <v>2294</v>
      </c>
      <c r="AD2378" t="s">
        <v>2294</v>
      </c>
      <c r="AE2378" t="s">
        <v>1524</v>
      </c>
      <c r="AH2378" t="s">
        <v>72</v>
      </c>
      <c r="AI2378" t="s">
        <v>2395</v>
      </c>
      <c r="AJ2378">
        <v>2007</v>
      </c>
      <c r="AK2378" t="s">
        <v>2294</v>
      </c>
      <c r="AM2378" t="s">
        <v>2396</v>
      </c>
      <c r="AN2378" t="s">
        <v>114</v>
      </c>
      <c r="AO2378" t="s">
        <v>77</v>
      </c>
      <c r="AP2378" t="s">
        <v>78</v>
      </c>
      <c r="AQ2378" t="s">
        <v>2397</v>
      </c>
      <c r="AR2378" t="s">
        <v>80</v>
      </c>
      <c r="AS2378">
        <v>201</v>
      </c>
      <c r="AT2378" t="s">
        <v>81</v>
      </c>
      <c r="AU2378">
        <v>-31.52</v>
      </c>
      <c r="AV2378">
        <v>-46.98</v>
      </c>
      <c r="AW2378" t="s">
        <v>82</v>
      </c>
      <c r="AX2378">
        <v>201</v>
      </c>
      <c r="AY2378" t="s">
        <v>81</v>
      </c>
      <c r="AZ2378">
        <v>-29.85</v>
      </c>
      <c r="BA2378">
        <v>-46.08</v>
      </c>
      <c r="BB2378" t="s">
        <v>83</v>
      </c>
    </row>
    <row r="2379" spans="1:54" x14ac:dyDescent="0.4">
      <c r="A2379">
        <v>820921</v>
      </c>
      <c r="D2379" t="s">
        <v>2001</v>
      </c>
      <c r="E2379" t="s">
        <v>55</v>
      </c>
      <c r="G2379">
        <v>1</v>
      </c>
      <c r="H2379" t="s">
        <v>56</v>
      </c>
      <c r="I2379" t="s">
        <v>57</v>
      </c>
      <c r="K2379" t="s">
        <v>483</v>
      </c>
      <c r="L2379" t="s">
        <v>484</v>
      </c>
      <c r="M2379" t="s">
        <v>223</v>
      </c>
      <c r="N2379" t="s">
        <v>485</v>
      </c>
      <c r="O2379" t="s">
        <v>345</v>
      </c>
      <c r="P2379" t="s">
        <v>121</v>
      </c>
      <c r="R2379" t="s">
        <v>122</v>
      </c>
      <c r="S2379" t="s">
        <v>123</v>
      </c>
      <c r="T2379">
        <v>290.10000000000002</v>
      </c>
      <c r="U2379">
        <v>283.5</v>
      </c>
      <c r="V2379">
        <f t="shared" si="74"/>
        <v>286.8</v>
      </c>
      <c r="W2379">
        <f t="shared" si="75"/>
        <v>6.6000000000000227</v>
      </c>
      <c r="X2379">
        <v>-50.650002000000001</v>
      </c>
      <c r="Y2379">
        <v>-25.475000000000001</v>
      </c>
      <c r="Z2379" t="s">
        <v>1890</v>
      </c>
      <c r="AA2379" t="s">
        <v>783</v>
      </c>
      <c r="AB2379" t="s">
        <v>2334</v>
      </c>
      <c r="AC2379" t="s">
        <v>2294</v>
      </c>
      <c r="AD2379" t="s">
        <v>2294</v>
      </c>
      <c r="AE2379" t="s">
        <v>1524</v>
      </c>
      <c r="AH2379" t="s">
        <v>72</v>
      </c>
      <c r="AI2379" t="s">
        <v>2395</v>
      </c>
      <c r="AJ2379">
        <v>2007</v>
      </c>
      <c r="AK2379" t="s">
        <v>2294</v>
      </c>
      <c r="AM2379" t="s">
        <v>2396</v>
      </c>
      <c r="AN2379" t="s">
        <v>114</v>
      </c>
      <c r="AO2379" t="s">
        <v>77</v>
      </c>
      <c r="AP2379" t="s">
        <v>78</v>
      </c>
      <c r="AQ2379" t="s">
        <v>2397</v>
      </c>
      <c r="AR2379" t="s">
        <v>80</v>
      </c>
      <c r="AS2379">
        <v>201</v>
      </c>
      <c r="AT2379" t="s">
        <v>81</v>
      </c>
      <c r="AU2379">
        <v>-31.52</v>
      </c>
      <c r="AV2379">
        <v>-46.98</v>
      </c>
      <c r="AW2379" t="s">
        <v>82</v>
      </c>
      <c r="AX2379">
        <v>201</v>
      </c>
      <c r="AY2379" t="s">
        <v>81</v>
      </c>
      <c r="AZ2379">
        <v>-29.85</v>
      </c>
      <c r="BA2379">
        <v>-46.08</v>
      </c>
      <c r="BB2379" t="s">
        <v>83</v>
      </c>
    </row>
    <row r="2380" spans="1:54" x14ac:dyDescent="0.4">
      <c r="A2380">
        <v>820922</v>
      </c>
      <c r="D2380" t="s">
        <v>2001</v>
      </c>
      <c r="E2380" t="s">
        <v>55</v>
      </c>
      <c r="G2380">
        <v>1</v>
      </c>
      <c r="H2380" t="s">
        <v>56</v>
      </c>
      <c r="I2380" t="s">
        <v>57</v>
      </c>
      <c r="K2380" t="s">
        <v>483</v>
      </c>
      <c r="L2380" t="s">
        <v>484</v>
      </c>
      <c r="M2380" t="s">
        <v>223</v>
      </c>
      <c r="N2380" t="s">
        <v>485</v>
      </c>
      <c r="O2380" t="s">
        <v>345</v>
      </c>
      <c r="P2380" t="s">
        <v>121</v>
      </c>
      <c r="R2380" t="s">
        <v>122</v>
      </c>
      <c r="S2380" t="s">
        <v>123</v>
      </c>
      <c r="T2380">
        <v>290.10000000000002</v>
      </c>
      <c r="U2380">
        <v>283.5</v>
      </c>
      <c r="V2380">
        <f t="shared" si="74"/>
        <v>286.8</v>
      </c>
      <c r="W2380">
        <f t="shared" si="75"/>
        <v>6.6000000000000227</v>
      </c>
      <c r="X2380">
        <v>-50.650002000000001</v>
      </c>
      <c r="Y2380">
        <v>-25.475000000000001</v>
      </c>
      <c r="Z2380" t="s">
        <v>1890</v>
      </c>
      <c r="AA2380" t="s">
        <v>783</v>
      </c>
      <c r="AB2380" t="s">
        <v>2334</v>
      </c>
      <c r="AC2380" t="s">
        <v>2294</v>
      </c>
      <c r="AD2380" t="s">
        <v>2294</v>
      </c>
      <c r="AE2380" t="s">
        <v>1524</v>
      </c>
      <c r="AH2380" t="s">
        <v>72</v>
      </c>
      <c r="AI2380" t="s">
        <v>2342</v>
      </c>
      <c r="AJ2380">
        <v>2009</v>
      </c>
      <c r="AK2380" t="s">
        <v>2294</v>
      </c>
      <c r="AM2380" t="s">
        <v>2396</v>
      </c>
      <c r="AN2380" t="s">
        <v>114</v>
      </c>
      <c r="AO2380" t="s">
        <v>77</v>
      </c>
      <c r="AP2380" t="s">
        <v>78</v>
      </c>
      <c r="AQ2380" t="s">
        <v>2397</v>
      </c>
      <c r="AR2380" t="s">
        <v>80</v>
      </c>
      <c r="AS2380">
        <v>201</v>
      </c>
      <c r="AT2380" t="s">
        <v>81</v>
      </c>
      <c r="AU2380">
        <v>-31.52</v>
      </c>
      <c r="AV2380">
        <v>-46.98</v>
      </c>
      <c r="AW2380" t="s">
        <v>82</v>
      </c>
      <c r="AX2380">
        <v>201</v>
      </c>
      <c r="AY2380" t="s">
        <v>81</v>
      </c>
      <c r="AZ2380">
        <v>-29.85</v>
      </c>
      <c r="BA2380">
        <v>-46.08</v>
      </c>
      <c r="BB2380" t="s">
        <v>83</v>
      </c>
    </row>
    <row r="2381" spans="1:54" x14ac:dyDescent="0.4">
      <c r="A2381">
        <v>820922</v>
      </c>
      <c r="D2381" t="s">
        <v>2001</v>
      </c>
      <c r="E2381" t="s">
        <v>55</v>
      </c>
      <c r="G2381">
        <v>1</v>
      </c>
      <c r="H2381" t="s">
        <v>56</v>
      </c>
      <c r="I2381" t="s">
        <v>57</v>
      </c>
      <c r="K2381" t="s">
        <v>483</v>
      </c>
      <c r="L2381" t="s">
        <v>484</v>
      </c>
      <c r="M2381" t="s">
        <v>223</v>
      </c>
      <c r="N2381" t="s">
        <v>485</v>
      </c>
      <c r="O2381" t="s">
        <v>345</v>
      </c>
      <c r="P2381" t="s">
        <v>121</v>
      </c>
      <c r="R2381" t="s">
        <v>122</v>
      </c>
      <c r="S2381" t="s">
        <v>123</v>
      </c>
      <c r="T2381">
        <v>290.10000000000002</v>
      </c>
      <c r="U2381">
        <v>283.5</v>
      </c>
      <c r="V2381">
        <f t="shared" si="74"/>
        <v>286.8</v>
      </c>
      <c r="W2381">
        <f t="shared" si="75"/>
        <v>6.6000000000000227</v>
      </c>
      <c r="X2381">
        <v>-50.650002000000001</v>
      </c>
      <c r="Y2381">
        <v>-25.475000000000001</v>
      </c>
      <c r="Z2381" t="s">
        <v>1890</v>
      </c>
      <c r="AA2381" t="s">
        <v>783</v>
      </c>
      <c r="AB2381" t="s">
        <v>2334</v>
      </c>
      <c r="AC2381" t="s">
        <v>2294</v>
      </c>
      <c r="AD2381" t="s">
        <v>2294</v>
      </c>
      <c r="AE2381" t="s">
        <v>1524</v>
      </c>
      <c r="AH2381" t="s">
        <v>72</v>
      </c>
      <c r="AI2381" t="s">
        <v>2342</v>
      </c>
      <c r="AJ2381">
        <v>2009</v>
      </c>
      <c r="AK2381" t="s">
        <v>2294</v>
      </c>
      <c r="AM2381" t="s">
        <v>2396</v>
      </c>
      <c r="AN2381" t="s">
        <v>114</v>
      </c>
      <c r="AO2381" t="s">
        <v>77</v>
      </c>
      <c r="AP2381" t="s">
        <v>78</v>
      </c>
      <c r="AQ2381" t="s">
        <v>2397</v>
      </c>
      <c r="AR2381" t="s">
        <v>80</v>
      </c>
      <c r="AS2381">
        <v>201</v>
      </c>
      <c r="AT2381" t="s">
        <v>81</v>
      </c>
      <c r="AU2381">
        <v>-31.52</v>
      </c>
      <c r="AV2381">
        <v>-46.98</v>
      </c>
      <c r="AW2381" t="s">
        <v>82</v>
      </c>
      <c r="AX2381">
        <v>201</v>
      </c>
      <c r="AY2381" t="s">
        <v>81</v>
      </c>
      <c r="AZ2381">
        <v>-29.85</v>
      </c>
      <c r="BA2381">
        <v>-46.08</v>
      </c>
      <c r="BB2381" t="s">
        <v>83</v>
      </c>
    </row>
    <row r="2382" spans="1:54" x14ac:dyDescent="0.4">
      <c r="A2382">
        <v>820922</v>
      </c>
      <c r="D2382" t="s">
        <v>2001</v>
      </c>
      <c r="E2382" t="s">
        <v>55</v>
      </c>
      <c r="G2382">
        <v>1</v>
      </c>
      <c r="H2382" t="s">
        <v>56</v>
      </c>
      <c r="I2382" t="s">
        <v>57</v>
      </c>
      <c r="K2382" t="s">
        <v>483</v>
      </c>
      <c r="L2382" t="s">
        <v>484</v>
      </c>
      <c r="M2382" t="s">
        <v>223</v>
      </c>
      <c r="N2382" t="s">
        <v>485</v>
      </c>
      <c r="O2382" t="s">
        <v>345</v>
      </c>
      <c r="P2382" t="s">
        <v>121</v>
      </c>
      <c r="R2382" t="s">
        <v>122</v>
      </c>
      <c r="S2382" t="s">
        <v>123</v>
      </c>
      <c r="T2382">
        <v>290.10000000000002</v>
      </c>
      <c r="U2382">
        <v>283.5</v>
      </c>
      <c r="V2382">
        <f t="shared" si="74"/>
        <v>286.8</v>
      </c>
      <c r="W2382">
        <f t="shared" si="75"/>
        <v>6.6000000000000227</v>
      </c>
      <c r="X2382">
        <v>-50.650002000000001</v>
      </c>
      <c r="Y2382">
        <v>-25.475000000000001</v>
      </c>
      <c r="Z2382" t="s">
        <v>1890</v>
      </c>
      <c r="AA2382" t="s">
        <v>783</v>
      </c>
      <c r="AB2382" t="s">
        <v>2334</v>
      </c>
      <c r="AC2382" t="s">
        <v>2294</v>
      </c>
      <c r="AD2382" t="s">
        <v>2294</v>
      </c>
      <c r="AE2382" t="s">
        <v>1524</v>
      </c>
      <c r="AH2382" t="s">
        <v>72</v>
      </c>
      <c r="AI2382" t="s">
        <v>2342</v>
      </c>
      <c r="AJ2382">
        <v>2009</v>
      </c>
      <c r="AK2382" t="s">
        <v>2294</v>
      </c>
      <c r="AM2382" t="s">
        <v>2396</v>
      </c>
      <c r="AN2382" t="s">
        <v>114</v>
      </c>
      <c r="AO2382" t="s">
        <v>77</v>
      </c>
      <c r="AP2382" t="s">
        <v>78</v>
      </c>
      <c r="AQ2382" t="s">
        <v>2397</v>
      </c>
      <c r="AR2382" t="s">
        <v>80</v>
      </c>
      <c r="AS2382">
        <v>201</v>
      </c>
      <c r="AT2382" t="s">
        <v>81</v>
      </c>
      <c r="AU2382">
        <v>-31.52</v>
      </c>
      <c r="AV2382">
        <v>-46.98</v>
      </c>
      <c r="AW2382" t="s">
        <v>82</v>
      </c>
      <c r="AX2382">
        <v>201</v>
      </c>
      <c r="AY2382" t="s">
        <v>81</v>
      </c>
      <c r="AZ2382">
        <v>-29.85</v>
      </c>
      <c r="BA2382">
        <v>-46.08</v>
      </c>
      <c r="BB2382" t="s">
        <v>83</v>
      </c>
    </row>
    <row r="2383" spans="1:54" x14ac:dyDescent="0.4">
      <c r="A2383">
        <v>820928</v>
      </c>
      <c r="D2383" t="s">
        <v>2001</v>
      </c>
      <c r="E2383" t="s">
        <v>55</v>
      </c>
      <c r="G2383">
        <v>1</v>
      </c>
      <c r="H2383" t="s">
        <v>56</v>
      </c>
      <c r="I2383" t="s">
        <v>57</v>
      </c>
      <c r="K2383" t="s">
        <v>483</v>
      </c>
      <c r="L2383" t="s">
        <v>484</v>
      </c>
      <c r="M2383" t="s">
        <v>223</v>
      </c>
      <c r="N2383" t="s">
        <v>485</v>
      </c>
      <c r="O2383" t="s">
        <v>345</v>
      </c>
      <c r="P2383" t="s">
        <v>121</v>
      </c>
      <c r="R2383" t="s">
        <v>122</v>
      </c>
      <c r="S2383" t="s">
        <v>123</v>
      </c>
      <c r="T2383">
        <v>290.10000000000002</v>
      </c>
      <c r="U2383">
        <v>283.5</v>
      </c>
      <c r="V2383">
        <f t="shared" si="74"/>
        <v>286.8</v>
      </c>
      <c r="W2383">
        <f t="shared" si="75"/>
        <v>6.6000000000000227</v>
      </c>
      <c r="X2383">
        <v>-50.422221999999998</v>
      </c>
      <c r="Y2383">
        <v>-25.844443999999999</v>
      </c>
      <c r="Z2383" t="s">
        <v>1890</v>
      </c>
      <c r="AA2383" t="s">
        <v>783</v>
      </c>
      <c r="AB2383" t="s">
        <v>2334</v>
      </c>
      <c r="AC2383" t="s">
        <v>2335</v>
      </c>
      <c r="AD2383" t="s">
        <v>2294</v>
      </c>
      <c r="AE2383" t="s">
        <v>1524</v>
      </c>
      <c r="AH2383" t="s">
        <v>72</v>
      </c>
      <c r="AI2383" t="s">
        <v>2395</v>
      </c>
      <c r="AJ2383">
        <v>2007</v>
      </c>
      <c r="AK2383" t="s">
        <v>2337</v>
      </c>
      <c r="AM2383" t="s">
        <v>2338</v>
      </c>
      <c r="AN2383" t="s">
        <v>192</v>
      </c>
      <c r="AO2383" t="s">
        <v>77</v>
      </c>
      <c r="AP2383" t="s">
        <v>78</v>
      </c>
      <c r="AQ2383" t="s">
        <v>2339</v>
      </c>
      <c r="AR2383" t="s">
        <v>80</v>
      </c>
      <c r="AS2383">
        <v>201</v>
      </c>
      <c r="AT2383" t="s">
        <v>81</v>
      </c>
      <c r="AU2383">
        <v>-31.49</v>
      </c>
      <c r="AV2383">
        <v>-47.4</v>
      </c>
      <c r="AW2383" t="s">
        <v>82</v>
      </c>
      <c r="AX2383">
        <v>201</v>
      </c>
      <c r="AY2383" t="s">
        <v>81</v>
      </c>
      <c r="AZ2383">
        <v>-29.79</v>
      </c>
      <c r="BA2383">
        <v>-46.5</v>
      </c>
      <c r="BB2383" t="s">
        <v>83</v>
      </c>
    </row>
    <row r="2384" spans="1:54" x14ac:dyDescent="0.4">
      <c r="A2384">
        <v>820929</v>
      </c>
      <c r="D2384" t="s">
        <v>2001</v>
      </c>
      <c r="E2384" t="s">
        <v>55</v>
      </c>
      <c r="G2384">
        <v>1</v>
      </c>
      <c r="H2384" t="s">
        <v>435</v>
      </c>
      <c r="I2384" t="s">
        <v>57</v>
      </c>
      <c r="K2384" t="s">
        <v>483</v>
      </c>
      <c r="L2384" t="s">
        <v>484</v>
      </c>
      <c r="M2384" t="s">
        <v>223</v>
      </c>
      <c r="N2384" t="s">
        <v>485</v>
      </c>
      <c r="O2384" t="s">
        <v>345</v>
      </c>
      <c r="P2384" t="s">
        <v>121</v>
      </c>
      <c r="R2384" t="s">
        <v>122</v>
      </c>
      <c r="S2384" t="s">
        <v>123</v>
      </c>
      <c r="T2384">
        <v>290.10000000000002</v>
      </c>
      <c r="U2384">
        <v>283.5</v>
      </c>
      <c r="V2384">
        <f t="shared" si="74"/>
        <v>286.8</v>
      </c>
      <c r="W2384">
        <f t="shared" si="75"/>
        <v>6.6000000000000227</v>
      </c>
      <c r="X2384">
        <v>-47.861111000000001</v>
      </c>
      <c r="Y2384">
        <v>-22.977501</v>
      </c>
      <c r="Z2384" t="s">
        <v>520</v>
      </c>
      <c r="AA2384" t="s">
        <v>783</v>
      </c>
      <c r="AB2384" t="s">
        <v>2343</v>
      </c>
      <c r="AD2384" t="s">
        <v>2294</v>
      </c>
      <c r="AE2384" t="s">
        <v>1524</v>
      </c>
      <c r="AH2384" t="s">
        <v>72</v>
      </c>
      <c r="AI2384" t="s">
        <v>2395</v>
      </c>
      <c r="AJ2384">
        <v>2007</v>
      </c>
      <c r="AK2384" t="s">
        <v>2346</v>
      </c>
      <c r="AM2384" t="s">
        <v>2347</v>
      </c>
      <c r="AN2384" t="s">
        <v>114</v>
      </c>
      <c r="AO2384" t="s">
        <v>77</v>
      </c>
      <c r="AP2384" t="s">
        <v>359</v>
      </c>
      <c r="AQ2384" t="s">
        <v>2348</v>
      </c>
      <c r="AR2384" t="s">
        <v>80</v>
      </c>
      <c r="AS2384">
        <v>201</v>
      </c>
      <c r="AT2384" t="s">
        <v>81</v>
      </c>
      <c r="AU2384">
        <v>-26.66</v>
      </c>
      <c r="AV2384">
        <v>-45.77</v>
      </c>
      <c r="AW2384" t="s">
        <v>82</v>
      </c>
      <c r="AX2384">
        <v>201</v>
      </c>
      <c r="AY2384" t="s">
        <v>81</v>
      </c>
      <c r="AZ2384">
        <v>-25.11</v>
      </c>
      <c r="BA2384">
        <v>-44.78</v>
      </c>
      <c r="BB2384" t="s">
        <v>83</v>
      </c>
    </row>
    <row r="2385" spans="1:54" x14ac:dyDescent="0.4">
      <c r="A2385">
        <v>821003</v>
      </c>
      <c r="D2385" t="s">
        <v>54</v>
      </c>
      <c r="E2385" t="s">
        <v>55</v>
      </c>
      <c r="G2385">
        <v>1</v>
      </c>
      <c r="H2385" t="s">
        <v>56</v>
      </c>
      <c r="I2385" t="s">
        <v>57</v>
      </c>
      <c r="K2385" t="s">
        <v>483</v>
      </c>
      <c r="L2385" t="s">
        <v>484</v>
      </c>
      <c r="M2385" t="s">
        <v>223</v>
      </c>
      <c r="N2385" t="s">
        <v>485</v>
      </c>
      <c r="O2385" t="s">
        <v>345</v>
      </c>
      <c r="P2385" t="s">
        <v>121</v>
      </c>
      <c r="R2385" t="s">
        <v>122</v>
      </c>
      <c r="S2385" t="s">
        <v>123</v>
      </c>
      <c r="T2385">
        <v>290.10000000000002</v>
      </c>
      <c r="U2385">
        <v>283.5</v>
      </c>
      <c r="V2385">
        <f t="shared" si="74"/>
        <v>286.8</v>
      </c>
      <c r="W2385">
        <f t="shared" si="75"/>
        <v>6.6000000000000227</v>
      </c>
      <c r="X2385">
        <v>-47.577778000000002</v>
      </c>
      <c r="Y2385">
        <v>-22.516666000000001</v>
      </c>
      <c r="Z2385" t="s">
        <v>1890</v>
      </c>
      <c r="AA2385" t="s">
        <v>783</v>
      </c>
      <c r="AB2385" t="s">
        <v>2343</v>
      </c>
      <c r="AC2385" t="s">
        <v>2359</v>
      </c>
      <c r="AD2385" t="s">
        <v>2294</v>
      </c>
      <c r="AE2385" t="s">
        <v>1524</v>
      </c>
      <c r="AF2385" t="s">
        <v>2295</v>
      </c>
      <c r="AH2385" t="s">
        <v>72</v>
      </c>
      <c r="AI2385" t="s">
        <v>2395</v>
      </c>
      <c r="AJ2385">
        <v>2007</v>
      </c>
      <c r="AK2385" t="s">
        <v>2411</v>
      </c>
      <c r="AL2385">
        <v>90429</v>
      </c>
      <c r="AM2385" t="s">
        <v>2412</v>
      </c>
      <c r="AN2385" t="s">
        <v>192</v>
      </c>
      <c r="AO2385" t="s">
        <v>160</v>
      </c>
      <c r="AP2385" t="s">
        <v>636</v>
      </c>
      <c r="AQ2385" t="s">
        <v>2413</v>
      </c>
      <c r="AR2385" t="s">
        <v>80</v>
      </c>
      <c r="AS2385">
        <v>201</v>
      </c>
      <c r="AT2385" t="s">
        <v>81</v>
      </c>
      <c r="AU2385">
        <v>-26.05</v>
      </c>
      <c r="AV2385">
        <v>-45.45</v>
      </c>
      <c r="AW2385" t="s">
        <v>82</v>
      </c>
      <c r="AX2385">
        <v>201</v>
      </c>
      <c r="AY2385" t="s">
        <v>81</v>
      </c>
      <c r="AZ2385">
        <v>-24.53</v>
      </c>
      <c r="BA2385">
        <v>-44.45</v>
      </c>
      <c r="BB2385" t="s">
        <v>83</v>
      </c>
    </row>
    <row r="2386" spans="1:54" x14ac:dyDescent="0.4">
      <c r="A2386">
        <v>821005</v>
      </c>
      <c r="D2386" t="s">
        <v>2134</v>
      </c>
      <c r="E2386" t="s">
        <v>55</v>
      </c>
      <c r="I2386" t="s">
        <v>57</v>
      </c>
      <c r="K2386" t="s">
        <v>483</v>
      </c>
      <c r="L2386" t="s">
        <v>484</v>
      </c>
      <c r="M2386" t="s">
        <v>223</v>
      </c>
      <c r="N2386" t="s">
        <v>485</v>
      </c>
      <c r="O2386" t="s">
        <v>345</v>
      </c>
      <c r="P2386" t="s">
        <v>121</v>
      </c>
      <c r="R2386" t="s">
        <v>122</v>
      </c>
      <c r="S2386" t="s">
        <v>123</v>
      </c>
      <c r="T2386">
        <v>290.10000000000002</v>
      </c>
      <c r="U2386">
        <v>283.5</v>
      </c>
      <c r="V2386">
        <f t="shared" si="74"/>
        <v>286.8</v>
      </c>
      <c r="W2386">
        <f t="shared" si="75"/>
        <v>6.6000000000000227</v>
      </c>
      <c r="X2386">
        <v>-50.650002000000001</v>
      </c>
      <c r="Y2386">
        <v>-25.475000000000001</v>
      </c>
      <c r="Z2386" t="s">
        <v>1890</v>
      </c>
      <c r="AA2386" t="s">
        <v>783</v>
      </c>
      <c r="AB2386" t="s">
        <v>2334</v>
      </c>
      <c r="AC2386" t="s">
        <v>2294</v>
      </c>
      <c r="AD2386" t="s">
        <v>2294</v>
      </c>
      <c r="AE2386" t="s">
        <v>1524</v>
      </c>
      <c r="AH2386" t="s">
        <v>72</v>
      </c>
      <c r="AI2386" t="s">
        <v>2414</v>
      </c>
      <c r="AJ2386">
        <v>2000</v>
      </c>
      <c r="AK2386" t="s">
        <v>2415</v>
      </c>
      <c r="AM2386" t="s">
        <v>2416</v>
      </c>
      <c r="AN2386" t="s">
        <v>114</v>
      </c>
      <c r="AO2386" t="s">
        <v>77</v>
      </c>
      <c r="AP2386" t="s">
        <v>115</v>
      </c>
      <c r="AQ2386" t="s">
        <v>2417</v>
      </c>
      <c r="AR2386" t="s">
        <v>80</v>
      </c>
      <c r="AS2386">
        <v>201</v>
      </c>
      <c r="AT2386" t="s">
        <v>81</v>
      </c>
      <c r="AU2386">
        <v>-31.52</v>
      </c>
      <c r="AV2386">
        <v>-46.98</v>
      </c>
      <c r="AW2386" t="s">
        <v>82</v>
      </c>
      <c r="AX2386">
        <v>201</v>
      </c>
      <c r="AY2386" t="s">
        <v>81</v>
      </c>
      <c r="AZ2386">
        <v>-29.85</v>
      </c>
      <c r="BA2386">
        <v>-46.08</v>
      </c>
      <c r="BB2386" t="s">
        <v>83</v>
      </c>
    </row>
    <row r="2387" spans="1:54" x14ac:dyDescent="0.4">
      <c r="A2387">
        <v>821028</v>
      </c>
      <c r="D2387" t="s">
        <v>2134</v>
      </c>
      <c r="E2387" t="s">
        <v>55</v>
      </c>
      <c r="I2387" t="s">
        <v>57</v>
      </c>
      <c r="K2387" t="s">
        <v>483</v>
      </c>
      <c r="L2387" t="s">
        <v>484</v>
      </c>
      <c r="M2387" t="s">
        <v>223</v>
      </c>
      <c r="N2387" t="s">
        <v>485</v>
      </c>
      <c r="O2387" t="s">
        <v>345</v>
      </c>
      <c r="P2387" t="s">
        <v>121</v>
      </c>
      <c r="R2387" t="s">
        <v>122</v>
      </c>
      <c r="S2387" t="s">
        <v>123</v>
      </c>
      <c r="T2387">
        <v>290.10000000000002</v>
      </c>
      <c r="U2387">
        <v>283.5</v>
      </c>
      <c r="V2387">
        <f t="shared" si="74"/>
        <v>286.8</v>
      </c>
      <c r="W2387">
        <f t="shared" si="75"/>
        <v>6.6000000000000227</v>
      </c>
      <c r="X2387">
        <v>-50.694443</v>
      </c>
      <c r="Y2387">
        <v>-25.623611</v>
      </c>
      <c r="Z2387" t="s">
        <v>1890</v>
      </c>
      <c r="AA2387" t="s">
        <v>783</v>
      </c>
      <c r="AB2387" t="s">
        <v>2334</v>
      </c>
      <c r="AC2387" t="s">
        <v>2418</v>
      </c>
      <c r="AD2387" t="s">
        <v>2294</v>
      </c>
      <c r="AE2387" t="s">
        <v>1524</v>
      </c>
      <c r="AH2387" t="s">
        <v>72</v>
      </c>
      <c r="AI2387" t="s">
        <v>2414</v>
      </c>
      <c r="AJ2387">
        <v>2000</v>
      </c>
      <c r="AK2387" t="s">
        <v>2418</v>
      </c>
      <c r="AM2387" t="s">
        <v>2419</v>
      </c>
      <c r="AN2387" t="s">
        <v>114</v>
      </c>
      <c r="AO2387" t="s">
        <v>77</v>
      </c>
      <c r="AP2387" t="s">
        <v>115</v>
      </c>
      <c r="AQ2387" t="s">
        <v>2420</v>
      </c>
      <c r="AR2387" t="s">
        <v>80</v>
      </c>
      <c r="AS2387">
        <v>201</v>
      </c>
      <c r="AT2387" t="s">
        <v>81</v>
      </c>
      <c r="AU2387">
        <v>-31.67</v>
      </c>
      <c r="AV2387">
        <v>-47.09</v>
      </c>
      <c r="AW2387" t="s">
        <v>82</v>
      </c>
      <c r="AX2387">
        <v>201</v>
      </c>
      <c r="AY2387" t="s">
        <v>81</v>
      </c>
      <c r="AZ2387">
        <v>-29.99</v>
      </c>
      <c r="BA2387">
        <v>-46.2</v>
      </c>
      <c r="BB2387" t="s">
        <v>83</v>
      </c>
    </row>
    <row r="2388" spans="1:54" x14ac:dyDescent="0.4">
      <c r="A2388">
        <v>821068</v>
      </c>
      <c r="D2388" t="s">
        <v>2001</v>
      </c>
      <c r="E2388" t="s">
        <v>55</v>
      </c>
      <c r="G2388">
        <v>1</v>
      </c>
      <c r="H2388" t="s">
        <v>56</v>
      </c>
      <c r="I2388" t="s">
        <v>57</v>
      </c>
      <c r="K2388" t="s">
        <v>483</v>
      </c>
      <c r="L2388" t="s">
        <v>2299</v>
      </c>
      <c r="M2388" t="s">
        <v>223</v>
      </c>
      <c r="N2388" t="s">
        <v>485</v>
      </c>
      <c r="O2388" t="s">
        <v>345</v>
      </c>
      <c r="P2388" t="s">
        <v>121</v>
      </c>
      <c r="R2388" t="s">
        <v>122</v>
      </c>
      <c r="S2388" t="s">
        <v>123</v>
      </c>
      <c r="T2388">
        <v>290.10000000000002</v>
      </c>
      <c r="U2388">
        <v>283.5</v>
      </c>
      <c r="V2388">
        <f t="shared" si="74"/>
        <v>286.8</v>
      </c>
      <c r="W2388">
        <f t="shared" si="75"/>
        <v>6.6000000000000227</v>
      </c>
      <c r="X2388">
        <v>-50.650002000000001</v>
      </c>
      <c r="Y2388">
        <v>-25.475000000000001</v>
      </c>
      <c r="Z2388" t="s">
        <v>520</v>
      </c>
      <c r="AA2388" t="s">
        <v>783</v>
      </c>
      <c r="AB2388" t="s">
        <v>2334</v>
      </c>
      <c r="AD2388" t="s">
        <v>2294</v>
      </c>
      <c r="AE2388" t="s">
        <v>1524</v>
      </c>
      <c r="AH2388" t="s">
        <v>72</v>
      </c>
      <c r="AI2388" t="s">
        <v>2414</v>
      </c>
      <c r="AJ2388">
        <v>2000</v>
      </c>
      <c r="AK2388" t="s">
        <v>2366</v>
      </c>
      <c r="AM2388" t="s">
        <v>2367</v>
      </c>
      <c r="AN2388" t="s">
        <v>114</v>
      </c>
      <c r="AO2388" t="s">
        <v>77</v>
      </c>
      <c r="AP2388" t="s">
        <v>359</v>
      </c>
      <c r="AQ2388" t="s">
        <v>2368</v>
      </c>
      <c r="AR2388" t="s">
        <v>80</v>
      </c>
      <c r="AS2388">
        <v>201</v>
      </c>
      <c r="AT2388" t="s">
        <v>81</v>
      </c>
      <c r="AU2388">
        <v>-31.52</v>
      </c>
      <c r="AV2388">
        <v>-46.98</v>
      </c>
      <c r="AW2388" t="s">
        <v>82</v>
      </c>
      <c r="AX2388">
        <v>201</v>
      </c>
      <c r="AY2388" t="s">
        <v>81</v>
      </c>
      <c r="AZ2388">
        <v>-29.85</v>
      </c>
      <c r="BA2388">
        <v>-46.08</v>
      </c>
      <c r="BB2388" t="s">
        <v>83</v>
      </c>
    </row>
    <row r="2389" spans="1:54" x14ac:dyDescent="0.4">
      <c r="A2389">
        <v>821068</v>
      </c>
      <c r="D2389" t="s">
        <v>2001</v>
      </c>
      <c r="E2389" t="s">
        <v>55</v>
      </c>
      <c r="G2389">
        <v>1</v>
      </c>
      <c r="H2389" t="s">
        <v>56</v>
      </c>
      <c r="I2389" t="s">
        <v>57</v>
      </c>
      <c r="K2389" t="s">
        <v>483</v>
      </c>
      <c r="L2389" t="s">
        <v>2299</v>
      </c>
      <c r="M2389" t="s">
        <v>223</v>
      </c>
      <c r="N2389" t="s">
        <v>485</v>
      </c>
      <c r="O2389" t="s">
        <v>345</v>
      </c>
      <c r="P2389" t="s">
        <v>121</v>
      </c>
      <c r="R2389" t="s">
        <v>122</v>
      </c>
      <c r="S2389" t="s">
        <v>123</v>
      </c>
      <c r="T2389">
        <v>290.10000000000002</v>
      </c>
      <c r="U2389">
        <v>283.5</v>
      </c>
      <c r="V2389">
        <f t="shared" si="74"/>
        <v>286.8</v>
      </c>
      <c r="W2389">
        <f t="shared" si="75"/>
        <v>6.6000000000000227</v>
      </c>
      <c r="X2389">
        <v>-50.650002000000001</v>
      </c>
      <c r="Y2389">
        <v>-25.475000000000001</v>
      </c>
      <c r="Z2389" t="s">
        <v>520</v>
      </c>
      <c r="AA2389" t="s">
        <v>783</v>
      </c>
      <c r="AB2389" t="s">
        <v>2334</v>
      </c>
      <c r="AD2389" t="s">
        <v>2294</v>
      </c>
      <c r="AE2389" t="s">
        <v>1524</v>
      </c>
      <c r="AH2389" t="s">
        <v>72</v>
      </c>
      <c r="AI2389" t="s">
        <v>2414</v>
      </c>
      <c r="AJ2389">
        <v>2000</v>
      </c>
      <c r="AK2389" t="s">
        <v>2366</v>
      </c>
      <c r="AM2389" t="s">
        <v>2367</v>
      </c>
      <c r="AN2389" t="s">
        <v>114</v>
      </c>
      <c r="AO2389" t="s">
        <v>77</v>
      </c>
      <c r="AP2389" t="s">
        <v>359</v>
      </c>
      <c r="AQ2389" t="s">
        <v>2368</v>
      </c>
      <c r="AR2389" t="s">
        <v>80</v>
      </c>
      <c r="AS2389">
        <v>201</v>
      </c>
      <c r="AT2389" t="s">
        <v>81</v>
      </c>
      <c r="AU2389">
        <v>-31.52</v>
      </c>
      <c r="AV2389">
        <v>-46.98</v>
      </c>
      <c r="AW2389" t="s">
        <v>82</v>
      </c>
      <c r="AX2389">
        <v>201</v>
      </c>
      <c r="AY2389" t="s">
        <v>81</v>
      </c>
      <c r="AZ2389">
        <v>-29.85</v>
      </c>
      <c r="BA2389">
        <v>-46.08</v>
      </c>
      <c r="BB2389" t="s">
        <v>83</v>
      </c>
    </row>
    <row r="2390" spans="1:54" x14ac:dyDescent="0.4">
      <c r="A2390">
        <v>821068</v>
      </c>
      <c r="D2390" t="s">
        <v>2001</v>
      </c>
      <c r="E2390" t="s">
        <v>55</v>
      </c>
      <c r="G2390">
        <v>1</v>
      </c>
      <c r="H2390" t="s">
        <v>56</v>
      </c>
      <c r="I2390" t="s">
        <v>57</v>
      </c>
      <c r="K2390" t="s">
        <v>483</v>
      </c>
      <c r="L2390" t="s">
        <v>2299</v>
      </c>
      <c r="M2390" t="s">
        <v>223</v>
      </c>
      <c r="N2390" t="s">
        <v>485</v>
      </c>
      <c r="O2390" t="s">
        <v>345</v>
      </c>
      <c r="P2390" t="s">
        <v>121</v>
      </c>
      <c r="R2390" t="s">
        <v>122</v>
      </c>
      <c r="S2390" t="s">
        <v>123</v>
      </c>
      <c r="T2390">
        <v>290.10000000000002</v>
      </c>
      <c r="U2390">
        <v>283.5</v>
      </c>
      <c r="V2390">
        <f t="shared" si="74"/>
        <v>286.8</v>
      </c>
      <c r="W2390">
        <f t="shared" si="75"/>
        <v>6.6000000000000227</v>
      </c>
      <c r="X2390">
        <v>-50.650002000000001</v>
      </c>
      <c r="Y2390">
        <v>-25.475000000000001</v>
      </c>
      <c r="Z2390" t="s">
        <v>520</v>
      </c>
      <c r="AA2390" t="s">
        <v>783</v>
      </c>
      <c r="AB2390" t="s">
        <v>2334</v>
      </c>
      <c r="AD2390" t="s">
        <v>2294</v>
      </c>
      <c r="AE2390" t="s">
        <v>1524</v>
      </c>
      <c r="AH2390" t="s">
        <v>72</v>
      </c>
      <c r="AI2390" t="s">
        <v>2414</v>
      </c>
      <c r="AJ2390">
        <v>2000</v>
      </c>
      <c r="AK2390" t="s">
        <v>2366</v>
      </c>
      <c r="AM2390" t="s">
        <v>2367</v>
      </c>
      <c r="AN2390" t="s">
        <v>114</v>
      </c>
      <c r="AO2390" t="s">
        <v>77</v>
      </c>
      <c r="AP2390" t="s">
        <v>359</v>
      </c>
      <c r="AQ2390" t="s">
        <v>2368</v>
      </c>
      <c r="AR2390" t="s">
        <v>80</v>
      </c>
      <c r="AS2390">
        <v>201</v>
      </c>
      <c r="AT2390" t="s">
        <v>81</v>
      </c>
      <c r="AU2390">
        <v>-31.52</v>
      </c>
      <c r="AV2390">
        <v>-46.98</v>
      </c>
      <c r="AW2390" t="s">
        <v>82</v>
      </c>
      <c r="AX2390">
        <v>201</v>
      </c>
      <c r="AY2390" t="s">
        <v>81</v>
      </c>
      <c r="AZ2390">
        <v>-29.85</v>
      </c>
      <c r="BA2390">
        <v>-46.08</v>
      </c>
      <c r="BB2390" t="s">
        <v>83</v>
      </c>
    </row>
    <row r="2391" spans="1:54" x14ac:dyDescent="0.4">
      <c r="A2391">
        <v>821068</v>
      </c>
      <c r="D2391" t="s">
        <v>2001</v>
      </c>
      <c r="E2391" t="s">
        <v>55</v>
      </c>
      <c r="G2391">
        <v>1</v>
      </c>
      <c r="H2391" t="s">
        <v>56</v>
      </c>
      <c r="I2391" t="s">
        <v>57</v>
      </c>
      <c r="K2391" t="s">
        <v>483</v>
      </c>
      <c r="L2391" t="s">
        <v>2299</v>
      </c>
      <c r="M2391" t="s">
        <v>223</v>
      </c>
      <c r="N2391" t="s">
        <v>485</v>
      </c>
      <c r="O2391" t="s">
        <v>345</v>
      </c>
      <c r="P2391" t="s">
        <v>121</v>
      </c>
      <c r="R2391" t="s">
        <v>122</v>
      </c>
      <c r="S2391" t="s">
        <v>123</v>
      </c>
      <c r="T2391">
        <v>290.10000000000002</v>
      </c>
      <c r="U2391">
        <v>283.5</v>
      </c>
      <c r="V2391">
        <f t="shared" si="74"/>
        <v>286.8</v>
      </c>
      <c r="W2391">
        <f t="shared" si="75"/>
        <v>6.6000000000000227</v>
      </c>
      <c r="X2391">
        <v>-50.650002000000001</v>
      </c>
      <c r="Y2391">
        <v>-25.475000000000001</v>
      </c>
      <c r="Z2391" t="s">
        <v>520</v>
      </c>
      <c r="AA2391" t="s">
        <v>783</v>
      </c>
      <c r="AB2391" t="s">
        <v>2334</v>
      </c>
      <c r="AD2391" t="s">
        <v>2294</v>
      </c>
      <c r="AE2391" t="s">
        <v>1524</v>
      </c>
      <c r="AH2391" t="s">
        <v>72</v>
      </c>
      <c r="AI2391" t="s">
        <v>2414</v>
      </c>
      <c r="AJ2391">
        <v>2000</v>
      </c>
      <c r="AK2391" t="s">
        <v>2366</v>
      </c>
      <c r="AM2391" t="s">
        <v>2367</v>
      </c>
      <c r="AN2391" t="s">
        <v>114</v>
      </c>
      <c r="AO2391" t="s">
        <v>77</v>
      </c>
      <c r="AP2391" t="s">
        <v>359</v>
      </c>
      <c r="AQ2391" t="s">
        <v>2368</v>
      </c>
      <c r="AR2391" t="s">
        <v>80</v>
      </c>
      <c r="AS2391">
        <v>201</v>
      </c>
      <c r="AT2391" t="s">
        <v>81</v>
      </c>
      <c r="AU2391">
        <v>-31.52</v>
      </c>
      <c r="AV2391">
        <v>-46.98</v>
      </c>
      <c r="AW2391" t="s">
        <v>82</v>
      </c>
      <c r="AX2391">
        <v>201</v>
      </c>
      <c r="AY2391" t="s">
        <v>81</v>
      </c>
      <c r="AZ2391">
        <v>-29.85</v>
      </c>
      <c r="BA2391">
        <v>-46.08</v>
      </c>
      <c r="BB2391" t="s">
        <v>83</v>
      </c>
    </row>
    <row r="2392" spans="1:54" x14ac:dyDescent="0.4">
      <c r="A2392">
        <v>821068</v>
      </c>
      <c r="D2392" t="s">
        <v>2001</v>
      </c>
      <c r="E2392" t="s">
        <v>55</v>
      </c>
      <c r="G2392">
        <v>1</v>
      </c>
      <c r="H2392" t="s">
        <v>56</v>
      </c>
      <c r="I2392" t="s">
        <v>57</v>
      </c>
      <c r="K2392" t="s">
        <v>483</v>
      </c>
      <c r="L2392" t="s">
        <v>2299</v>
      </c>
      <c r="M2392" t="s">
        <v>223</v>
      </c>
      <c r="N2392" t="s">
        <v>485</v>
      </c>
      <c r="O2392" t="s">
        <v>345</v>
      </c>
      <c r="P2392" t="s">
        <v>121</v>
      </c>
      <c r="R2392" t="s">
        <v>122</v>
      </c>
      <c r="S2392" t="s">
        <v>123</v>
      </c>
      <c r="T2392">
        <v>290.10000000000002</v>
      </c>
      <c r="U2392">
        <v>283.5</v>
      </c>
      <c r="V2392">
        <f t="shared" si="74"/>
        <v>286.8</v>
      </c>
      <c r="W2392">
        <f t="shared" si="75"/>
        <v>6.6000000000000227</v>
      </c>
      <c r="X2392">
        <v>-50.650002000000001</v>
      </c>
      <c r="Y2392">
        <v>-25.475000000000001</v>
      </c>
      <c r="Z2392" t="s">
        <v>520</v>
      </c>
      <c r="AA2392" t="s">
        <v>783</v>
      </c>
      <c r="AB2392" t="s">
        <v>2334</v>
      </c>
      <c r="AD2392" t="s">
        <v>2294</v>
      </c>
      <c r="AE2392" t="s">
        <v>1524</v>
      </c>
      <c r="AH2392" t="s">
        <v>72</v>
      </c>
      <c r="AI2392" t="s">
        <v>2414</v>
      </c>
      <c r="AJ2392">
        <v>2000</v>
      </c>
      <c r="AK2392" t="s">
        <v>2366</v>
      </c>
      <c r="AM2392" t="s">
        <v>2367</v>
      </c>
      <c r="AN2392" t="s">
        <v>114</v>
      </c>
      <c r="AO2392" t="s">
        <v>77</v>
      </c>
      <c r="AP2392" t="s">
        <v>359</v>
      </c>
      <c r="AQ2392" t="s">
        <v>2368</v>
      </c>
      <c r="AR2392" t="s">
        <v>80</v>
      </c>
      <c r="AS2392">
        <v>201</v>
      </c>
      <c r="AT2392" t="s">
        <v>81</v>
      </c>
      <c r="AU2392">
        <v>-31.52</v>
      </c>
      <c r="AV2392">
        <v>-46.98</v>
      </c>
      <c r="AW2392" t="s">
        <v>82</v>
      </c>
      <c r="AX2392">
        <v>201</v>
      </c>
      <c r="AY2392" t="s">
        <v>81</v>
      </c>
      <c r="AZ2392">
        <v>-29.85</v>
      </c>
      <c r="BA2392">
        <v>-46.08</v>
      </c>
      <c r="BB2392" t="s">
        <v>83</v>
      </c>
    </row>
    <row r="2393" spans="1:54" x14ac:dyDescent="0.4">
      <c r="A2393">
        <v>821068</v>
      </c>
      <c r="D2393" t="s">
        <v>2001</v>
      </c>
      <c r="E2393" t="s">
        <v>55</v>
      </c>
      <c r="G2393">
        <v>1</v>
      </c>
      <c r="H2393" t="s">
        <v>56</v>
      </c>
      <c r="I2393" t="s">
        <v>57</v>
      </c>
      <c r="K2393" t="s">
        <v>483</v>
      </c>
      <c r="L2393" t="s">
        <v>2299</v>
      </c>
      <c r="M2393" t="s">
        <v>223</v>
      </c>
      <c r="N2393" t="s">
        <v>485</v>
      </c>
      <c r="O2393" t="s">
        <v>345</v>
      </c>
      <c r="P2393" t="s">
        <v>121</v>
      </c>
      <c r="R2393" t="s">
        <v>122</v>
      </c>
      <c r="S2393" t="s">
        <v>123</v>
      </c>
      <c r="T2393">
        <v>290.10000000000002</v>
      </c>
      <c r="U2393">
        <v>283.5</v>
      </c>
      <c r="V2393">
        <f t="shared" si="74"/>
        <v>286.8</v>
      </c>
      <c r="W2393">
        <f t="shared" si="75"/>
        <v>6.6000000000000227</v>
      </c>
      <c r="X2393">
        <v>-50.650002000000001</v>
      </c>
      <c r="Y2393">
        <v>-25.475000000000001</v>
      </c>
      <c r="Z2393" t="s">
        <v>520</v>
      </c>
      <c r="AA2393" t="s">
        <v>783</v>
      </c>
      <c r="AB2393" t="s">
        <v>2334</v>
      </c>
      <c r="AD2393" t="s">
        <v>2294</v>
      </c>
      <c r="AE2393" t="s">
        <v>1524</v>
      </c>
      <c r="AH2393" t="s">
        <v>72</v>
      </c>
      <c r="AI2393" t="s">
        <v>2414</v>
      </c>
      <c r="AJ2393">
        <v>2000</v>
      </c>
      <c r="AK2393" t="s">
        <v>2366</v>
      </c>
      <c r="AM2393" t="s">
        <v>2367</v>
      </c>
      <c r="AN2393" t="s">
        <v>114</v>
      </c>
      <c r="AO2393" t="s">
        <v>77</v>
      </c>
      <c r="AP2393" t="s">
        <v>359</v>
      </c>
      <c r="AQ2393" t="s">
        <v>2368</v>
      </c>
      <c r="AR2393" t="s">
        <v>80</v>
      </c>
      <c r="AS2393">
        <v>201</v>
      </c>
      <c r="AT2393" t="s">
        <v>81</v>
      </c>
      <c r="AU2393">
        <v>-31.52</v>
      </c>
      <c r="AV2393">
        <v>-46.98</v>
      </c>
      <c r="AW2393" t="s">
        <v>82</v>
      </c>
      <c r="AX2393">
        <v>201</v>
      </c>
      <c r="AY2393" t="s">
        <v>81</v>
      </c>
      <c r="AZ2393">
        <v>-29.85</v>
      </c>
      <c r="BA2393">
        <v>-46.08</v>
      </c>
      <c r="BB2393" t="s">
        <v>83</v>
      </c>
    </row>
    <row r="2394" spans="1:54" x14ac:dyDescent="0.4">
      <c r="A2394">
        <v>821180</v>
      </c>
      <c r="D2394" t="s">
        <v>2001</v>
      </c>
      <c r="E2394" t="s">
        <v>55</v>
      </c>
      <c r="G2394">
        <v>1</v>
      </c>
      <c r="H2394" t="s">
        <v>56</v>
      </c>
      <c r="I2394" t="s">
        <v>57</v>
      </c>
      <c r="K2394" t="s">
        <v>483</v>
      </c>
      <c r="L2394" t="s">
        <v>484</v>
      </c>
      <c r="M2394" t="s">
        <v>223</v>
      </c>
      <c r="N2394" t="s">
        <v>485</v>
      </c>
      <c r="O2394" t="s">
        <v>345</v>
      </c>
      <c r="P2394" t="s">
        <v>121</v>
      </c>
      <c r="R2394" t="s">
        <v>122</v>
      </c>
      <c r="S2394" t="s">
        <v>123</v>
      </c>
      <c r="T2394">
        <v>290.10000000000002</v>
      </c>
      <c r="U2394">
        <v>283.5</v>
      </c>
      <c r="V2394">
        <f t="shared" si="74"/>
        <v>286.8</v>
      </c>
      <c r="W2394">
        <f t="shared" si="75"/>
        <v>6.6000000000000227</v>
      </c>
      <c r="X2394">
        <v>-47.861111000000001</v>
      </c>
      <c r="Y2394">
        <v>-22.977501</v>
      </c>
      <c r="Z2394" t="s">
        <v>520</v>
      </c>
      <c r="AA2394" t="s">
        <v>783</v>
      </c>
      <c r="AB2394" t="s">
        <v>2343</v>
      </c>
      <c r="AD2394" t="s">
        <v>2294</v>
      </c>
      <c r="AE2394" t="s">
        <v>1524</v>
      </c>
      <c r="AH2394" t="s">
        <v>72</v>
      </c>
      <c r="AI2394" t="s">
        <v>2414</v>
      </c>
      <c r="AJ2394">
        <v>2002</v>
      </c>
      <c r="AK2394" t="s">
        <v>2346</v>
      </c>
      <c r="AM2394" t="s">
        <v>2347</v>
      </c>
      <c r="AN2394" t="s">
        <v>114</v>
      </c>
      <c r="AO2394" t="s">
        <v>77</v>
      </c>
      <c r="AP2394" t="s">
        <v>359</v>
      </c>
      <c r="AQ2394" t="s">
        <v>2348</v>
      </c>
      <c r="AR2394" t="s">
        <v>80</v>
      </c>
      <c r="AS2394">
        <v>201</v>
      </c>
      <c r="AT2394" t="s">
        <v>81</v>
      </c>
      <c r="AU2394">
        <v>-26.66</v>
      </c>
      <c r="AV2394">
        <v>-45.77</v>
      </c>
      <c r="AW2394" t="s">
        <v>82</v>
      </c>
      <c r="AX2394">
        <v>201</v>
      </c>
      <c r="AY2394" t="s">
        <v>81</v>
      </c>
      <c r="AZ2394">
        <v>-25.11</v>
      </c>
      <c r="BA2394">
        <v>-44.78</v>
      </c>
      <c r="BB2394" t="s">
        <v>83</v>
      </c>
    </row>
    <row r="2395" spans="1:54" x14ac:dyDescent="0.4">
      <c r="A2395">
        <v>821444</v>
      </c>
      <c r="E2395" t="s">
        <v>55</v>
      </c>
      <c r="G2395">
        <v>1</v>
      </c>
      <c r="H2395" t="s">
        <v>56</v>
      </c>
      <c r="I2395" t="s">
        <v>57</v>
      </c>
      <c r="K2395" t="s">
        <v>483</v>
      </c>
      <c r="L2395" t="s">
        <v>484</v>
      </c>
      <c r="M2395" t="s">
        <v>223</v>
      </c>
      <c r="N2395" t="s">
        <v>485</v>
      </c>
      <c r="O2395" t="s">
        <v>345</v>
      </c>
      <c r="P2395" t="s">
        <v>121</v>
      </c>
      <c r="R2395" t="s">
        <v>122</v>
      </c>
      <c r="S2395" t="s">
        <v>123</v>
      </c>
      <c r="T2395">
        <v>290.10000000000002</v>
      </c>
      <c r="U2395">
        <v>283.5</v>
      </c>
      <c r="V2395">
        <f t="shared" si="74"/>
        <v>286.8</v>
      </c>
      <c r="W2395">
        <f t="shared" si="75"/>
        <v>6.6000000000000227</v>
      </c>
      <c r="X2395">
        <v>-50.422221999999998</v>
      </c>
      <c r="Y2395">
        <v>-25.844443999999999</v>
      </c>
      <c r="Z2395" t="s">
        <v>1890</v>
      </c>
      <c r="AA2395" t="s">
        <v>783</v>
      </c>
      <c r="AB2395" t="s">
        <v>2334</v>
      </c>
      <c r="AC2395" t="s">
        <v>2335</v>
      </c>
      <c r="AD2395" t="s">
        <v>2294</v>
      </c>
      <c r="AE2395" t="s">
        <v>1524</v>
      </c>
      <c r="AH2395" t="s">
        <v>72</v>
      </c>
      <c r="AI2395" t="s">
        <v>2423</v>
      </c>
      <c r="AJ2395">
        <v>2003</v>
      </c>
      <c r="AK2395" t="s">
        <v>2424</v>
      </c>
      <c r="AL2395">
        <v>90190</v>
      </c>
      <c r="AM2395" t="s">
        <v>1528</v>
      </c>
      <c r="AN2395" t="s">
        <v>192</v>
      </c>
      <c r="AO2395" t="s">
        <v>77</v>
      </c>
      <c r="AP2395" t="s">
        <v>115</v>
      </c>
      <c r="AQ2395" t="s">
        <v>2425</v>
      </c>
      <c r="AR2395" t="s">
        <v>80</v>
      </c>
      <c r="AS2395">
        <v>201</v>
      </c>
      <c r="AT2395" t="s">
        <v>81</v>
      </c>
      <c r="AU2395">
        <v>-31.49</v>
      </c>
      <c r="AV2395">
        <v>-47.4</v>
      </c>
      <c r="AW2395" t="s">
        <v>82</v>
      </c>
      <c r="AX2395">
        <v>201</v>
      </c>
      <c r="AY2395" t="s">
        <v>81</v>
      </c>
      <c r="AZ2395">
        <v>-29.79</v>
      </c>
      <c r="BA2395">
        <v>-46.5</v>
      </c>
      <c r="BB2395" t="s">
        <v>83</v>
      </c>
    </row>
    <row r="2396" spans="1:54" x14ac:dyDescent="0.4">
      <c r="A2396">
        <v>821444</v>
      </c>
      <c r="E2396" t="s">
        <v>55</v>
      </c>
      <c r="G2396">
        <v>1</v>
      </c>
      <c r="H2396" t="s">
        <v>56</v>
      </c>
      <c r="I2396" t="s">
        <v>57</v>
      </c>
      <c r="K2396" t="s">
        <v>483</v>
      </c>
      <c r="L2396" t="s">
        <v>484</v>
      </c>
      <c r="M2396" t="s">
        <v>223</v>
      </c>
      <c r="N2396" t="s">
        <v>485</v>
      </c>
      <c r="O2396" t="s">
        <v>345</v>
      </c>
      <c r="P2396" t="s">
        <v>121</v>
      </c>
      <c r="R2396" t="s">
        <v>122</v>
      </c>
      <c r="S2396" t="s">
        <v>123</v>
      </c>
      <c r="T2396">
        <v>290.10000000000002</v>
      </c>
      <c r="U2396">
        <v>283.5</v>
      </c>
      <c r="V2396">
        <f t="shared" si="74"/>
        <v>286.8</v>
      </c>
      <c r="W2396">
        <f t="shared" si="75"/>
        <v>6.6000000000000227</v>
      </c>
      <c r="X2396">
        <v>-50.422221999999998</v>
      </c>
      <c r="Y2396">
        <v>-25.844443999999999</v>
      </c>
      <c r="Z2396" t="s">
        <v>1890</v>
      </c>
      <c r="AA2396" t="s">
        <v>783</v>
      </c>
      <c r="AB2396" t="s">
        <v>2334</v>
      </c>
      <c r="AC2396" t="s">
        <v>2335</v>
      </c>
      <c r="AD2396" t="s">
        <v>2294</v>
      </c>
      <c r="AE2396" t="s">
        <v>1524</v>
      </c>
      <c r="AH2396" t="s">
        <v>72</v>
      </c>
      <c r="AI2396" t="s">
        <v>2423</v>
      </c>
      <c r="AJ2396">
        <v>2003</v>
      </c>
      <c r="AK2396" t="s">
        <v>2424</v>
      </c>
      <c r="AL2396">
        <v>90190</v>
      </c>
      <c r="AM2396" t="s">
        <v>1528</v>
      </c>
      <c r="AN2396" t="s">
        <v>192</v>
      </c>
      <c r="AO2396" t="s">
        <v>77</v>
      </c>
      <c r="AP2396" t="s">
        <v>115</v>
      </c>
      <c r="AQ2396" t="s">
        <v>2425</v>
      </c>
      <c r="AR2396" t="s">
        <v>80</v>
      </c>
      <c r="AS2396">
        <v>201</v>
      </c>
      <c r="AT2396" t="s">
        <v>81</v>
      </c>
      <c r="AU2396">
        <v>-31.49</v>
      </c>
      <c r="AV2396">
        <v>-47.4</v>
      </c>
      <c r="AW2396" t="s">
        <v>82</v>
      </c>
      <c r="AX2396">
        <v>201</v>
      </c>
      <c r="AY2396" t="s">
        <v>81</v>
      </c>
      <c r="AZ2396">
        <v>-29.79</v>
      </c>
      <c r="BA2396">
        <v>-46.5</v>
      </c>
      <c r="BB2396" t="s">
        <v>83</v>
      </c>
    </row>
    <row r="2397" spans="1:54" x14ac:dyDescent="0.4">
      <c r="A2397">
        <v>821444</v>
      </c>
      <c r="E2397" t="s">
        <v>55</v>
      </c>
      <c r="G2397">
        <v>1</v>
      </c>
      <c r="H2397" t="s">
        <v>56</v>
      </c>
      <c r="I2397" t="s">
        <v>57</v>
      </c>
      <c r="K2397" t="s">
        <v>483</v>
      </c>
      <c r="L2397" t="s">
        <v>484</v>
      </c>
      <c r="M2397" t="s">
        <v>223</v>
      </c>
      <c r="N2397" t="s">
        <v>485</v>
      </c>
      <c r="O2397" t="s">
        <v>345</v>
      </c>
      <c r="P2397" t="s">
        <v>121</v>
      </c>
      <c r="R2397" t="s">
        <v>122</v>
      </c>
      <c r="S2397" t="s">
        <v>123</v>
      </c>
      <c r="T2397">
        <v>290.10000000000002</v>
      </c>
      <c r="U2397">
        <v>283.5</v>
      </c>
      <c r="V2397">
        <f t="shared" si="74"/>
        <v>286.8</v>
      </c>
      <c r="W2397">
        <f t="shared" si="75"/>
        <v>6.6000000000000227</v>
      </c>
      <c r="X2397">
        <v>-50.422221999999998</v>
      </c>
      <c r="Y2397">
        <v>-25.844443999999999</v>
      </c>
      <c r="Z2397" t="s">
        <v>1890</v>
      </c>
      <c r="AA2397" t="s">
        <v>783</v>
      </c>
      <c r="AB2397" t="s">
        <v>2334</v>
      </c>
      <c r="AC2397" t="s">
        <v>2335</v>
      </c>
      <c r="AD2397" t="s">
        <v>2294</v>
      </c>
      <c r="AE2397" t="s">
        <v>1524</v>
      </c>
      <c r="AH2397" t="s">
        <v>72</v>
      </c>
      <c r="AI2397" t="s">
        <v>2423</v>
      </c>
      <c r="AJ2397">
        <v>2003</v>
      </c>
      <c r="AK2397" t="s">
        <v>2424</v>
      </c>
      <c r="AL2397">
        <v>90190</v>
      </c>
      <c r="AM2397" t="s">
        <v>1528</v>
      </c>
      <c r="AN2397" t="s">
        <v>192</v>
      </c>
      <c r="AO2397" t="s">
        <v>77</v>
      </c>
      <c r="AP2397" t="s">
        <v>115</v>
      </c>
      <c r="AQ2397" t="s">
        <v>2425</v>
      </c>
      <c r="AR2397" t="s">
        <v>80</v>
      </c>
      <c r="AS2397">
        <v>201</v>
      </c>
      <c r="AT2397" t="s">
        <v>81</v>
      </c>
      <c r="AU2397">
        <v>-31.49</v>
      </c>
      <c r="AV2397">
        <v>-47.4</v>
      </c>
      <c r="AW2397" t="s">
        <v>82</v>
      </c>
      <c r="AX2397">
        <v>201</v>
      </c>
      <c r="AY2397" t="s">
        <v>81</v>
      </c>
      <c r="AZ2397">
        <v>-29.79</v>
      </c>
      <c r="BA2397">
        <v>-46.5</v>
      </c>
      <c r="BB2397" t="s">
        <v>83</v>
      </c>
    </row>
    <row r="2398" spans="1:54" x14ac:dyDescent="0.4">
      <c r="A2398">
        <v>821444</v>
      </c>
      <c r="E2398" t="s">
        <v>55</v>
      </c>
      <c r="G2398">
        <v>1</v>
      </c>
      <c r="H2398" t="s">
        <v>56</v>
      </c>
      <c r="I2398" t="s">
        <v>57</v>
      </c>
      <c r="K2398" t="s">
        <v>483</v>
      </c>
      <c r="L2398" t="s">
        <v>484</v>
      </c>
      <c r="M2398" t="s">
        <v>223</v>
      </c>
      <c r="N2398" t="s">
        <v>485</v>
      </c>
      <c r="O2398" t="s">
        <v>345</v>
      </c>
      <c r="P2398" t="s">
        <v>121</v>
      </c>
      <c r="R2398" t="s">
        <v>122</v>
      </c>
      <c r="S2398" t="s">
        <v>123</v>
      </c>
      <c r="T2398">
        <v>290.10000000000002</v>
      </c>
      <c r="U2398">
        <v>283.5</v>
      </c>
      <c r="V2398">
        <f t="shared" si="74"/>
        <v>286.8</v>
      </c>
      <c r="W2398">
        <f t="shared" si="75"/>
        <v>6.6000000000000227</v>
      </c>
      <c r="X2398">
        <v>-50.422221999999998</v>
      </c>
      <c r="Y2398">
        <v>-25.844443999999999</v>
      </c>
      <c r="Z2398" t="s">
        <v>1890</v>
      </c>
      <c r="AA2398" t="s">
        <v>783</v>
      </c>
      <c r="AB2398" t="s">
        <v>2334</v>
      </c>
      <c r="AC2398" t="s">
        <v>2335</v>
      </c>
      <c r="AD2398" t="s">
        <v>2294</v>
      </c>
      <c r="AE2398" t="s">
        <v>1524</v>
      </c>
      <c r="AH2398" t="s">
        <v>72</v>
      </c>
      <c r="AI2398" t="s">
        <v>2423</v>
      </c>
      <c r="AJ2398">
        <v>2003</v>
      </c>
      <c r="AK2398" t="s">
        <v>2424</v>
      </c>
      <c r="AL2398">
        <v>90190</v>
      </c>
      <c r="AM2398" t="s">
        <v>1528</v>
      </c>
      <c r="AN2398" t="s">
        <v>192</v>
      </c>
      <c r="AO2398" t="s">
        <v>77</v>
      </c>
      <c r="AP2398" t="s">
        <v>115</v>
      </c>
      <c r="AQ2398" t="s">
        <v>2425</v>
      </c>
      <c r="AR2398" t="s">
        <v>80</v>
      </c>
      <c r="AS2398">
        <v>201</v>
      </c>
      <c r="AT2398" t="s">
        <v>81</v>
      </c>
      <c r="AU2398">
        <v>-31.49</v>
      </c>
      <c r="AV2398">
        <v>-47.4</v>
      </c>
      <c r="AW2398" t="s">
        <v>82</v>
      </c>
      <c r="AX2398">
        <v>201</v>
      </c>
      <c r="AY2398" t="s">
        <v>81</v>
      </c>
      <c r="AZ2398">
        <v>-29.79</v>
      </c>
      <c r="BA2398">
        <v>-46.5</v>
      </c>
      <c r="BB2398" t="s">
        <v>83</v>
      </c>
    </row>
    <row r="2399" spans="1:54" x14ac:dyDescent="0.4">
      <c r="A2399">
        <v>821444</v>
      </c>
      <c r="E2399" t="s">
        <v>55</v>
      </c>
      <c r="G2399">
        <v>1</v>
      </c>
      <c r="H2399" t="s">
        <v>56</v>
      </c>
      <c r="I2399" t="s">
        <v>57</v>
      </c>
      <c r="K2399" t="s">
        <v>483</v>
      </c>
      <c r="L2399" t="s">
        <v>484</v>
      </c>
      <c r="M2399" t="s">
        <v>223</v>
      </c>
      <c r="N2399" t="s">
        <v>485</v>
      </c>
      <c r="O2399" t="s">
        <v>345</v>
      </c>
      <c r="P2399" t="s">
        <v>121</v>
      </c>
      <c r="R2399" t="s">
        <v>122</v>
      </c>
      <c r="S2399" t="s">
        <v>123</v>
      </c>
      <c r="T2399">
        <v>290.10000000000002</v>
      </c>
      <c r="U2399">
        <v>283.5</v>
      </c>
      <c r="V2399">
        <f t="shared" si="74"/>
        <v>286.8</v>
      </c>
      <c r="W2399">
        <f t="shared" si="75"/>
        <v>6.6000000000000227</v>
      </c>
      <c r="X2399">
        <v>-50.422221999999998</v>
      </c>
      <c r="Y2399">
        <v>-25.844443999999999</v>
      </c>
      <c r="Z2399" t="s">
        <v>1890</v>
      </c>
      <c r="AA2399" t="s">
        <v>783</v>
      </c>
      <c r="AB2399" t="s">
        <v>2334</v>
      </c>
      <c r="AC2399" t="s">
        <v>2335</v>
      </c>
      <c r="AD2399" t="s">
        <v>2294</v>
      </c>
      <c r="AE2399" t="s">
        <v>1524</v>
      </c>
      <c r="AH2399" t="s">
        <v>72</v>
      </c>
      <c r="AI2399" t="s">
        <v>2423</v>
      </c>
      <c r="AJ2399">
        <v>2003</v>
      </c>
      <c r="AK2399" t="s">
        <v>2424</v>
      </c>
      <c r="AL2399">
        <v>90190</v>
      </c>
      <c r="AM2399" t="s">
        <v>1528</v>
      </c>
      <c r="AN2399" t="s">
        <v>192</v>
      </c>
      <c r="AO2399" t="s">
        <v>77</v>
      </c>
      <c r="AP2399" t="s">
        <v>115</v>
      </c>
      <c r="AQ2399" t="s">
        <v>2425</v>
      </c>
      <c r="AR2399" t="s">
        <v>80</v>
      </c>
      <c r="AS2399">
        <v>201</v>
      </c>
      <c r="AT2399" t="s">
        <v>81</v>
      </c>
      <c r="AU2399">
        <v>-31.49</v>
      </c>
      <c r="AV2399">
        <v>-47.4</v>
      </c>
      <c r="AW2399" t="s">
        <v>82</v>
      </c>
      <c r="AX2399">
        <v>201</v>
      </c>
      <c r="AY2399" t="s">
        <v>81</v>
      </c>
      <c r="AZ2399">
        <v>-29.79</v>
      </c>
      <c r="BA2399">
        <v>-46.5</v>
      </c>
      <c r="BB2399" t="s">
        <v>83</v>
      </c>
    </row>
    <row r="2400" spans="1:54" x14ac:dyDescent="0.4">
      <c r="A2400">
        <v>821444</v>
      </c>
      <c r="E2400" t="s">
        <v>55</v>
      </c>
      <c r="G2400">
        <v>1</v>
      </c>
      <c r="H2400" t="s">
        <v>56</v>
      </c>
      <c r="I2400" t="s">
        <v>57</v>
      </c>
      <c r="K2400" t="s">
        <v>483</v>
      </c>
      <c r="L2400" t="s">
        <v>484</v>
      </c>
      <c r="M2400" t="s">
        <v>223</v>
      </c>
      <c r="N2400" t="s">
        <v>485</v>
      </c>
      <c r="O2400" t="s">
        <v>345</v>
      </c>
      <c r="P2400" t="s">
        <v>121</v>
      </c>
      <c r="R2400" t="s">
        <v>122</v>
      </c>
      <c r="S2400" t="s">
        <v>123</v>
      </c>
      <c r="T2400">
        <v>290.10000000000002</v>
      </c>
      <c r="U2400">
        <v>283.5</v>
      </c>
      <c r="V2400">
        <f t="shared" si="74"/>
        <v>286.8</v>
      </c>
      <c r="W2400">
        <f t="shared" si="75"/>
        <v>6.6000000000000227</v>
      </c>
      <c r="X2400">
        <v>-50.422221999999998</v>
      </c>
      <c r="Y2400">
        <v>-25.844443999999999</v>
      </c>
      <c r="Z2400" t="s">
        <v>1890</v>
      </c>
      <c r="AA2400" t="s">
        <v>783</v>
      </c>
      <c r="AB2400" t="s">
        <v>2334</v>
      </c>
      <c r="AC2400" t="s">
        <v>2335</v>
      </c>
      <c r="AD2400" t="s">
        <v>2294</v>
      </c>
      <c r="AE2400" t="s">
        <v>1524</v>
      </c>
      <c r="AH2400" t="s">
        <v>72</v>
      </c>
      <c r="AI2400" t="s">
        <v>2423</v>
      </c>
      <c r="AJ2400">
        <v>2003</v>
      </c>
      <c r="AK2400" t="s">
        <v>2424</v>
      </c>
      <c r="AL2400">
        <v>90190</v>
      </c>
      <c r="AM2400" t="s">
        <v>1528</v>
      </c>
      <c r="AN2400" t="s">
        <v>192</v>
      </c>
      <c r="AO2400" t="s">
        <v>77</v>
      </c>
      <c r="AP2400" t="s">
        <v>115</v>
      </c>
      <c r="AQ2400" t="s">
        <v>2425</v>
      </c>
      <c r="AR2400" t="s">
        <v>80</v>
      </c>
      <c r="AS2400">
        <v>201</v>
      </c>
      <c r="AT2400" t="s">
        <v>81</v>
      </c>
      <c r="AU2400">
        <v>-31.49</v>
      </c>
      <c r="AV2400">
        <v>-47.4</v>
      </c>
      <c r="AW2400" t="s">
        <v>82</v>
      </c>
      <c r="AX2400">
        <v>201</v>
      </c>
      <c r="AY2400" t="s">
        <v>81</v>
      </c>
      <c r="AZ2400">
        <v>-29.79</v>
      </c>
      <c r="BA2400">
        <v>-46.5</v>
      </c>
      <c r="BB2400" t="s">
        <v>83</v>
      </c>
    </row>
    <row r="2401" spans="1:54" x14ac:dyDescent="0.4">
      <c r="A2401">
        <v>821444</v>
      </c>
      <c r="E2401" t="s">
        <v>55</v>
      </c>
      <c r="G2401">
        <v>1</v>
      </c>
      <c r="H2401" t="s">
        <v>56</v>
      </c>
      <c r="I2401" t="s">
        <v>57</v>
      </c>
      <c r="K2401" t="s">
        <v>483</v>
      </c>
      <c r="L2401" t="s">
        <v>484</v>
      </c>
      <c r="M2401" t="s">
        <v>223</v>
      </c>
      <c r="N2401" t="s">
        <v>485</v>
      </c>
      <c r="O2401" t="s">
        <v>345</v>
      </c>
      <c r="P2401" t="s">
        <v>121</v>
      </c>
      <c r="R2401" t="s">
        <v>122</v>
      </c>
      <c r="S2401" t="s">
        <v>123</v>
      </c>
      <c r="T2401">
        <v>290.10000000000002</v>
      </c>
      <c r="U2401">
        <v>283.5</v>
      </c>
      <c r="V2401">
        <f t="shared" si="74"/>
        <v>286.8</v>
      </c>
      <c r="W2401">
        <f t="shared" si="75"/>
        <v>6.6000000000000227</v>
      </c>
      <c r="X2401">
        <v>-50.422221999999998</v>
      </c>
      <c r="Y2401">
        <v>-25.844443999999999</v>
      </c>
      <c r="Z2401" t="s">
        <v>1890</v>
      </c>
      <c r="AA2401" t="s">
        <v>783</v>
      </c>
      <c r="AB2401" t="s">
        <v>2334</v>
      </c>
      <c r="AC2401" t="s">
        <v>2335</v>
      </c>
      <c r="AD2401" t="s">
        <v>2294</v>
      </c>
      <c r="AE2401" t="s">
        <v>1524</v>
      </c>
      <c r="AH2401" t="s">
        <v>72</v>
      </c>
      <c r="AI2401" t="s">
        <v>2423</v>
      </c>
      <c r="AJ2401">
        <v>2003</v>
      </c>
      <c r="AK2401" t="s">
        <v>2424</v>
      </c>
      <c r="AL2401">
        <v>90190</v>
      </c>
      <c r="AM2401" t="s">
        <v>1528</v>
      </c>
      <c r="AN2401" t="s">
        <v>192</v>
      </c>
      <c r="AO2401" t="s">
        <v>77</v>
      </c>
      <c r="AP2401" t="s">
        <v>115</v>
      </c>
      <c r="AQ2401" t="s">
        <v>2425</v>
      </c>
      <c r="AR2401" t="s">
        <v>80</v>
      </c>
      <c r="AS2401">
        <v>201</v>
      </c>
      <c r="AT2401" t="s">
        <v>81</v>
      </c>
      <c r="AU2401">
        <v>-31.49</v>
      </c>
      <c r="AV2401">
        <v>-47.4</v>
      </c>
      <c r="AW2401" t="s">
        <v>82</v>
      </c>
      <c r="AX2401">
        <v>201</v>
      </c>
      <c r="AY2401" t="s">
        <v>81</v>
      </c>
      <c r="AZ2401">
        <v>-29.79</v>
      </c>
      <c r="BA2401">
        <v>-46.5</v>
      </c>
      <c r="BB2401" t="s">
        <v>83</v>
      </c>
    </row>
    <row r="2402" spans="1:54" x14ac:dyDescent="0.4">
      <c r="A2402">
        <v>821444</v>
      </c>
      <c r="E2402" t="s">
        <v>55</v>
      </c>
      <c r="G2402">
        <v>1</v>
      </c>
      <c r="H2402" t="s">
        <v>56</v>
      </c>
      <c r="I2402" t="s">
        <v>57</v>
      </c>
      <c r="K2402" t="s">
        <v>483</v>
      </c>
      <c r="L2402" t="s">
        <v>484</v>
      </c>
      <c r="M2402" t="s">
        <v>223</v>
      </c>
      <c r="N2402" t="s">
        <v>485</v>
      </c>
      <c r="O2402" t="s">
        <v>345</v>
      </c>
      <c r="P2402" t="s">
        <v>121</v>
      </c>
      <c r="R2402" t="s">
        <v>122</v>
      </c>
      <c r="S2402" t="s">
        <v>123</v>
      </c>
      <c r="T2402">
        <v>290.10000000000002</v>
      </c>
      <c r="U2402">
        <v>283.5</v>
      </c>
      <c r="V2402">
        <f t="shared" si="74"/>
        <v>286.8</v>
      </c>
      <c r="W2402">
        <f t="shared" si="75"/>
        <v>6.6000000000000227</v>
      </c>
      <c r="X2402">
        <v>-50.422221999999998</v>
      </c>
      <c r="Y2402">
        <v>-25.844443999999999</v>
      </c>
      <c r="Z2402" t="s">
        <v>1890</v>
      </c>
      <c r="AA2402" t="s">
        <v>783</v>
      </c>
      <c r="AB2402" t="s">
        <v>2334</v>
      </c>
      <c r="AC2402" t="s">
        <v>2335</v>
      </c>
      <c r="AD2402" t="s">
        <v>2294</v>
      </c>
      <c r="AE2402" t="s">
        <v>1524</v>
      </c>
      <c r="AH2402" t="s">
        <v>72</v>
      </c>
      <c r="AI2402" t="s">
        <v>2423</v>
      </c>
      <c r="AJ2402">
        <v>2003</v>
      </c>
      <c r="AK2402" t="s">
        <v>2424</v>
      </c>
      <c r="AL2402">
        <v>90190</v>
      </c>
      <c r="AM2402" t="s">
        <v>1528</v>
      </c>
      <c r="AN2402" t="s">
        <v>192</v>
      </c>
      <c r="AO2402" t="s">
        <v>77</v>
      </c>
      <c r="AP2402" t="s">
        <v>115</v>
      </c>
      <c r="AQ2402" t="s">
        <v>2425</v>
      </c>
      <c r="AR2402" t="s">
        <v>80</v>
      </c>
      <c r="AS2402">
        <v>201</v>
      </c>
      <c r="AT2402" t="s">
        <v>81</v>
      </c>
      <c r="AU2402">
        <v>-31.49</v>
      </c>
      <c r="AV2402">
        <v>-47.4</v>
      </c>
      <c r="AW2402" t="s">
        <v>82</v>
      </c>
      <c r="AX2402">
        <v>201</v>
      </c>
      <c r="AY2402" t="s">
        <v>81</v>
      </c>
      <c r="AZ2402">
        <v>-29.79</v>
      </c>
      <c r="BA2402">
        <v>-46.5</v>
      </c>
      <c r="BB2402" t="s">
        <v>83</v>
      </c>
    </row>
    <row r="2403" spans="1:54" x14ac:dyDescent="0.4">
      <c r="A2403">
        <v>821444</v>
      </c>
      <c r="E2403" t="s">
        <v>55</v>
      </c>
      <c r="G2403">
        <v>1</v>
      </c>
      <c r="H2403" t="s">
        <v>56</v>
      </c>
      <c r="I2403" t="s">
        <v>57</v>
      </c>
      <c r="K2403" t="s">
        <v>483</v>
      </c>
      <c r="L2403" t="s">
        <v>484</v>
      </c>
      <c r="M2403" t="s">
        <v>223</v>
      </c>
      <c r="N2403" t="s">
        <v>485</v>
      </c>
      <c r="O2403" t="s">
        <v>345</v>
      </c>
      <c r="P2403" t="s">
        <v>121</v>
      </c>
      <c r="R2403" t="s">
        <v>122</v>
      </c>
      <c r="S2403" t="s">
        <v>123</v>
      </c>
      <c r="T2403">
        <v>290.10000000000002</v>
      </c>
      <c r="U2403">
        <v>283.5</v>
      </c>
      <c r="V2403">
        <f t="shared" si="74"/>
        <v>286.8</v>
      </c>
      <c r="W2403">
        <f t="shared" si="75"/>
        <v>6.6000000000000227</v>
      </c>
      <c r="X2403">
        <v>-50.422221999999998</v>
      </c>
      <c r="Y2403">
        <v>-25.844443999999999</v>
      </c>
      <c r="Z2403" t="s">
        <v>1890</v>
      </c>
      <c r="AA2403" t="s">
        <v>783</v>
      </c>
      <c r="AB2403" t="s">
        <v>2334</v>
      </c>
      <c r="AC2403" t="s">
        <v>2335</v>
      </c>
      <c r="AD2403" t="s">
        <v>2294</v>
      </c>
      <c r="AE2403" t="s">
        <v>1524</v>
      </c>
      <c r="AH2403" t="s">
        <v>72</v>
      </c>
      <c r="AI2403" t="s">
        <v>2423</v>
      </c>
      <c r="AJ2403">
        <v>2003</v>
      </c>
      <c r="AK2403" t="s">
        <v>2424</v>
      </c>
      <c r="AL2403">
        <v>90190</v>
      </c>
      <c r="AM2403" t="s">
        <v>1528</v>
      </c>
      <c r="AN2403" t="s">
        <v>192</v>
      </c>
      <c r="AO2403" t="s">
        <v>77</v>
      </c>
      <c r="AP2403" t="s">
        <v>115</v>
      </c>
      <c r="AQ2403" t="s">
        <v>2425</v>
      </c>
      <c r="AR2403" t="s">
        <v>80</v>
      </c>
      <c r="AS2403">
        <v>201</v>
      </c>
      <c r="AT2403" t="s">
        <v>81</v>
      </c>
      <c r="AU2403">
        <v>-31.49</v>
      </c>
      <c r="AV2403">
        <v>-47.4</v>
      </c>
      <c r="AW2403" t="s">
        <v>82</v>
      </c>
      <c r="AX2403">
        <v>201</v>
      </c>
      <c r="AY2403" t="s">
        <v>81</v>
      </c>
      <c r="AZ2403">
        <v>-29.79</v>
      </c>
      <c r="BA2403">
        <v>-46.5</v>
      </c>
      <c r="BB2403" t="s">
        <v>83</v>
      </c>
    </row>
    <row r="2404" spans="1:54" x14ac:dyDescent="0.4">
      <c r="A2404">
        <v>821444</v>
      </c>
      <c r="E2404" t="s">
        <v>55</v>
      </c>
      <c r="G2404">
        <v>1</v>
      </c>
      <c r="H2404" t="s">
        <v>56</v>
      </c>
      <c r="I2404" t="s">
        <v>57</v>
      </c>
      <c r="K2404" t="s">
        <v>483</v>
      </c>
      <c r="L2404" t="s">
        <v>484</v>
      </c>
      <c r="M2404" t="s">
        <v>223</v>
      </c>
      <c r="N2404" t="s">
        <v>485</v>
      </c>
      <c r="O2404" t="s">
        <v>345</v>
      </c>
      <c r="P2404" t="s">
        <v>121</v>
      </c>
      <c r="R2404" t="s">
        <v>122</v>
      </c>
      <c r="S2404" t="s">
        <v>123</v>
      </c>
      <c r="T2404">
        <v>290.10000000000002</v>
      </c>
      <c r="U2404">
        <v>283.5</v>
      </c>
      <c r="V2404">
        <f t="shared" si="74"/>
        <v>286.8</v>
      </c>
      <c r="W2404">
        <f t="shared" si="75"/>
        <v>6.6000000000000227</v>
      </c>
      <c r="X2404">
        <v>-50.422221999999998</v>
      </c>
      <c r="Y2404">
        <v>-25.844443999999999</v>
      </c>
      <c r="Z2404" t="s">
        <v>1890</v>
      </c>
      <c r="AA2404" t="s">
        <v>783</v>
      </c>
      <c r="AB2404" t="s">
        <v>2334</v>
      </c>
      <c r="AC2404" t="s">
        <v>2335</v>
      </c>
      <c r="AD2404" t="s">
        <v>2294</v>
      </c>
      <c r="AE2404" t="s">
        <v>1524</v>
      </c>
      <c r="AH2404" t="s">
        <v>72</v>
      </c>
      <c r="AI2404" t="s">
        <v>2423</v>
      </c>
      <c r="AJ2404">
        <v>2003</v>
      </c>
      <c r="AK2404" t="s">
        <v>2424</v>
      </c>
      <c r="AL2404">
        <v>90190</v>
      </c>
      <c r="AM2404" t="s">
        <v>1528</v>
      </c>
      <c r="AN2404" t="s">
        <v>192</v>
      </c>
      <c r="AO2404" t="s">
        <v>77</v>
      </c>
      <c r="AP2404" t="s">
        <v>115</v>
      </c>
      <c r="AQ2404" t="s">
        <v>2425</v>
      </c>
      <c r="AR2404" t="s">
        <v>80</v>
      </c>
      <c r="AS2404">
        <v>201</v>
      </c>
      <c r="AT2404" t="s">
        <v>81</v>
      </c>
      <c r="AU2404">
        <v>-31.49</v>
      </c>
      <c r="AV2404">
        <v>-47.4</v>
      </c>
      <c r="AW2404" t="s">
        <v>82</v>
      </c>
      <c r="AX2404">
        <v>201</v>
      </c>
      <c r="AY2404" t="s">
        <v>81</v>
      </c>
      <c r="AZ2404">
        <v>-29.79</v>
      </c>
      <c r="BA2404">
        <v>-46.5</v>
      </c>
      <c r="BB2404" t="s">
        <v>83</v>
      </c>
    </row>
    <row r="2405" spans="1:54" x14ac:dyDescent="0.4">
      <c r="A2405">
        <v>821444</v>
      </c>
      <c r="E2405" t="s">
        <v>55</v>
      </c>
      <c r="G2405">
        <v>1</v>
      </c>
      <c r="H2405" t="s">
        <v>56</v>
      </c>
      <c r="I2405" t="s">
        <v>57</v>
      </c>
      <c r="K2405" t="s">
        <v>483</v>
      </c>
      <c r="L2405" t="s">
        <v>484</v>
      </c>
      <c r="M2405" t="s">
        <v>223</v>
      </c>
      <c r="N2405" t="s">
        <v>485</v>
      </c>
      <c r="O2405" t="s">
        <v>345</v>
      </c>
      <c r="P2405" t="s">
        <v>121</v>
      </c>
      <c r="R2405" t="s">
        <v>122</v>
      </c>
      <c r="S2405" t="s">
        <v>123</v>
      </c>
      <c r="T2405">
        <v>290.10000000000002</v>
      </c>
      <c r="U2405">
        <v>283.5</v>
      </c>
      <c r="V2405">
        <f t="shared" si="74"/>
        <v>286.8</v>
      </c>
      <c r="W2405">
        <f t="shared" si="75"/>
        <v>6.6000000000000227</v>
      </c>
      <c r="X2405">
        <v>-50.422221999999998</v>
      </c>
      <c r="Y2405">
        <v>-25.844443999999999</v>
      </c>
      <c r="Z2405" t="s">
        <v>1890</v>
      </c>
      <c r="AA2405" t="s">
        <v>783</v>
      </c>
      <c r="AB2405" t="s">
        <v>2334</v>
      </c>
      <c r="AC2405" t="s">
        <v>2335</v>
      </c>
      <c r="AD2405" t="s">
        <v>2294</v>
      </c>
      <c r="AE2405" t="s">
        <v>1524</v>
      </c>
      <c r="AH2405" t="s">
        <v>72</v>
      </c>
      <c r="AI2405" t="s">
        <v>2423</v>
      </c>
      <c r="AJ2405">
        <v>2003</v>
      </c>
      <c r="AK2405" t="s">
        <v>2424</v>
      </c>
      <c r="AL2405">
        <v>90190</v>
      </c>
      <c r="AM2405" t="s">
        <v>1528</v>
      </c>
      <c r="AN2405" t="s">
        <v>192</v>
      </c>
      <c r="AO2405" t="s">
        <v>77</v>
      </c>
      <c r="AP2405" t="s">
        <v>115</v>
      </c>
      <c r="AQ2405" t="s">
        <v>2425</v>
      </c>
      <c r="AR2405" t="s">
        <v>80</v>
      </c>
      <c r="AS2405">
        <v>201</v>
      </c>
      <c r="AT2405" t="s">
        <v>81</v>
      </c>
      <c r="AU2405">
        <v>-31.49</v>
      </c>
      <c r="AV2405">
        <v>-47.4</v>
      </c>
      <c r="AW2405" t="s">
        <v>82</v>
      </c>
      <c r="AX2405">
        <v>201</v>
      </c>
      <c r="AY2405" t="s">
        <v>81</v>
      </c>
      <c r="AZ2405">
        <v>-29.79</v>
      </c>
      <c r="BA2405">
        <v>-46.5</v>
      </c>
      <c r="BB2405" t="s">
        <v>83</v>
      </c>
    </row>
    <row r="2406" spans="1:54" x14ac:dyDescent="0.4">
      <c r="A2406">
        <v>821444</v>
      </c>
      <c r="E2406" t="s">
        <v>55</v>
      </c>
      <c r="G2406">
        <v>1</v>
      </c>
      <c r="H2406" t="s">
        <v>56</v>
      </c>
      <c r="I2406" t="s">
        <v>57</v>
      </c>
      <c r="K2406" t="s">
        <v>483</v>
      </c>
      <c r="L2406" t="s">
        <v>484</v>
      </c>
      <c r="M2406" t="s">
        <v>223</v>
      </c>
      <c r="N2406" t="s">
        <v>485</v>
      </c>
      <c r="O2406" t="s">
        <v>345</v>
      </c>
      <c r="P2406" t="s">
        <v>121</v>
      </c>
      <c r="R2406" t="s">
        <v>122</v>
      </c>
      <c r="S2406" t="s">
        <v>123</v>
      </c>
      <c r="T2406">
        <v>290.10000000000002</v>
      </c>
      <c r="U2406">
        <v>283.5</v>
      </c>
      <c r="V2406">
        <f t="shared" si="74"/>
        <v>286.8</v>
      </c>
      <c r="W2406">
        <f t="shared" si="75"/>
        <v>6.6000000000000227</v>
      </c>
      <c r="X2406">
        <v>-50.422221999999998</v>
      </c>
      <c r="Y2406">
        <v>-25.844443999999999</v>
      </c>
      <c r="Z2406" t="s">
        <v>1890</v>
      </c>
      <c r="AA2406" t="s">
        <v>783</v>
      </c>
      <c r="AB2406" t="s">
        <v>2334</v>
      </c>
      <c r="AC2406" t="s">
        <v>2335</v>
      </c>
      <c r="AD2406" t="s">
        <v>2294</v>
      </c>
      <c r="AE2406" t="s">
        <v>1524</v>
      </c>
      <c r="AH2406" t="s">
        <v>72</v>
      </c>
      <c r="AI2406" t="s">
        <v>2423</v>
      </c>
      <c r="AJ2406">
        <v>2003</v>
      </c>
      <c r="AK2406" t="s">
        <v>2424</v>
      </c>
      <c r="AL2406">
        <v>90190</v>
      </c>
      <c r="AM2406" t="s">
        <v>1528</v>
      </c>
      <c r="AN2406" t="s">
        <v>192</v>
      </c>
      <c r="AO2406" t="s">
        <v>77</v>
      </c>
      <c r="AP2406" t="s">
        <v>115</v>
      </c>
      <c r="AQ2406" t="s">
        <v>2425</v>
      </c>
      <c r="AR2406" t="s">
        <v>80</v>
      </c>
      <c r="AS2406">
        <v>201</v>
      </c>
      <c r="AT2406" t="s">
        <v>81</v>
      </c>
      <c r="AU2406">
        <v>-31.49</v>
      </c>
      <c r="AV2406">
        <v>-47.4</v>
      </c>
      <c r="AW2406" t="s">
        <v>82</v>
      </c>
      <c r="AX2406">
        <v>201</v>
      </c>
      <c r="AY2406" t="s">
        <v>81</v>
      </c>
      <c r="AZ2406">
        <v>-29.79</v>
      </c>
      <c r="BA2406">
        <v>-46.5</v>
      </c>
      <c r="BB2406" t="s">
        <v>83</v>
      </c>
    </row>
    <row r="2407" spans="1:54" x14ac:dyDescent="0.4">
      <c r="A2407">
        <v>821444</v>
      </c>
      <c r="E2407" t="s">
        <v>55</v>
      </c>
      <c r="G2407">
        <v>1</v>
      </c>
      <c r="H2407" t="s">
        <v>56</v>
      </c>
      <c r="I2407" t="s">
        <v>57</v>
      </c>
      <c r="K2407" t="s">
        <v>483</v>
      </c>
      <c r="L2407" t="s">
        <v>484</v>
      </c>
      <c r="M2407" t="s">
        <v>223</v>
      </c>
      <c r="N2407" t="s">
        <v>485</v>
      </c>
      <c r="O2407" t="s">
        <v>345</v>
      </c>
      <c r="P2407" t="s">
        <v>121</v>
      </c>
      <c r="R2407" t="s">
        <v>122</v>
      </c>
      <c r="S2407" t="s">
        <v>123</v>
      </c>
      <c r="T2407">
        <v>290.10000000000002</v>
      </c>
      <c r="U2407">
        <v>283.5</v>
      </c>
      <c r="V2407">
        <f t="shared" si="74"/>
        <v>286.8</v>
      </c>
      <c r="W2407">
        <f t="shared" si="75"/>
        <v>6.6000000000000227</v>
      </c>
      <c r="X2407">
        <v>-50.422221999999998</v>
      </c>
      <c r="Y2407">
        <v>-25.844443999999999</v>
      </c>
      <c r="Z2407" t="s">
        <v>1890</v>
      </c>
      <c r="AA2407" t="s">
        <v>783</v>
      </c>
      <c r="AB2407" t="s">
        <v>2334</v>
      </c>
      <c r="AC2407" t="s">
        <v>2335</v>
      </c>
      <c r="AD2407" t="s">
        <v>2294</v>
      </c>
      <c r="AE2407" t="s">
        <v>1524</v>
      </c>
      <c r="AH2407" t="s">
        <v>72</v>
      </c>
      <c r="AI2407" t="s">
        <v>2423</v>
      </c>
      <c r="AJ2407">
        <v>2003</v>
      </c>
      <c r="AK2407" t="s">
        <v>2424</v>
      </c>
      <c r="AL2407">
        <v>90190</v>
      </c>
      <c r="AM2407" t="s">
        <v>1528</v>
      </c>
      <c r="AN2407" t="s">
        <v>192</v>
      </c>
      <c r="AO2407" t="s">
        <v>77</v>
      </c>
      <c r="AP2407" t="s">
        <v>115</v>
      </c>
      <c r="AQ2407" t="s">
        <v>2425</v>
      </c>
      <c r="AR2407" t="s">
        <v>80</v>
      </c>
      <c r="AS2407">
        <v>201</v>
      </c>
      <c r="AT2407" t="s">
        <v>81</v>
      </c>
      <c r="AU2407">
        <v>-31.49</v>
      </c>
      <c r="AV2407">
        <v>-47.4</v>
      </c>
      <c r="AW2407" t="s">
        <v>82</v>
      </c>
      <c r="AX2407">
        <v>201</v>
      </c>
      <c r="AY2407" t="s">
        <v>81</v>
      </c>
      <c r="AZ2407">
        <v>-29.79</v>
      </c>
      <c r="BA2407">
        <v>-46.5</v>
      </c>
      <c r="BB2407" t="s">
        <v>83</v>
      </c>
    </row>
    <row r="2408" spans="1:54" x14ac:dyDescent="0.4">
      <c r="A2408">
        <v>821444</v>
      </c>
      <c r="E2408" t="s">
        <v>55</v>
      </c>
      <c r="G2408">
        <v>1</v>
      </c>
      <c r="H2408" t="s">
        <v>56</v>
      </c>
      <c r="I2408" t="s">
        <v>57</v>
      </c>
      <c r="K2408" t="s">
        <v>483</v>
      </c>
      <c r="L2408" t="s">
        <v>484</v>
      </c>
      <c r="M2408" t="s">
        <v>223</v>
      </c>
      <c r="N2408" t="s">
        <v>485</v>
      </c>
      <c r="O2408" t="s">
        <v>345</v>
      </c>
      <c r="P2408" t="s">
        <v>121</v>
      </c>
      <c r="R2408" t="s">
        <v>122</v>
      </c>
      <c r="S2408" t="s">
        <v>123</v>
      </c>
      <c r="T2408">
        <v>290.10000000000002</v>
      </c>
      <c r="U2408">
        <v>283.5</v>
      </c>
      <c r="V2408">
        <f t="shared" si="74"/>
        <v>286.8</v>
      </c>
      <c r="W2408">
        <f t="shared" si="75"/>
        <v>6.6000000000000227</v>
      </c>
      <c r="X2408">
        <v>-50.422221999999998</v>
      </c>
      <c r="Y2408">
        <v>-25.844443999999999</v>
      </c>
      <c r="Z2408" t="s">
        <v>1890</v>
      </c>
      <c r="AA2408" t="s">
        <v>783</v>
      </c>
      <c r="AB2408" t="s">
        <v>2334</v>
      </c>
      <c r="AC2408" t="s">
        <v>2335</v>
      </c>
      <c r="AD2408" t="s">
        <v>2294</v>
      </c>
      <c r="AE2408" t="s">
        <v>1524</v>
      </c>
      <c r="AH2408" t="s">
        <v>72</v>
      </c>
      <c r="AI2408" t="s">
        <v>2423</v>
      </c>
      <c r="AJ2408">
        <v>2003</v>
      </c>
      <c r="AK2408" t="s">
        <v>2424</v>
      </c>
      <c r="AL2408">
        <v>90190</v>
      </c>
      <c r="AM2408" t="s">
        <v>1528</v>
      </c>
      <c r="AN2408" t="s">
        <v>192</v>
      </c>
      <c r="AO2408" t="s">
        <v>77</v>
      </c>
      <c r="AP2408" t="s">
        <v>115</v>
      </c>
      <c r="AQ2408" t="s">
        <v>2425</v>
      </c>
      <c r="AR2408" t="s">
        <v>80</v>
      </c>
      <c r="AS2408">
        <v>201</v>
      </c>
      <c r="AT2408" t="s">
        <v>81</v>
      </c>
      <c r="AU2408">
        <v>-31.49</v>
      </c>
      <c r="AV2408">
        <v>-47.4</v>
      </c>
      <c r="AW2408" t="s">
        <v>82</v>
      </c>
      <c r="AX2408">
        <v>201</v>
      </c>
      <c r="AY2408" t="s">
        <v>81</v>
      </c>
      <c r="AZ2408">
        <v>-29.79</v>
      </c>
      <c r="BA2408">
        <v>-46.5</v>
      </c>
      <c r="BB2408" t="s">
        <v>83</v>
      </c>
    </row>
    <row r="2409" spans="1:54" x14ac:dyDescent="0.4">
      <c r="A2409">
        <v>821444</v>
      </c>
      <c r="E2409" t="s">
        <v>55</v>
      </c>
      <c r="G2409">
        <v>1</v>
      </c>
      <c r="H2409" t="s">
        <v>56</v>
      </c>
      <c r="I2409" t="s">
        <v>57</v>
      </c>
      <c r="K2409" t="s">
        <v>483</v>
      </c>
      <c r="L2409" t="s">
        <v>484</v>
      </c>
      <c r="M2409" t="s">
        <v>223</v>
      </c>
      <c r="N2409" t="s">
        <v>485</v>
      </c>
      <c r="O2409" t="s">
        <v>345</v>
      </c>
      <c r="P2409" t="s">
        <v>121</v>
      </c>
      <c r="R2409" t="s">
        <v>122</v>
      </c>
      <c r="S2409" t="s">
        <v>123</v>
      </c>
      <c r="T2409">
        <v>290.10000000000002</v>
      </c>
      <c r="U2409">
        <v>283.5</v>
      </c>
      <c r="V2409">
        <f t="shared" si="74"/>
        <v>286.8</v>
      </c>
      <c r="W2409">
        <f t="shared" si="75"/>
        <v>6.6000000000000227</v>
      </c>
      <c r="X2409">
        <v>-50.422221999999998</v>
      </c>
      <c r="Y2409">
        <v>-25.844443999999999</v>
      </c>
      <c r="Z2409" t="s">
        <v>1890</v>
      </c>
      <c r="AA2409" t="s">
        <v>783</v>
      </c>
      <c r="AB2409" t="s">
        <v>2334</v>
      </c>
      <c r="AC2409" t="s">
        <v>2335</v>
      </c>
      <c r="AD2409" t="s">
        <v>2294</v>
      </c>
      <c r="AE2409" t="s">
        <v>1524</v>
      </c>
      <c r="AH2409" t="s">
        <v>72</v>
      </c>
      <c r="AI2409" t="s">
        <v>2423</v>
      </c>
      <c r="AJ2409">
        <v>2003</v>
      </c>
      <c r="AK2409" t="s">
        <v>2424</v>
      </c>
      <c r="AL2409">
        <v>90190</v>
      </c>
      <c r="AM2409" t="s">
        <v>1528</v>
      </c>
      <c r="AN2409" t="s">
        <v>192</v>
      </c>
      <c r="AO2409" t="s">
        <v>77</v>
      </c>
      <c r="AP2409" t="s">
        <v>115</v>
      </c>
      <c r="AQ2409" t="s">
        <v>2425</v>
      </c>
      <c r="AR2409" t="s">
        <v>80</v>
      </c>
      <c r="AS2409">
        <v>201</v>
      </c>
      <c r="AT2409" t="s">
        <v>81</v>
      </c>
      <c r="AU2409">
        <v>-31.49</v>
      </c>
      <c r="AV2409">
        <v>-47.4</v>
      </c>
      <c r="AW2409" t="s">
        <v>82</v>
      </c>
      <c r="AX2409">
        <v>201</v>
      </c>
      <c r="AY2409" t="s">
        <v>81</v>
      </c>
      <c r="AZ2409">
        <v>-29.79</v>
      </c>
      <c r="BA2409">
        <v>-46.5</v>
      </c>
      <c r="BB2409" t="s">
        <v>83</v>
      </c>
    </row>
    <row r="2410" spans="1:54" x14ac:dyDescent="0.4">
      <c r="A2410">
        <v>821444</v>
      </c>
      <c r="E2410" t="s">
        <v>55</v>
      </c>
      <c r="G2410">
        <v>1</v>
      </c>
      <c r="H2410" t="s">
        <v>56</v>
      </c>
      <c r="I2410" t="s">
        <v>57</v>
      </c>
      <c r="K2410" t="s">
        <v>483</v>
      </c>
      <c r="L2410" t="s">
        <v>484</v>
      </c>
      <c r="M2410" t="s">
        <v>223</v>
      </c>
      <c r="N2410" t="s">
        <v>485</v>
      </c>
      <c r="O2410" t="s">
        <v>345</v>
      </c>
      <c r="P2410" t="s">
        <v>121</v>
      </c>
      <c r="R2410" t="s">
        <v>122</v>
      </c>
      <c r="S2410" t="s">
        <v>123</v>
      </c>
      <c r="T2410">
        <v>290.10000000000002</v>
      </c>
      <c r="U2410">
        <v>283.5</v>
      </c>
      <c r="V2410">
        <f t="shared" si="74"/>
        <v>286.8</v>
      </c>
      <c r="W2410">
        <f t="shared" si="75"/>
        <v>6.6000000000000227</v>
      </c>
      <c r="X2410">
        <v>-50.422221999999998</v>
      </c>
      <c r="Y2410">
        <v>-25.844443999999999</v>
      </c>
      <c r="Z2410" t="s">
        <v>1890</v>
      </c>
      <c r="AA2410" t="s">
        <v>783</v>
      </c>
      <c r="AB2410" t="s">
        <v>2334</v>
      </c>
      <c r="AC2410" t="s">
        <v>2335</v>
      </c>
      <c r="AD2410" t="s">
        <v>2294</v>
      </c>
      <c r="AE2410" t="s">
        <v>1524</v>
      </c>
      <c r="AH2410" t="s">
        <v>72</v>
      </c>
      <c r="AI2410" t="s">
        <v>2423</v>
      </c>
      <c r="AJ2410">
        <v>2003</v>
      </c>
      <c r="AK2410" t="s">
        <v>2424</v>
      </c>
      <c r="AL2410">
        <v>90190</v>
      </c>
      <c r="AM2410" t="s">
        <v>1528</v>
      </c>
      <c r="AN2410" t="s">
        <v>192</v>
      </c>
      <c r="AO2410" t="s">
        <v>77</v>
      </c>
      <c r="AP2410" t="s">
        <v>115</v>
      </c>
      <c r="AQ2410" t="s">
        <v>2425</v>
      </c>
      <c r="AR2410" t="s">
        <v>80</v>
      </c>
      <c r="AS2410">
        <v>201</v>
      </c>
      <c r="AT2410" t="s">
        <v>81</v>
      </c>
      <c r="AU2410">
        <v>-31.49</v>
      </c>
      <c r="AV2410">
        <v>-47.4</v>
      </c>
      <c r="AW2410" t="s">
        <v>82</v>
      </c>
      <c r="AX2410">
        <v>201</v>
      </c>
      <c r="AY2410" t="s">
        <v>81</v>
      </c>
      <c r="AZ2410">
        <v>-29.79</v>
      </c>
      <c r="BA2410">
        <v>-46.5</v>
      </c>
      <c r="BB2410" t="s">
        <v>83</v>
      </c>
    </row>
    <row r="2411" spans="1:54" x14ac:dyDescent="0.4">
      <c r="A2411">
        <v>821444</v>
      </c>
      <c r="E2411" t="s">
        <v>55</v>
      </c>
      <c r="G2411">
        <v>1</v>
      </c>
      <c r="H2411" t="s">
        <v>56</v>
      </c>
      <c r="I2411" t="s">
        <v>57</v>
      </c>
      <c r="K2411" t="s">
        <v>483</v>
      </c>
      <c r="L2411" t="s">
        <v>484</v>
      </c>
      <c r="M2411" t="s">
        <v>223</v>
      </c>
      <c r="N2411" t="s">
        <v>485</v>
      </c>
      <c r="O2411" t="s">
        <v>345</v>
      </c>
      <c r="P2411" t="s">
        <v>121</v>
      </c>
      <c r="R2411" t="s">
        <v>122</v>
      </c>
      <c r="S2411" t="s">
        <v>123</v>
      </c>
      <c r="T2411">
        <v>290.10000000000002</v>
      </c>
      <c r="U2411">
        <v>283.5</v>
      </c>
      <c r="V2411">
        <f t="shared" si="74"/>
        <v>286.8</v>
      </c>
      <c r="W2411">
        <f t="shared" si="75"/>
        <v>6.6000000000000227</v>
      </c>
      <c r="X2411">
        <v>-50.422221999999998</v>
      </c>
      <c r="Y2411">
        <v>-25.844443999999999</v>
      </c>
      <c r="Z2411" t="s">
        <v>1890</v>
      </c>
      <c r="AA2411" t="s">
        <v>783</v>
      </c>
      <c r="AB2411" t="s">
        <v>2334</v>
      </c>
      <c r="AC2411" t="s">
        <v>2335</v>
      </c>
      <c r="AD2411" t="s">
        <v>2294</v>
      </c>
      <c r="AE2411" t="s">
        <v>1524</v>
      </c>
      <c r="AH2411" t="s">
        <v>72</v>
      </c>
      <c r="AI2411" t="s">
        <v>2423</v>
      </c>
      <c r="AJ2411">
        <v>2003</v>
      </c>
      <c r="AK2411" t="s">
        <v>2424</v>
      </c>
      <c r="AL2411">
        <v>90190</v>
      </c>
      <c r="AM2411" t="s">
        <v>1528</v>
      </c>
      <c r="AN2411" t="s">
        <v>192</v>
      </c>
      <c r="AO2411" t="s">
        <v>77</v>
      </c>
      <c r="AP2411" t="s">
        <v>115</v>
      </c>
      <c r="AQ2411" t="s">
        <v>2425</v>
      </c>
      <c r="AR2411" t="s">
        <v>80</v>
      </c>
      <c r="AS2411">
        <v>201</v>
      </c>
      <c r="AT2411" t="s">
        <v>81</v>
      </c>
      <c r="AU2411">
        <v>-31.49</v>
      </c>
      <c r="AV2411">
        <v>-47.4</v>
      </c>
      <c r="AW2411" t="s">
        <v>82</v>
      </c>
      <c r="AX2411">
        <v>201</v>
      </c>
      <c r="AY2411" t="s">
        <v>81</v>
      </c>
      <c r="AZ2411">
        <v>-29.79</v>
      </c>
      <c r="BA2411">
        <v>-46.5</v>
      </c>
      <c r="BB2411" t="s">
        <v>83</v>
      </c>
    </row>
    <row r="2412" spans="1:54" x14ac:dyDescent="0.4">
      <c r="A2412">
        <v>821444</v>
      </c>
      <c r="E2412" t="s">
        <v>55</v>
      </c>
      <c r="G2412">
        <v>1</v>
      </c>
      <c r="H2412" t="s">
        <v>56</v>
      </c>
      <c r="I2412" t="s">
        <v>57</v>
      </c>
      <c r="K2412" t="s">
        <v>483</v>
      </c>
      <c r="L2412" t="s">
        <v>484</v>
      </c>
      <c r="M2412" t="s">
        <v>223</v>
      </c>
      <c r="N2412" t="s">
        <v>485</v>
      </c>
      <c r="O2412" t="s">
        <v>345</v>
      </c>
      <c r="P2412" t="s">
        <v>121</v>
      </c>
      <c r="R2412" t="s">
        <v>122</v>
      </c>
      <c r="S2412" t="s">
        <v>123</v>
      </c>
      <c r="T2412">
        <v>290.10000000000002</v>
      </c>
      <c r="U2412">
        <v>283.5</v>
      </c>
      <c r="V2412">
        <f t="shared" si="74"/>
        <v>286.8</v>
      </c>
      <c r="W2412">
        <f t="shared" si="75"/>
        <v>6.6000000000000227</v>
      </c>
      <c r="X2412">
        <v>-50.422221999999998</v>
      </c>
      <c r="Y2412">
        <v>-25.844443999999999</v>
      </c>
      <c r="Z2412" t="s">
        <v>1890</v>
      </c>
      <c r="AA2412" t="s">
        <v>783</v>
      </c>
      <c r="AB2412" t="s">
        <v>2334</v>
      </c>
      <c r="AC2412" t="s">
        <v>2335</v>
      </c>
      <c r="AD2412" t="s">
        <v>2294</v>
      </c>
      <c r="AE2412" t="s">
        <v>1524</v>
      </c>
      <c r="AH2412" t="s">
        <v>72</v>
      </c>
      <c r="AI2412" t="s">
        <v>2423</v>
      </c>
      <c r="AJ2412">
        <v>2003</v>
      </c>
      <c r="AK2412" t="s">
        <v>2424</v>
      </c>
      <c r="AL2412">
        <v>90190</v>
      </c>
      <c r="AM2412" t="s">
        <v>1528</v>
      </c>
      <c r="AN2412" t="s">
        <v>192</v>
      </c>
      <c r="AO2412" t="s">
        <v>77</v>
      </c>
      <c r="AP2412" t="s">
        <v>115</v>
      </c>
      <c r="AQ2412" t="s">
        <v>2425</v>
      </c>
      <c r="AR2412" t="s">
        <v>80</v>
      </c>
      <c r="AS2412">
        <v>201</v>
      </c>
      <c r="AT2412" t="s">
        <v>81</v>
      </c>
      <c r="AU2412">
        <v>-31.49</v>
      </c>
      <c r="AV2412">
        <v>-47.4</v>
      </c>
      <c r="AW2412" t="s">
        <v>82</v>
      </c>
      <c r="AX2412">
        <v>201</v>
      </c>
      <c r="AY2412" t="s">
        <v>81</v>
      </c>
      <c r="AZ2412">
        <v>-29.79</v>
      </c>
      <c r="BA2412">
        <v>-46.5</v>
      </c>
      <c r="BB2412" t="s">
        <v>83</v>
      </c>
    </row>
    <row r="2413" spans="1:54" x14ac:dyDescent="0.4">
      <c r="A2413">
        <v>821444</v>
      </c>
      <c r="E2413" t="s">
        <v>55</v>
      </c>
      <c r="G2413">
        <v>1</v>
      </c>
      <c r="H2413" t="s">
        <v>56</v>
      </c>
      <c r="I2413" t="s">
        <v>57</v>
      </c>
      <c r="K2413" t="s">
        <v>483</v>
      </c>
      <c r="L2413" t="s">
        <v>484</v>
      </c>
      <c r="M2413" t="s">
        <v>223</v>
      </c>
      <c r="N2413" t="s">
        <v>485</v>
      </c>
      <c r="O2413" t="s">
        <v>345</v>
      </c>
      <c r="P2413" t="s">
        <v>121</v>
      </c>
      <c r="R2413" t="s">
        <v>122</v>
      </c>
      <c r="S2413" t="s">
        <v>123</v>
      </c>
      <c r="T2413">
        <v>290.10000000000002</v>
      </c>
      <c r="U2413">
        <v>283.5</v>
      </c>
      <c r="V2413">
        <f t="shared" si="74"/>
        <v>286.8</v>
      </c>
      <c r="W2413">
        <f t="shared" si="75"/>
        <v>6.6000000000000227</v>
      </c>
      <c r="X2413">
        <v>-50.422221999999998</v>
      </c>
      <c r="Y2413">
        <v>-25.844443999999999</v>
      </c>
      <c r="Z2413" t="s">
        <v>1890</v>
      </c>
      <c r="AA2413" t="s">
        <v>783</v>
      </c>
      <c r="AB2413" t="s">
        <v>2334</v>
      </c>
      <c r="AC2413" t="s">
        <v>2335</v>
      </c>
      <c r="AD2413" t="s">
        <v>2294</v>
      </c>
      <c r="AE2413" t="s">
        <v>1524</v>
      </c>
      <c r="AH2413" t="s">
        <v>72</v>
      </c>
      <c r="AI2413" t="s">
        <v>2423</v>
      </c>
      <c r="AJ2413">
        <v>2003</v>
      </c>
      <c r="AK2413" t="s">
        <v>2424</v>
      </c>
      <c r="AL2413">
        <v>90190</v>
      </c>
      <c r="AM2413" t="s">
        <v>1528</v>
      </c>
      <c r="AN2413" t="s">
        <v>192</v>
      </c>
      <c r="AO2413" t="s">
        <v>77</v>
      </c>
      <c r="AP2413" t="s">
        <v>115</v>
      </c>
      <c r="AQ2413" t="s">
        <v>2425</v>
      </c>
      <c r="AR2413" t="s">
        <v>80</v>
      </c>
      <c r="AS2413">
        <v>201</v>
      </c>
      <c r="AT2413" t="s">
        <v>81</v>
      </c>
      <c r="AU2413">
        <v>-31.49</v>
      </c>
      <c r="AV2413">
        <v>-47.4</v>
      </c>
      <c r="AW2413" t="s">
        <v>82</v>
      </c>
      <c r="AX2413">
        <v>201</v>
      </c>
      <c r="AY2413" t="s">
        <v>81</v>
      </c>
      <c r="AZ2413">
        <v>-29.79</v>
      </c>
      <c r="BA2413">
        <v>-46.5</v>
      </c>
      <c r="BB2413" t="s">
        <v>83</v>
      </c>
    </row>
    <row r="2414" spans="1:54" x14ac:dyDescent="0.4">
      <c r="A2414">
        <v>821444</v>
      </c>
      <c r="E2414" t="s">
        <v>55</v>
      </c>
      <c r="G2414">
        <v>1</v>
      </c>
      <c r="H2414" t="s">
        <v>56</v>
      </c>
      <c r="I2414" t="s">
        <v>57</v>
      </c>
      <c r="K2414" t="s">
        <v>483</v>
      </c>
      <c r="L2414" t="s">
        <v>484</v>
      </c>
      <c r="M2414" t="s">
        <v>223</v>
      </c>
      <c r="N2414" t="s">
        <v>485</v>
      </c>
      <c r="O2414" t="s">
        <v>345</v>
      </c>
      <c r="P2414" t="s">
        <v>121</v>
      </c>
      <c r="R2414" t="s">
        <v>122</v>
      </c>
      <c r="S2414" t="s">
        <v>123</v>
      </c>
      <c r="T2414">
        <v>290.10000000000002</v>
      </c>
      <c r="U2414">
        <v>283.5</v>
      </c>
      <c r="V2414">
        <f t="shared" si="74"/>
        <v>286.8</v>
      </c>
      <c r="W2414">
        <f t="shared" si="75"/>
        <v>6.6000000000000227</v>
      </c>
      <c r="X2414">
        <v>-50.422221999999998</v>
      </c>
      <c r="Y2414">
        <v>-25.844443999999999</v>
      </c>
      <c r="Z2414" t="s">
        <v>1890</v>
      </c>
      <c r="AA2414" t="s">
        <v>783</v>
      </c>
      <c r="AB2414" t="s">
        <v>2334</v>
      </c>
      <c r="AC2414" t="s">
        <v>2335</v>
      </c>
      <c r="AD2414" t="s">
        <v>2294</v>
      </c>
      <c r="AE2414" t="s">
        <v>1524</v>
      </c>
      <c r="AH2414" t="s">
        <v>72</v>
      </c>
      <c r="AI2414" t="s">
        <v>2423</v>
      </c>
      <c r="AJ2414">
        <v>2003</v>
      </c>
      <c r="AK2414" t="s">
        <v>2424</v>
      </c>
      <c r="AL2414">
        <v>90190</v>
      </c>
      <c r="AM2414" t="s">
        <v>1528</v>
      </c>
      <c r="AN2414" t="s">
        <v>192</v>
      </c>
      <c r="AO2414" t="s">
        <v>77</v>
      </c>
      <c r="AP2414" t="s">
        <v>115</v>
      </c>
      <c r="AQ2414" t="s">
        <v>2425</v>
      </c>
      <c r="AR2414" t="s">
        <v>80</v>
      </c>
      <c r="AS2414">
        <v>201</v>
      </c>
      <c r="AT2414" t="s">
        <v>81</v>
      </c>
      <c r="AU2414">
        <v>-31.49</v>
      </c>
      <c r="AV2414">
        <v>-47.4</v>
      </c>
      <c r="AW2414" t="s">
        <v>82</v>
      </c>
      <c r="AX2414">
        <v>201</v>
      </c>
      <c r="AY2414" t="s">
        <v>81</v>
      </c>
      <c r="AZ2414">
        <v>-29.79</v>
      </c>
      <c r="BA2414">
        <v>-46.5</v>
      </c>
      <c r="BB2414" t="s">
        <v>83</v>
      </c>
    </row>
    <row r="2415" spans="1:54" x14ac:dyDescent="0.4">
      <c r="A2415">
        <v>821444</v>
      </c>
      <c r="E2415" t="s">
        <v>55</v>
      </c>
      <c r="G2415">
        <v>1</v>
      </c>
      <c r="H2415" t="s">
        <v>56</v>
      </c>
      <c r="I2415" t="s">
        <v>57</v>
      </c>
      <c r="K2415" t="s">
        <v>483</v>
      </c>
      <c r="L2415" t="s">
        <v>484</v>
      </c>
      <c r="M2415" t="s">
        <v>223</v>
      </c>
      <c r="N2415" t="s">
        <v>485</v>
      </c>
      <c r="O2415" t="s">
        <v>345</v>
      </c>
      <c r="P2415" t="s">
        <v>121</v>
      </c>
      <c r="R2415" t="s">
        <v>122</v>
      </c>
      <c r="S2415" t="s">
        <v>123</v>
      </c>
      <c r="T2415">
        <v>290.10000000000002</v>
      </c>
      <c r="U2415">
        <v>283.5</v>
      </c>
      <c r="V2415">
        <f t="shared" si="74"/>
        <v>286.8</v>
      </c>
      <c r="W2415">
        <f t="shared" si="75"/>
        <v>6.6000000000000227</v>
      </c>
      <c r="X2415">
        <v>-50.422221999999998</v>
      </c>
      <c r="Y2415">
        <v>-25.844443999999999</v>
      </c>
      <c r="Z2415" t="s">
        <v>1890</v>
      </c>
      <c r="AA2415" t="s">
        <v>783</v>
      </c>
      <c r="AB2415" t="s">
        <v>2334</v>
      </c>
      <c r="AC2415" t="s">
        <v>2335</v>
      </c>
      <c r="AD2415" t="s">
        <v>2294</v>
      </c>
      <c r="AE2415" t="s">
        <v>1524</v>
      </c>
      <c r="AH2415" t="s">
        <v>72</v>
      </c>
      <c r="AI2415" t="s">
        <v>2423</v>
      </c>
      <c r="AJ2415">
        <v>2003</v>
      </c>
      <c r="AK2415" t="s">
        <v>2424</v>
      </c>
      <c r="AL2415">
        <v>90190</v>
      </c>
      <c r="AM2415" t="s">
        <v>1528</v>
      </c>
      <c r="AN2415" t="s">
        <v>192</v>
      </c>
      <c r="AO2415" t="s">
        <v>77</v>
      </c>
      <c r="AP2415" t="s">
        <v>115</v>
      </c>
      <c r="AQ2415" t="s">
        <v>2425</v>
      </c>
      <c r="AR2415" t="s">
        <v>80</v>
      </c>
      <c r="AS2415">
        <v>201</v>
      </c>
      <c r="AT2415" t="s">
        <v>81</v>
      </c>
      <c r="AU2415">
        <v>-31.49</v>
      </c>
      <c r="AV2415">
        <v>-47.4</v>
      </c>
      <c r="AW2415" t="s">
        <v>82</v>
      </c>
      <c r="AX2415">
        <v>201</v>
      </c>
      <c r="AY2415" t="s">
        <v>81</v>
      </c>
      <c r="AZ2415">
        <v>-29.79</v>
      </c>
      <c r="BA2415">
        <v>-46.5</v>
      </c>
      <c r="BB2415" t="s">
        <v>83</v>
      </c>
    </row>
    <row r="2416" spans="1:54" x14ac:dyDescent="0.4">
      <c r="A2416">
        <v>821444</v>
      </c>
      <c r="E2416" t="s">
        <v>55</v>
      </c>
      <c r="G2416">
        <v>1</v>
      </c>
      <c r="H2416" t="s">
        <v>56</v>
      </c>
      <c r="I2416" t="s">
        <v>57</v>
      </c>
      <c r="K2416" t="s">
        <v>483</v>
      </c>
      <c r="L2416" t="s">
        <v>484</v>
      </c>
      <c r="M2416" t="s">
        <v>223</v>
      </c>
      <c r="N2416" t="s">
        <v>485</v>
      </c>
      <c r="O2416" t="s">
        <v>345</v>
      </c>
      <c r="P2416" t="s">
        <v>121</v>
      </c>
      <c r="R2416" t="s">
        <v>122</v>
      </c>
      <c r="S2416" t="s">
        <v>123</v>
      </c>
      <c r="T2416">
        <v>290.10000000000002</v>
      </c>
      <c r="U2416">
        <v>283.5</v>
      </c>
      <c r="V2416">
        <f t="shared" si="74"/>
        <v>286.8</v>
      </c>
      <c r="W2416">
        <f t="shared" si="75"/>
        <v>6.6000000000000227</v>
      </c>
      <c r="X2416">
        <v>-50.422221999999998</v>
      </c>
      <c r="Y2416">
        <v>-25.844443999999999</v>
      </c>
      <c r="Z2416" t="s">
        <v>1890</v>
      </c>
      <c r="AA2416" t="s">
        <v>783</v>
      </c>
      <c r="AB2416" t="s">
        <v>2334</v>
      </c>
      <c r="AC2416" t="s">
        <v>2335</v>
      </c>
      <c r="AD2416" t="s">
        <v>2294</v>
      </c>
      <c r="AE2416" t="s">
        <v>1524</v>
      </c>
      <c r="AH2416" t="s">
        <v>72</v>
      </c>
      <c r="AI2416" t="s">
        <v>2423</v>
      </c>
      <c r="AJ2416">
        <v>2003</v>
      </c>
      <c r="AK2416" t="s">
        <v>2424</v>
      </c>
      <c r="AL2416">
        <v>90190</v>
      </c>
      <c r="AM2416" t="s">
        <v>1528</v>
      </c>
      <c r="AN2416" t="s">
        <v>192</v>
      </c>
      <c r="AO2416" t="s">
        <v>77</v>
      </c>
      <c r="AP2416" t="s">
        <v>115</v>
      </c>
      <c r="AQ2416" t="s">
        <v>2425</v>
      </c>
      <c r="AR2416" t="s">
        <v>80</v>
      </c>
      <c r="AS2416">
        <v>201</v>
      </c>
      <c r="AT2416" t="s">
        <v>81</v>
      </c>
      <c r="AU2416">
        <v>-31.49</v>
      </c>
      <c r="AV2416">
        <v>-47.4</v>
      </c>
      <c r="AW2416" t="s">
        <v>82</v>
      </c>
      <c r="AX2416">
        <v>201</v>
      </c>
      <c r="AY2416" t="s">
        <v>81</v>
      </c>
      <c r="AZ2416">
        <v>-29.79</v>
      </c>
      <c r="BA2416">
        <v>-46.5</v>
      </c>
      <c r="BB2416" t="s">
        <v>83</v>
      </c>
    </row>
    <row r="2417" spans="1:54" x14ac:dyDescent="0.4">
      <c r="A2417">
        <v>821444</v>
      </c>
      <c r="E2417" t="s">
        <v>55</v>
      </c>
      <c r="G2417">
        <v>1</v>
      </c>
      <c r="H2417" t="s">
        <v>56</v>
      </c>
      <c r="I2417" t="s">
        <v>57</v>
      </c>
      <c r="K2417" t="s">
        <v>483</v>
      </c>
      <c r="L2417" t="s">
        <v>484</v>
      </c>
      <c r="M2417" t="s">
        <v>223</v>
      </c>
      <c r="N2417" t="s">
        <v>485</v>
      </c>
      <c r="O2417" t="s">
        <v>345</v>
      </c>
      <c r="P2417" t="s">
        <v>121</v>
      </c>
      <c r="R2417" t="s">
        <v>122</v>
      </c>
      <c r="S2417" t="s">
        <v>123</v>
      </c>
      <c r="T2417">
        <v>290.10000000000002</v>
      </c>
      <c r="U2417">
        <v>283.5</v>
      </c>
      <c r="V2417">
        <f t="shared" si="74"/>
        <v>286.8</v>
      </c>
      <c r="W2417">
        <f t="shared" si="75"/>
        <v>6.6000000000000227</v>
      </c>
      <c r="X2417">
        <v>-50.422221999999998</v>
      </c>
      <c r="Y2417">
        <v>-25.844443999999999</v>
      </c>
      <c r="Z2417" t="s">
        <v>1890</v>
      </c>
      <c r="AA2417" t="s">
        <v>783</v>
      </c>
      <c r="AB2417" t="s">
        <v>2334</v>
      </c>
      <c r="AC2417" t="s">
        <v>2335</v>
      </c>
      <c r="AD2417" t="s">
        <v>2294</v>
      </c>
      <c r="AE2417" t="s">
        <v>1524</v>
      </c>
      <c r="AH2417" t="s">
        <v>72</v>
      </c>
      <c r="AI2417" t="s">
        <v>2423</v>
      </c>
      <c r="AJ2417">
        <v>2003</v>
      </c>
      <c r="AK2417" t="s">
        <v>2424</v>
      </c>
      <c r="AL2417">
        <v>90190</v>
      </c>
      <c r="AM2417" t="s">
        <v>1528</v>
      </c>
      <c r="AN2417" t="s">
        <v>192</v>
      </c>
      <c r="AO2417" t="s">
        <v>77</v>
      </c>
      <c r="AP2417" t="s">
        <v>115</v>
      </c>
      <c r="AQ2417" t="s">
        <v>2425</v>
      </c>
      <c r="AR2417" t="s">
        <v>80</v>
      </c>
      <c r="AS2417">
        <v>201</v>
      </c>
      <c r="AT2417" t="s">
        <v>81</v>
      </c>
      <c r="AU2417">
        <v>-31.49</v>
      </c>
      <c r="AV2417">
        <v>-47.4</v>
      </c>
      <c r="AW2417" t="s">
        <v>82</v>
      </c>
      <c r="AX2417">
        <v>201</v>
      </c>
      <c r="AY2417" t="s">
        <v>81</v>
      </c>
      <c r="AZ2417">
        <v>-29.79</v>
      </c>
      <c r="BA2417">
        <v>-46.5</v>
      </c>
      <c r="BB2417" t="s">
        <v>83</v>
      </c>
    </row>
    <row r="2418" spans="1:54" x14ac:dyDescent="0.4">
      <c r="A2418">
        <v>821444</v>
      </c>
      <c r="E2418" t="s">
        <v>55</v>
      </c>
      <c r="G2418">
        <v>1</v>
      </c>
      <c r="H2418" t="s">
        <v>56</v>
      </c>
      <c r="I2418" t="s">
        <v>57</v>
      </c>
      <c r="K2418" t="s">
        <v>483</v>
      </c>
      <c r="L2418" t="s">
        <v>484</v>
      </c>
      <c r="M2418" t="s">
        <v>223</v>
      </c>
      <c r="N2418" t="s">
        <v>485</v>
      </c>
      <c r="O2418" t="s">
        <v>345</v>
      </c>
      <c r="P2418" t="s">
        <v>121</v>
      </c>
      <c r="R2418" t="s">
        <v>122</v>
      </c>
      <c r="S2418" t="s">
        <v>123</v>
      </c>
      <c r="T2418">
        <v>290.10000000000002</v>
      </c>
      <c r="U2418">
        <v>283.5</v>
      </c>
      <c r="V2418">
        <f t="shared" si="74"/>
        <v>286.8</v>
      </c>
      <c r="W2418">
        <f t="shared" si="75"/>
        <v>6.6000000000000227</v>
      </c>
      <c r="X2418">
        <v>-50.422221999999998</v>
      </c>
      <c r="Y2418">
        <v>-25.844443999999999</v>
      </c>
      <c r="Z2418" t="s">
        <v>1890</v>
      </c>
      <c r="AA2418" t="s">
        <v>783</v>
      </c>
      <c r="AB2418" t="s">
        <v>2334</v>
      </c>
      <c r="AC2418" t="s">
        <v>2335</v>
      </c>
      <c r="AD2418" t="s">
        <v>2294</v>
      </c>
      <c r="AE2418" t="s">
        <v>1524</v>
      </c>
      <c r="AH2418" t="s">
        <v>72</v>
      </c>
      <c r="AI2418" t="s">
        <v>2423</v>
      </c>
      <c r="AJ2418">
        <v>2003</v>
      </c>
      <c r="AK2418" t="s">
        <v>2424</v>
      </c>
      <c r="AL2418">
        <v>90190</v>
      </c>
      <c r="AM2418" t="s">
        <v>1528</v>
      </c>
      <c r="AN2418" t="s">
        <v>192</v>
      </c>
      <c r="AO2418" t="s">
        <v>77</v>
      </c>
      <c r="AP2418" t="s">
        <v>115</v>
      </c>
      <c r="AQ2418" t="s">
        <v>2425</v>
      </c>
      <c r="AR2418" t="s">
        <v>80</v>
      </c>
      <c r="AS2418">
        <v>201</v>
      </c>
      <c r="AT2418" t="s">
        <v>81</v>
      </c>
      <c r="AU2418">
        <v>-31.49</v>
      </c>
      <c r="AV2418">
        <v>-47.4</v>
      </c>
      <c r="AW2418" t="s">
        <v>82</v>
      </c>
      <c r="AX2418">
        <v>201</v>
      </c>
      <c r="AY2418" t="s">
        <v>81</v>
      </c>
      <c r="AZ2418">
        <v>-29.79</v>
      </c>
      <c r="BA2418">
        <v>-46.5</v>
      </c>
      <c r="BB2418" t="s">
        <v>83</v>
      </c>
    </row>
    <row r="2419" spans="1:54" x14ac:dyDescent="0.4">
      <c r="A2419">
        <v>821444</v>
      </c>
      <c r="E2419" t="s">
        <v>55</v>
      </c>
      <c r="G2419">
        <v>1</v>
      </c>
      <c r="H2419" t="s">
        <v>56</v>
      </c>
      <c r="I2419" t="s">
        <v>57</v>
      </c>
      <c r="K2419" t="s">
        <v>483</v>
      </c>
      <c r="L2419" t="s">
        <v>484</v>
      </c>
      <c r="M2419" t="s">
        <v>223</v>
      </c>
      <c r="N2419" t="s">
        <v>485</v>
      </c>
      <c r="O2419" t="s">
        <v>345</v>
      </c>
      <c r="P2419" t="s">
        <v>121</v>
      </c>
      <c r="R2419" t="s">
        <v>122</v>
      </c>
      <c r="S2419" t="s">
        <v>123</v>
      </c>
      <c r="T2419">
        <v>290.10000000000002</v>
      </c>
      <c r="U2419">
        <v>283.5</v>
      </c>
      <c r="V2419">
        <f t="shared" si="74"/>
        <v>286.8</v>
      </c>
      <c r="W2419">
        <f t="shared" si="75"/>
        <v>6.6000000000000227</v>
      </c>
      <c r="X2419">
        <v>-50.422221999999998</v>
      </c>
      <c r="Y2419">
        <v>-25.844443999999999</v>
      </c>
      <c r="Z2419" t="s">
        <v>1890</v>
      </c>
      <c r="AA2419" t="s">
        <v>783</v>
      </c>
      <c r="AB2419" t="s">
        <v>2334</v>
      </c>
      <c r="AC2419" t="s">
        <v>2335</v>
      </c>
      <c r="AD2419" t="s">
        <v>2294</v>
      </c>
      <c r="AE2419" t="s">
        <v>1524</v>
      </c>
      <c r="AH2419" t="s">
        <v>72</v>
      </c>
      <c r="AI2419" t="s">
        <v>2423</v>
      </c>
      <c r="AJ2419">
        <v>2003</v>
      </c>
      <c r="AK2419" t="s">
        <v>2424</v>
      </c>
      <c r="AL2419">
        <v>90190</v>
      </c>
      <c r="AM2419" t="s">
        <v>1528</v>
      </c>
      <c r="AN2419" t="s">
        <v>192</v>
      </c>
      <c r="AO2419" t="s">
        <v>77</v>
      </c>
      <c r="AP2419" t="s">
        <v>115</v>
      </c>
      <c r="AQ2419" t="s">
        <v>2425</v>
      </c>
      <c r="AR2419" t="s">
        <v>80</v>
      </c>
      <c r="AS2419">
        <v>201</v>
      </c>
      <c r="AT2419" t="s">
        <v>81</v>
      </c>
      <c r="AU2419">
        <v>-31.49</v>
      </c>
      <c r="AV2419">
        <v>-47.4</v>
      </c>
      <c r="AW2419" t="s">
        <v>82</v>
      </c>
      <c r="AX2419">
        <v>201</v>
      </c>
      <c r="AY2419" t="s">
        <v>81</v>
      </c>
      <c r="AZ2419">
        <v>-29.79</v>
      </c>
      <c r="BA2419">
        <v>-46.5</v>
      </c>
      <c r="BB2419" t="s">
        <v>83</v>
      </c>
    </row>
    <row r="2420" spans="1:54" x14ac:dyDescent="0.4">
      <c r="A2420">
        <v>821454</v>
      </c>
      <c r="E2420" t="s">
        <v>55</v>
      </c>
      <c r="G2420">
        <v>1</v>
      </c>
      <c r="H2420" t="s">
        <v>56</v>
      </c>
      <c r="I2420" t="s">
        <v>57</v>
      </c>
      <c r="K2420" t="s">
        <v>483</v>
      </c>
      <c r="L2420" t="s">
        <v>2299</v>
      </c>
      <c r="M2420" t="s">
        <v>223</v>
      </c>
      <c r="N2420" t="s">
        <v>485</v>
      </c>
      <c r="O2420" t="s">
        <v>345</v>
      </c>
      <c r="P2420" t="s">
        <v>121</v>
      </c>
      <c r="R2420" t="s">
        <v>122</v>
      </c>
      <c r="S2420" t="s">
        <v>123</v>
      </c>
      <c r="T2420">
        <v>290.10000000000002</v>
      </c>
      <c r="U2420">
        <v>283.5</v>
      </c>
      <c r="V2420">
        <f t="shared" si="74"/>
        <v>286.8</v>
      </c>
      <c r="W2420">
        <f t="shared" si="75"/>
        <v>6.6000000000000227</v>
      </c>
      <c r="X2420">
        <v>-47.584721000000002</v>
      </c>
      <c r="Y2420">
        <v>-22.498611</v>
      </c>
      <c r="Z2420" t="s">
        <v>1596</v>
      </c>
      <c r="AA2420" t="s">
        <v>783</v>
      </c>
      <c r="AB2420" t="s">
        <v>2343</v>
      </c>
      <c r="AC2420" t="s">
        <v>2359</v>
      </c>
      <c r="AD2420" t="s">
        <v>2294</v>
      </c>
      <c r="AE2420" t="s">
        <v>1524</v>
      </c>
      <c r="AF2420" t="s">
        <v>2295</v>
      </c>
      <c r="AH2420" t="s">
        <v>72</v>
      </c>
      <c r="AI2420" t="s">
        <v>2423</v>
      </c>
      <c r="AJ2420">
        <v>2003</v>
      </c>
      <c r="AK2420" t="s">
        <v>2426</v>
      </c>
      <c r="AM2420" t="s">
        <v>1528</v>
      </c>
      <c r="AN2420" t="s">
        <v>114</v>
      </c>
      <c r="AO2420" t="s">
        <v>77</v>
      </c>
      <c r="AP2420" t="s">
        <v>78</v>
      </c>
      <c r="AQ2420" t="s">
        <v>2427</v>
      </c>
      <c r="AR2420" t="s">
        <v>80</v>
      </c>
      <c r="AS2420">
        <v>201</v>
      </c>
      <c r="AT2420" t="s">
        <v>81</v>
      </c>
      <c r="AU2420">
        <v>-26.05</v>
      </c>
      <c r="AV2420">
        <v>-45.44</v>
      </c>
      <c r="AW2420" t="s">
        <v>82</v>
      </c>
      <c r="AX2420">
        <v>201</v>
      </c>
      <c r="AY2420" t="s">
        <v>81</v>
      </c>
      <c r="AZ2420">
        <v>-24.53</v>
      </c>
      <c r="BA2420">
        <v>-44.43</v>
      </c>
      <c r="BB2420" t="s">
        <v>83</v>
      </c>
    </row>
    <row r="2421" spans="1:54" x14ac:dyDescent="0.4">
      <c r="A2421">
        <v>821454</v>
      </c>
      <c r="E2421" t="s">
        <v>55</v>
      </c>
      <c r="G2421">
        <v>1</v>
      </c>
      <c r="H2421" t="s">
        <v>56</v>
      </c>
      <c r="I2421" t="s">
        <v>57</v>
      </c>
      <c r="K2421" t="s">
        <v>483</v>
      </c>
      <c r="L2421" t="s">
        <v>2299</v>
      </c>
      <c r="M2421" t="s">
        <v>223</v>
      </c>
      <c r="N2421" t="s">
        <v>485</v>
      </c>
      <c r="O2421" t="s">
        <v>345</v>
      </c>
      <c r="P2421" t="s">
        <v>121</v>
      </c>
      <c r="R2421" t="s">
        <v>122</v>
      </c>
      <c r="S2421" t="s">
        <v>123</v>
      </c>
      <c r="T2421">
        <v>290.10000000000002</v>
      </c>
      <c r="U2421">
        <v>283.5</v>
      </c>
      <c r="V2421">
        <f t="shared" si="74"/>
        <v>286.8</v>
      </c>
      <c r="W2421">
        <f t="shared" si="75"/>
        <v>6.6000000000000227</v>
      </c>
      <c r="X2421">
        <v>-47.584721000000002</v>
      </c>
      <c r="Y2421">
        <v>-22.498611</v>
      </c>
      <c r="Z2421" t="s">
        <v>1596</v>
      </c>
      <c r="AA2421" t="s">
        <v>783</v>
      </c>
      <c r="AB2421" t="s">
        <v>2343</v>
      </c>
      <c r="AC2421" t="s">
        <v>2359</v>
      </c>
      <c r="AD2421" t="s">
        <v>2294</v>
      </c>
      <c r="AE2421" t="s">
        <v>1524</v>
      </c>
      <c r="AF2421" t="s">
        <v>2295</v>
      </c>
      <c r="AH2421" t="s">
        <v>72</v>
      </c>
      <c r="AI2421" t="s">
        <v>2423</v>
      </c>
      <c r="AJ2421">
        <v>2003</v>
      </c>
      <c r="AK2421" t="s">
        <v>2426</v>
      </c>
      <c r="AM2421" t="s">
        <v>1528</v>
      </c>
      <c r="AN2421" t="s">
        <v>114</v>
      </c>
      <c r="AO2421" t="s">
        <v>77</v>
      </c>
      <c r="AP2421" t="s">
        <v>78</v>
      </c>
      <c r="AQ2421" t="s">
        <v>2427</v>
      </c>
      <c r="AR2421" t="s">
        <v>80</v>
      </c>
      <c r="AS2421">
        <v>201</v>
      </c>
      <c r="AT2421" t="s">
        <v>81</v>
      </c>
      <c r="AU2421">
        <v>-26.05</v>
      </c>
      <c r="AV2421">
        <v>-45.44</v>
      </c>
      <c r="AW2421" t="s">
        <v>82</v>
      </c>
      <c r="AX2421">
        <v>201</v>
      </c>
      <c r="AY2421" t="s">
        <v>81</v>
      </c>
      <c r="AZ2421">
        <v>-24.53</v>
      </c>
      <c r="BA2421">
        <v>-44.43</v>
      </c>
      <c r="BB2421" t="s">
        <v>83</v>
      </c>
    </row>
    <row r="2422" spans="1:54" x14ac:dyDescent="0.4">
      <c r="A2422">
        <v>821454</v>
      </c>
      <c r="E2422" t="s">
        <v>55</v>
      </c>
      <c r="G2422">
        <v>1</v>
      </c>
      <c r="H2422" t="s">
        <v>56</v>
      </c>
      <c r="I2422" t="s">
        <v>57</v>
      </c>
      <c r="K2422" t="s">
        <v>483</v>
      </c>
      <c r="L2422" t="s">
        <v>2299</v>
      </c>
      <c r="M2422" t="s">
        <v>223</v>
      </c>
      <c r="N2422" t="s">
        <v>485</v>
      </c>
      <c r="O2422" t="s">
        <v>345</v>
      </c>
      <c r="P2422" t="s">
        <v>121</v>
      </c>
      <c r="R2422" t="s">
        <v>122</v>
      </c>
      <c r="S2422" t="s">
        <v>123</v>
      </c>
      <c r="T2422">
        <v>290.10000000000002</v>
      </c>
      <c r="U2422">
        <v>283.5</v>
      </c>
      <c r="V2422">
        <f t="shared" si="74"/>
        <v>286.8</v>
      </c>
      <c r="W2422">
        <f t="shared" si="75"/>
        <v>6.6000000000000227</v>
      </c>
      <c r="X2422">
        <v>-47.584721000000002</v>
      </c>
      <c r="Y2422">
        <v>-22.498611</v>
      </c>
      <c r="Z2422" t="s">
        <v>1596</v>
      </c>
      <c r="AA2422" t="s">
        <v>783</v>
      </c>
      <c r="AB2422" t="s">
        <v>2343</v>
      </c>
      <c r="AC2422" t="s">
        <v>2359</v>
      </c>
      <c r="AD2422" t="s">
        <v>2294</v>
      </c>
      <c r="AE2422" t="s">
        <v>1524</v>
      </c>
      <c r="AF2422" t="s">
        <v>2295</v>
      </c>
      <c r="AH2422" t="s">
        <v>72</v>
      </c>
      <c r="AI2422" t="s">
        <v>2423</v>
      </c>
      <c r="AJ2422">
        <v>2003</v>
      </c>
      <c r="AK2422" t="s">
        <v>2426</v>
      </c>
      <c r="AM2422" t="s">
        <v>1528</v>
      </c>
      <c r="AN2422" t="s">
        <v>114</v>
      </c>
      <c r="AO2422" t="s">
        <v>77</v>
      </c>
      <c r="AP2422" t="s">
        <v>78</v>
      </c>
      <c r="AQ2422" t="s">
        <v>2427</v>
      </c>
      <c r="AR2422" t="s">
        <v>80</v>
      </c>
      <c r="AS2422">
        <v>201</v>
      </c>
      <c r="AT2422" t="s">
        <v>81</v>
      </c>
      <c r="AU2422">
        <v>-26.05</v>
      </c>
      <c r="AV2422">
        <v>-45.44</v>
      </c>
      <c r="AW2422" t="s">
        <v>82</v>
      </c>
      <c r="AX2422">
        <v>201</v>
      </c>
      <c r="AY2422" t="s">
        <v>81</v>
      </c>
      <c r="AZ2422">
        <v>-24.53</v>
      </c>
      <c r="BA2422">
        <v>-44.43</v>
      </c>
      <c r="BB2422" t="s">
        <v>83</v>
      </c>
    </row>
    <row r="2423" spans="1:54" x14ac:dyDescent="0.4">
      <c r="A2423">
        <v>821454</v>
      </c>
      <c r="E2423" t="s">
        <v>55</v>
      </c>
      <c r="G2423">
        <v>1</v>
      </c>
      <c r="H2423" t="s">
        <v>56</v>
      </c>
      <c r="I2423" t="s">
        <v>57</v>
      </c>
      <c r="K2423" t="s">
        <v>483</v>
      </c>
      <c r="L2423" t="s">
        <v>2299</v>
      </c>
      <c r="M2423" t="s">
        <v>223</v>
      </c>
      <c r="N2423" t="s">
        <v>485</v>
      </c>
      <c r="O2423" t="s">
        <v>345</v>
      </c>
      <c r="P2423" t="s">
        <v>121</v>
      </c>
      <c r="R2423" t="s">
        <v>122</v>
      </c>
      <c r="S2423" t="s">
        <v>123</v>
      </c>
      <c r="T2423">
        <v>290.10000000000002</v>
      </c>
      <c r="U2423">
        <v>283.5</v>
      </c>
      <c r="V2423">
        <f t="shared" si="74"/>
        <v>286.8</v>
      </c>
      <c r="W2423">
        <f t="shared" si="75"/>
        <v>6.6000000000000227</v>
      </c>
      <c r="X2423">
        <v>-47.584721000000002</v>
      </c>
      <c r="Y2423">
        <v>-22.498611</v>
      </c>
      <c r="Z2423" t="s">
        <v>1596</v>
      </c>
      <c r="AA2423" t="s">
        <v>783</v>
      </c>
      <c r="AB2423" t="s">
        <v>2343</v>
      </c>
      <c r="AC2423" t="s">
        <v>2359</v>
      </c>
      <c r="AD2423" t="s">
        <v>2294</v>
      </c>
      <c r="AE2423" t="s">
        <v>1524</v>
      </c>
      <c r="AF2423" t="s">
        <v>2295</v>
      </c>
      <c r="AH2423" t="s">
        <v>72</v>
      </c>
      <c r="AI2423" t="s">
        <v>2423</v>
      </c>
      <c r="AJ2423">
        <v>2003</v>
      </c>
      <c r="AK2423" t="s">
        <v>2426</v>
      </c>
      <c r="AM2423" t="s">
        <v>1528</v>
      </c>
      <c r="AN2423" t="s">
        <v>114</v>
      </c>
      <c r="AO2423" t="s">
        <v>77</v>
      </c>
      <c r="AP2423" t="s">
        <v>78</v>
      </c>
      <c r="AQ2423" t="s">
        <v>2427</v>
      </c>
      <c r="AR2423" t="s">
        <v>80</v>
      </c>
      <c r="AS2423">
        <v>201</v>
      </c>
      <c r="AT2423" t="s">
        <v>81</v>
      </c>
      <c r="AU2423">
        <v>-26.05</v>
      </c>
      <c r="AV2423">
        <v>-45.44</v>
      </c>
      <c r="AW2423" t="s">
        <v>82</v>
      </c>
      <c r="AX2423">
        <v>201</v>
      </c>
      <c r="AY2423" t="s">
        <v>81</v>
      </c>
      <c r="AZ2423">
        <v>-24.53</v>
      </c>
      <c r="BA2423">
        <v>-44.43</v>
      </c>
      <c r="BB2423" t="s">
        <v>83</v>
      </c>
    </row>
    <row r="2424" spans="1:54" x14ac:dyDescent="0.4">
      <c r="A2424">
        <v>821454</v>
      </c>
      <c r="E2424" t="s">
        <v>55</v>
      </c>
      <c r="G2424">
        <v>1</v>
      </c>
      <c r="H2424" t="s">
        <v>56</v>
      </c>
      <c r="I2424" t="s">
        <v>57</v>
      </c>
      <c r="K2424" t="s">
        <v>483</v>
      </c>
      <c r="L2424" t="s">
        <v>2299</v>
      </c>
      <c r="M2424" t="s">
        <v>223</v>
      </c>
      <c r="N2424" t="s">
        <v>485</v>
      </c>
      <c r="O2424" t="s">
        <v>345</v>
      </c>
      <c r="P2424" t="s">
        <v>121</v>
      </c>
      <c r="R2424" t="s">
        <v>122</v>
      </c>
      <c r="S2424" t="s">
        <v>123</v>
      </c>
      <c r="T2424">
        <v>290.10000000000002</v>
      </c>
      <c r="U2424">
        <v>283.5</v>
      </c>
      <c r="V2424">
        <f t="shared" si="74"/>
        <v>286.8</v>
      </c>
      <c r="W2424">
        <f t="shared" si="75"/>
        <v>6.6000000000000227</v>
      </c>
      <c r="X2424">
        <v>-47.584721000000002</v>
      </c>
      <c r="Y2424">
        <v>-22.498611</v>
      </c>
      <c r="Z2424" t="s">
        <v>1596</v>
      </c>
      <c r="AA2424" t="s">
        <v>783</v>
      </c>
      <c r="AB2424" t="s">
        <v>2343</v>
      </c>
      <c r="AC2424" t="s">
        <v>2359</v>
      </c>
      <c r="AD2424" t="s">
        <v>2294</v>
      </c>
      <c r="AE2424" t="s">
        <v>1524</v>
      </c>
      <c r="AF2424" t="s">
        <v>2295</v>
      </c>
      <c r="AH2424" t="s">
        <v>72</v>
      </c>
      <c r="AI2424" t="s">
        <v>2423</v>
      </c>
      <c r="AJ2424">
        <v>2003</v>
      </c>
      <c r="AK2424" t="s">
        <v>2426</v>
      </c>
      <c r="AM2424" t="s">
        <v>1528</v>
      </c>
      <c r="AN2424" t="s">
        <v>114</v>
      </c>
      <c r="AO2424" t="s">
        <v>77</v>
      </c>
      <c r="AP2424" t="s">
        <v>78</v>
      </c>
      <c r="AQ2424" t="s">
        <v>2427</v>
      </c>
      <c r="AR2424" t="s">
        <v>80</v>
      </c>
      <c r="AS2424">
        <v>201</v>
      </c>
      <c r="AT2424" t="s">
        <v>81</v>
      </c>
      <c r="AU2424">
        <v>-26.05</v>
      </c>
      <c r="AV2424">
        <v>-45.44</v>
      </c>
      <c r="AW2424" t="s">
        <v>82</v>
      </c>
      <c r="AX2424">
        <v>201</v>
      </c>
      <c r="AY2424" t="s">
        <v>81</v>
      </c>
      <c r="AZ2424">
        <v>-24.53</v>
      </c>
      <c r="BA2424">
        <v>-44.43</v>
      </c>
      <c r="BB2424" t="s">
        <v>83</v>
      </c>
    </row>
    <row r="2425" spans="1:54" x14ac:dyDescent="0.4">
      <c r="A2425">
        <v>821454</v>
      </c>
      <c r="E2425" t="s">
        <v>55</v>
      </c>
      <c r="G2425">
        <v>1</v>
      </c>
      <c r="H2425" t="s">
        <v>56</v>
      </c>
      <c r="I2425" t="s">
        <v>57</v>
      </c>
      <c r="K2425" t="s">
        <v>483</v>
      </c>
      <c r="L2425" t="s">
        <v>2299</v>
      </c>
      <c r="M2425" t="s">
        <v>223</v>
      </c>
      <c r="N2425" t="s">
        <v>485</v>
      </c>
      <c r="O2425" t="s">
        <v>345</v>
      </c>
      <c r="P2425" t="s">
        <v>121</v>
      </c>
      <c r="R2425" t="s">
        <v>122</v>
      </c>
      <c r="S2425" t="s">
        <v>123</v>
      </c>
      <c r="T2425">
        <v>290.10000000000002</v>
      </c>
      <c r="U2425">
        <v>283.5</v>
      </c>
      <c r="V2425">
        <f t="shared" si="74"/>
        <v>286.8</v>
      </c>
      <c r="W2425">
        <f t="shared" si="75"/>
        <v>6.6000000000000227</v>
      </c>
      <c r="X2425">
        <v>-47.584721000000002</v>
      </c>
      <c r="Y2425">
        <v>-22.498611</v>
      </c>
      <c r="Z2425" t="s">
        <v>1596</v>
      </c>
      <c r="AA2425" t="s">
        <v>783</v>
      </c>
      <c r="AB2425" t="s">
        <v>2343</v>
      </c>
      <c r="AC2425" t="s">
        <v>2359</v>
      </c>
      <c r="AD2425" t="s">
        <v>2294</v>
      </c>
      <c r="AE2425" t="s">
        <v>1524</v>
      </c>
      <c r="AF2425" t="s">
        <v>2295</v>
      </c>
      <c r="AH2425" t="s">
        <v>72</v>
      </c>
      <c r="AI2425" t="s">
        <v>2423</v>
      </c>
      <c r="AJ2425">
        <v>2003</v>
      </c>
      <c r="AK2425" t="s">
        <v>2426</v>
      </c>
      <c r="AM2425" t="s">
        <v>1528</v>
      </c>
      <c r="AN2425" t="s">
        <v>114</v>
      </c>
      <c r="AO2425" t="s">
        <v>77</v>
      </c>
      <c r="AP2425" t="s">
        <v>78</v>
      </c>
      <c r="AQ2425" t="s">
        <v>2427</v>
      </c>
      <c r="AR2425" t="s">
        <v>80</v>
      </c>
      <c r="AS2425">
        <v>201</v>
      </c>
      <c r="AT2425" t="s">
        <v>81</v>
      </c>
      <c r="AU2425">
        <v>-26.05</v>
      </c>
      <c r="AV2425">
        <v>-45.44</v>
      </c>
      <c r="AW2425" t="s">
        <v>82</v>
      </c>
      <c r="AX2425">
        <v>201</v>
      </c>
      <c r="AY2425" t="s">
        <v>81</v>
      </c>
      <c r="AZ2425">
        <v>-24.53</v>
      </c>
      <c r="BA2425">
        <v>-44.43</v>
      </c>
      <c r="BB2425" t="s">
        <v>83</v>
      </c>
    </row>
    <row r="2426" spans="1:54" x14ac:dyDescent="0.4">
      <c r="A2426">
        <v>821454</v>
      </c>
      <c r="E2426" t="s">
        <v>55</v>
      </c>
      <c r="G2426">
        <v>1</v>
      </c>
      <c r="H2426" t="s">
        <v>56</v>
      </c>
      <c r="I2426" t="s">
        <v>57</v>
      </c>
      <c r="K2426" t="s">
        <v>483</v>
      </c>
      <c r="L2426" t="s">
        <v>2299</v>
      </c>
      <c r="M2426" t="s">
        <v>223</v>
      </c>
      <c r="N2426" t="s">
        <v>485</v>
      </c>
      <c r="O2426" t="s">
        <v>345</v>
      </c>
      <c r="P2426" t="s">
        <v>121</v>
      </c>
      <c r="R2426" t="s">
        <v>122</v>
      </c>
      <c r="S2426" t="s">
        <v>123</v>
      </c>
      <c r="T2426">
        <v>290.10000000000002</v>
      </c>
      <c r="U2426">
        <v>283.5</v>
      </c>
      <c r="V2426">
        <f t="shared" si="74"/>
        <v>286.8</v>
      </c>
      <c r="W2426">
        <f t="shared" si="75"/>
        <v>6.6000000000000227</v>
      </c>
      <c r="X2426">
        <v>-47.584721000000002</v>
      </c>
      <c r="Y2426">
        <v>-22.498611</v>
      </c>
      <c r="Z2426" t="s">
        <v>1596</v>
      </c>
      <c r="AA2426" t="s">
        <v>783</v>
      </c>
      <c r="AB2426" t="s">
        <v>2343</v>
      </c>
      <c r="AC2426" t="s">
        <v>2359</v>
      </c>
      <c r="AD2426" t="s">
        <v>2294</v>
      </c>
      <c r="AE2426" t="s">
        <v>1524</v>
      </c>
      <c r="AF2426" t="s">
        <v>2295</v>
      </c>
      <c r="AH2426" t="s">
        <v>72</v>
      </c>
      <c r="AI2426" t="s">
        <v>2423</v>
      </c>
      <c r="AJ2426">
        <v>2003</v>
      </c>
      <c r="AK2426" t="s">
        <v>2426</v>
      </c>
      <c r="AM2426" t="s">
        <v>1528</v>
      </c>
      <c r="AN2426" t="s">
        <v>114</v>
      </c>
      <c r="AO2426" t="s">
        <v>77</v>
      </c>
      <c r="AP2426" t="s">
        <v>78</v>
      </c>
      <c r="AQ2426" t="s">
        <v>2427</v>
      </c>
      <c r="AR2426" t="s">
        <v>80</v>
      </c>
      <c r="AS2426">
        <v>201</v>
      </c>
      <c r="AT2426" t="s">
        <v>81</v>
      </c>
      <c r="AU2426">
        <v>-26.05</v>
      </c>
      <c r="AV2426">
        <v>-45.44</v>
      </c>
      <c r="AW2426" t="s">
        <v>82</v>
      </c>
      <c r="AX2426">
        <v>201</v>
      </c>
      <c r="AY2426" t="s">
        <v>81</v>
      </c>
      <c r="AZ2426">
        <v>-24.53</v>
      </c>
      <c r="BA2426">
        <v>-44.43</v>
      </c>
      <c r="BB2426" t="s">
        <v>83</v>
      </c>
    </row>
    <row r="2427" spans="1:54" x14ac:dyDescent="0.4">
      <c r="A2427">
        <v>821454</v>
      </c>
      <c r="E2427" t="s">
        <v>55</v>
      </c>
      <c r="G2427">
        <v>1</v>
      </c>
      <c r="H2427" t="s">
        <v>56</v>
      </c>
      <c r="I2427" t="s">
        <v>57</v>
      </c>
      <c r="K2427" t="s">
        <v>483</v>
      </c>
      <c r="L2427" t="s">
        <v>2299</v>
      </c>
      <c r="M2427" t="s">
        <v>223</v>
      </c>
      <c r="N2427" t="s">
        <v>485</v>
      </c>
      <c r="O2427" t="s">
        <v>345</v>
      </c>
      <c r="P2427" t="s">
        <v>121</v>
      </c>
      <c r="R2427" t="s">
        <v>122</v>
      </c>
      <c r="S2427" t="s">
        <v>123</v>
      </c>
      <c r="T2427">
        <v>290.10000000000002</v>
      </c>
      <c r="U2427">
        <v>283.5</v>
      </c>
      <c r="V2427">
        <f t="shared" si="74"/>
        <v>286.8</v>
      </c>
      <c r="W2427">
        <f t="shared" si="75"/>
        <v>6.6000000000000227</v>
      </c>
      <c r="X2427">
        <v>-47.584721000000002</v>
      </c>
      <c r="Y2427">
        <v>-22.498611</v>
      </c>
      <c r="Z2427" t="s">
        <v>1596</v>
      </c>
      <c r="AA2427" t="s">
        <v>783</v>
      </c>
      <c r="AB2427" t="s">
        <v>2343</v>
      </c>
      <c r="AC2427" t="s">
        <v>2359</v>
      </c>
      <c r="AD2427" t="s">
        <v>2294</v>
      </c>
      <c r="AE2427" t="s">
        <v>1524</v>
      </c>
      <c r="AF2427" t="s">
        <v>2295</v>
      </c>
      <c r="AH2427" t="s">
        <v>72</v>
      </c>
      <c r="AI2427" t="s">
        <v>2423</v>
      </c>
      <c r="AJ2427">
        <v>2003</v>
      </c>
      <c r="AK2427" t="s">
        <v>2426</v>
      </c>
      <c r="AM2427" t="s">
        <v>1528</v>
      </c>
      <c r="AN2427" t="s">
        <v>114</v>
      </c>
      <c r="AO2427" t="s">
        <v>77</v>
      </c>
      <c r="AP2427" t="s">
        <v>78</v>
      </c>
      <c r="AQ2427" t="s">
        <v>2427</v>
      </c>
      <c r="AR2427" t="s">
        <v>80</v>
      </c>
      <c r="AS2427">
        <v>201</v>
      </c>
      <c r="AT2427" t="s">
        <v>81</v>
      </c>
      <c r="AU2427">
        <v>-26.05</v>
      </c>
      <c r="AV2427">
        <v>-45.44</v>
      </c>
      <c r="AW2427" t="s">
        <v>82</v>
      </c>
      <c r="AX2427">
        <v>201</v>
      </c>
      <c r="AY2427" t="s">
        <v>81</v>
      </c>
      <c r="AZ2427">
        <v>-24.53</v>
      </c>
      <c r="BA2427">
        <v>-44.43</v>
      </c>
      <c r="BB2427" t="s">
        <v>83</v>
      </c>
    </row>
    <row r="2428" spans="1:54" x14ac:dyDescent="0.4">
      <c r="A2428">
        <v>821454</v>
      </c>
      <c r="E2428" t="s">
        <v>55</v>
      </c>
      <c r="G2428">
        <v>1</v>
      </c>
      <c r="H2428" t="s">
        <v>56</v>
      </c>
      <c r="I2428" t="s">
        <v>57</v>
      </c>
      <c r="K2428" t="s">
        <v>483</v>
      </c>
      <c r="L2428" t="s">
        <v>2299</v>
      </c>
      <c r="M2428" t="s">
        <v>223</v>
      </c>
      <c r="N2428" t="s">
        <v>485</v>
      </c>
      <c r="O2428" t="s">
        <v>345</v>
      </c>
      <c r="P2428" t="s">
        <v>121</v>
      </c>
      <c r="R2428" t="s">
        <v>122</v>
      </c>
      <c r="S2428" t="s">
        <v>123</v>
      </c>
      <c r="T2428">
        <v>290.10000000000002</v>
      </c>
      <c r="U2428">
        <v>283.5</v>
      </c>
      <c r="V2428">
        <f t="shared" si="74"/>
        <v>286.8</v>
      </c>
      <c r="W2428">
        <f t="shared" si="75"/>
        <v>6.6000000000000227</v>
      </c>
      <c r="X2428">
        <v>-47.584721000000002</v>
      </c>
      <c r="Y2428">
        <v>-22.498611</v>
      </c>
      <c r="Z2428" t="s">
        <v>1596</v>
      </c>
      <c r="AA2428" t="s">
        <v>783</v>
      </c>
      <c r="AB2428" t="s">
        <v>2343</v>
      </c>
      <c r="AC2428" t="s">
        <v>2359</v>
      </c>
      <c r="AD2428" t="s">
        <v>2294</v>
      </c>
      <c r="AE2428" t="s">
        <v>1524</v>
      </c>
      <c r="AF2428" t="s">
        <v>2295</v>
      </c>
      <c r="AH2428" t="s">
        <v>72</v>
      </c>
      <c r="AI2428" t="s">
        <v>2423</v>
      </c>
      <c r="AJ2428">
        <v>2003</v>
      </c>
      <c r="AK2428" t="s">
        <v>2426</v>
      </c>
      <c r="AM2428" t="s">
        <v>1528</v>
      </c>
      <c r="AN2428" t="s">
        <v>114</v>
      </c>
      <c r="AO2428" t="s">
        <v>77</v>
      </c>
      <c r="AP2428" t="s">
        <v>78</v>
      </c>
      <c r="AQ2428" t="s">
        <v>2427</v>
      </c>
      <c r="AR2428" t="s">
        <v>80</v>
      </c>
      <c r="AS2428">
        <v>201</v>
      </c>
      <c r="AT2428" t="s">
        <v>81</v>
      </c>
      <c r="AU2428">
        <v>-26.05</v>
      </c>
      <c r="AV2428">
        <v>-45.44</v>
      </c>
      <c r="AW2428" t="s">
        <v>82</v>
      </c>
      <c r="AX2428">
        <v>201</v>
      </c>
      <c r="AY2428" t="s">
        <v>81</v>
      </c>
      <c r="AZ2428">
        <v>-24.53</v>
      </c>
      <c r="BA2428">
        <v>-44.43</v>
      </c>
      <c r="BB2428" t="s">
        <v>83</v>
      </c>
    </row>
    <row r="2429" spans="1:54" x14ac:dyDescent="0.4">
      <c r="A2429">
        <v>821454</v>
      </c>
      <c r="E2429" t="s">
        <v>55</v>
      </c>
      <c r="G2429">
        <v>1</v>
      </c>
      <c r="H2429" t="s">
        <v>56</v>
      </c>
      <c r="I2429" t="s">
        <v>57</v>
      </c>
      <c r="K2429" t="s">
        <v>483</v>
      </c>
      <c r="L2429" t="s">
        <v>2299</v>
      </c>
      <c r="M2429" t="s">
        <v>223</v>
      </c>
      <c r="N2429" t="s">
        <v>485</v>
      </c>
      <c r="O2429" t="s">
        <v>345</v>
      </c>
      <c r="P2429" t="s">
        <v>121</v>
      </c>
      <c r="R2429" t="s">
        <v>122</v>
      </c>
      <c r="S2429" t="s">
        <v>123</v>
      </c>
      <c r="T2429">
        <v>290.10000000000002</v>
      </c>
      <c r="U2429">
        <v>283.5</v>
      </c>
      <c r="V2429">
        <f t="shared" si="74"/>
        <v>286.8</v>
      </c>
      <c r="W2429">
        <f t="shared" si="75"/>
        <v>6.6000000000000227</v>
      </c>
      <c r="X2429">
        <v>-47.584721000000002</v>
      </c>
      <c r="Y2429">
        <v>-22.498611</v>
      </c>
      <c r="Z2429" t="s">
        <v>1596</v>
      </c>
      <c r="AA2429" t="s">
        <v>783</v>
      </c>
      <c r="AB2429" t="s">
        <v>2343</v>
      </c>
      <c r="AC2429" t="s">
        <v>2359</v>
      </c>
      <c r="AD2429" t="s">
        <v>2294</v>
      </c>
      <c r="AE2429" t="s">
        <v>1524</v>
      </c>
      <c r="AF2429" t="s">
        <v>2295</v>
      </c>
      <c r="AH2429" t="s">
        <v>72</v>
      </c>
      <c r="AI2429" t="s">
        <v>2423</v>
      </c>
      <c r="AJ2429">
        <v>2003</v>
      </c>
      <c r="AK2429" t="s">
        <v>2426</v>
      </c>
      <c r="AM2429" t="s">
        <v>1528</v>
      </c>
      <c r="AN2429" t="s">
        <v>114</v>
      </c>
      <c r="AO2429" t="s">
        <v>77</v>
      </c>
      <c r="AP2429" t="s">
        <v>78</v>
      </c>
      <c r="AQ2429" t="s">
        <v>2427</v>
      </c>
      <c r="AR2429" t="s">
        <v>80</v>
      </c>
      <c r="AS2429">
        <v>201</v>
      </c>
      <c r="AT2429" t="s">
        <v>81</v>
      </c>
      <c r="AU2429">
        <v>-26.05</v>
      </c>
      <c r="AV2429">
        <v>-45.44</v>
      </c>
      <c r="AW2429" t="s">
        <v>82</v>
      </c>
      <c r="AX2429">
        <v>201</v>
      </c>
      <c r="AY2429" t="s">
        <v>81</v>
      </c>
      <c r="AZ2429">
        <v>-24.53</v>
      </c>
      <c r="BA2429">
        <v>-44.43</v>
      </c>
      <c r="BB2429" t="s">
        <v>83</v>
      </c>
    </row>
    <row r="2430" spans="1:54" x14ac:dyDescent="0.4">
      <c r="A2430">
        <v>821455</v>
      </c>
      <c r="E2430" t="s">
        <v>55</v>
      </c>
      <c r="G2430">
        <v>1</v>
      </c>
      <c r="H2430" t="s">
        <v>56</v>
      </c>
      <c r="I2430" t="s">
        <v>57</v>
      </c>
      <c r="K2430" t="s">
        <v>483</v>
      </c>
      <c r="L2430" t="s">
        <v>2291</v>
      </c>
      <c r="M2430" t="s">
        <v>223</v>
      </c>
      <c r="N2430" t="s">
        <v>485</v>
      </c>
      <c r="O2430" t="s">
        <v>345</v>
      </c>
      <c r="P2430" t="s">
        <v>121</v>
      </c>
      <c r="R2430" t="s">
        <v>122</v>
      </c>
      <c r="S2430" t="s">
        <v>123</v>
      </c>
      <c r="T2430">
        <v>290.10000000000002</v>
      </c>
      <c r="U2430">
        <v>283.5</v>
      </c>
      <c r="V2430">
        <f t="shared" si="74"/>
        <v>286.8</v>
      </c>
      <c r="W2430">
        <f t="shared" si="75"/>
        <v>6.6000000000000227</v>
      </c>
      <c r="X2430">
        <v>-47.584721000000002</v>
      </c>
      <c r="Y2430">
        <v>-22.498611</v>
      </c>
      <c r="Z2430" t="s">
        <v>1596</v>
      </c>
      <c r="AA2430" t="s">
        <v>783</v>
      </c>
      <c r="AB2430" t="s">
        <v>2343</v>
      </c>
      <c r="AC2430" t="s">
        <v>2359</v>
      </c>
      <c r="AD2430" t="s">
        <v>2294</v>
      </c>
      <c r="AE2430" t="s">
        <v>1524</v>
      </c>
      <c r="AF2430" t="s">
        <v>2295</v>
      </c>
      <c r="AH2430" t="s">
        <v>72</v>
      </c>
      <c r="AI2430" t="s">
        <v>2423</v>
      </c>
      <c r="AJ2430">
        <v>2003</v>
      </c>
      <c r="AK2430" t="s">
        <v>2426</v>
      </c>
      <c r="AM2430" t="s">
        <v>1528</v>
      </c>
      <c r="AN2430" t="s">
        <v>114</v>
      </c>
      <c r="AO2430" t="s">
        <v>77</v>
      </c>
      <c r="AP2430" t="s">
        <v>78</v>
      </c>
      <c r="AQ2430" t="s">
        <v>2427</v>
      </c>
      <c r="AR2430" t="s">
        <v>80</v>
      </c>
      <c r="AS2430">
        <v>201</v>
      </c>
      <c r="AT2430" t="s">
        <v>81</v>
      </c>
      <c r="AU2430">
        <v>-26.05</v>
      </c>
      <c r="AV2430">
        <v>-45.44</v>
      </c>
      <c r="AW2430" t="s">
        <v>82</v>
      </c>
      <c r="AX2430">
        <v>201</v>
      </c>
      <c r="AY2430" t="s">
        <v>81</v>
      </c>
      <c r="AZ2430">
        <v>-24.53</v>
      </c>
      <c r="BA2430">
        <v>-44.43</v>
      </c>
      <c r="BB2430" t="s">
        <v>83</v>
      </c>
    </row>
    <row r="2431" spans="1:54" x14ac:dyDescent="0.4">
      <c r="A2431">
        <v>821455</v>
      </c>
      <c r="E2431" t="s">
        <v>55</v>
      </c>
      <c r="G2431">
        <v>1</v>
      </c>
      <c r="H2431" t="s">
        <v>56</v>
      </c>
      <c r="I2431" t="s">
        <v>57</v>
      </c>
      <c r="K2431" t="s">
        <v>483</v>
      </c>
      <c r="L2431" t="s">
        <v>2291</v>
      </c>
      <c r="M2431" t="s">
        <v>223</v>
      </c>
      <c r="N2431" t="s">
        <v>485</v>
      </c>
      <c r="O2431" t="s">
        <v>345</v>
      </c>
      <c r="P2431" t="s">
        <v>121</v>
      </c>
      <c r="R2431" t="s">
        <v>122</v>
      </c>
      <c r="S2431" t="s">
        <v>123</v>
      </c>
      <c r="T2431">
        <v>290.10000000000002</v>
      </c>
      <c r="U2431">
        <v>283.5</v>
      </c>
      <c r="V2431">
        <f t="shared" si="74"/>
        <v>286.8</v>
      </c>
      <c r="W2431">
        <f t="shared" si="75"/>
        <v>6.6000000000000227</v>
      </c>
      <c r="X2431">
        <v>-47.584721000000002</v>
      </c>
      <c r="Y2431">
        <v>-22.498611</v>
      </c>
      <c r="Z2431" t="s">
        <v>1596</v>
      </c>
      <c r="AA2431" t="s">
        <v>783</v>
      </c>
      <c r="AB2431" t="s">
        <v>2343</v>
      </c>
      <c r="AC2431" t="s">
        <v>2359</v>
      </c>
      <c r="AD2431" t="s">
        <v>2294</v>
      </c>
      <c r="AE2431" t="s">
        <v>1524</v>
      </c>
      <c r="AF2431" t="s">
        <v>2295</v>
      </c>
      <c r="AH2431" t="s">
        <v>72</v>
      </c>
      <c r="AI2431" t="s">
        <v>2423</v>
      </c>
      <c r="AJ2431">
        <v>2003</v>
      </c>
      <c r="AK2431" t="s">
        <v>2426</v>
      </c>
      <c r="AM2431" t="s">
        <v>1528</v>
      </c>
      <c r="AN2431" t="s">
        <v>114</v>
      </c>
      <c r="AO2431" t="s">
        <v>77</v>
      </c>
      <c r="AP2431" t="s">
        <v>78</v>
      </c>
      <c r="AQ2431" t="s">
        <v>2427</v>
      </c>
      <c r="AR2431" t="s">
        <v>80</v>
      </c>
      <c r="AS2431">
        <v>201</v>
      </c>
      <c r="AT2431" t="s">
        <v>81</v>
      </c>
      <c r="AU2431">
        <v>-26.05</v>
      </c>
      <c r="AV2431">
        <v>-45.44</v>
      </c>
      <c r="AW2431" t="s">
        <v>82</v>
      </c>
      <c r="AX2431">
        <v>201</v>
      </c>
      <c r="AY2431" t="s">
        <v>81</v>
      </c>
      <c r="AZ2431">
        <v>-24.53</v>
      </c>
      <c r="BA2431">
        <v>-44.43</v>
      </c>
      <c r="BB2431" t="s">
        <v>83</v>
      </c>
    </row>
    <row r="2432" spans="1:54" x14ac:dyDescent="0.4">
      <c r="A2432">
        <v>823059</v>
      </c>
      <c r="D2432" t="s">
        <v>2134</v>
      </c>
      <c r="G2432">
        <v>1</v>
      </c>
      <c r="H2432" t="s">
        <v>56</v>
      </c>
      <c r="I2432" t="s">
        <v>57</v>
      </c>
      <c r="K2432" t="s">
        <v>483</v>
      </c>
      <c r="L2432" t="s">
        <v>484</v>
      </c>
      <c r="M2432" t="s">
        <v>223</v>
      </c>
      <c r="N2432" t="s">
        <v>485</v>
      </c>
      <c r="O2432" t="s">
        <v>345</v>
      </c>
      <c r="P2432" t="s">
        <v>121</v>
      </c>
      <c r="R2432" t="s">
        <v>122</v>
      </c>
      <c r="S2432" t="s">
        <v>123</v>
      </c>
      <c r="T2432">
        <v>290.10000000000002</v>
      </c>
      <c r="U2432">
        <v>283.5</v>
      </c>
      <c r="V2432">
        <f t="shared" si="74"/>
        <v>286.8</v>
      </c>
      <c r="W2432">
        <f t="shared" si="75"/>
        <v>6.6000000000000227</v>
      </c>
      <c r="X2432">
        <v>-50.166668000000001</v>
      </c>
      <c r="Y2432">
        <v>-25.1</v>
      </c>
      <c r="Z2432" t="s">
        <v>1890</v>
      </c>
      <c r="AA2432" t="s">
        <v>783</v>
      </c>
      <c r="AB2432" t="s">
        <v>2334</v>
      </c>
      <c r="AD2432" t="s">
        <v>2294</v>
      </c>
      <c r="AE2432" t="s">
        <v>1524</v>
      </c>
      <c r="AH2432" t="s">
        <v>72</v>
      </c>
      <c r="AI2432" t="s">
        <v>693</v>
      </c>
      <c r="AJ2432">
        <v>1941</v>
      </c>
      <c r="AK2432" t="s">
        <v>2428</v>
      </c>
      <c r="AM2432" t="s">
        <v>2429</v>
      </c>
      <c r="AN2432" t="s">
        <v>114</v>
      </c>
      <c r="AO2432" t="s">
        <v>160</v>
      </c>
      <c r="AP2432" t="s">
        <v>115</v>
      </c>
      <c r="AQ2432" t="s">
        <v>2430</v>
      </c>
      <c r="AR2432" t="s">
        <v>80</v>
      </c>
      <c r="AS2432">
        <v>201</v>
      </c>
      <c r="AT2432" t="s">
        <v>81</v>
      </c>
      <c r="AU2432">
        <v>-30.71</v>
      </c>
      <c r="AV2432">
        <v>-46.83</v>
      </c>
      <c r="AW2432" t="s">
        <v>82</v>
      </c>
      <c r="AX2432">
        <v>201</v>
      </c>
      <c r="AY2432" t="s">
        <v>81</v>
      </c>
      <c r="AZ2432">
        <v>-29.05</v>
      </c>
      <c r="BA2432">
        <v>-45.91</v>
      </c>
      <c r="BB2432" t="s">
        <v>83</v>
      </c>
    </row>
    <row r="2433" spans="1:54" x14ac:dyDescent="0.4">
      <c r="A2433">
        <v>823059</v>
      </c>
      <c r="D2433" t="s">
        <v>2134</v>
      </c>
      <c r="G2433">
        <v>1</v>
      </c>
      <c r="H2433" t="s">
        <v>56</v>
      </c>
      <c r="I2433" t="s">
        <v>57</v>
      </c>
      <c r="K2433" t="s">
        <v>483</v>
      </c>
      <c r="L2433" t="s">
        <v>484</v>
      </c>
      <c r="M2433" t="s">
        <v>223</v>
      </c>
      <c r="N2433" t="s">
        <v>485</v>
      </c>
      <c r="O2433" t="s">
        <v>345</v>
      </c>
      <c r="P2433" t="s">
        <v>121</v>
      </c>
      <c r="R2433" t="s">
        <v>122</v>
      </c>
      <c r="S2433" t="s">
        <v>123</v>
      </c>
      <c r="T2433">
        <v>290.10000000000002</v>
      </c>
      <c r="U2433">
        <v>283.5</v>
      </c>
      <c r="V2433">
        <f t="shared" si="74"/>
        <v>286.8</v>
      </c>
      <c r="W2433">
        <f t="shared" si="75"/>
        <v>6.6000000000000227</v>
      </c>
      <c r="X2433">
        <v>-50.166668000000001</v>
      </c>
      <c r="Y2433">
        <v>-25.1</v>
      </c>
      <c r="Z2433" t="s">
        <v>1890</v>
      </c>
      <c r="AA2433" t="s">
        <v>783</v>
      </c>
      <c r="AB2433" t="s">
        <v>2334</v>
      </c>
      <c r="AD2433" t="s">
        <v>2294</v>
      </c>
      <c r="AE2433" t="s">
        <v>1524</v>
      </c>
      <c r="AH2433" t="s">
        <v>72</v>
      </c>
      <c r="AI2433" t="s">
        <v>693</v>
      </c>
      <c r="AJ2433">
        <v>1941</v>
      </c>
      <c r="AK2433" t="s">
        <v>2428</v>
      </c>
      <c r="AM2433" t="s">
        <v>2429</v>
      </c>
      <c r="AN2433" t="s">
        <v>114</v>
      </c>
      <c r="AO2433" t="s">
        <v>160</v>
      </c>
      <c r="AP2433" t="s">
        <v>115</v>
      </c>
      <c r="AQ2433" t="s">
        <v>2430</v>
      </c>
      <c r="AR2433" t="s">
        <v>80</v>
      </c>
      <c r="AS2433">
        <v>201</v>
      </c>
      <c r="AT2433" t="s">
        <v>81</v>
      </c>
      <c r="AU2433">
        <v>-30.71</v>
      </c>
      <c r="AV2433">
        <v>-46.83</v>
      </c>
      <c r="AW2433" t="s">
        <v>82</v>
      </c>
      <c r="AX2433">
        <v>201</v>
      </c>
      <c r="AY2433" t="s">
        <v>81</v>
      </c>
      <c r="AZ2433">
        <v>-29.05</v>
      </c>
      <c r="BA2433">
        <v>-45.91</v>
      </c>
      <c r="BB2433" t="s">
        <v>83</v>
      </c>
    </row>
    <row r="2434" spans="1:54" x14ac:dyDescent="0.4">
      <c r="A2434">
        <v>823059</v>
      </c>
      <c r="D2434" t="s">
        <v>2134</v>
      </c>
      <c r="G2434">
        <v>1</v>
      </c>
      <c r="H2434" t="s">
        <v>56</v>
      </c>
      <c r="I2434" t="s">
        <v>57</v>
      </c>
      <c r="K2434" t="s">
        <v>483</v>
      </c>
      <c r="L2434" t="s">
        <v>484</v>
      </c>
      <c r="M2434" t="s">
        <v>223</v>
      </c>
      <c r="N2434" t="s">
        <v>485</v>
      </c>
      <c r="O2434" t="s">
        <v>345</v>
      </c>
      <c r="P2434" t="s">
        <v>121</v>
      </c>
      <c r="R2434" t="s">
        <v>122</v>
      </c>
      <c r="S2434" t="s">
        <v>123</v>
      </c>
      <c r="T2434">
        <v>290.10000000000002</v>
      </c>
      <c r="U2434">
        <v>283.5</v>
      </c>
      <c r="V2434">
        <f t="shared" si="74"/>
        <v>286.8</v>
      </c>
      <c r="W2434">
        <f t="shared" si="75"/>
        <v>6.6000000000000227</v>
      </c>
      <c r="X2434">
        <v>-50.166668000000001</v>
      </c>
      <c r="Y2434">
        <v>-25.1</v>
      </c>
      <c r="Z2434" t="s">
        <v>1890</v>
      </c>
      <c r="AA2434" t="s">
        <v>783</v>
      </c>
      <c r="AB2434" t="s">
        <v>2334</v>
      </c>
      <c r="AD2434" t="s">
        <v>2294</v>
      </c>
      <c r="AE2434" t="s">
        <v>1524</v>
      </c>
      <c r="AH2434" t="s">
        <v>72</v>
      </c>
      <c r="AI2434" t="s">
        <v>693</v>
      </c>
      <c r="AJ2434">
        <v>1941</v>
      </c>
      <c r="AK2434" t="s">
        <v>2428</v>
      </c>
      <c r="AM2434" t="s">
        <v>2429</v>
      </c>
      <c r="AN2434" t="s">
        <v>114</v>
      </c>
      <c r="AO2434" t="s">
        <v>160</v>
      </c>
      <c r="AP2434" t="s">
        <v>115</v>
      </c>
      <c r="AQ2434" t="s">
        <v>2430</v>
      </c>
      <c r="AR2434" t="s">
        <v>80</v>
      </c>
      <c r="AS2434">
        <v>201</v>
      </c>
      <c r="AT2434" t="s">
        <v>81</v>
      </c>
      <c r="AU2434">
        <v>-30.71</v>
      </c>
      <c r="AV2434">
        <v>-46.83</v>
      </c>
      <c r="AW2434" t="s">
        <v>82</v>
      </c>
      <c r="AX2434">
        <v>201</v>
      </c>
      <c r="AY2434" t="s">
        <v>81</v>
      </c>
      <c r="AZ2434">
        <v>-29.05</v>
      </c>
      <c r="BA2434">
        <v>-45.91</v>
      </c>
      <c r="BB2434" t="s">
        <v>83</v>
      </c>
    </row>
    <row r="2435" spans="1:54" x14ac:dyDescent="0.4">
      <c r="A2435">
        <v>823059</v>
      </c>
      <c r="D2435" t="s">
        <v>2134</v>
      </c>
      <c r="G2435">
        <v>1</v>
      </c>
      <c r="H2435" t="s">
        <v>56</v>
      </c>
      <c r="I2435" t="s">
        <v>57</v>
      </c>
      <c r="K2435" t="s">
        <v>483</v>
      </c>
      <c r="L2435" t="s">
        <v>484</v>
      </c>
      <c r="M2435" t="s">
        <v>223</v>
      </c>
      <c r="N2435" t="s">
        <v>485</v>
      </c>
      <c r="O2435" t="s">
        <v>345</v>
      </c>
      <c r="P2435" t="s">
        <v>121</v>
      </c>
      <c r="R2435" t="s">
        <v>122</v>
      </c>
      <c r="S2435" t="s">
        <v>123</v>
      </c>
      <c r="T2435">
        <v>290.10000000000002</v>
      </c>
      <c r="U2435">
        <v>283.5</v>
      </c>
      <c r="V2435">
        <f t="shared" ref="V2435:V2498" si="76">(T2435+U2435)/2</f>
        <v>286.8</v>
      </c>
      <c r="W2435">
        <f t="shared" ref="W2435:W2498" si="77">T2435-U2435</f>
        <v>6.6000000000000227</v>
      </c>
      <c r="X2435">
        <v>-50.166668000000001</v>
      </c>
      <c r="Y2435">
        <v>-25.1</v>
      </c>
      <c r="Z2435" t="s">
        <v>1890</v>
      </c>
      <c r="AA2435" t="s">
        <v>783</v>
      </c>
      <c r="AB2435" t="s">
        <v>2334</v>
      </c>
      <c r="AD2435" t="s">
        <v>2294</v>
      </c>
      <c r="AE2435" t="s">
        <v>1524</v>
      </c>
      <c r="AH2435" t="s">
        <v>72</v>
      </c>
      <c r="AI2435" t="s">
        <v>693</v>
      </c>
      <c r="AJ2435">
        <v>1941</v>
      </c>
      <c r="AK2435" t="s">
        <v>2428</v>
      </c>
      <c r="AM2435" t="s">
        <v>2429</v>
      </c>
      <c r="AN2435" t="s">
        <v>114</v>
      </c>
      <c r="AO2435" t="s">
        <v>160</v>
      </c>
      <c r="AP2435" t="s">
        <v>115</v>
      </c>
      <c r="AQ2435" t="s">
        <v>2430</v>
      </c>
      <c r="AR2435" t="s">
        <v>80</v>
      </c>
      <c r="AS2435">
        <v>201</v>
      </c>
      <c r="AT2435" t="s">
        <v>81</v>
      </c>
      <c r="AU2435">
        <v>-30.71</v>
      </c>
      <c r="AV2435">
        <v>-46.83</v>
      </c>
      <c r="AW2435" t="s">
        <v>82</v>
      </c>
      <c r="AX2435">
        <v>201</v>
      </c>
      <c r="AY2435" t="s">
        <v>81</v>
      </c>
      <c r="AZ2435">
        <v>-29.05</v>
      </c>
      <c r="BA2435">
        <v>-45.91</v>
      </c>
      <c r="BB2435" t="s">
        <v>83</v>
      </c>
    </row>
    <row r="2436" spans="1:54" x14ac:dyDescent="0.4">
      <c r="A2436">
        <v>823059</v>
      </c>
      <c r="D2436" t="s">
        <v>2134</v>
      </c>
      <c r="G2436">
        <v>1</v>
      </c>
      <c r="H2436" t="s">
        <v>56</v>
      </c>
      <c r="I2436" t="s">
        <v>57</v>
      </c>
      <c r="K2436" t="s">
        <v>483</v>
      </c>
      <c r="L2436" t="s">
        <v>484</v>
      </c>
      <c r="M2436" t="s">
        <v>223</v>
      </c>
      <c r="N2436" t="s">
        <v>485</v>
      </c>
      <c r="O2436" t="s">
        <v>345</v>
      </c>
      <c r="P2436" t="s">
        <v>121</v>
      </c>
      <c r="R2436" t="s">
        <v>122</v>
      </c>
      <c r="S2436" t="s">
        <v>123</v>
      </c>
      <c r="T2436">
        <v>290.10000000000002</v>
      </c>
      <c r="U2436">
        <v>283.5</v>
      </c>
      <c r="V2436">
        <f t="shared" si="76"/>
        <v>286.8</v>
      </c>
      <c r="W2436">
        <f t="shared" si="77"/>
        <v>6.6000000000000227</v>
      </c>
      <c r="X2436">
        <v>-50.166668000000001</v>
      </c>
      <c r="Y2436">
        <v>-25.1</v>
      </c>
      <c r="Z2436" t="s">
        <v>1890</v>
      </c>
      <c r="AA2436" t="s">
        <v>783</v>
      </c>
      <c r="AB2436" t="s">
        <v>2334</v>
      </c>
      <c r="AD2436" t="s">
        <v>2294</v>
      </c>
      <c r="AE2436" t="s">
        <v>1524</v>
      </c>
      <c r="AH2436" t="s">
        <v>72</v>
      </c>
      <c r="AI2436" t="s">
        <v>693</v>
      </c>
      <c r="AJ2436">
        <v>1941</v>
      </c>
      <c r="AK2436" t="s">
        <v>2428</v>
      </c>
      <c r="AM2436" t="s">
        <v>2429</v>
      </c>
      <c r="AN2436" t="s">
        <v>114</v>
      </c>
      <c r="AO2436" t="s">
        <v>160</v>
      </c>
      <c r="AP2436" t="s">
        <v>115</v>
      </c>
      <c r="AQ2436" t="s">
        <v>2430</v>
      </c>
      <c r="AR2436" t="s">
        <v>80</v>
      </c>
      <c r="AS2436">
        <v>201</v>
      </c>
      <c r="AT2436" t="s">
        <v>81</v>
      </c>
      <c r="AU2436">
        <v>-30.71</v>
      </c>
      <c r="AV2436">
        <v>-46.83</v>
      </c>
      <c r="AW2436" t="s">
        <v>82</v>
      </c>
      <c r="AX2436">
        <v>201</v>
      </c>
      <c r="AY2436" t="s">
        <v>81</v>
      </c>
      <c r="AZ2436">
        <v>-29.05</v>
      </c>
      <c r="BA2436">
        <v>-45.91</v>
      </c>
      <c r="BB2436" t="s">
        <v>83</v>
      </c>
    </row>
    <row r="2437" spans="1:54" x14ac:dyDescent="0.4">
      <c r="A2437">
        <v>823059</v>
      </c>
      <c r="D2437" t="s">
        <v>2134</v>
      </c>
      <c r="G2437">
        <v>1</v>
      </c>
      <c r="H2437" t="s">
        <v>56</v>
      </c>
      <c r="I2437" t="s">
        <v>57</v>
      </c>
      <c r="K2437" t="s">
        <v>483</v>
      </c>
      <c r="L2437" t="s">
        <v>484</v>
      </c>
      <c r="M2437" t="s">
        <v>223</v>
      </c>
      <c r="N2437" t="s">
        <v>485</v>
      </c>
      <c r="O2437" t="s">
        <v>345</v>
      </c>
      <c r="P2437" t="s">
        <v>121</v>
      </c>
      <c r="R2437" t="s">
        <v>122</v>
      </c>
      <c r="S2437" t="s">
        <v>123</v>
      </c>
      <c r="T2437">
        <v>290.10000000000002</v>
      </c>
      <c r="U2437">
        <v>283.5</v>
      </c>
      <c r="V2437">
        <f t="shared" si="76"/>
        <v>286.8</v>
      </c>
      <c r="W2437">
        <f t="shared" si="77"/>
        <v>6.6000000000000227</v>
      </c>
      <c r="X2437">
        <v>-50.166668000000001</v>
      </c>
      <c r="Y2437">
        <v>-25.1</v>
      </c>
      <c r="Z2437" t="s">
        <v>1890</v>
      </c>
      <c r="AA2437" t="s">
        <v>783</v>
      </c>
      <c r="AB2437" t="s">
        <v>2334</v>
      </c>
      <c r="AD2437" t="s">
        <v>2294</v>
      </c>
      <c r="AE2437" t="s">
        <v>1524</v>
      </c>
      <c r="AH2437" t="s">
        <v>72</v>
      </c>
      <c r="AI2437" t="s">
        <v>693</v>
      </c>
      <c r="AJ2437">
        <v>1941</v>
      </c>
      <c r="AK2437" t="s">
        <v>2428</v>
      </c>
      <c r="AM2437" t="s">
        <v>2429</v>
      </c>
      <c r="AN2437" t="s">
        <v>114</v>
      </c>
      <c r="AO2437" t="s">
        <v>160</v>
      </c>
      <c r="AP2437" t="s">
        <v>115</v>
      </c>
      <c r="AQ2437" t="s">
        <v>2430</v>
      </c>
      <c r="AR2437" t="s">
        <v>80</v>
      </c>
      <c r="AS2437">
        <v>201</v>
      </c>
      <c r="AT2437" t="s">
        <v>81</v>
      </c>
      <c r="AU2437">
        <v>-30.71</v>
      </c>
      <c r="AV2437">
        <v>-46.83</v>
      </c>
      <c r="AW2437" t="s">
        <v>82</v>
      </c>
      <c r="AX2437">
        <v>201</v>
      </c>
      <c r="AY2437" t="s">
        <v>81</v>
      </c>
      <c r="AZ2437">
        <v>-29.05</v>
      </c>
      <c r="BA2437">
        <v>-45.91</v>
      </c>
      <c r="BB2437" t="s">
        <v>83</v>
      </c>
    </row>
    <row r="2438" spans="1:54" x14ac:dyDescent="0.4">
      <c r="A2438">
        <v>823059</v>
      </c>
      <c r="D2438" t="s">
        <v>2134</v>
      </c>
      <c r="G2438">
        <v>1</v>
      </c>
      <c r="H2438" t="s">
        <v>56</v>
      </c>
      <c r="I2438" t="s">
        <v>57</v>
      </c>
      <c r="K2438" t="s">
        <v>483</v>
      </c>
      <c r="L2438" t="s">
        <v>484</v>
      </c>
      <c r="M2438" t="s">
        <v>223</v>
      </c>
      <c r="N2438" t="s">
        <v>485</v>
      </c>
      <c r="O2438" t="s">
        <v>345</v>
      </c>
      <c r="P2438" t="s">
        <v>121</v>
      </c>
      <c r="R2438" t="s">
        <v>122</v>
      </c>
      <c r="S2438" t="s">
        <v>123</v>
      </c>
      <c r="T2438">
        <v>290.10000000000002</v>
      </c>
      <c r="U2438">
        <v>283.5</v>
      </c>
      <c r="V2438">
        <f t="shared" si="76"/>
        <v>286.8</v>
      </c>
      <c r="W2438">
        <f t="shared" si="77"/>
        <v>6.6000000000000227</v>
      </c>
      <c r="X2438">
        <v>-50.166668000000001</v>
      </c>
      <c r="Y2438">
        <v>-25.1</v>
      </c>
      <c r="Z2438" t="s">
        <v>1890</v>
      </c>
      <c r="AA2438" t="s">
        <v>783</v>
      </c>
      <c r="AB2438" t="s">
        <v>2334</v>
      </c>
      <c r="AD2438" t="s">
        <v>2294</v>
      </c>
      <c r="AE2438" t="s">
        <v>1524</v>
      </c>
      <c r="AH2438" t="s">
        <v>72</v>
      </c>
      <c r="AI2438" t="s">
        <v>693</v>
      </c>
      <c r="AJ2438">
        <v>1941</v>
      </c>
      <c r="AK2438" t="s">
        <v>2428</v>
      </c>
      <c r="AM2438" t="s">
        <v>2429</v>
      </c>
      <c r="AN2438" t="s">
        <v>114</v>
      </c>
      <c r="AO2438" t="s">
        <v>160</v>
      </c>
      <c r="AP2438" t="s">
        <v>115</v>
      </c>
      <c r="AQ2438" t="s">
        <v>2430</v>
      </c>
      <c r="AR2438" t="s">
        <v>80</v>
      </c>
      <c r="AS2438">
        <v>201</v>
      </c>
      <c r="AT2438" t="s">
        <v>81</v>
      </c>
      <c r="AU2438">
        <v>-30.71</v>
      </c>
      <c r="AV2438">
        <v>-46.83</v>
      </c>
      <c r="AW2438" t="s">
        <v>82</v>
      </c>
      <c r="AX2438">
        <v>201</v>
      </c>
      <c r="AY2438" t="s">
        <v>81</v>
      </c>
      <c r="AZ2438">
        <v>-29.05</v>
      </c>
      <c r="BA2438">
        <v>-45.91</v>
      </c>
      <c r="BB2438" t="s">
        <v>83</v>
      </c>
    </row>
    <row r="2439" spans="1:54" x14ac:dyDescent="0.4">
      <c r="A2439">
        <v>823059</v>
      </c>
      <c r="D2439" t="s">
        <v>2134</v>
      </c>
      <c r="G2439">
        <v>1</v>
      </c>
      <c r="H2439" t="s">
        <v>56</v>
      </c>
      <c r="I2439" t="s">
        <v>57</v>
      </c>
      <c r="K2439" t="s">
        <v>483</v>
      </c>
      <c r="L2439" t="s">
        <v>484</v>
      </c>
      <c r="M2439" t="s">
        <v>223</v>
      </c>
      <c r="N2439" t="s">
        <v>485</v>
      </c>
      <c r="O2439" t="s">
        <v>345</v>
      </c>
      <c r="P2439" t="s">
        <v>121</v>
      </c>
      <c r="R2439" t="s">
        <v>122</v>
      </c>
      <c r="S2439" t="s">
        <v>123</v>
      </c>
      <c r="T2439">
        <v>290.10000000000002</v>
      </c>
      <c r="U2439">
        <v>283.5</v>
      </c>
      <c r="V2439">
        <f t="shared" si="76"/>
        <v>286.8</v>
      </c>
      <c r="W2439">
        <f t="shared" si="77"/>
        <v>6.6000000000000227</v>
      </c>
      <c r="X2439">
        <v>-50.166668000000001</v>
      </c>
      <c r="Y2439">
        <v>-25.1</v>
      </c>
      <c r="Z2439" t="s">
        <v>1890</v>
      </c>
      <c r="AA2439" t="s">
        <v>783</v>
      </c>
      <c r="AB2439" t="s">
        <v>2334</v>
      </c>
      <c r="AD2439" t="s">
        <v>2294</v>
      </c>
      <c r="AE2439" t="s">
        <v>1524</v>
      </c>
      <c r="AH2439" t="s">
        <v>72</v>
      </c>
      <c r="AI2439" t="s">
        <v>693</v>
      </c>
      <c r="AJ2439">
        <v>1941</v>
      </c>
      <c r="AK2439" t="s">
        <v>2428</v>
      </c>
      <c r="AM2439" t="s">
        <v>2429</v>
      </c>
      <c r="AN2439" t="s">
        <v>114</v>
      </c>
      <c r="AO2439" t="s">
        <v>160</v>
      </c>
      <c r="AP2439" t="s">
        <v>115</v>
      </c>
      <c r="AQ2439" t="s">
        <v>2430</v>
      </c>
      <c r="AR2439" t="s">
        <v>80</v>
      </c>
      <c r="AS2439">
        <v>201</v>
      </c>
      <c r="AT2439" t="s">
        <v>81</v>
      </c>
      <c r="AU2439">
        <v>-30.71</v>
      </c>
      <c r="AV2439">
        <v>-46.83</v>
      </c>
      <c r="AW2439" t="s">
        <v>82</v>
      </c>
      <c r="AX2439">
        <v>201</v>
      </c>
      <c r="AY2439" t="s">
        <v>81</v>
      </c>
      <c r="AZ2439">
        <v>-29.05</v>
      </c>
      <c r="BA2439">
        <v>-45.91</v>
      </c>
      <c r="BB2439" t="s">
        <v>83</v>
      </c>
    </row>
    <row r="2440" spans="1:54" x14ac:dyDescent="0.4">
      <c r="A2440">
        <v>823059</v>
      </c>
      <c r="D2440" t="s">
        <v>2134</v>
      </c>
      <c r="G2440">
        <v>1</v>
      </c>
      <c r="H2440" t="s">
        <v>56</v>
      </c>
      <c r="I2440" t="s">
        <v>57</v>
      </c>
      <c r="K2440" t="s">
        <v>483</v>
      </c>
      <c r="L2440" t="s">
        <v>484</v>
      </c>
      <c r="M2440" t="s">
        <v>223</v>
      </c>
      <c r="N2440" t="s">
        <v>485</v>
      </c>
      <c r="O2440" t="s">
        <v>345</v>
      </c>
      <c r="P2440" t="s">
        <v>121</v>
      </c>
      <c r="R2440" t="s">
        <v>122</v>
      </c>
      <c r="S2440" t="s">
        <v>123</v>
      </c>
      <c r="T2440">
        <v>290.10000000000002</v>
      </c>
      <c r="U2440">
        <v>283.5</v>
      </c>
      <c r="V2440">
        <f t="shared" si="76"/>
        <v>286.8</v>
      </c>
      <c r="W2440">
        <f t="shared" si="77"/>
        <v>6.6000000000000227</v>
      </c>
      <c r="X2440">
        <v>-50.166668000000001</v>
      </c>
      <c r="Y2440">
        <v>-25.1</v>
      </c>
      <c r="Z2440" t="s">
        <v>1890</v>
      </c>
      <c r="AA2440" t="s">
        <v>783</v>
      </c>
      <c r="AB2440" t="s">
        <v>2334</v>
      </c>
      <c r="AD2440" t="s">
        <v>2294</v>
      </c>
      <c r="AE2440" t="s">
        <v>1524</v>
      </c>
      <c r="AH2440" t="s">
        <v>72</v>
      </c>
      <c r="AI2440" t="s">
        <v>693</v>
      </c>
      <c r="AJ2440">
        <v>1941</v>
      </c>
      <c r="AK2440" t="s">
        <v>2428</v>
      </c>
      <c r="AM2440" t="s">
        <v>2429</v>
      </c>
      <c r="AN2440" t="s">
        <v>114</v>
      </c>
      <c r="AO2440" t="s">
        <v>160</v>
      </c>
      <c r="AP2440" t="s">
        <v>115</v>
      </c>
      <c r="AQ2440" t="s">
        <v>2430</v>
      </c>
      <c r="AR2440" t="s">
        <v>80</v>
      </c>
      <c r="AS2440">
        <v>201</v>
      </c>
      <c r="AT2440" t="s">
        <v>81</v>
      </c>
      <c r="AU2440">
        <v>-30.71</v>
      </c>
      <c r="AV2440">
        <v>-46.83</v>
      </c>
      <c r="AW2440" t="s">
        <v>82</v>
      </c>
      <c r="AX2440">
        <v>201</v>
      </c>
      <c r="AY2440" t="s">
        <v>81</v>
      </c>
      <c r="AZ2440">
        <v>-29.05</v>
      </c>
      <c r="BA2440">
        <v>-45.91</v>
      </c>
      <c r="BB2440" t="s">
        <v>83</v>
      </c>
    </row>
    <row r="2441" spans="1:54" x14ac:dyDescent="0.4">
      <c r="A2441">
        <v>823059</v>
      </c>
      <c r="D2441" t="s">
        <v>2134</v>
      </c>
      <c r="G2441">
        <v>1</v>
      </c>
      <c r="H2441" t="s">
        <v>56</v>
      </c>
      <c r="I2441" t="s">
        <v>57</v>
      </c>
      <c r="K2441" t="s">
        <v>483</v>
      </c>
      <c r="L2441" t="s">
        <v>484</v>
      </c>
      <c r="M2441" t="s">
        <v>223</v>
      </c>
      <c r="N2441" t="s">
        <v>485</v>
      </c>
      <c r="O2441" t="s">
        <v>345</v>
      </c>
      <c r="P2441" t="s">
        <v>121</v>
      </c>
      <c r="R2441" t="s">
        <v>122</v>
      </c>
      <c r="S2441" t="s">
        <v>123</v>
      </c>
      <c r="T2441">
        <v>290.10000000000002</v>
      </c>
      <c r="U2441">
        <v>283.5</v>
      </c>
      <c r="V2441">
        <f t="shared" si="76"/>
        <v>286.8</v>
      </c>
      <c r="W2441">
        <f t="shared" si="77"/>
        <v>6.6000000000000227</v>
      </c>
      <c r="X2441">
        <v>-50.166668000000001</v>
      </c>
      <c r="Y2441">
        <v>-25.1</v>
      </c>
      <c r="Z2441" t="s">
        <v>1890</v>
      </c>
      <c r="AA2441" t="s">
        <v>783</v>
      </c>
      <c r="AB2441" t="s">
        <v>2334</v>
      </c>
      <c r="AD2441" t="s">
        <v>2294</v>
      </c>
      <c r="AE2441" t="s">
        <v>1524</v>
      </c>
      <c r="AH2441" t="s">
        <v>72</v>
      </c>
      <c r="AI2441" t="s">
        <v>693</v>
      </c>
      <c r="AJ2441">
        <v>1941</v>
      </c>
      <c r="AK2441" t="s">
        <v>2428</v>
      </c>
      <c r="AM2441" t="s">
        <v>2429</v>
      </c>
      <c r="AN2441" t="s">
        <v>114</v>
      </c>
      <c r="AO2441" t="s">
        <v>160</v>
      </c>
      <c r="AP2441" t="s">
        <v>115</v>
      </c>
      <c r="AQ2441" t="s">
        <v>2430</v>
      </c>
      <c r="AR2441" t="s">
        <v>80</v>
      </c>
      <c r="AS2441">
        <v>201</v>
      </c>
      <c r="AT2441" t="s">
        <v>81</v>
      </c>
      <c r="AU2441">
        <v>-30.71</v>
      </c>
      <c r="AV2441">
        <v>-46.83</v>
      </c>
      <c r="AW2441" t="s">
        <v>82</v>
      </c>
      <c r="AX2441">
        <v>201</v>
      </c>
      <c r="AY2441" t="s">
        <v>81</v>
      </c>
      <c r="AZ2441">
        <v>-29.05</v>
      </c>
      <c r="BA2441">
        <v>-45.91</v>
      </c>
      <c r="BB2441" t="s">
        <v>83</v>
      </c>
    </row>
    <row r="2442" spans="1:54" x14ac:dyDescent="0.4">
      <c r="A2442">
        <v>823059</v>
      </c>
      <c r="D2442" t="s">
        <v>2134</v>
      </c>
      <c r="G2442">
        <v>1</v>
      </c>
      <c r="H2442" t="s">
        <v>56</v>
      </c>
      <c r="I2442" t="s">
        <v>57</v>
      </c>
      <c r="K2442" t="s">
        <v>483</v>
      </c>
      <c r="L2442" t="s">
        <v>484</v>
      </c>
      <c r="M2442" t="s">
        <v>223</v>
      </c>
      <c r="N2442" t="s">
        <v>485</v>
      </c>
      <c r="O2442" t="s">
        <v>345</v>
      </c>
      <c r="P2442" t="s">
        <v>121</v>
      </c>
      <c r="R2442" t="s">
        <v>122</v>
      </c>
      <c r="S2442" t="s">
        <v>123</v>
      </c>
      <c r="T2442">
        <v>290.10000000000002</v>
      </c>
      <c r="U2442">
        <v>283.5</v>
      </c>
      <c r="V2442">
        <f t="shared" si="76"/>
        <v>286.8</v>
      </c>
      <c r="W2442">
        <f t="shared" si="77"/>
        <v>6.6000000000000227</v>
      </c>
      <c r="X2442">
        <v>-50.166668000000001</v>
      </c>
      <c r="Y2442">
        <v>-25.1</v>
      </c>
      <c r="Z2442" t="s">
        <v>1890</v>
      </c>
      <c r="AA2442" t="s">
        <v>783</v>
      </c>
      <c r="AB2442" t="s">
        <v>2334</v>
      </c>
      <c r="AD2442" t="s">
        <v>2294</v>
      </c>
      <c r="AE2442" t="s">
        <v>1524</v>
      </c>
      <c r="AH2442" t="s">
        <v>72</v>
      </c>
      <c r="AI2442" t="s">
        <v>693</v>
      </c>
      <c r="AJ2442">
        <v>1941</v>
      </c>
      <c r="AK2442" t="s">
        <v>2428</v>
      </c>
      <c r="AM2442" t="s">
        <v>2429</v>
      </c>
      <c r="AN2442" t="s">
        <v>114</v>
      </c>
      <c r="AO2442" t="s">
        <v>160</v>
      </c>
      <c r="AP2442" t="s">
        <v>115</v>
      </c>
      <c r="AQ2442" t="s">
        <v>2430</v>
      </c>
      <c r="AR2442" t="s">
        <v>80</v>
      </c>
      <c r="AS2442">
        <v>201</v>
      </c>
      <c r="AT2442" t="s">
        <v>81</v>
      </c>
      <c r="AU2442">
        <v>-30.71</v>
      </c>
      <c r="AV2442">
        <v>-46.83</v>
      </c>
      <c r="AW2442" t="s">
        <v>82</v>
      </c>
      <c r="AX2442">
        <v>201</v>
      </c>
      <c r="AY2442" t="s">
        <v>81</v>
      </c>
      <c r="AZ2442">
        <v>-29.05</v>
      </c>
      <c r="BA2442">
        <v>-45.91</v>
      </c>
      <c r="BB2442" t="s">
        <v>83</v>
      </c>
    </row>
    <row r="2443" spans="1:54" x14ac:dyDescent="0.4">
      <c r="A2443">
        <v>823059</v>
      </c>
      <c r="D2443" t="s">
        <v>2134</v>
      </c>
      <c r="G2443">
        <v>1</v>
      </c>
      <c r="H2443" t="s">
        <v>56</v>
      </c>
      <c r="I2443" t="s">
        <v>57</v>
      </c>
      <c r="K2443" t="s">
        <v>483</v>
      </c>
      <c r="L2443" t="s">
        <v>484</v>
      </c>
      <c r="M2443" t="s">
        <v>223</v>
      </c>
      <c r="N2443" t="s">
        <v>485</v>
      </c>
      <c r="O2443" t="s">
        <v>345</v>
      </c>
      <c r="P2443" t="s">
        <v>121</v>
      </c>
      <c r="R2443" t="s">
        <v>122</v>
      </c>
      <c r="S2443" t="s">
        <v>123</v>
      </c>
      <c r="T2443">
        <v>290.10000000000002</v>
      </c>
      <c r="U2443">
        <v>283.5</v>
      </c>
      <c r="V2443">
        <f t="shared" si="76"/>
        <v>286.8</v>
      </c>
      <c r="W2443">
        <f t="shared" si="77"/>
        <v>6.6000000000000227</v>
      </c>
      <c r="X2443">
        <v>-50.166668000000001</v>
      </c>
      <c r="Y2443">
        <v>-25.1</v>
      </c>
      <c r="Z2443" t="s">
        <v>1890</v>
      </c>
      <c r="AA2443" t="s">
        <v>783</v>
      </c>
      <c r="AB2443" t="s">
        <v>2334</v>
      </c>
      <c r="AD2443" t="s">
        <v>2294</v>
      </c>
      <c r="AE2443" t="s">
        <v>1524</v>
      </c>
      <c r="AH2443" t="s">
        <v>72</v>
      </c>
      <c r="AI2443" t="s">
        <v>693</v>
      </c>
      <c r="AJ2443">
        <v>1941</v>
      </c>
      <c r="AK2443" t="s">
        <v>2428</v>
      </c>
      <c r="AM2443" t="s">
        <v>2429</v>
      </c>
      <c r="AN2443" t="s">
        <v>114</v>
      </c>
      <c r="AO2443" t="s">
        <v>160</v>
      </c>
      <c r="AP2443" t="s">
        <v>115</v>
      </c>
      <c r="AQ2443" t="s">
        <v>2430</v>
      </c>
      <c r="AR2443" t="s">
        <v>80</v>
      </c>
      <c r="AS2443">
        <v>201</v>
      </c>
      <c r="AT2443" t="s">
        <v>81</v>
      </c>
      <c r="AU2443">
        <v>-30.71</v>
      </c>
      <c r="AV2443">
        <v>-46.83</v>
      </c>
      <c r="AW2443" t="s">
        <v>82</v>
      </c>
      <c r="AX2443">
        <v>201</v>
      </c>
      <c r="AY2443" t="s">
        <v>81</v>
      </c>
      <c r="AZ2443">
        <v>-29.05</v>
      </c>
      <c r="BA2443">
        <v>-45.91</v>
      </c>
      <c r="BB2443" t="s">
        <v>83</v>
      </c>
    </row>
    <row r="2444" spans="1:54" x14ac:dyDescent="0.4">
      <c r="A2444">
        <v>823059</v>
      </c>
      <c r="D2444" t="s">
        <v>2134</v>
      </c>
      <c r="G2444">
        <v>1</v>
      </c>
      <c r="H2444" t="s">
        <v>56</v>
      </c>
      <c r="I2444" t="s">
        <v>57</v>
      </c>
      <c r="K2444" t="s">
        <v>483</v>
      </c>
      <c r="L2444" t="s">
        <v>484</v>
      </c>
      <c r="M2444" t="s">
        <v>223</v>
      </c>
      <c r="N2444" t="s">
        <v>485</v>
      </c>
      <c r="O2444" t="s">
        <v>345</v>
      </c>
      <c r="P2444" t="s">
        <v>121</v>
      </c>
      <c r="R2444" t="s">
        <v>122</v>
      </c>
      <c r="S2444" t="s">
        <v>123</v>
      </c>
      <c r="T2444">
        <v>290.10000000000002</v>
      </c>
      <c r="U2444">
        <v>283.5</v>
      </c>
      <c r="V2444">
        <f t="shared" si="76"/>
        <v>286.8</v>
      </c>
      <c r="W2444">
        <f t="shared" si="77"/>
        <v>6.6000000000000227</v>
      </c>
      <c r="X2444">
        <v>-50.166668000000001</v>
      </c>
      <c r="Y2444">
        <v>-25.1</v>
      </c>
      <c r="Z2444" t="s">
        <v>1890</v>
      </c>
      <c r="AA2444" t="s">
        <v>783</v>
      </c>
      <c r="AB2444" t="s">
        <v>2334</v>
      </c>
      <c r="AD2444" t="s">
        <v>2294</v>
      </c>
      <c r="AE2444" t="s">
        <v>1524</v>
      </c>
      <c r="AH2444" t="s">
        <v>72</v>
      </c>
      <c r="AI2444" t="s">
        <v>693</v>
      </c>
      <c r="AJ2444">
        <v>1941</v>
      </c>
      <c r="AK2444" t="s">
        <v>2428</v>
      </c>
      <c r="AM2444" t="s">
        <v>2429</v>
      </c>
      <c r="AN2444" t="s">
        <v>114</v>
      </c>
      <c r="AO2444" t="s">
        <v>160</v>
      </c>
      <c r="AP2444" t="s">
        <v>115</v>
      </c>
      <c r="AQ2444" t="s">
        <v>2430</v>
      </c>
      <c r="AR2444" t="s">
        <v>80</v>
      </c>
      <c r="AS2444">
        <v>201</v>
      </c>
      <c r="AT2444" t="s">
        <v>81</v>
      </c>
      <c r="AU2444">
        <v>-30.71</v>
      </c>
      <c r="AV2444">
        <v>-46.83</v>
      </c>
      <c r="AW2444" t="s">
        <v>82</v>
      </c>
      <c r="AX2444">
        <v>201</v>
      </c>
      <c r="AY2444" t="s">
        <v>81</v>
      </c>
      <c r="AZ2444">
        <v>-29.05</v>
      </c>
      <c r="BA2444">
        <v>-45.91</v>
      </c>
      <c r="BB2444" t="s">
        <v>83</v>
      </c>
    </row>
    <row r="2445" spans="1:54" x14ac:dyDescent="0.4">
      <c r="A2445">
        <v>823059</v>
      </c>
      <c r="D2445" t="s">
        <v>2134</v>
      </c>
      <c r="G2445">
        <v>1</v>
      </c>
      <c r="H2445" t="s">
        <v>56</v>
      </c>
      <c r="I2445" t="s">
        <v>57</v>
      </c>
      <c r="K2445" t="s">
        <v>483</v>
      </c>
      <c r="L2445" t="s">
        <v>484</v>
      </c>
      <c r="M2445" t="s">
        <v>223</v>
      </c>
      <c r="N2445" t="s">
        <v>485</v>
      </c>
      <c r="O2445" t="s">
        <v>345</v>
      </c>
      <c r="P2445" t="s">
        <v>121</v>
      </c>
      <c r="R2445" t="s">
        <v>122</v>
      </c>
      <c r="S2445" t="s">
        <v>123</v>
      </c>
      <c r="T2445">
        <v>290.10000000000002</v>
      </c>
      <c r="U2445">
        <v>283.5</v>
      </c>
      <c r="V2445">
        <f t="shared" si="76"/>
        <v>286.8</v>
      </c>
      <c r="W2445">
        <f t="shared" si="77"/>
        <v>6.6000000000000227</v>
      </c>
      <c r="X2445">
        <v>-50.166668000000001</v>
      </c>
      <c r="Y2445">
        <v>-25.1</v>
      </c>
      <c r="Z2445" t="s">
        <v>1890</v>
      </c>
      <c r="AA2445" t="s">
        <v>783</v>
      </c>
      <c r="AB2445" t="s">
        <v>2334</v>
      </c>
      <c r="AD2445" t="s">
        <v>2294</v>
      </c>
      <c r="AE2445" t="s">
        <v>1524</v>
      </c>
      <c r="AH2445" t="s">
        <v>72</v>
      </c>
      <c r="AI2445" t="s">
        <v>693</v>
      </c>
      <c r="AJ2445">
        <v>1941</v>
      </c>
      <c r="AK2445" t="s">
        <v>2428</v>
      </c>
      <c r="AM2445" t="s">
        <v>2429</v>
      </c>
      <c r="AN2445" t="s">
        <v>114</v>
      </c>
      <c r="AO2445" t="s">
        <v>160</v>
      </c>
      <c r="AP2445" t="s">
        <v>115</v>
      </c>
      <c r="AQ2445" t="s">
        <v>2430</v>
      </c>
      <c r="AR2445" t="s">
        <v>80</v>
      </c>
      <c r="AS2445">
        <v>201</v>
      </c>
      <c r="AT2445" t="s">
        <v>81</v>
      </c>
      <c r="AU2445">
        <v>-30.71</v>
      </c>
      <c r="AV2445">
        <v>-46.83</v>
      </c>
      <c r="AW2445" t="s">
        <v>82</v>
      </c>
      <c r="AX2445">
        <v>201</v>
      </c>
      <c r="AY2445" t="s">
        <v>81</v>
      </c>
      <c r="AZ2445">
        <v>-29.05</v>
      </c>
      <c r="BA2445">
        <v>-45.91</v>
      </c>
      <c r="BB2445" t="s">
        <v>83</v>
      </c>
    </row>
    <row r="2446" spans="1:54" x14ac:dyDescent="0.4">
      <c r="A2446">
        <v>823059</v>
      </c>
      <c r="D2446" t="s">
        <v>2134</v>
      </c>
      <c r="G2446">
        <v>1</v>
      </c>
      <c r="H2446" t="s">
        <v>56</v>
      </c>
      <c r="I2446" t="s">
        <v>57</v>
      </c>
      <c r="K2446" t="s">
        <v>483</v>
      </c>
      <c r="L2446" t="s">
        <v>484</v>
      </c>
      <c r="M2446" t="s">
        <v>223</v>
      </c>
      <c r="N2446" t="s">
        <v>485</v>
      </c>
      <c r="O2446" t="s">
        <v>345</v>
      </c>
      <c r="P2446" t="s">
        <v>121</v>
      </c>
      <c r="R2446" t="s">
        <v>122</v>
      </c>
      <c r="S2446" t="s">
        <v>123</v>
      </c>
      <c r="T2446">
        <v>290.10000000000002</v>
      </c>
      <c r="U2446">
        <v>283.5</v>
      </c>
      <c r="V2446">
        <f t="shared" si="76"/>
        <v>286.8</v>
      </c>
      <c r="W2446">
        <f t="shared" si="77"/>
        <v>6.6000000000000227</v>
      </c>
      <c r="X2446">
        <v>-50.166668000000001</v>
      </c>
      <c r="Y2446">
        <v>-25.1</v>
      </c>
      <c r="Z2446" t="s">
        <v>1890</v>
      </c>
      <c r="AA2446" t="s">
        <v>783</v>
      </c>
      <c r="AB2446" t="s">
        <v>2334</v>
      </c>
      <c r="AD2446" t="s">
        <v>2294</v>
      </c>
      <c r="AE2446" t="s">
        <v>1524</v>
      </c>
      <c r="AH2446" t="s">
        <v>72</v>
      </c>
      <c r="AI2446" t="s">
        <v>693</v>
      </c>
      <c r="AJ2446">
        <v>1941</v>
      </c>
      <c r="AK2446" t="s">
        <v>2428</v>
      </c>
      <c r="AM2446" t="s">
        <v>2429</v>
      </c>
      <c r="AN2446" t="s">
        <v>114</v>
      </c>
      <c r="AO2446" t="s">
        <v>160</v>
      </c>
      <c r="AP2446" t="s">
        <v>115</v>
      </c>
      <c r="AQ2446" t="s">
        <v>2430</v>
      </c>
      <c r="AR2446" t="s">
        <v>80</v>
      </c>
      <c r="AS2446">
        <v>201</v>
      </c>
      <c r="AT2446" t="s">
        <v>81</v>
      </c>
      <c r="AU2446">
        <v>-30.71</v>
      </c>
      <c r="AV2446">
        <v>-46.83</v>
      </c>
      <c r="AW2446" t="s">
        <v>82</v>
      </c>
      <c r="AX2446">
        <v>201</v>
      </c>
      <c r="AY2446" t="s">
        <v>81</v>
      </c>
      <c r="AZ2446">
        <v>-29.05</v>
      </c>
      <c r="BA2446">
        <v>-45.91</v>
      </c>
      <c r="BB2446" t="s">
        <v>83</v>
      </c>
    </row>
    <row r="2447" spans="1:54" x14ac:dyDescent="0.4">
      <c r="A2447">
        <v>823059</v>
      </c>
      <c r="D2447" t="s">
        <v>2134</v>
      </c>
      <c r="G2447">
        <v>1</v>
      </c>
      <c r="H2447" t="s">
        <v>56</v>
      </c>
      <c r="I2447" t="s">
        <v>57</v>
      </c>
      <c r="K2447" t="s">
        <v>483</v>
      </c>
      <c r="L2447" t="s">
        <v>484</v>
      </c>
      <c r="M2447" t="s">
        <v>223</v>
      </c>
      <c r="N2447" t="s">
        <v>485</v>
      </c>
      <c r="O2447" t="s">
        <v>345</v>
      </c>
      <c r="P2447" t="s">
        <v>121</v>
      </c>
      <c r="R2447" t="s">
        <v>122</v>
      </c>
      <c r="S2447" t="s">
        <v>123</v>
      </c>
      <c r="T2447">
        <v>290.10000000000002</v>
      </c>
      <c r="U2447">
        <v>283.5</v>
      </c>
      <c r="V2447">
        <f t="shared" si="76"/>
        <v>286.8</v>
      </c>
      <c r="W2447">
        <f t="shared" si="77"/>
        <v>6.6000000000000227</v>
      </c>
      <c r="X2447">
        <v>-50.166668000000001</v>
      </c>
      <c r="Y2447">
        <v>-25.1</v>
      </c>
      <c r="Z2447" t="s">
        <v>1890</v>
      </c>
      <c r="AA2447" t="s">
        <v>783</v>
      </c>
      <c r="AB2447" t="s">
        <v>2334</v>
      </c>
      <c r="AD2447" t="s">
        <v>2294</v>
      </c>
      <c r="AE2447" t="s">
        <v>1524</v>
      </c>
      <c r="AH2447" t="s">
        <v>72</v>
      </c>
      <c r="AI2447" t="s">
        <v>693</v>
      </c>
      <c r="AJ2447">
        <v>1941</v>
      </c>
      <c r="AK2447" t="s">
        <v>2428</v>
      </c>
      <c r="AM2447" t="s">
        <v>2429</v>
      </c>
      <c r="AN2447" t="s">
        <v>114</v>
      </c>
      <c r="AO2447" t="s">
        <v>160</v>
      </c>
      <c r="AP2447" t="s">
        <v>115</v>
      </c>
      <c r="AQ2447" t="s">
        <v>2430</v>
      </c>
      <c r="AR2447" t="s">
        <v>80</v>
      </c>
      <c r="AS2447">
        <v>201</v>
      </c>
      <c r="AT2447" t="s">
        <v>81</v>
      </c>
      <c r="AU2447">
        <v>-30.71</v>
      </c>
      <c r="AV2447">
        <v>-46.83</v>
      </c>
      <c r="AW2447" t="s">
        <v>82</v>
      </c>
      <c r="AX2447">
        <v>201</v>
      </c>
      <c r="AY2447" t="s">
        <v>81</v>
      </c>
      <c r="AZ2447">
        <v>-29.05</v>
      </c>
      <c r="BA2447">
        <v>-45.91</v>
      </c>
      <c r="BB2447" t="s">
        <v>83</v>
      </c>
    </row>
    <row r="2448" spans="1:54" x14ac:dyDescent="0.4">
      <c r="A2448">
        <v>823059</v>
      </c>
      <c r="D2448" t="s">
        <v>2134</v>
      </c>
      <c r="G2448">
        <v>1</v>
      </c>
      <c r="H2448" t="s">
        <v>56</v>
      </c>
      <c r="I2448" t="s">
        <v>57</v>
      </c>
      <c r="K2448" t="s">
        <v>483</v>
      </c>
      <c r="L2448" t="s">
        <v>484</v>
      </c>
      <c r="M2448" t="s">
        <v>223</v>
      </c>
      <c r="N2448" t="s">
        <v>485</v>
      </c>
      <c r="O2448" t="s">
        <v>345</v>
      </c>
      <c r="P2448" t="s">
        <v>121</v>
      </c>
      <c r="R2448" t="s">
        <v>122</v>
      </c>
      <c r="S2448" t="s">
        <v>123</v>
      </c>
      <c r="T2448">
        <v>290.10000000000002</v>
      </c>
      <c r="U2448">
        <v>283.5</v>
      </c>
      <c r="V2448">
        <f t="shared" si="76"/>
        <v>286.8</v>
      </c>
      <c r="W2448">
        <f t="shared" si="77"/>
        <v>6.6000000000000227</v>
      </c>
      <c r="X2448">
        <v>-50.166668000000001</v>
      </c>
      <c r="Y2448">
        <v>-25.1</v>
      </c>
      <c r="Z2448" t="s">
        <v>1890</v>
      </c>
      <c r="AA2448" t="s">
        <v>783</v>
      </c>
      <c r="AB2448" t="s">
        <v>2334</v>
      </c>
      <c r="AD2448" t="s">
        <v>2294</v>
      </c>
      <c r="AE2448" t="s">
        <v>1524</v>
      </c>
      <c r="AH2448" t="s">
        <v>72</v>
      </c>
      <c r="AI2448" t="s">
        <v>693</v>
      </c>
      <c r="AJ2448">
        <v>1941</v>
      </c>
      <c r="AK2448" t="s">
        <v>2428</v>
      </c>
      <c r="AM2448" t="s">
        <v>2429</v>
      </c>
      <c r="AN2448" t="s">
        <v>114</v>
      </c>
      <c r="AO2448" t="s">
        <v>160</v>
      </c>
      <c r="AP2448" t="s">
        <v>115</v>
      </c>
      <c r="AQ2448" t="s">
        <v>2430</v>
      </c>
      <c r="AR2448" t="s">
        <v>80</v>
      </c>
      <c r="AS2448">
        <v>201</v>
      </c>
      <c r="AT2448" t="s">
        <v>81</v>
      </c>
      <c r="AU2448">
        <v>-30.71</v>
      </c>
      <c r="AV2448">
        <v>-46.83</v>
      </c>
      <c r="AW2448" t="s">
        <v>82</v>
      </c>
      <c r="AX2448">
        <v>201</v>
      </c>
      <c r="AY2448" t="s">
        <v>81</v>
      </c>
      <c r="AZ2448">
        <v>-29.05</v>
      </c>
      <c r="BA2448">
        <v>-45.91</v>
      </c>
      <c r="BB2448" t="s">
        <v>83</v>
      </c>
    </row>
    <row r="2449" spans="1:54" x14ac:dyDescent="0.4">
      <c r="A2449">
        <v>823729</v>
      </c>
      <c r="D2449" t="s">
        <v>2134</v>
      </c>
      <c r="E2449" t="s">
        <v>154</v>
      </c>
      <c r="G2449">
        <v>1</v>
      </c>
      <c r="H2449" t="s">
        <v>56</v>
      </c>
      <c r="I2449" t="s">
        <v>57</v>
      </c>
      <c r="K2449" t="s">
        <v>483</v>
      </c>
      <c r="L2449" t="s">
        <v>484</v>
      </c>
      <c r="M2449" t="s">
        <v>223</v>
      </c>
      <c r="N2449" t="s">
        <v>485</v>
      </c>
      <c r="O2449" t="s">
        <v>345</v>
      </c>
      <c r="P2449" t="s">
        <v>121</v>
      </c>
      <c r="R2449" t="s">
        <v>122</v>
      </c>
      <c r="S2449" t="s">
        <v>123</v>
      </c>
      <c r="T2449">
        <v>290.10000000000002</v>
      </c>
      <c r="U2449">
        <v>283.5</v>
      </c>
      <c r="V2449">
        <f t="shared" si="76"/>
        <v>286.8</v>
      </c>
      <c r="W2449">
        <f t="shared" si="77"/>
        <v>6.6000000000000227</v>
      </c>
      <c r="X2449">
        <v>19.766666000000001</v>
      </c>
      <c r="Y2449">
        <v>-31.466667000000001</v>
      </c>
      <c r="Z2449" t="s">
        <v>520</v>
      </c>
      <c r="AA2449" t="s">
        <v>106</v>
      </c>
      <c r="AB2449" t="s">
        <v>575</v>
      </c>
      <c r="AC2449" t="s">
        <v>2389</v>
      </c>
      <c r="AD2449" t="s">
        <v>2375</v>
      </c>
      <c r="AE2449" t="s">
        <v>2287</v>
      </c>
      <c r="AH2449" t="s">
        <v>72</v>
      </c>
      <c r="AI2449" t="s">
        <v>2414</v>
      </c>
      <c r="AJ2449">
        <v>2000</v>
      </c>
      <c r="AK2449" t="s">
        <v>2431</v>
      </c>
      <c r="AL2449">
        <v>90311</v>
      </c>
      <c r="AN2449" t="s">
        <v>114</v>
      </c>
      <c r="AO2449" t="s">
        <v>160</v>
      </c>
      <c r="AP2449" t="s">
        <v>636</v>
      </c>
      <c r="AQ2449" t="s">
        <v>2432</v>
      </c>
      <c r="AR2449" t="s">
        <v>80</v>
      </c>
      <c r="AS2449">
        <v>701</v>
      </c>
      <c r="AT2449" t="s">
        <v>81</v>
      </c>
      <c r="AU2449">
        <v>-48.22</v>
      </c>
      <c r="AV2449">
        <v>-59.66</v>
      </c>
      <c r="AW2449" t="s">
        <v>82</v>
      </c>
      <c r="AX2449">
        <v>701</v>
      </c>
      <c r="AY2449" t="s">
        <v>81</v>
      </c>
      <c r="AZ2449">
        <v>-45.47</v>
      </c>
      <c r="BA2449">
        <v>-59.12</v>
      </c>
      <c r="BB2449" t="s">
        <v>83</v>
      </c>
    </row>
    <row r="2450" spans="1:54" x14ac:dyDescent="0.4">
      <c r="A2450">
        <v>823730</v>
      </c>
      <c r="D2450" t="s">
        <v>2134</v>
      </c>
      <c r="E2450" t="s">
        <v>55</v>
      </c>
      <c r="G2450">
        <v>33</v>
      </c>
      <c r="H2450" t="s">
        <v>84</v>
      </c>
      <c r="I2450" t="s">
        <v>57</v>
      </c>
      <c r="K2450" t="s">
        <v>483</v>
      </c>
      <c r="L2450" t="s">
        <v>484</v>
      </c>
      <c r="M2450" t="s">
        <v>223</v>
      </c>
      <c r="N2450" t="s">
        <v>485</v>
      </c>
      <c r="O2450" t="s">
        <v>345</v>
      </c>
      <c r="P2450" t="s">
        <v>121</v>
      </c>
      <c r="R2450" t="s">
        <v>122</v>
      </c>
      <c r="S2450" t="s">
        <v>123</v>
      </c>
      <c r="T2450">
        <v>290.10000000000002</v>
      </c>
      <c r="U2450">
        <v>283.5</v>
      </c>
      <c r="V2450">
        <f t="shared" si="76"/>
        <v>286.8</v>
      </c>
      <c r="W2450">
        <f t="shared" si="77"/>
        <v>6.6000000000000227</v>
      </c>
      <c r="X2450">
        <v>18.246943999999999</v>
      </c>
      <c r="Y2450">
        <v>-26.319445000000002</v>
      </c>
      <c r="Z2450" t="s">
        <v>520</v>
      </c>
      <c r="AB2450" t="s">
        <v>2433</v>
      </c>
      <c r="AD2450" t="s">
        <v>2375</v>
      </c>
      <c r="AE2450" t="s">
        <v>2287</v>
      </c>
      <c r="AH2450" t="s">
        <v>11</v>
      </c>
      <c r="AI2450" t="s">
        <v>2434</v>
      </c>
      <c r="AJ2450">
        <v>1914</v>
      </c>
      <c r="AK2450" t="s">
        <v>2435</v>
      </c>
      <c r="AM2450" t="s">
        <v>2436</v>
      </c>
      <c r="AN2450" t="s">
        <v>114</v>
      </c>
      <c r="AO2450" t="s">
        <v>77</v>
      </c>
      <c r="AP2450" t="s">
        <v>115</v>
      </c>
      <c r="AQ2450" t="s">
        <v>2437</v>
      </c>
      <c r="AR2450" t="s">
        <v>80</v>
      </c>
      <c r="AS2450">
        <v>701</v>
      </c>
      <c r="AT2450" t="s">
        <v>81</v>
      </c>
      <c r="AU2450">
        <v>-38.89</v>
      </c>
      <c r="AV2450">
        <v>-57.5</v>
      </c>
      <c r="AW2450" t="s">
        <v>82</v>
      </c>
      <c r="AX2450">
        <v>701</v>
      </c>
      <c r="AY2450" t="s">
        <v>81</v>
      </c>
      <c r="AZ2450">
        <v>-36.49</v>
      </c>
      <c r="BA2450">
        <v>-56.75</v>
      </c>
      <c r="BB2450" t="s">
        <v>83</v>
      </c>
    </row>
    <row r="2451" spans="1:54" x14ac:dyDescent="0.4">
      <c r="A2451">
        <v>823897</v>
      </c>
      <c r="D2451" t="s">
        <v>2134</v>
      </c>
      <c r="E2451" t="s">
        <v>55</v>
      </c>
      <c r="G2451">
        <v>1</v>
      </c>
      <c r="H2451" t="s">
        <v>56</v>
      </c>
      <c r="I2451" t="s">
        <v>57</v>
      </c>
      <c r="K2451" t="s">
        <v>483</v>
      </c>
      <c r="L2451" t="s">
        <v>484</v>
      </c>
      <c r="M2451" t="s">
        <v>223</v>
      </c>
      <c r="N2451" t="s">
        <v>485</v>
      </c>
      <c r="O2451" t="s">
        <v>345</v>
      </c>
      <c r="P2451" t="s">
        <v>121</v>
      </c>
      <c r="R2451" t="s">
        <v>122</v>
      </c>
      <c r="S2451" t="s">
        <v>123</v>
      </c>
      <c r="T2451">
        <v>290.10000000000002</v>
      </c>
      <c r="U2451">
        <v>283.5</v>
      </c>
      <c r="V2451">
        <f t="shared" si="76"/>
        <v>286.8</v>
      </c>
      <c r="W2451">
        <f t="shared" si="77"/>
        <v>6.6000000000000227</v>
      </c>
      <c r="X2451">
        <v>18.246943999999999</v>
      </c>
      <c r="Y2451">
        <v>-26.319445000000002</v>
      </c>
      <c r="Z2451" t="s">
        <v>520</v>
      </c>
      <c r="AB2451" t="s">
        <v>2433</v>
      </c>
      <c r="AD2451" t="s">
        <v>2375</v>
      </c>
      <c r="AE2451" t="s">
        <v>2287</v>
      </c>
      <c r="AH2451" t="s">
        <v>72</v>
      </c>
      <c r="AI2451" t="s">
        <v>2336</v>
      </c>
      <c r="AJ2451">
        <v>1999</v>
      </c>
      <c r="AK2451" t="s">
        <v>2435</v>
      </c>
      <c r="AM2451" t="s">
        <v>2436</v>
      </c>
      <c r="AN2451" t="s">
        <v>114</v>
      </c>
      <c r="AO2451" t="s">
        <v>77</v>
      </c>
      <c r="AP2451" t="s">
        <v>115</v>
      </c>
      <c r="AQ2451" t="s">
        <v>2437</v>
      </c>
      <c r="AR2451" t="s">
        <v>80</v>
      </c>
      <c r="AS2451">
        <v>701</v>
      </c>
      <c r="AT2451" t="s">
        <v>81</v>
      </c>
      <c r="AU2451">
        <v>-38.89</v>
      </c>
      <c r="AV2451">
        <v>-57.5</v>
      </c>
      <c r="AW2451" t="s">
        <v>82</v>
      </c>
      <c r="AX2451">
        <v>701</v>
      </c>
      <c r="AY2451" t="s">
        <v>81</v>
      </c>
      <c r="AZ2451">
        <v>-36.49</v>
      </c>
      <c r="BA2451">
        <v>-56.75</v>
      </c>
      <c r="BB2451" t="s">
        <v>83</v>
      </c>
    </row>
    <row r="2452" spans="1:54" x14ac:dyDescent="0.4">
      <c r="A2452">
        <v>823898</v>
      </c>
      <c r="D2452" t="s">
        <v>2134</v>
      </c>
      <c r="G2452">
        <v>1</v>
      </c>
      <c r="H2452" t="s">
        <v>56</v>
      </c>
      <c r="I2452" t="s">
        <v>57</v>
      </c>
      <c r="K2452" t="s">
        <v>483</v>
      </c>
      <c r="L2452" t="s">
        <v>484</v>
      </c>
      <c r="M2452" t="s">
        <v>223</v>
      </c>
      <c r="N2452" t="s">
        <v>485</v>
      </c>
      <c r="O2452" t="s">
        <v>345</v>
      </c>
      <c r="P2452" t="s">
        <v>121</v>
      </c>
      <c r="R2452" t="s">
        <v>122</v>
      </c>
      <c r="S2452" t="s">
        <v>123</v>
      </c>
      <c r="T2452">
        <v>290.10000000000002</v>
      </c>
      <c r="U2452">
        <v>283.5</v>
      </c>
      <c r="V2452">
        <f t="shared" si="76"/>
        <v>286.8</v>
      </c>
      <c r="W2452">
        <f t="shared" si="77"/>
        <v>6.6000000000000227</v>
      </c>
      <c r="X2452">
        <v>18.010279000000001</v>
      </c>
      <c r="Y2452">
        <v>-25.836110999999999</v>
      </c>
      <c r="Z2452" t="s">
        <v>520</v>
      </c>
      <c r="AB2452" t="s">
        <v>2433</v>
      </c>
      <c r="AD2452" t="s">
        <v>2286</v>
      </c>
      <c r="AE2452" t="s">
        <v>2287</v>
      </c>
      <c r="AH2452" t="s">
        <v>11</v>
      </c>
      <c r="AI2452" t="s">
        <v>2434</v>
      </c>
      <c r="AJ2452">
        <v>1914</v>
      </c>
      <c r="AK2452" t="s">
        <v>2438</v>
      </c>
      <c r="AM2452" t="s">
        <v>2439</v>
      </c>
      <c r="AN2452" t="s">
        <v>114</v>
      </c>
      <c r="AO2452" t="s">
        <v>77</v>
      </c>
      <c r="AP2452" t="s">
        <v>636</v>
      </c>
      <c r="AQ2452" t="s">
        <v>2440</v>
      </c>
      <c r="AR2452" t="s">
        <v>80</v>
      </c>
      <c r="AS2452">
        <v>701</v>
      </c>
      <c r="AT2452" t="s">
        <v>81</v>
      </c>
      <c r="AU2452">
        <v>-38.11</v>
      </c>
      <c r="AV2452">
        <v>-57.18</v>
      </c>
      <c r="AW2452" t="s">
        <v>82</v>
      </c>
      <c r="AX2452">
        <v>701</v>
      </c>
      <c r="AY2452" t="s">
        <v>81</v>
      </c>
      <c r="AZ2452">
        <v>-35.76</v>
      </c>
      <c r="BA2452">
        <v>-56.41</v>
      </c>
      <c r="BB2452" t="s">
        <v>83</v>
      </c>
    </row>
    <row r="2453" spans="1:54" x14ac:dyDescent="0.4">
      <c r="A2453">
        <v>824207</v>
      </c>
      <c r="D2453" t="s">
        <v>2134</v>
      </c>
      <c r="E2453" t="s">
        <v>154</v>
      </c>
      <c r="G2453">
        <v>1</v>
      </c>
      <c r="H2453" t="s">
        <v>56</v>
      </c>
      <c r="I2453" t="s">
        <v>57</v>
      </c>
      <c r="K2453" t="s">
        <v>483</v>
      </c>
      <c r="L2453" t="s">
        <v>2299</v>
      </c>
      <c r="M2453" t="s">
        <v>223</v>
      </c>
      <c r="N2453" t="s">
        <v>485</v>
      </c>
      <c r="O2453" t="s">
        <v>345</v>
      </c>
      <c r="P2453" t="s">
        <v>121</v>
      </c>
      <c r="R2453" t="s">
        <v>122</v>
      </c>
      <c r="S2453" t="s">
        <v>123</v>
      </c>
      <c r="T2453">
        <v>290.10000000000002</v>
      </c>
      <c r="U2453">
        <v>283.5</v>
      </c>
      <c r="V2453">
        <f t="shared" si="76"/>
        <v>286.8</v>
      </c>
      <c r="W2453">
        <f t="shared" si="77"/>
        <v>6.6000000000000227</v>
      </c>
      <c r="X2453">
        <v>-56.450001</v>
      </c>
      <c r="Y2453">
        <v>-25.783332999999999</v>
      </c>
      <c r="Z2453" t="s">
        <v>520</v>
      </c>
      <c r="AA2453" t="s">
        <v>2441</v>
      </c>
      <c r="AB2453" t="s">
        <v>2442</v>
      </c>
      <c r="AD2453" t="s">
        <v>2443</v>
      </c>
      <c r="AE2453" t="s">
        <v>1216</v>
      </c>
      <c r="AH2453" t="s">
        <v>72</v>
      </c>
      <c r="AI2453" t="s">
        <v>2444</v>
      </c>
      <c r="AJ2453">
        <v>1923</v>
      </c>
      <c r="AK2453" t="s">
        <v>2445</v>
      </c>
      <c r="AM2453" t="s">
        <v>2446</v>
      </c>
      <c r="AN2453" t="s">
        <v>114</v>
      </c>
      <c r="AO2453" t="s">
        <v>160</v>
      </c>
      <c r="AP2453" t="s">
        <v>359</v>
      </c>
      <c r="AQ2453" t="s">
        <v>2447</v>
      </c>
      <c r="AR2453" t="s">
        <v>80</v>
      </c>
      <c r="AS2453">
        <v>201</v>
      </c>
      <c r="AT2453" t="s">
        <v>81</v>
      </c>
      <c r="AU2453">
        <v>-38.409999999999997</v>
      </c>
      <c r="AV2453">
        <v>-44.86</v>
      </c>
      <c r="AW2453" t="s">
        <v>82</v>
      </c>
      <c r="AX2453">
        <v>201</v>
      </c>
      <c r="AY2453" t="s">
        <v>81</v>
      </c>
      <c r="AZ2453">
        <v>-36.72</v>
      </c>
      <c r="BA2453">
        <v>-44.1</v>
      </c>
      <c r="BB2453" t="s">
        <v>83</v>
      </c>
    </row>
    <row r="2454" spans="1:54" x14ac:dyDescent="0.4">
      <c r="A2454">
        <v>824822</v>
      </c>
      <c r="D2454" t="s">
        <v>54</v>
      </c>
      <c r="I2454" t="s">
        <v>57</v>
      </c>
      <c r="K2454" t="s">
        <v>483</v>
      </c>
      <c r="L2454" t="s">
        <v>484</v>
      </c>
      <c r="M2454" t="s">
        <v>223</v>
      </c>
      <c r="N2454" t="s">
        <v>485</v>
      </c>
      <c r="O2454" t="s">
        <v>345</v>
      </c>
      <c r="P2454" t="s">
        <v>121</v>
      </c>
      <c r="R2454" t="s">
        <v>122</v>
      </c>
      <c r="S2454" t="s">
        <v>123</v>
      </c>
      <c r="T2454">
        <v>290.10000000000002</v>
      </c>
      <c r="U2454">
        <v>283.5</v>
      </c>
      <c r="V2454">
        <f t="shared" si="76"/>
        <v>286.8</v>
      </c>
      <c r="W2454">
        <f t="shared" si="77"/>
        <v>6.6000000000000227</v>
      </c>
      <c r="X2454">
        <v>-54.016666000000001</v>
      </c>
      <c r="Y2454">
        <v>-31.933332</v>
      </c>
      <c r="Z2454" t="s">
        <v>520</v>
      </c>
      <c r="AA2454" t="s">
        <v>2457</v>
      </c>
      <c r="AB2454" t="s">
        <v>2458</v>
      </c>
      <c r="AD2454" t="s">
        <v>2459</v>
      </c>
      <c r="AF2454" t="s">
        <v>2460</v>
      </c>
      <c r="AH2454" t="s">
        <v>11</v>
      </c>
      <c r="AI2454" t="s">
        <v>2461</v>
      </c>
      <c r="AJ2454">
        <v>1972</v>
      </c>
      <c r="AK2454" t="s">
        <v>2462</v>
      </c>
      <c r="AN2454" t="s">
        <v>192</v>
      </c>
      <c r="AO2454" t="s">
        <v>160</v>
      </c>
      <c r="AP2454" t="s">
        <v>115</v>
      </c>
      <c r="AQ2454" t="s">
        <v>2463</v>
      </c>
      <c r="AR2454" t="s">
        <v>80</v>
      </c>
      <c r="AS2454">
        <v>202</v>
      </c>
      <c r="AT2454" t="s">
        <v>81</v>
      </c>
      <c r="AU2454">
        <v>-39.5</v>
      </c>
      <c r="AV2454">
        <v>-51.15</v>
      </c>
      <c r="AW2454" t="s">
        <v>82</v>
      </c>
      <c r="AX2454">
        <v>202</v>
      </c>
      <c r="AY2454" t="s">
        <v>81</v>
      </c>
      <c r="AZ2454">
        <v>-37.5</v>
      </c>
      <c r="BA2454">
        <v>-50.42</v>
      </c>
      <c r="BB2454" t="s">
        <v>83</v>
      </c>
    </row>
    <row r="2455" spans="1:54" x14ac:dyDescent="0.4">
      <c r="A2455">
        <v>824823</v>
      </c>
      <c r="D2455" t="s">
        <v>54</v>
      </c>
      <c r="I2455" t="s">
        <v>57</v>
      </c>
      <c r="K2455" t="s">
        <v>483</v>
      </c>
      <c r="L2455" t="s">
        <v>484</v>
      </c>
      <c r="M2455" t="s">
        <v>223</v>
      </c>
      <c r="N2455" t="s">
        <v>485</v>
      </c>
      <c r="O2455" t="s">
        <v>345</v>
      </c>
      <c r="P2455" t="s">
        <v>121</v>
      </c>
      <c r="R2455" t="s">
        <v>122</v>
      </c>
      <c r="S2455" t="s">
        <v>123</v>
      </c>
      <c r="T2455">
        <v>290.10000000000002</v>
      </c>
      <c r="U2455">
        <v>283.5</v>
      </c>
      <c r="V2455">
        <f t="shared" si="76"/>
        <v>286.8</v>
      </c>
      <c r="W2455">
        <f t="shared" si="77"/>
        <v>6.6000000000000227</v>
      </c>
      <c r="X2455">
        <v>-54.016666000000001</v>
      </c>
      <c r="Y2455">
        <v>-31.933332</v>
      </c>
      <c r="Z2455" t="s">
        <v>520</v>
      </c>
      <c r="AA2455" t="s">
        <v>2457</v>
      </c>
      <c r="AB2455" t="s">
        <v>2458</v>
      </c>
      <c r="AD2455" t="s">
        <v>2459</v>
      </c>
      <c r="AF2455" t="s">
        <v>2460</v>
      </c>
      <c r="AH2455" t="s">
        <v>72</v>
      </c>
      <c r="AI2455" t="s">
        <v>2461</v>
      </c>
      <c r="AJ2455">
        <v>1972</v>
      </c>
      <c r="AK2455" t="s">
        <v>2462</v>
      </c>
      <c r="AN2455" t="s">
        <v>192</v>
      </c>
      <c r="AO2455" t="s">
        <v>160</v>
      </c>
      <c r="AP2455" t="s">
        <v>115</v>
      </c>
      <c r="AQ2455" t="s">
        <v>2463</v>
      </c>
      <c r="AR2455" t="s">
        <v>80</v>
      </c>
      <c r="AS2455">
        <v>202</v>
      </c>
      <c r="AT2455" t="s">
        <v>81</v>
      </c>
      <c r="AU2455">
        <v>-39.5</v>
      </c>
      <c r="AV2455">
        <v>-51.15</v>
      </c>
      <c r="AW2455" t="s">
        <v>82</v>
      </c>
      <c r="AX2455">
        <v>202</v>
      </c>
      <c r="AY2455" t="s">
        <v>81</v>
      </c>
      <c r="AZ2455">
        <v>-37.5</v>
      </c>
      <c r="BA2455">
        <v>-50.42</v>
      </c>
      <c r="BB2455" t="s">
        <v>83</v>
      </c>
    </row>
    <row r="2456" spans="1:54" x14ac:dyDescent="0.4">
      <c r="A2456">
        <v>824825</v>
      </c>
      <c r="D2456" t="s">
        <v>54</v>
      </c>
      <c r="I2456" t="s">
        <v>57</v>
      </c>
      <c r="K2456" t="s">
        <v>483</v>
      </c>
      <c r="L2456" t="s">
        <v>484</v>
      </c>
      <c r="M2456" t="s">
        <v>223</v>
      </c>
      <c r="N2456" t="s">
        <v>485</v>
      </c>
      <c r="O2456" t="s">
        <v>345</v>
      </c>
      <c r="P2456" t="s">
        <v>121</v>
      </c>
      <c r="R2456" t="s">
        <v>122</v>
      </c>
      <c r="S2456" t="s">
        <v>123</v>
      </c>
      <c r="T2456">
        <v>290.10000000000002</v>
      </c>
      <c r="U2456">
        <v>283.5</v>
      </c>
      <c r="V2456">
        <f t="shared" si="76"/>
        <v>286.8</v>
      </c>
      <c r="W2456">
        <f t="shared" si="77"/>
        <v>6.6000000000000227</v>
      </c>
      <c r="X2456">
        <v>-54.016666000000001</v>
      </c>
      <c r="Y2456">
        <v>-31.933332</v>
      </c>
      <c r="Z2456" t="s">
        <v>520</v>
      </c>
      <c r="AA2456" t="s">
        <v>2457</v>
      </c>
      <c r="AB2456" t="s">
        <v>2458</v>
      </c>
      <c r="AD2456" t="s">
        <v>2459</v>
      </c>
      <c r="AF2456" t="s">
        <v>2460</v>
      </c>
      <c r="AH2456" t="s">
        <v>11</v>
      </c>
      <c r="AI2456" t="s">
        <v>2461</v>
      </c>
      <c r="AJ2456">
        <v>1972</v>
      </c>
      <c r="AK2456" t="s">
        <v>2464</v>
      </c>
      <c r="AN2456" t="s">
        <v>192</v>
      </c>
      <c r="AO2456" t="s">
        <v>160</v>
      </c>
      <c r="AP2456" t="s">
        <v>115</v>
      </c>
      <c r="AQ2456" t="s">
        <v>2463</v>
      </c>
      <c r="AR2456" t="s">
        <v>80</v>
      </c>
      <c r="AS2456">
        <v>202</v>
      </c>
      <c r="AT2456" t="s">
        <v>81</v>
      </c>
      <c r="AU2456">
        <v>-39.5</v>
      </c>
      <c r="AV2456">
        <v>-51.15</v>
      </c>
      <c r="AW2456" t="s">
        <v>82</v>
      </c>
      <c r="AX2456">
        <v>202</v>
      </c>
      <c r="AY2456" t="s">
        <v>81</v>
      </c>
      <c r="AZ2456">
        <v>-37.5</v>
      </c>
      <c r="BA2456">
        <v>-50.42</v>
      </c>
      <c r="BB2456" t="s">
        <v>83</v>
      </c>
    </row>
    <row r="2457" spans="1:54" x14ac:dyDescent="0.4">
      <c r="A2457">
        <v>824826</v>
      </c>
      <c r="D2457" t="s">
        <v>54</v>
      </c>
      <c r="I2457" t="s">
        <v>57</v>
      </c>
      <c r="K2457" t="s">
        <v>483</v>
      </c>
      <c r="L2457" t="s">
        <v>484</v>
      </c>
      <c r="M2457" t="s">
        <v>223</v>
      </c>
      <c r="N2457" t="s">
        <v>485</v>
      </c>
      <c r="O2457" t="s">
        <v>345</v>
      </c>
      <c r="P2457" t="s">
        <v>121</v>
      </c>
      <c r="R2457" t="s">
        <v>122</v>
      </c>
      <c r="S2457" t="s">
        <v>123</v>
      </c>
      <c r="T2457">
        <v>290.10000000000002</v>
      </c>
      <c r="U2457">
        <v>283.5</v>
      </c>
      <c r="V2457">
        <f t="shared" si="76"/>
        <v>286.8</v>
      </c>
      <c r="W2457">
        <f t="shared" si="77"/>
        <v>6.6000000000000227</v>
      </c>
      <c r="X2457">
        <v>-54.016666000000001</v>
      </c>
      <c r="Y2457">
        <v>-31.933332</v>
      </c>
      <c r="Z2457" t="s">
        <v>520</v>
      </c>
      <c r="AA2457" t="s">
        <v>2457</v>
      </c>
      <c r="AB2457" t="s">
        <v>2458</v>
      </c>
      <c r="AD2457" t="s">
        <v>2459</v>
      </c>
      <c r="AF2457" t="s">
        <v>2460</v>
      </c>
      <c r="AH2457" t="s">
        <v>72</v>
      </c>
      <c r="AI2457" t="s">
        <v>2461</v>
      </c>
      <c r="AJ2457">
        <v>1972</v>
      </c>
      <c r="AK2457" t="s">
        <v>2464</v>
      </c>
      <c r="AN2457" t="s">
        <v>192</v>
      </c>
      <c r="AO2457" t="s">
        <v>160</v>
      </c>
      <c r="AP2457" t="s">
        <v>115</v>
      </c>
      <c r="AQ2457" t="s">
        <v>2463</v>
      </c>
      <c r="AR2457" t="s">
        <v>80</v>
      </c>
      <c r="AS2457">
        <v>202</v>
      </c>
      <c r="AT2457" t="s">
        <v>81</v>
      </c>
      <c r="AU2457">
        <v>-39.5</v>
      </c>
      <c r="AV2457">
        <v>-51.15</v>
      </c>
      <c r="AW2457" t="s">
        <v>82</v>
      </c>
      <c r="AX2457">
        <v>202</v>
      </c>
      <c r="AY2457" t="s">
        <v>81</v>
      </c>
      <c r="AZ2457">
        <v>-37.5</v>
      </c>
      <c r="BA2457">
        <v>-50.42</v>
      </c>
      <c r="BB2457" t="s">
        <v>83</v>
      </c>
    </row>
    <row r="2458" spans="1:54" x14ac:dyDescent="0.4">
      <c r="A2458">
        <v>846640</v>
      </c>
      <c r="D2458" t="s">
        <v>2134</v>
      </c>
      <c r="E2458" t="s">
        <v>55</v>
      </c>
      <c r="G2458">
        <v>1</v>
      </c>
      <c r="H2458" t="s">
        <v>56</v>
      </c>
      <c r="I2458" t="s">
        <v>57</v>
      </c>
      <c r="K2458" t="s">
        <v>483</v>
      </c>
      <c r="L2458" t="s">
        <v>484</v>
      </c>
      <c r="M2458" t="s">
        <v>223</v>
      </c>
      <c r="N2458" t="s">
        <v>485</v>
      </c>
      <c r="O2458" t="s">
        <v>345</v>
      </c>
      <c r="P2458" t="s">
        <v>121</v>
      </c>
      <c r="R2458" t="s">
        <v>122</v>
      </c>
      <c r="S2458" t="s">
        <v>123</v>
      </c>
      <c r="T2458">
        <v>290.10000000000002</v>
      </c>
      <c r="U2458">
        <v>283.5</v>
      </c>
      <c r="V2458">
        <f t="shared" si="76"/>
        <v>286.8</v>
      </c>
      <c r="W2458">
        <f t="shared" si="77"/>
        <v>6.6000000000000227</v>
      </c>
      <c r="X2458">
        <v>24.766666000000001</v>
      </c>
      <c r="Y2458">
        <v>-28.737499</v>
      </c>
      <c r="Z2458" t="s">
        <v>1890</v>
      </c>
      <c r="AA2458" t="s">
        <v>106</v>
      </c>
      <c r="AB2458" t="s">
        <v>575</v>
      </c>
      <c r="AC2458" t="s">
        <v>3082</v>
      </c>
      <c r="AD2458" t="s">
        <v>2375</v>
      </c>
      <c r="AE2458" t="s">
        <v>2287</v>
      </c>
      <c r="AH2458" t="s">
        <v>11</v>
      </c>
      <c r="AI2458" t="s">
        <v>2370</v>
      </c>
      <c r="AJ2458">
        <v>1892</v>
      </c>
      <c r="AK2458" t="s">
        <v>3083</v>
      </c>
      <c r="AM2458" t="s">
        <v>3084</v>
      </c>
      <c r="AN2458" t="s">
        <v>114</v>
      </c>
      <c r="AO2458" t="s">
        <v>77</v>
      </c>
      <c r="AP2458" t="s">
        <v>78</v>
      </c>
      <c r="AQ2458" t="s">
        <v>3085</v>
      </c>
      <c r="AR2458" t="s">
        <v>80</v>
      </c>
      <c r="AS2458">
        <v>701</v>
      </c>
      <c r="AT2458" t="s">
        <v>81</v>
      </c>
      <c r="AU2458">
        <v>-41.44</v>
      </c>
      <c r="AV2458">
        <v>-63.64</v>
      </c>
      <c r="AW2458" t="s">
        <v>82</v>
      </c>
      <c r="AX2458">
        <v>701</v>
      </c>
      <c r="AY2458" t="s">
        <v>81</v>
      </c>
      <c r="AZ2458">
        <v>-38.44</v>
      </c>
      <c r="BA2458">
        <v>-62.94</v>
      </c>
      <c r="BB2458" t="s">
        <v>83</v>
      </c>
    </row>
    <row r="2459" spans="1:54" x14ac:dyDescent="0.4">
      <c r="A2459">
        <v>853693</v>
      </c>
      <c r="D2459" t="s">
        <v>54</v>
      </c>
      <c r="E2459" t="s">
        <v>154</v>
      </c>
      <c r="F2459" t="s">
        <v>1386</v>
      </c>
      <c r="G2459">
        <v>6</v>
      </c>
      <c r="H2459" t="s">
        <v>84</v>
      </c>
      <c r="I2459" t="s">
        <v>57</v>
      </c>
      <c r="K2459" t="s">
        <v>275</v>
      </c>
      <c r="L2459" t="s">
        <v>276</v>
      </c>
      <c r="M2459" t="s">
        <v>60</v>
      </c>
      <c r="N2459" t="s">
        <v>119</v>
      </c>
      <c r="O2459" t="s">
        <v>134</v>
      </c>
      <c r="P2459" t="s">
        <v>121</v>
      </c>
      <c r="R2459" t="s">
        <v>122</v>
      </c>
      <c r="S2459" t="s">
        <v>123</v>
      </c>
      <c r="T2459">
        <v>290.10000000000002</v>
      </c>
      <c r="U2459">
        <v>283.5</v>
      </c>
      <c r="V2459">
        <f t="shared" si="76"/>
        <v>286.8</v>
      </c>
      <c r="W2459">
        <f t="shared" si="77"/>
        <v>6.6000000000000227</v>
      </c>
      <c r="X2459">
        <v>-98.405997999999997</v>
      </c>
      <c r="Y2459">
        <v>34.775500999999998</v>
      </c>
      <c r="Z2459" t="s">
        <v>90</v>
      </c>
      <c r="AA2459" t="s">
        <v>66</v>
      </c>
      <c r="AB2459" t="s">
        <v>407</v>
      </c>
      <c r="AC2459" t="s">
        <v>1388</v>
      </c>
      <c r="AH2459" t="s">
        <v>11</v>
      </c>
      <c r="AI2459" t="s">
        <v>1846</v>
      </c>
      <c r="AJ2459">
        <v>2002</v>
      </c>
      <c r="AK2459" t="s">
        <v>1390</v>
      </c>
      <c r="AM2459" t="s">
        <v>1391</v>
      </c>
      <c r="AN2459" t="s">
        <v>192</v>
      </c>
      <c r="AO2459">
        <v>4</v>
      </c>
      <c r="AP2459" t="s">
        <v>78</v>
      </c>
      <c r="AQ2459" t="s">
        <v>1392</v>
      </c>
      <c r="AR2459" t="s">
        <v>80</v>
      </c>
      <c r="AS2459">
        <v>101</v>
      </c>
      <c r="AT2459" t="s">
        <v>81</v>
      </c>
      <c r="AU2459">
        <v>-29.29</v>
      </c>
      <c r="AV2459">
        <v>-0.39</v>
      </c>
      <c r="AW2459" t="s">
        <v>82</v>
      </c>
      <c r="AX2459">
        <v>101</v>
      </c>
      <c r="AY2459" t="s">
        <v>81</v>
      </c>
      <c r="AZ2459">
        <v>-28.82</v>
      </c>
      <c r="BA2459">
        <v>0.54</v>
      </c>
      <c r="BB2459" t="s">
        <v>83</v>
      </c>
    </row>
    <row r="2460" spans="1:54" x14ac:dyDescent="0.4">
      <c r="A2460">
        <v>990494</v>
      </c>
      <c r="D2460" t="s">
        <v>54</v>
      </c>
      <c r="E2460" t="s">
        <v>154</v>
      </c>
      <c r="F2460" t="s">
        <v>1386</v>
      </c>
      <c r="G2460">
        <v>1</v>
      </c>
      <c r="H2460" t="s">
        <v>56</v>
      </c>
      <c r="I2460" t="s">
        <v>57</v>
      </c>
      <c r="K2460" t="s">
        <v>141</v>
      </c>
      <c r="L2460" t="s">
        <v>3989</v>
      </c>
      <c r="M2460" t="s">
        <v>60</v>
      </c>
      <c r="P2460" t="s">
        <v>121</v>
      </c>
      <c r="R2460" t="s">
        <v>122</v>
      </c>
      <c r="S2460" t="s">
        <v>123</v>
      </c>
      <c r="T2460">
        <v>290.10000000000002</v>
      </c>
      <c r="U2460">
        <v>283.5</v>
      </c>
      <c r="V2460">
        <f t="shared" si="76"/>
        <v>286.8</v>
      </c>
      <c r="W2460">
        <f t="shared" si="77"/>
        <v>6.6000000000000227</v>
      </c>
      <c r="X2460">
        <v>-98.405997999999997</v>
      </c>
      <c r="Y2460">
        <v>34.775500999999998</v>
      </c>
      <c r="Z2460" t="s">
        <v>90</v>
      </c>
      <c r="AA2460" t="s">
        <v>66</v>
      </c>
      <c r="AB2460" t="s">
        <v>407</v>
      </c>
      <c r="AC2460" t="s">
        <v>1388</v>
      </c>
      <c r="AH2460" t="s">
        <v>72</v>
      </c>
      <c r="AI2460" t="s">
        <v>3633</v>
      </c>
      <c r="AJ2460">
        <v>2010</v>
      </c>
      <c r="AK2460" t="s">
        <v>1390</v>
      </c>
      <c r="AM2460" t="s">
        <v>1391</v>
      </c>
      <c r="AN2460" t="s">
        <v>192</v>
      </c>
      <c r="AO2460">
        <v>4</v>
      </c>
      <c r="AP2460" t="s">
        <v>78</v>
      </c>
      <c r="AQ2460" t="s">
        <v>1392</v>
      </c>
      <c r="AR2460" t="s">
        <v>80</v>
      </c>
      <c r="AS2460">
        <v>101</v>
      </c>
      <c r="AT2460" t="s">
        <v>81</v>
      </c>
      <c r="AU2460">
        <v>-29.29</v>
      </c>
      <c r="AV2460">
        <v>-0.39</v>
      </c>
      <c r="AW2460" t="s">
        <v>82</v>
      </c>
      <c r="AX2460">
        <v>101</v>
      </c>
      <c r="AY2460" t="s">
        <v>81</v>
      </c>
      <c r="AZ2460">
        <v>-28.82</v>
      </c>
      <c r="BA2460">
        <v>0.54</v>
      </c>
      <c r="BB2460" t="s">
        <v>83</v>
      </c>
    </row>
    <row r="2461" spans="1:54" x14ac:dyDescent="0.4">
      <c r="A2461">
        <v>1071216</v>
      </c>
      <c r="D2461" t="s">
        <v>54</v>
      </c>
      <c r="E2461" t="s">
        <v>154</v>
      </c>
      <c r="F2461" t="s">
        <v>1386</v>
      </c>
      <c r="G2461">
        <v>1</v>
      </c>
      <c r="H2461" t="s">
        <v>56</v>
      </c>
      <c r="I2461" t="s">
        <v>57</v>
      </c>
      <c r="K2461" t="s">
        <v>1393</v>
      </c>
      <c r="L2461" t="s">
        <v>4029</v>
      </c>
      <c r="M2461" t="s">
        <v>60</v>
      </c>
      <c r="N2461" t="s">
        <v>119</v>
      </c>
      <c r="O2461" t="s">
        <v>120</v>
      </c>
      <c r="P2461" t="s">
        <v>121</v>
      </c>
      <c r="R2461" t="s">
        <v>122</v>
      </c>
      <c r="S2461" t="s">
        <v>123</v>
      </c>
      <c r="T2461">
        <v>290.10000000000002</v>
      </c>
      <c r="U2461">
        <v>283.5</v>
      </c>
      <c r="V2461">
        <f t="shared" si="76"/>
        <v>286.8</v>
      </c>
      <c r="W2461">
        <f t="shared" si="77"/>
        <v>6.6000000000000227</v>
      </c>
      <c r="X2461">
        <v>-98.405997999999997</v>
      </c>
      <c r="Y2461">
        <v>34.775500999999998</v>
      </c>
      <c r="Z2461" t="s">
        <v>90</v>
      </c>
      <c r="AA2461" t="s">
        <v>66</v>
      </c>
      <c r="AB2461" t="s">
        <v>407</v>
      </c>
      <c r="AC2461" t="s">
        <v>1388</v>
      </c>
      <c r="AH2461" t="s">
        <v>72</v>
      </c>
      <c r="AI2461" t="s">
        <v>4030</v>
      </c>
      <c r="AJ2461">
        <v>2012</v>
      </c>
      <c r="AK2461" t="s">
        <v>1390</v>
      </c>
      <c r="AM2461" t="s">
        <v>1391</v>
      </c>
      <c r="AN2461" t="s">
        <v>192</v>
      </c>
      <c r="AO2461">
        <v>4</v>
      </c>
      <c r="AP2461" t="s">
        <v>78</v>
      </c>
      <c r="AQ2461" t="s">
        <v>1392</v>
      </c>
      <c r="AR2461" t="s">
        <v>80</v>
      </c>
      <c r="AS2461">
        <v>101</v>
      </c>
      <c r="AT2461" t="s">
        <v>81</v>
      </c>
      <c r="AU2461">
        <v>-29.29</v>
      </c>
      <c r="AV2461">
        <v>-0.39</v>
      </c>
      <c r="AW2461" t="s">
        <v>82</v>
      </c>
      <c r="AX2461">
        <v>101</v>
      </c>
      <c r="AY2461" t="s">
        <v>81</v>
      </c>
      <c r="AZ2461">
        <v>-28.82</v>
      </c>
      <c r="BA2461">
        <v>0.54</v>
      </c>
      <c r="BB2461" t="s">
        <v>83</v>
      </c>
    </row>
    <row r="2462" spans="1:54" x14ac:dyDescent="0.4">
      <c r="A2462">
        <v>1098337</v>
      </c>
      <c r="D2462" t="s">
        <v>54</v>
      </c>
      <c r="E2462" t="s">
        <v>154</v>
      </c>
      <c r="F2462" t="s">
        <v>1386</v>
      </c>
      <c r="G2462">
        <v>1</v>
      </c>
      <c r="H2462" t="s">
        <v>56</v>
      </c>
      <c r="I2462" t="s">
        <v>57</v>
      </c>
      <c r="K2462" t="s">
        <v>141</v>
      </c>
      <c r="L2462" t="s">
        <v>4238</v>
      </c>
      <c r="M2462" t="s">
        <v>60</v>
      </c>
      <c r="P2462" t="s">
        <v>121</v>
      </c>
      <c r="R2462" t="s">
        <v>122</v>
      </c>
      <c r="S2462" t="s">
        <v>123</v>
      </c>
      <c r="T2462">
        <v>290.10000000000002</v>
      </c>
      <c r="U2462">
        <v>283.5</v>
      </c>
      <c r="V2462">
        <f t="shared" si="76"/>
        <v>286.8</v>
      </c>
      <c r="W2462">
        <f t="shared" si="77"/>
        <v>6.6000000000000227</v>
      </c>
      <c r="X2462">
        <v>-98.405997999999997</v>
      </c>
      <c r="Y2462">
        <v>34.775500999999998</v>
      </c>
      <c r="Z2462" t="s">
        <v>90</v>
      </c>
      <c r="AA2462" t="s">
        <v>66</v>
      </c>
      <c r="AB2462" t="s">
        <v>407</v>
      </c>
      <c r="AC2462" t="s">
        <v>1388</v>
      </c>
      <c r="AH2462" t="s">
        <v>72</v>
      </c>
      <c r="AI2462" t="s">
        <v>1389</v>
      </c>
      <c r="AJ2462">
        <v>2011</v>
      </c>
      <c r="AK2462" t="s">
        <v>1390</v>
      </c>
      <c r="AM2462" t="s">
        <v>1391</v>
      </c>
      <c r="AN2462" t="s">
        <v>192</v>
      </c>
      <c r="AO2462">
        <v>4</v>
      </c>
      <c r="AP2462" t="s">
        <v>78</v>
      </c>
      <c r="AQ2462" t="s">
        <v>1392</v>
      </c>
      <c r="AR2462" t="s">
        <v>80</v>
      </c>
      <c r="AS2462">
        <v>101</v>
      </c>
      <c r="AT2462" t="s">
        <v>81</v>
      </c>
      <c r="AU2462">
        <v>-29.29</v>
      </c>
      <c r="AV2462">
        <v>-0.39</v>
      </c>
      <c r="AW2462" t="s">
        <v>82</v>
      </c>
      <c r="AX2462">
        <v>101</v>
      </c>
      <c r="AY2462" t="s">
        <v>81</v>
      </c>
      <c r="AZ2462">
        <v>-28.82</v>
      </c>
      <c r="BA2462">
        <v>0.54</v>
      </c>
      <c r="BB2462" t="s">
        <v>83</v>
      </c>
    </row>
    <row r="2463" spans="1:54" x14ac:dyDescent="0.4">
      <c r="A2463">
        <v>1098337</v>
      </c>
      <c r="D2463" t="s">
        <v>54</v>
      </c>
      <c r="E2463" t="s">
        <v>154</v>
      </c>
      <c r="F2463" t="s">
        <v>1386</v>
      </c>
      <c r="G2463">
        <v>1</v>
      </c>
      <c r="H2463" t="s">
        <v>56</v>
      </c>
      <c r="I2463" t="s">
        <v>57</v>
      </c>
      <c r="K2463" t="s">
        <v>141</v>
      </c>
      <c r="L2463" t="s">
        <v>4238</v>
      </c>
      <c r="M2463" t="s">
        <v>60</v>
      </c>
      <c r="P2463" t="s">
        <v>121</v>
      </c>
      <c r="R2463" t="s">
        <v>122</v>
      </c>
      <c r="S2463" t="s">
        <v>123</v>
      </c>
      <c r="T2463">
        <v>290.10000000000002</v>
      </c>
      <c r="U2463">
        <v>283.5</v>
      </c>
      <c r="V2463">
        <f t="shared" si="76"/>
        <v>286.8</v>
      </c>
      <c r="W2463">
        <f t="shared" si="77"/>
        <v>6.6000000000000227</v>
      </c>
      <c r="X2463">
        <v>-98.405997999999997</v>
      </c>
      <c r="Y2463">
        <v>34.775500999999998</v>
      </c>
      <c r="Z2463" t="s">
        <v>90</v>
      </c>
      <c r="AA2463" t="s">
        <v>66</v>
      </c>
      <c r="AB2463" t="s">
        <v>407</v>
      </c>
      <c r="AC2463" t="s">
        <v>1388</v>
      </c>
      <c r="AH2463" t="s">
        <v>72</v>
      </c>
      <c r="AI2463" t="s">
        <v>1389</v>
      </c>
      <c r="AJ2463">
        <v>2011</v>
      </c>
      <c r="AK2463" t="s">
        <v>1390</v>
      </c>
      <c r="AM2463" t="s">
        <v>1391</v>
      </c>
      <c r="AN2463" t="s">
        <v>192</v>
      </c>
      <c r="AO2463">
        <v>4</v>
      </c>
      <c r="AP2463" t="s">
        <v>78</v>
      </c>
      <c r="AQ2463" t="s">
        <v>1392</v>
      </c>
      <c r="AR2463" t="s">
        <v>80</v>
      </c>
      <c r="AS2463">
        <v>101</v>
      </c>
      <c r="AT2463" t="s">
        <v>81</v>
      </c>
      <c r="AU2463">
        <v>-29.29</v>
      </c>
      <c r="AV2463">
        <v>-0.39</v>
      </c>
      <c r="AW2463" t="s">
        <v>82</v>
      </c>
      <c r="AX2463">
        <v>101</v>
      </c>
      <c r="AY2463" t="s">
        <v>81</v>
      </c>
      <c r="AZ2463">
        <v>-28.82</v>
      </c>
      <c r="BA2463">
        <v>0.54</v>
      </c>
      <c r="BB2463" t="s">
        <v>83</v>
      </c>
    </row>
    <row r="2464" spans="1:54" x14ac:dyDescent="0.4">
      <c r="A2464">
        <v>1285988</v>
      </c>
      <c r="D2464" t="s">
        <v>54</v>
      </c>
      <c r="E2464" t="s">
        <v>154</v>
      </c>
      <c r="F2464" t="s">
        <v>1386</v>
      </c>
      <c r="G2464">
        <v>4</v>
      </c>
      <c r="H2464" t="s">
        <v>84</v>
      </c>
      <c r="I2464" t="s">
        <v>57</v>
      </c>
      <c r="K2464" t="s">
        <v>1393</v>
      </c>
      <c r="L2464" t="s">
        <v>1398</v>
      </c>
      <c r="M2464" t="s">
        <v>60</v>
      </c>
      <c r="N2464" t="s">
        <v>119</v>
      </c>
      <c r="O2464" t="s">
        <v>120</v>
      </c>
      <c r="P2464" t="s">
        <v>121</v>
      </c>
      <c r="R2464" t="s">
        <v>122</v>
      </c>
      <c r="S2464" t="s">
        <v>123</v>
      </c>
      <c r="T2464">
        <v>290.10000000000002</v>
      </c>
      <c r="U2464">
        <v>283.5</v>
      </c>
      <c r="V2464">
        <f t="shared" si="76"/>
        <v>286.8</v>
      </c>
      <c r="W2464">
        <f t="shared" si="77"/>
        <v>6.6000000000000227</v>
      </c>
      <c r="X2464">
        <v>-98.405997999999997</v>
      </c>
      <c r="Y2464">
        <v>34.775500999999998</v>
      </c>
      <c r="Z2464" t="s">
        <v>90</v>
      </c>
      <c r="AA2464" t="s">
        <v>66</v>
      </c>
      <c r="AB2464" t="s">
        <v>407</v>
      </c>
      <c r="AC2464" t="s">
        <v>1388</v>
      </c>
      <c r="AH2464" t="s">
        <v>72</v>
      </c>
      <c r="AI2464" t="s">
        <v>1389</v>
      </c>
      <c r="AJ2464">
        <v>2014</v>
      </c>
      <c r="AK2464" t="s">
        <v>1390</v>
      </c>
      <c r="AM2464" t="s">
        <v>1391</v>
      </c>
      <c r="AN2464" t="s">
        <v>192</v>
      </c>
      <c r="AO2464">
        <v>4</v>
      </c>
      <c r="AP2464" t="s">
        <v>78</v>
      </c>
      <c r="AQ2464" t="s">
        <v>1392</v>
      </c>
      <c r="AR2464" t="s">
        <v>80</v>
      </c>
      <c r="AS2464">
        <v>101</v>
      </c>
      <c r="AT2464" t="s">
        <v>81</v>
      </c>
      <c r="AU2464">
        <v>-29.29</v>
      </c>
      <c r="AV2464">
        <v>-0.39</v>
      </c>
      <c r="AW2464" t="s">
        <v>82</v>
      </c>
      <c r="AX2464">
        <v>101</v>
      </c>
      <c r="AY2464" t="s">
        <v>81</v>
      </c>
      <c r="AZ2464">
        <v>-28.82</v>
      </c>
      <c r="BA2464">
        <v>0.54</v>
      </c>
      <c r="BB2464" t="s">
        <v>83</v>
      </c>
    </row>
    <row r="2465" spans="1:54" x14ac:dyDescent="0.4">
      <c r="A2465">
        <v>1286005</v>
      </c>
      <c r="D2465" t="s">
        <v>54</v>
      </c>
      <c r="E2465" t="s">
        <v>154</v>
      </c>
      <c r="F2465" t="s">
        <v>1386</v>
      </c>
      <c r="G2465">
        <v>1</v>
      </c>
      <c r="H2465" t="s">
        <v>56</v>
      </c>
      <c r="I2465" t="s">
        <v>57</v>
      </c>
      <c r="K2465" t="s">
        <v>1592</v>
      </c>
      <c r="L2465" t="s">
        <v>4558</v>
      </c>
      <c r="M2465" t="s">
        <v>60</v>
      </c>
      <c r="P2465" t="s">
        <v>121</v>
      </c>
      <c r="R2465" t="s">
        <v>122</v>
      </c>
      <c r="S2465" t="s">
        <v>123</v>
      </c>
      <c r="T2465">
        <v>290.10000000000002</v>
      </c>
      <c r="U2465">
        <v>283.5</v>
      </c>
      <c r="V2465">
        <f t="shared" si="76"/>
        <v>286.8</v>
      </c>
      <c r="W2465">
        <f t="shared" si="77"/>
        <v>6.6000000000000227</v>
      </c>
      <c r="X2465">
        <v>-98.405997999999997</v>
      </c>
      <c r="Y2465">
        <v>34.775500999999998</v>
      </c>
      <c r="Z2465" t="s">
        <v>90</v>
      </c>
      <c r="AA2465" t="s">
        <v>66</v>
      </c>
      <c r="AB2465" t="s">
        <v>407</v>
      </c>
      <c r="AC2465" t="s">
        <v>1388</v>
      </c>
      <c r="AH2465" t="s">
        <v>72</v>
      </c>
      <c r="AI2465" t="s">
        <v>4030</v>
      </c>
      <c r="AJ2465">
        <v>2014</v>
      </c>
      <c r="AK2465" t="s">
        <v>1390</v>
      </c>
      <c r="AM2465" t="s">
        <v>1391</v>
      </c>
      <c r="AN2465" t="s">
        <v>192</v>
      </c>
      <c r="AO2465">
        <v>4</v>
      </c>
      <c r="AP2465" t="s">
        <v>78</v>
      </c>
      <c r="AQ2465" t="s">
        <v>1392</v>
      </c>
      <c r="AR2465" t="s">
        <v>80</v>
      </c>
      <c r="AS2465">
        <v>101</v>
      </c>
      <c r="AT2465" t="s">
        <v>81</v>
      </c>
      <c r="AU2465">
        <v>-29.29</v>
      </c>
      <c r="AV2465">
        <v>-0.39</v>
      </c>
      <c r="AW2465" t="s">
        <v>82</v>
      </c>
      <c r="AX2465">
        <v>101</v>
      </c>
      <c r="AY2465" t="s">
        <v>81</v>
      </c>
      <c r="AZ2465">
        <v>-28.82</v>
      </c>
      <c r="BA2465">
        <v>0.54</v>
      </c>
      <c r="BB2465" t="s">
        <v>83</v>
      </c>
    </row>
    <row r="2466" spans="1:54" x14ac:dyDescent="0.4">
      <c r="A2466">
        <v>1310220</v>
      </c>
      <c r="D2466" t="s">
        <v>54</v>
      </c>
      <c r="E2466" t="s">
        <v>154</v>
      </c>
      <c r="F2466" t="s">
        <v>1386</v>
      </c>
      <c r="G2466">
        <v>1</v>
      </c>
      <c r="H2466" t="s">
        <v>56</v>
      </c>
      <c r="I2466" t="s">
        <v>57</v>
      </c>
      <c r="K2466" t="s">
        <v>275</v>
      </c>
      <c r="L2466" t="s">
        <v>1387</v>
      </c>
      <c r="M2466" t="s">
        <v>60</v>
      </c>
      <c r="N2466" t="s">
        <v>119</v>
      </c>
      <c r="O2466" t="s">
        <v>134</v>
      </c>
      <c r="P2466" t="s">
        <v>121</v>
      </c>
      <c r="R2466" t="s">
        <v>122</v>
      </c>
      <c r="S2466" t="s">
        <v>123</v>
      </c>
      <c r="T2466">
        <v>290.10000000000002</v>
      </c>
      <c r="U2466">
        <v>283.5</v>
      </c>
      <c r="V2466">
        <f t="shared" si="76"/>
        <v>286.8</v>
      </c>
      <c r="W2466">
        <f t="shared" si="77"/>
        <v>6.6000000000000227</v>
      </c>
      <c r="X2466">
        <v>-98.405997999999997</v>
      </c>
      <c r="Y2466">
        <v>34.775500999999998</v>
      </c>
      <c r="Z2466" t="s">
        <v>90</v>
      </c>
      <c r="AA2466" t="s">
        <v>66</v>
      </c>
      <c r="AB2466" t="s">
        <v>407</v>
      </c>
      <c r="AC2466" t="s">
        <v>1388</v>
      </c>
      <c r="AH2466" t="s">
        <v>72</v>
      </c>
      <c r="AI2466" t="s">
        <v>1389</v>
      </c>
      <c r="AJ2466">
        <v>2015</v>
      </c>
      <c r="AK2466" t="s">
        <v>1390</v>
      </c>
      <c r="AM2466" t="s">
        <v>1391</v>
      </c>
      <c r="AN2466" t="s">
        <v>192</v>
      </c>
      <c r="AO2466">
        <v>4</v>
      </c>
      <c r="AP2466" t="s">
        <v>78</v>
      </c>
      <c r="AQ2466" t="s">
        <v>1392</v>
      </c>
      <c r="AR2466" t="s">
        <v>80</v>
      </c>
      <c r="AS2466">
        <v>101</v>
      </c>
      <c r="AT2466" t="s">
        <v>81</v>
      </c>
      <c r="AU2466">
        <v>-29.29</v>
      </c>
      <c r="AV2466">
        <v>-0.39</v>
      </c>
      <c r="AW2466" t="s">
        <v>82</v>
      </c>
      <c r="AX2466">
        <v>101</v>
      </c>
      <c r="AY2466" t="s">
        <v>81</v>
      </c>
      <c r="AZ2466">
        <v>-28.82</v>
      </c>
      <c r="BA2466">
        <v>0.54</v>
      </c>
      <c r="BB2466" t="s">
        <v>83</v>
      </c>
    </row>
    <row r="2467" spans="1:54" x14ac:dyDescent="0.4">
      <c r="A2467">
        <v>1310220</v>
      </c>
      <c r="D2467" t="s">
        <v>54</v>
      </c>
      <c r="E2467" t="s">
        <v>154</v>
      </c>
      <c r="F2467" t="s">
        <v>1386</v>
      </c>
      <c r="G2467">
        <v>1</v>
      </c>
      <c r="H2467" t="s">
        <v>56</v>
      </c>
      <c r="I2467" t="s">
        <v>57</v>
      </c>
      <c r="K2467" t="s">
        <v>275</v>
      </c>
      <c r="L2467" t="s">
        <v>1387</v>
      </c>
      <c r="M2467" t="s">
        <v>60</v>
      </c>
      <c r="N2467" t="s">
        <v>119</v>
      </c>
      <c r="O2467" t="s">
        <v>134</v>
      </c>
      <c r="P2467" t="s">
        <v>121</v>
      </c>
      <c r="R2467" t="s">
        <v>122</v>
      </c>
      <c r="S2467" t="s">
        <v>123</v>
      </c>
      <c r="T2467">
        <v>290.10000000000002</v>
      </c>
      <c r="U2467">
        <v>283.5</v>
      </c>
      <c r="V2467">
        <f t="shared" si="76"/>
        <v>286.8</v>
      </c>
      <c r="W2467">
        <f t="shared" si="77"/>
        <v>6.6000000000000227</v>
      </c>
      <c r="X2467">
        <v>-98.405997999999997</v>
      </c>
      <c r="Y2467">
        <v>34.775500999999998</v>
      </c>
      <c r="Z2467" t="s">
        <v>90</v>
      </c>
      <c r="AA2467" t="s">
        <v>66</v>
      </c>
      <c r="AB2467" t="s">
        <v>407</v>
      </c>
      <c r="AC2467" t="s">
        <v>1388</v>
      </c>
      <c r="AH2467" t="s">
        <v>72</v>
      </c>
      <c r="AI2467" t="s">
        <v>1389</v>
      </c>
      <c r="AJ2467">
        <v>2015</v>
      </c>
      <c r="AK2467" t="s">
        <v>1390</v>
      </c>
      <c r="AM2467" t="s">
        <v>1391</v>
      </c>
      <c r="AN2467" t="s">
        <v>192</v>
      </c>
      <c r="AO2467">
        <v>4</v>
      </c>
      <c r="AP2467" t="s">
        <v>78</v>
      </c>
      <c r="AQ2467" t="s">
        <v>1392</v>
      </c>
      <c r="AR2467" t="s">
        <v>80</v>
      </c>
      <c r="AS2467">
        <v>101</v>
      </c>
      <c r="AT2467" t="s">
        <v>81</v>
      </c>
      <c r="AU2467">
        <v>-29.29</v>
      </c>
      <c r="AV2467">
        <v>-0.39</v>
      </c>
      <c r="AW2467" t="s">
        <v>82</v>
      </c>
      <c r="AX2467">
        <v>101</v>
      </c>
      <c r="AY2467" t="s">
        <v>81</v>
      </c>
      <c r="AZ2467">
        <v>-28.82</v>
      </c>
      <c r="BA2467">
        <v>0.54</v>
      </c>
      <c r="BB2467" t="s">
        <v>83</v>
      </c>
    </row>
    <row r="2468" spans="1:54" x14ac:dyDescent="0.4">
      <c r="A2468">
        <v>1310220</v>
      </c>
      <c r="D2468" t="s">
        <v>54</v>
      </c>
      <c r="E2468" t="s">
        <v>154</v>
      </c>
      <c r="F2468" t="s">
        <v>1386</v>
      </c>
      <c r="G2468">
        <v>1</v>
      </c>
      <c r="H2468" t="s">
        <v>56</v>
      </c>
      <c r="I2468" t="s">
        <v>57</v>
      </c>
      <c r="K2468" t="s">
        <v>275</v>
      </c>
      <c r="L2468" t="s">
        <v>1387</v>
      </c>
      <c r="M2468" t="s">
        <v>60</v>
      </c>
      <c r="N2468" t="s">
        <v>119</v>
      </c>
      <c r="O2468" t="s">
        <v>134</v>
      </c>
      <c r="P2468" t="s">
        <v>121</v>
      </c>
      <c r="R2468" t="s">
        <v>122</v>
      </c>
      <c r="S2468" t="s">
        <v>123</v>
      </c>
      <c r="T2468">
        <v>290.10000000000002</v>
      </c>
      <c r="U2468">
        <v>283.5</v>
      </c>
      <c r="V2468">
        <f t="shared" si="76"/>
        <v>286.8</v>
      </c>
      <c r="W2468">
        <f t="shared" si="77"/>
        <v>6.6000000000000227</v>
      </c>
      <c r="X2468">
        <v>-98.405997999999997</v>
      </c>
      <c r="Y2468">
        <v>34.775500999999998</v>
      </c>
      <c r="Z2468" t="s">
        <v>90</v>
      </c>
      <c r="AA2468" t="s">
        <v>66</v>
      </c>
      <c r="AB2468" t="s">
        <v>407</v>
      </c>
      <c r="AC2468" t="s">
        <v>1388</v>
      </c>
      <c r="AH2468" t="s">
        <v>72</v>
      </c>
      <c r="AI2468" t="s">
        <v>1389</v>
      </c>
      <c r="AJ2468">
        <v>2015</v>
      </c>
      <c r="AK2468" t="s">
        <v>1390</v>
      </c>
      <c r="AM2468" t="s">
        <v>1391</v>
      </c>
      <c r="AN2468" t="s">
        <v>192</v>
      </c>
      <c r="AO2468">
        <v>4</v>
      </c>
      <c r="AP2468" t="s">
        <v>78</v>
      </c>
      <c r="AQ2468" t="s">
        <v>1392</v>
      </c>
      <c r="AR2468" t="s">
        <v>80</v>
      </c>
      <c r="AS2468">
        <v>101</v>
      </c>
      <c r="AT2468" t="s">
        <v>81</v>
      </c>
      <c r="AU2468">
        <v>-29.29</v>
      </c>
      <c r="AV2468">
        <v>-0.39</v>
      </c>
      <c r="AW2468" t="s">
        <v>82</v>
      </c>
      <c r="AX2468">
        <v>101</v>
      </c>
      <c r="AY2468" t="s">
        <v>81</v>
      </c>
      <c r="AZ2468">
        <v>-28.82</v>
      </c>
      <c r="BA2468">
        <v>0.54</v>
      </c>
      <c r="BB2468" t="s">
        <v>83</v>
      </c>
    </row>
    <row r="2469" spans="1:54" x14ac:dyDescent="0.4">
      <c r="A2469">
        <v>1310220</v>
      </c>
      <c r="D2469" t="s">
        <v>54</v>
      </c>
      <c r="E2469" t="s">
        <v>154</v>
      </c>
      <c r="F2469" t="s">
        <v>1386</v>
      </c>
      <c r="G2469">
        <v>1</v>
      </c>
      <c r="H2469" t="s">
        <v>56</v>
      </c>
      <c r="I2469" t="s">
        <v>57</v>
      </c>
      <c r="K2469" t="s">
        <v>275</v>
      </c>
      <c r="L2469" t="s">
        <v>1387</v>
      </c>
      <c r="M2469" t="s">
        <v>60</v>
      </c>
      <c r="N2469" t="s">
        <v>119</v>
      </c>
      <c r="O2469" t="s">
        <v>134</v>
      </c>
      <c r="P2469" t="s">
        <v>121</v>
      </c>
      <c r="R2469" t="s">
        <v>122</v>
      </c>
      <c r="S2469" t="s">
        <v>123</v>
      </c>
      <c r="T2469">
        <v>290.10000000000002</v>
      </c>
      <c r="U2469">
        <v>283.5</v>
      </c>
      <c r="V2469">
        <f t="shared" si="76"/>
        <v>286.8</v>
      </c>
      <c r="W2469">
        <f t="shared" si="77"/>
        <v>6.6000000000000227</v>
      </c>
      <c r="X2469">
        <v>-98.405997999999997</v>
      </c>
      <c r="Y2469">
        <v>34.775500999999998</v>
      </c>
      <c r="Z2469" t="s">
        <v>90</v>
      </c>
      <c r="AA2469" t="s">
        <v>66</v>
      </c>
      <c r="AB2469" t="s">
        <v>407</v>
      </c>
      <c r="AC2469" t="s">
        <v>1388</v>
      </c>
      <c r="AH2469" t="s">
        <v>72</v>
      </c>
      <c r="AI2469" t="s">
        <v>1389</v>
      </c>
      <c r="AJ2469">
        <v>2015</v>
      </c>
      <c r="AK2469" t="s">
        <v>1390</v>
      </c>
      <c r="AM2469" t="s">
        <v>1391</v>
      </c>
      <c r="AN2469" t="s">
        <v>192</v>
      </c>
      <c r="AO2469">
        <v>4</v>
      </c>
      <c r="AP2469" t="s">
        <v>78</v>
      </c>
      <c r="AQ2469" t="s">
        <v>1392</v>
      </c>
      <c r="AR2469" t="s">
        <v>80</v>
      </c>
      <c r="AS2469">
        <v>101</v>
      </c>
      <c r="AT2469" t="s">
        <v>81</v>
      </c>
      <c r="AU2469">
        <v>-29.29</v>
      </c>
      <c r="AV2469">
        <v>-0.39</v>
      </c>
      <c r="AW2469" t="s">
        <v>82</v>
      </c>
      <c r="AX2469">
        <v>101</v>
      </c>
      <c r="AY2469" t="s">
        <v>81</v>
      </c>
      <c r="AZ2469">
        <v>-28.82</v>
      </c>
      <c r="BA2469">
        <v>0.54</v>
      </c>
      <c r="BB2469" t="s">
        <v>83</v>
      </c>
    </row>
    <row r="2470" spans="1:54" x14ac:dyDescent="0.4">
      <c r="A2470">
        <v>1310220</v>
      </c>
      <c r="D2470" t="s">
        <v>54</v>
      </c>
      <c r="E2470" t="s">
        <v>154</v>
      </c>
      <c r="F2470" t="s">
        <v>1386</v>
      </c>
      <c r="G2470">
        <v>1</v>
      </c>
      <c r="H2470" t="s">
        <v>56</v>
      </c>
      <c r="I2470" t="s">
        <v>57</v>
      </c>
      <c r="K2470" t="s">
        <v>275</v>
      </c>
      <c r="L2470" t="s">
        <v>1387</v>
      </c>
      <c r="M2470" t="s">
        <v>60</v>
      </c>
      <c r="N2470" t="s">
        <v>119</v>
      </c>
      <c r="O2470" t="s">
        <v>134</v>
      </c>
      <c r="P2470" t="s">
        <v>121</v>
      </c>
      <c r="R2470" t="s">
        <v>122</v>
      </c>
      <c r="S2470" t="s">
        <v>123</v>
      </c>
      <c r="T2470">
        <v>290.10000000000002</v>
      </c>
      <c r="U2470">
        <v>283.5</v>
      </c>
      <c r="V2470">
        <f t="shared" si="76"/>
        <v>286.8</v>
      </c>
      <c r="W2470">
        <f t="shared" si="77"/>
        <v>6.6000000000000227</v>
      </c>
      <c r="X2470">
        <v>-98.405997999999997</v>
      </c>
      <c r="Y2470">
        <v>34.775500999999998</v>
      </c>
      <c r="Z2470" t="s">
        <v>90</v>
      </c>
      <c r="AA2470" t="s">
        <v>66</v>
      </c>
      <c r="AB2470" t="s">
        <v>407</v>
      </c>
      <c r="AC2470" t="s">
        <v>1388</v>
      </c>
      <c r="AH2470" t="s">
        <v>72</v>
      </c>
      <c r="AI2470" t="s">
        <v>1389</v>
      </c>
      <c r="AJ2470">
        <v>2015</v>
      </c>
      <c r="AK2470" t="s">
        <v>1390</v>
      </c>
      <c r="AM2470" t="s">
        <v>1391</v>
      </c>
      <c r="AN2470" t="s">
        <v>192</v>
      </c>
      <c r="AO2470">
        <v>4</v>
      </c>
      <c r="AP2470" t="s">
        <v>78</v>
      </c>
      <c r="AQ2470" t="s">
        <v>1392</v>
      </c>
      <c r="AR2470" t="s">
        <v>80</v>
      </c>
      <c r="AS2470">
        <v>101</v>
      </c>
      <c r="AT2470" t="s">
        <v>81</v>
      </c>
      <c r="AU2470">
        <v>-29.29</v>
      </c>
      <c r="AV2470">
        <v>-0.39</v>
      </c>
      <c r="AW2470" t="s">
        <v>82</v>
      </c>
      <c r="AX2470">
        <v>101</v>
      </c>
      <c r="AY2470" t="s">
        <v>81</v>
      </c>
      <c r="AZ2470">
        <v>-28.82</v>
      </c>
      <c r="BA2470">
        <v>0.54</v>
      </c>
      <c r="BB2470" t="s">
        <v>83</v>
      </c>
    </row>
    <row r="2471" spans="1:54" x14ac:dyDescent="0.4">
      <c r="A2471">
        <v>1310220</v>
      </c>
      <c r="D2471" t="s">
        <v>54</v>
      </c>
      <c r="E2471" t="s">
        <v>154</v>
      </c>
      <c r="F2471" t="s">
        <v>1386</v>
      </c>
      <c r="G2471">
        <v>1</v>
      </c>
      <c r="H2471" t="s">
        <v>56</v>
      </c>
      <c r="I2471" t="s">
        <v>57</v>
      </c>
      <c r="K2471" t="s">
        <v>275</v>
      </c>
      <c r="L2471" t="s">
        <v>1387</v>
      </c>
      <c r="M2471" t="s">
        <v>60</v>
      </c>
      <c r="N2471" t="s">
        <v>119</v>
      </c>
      <c r="O2471" t="s">
        <v>134</v>
      </c>
      <c r="P2471" t="s">
        <v>121</v>
      </c>
      <c r="R2471" t="s">
        <v>122</v>
      </c>
      <c r="S2471" t="s">
        <v>123</v>
      </c>
      <c r="T2471">
        <v>290.10000000000002</v>
      </c>
      <c r="U2471">
        <v>283.5</v>
      </c>
      <c r="V2471">
        <f t="shared" si="76"/>
        <v>286.8</v>
      </c>
      <c r="W2471">
        <f t="shared" si="77"/>
        <v>6.6000000000000227</v>
      </c>
      <c r="X2471">
        <v>-98.405997999999997</v>
      </c>
      <c r="Y2471">
        <v>34.775500999999998</v>
      </c>
      <c r="Z2471" t="s">
        <v>90</v>
      </c>
      <c r="AA2471" t="s">
        <v>66</v>
      </c>
      <c r="AB2471" t="s">
        <v>407</v>
      </c>
      <c r="AC2471" t="s">
        <v>1388</v>
      </c>
      <c r="AH2471" t="s">
        <v>72</v>
      </c>
      <c r="AI2471" t="s">
        <v>1389</v>
      </c>
      <c r="AJ2471">
        <v>2015</v>
      </c>
      <c r="AK2471" t="s">
        <v>1390</v>
      </c>
      <c r="AM2471" t="s">
        <v>1391</v>
      </c>
      <c r="AN2471" t="s">
        <v>192</v>
      </c>
      <c r="AO2471">
        <v>4</v>
      </c>
      <c r="AP2471" t="s">
        <v>78</v>
      </c>
      <c r="AQ2471" t="s">
        <v>1392</v>
      </c>
      <c r="AR2471" t="s">
        <v>80</v>
      </c>
      <c r="AS2471">
        <v>101</v>
      </c>
      <c r="AT2471" t="s">
        <v>81</v>
      </c>
      <c r="AU2471">
        <v>-29.29</v>
      </c>
      <c r="AV2471">
        <v>-0.39</v>
      </c>
      <c r="AW2471" t="s">
        <v>82</v>
      </c>
      <c r="AX2471">
        <v>101</v>
      </c>
      <c r="AY2471" t="s">
        <v>81</v>
      </c>
      <c r="AZ2471">
        <v>-28.82</v>
      </c>
      <c r="BA2471">
        <v>0.54</v>
      </c>
      <c r="BB2471" t="s">
        <v>83</v>
      </c>
    </row>
    <row r="2472" spans="1:54" x14ac:dyDescent="0.4">
      <c r="A2472">
        <v>1335995</v>
      </c>
      <c r="D2472" t="s">
        <v>54</v>
      </c>
      <c r="E2472" t="s">
        <v>154</v>
      </c>
      <c r="F2472" t="s">
        <v>1386</v>
      </c>
      <c r="I2472" t="s">
        <v>57</v>
      </c>
      <c r="K2472" t="s">
        <v>1393</v>
      </c>
      <c r="L2472" t="s">
        <v>1394</v>
      </c>
      <c r="M2472" t="s">
        <v>60</v>
      </c>
      <c r="N2472" t="s">
        <v>119</v>
      </c>
      <c r="O2472" t="s">
        <v>120</v>
      </c>
      <c r="P2472" t="s">
        <v>121</v>
      </c>
      <c r="R2472" t="s">
        <v>122</v>
      </c>
      <c r="S2472" t="s">
        <v>123</v>
      </c>
      <c r="T2472">
        <v>290.10000000000002</v>
      </c>
      <c r="U2472">
        <v>283.5</v>
      </c>
      <c r="V2472">
        <f t="shared" si="76"/>
        <v>286.8</v>
      </c>
      <c r="W2472">
        <f t="shared" si="77"/>
        <v>6.6000000000000227</v>
      </c>
      <c r="X2472">
        <v>-98.405997999999997</v>
      </c>
      <c r="Y2472">
        <v>34.775500999999998</v>
      </c>
      <c r="Z2472" t="s">
        <v>90</v>
      </c>
      <c r="AA2472" t="s">
        <v>66</v>
      </c>
      <c r="AB2472" t="s">
        <v>407</v>
      </c>
      <c r="AC2472" t="s">
        <v>1388</v>
      </c>
      <c r="AH2472" t="s">
        <v>72</v>
      </c>
      <c r="AI2472" t="s">
        <v>4722</v>
      </c>
      <c r="AJ2472">
        <v>2016</v>
      </c>
      <c r="AK2472" t="s">
        <v>1390</v>
      </c>
      <c r="AM2472" t="s">
        <v>1391</v>
      </c>
      <c r="AN2472" t="s">
        <v>192</v>
      </c>
      <c r="AO2472">
        <v>4</v>
      </c>
      <c r="AP2472" t="s">
        <v>78</v>
      </c>
      <c r="AQ2472" t="s">
        <v>1392</v>
      </c>
      <c r="AR2472" t="s">
        <v>80</v>
      </c>
      <c r="AS2472">
        <v>101</v>
      </c>
      <c r="AT2472" t="s">
        <v>81</v>
      </c>
      <c r="AU2472">
        <v>-29.29</v>
      </c>
      <c r="AV2472">
        <v>-0.39</v>
      </c>
      <c r="AW2472" t="s">
        <v>82</v>
      </c>
      <c r="AX2472">
        <v>101</v>
      </c>
      <c r="AY2472" t="s">
        <v>81</v>
      </c>
      <c r="AZ2472">
        <v>-28.82</v>
      </c>
      <c r="BA2472">
        <v>0.54</v>
      </c>
      <c r="BB2472" t="s">
        <v>83</v>
      </c>
    </row>
    <row r="2473" spans="1:54" x14ac:dyDescent="0.4">
      <c r="A2473">
        <v>1406771</v>
      </c>
      <c r="D2473" t="s">
        <v>54</v>
      </c>
      <c r="E2473" t="s">
        <v>154</v>
      </c>
      <c r="F2473" t="s">
        <v>1386</v>
      </c>
      <c r="G2473">
        <v>1</v>
      </c>
      <c r="H2473" t="s">
        <v>56</v>
      </c>
      <c r="I2473" t="s">
        <v>57</v>
      </c>
      <c r="K2473" t="s">
        <v>275</v>
      </c>
      <c r="L2473" t="s">
        <v>4951</v>
      </c>
      <c r="M2473" t="s">
        <v>60</v>
      </c>
      <c r="N2473" t="s">
        <v>119</v>
      </c>
      <c r="O2473" t="s">
        <v>134</v>
      </c>
      <c r="P2473" t="s">
        <v>121</v>
      </c>
      <c r="R2473" t="s">
        <v>122</v>
      </c>
      <c r="S2473" t="s">
        <v>123</v>
      </c>
      <c r="T2473">
        <v>290.10000000000002</v>
      </c>
      <c r="U2473">
        <v>283.5</v>
      </c>
      <c r="V2473">
        <f t="shared" si="76"/>
        <v>286.8</v>
      </c>
      <c r="W2473">
        <f t="shared" si="77"/>
        <v>6.6000000000000227</v>
      </c>
      <c r="X2473">
        <v>-98.405997999999997</v>
      </c>
      <c r="Y2473">
        <v>34.775500999999998</v>
      </c>
      <c r="Z2473" t="s">
        <v>90</v>
      </c>
      <c r="AA2473" t="s">
        <v>66</v>
      </c>
      <c r="AB2473" t="s">
        <v>407</v>
      </c>
      <c r="AC2473" t="s">
        <v>1388</v>
      </c>
      <c r="AH2473" t="s">
        <v>72</v>
      </c>
      <c r="AI2473" t="s">
        <v>1532</v>
      </c>
      <c r="AJ2473">
        <v>2018</v>
      </c>
      <c r="AK2473" t="s">
        <v>1390</v>
      </c>
      <c r="AM2473" t="s">
        <v>1391</v>
      </c>
      <c r="AN2473" t="s">
        <v>192</v>
      </c>
      <c r="AO2473">
        <v>4</v>
      </c>
      <c r="AP2473" t="s">
        <v>78</v>
      </c>
      <c r="AQ2473" t="s">
        <v>1392</v>
      </c>
      <c r="AR2473" t="s">
        <v>80</v>
      </c>
      <c r="AS2473">
        <v>101</v>
      </c>
      <c r="AT2473" t="s">
        <v>81</v>
      </c>
      <c r="AU2473">
        <v>-29.29</v>
      </c>
      <c r="AV2473">
        <v>-0.39</v>
      </c>
      <c r="AW2473" t="s">
        <v>82</v>
      </c>
      <c r="AX2473">
        <v>101</v>
      </c>
      <c r="AY2473" t="s">
        <v>81</v>
      </c>
      <c r="AZ2473">
        <v>-28.82</v>
      </c>
      <c r="BA2473">
        <v>0.54</v>
      </c>
      <c r="BB2473" t="s">
        <v>83</v>
      </c>
    </row>
    <row r="2474" spans="1:54" x14ac:dyDescent="0.4">
      <c r="A2474">
        <v>1406771</v>
      </c>
      <c r="D2474" t="s">
        <v>54</v>
      </c>
      <c r="E2474" t="s">
        <v>154</v>
      </c>
      <c r="F2474" t="s">
        <v>1386</v>
      </c>
      <c r="G2474">
        <v>1</v>
      </c>
      <c r="H2474" t="s">
        <v>56</v>
      </c>
      <c r="I2474" t="s">
        <v>57</v>
      </c>
      <c r="K2474" t="s">
        <v>275</v>
      </c>
      <c r="L2474" t="s">
        <v>4951</v>
      </c>
      <c r="M2474" t="s">
        <v>60</v>
      </c>
      <c r="N2474" t="s">
        <v>119</v>
      </c>
      <c r="O2474" t="s">
        <v>134</v>
      </c>
      <c r="P2474" t="s">
        <v>121</v>
      </c>
      <c r="R2474" t="s">
        <v>122</v>
      </c>
      <c r="S2474" t="s">
        <v>123</v>
      </c>
      <c r="T2474">
        <v>290.10000000000002</v>
      </c>
      <c r="U2474">
        <v>283.5</v>
      </c>
      <c r="V2474">
        <f t="shared" si="76"/>
        <v>286.8</v>
      </c>
      <c r="W2474">
        <f t="shared" si="77"/>
        <v>6.6000000000000227</v>
      </c>
      <c r="X2474">
        <v>-98.405997999999997</v>
      </c>
      <c r="Y2474">
        <v>34.775500999999998</v>
      </c>
      <c r="Z2474" t="s">
        <v>90</v>
      </c>
      <c r="AA2474" t="s">
        <v>66</v>
      </c>
      <c r="AB2474" t="s">
        <v>407</v>
      </c>
      <c r="AC2474" t="s">
        <v>1388</v>
      </c>
      <c r="AH2474" t="s">
        <v>72</v>
      </c>
      <c r="AI2474" t="s">
        <v>1532</v>
      </c>
      <c r="AJ2474">
        <v>2018</v>
      </c>
      <c r="AK2474" t="s">
        <v>1390</v>
      </c>
      <c r="AM2474" t="s">
        <v>1391</v>
      </c>
      <c r="AN2474" t="s">
        <v>192</v>
      </c>
      <c r="AO2474">
        <v>4</v>
      </c>
      <c r="AP2474" t="s">
        <v>78</v>
      </c>
      <c r="AQ2474" t="s">
        <v>1392</v>
      </c>
      <c r="AR2474" t="s">
        <v>80</v>
      </c>
      <c r="AS2474">
        <v>101</v>
      </c>
      <c r="AT2474" t="s">
        <v>81</v>
      </c>
      <c r="AU2474">
        <v>-29.29</v>
      </c>
      <c r="AV2474">
        <v>-0.39</v>
      </c>
      <c r="AW2474" t="s">
        <v>82</v>
      </c>
      <c r="AX2474">
        <v>101</v>
      </c>
      <c r="AY2474" t="s">
        <v>81</v>
      </c>
      <c r="AZ2474">
        <v>-28.82</v>
      </c>
      <c r="BA2474">
        <v>0.54</v>
      </c>
      <c r="BB2474" t="s">
        <v>83</v>
      </c>
    </row>
    <row r="2475" spans="1:54" x14ac:dyDescent="0.4">
      <c r="A2475">
        <v>1406771</v>
      </c>
      <c r="D2475" t="s">
        <v>54</v>
      </c>
      <c r="E2475" t="s">
        <v>154</v>
      </c>
      <c r="F2475" t="s">
        <v>1386</v>
      </c>
      <c r="G2475">
        <v>1</v>
      </c>
      <c r="H2475" t="s">
        <v>56</v>
      </c>
      <c r="I2475" t="s">
        <v>57</v>
      </c>
      <c r="K2475" t="s">
        <v>275</v>
      </c>
      <c r="L2475" t="s">
        <v>4951</v>
      </c>
      <c r="M2475" t="s">
        <v>60</v>
      </c>
      <c r="N2475" t="s">
        <v>119</v>
      </c>
      <c r="O2475" t="s">
        <v>134</v>
      </c>
      <c r="P2475" t="s">
        <v>121</v>
      </c>
      <c r="R2475" t="s">
        <v>122</v>
      </c>
      <c r="S2475" t="s">
        <v>123</v>
      </c>
      <c r="T2475">
        <v>290.10000000000002</v>
      </c>
      <c r="U2475">
        <v>283.5</v>
      </c>
      <c r="V2475">
        <f t="shared" si="76"/>
        <v>286.8</v>
      </c>
      <c r="W2475">
        <f t="shared" si="77"/>
        <v>6.6000000000000227</v>
      </c>
      <c r="X2475">
        <v>-98.405997999999997</v>
      </c>
      <c r="Y2475">
        <v>34.775500999999998</v>
      </c>
      <c r="Z2475" t="s">
        <v>90</v>
      </c>
      <c r="AA2475" t="s">
        <v>66</v>
      </c>
      <c r="AB2475" t="s">
        <v>407</v>
      </c>
      <c r="AC2475" t="s">
        <v>1388</v>
      </c>
      <c r="AH2475" t="s">
        <v>72</v>
      </c>
      <c r="AI2475" t="s">
        <v>1532</v>
      </c>
      <c r="AJ2475">
        <v>2018</v>
      </c>
      <c r="AK2475" t="s">
        <v>1390</v>
      </c>
      <c r="AM2475" t="s">
        <v>1391</v>
      </c>
      <c r="AN2475" t="s">
        <v>192</v>
      </c>
      <c r="AO2475">
        <v>4</v>
      </c>
      <c r="AP2475" t="s">
        <v>78</v>
      </c>
      <c r="AQ2475" t="s">
        <v>1392</v>
      </c>
      <c r="AR2475" t="s">
        <v>80</v>
      </c>
      <c r="AS2475">
        <v>101</v>
      </c>
      <c r="AT2475" t="s">
        <v>81</v>
      </c>
      <c r="AU2475">
        <v>-29.29</v>
      </c>
      <c r="AV2475">
        <v>-0.39</v>
      </c>
      <c r="AW2475" t="s">
        <v>82</v>
      </c>
      <c r="AX2475">
        <v>101</v>
      </c>
      <c r="AY2475" t="s">
        <v>81</v>
      </c>
      <c r="AZ2475">
        <v>-28.82</v>
      </c>
      <c r="BA2475">
        <v>0.54</v>
      </c>
      <c r="BB2475" t="s">
        <v>83</v>
      </c>
    </row>
    <row r="2476" spans="1:54" x14ac:dyDescent="0.4">
      <c r="A2476">
        <v>1406771</v>
      </c>
      <c r="D2476" t="s">
        <v>54</v>
      </c>
      <c r="E2476" t="s">
        <v>154</v>
      </c>
      <c r="F2476" t="s">
        <v>1386</v>
      </c>
      <c r="G2476">
        <v>1</v>
      </c>
      <c r="H2476" t="s">
        <v>56</v>
      </c>
      <c r="I2476" t="s">
        <v>57</v>
      </c>
      <c r="K2476" t="s">
        <v>275</v>
      </c>
      <c r="L2476" t="s">
        <v>4951</v>
      </c>
      <c r="M2476" t="s">
        <v>60</v>
      </c>
      <c r="N2476" t="s">
        <v>119</v>
      </c>
      <c r="O2476" t="s">
        <v>134</v>
      </c>
      <c r="P2476" t="s">
        <v>121</v>
      </c>
      <c r="R2476" t="s">
        <v>122</v>
      </c>
      <c r="S2476" t="s">
        <v>123</v>
      </c>
      <c r="T2476">
        <v>290.10000000000002</v>
      </c>
      <c r="U2476">
        <v>283.5</v>
      </c>
      <c r="V2476">
        <f t="shared" si="76"/>
        <v>286.8</v>
      </c>
      <c r="W2476">
        <f t="shared" si="77"/>
        <v>6.6000000000000227</v>
      </c>
      <c r="X2476">
        <v>-98.405997999999997</v>
      </c>
      <c r="Y2476">
        <v>34.775500999999998</v>
      </c>
      <c r="Z2476" t="s">
        <v>90</v>
      </c>
      <c r="AA2476" t="s">
        <v>66</v>
      </c>
      <c r="AB2476" t="s">
        <v>407</v>
      </c>
      <c r="AC2476" t="s">
        <v>1388</v>
      </c>
      <c r="AH2476" t="s">
        <v>72</v>
      </c>
      <c r="AI2476" t="s">
        <v>1532</v>
      </c>
      <c r="AJ2476">
        <v>2018</v>
      </c>
      <c r="AK2476" t="s">
        <v>1390</v>
      </c>
      <c r="AM2476" t="s">
        <v>1391</v>
      </c>
      <c r="AN2476" t="s">
        <v>192</v>
      </c>
      <c r="AO2476">
        <v>4</v>
      </c>
      <c r="AP2476" t="s">
        <v>78</v>
      </c>
      <c r="AQ2476" t="s">
        <v>1392</v>
      </c>
      <c r="AR2476" t="s">
        <v>80</v>
      </c>
      <c r="AS2476">
        <v>101</v>
      </c>
      <c r="AT2476" t="s">
        <v>81</v>
      </c>
      <c r="AU2476">
        <v>-29.29</v>
      </c>
      <c r="AV2476">
        <v>-0.39</v>
      </c>
      <c r="AW2476" t="s">
        <v>82</v>
      </c>
      <c r="AX2476">
        <v>101</v>
      </c>
      <c r="AY2476" t="s">
        <v>81</v>
      </c>
      <c r="AZ2476">
        <v>-28.82</v>
      </c>
      <c r="BA2476">
        <v>0.54</v>
      </c>
      <c r="BB2476" t="s">
        <v>83</v>
      </c>
    </row>
    <row r="2477" spans="1:54" x14ac:dyDescent="0.4">
      <c r="A2477">
        <v>1406771</v>
      </c>
      <c r="D2477" t="s">
        <v>54</v>
      </c>
      <c r="E2477" t="s">
        <v>154</v>
      </c>
      <c r="F2477" t="s">
        <v>1386</v>
      </c>
      <c r="G2477">
        <v>1</v>
      </c>
      <c r="H2477" t="s">
        <v>56</v>
      </c>
      <c r="I2477" t="s">
        <v>57</v>
      </c>
      <c r="K2477" t="s">
        <v>275</v>
      </c>
      <c r="L2477" t="s">
        <v>4951</v>
      </c>
      <c r="M2477" t="s">
        <v>60</v>
      </c>
      <c r="N2477" t="s">
        <v>119</v>
      </c>
      <c r="O2477" t="s">
        <v>134</v>
      </c>
      <c r="P2477" t="s">
        <v>121</v>
      </c>
      <c r="R2477" t="s">
        <v>122</v>
      </c>
      <c r="S2477" t="s">
        <v>123</v>
      </c>
      <c r="T2477">
        <v>290.10000000000002</v>
      </c>
      <c r="U2477">
        <v>283.5</v>
      </c>
      <c r="V2477">
        <f t="shared" si="76"/>
        <v>286.8</v>
      </c>
      <c r="W2477">
        <f t="shared" si="77"/>
        <v>6.6000000000000227</v>
      </c>
      <c r="X2477">
        <v>-98.405997999999997</v>
      </c>
      <c r="Y2477">
        <v>34.775500999999998</v>
      </c>
      <c r="Z2477" t="s">
        <v>90</v>
      </c>
      <c r="AA2477" t="s">
        <v>66</v>
      </c>
      <c r="AB2477" t="s">
        <v>407</v>
      </c>
      <c r="AC2477" t="s">
        <v>1388</v>
      </c>
      <c r="AH2477" t="s">
        <v>72</v>
      </c>
      <c r="AI2477" t="s">
        <v>1532</v>
      </c>
      <c r="AJ2477">
        <v>2018</v>
      </c>
      <c r="AK2477" t="s">
        <v>1390</v>
      </c>
      <c r="AM2477" t="s">
        <v>1391</v>
      </c>
      <c r="AN2477" t="s">
        <v>192</v>
      </c>
      <c r="AO2477">
        <v>4</v>
      </c>
      <c r="AP2477" t="s">
        <v>78</v>
      </c>
      <c r="AQ2477" t="s">
        <v>1392</v>
      </c>
      <c r="AR2477" t="s">
        <v>80</v>
      </c>
      <c r="AS2477">
        <v>101</v>
      </c>
      <c r="AT2477" t="s">
        <v>81</v>
      </c>
      <c r="AU2477">
        <v>-29.29</v>
      </c>
      <c r="AV2477">
        <v>-0.39</v>
      </c>
      <c r="AW2477" t="s">
        <v>82</v>
      </c>
      <c r="AX2477">
        <v>101</v>
      </c>
      <c r="AY2477" t="s">
        <v>81</v>
      </c>
      <c r="AZ2477">
        <v>-28.82</v>
      </c>
      <c r="BA2477">
        <v>0.54</v>
      </c>
      <c r="BB2477" t="s">
        <v>83</v>
      </c>
    </row>
    <row r="2478" spans="1:54" x14ac:dyDescent="0.4">
      <c r="A2478">
        <v>1406771</v>
      </c>
      <c r="D2478" t="s">
        <v>54</v>
      </c>
      <c r="E2478" t="s">
        <v>154</v>
      </c>
      <c r="F2478" t="s">
        <v>1386</v>
      </c>
      <c r="G2478">
        <v>1</v>
      </c>
      <c r="H2478" t="s">
        <v>56</v>
      </c>
      <c r="I2478" t="s">
        <v>57</v>
      </c>
      <c r="K2478" t="s">
        <v>275</v>
      </c>
      <c r="L2478" t="s">
        <v>4951</v>
      </c>
      <c r="M2478" t="s">
        <v>60</v>
      </c>
      <c r="N2478" t="s">
        <v>119</v>
      </c>
      <c r="O2478" t="s">
        <v>134</v>
      </c>
      <c r="P2478" t="s">
        <v>121</v>
      </c>
      <c r="R2478" t="s">
        <v>122</v>
      </c>
      <c r="S2478" t="s">
        <v>123</v>
      </c>
      <c r="T2478">
        <v>290.10000000000002</v>
      </c>
      <c r="U2478">
        <v>283.5</v>
      </c>
      <c r="V2478">
        <f t="shared" si="76"/>
        <v>286.8</v>
      </c>
      <c r="W2478">
        <f t="shared" si="77"/>
        <v>6.6000000000000227</v>
      </c>
      <c r="X2478">
        <v>-98.405997999999997</v>
      </c>
      <c r="Y2478">
        <v>34.775500999999998</v>
      </c>
      <c r="Z2478" t="s">
        <v>90</v>
      </c>
      <c r="AA2478" t="s">
        <v>66</v>
      </c>
      <c r="AB2478" t="s">
        <v>407</v>
      </c>
      <c r="AC2478" t="s">
        <v>1388</v>
      </c>
      <c r="AH2478" t="s">
        <v>72</v>
      </c>
      <c r="AI2478" t="s">
        <v>1532</v>
      </c>
      <c r="AJ2478">
        <v>2018</v>
      </c>
      <c r="AK2478" t="s">
        <v>1390</v>
      </c>
      <c r="AM2478" t="s">
        <v>1391</v>
      </c>
      <c r="AN2478" t="s">
        <v>192</v>
      </c>
      <c r="AO2478">
        <v>4</v>
      </c>
      <c r="AP2478" t="s">
        <v>78</v>
      </c>
      <c r="AQ2478" t="s">
        <v>1392</v>
      </c>
      <c r="AR2478" t="s">
        <v>80</v>
      </c>
      <c r="AS2478">
        <v>101</v>
      </c>
      <c r="AT2478" t="s">
        <v>81</v>
      </c>
      <c r="AU2478">
        <v>-29.29</v>
      </c>
      <c r="AV2478">
        <v>-0.39</v>
      </c>
      <c r="AW2478" t="s">
        <v>82</v>
      </c>
      <c r="AX2478">
        <v>101</v>
      </c>
      <c r="AY2478" t="s">
        <v>81</v>
      </c>
      <c r="AZ2478">
        <v>-28.82</v>
      </c>
      <c r="BA2478">
        <v>0.54</v>
      </c>
      <c r="BB2478" t="s">
        <v>83</v>
      </c>
    </row>
    <row r="2479" spans="1:54" x14ac:dyDescent="0.4">
      <c r="A2479">
        <v>1406771</v>
      </c>
      <c r="D2479" t="s">
        <v>54</v>
      </c>
      <c r="E2479" t="s">
        <v>154</v>
      </c>
      <c r="F2479" t="s">
        <v>1386</v>
      </c>
      <c r="G2479">
        <v>1</v>
      </c>
      <c r="H2479" t="s">
        <v>56</v>
      </c>
      <c r="I2479" t="s">
        <v>57</v>
      </c>
      <c r="K2479" t="s">
        <v>275</v>
      </c>
      <c r="L2479" t="s">
        <v>4951</v>
      </c>
      <c r="M2479" t="s">
        <v>60</v>
      </c>
      <c r="N2479" t="s">
        <v>119</v>
      </c>
      <c r="O2479" t="s">
        <v>134</v>
      </c>
      <c r="P2479" t="s">
        <v>121</v>
      </c>
      <c r="R2479" t="s">
        <v>122</v>
      </c>
      <c r="S2479" t="s">
        <v>123</v>
      </c>
      <c r="T2479">
        <v>290.10000000000002</v>
      </c>
      <c r="U2479">
        <v>283.5</v>
      </c>
      <c r="V2479">
        <f t="shared" si="76"/>
        <v>286.8</v>
      </c>
      <c r="W2479">
        <f t="shared" si="77"/>
        <v>6.6000000000000227</v>
      </c>
      <c r="X2479">
        <v>-98.405997999999997</v>
      </c>
      <c r="Y2479">
        <v>34.775500999999998</v>
      </c>
      <c r="Z2479" t="s">
        <v>90</v>
      </c>
      <c r="AA2479" t="s">
        <v>66</v>
      </c>
      <c r="AB2479" t="s">
        <v>407</v>
      </c>
      <c r="AC2479" t="s">
        <v>1388</v>
      </c>
      <c r="AH2479" t="s">
        <v>72</v>
      </c>
      <c r="AI2479" t="s">
        <v>1532</v>
      </c>
      <c r="AJ2479">
        <v>2018</v>
      </c>
      <c r="AK2479" t="s">
        <v>1390</v>
      </c>
      <c r="AM2479" t="s">
        <v>1391</v>
      </c>
      <c r="AN2479" t="s">
        <v>192</v>
      </c>
      <c r="AO2479">
        <v>4</v>
      </c>
      <c r="AP2479" t="s">
        <v>78</v>
      </c>
      <c r="AQ2479" t="s">
        <v>1392</v>
      </c>
      <c r="AR2479" t="s">
        <v>80</v>
      </c>
      <c r="AS2479">
        <v>101</v>
      </c>
      <c r="AT2479" t="s">
        <v>81</v>
      </c>
      <c r="AU2479">
        <v>-29.29</v>
      </c>
      <c r="AV2479">
        <v>-0.39</v>
      </c>
      <c r="AW2479" t="s">
        <v>82</v>
      </c>
      <c r="AX2479">
        <v>101</v>
      </c>
      <c r="AY2479" t="s">
        <v>81</v>
      </c>
      <c r="AZ2479">
        <v>-28.82</v>
      </c>
      <c r="BA2479">
        <v>0.54</v>
      </c>
      <c r="BB2479" t="s">
        <v>83</v>
      </c>
    </row>
    <row r="2480" spans="1:54" x14ac:dyDescent="0.4">
      <c r="A2480">
        <v>1406771</v>
      </c>
      <c r="D2480" t="s">
        <v>54</v>
      </c>
      <c r="E2480" t="s">
        <v>154</v>
      </c>
      <c r="F2480" t="s">
        <v>1386</v>
      </c>
      <c r="G2480">
        <v>1</v>
      </c>
      <c r="H2480" t="s">
        <v>56</v>
      </c>
      <c r="I2480" t="s">
        <v>57</v>
      </c>
      <c r="K2480" t="s">
        <v>275</v>
      </c>
      <c r="L2480" t="s">
        <v>4951</v>
      </c>
      <c r="M2480" t="s">
        <v>60</v>
      </c>
      <c r="N2480" t="s">
        <v>119</v>
      </c>
      <c r="O2480" t="s">
        <v>134</v>
      </c>
      <c r="P2480" t="s">
        <v>121</v>
      </c>
      <c r="R2480" t="s">
        <v>122</v>
      </c>
      <c r="S2480" t="s">
        <v>123</v>
      </c>
      <c r="T2480">
        <v>290.10000000000002</v>
      </c>
      <c r="U2480">
        <v>283.5</v>
      </c>
      <c r="V2480">
        <f t="shared" si="76"/>
        <v>286.8</v>
      </c>
      <c r="W2480">
        <f t="shared" si="77"/>
        <v>6.6000000000000227</v>
      </c>
      <c r="X2480">
        <v>-98.405997999999997</v>
      </c>
      <c r="Y2480">
        <v>34.775500999999998</v>
      </c>
      <c r="Z2480" t="s">
        <v>90</v>
      </c>
      <c r="AA2480" t="s">
        <v>66</v>
      </c>
      <c r="AB2480" t="s">
        <v>407</v>
      </c>
      <c r="AC2480" t="s">
        <v>1388</v>
      </c>
      <c r="AH2480" t="s">
        <v>72</v>
      </c>
      <c r="AI2480" t="s">
        <v>1532</v>
      </c>
      <c r="AJ2480">
        <v>2018</v>
      </c>
      <c r="AK2480" t="s">
        <v>1390</v>
      </c>
      <c r="AM2480" t="s">
        <v>1391</v>
      </c>
      <c r="AN2480" t="s">
        <v>192</v>
      </c>
      <c r="AO2480">
        <v>4</v>
      </c>
      <c r="AP2480" t="s">
        <v>78</v>
      </c>
      <c r="AQ2480" t="s">
        <v>1392</v>
      </c>
      <c r="AR2480" t="s">
        <v>80</v>
      </c>
      <c r="AS2480">
        <v>101</v>
      </c>
      <c r="AT2480" t="s">
        <v>81</v>
      </c>
      <c r="AU2480">
        <v>-29.29</v>
      </c>
      <c r="AV2480">
        <v>-0.39</v>
      </c>
      <c r="AW2480" t="s">
        <v>82</v>
      </c>
      <c r="AX2480">
        <v>101</v>
      </c>
      <c r="AY2480" t="s">
        <v>81</v>
      </c>
      <c r="AZ2480">
        <v>-28.82</v>
      </c>
      <c r="BA2480">
        <v>0.54</v>
      </c>
      <c r="BB2480" t="s">
        <v>83</v>
      </c>
    </row>
    <row r="2481" spans="1:54" x14ac:dyDescent="0.4">
      <c r="A2481">
        <v>1421392</v>
      </c>
      <c r="D2481" t="s">
        <v>1645</v>
      </c>
      <c r="E2481" t="s">
        <v>310</v>
      </c>
      <c r="I2481" t="s">
        <v>57</v>
      </c>
      <c r="K2481" t="s">
        <v>141</v>
      </c>
      <c r="L2481" t="s">
        <v>5323</v>
      </c>
      <c r="M2481" t="s">
        <v>60</v>
      </c>
      <c r="P2481" t="s">
        <v>121</v>
      </c>
      <c r="R2481" t="s">
        <v>122</v>
      </c>
      <c r="S2481" t="s">
        <v>123</v>
      </c>
      <c r="T2481">
        <v>290.10000000000002</v>
      </c>
      <c r="U2481">
        <v>283.5</v>
      </c>
      <c r="V2481">
        <f t="shared" si="76"/>
        <v>286.8</v>
      </c>
      <c r="W2481">
        <f t="shared" si="77"/>
        <v>6.6000000000000227</v>
      </c>
      <c r="X2481">
        <v>10.618888999999999</v>
      </c>
      <c r="Y2481">
        <v>50.809722999999998</v>
      </c>
      <c r="Z2481" t="s">
        <v>184</v>
      </c>
      <c r="AA2481" t="s">
        <v>211</v>
      </c>
      <c r="AB2481" t="s">
        <v>977</v>
      </c>
      <c r="AC2481" t="s">
        <v>1836</v>
      </c>
      <c r="AD2481" t="s">
        <v>1837</v>
      </c>
      <c r="AE2481" t="s">
        <v>1838</v>
      </c>
      <c r="AF2481" t="s">
        <v>1839</v>
      </c>
      <c r="AH2481" t="s">
        <v>11</v>
      </c>
      <c r="AI2481" t="s">
        <v>5324</v>
      </c>
      <c r="AJ2481">
        <v>2007</v>
      </c>
      <c r="AK2481" t="s">
        <v>1841</v>
      </c>
      <c r="AN2481" t="s">
        <v>114</v>
      </c>
      <c r="AO2481" t="s">
        <v>77</v>
      </c>
      <c r="AP2481" t="s">
        <v>78</v>
      </c>
      <c r="AQ2481" t="s">
        <v>1842</v>
      </c>
      <c r="AR2481" t="s">
        <v>80</v>
      </c>
      <c r="AS2481">
        <v>305</v>
      </c>
      <c r="AT2481" t="s">
        <v>81</v>
      </c>
      <c r="AU2481">
        <v>21.71</v>
      </c>
      <c r="AV2481">
        <v>7.41</v>
      </c>
      <c r="AW2481" t="s">
        <v>82</v>
      </c>
      <c r="AX2481">
        <v>305</v>
      </c>
      <c r="AY2481" t="s">
        <v>81</v>
      </c>
      <c r="AZ2481">
        <v>22.18</v>
      </c>
      <c r="BA2481">
        <v>8.86</v>
      </c>
      <c r="BB2481" t="s">
        <v>83</v>
      </c>
    </row>
    <row r="2482" spans="1:54" x14ac:dyDescent="0.4">
      <c r="A2482">
        <v>1429166</v>
      </c>
      <c r="D2482" t="s">
        <v>54</v>
      </c>
      <c r="I2482" t="s">
        <v>57</v>
      </c>
      <c r="K2482" t="s">
        <v>141</v>
      </c>
      <c r="L2482" t="s">
        <v>5359</v>
      </c>
      <c r="M2482" t="s">
        <v>60</v>
      </c>
      <c r="P2482" t="s">
        <v>121</v>
      </c>
      <c r="R2482" t="s">
        <v>122</v>
      </c>
      <c r="S2482" t="s">
        <v>123</v>
      </c>
      <c r="T2482">
        <v>290.10000000000002</v>
      </c>
      <c r="U2482">
        <v>283.5</v>
      </c>
      <c r="V2482">
        <f t="shared" si="76"/>
        <v>286.8</v>
      </c>
      <c r="W2482">
        <f t="shared" si="77"/>
        <v>6.6000000000000227</v>
      </c>
      <c r="X2482">
        <v>-99.095000999999996</v>
      </c>
      <c r="Y2482">
        <v>33.771999000000001</v>
      </c>
      <c r="Z2482" t="s">
        <v>1251</v>
      </c>
      <c r="AA2482" t="s">
        <v>66</v>
      </c>
      <c r="AB2482" t="s">
        <v>125</v>
      </c>
      <c r="AD2482" t="s">
        <v>5360</v>
      </c>
      <c r="AF2482" t="s">
        <v>5361</v>
      </c>
      <c r="AH2482" t="s">
        <v>72</v>
      </c>
      <c r="AI2482" t="s">
        <v>5362</v>
      </c>
      <c r="AJ2482">
        <v>1908</v>
      </c>
      <c r="AK2482" t="s">
        <v>5363</v>
      </c>
      <c r="AN2482" t="s">
        <v>114</v>
      </c>
      <c r="AO2482">
        <v>3</v>
      </c>
      <c r="AP2482" t="s">
        <v>78</v>
      </c>
      <c r="AQ2482" t="s">
        <v>5364</v>
      </c>
      <c r="AR2482" t="s">
        <v>80</v>
      </c>
      <c r="AS2482">
        <v>101</v>
      </c>
      <c r="AT2482" t="s">
        <v>81</v>
      </c>
      <c r="AU2482">
        <v>-30.3</v>
      </c>
      <c r="AV2482">
        <v>-0.95</v>
      </c>
      <c r="AW2482" t="s">
        <v>82</v>
      </c>
      <c r="AX2482">
        <v>101</v>
      </c>
      <c r="AY2482" t="s">
        <v>81</v>
      </c>
      <c r="AZ2482">
        <v>-29.82</v>
      </c>
      <c r="BA2482">
        <v>-0.04</v>
      </c>
      <c r="BB2482" t="s">
        <v>83</v>
      </c>
    </row>
    <row r="2483" spans="1:54" x14ac:dyDescent="0.4">
      <c r="A2483">
        <v>1545288</v>
      </c>
      <c r="D2483" t="s">
        <v>54</v>
      </c>
      <c r="E2483" t="s">
        <v>154</v>
      </c>
      <c r="F2483" t="s">
        <v>1386</v>
      </c>
      <c r="I2483" t="s">
        <v>57</v>
      </c>
      <c r="K2483" t="s">
        <v>275</v>
      </c>
      <c r="L2483" t="s">
        <v>276</v>
      </c>
      <c r="M2483" t="s">
        <v>60</v>
      </c>
      <c r="N2483" t="s">
        <v>119</v>
      </c>
      <c r="O2483" t="s">
        <v>134</v>
      </c>
      <c r="P2483" t="s">
        <v>121</v>
      </c>
      <c r="R2483" t="s">
        <v>122</v>
      </c>
      <c r="S2483" t="s">
        <v>123</v>
      </c>
      <c r="T2483">
        <v>290.10000000000002</v>
      </c>
      <c r="U2483">
        <v>283.5</v>
      </c>
      <c r="V2483">
        <f t="shared" si="76"/>
        <v>286.8</v>
      </c>
      <c r="W2483">
        <f t="shared" si="77"/>
        <v>6.6000000000000227</v>
      </c>
      <c r="X2483">
        <v>-98.405997999999997</v>
      </c>
      <c r="Y2483">
        <v>34.775500999999998</v>
      </c>
      <c r="Z2483" t="s">
        <v>90</v>
      </c>
      <c r="AA2483" t="s">
        <v>66</v>
      </c>
      <c r="AB2483" t="s">
        <v>407</v>
      </c>
      <c r="AC2483" t="s">
        <v>1388</v>
      </c>
      <c r="AH2483" t="s">
        <v>72</v>
      </c>
      <c r="AI2483" t="s">
        <v>5510</v>
      </c>
      <c r="AJ2483">
        <v>2019</v>
      </c>
      <c r="AK2483" t="s">
        <v>1390</v>
      </c>
      <c r="AM2483" t="s">
        <v>1391</v>
      </c>
      <c r="AN2483" t="s">
        <v>192</v>
      </c>
      <c r="AO2483">
        <v>4</v>
      </c>
      <c r="AP2483" t="s">
        <v>78</v>
      </c>
      <c r="AQ2483" t="s">
        <v>1392</v>
      </c>
      <c r="AR2483" t="s">
        <v>80</v>
      </c>
      <c r="AS2483">
        <v>101</v>
      </c>
      <c r="AT2483" t="s">
        <v>81</v>
      </c>
      <c r="AU2483">
        <v>-29.29</v>
      </c>
      <c r="AV2483">
        <v>-0.39</v>
      </c>
      <c r="AW2483" t="s">
        <v>82</v>
      </c>
      <c r="AX2483">
        <v>101</v>
      </c>
      <c r="AY2483" t="s">
        <v>81</v>
      </c>
      <c r="AZ2483">
        <v>-28.82</v>
      </c>
      <c r="BA2483">
        <v>0.54</v>
      </c>
      <c r="BB2483" t="s">
        <v>83</v>
      </c>
    </row>
    <row r="2484" spans="1:54" x14ac:dyDescent="0.4">
      <c r="A2484">
        <v>1564218</v>
      </c>
      <c r="D2484" t="s">
        <v>54</v>
      </c>
      <c r="I2484" t="s">
        <v>57</v>
      </c>
      <c r="K2484" t="s">
        <v>275</v>
      </c>
      <c r="L2484" t="s">
        <v>276</v>
      </c>
      <c r="M2484" t="s">
        <v>60</v>
      </c>
      <c r="N2484" t="s">
        <v>119</v>
      </c>
      <c r="O2484" t="s">
        <v>134</v>
      </c>
      <c r="P2484" t="s">
        <v>121</v>
      </c>
      <c r="R2484" t="s">
        <v>122</v>
      </c>
      <c r="S2484" t="s">
        <v>123</v>
      </c>
      <c r="T2484">
        <v>290.10000000000002</v>
      </c>
      <c r="U2484">
        <v>283.5</v>
      </c>
      <c r="V2484">
        <f t="shared" si="76"/>
        <v>286.8</v>
      </c>
      <c r="W2484">
        <f t="shared" si="77"/>
        <v>6.6000000000000227</v>
      </c>
      <c r="X2484">
        <v>-97.302779999999998</v>
      </c>
      <c r="Y2484">
        <v>36.304721999999998</v>
      </c>
      <c r="Z2484" t="s">
        <v>356</v>
      </c>
      <c r="AA2484" t="s">
        <v>66</v>
      </c>
      <c r="AB2484" t="s">
        <v>407</v>
      </c>
      <c r="AC2484" t="s">
        <v>1553</v>
      </c>
      <c r="AD2484" t="s">
        <v>1554</v>
      </c>
      <c r="AE2484" t="s">
        <v>1555</v>
      </c>
      <c r="AF2484" t="s">
        <v>5562</v>
      </c>
      <c r="AH2484" t="s">
        <v>11</v>
      </c>
      <c r="AI2484" t="s">
        <v>5563</v>
      </c>
      <c r="AJ2484">
        <v>2002</v>
      </c>
      <c r="AK2484" t="s">
        <v>5564</v>
      </c>
      <c r="AM2484" t="s">
        <v>5565</v>
      </c>
      <c r="AO2484" t="s">
        <v>77</v>
      </c>
      <c r="AQ2484" t="s">
        <v>5566</v>
      </c>
      <c r="AR2484" t="s">
        <v>80</v>
      </c>
      <c r="AS2484">
        <v>101</v>
      </c>
      <c r="AT2484" t="s">
        <v>81</v>
      </c>
      <c r="AU2484">
        <v>-27.73</v>
      </c>
      <c r="AV2484">
        <v>0.45</v>
      </c>
      <c r="AW2484" t="s">
        <v>82</v>
      </c>
      <c r="AX2484">
        <v>101</v>
      </c>
      <c r="AY2484" t="s">
        <v>81</v>
      </c>
      <c r="AZ2484">
        <v>-27.27</v>
      </c>
      <c r="BA2484">
        <v>1.41</v>
      </c>
      <c r="BB2484" t="s">
        <v>83</v>
      </c>
    </row>
    <row r="2485" spans="1:54" x14ac:dyDescent="0.4">
      <c r="A2485">
        <v>1583938</v>
      </c>
      <c r="D2485" t="s">
        <v>1645</v>
      </c>
      <c r="E2485" t="s">
        <v>310</v>
      </c>
      <c r="G2485">
        <v>1</v>
      </c>
      <c r="H2485" t="s">
        <v>56</v>
      </c>
      <c r="I2485" t="s">
        <v>57</v>
      </c>
      <c r="K2485" t="s">
        <v>141</v>
      </c>
      <c r="L2485" t="s">
        <v>5323</v>
      </c>
      <c r="M2485" t="s">
        <v>60</v>
      </c>
      <c r="P2485" t="s">
        <v>121</v>
      </c>
      <c r="R2485" t="s">
        <v>122</v>
      </c>
      <c r="S2485" t="s">
        <v>123</v>
      </c>
      <c r="T2485">
        <v>290.10000000000002</v>
      </c>
      <c r="U2485">
        <v>283.5</v>
      </c>
      <c r="V2485">
        <f t="shared" si="76"/>
        <v>286.8</v>
      </c>
      <c r="W2485">
        <f t="shared" si="77"/>
        <v>6.6000000000000227</v>
      </c>
      <c r="X2485">
        <v>10.618888999999999</v>
      </c>
      <c r="Y2485">
        <v>50.809722999999998</v>
      </c>
      <c r="Z2485" t="s">
        <v>184</v>
      </c>
      <c r="AA2485" t="s">
        <v>211</v>
      </c>
      <c r="AB2485" t="s">
        <v>977</v>
      </c>
      <c r="AC2485" t="s">
        <v>1836</v>
      </c>
      <c r="AD2485" t="s">
        <v>1837</v>
      </c>
      <c r="AE2485" t="s">
        <v>1838</v>
      </c>
      <c r="AF2485" t="s">
        <v>1839</v>
      </c>
      <c r="AH2485" t="s">
        <v>72</v>
      </c>
      <c r="AI2485" t="s">
        <v>5594</v>
      </c>
      <c r="AJ2485">
        <v>1908</v>
      </c>
      <c r="AK2485" t="s">
        <v>1841</v>
      </c>
      <c r="AN2485" t="s">
        <v>114</v>
      </c>
      <c r="AO2485" t="s">
        <v>77</v>
      </c>
      <c r="AP2485" t="s">
        <v>78</v>
      </c>
      <c r="AQ2485" t="s">
        <v>1842</v>
      </c>
      <c r="AR2485" t="s">
        <v>80</v>
      </c>
      <c r="AS2485">
        <v>305</v>
      </c>
      <c r="AT2485" t="s">
        <v>81</v>
      </c>
      <c r="AU2485">
        <v>21.71</v>
      </c>
      <c r="AV2485">
        <v>7.41</v>
      </c>
      <c r="AW2485" t="s">
        <v>82</v>
      </c>
      <c r="AX2485">
        <v>305</v>
      </c>
      <c r="AY2485" t="s">
        <v>81</v>
      </c>
      <c r="AZ2485">
        <v>22.18</v>
      </c>
      <c r="BA2485">
        <v>8.86</v>
      </c>
      <c r="BB2485" t="s">
        <v>83</v>
      </c>
    </row>
    <row r="2486" spans="1:54" x14ac:dyDescent="0.4">
      <c r="A2486">
        <v>1583938</v>
      </c>
      <c r="D2486" t="s">
        <v>1645</v>
      </c>
      <c r="E2486" t="s">
        <v>310</v>
      </c>
      <c r="G2486">
        <v>1</v>
      </c>
      <c r="H2486" t="s">
        <v>56</v>
      </c>
      <c r="I2486" t="s">
        <v>57</v>
      </c>
      <c r="K2486" t="s">
        <v>141</v>
      </c>
      <c r="L2486" t="s">
        <v>5323</v>
      </c>
      <c r="M2486" t="s">
        <v>60</v>
      </c>
      <c r="P2486" t="s">
        <v>121</v>
      </c>
      <c r="R2486" t="s">
        <v>122</v>
      </c>
      <c r="S2486" t="s">
        <v>123</v>
      </c>
      <c r="T2486">
        <v>290.10000000000002</v>
      </c>
      <c r="U2486">
        <v>283.5</v>
      </c>
      <c r="V2486">
        <f t="shared" si="76"/>
        <v>286.8</v>
      </c>
      <c r="W2486">
        <f t="shared" si="77"/>
        <v>6.6000000000000227</v>
      </c>
      <c r="X2486">
        <v>10.618888999999999</v>
      </c>
      <c r="Y2486">
        <v>50.809722999999998</v>
      </c>
      <c r="Z2486" t="s">
        <v>184</v>
      </c>
      <c r="AA2486" t="s">
        <v>211</v>
      </c>
      <c r="AB2486" t="s">
        <v>977</v>
      </c>
      <c r="AC2486" t="s">
        <v>1836</v>
      </c>
      <c r="AD2486" t="s">
        <v>1837</v>
      </c>
      <c r="AE2486" t="s">
        <v>1838</v>
      </c>
      <c r="AF2486" t="s">
        <v>1839</v>
      </c>
      <c r="AH2486" t="s">
        <v>72</v>
      </c>
      <c r="AI2486" t="s">
        <v>5594</v>
      </c>
      <c r="AJ2486">
        <v>1908</v>
      </c>
      <c r="AK2486" t="s">
        <v>1841</v>
      </c>
      <c r="AN2486" t="s">
        <v>114</v>
      </c>
      <c r="AO2486" t="s">
        <v>77</v>
      </c>
      <c r="AP2486" t="s">
        <v>78</v>
      </c>
      <c r="AQ2486" t="s">
        <v>1842</v>
      </c>
      <c r="AR2486" t="s">
        <v>80</v>
      </c>
      <c r="AS2486">
        <v>305</v>
      </c>
      <c r="AT2486" t="s">
        <v>81</v>
      </c>
      <c r="AU2486">
        <v>21.71</v>
      </c>
      <c r="AV2486">
        <v>7.41</v>
      </c>
      <c r="AW2486" t="s">
        <v>82</v>
      </c>
      <c r="AX2486">
        <v>305</v>
      </c>
      <c r="AY2486" t="s">
        <v>81</v>
      </c>
      <c r="AZ2486">
        <v>22.18</v>
      </c>
      <c r="BA2486">
        <v>8.86</v>
      </c>
      <c r="BB2486" t="s">
        <v>83</v>
      </c>
    </row>
    <row r="2487" spans="1:54" x14ac:dyDescent="0.4">
      <c r="A2487">
        <v>1583938</v>
      </c>
      <c r="D2487" t="s">
        <v>1645</v>
      </c>
      <c r="E2487" t="s">
        <v>310</v>
      </c>
      <c r="G2487">
        <v>1</v>
      </c>
      <c r="H2487" t="s">
        <v>56</v>
      </c>
      <c r="I2487" t="s">
        <v>57</v>
      </c>
      <c r="K2487" t="s">
        <v>141</v>
      </c>
      <c r="L2487" t="s">
        <v>5323</v>
      </c>
      <c r="M2487" t="s">
        <v>60</v>
      </c>
      <c r="P2487" t="s">
        <v>121</v>
      </c>
      <c r="R2487" t="s">
        <v>122</v>
      </c>
      <c r="S2487" t="s">
        <v>123</v>
      </c>
      <c r="T2487">
        <v>290.10000000000002</v>
      </c>
      <c r="U2487">
        <v>283.5</v>
      </c>
      <c r="V2487">
        <f t="shared" si="76"/>
        <v>286.8</v>
      </c>
      <c r="W2487">
        <f t="shared" si="77"/>
        <v>6.6000000000000227</v>
      </c>
      <c r="X2487">
        <v>10.618888999999999</v>
      </c>
      <c r="Y2487">
        <v>50.809722999999998</v>
      </c>
      <c r="Z2487" t="s">
        <v>184</v>
      </c>
      <c r="AA2487" t="s">
        <v>211</v>
      </c>
      <c r="AB2487" t="s">
        <v>977</v>
      </c>
      <c r="AC2487" t="s">
        <v>1836</v>
      </c>
      <c r="AD2487" t="s">
        <v>1837</v>
      </c>
      <c r="AE2487" t="s">
        <v>1838</v>
      </c>
      <c r="AF2487" t="s">
        <v>1839</v>
      </c>
      <c r="AH2487" t="s">
        <v>72</v>
      </c>
      <c r="AI2487" t="s">
        <v>5594</v>
      </c>
      <c r="AJ2487">
        <v>1908</v>
      </c>
      <c r="AK2487" t="s">
        <v>1841</v>
      </c>
      <c r="AN2487" t="s">
        <v>114</v>
      </c>
      <c r="AO2487" t="s">
        <v>77</v>
      </c>
      <c r="AP2487" t="s">
        <v>78</v>
      </c>
      <c r="AQ2487" t="s">
        <v>1842</v>
      </c>
      <c r="AR2487" t="s">
        <v>80</v>
      </c>
      <c r="AS2487">
        <v>305</v>
      </c>
      <c r="AT2487" t="s">
        <v>81</v>
      </c>
      <c r="AU2487">
        <v>21.71</v>
      </c>
      <c r="AV2487">
        <v>7.41</v>
      </c>
      <c r="AW2487" t="s">
        <v>82</v>
      </c>
      <c r="AX2487">
        <v>305</v>
      </c>
      <c r="AY2487" t="s">
        <v>81</v>
      </c>
      <c r="AZ2487">
        <v>22.18</v>
      </c>
      <c r="BA2487">
        <v>8.86</v>
      </c>
      <c r="BB2487" t="s">
        <v>83</v>
      </c>
    </row>
    <row r="2488" spans="1:54" x14ac:dyDescent="0.4">
      <c r="A2488">
        <v>1583938</v>
      </c>
      <c r="D2488" t="s">
        <v>1645</v>
      </c>
      <c r="E2488" t="s">
        <v>310</v>
      </c>
      <c r="G2488">
        <v>1</v>
      </c>
      <c r="H2488" t="s">
        <v>56</v>
      </c>
      <c r="I2488" t="s">
        <v>57</v>
      </c>
      <c r="K2488" t="s">
        <v>141</v>
      </c>
      <c r="L2488" t="s">
        <v>5323</v>
      </c>
      <c r="M2488" t="s">
        <v>60</v>
      </c>
      <c r="P2488" t="s">
        <v>121</v>
      </c>
      <c r="R2488" t="s">
        <v>122</v>
      </c>
      <c r="S2488" t="s">
        <v>123</v>
      </c>
      <c r="T2488">
        <v>290.10000000000002</v>
      </c>
      <c r="U2488">
        <v>283.5</v>
      </c>
      <c r="V2488">
        <f t="shared" si="76"/>
        <v>286.8</v>
      </c>
      <c r="W2488">
        <f t="shared" si="77"/>
        <v>6.6000000000000227</v>
      </c>
      <c r="X2488">
        <v>10.618888999999999</v>
      </c>
      <c r="Y2488">
        <v>50.809722999999998</v>
      </c>
      <c r="Z2488" t="s">
        <v>184</v>
      </c>
      <c r="AA2488" t="s">
        <v>211</v>
      </c>
      <c r="AB2488" t="s">
        <v>977</v>
      </c>
      <c r="AC2488" t="s">
        <v>1836</v>
      </c>
      <c r="AD2488" t="s">
        <v>1837</v>
      </c>
      <c r="AE2488" t="s">
        <v>1838</v>
      </c>
      <c r="AF2488" t="s">
        <v>1839</v>
      </c>
      <c r="AH2488" t="s">
        <v>72</v>
      </c>
      <c r="AI2488" t="s">
        <v>5594</v>
      </c>
      <c r="AJ2488">
        <v>1908</v>
      </c>
      <c r="AK2488" t="s">
        <v>1841</v>
      </c>
      <c r="AN2488" t="s">
        <v>114</v>
      </c>
      <c r="AO2488" t="s">
        <v>77</v>
      </c>
      <c r="AP2488" t="s">
        <v>78</v>
      </c>
      <c r="AQ2488" t="s">
        <v>1842</v>
      </c>
      <c r="AR2488" t="s">
        <v>80</v>
      </c>
      <c r="AS2488">
        <v>305</v>
      </c>
      <c r="AT2488" t="s">
        <v>81</v>
      </c>
      <c r="AU2488">
        <v>21.71</v>
      </c>
      <c r="AV2488">
        <v>7.41</v>
      </c>
      <c r="AW2488" t="s">
        <v>82</v>
      </c>
      <c r="AX2488">
        <v>305</v>
      </c>
      <c r="AY2488" t="s">
        <v>81</v>
      </c>
      <c r="AZ2488">
        <v>22.18</v>
      </c>
      <c r="BA2488">
        <v>8.86</v>
      </c>
      <c r="BB2488" t="s">
        <v>83</v>
      </c>
    </row>
    <row r="2489" spans="1:54" x14ac:dyDescent="0.4">
      <c r="A2489">
        <v>1583938</v>
      </c>
      <c r="D2489" t="s">
        <v>1645</v>
      </c>
      <c r="E2489" t="s">
        <v>310</v>
      </c>
      <c r="G2489">
        <v>1</v>
      </c>
      <c r="H2489" t="s">
        <v>56</v>
      </c>
      <c r="I2489" t="s">
        <v>57</v>
      </c>
      <c r="K2489" t="s">
        <v>141</v>
      </c>
      <c r="L2489" t="s">
        <v>5323</v>
      </c>
      <c r="M2489" t="s">
        <v>60</v>
      </c>
      <c r="P2489" t="s">
        <v>121</v>
      </c>
      <c r="R2489" t="s">
        <v>122</v>
      </c>
      <c r="S2489" t="s">
        <v>123</v>
      </c>
      <c r="T2489">
        <v>290.10000000000002</v>
      </c>
      <c r="U2489">
        <v>283.5</v>
      </c>
      <c r="V2489">
        <f t="shared" si="76"/>
        <v>286.8</v>
      </c>
      <c r="W2489">
        <f t="shared" si="77"/>
        <v>6.6000000000000227</v>
      </c>
      <c r="X2489">
        <v>10.618888999999999</v>
      </c>
      <c r="Y2489">
        <v>50.809722999999998</v>
      </c>
      <c r="Z2489" t="s">
        <v>184</v>
      </c>
      <c r="AA2489" t="s">
        <v>211</v>
      </c>
      <c r="AB2489" t="s">
        <v>977</v>
      </c>
      <c r="AC2489" t="s">
        <v>1836</v>
      </c>
      <c r="AD2489" t="s">
        <v>1837</v>
      </c>
      <c r="AE2489" t="s">
        <v>1838</v>
      </c>
      <c r="AF2489" t="s">
        <v>1839</v>
      </c>
      <c r="AH2489" t="s">
        <v>72</v>
      </c>
      <c r="AI2489" t="s">
        <v>5594</v>
      </c>
      <c r="AJ2489">
        <v>1908</v>
      </c>
      <c r="AK2489" t="s">
        <v>1841</v>
      </c>
      <c r="AN2489" t="s">
        <v>114</v>
      </c>
      <c r="AO2489" t="s">
        <v>77</v>
      </c>
      <c r="AP2489" t="s">
        <v>78</v>
      </c>
      <c r="AQ2489" t="s">
        <v>1842</v>
      </c>
      <c r="AR2489" t="s">
        <v>80</v>
      </c>
      <c r="AS2489">
        <v>305</v>
      </c>
      <c r="AT2489" t="s">
        <v>81</v>
      </c>
      <c r="AU2489">
        <v>21.71</v>
      </c>
      <c r="AV2489">
        <v>7.41</v>
      </c>
      <c r="AW2489" t="s">
        <v>82</v>
      </c>
      <c r="AX2489">
        <v>305</v>
      </c>
      <c r="AY2489" t="s">
        <v>81</v>
      </c>
      <c r="AZ2489">
        <v>22.18</v>
      </c>
      <c r="BA2489">
        <v>8.86</v>
      </c>
      <c r="BB2489" t="s">
        <v>83</v>
      </c>
    </row>
    <row r="2490" spans="1:54" x14ac:dyDescent="0.4">
      <c r="A2490">
        <v>1583938</v>
      </c>
      <c r="D2490" t="s">
        <v>1645</v>
      </c>
      <c r="E2490" t="s">
        <v>310</v>
      </c>
      <c r="G2490">
        <v>1</v>
      </c>
      <c r="H2490" t="s">
        <v>56</v>
      </c>
      <c r="I2490" t="s">
        <v>57</v>
      </c>
      <c r="K2490" t="s">
        <v>141</v>
      </c>
      <c r="L2490" t="s">
        <v>5323</v>
      </c>
      <c r="M2490" t="s">
        <v>60</v>
      </c>
      <c r="P2490" t="s">
        <v>121</v>
      </c>
      <c r="R2490" t="s">
        <v>122</v>
      </c>
      <c r="S2490" t="s">
        <v>123</v>
      </c>
      <c r="T2490">
        <v>290.10000000000002</v>
      </c>
      <c r="U2490">
        <v>283.5</v>
      </c>
      <c r="V2490">
        <f t="shared" si="76"/>
        <v>286.8</v>
      </c>
      <c r="W2490">
        <f t="shared" si="77"/>
        <v>6.6000000000000227</v>
      </c>
      <c r="X2490">
        <v>10.618888999999999</v>
      </c>
      <c r="Y2490">
        <v>50.809722999999998</v>
      </c>
      <c r="Z2490" t="s">
        <v>184</v>
      </c>
      <c r="AA2490" t="s">
        <v>211</v>
      </c>
      <c r="AB2490" t="s">
        <v>977</v>
      </c>
      <c r="AC2490" t="s">
        <v>1836</v>
      </c>
      <c r="AD2490" t="s">
        <v>1837</v>
      </c>
      <c r="AE2490" t="s">
        <v>1838</v>
      </c>
      <c r="AF2490" t="s">
        <v>1839</v>
      </c>
      <c r="AH2490" t="s">
        <v>72</v>
      </c>
      <c r="AI2490" t="s">
        <v>5594</v>
      </c>
      <c r="AJ2490">
        <v>1908</v>
      </c>
      <c r="AK2490" t="s">
        <v>1841</v>
      </c>
      <c r="AN2490" t="s">
        <v>114</v>
      </c>
      <c r="AO2490" t="s">
        <v>77</v>
      </c>
      <c r="AP2490" t="s">
        <v>78</v>
      </c>
      <c r="AQ2490" t="s">
        <v>1842</v>
      </c>
      <c r="AR2490" t="s">
        <v>80</v>
      </c>
      <c r="AS2490">
        <v>305</v>
      </c>
      <c r="AT2490" t="s">
        <v>81</v>
      </c>
      <c r="AU2490">
        <v>21.71</v>
      </c>
      <c r="AV2490">
        <v>7.41</v>
      </c>
      <c r="AW2490" t="s">
        <v>82</v>
      </c>
      <c r="AX2490">
        <v>305</v>
      </c>
      <c r="AY2490" t="s">
        <v>81</v>
      </c>
      <c r="AZ2490">
        <v>22.18</v>
      </c>
      <c r="BA2490">
        <v>8.86</v>
      </c>
      <c r="BB2490" t="s">
        <v>83</v>
      </c>
    </row>
    <row r="2491" spans="1:54" x14ac:dyDescent="0.4">
      <c r="A2491">
        <v>1583938</v>
      </c>
      <c r="D2491" t="s">
        <v>1645</v>
      </c>
      <c r="E2491" t="s">
        <v>310</v>
      </c>
      <c r="G2491">
        <v>1</v>
      </c>
      <c r="H2491" t="s">
        <v>56</v>
      </c>
      <c r="I2491" t="s">
        <v>57</v>
      </c>
      <c r="K2491" t="s">
        <v>141</v>
      </c>
      <c r="L2491" t="s">
        <v>5323</v>
      </c>
      <c r="M2491" t="s">
        <v>60</v>
      </c>
      <c r="P2491" t="s">
        <v>121</v>
      </c>
      <c r="R2491" t="s">
        <v>122</v>
      </c>
      <c r="S2491" t="s">
        <v>123</v>
      </c>
      <c r="T2491">
        <v>290.10000000000002</v>
      </c>
      <c r="U2491">
        <v>283.5</v>
      </c>
      <c r="V2491">
        <f t="shared" si="76"/>
        <v>286.8</v>
      </c>
      <c r="W2491">
        <f t="shared" si="77"/>
        <v>6.6000000000000227</v>
      </c>
      <c r="X2491">
        <v>10.618888999999999</v>
      </c>
      <c r="Y2491">
        <v>50.809722999999998</v>
      </c>
      <c r="Z2491" t="s">
        <v>184</v>
      </c>
      <c r="AA2491" t="s">
        <v>211</v>
      </c>
      <c r="AB2491" t="s">
        <v>977</v>
      </c>
      <c r="AC2491" t="s">
        <v>1836</v>
      </c>
      <c r="AD2491" t="s">
        <v>1837</v>
      </c>
      <c r="AE2491" t="s">
        <v>1838</v>
      </c>
      <c r="AF2491" t="s">
        <v>1839</v>
      </c>
      <c r="AH2491" t="s">
        <v>72</v>
      </c>
      <c r="AI2491" t="s">
        <v>5594</v>
      </c>
      <c r="AJ2491">
        <v>1908</v>
      </c>
      <c r="AK2491" t="s">
        <v>1841</v>
      </c>
      <c r="AN2491" t="s">
        <v>114</v>
      </c>
      <c r="AO2491" t="s">
        <v>77</v>
      </c>
      <c r="AP2491" t="s">
        <v>78</v>
      </c>
      <c r="AQ2491" t="s">
        <v>1842</v>
      </c>
      <c r="AR2491" t="s">
        <v>80</v>
      </c>
      <c r="AS2491">
        <v>305</v>
      </c>
      <c r="AT2491" t="s">
        <v>81</v>
      </c>
      <c r="AU2491">
        <v>21.71</v>
      </c>
      <c r="AV2491">
        <v>7.41</v>
      </c>
      <c r="AW2491" t="s">
        <v>82</v>
      </c>
      <c r="AX2491">
        <v>305</v>
      </c>
      <c r="AY2491" t="s">
        <v>81</v>
      </c>
      <c r="AZ2491">
        <v>22.18</v>
      </c>
      <c r="BA2491">
        <v>8.86</v>
      </c>
      <c r="BB2491" t="s">
        <v>83</v>
      </c>
    </row>
    <row r="2492" spans="1:54" x14ac:dyDescent="0.4">
      <c r="A2492">
        <v>1583938</v>
      </c>
      <c r="D2492" t="s">
        <v>1645</v>
      </c>
      <c r="E2492" t="s">
        <v>310</v>
      </c>
      <c r="G2492">
        <v>1</v>
      </c>
      <c r="H2492" t="s">
        <v>56</v>
      </c>
      <c r="I2492" t="s">
        <v>57</v>
      </c>
      <c r="K2492" t="s">
        <v>141</v>
      </c>
      <c r="L2492" t="s">
        <v>5323</v>
      </c>
      <c r="M2492" t="s">
        <v>60</v>
      </c>
      <c r="P2492" t="s">
        <v>121</v>
      </c>
      <c r="R2492" t="s">
        <v>122</v>
      </c>
      <c r="S2492" t="s">
        <v>123</v>
      </c>
      <c r="T2492">
        <v>290.10000000000002</v>
      </c>
      <c r="U2492">
        <v>283.5</v>
      </c>
      <c r="V2492">
        <f t="shared" si="76"/>
        <v>286.8</v>
      </c>
      <c r="W2492">
        <f t="shared" si="77"/>
        <v>6.6000000000000227</v>
      </c>
      <c r="X2492">
        <v>10.618888999999999</v>
      </c>
      <c r="Y2492">
        <v>50.809722999999998</v>
      </c>
      <c r="Z2492" t="s">
        <v>184</v>
      </c>
      <c r="AA2492" t="s">
        <v>211</v>
      </c>
      <c r="AB2492" t="s">
        <v>977</v>
      </c>
      <c r="AC2492" t="s">
        <v>1836</v>
      </c>
      <c r="AD2492" t="s">
        <v>1837</v>
      </c>
      <c r="AE2492" t="s">
        <v>1838</v>
      </c>
      <c r="AF2492" t="s">
        <v>1839</v>
      </c>
      <c r="AH2492" t="s">
        <v>72</v>
      </c>
      <c r="AI2492" t="s">
        <v>5594</v>
      </c>
      <c r="AJ2492">
        <v>1908</v>
      </c>
      <c r="AK2492" t="s">
        <v>1841</v>
      </c>
      <c r="AN2492" t="s">
        <v>114</v>
      </c>
      <c r="AO2492" t="s">
        <v>77</v>
      </c>
      <c r="AP2492" t="s">
        <v>78</v>
      </c>
      <c r="AQ2492" t="s">
        <v>1842</v>
      </c>
      <c r="AR2492" t="s">
        <v>80</v>
      </c>
      <c r="AS2492">
        <v>305</v>
      </c>
      <c r="AT2492" t="s">
        <v>81</v>
      </c>
      <c r="AU2492">
        <v>21.71</v>
      </c>
      <c r="AV2492">
        <v>7.41</v>
      </c>
      <c r="AW2492" t="s">
        <v>82</v>
      </c>
      <c r="AX2492">
        <v>305</v>
      </c>
      <c r="AY2492" t="s">
        <v>81</v>
      </c>
      <c r="AZ2492">
        <v>22.18</v>
      </c>
      <c r="BA2492">
        <v>8.86</v>
      </c>
      <c r="BB2492" t="s">
        <v>83</v>
      </c>
    </row>
    <row r="2493" spans="1:54" x14ac:dyDescent="0.4">
      <c r="A2493">
        <v>1583938</v>
      </c>
      <c r="D2493" t="s">
        <v>1645</v>
      </c>
      <c r="E2493" t="s">
        <v>310</v>
      </c>
      <c r="G2493">
        <v>1</v>
      </c>
      <c r="H2493" t="s">
        <v>56</v>
      </c>
      <c r="I2493" t="s">
        <v>57</v>
      </c>
      <c r="K2493" t="s">
        <v>141</v>
      </c>
      <c r="L2493" t="s">
        <v>5323</v>
      </c>
      <c r="M2493" t="s">
        <v>60</v>
      </c>
      <c r="P2493" t="s">
        <v>121</v>
      </c>
      <c r="R2493" t="s">
        <v>122</v>
      </c>
      <c r="S2493" t="s">
        <v>123</v>
      </c>
      <c r="T2493">
        <v>290.10000000000002</v>
      </c>
      <c r="U2493">
        <v>283.5</v>
      </c>
      <c r="V2493">
        <f t="shared" si="76"/>
        <v>286.8</v>
      </c>
      <c r="W2493">
        <f t="shared" si="77"/>
        <v>6.6000000000000227</v>
      </c>
      <c r="X2493">
        <v>10.618888999999999</v>
      </c>
      <c r="Y2493">
        <v>50.809722999999998</v>
      </c>
      <c r="Z2493" t="s">
        <v>184</v>
      </c>
      <c r="AA2493" t="s">
        <v>211</v>
      </c>
      <c r="AB2493" t="s">
        <v>977</v>
      </c>
      <c r="AC2493" t="s">
        <v>1836</v>
      </c>
      <c r="AD2493" t="s">
        <v>1837</v>
      </c>
      <c r="AE2493" t="s">
        <v>1838</v>
      </c>
      <c r="AF2493" t="s">
        <v>1839</v>
      </c>
      <c r="AH2493" t="s">
        <v>72</v>
      </c>
      <c r="AI2493" t="s">
        <v>5594</v>
      </c>
      <c r="AJ2493">
        <v>1908</v>
      </c>
      <c r="AK2493" t="s">
        <v>1841</v>
      </c>
      <c r="AN2493" t="s">
        <v>114</v>
      </c>
      <c r="AO2493" t="s">
        <v>77</v>
      </c>
      <c r="AP2493" t="s">
        <v>78</v>
      </c>
      <c r="AQ2493" t="s">
        <v>1842</v>
      </c>
      <c r="AR2493" t="s">
        <v>80</v>
      </c>
      <c r="AS2493">
        <v>305</v>
      </c>
      <c r="AT2493" t="s">
        <v>81</v>
      </c>
      <c r="AU2493">
        <v>21.71</v>
      </c>
      <c r="AV2493">
        <v>7.41</v>
      </c>
      <c r="AW2493" t="s">
        <v>82</v>
      </c>
      <c r="AX2493">
        <v>305</v>
      </c>
      <c r="AY2493" t="s">
        <v>81</v>
      </c>
      <c r="AZ2493">
        <v>22.18</v>
      </c>
      <c r="BA2493">
        <v>8.86</v>
      </c>
      <c r="BB2493" t="s">
        <v>83</v>
      </c>
    </row>
    <row r="2494" spans="1:54" x14ac:dyDescent="0.4">
      <c r="A2494">
        <v>1583938</v>
      </c>
      <c r="D2494" t="s">
        <v>1645</v>
      </c>
      <c r="E2494" t="s">
        <v>310</v>
      </c>
      <c r="G2494">
        <v>1</v>
      </c>
      <c r="H2494" t="s">
        <v>56</v>
      </c>
      <c r="I2494" t="s">
        <v>57</v>
      </c>
      <c r="K2494" t="s">
        <v>141</v>
      </c>
      <c r="L2494" t="s">
        <v>5323</v>
      </c>
      <c r="M2494" t="s">
        <v>60</v>
      </c>
      <c r="P2494" t="s">
        <v>121</v>
      </c>
      <c r="R2494" t="s">
        <v>122</v>
      </c>
      <c r="S2494" t="s">
        <v>123</v>
      </c>
      <c r="T2494">
        <v>290.10000000000002</v>
      </c>
      <c r="U2494">
        <v>283.5</v>
      </c>
      <c r="V2494">
        <f t="shared" si="76"/>
        <v>286.8</v>
      </c>
      <c r="W2494">
        <f t="shared" si="77"/>
        <v>6.6000000000000227</v>
      </c>
      <c r="X2494">
        <v>10.618888999999999</v>
      </c>
      <c r="Y2494">
        <v>50.809722999999998</v>
      </c>
      <c r="Z2494" t="s">
        <v>184</v>
      </c>
      <c r="AA2494" t="s">
        <v>211</v>
      </c>
      <c r="AB2494" t="s">
        <v>977</v>
      </c>
      <c r="AC2494" t="s">
        <v>1836</v>
      </c>
      <c r="AD2494" t="s">
        <v>1837</v>
      </c>
      <c r="AE2494" t="s">
        <v>1838</v>
      </c>
      <c r="AF2494" t="s">
        <v>1839</v>
      </c>
      <c r="AH2494" t="s">
        <v>72</v>
      </c>
      <c r="AI2494" t="s">
        <v>5594</v>
      </c>
      <c r="AJ2494">
        <v>1908</v>
      </c>
      <c r="AK2494" t="s">
        <v>1841</v>
      </c>
      <c r="AN2494" t="s">
        <v>114</v>
      </c>
      <c r="AO2494" t="s">
        <v>77</v>
      </c>
      <c r="AP2494" t="s">
        <v>78</v>
      </c>
      <c r="AQ2494" t="s">
        <v>1842</v>
      </c>
      <c r="AR2494" t="s">
        <v>80</v>
      </c>
      <c r="AS2494">
        <v>305</v>
      </c>
      <c r="AT2494" t="s">
        <v>81</v>
      </c>
      <c r="AU2494">
        <v>21.71</v>
      </c>
      <c r="AV2494">
        <v>7.41</v>
      </c>
      <c r="AW2494" t="s">
        <v>82</v>
      </c>
      <c r="AX2494">
        <v>305</v>
      </c>
      <c r="AY2494" t="s">
        <v>81</v>
      </c>
      <c r="AZ2494">
        <v>22.18</v>
      </c>
      <c r="BA2494">
        <v>8.86</v>
      </c>
      <c r="BB2494" t="s">
        <v>83</v>
      </c>
    </row>
    <row r="2495" spans="1:54" x14ac:dyDescent="0.4">
      <c r="A2495">
        <v>1583938</v>
      </c>
      <c r="D2495" t="s">
        <v>1645</v>
      </c>
      <c r="E2495" t="s">
        <v>310</v>
      </c>
      <c r="G2495">
        <v>1</v>
      </c>
      <c r="H2495" t="s">
        <v>56</v>
      </c>
      <c r="I2495" t="s">
        <v>57</v>
      </c>
      <c r="K2495" t="s">
        <v>141</v>
      </c>
      <c r="L2495" t="s">
        <v>5323</v>
      </c>
      <c r="M2495" t="s">
        <v>60</v>
      </c>
      <c r="P2495" t="s">
        <v>121</v>
      </c>
      <c r="R2495" t="s">
        <v>122</v>
      </c>
      <c r="S2495" t="s">
        <v>123</v>
      </c>
      <c r="T2495">
        <v>290.10000000000002</v>
      </c>
      <c r="U2495">
        <v>283.5</v>
      </c>
      <c r="V2495">
        <f t="shared" si="76"/>
        <v>286.8</v>
      </c>
      <c r="W2495">
        <f t="shared" si="77"/>
        <v>6.6000000000000227</v>
      </c>
      <c r="X2495">
        <v>10.618888999999999</v>
      </c>
      <c r="Y2495">
        <v>50.809722999999998</v>
      </c>
      <c r="Z2495" t="s">
        <v>184</v>
      </c>
      <c r="AA2495" t="s">
        <v>211</v>
      </c>
      <c r="AB2495" t="s">
        <v>977</v>
      </c>
      <c r="AC2495" t="s">
        <v>1836</v>
      </c>
      <c r="AD2495" t="s">
        <v>1837</v>
      </c>
      <c r="AE2495" t="s">
        <v>1838</v>
      </c>
      <c r="AF2495" t="s">
        <v>1839</v>
      </c>
      <c r="AH2495" t="s">
        <v>72</v>
      </c>
      <c r="AI2495" t="s">
        <v>5594</v>
      </c>
      <c r="AJ2495">
        <v>1908</v>
      </c>
      <c r="AK2495" t="s">
        <v>1841</v>
      </c>
      <c r="AN2495" t="s">
        <v>114</v>
      </c>
      <c r="AO2495" t="s">
        <v>77</v>
      </c>
      <c r="AP2495" t="s">
        <v>78</v>
      </c>
      <c r="AQ2495" t="s">
        <v>1842</v>
      </c>
      <c r="AR2495" t="s">
        <v>80</v>
      </c>
      <c r="AS2495">
        <v>305</v>
      </c>
      <c r="AT2495" t="s">
        <v>81</v>
      </c>
      <c r="AU2495">
        <v>21.71</v>
      </c>
      <c r="AV2495">
        <v>7.41</v>
      </c>
      <c r="AW2495" t="s">
        <v>82</v>
      </c>
      <c r="AX2495">
        <v>305</v>
      </c>
      <c r="AY2495" t="s">
        <v>81</v>
      </c>
      <c r="AZ2495">
        <v>22.18</v>
      </c>
      <c r="BA2495">
        <v>8.86</v>
      </c>
      <c r="BB2495" t="s">
        <v>83</v>
      </c>
    </row>
    <row r="2496" spans="1:54" x14ac:dyDescent="0.4">
      <c r="A2496">
        <v>1583938</v>
      </c>
      <c r="D2496" t="s">
        <v>1645</v>
      </c>
      <c r="E2496" t="s">
        <v>310</v>
      </c>
      <c r="G2496">
        <v>1</v>
      </c>
      <c r="H2496" t="s">
        <v>56</v>
      </c>
      <c r="I2496" t="s">
        <v>57</v>
      </c>
      <c r="K2496" t="s">
        <v>141</v>
      </c>
      <c r="L2496" t="s">
        <v>5323</v>
      </c>
      <c r="M2496" t="s">
        <v>60</v>
      </c>
      <c r="P2496" t="s">
        <v>121</v>
      </c>
      <c r="R2496" t="s">
        <v>122</v>
      </c>
      <c r="S2496" t="s">
        <v>123</v>
      </c>
      <c r="T2496">
        <v>290.10000000000002</v>
      </c>
      <c r="U2496">
        <v>283.5</v>
      </c>
      <c r="V2496">
        <f t="shared" si="76"/>
        <v>286.8</v>
      </c>
      <c r="W2496">
        <f t="shared" si="77"/>
        <v>6.6000000000000227</v>
      </c>
      <c r="X2496">
        <v>10.618888999999999</v>
      </c>
      <c r="Y2496">
        <v>50.809722999999998</v>
      </c>
      <c r="Z2496" t="s">
        <v>184</v>
      </c>
      <c r="AA2496" t="s">
        <v>211</v>
      </c>
      <c r="AB2496" t="s">
        <v>977</v>
      </c>
      <c r="AC2496" t="s">
        <v>1836</v>
      </c>
      <c r="AD2496" t="s">
        <v>1837</v>
      </c>
      <c r="AE2496" t="s">
        <v>1838</v>
      </c>
      <c r="AF2496" t="s">
        <v>1839</v>
      </c>
      <c r="AH2496" t="s">
        <v>72</v>
      </c>
      <c r="AI2496" t="s">
        <v>5594</v>
      </c>
      <c r="AJ2496">
        <v>1908</v>
      </c>
      <c r="AK2496" t="s">
        <v>1841</v>
      </c>
      <c r="AN2496" t="s">
        <v>114</v>
      </c>
      <c r="AO2496" t="s">
        <v>77</v>
      </c>
      <c r="AP2496" t="s">
        <v>78</v>
      </c>
      <c r="AQ2496" t="s">
        <v>1842</v>
      </c>
      <c r="AR2496" t="s">
        <v>80</v>
      </c>
      <c r="AS2496">
        <v>305</v>
      </c>
      <c r="AT2496" t="s">
        <v>81</v>
      </c>
      <c r="AU2496">
        <v>21.71</v>
      </c>
      <c r="AV2496">
        <v>7.41</v>
      </c>
      <c r="AW2496" t="s">
        <v>82</v>
      </c>
      <c r="AX2496">
        <v>305</v>
      </c>
      <c r="AY2496" t="s">
        <v>81</v>
      </c>
      <c r="AZ2496">
        <v>22.18</v>
      </c>
      <c r="BA2496">
        <v>8.86</v>
      </c>
      <c r="BB2496" t="s">
        <v>83</v>
      </c>
    </row>
    <row r="2497" spans="1:54" x14ac:dyDescent="0.4">
      <c r="A2497">
        <v>1587803</v>
      </c>
      <c r="D2497" t="s">
        <v>54</v>
      </c>
      <c r="E2497" t="s">
        <v>154</v>
      </c>
      <c r="F2497" t="s">
        <v>1386</v>
      </c>
      <c r="I2497" t="s">
        <v>57</v>
      </c>
      <c r="K2497" t="s">
        <v>1393</v>
      </c>
      <c r="L2497" t="s">
        <v>1398</v>
      </c>
      <c r="M2497" t="s">
        <v>60</v>
      </c>
      <c r="N2497" t="s">
        <v>119</v>
      </c>
      <c r="O2497" t="s">
        <v>120</v>
      </c>
      <c r="P2497" t="s">
        <v>121</v>
      </c>
      <c r="R2497" t="s">
        <v>122</v>
      </c>
      <c r="S2497" t="s">
        <v>123</v>
      </c>
      <c r="T2497">
        <v>290.10000000000002</v>
      </c>
      <c r="U2497">
        <v>283.5</v>
      </c>
      <c r="V2497">
        <f t="shared" si="76"/>
        <v>286.8</v>
      </c>
      <c r="W2497">
        <f t="shared" si="77"/>
        <v>6.6000000000000227</v>
      </c>
      <c r="X2497">
        <v>-98.405997999999997</v>
      </c>
      <c r="Y2497">
        <v>34.775500999999998</v>
      </c>
      <c r="Z2497" t="s">
        <v>90</v>
      </c>
      <c r="AA2497" t="s">
        <v>66</v>
      </c>
      <c r="AB2497" t="s">
        <v>407</v>
      </c>
      <c r="AC2497" t="s">
        <v>1388</v>
      </c>
      <c r="AH2497" t="s">
        <v>72</v>
      </c>
      <c r="AI2497" t="s">
        <v>5602</v>
      </c>
      <c r="AJ2497">
        <v>2021</v>
      </c>
      <c r="AK2497" t="s">
        <v>1390</v>
      </c>
      <c r="AM2497" t="s">
        <v>1391</v>
      </c>
      <c r="AN2497" t="s">
        <v>192</v>
      </c>
      <c r="AO2497">
        <v>4</v>
      </c>
      <c r="AP2497" t="s">
        <v>78</v>
      </c>
      <c r="AQ2497" t="s">
        <v>1392</v>
      </c>
      <c r="AR2497" t="s">
        <v>80</v>
      </c>
      <c r="AS2497">
        <v>101</v>
      </c>
      <c r="AT2497" t="s">
        <v>81</v>
      </c>
      <c r="AU2497">
        <v>-29.29</v>
      </c>
      <c r="AV2497">
        <v>-0.39</v>
      </c>
      <c r="AW2497" t="s">
        <v>82</v>
      </c>
      <c r="AX2497">
        <v>101</v>
      </c>
      <c r="AY2497" t="s">
        <v>81</v>
      </c>
      <c r="AZ2497">
        <v>-28.82</v>
      </c>
      <c r="BA2497">
        <v>0.54</v>
      </c>
      <c r="BB2497" t="s">
        <v>83</v>
      </c>
    </row>
    <row r="2498" spans="1:54" x14ac:dyDescent="0.4">
      <c r="A2498">
        <v>584073</v>
      </c>
      <c r="D2498" t="s">
        <v>54</v>
      </c>
      <c r="E2498" t="s">
        <v>55</v>
      </c>
      <c r="I2498" t="s">
        <v>57</v>
      </c>
      <c r="K2498" t="s">
        <v>206</v>
      </c>
      <c r="L2498" t="s">
        <v>1307</v>
      </c>
      <c r="M2498" t="s">
        <v>60</v>
      </c>
      <c r="O2498" t="s">
        <v>170</v>
      </c>
      <c r="P2498" t="s">
        <v>135</v>
      </c>
      <c r="R2498" t="s">
        <v>63</v>
      </c>
      <c r="S2498" t="s">
        <v>64</v>
      </c>
      <c r="T2498">
        <v>233.4</v>
      </c>
      <c r="U2498">
        <v>227</v>
      </c>
      <c r="V2498">
        <f t="shared" si="76"/>
        <v>230.2</v>
      </c>
      <c r="W2498">
        <f t="shared" si="77"/>
        <v>6.4000000000000057</v>
      </c>
      <c r="X2498">
        <v>18.249165999999999</v>
      </c>
      <c r="Y2498">
        <v>50.669167000000002</v>
      </c>
      <c r="Z2498" t="s">
        <v>105</v>
      </c>
      <c r="AA2498" t="s">
        <v>697</v>
      </c>
      <c r="AB2498" t="s">
        <v>1326</v>
      </c>
      <c r="AD2498" t="s">
        <v>1327</v>
      </c>
      <c r="AH2498" t="s">
        <v>72</v>
      </c>
      <c r="AI2498" t="s">
        <v>1328</v>
      </c>
      <c r="AJ2498">
        <v>2010</v>
      </c>
      <c r="AK2498" t="s">
        <v>1329</v>
      </c>
      <c r="AN2498" t="s">
        <v>192</v>
      </c>
      <c r="AO2498" t="s">
        <v>77</v>
      </c>
      <c r="AP2498" t="s">
        <v>78</v>
      </c>
      <c r="AQ2498" t="s">
        <v>1330</v>
      </c>
      <c r="AR2498" t="s">
        <v>80</v>
      </c>
      <c r="AS2498">
        <v>305</v>
      </c>
      <c r="AT2498" t="s">
        <v>81</v>
      </c>
      <c r="AU2498">
        <v>29.33</v>
      </c>
      <c r="AV2498">
        <v>32.68</v>
      </c>
      <c r="AW2498" t="s">
        <v>82</v>
      </c>
      <c r="AX2498">
        <v>305</v>
      </c>
      <c r="AY2498" t="s">
        <v>81</v>
      </c>
      <c r="AZ2498">
        <v>17.36</v>
      </c>
      <c r="BA2498">
        <v>30.66</v>
      </c>
      <c r="BB2498" t="s">
        <v>83</v>
      </c>
    </row>
    <row r="2499" spans="1:54" x14ac:dyDescent="0.4">
      <c r="A2499">
        <v>584074</v>
      </c>
      <c r="D2499" t="s">
        <v>54</v>
      </c>
      <c r="E2499" t="s">
        <v>55</v>
      </c>
      <c r="I2499" t="s">
        <v>57</v>
      </c>
      <c r="K2499" t="s">
        <v>180</v>
      </c>
      <c r="L2499" t="s">
        <v>1331</v>
      </c>
      <c r="M2499" t="s">
        <v>60</v>
      </c>
      <c r="N2499" t="s">
        <v>119</v>
      </c>
      <c r="O2499" t="s">
        <v>170</v>
      </c>
      <c r="P2499" t="s">
        <v>135</v>
      </c>
      <c r="R2499" t="s">
        <v>63</v>
      </c>
      <c r="S2499" t="s">
        <v>64</v>
      </c>
      <c r="T2499">
        <v>233.4</v>
      </c>
      <c r="U2499">
        <v>227</v>
      </c>
      <c r="V2499">
        <f t="shared" ref="V2499:V2562" si="78">(T2499+U2499)/2</f>
        <v>230.2</v>
      </c>
      <c r="W2499">
        <f t="shared" ref="W2499:W2562" si="79">T2499-U2499</f>
        <v>6.4000000000000057</v>
      </c>
      <c r="X2499">
        <v>18.249165999999999</v>
      </c>
      <c r="Y2499">
        <v>50.669167000000002</v>
      </c>
      <c r="Z2499" t="s">
        <v>105</v>
      </c>
      <c r="AA2499" t="s">
        <v>697</v>
      </c>
      <c r="AB2499" t="s">
        <v>1326</v>
      </c>
      <c r="AD2499" t="s">
        <v>1327</v>
      </c>
      <c r="AH2499" t="s">
        <v>72</v>
      </c>
      <c r="AI2499" t="s">
        <v>1332</v>
      </c>
      <c r="AJ2499">
        <v>2003</v>
      </c>
      <c r="AK2499" t="s">
        <v>1329</v>
      </c>
      <c r="AN2499" t="s">
        <v>192</v>
      </c>
      <c r="AO2499" t="s">
        <v>77</v>
      </c>
      <c r="AP2499" t="s">
        <v>78</v>
      </c>
      <c r="AQ2499" t="s">
        <v>1330</v>
      </c>
      <c r="AR2499" t="s">
        <v>80</v>
      </c>
      <c r="AS2499">
        <v>305</v>
      </c>
      <c r="AT2499" t="s">
        <v>81</v>
      </c>
      <c r="AU2499">
        <v>29.33</v>
      </c>
      <c r="AV2499">
        <v>32.68</v>
      </c>
      <c r="AW2499" t="s">
        <v>82</v>
      </c>
      <c r="AX2499">
        <v>305</v>
      </c>
      <c r="AY2499" t="s">
        <v>81</v>
      </c>
      <c r="AZ2499">
        <v>17.36</v>
      </c>
      <c r="BA2499">
        <v>30.66</v>
      </c>
      <c r="BB2499" t="s">
        <v>83</v>
      </c>
    </row>
    <row r="2500" spans="1:54" x14ac:dyDescent="0.4">
      <c r="A2500">
        <v>584306</v>
      </c>
      <c r="D2500" t="s">
        <v>54</v>
      </c>
      <c r="E2500" t="s">
        <v>55</v>
      </c>
      <c r="I2500" t="s">
        <v>57</v>
      </c>
      <c r="K2500" t="s">
        <v>85</v>
      </c>
      <c r="L2500" t="s">
        <v>753</v>
      </c>
      <c r="M2500" t="s">
        <v>60</v>
      </c>
      <c r="O2500" t="s">
        <v>87</v>
      </c>
      <c r="P2500" t="s">
        <v>135</v>
      </c>
      <c r="R2500" t="s">
        <v>63</v>
      </c>
      <c r="S2500" t="s">
        <v>64</v>
      </c>
      <c r="T2500">
        <v>233.4</v>
      </c>
      <c r="U2500">
        <v>227</v>
      </c>
      <c r="V2500">
        <f t="shared" si="78"/>
        <v>230.2</v>
      </c>
      <c r="W2500">
        <f t="shared" si="79"/>
        <v>6.4000000000000057</v>
      </c>
      <c r="X2500">
        <v>18.249165999999999</v>
      </c>
      <c r="Y2500">
        <v>50.669167000000002</v>
      </c>
      <c r="Z2500" t="s">
        <v>105</v>
      </c>
      <c r="AA2500" t="s">
        <v>697</v>
      </c>
      <c r="AB2500" t="s">
        <v>1326</v>
      </c>
      <c r="AD2500" t="s">
        <v>1327</v>
      </c>
      <c r="AH2500" t="s">
        <v>11</v>
      </c>
      <c r="AI2500" t="s">
        <v>1333</v>
      </c>
      <c r="AJ2500">
        <v>2000</v>
      </c>
      <c r="AK2500" t="s">
        <v>1329</v>
      </c>
      <c r="AN2500" t="s">
        <v>192</v>
      </c>
      <c r="AO2500" t="s">
        <v>77</v>
      </c>
      <c r="AP2500" t="s">
        <v>78</v>
      </c>
      <c r="AQ2500" t="s">
        <v>1330</v>
      </c>
      <c r="AR2500" t="s">
        <v>80</v>
      </c>
      <c r="AS2500">
        <v>305</v>
      </c>
      <c r="AT2500" t="s">
        <v>81</v>
      </c>
      <c r="AU2500">
        <v>29.33</v>
      </c>
      <c r="AV2500">
        <v>32.68</v>
      </c>
      <c r="AW2500" t="s">
        <v>82</v>
      </c>
      <c r="AX2500">
        <v>305</v>
      </c>
      <c r="AY2500" t="s">
        <v>81</v>
      </c>
      <c r="AZ2500">
        <v>17.36</v>
      </c>
      <c r="BA2500">
        <v>30.66</v>
      </c>
      <c r="BB2500" t="s">
        <v>83</v>
      </c>
    </row>
    <row r="2501" spans="1:54" x14ac:dyDescent="0.4">
      <c r="A2501">
        <v>584307</v>
      </c>
      <c r="D2501" t="s">
        <v>54</v>
      </c>
      <c r="E2501" t="s">
        <v>55</v>
      </c>
      <c r="I2501" t="s">
        <v>57</v>
      </c>
      <c r="K2501" t="s">
        <v>196</v>
      </c>
      <c r="L2501" t="s">
        <v>1334</v>
      </c>
      <c r="M2501" t="s">
        <v>60</v>
      </c>
      <c r="O2501" t="s">
        <v>87</v>
      </c>
      <c r="P2501" t="s">
        <v>135</v>
      </c>
      <c r="R2501" t="s">
        <v>63</v>
      </c>
      <c r="S2501" t="s">
        <v>64</v>
      </c>
      <c r="T2501">
        <v>233.4</v>
      </c>
      <c r="U2501">
        <v>227</v>
      </c>
      <c r="V2501">
        <f t="shared" si="78"/>
        <v>230.2</v>
      </c>
      <c r="W2501">
        <f t="shared" si="79"/>
        <v>6.4000000000000057</v>
      </c>
      <c r="X2501">
        <v>18.249165999999999</v>
      </c>
      <c r="Y2501">
        <v>50.669167000000002</v>
      </c>
      <c r="Z2501" t="s">
        <v>105</v>
      </c>
      <c r="AA2501" t="s">
        <v>697</v>
      </c>
      <c r="AB2501" t="s">
        <v>1326</v>
      </c>
      <c r="AD2501" t="s">
        <v>1327</v>
      </c>
      <c r="AH2501" t="s">
        <v>72</v>
      </c>
      <c r="AI2501" t="s">
        <v>1328</v>
      </c>
      <c r="AJ2501">
        <v>2005</v>
      </c>
      <c r="AK2501" t="s">
        <v>1329</v>
      </c>
      <c r="AN2501" t="s">
        <v>192</v>
      </c>
      <c r="AO2501" t="s">
        <v>77</v>
      </c>
      <c r="AP2501" t="s">
        <v>78</v>
      </c>
      <c r="AQ2501" t="s">
        <v>1330</v>
      </c>
      <c r="AR2501" t="s">
        <v>80</v>
      </c>
      <c r="AS2501">
        <v>305</v>
      </c>
      <c r="AT2501" t="s">
        <v>81</v>
      </c>
      <c r="AU2501">
        <v>29.33</v>
      </c>
      <c r="AV2501">
        <v>32.68</v>
      </c>
      <c r="AW2501" t="s">
        <v>82</v>
      </c>
      <c r="AX2501">
        <v>305</v>
      </c>
      <c r="AY2501" t="s">
        <v>81</v>
      </c>
      <c r="AZ2501">
        <v>17.36</v>
      </c>
      <c r="BA2501">
        <v>30.66</v>
      </c>
      <c r="BB2501" t="s">
        <v>83</v>
      </c>
    </row>
    <row r="2502" spans="1:54" x14ac:dyDescent="0.4">
      <c r="A2502">
        <v>788480</v>
      </c>
      <c r="D2502" t="s">
        <v>54</v>
      </c>
      <c r="E2502" t="s">
        <v>310</v>
      </c>
      <c r="G2502">
        <v>1</v>
      </c>
      <c r="H2502" t="s">
        <v>56</v>
      </c>
      <c r="I2502" t="s">
        <v>57</v>
      </c>
      <c r="K2502" t="s">
        <v>141</v>
      </c>
      <c r="L2502" t="s">
        <v>1807</v>
      </c>
      <c r="M2502" t="s">
        <v>60</v>
      </c>
      <c r="P2502" t="s">
        <v>135</v>
      </c>
      <c r="R2502" t="s">
        <v>63</v>
      </c>
      <c r="S2502" t="s">
        <v>64</v>
      </c>
      <c r="T2502">
        <v>233.4</v>
      </c>
      <c r="U2502">
        <v>227</v>
      </c>
      <c r="V2502">
        <f t="shared" si="78"/>
        <v>230.2</v>
      </c>
      <c r="W2502">
        <f t="shared" si="79"/>
        <v>6.4000000000000057</v>
      </c>
      <c r="X2502">
        <v>105.416664</v>
      </c>
      <c r="Y2502">
        <v>25.9</v>
      </c>
      <c r="Z2502" t="s">
        <v>1808</v>
      </c>
      <c r="AA2502" t="s">
        <v>379</v>
      </c>
      <c r="AB2502" t="s">
        <v>682</v>
      </c>
      <c r="AD2502" t="s">
        <v>1809</v>
      </c>
      <c r="AF2502" t="s">
        <v>620</v>
      </c>
      <c r="AH2502" t="s">
        <v>72</v>
      </c>
      <c r="AI2502" t="s">
        <v>1810</v>
      </c>
      <c r="AJ2502">
        <v>2008</v>
      </c>
      <c r="AK2502" t="s">
        <v>1811</v>
      </c>
      <c r="AN2502" t="s">
        <v>114</v>
      </c>
      <c r="AO2502" t="s">
        <v>160</v>
      </c>
      <c r="AP2502" t="s">
        <v>78</v>
      </c>
      <c r="AQ2502" t="s">
        <v>1812</v>
      </c>
      <c r="AR2502" t="s">
        <v>80</v>
      </c>
      <c r="AS2502">
        <v>611</v>
      </c>
      <c r="AT2502" t="s">
        <v>81</v>
      </c>
      <c r="AU2502">
        <v>113.18</v>
      </c>
      <c r="AV2502">
        <v>11.56</v>
      </c>
      <c r="AW2502" t="s">
        <v>82</v>
      </c>
      <c r="AX2502">
        <v>611</v>
      </c>
      <c r="AY2502" t="s">
        <v>81</v>
      </c>
      <c r="AZ2502">
        <v>93.7</v>
      </c>
      <c r="BA2502">
        <v>25.21</v>
      </c>
      <c r="BB2502" t="s">
        <v>83</v>
      </c>
    </row>
    <row r="2503" spans="1:54" x14ac:dyDescent="0.4">
      <c r="A2503">
        <v>788480</v>
      </c>
      <c r="D2503" t="s">
        <v>54</v>
      </c>
      <c r="E2503" t="s">
        <v>310</v>
      </c>
      <c r="G2503">
        <v>1</v>
      </c>
      <c r="H2503" t="s">
        <v>56</v>
      </c>
      <c r="I2503" t="s">
        <v>57</v>
      </c>
      <c r="K2503" t="s">
        <v>141</v>
      </c>
      <c r="L2503" t="s">
        <v>1807</v>
      </c>
      <c r="M2503" t="s">
        <v>60</v>
      </c>
      <c r="P2503" t="s">
        <v>135</v>
      </c>
      <c r="R2503" t="s">
        <v>63</v>
      </c>
      <c r="S2503" t="s">
        <v>64</v>
      </c>
      <c r="T2503">
        <v>233.4</v>
      </c>
      <c r="U2503">
        <v>227</v>
      </c>
      <c r="V2503">
        <f t="shared" si="78"/>
        <v>230.2</v>
      </c>
      <c r="W2503">
        <f t="shared" si="79"/>
        <v>6.4000000000000057</v>
      </c>
      <c r="X2503">
        <v>105.416664</v>
      </c>
      <c r="Y2503">
        <v>25.9</v>
      </c>
      <c r="Z2503" t="s">
        <v>1808</v>
      </c>
      <c r="AA2503" t="s">
        <v>379</v>
      </c>
      <c r="AB2503" t="s">
        <v>682</v>
      </c>
      <c r="AD2503" t="s">
        <v>1809</v>
      </c>
      <c r="AF2503" t="s">
        <v>620</v>
      </c>
      <c r="AH2503" t="s">
        <v>72</v>
      </c>
      <c r="AI2503" t="s">
        <v>1810</v>
      </c>
      <c r="AJ2503">
        <v>2008</v>
      </c>
      <c r="AK2503" t="s">
        <v>1811</v>
      </c>
      <c r="AN2503" t="s">
        <v>114</v>
      </c>
      <c r="AO2503" t="s">
        <v>160</v>
      </c>
      <c r="AP2503" t="s">
        <v>78</v>
      </c>
      <c r="AQ2503" t="s">
        <v>1812</v>
      </c>
      <c r="AR2503" t="s">
        <v>80</v>
      </c>
      <c r="AS2503">
        <v>611</v>
      </c>
      <c r="AT2503" t="s">
        <v>81</v>
      </c>
      <c r="AU2503">
        <v>113.18</v>
      </c>
      <c r="AV2503">
        <v>11.56</v>
      </c>
      <c r="AW2503" t="s">
        <v>82</v>
      </c>
      <c r="AX2503">
        <v>611</v>
      </c>
      <c r="AY2503" t="s">
        <v>81</v>
      </c>
      <c r="AZ2503">
        <v>93.7</v>
      </c>
      <c r="BA2503">
        <v>25.21</v>
      </c>
      <c r="BB2503" t="s">
        <v>83</v>
      </c>
    </row>
    <row r="2504" spans="1:54" x14ac:dyDescent="0.4">
      <c r="A2504">
        <v>788480</v>
      </c>
      <c r="D2504" t="s">
        <v>54</v>
      </c>
      <c r="E2504" t="s">
        <v>310</v>
      </c>
      <c r="G2504">
        <v>1</v>
      </c>
      <c r="H2504" t="s">
        <v>56</v>
      </c>
      <c r="I2504" t="s">
        <v>57</v>
      </c>
      <c r="K2504" t="s">
        <v>141</v>
      </c>
      <c r="L2504" t="s">
        <v>1807</v>
      </c>
      <c r="M2504" t="s">
        <v>60</v>
      </c>
      <c r="P2504" t="s">
        <v>135</v>
      </c>
      <c r="R2504" t="s">
        <v>63</v>
      </c>
      <c r="S2504" t="s">
        <v>64</v>
      </c>
      <c r="T2504">
        <v>233.4</v>
      </c>
      <c r="U2504">
        <v>227</v>
      </c>
      <c r="V2504">
        <f t="shared" si="78"/>
        <v>230.2</v>
      </c>
      <c r="W2504">
        <f t="shared" si="79"/>
        <v>6.4000000000000057</v>
      </c>
      <c r="X2504">
        <v>105.416664</v>
      </c>
      <c r="Y2504">
        <v>25.9</v>
      </c>
      <c r="Z2504" t="s">
        <v>1808</v>
      </c>
      <c r="AA2504" t="s">
        <v>379</v>
      </c>
      <c r="AB2504" t="s">
        <v>682</v>
      </c>
      <c r="AD2504" t="s">
        <v>1809</v>
      </c>
      <c r="AF2504" t="s">
        <v>620</v>
      </c>
      <c r="AH2504" t="s">
        <v>72</v>
      </c>
      <c r="AI2504" t="s">
        <v>1810</v>
      </c>
      <c r="AJ2504">
        <v>2008</v>
      </c>
      <c r="AK2504" t="s">
        <v>1811</v>
      </c>
      <c r="AN2504" t="s">
        <v>114</v>
      </c>
      <c r="AO2504" t="s">
        <v>160</v>
      </c>
      <c r="AP2504" t="s">
        <v>78</v>
      </c>
      <c r="AQ2504" t="s">
        <v>1812</v>
      </c>
      <c r="AR2504" t="s">
        <v>80</v>
      </c>
      <c r="AS2504">
        <v>611</v>
      </c>
      <c r="AT2504" t="s">
        <v>81</v>
      </c>
      <c r="AU2504">
        <v>113.18</v>
      </c>
      <c r="AV2504">
        <v>11.56</v>
      </c>
      <c r="AW2504" t="s">
        <v>82</v>
      </c>
      <c r="AX2504">
        <v>611</v>
      </c>
      <c r="AY2504" t="s">
        <v>81</v>
      </c>
      <c r="AZ2504">
        <v>93.7</v>
      </c>
      <c r="BA2504">
        <v>25.21</v>
      </c>
      <c r="BB2504" t="s">
        <v>83</v>
      </c>
    </row>
    <row r="2505" spans="1:54" x14ac:dyDescent="0.4">
      <c r="A2505">
        <v>788481</v>
      </c>
      <c r="D2505" t="s">
        <v>54</v>
      </c>
      <c r="E2505" t="s">
        <v>310</v>
      </c>
      <c r="I2505" t="s">
        <v>57</v>
      </c>
      <c r="K2505" t="s">
        <v>1813</v>
      </c>
      <c r="L2505" t="s">
        <v>1814</v>
      </c>
      <c r="M2505" t="s">
        <v>223</v>
      </c>
      <c r="N2505" t="s">
        <v>234</v>
      </c>
      <c r="O2505" t="s">
        <v>87</v>
      </c>
      <c r="P2505" t="s">
        <v>135</v>
      </c>
      <c r="R2505" t="s">
        <v>63</v>
      </c>
      <c r="S2505" t="s">
        <v>64</v>
      </c>
      <c r="T2505">
        <v>233.4</v>
      </c>
      <c r="U2505">
        <v>227</v>
      </c>
      <c r="V2505">
        <f t="shared" si="78"/>
        <v>230.2</v>
      </c>
      <c r="W2505">
        <f t="shared" si="79"/>
        <v>6.4000000000000057</v>
      </c>
      <c r="X2505">
        <v>105.416664</v>
      </c>
      <c r="Y2505">
        <v>25.9</v>
      </c>
      <c r="Z2505" t="s">
        <v>1808</v>
      </c>
      <c r="AA2505" t="s">
        <v>379</v>
      </c>
      <c r="AB2505" t="s">
        <v>682</v>
      </c>
      <c r="AD2505" t="s">
        <v>1809</v>
      </c>
      <c r="AF2505" t="s">
        <v>620</v>
      </c>
      <c r="AH2505" t="s">
        <v>72</v>
      </c>
      <c r="AI2505" t="s">
        <v>1815</v>
      </c>
      <c r="AJ2505">
        <v>2008</v>
      </c>
      <c r="AK2505" t="s">
        <v>1811</v>
      </c>
      <c r="AN2505" t="s">
        <v>114</v>
      </c>
      <c r="AO2505" t="s">
        <v>160</v>
      </c>
      <c r="AP2505" t="s">
        <v>78</v>
      </c>
      <c r="AQ2505" t="s">
        <v>1812</v>
      </c>
      <c r="AR2505" t="s">
        <v>80</v>
      </c>
      <c r="AS2505">
        <v>611</v>
      </c>
      <c r="AT2505" t="s">
        <v>81</v>
      </c>
      <c r="AU2505">
        <v>113.18</v>
      </c>
      <c r="AV2505">
        <v>11.56</v>
      </c>
      <c r="AW2505" t="s">
        <v>82</v>
      </c>
      <c r="AX2505">
        <v>611</v>
      </c>
      <c r="AY2505" t="s">
        <v>81</v>
      </c>
      <c r="AZ2505">
        <v>93.7</v>
      </c>
      <c r="BA2505">
        <v>25.21</v>
      </c>
      <c r="BB2505" t="s">
        <v>83</v>
      </c>
    </row>
    <row r="2506" spans="1:54" x14ac:dyDescent="0.4">
      <c r="A2506">
        <v>788482</v>
      </c>
      <c r="D2506" t="s">
        <v>54</v>
      </c>
      <c r="E2506" t="s">
        <v>310</v>
      </c>
      <c r="I2506" t="s">
        <v>57</v>
      </c>
      <c r="K2506" t="s">
        <v>1816</v>
      </c>
      <c r="L2506" t="s">
        <v>1817</v>
      </c>
      <c r="M2506" t="s">
        <v>223</v>
      </c>
      <c r="N2506" t="s">
        <v>234</v>
      </c>
      <c r="O2506" t="s">
        <v>345</v>
      </c>
      <c r="P2506" t="s">
        <v>135</v>
      </c>
      <c r="R2506" t="s">
        <v>63</v>
      </c>
      <c r="S2506" t="s">
        <v>64</v>
      </c>
      <c r="T2506">
        <v>233.4</v>
      </c>
      <c r="U2506">
        <v>227</v>
      </c>
      <c r="V2506">
        <f t="shared" si="78"/>
        <v>230.2</v>
      </c>
      <c r="W2506">
        <f t="shared" si="79"/>
        <v>6.4000000000000057</v>
      </c>
      <c r="X2506">
        <v>105.416664</v>
      </c>
      <c r="Y2506">
        <v>25.9</v>
      </c>
      <c r="Z2506" t="s">
        <v>1808</v>
      </c>
      <c r="AA2506" t="s">
        <v>379</v>
      </c>
      <c r="AB2506" t="s">
        <v>682</v>
      </c>
      <c r="AD2506" t="s">
        <v>1809</v>
      </c>
      <c r="AF2506" t="s">
        <v>620</v>
      </c>
      <c r="AH2506" t="s">
        <v>72</v>
      </c>
      <c r="AI2506" t="s">
        <v>1815</v>
      </c>
      <c r="AJ2506">
        <v>2008</v>
      </c>
      <c r="AK2506" t="s">
        <v>1811</v>
      </c>
      <c r="AN2506" t="s">
        <v>114</v>
      </c>
      <c r="AO2506" t="s">
        <v>160</v>
      </c>
      <c r="AP2506" t="s">
        <v>78</v>
      </c>
      <c r="AQ2506" t="s">
        <v>1812</v>
      </c>
      <c r="AR2506" t="s">
        <v>80</v>
      </c>
      <c r="AS2506">
        <v>611</v>
      </c>
      <c r="AT2506" t="s">
        <v>81</v>
      </c>
      <c r="AU2506">
        <v>113.18</v>
      </c>
      <c r="AV2506">
        <v>11.56</v>
      </c>
      <c r="AW2506" t="s">
        <v>82</v>
      </c>
      <c r="AX2506">
        <v>611</v>
      </c>
      <c r="AY2506" t="s">
        <v>81</v>
      </c>
      <c r="AZ2506">
        <v>93.7</v>
      </c>
      <c r="BA2506">
        <v>25.21</v>
      </c>
      <c r="BB2506" t="s">
        <v>83</v>
      </c>
    </row>
    <row r="2507" spans="1:54" x14ac:dyDescent="0.4">
      <c r="A2507">
        <v>788483</v>
      </c>
      <c r="D2507" t="s">
        <v>54</v>
      </c>
      <c r="E2507" t="s">
        <v>310</v>
      </c>
      <c r="I2507" t="s">
        <v>57</v>
      </c>
      <c r="K2507" t="s">
        <v>1816</v>
      </c>
      <c r="L2507" t="s">
        <v>1818</v>
      </c>
      <c r="M2507" t="s">
        <v>223</v>
      </c>
      <c r="N2507" t="s">
        <v>234</v>
      </c>
      <c r="O2507" t="s">
        <v>345</v>
      </c>
      <c r="P2507" t="s">
        <v>135</v>
      </c>
      <c r="R2507" t="s">
        <v>63</v>
      </c>
      <c r="S2507" t="s">
        <v>64</v>
      </c>
      <c r="T2507">
        <v>233.4</v>
      </c>
      <c r="U2507">
        <v>227</v>
      </c>
      <c r="V2507">
        <f t="shared" si="78"/>
        <v>230.2</v>
      </c>
      <c r="W2507">
        <f t="shared" si="79"/>
        <v>6.4000000000000057</v>
      </c>
      <c r="X2507">
        <v>105.416664</v>
      </c>
      <c r="Y2507">
        <v>25.9</v>
      </c>
      <c r="Z2507" t="s">
        <v>1808</v>
      </c>
      <c r="AA2507" t="s">
        <v>379</v>
      </c>
      <c r="AB2507" t="s">
        <v>682</v>
      </c>
      <c r="AD2507" t="s">
        <v>1809</v>
      </c>
      <c r="AF2507" t="s">
        <v>620</v>
      </c>
      <c r="AH2507" t="s">
        <v>72</v>
      </c>
      <c r="AI2507" t="s">
        <v>1815</v>
      </c>
      <c r="AJ2507">
        <v>2008</v>
      </c>
      <c r="AK2507" t="s">
        <v>1811</v>
      </c>
      <c r="AN2507" t="s">
        <v>114</v>
      </c>
      <c r="AO2507" t="s">
        <v>160</v>
      </c>
      <c r="AP2507" t="s">
        <v>78</v>
      </c>
      <c r="AQ2507" t="s">
        <v>1812</v>
      </c>
      <c r="AR2507" t="s">
        <v>80</v>
      </c>
      <c r="AS2507">
        <v>611</v>
      </c>
      <c r="AT2507" t="s">
        <v>81</v>
      </c>
      <c r="AU2507">
        <v>113.18</v>
      </c>
      <c r="AV2507">
        <v>11.56</v>
      </c>
      <c r="AW2507" t="s">
        <v>82</v>
      </c>
      <c r="AX2507">
        <v>611</v>
      </c>
      <c r="AY2507" t="s">
        <v>81</v>
      </c>
      <c r="AZ2507">
        <v>93.7</v>
      </c>
      <c r="BA2507">
        <v>25.21</v>
      </c>
      <c r="BB2507" t="s">
        <v>83</v>
      </c>
    </row>
    <row r="2508" spans="1:54" x14ac:dyDescent="0.4">
      <c r="A2508">
        <v>788484</v>
      </c>
      <c r="D2508" t="s">
        <v>54</v>
      </c>
      <c r="E2508" t="s">
        <v>310</v>
      </c>
      <c r="I2508" t="s">
        <v>57</v>
      </c>
      <c r="K2508" t="s">
        <v>755</v>
      </c>
      <c r="L2508" t="s">
        <v>1819</v>
      </c>
      <c r="M2508" t="s">
        <v>223</v>
      </c>
      <c r="P2508" t="s">
        <v>135</v>
      </c>
      <c r="R2508" t="s">
        <v>63</v>
      </c>
      <c r="S2508" t="s">
        <v>64</v>
      </c>
      <c r="T2508">
        <v>233.4</v>
      </c>
      <c r="U2508">
        <v>227</v>
      </c>
      <c r="V2508">
        <f t="shared" si="78"/>
        <v>230.2</v>
      </c>
      <c r="W2508">
        <f t="shared" si="79"/>
        <v>6.4000000000000057</v>
      </c>
      <c r="X2508">
        <v>105.416664</v>
      </c>
      <c r="Y2508">
        <v>25.9</v>
      </c>
      <c r="Z2508" t="s">
        <v>1808</v>
      </c>
      <c r="AA2508" t="s">
        <v>379</v>
      </c>
      <c r="AB2508" t="s">
        <v>682</v>
      </c>
      <c r="AD2508" t="s">
        <v>1809</v>
      </c>
      <c r="AF2508" t="s">
        <v>620</v>
      </c>
      <c r="AH2508" t="s">
        <v>72</v>
      </c>
      <c r="AI2508" t="s">
        <v>1815</v>
      </c>
      <c r="AJ2508">
        <v>2008</v>
      </c>
      <c r="AK2508" t="s">
        <v>1811</v>
      </c>
      <c r="AN2508" t="s">
        <v>114</v>
      </c>
      <c r="AO2508" t="s">
        <v>160</v>
      </c>
      <c r="AP2508" t="s">
        <v>78</v>
      </c>
      <c r="AQ2508" t="s">
        <v>1812</v>
      </c>
      <c r="AR2508" t="s">
        <v>80</v>
      </c>
      <c r="AS2508">
        <v>611</v>
      </c>
      <c r="AT2508" t="s">
        <v>81</v>
      </c>
      <c r="AU2508">
        <v>113.18</v>
      </c>
      <c r="AV2508">
        <v>11.56</v>
      </c>
      <c r="AW2508" t="s">
        <v>82</v>
      </c>
      <c r="AX2508">
        <v>611</v>
      </c>
      <c r="AY2508" t="s">
        <v>81</v>
      </c>
      <c r="AZ2508">
        <v>93.7</v>
      </c>
      <c r="BA2508">
        <v>25.21</v>
      </c>
      <c r="BB2508" t="s">
        <v>83</v>
      </c>
    </row>
    <row r="2509" spans="1:54" x14ac:dyDescent="0.4">
      <c r="A2509">
        <v>788485</v>
      </c>
      <c r="D2509" t="s">
        <v>54</v>
      </c>
      <c r="E2509" t="s">
        <v>310</v>
      </c>
      <c r="G2509">
        <v>1</v>
      </c>
      <c r="H2509" t="s">
        <v>56</v>
      </c>
      <c r="I2509" t="s">
        <v>57</v>
      </c>
      <c r="K2509" t="s">
        <v>1359</v>
      </c>
      <c r="L2509" t="s">
        <v>1820</v>
      </c>
      <c r="M2509" t="s">
        <v>223</v>
      </c>
      <c r="P2509" t="s">
        <v>135</v>
      </c>
      <c r="R2509" t="s">
        <v>63</v>
      </c>
      <c r="S2509" t="s">
        <v>64</v>
      </c>
      <c r="T2509">
        <v>233.4</v>
      </c>
      <c r="U2509">
        <v>227</v>
      </c>
      <c r="V2509">
        <f t="shared" si="78"/>
        <v>230.2</v>
      </c>
      <c r="W2509">
        <f t="shared" si="79"/>
        <v>6.4000000000000057</v>
      </c>
      <c r="X2509">
        <v>105.416664</v>
      </c>
      <c r="Y2509">
        <v>25.9</v>
      </c>
      <c r="Z2509" t="s">
        <v>1808</v>
      </c>
      <c r="AA2509" t="s">
        <v>379</v>
      </c>
      <c r="AB2509" t="s">
        <v>682</v>
      </c>
      <c r="AD2509" t="s">
        <v>1809</v>
      </c>
      <c r="AF2509" t="s">
        <v>620</v>
      </c>
      <c r="AH2509" t="s">
        <v>72</v>
      </c>
      <c r="AI2509" t="s">
        <v>1821</v>
      </c>
      <c r="AJ2509">
        <v>2002</v>
      </c>
      <c r="AK2509" t="s">
        <v>1811</v>
      </c>
      <c r="AN2509" t="s">
        <v>114</v>
      </c>
      <c r="AO2509" t="s">
        <v>160</v>
      </c>
      <c r="AP2509" t="s">
        <v>78</v>
      </c>
      <c r="AQ2509" t="s">
        <v>1812</v>
      </c>
      <c r="AR2509" t="s">
        <v>80</v>
      </c>
      <c r="AS2509">
        <v>611</v>
      </c>
      <c r="AT2509" t="s">
        <v>81</v>
      </c>
      <c r="AU2509">
        <v>113.18</v>
      </c>
      <c r="AV2509">
        <v>11.56</v>
      </c>
      <c r="AW2509" t="s">
        <v>82</v>
      </c>
      <c r="AX2509">
        <v>611</v>
      </c>
      <c r="AY2509" t="s">
        <v>81</v>
      </c>
      <c r="AZ2509">
        <v>93.7</v>
      </c>
      <c r="BA2509">
        <v>25.21</v>
      </c>
      <c r="BB2509" t="s">
        <v>83</v>
      </c>
    </row>
    <row r="2510" spans="1:54" x14ac:dyDescent="0.4">
      <c r="A2510">
        <v>788486</v>
      </c>
      <c r="D2510" t="s">
        <v>54</v>
      </c>
      <c r="E2510" t="s">
        <v>310</v>
      </c>
      <c r="I2510" t="s">
        <v>57</v>
      </c>
      <c r="K2510" t="s">
        <v>1822</v>
      </c>
      <c r="L2510" t="s">
        <v>1823</v>
      </c>
      <c r="M2510" t="s">
        <v>223</v>
      </c>
      <c r="N2510" t="s">
        <v>1126</v>
      </c>
      <c r="O2510" t="s">
        <v>345</v>
      </c>
      <c r="P2510" t="s">
        <v>135</v>
      </c>
      <c r="R2510" t="s">
        <v>63</v>
      </c>
      <c r="S2510" t="s">
        <v>64</v>
      </c>
      <c r="T2510">
        <v>233.4</v>
      </c>
      <c r="U2510">
        <v>227</v>
      </c>
      <c r="V2510">
        <f t="shared" si="78"/>
        <v>230.2</v>
      </c>
      <c r="W2510">
        <f t="shared" si="79"/>
        <v>6.4000000000000057</v>
      </c>
      <c r="X2510">
        <v>105.416664</v>
      </c>
      <c r="Y2510">
        <v>25.9</v>
      </c>
      <c r="Z2510" t="s">
        <v>1808</v>
      </c>
      <c r="AA2510" t="s">
        <v>379</v>
      </c>
      <c r="AB2510" t="s">
        <v>682</v>
      </c>
      <c r="AD2510" t="s">
        <v>1809</v>
      </c>
      <c r="AF2510" t="s">
        <v>620</v>
      </c>
      <c r="AH2510" t="s">
        <v>72</v>
      </c>
      <c r="AI2510" t="s">
        <v>1815</v>
      </c>
      <c r="AJ2510">
        <v>2008</v>
      </c>
      <c r="AK2510" t="s">
        <v>1811</v>
      </c>
      <c r="AN2510" t="s">
        <v>114</v>
      </c>
      <c r="AO2510" t="s">
        <v>160</v>
      </c>
      <c r="AP2510" t="s">
        <v>78</v>
      </c>
      <c r="AQ2510" t="s">
        <v>1812</v>
      </c>
      <c r="AR2510" t="s">
        <v>80</v>
      </c>
      <c r="AS2510">
        <v>611</v>
      </c>
      <c r="AT2510" t="s">
        <v>81</v>
      </c>
      <c r="AU2510">
        <v>113.18</v>
      </c>
      <c r="AV2510">
        <v>11.56</v>
      </c>
      <c r="AW2510" t="s">
        <v>82</v>
      </c>
      <c r="AX2510">
        <v>611</v>
      </c>
      <c r="AY2510" t="s">
        <v>81</v>
      </c>
      <c r="AZ2510">
        <v>93.7</v>
      </c>
      <c r="BA2510">
        <v>25.21</v>
      </c>
      <c r="BB2510" t="s">
        <v>83</v>
      </c>
    </row>
    <row r="2511" spans="1:54" x14ac:dyDescent="0.4">
      <c r="A2511">
        <v>788487</v>
      </c>
      <c r="D2511" t="s">
        <v>54</v>
      </c>
      <c r="E2511" t="s">
        <v>310</v>
      </c>
      <c r="I2511" t="s">
        <v>57</v>
      </c>
      <c r="K2511" t="s">
        <v>141</v>
      </c>
      <c r="L2511" t="s">
        <v>1824</v>
      </c>
      <c r="M2511" t="s">
        <v>223</v>
      </c>
      <c r="P2511" t="s">
        <v>135</v>
      </c>
      <c r="R2511" t="s">
        <v>63</v>
      </c>
      <c r="S2511" t="s">
        <v>64</v>
      </c>
      <c r="T2511">
        <v>233.4</v>
      </c>
      <c r="U2511">
        <v>227</v>
      </c>
      <c r="V2511">
        <f t="shared" si="78"/>
        <v>230.2</v>
      </c>
      <c r="W2511">
        <f t="shared" si="79"/>
        <v>6.4000000000000057</v>
      </c>
      <c r="X2511">
        <v>105.416664</v>
      </c>
      <c r="Y2511">
        <v>25.9</v>
      </c>
      <c r="Z2511" t="s">
        <v>1808</v>
      </c>
      <c r="AA2511" t="s">
        <v>379</v>
      </c>
      <c r="AB2511" t="s">
        <v>682</v>
      </c>
      <c r="AD2511" t="s">
        <v>1809</v>
      </c>
      <c r="AF2511" t="s">
        <v>620</v>
      </c>
      <c r="AH2511" t="s">
        <v>72</v>
      </c>
      <c r="AI2511" t="s">
        <v>1815</v>
      </c>
      <c r="AJ2511">
        <v>2008</v>
      </c>
      <c r="AK2511" t="s">
        <v>1811</v>
      </c>
      <c r="AN2511" t="s">
        <v>114</v>
      </c>
      <c r="AO2511" t="s">
        <v>160</v>
      </c>
      <c r="AP2511" t="s">
        <v>78</v>
      </c>
      <c r="AQ2511" t="s">
        <v>1812</v>
      </c>
      <c r="AR2511" t="s">
        <v>80</v>
      </c>
      <c r="AS2511">
        <v>611</v>
      </c>
      <c r="AT2511" t="s">
        <v>81</v>
      </c>
      <c r="AU2511">
        <v>113.18</v>
      </c>
      <c r="AV2511">
        <v>11.56</v>
      </c>
      <c r="AW2511" t="s">
        <v>82</v>
      </c>
      <c r="AX2511">
        <v>611</v>
      </c>
      <c r="AY2511" t="s">
        <v>81</v>
      </c>
      <c r="AZ2511">
        <v>93.7</v>
      </c>
      <c r="BA2511">
        <v>25.21</v>
      </c>
      <c r="BB2511" t="s">
        <v>83</v>
      </c>
    </row>
    <row r="2512" spans="1:54" x14ac:dyDescent="0.4">
      <c r="A2512">
        <v>788488</v>
      </c>
      <c r="D2512" t="s">
        <v>54</v>
      </c>
      <c r="E2512" t="s">
        <v>310</v>
      </c>
      <c r="I2512" t="s">
        <v>57</v>
      </c>
      <c r="K2512" t="s">
        <v>141</v>
      </c>
      <c r="L2512" t="s">
        <v>1824</v>
      </c>
      <c r="M2512" t="s">
        <v>223</v>
      </c>
      <c r="P2512" t="s">
        <v>135</v>
      </c>
      <c r="R2512" t="s">
        <v>63</v>
      </c>
      <c r="S2512" t="s">
        <v>64</v>
      </c>
      <c r="T2512">
        <v>233.4</v>
      </c>
      <c r="U2512">
        <v>227</v>
      </c>
      <c r="V2512">
        <f t="shared" si="78"/>
        <v>230.2</v>
      </c>
      <c r="W2512">
        <f t="shared" si="79"/>
        <v>6.4000000000000057</v>
      </c>
      <c r="X2512">
        <v>105.416664</v>
      </c>
      <c r="Y2512">
        <v>25.9</v>
      </c>
      <c r="Z2512" t="s">
        <v>1808</v>
      </c>
      <c r="AA2512" t="s">
        <v>379</v>
      </c>
      <c r="AB2512" t="s">
        <v>682</v>
      </c>
      <c r="AD2512" t="s">
        <v>1809</v>
      </c>
      <c r="AF2512" t="s">
        <v>620</v>
      </c>
      <c r="AH2512" t="s">
        <v>72</v>
      </c>
      <c r="AI2512" t="s">
        <v>1815</v>
      </c>
      <c r="AJ2512">
        <v>2008</v>
      </c>
      <c r="AK2512" t="s">
        <v>1811</v>
      </c>
      <c r="AN2512" t="s">
        <v>114</v>
      </c>
      <c r="AO2512" t="s">
        <v>160</v>
      </c>
      <c r="AP2512" t="s">
        <v>78</v>
      </c>
      <c r="AQ2512" t="s">
        <v>1812</v>
      </c>
      <c r="AR2512" t="s">
        <v>80</v>
      </c>
      <c r="AS2512">
        <v>611</v>
      </c>
      <c r="AT2512" t="s">
        <v>81</v>
      </c>
      <c r="AU2512">
        <v>113.18</v>
      </c>
      <c r="AV2512">
        <v>11.56</v>
      </c>
      <c r="AW2512" t="s">
        <v>82</v>
      </c>
      <c r="AX2512">
        <v>611</v>
      </c>
      <c r="AY2512" t="s">
        <v>81</v>
      </c>
      <c r="AZ2512">
        <v>93.7</v>
      </c>
      <c r="BA2512">
        <v>25.21</v>
      </c>
      <c r="BB2512" t="s">
        <v>83</v>
      </c>
    </row>
    <row r="2513" spans="1:54" x14ac:dyDescent="0.4">
      <c r="A2513">
        <v>882303</v>
      </c>
      <c r="D2513" t="s">
        <v>54</v>
      </c>
      <c r="E2513" t="s">
        <v>152</v>
      </c>
      <c r="G2513">
        <v>1</v>
      </c>
      <c r="H2513" t="s">
        <v>84</v>
      </c>
      <c r="I2513" t="s">
        <v>57</v>
      </c>
      <c r="K2513" t="s">
        <v>141</v>
      </c>
      <c r="L2513" t="s">
        <v>3293</v>
      </c>
      <c r="M2513" t="s">
        <v>60</v>
      </c>
      <c r="P2513" t="s">
        <v>135</v>
      </c>
      <c r="R2513" t="s">
        <v>63</v>
      </c>
      <c r="S2513" t="s">
        <v>64</v>
      </c>
      <c r="T2513">
        <v>233.4</v>
      </c>
      <c r="U2513">
        <v>227</v>
      </c>
      <c r="V2513">
        <f t="shared" si="78"/>
        <v>230.2</v>
      </c>
      <c r="W2513">
        <f t="shared" si="79"/>
        <v>6.4000000000000057</v>
      </c>
      <c r="X2513">
        <v>15.016667</v>
      </c>
      <c r="Y2513">
        <v>47.849997999999999</v>
      </c>
      <c r="Z2513" t="s">
        <v>1004</v>
      </c>
      <c r="AA2513" t="s">
        <v>712</v>
      </c>
      <c r="AB2513" t="s">
        <v>3294</v>
      </c>
      <c r="AC2513" t="s">
        <v>3295</v>
      </c>
      <c r="AD2513" t="s">
        <v>3296</v>
      </c>
      <c r="AF2513" t="s">
        <v>3297</v>
      </c>
      <c r="AH2513" t="s">
        <v>72</v>
      </c>
      <c r="AI2513" t="s">
        <v>693</v>
      </c>
      <c r="AJ2513">
        <v>1939</v>
      </c>
      <c r="AK2513" t="s">
        <v>3298</v>
      </c>
      <c r="AN2513" t="s">
        <v>114</v>
      </c>
      <c r="AO2513" t="s">
        <v>160</v>
      </c>
      <c r="AP2513" t="s">
        <v>115</v>
      </c>
      <c r="AQ2513" t="s">
        <v>3299</v>
      </c>
      <c r="AR2513" t="s">
        <v>80</v>
      </c>
      <c r="AS2513">
        <v>307</v>
      </c>
      <c r="AT2513" t="s">
        <v>81</v>
      </c>
      <c r="AU2513">
        <v>34.659999999999997</v>
      </c>
      <c r="AV2513">
        <v>17.14</v>
      </c>
      <c r="AW2513" t="s">
        <v>82</v>
      </c>
      <c r="AX2513">
        <v>307</v>
      </c>
      <c r="AY2513" t="s">
        <v>81</v>
      </c>
      <c r="AZ2513">
        <v>20.100000000000001</v>
      </c>
      <c r="BA2513">
        <v>19.149999999999999</v>
      </c>
      <c r="BB2513" t="s">
        <v>83</v>
      </c>
    </row>
    <row r="2514" spans="1:54" x14ac:dyDescent="0.4">
      <c r="A2514">
        <v>895626</v>
      </c>
      <c r="D2514" t="s">
        <v>54</v>
      </c>
      <c r="E2514" t="s">
        <v>152</v>
      </c>
      <c r="G2514">
        <v>1</v>
      </c>
      <c r="H2514" t="s">
        <v>84</v>
      </c>
      <c r="I2514" t="s">
        <v>57</v>
      </c>
      <c r="K2514" t="s">
        <v>1816</v>
      </c>
      <c r="L2514" t="s">
        <v>3405</v>
      </c>
      <c r="M2514" t="s">
        <v>223</v>
      </c>
      <c r="N2514" t="s">
        <v>234</v>
      </c>
      <c r="O2514" t="s">
        <v>345</v>
      </c>
      <c r="P2514" t="s">
        <v>135</v>
      </c>
      <c r="R2514" t="s">
        <v>63</v>
      </c>
      <c r="S2514" t="s">
        <v>64</v>
      </c>
      <c r="T2514">
        <v>233.4</v>
      </c>
      <c r="U2514">
        <v>227</v>
      </c>
      <c r="V2514">
        <f t="shared" si="78"/>
        <v>230.2</v>
      </c>
      <c r="W2514">
        <f t="shared" si="79"/>
        <v>6.4000000000000057</v>
      </c>
      <c r="X2514">
        <v>12.133333</v>
      </c>
      <c r="Y2514">
        <v>46.533332999999999</v>
      </c>
      <c r="Z2514" t="s">
        <v>1361</v>
      </c>
      <c r="AA2514" t="s">
        <v>593</v>
      </c>
      <c r="AB2514" t="s">
        <v>3406</v>
      </c>
      <c r="AD2514" t="s">
        <v>3407</v>
      </c>
      <c r="AH2514" t="s">
        <v>72</v>
      </c>
      <c r="AI2514" t="s">
        <v>3394</v>
      </c>
      <c r="AJ2514">
        <v>2002</v>
      </c>
      <c r="AK2514" t="s">
        <v>3408</v>
      </c>
      <c r="AN2514" t="s">
        <v>192</v>
      </c>
      <c r="AO2514" t="s">
        <v>160</v>
      </c>
      <c r="AP2514" t="s">
        <v>115</v>
      </c>
      <c r="AQ2514" t="s">
        <v>3409</v>
      </c>
      <c r="AR2514" t="s">
        <v>80</v>
      </c>
      <c r="AS2514">
        <v>307</v>
      </c>
      <c r="AT2514" t="s">
        <v>81</v>
      </c>
      <c r="AU2514">
        <v>32.35</v>
      </c>
      <c r="AV2514">
        <v>17.989999999999998</v>
      </c>
      <c r="AW2514" t="s">
        <v>82</v>
      </c>
      <c r="AX2514">
        <v>307</v>
      </c>
      <c r="AY2514" t="s">
        <v>81</v>
      </c>
      <c r="AZ2514">
        <v>17.600000000000001</v>
      </c>
      <c r="BA2514">
        <v>19.18</v>
      </c>
      <c r="BB2514" t="s">
        <v>83</v>
      </c>
    </row>
    <row r="2515" spans="1:54" x14ac:dyDescent="0.4">
      <c r="A2515">
        <v>1388411</v>
      </c>
      <c r="D2515" t="s">
        <v>54</v>
      </c>
      <c r="I2515" t="s">
        <v>57</v>
      </c>
      <c r="K2515" t="s">
        <v>141</v>
      </c>
      <c r="L2515" t="s">
        <v>4475</v>
      </c>
      <c r="M2515" t="s">
        <v>223</v>
      </c>
      <c r="P2515" t="s">
        <v>135</v>
      </c>
      <c r="R2515" t="s">
        <v>63</v>
      </c>
      <c r="S2515" t="s">
        <v>64</v>
      </c>
      <c r="T2515">
        <v>233.4</v>
      </c>
      <c r="U2515">
        <v>227</v>
      </c>
      <c r="V2515">
        <f t="shared" si="78"/>
        <v>230.2</v>
      </c>
      <c r="W2515">
        <f t="shared" si="79"/>
        <v>6.4000000000000057</v>
      </c>
      <c r="X2515">
        <v>-122.223</v>
      </c>
      <c r="Y2515">
        <v>40.779998999999997</v>
      </c>
      <c r="Z2515" t="s">
        <v>1596</v>
      </c>
      <c r="AA2515" t="s">
        <v>66</v>
      </c>
      <c r="AB2515" t="s">
        <v>4382</v>
      </c>
      <c r="AC2515" t="s">
        <v>4472</v>
      </c>
      <c r="AD2515" t="s">
        <v>4383</v>
      </c>
      <c r="AH2515" t="s">
        <v>72</v>
      </c>
      <c r="AI2515" t="s">
        <v>4895</v>
      </c>
      <c r="AJ2515">
        <v>1999</v>
      </c>
      <c r="AK2515" t="s">
        <v>4896</v>
      </c>
      <c r="AN2515" t="s">
        <v>114</v>
      </c>
      <c r="AO2515">
        <v>2</v>
      </c>
      <c r="AP2515" t="s">
        <v>78</v>
      </c>
      <c r="AR2515" t="s">
        <v>80</v>
      </c>
      <c r="AS2515">
        <v>101</v>
      </c>
      <c r="AT2515" t="s">
        <v>81</v>
      </c>
      <c r="AU2515">
        <v>-44.37</v>
      </c>
      <c r="AV2515">
        <v>21.25</v>
      </c>
      <c r="AW2515" t="s">
        <v>82</v>
      </c>
      <c r="AX2515">
        <v>131</v>
      </c>
      <c r="AY2515" t="s">
        <v>81</v>
      </c>
      <c r="AZ2515">
        <v>-54.7</v>
      </c>
      <c r="BA2515">
        <v>14.02</v>
      </c>
      <c r="BB2515" t="s">
        <v>83</v>
      </c>
    </row>
    <row r="2516" spans="1:54" x14ac:dyDescent="0.4">
      <c r="A2516">
        <v>1388416</v>
      </c>
      <c r="D2516" t="s">
        <v>54</v>
      </c>
      <c r="I2516" t="s">
        <v>57</v>
      </c>
      <c r="K2516" t="s">
        <v>141</v>
      </c>
      <c r="L2516" t="s">
        <v>4471</v>
      </c>
      <c r="M2516" t="s">
        <v>223</v>
      </c>
      <c r="P2516" t="s">
        <v>135</v>
      </c>
      <c r="R2516" t="s">
        <v>63</v>
      </c>
      <c r="S2516" t="s">
        <v>64</v>
      </c>
      <c r="T2516">
        <v>233.4</v>
      </c>
      <c r="U2516">
        <v>227</v>
      </c>
      <c r="V2516">
        <f t="shared" si="78"/>
        <v>230.2</v>
      </c>
      <c r="W2516">
        <f t="shared" si="79"/>
        <v>6.4000000000000057</v>
      </c>
      <c r="X2516">
        <v>-122.230003</v>
      </c>
      <c r="Y2516">
        <v>40.779998999999997</v>
      </c>
      <c r="Z2516" t="s">
        <v>1596</v>
      </c>
      <c r="AA2516" t="s">
        <v>66</v>
      </c>
      <c r="AB2516" t="s">
        <v>4382</v>
      </c>
      <c r="AD2516" t="s">
        <v>4383</v>
      </c>
      <c r="AH2516" t="s">
        <v>72</v>
      </c>
      <c r="AI2516" t="s">
        <v>4895</v>
      </c>
      <c r="AJ2516">
        <v>1999</v>
      </c>
      <c r="AK2516" t="s">
        <v>4897</v>
      </c>
      <c r="AN2516" t="s">
        <v>114</v>
      </c>
      <c r="AO2516">
        <v>2</v>
      </c>
      <c r="AP2516" t="s">
        <v>78</v>
      </c>
      <c r="AR2516" t="s">
        <v>80</v>
      </c>
      <c r="AS2516">
        <v>101</v>
      </c>
      <c r="AT2516" t="s">
        <v>81</v>
      </c>
      <c r="AU2516">
        <v>-44.38</v>
      </c>
      <c r="AV2516">
        <v>21.25</v>
      </c>
      <c r="AW2516" t="s">
        <v>82</v>
      </c>
      <c r="AX2516">
        <v>131</v>
      </c>
      <c r="AY2516" t="s">
        <v>81</v>
      </c>
      <c r="AZ2516">
        <v>-54.7</v>
      </c>
      <c r="BA2516">
        <v>14.03</v>
      </c>
      <c r="BB2516" t="s">
        <v>83</v>
      </c>
    </row>
    <row r="2517" spans="1:54" x14ac:dyDescent="0.4">
      <c r="A2517">
        <v>1388417</v>
      </c>
      <c r="D2517" t="s">
        <v>54</v>
      </c>
      <c r="I2517" t="s">
        <v>57</v>
      </c>
      <c r="K2517" t="s">
        <v>141</v>
      </c>
      <c r="L2517" t="s">
        <v>4471</v>
      </c>
      <c r="M2517" t="s">
        <v>223</v>
      </c>
      <c r="P2517" t="s">
        <v>135</v>
      </c>
      <c r="R2517" t="s">
        <v>63</v>
      </c>
      <c r="S2517" t="s">
        <v>64</v>
      </c>
      <c r="T2517">
        <v>233.4</v>
      </c>
      <c r="U2517">
        <v>227</v>
      </c>
      <c r="V2517">
        <f t="shared" si="78"/>
        <v>230.2</v>
      </c>
      <c r="W2517">
        <f t="shared" si="79"/>
        <v>6.4000000000000057</v>
      </c>
      <c r="X2517">
        <v>-122.223</v>
      </c>
      <c r="Y2517">
        <v>40.779998999999997</v>
      </c>
      <c r="Z2517" t="s">
        <v>1596</v>
      </c>
      <c r="AA2517" t="s">
        <v>66</v>
      </c>
      <c r="AB2517" t="s">
        <v>4382</v>
      </c>
      <c r="AC2517" t="s">
        <v>4472</v>
      </c>
      <c r="AD2517" t="s">
        <v>4383</v>
      </c>
      <c r="AH2517" t="s">
        <v>72</v>
      </c>
      <c r="AI2517" t="s">
        <v>4895</v>
      </c>
      <c r="AJ2517">
        <v>1999</v>
      </c>
      <c r="AK2517" t="s">
        <v>4896</v>
      </c>
      <c r="AN2517" t="s">
        <v>114</v>
      </c>
      <c r="AO2517">
        <v>2</v>
      </c>
      <c r="AP2517" t="s">
        <v>78</v>
      </c>
      <c r="AR2517" t="s">
        <v>80</v>
      </c>
      <c r="AS2517">
        <v>101</v>
      </c>
      <c r="AT2517" t="s">
        <v>81</v>
      </c>
      <c r="AU2517">
        <v>-44.37</v>
      </c>
      <c r="AV2517">
        <v>21.25</v>
      </c>
      <c r="AW2517" t="s">
        <v>82</v>
      </c>
      <c r="AX2517">
        <v>131</v>
      </c>
      <c r="AY2517" t="s">
        <v>81</v>
      </c>
      <c r="AZ2517">
        <v>-54.7</v>
      </c>
      <c r="BA2517">
        <v>14.02</v>
      </c>
      <c r="BB2517" t="s">
        <v>83</v>
      </c>
    </row>
    <row r="2518" spans="1:54" x14ac:dyDescent="0.4">
      <c r="A2518">
        <v>1388420</v>
      </c>
      <c r="D2518" t="s">
        <v>54</v>
      </c>
      <c r="I2518" t="s">
        <v>57</v>
      </c>
      <c r="K2518" t="s">
        <v>141</v>
      </c>
      <c r="L2518" t="s">
        <v>4471</v>
      </c>
      <c r="M2518" t="s">
        <v>223</v>
      </c>
      <c r="P2518" t="s">
        <v>135</v>
      </c>
      <c r="R2518" t="s">
        <v>63</v>
      </c>
      <c r="S2518" t="s">
        <v>64</v>
      </c>
      <c r="T2518">
        <v>233.4</v>
      </c>
      <c r="U2518">
        <v>227</v>
      </c>
      <c r="V2518">
        <f t="shared" si="78"/>
        <v>230.2</v>
      </c>
      <c r="W2518">
        <f t="shared" si="79"/>
        <v>6.4000000000000057</v>
      </c>
      <c r="X2518">
        <v>-122.25</v>
      </c>
      <c r="Y2518">
        <v>40.770000000000003</v>
      </c>
      <c r="Z2518" t="s">
        <v>1596</v>
      </c>
      <c r="AA2518" t="s">
        <v>66</v>
      </c>
      <c r="AB2518" t="s">
        <v>4382</v>
      </c>
      <c r="AC2518" t="s">
        <v>4472</v>
      </c>
      <c r="AD2518" t="s">
        <v>4383</v>
      </c>
      <c r="AH2518" t="s">
        <v>11</v>
      </c>
      <c r="AI2518" t="s">
        <v>4895</v>
      </c>
      <c r="AJ2518">
        <v>1999</v>
      </c>
      <c r="AK2518" t="s">
        <v>4900</v>
      </c>
      <c r="AN2518" t="s">
        <v>114</v>
      </c>
      <c r="AO2518">
        <v>2</v>
      </c>
      <c r="AP2518" t="s">
        <v>78</v>
      </c>
      <c r="AQ2518" t="s">
        <v>4901</v>
      </c>
      <c r="AR2518" t="s">
        <v>80</v>
      </c>
      <c r="AS2518">
        <v>101</v>
      </c>
      <c r="AT2518" t="s">
        <v>81</v>
      </c>
      <c r="AU2518">
        <v>-44.4</v>
      </c>
      <c r="AV2518">
        <v>21.25</v>
      </c>
      <c r="AW2518" t="s">
        <v>82</v>
      </c>
      <c r="AX2518">
        <v>131</v>
      </c>
      <c r="AY2518" t="s">
        <v>81</v>
      </c>
      <c r="AZ2518">
        <v>-54.72</v>
      </c>
      <c r="BA2518">
        <v>14.02</v>
      </c>
      <c r="BB2518" t="s">
        <v>83</v>
      </c>
    </row>
    <row r="2519" spans="1:54" x14ac:dyDescent="0.4">
      <c r="A2519">
        <v>1388421</v>
      </c>
      <c r="D2519" t="s">
        <v>54</v>
      </c>
      <c r="I2519" t="s">
        <v>57</v>
      </c>
      <c r="K2519" t="s">
        <v>141</v>
      </c>
      <c r="L2519" t="s">
        <v>4471</v>
      </c>
      <c r="M2519" t="s">
        <v>223</v>
      </c>
      <c r="P2519" t="s">
        <v>135</v>
      </c>
      <c r="R2519" t="s">
        <v>63</v>
      </c>
      <c r="S2519" t="s">
        <v>64</v>
      </c>
      <c r="T2519">
        <v>233.4</v>
      </c>
      <c r="U2519">
        <v>227</v>
      </c>
      <c r="V2519">
        <f t="shared" si="78"/>
        <v>230.2</v>
      </c>
      <c r="W2519">
        <f t="shared" si="79"/>
        <v>6.4000000000000057</v>
      </c>
      <c r="X2519">
        <v>-122.230003</v>
      </c>
      <c r="Y2519">
        <v>40.779998999999997</v>
      </c>
      <c r="Z2519" t="s">
        <v>1596</v>
      </c>
      <c r="AA2519" t="s">
        <v>66</v>
      </c>
      <c r="AB2519" t="s">
        <v>4382</v>
      </c>
      <c r="AD2519" t="s">
        <v>4383</v>
      </c>
      <c r="AH2519" t="s">
        <v>11</v>
      </c>
      <c r="AI2519" t="s">
        <v>4895</v>
      </c>
      <c r="AJ2519">
        <v>1999</v>
      </c>
      <c r="AK2519" t="s">
        <v>4897</v>
      </c>
      <c r="AN2519" t="s">
        <v>114</v>
      </c>
      <c r="AO2519">
        <v>2</v>
      </c>
      <c r="AP2519" t="s">
        <v>78</v>
      </c>
      <c r="AR2519" t="s">
        <v>80</v>
      </c>
      <c r="AS2519">
        <v>101</v>
      </c>
      <c r="AT2519" t="s">
        <v>81</v>
      </c>
      <c r="AU2519">
        <v>-44.38</v>
      </c>
      <c r="AV2519">
        <v>21.25</v>
      </c>
      <c r="AW2519" t="s">
        <v>82</v>
      </c>
      <c r="AX2519">
        <v>131</v>
      </c>
      <c r="AY2519" t="s">
        <v>81</v>
      </c>
      <c r="AZ2519">
        <v>-54.7</v>
      </c>
      <c r="BA2519">
        <v>14.03</v>
      </c>
      <c r="BB2519" t="s">
        <v>83</v>
      </c>
    </row>
    <row r="2520" spans="1:54" x14ac:dyDescent="0.4">
      <c r="A2520">
        <v>1405851</v>
      </c>
      <c r="D2520" t="s">
        <v>54</v>
      </c>
      <c r="E2520" t="s">
        <v>55</v>
      </c>
      <c r="G2520">
        <v>1</v>
      </c>
      <c r="H2520" t="s">
        <v>56</v>
      </c>
      <c r="I2520" t="s">
        <v>57</v>
      </c>
      <c r="K2520" t="s">
        <v>4933</v>
      </c>
      <c r="L2520" t="s">
        <v>4934</v>
      </c>
      <c r="M2520" t="s">
        <v>60</v>
      </c>
      <c r="N2520" t="s">
        <v>119</v>
      </c>
      <c r="O2520" t="s">
        <v>87</v>
      </c>
      <c r="P2520" t="s">
        <v>135</v>
      </c>
      <c r="R2520" t="s">
        <v>63</v>
      </c>
      <c r="S2520" t="s">
        <v>64</v>
      </c>
      <c r="T2520">
        <v>233.4</v>
      </c>
      <c r="U2520">
        <v>227</v>
      </c>
      <c r="V2520">
        <f t="shared" si="78"/>
        <v>230.2</v>
      </c>
      <c r="W2520">
        <f t="shared" si="79"/>
        <v>6.4000000000000057</v>
      </c>
      <c r="X2520">
        <v>18.249165999999999</v>
      </c>
      <c r="Y2520">
        <v>50.669167000000002</v>
      </c>
      <c r="Z2520" t="s">
        <v>105</v>
      </c>
      <c r="AA2520" t="s">
        <v>697</v>
      </c>
      <c r="AB2520" t="s">
        <v>1326</v>
      </c>
      <c r="AD2520" t="s">
        <v>1327</v>
      </c>
      <c r="AH2520" t="s">
        <v>72</v>
      </c>
      <c r="AI2520" t="s">
        <v>4935</v>
      </c>
      <c r="AJ2520">
        <v>2016</v>
      </c>
      <c r="AK2520" t="s">
        <v>1329</v>
      </c>
      <c r="AN2520" t="s">
        <v>192</v>
      </c>
      <c r="AO2520" t="s">
        <v>77</v>
      </c>
      <c r="AP2520" t="s">
        <v>78</v>
      </c>
      <c r="AQ2520" t="s">
        <v>1330</v>
      </c>
      <c r="AR2520" t="s">
        <v>80</v>
      </c>
      <c r="AS2520">
        <v>305</v>
      </c>
      <c r="AT2520" t="s">
        <v>81</v>
      </c>
      <c r="AU2520">
        <v>29.33</v>
      </c>
      <c r="AV2520">
        <v>32.68</v>
      </c>
      <c r="AW2520" t="s">
        <v>82</v>
      </c>
      <c r="AX2520">
        <v>305</v>
      </c>
      <c r="AY2520" t="s">
        <v>81</v>
      </c>
      <c r="AZ2520">
        <v>17.36</v>
      </c>
      <c r="BA2520">
        <v>30.66</v>
      </c>
      <c r="BB2520" t="s">
        <v>83</v>
      </c>
    </row>
    <row r="2521" spans="1:54" x14ac:dyDescent="0.4">
      <c r="A2521">
        <v>1415674</v>
      </c>
      <c r="D2521" t="s">
        <v>4435</v>
      </c>
      <c r="I2521" t="s">
        <v>57</v>
      </c>
      <c r="K2521" t="s">
        <v>85</v>
      </c>
      <c r="L2521" t="s">
        <v>5049</v>
      </c>
      <c r="M2521" t="s">
        <v>60</v>
      </c>
      <c r="O2521" t="s">
        <v>87</v>
      </c>
      <c r="P2521" t="s">
        <v>135</v>
      </c>
      <c r="R2521" t="s">
        <v>63</v>
      </c>
      <c r="S2521" t="s">
        <v>64</v>
      </c>
      <c r="T2521">
        <v>233.4</v>
      </c>
      <c r="U2521">
        <v>227</v>
      </c>
      <c r="V2521">
        <f t="shared" si="78"/>
        <v>230.2</v>
      </c>
      <c r="W2521">
        <f t="shared" si="79"/>
        <v>6.4000000000000057</v>
      </c>
      <c r="X2521">
        <v>10.670999999999999</v>
      </c>
      <c r="Y2521">
        <v>50.011501000000003</v>
      </c>
      <c r="Z2521" t="s">
        <v>748</v>
      </c>
      <c r="AA2521" t="s">
        <v>211</v>
      </c>
      <c r="AD2521" t="s">
        <v>3271</v>
      </c>
      <c r="AH2521" t="s">
        <v>72</v>
      </c>
      <c r="AI2521" t="s">
        <v>5050</v>
      </c>
      <c r="AJ2521">
        <v>2013</v>
      </c>
      <c r="AK2521" t="s">
        <v>5051</v>
      </c>
      <c r="AN2521" t="s">
        <v>114</v>
      </c>
      <c r="AO2521">
        <v>4</v>
      </c>
      <c r="AP2521" t="s">
        <v>78</v>
      </c>
      <c r="AQ2521" t="s">
        <v>5052</v>
      </c>
      <c r="AR2521" t="s">
        <v>80</v>
      </c>
      <c r="AS2521">
        <v>305</v>
      </c>
      <c r="AT2521" t="s">
        <v>81</v>
      </c>
      <c r="AU2521">
        <v>24.39</v>
      </c>
      <c r="AV2521">
        <v>30.22</v>
      </c>
      <c r="AW2521" t="s">
        <v>82</v>
      </c>
      <c r="AX2521">
        <v>305</v>
      </c>
      <c r="AY2521" t="s">
        <v>81</v>
      </c>
      <c r="AZ2521">
        <v>12.8</v>
      </c>
      <c r="BA2521">
        <v>27.83</v>
      </c>
      <c r="BB2521" t="s">
        <v>83</v>
      </c>
    </row>
    <row r="2522" spans="1:54" x14ac:dyDescent="0.4">
      <c r="A2522">
        <v>1419205</v>
      </c>
      <c r="D2522" t="s">
        <v>54</v>
      </c>
      <c r="I2522" t="s">
        <v>57</v>
      </c>
      <c r="K2522" t="s">
        <v>840</v>
      </c>
      <c r="L2522" t="s">
        <v>841</v>
      </c>
      <c r="M2522" t="s">
        <v>60</v>
      </c>
      <c r="O2522" t="s">
        <v>170</v>
      </c>
      <c r="P2522" t="s">
        <v>135</v>
      </c>
      <c r="R2522" t="s">
        <v>63</v>
      </c>
      <c r="S2522" t="s">
        <v>64</v>
      </c>
      <c r="T2522">
        <v>233.4</v>
      </c>
      <c r="U2522">
        <v>227</v>
      </c>
      <c r="V2522">
        <f t="shared" si="78"/>
        <v>230.2</v>
      </c>
      <c r="W2522">
        <f t="shared" si="79"/>
        <v>6.4000000000000057</v>
      </c>
      <c r="X2522">
        <v>-53.450558000000001</v>
      </c>
      <c r="Y2522">
        <v>-29.631111000000001</v>
      </c>
      <c r="Z2522" t="s">
        <v>1935</v>
      </c>
      <c r="AA2522" t="s">
        <v>783</v>
      </c>
      <c r="AB2522" t="s">
        <v>784</v>
      </c>
      <c r="AD2522" t="s">
        <v>943</v>
      </c>
      <c r="AE2522" t="s">
        <v>786</v>
      </c>
      <c r="AG2522" t="s">
        <v>841</v>
      </c>
      <c r="AH2522" t="s">
        <v>11</v>
      </c>
      <c r="AI2522" t="s">
        <v>5249</v>
      </c>
      <c r="AJ2522">
        <v>2018</v>
      </c>
      <c r="AK2522" t="s">
        <v>5250</v>
      </c>
      <c r="AN2522" t="s">
        <v>192</v>
      </c>
      <c r="AO2522" t="s">
        <v>77</v>
      </c>
      <c r="AP2522" t="s">
        <v>78</v>
      </c>
      <c r="AQ2522" t="s">
        <v>5251</v>
      </c>
      <c r="AR2522" t="s">
        <v>80</v>
      </c>
      <c r="AS2522">
        <v>201</v>
      </c>
      <c r="AT2522" t="s">
        <v>81</v>
      </c>
      <c r="AU2522">
        <v>-9.75</v>
      </c>
      <c r="AV2522">
        <v>-37.93</v>
      </c>
      <c r="AW2522" t="s">
        <v>82</v>
      </c>
      <c r="AX2522">
        <v>202</v>
      </c>
      <c r="AY2522" t="s">
        <v>81</v>
      </c>
      <c r="AZ2522">
        <v>-16.68</v>
      </c>
      <c r="BA2522">
        <v>-41.87</v>
      </c>
      <c r="BB2522" t="s">
        <v>83</v>
      </c>
    </row>
    <row r="2523" spans="1:54" x14ac:dyDescent="0.4">
      <c r="A2523">
        <v>1486218</v>
      </c>
      <c r="D2523" t="s">
        <v>54</v>
      </c>
      <c r="G2523">
        <v>1</v>
      </c>
      <c r="H2523" t="s">
        <v>84</v>
      </c>
      <c r="I2523" t="s">
        <v>57</v>
      </c>
      <c r="K2523" t="s">
        <v>293</v>
      </c>
      <c r="L2523" t="s">
        <v>5452</v>
      </c>
      <c r="M2523" t="s">
        <v>60</v>
      </c>
      <c r="N2523" t="s">
        <v>256</v>
      </c>
      <c r="O2523" t="s">
        <v>87</v>
      </c>
      <c r="P2523" t="s">
        <v>135</v>
      </c>
      <c r="R2523" t="s">
        <v>63</v>
      </c>
      <c r="S2523" t="s">
        <v>64</v>
      </c>
      <c r="T2523">
        <v>233.4</v>
      </c>
      <c r="U2523">
        <v>227</v>
      </c>
      <c r="V2523">
        <f t="shared" si="78"/>
        <v>230.2</v>
      </c>
      <c r="W2523">
        <f t="shared" si="79"/>
        <v>6.4000000000000057</v>
      </c>
      <c r="X2523">
        <v>-53.450558000000001</v>
      </c>
      <c r="Y2523">
        <v>-29.631111000000001</v>
      </c>
      <c r="Z2523" t="s">
        <v>1935</v>
      </c>
      <c r="AA2523" t="s">
        <v>783</v>
      </c>
      <c r="AB2523" t="s">
        <v>784</v>
      </c>
      <c r="AD2523" t="s">
        <v>943</v>
      </c>
      <c r="AE2523" t="s">
        <v>786</v>
      </c>
      <c r="AG2523" t="s">
        <v>841</v>
      </c>
      <c r="AH2523" t="s">
        <v>72</v>
      </c>
      <c r="AI2523" t="s">
        <v>5249</v>
      </c>
      <c r="AJ2523">
        <v>2019</v>
      </c>
      <c r="AK2523" t="s">
        <v>5250</v>
      </c>
      <c r="AN2523" t="s">
        <v>192</v>
      </c>
      <c r="AO2523" t="s">
        <v>77</v>
      </c>
      <c r="AP2523" t="s">
        <v>78</v>
      </c>
      <c r="AQ2523" t="s">
        <v>5251</v>
      </c>
      <c r="AR2523" t="s">
        <v>80</v>
      </c>
      <c r="AS2523">
        <v>201</v>
      </c>
      <c r="AT2523" t="s">
        <v>81</v>
      </c>
      <c r="AU2523">
        <v>-9.75</v>
      </c>
      <c r="AV2523">
        <v>-37.93</v>
      </c>
      <c r="AW2523" t="s">
        <v>82</v>
      </c>
      <c r="AX2523">
        <v>202</v>
      </c>
      <c r="AY2523" t="s">
        <v>81</v>
      </c>
      <c r="AZ2523">
        <v>-16.68</v>
      </c>
      <c r="BA2523">
        <v>-41.87</v>
      </c>
      <c r="BB2523" t="s">
        <v>83</v>
      </c>
    </row>
    <row r="2524" spans="1:54" x14ac:dyDescent="0.4">
      <c r="A2524">
        <v>1529783</v>
      </c>
      <c r="D2524" t="s">
        <v>54</v>
      </c>
      <c r="I2524" t="s">
        <v>57</v>
      </c>
      <c r="K2524" t="s">
        <v>771</v>
      </c>
      <c r="L2524" t="s">
        <v>772</v>
      </c>
      <c r="M2524" t="s">
        <v>223</v>
      </c>
      <c r="P2524" t="s">
        <v>135</v>
      </c>
      <c r="R2524" t="s">
        <v>63</v>
      </c>
      <c r="S2524" t="s">
        <v>64</v>
      </c>
      <c r="T2524">
        <v>233.4</v>
      </c>
      <c r="U2524">
        <v>227</v>
      </c>
      <c r="V2524">
        <f t="shared" si="78"/>
        <v>230.2</v>
      </c>
      <c r="W2524">
        <f t="shared" si="79"/>
        <v>6.4000000000000057</v>
      </c>
      <c r="X2524">
        <v>-122.099998</v>
      </c>
      <c r="Y2524">
        <v>40.849997999999999</v>
      </c>
      <c r="Z2524" t="s">
        <v>1596</v>
      </c>
      <c r="AA2524" t="s">
        <v>66</v>
      </c>
      <c r="AB2524" t="s">
        <v>4382</v>
      </c>
      <c r="AC2524" t="s">
        <v>4472</v>
      </c>
      <c r="AD2524" t="s">
        <v>4383</v>
      </c>
      <c r="AH2524" t="s">
        <v>11</v>
      </c>
      <c r="AI2524" t="s">
        <v>5497</v>
      </c>
      <c r="AJ2524">
        <v>1894</v>
      </c>
      <c r="AK2524" t="s">
        <v>5498</v>
      </c>
      <c r="AN2524" t="s">
        <v>114</v>
      </c>
      <c r="AO2524">
        <v>2</v>
      </c>
      <c r="AP2524" t="s">
        <v>78</v>
      </c>
      <c r="AQ2524" t="s">
        <v>5499</v>
      </c>
      <c r="AR2524" t="s">
        <v>80</v>
      </c>
      <c r="AS2524">
        <v>101</v>
      </c>
      <c r="AT2524" t="s">
        <v>81</v>
      </c>
      <c r="AU2524">
        <v>-44.26</v>
      </c>
      <c r="AV2524">
        <v>21.28</v>
      </c>
      <c r="AW2524" t="s">
        <v>82</v>
      </c>
      <c r="AX2524">
        <v>131</v>
      </c>
      <c r="AY2524" t="s">
        <v>81</v>
      </c>
      <c r="AZ2524">
        <v>-54.59</v>
      </c>
      <c r="BA2524">
        <v>14.06</v>
      </c>
      <c r="BB2524" t="s">
        <v>83</v>
      </c>
    </row>
    <row r="2525" spans="1:54" x14ac:dyDescent="0.4">
      <c r="A2525">
        <v>1561478</v>
      </c>
      <c r="D2525" t="s">
        <v>54</v>
      </c>
      <c r="E2525" t="s">
        <v>310</v>
      </c>
      <c r="F2525" t="s">
        <v>719</v>
      </c>
      <c r="G2525">
        <v>1</v>
      </c>
      <c r="H2525" t="s">
        <v>84</v>
      </c>
      <c r="I2525" t="s">
        <v>57</v>
      </c>
      <c r="K2525" t="s">
        <v>141</v>
      </c>
      <c r="L2525" t="s">
        <v>5547</v>
      </c>
      <c r="M2525" t="s">
        <v>60</v>
      </c>
      <c r="P2525" t="s">
        <v>135</v>
      </c>
      <c r="R2525" t="s">
        <v>63</v>
      </c>
      <c r="S2525" t="s">
        <v>64</v>
      </c>
      <c r="T2525">
        <v>233.4</v>
      </c>
      <c r="U2525">
        <v>227</v>
      </c>
      <c r="V2525">
        <f t="shared" si="78"/>
        <v>230.2</v>
      </c>
      <c r="W2525">
        <f t="shared" si="79"/>
        <v>6.4000000000000057</v>
      </c>
      <c r="X2525">
        <v>-77.671386999999996</v>
      </c>
      <c r="Y2525">
        <v>37.463889999999999</v>
      </c>
      <c r="Z2525" t="s">
        <v>346</v>
      </c>
      <c r="AA2525" t="s">
        <v>66</v>
      </c>
      <c r="AB2525" t="s">
        <v>721</v>
      </c>
      <c r="AC2525" t="s">
        <v>722</v>
      </c>
      <c r="AD2525" t="s">
        <v>723</v>
      </c>
      <c r="AE2525" t="s">
        <v>722</v>
      </c>
      <c r="AF2525" t="s">
        <v>724</v>
      </c>
      <c r="AH2525" t="s">
        <v>72</v>
      </c>
      <c r="AI2525" t="s">
        <v>5368</v>
      </c>
      <c r="AJ2525">
        <v>2021</v>
      </c>
      <c r="AK2525" t="s">
        <v>5548</v>
      </c>
      <c r="AM2525" t="s">
        <v>5549</v>
      </c>
      <c r="AN2525" t="s">
        <v>76</v>
      </c>
      <c r="AO2525" t="s">
        <v>77</v>
      </c>
      <c r="AP2525" t="s">
        <v>78</v>
      </c>
      <c r="AQ2525" t="s">
        <v>5550</v>
      </c>
      <c r="AR2525" t="s">
        <v>80</v>
      </c>
      <c r="AS2525">
        <v>109</v>
      </c>
      <c r="AT2525" t="s">
        <v>81</v>
      </c>
      <c r="AU2525">
        <v>-9.91</v>
      </c>
      <c r="AV2525">
        <v>11.6</v>
      </c>
      <c r="AW2525" t="s">
        <v>82</v>
      </c>
      <c r="AX2525">
        <v>109</v>
      </c>
      <c r="AY2525" t="s">
        <v>81</v>
      </c>
      <c r="AZ2525">
        <v>-19.489999999999998</v>
      </c>
      <c r="BA2525">
        <v>7.24</v>
      </c>
      <c r="BB2525" t="s">
        <v>83</v>
      </c>
    </row>
    <row r="2526" spans="1:54" x14ac:dyDescent="0.4">
      <c r="A2526">
        <v>1589225</v>
      </c>
      <c r="D2526" t="s">
        <v>54</v>
      </c>
      <c r="E2526" t="s">
        <v>310</v>
      </c>
      <c r="G2526">
        <v>1</v>
      </c>
      <c r="H2526" t="s">
        <v>56</v>
      </c>
      <c r="I2526" t="s">
        <v>57</v>
      </c>
      <c r="K2526" t="s">
        <v>755</v>
      </c>
      <c r="L2526" t="s">
        <v>756</v>
      </c>
      <c r="M2526" t="s">
        <v>223</v>
      </c>
      <c r="P2526" t="s">
        <v>135</v>
      </c>
      <c r="R2526" t="s">
        <v>63</v>
      </c>
      <c r="S2526" t="s">
        <v>64</v>
      </c>
      <c r="T2526">
        <v>233.4</v>
      </c>
      <c r="U2526">
        <v>227</v>
      </c>
      <c r="V2526">
        <f t="shared" si="78"/>
        <v>230.2</v>
      </c>
      <c r="W2526">
        <f t="shared" si="79"/>
        <v>6.4000000000000057</v>
      </c>
      <c r="X2526">
        <v>105.416664</v>
      </c>
      <c r="Y2526">
        <v>25.9</v>
      </c>
      <c r="Z2526" t="s">
        <v>1808</v>
      </c>
      <c r="AA2526" t="s">
        <v>379</v>
      </c>
      <c r="AB2526" t="s">
        <v>682</v>
      </c>
      <c r="AD2526" t="s">
        <v>1809</v>
      </c>
      <c r="AF2526" t="s">
        <v>620</v>
      </c>
      <c r="AH2526" t="s">
        <v>72</v>
      </c>
      <c r="AI2526" t="s">
        <v>1815</v>
      </c>
      <c r="AJ2526">
        <v>2019</v>
      </c>
      <c r="AK2526" t="s">
        <v>1811</v>
      </c>
      <c r="AN2526" t="s">
        <v>114</v>
      </c>
      <c r="AO2526" t="s">
        <v>160</v>
      </c>
      <c r="AP2526" t="s">
        <v>78</v>
      </c>
      <c r="AQ2526" t="s">
        <v>1812</v>
      </c>
      <c r="AR2526" t="s">
        <v>80</v>
      </c>
      <c r="AS2526">
        <v>611</v>
      </c>
      <c r="AT2526" t="s">
        <v>81</v>
      </c>
      <c r="AU2526">
        <v>113.18</v>
      </c>
      <c r="AV2526">
        <v>11.56</v>
      </c>
      <c r="AW2526" t="s">
        <v>82</v>
      </c>
      <c r="AX2526">
        <v>611</v>
      </c>
      <c r="AY2526" t="s">
        <v>81</v>
      </c>
      <c r="AZ2526">
        <v>93.7</v>
      </c>
      <c r="BA2526">
        <v>25.21</v>
      </c>
      <c r="BB2526" t="s">
        <v>83</v>
      </c>
    </row>
    <row r="2527" spans="1:54" x14ac:dyDescent="0.4">
      <c r="A2527">
        <v>1601108</v>
      </c>
      <c r="D2527" t="s">
        <v>54</v>
      </c>
      <c r="I2527" t="s">
        <v>57</v>
      </c>
      <c r="K2527" t="s">
        <v>1813</v>
      </c>
      <c r="L2527" t="s">
        <v>4363</v>
      </c>
      <c r="M2527" t="s">
        <v>223</v>
      </c>
      <c r="N2527" t="s">
        <v>234</v>
      </c>
      <c r="O2527" t="s">
        <v>87</v>
      </c>
      <c r="P2527" t="s">
        <v>135</v>
      </c>
      <c r="R2527" t="s">
        <v>63</v>
      </c>
      <c r="S2527" t="s">
        <v>64</v>
      </c>
      <c r="T2527">
        <v>233.4</v>
      </c>
      <c r="U2527">
        <v>227</v>
      </c>
      <c r="V2527">
        <f t="shared" si="78"/>
        <v>230.2</v>
      </c>
      <c r="W2527">
        <f t="shared" si="79"/>
        <v>6.4000000000000057</v>
      </c>
      <c r="X2527">
        <v>-122.223</v>
      </c>
      <c r="Y2527">
        <v>40.779998999999997</v>
      </c>
      <c r="Z2527" t="s">
        <v>1596</v>
      </c>
      <c r="AA2527" t="s">
        <v>66</v>
      </c>
      <c r="AB2527" t="s">
        <v>4382</v>
      </c>
      <c r="AC2527" t="s">
        <v>4472</v>
      </c>
      <c r="AD2527" t="s">
        <v>4383</v>
      </c>
      <c r="AH2527" t="s">
        <v>72</v>
      </c>
      <c r="AI2527" t="s">
        <v>561</v>
      </c>
      <c r="AJ2527">
        <v>1903</v>
      </c>
      <c r="AK2527" t="s">
        <v>4896</v>
      </c>
      <c r="AN2527" t="s">
        <v>114</v>
      </c>
      <c r="AO2527">
        <v>2</v>
      </c>
      <c r="AP2527" t="s">
        <v>78</v>
      </c>
      <c r="AR2527" t="s">
        <v>80</v>
      </c>
      <c r="AS2527">
        <v>101</v>
      </c>
      <c r="AT2527" t="s">
        <v>81</v>
      </c>
      <c r="AU2527">
        <v>-44.37</v>
      </c>
      <c r="AV2527">
        <v>21.25</v>
      </c>
      <c r="AW2527" t="s">
        <v>82</v>
      </c>
      <c r="AX2527">
        <v>131</v>
      </c>
      <c r="AY2527" t="s">
        <v>81</v>
      </c>
      <c r="AZ2527">
        <v>-54.7</v>
      </c>
      <c r="BA2527">
        <v>14.02</v>
      </c>
      <c r="BB2527" t="s">
        <v>83</v>
      </c>
    </row>
    <row r="2528" spans="1:54" x14ac:dyDescent="0.4">
      <c r="A2528">
        <v>789656</v>
      </c>
      <c r="D2528" t="s">
        <v>54</v>
      </c>
      <c r="E2528" t="s">
        <v>55</v>
      </c>
      <c r="F2528" t="s">
        <v>1850</v>
      </c>
      <c r="G2528">
        <v>8</v>
      </c>
      <c r="H2528" t="s">
        <v>84</v>
      </c>
      <c r="I2528" t="s">
        <v>57</v>
      </c>
      <c r="K2528" t="s">
        <v>397</v>
      </c>
      <c r="L2528" t="s">
        <v>398</v>
      </c>
      <c r="M2528" t="s">
        <v>60</v>
      </c>
      <c r="N2528" t="s">
        <v>119</v>
      </c>
      <c r="O2528" t="s">
        <v>134</v>
      </c>
      <c r="P2528" t="s">
        <v>405</v>
      </c>
      <c r="R2528" t="s">
        <v>238</v>
      </c>
      <c r="S2528" t="s">
        <v>123</v>
      </c>
      <c r="T2528">
        <v>274.39999999999998</v>
      </c>
      <c r="U2528">
        <v>266.89999999999998</v>
      </c>
      <c r="V2528">
        <f t="shared" si="78"/>
        <v>270.64999999999998</v>
      </c>
      <c r="W2528">
        <f t="shared" si="79"/>
        <v>7.5</v>
      </c>
      <c r="X2528">
        <v>97.737503000000004</v>
      </c>
      <c r="Y2528">
        <v>39.704166000000001</v>
      </c>
      <c r="Z2528" t="s">
        <v>105</v>
      </c>
      <c r="AA2528" t="s">
        <v>379</v>
      </c>
      <c r="AB2528" t="s">
        <v>1851</v>
      </c>
      <c r="AD2528" t="s">
        <v>1852</v>
      </c>
      <c r="AH2528" t="s">
        <v>72</v>
      </c>
      <c r="AI2528" t="s">
        <v>1840</v>
      </c>
      <c r="AJ2528">
        <v>2008</v>
      </c>
      <c r="AK2528" t="s">
        <v>1853</v>
      </c>
      <c r="AM2528" t="s">
        <v>1852</v>
      </c>
      <c r="AN2528" t="s">
        <v>192</v>
      </c>
      <c r="AO2528" t="s">
        <v>77</v>
      </c>
      <c r="AP2528" t="s">
        <v>115</v>
      </c>
      <c r="AQ2528" t="s">
        <v>1854</v>
      </c>
      <c r="AR2528" t="s">
        <v>80</v>
      </c>
      <c r="AS2528">
        <v>604</v>
      </c>
      <c r="AT2528" t="s">
        <v>81</v>
      </c>
      <c r="AU2528">
        <v>109.15</v>
      </c>
      <c r="AV2528">
        <v>26.65</v>
      </c>
      <c r="AW2528" t="s">
        <v>82</v>
      </c>
      <c r="AX2528">
        <v>604</v>
      </c>
      <c r="AY2528" t="s">
        <v>81</v>
      </c>
      <c r="AZ2528">
        <v>89.57</v>
      </c>
      <c r="BA2528">
        <v>30.67</v>
      </c>
      <c r="BB2528" t="s">
        <v>83</v>
      </c>
    </row>
    <row r="2529" spans="1:54" x14ac:dyDescent="0.4">
      <c r="A2529">
        <v>990446</v>
      </c>
      <c r="D2529" t="s">
        <v>54</v>
      </c>
      <c r="E2529" t="s">
        <v>55</v>
      </c>
      <c r="F2529" t="s">
        <v>1850</v>
      </c>
      <c r="G2529">
        <v>1</v>
      </c>
      <c r="H2529" t="s">
        <v>56</v>
      </c>
      <c r="I2529" t="s">
        <v>57</v>
      </c>
      <c r="K2529" t="s">
        <v>275</v>
      </c>
      <c r="L2529" t="s">
        <v>3985</v>
      </c>
      <c r="M2529" t="s">
        <v>60</v>
      </c>
      <c r="N2529" t="s">
        <v>119</v>
      </c>
      <c r="O2529" t="s">
        <v>134</v>
      </c>
      <c r="P2529" t="s">
        <v>405</v>
      </c>
      <c r="R2529" t="s">
        <v>238</v>
      </c>
      <c r="S2529" t="s">
        <v>123</v>
      </c>
      <c r="T2529">
        <v>274.39999999999998</v>
      </c>
      <c r="U2529">
        <v>266.89999999999998</v>
      </c>
      <c r="V2529">
        <f t="shared" si="78"/>
        <v>270.64999999999998</v>
      </c>
      <c r="W2529">
        <f t="shared" si="79"/>
        <v>7.5</v>
      </c>
      <c r="X2529">
        <v>97.737503000000004</v>
      </c>
      <c r="Y2529">
        <v>39.704166000000001</v>
      </c>
      <c r="Z2529" t="s">
        <v>105</v>
      </c>
      <c r="AA2529" t="s">
        <v>379</v>
      </c>
      <c r="AB2529" t="s">
        <v>1851</v>
      </c>
      <c r="AD2529" t="s">
        <v>1852</v>
      </c>
      <c r="AH2529" t="s">
        <v>72</v>
      </c>
      <c r="AI2529" t="s">
        <v>1389</v>
      </c>
      <c r="AJ2529">
        <v>2011</v>
      </c>
      <c r="AK2529" t="s">
        <v>1853</v>
      </c>
      <c r="AM2529" t="s">
        <v>1852</v>
      </c>
      <c r="AN2529" t="s">
        <v>192</v>
      </c>
      <c r="AO2529" t="s">
        <v>77</v>
      </c>
      <c r="AP2529" t="s">
        <v>115</v>
      </c>
      <c r="AQ2529" t="s">
        <v>1854</v>
      </c>
      <c r="AR2529" t="s">
        <v>80</v>
      </c>
      <c r="AS2529">
        <v>604</v>
      </c>
      <c r="AT2529" t="s">
        <v>81</v>
      </c>
      <c r="AU2529">
        <v>109.15</v>
      </c>
      <c r="AV2529">
        <v>26.65</v>
      </c>
      <c r="AW2529" t="s">
        <v>82</v>
      </c>
      <c r="AX2529">
        <v>604</v>
      </c>
      <c r="AY2529" t="s">
        <v>81</v>
      </c>
      <c r="AZ2529">
        <v>89.57</v>
      </c>
      <c r="BA2529">
        <v>30.67</v>
      </c>
      <c r="BB2529" t="s">
        <v>83</v>
      </c>
    </row>
    <row r="2530" spans="1:54" x14ac:dyDescent="0.4">
      <c r="A2530">
        <v>1640653</v>
      </c>
      <c r="D2530" t="s">
        <v>54</v>
      </c>
      <c r="I2530" t="s">
        <v>57</v>
      </c>
      <c r="K2530" t="s">
        <v>275</v>
      </c>
      <c r="L2530" t="s">
        <v>1543</v>
      </c>
      <c r="M2530" t="s">
        <v>60</v>
      </c>
      <c r="N2530" t="s">
        <v>119</v>
      </c>
      <c r="O2530" t="s">
        <v>134</v>
      </c>
      <c r="P2530" t="s">
        <v>405</v>
      </c>
      <c r="R2530" t="s">
        <v>238</v>
      </c>
      <c r="S2530" t="s">
        <v>123</v>
      </c>
      <c r="T2530">
        <v>274.39999999999998</v>
      </c>
      <c r="U2530">
        <v>266.89999999999998</v>
      </c>
      <c r="V2530">
        <f t="shared" si="78"/>
        <v>270.64999999999998</v>
      </c>
      <c r="W2530">
        <f t="shared" si="79"/>
        <v>7.5</v>
      </c>
      <c r="X2530">
        <v>51.652099999999997</v>
      </c>
      <c r="Y2530">
        <v>54.519401999999999</v>
      </c>
      <c r="Z2530" t="s">
        <v>361</v>
      </c>
      <c r="AA2530" t="s">
        <v>239</v>
      </c>
      <c r="AB2530" t="s">
        <v>5065</v>
      </c>
      <c r="AH2530" t="s">
        <v>72</v>
      </c>
      <c r="AI2530" t="s">
        <v>5671</v>
      </c>
      <c r="AJ2530">
        <v>2022</v>
      </c>
      <c r="AK2530" t="s">
        <v>5674</v>
      </c>
      <c r="AO2530">
        <v>4</v>
      </c>
      <c r="AR2530" t="s">
        <v>80</v>
      </c>
      <c r="AS2530">
        <v>302</v>
      </c>
      <c r="AT2530" t="s">
        <v>81</v>
      </c>
      <c r="AU2530">
        <v>47.51</v>
      </c>
      <c r="AV2530">
        <v>27.06</v>
      </c>
      <c r="AW2530" t="s">
        <v>82</v>
      </c>
      <c r="AX2530">
        <v>301</v>
      </c>
      <c r="AY2530" t="s">
        <v>81</v>
      </c>
      <c r="AZ2530">
        <v>46.94</v>
      </c>
      <c r="BA2530">
        <v>27.39</v>
      </c>
      <c r="BB2530" t="s">
        <v>83</v>
      </c>
    </row>
    <row r="2531" spans="1:54" x14ac:dyDescent="0.4">
      <c r="A2531">
        <v>788570</v>
      </c>
      <c r="D2531" t="s">
        <v>54</v>
      </c>
      <c r="G2531">
        <v>1</v>
      </c>
      <c r="H2531" t="s">
        <v>56</v>
      </c>
      <c r="I2531" t="s">
        <v>57</v>
      </c>
      <c r="K2531" t="s">
        <v>1825</v>
      </c>
      <c r="L2531" t="s">
        <v>1826</v>
      </c>
      <c r="M2531" t="s">
        <v>60</v>
      </c>
      <c r="P2531" t="s">
        <v>546</v>
      </c>
      <c r="R2531" t="s">
        <v>122</v>
      </c>
      <c r="S2531" t="s">
        <v>123</v>
      </c>
      <c r="T2531">
        <v>298.89999999999998</v>
      </c>
      <c r="U2531">
        <v>293.52</v>
      </c>
      <c r="V2531">
        <f t="shared" si="78"/>
        <v>296.20999999999998</v>
      </c>
      <c r="W2531">
        <f t="shared" si="79"/>
        <v>5.3799999999999955</v>
      </c>
      <c r="X2531">
        <v>-80.210830999999999</v>
      </c>
      <c r="Y2531">
        <v>39.720280000000002</v>
      </c>
      <c r="Z2531" t="s">
        <v>356</v>
      </c>
      <c r="AA2531" t="s">
        <v>66</v>
      </c>
      <c r="AB2531" t="s">
        <v>1827</v>
      </c>
      <c r="AC2531" t="s">
        <v>1828</v>
      </c>
      <c r="AD2531" t="s">
        <v>1829</v>
      </c>
      <c r="AE2531" t="s">
        <v>1830</v>
      </c>
      <c r="AF2531" t="s">
        <v>1831</v>
      </c>
      <c r="AH2531" t="s">
        <v>72</v>
      </c>
      <c r="AI2531" t="s">
        <v>189</v>
      </c>
      <c r="AJ2531">
        <v>1952</v>
      </c>
      <c r="AK2531" t="s">
        <v>1832</v>
      </c>
      <c r="AM2531" t="s">
        <v>1833</v>
      </c>
      <c r="AN2531" t="s">
        <v>114</v>
      </c>
      <c r="AO2531" t="s">
        <v>77</v>
      </c>
      <c r="AP2531" t="s">
        <v>78</v>
      </c>
      <c r="AQ2531" t="s">
        <v>1834</v>
      </c>
      <c r="AR2531" t="s">
        <v>80</v>
      </c>
      <c r="AS2531">
        <v>101</v>
      </c>
      <c r="AT2531" t="s">
        <v>81</v>
      </c>
      <c r="AU2531">
        <v>-14.53</v>
      </c>
      <c r="AV2531">
        <v>-3.08</v>
      </c>
      <c r="AW2531" t="s">
        <v>82</v>
      </c>
      <c r="AX2531">
        <v>101</v>
      </c>
      <c r="AY2531" t="s">
        <v>81</v>
      </c>
      <c r="AZ2531">
        <v>-16.02</v>
      </c>
      <c r="BA2531">
        <v>-5.64</v>
      </c>
      <c r="BB2531" t="s">
        <v>83</v>
      </c>
    </row>
    <row r="2532" spans="1:54" x14ac:dyDescent="0.4">
      <c r="A2532">
        <v>788570</v>
      </c>
      <c r="D2532" t="s">
        <v>54</v>
      </c>
      <c r="G2532">
        <v>1</v>
      </c>
      <c r="H2532" t="s">
        <v>56</v>
      </c>
      <c r="I2532" t="s">
        <v>57</v>
      </c>
      <c r="K2532" t="s">
        <v>1825</v>
      </c>
      <c r="L2532" t="s">
        <v>1826</v>
      </c>
      <c r="M2532" t="s">
        <v>60</v>
      </c>
      <c r="P2532" t="s">
        <v>546</v>
      </c>
      <c r="R2532" t="s">
        <v>122</v>
      </c>
      <c r="S2532" t="s">
        <v>123</v>
      </c>
      <c r="T2532">
        <v>298.89999999999998</v>
      </c>
      <c r="U2532">
        <v>293.52</v>
      </c>
      <c r="V2532">
        <f t="shared" si="78"/>
        <v>296.20999999999998</v>
      </c>
      <c r="W2532">
        <f t="shared" si="79"/>
        <v>5.3799999999999955</v>
      </c>
      <c r="X2532">
        <v>-80.210830999999999</v>
      </c>
      <c r="Y2532">
        <v>39.720280000000002</v>
      </c>
      <c r="Z2532" t="s">
        <v>356</v>
      </c>
      <c r="AA2532" t="s">
        <v>66</v>
      </c>
      <c r="AB2532" t="s">
        <v>1827</v>
      </c>
      <c r="AC2532" t="s">
        <v>1828</v>
      </c>
      <c r="AD2532" t="s">
        <v>1829</v>
      </c>
      <c r="AE2532" t="s">
        <v>1830</v>
      </c>
      <c r="AF2532" t="s">
        <v>1831</v>
      </c>
      <c r="AH2532" t="s">
        <v>72</v>
      </c>
      <c r="AI2532" t="s">
        <v>189</v>
      </c>
      <c r="AJ2532">
        <v>1952</v>
      </c>
      <c r="AK2532" t="s">
        <v>1832</v>
      </c>
      <c r="AM2532" t="s">
        <v>1833</v>
      </c>
      <c r="AN2532" t="s">
        <v>114</v>
      </c>
      <c r="AO2532" t="s">
        <v>77</v>
      </c>
      <c r="AP2532" t="s">
        <v>78</v>
      </c>
      <c r="AQ2532" t="s">
        <v>1834</v>
      </c>
      <c r="AR2532" t="s">
        <v>80</v>
      </c>
      <c r="AS2532">
        <v>101</v>
      </c>
      <c r="AT2532" t="s">
        <v>81</v>
      </c>
      <c r="AU2532">
        <v>-14.53</v>
      </c>
      <c r="AV2532">
        <v>-3.08</v>
      </c>
      <c r="AW2532" t="s">
        <v>82</v>
      </c>
      <c r="AX2532">
        <v>101</v>
      </c>
      <c r="AY2532" t="s">
        <v>81</v>
      </c>
      <c r="AZ2532">
        <v>-16.02</v>
      </c>
      <c r="BA2532">
        <v>-5.64</v>
      </c>
      <c r="BB2532" t="s">
        <v>83</v>
      </c>
    </row>
    <row r="2533" spans="1:54" x14ac:dyDescent="0.4">
      <c r="A2533">
        <v>788570</v>
      </c>
      <c r="D2533" t="s">
        <v>54</v>
      </c>
      <c r="G2533">
        <v>1</v>
      </c>
      <c r="H2533" t="s">
        <v>56</v>
      </c>
      <c r="I2533" t="s">
        <v>57</v>
      </c>
      <c r="K2533" t="s">
        <v>1825</v>
      </c>
      <c r="L2533" t="s">
        <v>1826</v>
      </c>
      <c r="M2533" t="s">
        <v>60</v>
      </c>
      <c r="P2533" t="s">
        <v>546</v>
      </c>
      <c r="R2533" t="s">
        <v>122</v>
      </c>
      <c r="S2533" t="s">
        <v>123</v>
      </c>
      <c r="T2533">
        <v>298.89999999999998</v>
      </c>
      <c r="U2533">
        <v>293.52</v>
      </c>
      <c r="V2533">
        <f t="shared" si="78"/>
        <v>296.20999999999998</v>
      </c>
      <c r="W2533">
        <f t="shared" si="79"/>
        <v>5.3799999999999955</v>
      </c>
      <c r="X2533">
        <v>-80.210830999999999</v>
      </c>
      <c r="Y2533">
        <v>39.720280000000002</v>
      </c>
      <c r="Z2533" t="s">
        <v>356</v>
      </c>
      <c r="AA2533" t="s">
        <v>66</v>
      </c>
      <c r="AB2533" t="s">
        <v>1827</v>
      </c>
      <c r="AC2533" t="s">
        <v>1828</v>
      </c>
      <c r="AD2533" t="s">
        <v>1829</v>
      </c>
      <c r="AE2533" t="s">
        <v>1830</v>
      </c>
      <c r="AF2533" t="s">
        <v>1831</v>
      </c>
      <c r="AH2533" t="s">
        <v>72</v>
      </c>
      <c r="AI2533" t="s">
        <v>189</v>
      </c>
      <c r="AJ2533">
        <v>1952</v>
      </c>
      <c r="AK2533" t="s">
        <v>1832</v>
      </c>
      <c r="AM2533" t="s">
        <v>1833</v>
      </c>
      <c r="AN2533" t="s">
        <v>114</v>
      </c>
      <c r="AO2533" t="s">
        <v>77</v>
      </c>
      <c r="AP2533" t="s">
        <v>78</v>
      </c>
      <c r="AQ2533" t="s">
        <v>1834</v>
      </c>
      <c r="AR2533" t="s">
        <v>80</v>
      </c>
      <c r="AS2533">
        <v>101</v>
      </c>
      <c r="AT2533" t="s">
        <v>81</v>
      </c>
      <c r="AU2533">
        <v>-14.53</v>
      </c>
      <c r="AV2533">
        <v>-3.08</v>
      </c>
      <c r="AW2533" t="s">
        <v>82</v>
      </c>
      <c r="AX2533">
        <v>101</v>
      </c>
      <c r="AY2533" t="s">
        <v>81</v>
      </c>
      <c r="AZ2533">
        <v>-16.02</v>
      </c>
      <c r="BA2533">
        <v>-5.64</v>
      </c>
      <c r="BB2533" t="s">
        <v>83</v>
      </c>
    </row>
    <row r="2534" spans="1:54" x14ac:dyDescent="0.4">
      <c r="A2534">
        <v>788570</v>
      </c>
      <c r="D2534" t="s">
        <v>54</v>
      </c>
      <c r="G2534">
        <v>1</v>
      </c>
      <c r="H2534" t="s">
        <v>56</v>
      </c>
      <c r="I2534" t="s">
        <v>57</v>
      </c>
      <c r="K2534" t="s">
        <v>1825</v>
      </c>
      <c r="L2534" t="s">
        <v>1826</v>
      </c>
      <c r="M2534" t="s">
        <v>60</v>
      </c>
      <c r="P2534" t="s">
        <v>546</v>
      </c>
      <c r="R2534" t="s">
        <v>122</v>
      </c>
      <c r="S2534" t="s">
        <v>123</v>
      </c>
      <c r="T2534">
        <v>298.89999999999998</v>
      </c>
      <c r="U2534">
        <v>293.52</v>
      </c>
      <c r="V2534">
        <f t="shared" si="78"/>
        <v>296.20999999999998</v>
      </c>
      <c r="W2534">
        <f t="shared" si="79"/>
        <v>5.3799999999999955</v>
      </c>
      <c r="X2534">
        <v>-80.210830999999999</v>
      </c>
      <c r="Y2534">
        <v>39.720280000000002</v>
      </c>
      <c r="Z2534" t="s">
        <v>356</v>
      </c>
      <c r="AA2534" t="s">
        <v>66</v>
      </c>
      <c r="AB2534" t="s">
        <v>1827</v>
      </c>
      <c r="AC2534" t="s">
        <v>1828</v>
      </c>
      <c r="AD2534" t="s">
        <v>1829</v>
      </c>
      <c r="AE2534" t="s">
        <v>1830</v>
      </c>
      <c r="AF2534" t="s">
        <v>1831</v>
      </c>
      <c r="AH2534" t="s">
        <v>72</v>
      </c>
      <c r="AI2534" t="s">
        <v>189</v>
      </c>
      <c r="AJ2534">
        <v>1952</v>
      </c>
      <c r="AK2534" t="s">
        <v>1832</v>
      </c>
      <c r="AM2534" t="s">
        <v>1833</v>
      </c>
      <c r="AN2534" t="s">
        <v>114</v>
      </c>
      <c r="AO2534" t="s">
        <v>77</v>
      </c>
      <c r="AP2534" t="s">
        <v>78</v>
      </c>
      <c r="AQ2534" t="s">
        <v>1834</v>
      </c>
      <c r="AR2534" t="s">
        <v>80</v>
      </c>
      <c r="AS2534">
        <v>101</v>
      </c>
      <c r="AT2534" t="s">
        <v>81</v>
      </c>
      <c r="AU2534">
        <v>-14.53</v>
      </c>
      <c r="AV2534">
        <v>-3.08</v>
      </c>
      <c r="AW2534" t="s">
        <v>82</v>
      </c>
      <c r="AX2534">
        <v>101</v>
      </c>
      <c r="AY2534" t="s">
        <v>81</v>
      </c>
      <c r="AZ2534">
        <v>-16.02</v>
      </c>
      <c r="BA2534">
        <v>-5.64</v>
      </c>
      <c r="BB2534" t="s">
        <v>83</v>
      </c>
    </row>
    <row r="2535" spans="1:54" x14ac:dyDescent="0.4">
      <c r="A2535">
        <v>788570</v>
      </c>
      <c r="D2535" t="s">
        <v>54</v>
      </c>
      <c r="G2535">
        <v>1</v>
      </c>
      <c r="H2535" t="s">
        <v>56</v>
      </c>
      <c r="I2535" t="s">
        <v>57</v>
      </c>
      <c r="K2535" t="s">
        <v>1825</v>
      </c>
      <c r="L2535" t="s">
        <v>1826</v>
      </c>
      <c r="M2535" t="s">
        <v>60</v>
      </c>
      <c r="P2535" t="s">
        <v>546</v>
      </c>
      <c r="R2535" t="s">
        <v>122</v>
      </c>
      <c r="S2535" t="s">
        <v>123</v>
      </c>
      <c r="T2535">
        <v>298.89999999999998</v>
      </c>
      <c r="U2535">
        <v>293.52</v>
      </c>
      <c r="V2535">
        <f t="shared" si="78"/>
        <v>296.20999999999998</v>
      </c>
      <c r="W2535">
        <f t="shared" si="79"/>
        <v>5.3799999999999955</v>
      </c>
      <c r="X2535">
        <v>-80.210830999999999</v>
      </c>
      <c r="Y2535">
        <v>39.720280000000002</v>
      </c>
      <c r="Z2535" t="s">
        <v>356</v>
      </c>
      <c r="AA2535" t="s">
        <v>66</v>
      </c>
      <c r="AB2535" t="s">
        <v>1827</v>
      </c>
      <c r="AC2535" t="s">
        <v>1828</v>
      </c>
      <c r="AD2535" t="s">
        <v>1829</v>
      </c>
      <c r="AE2535" t="s">
        <v>1830</v>
      </c>
      <c r="AF2535" t="s">
        <v>1831</v>
      </c>
      <c r="AH2535" t="s">
        <v>72</v>
      </c>
      <c r="AI2535" t="s">
        <v>189</v>
      </c>
      <c r="AJ2535">
        <v>1952</v>
      </c>
      <c r="AK2535" t="s">
        <v>1832</v>
      </c>
      <c r="AM2535" t="s">
        <v>1833</v>
      </c>
      <c r="AN2535" t="s">
        <v>114</v>
      </c>
      <c r="AO2535" t="s">
        <v>77</v>
      </c>
      <c r="AP2535" t="s">
        <v>78</v>
      </c>
      <c r="AQ2535" t="s">
        <v>1834</v>
      </c>
      <c r="AR2535" t="s">
        <v>80</v>
      </c>
      <c r="AS2535">
        <v>101</v>
      </c>
      <c r="AT2535" t="s">
        <v>81</v>
      </c>
      <c r="AU2535">
        <v>-14.53</v>
      </c>
      <c r="AV2535">
        <v>-3.08</v>
      </c>
      <c r="AW2535" t="s">
        <v>82</v>
      </c>
      <c r="AX2535">
        <v>101</v>
      </c>
      <c r="AY2535" t="s">
        <v>81</v>
      </c>
      <c r="AZ2535">
        <v>-16.02</v>
      </c>
      <c r="BA2535">
        <v>-5.64</v>
      </c>
      <c r="BB2535" t="s">
        <v>83</v>
      </c>
    </row>
    <row r="2536" spans="1:54" x14ac:dyDescent="0.4">
      <c r="A2536">
        <v>788570</v>
      </c>
      <c r="D2536" t="s">
        <v>54</v>
      </c>
      <c r="G2536">
        <v>1</v>
      </c>
      <c r="H2536" t="s">
        <v>56</v>
      </c>
      <c r="I2536" t="s">
        <v>57</v>
      </c>
      <c r="K2536" t="s">
        <v>1825</v>
      </c>
      <c r="L2536" t="s">
        <v>1826</v>
      </c>
      <c r="M2536" t="s">
        <v>60</v>
      </c>
      <c r="P2536" t="s">
        <v>546</v>
      </c>
      <c r="R2536" t="s">
        <v>122</v>
      </c>
      <c r="S2536" t="s">
        <v>123</v>
      </c>
      <c r="T2536">
        <v>298.89999999999998</v>
      </c>
      <c r="U2536">
        <v>293.52</v>
      </c>
      <c r="V2536">
        <f t="shared" si="78"/>
        <v>296.20999999999998</v>
      </c>
      <c r="W2536">
        <f t="shared" si="79"/>
        <v>5.3799999999999955</v>
      </c>
      <c r="X2536">
        <v>-80.210830999999999</v>
      </c>
      <c r="Y2536">
        <v>39.720280000000002</v>
      </c>
      <c r="Z2536" t="s">
        <v>356</v>
      </c>
      <c r="AA2536" t="s">
        <v>66</v>
      </c>
      <c r="AB2536" t="s">
        <v>1827</v>
      </c>
      <c r="AC2536" t="s">
        <v>1828</v>
      </c>
      <c r="AD2536" t="s">
        <v>1829</v>
      </c>
      <c r="AE2536" t="s">
        <v>1830</v>
      </c>
      <c r="AF2536" t="s">
        <v>1831</v>
      </c>
      <c r="AH2536" t="s">
        <v>72</v>
      </c>
      <c r="AI2536" t="s">
        <v>189</v>
      </c>
      <c r="AJ2536">
        <v>1952</v>
      </c>
      <c r="AK2536" t="s">
        <v>1832</v>
      </c>
      <c r="AM2536" t="s">
        <v>1833</v>
      </c>
      <c r="AN2536" t="s">
        <v>114</v>
      </c>
      <c r="AO2536" t="s">
        <v>77</v>
      </c>
      <c r="AP2536" t="s">
        <v>78</v>
      </c>
      <c r="AQ2536" t="s">
        <v>1834</v>
      </c>
      <c r="AR2536" t="s">
        <v>80</v>
      </c>
      <c r="AS2536">
        <v>101</v>
      </c>
      <c r="AT2536" t="s">
        <v>81</v>
      </c>
      <c r="AU2536">
        <v>-14.53</v>
      </c>
      <c r="AV2536">
        <v>-3.08</v>
      </c>
      <c r="AW2536" t="s">
        <v>82</v>
      </c>
      <c r="AX2536">
        <v>101</v>
      </c>
      <c r="AY2536" t="s">
        <v>81</v>
      </c>
      <c r="AZ2536">
        <v>-16.02</v>
      </c>
      <c r="BA2536">
        <v>-5.64</v>
      </c>
      <c r="BB2536" t="s">
        <v>83</v>
      </c>
    </row>
    <row r="2537" spans="1:54" x14ac:dyDescent="0.4">
      <c r="A2537">
        <v>788570</v>
      </c>
      <c r="D2537" t="s">
        <v>54</v>
      </c>
      <c r="G2537">
        <v>1</v>
      </c>
      <c r="H2537" t="s">
        <v>56</v>
      </c>
      <c r="I2537" t="s">
        <v>57</v>
      </c>
      <c r="K2537" t="s">
        <v>1825</v>
      </c>
      <c r="L2537" t="s">
        <v>1826</v>
      </c>
      <c r="M2537" t="s">
        <v>60</v>
      </c>
      <c r="P2537" t="s">
        <v>546</v>
      </c>
      <c r="R2537" t="s">
        <v>122</v>
      </c>
      <c r="S2537" t="s">
        <v>123</v>
      </c>
      <c r="T2537">
        <v>298.89999999999998</v>
      </c>
      <c r="U2537">
        <v>293.52</v>
      </c>
      <c r="V2537">
        <f t="shared" si="78"/>
        <v>296.20999999999998</v>
      </c>
      <c r="W2537">
        <f t="shared" si="79"/>
        <v>5.3799999999999955</v>
      </c>
      <c r="X2537">
        <v>-80.210830999999999</v>
      </c>
      <c r="Y2537">
        <v>39.720280000000002</v>
      </c>
      <c r="Z2537" t="s">
        <v>356</v>
      </c>
      <c r="AA2537" t="s">
        <v>66</v>
      </c>
      <c r="AB2537" t="s">
        <v>1827</v>
      </c>
      <c r="AC2537" t="s">
        <v>1828</v>
      </c>
      <c r="AD2537" t="s">
        <v>1829</v>
      </c>
      <c r="AE2537" t="s">
        <v>1830</v>
      </c>
      <c r="AF2537" t="s">
        <v>1831</v>
      </c>
      <c r="AH2537" t="s">
        <v>72</v>
      </c>
      <c r="AI2537" t="s">
        <v>189</v>
      </c>
      <c r="AJ2537">
        <v>1952</v>
      </c>
      <c r="AK2537" t="s">
        <v>1832</v>
      </c>
      <c r="AM2537" t="s">
        <v>1833</v>
      </c>
      <c r="AN2537" t="s">
        <v>114</v>
      </c>
      <c r="AO2537" t="s">
        <v>77</v>
      </c>
      <c r="AP2537" t="s">
        <v>78</v>
      </c>
      <c r="AQ2537" t="s">
        <v>1834</v>
      </c>
      <c r="AR2537" t="s">
        <v>80</v>
      </c>
      <c r="AS2537">
        <v>101</v>
      </c>
      <c r="AT2537" t="s">
        <v>81</v>
      </c>
      <c r="AU2537">
        <v>-14.53</v>
      </c>
      <c r="AV2537">
        <v>-3.08</v>
      </c>
      <c r="AW2537" t="s">
        <v>82</v>
      </c>
      <c r="AX2537">
        <v>101</v>
      </c>
      <c r="AY2537" t="s">
        <v>81</v>
      </c>
      <c r="AZ2537">
        <v>-16.02</v>
      </c>
      <c r="BA2537">
        <v>-5.64</v>
      </c>
      <c r="BB2537" t="s">
        <v>83</v>
      </c>
    </row>
    <row r="2538" spans="1:54" x14ac:dyDescent="0.4">
      <c r="A2538">
        <v>790486</v>
      </c>
      <c r="D2538" t="s">
        <v>54</v>
      </c>
      <c r="G2538">
        <v>1</v>
      </c>
      <c r="H2538" t="s">
        <v>56</v>
      </c>
      <c r="I2538" t="s">
        <v>57</v>
      </c>
      <c r="K2538" t="s">
        <v>1825</v>
      </c>
      <c r="L2538" t="s">
        <v>1826</v>
      </c>
      <c r="M2538" t="s">
        <v>60</v>
      </c>
      <c r="P2538" t="s">
        <v>546</v>
      </c>
      <c r="R2538" t="s">
        <v>122</v>
      </c>
      <c r="S2538" t="s">
        <v>123</v>
      </c>
      <c r="T2538">
        <v>298.89999999999998</v>
      </c>
      <c r="U2538">
        <v>293.52</v>
      </c>
      <c r="V2538">
        <f t="shared" si="78"/>
        <v>296.20999999999998</v>
      </c>
      <c r="W2538">
        <f t="shared" si="79"/>
        <v>5.3799999999999955</v>
      </c>
      <c r="X2538">
        <v>-98.777495999999999</v>
      </c>
      <c r="Y2538">
        <v>33.449722000000001</v>
      </c>
      <c r="Z2538" t="s">
        <v>124</v>
      </c>
      <c r="AA2538" t="s">
        <v>66</v>
      </c>
      <c r="AB2538" t="s">
        <v>125</v>
      </c>
      <c r="AC2538" t="s">
        <v>126</v>
      </c>
      <c r="AD2538" t="s">
        <v>1979</v>
      </c>
      <c r="AE2538" t="s">
        <v>128</v>
      </c>
      <c r="AH2538" t="s">
        <v>72</v>
      </c>
      <c r="AI2538" t="s">
        <v>1666</v>
      </c>
      <c r="AJ2538">
        <v>1973</v>
      </c>
      <c r="AK2538" t="s">
        <v>1980</v>
      </c>
      <c r="AM2538" t="s">
        <v>1981</v>
      </c>
      <c r="AN2538" t="s">
        <v>192</v>
      </c>
      <c r="AO2538" t="s">
        <v>77</v>
      </c>
      <c r="AP2538" t="s">
        <v>78</v>
      </c>
      <c r="AQ2538" t="s">
        <v>1982</v>
      </c>
      <c r="AR2538" t="s">
        <v>80</v>
      </c>
      <c r="AS2538">
        <v>101</v>
      </c>
      <c r="AT2538" t="s">
        <v>81</v>
      </c>
      <c r="AU2538">
        <v>-30.65</v>
      </c>
      <c r="AV2538">
        <v>-2.02</v>
      </c>
      <c r="AW2538" t="s">
        <v>82</v>
      </c>
      <c r="AX2538">
        <v>101</v>
      </c>
      <c r="AY2538" t="s">
        <v>81</v>
      </c>
      <c r="AZ2538">
        <v>-32.18</v>
      </c>
      <c r="BA2538">
        <v>-4.57</v>
      </c>
      <c r="BB2538" t="s">
        <v>83</v>
      </c>
    </row>
    <row r="2539" spans="1:54" x14ac:dyDescent="0.4">
      <c r="A2539">
        <v>790486</v>
      </c>
      <c r="D2539" t="s">
        <v>54</v>
      </c>
      <c r="G2539">
        <v>1</v>
      </c>
      <c r="H2539" t="s">
        <v>56</v>
      </c>
      <c r="I2539" t="s">
        <v>57</v>
      </c>
      <c r="K2539" t="s">
        <v>1825</v>
      </c>
      <c r="L2539" t="s">
        <v>1826</v>
      </c>
      <c r="M2539" t="s">
        <v>60</v>
      </c>
      <c r="P2539" t="s">
        <v>546</v>
      </c>
      <c r="R2539" t="s">
        <v>122</v>
      </c>
      <c r="S2539" t="s">
        <v>123</v>
      </c>
      <c r="T2539">
        <v>298.89999999999998</v>
      </c>
      <c r="U2539">
        <v>293.52</v>
      </c>
      <c r="V2539">
        <f t="shared" si="78"/>
        <v>296.20999999999998</v>
      </c>
      <c r="W2539">
        <f t="shared" si="79"/>
        <v>5.3799999999999955</v>
      </c>
      <c r="X2539">
        <v>-98.777495999999999</v>
      </c>
      <c r="Y2539">
        <v>33.449722000000001</v>
      </c>
      <c r="Z2539" t="s">
        <v>124</v>
      </c>
      <c r="AA2539" t="s">
        <v>66</v>
      </c>
      <c r="AB2539" t="s">
        <v>125</v>
      </c>
      <c r="AC2539" t="s">
        <v>126</v>
      </c>
      <c r="AD2539" t="s">
        <v>1979</v>
      </c>
      <c r="AE2539" t="s">
        <v>128</v>
      </c>
      <c r="AH2539" t="s">
        <v>72</v>
      </c>
      <c r="AI2539" t="s">
        <v>1666</v>
      </c>
      <c r="AJ2539">
        <v>1973</v>
      </c>
      <c r="AK2539" t="s">
        <v>1980</v>
      </c>
      <c r="AM2539" t="s">
        <v>1981</v>
      </c>
      <c r="AN2539" t="s">
        <v>192</v>
      </c>
      <c r="AO2539" t="s">
        <v>77</v>
      </c>
      <c r="AP2539" t="s">
        <v>78</v>
      </c>
      <c r="AQ2539" t="s">
        <v>1982</v>
      </c>
      <c r="AR2539" t="s">
        <v>80</v>
      </c>
      <c r="AS2539">
        <v>101</v>
      </c>
      <c r="AT2539" t="s">
        <v>81</v>
      </c>
      <c r="AU2539">
        <v>-30.65</v>
      </c>
      <c r="AV2539">
        <v>-2.02</v>
      </c>
      <c r="AW2539" t="s">
        <v>82</v>
      </c>
      <c r="AX2539">
        <v>101</v>
      </c>
      <c r="AY2539" t="s">
        <v>81</v>
      </c>
      <c r="AZ2539">
        <v>-32.18</v>
      </c>
      <c r="BA2539">
        <v>-4.57</v>
      </c>
      <c r="BB2539" t="s">
        <v>83</v>
      </c>
    </row>
    <row r="2540" spans="1:54" x14ac:dyDescent="0.4">
      <c r="A2540">
        <v>790486</v>
      </c>
      <c r="D2540" t="s">
        <v>54</v>
      </c>
      <c r="G2540">
        <v>1</v>
      </c>
      <c r="H2540" t="s">
        <v>56</v>
      </c>
      <c r="I2540" t="s">
        <v>57</v>
      </c>
      <c r="K2540" t="s">
        <v>1825</v>
      </c>
      <c r="L2540" t="s">
        <v>1826</v>
      </c>
      <c r="M2540" t="s">
        <v>60</v>
      </c>
      <c r="P2540" t="s">
        <v>546</v>
      </c>
      <c r="R2540" t="s">
        <v>122</v>
      </c>
      <c r="S2540" t="s">
        <v>123</v>
      </c>
      <c r="T2540">
        <v>298.89999999999998</v>
      </c>
      <c r="U2540">
        <v>293.52</v>
      </c>
      <c r="V2540">
        <f t="shared" si="78"/>
        <v>296.20999999999998</v>
      </c>
      <c r="W2540">
        <f t="shared" si="79"/>
        <v>5.3799999999999955</v>
      </c>
      <c r="X2540">
        <v>-98.777495999999999</v>
      </c>
      <c r="Y2540">
        <v>33.449722000000001</v>
      </c>
      <c r="Z2540" t="s">
        <v>124</v>
      </c>
      <c r="AA2540" t="s">
        <v>66</v>
      </c>
      <c r="AB2540" t="s">
        <v>125</v>
      </c>
      <c r="AC2540" t="s">
        <v>126</v>
      </c>
      <c r="AD2540" t="s">
        <v>1979</v>
      </c>
      <c r="AE2540" t="s">
        <v>128</v>
      </c>
      <c r="AH2540" t="s">
        <v>72</v>
      </c>
      <c r="AI2540" t="s">
        <v>1666</v>
      </c>
      <c r="AJ2540">
        <v>1973</v>
      </c>
      <c r="AK2540" t="s">
        <v>1980</v>
      </c>
      <c r="AM2540" t="s">
        <v>1981</v>
      </c>
      <c r="AN2540" t="s">
        <v>192</v>
      </c>
      <c r="AO2540" t="s">
        <v>77</v>
      </c>
      <c r="AP2540" t="s">
        <v>78</v>
      </c>
      <c r="AQ2540" t="s">
        <v>1982</v>
      </c>
      <c r="AR2540" t="s">
        <v>80</v>
      </c>
      <c r="AS2540">
        <v>101</v>
      </c>
      <c r="AT2540" t="s">
        <v>81</v>
      </c>
      <c r="AU2540">
        <v>-30.65</v>
      </c>
      <c r="AV2540">
        <v>-2.02</v>
      </c>
      <c r="AW2540" t="s">
        <v>82</v>
      </c>
      <c r="AX2540">
        <v>101</v>
      </c>
      <c r="AY2540" t="s">
        <v>81</v>
      </c>
      <c r="AZ2540">
        <v>-32.18</v>
      </c>
      <c r="BA2540">
        <v>-4.57</v>
      </c>
      <c r="BB2540" t="s">
        <v>83</v>
      </c>
    </row>
    <row r="2541" spans="1:54" x14ac:dyDescent="0.4">
      <c r="A2541">
        <v>790486</v>
      </c>
      <c r="D2541" t="s">
        <v>54</v>
      </c>
      <c r="G2541">
        <v>1</v>
      </c>
      <c r="H2541" t="s">
        <v>56</v>
      </c>
      <c r="I2541" t="s">
        <v>57</v>
      </c>
      <c r="K2541" t="s">
        <v>1825</v>
      </c>
      <c r="L2541" t="s">
        <v>1826</v>
      </c>
      <c r="M2541" t="s">
        <v>60</v>
      </c>
      <c r="P2541" t="s">
        <v>546</v>
      </c>
      <c r="R2541" t="s">
        <v>122</v>
      </c>
      <c r="S2541" t="s">
        <v>123</v>
      </c>
      <c r="T2541">
        <v>298.89999999999998</v>
      </c>
      <c r="U2541">
        <v>293.52</v>
      </c>
      <c r="V2541">
        <f t="shared" si="78"/>
        <v>296.20999999999998</v>
      </c>
      <c r="W2541">
        <f t="shared" si="79"/>
        <v>5.3799999999999955</v>
      </c>
      <c r="X2541">
        <v>-98.777495999999999</v>
      </c>
      <c r="Y2541">
        <v>33.449722000000001</v>
      </c>
      <c r="Z2541" t="s">
        <v>124</v>
      </c>
      <c r="AA2541" t="s">
        <v>66</v>
      </c>
      <c r="AB2541" t="s">
        <v>125</v>
      </c>
      <c r="AC2541" t="s">
        <v>126</v>
      </c>
      <c r="AD2541" t="s">
        <v>1979</v>
      </c>
      <c r="AE2541" t="s">
        <v>128</v>
      </c>
      <c r="AH2541" t="s">
        <v>72</v>
      </c>
      <c r="AI2541" t="s">
        <v>1666</v>
      </c>
      <c r="AJ2541">
        <v>1973</v>
      </c>
      <c r="AK2541" t="s">
        <v>1980</v>
      </c>
      <c r="AM2541" t="s">
        <v>1981</v>
      </c>
      <c r="AN2541" t="s">
        <v>192</v>
      </c>
      <c r="AO2541" t="s">
        <v>77</v>
      </c>
      <c r="AP2541" t="s">
        <v>78</v>
      </c>
      <c r="AQ2541" t="s">
        <v>1982</v>
      </c>
      <c r="AR2541" t="s">
        <v>80</v>
      </c>
      <c r="AS2541">
        <v>101</v>
      </c>
      <c r="AT2541" t="s">
        <v>81</v>
      </c>
      <c r="AU2541">
        <v>-30.65</v>
      </c>
      <c r="AV2541">
        <v>-2.02</v>
      </c>
      <c r="AW2541" t="s">
        <v>82</v>
      </c>
      <c r="AX2541">
        <v>101</v>
      </c>
      <c r="AY2541" t="s">
        <v>81</v>
      </c>
      <c r="AZ2541">
        <v>-32.18</v>
      </c>
      <c r="BA2541">
        <v>-4.57</v>
      </c>
      <c r="BB2541" t="s">
        <v>83</v>
      </c>
    </row>
    <row r="2542" spans="1:54" x14ac:dyDescent="0.4">
      <c r="A2542">
        <v>790486</v>
      </c>
      <c r="D2542" t="s">
        <v>54</v>
      </c>
      <c r="G2542">
        <v>1</v>
      </c>
      <c r="H2542" t="s">
        <v>56</v>
      </c>
      <c r="I2542" t="s">
        <v>57</v>
      </c>
      <c r="K2542" t="s">
        <v>1825</v>
      </c>
      <c r="L2542" t="s">
        <v>1826</v>
      </c>
      <c r="M2542" t="s">
        <v>60</v>
      </c>
      <c r="P2542" t="s">
        <v>546</v>
      </c>
      <c r="R2542" t="s">
        <v>122</v>
      </c>
      <c r="S2542" t="s">
        <v>123</v>
      </c>
      <c r="T2542">
        <v>298.89999999999998</v>
      </c>
      <c r="U2542">
        <v>293.52</v>
      </c>
      <c r="V2542">
        <f t="shared" si="78"/>
        <v>296.20999999999998</v>
      </c>
      <c r="W2542">
        <f t="shared" si="79"/>
        <v>5.3799999999999955</v>
      </c>
      <c r="X2542">
        <v>-98.777495999999999</v>
      </c>
      <c r="Y2542">
        <v>33.449722000000001</v>
      </c>
      <c r="Z2542" t="s">
        <v>124</v>
      </c>
      <c r="AA2542" t="s">
        <v>66</v>
      </c>
      <c r="AB2542" t="s">
        <v>125</v>
      </c>
      <c r="AC2542" t="s">
        <v>126</v>
      </c>
      <c r="AD2542" t="s">
        <v>1979</v>
      </c>
      <c r="AE2542" t="s">
        <v>128</v>
      </c>
      <c r="AH2542" t="s">
        <v>72</v>
      </c>
      <c r="AI2542" t="s">
        <v>1666</v>
      </c>
      <c r="AJ2542">
        <v>1973</v>
      </c>
      <c r="AK2542" t="s">
        <v>1980</v>
      </c>
      <c r="AM2542" t="s">
        <v>1981</v>
      </c>
      <c r="AN2542" t="s">
        <v>192</v>
      </c>
      <c r="AO2542" t="s">
        <v>77</v>
      </c>
      <c r="AP2542" t="s">
        <v>78</v>
      </c>
      <c r="AQ2542" t="s">
        <v>1982</v>
      </c>
      <c r="AR2542" t="s">
        <v>80</v>
      </c>
      <c r="AS2542">
        <v>101</v>
      </c>
      <c r="AT2542" t="s">
        <v>81</v>
      </c>
      <c r="AU2542">
        <v>-30.65</v>
      </c>
      <c r="AV2542">
        <v>-2.02</v>
      </c>
      <c r="AW2542" t="s">
        <v>82</v>
      </c>
      <c r="AX2542">
        <v>101</v>
      </c>
      <c r="AY2542" t="s">
        <v>81</v>
      </c>
      <c r="AZ2542">
        <v>-32.18</v>
      </c>
      <c r="BA2542">
        <v>-4.57</v>
      </c>
      <c r="BB2542" t="s">
        <v>83</v>
      </c>
    </row>
    <row r="2543" spans="1:54" x14ac:dyDescent="0.4">
      <c r="A2543">
        <v>790487</v>
      </c>
      <c r="D2543" t="s">
        <v>54</v>
      </c>
      <c r="G2543">
        <v>1</v>
      </c>
      <c r="H2543" t="s">
        <v>56</v>
      </c>
      <c r="I2543" t="s">
        <v>57</v>
      </c>
      <c r="K2543" t="s">
        <v>275</v>
      </c>
      <c r="L2543" t="s">
        <v>1983</v>
      </c>
      <c r="M2543" t="s">
        <v>60</v>
      </c>
      <c r="N2543" t="s">
        <v>119</v>
      </c>
      <c r="O2543" t="s">
        <v>134</v>
      </c>
      <c r="P2543" t="s">
        <v>546</v>
      </c>
      <c r="R2543" t="s">
        <v>122</v>
      </c>
      <c r="S2543" t="s">
        <v>123</v>
      </c>
      <c r="T2543">
        <v>298.89999999999998</v>
      </c>
      <c r="U2543">
        <v>293.52</v>
      </c>
      <c r="V2543">
        <f t="shared" si="78"/>
        <v>296.20999999999998</v>
      </c>
      <c r="W2543">
        <f t="shared" si="79"/>
        <v>5.3799999999999955</v>
      </c>
      <c r="X2543">
        <v>-98.777495999999999</v>
      </c>
      <c r="Y2543">
        <v>33.449722000000001</v>
      </c>
      <c r="Z2543" t="s">
        <v>124</v>
      </c>
      <c r="AA2543" t="s">
        <v>66</v>
      </c>
      <c r="AB2543" t="s">
        <v>125</v>
      </c>
      <c r="AC2543" t="s">
        <v>126</v>
      </c>
      <c r="AD2543" t="s">
        <v>1979</v>
      </c>
      <c r="AE2543" t="s">
        <v>128</v>
      </c>
      <c r="AH2543" t="s">
        <v>72</v>
      </c>
      <c r="AI2543" t="s">
        <v>1666</v>
      </c>
      <c r="AJ2543">
        <v>1973</v>
      </c>
      <c r="AK2543" t="s">
        <v>1980</v>
      </c>
      <c r="AM2543" t="s">
        <v>1981</v>
      </c>
      <c r="AN2543" t="s">
        <v>192</v>
      </c>
      <c r="AO2543" t="s">
        <v>77</v>
      </c>
      <c r="AP2543" t="s">
        <v>78</v>
      </c>
      <c r="AQ2543" t="s">
        <v>1982</v>
      </c>
      <c r="AR2543" t="s">
        <v>80</v>
      </c>
      <c r="AS2543">
        <v>101</v>
      </c>
      <c r="AT2543" t="s">
        <v>81</v>
      </c>
      <c r="AU2543">
        <v>-30.65</v>
      </c>
      <c r="AV2543">
        <v>-2.02</v>
      </c>
      <c r="AW2543" t="s">
        <v>82</v>
      </c>
      <c r="AX2543">
        <v>101</v>
      </c>
      <c r="AY2543" t="s">
        <v>81</v>
      </c>
      <c r="AZ2543">
        <v>-32.18</v>
      </c>
      <c r="BA2543">
        <v>-4.57</v>
      </c>
      <c r="BB2543" t="s">
        <v>83</v>
      </c>
    </row>
    <row r="2544" spans="1:54" x14ac:dyDescent="0.4">
      <c r="A2544">
        <v>1285904</v>
      </c>
      <c r="D2544" t="s">
        <v>54</v>
      </c>
      <c r="G2544">
        <v>1</v>
      </c>
      <c r="H2544" t="s">
        <v>56</v>
      </c>
      <c r="I2544" t="s">
        <v>57</v>
      </c>
      <c r="K2544" t="s">
        <v>2801</v>
      </c>
      <c r="L2544" t="s">
        <v>4549</v>
      </c>
      <c r="M2544" t="s">
        <v>60</v>
      </c>
      <c r="N2544" t="s">
        <v>119</v>
      </c>
      <c r="O2544" t="s">
        <v>87</v>
      </c>
      <c r="P2544" t="s">
        <v>546</v>
      </c>
      <c r="R2544" t="s">
        <v>122</v>
      </c>
      <c r="S2544" t="s">
        <v>123</v>
      </c>
      <c r="T2544">
        <v>298.89999999999998</v>
      </c>
      <c r="U2544">
        <v>293.52</v>
      </c>
      <c r="V2544">
        <f t="shared" si="78"/>
        <v>296.20999999999998</v>
      </c>
      <c r="W2544">
        <f t="shared" si="79"/>
        <v>5.3799999999999955</v>
      </c>
      <c r="X2544">
        <v>3.3138890000000001</v>
      </c>
      <c r="Y2544">
        <v>43.733612000000001</v>
      </c>
      <c r="Z2544" t="s">
        <v>124</v>
      </c>
      <c r="AA2544" t="s">
        <v>521</v>
      </c>
      <c r="AB2544" t="s">
        <v>4550</v>
      </c>
      <c r="AC2544" t="s">
        <v>4551</v>
      </c>
      <c r="AD2544" t="s">
        <v>4552</v>
      </c>
      <c r="AH2544" t="s">
        <v>72</v>
      </c>
      <c r="AI2544" t="s">
        <v>2456</v>
      </c>
      <c r="AJ2544">
        <v>1858</v>
      </c>
      <c r="AK2544" t="s">
        <v>4553</v>
      </c>
      <c r="AM2544" t="s">
        <v>4554</v>
      </c>
      <c r="AN2544" t="s">
        <v>114</v>
      </c>
      <c r="AO2544" t="s">
        <v>77</v>
      </c>
      <c r="AP2544" t="s">
        <v>115</v>
      </c>
      <c r="AR2544" t="s">
        <v>80</v>
      </c>
      <c r="AS2544">
        <v>305</v>
      </c>
      <c r="AT2544" t="s">
        <v>81</v>
      </c>
      <c r="AU2544">
        <v>18.100000000000001</v>
      </c>
      <c r="AV2544">
        <v>-1.36</v>
      </c>
      <c r="AW2544" t="s">
        <v>82</v>
      </c>
      <c r="AX2544">
        <v>305</v>
      </c>
      <c r="AY2544" t="s">
        <v>81</v>
      </c>
      <c r="AZ2544">
        <v>16.66</v>
      </c>
      <c r="BA2544">
        <v>-3.37</v>
      </c>
      <c r="BB2544" t="s">
        <v>83</v>
      </c>
    </row>
    <row r="2545" spans="1:54" x14ac:dyDescent="0.4">
      <c r="A2545" s="2" t="s">
        <v>6521</v>
      </c>
      <c r="B2545" s="2"/>
      <c r="C2545" s="2"/>
      <c r="D2545" s="2" t="s">
        <v>54</v>
      </c>
      <c r="E2545" s="2"/>
      <c r="F2545" s="2" t="s">
        <v>6350</v>
      </c>
      <c r="G2545" s="2">
        <v>1</v>
      </c>
      <c r="H2545" s="2" t="s">
        <v>5718</v>
      </c>
      <c r="I2545" s="3" t="s">
        <v>57</v>
      </c>
      <c r="J2545" s="3" t="s">
        <v>6522</v>
      </c>
      <c r="K2545" s="3" t="s">
        <v>499</v>
      </c>
      <c r="L2545" s="4" t="s">
        <v>4542</v>
      </c>
      <c r="M2545" s="3" t="s">
        <v>60</v>
      </c>
      <c r="N2545" s="4"/>
      <c r="O2545" s="4"/>
      <c r="P2545" s="3" t="s">
        <v>511</v>
      </c>
      <c r="Q2545" s="3"/>
      <c r="R2545" s="3" t="s">
        <v>512</v>
      </c>
      <c r="S2545" s="3" t="s">
        <v>123</v>
      </c>
      <c r="T2545">
        <v>259.51</v>
      </c>
      <c r="U2545">
        <v>254.14</v>
      </c>
      <c r="V2545">
        <f t="shared" si="78"/>
        <v>256.82499999999999</v>
      </c>
      <c r="W2545">
        <f t="shared" si="79"/>
        <v>5.3700000000000045</v>
      </c>
      <c r="X2545" s="5">
        <v>24.215554999999998</v>
      </c>
      <c r="Y2545" s="5">
        <v>-32.043331000000002</v>
      </c>
      <c r="Z2545" s="3"/>
      <c r="AA2545" s="3" t="s">
        <v>106</v>
      </c>
      <c r="AB2545" s="3" t="s">
        <v>5730</v>
      </c>
      <c r="AC2545" s="3" t="s">
        <v>5720</v>
      </c>
      <c r="AD2545" s="3" t="s">
        <v>5720</v>
      </c>
      <c r="AE2545" s="3" t="s">
        <v>5720</v>
      </c>
      <c r="AF2545" s="3" t="s">
        <v>110</v>
      </c>
      <c r="AG2545" s="3" t="s">
        <v>6523</v>
      </c>
      <c r="AH2545" s="3"/>
      <c r="AI2545" s="3" t="s">
        <v>5720</v>
      </c>
      <c r="AJ2545" s="3" t="s">
        <v>5720</v>
      </c>
      <c r="AK2545" s="3" t="s">
        <v>5723</v>
      </c>
      <c r="AL2545" s="6" t="s">
        <v>6524</v>
      </c>
      <c r="AM2545" s="3"/>
      <c r="AN2545" s="3"/>
      <c r="AO2545" s="3"/>
      <c r="AP2545" s="3"/>
      <c r="AQ2545" s="3"/>
      <c r="AR2545" s="3"/>
      <c r="AS2545" s="3"/>
      <c r="AT2545" s="3"/>
      <c r="AU2545" s="3"/>
      <c r="AV2545" s="3"/>
      <c r="AW2545" s="3"/>
      <c r="AX2545" s="3"/>
      <c r="AY2545" s="3"/>
      <c r="AZ2545" s="3"/>
      <c r="BA2545" s="3"/>
      <c r="BB2545" s="3"/>
    </row>
    <row r="2546" spans="1:54" x14ac:dyDescent="0.4">
      <c r="A2546" s="2" t="s">
        <v>6525</v>
      </c>
      <c r="B2546" s="2"/>
      <c r="C2546" s="2"/>
      <c r="D2546" s="2" t="s">
        <v>54</v>
      </c>
      <c r="E2546" s="2"/>
      <c r="F2546" s="2" t="s">
        <v>6526</v>
      </c>
      <c r="G2546" s="2">
        <v>1</v>
      </c>
      <c r="H2546" s="2" t="s">
        <v>5718</v>
      </c>
      <c r="I2546" s="3" t="s">
        <v>57</v>
      </c>
      <c r="J2546" s="3" t="s">
        <v>6522</v>
      </c>
      <c r="K2546" s="3" t="s">
        <v>499</v>
      </c>
      <c r="L2546" s="4" t="s">
        <v>574</v>
      </c>
      <c r="M2546" s="3" t="s">
        <v>60</v>
      </c>
      <c r="N2546" s="4"/>
      <c r="O2546" s="4"/>
      <c r="P2546" s="3" t="s">
        <v>511</v>
      </c>
      <c r="Q2546" s="3"/>
      <c r="R2546" s="3" t="s">
        <v>512</v>
      </c>
      <c r="S2546" s="3" t="s">
        <v>123</v>
      </c>
      <c r="T2546">
        <v>259.51</v>
      </c>
      <c r="U2546">
        <v>254.14</v>
      </c>
      <c r="V2546">
        <f t="shared" si="78"/>
        <v>256.82499999999999</v>
      </c>
      <c r="W2546">
        <f t="shared" si="79"/>
        <v>5.3700000000000045</v>
      </c>
      <c r="X2546" s="5">
        <v>22.416666670000001</v>
      </c>
      <c r="Y2546" s="5">
        <v>-31.95</v>
      </c>
      <c r="Z2546" s="3"/>
      <c r="AA2546" s="3" t="s">
        <v>106</v>
      </c>
      <c r="AB2546" s="3" t="s">
        <v>5741</v>
      </c>
      <c r="AC2546" s="3" t="s">
        <v>5720</v>
      </c>
      <c r="AD2546" s="3" t="s">
        <v>5720</v>
      </c>
      <c r="AE2546" s="3" t="s">
        <v>5720</v>
      </c>
      <c r="AF2546" s="3" t="s">
        <v>110</v>
      </c>
      <c r="AG2546" s="3" t="s">
        <v>6527</v>
      </c>
      <c r="AH2546" s="3"/>
      <c r="AI2546" s="3" t="s">
        <v>5720</v>
      </c>
      <c r="AJ2546" s="3" t="s">
        <v>5720</v>
      </c>
      <c r="AK2546" s="3" t="s">
        <v>5723</v>
      </c>
      <c r="AL2546" s="6" t="s">
        <v>6528</v>
      </c>
      <c r="AM2546" s="3"/>
      <c r="AN2546" s="3"/>
      <c r="AO2546" s="3"/>
      <c r="AP2546" s="3"/>
      <c r="AQ2546" s="3"/>
      <c r="AR2546" s="3"/>
      <c r="AS2546" s="3"/>
      <c r="AT2546" s="3"/>
      <c r="AU2546" s="3"/>
      <c r="AV2546" s="3"/>
      <c r="AW2546" s="3"/>
      <c r="AX2546" s="3"/>
      <c r="AY2546" s="3"/>
      <c r="AZ2546" s="3"/>
      <c r="BA2546" s="3"/>
      <c r="BB2546" s="3"/>
    </row>
    <row r="2547" spans="1:54" x14ac:dyDescent="0.4">
      <c r="A2547" s="2" t="s">
        <v>6529</v>
      </c>
      <c r="B2547" s="2"/>
      <c r="C2547" s="2"/>
      <c r="D2547" s="2" t="s">
        <v>54</v>
      </c>
      <c r="E2547" s="2"/>
      <c r="F2547" s="26" t="s">
        <v>6530</v>
      </c>
      <c r="G2547" s="2">
        <v>1</v>
      </c>
      <c r="H2547" s="2" t="s">
        <v>5718</v>
      </c>
      <c r="I2547" s="3" t="s">
        <v>57</v>
      </c>
      <c r="J2547" s="3" t="s">
        <v>5911</v>
      </c>
      <c r="K2547" s="3" t="s">
        <v>275</v>
      </c>
      <c r="L2547" s="4" t="s">
        <v>6531</v>
      </c>
      <c r="M2547" s="3" t="s">
        <v>60</v>
      </c>
      <c r="N2547" s="4"/>
      <c r="O2547" s="4"/>
      <c r="P2547" s="3" t="s">
        <v>511</v>
      </c>
      <c r="Q2547" s="3"/>
      <c r="R2547" s="3" t="s">
        <v>512</v>
      </c>
      <c r="S2547" s="3" t="s">
        <v>123</v>
      </c>
      <c r="T2547">
        <v>259.51</v>
      </c>
      <c r="U2547">
        <v>254.14</v>
      </c>
      <c r="V2547">
        <f t="shared" si="78"/>
        <v>256.82499999999999</v>
      </c>
      <c r="W2547">
        <f t="shared" si="79"/>
        <v>5.3700000000000045</v>
      </c>
      <c r="X2547" s="5" t="s">
        <v>6532</v>
      </c>
      <c r="Y2547" s="5" t="s">
        <v>6533</v>
      </c>
      <c r="Z2547" s="5"/>
      <c r="AA2547" s="3" t="s">
        <v>1222</v>
      </c>
      <c r="AB2547" s="3" t="s">
        <v>1223</v>
      </c>
      <c r="AC2547" s="3" t="s">
        <v>6534</v>
      </c>
      <c r="AD2547" s="3" t="s">
        <v>6535</v>
      </c>
      <c r="AE2547" s="3" t="s">
        <v>5720</v>
      </c>
      <c r="AF2547" s="3" t="s">
        <v>5720</v>
      </c>
      <c r="AG2547" s="3" t="s">
        <v>4572</v>
      </c>
      <c r="AH2547" s="3"/>
      <c r="AI2547" s="3" t="s">
        <v>6536</v>
      </c>
      <c r="AJ2547" s="3">
        <v>2024</v>
      </c>
      <c r="AK2547" s="5" t="s">
        <v>6537</v>
      </c>
      <c r="AL2547" s="9" t="s">
        <v>6538</v>
      </c>
      <c r="AM2547" s="3"/>
      <c r="AN2547" s="3"/>
      <c r="AO2547" s="3"/>
      <c r="AP2547" s="3"/>
      <c r="AQ2547" s="3"/>
      <c r="AR2547" s="3"/>
      <c r="AS2547" s="3"/>
      <c r="AT2547" s="3"/>
      <c r="AU2547" s="3"/>
      <c r="AV2547" s="3"/>
      <c r="AW2547" s="3"/>
      <c r="AX2547" s="3"/>
      <c r="AY2547" s="3"/>
      <c r="AZ2547" s="3"/>
      <c r="BA2547" s="3"/>
      <c r="BB2547" s="3"/>
    </row>
    <row r="2548" spans="1:54" x14ac:dyDescent="0.4">
      <c r="A2548">
        <v>368043</v>
      </c>
      <c r="D2548" t="s">
        <v>54</v>
      </c>
      <c r="E2548" t="s">
        <v>55</v>
      </c>
      <c r="G2548">
        <v>1</v>
      </c>
      <c r="H2548" t="s">
        <v>84</v>
      </c>
      <c r="I2548" t="s">
        <v>57</v>
      </c>
      <c r="K2548" t="s">
        <v>141</v>
      </c>
      <c r="L2548" t="s">
        <v>574</v>
      </c>
      <c r="M2548" t="s">
        <v>60</v>
      </c>
      <c r="O2548" t="s">
        <v>170</v>
      </c>
      <c r="P2548" t="s">
        <v>511</v>
      </c>
      <c r="R2548" t="s">
        <v>512</v>
      </c>
      <c r="S2548" t="s">
        <v>123</v>
      </c>
      <c r="T2548">
        <v>259.51</v>
      </c>
      <c r="U2548">
        <v>254.14</v>
      </c>
      <c r="V2548">
        <f t="shared" si="78"/>
        <v>256.82499999999999</v>
      </c>
      <c r="W2548">
        <f t="shared" si="79"/>
        <v>5.3700000000000045</v>
      </c>
      <c r="X2548">
        <v>22.366667</v>
      </c>
      <c r="Y2548">
        <v>-31.466667000000001</v>
      </c>
      <c r="Z2548" t="s">
        <v>124</v>
      </c>
      <c r="AA2548" t="s">
        <v>106</v>
      </c>
      <c r="AB2548" t="s">
        <v>575</v>
      </c>
      <c r="AH2548" t="s">
        <v>72</v>
      </c>
      <c r="AI2548" t="s">
        <v>111</v>
      </c>
      <c r="AJ2548">
        <v>1935</v>
      </c>
      <c r="AK2548" t="s">
        <v>576</v>
      </c>
      <c r="AM2548" t="s">
        <v>577</v>
      </c>
      <c r="AN2548" t="s">
        <v>114</v>
      </c>
      <c r="AO2548" t="s">
        <v>160</v>
      </c>
      <c r="AP2548" t="s">
        <v>78</v>
      </c>
      <c r="AQ2548" t="s">
        <v>578</v>
      </c>
      <c r="AR2548" t="s">
        <v>80</v>
      </c>
      <c r="AS2548">
        <v>701</v>
      </c>
      <c r="AT2548" t="s">
        <v>81</v>
      </c>
      <c r="AU2548">
        <v>-18.93</v>
      </c>
      <c r="AV2548">
        <v>-49.95</v>
      </c>
      <c r="AW2548" t="s">
        <v>82</v>
      </c>
      <c r="AX2548">
        <v>701</v>
      </c>
      <c r="AY2548" t="s">
        <v>81</v>
      </c>
      <c r="AZ2548">
        <v>-28.99</v>
      </c>
      <c r="BA2548">
        <v>-60.02</v>
      </c>
      <c r="BB2548" t="s">
        <v>83</v>
      </c>
    </row>
    <row r="2549" spans="1:54" x14ac:dyDescent="0.4">
      <c r="A2549">
        <v>719380</v>
      </c>
      <c r="D2549" t="s">
        <v>853</v>
      </c>
      <c r="G2549">
        <v>1</v>
      </c>
      <c r="H2549" t="s">
        <v>56</v>
      </c>
      <c r="I2549" t="s">
        <v>57</v>
      </c>
      <c r="K2549" t="s">
        <v>1504</v>
      </c>
      <c r="L2549" t="s">
        <v>1505</v>
      </c>
      <c r="M2549" t="s">
        <v>60</v>
      </c>
      <c r="N2549" t="s">
        <v>61</v>
      </c>
      <c r="P2549" t="s">
        <v>511</v>
      </c>
      <c r="R2549" t="s">
        <v>512</v>
      </c>
      <c r="S2549" t="s">
        <v>123</v>
      </c>
      <c r="T2549">
        <v>259.51</v>
      </c>
      <c r="U2549">
        <v>254.14</v>
      </c>
      <c r="V2549">
        <f t="shared" si="78"/>
        <v>256.82499999999999</v>
      </c>
      <c r="W2549">
        <f t="shared" si="79"/>
        <v>5.3700000000000045</v>
      </c>
      <c r="X2549">
        <v>-1.45</v>
      </c>
      <c r="Y2549">
        <v>54.816665999999998</v>
      </c>
      <c r="Z2549" t="s">
        <v>1251</v>
      </c>
      <c r="AA2549" t="s">
        <v>91</v>
      </c>
      <c r="AB2549" t="s">
        <v>92</v>
      </c>
      <c r="AC2549" t="s">
        <v>1506</v>
      </c>
      <c r="AD2549" t="s">
        <v>1507</v>
      </c>
      <c r="AE2549" t="s">
        <v>1508</v>
      </c>
      <c r="AH2549" t="s">
        <v>72</v>
      </c>
      <c r="AI2549" t="s">
        <v>709</v>
      </c>
      <c r="AJ2549">
        <v>1982</v>
      </c>
      <c r="AK2549" t="s">
        <v>1509</v>
      </c>
      <c r="AM2549" t="s">
        <v>1510</v>
      </c>
      <c r="AN2549" t="s">
        <v>114</v>
      </c>
      <c r="AO2549" t="s">
        <v>160</v>
      </c>
      <c r="AP2549" t="s">
        <v>115</v>
      </c>
      <c r="AQ2549" t="s">
        <v>1511</v>
      </c>
      <c r="AR2549" t="s">
        <v>80</v>
      </c>
      <c r="AS2549">
        <v>315</v>
      </c>
      <c r="AT2549" t="s">
        <v>81</v>
      </c>
      <c r="AU2549">
        <v>21.08</v>
      </c>
      <c r="AV2549">
        <v>27.2</v>
      </c>
      <c r="AW2549" t="s">
        <v>82</v>
      </c>
      <c r="AX2549">
        <v>315</v>
      </c>
      <c r="AY2549" t="s">
        <v>81</v>
      </c>
      <c r="AZ2549">
        <v>15.09</v>
      </c>
      <c r="BA2549">
        <v>17.690000000000001</v>
      </c>
      <c r="BB2549" t="s">
        <v>83</v>
      </c>
    </row>
    <row r="2550" spans="1:54" x14ac:dyDescent="0.4">
      <c r="A2550">
        <v>740289</v>
      </c>
      <c r="D2550" t="s">
        <v>54</v>
      </c>
      <c r="E2550" t="s">
        <v>152</v>
      </c>
      <c r="G2550">
        <v>1</v>
      </c>
      <c r="H2550" t="s">
        <v>56</v>
      </c>
      <c r="I2550" t="s">
        <v>57</v>
      </c>
      <c r="K2550" t="s">
        <v>275</v>
      </c>
      <c r="L2550" t="s">
        <v>1564</v>
      </c>
      <c r="M2550" t="s">
        <v>60</v>
      </c>
      <c r="N2550" t="s">
        <v>119</v>
      </c>
      <c r="O2550" t="s">
        <v>134</v>
      </c>
      <c r="P2550" t="s">
        <v>511</v>
      </c>
      <c r="R2550" t="s">
        <v>512</v>
      </c>
      <c r="S2550" t="s">
        <v>123</v>
      </c>
      <c r="T2550">
        <v>259.51</v>
      </c>
      <c r="U2550">
        <v>254.14</v>
      </c>
      <c r="V2550">
        <f t="shared" si="78"/>
        <v>256.82499999999999</v>
      </c>
      <c r="W2550">
        <f t="shared" si="79"/>
        <v>5.3700000000000045</v>
      </c>
      <c r="X2550">
        <v>-9.079167</v>
      </c>
      <c r="Y2550">
        <v>30.836390000000002</v>
      </c>
      <c r="Z2550" t="s">
        <v>124</v>
      </c>
      <c r="AA2550" t="s">
        <v>1272</v>
      </c>
      <c r="AB2550" t="s">
        <v>1565</v>
      </c>
      <c r="AD2550" t="s">
        <v>1566</v>
      </c>
      <c r="AF2550" t="s">
        <v>1567</v>
      </c>
      <c r="AH2550" t="s">
        <v>72</v>
      </c>
      <c r="AI2550" t="s">
        <v>1278</v>
      </c>
      <c r="AJ2550">
        <v>1976</v>
      </c>
      <c r="AK2550" t="s">
        <v>1568</v>
      </c>
      <c r="AM2550" t="s">
        <v>1569</v>
      </c>
      <c r="AN2550" t="s">
        <v>114</v>
      </c>
      <c r="AO2550" t="s">
        <v>77</v>
      </c>
      <c r="AP2550" t="s">
        <v>115</v>
      </c>
      <c r="AQ2550" t="s">
        <v>1570</v>
      </c>
      <c r="AR2550" t="s">
        <v>80</v>
      </c>
      <c r="AS2550">
        <v>707</v>
      </c>
      <c r="AT2550" t="s">
        <v>81</v>
      </c>
      <c r="AU2550">
        <v>6.05</v>
      </c>
      <c r="AV2550">
        <v>13.34</v>
      </c>
      <c r="AW2550" t="s">
        <v>82</v>
      </c>
      <c r="AX2550">
        <v>707</v>
      </c>
      <c r="AY2550" t="s">
        <v>81</v>
      </c>
      <c r="AZ2550">
        <v>1.45</v>
      </c>
      <c r="BA2550">
        <v>3.17</v>
      </c>
      <c r="BB2550" t="s">
        <v>83</v>
      </c>
    </row>
    <row r="2551" spans="1:54" x14ac:dyDescent="0.4">
      <c r="A2551">
        <v>785834</v>
      </c>
      <c r="D2551" t="s">
        <v>1645</v>
      </c>
      <c r="G2551">
        <v>1</v>
      </c>
      <c r="H2551" t="s">
        <v>56</v>
      </c>
      <c r="I2551" t="s">
        <v>57</v>
      </c>
      <c r="K2551" t="s">
        <v>275</v>
      </c>
      <c r="L2551" t="s">
        <v>1762</v>
      </c>
      <c r="M2551" t="s">
        <v>60</v>
      </c>
      <c r="N2551" t="s">
        <v>119</v>
      </c>
      <c r="O2551" t="s">
        <v>134</v>
      </c>
      <c r="P2551" t="s">
        <v>511</v>
      </c>
      <c r="R2551" t="s">
        <v>512</v>
      </c>
      <c r="S2551" t="s">
        <v>123</v>
      </c>
      <c r="T2551">
        <v>259.51</v>
      </c>
      <c r="U2551">
        <v>254.14</v>
      </c>
      <c r="V2551">
        <f t="shared" si="78"/>
        <v>256.82499999999999</v>
      </c>
      <c r="W2551">
        <f t="shared" si="79"/>
        <v>5.3700000000000045</v>
      </c>
      <c r="X2551">
        <v>22.4</v>
      </c>
      <c r="Y2551">
        <v>-31.924999</v>
      </c>
      <c r="Z2551" t="s">
        <v>836</v>
      </c>
      <c r="AA2551" t="s">
        <v>106</v>
      </c>
      <c r="AB2551" t="s">
        <v>334</v>
      </c>
      <c r="AC2551" t="s">
        <v>335</v>
      </c>
      <c r="AD2551" t="s">
        <v>1654</v>
      </c>
      <c r="AE2551" t="s">
        <v>110</v>
      </c>
      <c r="AF2551" t="s">
        <v>1763</v>
      </c>
      <c r="AG2551" t="s">
        <v>1764</v>
      </c>
      <c r="AH2551" t="s">
        <v>72</v>
      </c>
      <c r="AI2551" t="s">
        <v>1765</v>
      </c>
      <c r="AJ2551">
        <v>2001</v>
      </c>
      <c r="AK2551" t="s">
        <v>1766</v>
      </c>
      <c r="AM2551" t="s">
        <v>1767</v>
      </c>
      <c r="AN2551" t="s">
        <v>341</v>
      </c>
      <c r="AO2551" t="s">
        <v>77</v>
      </c>
      <c r="AP2551" t="s">
        <v>115</v>
      </c>
      <c r="AQ2551" t="s">
        <v>1768</v>
      </c>
      <c r="AR2551" t="s">
        <v>80</v>
      </c>
      <c r="AS2551">
        <v>701</v>
      </c>
      <c r="AT2551" t="s">
        <v>81</v>
      </c>
      <c r="AU2551">
        <v>-20.47</v>
      </c>
      <c r="AV2551">
        <v>-50.54</v>
      </c>
      <c r="AW2551" t="s">
        <v>82</v>
      </c>
      <c r="AX2551">
        <v>701</v>
      </c>
      <c r="AY2551" t="s">
        <v>81</v>
      </c>
      <c r="AZ2551">
        <v>-30.33</v>
      </c>
      <c r="BA2551">
        <v>-60.09</v>
      </c>
      <c r="BB2551" t="s">
        <v>83</v>
      </c>
    </row>
    <row r="2552" spans="1:54" x14ac:dyDescent="0.4">
      <c r="A2552">
        <v>786382</v>
      </c>
      <c r="D2552" t="s">
        <v>1645</v>
      </c>
      <c r="E2552" t="s">
        <v>154</v>
      </c>
      <c r="I2552" t="s">
        <v>57</v>
      </c>
      <c r="K2552" t="s">
        <v>141</v>
      </c>
      <c r="L2552" t="s">
        <v>1782</v>
      </c>
      <c r="M2552" t="s">
        <v>60</v>
      </c>
      <c r="P2552" t="s">
        <v>511</v>
      </c>
      <c r="R2552" t="s">
        <v>512</v>
      </c>
      <c r="S2552" t="s">
        <v>123</v>
      </c>
      <c r="T2552">
        <v>259.51</v>
      </c>
      <c r="U2552">
        <v>254.14</v>
      </c>
      <c r="V2552">
        <f t="shared" si="78"/>
        <v>256.82499999999999</v>
      </c>
      <c r="W2552">
        <f t="shared" si="79"/>
        <v>5.3700000000000045</v>
      </c>
      <c r="X2552">
        <v>8.8802780000000006</v>
      </c>
      <c r="Y2552">
        <v>51.261944</v>
      </c>
      <c r="Z2552" t="s">
        <v>90</v>
      </c>
      <c r="AA2552" t="s">
        <v>211</v>
      </c>
      <c r="AB2552" t="s">
        <v>1783</v>
      </c>
      <c r="AC2552" t="s">
        <v>1784</v>
      </c>
      <c r="AD2552" t="s">
        <v>1785</v>
      </c>
      <c r="AE2552" t="s">
        <v>1508</v>
      </c>
      <c r="AH2552" t="s">
        <v>11</v>
      </c>
      <c r="AI2552" t="s">
        <v>1786</v>
      </c>
      <c r="AJ2552">
        <v>1996</v>
      </c>
      <c r="AK2552" t="s">
        <v>1787</v>
      </c>
      <c r="AM2552" t="s">
        <v>1788</v>
      </c>
      <c r="AN2552" t="s">
        <v>76</v>
      </c>
      <c r="AO2552" t="s">
        <v>77</v>
      </c>
      <c r="AP2552" t="s">
        <v>78</v>
      </c>
      <c r="AQ2552" t="s">
        <v>1789</v>
      </c>
      <c r="AR2552" t="s">
        <v>80</v>
      </c>
      <c r="AS2552">
        <v>315</v>
      </c>
      <c r="AT2552" t="s">
        <v>81</v>
      </c>
      <c r="AU2552">
        <v>28.46</v>
      </c>
      <c r="AV2552">
        <v>24.55</v>
      </c>
      <c r="AW2552" t="s">
        <v>82</v>
      </c>
      <c r="AX2552">
        <v>315</v>
      </c>
      <c r="AY2552" t="s">
        <v>81</v>
      </c>
      <c r="AZ2552">
        <v>22.22</v>
      </c>
      <c r="BA2552">
        <v>15.59</v>
      </c>
      <c r="BB2552" t="s">
        <v>83</v>
      </c>
    </row>
    <row r="2553" spans="1:54" x14ac:dyDescent="0.4">
      <c r="A2553">
        <v>786383</v>
      </c>
      <c r="D2553" t="s">
        <v>1645</v>
      </c>
      <c r="E2553" t="s">
        <v>154</v>
      </c>
      <c r="G2553">
        <v>1</v>
      </c>
      <c r="H2553" t="s">
        <v>56</v>
      </c>
      <c r="I2553" t="s">
        <v>57</v>
      </c>
      <c r="K2553" t="s">
        <v>141</v>
      </c>
      <c r="L2553" t="s">
        <v>1790</v>
      </c>
      <c r="M2553" t="s">
        <v>60</v>
      </c>
      <c r="O2553" t="s">
        <v>170</v>
      </c>
      <c r="P2553" t="s">
        <v>511</v>
      </c>
      <c r="R2553" t="s">
        <v>512</v>
      </c>
      <c r="S2553" t="s">
        <v>123</v>
      </c>
      <c r="T2553">
        <v>259.51</v>
      </c>
      <c r="U2553">
        <v>254.14</v>
      </c>
      <c r="V2553">
        <f t="shared" si="78"/>
        <v>256.82499999999999</v>
      </c>
      <c r="W2553">
        <f t="shared" si="79"/>
        <v>5.3700000000000045</v>
      </c>
      <c r="X2553">
        <v>8.8802780000000006</v>
      </c>
      <c r="Y2553">
        <v>51.261944</v>
      </c>
      <c r="Z2553" t="s">
        <v>90</v>
      </c>
      <c r="AA2553" t="s">
        <v>211</v>
      </c>
      <c r="AB2553" t="s">
        <v>1783</v>
      </c>
      <c r="AC2553" t="s">
        <v>1784</v>
      </c>
      <c r="AD2553" t="s">
        <v>1785</v>
      </c>
      <c r="AE2553" t="s">
        <v>1508</v>
      </c>
      <c r="AH2553" t="s">
        <v>72</v>
      </c>
      <c r="AI2553" t="s">
        <v>1786</v>
      </c>
      <c r="AJ2553">
        <v>1996</v>
      </c>
      <c r="AK2553" t="s">
        <v>1787</v>
      </c>
      <c r="AM2553" t="s">
        <v>1788</v>
      </c>
      <c r="AN2553" t="s">
        <v>76</v>
      </c>
      <c r="AO2553" t="s">
        <v>77</v>
      </c>
      <c r="AP2553" t="s">
        <v>78</v>
      </c>
      <c r="AQ2553" t="s">
        <v>1789</v>
      </c>
      <c r="AR2553" t="s">
        <v>80</v>
      </c>
      <c r="AS2553">
        <v>315</v>
      </c>
      <c r="AT2553" t="s">
        <v>81</v>
      </c>
      <c r="AU2553">
        <v>28.46</v>
      </c>
      <c r="AV2553">
        <v>24.55</v>
      </c>
      <c r="AW2553" t="s">
        <v>82</v>
      </c>
      <c r="AX2553">
        <v>315</v>
      </c>
      <c r="AY2553" t="s">
        <v>81</v>
      </c>
      <c r="AZ2553">
        <v>22.22</v>
      </c>
      <c r="BA2553">
        <v>15.59</v>
      </c>
      <c r="BB2553" t="s">
        <v>83</v>
      </c>
    </row>
    <row r="2554" spans="1:54" x14ac:dyDescent="0.4">
      <c r="A2554">
        <v>786831</v>
      </c>
      <c r="D2554" t="s">
        <v>1795</v>
      </c>
      <c r="G2554">
        <v>1</v>
      </c>
      <c r="H2554" t="s">
        <v>56</v>
      </c>
      <c r="I2554" t="s">
        <v>57</v>
      </c>
      <c r="K2554" t="s">
        <v>275</v>
      </c>
      <c r="L2554" t="s">
        <v>276</v>
      </c>
      <c r="M2554" t="s">
        <v>60</v>
      </c>
      <c r="N2554" t="s">
        <v>119</v>
      </c>
      <c r="O2554" t="s">
        <v>134</v>
      </c>
      <c r="P2554" t="s">
        <v>511</v>
      </c>
      <c r="R2554" t="s">
        <v>512</v>
      </c>
      <c r="S2554" t="s">
        <v>123</v>
      </c>
      <c r="T2554">
        <v>259.51</v>
      </c>
      <c r="U2554">
        <v>254.14</v>
      </c>
      <c r="V2554">
        <f t="shared" si="78"/>
        <v>256.82499999999999</v>
      </c>
      <c r="W2554">
        <f t="shared" si="79"/>
        <v>5.3700000000000045</v>
      </c>
      <c r="X2554">
        <v>33.166668000000001</v>
      </c>
      <c r="Y2554">
        <v>-10.833333</v>
      </c>
      <c r="Z2554" t="s">
        <v>124</v>
      </c>
      <c r="AA2554" t="s">
        <v>1796</v>
      </c>
      <c r="AB2554" t="s">
        <v>1797</v>
      </c>
      <c r="AC2554" t="s">
        <v>1798</v>
      </c>
      <c r="AD2554" t="s">
        <v>1799</v>
      </c>
      <c r="AE2554" t="s">
        <v>110</v>
      </c>
      <c r="AG2554" t="s">
        <v>1800</v>
      </c>
      <c r="AH2554" t="s">
        <v>11</v>
      </c>
      <c r="AI2554" t="s">
        <v>1633</v>
      </c>
      <c r="AJ2554">
        <v>2000</v>
      </c>
      <c r="AK2554" t="s">
        <v>1801</v>
      </c>
      <c r="AN2554" t="s">
        <v>192</v>
      </c>
      <c r="AO2554" t="s">
        <v>160</v>
      </c>
      <c r="AP2554" t="s">
        <v>636</v>
      </c>
      <c r="AQ2554" t="s">
        <v>1802</v>
      </c>
      <c r="AR2554" t="s">
        <v>80</v>
      </c>
      <c r="AS2554">
        <v>701</v>
      </c>
      <c r="AT2554" t="s">
        <v>81</v>
      </c>
      <c r="AU2554">
        <v>13.31</v>
      </c>
      <c r="AV2554">
        <v>-44.62</v>
      </c>
      <c r="AW2554" t="s">
        <v>82</v>
      </c>
      <c r="AX2554">
        <v>701</v>
      </c>
      <c r="AY2554" t="s">
        <v>81</v>
      </c>
      <c r="AZ2554">
        <v>12.37</v>
      </c>
      <c r="BA2554">
        <v>-54.45</v>
      </c>
      <c r="BB2554" t="s">
        <v>83</v>
      </c>
    </row>
    <row r="2555" spans="1:54" x14ac:dyDescent="0.4">
      <c r="A2555">
        <v>790004</v>
      </c>
      <c r="D2555" t="s">
        <v>54</v>
      </c>
      <c r="G2555">
        <v>1</v>
      </c>
      <c r="H2555" t="s">
        <v>56</v>
      </c>
      <c r="I2555" t="s">
        <v>57</v>
      </c>
      <c r="K2555" t="s">
        <v>1504</v>
      </c>
      <c r="L2555" t="s">
        <v>1505</v>
      </c>
      <c r="M2555" t="s">
        <v>60</v>
      </c>
      <c r="N2555" t="s">
        <v>61</v>
      </c>
      <c r="P2555" t="s">
        <v>511</v>
      </c>
      <c r="R2555" t="s">
        <v>512</v>
      </c>
      <c r="S2555" t="s">
        <v>123</v>
      </c>
      <c r="T2555">
        <v>259.51</v>
      </c>
      <c r="U2555">
        <v>254.14</v>
      </c>
      <c r="V2555">
        <f t="shared" si="78"/>
        <v>256.82499999999999</v>
      </c>
      <c r="W2555">
        <f t="shared" si="79"/>
        <v>5.3700000000000045</v>
      </c>
      <c r="X2555">
        <v>11.516667</v>
      </c>
      <c r="Y2555">
        <v>51.516666000000001</v>
      </c>
      <c r="Z2555" t="s">
        <v>1890</v>
      </c>
      <c r="AA2555" t="s">
        <v>211</v>
      </c>
      <c r="AB2555" t="s">
        <v>1891</v>
      </c>
      <c r="AC2555" t="s">
        <v>1892</v>
      </c>
      <c r="AD2555" t="s">
        <v>1785</v>
      </c>
      <c r="AE2555" t="s">
        <v>1508</v>
      </c>
      <c r="AF2555" t="s">
        <v>1893</v>
      </c>
      <c r="AH2555" t="s">
        <v>72</v>
      </c>
      <c r="AI2555" t="s">
        <v>1894</v>
      </c>
      <c r="AJ2555">
        <v>1987</v>
      </c>
      <c r="AK2555" t="s">
        <v>1895</v>
      </c>
      <c r="AM2555" t="s">
        <v>1896</v>
      </c>
      <c r="AN2555" t="s">
        <v>114</v>
      </c>
      <c r="AO2555" t="s">
        <v>160</v>
      </c>
      <c r="AP2555" t="s">
        <v>359</v>
      </c>
      <c r="AQ2555" t="s">
        <v>1897</v>
      </c>
      <c r="AR2555" t="s">
        <v>80</v>
      </c>
      <c r="AS2555">
        <v>315</v>
      </c>
      <c r="AT2555" t="s">
        <v>81</v>
      </c>
      <c r="AU2555">
        <v>30.18</v>
      </c>
      <c r="AV2555">
        <v>25.11</v>
      </c>
      <c r="AW2555" t="s">
        <v>82</v>
      </c>
      <c r="AX2555">
        <v>315</v>
      </c>
      <c r="AY2555" t="s">
        <v>81</v>
      </c>
      <c r="AZ2555">
        <v>23.79</v>
      </c>
      <c r="BA2555">
        <v>16.3</v>
      </c>
      <c r="BB2555" t="s">
        <v>83</v>
      </c>
    </row>
    <row r="2556" spans="1:54" x14ac:dyDescent="0.4">
      <c r="A2556">
        <v>790009</v>
      </c>
      <c r="D2556" t="s">
        <v>54</v>
      </c>
      <c r="G2556">
        <v>1</v>
      </c>
      <c r="H2556" t="s">
        <v>56</v>
      </c>
      <c r="I2556" t="s">
        <v>57</v>
      </c>
      <c r="K2556" t="s">
        <v>1504</v>
      </c>
      <c r="L2556" t="s">
        <v>1505</v>
      </c>
      <c r="M2556" t="s">
        <v>60</v>
      </c>
      <c r="N2556" t="s">
        <v>61</v>
      </c>
      <c r="P2556" t="s">
        <v>511</v>
      </c>
      <c r="R2556" t="s">
        <v>512</v>
      </c>
      <c r="S2556" t="s">
        <v>123</v>
      </c>
      <c r="T2556">
        <v>259.51</v>
      </c>
      <c r="U2556">
        <v>254.14</v>
      </c>
      <c r="V2556">
        <f t="shared" si="78"/>
        <v>256.82499999999999</v>
      </c>
      <c r="W2556">
        <f t="shared" si="79"/>
        <v>5.3700000000000045</v>
      </c>
      <c r="X2556">
        <v>9.9430560000000003</v>
      </c>
      <c r="Y2556">
        <v>50.992778999999999</v>
      </c>
      <c r="Z2556" t="s">
        <v>1890</v>
      </c>
      <c r="AA2556" t="s">
        <v>211</v>
      </c>
      <c r="AB2556" t="s">
        <v>1783</v>
      </c>
      <c r="AC2556" t="s">
        <v>1898</v>
      </c>
      <c r="AD2556" t="s">
        <v>1785</v>
      </c>
      <c r="AE2556" t="s">
        <v>1508</v>
      </c>
      <c r="AF2556" t="s">
        <v>1893</v>
      </c>
      <c r="AH2556" t="s">
        <v>72</v>
      </c>
      <c r="AI2556" t="s">
        <v>1899</v>
      </c>
      <c r="AJ2556">
        <v>1976</v>
      </c>
      <c r="AK2556" t="s">
        <v>1900</v>
      </c>
      <c r="AM2556" t="s">
        <v>1901</v>
      </c>
      <c r="AN2556" t="s">
        <v>114</v>
      </c>
      <c r="AO2556" t="s">
        <v>77</v>
      </c>
      <c r="AP2556" t="s">
        <v>636</v>
      </c>
      <c r="AQ2556" t="s">
        <v>1902</v>
      </c>
      <c r="AR2556" t="s">
        <v>80</v>
      </c>
      <c r="AS2556">
        <v>315</v>
      </c>
      <c r="AT2556" t="s">
        <v>81</v>
      </c>
      <c r="AU2556">
        <v>29.33</v>
      </c>
      <c r="AV2556">
        <v>25.08</v>
      </c>
      <c r="AW2556" t="s">
        <v>82</v>
      </c>
      <c r="AX2556">
        <v>315</v>
      </c>
      <c r="AY2556" t="s">
        <v>81</v>
      </c>
      <c r="AZ2556">
        <v>22.84</v>
      </c>
      <c r="BA2556">
        <v>15.66</v>
      </c>
      <c r="BB2556" t="s">
        <v>83</v>
      </c>
    </row>
    <row r="2557" spans="1:54" x14ac:dyDescent="0.4">
      <c r="A2557">
        <v>790010</v>
      </c>
      <c r="D2557" t="s">
        <v>54</v>
      </c>
      <c r="G2557">
        <v>1</v>
      </c>
      <c r="H2557" t="s">
        <v>56</v>
      </c>
      <c r="I2557" t="s">
        <v>57</v>
      </c>
      <c r="K2557" t="s">
        <v>1504</v>
      </c>
      <c r="L2557" t="s">
        <v>1505</v>
      </c>
      <c r="M2557" t="s">
        <v>60</v>
      </c>
      <c r="N2557" t="s">
        <v>61</v>
      </c>
      <c r="P2557" t="s">
        <v>511</v>
      </c>
      <c r="R2557" t="s">
        <v>512</v>
      </c>
      <c r="S2557" t="s">
        <v>123</v>
      </c>
      <c r="T2557">
        <v>259.51</v>
      </c>
      <c r="U2557">
        <v>254.14</v>
      </c>
      <c r="V2557">
        <f t="shared" si="78"/>
        <v>256.82499999999999</v>
      </c>
      <c r="W2557">
        <f t="shared" si="79"/>
        <v>5.3700000000000045</v>
      </c>
      <c r="X2557">
        <v>9.9533330000000007</v>
      </c>
      <c r="Y2557">
        <v>50.996665999999998</v>
      </c>
      <c r="Z2557" t="s">
        <v>1890</v>
      </c>
      <c r="AA2557" t="s">
        <v>211</v>
      </c>
      <c r="AB2557" t="s">
        <v>1783</v>
      </c>
      <c r="AC2557" t="s">
        <v>1898</v>
      </c>
      <c r="AD2557" t="s">
        <v>1785</v>
      </c>
      <c r="AE2557" t="s">
        <v>1508</v>
      </c>
      <c r="AF2557" t="s">
        <v>1893</v>
      </c>
      <c r="AH2557" t="s">
        <v>72</v>
      </c>
      <c r="AI2557" t="s">
        <v>1899</v>
      </c>
      <c r="AJ2557">
        <v>1976</v>
      </c>
      <c r="AK2557" t="s">
        <v>1903</v>
      </c>
      <c r="AM2557" t="s">
        <v>1904</v>
      </c>
      <c r="AN2557" t="s">
        <v>192</v>
      </c>
      <c r="AO2557" t="s">
        <v>77</v>
      </c>
      <c r="AP2557" t="s">
        <v>636</v>
      </c>
      <c r="AQ2557" t="s">
        <v>1905</v>
      </c>
      <c r="AR2557" t="s">
        <v>80</v>
      </c>
      <c r="AS2557">
        <v>315</v>
      </c>
      <c r="AT2557" t="s">
        <v>81</v>
      </c>
      <c r="AU2557">
        <v>29.34</v>
      </c>
      <c r="AV2557">
        <v>25.09</v>
      </c>
      <c r="AW2557" t="s">
        <v>82</v>
      </c>
      <c r="AX2557">
        <v>315</v>
      </c>
      <c r="AY2557" t="s">
        <v>81</v>
      </c>
      <c r="AZ2557">
        <v>22.84</v>
      </c>
      <c r="BA2557">
        <v>15.67</v>
      </c>
      <c r="BB2557" t="s">
        <v>83</v>
      </c>
    </row>
    <row r="2558" spans="1:54" x14ac:dyDescent="0.4">
      <c r="A2558">
        <v>790011</v>
      </c>
      <c r="D2558" t="s">
        <v>54</v>
      </c>
      <c r="G2558">
        <v>1</v>
      </c>
      <c r="H2558" t="s">
        <v>56</v>
      </c>
      <c r="I2558" t="s">
        <v>57</v>
      </c>
      <c r="K2558" t="s">
        <v>1504</v>
      </c>
      <c r="L2558" t="s">
        <v>1505</v>
      </c>
      <c r="M2558" t="s">
        <v>60</v>
      </c>
      <c r="N2558" t="s">
        <v>61</v>
      </c>
      <c r="P2558" t="s">
        <v>511</v>
      </c>
      <c r="R2558" t="s">
        <v>512</v>
      </c>
      <c r="S2558" t="s">
        <v>123</v>
      </c>
      <c r="T2558">
        <v>259.51</v>
      </c>
      <c r="U2558">
        <v>254.14</v>
      </c>
      <c r="V2558">
        <f t="shared" si="78"/>
        <v>256.82499999999999</v>
      </c>
      <c r="W2558">
        <f t="shared" si="79"/>
        <v>5.3700000000000045</v>
      </c>
      <c r="X2558">
        <v>10.665278000000001</v>
      </c>
      <c r="Y2558">
        <v>51.585278000000002</v>
      </c>
      <c r="Z2558" t="s">
        <v>1890</v>
      </c>
      <c r="AA2558" t="s">
        <v>211</v>
      </c>
      <c r="AB2558" t="s">
        <v>977</v>
      </c>
      <c r="AC2558" t="s">
        <v>1906</v>
      </c>
      <c r="AD2558" t="s">
        <v>1785</v>
      </c>
      <c r="AE2558" t="s">
        <v>1508</v>
      </c>
      <c r="AF2558" t="s">
        <v>1893</v>
      </c>
      <c r="AH2558" t="s">
        <v>72</v>
      </c>
      <c r="AI2558" t="s">
        <v>1907</v>
      </c>
      <c r="AJ2558">
        <v>1997</v>
      </c>
      <c r="AK2558" t="s">
        <v>1908</v>
      </c>
      <c r="AM2558" t="s">
        <v>1909</v>
      </c>
      <c r="AN2558" t="s">
        <v>114</v>
      </c>
      <c r="AO2558" t="s">
        <v>77</v>
      </c>
      <c r="AP2558" t="s">
        <v>115</v>
      </c>
      <c r="AQ2558" t="s">
        <v>1910</v>
      </c>
      <c r="AR2558" t="s">
        <v>80</v>
      </c>
      <c r="AS2558">
        <v>315</v>
      </c>
      <c r="AT2558" t="s">
        <v>81</v>
      </c>
      <c r="AU2558">
        <v>29.69</v>
      </c>
      <c r="AV2558">
        <v>25.75</v>
      </c>
      <c r="AW2558" t="s">
        <v>82</v>
      </c>
      <c r="AX2558">
        <v>315</v>
      </c>
      <c r="AY2558" t="s">
        <v>81</v>
      </c>
      <c r="AZ2558">
        <v>23.11</v>
      </c>
      <c r="BA2558">
        <v>16.36</v>
      </c>
      <c r="BB2558" t="s">
        <v>83</v>
      </c>
    </row>
    <row r="2559" spans="1:54" x14ac:dyDescent="0.4">
      <c r="A2559">
        <v>790284</v>
      </c>
      <c r="D2559" t="s">
        <v>54</v>
      </c>
      <c r="G2559">
        <v>1</v>
      </c>
      <c r="H2559" t="s">
        <v>56</v>
      </c>
      <c r="I2559" t="s">
        <v>57</v>
      </c>
      <c r="K2559" t="s">
        <v>141</v>
      </c>
      <c r="L2559" t="s">
        <v>1782</v>
      </c>
      <c r="M2559" t="s">
        <v>60</v>
      </c>
      <c r="P2559" t="s">
        <v>511</v>
      </c>
      <c r="R2559" t="s">
        <v>512</v>
      </c>
      <c r="S2559" t="s">
        <v>123</v>
      </c>
      <c r="T2559">
        <v>259.51</v>
      </c>
      <c r="U2559">
        <v>254.14</v>
      </c>
      <c r="V2559">
        <f t="shared" si="78"/>
        <v>256.82499999999999</v>
      </c>
      <c r="W2559">
        <f t="shared" si="79"/>
        <v>5.3700000000000045</v>
      </c>
      <c r="X2559">
        <v>11.516667</v>
      </c>
      <c r="Y2559">
        <v>51.516666000000001</v>
      </c>
      <c r="Z2559" t="s">
        <v>1890</v>
      </c>
      <c r="AA2559" t="s">
        <v>211</v>
      </c>
      <c r="AB2559" t="s">
        <v>1891</v>
      </c>
      <c r="AC2559" t="s">
        <v>1892</v>
      </c>
      <c r="AD2559" t="s">
        <v>1785</v>
      </c>
      <c r="AE2559" t="s">
        <v>1508</v>
      </c>
      <c r="AF2559" t="s">
        <v>1893</v>
      </c>
      <c r="AH2559" t="s">
        <v>72</v>
      </c>
      <c r="AI2559" t="s">
        <v>1941</v>
      </c>
      <c r="AJ2559">
        <v>1930</v>
      </c>
      <c r="AK2559" t="s">
        <v>1895</v>
      </c>
      <c r="AM2559" t="s">
        <v>1896</v>
      </c>
      <c r="AN2559" t="s">
        <v>114</v>
      </c>
      <c r="AO2559" t="s">
        <v>160</v>
      </c>
      <c r="AP2559" t="s">
        <v>359</v>
      </c>
      <c r="AQ2559" t="s">
        <v>1897</v>
      </c>
      <c r="AR2559" t="s">
        <v>80</v>
      </c>
      <c r="AS2559">
        <v>315</v>
      </c>
      <c r="AT2559" t="s">
        <v>81</v>
      </c>
      <c r="AU2559">
        <v>30.18</v>
      </c>
      <c r="AV2559">
        <v>25.11</v>
      </c>
      <c r="AW2559" t="s">
        <v>82</v>
      </c>
      <c r="AX2559">
        <v>315</v>
      </c>
      <c r="AY2559" t="s">
        <v>81</v>
      </c>
      <c r="AZ2559">
        <v>23.79</v>
      </c>
      <c r="BA2559">
        <v>16.3</v>
      </c>
      <c r="BB2559" t="s">
        <v>83</v>
      </c>
    </row>
    <row r="2560" spans="1:54" x14ac:dyDescent="0.4">
      <c r="A2560">
        <v>790284</v>
      </c>
      <c r="D2560" t="s">
        <v>54</v>
      </c>
      <c r="G2560">
        <v>1</v>
      </c>
      <c r="H2560" t="s">
        <v>56</v>
      </c>
      <c r="I2560" t="s">
        <v>57</v>
      </c>
      <c r="K2560" t="s">
        <v>141</v>
      </c>
      <c r="L2560" t="s">
        <v>1782</v>
      </c>
      <c r="M2560" t="s">
        <v>60</v>
      </c>
      <c r="P2560" t="s">
        <v>511</v>
      </c>
      <c r="R2560" t="s">
        <v>512</v>
      </c>
      <c r="S2560" t="s">
        <v>123</v>
      </c>
      <c r="T2560">
        <v>259.51</v>
      </c>
      <c r="U2560">
        <v>254.14</v>
      </c>
      <c r="V2560">
        <f t="shared" si="78"/>
        <v>256.82499999999999</v>
      </c>
      <c r="W2560">
        <f t="shared" si="79"/>
        <v>5.3700000000000045</v>
      </c>
      <c r="X2560">
        <v>11.516667</v>
      </c>
      <c r="Y2560">
        <v>51.516666000000001</v>
      </c>
      <c r="Z2560" t="s">
        <v>1890</v>
      </c>
      <c r="AA2560" t="s">
        <v>211</v>
      </c>
      <c r="AB2560" t="s">
        <v>1891</v>
      </c>
      <c r="AC2560" t="s">
        <v>1892</v>
      </c>
      <c r="AD2560" t="s">
        <v>1785</v>
      </c>
      <c r="AE2560" t="s">
        <v>1508</v>
      </c>
      <c r="AF2560" t="s">
        <v>1893</v>
      </c>
      <c r="AH2560" t="s">
        <v>72</v>
      </c>
      <c r="AI2560" t="s">
        <v>1941</v>
      </c>
      <c r="AJ2560">
        <v>1930</v>
      </c>
      <c r="AK2560" t="s">
        <v>1895</v>
      </c>
      <c r="AM2560" t="s">
        <v>1896</v>
      </c>
      <c r="AN2560" t="s">
        <v>114</v>
      </c>
      <c r="AO2560" t="s">
        <v>160</v>
      </c>
      <c r="AP2560" t="s">
        <v>359</v>
      </c>
      <c r="AQ2560" t="s">
        <v>1897</v>
      </c>
      <c r="AR2560" t="s">
        <v>80</v>
      </c>
      <c r="AS2560">
        <v>315</v>
      </c>
      <c r="AT2560" t="s">
        <v>81</v>
      </c>
      <c r="AU2560">
        <v>30.18</v>
      </c>
      <c r="AV2560">
        <v>25.11</v>
      </c>
      <c r="AW2560" t="s">
        <v>82</v>
      </c>
      <c r="AX2560">
        <v>315</v>
      </c>
      <c r="AY2560" t="s">
        <v>81</v>
      </c>
      <c r="AZ2560">
        <v>23.79</v>
      </c>
      <c r="BA2560">
        <v>16.3</v>
      </c>
      <c r="BB2560" t="s">
        <v>83</v>
      </c>
    </row>
    <row r="2561" spans="1:54" x14ac:dyDescent="0.4">
      <c r="A2561">
        <v>790285</v>
      </c>
      <c r="D2561" t="s">
        <v>54</v>
      </c>
      <c r="G2561">
        <v>1</v>
      </c>
      <c r="H2561" t="s">
        <v>56</v>
      </c>
      <c r="I2561" t="s">
        <v>57</v>
      </c>
      <c r="K2561" t="s">
        <v>1504</v>
      </c>
      <c r="L2561" t="s">
        <v>1505</v>
      </c>
      <c r="M2561" t="s">
        <v>60</v>
      </c>
      <c r="N2561" t="s">
        <v>61</v>
      </c>
      <c r="P2561" t="s">
        <v>511</v>
      </c>
      <c r="R2561" t="s">
        <v>512</v>
      </c>
      <c r="S2561" t="s">
        <v>123</v>
      </c>
      <c r="T2561">
        <v>259.51</v>
      </c>
      <c r="U2561">
        <v>254.14</v>
      </c>
      <c r="V2561">
        <f t="shared" si="78"/>
        <v>256.82499999999999</v>
      </c>
      <c r="W2561">
        <f t="shared" si="79"/>
        <v>5.3700000000000045</v>
      </c>
      <c r="X2561">
        <v>11.516667</v>
      </c>
      <c r="Y2561">
        <v>51.516666000000001</v>
      </c>
      <c r="Z2561" t="s">
        <v>1890</v>
      </c>
      <c r="AA2561" t="s">
        <v>211</v>
      </c>
      <c r="AB2561" t="s">
        <v>1891</v>
      </c>
      <c r="AC2561" t="s">
        <v>1892</v>
      </c>
      <c r="AD2561" t="s">
        <v>1785</v>
      </c>
      <c r="AE2561" t="s">
        <v>1508</v>
      </c>
      <c r="AF2561" t="s">
        <v>1893</v>
      </c>
      <c r="AH2561" t="s">
        <v>72</v>
      </c>
      <c r="AI2561" t="s">
        <v>1941</v>
      </c>
      <c r="AJ2561">
        <v>1930</v>
      </c>
      <c r="AK2561" t="s">
        <v>1895</v>
      </c>
      <c r="AM2561" t="s">
        <v>1896</v>
      </c>
      <c r="AN2561" t="s">
        <v>114</v>
      </c>
      <c r="AO2561" t="s">
        <v>160</v>
      </c>
      <c r="AP2561" t="s">
        <v>359</v>
      </c>
      <c r="AQ2561" t="s">
        <v>1897</v>
      </c>
      <c r="AR2561" t="s">
        <v>80</v>
      </c>
      <c r="AS2561">
        <v>315</v>
      </c>
      <c r="AT2561" t="s">
        <v>81</v>
      </c>
      <c r="AU2561">
        <v>30.18</v>
      </c>
      <c r="AV2561">
        <v>25.11</v>
      </c>
      <c r="AW2561" t="s">
        <v>82</v>
      </c>
      <c r="AX2561">
        <v>315</v>
      </c>
      <c r="AY2561" t="s">
        <v>81</v>
      </c>
      <c r="AZ2561">
        <v>23.79</v>
      </c>
      <c r="BA2561">
        <v>16.3</v>
      </c>
      <c r="BB2561" t="s">
        <v>83</v>
      </c>
    </row>
    <row r="2562" spans="1:54" x14ac:dyDescent="0.4">
      <c r="A2562">
        <v>790390</v>
      </c>
      <c r="D2562" t="s">
        <v>54</v>
      </c>
      <c r="G2562">
        <v>1</v>
      </c>
      <c r="H2562" t="s">
        <v>56</v>
      </c>
      <c r="I2562" t="s">
        <v>57</v>
      </c>
      <c r="K2562" t="s">
        <v>1504</v>
      </c>
      <c r="L2562" t="s">
        <v>1505</v>
      </c>
      <c r="M2562" t="s">
        <v>60</v>
      </c>
      <c r="N2562" t="s">
        <v>61</v>
      </c>
      <c r="P2562" t="s">
        <v>511</v>
      </c>
      <c r="R2562" t="s">
        <v>512</v>
      </c>
      <c r="S2562" t="s">
        <v>123</v>
      </c>
      <c r="T2562">
        <v>259.51</v>
      </c>
      <c r="U2562">
        <v>254.14</v>
      </c>
      <c r="V2562">
        <f t="shared" si="78"/>
        <v>256.82499999999999</v>
      </c>
      <c r="W2562">
        <f t="shared" si="79"/>
        <v>5.3700000000000045</v>
      </c>
      <c r="X2562">
        <v>9.9158329999999992</v>
      </c>
      <c r="Y2562">
        <v>51.0075</v>
      </c>
      <c r="Z2562" t="s">
        <v>1890</v>
      </c>
      <c r="AA2562" t="s">
        <v>211</v>
      </c>
      <c r="AB2562" t="s">
        <v>1783</v>
      </c>
      <c r="AC2562" t="s">
        <v>1898</v>
      </c>
      <c r="AD2562" t="s">
        <v>1785</v>
      </c>
      <c r="AE2562" t="s">
        <v>1508</v>
      </c>
      <c r="AF2562" t="s">
        <v>1893</v>
      </c>
      <c r="AH2562" t="s">
        <v>72</v>
      </c>
      <c r="AI2562" t="s">
        <v>1899</v>
      </c>
      <c r="AJ2562">
        <v>1986</v>
      </c>
      <c r="AK2562" t="s">
        <v>1954</v>
      </c>
      <c r="AM2562" t="s">
        <v>1955</v>
      </c>
      <c r="AN2562" t="s">
        <v>192</v>
      </c>
      <c r="AO2562" t="s">
        <v>77</v>
      </c>
      <c r="AP2562" t="s">
        <v>636</v>
      </c>
      <c r="AQ2562" t="s">
        <v>1956</v>
      </c>
      <c r="AR2562" t="s">
        <v>80</v>
      </c>
      <c r="AS2562">
        <v>315</v>
      </c>
      <c r="AT2562" t="s">
        <v>81</v>
      </c>
      <c r="AU2562">
        <v>29.31</v>
      </c>
      <c r="AV2562">
        <v>25.09</v>
      </c>
      <c r="AW2562" t="s">
        <v>82</v>
      </c>
      <c r="AX2562">
        <v>315</v>
      </c>
      <c r="AY2562" t="s">
        <v>81</v>
      </c>
      <c r="AZ2562">
        <v>22.82</v>
      </c>
      <c r="BA2562">
        <v>15.67</v>
      </c>
      <c r="BB2562" t="s">
        <v>83</v>
      </c>
    </row>
    <row r="2563" spans="1:54" x14ac:dyDescent="0.4">
      <c r="A2563">
        <v>790406</v>
      </c>
      <c r="D2563" t="s">
        <v>54</v>
      </c>
      <c r="G2563">
        <v>1</v>
      </c>
      <c r="H2563" t="s">
        <v>56</v>
      </c>
      <c r="I2563" t="s">
        <v>57</v>
      </c>
      <c r="K2563" t="s">
        <v>141</v>
      </c>
      <c r="L2563" t="s">
        <v>1790</v>
      </c>
      <c r="M2563" t="s">
        <v>60</v>
      </c>
      <c r="O2563" t="s">
        <v>170</v>
      </c>
      <c r="P2563" t="s">
        <v>511</v>
      </c>
      <c r="R2563" t="s">
        <v>512</v>
      </c>
      <c r="S2563" t="s">
        <v>123</v>
      </c>
      <c r="T2563">
        <v>259.51</v>
      </c>
      <c r="U2563">
        <v>254.14</v>
      </c>
      <c r="V2563">
        <f t="shared" ref="V2563:V2626" si="80">(T2563+U2563)/2</f>
        <v>256.82499999999999</v>
      </c>
      <c r="W2563">
        <f t="shared" ref="W2563:W2626" si="81">T2563-U2563</f>
        <v>5.3700000000000045</v>
      </c>
      <c r="X2563">
        <v>10.616667</v>
      </c>
      <c r="Y2563">
        <v>51.583331999999999</v>
      </c>
      <c r="Z2563" t="s">
        <v>1890</v>
      </c>
      <c r="AA2563" t="s">
        <v>211</v>
      </c>
      <c r="AB2563" t="s">
        <v>1968</v>
      </c>
      <c r="AC2563" t="s">
        <v>1969</v>
      </c>
      <c r="AD2563" t="s">
        <v>1785</v>
      </c>
      <c r="AE2563" t="s">
        <v>1508</v>
      </c>
      <c r="AF2563" t="s">
        <v>1893</v>
      </c>
      <c r="AH2563" t="s">
        <v>72</v>
      </c>
      <c r="AI2563" t="s">
        <v>1970</v>
      </c>
      <c r="AJ2563">
        <v>2008</v>
      </c>
      <c r="AK2563" t="s">
        <v>1971</v>
      </c>
      <c r="AM2563" t="s">
        <v>1909</v>
      </c>
      <c r="AN2563" t="s">
        <v>114</v>
      </c>
      <c r="AO2563" t="s">
        <v>160</v>
      </c>
      <c r="AQ2563" t="s">
        <v>1972</v>
      </c>
      <c r="AR2563" t="s">
        <v>80</v>
      </c>
      <c r="AS2563">
        <v>315</v>
      </c>
      <c r="AT2563" t="s">
        <v>81</v>
      </c>
      <c r="AU2563">
        <v>29.66</v>
      </c>
      <c r="AV2563">
        <v>25.74</v>
      </c>
      <c r="AW2563" t="s">
        <v>82</v>
      </c>
      <c r="AX2563">
        <v>315</v>
      </c>
      <c r="AY2563" t="s">
        <v>81</v>
      </c>
      <c r="AZ2563">
        <v>23.08</v>
      </c>
      <c r="BA2563">
        <v>16.350000000000001</v>
      </c>
      <c r="BB2563" t="s">
        <v>83</v>
      </c>
    </row>
    <row r="2564" spans="1:54" x14ac:dyDescent="0.4">
      <c r="A2564">
        <v>790462</v>
      </c>
      <c r="D2564" t="s">
        <v>54</v>
      </c>
      <c r="G2564">
        <v>1</v>
      </c>
      <c r="H2564" t="s">
        <v>56</v>
      </c>
      <c r="I2564" t="s">
        <v>57</v>
      </c>
      <c r="K2564" t="s">
        <v>141</v>
      </c>
      <c r="L2564" t="s">
        <v>1790</v>
      </c>
      <c r="M2564" t="s">
        <v>60</v>
      </c>
      <c r="O2564" t="s">
        <v>170</v>
      </c>
      <c r="P2564" t="s">
        <v>511</v>
      </c>
      <c r="R2564" t="s">
        <v>512</v>
      </c>
      <c r="S2564" t="s">
        <v>123</v>
      </c>
      <c r="T2564">
        <v>259.51</v>
      </c>
      <c r="U2564">
        <v>254.14</v>
      </c>
      <c r="V2564">
        <f t="shared" si="80"/>
        <v>256.82499999999999</v>
      </c>
      <c r="W2564">
        <f t="shared" si="81"/>
        <v>5.3700000000000045</v>
      </c>
      <c r="X2564">
        <v>10.916667</v>
      </c>
      <c r="Y2564">
        <v>50.683334000000002</v>
      </c>
      <c r="Z2564" t="s">
        <v>1890</v>
      </c>
      <c r="AA2564" t="s">
        <v>211</v>
      </c>
      <c r="AB2564" t="s">
        <v>977</v>
      </c>
      <c r="AC2564" t="s">
        <v>1973</v>
      </c>
      <c r="AD2564" t="s">
        <v>1785</v>
      </c>
      <c r="AE2564" t="s">
        <v>1508</v>
      </c>
      <c r="AF2564" t="s">
        <v>1893</v>
      </c>
      <c r="AH2564" t="s">
        <v>72</v>
      </c>
      <c r="AI2564" t="s">
        <v>1970</v>
      </c>
      <c r="AJ2564">
        <v>2008</v>
      </c>
      <c r="AK2564" t="s">
        <v>1974</v>
      </c>
      <c r="AM2564" t="s">
        <v>1975</v>
      </c>
      <c r="AN2564" t="s">
        <v>114</v>
      </c>
      <c r="AO2564" t="s">
        <v>160</v>
      </c>
      <c r="AP2564" t="s">
        <v>115</v>
      </c>
      <c r="AQ2564" t="s">
        <v>1976</v>
      </c>
      <c r="AR2564" t="s">
        <v>80</v>
      </c>
      <c r="AS2564">
        <v>305</v>
      </c>
      <c r="AT2564" t="s">
        <v>81</v>
      </c>
      <c r="AU2564">
        <v>30.06</v>
      </c>
      <c r="AV2564">
        <v>24.9</v>
      </c>
      <c r="AW2564" t="s">
        <v>82</v>
      </c>
      <c r="AX2564">
        <v>305</v>
      </c>
      <c r="AY2564" t="s">
        <v>81</v>
      </c>
      <c r="AZ2564">
        <v>23.54</v>
      </c>
      <c r="BA2564">
        <v>15.55</v>
      </c>
      <c r="BB2564" t="s">
        <v>83</v>
      </c>
    </row>
    <row r="2565" spans="1:54" x14ac:dyDescent="0.4">
      <c r="A2565">
        <v>790463</v>
      </c>
      <c r="D2565" t="s">
        <v>54</v>
      </c>
      <c r="G2565">
        <v>1</v>
      </c>
      <c r="H2565" t="s">
        <v>56</v>
      </c>
      <c r="I2565" t="s">
        <v>57</v>
      </c>
      <c r="K2565" t="s">
        <v>141</v>
      </c>
      <c r="L2565" t="s">
        <v>1790</v>
      </c>
      <c r="M2565" t="s">
        <v>60</v>
      </c>
      <c r="O2565" t="s">
        <v>170</v>
      </c>
      <c r="P2565" t="s">
        <v>511</v>
      </c>
      <c r="R2565" t="s">
        <v>512</v>
      </c>
      <c r="S2565" t="s">
        <v>123</v>
      </c>
      <c r="T2565">
        <v>259.51</v>
      </c>
      <c r="U2565">
        <v>254.14</v>
      </c>
      <c r="V2565">
        <f t="shared" si="80"/>
        <v>256.82499999999999</v>
      </c>
      <c r="W2565">
        <f t="shared" si="81"/>
        <v>5.3700000000000045</v>
      </c>
      <c r="X2565">
        <v>10.865</v>
      </c>
      <c r="Y2565">
        <v>51.541668000000001</v>
      </c>
      <c r="Z2565" t="s">
        <v>1890</v>
      </c>
      <c r="AA2565" t="s">
        <v>211</v>
      </c>
      <c r="AB2565" t="s">
        <v>977</v>
      </c>
      <c r="AC2565" t="s">
        <v>1906</v>
      </c>
      <c r="AD2565" t="s">
        <v>1785</v>
      </c>
      <c r="AE2565" t="s">
        <v>1508</v>
      </c>
      <c r="AF2565" t="s">
        <v>1893</v>
      </c>
      <c r="AH2565" t="s">
        <v>72</v>
      </c>
      <c r="AI2565" t="s">
        <v>1970</v>
      </c>
      <c r="AJ2565">
        <v>2008</v>
      </c>
      <c r="AK2565" t="s">
        <v>1977</v>
      </c>
      <c r="AM2565" t="s">
        <v>1909</v>
      </c>
      <c r="AN2565" t="s">
        <v>114</v>
      </c>
      <c r="AO2565" t="s">
        <v>77</v>
      </c>
      <c r="AP2565" t="s">
        <v>115</v>
      </c>
      <c r="AQ2565" t="s">
        <v>1978</v>
      </c>
      <c r="AR2565" t="s">
        <v>80</v>
      </c>
      <c r="AS2565">
        <v>315</v>
      </c>
      <c r="AT2565" t="s">
        <v>81</v>
      </c>
      <c r="AU2565">
        <v>29.84</v>
      </c>
      <c r="AV2565">
        <v>25.73</v>
      </c>
      <c r="AW2565" t="s">
        <v>82</v>
      </c>
      <c r="AX2565">
        <v>315</v>
      </c>
      <c r="AY2565" t="s">
        <v>81</v>
      </c>
      <c r="AZ2565">
        <v>23.25</v>
      </c>
      <c r="BA2565">
        <v>16.36</v>
      </c>
      <c r="BB2565" t="s">
        <v>83</v>
      </c>
    </row>
    <row r="2566" spans="1:54" x14ac:dyDescent="0.4">
      <c r="A2566">
        <v>790511</v>
      </c>
      <c r="D2566" t="s">
        <v>54</v>
      </c>
      <c r="G2566">
        <v>1</v>
      </c>
      <c r="H2566" t="s">
        <v>56</v>
      </c>
      <c r="I2566" t="s">
        <v>57</v>
      </c>
      <c r="K2566" t="s">
        <v>141</v>
      </c>
      <c r="L2566" t="s">
        <v>574</v>
      </c>
      <c r="M2566" t="s">
        <v>60</v>
      </c>
      <c r="O2566" t="s">
        <v>170</v>
      </c>
      <c r="P2566" t="s">
        <v>511</v>
      </c>
      <c r="R2566" t="s">
        <v>512</v>
      </c>
      <c r="S2566" t="s">
        <v>123</v>
      </c>
      <c r="T2566">
        <v>259.51</v>
      </c>
      <c r="U2566">
        <v>254.14</v>
      </c>
      <c r="V2566">
        <f t="shared" si="80"/>
        <v>256.82499999999999</v>
      </c>
      <c r="W2566">
        <f t="shared" si="81"/>
        <v>5.3700000000000045</v>
      </c>
      <c r="X2566">
        <v>24.533332999999999</v>
      </c>
      <c r="Y2566">
        <v>-32.25</v>
      </c>
      <c r="Z2566" t="s">
        <v>124</v>
      </c>
      <c r="AA2566" t="s">
        <v>106</v>
      </c>
      <c r="AB2566" t="s">
        <v>107</v>
      </c>
      <c r="AD2566" t="s">
        <v>1984</v>
      </c>
      <c r="AE2566" t="s">
        <v>110</v>
      </c>
      <c r="AG2566" t="s">
        <v>1800</v>
      </c>
      <c r="AH2566" t="s">
        <v>72</v>
      </c>
      <c r="AI2566" t="s">
        <v>1985</v>
      </c>
      <c r="AJ2566">
        <v>1997</v>
      </c>
      <c r="AK2566" t="s">
        <v>1986</v>
      </c>
      <c r="AN2566" t="s">
        <v>114</v>
      </c>
      <c r="AO2566" t="s">
        <v>160</v>
      </c>
      <c r="AP2566" t="s">
        <v>230</v>
      </c>
      <c r="AQ2566" t="s">
        <v>1987</v>
      </c>
      <c r="AR2566" t="s">
        <v>80</v>
      </c>
      <c r="AS2566">
        <v>701</v>
      </c>
      <c r="AT2566" t="s">
        <v>81</v>
      </c>
      <c r="AU2566">
        <v>-19.52</v>
      </c>
      <c r="AV2566">
        <v>-52.28</v>
      </c>
      <c r="AW2566" t="s">
        <v>82</v>
      </c>
      <c r="AX2566">
        <v>701</v>
      </c>
      <c r="AY2566" t="s">
        <v>81</v>
      </c>
      <c r="AZ2566">
        <v>-29.54</v>
      </c>
      <c r="BA2566">
        <v>-61.89</v>
      </c>
      <c r="BB2566" t="s">
        <v>83</v>
      </c>
    </row>
    <row r="2567" spans="1:54" x14ac:dyDescent="0.4">
      <c r="A2567">
        <v>790511</v>
      </c>
      <c r="D2567" t="s">
        <v>54</v>
      </c>
      <c r="G2567">
        <v>1</v>
      </c>
      <c r="H2567" t="s">
        <v>56</v>
      </c>
      <c r="I2567" t="s">
        <v>57</v>
      </c>
      <c r="K2567" t="s">
        <v>141</v>
      </c>
      <c r="L2567" t="s">
        <v>574</v>
      </c>
      <c r="M2567" t="s">
        <v>60</v>
      </c>
      <c r="O2567" t="s">
        <v>170</v>
      </c>
      <c r="P2567" t="s">
        <v>511</v>
      </c>
      <c r="R2567" t="s">
        <v>512</v>
      </c>
      <c r="S2567" t="s">
        <v>123</v>
      </c>
      <c r="T2567">
        <v>259.51</v>
      </c>
      <c r="U2567">
        <v>254.14</v>
      </c>
      <c r="V2567">
        <f t="shared" si="80"/>
        <v>256.82499999999999</v>
      </c>
      <c r="W2567">
        <f t="shared" si="81"/>
        <v>5.3700000000000045</v>
      </c>
      <c r="X2567">
        <v>24.533332999999999</v>
      </c>
      <c r="Y2567">
        <v>-32.25</v>
      </c>
      <c r="Z2567" t="s">
        <v>124</v>
      </c>
      <c r="AA2567" t="s">
        <v>106</v>
      </c>
      <c r="AB2567" t="s">
        <v>107</v>
      </c>
      <c r="AD2567" t="s">
        <v>1984</v>
      </c>
      <c r="AE2567" t="s">
        <v>110</v>
      </c>
      <c r="AG2567" t="s">
        <v>1800</v>
      </c>
      <c r="AH2567" t="s">
        <v>72</v>
      </c>
      <c r="AI2567" t="s">
        <v>1985</v>
      </c>
      <c r="AJ2567">
        <v>1997</v>
      </c>
      <c r="AK2567" t="s">
        <v>1986</v>
      </c>
      <c r="AN2567" t="s">
        <v>114</v>
      </c>
      <c r="AO2567" t="s">
        <v>160</v>
      </c>
      <c r="AP2567" t="s">
        <v>230</v>
      </c>
      <c r="AQ2567" t="s">
        <v>1987</v>
      </c>
      <c r="AR2567" t="s">
        <v>80</v>
      </c>
      <c r="AS2567">
        <v>701</v>
      </c>
      <c r="AT2567" t="s">
        <v>81</v>
      </c>
      <c r="AU2567">
        <v>-19.52</v>
      </c>
      <c r="AV2567">
        <v>-52.28</v>
      </c>
      <c r="AW2567" t="s">
        <v>82</v>
      </c>
      <c r="AX2567">
        <v>701</v>
      </c>
      <c r="AY2567" t="s">
        <v>81</v>
      </c>
      <c r="AZ2567">
        <v>-29.54</v>
      </c>
      <c r="BA2567">
        <v>-61.89</v>
      </c>
      <c r="BB2567" t="s">
        <v>83</v>
      </c>
    </row>
    <row r="2568" spans="1:54" x14ac:dyDescent="0.4">
      <c r="A2568">
        <v>790511</v>
      </c>
      <c r="D2568" t="s">
        <v>54</v>
      </c>
      <c r="G2568">
        <v>1</v>
      </c>
      <c r="H2568" t="s">
        <v>56</v>
      </c>
      <c r="I2568" t="s">
        <v>57</v>
      </c>
      <c r="K2568" t="s">
        <v>141</v>
      </c>
      <c r="L2568" t="s">
        <v>574</v>
      </c>
      <c r="M2568" t="s">
        <v>60</v>
      </c>
      <c r="O2568" t="s">
        <v>170</v>
      </c>
      <c r="P2568" t="s">
        <v>511</v>
      </c>
      <c r="R2568" t="s">
        <v>512</v>
      </c>
      <c r="S2568" t="s">
        <v>123</v>
      </c>
      <c r="T2568">
        <v>259.51</v>
      </c>
      <c r="U2568">
        <v>254.14</v>
      </c>
      <c r="V2568">
        <f t="shared" si="80"/>
        <v>256.82499999999999</v>
      </c>
      <c r="W2568">
        <f t="shared" si="81"/>
        <v>5.3700000000000045</v>
      </c>
      <c r="X2568">
        <v>24.533332999999999</v>
      </c>
      <c r="Y2568">
        <v>-32.25</v>
      </c>
      <c r="Z2568" t="s">
        <v>124</v>
      </c>
      <c r="AA2568" t="s">
        <v>106</v>
      </c>
      <c r="AB2568" t="s">
        <v>107</v>
      </c>
      <c r="AD2568" t="s">
        <v>1984</v>
      </c>
      <c r="AE2568" t="s">
        <v>110</v>
      </c>
      <c r="AG2568" t="s">
        <v>1800</v>
      </c>
      <c r="AH2568" t="s">
        <v>72</v>
      </c>
      <c r="AI2568" t="s">
        <v>1985</v>
      </c>
      <c r="AJ2568">
        <v>1997</v>
      </c>
      <c r="AK2568" t="s">
        <v>1986</v>
      </c>
      <c r="AN2568" t="s">
        <v>114</v>
      </c>
      <c r="AO2568" t="s">
        <v>160</v>
      </c>
      <c r="AP2568" t="s">
        <v>230</v>
      </c>
      <c r="AQ2568" t="s">
        <v>1987</v>
      </c>
      <c r="AR2568" t="s">
        <v>80</v>
      </c>
      <c r="AS2568">
        <v>701</v>
      </c>
      <c r="AT2568" t="s">
        <v>81</v>
      </c>
      <c r="AU2568">
        <v>-19.52</v>
      </c>
      <c r="AV2568">
        <v>-52.28</v>
      </c>
      <c r="AW2568" t="s">
        <v>82</v>
      </c>
      <c r="AX2568">
        <v>701</v>
      </c>
      <c r="AY2568" t="s">
        <v>81</v>
      </c>
      <c r="AZ2568">
        <v>-29.54</v>
      </c>
      <c r="BA2568">
        <v>-61.89</v>
      </c>
      <c r="BB2568" t="s">
        <v>83</v>
      </c>
    </row>
    <row r="2569" spans="1:54" x14ac:dyDescent="0.4">
      <c r="A2569">
        <v>790511</v>
      </c>
      <c r="D2569" t="s">
        <v>54</v>
      </c>
      <c r="G2569">
        <v>1</v>
      </c>
      <c r="H2569" t="s">
        <v>56</v>
      </c>
      <c r="I2569" t="s">
        <v>57</v>
      </c>
      <c r="K2569" t="s">
        <v>141</v>
      </c>
      <c r="L2569" t="s">
        <v>574</v>
      </c>
      <c r="M2569" t="s">
        <v>60</v>
      </c>
      <c r="O2569" t="s">
        <v>170</v>
      </c>
      <c r="P2569" t="s">
        <v>511</v>
      </c>
      <c r="R2569" t="s">
        <v>512</v>
      </c>
      <c r="S2569" t="s">
        <v>123</v>
      </c>
      <c r="T2569">
        <v>259.51</v>
      </c>
      <c r="U2569">
        <v>254.14</v>
      </c>
      <c r="V2569">
        <f t="shared" si="80"/>
        <v>256.82499999999999</v>
      </c>
      <c r="W2569">
        <f t="shared" si="81"/>
        <v>5.3700000000000045</v>
      </c>
      <c r="X2569">
        <v>24.533332999999999</v>
      </c>
      <c r="Y2569">
        <v>-32.25</v>
      </c>
      <c r="Z2569" t="s">
        <v>124</v>
      </c>
      <c r="AA2569" t="s">
        <v>106</v>
      </c>
      <c r="AB2569" t="s">
        <v>107</v>
      </c>
      <c r="AD2569" t="s">
        <v>1984</v>
      </c>
      <c r="AE2569" t="s">
        <v>110</v>
      </c>
      <c r="AG2569" t="s">
        <v>1800</v>
      </c>
      <c r="AH2569" t="s">
        <v>72</v>
      </c>
      <c r="AI2569" t="s">
        <v>1985</v>
      </c>
      <c r="AJ2569">
        <v>1997</v>
      </c>
      <c r="AK2569" t="s">
        <v>1986</v>
      </c>
      <c r="AN2569" t="s">
        <v>114</v>
      </c>
      <c r="AO2569" t="s">
        <v>160</v>
      </c>
      <c r="AP2569" t="s">
        <v>230</v>
      </c>
      <c r="AQ2569" t="s">
        <v>1987</v>
      </c>
      <c r="AR2569" t="s">
        <v>80</v>
      </c>
      <c r="AS2569">
        <v>701</v>
      </c>
      <c r="AT2569" t="s">
        <v>81</v>
      </c>
      <c r="AU2569">
        <v>-19.52</v>
      </c>
      <c r="AV2569">
        <v>-52.28</v>
      </c>
      <c r="AW2569" t="s">
        <v>82</v>
      </c>
      <c r="AX2569">
        <v>701</v>
      </c>
      <c r="AY2569" t="s">
        <v>81</v>
      </c>
      <c r="AZ2569">
        <v>-29.54</v>
      </c>
      <c r="BA2569">
        <v>-61.89</v>
      </c>
      <c r="BB2569" t="s">
        <v>83</v>
      </c>
    </row>
    <row r="2570" spans="1:54" x14ac:dyDescent="0.4">
      <c r="A2570">
        <v>790511</v>
      </c>
      <c r="D2570" t="s">
        <v>54</v>
      </c>
      <c r="G2570">
        <v>1</v>
      </c>
      <c r="H2570" t="s">
        <v>56</v>
      </c>
      <c r="I2570" t="s">
        <v>57</v>
      </c>
      <c r="K2570" t="s">
        <v>141</v>
      </c>
      <c r="L2570" t="s">
        <v>574</v>
      </c>
      <c r="M2570" t="s">
        <v>60</v>
      </c>
      <c r="O2570" t="s">
        <v>170</v>
      </c>
      <c r="P2570" t="s">
        <v>511</v>
      </c>
      <c r="R2570" t="s">
        <v>512</v>
      </c>
      <c r="S2570" t="s">
        <v>123</v>
      </c>
      <c r="T2570">
        <v>259.51</v>
      </c>
      <c r="U2570">
        <v>254.14</v>
      </c>
      <c r="V2570">
        <f t="shared" si="80"/>
        <v>256.82499999999999</v>
      </c>
      <c r="W2570">
        <f t="shared" si="81"/>
        <v>5.3700000000000045</v>
      </c>
      <c r="X2570">
        <v>24.533332999999999</v>
      </c>
      <c r="Y2570">
        <v>-32.25</v>
      </c>
      <c r="Z2570" t="s">
        <v>124</v>
      </c>
      <c r="AA2570" t="s">
        <v>106</v>
      </c>
      <c r="AB2570" t="s">
        <v>107</v>
      </c>
      <c r="AD2570" t="s">
        <v>1984</v>
      </c>
      <c r="AE2570" t="s">
        <v>110</v>
      </c>
      <c r="AG2570" t="s">
        <v>1800</v>
      </c>
      <c r="AH2570" t="s">
        <v>72</v>
      </c>
      <c r="AI2570" t="s">
        <v>1985</v>
      </c>
      <c r="AJ2570">
        <v>1997</v>
      </c>
      <c r="AK2570" t="s">
        <v>1986</v>
      </c>
      <c r="AN2570" t="s">
        <v>114</v>
      </c>
      <c r="AO2570" t="s">
        <v>160</v>
      </c>
      <c r="AP2570" t="s">
        <v>230</v>
      </c>
      <c r="AQ2570" t="s">
        <v>1987</v>
      </c>
      <c r="AR2570" t="s">
        <v>80</v>
      </c>
      <c r="AS2570">
        <v>701</v>
      </c>
      <c r="AT2570" t="s">
        <v>81</v>
      </c>
      <c r="AU2570">
        <v>-19.52</v>
      </c>
      <c r="AV2570">
        <v>-52.28</v>
      </c>
      <c r="AW2570" t="s">
        <v>82</v>
      </c>
      <c r="AX2570">
        <v>701</v>
      </c>
      <c r="AY2570" t="s">
        <v>81</v>
      </c>
      <c r="AZ2570">
        <v>-29.54</v>
      </c>
      <c r="BA2570">
        <v>-61.89</v>
      </c>
      <c r="BB2570" t="s">
        <v>83</v>
      </c>
    </row>
    <row r="2571" spans="1:54" x14ac:dyDescent="0.4">
      <c r="A2571">
        <v>791882</v>
      </c>
      <c r="D2571" t="s">
        <v>54</v>
      </c>
      <c r="G2571">
        <v>1</v>
      </c>
      <c r="H2571" t="s">
        <v>56</v>
      </c>
      <c r="I2571" t="s">
        <v>57</v>
      </c>
      <c r="K2571" t="s">
        <v>141</v>
      </c>
      <c r="L2571" t="s">
        <v>1790</v>
      </c>
      <c r="M2571" t="s">
        <v>60</v>
      </c>
      <c r="O2571" t="s">
        <v>170</v>
      </c>
      <c r="P2571" t="s">
        <v>511</v>
      </c>
      <c r="R2571" t="s">
        <v>512</v>
      </c>
      <c r="S2571" t="s">
        <v>123</v>
      </c>
      <c r="T2571">
        <v>259.51</v>
      </c>
      <c r="U2571">
        <v>254.14</v>
      </c>
      <c r="V2571">
        <f t="shared" si="80"/>
        <v>256.82499999999999</v>
      </c>
      <c r="W2571">
        <f t="shared" si="81"/>
        <v>5.3700000000000045</v>
      </c>
      <c r="X2571">
        <v>9.9533330000000007</v>
      </c>
      <c r="Y2571">
        <v>50.996665999999998</v>
      </c>
      <c r="Z2571" t="s">
        <v>1890</v>
      </c>
      <c r="AA2571" t="s">
        <v>211</v>
      </c>
      <c r="AB2571" t="s">
        <v>1783</v>
      </c>
      <c r="AC2571" t="s">
        <v>1898</v>
      </c>
      <c r="AD2571" t="s">
        <v>1785</v>
      </c>
      <c r="AE2571" t="s">
        <v>1508</v>
      </c>
      <c r="AF2571" t="s">
        <v>1893</v>
      </c>
      <c r="AH2571" t="s">
        <v>72</v>
      </c>
      <c r="AI2571" t="s">
        <v>1899</v>
      </c>
      <c r="AJ2571">
        <v>1976</v>
      </c>
      <c r="AK2571" t="s">
        <v>1903</v>
      </c>
      <c r="AM2571" t="s">
        <v>1904</v>
      </c>
      <c r="AN2571" t="s">
        <v>192</v>
      </c>
      <c r="AO2571" t="s">
        <v>77</v>
      </c>
      <c r="AP2571" t="s">
        <v>636</v>
      </c>
      <c r="AQ2571" t="s">
        <v>1905</v>
      </c>
      <c r="AR2571" t="s">
        <v>80</v>
      </c>
      <c r="AS2571">
        <v>315</v>
      </c>
      <c r="AT2571" t="s">
        <v>81</v>
      </c>
      <c r="AU2571">
        <v>29.34</v>
      </c>
      <c r="AV2571">
        <v>25.09</v>
      </c>
      <c r="AW2571" t="s">
        <v>82</v>
      </c>
      <c r="AX2571">
        <v>315</v>
      </c>
      <c r="AY2571" t="s">
        <v>81</v>
      </c>
      <c r="AZ2571">
        <v>22.84</v>
      </c>
      <c r="BA2571">
        <v>15.67</v>
      </c>
      <c r="BB2571" t="s">
        <v>83</v>
      </c>
    </row>
    <row r="2572" spans="1:54" x14ac:dyDescent="0.4">
      <c r="A2572">
        <v>791885</v>
      </c>
      <c r="D2572" t="s">
        <v>54</v>
      </c>
      <c r="E2572" t="s">
        <v>310</v>
      </c>
      <c r="G2572">
        <v>1</v>
      </c>
      <c r="H2572" t="s">
        <v>56</v>
      </c>
      <c r="I2572" t="s">
        <v>57</v>
      </c>
      <c r="K2572" t="s">
        <v>141</v>
      </c>
      <c r="L2572" t="s">
        <v>1790</v>
      </c>
      <c r="M2572" t="s">
        <v>60</v>
      </c>
      <c r="O2572" t="s">
        <v>170</v>
      </c>
      <c r="P2572" t="s">
        <v>511</v>
      </c>
      <c r="R2572" t="s">
        <v>512</v>
      </c>
      <c r="S2572" t="s">
        <v>123</v>
      </c>
      <c r="T2572">
        <v>259.51</v>
      </c>
      <c r="U2572">
        <v>254.14</v>
      </c>
      <c r="V2572">
        <f t="shared" si="80"/>
        <v>256.82499999999999</v>
      </c>
      <c r="W2572">
        <f t="shared" si="81"/>
        <v>5.3700000000000045</v>
      </c>
      <c r="X2572">
        <v>9.9311109999999996</v>
      </c>
      <c r="Y2572">
        <v>50.991390000000003</v>
      </c>
      <c r="Z2572" t="s">
        <v>1890</v>
      </c>
      <c r="AA2572" t="s">
        <v>211</v>
      </c>
      <c r="AB2572" t="s">
        <v>1783</v>
      </c>
      <c r="AC2572" t="s">
        <v>1898</v>
      </c>
      <c r="AD2572" t="s">
        <v>1785</v>
      </c>
      <c r="AE2572" t="s">
        <v>1508</v>
      </c>
      <c r="AF2572" t="s">
        <v>1893</v>
      </c>
      <c r="AH2572" t="s">
        <v>72</v>
      </c>
      <c r="AI2572" t="s">
        <v>1970</v>
      </c>
      <c r="AJ2572">
        <v>2008</v>
      </c>
      <c r="AK2572" t="s">
        <v>1988</v>
      </c>
      <c r="AM2572" t="s">
        <v>1989</v>
      </c>
      <c r="AN2572" t="s">
        <v>76</v>
      </c>
      <c r="AO2572" t="s">
        <v>77</v>
      </c>
      <c r="AP2572" t="s">
        <v>115</v>
      </c>
      <c r="AQ2572" t="s">
        <v>1990</v>
      </c>
      <c r="AR2572" t="s">
        <v>80</v>
      </c>
      <c r="AS2572">
        <v>315</v>
      </c>
      <c r="AT2572" t="s">
        <v>81</v>
      </c>
      <c r="AU2572">
        <v>29.22</v>
      </c>
      <c r="AV2572">
        <v>24.4</v>
      </c>
      <c r="AW2572" t="s">
        <v>82</v>
      </c>
      <c r="AX2572">
        <v>315</v>
      </c>
      <c r="AY2572" t="s">
        <v>81</v>
      </c>
      <c r="AZ2572">
        <v>22.96</v>
      </c>
      <c r="BA2572">
        <v>15.51</v>
      </c>
      <c r="BB2572" t="s">
        <v>83</v>
      </c>
    </row>
    <row r="2573" spans="1:54" x14ac:dyDescent="0.4">
      <c r="A2573">
        <v>791945</v>
      </c>
      <c r="D2573" t="s">
        <v>54</v>
      </c>
      <c r="E2573" t="s">
        <v>310</v>
      </c>
      <c r="G2573">
        <v>1</v>
      </c>
      <c r="H2573" t="s">
        <v>56</v>
      </c>
      <c r="I2573" t="s">
        <v>57</v>
      </c>
      <c r="K2573" t="s">
        <v>141</v>
      </c>
      <c r="L2573" t="s">
        <v>1782</v>
      </c>
      <c r="M2573" t="s">
        <v>60</v>
      </c>
      <c r="P2573" t="s">
        <v>511</v>
      </c>
      <c r="R2573" t="s">
        <v>512</v>
      </c>
      <c r="S2573" t="s">
        <v>123</v>
      </c>
      <c r="T2573">
        <v>259.51</v>
      </c>
      <c r="U2573">
        <v>254.14</v>
      </c>
      <c r="V2573">
        <f t="shared" si="80"/>
        <v>256.82499999999999</v>
      </c>
      <c r="W2573">
        <f t="shared" si="81"/>
        <v>5.3700000000000045</v>
      </c>
      <c r="X2573">
        <v>9.9311109999999996</v>
      </c>
      <c r="Y2573">
        <v>50.991390000000003</v>
      </c>
      <c r="Z2573" t="s">
        <v>1890</v>
      </c>
      <c r="AA2573" t="s">
        <v>211</v>
      </c>
      <c r="AB2573" t="s">
        <v>1783</v>
      </c>
      <c r="AC2573" t="s">
        <v>1898</v>
      </c>
      <c r="AD2573" t="s">
        <v>1785</v>
      </c>
      <c r="AE2573" t="s">
        <v>1508</v>
      </c>
      <c r="AF2573" t="s">
        <v>1893</v>
      </c>
      <c r="AH2573" t="s">
        <v>72</v>
      </c>
      <c r="AI2573" t="s">
        <v>1991</v>
      </c>
      <c r="AJ2573">
        <v>1993</v>
      </c>
      <c r="AK2573" t="s">
        <v>1988</v>
      </c>
      <c r="AM2573" t="s">
        <v>1989</v>
      </c>
      <c r="AN2573" t="s">
        <v>76</v>
      </c>
      <c r="AO2573" t="s">
        <v>77</v>
      </c>
      <c r="AP2573" t="s">
        <v>115</v>
      </c>
      <c r="AQ2573" t="s">
        <v>1990</v>
      </c>
      <c r="AR2573" t="s">
        <v>80</v>
      </c>
      <c r="AS2573">
        <v>315</v>
      </c>
      <c r="AT2573" t="s">
        <v>81</v>
      </c>
      <c r="AU2573">
        <v>29.22</v>
      </c>
      <c r="AV2573">
        <v>24.4</v>
      </c>
      <c r="AW2573" t="s">
        <v>82</v>
      </c>
      <c r="AX2573">
        <v>315</v>
      </c>
      <c r="AY2573" t="s">
        <v>81</v>
      </c>
      <c r="AZ2573">
        <v>22.96</v>
      </c>
      <c r="BA2573">
        <v>15.51</v>
      </c>
      <c r="BB2573" t="s">
        <v>83</v>
      </c>
    </row>
    <row r="2574" spans="1:54" x14ac:dyDescent="0.4">
      <c r="A2574">
        <v>792227</v>
      </c>
      <c r="D2574" t="s">
        <v>54</v>
      </c>
      <c r="G2574">
        <v>1</v>
      </c>
      <c r="H2574" t="s">
        <v>56</v>
      </c>
      <c r="I2574" t="s">
        <v>57</v>
      </c>
      <c r="K2574" t="s">
        <v>141</v>
      </c>
      <c r="L2574" t="s">
        <v>1933</v>
      </c>
      <c r="M2574" t="s">
        <v>60</v>
      </c>
      <c r="N2574" t="s">
        <v>61</v>
      </c>
      <c r="P2574" t="s">
        <v>511</v>
      </c>
      <c r="R2574" t="s">
        <v>512</v>
      </c>
      <c r="S2574" t="s">
        <v>123</v>
      </c>
      <c r="T2574">
        <v>259.51</v>
      </c>
      <c r="U2574">
        <v>254.14</v>
      </c>
      <c r="V2574">
        <f t="shared" si="80"/>
        <v>256.82499999999999</v>
      </c>
      <c r="W2574">
        <f t="shared" si="81"/>
        <v>5.3700000000000045</v>
      </c>
      <c r="X2574">
        <v>11.516667</v>
      </c>
      <c r="Y2574">
        <v>51.516666000000001</v>
      </c>
      <c r="Z2574" t="s">
        <v>1890</v>
      </c>
      <c r="AA2574" t="s">
        <v>211</v>
      </c>
      <c r="AB2574" t="s">
        <v>1891</v>
      </c>
      <c r="AC2574" t="s">
        <v>1892</v>
      </c>
      <c r="AD2574" t="s">
        <v>1785</v>
      </c>
      <c r="AE2574" t="s">
        <v>1508</v>
      </c>
      <c r="AF2574" t="s">
        <v>1893</v>
      </c>
      <c r="AH2574" t="s">
        <v>11</v>
      </c>
      <c r="AI2574" t="s">
        <v>1992</v>
      </c>
      <c r="AJ2574">
        <v>2007</v>
      </c>
      <c r="AK2574" t="s">
        <v>1895</v>
      </c>
      <c r="AM2574" t="s">
        <v>1896</v>
      </c>
      <c r="AN2574" t="s">
        <v>114</v>
      </c>
      <c r="AO2574" t="s">
        <v>160</v>
      </c>
      <c r="AP2574" t="s">
        <v>359</v>
      </c>
      <c r="AQ2574" t="s">
        <v>1897</v>
      </c>
      <c r="AR2574" t="s">
        <v>80</v>
      </c>
      <c r="AS2574">
        <v>315</v>
      </c>
      <c r="AT2574" t="s">
        <v>81</v>
      </c>
      <c r="AU2574">
        <v>30.18</v>
      </c>
      <c r="AV2574">
        <v>25.11</v>
      </c>
      <c r="AW2574" t="s">
        <v>82</v>
      </c>
      <c r="AX2574">
        <v>315</v>
      </c>
      <c r="AY2574" t="s">
        <v>81</v>
      </c>
      <c r="AZ2574">
        <v>23.79</v>
      </c>
      <c r="BA2574">
        <v>16.3</v>
      </c>
      <c r="BB2574" t="s">
        <v>83</v>
      </c>
    </row>
    <row r="2575" spans="1:54" x14ac:dyDescent="0.4">
      <c r="A2575">
        <v>794729</v>
      </c>
      <c r="D2575" t="s">
        <v>54</v>
      </c>
      <c r="E2575" t="s">
        <v>55</v>
      </c>
      <c r="G2575">
        <v>1</v>
      </c>
      <c r="H2575" t="s">
        <v>56</v>
      </c>
      <c r="I2575" t="s">
        <v>57</v>
      </c>
      <c r="K2575" t="s">
        <v>141</v>
      </c>
      <c r="L2575" t="s">
        <v>574</v>
      </c>
      <c r="M2575" t="s">
        <v>60</v>
      </c>
      <c r="O2575" t="s">
        <v>170</v>
      </c>
      <c r="P2575" t="s">
        <v>511</v>
      </c>
      <c r="R2575" t="s">
        <v>512</v>
      </c>
      <c r="S2575" t="s">
        <v>123</v>
      </c>
      <c r="T2575">
        <v>259.51</v>
      </c>
      <c r="U2575">
        <v>254.14</v>
      </c>
      <c r="V2575">
        <f t="shared" si="80"/>
        <v>256.82499999999999</v>
      </c>
      <c r="W2575">
        <f t="shared" si="81"/>
        <v>5.3700000000000045</v>
      </c>
      <c r="X2575">
        <v>33.166668000000001</v>
      </c>
      <c r="Y2575">
        <v>-10.833333</v>
      </c>
      <c r="Z2575" t="s">
        <v>124</v>
      </c>
      <c r="AA2575" t="s">
        <v>1796</v>
      </c>
      <c r="AB2575" t="s">
        <v>1797</v>
      </c>
      <c r="AC2575" t="s">
        <v>1798</v>
      </c>
      <c r="AD2575" t="s">
        <v>1799</v>
      </c>
      <c r="AE2575" t="s">
        <v>110</v>
      </c>
      <c r="AG2575" t="s">
        <v>1800</v>
      </c>
      <c r="AH2575" t="s">
        <v>72</v>
      </c>
      <c r="AI2575" t="s">
        <v>1985</v>
      </c>
      <c r="AJ2575">
        <v>1997</v>
      </c>
      <c r="AK2575" t="s">
        <v>2050</v>
      </c>
      <c r="AN2575" t="s">
        <v>192</v>
      </c>
      <c r="AO2575" t="s">
        <v>160</v>
      </c>
      <c r="AP2575" t="s">
        <v>115</v>
      </c>
      <c r="AQ2575" t="s">
        <v>2051</v>
      </c>
      <c r="AR2575" t="s">
        <v>80</v>
      </c>
      <c r="AS2575">
        <v>701</v>
      </c>
      <c r="AT2575" t="s">
        <v>81</v>
      </c>
      <c r="AU2575">
        <v>13.31</v>
      </c>
      <c r="AV2575">
        <v>-44.62</v>
      </c>
      <c r="AW2575" t="s">
        <v>82</v>
      </c>
      <c r="AX2575">
        <v>701</v>
      </c>
      <c r="AY2575" t="s">
        <v>81</v>
      </c>
      <c r="AZ2575">
        <v>12.37</v>
      </c>
      <c r="BA2575">
        <v>-54.45</v>
      </c>
      <c r="BB2575" t="s">
        <v>83</v>
      </c>
    </row>
    <row r="2576" spans="1:54" x14ac:dyDescent="0.4">
      <c r="A2576">
        <v>799563</v>
      </c>
      <c r="D2576" t="s">
        <v>853</v>
      </c>
      <c r="G2576">
        <v>1</v>
      </c>
      <c r="H2576" t="s">
        <v>56</v>
      </c>
      <c r="I2576" t="s">
        <v>57</v>
      </c>
      <c r="K2576" t="s">
        <v>141</v>
      </c>
      <c r="L2576" t="s">
        <v>2110</v>
      </c>
      <c r="M2576" t="s">
        <v>60</v>
      </c>
      <c r="P2576" t="s">
        <v>511</v>
      </c>
      <c r="R2576" t="s">
        <v>512</v>
      </c>
      <c r="S2576" t="s">
        <v>123</v>
      </c>
      <c r="T2576">
        <v>259.51</v>
      </c>
      <c r="U2576">
        <v>254.14</v>
      </c>
      <c r="V2576">
        <f t="shared" si="80"/>
        <v>256.82499999999999</v>
      </c>
      <c r="W2576">
        <f t="shared" si="81"/>
        <v>5.3700000000000045</v>
      </c>
      <c r="X2576">
        <v>-1.621111</v>
      </c>
      <c r="Y2576">
        <v>54.622222999999998</v>
      </c>
      <c r="Z2576" t="s">
        <v>1251</v>
      </c>
      <c r="AA2576" t="s">
        <v>91</v>
      </c>
      <c r="AB2576" t="s">
        <v>92</v>
      </c>
      <c r="AC2576" t="s">
        <v>2111</v>
      </c>
      <c r="AD2576" t="s">
        <v>1507</v>
      </c>
      <c r="AE2576" t="s">
        <v>1508</v>
      </c>
      <c r="AH2576" t="s">
        <v>72</v>
      </c>
      <c r="AI2576" t="s">
        <v>709</v>
      </c>
      <c r="AJ2576">
        <v>1988</v>
      </c>
      <c r="AK2576" t="s">
        <v>2112</v>
      </c>
      <c r="AM2576" t="s">
        <v>2113</v>
      </c>
      <c r="AN2576" t="s">
        <v>76</v>
      </c>
      <c r="AO2576" t="s">
        <v>77</v>
      </c>
      <c r="AP2576" t="s">
        <v>636</v>
      </c>
      <c r="AQ2576" t="s">
        <v>2114</v>
      </c>
      <c r="AR2576" t="s">
        <v>80</v>
      </c>
      <c r="AS2576">
        <v>315</v>
      </c>
      <c r="AT2576" t="s">
        <v>81</v>
      </c>
      <c r="AU2576">
        <v>20.99</v>
      </c>
      <c r="AV2576">
        <v>27</v>
      </c>
      <c r="AW2576" t="s">
        <v>82</v>
      </c>
      <c r="AX2576">
        <v>315</v>
      </c>
      <c r="AY2576" t="s">
        <v>81</v>
      </c>
      <c r="AZ2576">
        <v>15.02</v>
      </c>
      <c r="BA2576">
        <v>17.48</v>
      </c>
      <c r="BB2576" t="s">
        <v>83</v>
      </c>
    </row>
    <row r="2577" spans="1:54" x14ac:dyDescent="0.4">
      <c r="A2577">
        <v>808154</v>
      </c>
      <c r="D2577" t="s">
        <v>1645</v>
      </c>
      <c r="G2577">
        <v>1</v>
      </c>
      <c r="H2577" t="s">
        <v>56</v>
      </c>
      <c r="I2577" t="s">
        <v>57</v>
      </c>
      <c r="K2577" t="s">
        <v>1911</v>
      </c>
      <c r="L2577" t="s">
        <v>2179</v>
      </c>
      <c r="M2577" t="s">
        <v>60</v>
      </c>
      <c r="P2577" t="s">
        <v>511</v>
      </c>
      <c r="R2577" t="s">
        <v>512</v>
      </c>
      <c r="S2577" t="s">
        <v>123</v>
      </c>
      <c r="T2577">
        <v>259.51</v>
      </c>
      <c r="U2577">
        <v>254.14</v>
      </c>
      <c r="V2577">
        <f t="shared" si="80"/>
        <v>256.82499999999999</v>
      </c>
      <c r="W2577">
        <f t="shared" si="81"/>
        <v>5.3700000000000045</v>
      </c>
      <c r="X2577">
        <v>22.4</v>
      </c>
      <c r="Y2577">
        <v>-31.924999</v>
      </c>
      <c r="Z2577" t="s">
        <v>836</v>
      </c>
      <c r="AA2577" t="s">
        <v>106</v>
      </c>
      <c r="AB2577" t="s">
        <v>334</v>
      </c>
      <c r="AC2577" t="s">
        <v>335</v>
      </c>
      <c r="AD2577" t="s">
        <v>1654</v>
      </c>
      <c r="AE2577" t="s">
        <v>110</v>
      </c>
      <c r="AF2577" t="s">
        <v>1763</v>
      </c>
      <c r="AG2577" t="s">
        <v>1764</v>
      </c>
      <c r="AH2577" t="s">
        <v>72</v>
      </c>
      <c r="AI2577" t="s">
        <v>2190</v>
      </c>
      <c r="AJ2577">
        <v>1995</v>
      </c>
      <c r="AK2577" t="s">
        <v>1766</v>
      </c>
      <c r="AM2577" t="s">
        <v>1767</v>
      </c>
      <c r="AN2577" t="s">
        <v>341</v>
      </c>
      <c r="AO2577" t="s">
        <v>77</v>
      </c>
      <c r="AP2577" t="s">
        <v>115</v>
      </c>
      <c r="AQ2577" t="s">
        <v>1768</v>
      </c>
      <c r="AR2577" t="s">
        <v>80</v>
      </c>
      <c r="AS2577">
        <v>701</v>
      </c>
      <c r="AT2577" t="s">
        <v>81</v>
      </c>
      <c r="AU2577">
        <v>-20.47</v>
      </c>
      <c r="AV2577">
        <v>-50.54</v>
      </c>
      <c r="AW2577" t="s">
        <v>82</v>
      </c>
      <c r="AX2577">
        <v>701</v>
      </c>
      <c r="AY2577" t="s">
        <v>81</v>
      </c>
      <c r="AZ2577">
        <v>-30.33</v>
      </c>
      <c r="BA2577">
        <v>-60.09</v>
      </c>
      <c r="BB2577" t="s">
        <v>83</v>
      </c>
    </row>
    <row r="2578" spans="1:54" x14ac:dyDescent="0.4">
      <c r="A2578">
        <v>808154</v>
      </c>
      <c r="D2578" t="s">
        <v>1645</v>
      </c>
      <c r="G2578">
        <v>1</v>
      </c>
      <c r="H2578" t="s">
        <v>56</v>
      </c>
      <c r="I2578" t="s">
        <v>57</v>
      </c>
      <c r="K2578" t="s">
        <v>1911</v>
      </c>
      <c r="L2578" t="s">
        <v>2179</v>
      </c>
      <c r="M2578" t="s">
        <v>60</v>
      </c>
      <c r="P2578" t="s">
        <v>511</v>
      </c>
      <c r="R2578" t="s">
        <v>512</v>
      </c>
      <c r="S2578" t="s">
        <v>123</v>
      </c>
      <c r="T2578">
        <v>259.51</v>
      </c>
      <c r="U2578">
        <v>254.14</v>
      </c>
      <c r="V2578">
        <f t="shared" si="80"/>
        <v>256.82499999999999</v>
      </c>
      <c r="W2578">
        <f t="shared" si="81"/>
        <v>5.3700000000000045</v>
      </c>
      <c r="X2578">
        <v>22.4</v>
      </c>
      <c r="Y2578">
        <v>-31.924999</v>
      </c>
      <c r="Z2578" t="s">
        <v>836</v>
      </c>
      <c r="AA2578" t="s">
        <v>106</v>
      </c>
      <c r="AB2578" t="s">
        <v>334</v>
      </c>
      <c r="AC2578" t="s">
        <v>335</v>
      </c>
      <c r="AD2578" t="s">
        <v>1654</v>
      </c>
      <c r="AE2578" t="s">
        <v>110</v>
      </c>
      <c r="AF2578" t="s">
        <v>1763</v>
      </c>
      <c r="AG2578" t="s">
        <v>1764</v>
      </c>
      <c r="AH2578" t="s">
        <v>72</v>
      </c>
      <c r="AI2578" t="s">
        <v>2190</v>
      </c>
      <c r="AJ2578">
        <v>1995</v>
      </c>
      <c r="AK2578" t="s">
        <v>1766</v>
      </c>
      <c r="AM2578" t="s">
        <v>1767</v>
      </c>
      <c r="AN2578" t="s">
        <v>341</v>
      </c>
      <c r="AO2578" t="s">
        <v>77</v>
      </c>
      <c r="AP2578" t="s">
        <v>115</v>
      </c>
      <c r="AQ2578" t="s">
        <v>1768</v>
      </c>
      <c r="AR2578" t="s">
        <v>80</v>
      </c>
      <c r="AS2578">
        <v>701</v>
      </c>
      <c r="AT2578" t="s">
        <v>81</v>
      </c>
      <c r="AU2578">
        <v>-20.47</v>
      </c>
      <c r="AV2578">
        <v>-50.54</v>
      </c>
      <c r="AW2578" t="s">
        <v>82</v>
      </c>
      <c r="AX2578">
        <v>701</v>
      </c>
      <c r="AY2578" t="s">
        <v>81</v>
      </c>
      <c r="AZ2578">
        <v>-30.33</v>
      </c>
      <c r="BA2578">
        <v>-60.09</v>
      </c>
      <c r="BB2578" t="s">
        <v>83</v>
      </c>
    </row>
    <row r="2579" spans="1:54" x14ac:dyDescent="0.4">
      <c r="A2579">
        <v>808154</v>
      </c>
      <c r="D2579" t="s">
        <v>1645</v>
      </c>
      <c r="G2579">
        <v>1</v>
      </c>
      <c r="H2579" t="s">
        <v>56</v>
      </c>
      <c r="I2579" t="s">
        <v>57</v>
      </c>
      <c r="K2579" t="s">
        <v>1911</v>
      </c>
      <c r="L2579" t="s">
        <v>2179</v>
      </c>
      <c r="M2579" t="s">
        <v>60</v>
      </c>
      <c r="P2579" t="s">
        <v>511</v>
      </c>
      <c r="R2579" t="s">
        <v>512</v>
      </c>
      <c r="S2579" t="s">
        <v>123</v>
      </c>
      <c r="T2579">
        <v>259.51</v>
      </c>
      <c r="U2579">
        <v>254.14</v>
      </c>
      <c r="V2579">
        <f t="shared" si="80"/>
        <v>256.82499999999999</v>
      </c>
      <c r="W2579">
        <f t="shared" si="81"/>
        <v>5.3700000000000045</v>
      </c>
      <c r="X2579">
        <v>22.4</v>
      </c>
      <c r="Y2579">
        <v>-31.924999</v>
      </c>
      <c r="Z2579" t="s">
        <v>836</v>
      </c>
      <c r="AA2579" t="s">
        <v>106</v>
      </c>
      <c r="AB2579" t="s">
        <v>334</v>
      </c>
      <c r="AC2579" t="s">
        <v>335</v>
      </c>
      <c r="AD2579" t="s">
        <v>1654</v>
      </c>
      <c r="AE2579" t="s">
        <v>110</v>
      </c>
      <c r="AF2579" t="s">
        <v>1763</v>
      </c>
      <c r="AG2579" t="s">
        <v>1764</v>
      </c>
      <c r="AH2579" t="s">
        <v>72</v>
      </c>
      <c r="AI2579" t="s">
        <v>2190</v>
      </c>
      <c r="AJ2579">
        <v>1995</v>
      </c>
      <c r="AK2579" t="s">
        <v>1766</v>
      </c>
      <c r="AM2579" t="s">
        <v>1767</v>
      </c>
      <c r="AN2579" t="s">
        <v>341</v>
      </c>
      <c r="AO2579" t="s">
        <v>77</v>
      </c>
      <c r="AP2579" t="s">
        <v>115</v>
      </c>
      <c r="AQ2579" t="s">
        <v>1768</v>
      </c>
      <c r="AR2579" t="s">
        <v>80</v>
      </c>
      <c r="AS2579">
        <v>701</v>
      </c>
      <c r="AT2579" t="s">
        <v>81</v>
      </c>
      <c r="AU2579">
        <v>-20.47</v>
      </c>
      <c r="AV2579">
        <v>-50.54</v>
      </c>
      <c r="AW2579" t="s">
        <v>82</v>
      </c>
      <c r="AX2579">
        <v>701</v>
      </c>
      <c r="AY2579" t="s">
        <v>81</v>
      </c>
      <c r="AZ2579">
        <v>-30.33</v>
      </c>
      <c r="BA2579">
        <v>-60.09</v>
      </c>
      <c r="BB2579" t="s">
        <v>83</v>
      </c>
    </row>
    <row r="2580" spans="1:54" x14ac:dyDescent="0.4">
      <c r="A2580">
        <v>808154</v>
      </c>
      <c r="D2580" t="s">
        <v>1645</v>
      </c>
      <c r="G2580">
        <v>1</v>
      </c>
      <c r="H2580" t="s">
        <v>56</v>
      </c>
      <c r="I2580" t="s">
        <v>57</v>
      </c>
      <c r="K2580" t="s">
        <v>1911</v>
      </c>
      <c r="L2580" t="s">
        <v>2179</v>
      </c>
      <c r="M2580" t="s">
        <v>60</v>
      </c>
      <c r="P2580" t="s">
        <v>511</v>
      </c>
      <c r="R2580" t="s">
        <v>512</v>
      </c>
      <c r="S2580" t="s">
        <v>123</v>
      </c>
      <c r="T2580">
        <v>259.51</v>
      </c>
      <c r="U2580">
        <v>254.14</v>
      </c>
      <c r="V2580">
        <f t="shared" si="80"/>
        <v>256.82499999999999</v>
      </c>
      <c r="W2580">
        <f t="shared" si="81"/>
        <v>5.3700000000000045</v>
      </c>
      <c r="X2580">
        <v>22.4</v>
      </c>
      <c r="Y2580">
        <v>-31.924999</v>
      </c>
      <c r="Z2580" t="s">
        <v>836</v>
      </c>
      <c r="AA2580" t="s">
        <v>106</v>
      </c>
      <c r="AB2580" t="s">
        <v>334</v>
      </c>
      <c r="AC2580" t="s">
        <v>335</v>
      </c>
      <c r="AD2580" t="s">
        <v>1654</v>
      </c>
      <c r="AE2580" t="s">
        <v>110</v>
      </c>
      <c r="AF2580" t="s">
        <v>1763</v>
      </c>
      <c r="AG2580" t="s">
        <v>1764</v>
      </c>
      <c r="AH2580" t="s">
        <v>72</v>
      </c>
      <c r="AI2580" t="s">
        <v>2190</v>
      </c>
      <c r="AJ2580">
        <v>1995</v>
      </c>
      <c r="AK2580" t="s">
        <v>1766</v>
      </c>
      <c r="AM2580" t="s">
        <v>1767</v>
      </c>
      <c r="AN2580" t="s">
        <v>341</v>
      </c>
      <c r="AO2580" t="s">
        <v>77</v>
      </c>
      <c r="AP2580" t="s">
        <v>115</v>
      </c>
      <c r="AQ2580" t="s">
        <v>1768</v>
      </c>
      <c r="AR2580" t="s">
        <v>80</v>
      </c>
      <c r="AS2580">
        <v>701</v>
      </c>
      <c r="AT2580" t="s">
        <v>81</v>
      </c>
      <c r="AU2580">
        <v>-20.47</v>
      </c>
      <c r="AV2580">
        <v>-50.54</v>
      </c>
      <c r="AW2580" t="s">
        <v>82</v>
      </c>
      <c r="AX2580">
        <v>701</v>
      </c>
      <c r="AY2580" t="s">
        <v>81</v>
      </c>
      <c r="AZ2580">
        <v>-30.33</v>
      </c>
      <c r="BA2580">
        <v>-60.09</v>
      </c>
      <c r="BB2580" t="s">
        <v>83</v>
      </c>
    </row>
    <row r="2581" spans="1:54" x14ac:dyDescent="0.4">
      <c r="A2581">
        <v>808154</v>
      </c>
      <c r="D2581" t="s">
        <v>1645</v>
      </c>
      <c r="G2581">
        <v>1</v>
      </c>
      <c r="H2581" t="s">
        <v>56</v>
      </c>
      <c r="I2581" t="s">
        <v>57</v>
      </c>
      <c r="K2581" t="s">
        <v>1911</v>
      </c>
      <c r="L2581" t="s">
        <v>2179</v>
      </c>
      <c r="M2581" t="s">
        <v>60</v>
      </c>
      <c r="P2581" t="s">
        <v>511</v>
      </c>
      <c r="R2581" t="s">
        <v>512</v>
      </c>
      <c r="S2581" t="s">
        <v>123</v>
      </c>
      <c r="T2581">
        <v>259.51</v>
      </c>
      <c r="U2581">
        <v>254.14</v>
      </c>
      <c r="V2581">
        <f t="shared" si="80"/>
        <v>256.82499999999999</v>
      </c>
      <c r="W2581">
        <f t="shared" si="81"/>
        <v>5.3700000000000045</v>
      </c>
      <c r="X2581">
        <v>22.4</v>
      </c>
      <c r="Y2581">
        <v>-31.924999</v>
      </c>
      <c r="Z2581" t="s">
        <v>836</v>
      </c>
      <c r="AA2581" t="s">
        <v>106</v>
      </c>
      <c r="AB2581" t="s">
        <v>334</v>
      </c>
      <c r="AC2581" t="s">
        <v>335</v>
      </c>
      <c r="AD2581" t="s">
        <v>1654</v>
      </c>
      <c r="AE2581" t="s">
        <v>110</v>
      </c>
      <c r="AF2581" t="s">
        <v>1763</v>
      </c>
      <c r="AG2581" t="s">
        <v>1764</v>
      </c>
      <c r="AH2581" t="s">
        <v>72</v>
      </c>
      <c r="AI2581" t="s">
        <v>2190</v>
      </c>
      <c r="AJ2581">
        <v>1995</v>
      </c>
      <c r="AK2581" t="s">
        <v>1766</v>
      </c>
      <c r="AM2581" t="s">
        <v>1767</v>
      </c>
      <c r="AN2581" t="s">
        <v>341</v>
      </c>
      <c r="AO2581" t="s">
        <v>77</v>
      </c>
      <c r="AP2581" t="s">
        <v>115</v>
      </c>
      <c r="AQ2581" t="s">
        <v>1768</v>
      </c>
      <c r="AR2581" t="s">
        <v>80</v>
      </c>
      <c r="AS2581">
        <v>701</v>
      </c>
      <c r="AT2581" t="s">
        <v>81</v>
      </c>
      <c r="AU2581">
        <v>-20.47</v>
      </c>
      <c r="AV2581">
        <v>-50.54</v>
      </c>
      <c r="AW2581" t="s">
        <v>82</v>
      </c>
      <c r="AX2581">
        <v>701</v>
      </c>
      <c r="AY2581" t="s">
        <v>81</v>
      </c>
      <c r="AZ2581">
        <v>-30.33</v>
      </c>
      <c r="BA2581">
        <v>-60.09</v>
      </c>
      <c r="BB2581" t="s">
        <v>83</v>
      </c>
    </row>
    <row r="2582" spans="1:54" x14ac:dyDescent="0.4">
      <c r="A2582">
        <v>814095</v>
      </c>
      <c r="D2582" t="s">
        <v>54</v>
      </c>
      <c r="E2582" t="s">
        <v>152</v>
      </c>
      <c r="G2582">
        <v>1</v>
      </c>
      <c r="H2582" t="s">
        <v>56</v>
      </c>
      <c r="I2582" t="s">
        <v>57</v>
      </c>
      <c r="K2582" t="s">
        <v>141</v>
      </c>
      <c r="L2582" t="s">
        <v>2275</v>
      </c>
      <c r="M2582" t="s">
        <v>60</v>
      </c>
      <c r="O2582" t="s">
        <v>170</v>
      </c>
      <c r="P2582" t="s">
        <v>511</v>
      </c>
      <c r="R2582" t="s">
        <v>512</v>
      </c>
      <c r="S2582" t="s">
        <v>123</v>
      </c>
      <c r="T2582">
        <v>259.51</v>
      </c>
      <c r="U2582">
        <v>254.14</v>
      </c>
      <c r="V2582">
        <f t="shared" si="80"/>
        <v>256.82499999999999</v>
      </c>
      <c r="W2582">
        <f t="shared" si="81"/>
        <v>5.3700000000000045</v>
      </c>
      <c r="X2582">
        <v>-9.0891669999999998</v>
      </c>
      <c r="Y2582">
        <v>30.825831999999998</v>
      </c>
      <c r="Z2582" t="s">
        <v>124</v>
      </c>
      <c r="AA2582" t="s">
        <v>1272</v>
      </c>
      <c r="AB2582" t="s">
        <v>1565</v>
      </c>
      <c r="AD2582" t="s">
        <v>1566</v>
      </c>
      <c r="AF2582" t="s">
        <v>1567</v>
      </c>
      <c r="AH2582" t="s">
        <v>72</v>
      </c>
      <c r="AI2582" t="s">
        <v>2276</v>
      </c>
      <c r="AJ2582">
        <v>2005</v>
      </c>
      <c r="AK2582" t="s">
        <v>2277</v>
      </c>
      <c r="AM2582" t="s">
        <v>1569</v>
      </c>
      <c r="AN2582" t="s">
        <v>192</v>
      </c>
      <c r="AO2582" t="s">
        <v>77</v>
      </c>
      <c r="AP2582" t="s">
        <v>78</v>
      </c>
      <c r="AQ2582" t="s">
        <v>2278</v>
      </c>
      <c r="AR2582" t="s">
        <v>80</v>
      </c>
      <c r="AS2582">
        <v>707</v>
      </c>
      <c r="AT2582" t="s">
        <v>81</v>
      </c>
      <c r="AU2582">
        <v>6.04</v>
      </c>
      <c r="AV2582">
        <v>13.34</v>
      </c>
      <c r="AW2582" t="s">
        <v>82</v>
      </c>
      <c r="AX2582">
        <v>707</v>
      </c>
      <c r="AY2582" t="s">
        <v>81</v>
      </c>
      <c r="AZ2582">
        <v>1.43</v>
      </c>
      <c r="BA2582">
        <v>3.17</v>
      </c>
      <c r="BB2582" t="s">
        <v>83</v>
      </c>
    </row>
    <row r="2583" spans="1:54" x14ac:dyDescent="0.4">
      <c r="A2583">
        <v>833640</v>
      </c>
      <c r="D2583" t="s">
        <v>54</v>
      </c>
      <c r="I2583" t="s">
        <v>57</v>
      </c>
      <c r="K2583" t="s">
        <v>1600</v>
      </c>
      <c r="L2583" t="s">
        <v>2609</v>
      </c>
      <c r="M2583" t="s">
        <v>60</v>
      </c>
      <c r="P2583" t="s">
        <v>511</v>
      </c>
      <c r="R2583" t="s">
        <v>512</v>
      </c>
      <c r="S2583" t="s">
        <v>123</v>
      </c>
      <c r="T2583">
        <v>259.51</v>
      </c>
      <c r="U2583">
        <v>254.14</v>
      </c>
      <c r="V2583">
        <f t="shared" si="80"/>
        <v>256.82499999999999</v>
      </c>
      <c r="W2583">
        <f t="shared" si="81"/>
        <v>5.3700000000000045</v>
      </c>
      <c r="X2583">
        <v>24.533332999999999</v>
      </c>
      <c r="Y2583">
        <v>-32.25</v>
      </c>
      <c r="Z2583" t="s">
        <v>124</v>
      </c>
      <c r="AA2583" t="s">
        <v>106</v>
      </c>
      <c r="AB2583" t="s">
        <v>107</v>
      </c>
      <c r="AD2583" t="s">
        <v>1984</v>
      </c>
      <c r="AE2583" t="s">
        <v>110</v>
      </c>
      <c r="AG2583" t="s">
        <v>1800</v>
      </c>
      <c r="AH2583" t="s">
        <v>72</v>
      </c>
      <c r="AI2583" t="s">
        <v>1627</v>
      </c>
      <c r="AJ2583">
        <v>2002</v>
      </c>
      <c r="AK2583" t="s">
        <v>1986</v>
      </c>
      <c r="AN2583" t="s">
        <v>114</v>
      </c>
      <c r="AO2583" t="s">
        <v>160</v>
      </c>
      <c r="AP2583" t="s">
        <v>230</v>
      </c>
      <c r="AQ2583" t="s">
        <v>1987</v>
      </c>
      <c r="AR2583" t="s">
        <v>80</v>
      </c>
      <c r="AS2583">
        <v>701</v>
      </c>
      <c r="AT2583" t="s">
        <v>81</v>
      </c>
      <c r="AU2583">
        <v>-19.52</v>
      </c>
      <c r="AV2583">
        <v>-52.28</v>
      </c>
      <c r="AW2583" t="s">
        <v>82</v>
      </c>
      <c r="AX2583">
        <v>701</v>
      </c>
      <c r="AY2583" t="s">
        <v>81</v>
      </c>
      <c r="AZ2583">
        <v>-29.54</v>
      </c>
      <c r="BA2583">
        <v>-61.89</v>
      </c>
      <c r="BB2583" t="s">
        <v>83</v>
      </c>
    </row>
    <row r="2584" spans="1:54" x14ac:dyDescent="0.4">
      <c r="A2584">
        <v>838171</v>
      </c>
      <c r="D2584" t="s">
        <v>1645</v>
      </c>
      <c r="G2584">
        <v>1</v>
      </c>
      <c r="H2584" t="s">
        <v>56</v>
      </c>
      <c r="I2584" t="s">
        <v>57</v>
      </c>
      <c r="K2584" t="s">
        <v>141</v>
      </c>
      <c r="L2584" t="s">
        <v>1782</v>
      </c>
      <c r="M2584" t="s">
        <v>60</v>
      </c>
      <c r="P2584" t="s">
        <v>511</v>
      </c>
      <c r="R2584" t="s">
        <v>512</v>
      </c>
      <c r="S2584" t="s">
        <v>123</v>
      </c>
      <c r="T2584">
        <v>259.51</v>
      </c>
      <c r="U2584">
        <v>254.14</v>
      </c>
      <c r="V2584">
        <f t="shared" si="80"/>
        <v>256.82499999999999</v>
      </c>
      <c r="W2584">
        <f t="shared" si="81"/>
        <v>5.3700000000000045</v>
      </c>
      <c r="X2584">
        <v>10.255556</v>
      </c>
      <c r="Y2584">
        <v>50.879165999999998</v>
      </c>
      <c r="Z2584" t="s">
        <v>1890</v>
      </c>
      <c r="AA2584" t="s">
        <v>211</v>
      </c>
      <c r="AB2584" t="s">
        <v>977</v>
      </c>
      <c r="AC2584" t="s">
        <v>2712</v>
      </c>
      <c r="AD2584" t="s">
        <v>1785</v>
      </c>
      <c r="AE2584" t="s">
        <v>1508</v>
      </c>
      <c r="AF2584" t="s">
        <v>1893</v>
      </c>
      <c r="AH2584" t="s">
        <v>72</v>
      </c>
      <c r="AI2584" t="s">
        <v>1045</v>
      </c>
      <c r="AJ2584">
        <v>1854</v>
      </c>
      <c r="AK2584" t="s">
        <v>2713</v>
      </c>
      <c r="AM2584" t="s">
        <v>2714</v>
      </c>
      <c r="AN2584" t="s">
        <v>114</v>
      </c>
      <c r="AO2584" t="s">
        <v>77</v>
      </c>
      <c r="AP2584" t="s">
        <v>636</v>
      </c>
      <c r="AQ2584" t="s">
        <v>2715</v>
      </c>
      <c r="AR2584" t="s">
        <v>80</v>
      </c>
      <c r="AS2584">
        <v>305</v>
      </c>
      <c r="AT2584" t="s">
        <v>81</v>
      </c>
      <c r="AU2584">
        <v>29.47</v>
      </c>
      <c r="AV2584">
        <v>24.33</v>
      </c>
      <c r="AW2584" t="s">
        <v>82</v>
      </c>
      <c r="AX2584">
        <v>305</v>
      </c>
      <c r="AY2584" t="s">
        <v>81</v>
      </c>
      <c r="AZ2584">
        <v>23.19</v>
      </c>
      <c r="BA2584">
        <v>15.46</v>
      </c>
      <c r="BB2584" t="s">
        <v>83</v>
      </c>
    </row>
    <row r="2585" spans="1:54" x14ac:dyDescent="0.4">
      <c r="A2585">
        <v>838172</v>
      </c>
      <c r="D2585" t="s">
        <v>1645</v>
      </c>
      <c r="E2585" t="s">
        <v>310</v>
      </c>
      <c r="G2585">
        <v>1</v>
      </c>
      <c r="H2585" t="s">
        <v>56</v>
      </c>
      <c r="I2585" t="s">
        <v>57</v>
      </c>
      <c r="K2585" t="s">
        <v>141</v>
      </c>
      <c r="L2585" t="s">
        <v>1782</v>
      </c>
      <c r="M2585" t="s">
        <v>60</v>
      </c>
      <c r="P2585" t="s">
        <v>511</v>
      </c>
      <c r="R2585" t="s">
        <v>512</v>
      </c>
      <c r="S2585" t="s">
        <v>123</v>
      </c>
      <c r="T2585">
        <v>259.51</v>
      </c>
      <c r="U2585">
        <v>254.14</v>
      </c>
      <c r="V2585">
        <f t="shared" si="80"/>
        <v>256.82499999999999</v>
      </c>
      <c r="W2585">
        <f t="shared" si="81"/>
        <v>5.3700000000000045</v>
      </c>
      <c r="X2585">
        <v>10.328333000000001</v>
      </c>
      <c r="Y2585">
        <v>50.832222000000002</v>
      </c>
      <c r="Z2585" t="s">
        <v>1890</v>
      </c>
      <c r="AA2585" t="s">
        <v>211</v>
      </c>
      <c r="AB2585" t="s">
        <v>977</v>
      </c>
      <c r="AC2585" t="s">
        <v>2712</v>
      </c>
      <c r="AD2585" t="s">
        <v>1785</v>
      </c>
      <c r="AE2585" t="s">
        <v>1508</v>
      </c>
      <c r="AF2585" t="s">
        <v>1893</v>
      </c>
      <c r="AH2585" t="s">
        <v>72</v>
      </c>
      <c r="AI2585" t="s">
        <v>865</v>
      </c>
      <c r="AJ2585">
        <v>1856</v>
      </c>
      <c r="AK2585" t="s">
        <v>2716</v>
      </c>
      <c r="AM2585" t="s">
        <v>2717</v>
      </c>
      <c r="AN2585" t="s">
        <v>192</v>
      </c>
      <c r="AO2585" t="s">
        <v>77</v>
      </c>
      <c r="AP2585" t="s">
        <v>78</v>
      </c>
      <c r="AQ2585" t="s">
        <v>2718</v>
      </c>
      <c r="AR2585" t="s">
        <v>80</v>
      </c>
      <c r="AS2585">
        <v>305</v>
      </c>
      <c r="AT2585" t="s">
        <v>81</v>
      </c>
      <c r="AU2585">
        <v>29.53</v>
      </c>
      <c r="AV2585">
        <v>24.29</v>
      </c>
      <c r="AW2585" t="s">
        <v>82</v>
      </c>
      <c r="AX2585">
        <v>305</v>
      </c>
      <c r="AY2585" t="s">
        <v>81</v>
      </c>
      <c r="AZ2585">
        <v>23.25</v>
      </c>
      <c r="BA2585">
        <v>15.43</v>
      </c>
      <c r="BB2585" t="s">
        <v>83</v>
      </c>
    </row>
    <row r="2586" spans="1:54" x14ac:dyDescent="0.4">
      <c r="A2586">
        <v>838172</v>
      </c>
      <c r="D2586" t="s">
        <v>1645</v>
      </c>
      <c r="E2586" t="s">
        <v>310</v>
      </c>
      <c r="G2586">
        <v>1</v>
      </c>
      <c r="H2586" t="s">
        <v>56</v>
      </c>
      <c r="I2586" t="s">
        <v>57</v>
      </c>
      <c r="K2586" t="s">
        <v>141</v>
      </c>
      <c r="L2586" t="s">
        <v>1782</v>
      </c>
      <c r="M2586" t="s">
        <v>60</v>
      </c>
      <c r="P2586" t="s">
        <v>511</v>
      </c>
      <c r="R2586" t="s">
        <v>512</v>
      </c>
      <c r="S2586" t="s">
        <v>123</v>
      </c>
      <c r="T2586">
        <v>259.51</v>
      </c>
      <c r="U2586">
        <v>254.14</v>
      </c>
      <c r="V2586">
        <f t="shared" si="80"/>
        <v>256.82499999999999</v>
      </c>
      <c r="W2586">
        <f t="shared" si="81"/>
        <v>5.3700000000000045</v>
      </c>
      <c r="X2586">
        <v>10.328333000000001</v>
      </c>
      <c r="Y2586">
        <v>50.832222000000002</v>
      </c>
      <c r="Z2586" t="s">
        <v>1890</v>
      </c>
      <c r="AA2586" t="s">
        <v>211</v>
      </c>
      <c r="AB2586" t="s">
        <v>977</v>
      </c>
      <c r="AC2586" t="s">
        <v>2712</v>
      </c>
      <c r="AD2586" t="s">
        <v>1785</v>
      </c>
      <c r="AE2586" t="s">
        <v>1508</v>
      </c>
      <c r="AF2586" t="s">
        <v>1893</v>
      </c>
      <c r="AH2586" t="s">
        <v>72</v>
      </c>
      <c r="AI2586" t="s">
        <v>865</v>
      </c>
      <c r="AJ2586">
        <v>1856</v>
      </c>
      <c r="AK2586" t="s">
        <v>2716</v>
      </c>
      <c r="AM2586" t="s">
        <v>2717</v>
      </c>
      <c r="AN2586" t="s">
        <v>192</v>
      </c>
      <c r="AO2586" t="s">
        <v>77</v>
      </c>
      <c r="AP2586" t="s">
        <v>78</v>
      </c>
      <c r="AQ2586" t="s">
        <v>2718</v>
      </c>
      <c r="AR2586" t="s">
        <v>80</v>
      </c>
      <c r="AS2586">
        <v>305</v>
      </c>
      <c r="AT2586" t="s">
        <v>81</v>
      </c>
      <c r="AU2586">
        <v>29.53</v>
      </c>
      <c r="AV2586">
        <v>24.29</v>
      </c>
      <c r="AW2586" t="s">
        <v>82</v>
      </c>
      <c r="AX2586">
        <v>305</v>
      </c>
      <c r="AY2586" t="s">
        <v>81</v>
      </c>
      <c r="AZ2586">
        <v>23.25</v>
      </c>
      <c r="BA2586">
        <v>15.43</v>
      </c>
      <c r="BB2586" t="s">
        <v>83</v>
      </c>
    </row>
    <row r="2587" spans="1:54" x14ac:dyDescent="0.4">
      <c r="A2587">
        <v>838194</v>
      </c>
      <c r="D2587" t="s">
        <v>1645</v>
      </c>
      <c r="E2587" t="s">
        <v>55</v>
      </c>
      <c r="G2587">
        <v>1</v>
      </c>
      <c r="H2587" t="s">
        <v>56</v>
      </c>
      <c r="I2587" t="s">
        <v>57</v>
      </c>
      <c r="K2587" t="s">
        <v>141</v>
      </c>
      <c r="L2587" t="s">
        <v>1782</v>
      </c>
      <c r="M2587" t="s">
        <v>60</v>
      </c>
      <c r="P2587" t="s">
        <v>511</v>
      </c>
      <c r="R2587" t="s">
        <v>512</v>
      </c>
      <c r="S2587" t="s">
        <v>123</v>
      </c>
      <c r="T2587">
        <v>259.51</v>
      </c>
      <c r="U2587">
        <v>254.14</v>
      </c>
      <c r="V2587">
        <f t="shared" si="80"/>
        <v>256.82499999999999</v>
      </c>
      <c r="W2587">
        <f t="shared" si="81"/>
        <v>5.3700000000000045</v>
      </c>
      <c r="X2587">
        <v>11.75</v>
      </c>
      <c r="Y2587">
        <v>51.644444</v>
      </c>
      <c r="Z2587" t="s">
        <v>1890</v>
      </c>
      <c r="AA2587" t="s">
        <v>211</v>
      </c>
      <c r="AB2587" t="s">
        <v>1891</v>
      </c>
      <c r="AC2587" t="s">
        <v>2719</v>
      </c>
      <c r="AD2587" t="s">
        <v>1785</v>
      </c>
      <c r="AE2587" t="s">
        <v>1508</v>
      </c>
      <c r="AF2587" t="s">
        <v>1893</v>
      </c>
      <c r="AH2587" t="s">
        <v>72</v>
      </c>
      <c r="AI2587" t="s">
        <v>865</v>
      </c>
      <c r="AJ2587">
        <v>1856</v>
      </c>
      <c r="AK2587" t="s">
        <v>2720</v>
      </c>
      <c r="AM2587" t="s">
        <v>2721</v>
      </c>
      <c r="AN2587" t="s">
        <v>114</v>
      </c>
      <c r="AO2587" t="s">
        <v>77</v>
      </c>
      <c r="AP2587" t="s">
        <v>359</v>
      </c>
      <c r="AQ2587" t="s">
        <v>2722</v>
      </c>
      <c r="AR2587" t="s">
        <v>80</v>
      </c>
      <c r="AS2587">
        <v>315</v>
      </c>
      <c r="AT2587" t="s">
        <v>81</v>
      </c>
      <c r="AU2587">
        <v>30.31</v>
      </c>
      <c r="AV2587">
        <v>25.27</v>
      </c>
      <c r="AW2587" t="s">
        <v>82</v>
      </c>
      <c r="AX2587">
        <v>315</v>
      </c>
      <c r="AY2587" t="s">
        <v>81</v>
      </c>
      <c r="AZ2587">
        <v>23.89</v>
      </c>
      <c r="BA2587">
        <v>16.47</v>
      </c>
      <c r="BB2587" t="s">
        <v>83</v>
      </c>
    </row>
    <row r="2588" spans="1:54" x14ac:dyDescent="0.4">
      <c r="A2588">
        <v>838197</v>
      </c>
      <c r="D2588" t="s">
        <v>1645</v>
      </c>
      <c r="E2588" t="s">
        <v>154</v>
      </c>
      <c r="G2588">
        <v>15</v>
      </c>
      <c r="H2588" t="s">
        <v>84</v>
      </c>
      <c r="I2588" t="s">
        <v>57</v>
      </c>
      <c r="K2588" t="s">
        <v>141</v>
      </c>
      <c r="L2588" t="s">
        <v>1782</v>
      </c>
      <c r="M2588" t="s">
        <v>60</v>
      </c>
      <c r="P2588" t="s">
        <v>511</v>
      </c>
      <c r="R2588" t="s">
        <v>512</v>
      </c>
      <c r="S2588" t="s">
        <v>123</v>
      </c>
      <c r="T2588">
        <v>259.51</v>
      </c>
      <c r="U2588">
        <v>254.14</v>
      </c>
      <c r="V2588">
        <f t="shared" si="80"/>
        <v>256.82499999999999</v>
      </c>
      <c r="W2588">
        <f t="shared" si="81"/>
        <v>5.3700000000000045</v>
      </c>
      <c r="X2588">
        <v>10.008333</v>
      </c>
      <c r="Y2588">
        <v>50.977778999999998</v>
      </c>
      <c r="Z2588" t="s">
        <v>1890</v>
      </c>
      <c r="AA2588" t="s">
        <v>211</v>
      </c>
      <c r="AB2588" t="s">
        <v>1783</v>
      </c>
      <c r="AC2588" t="s">
        <v>1898</v>
      </c>
      <c r="AD2588" t="s">
        <v>1785</v>
      </c>
      <c r="AE2588" t="s">
        <v>1508</v>
      </c>
      <c r="AF2588" t="s">
        <v>1893</v>
      </c>
      <c r="AH2588" t="s">
        <v>72</v>
      </c>
      <c r="AI2588" t="s">
        <v>865</v>
      </c>
      <c r="AJ2588">
        <v>1856</v>
      </c>
      <c r="AK2588" t="s">
        <v>2723</v>
      </c>
      <c r="AM2588" t="s">
        <v>2724</v>
      </c>
      <c r="AN2588" t="s">
        <v>114</v>
      </c>
      <c r="AO2588" t="s">
        <v>77</v>
      </c>
      <c r="AP2588" t="s">
        <v>359</v>
      </c>
      <c r="AQ2588" t="s">
        <v>2725</v>
      </c>
      <c r="AR2588" t="s">
        <v>80</v>
      </c>
      <c r="AS2588">
        <v>315</v>
      </c>
      <c r="AT2588" t="s">
        <v>81</v>
      </c>
      <c r="AU2588">
        <v>29.28</v>
      </c>
      <c r="AV2588">
        <v>24.4</v>
      </c>
      <c r="AW2588" t="s">
        <v>82</v>
      </c>
      <c r="AX2588">
        <v>315</v>
      </c>
      <c r="AY2588" t="s">
        <v>81</v>
      </c>
      <c r="AZ2588">
        <v>23.01</v>
      </c>
      <c r="BA2588">
        <v>15.51</v>
      </c>
      <c r="BB2588" t="s">
        <v>83</v>
      </c>
    </row>
    <row r="2589" spans="1:54" x14ac:dyDescent="0.4">
      <c r="A2589">
        <v>838198</v>
      </c>
      <c r="D2589" t="s">
        <v>1645</v>
      </c>
      <c r="E2589" t="s">
        <v>154</v>
      </c>
      <c r="G2589">
        <v>1</v>
      </c>
      <c r="H2589" t="s">
        <v>56</v>
      </c>
      <c r="I2589" t="s">
        <v>57</v>
      </c>
      <c r="K2589" t="s">
        <v>141</v>
      </c>
      <c r="L2589" t="s">
        <v>1790</v>
      </c>
      <c r="M2589" t="s">
        <v>60</v>
      </c>
      <c r="O2589" t="s">
        <v>170</v>
      </c>
      <c r="P2589" t="s">
        <v>511</v>
      </c>
      <c r="R2589" t="s">
        <v>512</v>
      </c>
      <c r="S2589" t="s">
        <v>123</v>
      </c>
      <c r="T2589">
        <v>259.51</v>
      </c>
      <c r="U2589">
        <v>254.14</v>
      </c>
      <c r="V2589">
        <f t="shared" si="80"/>
        <v>256.82499999999999</v>
      </c>
      <c r="W2589">
        <f t="shared" si="81"/>
        <v>5.3700000000000045</v>
      </c>
      <c r="X2589">
        <v>10.008333</v>
      </c>
      <c r="Y2589">
        <v>50.977778999999998</v>
      </c>
      <c r="Z2589" t="s">
        <v>1890</v>
      </c>
      <c r="AA2589" t="s">
        <v>211</v>
      </c>
      <c r="AB2589" t="s">
        <v>1783</v>
      </c>
      <c r="AC2589" t="s">
        <v>1898</v>
      </c>
      <c r="AD2589" t="s">
        <v>1785</v>
      </c>
      <c r="AE2589" t="s">
        <v>1508</v>
      </c>
      <c r="AF2589" t="s">
        <v>1893</v>
      </c>
      <c r="AH2589" t="s">
        <v>72</v>
      </c>
      <c r="AI2589" t="s">
        <v>1970</v>
      </c>
      <c r="AJ2589">
        <v>2008</v>
      </c>
      <c r="AK2589" t="s">
        <v>2723</v>
      </c>
      <c r="AM2589" t="s">
        <v>2724</v>
      </c>
      <c r="AN2589" t="s">
        <v>114</v>
      </c>
      <c r="AO2589" t="s">
        <v>77</v>
      </c>
      <c r="AP2589" t="s">
        <v>359</v>
      </c>
      <c r="AQ2589" t="s">
        <v>2725</v>
      </c>
      <c r="AR2589" t="s">
        <v>80</v>
      </c>
      <c r="AS2589">
        <v>315</v>
      </c>
      <c r="AT2589" t="s">
        <v>81</v>
      </c>
      <c r="AU2589">
        <v>29.28</v>
      </c>
      <c r="AV2589">
        <v>24.4</v>
      </c>
      <c r="AW2589" t="s">
        <v>82</v>
      </c>
      <c r="AX2589">
        <v>315</v>
      </c>
      <c r="AY2589" t="s">
        <v>81</v>
      </c>
      <c r="AZ2589">
        <v>23.01</v>
      </c>
      <c r="BA2589">
        <v>15.51</v>
      </c>
      <c r="BB2589" t="s">
        <v>83</v>
      </c>
    </row>
    <row r="2590" spans="1:54" x14ac:dyDescent="0.4">
      <c r="A2590">
        <v>973441</v>
      </c>
      <c r="D2590" t="s">
        <v>3915</v>
      </c>
      <c r="E2590" t="s">
        <v>55</v>
      </c>
      <c r="G2590">
        <v>1</v>
      </c>
      <c r="H2590" t="s">
        <v>56</v>
      </c>
      <c r="I2590" t="s">
        <v>57</v>
      </c>
      <c r="K2590" t="s">
        <v>141</v>
      </c>
      <c r="L2590" t="s">
        <v>3916</v>
      </c>
      <c r="M2590" t="s">
        <v>60</v>
      </c>
      <c r="P2590" t="s">
        <v>511</v>
      </c>
      <c r="R2590" t="s">
        <v>512</v>
      </c>
      <c r="S2590" t="s">
        <v>123</v>
      </c>
      <c r="T2590">
        <v>259.51</v>
      </c>
      <c r="U2590">
        <v>254.14</v>
      </c>
      <c r="V2590">
        <f t="shared" si="80"/>
        <v>256.82499999999999</v>
      </c>
      <c r="W2590">
        <f t="shared" si="81"/>
        <v>5.3700000000000045</v>
      </c>
      <c r="X2590">
        <v>19.450001</v>
      </c>
      <c r="Y2590">
        <v>-31.5</v>
      </c>
      <c r="Z2590" t="s">
        <v>124</v>
      </c>
      <c r="AA2590" t="s">
        <v>106</v>
      </c>
      <c r="AB2590" t="s">
        <v>575</v>
      </c>
      <c r="AC2590" t="s">
        <v>2390</v>
      </c>
      <c r="AE2590" t="s">
        <v>110</v>
      </c>
      <c r="AH2590" t="s">
        <v>72</v>
      </c>
      <c r="AI2590" t="s">
        <v>1917</v>
      </c>
      <c r="AJ2590">
        <v>1976</v>
      </c>
      <c r="AK2590" t="s">
        <v>3917</v>
      </c>
      <c r="AM2590" t="s">
        <v>3918</v>
      </c>
      <c r="AN2590" t="s">
        <v>114</v>
      </c>
      <c r="AO2590">
        <v>1</v>
      </c>
      <c r="AP2590" t="s">
        <v>115</v>
      </c>
      <c r="AQ2590" t="s">
        <v>3919</v>
      </c>
      <c r="AR2590" t="s">
        <v>80</v>
      </c>
      <c r="AS2590">
        <v>701</v>
      </c>
      <c r="AT2590" t="s">
        <v>81</v>
      </c>
      <c r="AU2590">
        <v>-21.79</v>
      </c>
      <c r="AV2590">
        <v>-48.14</v>
      </c>
      <c r="AW2590" t="s">
        <v>82</v>
      </c>
      <c r="AX2590">
        <v>701</v>
      </c>
      <c r="AY2590" t="s">
        <v>81</v>
      </c>
      <c r="AZ2590">
        <v>-31.45</v>
      </c>
      <c r="BA2590">
        <v>-57.62</v>
      </c>
      <c r="BB2590" t="s">
        <v>83</v>
      </c>
    </row>
    <row r="2591" spans="1:54" x14ac:dyDescent="0.4">
      <c r="A2591">
        <v>973442</v>
      </c>
      <c r="D2591" t="s">
        <v>3915</v>
      </c>
      <c r="E2591" t="s">
        <v>152</v>
      </c>
      <c r="G2591">
        <v>1</v>
      </c>
      <c r="H2591" t="s">
        <v>56</v>
      </c>
      <c r="I2591" t="s">
        <v>57</v>
      </c>
      <c r="K2591" t="s">
        <v>141</v>
      </c>
      <c r="L2591" t="s">
        <v>3916</v>
      </c>
      <c r="M2591" t="s">
        <v>60</v>
      </c>
      <c r="P2591" t="s">
        <v>511</v>
      </c>
      <c r="R2591" t="s">
        <v>512</v>
      </c>
      <c r="S2591" t="s">
        <v>123</v>
      </c>
      <c r="T2591">
        <v>259.51</v>
      </c>
      <c r="U2591">
        <v>254.14</v>
      </c>
      <c r="V2591">
        <f t="shared" si="80"/>
        <v>256.82499999999999</v>
      </c>
      <c r="W2591">
        <f t="shared" si="81"/>
        <v>5.3700000000000045</v>
      </c>
      <c r="X2591">
        <v>25.33</v>
      </c>
      <c r="Y2591">
        <v>-30.68</v>
      </c>
      <c r="Z2591" t="s">
        <v>124</v>
      </c>
      <c r="AA2591" t="s">
        <v>106</v>
      </c>
      <c r="AB2591" t="s">
        <v>107</v>
      </c>
      <c r="AE2591" t="s">
        <v>110</v>
      </c>
      <c r="AH2591" t="s">
        <v>72</v>
      </c>
      <c r="AI2591" t="s">
        <v>1917</v>
      </c>
      <c r="AJ2591">
        <v>1976</v>
      </c>
      <c r="AK2591" t="s">
        <v>3920</v>
      </c>
      <c r="AM2591" t="s">
        <v>3921</v>
      </c>
      <c r="AN2591" t="s">
        <v>114</v>
      </c>
      <c r="AO2591">
        <v>2</v>
      </c>
      <c r="AP2591" t="s">
        <v>115</v>
      </c>
      <c r="AQ2591" t="s">
        <v>3922</v>
      </c>
      <c r="AR2591" t="s">
        <v>80</v>
      </c>
      <c r="AS2591">
        <v>701</v>
      </c>
      <c r="AT2591" t="s">
        <v>81</v>
      </c>
      <c r="AU2591">
        <v>-16.75</v>
      </c>
      <c r="AV2591">
        <v>-52.09</v>
      </c>
      <c r="AW2591" t="s">
        <v>82</v>
      </c>
      <c r="AX2591">
        <v>701</v>
      </c>
      <c r="AY2591" t="s">
        <v>81</v>
      </c>
      <c r="AZ2591">
        <v>-25.9</v>
      </c>
      <c r="BA2591">
        <v>-61.89</v>
      </c>
      <c r="BB2591" t="s">
        <v>83</v>
      </c>
    </row>
    <row r="2592" spans="1:54" x14ac:dyDescent="0.4">
      <c r="A2592">
        <v>1163736</v>
      </c>
      <c r="D2592" t="s">
        <v>54</v>
      </c>
      <c r="E2592" t="s">
        <v>55</v>
      </c>
      <c r="G2592">
        <v>1</v>
      </c>
      <c r="H2592" t="s">
        <v>56</v>
      </c>
      <c r="I2592" t="s">
        <v>57</v>
      </c>
      <c r="K2592" t="s">
        <v>141</v>
      </c>
      <c r="L2592" t="s">
        <v>1782</v>
      </c>
      <c r="M2592" t="s">
        <v>60</v>
      </c>
      <c r="P2592" t="s">
        <v>511</v>
      </c>
      <c r="R2592" t="s">
        <v>512</v>
      </c>
      <c r="S2592" t="s">
        <v>123</v>
      </c>
      <c r="T2592">
        <v>259.51</v>
      </c>
      <c r="U2592">
        <v>254.14</v>
      </c>
      <c r="V2592">
        <f t="shared" si="80"/>
        <v>256.82499999999999</v>
      </c>
      <c r="W2592">
        <f t="shared" si="81"/>
        <v>5.3700000000000045</v>
      </c>
      <c r="X2592">
        <v>-1.463889</v>
      </c>
      <c r="Y2592">
        <v>54.728332999999999</v>
      </c>
      <c r="Z2592" t="s">
        <v>1251</v>
      </c>
      <c r="AA2592" t="s">
        <v>91</v>
      </c>
      <c r="AB2592" t="s">
        <v>92</v>
      </c>
      <c r="AD2592" t="s">
        <v>1507</v>
      </c>
      <c r="AE2592" t="s">
        <v>1508</v>
      </c>
      <c r="AH2592" t="s">
        <v>11</v>
      </c>
      <c r="AI2592" t="s">
        <v>4457</v>
      </c>
      <c r="AJ2592">
        <v>1993</v>
      </c>
      <c r="AK2592" t="s">
        <v>4458</v>
      </c>
      <c r="AN2592" t="s">
        <v>76</v>
      </c>
      <c r="AO2592" t="s">
        <v>77</v>
      </c>
      <c r="AP2592" t="s">
        <v>115</v>
      </c>
      <c r="AQ2592" t="s">
        <v>4459</v>
      </c>
      <c r="AR2592" t="s">
        <v>80</v>
      </c>
      <c r="AS2592">
        <v>315</v>
      </c>
      <c r="AT2592" t="s">
        <v>81</v>
      </c>
      <c r="AU2592">
        <v>21.08</v>
      </c>
      <c r="AV2592">
        <v>27.12</v>
      </c>
      <c r="AW2592" t="s">
        <v>82</v>
      </c>
      <c r="AX2592">
        <v>315</v>
      </c>
      <c r="AY2592" t="s">
        <v>81</v>
      </c>
      <c r="AZ2592">
        <v>15.1</v>
      </c>
      <c r="BA2592">
        <v>17.600000000000001</v>
      </c>
      <c r="BB2592" t="s">
        <v>83</v>
      </c>
    </row>
    <row r="2593" spans="1:54" x14ac:dyDescent="0.4">
      <c r="A2593">
        <v>1163739</v>
      </c>
      <c r="D2593" t="s">
        <v>853</v>
      </c>
      <c r="G2593">
        <v>1</v>
      </c>
      <c r="H2593" t="s">
        <v>56</v>
      </c>
      <c r="I2593" t="s">
        <v>57</v>
      </c>
      <c r="K2593" t="s">
        <v>141</v>
      </c>
      <c r="L2593" t="s">
        <v>1782</v>
      </c>
      <c r="M2593" t="s">
        <v>60</v>
      </c>
      <c r="P2593" t="s">
        <v>511</v>
      </c>
      <c r="R2593" t="s">
        <v>512</v>
      </c>
      <c r="S2593" t="s">
        <v>123</v>
      </c>
      <c r="T2593">
        <v>259.51</v>
      </c>
      <c r="U2593">
        <v>254.14</v>
      </c>
      <c r="V2593">
        <f t="shared" si="80"/>
        <v>256.82499999999999</v>
      </c>
      <c r="W2593">
        <f t="shared" si="81"/>
        <v>5.3700000000000045</v>
      </c>
      <c r="X2593">
        <v>-1.621111</v>
      </c>
      <c r="Y2593">
        <v>54.622222999999998</v>
      </c>
      <c r="Z2593" t="s">
        <v>1251</v>
      </c>
      <c r="AA2593" t="s">
        <v>91</v>
      </c>
      <c r="AB2593" t="s">
        <v>92</v>
      </c>
      <c r="AC2593" t="s">
        <v>2111</v>
      </c>
      <c r="AD2593" t="s">
        <v>1507</v>
      </c>
      <c r="AE2593" t="s">
        <v>1508</v>
      </c>
      <c r="AH2593" t="s">
        <v>72</v>
      </c>
      <c r="AI2593" t="s">
        <v>4460</v>
      </c>
      <c r="AJ2593">
        <v>1870</v>
      </c>
      <c r="AK2593" t="s">
        <v>2112</v>
      </c>
      <c r="AM2593" t="s">
        <v>2113</v>
      </c>
      <c r="AN2593" t="s">
        <v>76</v>
      </c>
      <c r="AO2593" t="s">
        <v>77</v>
      </c>
      <c r="AP2593" t="s">
        <v>636</v>
      </c>
      <c r="AQ2593" t="s">
        <v>2114</v>
      </c>
      <c r="AR2593" t="s">
        <v>80</v>
      </c>
      <c r="AS2593">
        <v>315</v>
      </c>
      <c r="AT2593" t="s">
        <v>81</v>
      </c>
      <c r="AU2593">
        <v>20.99</v>
      </c>
      <c r="AV2593">
        <v>27</v>
      </c>
      <c r="AW2593" t="s">
        <v>82</v>
      </c>
      <c r="AX2593">
        <v>315</v>
      </c>
      <c r="AY2593" t="s">
        <v>81</v>
      </c>
      <c r="AZ2593">
        <v>15.02</v>
      </c>
      <c r="BA2593">
        <v>17.48</v>
      </c>
      <c r="BB2593" t="s">
        <v>83</v>
      </c>
    </row>
    <row r="2594" spans="1:54" x14ac:dyDescent="0.4">
      <c r="A2594">
        <v>1163747</v>
      </c>
      <c r="D2594" t="s">
        <v>54</v>
      </c>
      <c r="G2594">
        <v>1</v>
      </c>
      <c r="H2594" t="s">
        <v>56</v>
      </c>
      <c r="I2594" t="s">
        <v>57</v>
      </c>
      <c r="K2594" t="s">
        <v>141</v>
      </c>
      <c r="L2594" t="s">
        <v>4462</v>
      </c>
      <c r="M2594" t="s">
        <v>60</v>
      </c>
      <c r="P2594" t="s">
        <v>511</v>
      </c>
      <c r="R2594" t="s">
        <v>512</v>
      </c>
      <c r="S2594" t="s">
        <v>123</v>
      </c>
      <c r="T2594">
        <v>259.51</v>
      </c>
      <c r="U2594">
        <v>254.14</v>
      </c>
      <c r="V2594">
        <f t="shared" si="80"/>
        <v>256.82499999999999</v>
      </c>
      <c r="W2594">
        <f t="shared" si="81"/>
        <v>5.3700000000000045</v>
      </c>
      <c r="X2594">
        <v>34.950001</v>
      </c>
      <c r="Y2594">
        <v>-10.55</v>
      </c>
      <c r="Z2594" t="s">
        <v>184</v>
      </c>
      <c r="AA2594" t="s">
        <v>1366</v>
      </c>
      <c r="AB2594" t="s">
        <v>1367</v>
      </c>
      <c r="AD2594" t="s">
        <v>4463</v>
      </c>
      <c r="AE2594" t="s">
        <v>1368</v>
      </c>
      <c r="AG2594" t="s">
        <v>4464</v>
      </c>
      <c r="AH2594" t="s">
        <v>72</v>
      </c>
      <c r="AI2594" t="s">
        <v>4465</v>
      </c>
      <c r="AJ2594">
        <v>2014</v>
      </c>
      <c r="AK2594" t="s">
        <v>4466</v>
      </c>
      <c r="AN2594" t="s">
        <v>114</v>
      </c>
      <c r="AO2594" t="s">
        <v>160</v>
      </c>
      <c r="AP2594" t="s">
        <v>78</v>
      </c>
      <c r="AR2594" t="s">
        <v>80</v>
      </c>
      <c r="AS2594">
        <v>701</v>
      </c>
      <c r="AT2594" t="s">
        <v>81</v>
      </c>
      <c r="AU2594">
        <v>15.49</v>
      </c>
      <c r="AV2594">
        <v>-45.51</v>
      </c>
      <c r="AW2594" t="s">
        <v>82</v>
      </c>
      <c r="AX2594">
        <v>709</v>
      </c>
      <c r="AY2594" t="s">
        <v>81</v>
      </c>
      <c r="AZ2594">
        <v>14.03</v>
      </c>
      <c r="BA2594">
        <v>-54.9</v>
      </c>
      <c r="BB2594" t="s">
        <v>83</v>
      </c>
    </row>
    <row r="2595" spans="1:54" x14ac:dyDescent="0.4">
      <c r="A2595">
        <v>1286077</v>
      </c>
      <c r="D2595" t="s">
        <v>54</v>
      </c>
      <c r="G2595">
        <v>1</v>
      </c>
      <c r="H2595" t="s">
        <v>56</v>
      </c>
      <c r="I2595" t="s">
        <v>57</v>
      </c>
      <c r="K2595" t="s">
        <v>141</v>
      </c>
      <c r="L2595" t="s">
        <v>4562</v>
      </c>
      <c r="M2595" t="s">
        <v>60</v>
      </c>
      <c r="O2595" t="s">
        <v>170</v>
      </c>
      <c r="P2595" t="s">
        <v>511</v>
      </c>
      <c r="R2595" t="s">
        <v>512</v>
      </c>
      <c r="S2595" t="s">
        <v>123</v>
      </c>
      <c r="T2595">
        <v>259.51</v>
      </c>
      <c r="U2595">
        <v>254.14</v>
      </c>
      <c r="V2595">
        <f t="shared" si="80"/>
        <v>256.82499999999999</v>
      </c>
      <c r="W2595">
        <f t="shared" si="81"/>
        <v>5.3700000000000045</v>
      </c>
      <c r="X2595">
        <v>24.166699999999999</v>
      </c>
      <c r="Y2595">
        <v>-32.116698999999997</v>
      </c>
      <c r="Z2595" t="s">
        <v>124</v>
      </c>
      <c r="AA2595" t="s">
        <v>106</v>
      </c>
      <c r="AB2595" t="s">
        <v>107</v>
      </c>
      <c r="AC2595" t="s">
        <v>4537</v>
      </c>
      <c r="AE2595" t="s">
        <v>110</v>
      </c>
      <c r="AG2595" t="s">
        <v>4464</v>
      </c>
      <c r="AH2595" t="s">
        <v>72</v>
      </c>
      <c r="AI2595" t="s">
        <v>3667</v>
      </c>
      <c r="AJ2595">
        <v>1948</v>
      </c>
      <c r="AK2595" t="s">
        <v>4563</v>
      </c>
      <c r="AM2595" t="s">
        <v>4564</v>
      </c>
      <c r="AN2595" t="s">
        <v>114</v>
      </c>
      <c r="AO2595">
        <v>4</v>
      </c>
      <c r="AP2595" t="s">
        <v>78</v>
      </c>
      <c r="AR2595" t="s">
        <v>80</v>
      </c>
      <c r="AS2595">
        <v>701</v>
      </c>
      <c r="AT2595" t="s">
        <v>81</v>
      </c>
      <c r="AU2595">
        <v>-19.57</v>
      </c>
      <c r="AV2595">
        <v>-51.94</v>
      </c>
      <c r="AW2595" t="s">
        <v>82</v>
      </c>
      <c r="AX2595">
        <v>701</v>
      </c>
      <c r="AY2595" t="s">
        <v>81</v>
      </c>
      <c r="AZ2595">
        <v>-29.52</v>
      </c>
      <c r="BA2595">
        <v>-61.55</v>
      </c>
      <c r="BB2595" t="s">
        <v>83</v>
      </c>
    </row>
    <row r="2596" spans="1:54" x14ac:dyDescent="0.4">
      <c r="A2596">
        <v>1286079</v>
      </c>
      <c r="D2596" t="s">
        <v>54</v>
      </c>
      <c r="G2596">
        <v>1</v>
      </c>
      <c r="H2596" t="s">
        <v>56</v>
      </c>
      <c r="I2596" t="s">
        <v>57</v>
      </c>
      <c r="K2596" t="s">
        <v>141</v>
      </c>
      <c r="L2596" t="s">
        <v>4565</v>
      </c>
      <c r="M2596" t="s">
        <v>60</v>
      </c>
      <c r="O2596" t="s">
        <v>170</v>
      </c>
      <c r="P2596" t="s">
        <v>511</v>
      </c>
      <c r="R2596" t="s">
        <v>512</v>
      </c>
      <c r="S2596" t="s">
        <v>123</v>
      </c>
      <c r="T2596">
        <v>259.51</v>
      </c>
      <c r="U2596">
        <v>254.14</v>
      </c>
      <c r="V2596">
        <f t="shared" si="80"/>
        <v>256.82499999999999</v>
      </c>
      <c r="W2596">
        <f t="shared" si="81"/>
        <v>5.3700000000000045</v>
      </c>
      <c r="X2596">
        <v>24.516701000000001</v>
      </c>
      <c r="Y2596">
        <v>-31.950001</v>
      </c>
      <c r="Z2596" t="s">
        <v>124</v>
      </c>
      <c r="AA2596" t="s">
        <v>106</v>
      </c>
      <c r="AB2596" t="s">
        <v>4566</v>
      </c>
      <c r="AE2596" t="s">
        <v>110</v>
      </c>
      <c r="AG2596" t="s">
        <v>4464</v>
      </c>
      <c r="AH2596" t="s">
        <v>72</v>
      </c>
      <c r="AI2596" t="s">
        <v>1045</v>
      </c>
      <c r="AJ2596">
        <v>1876</v>
      </c>
      <c r="AK2596" t="s">
        <v>4567</v>
      </c>
      <c r="AM2596" t="s">
        <v>4568</v>
      </c>
      <c r="AN2596" t="s">
        <v>114</v>
      </c>
      <c r="AO2596">
        <v>4</v>
      </c>
      <c r="AP2596" t="s">
        <v>115</v>
      </c>
      <c r="AR2596" t="s">
        <v>80</v>
      </c>
      <c r="AS2596">
        <v>701</v>
      </c>
      <c r="AT2596" t="s">
        <v>81</v>
      </c>
      <c r="AU2596">
        <v>-19.100000000000001</v>
      </c>
      <c r="AV2596">
        <v>-52.12</v>
      </c>
      <c r="AW2596" t="s">
        <v>82</v>
      </c>
      <c r="AX2596">
        <v>701</v>
      </c>
      <c r="AY2596" t="s">
        <v>81</v>
      </c>
      <c r="AZ2596">
        <v>-28.96</v>
      </c>
      <c r="BA2596">
        <v>-61.76</v>
      </c>
      <c r="BB2596" t="s">
        <v>83</v>
      </c>
    </row>
    <row r="2597" spans="1:54" x14ac:dyDescent="0.4">
      <c r="A2597">
        <v>1286080</v>
      </c>
      <c r="D2597" t="s">
        <v>54</v>
      </c>
      <c r="F2597" t="s">
        <v>719</v>
      </c>
      <c r="G2597">
        <v>1</v>
      </c>
      <c r="H2597" t="s">
        <v>84</v>
      </c>
      <c r="I2597" t="s">
        <v>57</v>
      </c>
      <c r="K2597" t="s">
        <v>141</v>
      </c>
      <c r="L2597" t="s">
        <v>4565</v>
      </c>
      <c r="M2597" t="s">
        <v>60</v>
      </c>
      <c r="O2597" t="s">
        <v>170</v>
      </c>
      <c r="P2597" t="s">
        <v>511</v>
      </c>
      <c r="R2597" t="s">
        <v>512</v>
      </c>
      <c r="S2597" t="s">
        <v>123</v>
      </c>
      <c r="T2597">
        <v>259.51</v>
      </c>
      <c r="U2597">
        <v>254.14</v>
      </c>
      <c r="V2597">
        <f t="shared" si="80"/>
        <v>256.82499999999999</v>
      </c>
      <c r="W2597">
        <f t="shared" si="81"/>
        <v>5.3700000000000045</v>
      </c>
      <c r="X2597">
        <v>22.433332</v>
      </c>
      <c r="Y2597">
        <v>-31.966667000000001</v>
      </c>
      <c r="Z2597" t="s">
        <v>124</v>
      </c>
      <c r="AA2597" t="s">
        <v>106</v>
      </c>
      <c r="AB2597" t="s">
        <v>334</v>
      </c>
      <c r="AC2597" t="s">
        <v>335</v>
      </c>
      <c r="AE2597" t="s">
        <v>110</v>
      </c>
      <c r="AG2597" t="s">
        <v>1764</v>
      </c>
      <c r="AH2597" t="s">
        <v>72</v>
      </c>
      <c r="AI2597" t="s">
        <v>621</v>
      </c>
      <c r="AJ2597">
        <v>1913</v>
      </c>
      <c r="AK2597" t="s">
        <v>4569</v>
      </c>
      <c r="AM2597" t="s">
        <v>4570</v>
      </c>
      <c r="AN2597" t="s">
        <v>192</v>
      </c>
      <c r="AO2597" t="s">
        <v>160</v>
      </c>
      <c r="AP2597" t="s">
        <v>359</v>
      </c>
      <c r="AQ2597" t="s">
        <v>4571</v>
      </c>
      <c r="AR2597" t="s">
        <v>80</v>
      </c>
      <c r="AS2597">
        <v>701</v>
      </c>
      <c r="AT2597" t="s">
        <v>81</v>
      </c>
      <c r="AU2597">
        <v>-20.5</v>
      </c>
      <c r="AV2597">
        <v>-50.59</v>
      </c>
      <c r="AW2597" t="s">
        <v>82</v>
      </c>
      <c r="AX2597">
        <v>701</v>
      </c>
      <c r="AY2597" t="s">
        <v>81</v>
      </c>
      <c r="AZ2597">
        <v>-30.38</v>
      </c>
      <c r="BA2597">
        <v>-60.14</v>
      </c>
      <c r="BB2597" t="s">
        <v>83</v>
      </c>
    </row>
    <row r="2598" spans="1:54" x14ac:dyDescent="0.4">
      <c r="A2598">
        <v>1286081</v>
      </c>
      <c r="D2598" t="s">
        <v>54</v>
      </c>
      <c r="G2598">
        <v>1</v>
      </c>
      <c r="H2598" t="s">
        <v>84</v>
      </c>
      <c r="I2598" t="s">
        <v>57</v>
      </c>
      <c r="K2598" t="s">
        <v>141</v>
      </c>
      <c r="L2598" t="s">
        <v>4565</v>
      </c>
      <c r="M2598" t="s">
        <v>60</v>
      </c>
      <c r="O2598" t="s">
        <v>170</v>
      </c>
      <c r="P2598" t="s">
        <v>511</v>
      </c>
      <c r="R2598" t="s">
        <v>512</v>
      </c>
      <c r="S2598" t="s">
        <v>123</v>
      </c>
      <c r="T2598">
        <v>259.51</v>
      </c>
      <c r="U2598">
        <v>254.14</v>
      </c>
      <c r="V2598">
        <f t="shared" si="80"/>
        <v>256.82499999999999</v>
      </c>
      <c r="W2598">
        <f t="shared" si="81"/>
        <v>5.3700000000000045</v>
      </c>
      <c r="X2598">
        <v>35.083331999999999</v>
      </c>
      <c r="Y2598">
        <v>-10.216666999999999</v>
      </c>
      <c r="Z2598" t="s">
        <v>124</v>
      </c>
      <c r="AA2598" t="s">
        <v>1366</v>
      </c>
      <c r="AB2598" t="s">
        <v>1367</v>
      </c>
      <c r="AC2598" t="s">
        <v>1368</v>
      </c>
      <c r="AD2598" t="s">
        <v>4463</v>
      </c>
      <c r="AG2598" t="s">
        <v>4572</v>
      </c>
      <c r="AH2598" t="s">
        <v>72</v>
      </c>
      <c r="AI2598" t="s">
        <v>621</v>
      </c>
      <c r="AJ2598">
        <v>1932</v>
      </c>
      <c r="AK2598" t="s">
        <v>4573</v>
      </c>
      <c r="AN2598" t="s">
        <v>192</v>
      </c>
      <c r="AO2598" t="s">
        <v>160</v>
      </c>
      <c r="AP2598" t="s">
        <v>115</v>
      </c>
      <c r="AR2598" t="s">
        <v>80</v>
      </c>
      <c r="AS2598">
        <v>701</v>
      </c>
      <c r="AT2598" t="s">
        <v>81</v>
      </c>
      <c r="AU2598">
        <v>15.93</v>
      </c>
      <c r="AV2598">
        <v>-45.33</v>
      </c>
      <c r="AW2598" t="s">
        <v>82</v>
      </c>
      <c r="AX2598">
        <v>709</v>
      </c>
      <c r="AY2598" t="s">
        <v>81</v>
      </c>
      <c r="AZ2598">
        <v>14.51</v>
      </c>
      <c r="BA2598">
        <v>-54.68</v>
      </c>
      <c r="BB2598" t="s">
        <v>83</v>
      </c>
    </row>
    <row r="2599" spans="1:54" x14ac:dyDescent="0.4">
      <c r="A2599">
        <v>1286092</v>
      </c>
      <c r="D2599" t="s">
        <v>54</v>
      </c>
      <c r="G2599">
        <v>1</v>
      </c>
      <c r="H2599" t="s">
        <v>84</v>
      </c>
      <c r="I2599" t="s">
        <v>57</v>
      </c>
      <c r="K2599" t="s">
        <v>141</v>
      </c>
      <c r="L2599" t="s">
        <v>4574</v>
      </c>
      <c r="M2599" t="s">
        <v>60</v>
      </c>
      <c r="O2599" t="s">
        <v>170</v>
      </c>
      <c r="P2599" t="s">
        <v>511</v>
      </c>
      <c r="R2599" t="s">
        <v>512</v>
      </c>
      <c r="S2599" t="s">
        <v>123</v>
      </c>
      <c r="T2599">
        <v>259.51</v>
      </c>
      <c r="U2599">
        <v>254.14</v>
      </c>
      <c r="V2599">
        <f t="shared" si="80"/>
        <v>256.82499999999999</v>
      </c>
      <c r="W2599">
        <f t="shared" si="81"/>
        <v>5.3700000000000045</v>
      </c>
      <c r="X2599">
        <v>24.424999</v>
      </c>
      <c r="Y2599">
        <v>-32.101391</v>
      </c>
      <c r="Z2599" t="s">
        <v>124</v>
      </c>
      <c r="AA2599" t="s">
        <v>106</v>
      </c>
      <c r="AB2599" t="s">
        <v>107</v>
      </c>
      <c r="AC2599" t="s">
        <v>4566</v>
      </c>
      <c r="AE2599" t="s">
        <v>110</v>
      </c>
      <c r="AG2599" t="s">
        <v>4464</v>
      </c>
      <c r="AH2599" t="s">
        <v>72</v>
      </c>
      <c r="AI2599" t="s">
        <v>2670</v>
      </c>
      <c r="AJ2599">
        <v>1997</v>
      </c>
      <c r="AK2599" t="s">
        <v>4575</v>
      </c>
      <c r="AM2599" t="s">
        <v>4576</v>
      </c>
      <c r="AN2599" t="s">
        <v>114</v>
      </c>
      <c r="AO2599" t="s">
        <v>77</v>
      </c>
      <c r="AP2599" t="s">
        <v>115</v>
      </c>
      <c r="AR2599" t="s">
        <v>80</v>
      </c>
      <c r="AS2599">
        <v>701</v>
      </c>
      <c r="AT2599" t="s">
        <v>81</v>
      </c>
      <c r="AU2599">
        <v>-19.38</v>
      </c>
      <c r="AV2599">
        <v>-52.13</v>
      </c>
      <c r="AW2599" t="s">
        <v>82</v>
      </c>
      <c r="AX2599">
        <v>701</v>
      </c>
      <c r="AY2599" t="s">
        <v>81</v>
      </c>
      <c r="AZ2599">
        <v>-29.32</v>
      </c>
      <c r="BA2599">
        <v>-61.75</v>
      </c>
      <c r="BB2599" t="s">
        <v>83</v>
      </c>
    </row>
    <row r="2600" spans="1:54" x14ac:dyDescent="0.4">
      <c r="A2600">
        <v>1286766</v>
      </c>
      <c r="D2600" t="s">
        <v>54</v>
      </c>
      <c r="I2600" t="s">
        <v>57</v>
      </c>
      <c r="K2600" t="s">
        <v>141</v>
      </c>
      <c r="L2600" t="s">
        <v>4578</v>
      </c>
      <c r="M2600" t="s">
        <v>60</v>
      </c>
      <c r="O2600" t="s">
        <v>170</v>
      </c>
      <c r="P2600" t="s">
        <v>511</v>
      </c>
      <c r="R2600" t="s">
        <v>512</v>
      </c>
      <c r="S2600" t="s">
        <v>123</v>
      </c>
      <c r="T2600">
        <v>259.51</v>
      </c>
      <c r="U2600">
        <v>254.14</v>
      </c>
      <c r="V2600">
        <f t="shared" si="80"/>
        <v>256.82499999999999</v>
      </c>
      <c r="W2600">
        <f t="shared" si="81"/>
        <v>5.3700000000000045</v>
      </c>
      <c r="X2600">
        <v>112.396103</v>
      </c>
      <c r="Y2600">
        <v>34.937598999999999</v>
      </c>
      <c r="Z2600" t="s">
        <v>124</v>
      </c>
      <c r="AA2600" t="s">
        <v>379</v>
      </c>
      <c r="AB2600" t="s">
        <v>4579</v>
      </c>
      <c r="AD2600" t="s">
        <v>4580</v>
      </c>
      <c r="AH2600" t="s">
        <v>72</v>
      </c>
      <c r="AI2600" t="s">
        <v>1810</v>
      </c>
      <c r="AJ2600">
        <v>2014</v>
      </c>
      <c r="AK2600" t="s">
        <v>4581</v>
      </c>
      <c r="AM2600" t="s">
        <v>4582</v>
      </c>
      <c r="AN2600" t="s">
        <v>114</v>
      </c>
      <c r="AO2600">
        <v>4</v>
      </c>
      <c r="AP2600" t="s">
        <v>78</v>
      </c>
      <c r="AQ2600" t="s">
        <v>4583</v>
      </c>
      <c r="AR2600" t="s">
        <v>80</v>
      </c>
      <c r="AS2600">
        <v>604</v>
      </c>
      <c r="AT2600" t="s">
        <v>81</v>
      </c>
      <c r="AU2600">
        <v>111.14</v>
      </c>
      <c r="AV2600">
        <v>9.11</v>
      </c>
      <c r="AW2600" t="s">
        <v>82</v>
      </c>
      <c r="AX2600">
        <v>604</v>
      </c>
      <c r="AY2600" t="s">
        <v>81</v>
      </c>
      <c r="AZ2600">
        <v>91.91</v>
      </c>
      <c r="BA2600">
        <v>26.37</v>
      </c>
      <c r="BB2600" t="s">
        <v>83</v>
      </c>
    </row>
    <row r="2601" spans="1:54" x14ac:dyDescent="0.4">
      <c r="A2601">
        <v>1286767</v>
      </c>
      <c r="D2601" t="s">
        <v>54</v>
      </c>
      <c r="I2601" t="s">
        <v>57</v>
      </c>
      <c r="K2601" t="s">
        <v>141</v>
      </c>
      <c r="L2601" t="s">
        <v>4578</v>
      </c>
      <c r="M2601" t="s">
        <v>60</v>
      </c>
      <c r="O2601" t="s">
        <v>170</v>
      </c>
      <c r="P2601" t="s">
        <v>511</v>
      </c>
      <c r="R2601" t="s">
        <v>512</v>
      </c>
      <c r="S2601" t="s">
        <v>123</v>
      </c>
      <c r="T2601">
        <v>259.51</v>
      </c>
      <c r="U2601">
        <v>254.14</v>
      </c>
      <c r="V2601">
        <f t="shared" si="80"/>
        <v>256.82499999999999</v>
      </c>
      <c r="W2601">
        <f t="shared" si="81"/>
        <v>5.3700000000000045</v>
      </c>
      <c r="X2601">
        <v>112.396103</v>
      </c>
      <c r="Y2601">
        <v>34.937598999999999</v>
      </c>
      <c r="Z2601" t="s">
        <v>124</v>
      </c>
      <c r="AA2601" t="s">
        <v>379</v>
      </c>
      <c r="AB2601" t="s">
        <v>4579</v>
      </c>
      <c r="AD2601" t="s">
        <v>4580</v>
      </c>
      <c r="AH2601" t="s">
        <v>72</v>
      </c>
      <c r="AI2601" t="s">
        <v>1810</v>
      </c>
      <c r="AJ2601">
        <v>2014</v>
      </c>
      <c r="AK2601" t="s">
        <v>4581</v>
      </c>
      <c r="AM2601" t="s">
        <v>4582</v>
      </c>
      <c r="AN2601" t="s">
        <v>114</v>
      </c>
      <c r="AO2601">
        <v>4</v>
      </c>
      <c r="AP2601" t="s">
        <v>78</v>
      </c>
      <c r="AQ2601" t="s">
        <v>4583</v>
      </c>
      <c r="AR2601" t="s">
        <v>80</v>
      </c>
      <c r="AS2601">
        <v>604</v>
      </c>
      <c r="AT2601" t="s">
        <v>81</v>
      </c>
      <c r="AU2601">
        <v>111.14</v>
      </c>
      <c r="AV2601">
        <v>9.11</v>
      </c>
      <c r="AW2601" t="s">
        <v>82</v>
      </c>
      <c r="AX2601">
        <v>604</v>
      </c>
      <c r="AY2601" t="s">
        <v>81</v>
      </c>
      <c r="AZ2601">
        <v>91.91</v>
      </c>
      <c r="BA2601">
        <v>26.37</v>
      </c>
      <c r="BB2601" t="s">
        <v>83</v>
      </c>
    </row>
    <row r="2602" spans="1:54" x14ac:dyDescent="0.4">
      <c r="A2602">
        <v>1286768</v>
      </c>
      <c r="D2602" t="s">
        <v>54</v>
      </c>
      <c r="I2602" t="s">
        <v>57</v>
      </c>
      <c r="K2602" t="s">
        <v>141</v>
      </c>
      <c r="L2602" t="s">
        <v>4578</v>
      </c>
      <c r="M2602" t="s">
        <v>60</v>
      </c>
      <c r="O2602" t="s">
        <v>170</v>
      </c>
      <c r="P2602" t="s">
        <v>511</v>
      </c>
      <c r="R2602" t="s">
        <v>512</v>
      </c>
      <c r="S2602" t="s">
        <v>123</v>
      </c>
      <c r="T2602">
        <v>259.51</v>
      </c>
      <c r="U2602">
        <v>254.14</v>
      </c>
      <c r="V2602">
        <f t="shared" si="80"/>
        <v>256.82499999999999</v>
      </c>
      <c r="W2602">
        <f t="shared" si="81"/>
        <v>5.3700000000000045</v>
      </c>
      <c r="X2602">
        <v>112.396103</v>
      </c>
      <c r="Y2602">
        <v>34.937598999999999</v>
      </c>
      <c r="Z2602" t="s">
        <v>124</v>
      </c>
      <c r="AA2602" t="s">
        <v>379</v>
      </c>
      <c r="AB2602" t="s">
        <v>4579</v>
      </c>
      <c r="AD2602" t="s">
        <v>4580</v>
      </c>
      <c r="AH2602" t="s">
        <v>72</v>
      </c>
      <c r="AI2602" t="s">
        <v>1810</v>
      </c>
      <c r="AJ2602">
        <v>2014</v>
      </c>
      <c r="AK2602" t="s">
        <v>4581</v>
      </c>
      <c r="AM2602" t="s">
        <v>4582</v>
      </c>
      <c r="AN2602" t="s">
        <v>114</v>
      </c>
      <c r="AO2602">
        <v>4</v>
      </c>
      <c r="AP2602" t="s">
        <v>78</v>
      </c>
      <c r="AQ2602" t="s">
        <v>4583</v>
      </c>
      <c r="AR2602" t="s">
        <v>80</v>
      </c>
      <c r="AS2602">
        <v>604</v>
      </c>
      <c r="AT2602" t="s">
        <v>81</v>
      </c>
      <c r="AU2602">
        <v>111.14</v>
      </c>
      <c r="AV2602">
        <v>9.11</v>
      </c>
      <c r="AW2602" t="s">
        <v>82</v>
      </c>
      <c r="AX2602">
        <v>604</v>
      </c>
      <c r="AY2602" t="s">
        <v>81</v>
      </c>
      <c r="AZ2602">
        <v>91.91</v>
      </c>
      <c r="BA2602">
        <v>26.37</v>
      </c>
      <c r="BB2602" t="s">
        <v>83</v>
      </c>
    </row>
    <row r="2603" spans="1:54" x14ac:dyDescent="0.4">
      <c r="A2603">
        <v>1304554</v>
      </c>
      <c r="D2603" t="s">
        <v>54</v>
      </c>
      <c r="I2603" t="s">
        <v>57</v>
      </c>
      <c r="K2603" t="s">
        <v>141</v>
      </c>
      <c r="L2603" t="s">
        <v>4542</v>
      </c>
      <c r="M2603" t="s">
        <v>60</v>
      </c>
      <c r="O2603" t="s">
        <v>170</v>
      </c>
      <c r="P2603" t="s">
        <v>511</v>
      </c>
      <c r="R2603" t="s">
        <v>512</v>
      </c>
      <c r="S2603" t="s">
        <v>123</v>
      </c>
      <c r="T2603">
        <v>259.51</v>
      </c>
      <c r="U2603">
        <v>254.14</v>
      </c>
      <c r="V2603">
        <f t="shared" si="80"/>
        <v>256.82499999999999</v>
      </c>
      <c r="W2603">
        <f t="shared" si="81"/>
        <v>5.3700000000000045</v>
      </c>
      <c r="X2603">
        <v>22.014444000000001</v>
      </c>
      <c r="Y2603">
        <v>-32.147778000000002</v>
      </c>
      <c r="Z2603" t="s">
        <v>886</v>
      </c>
      <c r="AA2603" t="s">
        <v>106</v>
      </c>
      <c r="AB2603" t="s">
        <v>334</v>
      </c>
      <c r="AC2603" t="s">
        <v>335</v>
      </c>
      <c r="AD2603" t="s">
        <v>1654</v>
      </c>
      <c r="AE2603" t="s">
        <v>110</v>
      </c>
      <c r="AG2603" t="s">
        <v>4603</v>
      </c>
      <c r="AH2603" t="s">
        <v>72</v>
      </c>
      <c r="AI2603" t="s">
        <v>3650</v>
      </c>
      <c r="AJ2603">
        <v>1977</v>
      </c>
      <c r="AK2603" t="s">
        <v>4604</v>
      </c>
      <c r="AM2603" t="s">
        <v>4605</v>
      </c>
      <c r="AO2603" t="s">
        <v>77</v>
      </c>
      <c r="AP2603" t="s">
        <v>78</v>
      </c>
      <c r="AQ2603" t="s">
        <v>4606</v>
      </c>
      <c r="AR2603" t="s">
        <v>80</v>
      </c>
      <c r="AS2603">
        <v>701</v>
      </c>
      <c r="AT2603" t="s">
        <v>81</v>
      </c>
      <c r="AU2603">
        <v>-21.02</v>
      </c>
      <c r="AV2603">
        <v>-50.36</v>
      </c>
      <c r="AW2603" t="s">
        <v>82</v>
      </c>
      <c r="AX2603">
        <v>701</v>
      </c>
      <c r="AY2603" t="s">
        <v>81</v>
      </c>
      <c r="AZ2603">
        <v>-30.99</v>
      </c>
      <c r="BA2603">
        <v>-59.88</v>
      </c>
      <c r="BB2603" t="s">
        <v>83</v>
      </c>
    </row>
    <row r="2604" spans="1:54" x14ac:dyDescent="0.4">
      <c r="A2604">
        <v>1315262</v>
      </c>
      <c r="D2604" t="s">
        <v>54</v>
      </c>
      <c r="I2604" t="s">
        <v>57</v>
      </c>
      <c r="K2604" t="s">
        <v>141</v>
      </c>
      <c r="L2604" t="s">
        <v>4565</v>
      </c>
      <c r="M2604" t="s">
        <v>60</v>
      </c>
      <c r="O2604" t="s">
        <v>170</v>
      </c>
      <c r="P2604" t="s">
        <v>511</v>
      </c>
      <c r="R2604" t="s">
        <v>512</v>
      </c>
      <c r="S2604" t="s">
        <v>123</v>
      </c>
      <c r="T2604">
        <v>259.51</v>
      </c>
      <c r="U2604">
        <v>254.14</v>
      </c>
      <c r="V2604">
        <f t="shared" si="80"/>
        <v>256.82499999999999</v>
      </c>
      <c r="W2604">
        <f t="shared" si="81"/>
        <v>5.3700000000000045</v>
      </c>
      <c r="X2604">
        <v>24.554167</v>
      </c>
      <c r="Y2604">
        <v>-32.159999999999997</v>
      </c>
      <c r="Z2604" t="s">
        <v>124</v>
      </c>
      <c r="AA2604" t="s">
        <v>106</v>
      </c>
      <c r="AB2604" t="s">
        <v>107</v>
      </c>
      <c r="AC2604" t="s">
        <v>4566</v>
      </c>
      <c r="AD2604" t="s">
        <v>1603</v>
      </c>
      <c r="AE2604" t="s">
        <v>110</v>
      </c>
      <c r="AF2604" t="s">
        <v>4672</v>
      </c>
      <c r="AG2604" t="s">
        <v>4464</v>
      </c>
      <c r="AH2604" t="s">
        <v>72</v>
      </c>
      <c r="AI2604" t="s">
        <v>3650</v>
      </c>
      <c r="AJ2604">
        <v>1977</v>
      </c>
      <c r="AK2604" t="s">
        <v>4673</v>
      </c>
      <c r="AN2604" t="s">
        <v>114</v>
      </c>
      <c r="AO2604" t="s">
        <v>77</v>
      </c>
      <c r="AP2604" t="s">
        <v>78</v>
      </c>
      <c r="AQ2604" t="s">
        <v>4674</v>
      </c>
      <c r="AR2604" t="s">
        <v>80</v>
      </c>
      <c r="AS2604">
        <v>701</v>
      </c>
      <c r="AT2604" t="s">
        <v>81</v>
      </c>
      <c r="AU2604">
        <v>-19.38</v>
      </c>
      <c r="AV2604">
        <v>-52.25</v>
      </c>
      <c r="AW2604" t="s">
        <v>82</v>
      </c>
      <c r="AX2604">
        <v>701</v>
      </c>
      <c r="AY2604" t="s">
        <v>81</v>
      </c>
      <c r="AZ2604">
        <v>-29.35</v>
      </c>
      <c r="BA2604">
        <v>-61.87</v>
      </c>
      <c r="BB2604" t="s">
        <v>83</v>
      </c>
    </row>
    <row r="2605" spans="1:54" x14ac:dyDescent="0.4">
      <c r="A2605">
        <v>1317315</v>
      </c>
      <c r="D2605" t="s">
        <v>54</v>
      </c>
      <c r="F2605" t="s">
        <v>719</v>
      </c>
      <c r="I2605" t="s">
        <v>57</v>
      </c>
      <c r="K2605" t="s">
        <v>141</v>
      </c>
      <c r="L2605" t="s">
        <v>574</v>
      </c>
      <c r="M2605" t="s">
        <v>60</v>
      </c>
      <c r="O2605" t="s">
        <v>170</v>
      </c>
      <c r="P2605" t="s">
        <v>511</v>
      </c>
      <c r="R2605" t="s">
        <v>512</v>
      </c>
      <c r="S2605" t="s">
        <v>123</v>
      </c>
      <c r="T2605">
        <v>259.51</v>
      </c>
      <c r="U2605">
        <v>254.14</v>
      </c>
      <c r="V2605">
        <f t="shared" si="80"/>
        <v>256.82499999999999</v>
      </c>
      <c r="W2605">
        <f t="shared" si="81"/>
        <v>5.3700000000000045</v>
      </c>
      <c r="X2605">
        <v>22.433332</v>
      </c>
      <c r="Y2605">
        <v>-31.966667000000001</v>
      </c>
      <c r="Z2605" t="s">
        <v>124</v>
      </c>
      <c r="AA2605" t="s">
        <v>106</v>
      </c>
      <c r="AB2605" t="s">
        <v>334</v>
      </c>
      <c r="AC2605" t="s">
        <v>335</v>
      </c>
      <c r="AE2605" t="s">
        <v>110</v>
      </c>
      <c r="AG2605" t="s">
        <v>1764</v>
      </c>
      <c r="AH2605" t="s">
        <v>72</v>
      </c>
      <c r="AI2605" t="s">
        <v>3650</v>
      </c>
      <c r="AJ2605">
        <v>1977</v>
      </c>
      <c r="AK2605" t="s">
        <v>4569</v>
      </c>
      <c r="AM2605" t="s">
        <v>4570</v>
      </c>
      <c r="AN2605" t="s">
        <v>192</v>
      </c>
      <c r="AO2605" t="s">
        <v>160</v>
      </c>
      <c r="AP2605" t="s">
        <v>359</v>
      </c>
      <c r="AQ2605" t="s">
        <v>4571</v>
      </c>
      <c r="AR2605" t="s">
        <v>80</v>
      </c>
      <c r="AS2605">
        <v>701</v>
      </c>
      <c r="AT2605" t="s">
        <v>81</v>
      </c>
      <c r="AU2605">
        <v>-20.5</v>
      </c>
      <c r="AV2605">
        <v>-50.59</v>
      </c>
      <c r="AW2605" t="s">
        <v>82</v>
      </c>
      <c r="AX2605">
        <v>701</v>
      </c>
      <c r="AY2605" t="s">
        <v>81</v>
      </c>
      <c r="AZ2605">
        <v>-30.38</v>
      </c>
      <c r="BA2605">
        <v>-60.14</v>
      </c>
      <c r="BB2605" t="s">
        <v>83</v>
      </c>
    </row>
    <row r="2606" spans="1:54" x14ac:dyDescent="0.4">
      <c r="A2606">
        <v>1317316</v>
      </c>
      <c r="D2606" t="s">
        <v>54</v>
      </c>
      <c r="F2606" t="s">
        <v>719</v>
      </c>
      <c r="I2606" t="s">
        <v>57</v>
      </c>
      <c r="K2606" t="s">
        <v>141</v>
      </c>
      <c r="L2606" t="s">
        <v>4542</v>
      </c>
      <c r="M2606" t="s">
        <v>60</v>
      </c>
      <c r="O2606" t="s">
        <v>170</v>
      </c>
      <c r="P2606" t="s">
        <v>511</v>
      </c>
      <c r="R2606" t="s">
        <v>512</v>
      </c>
      <c r="S2606" t="s">
        <v>123</v>
      </c>
      <c r="T2606">
        <v>259.51</v>
      </c>
      <c r="U2606">
        <v>254.14</v>
      </c>
      <c r="V2606">
        <f t="shared" si="80"/>
        <v>256.82499999999999</v>
      </c>
      <c r="W2606">
        <f t="shared" si="81"/>
        <v>5.3700000000000045</v>
      </c>
      <c r="X2606">
        <v>22.433332</v>
      </c>
      <c r="Y2606">
        <v>-31.966667000000001</v>
      </c>
      <c r="Z2606" t="s">
        <v>124</v>
      </c>
      <c r="AA2606" t="s">
        <v>106</v>
      </c>
      <c r="AB2606" t="s">
        <v>334</v>
      </c>
      <c r="AC2606" t="s">
        <v>335</v>
      </c>
      <c r="AE2606" t="s">
        <v>110</v>
      </c>
      <c r="AG2606" t="s">
        <v>1764</v>
      </c>
      <c r="AH2606" t="s">
        <v>72</v>
      </c>
      <c r="AI2606" t="s">
        <v>3650</v>
      </c>
      <c r="AJ2606">
        <v>1977</v>
      </c>
      <c r="AK2606" t="s">
        <v>4569</v>
      </c>
      <c r="AM2606" t="s">
        <v>4570</v>
      </c>
      <c r="AN2606" t="s">
        <v>192</v>
      </c>
      <c r="AO2606" t="s">
        <v>160</v>
      </c>
      <c r="AP2606" t="s">
        <v>359</v>
      </c>
      <c r="AQ2606" t="s">
        <v>4571</v>
      </c>
      <c r="AR2606" t="s">
        <v>80</v>
      </c>
      <c r="AS2606">
        <v>701</v>
      </c>
      <c r="AT2606" t="s">
        <v>81</v>
      </c>
      <c r="AU2606">
        <v>-20.5</v>
      </c>
      <c r="AV2606">
        <v>-50.59</v>
      </c>
      <c r="AW2606" t="s">
        <v>82</v>
      </c>
      <c r="AX2606">
        <v>701</v>
      </c>
      <c r="AY2606" t="s">
        <v>81</v>
      </c>
      <c r="AZ2606">
        <v>-30.38</v>
      </c>
      <c r="BA2606">
        <v>-60.14</v>
      </c>
      <c r="BB2606" t="s">
        <v>83</v>
      </c>
    </row>
    <row r="2607" spans="1:54" x14ac:dyDescent="0.4">
      <c r="A2607">
        <v>1332746</v>
      </c>
      <c r="D2607" t="s">
        <v>54</v>
      </c>
      <c r="G2607">
        <v>1</v>
      </c>
      <c r="H2607" t="s">
        <v>56</v>
      </c>
      <c r="I2607" t="s">
        <v>57</v>
      </c>
      <c r="K2607" t="s">
        <v>141</v>
      </c>
      <c r="L2607" t="s">
        <v>4542</v>
      </c>
      <c r="M2607" t="s">
        <v>60</v>
      </c>
      <c r="O2607" t="s">
        <v>170</v>
      </c>
      <c r="P2607" t="s">
        <v>511</v>
      </c>
      <c r="R2607" t="s">
        <v>512</v>
      </c>
      <c r="S2607" t="s">
        <v>123</v>
      </c>
      <c r="T2607">
        <v>259.51</v>
      </c>
      <c r="U2607">
        <v>254.14</v>
      </c>
      <c r="V2607">
        <f t="shared" si="80"/>
        <v>256.82499999999999</v>
      </c>
      <c r="W2607">
        <f t="shared" si="81"/>
        <v>5.3700000000000045</v>
      </c>
      <c r="X2607">
        <v>24.424999</v>
      </c>
      <c r="Y2607">
        <v>-32.101391</v>
      </c>
      <c r="Z2607" t="s">
        <v>124</v>
      </c>
      <c r="AA2607" t="s">
        <v>106</v>
      </c>
      <c r="AB2607" t="s">
        <v>107</v>
      </c>
      <c r="AC2607" t="s">
        <v>4566</v>
      </c>
      <c r="AE2607" t="s">
        <v>110</v>
      </c>
      <c r="AG2607" t="s">
        <v>4464</v>
      </c>
      <c r="AH2607" t="s">
        <v>72</v>
      </c>
      <c r="AI2607" t="s">
        <v>111</v>
      </c>
      <c r="AJ2607">
        <v>1940</v>
      </c>
      <c r="AK2607" t="s">
        <v>4575</v>
      </c>
      <c r="AM2607" t="s">
        <v>4576</v>
      </c>
      <c r="AN2607" t="s">
        <v>114</v>
      </c>
      <c r="AO2607" t="s">
        <v>77</v>
      </c>
      <c r="AP2607" t="s">
        <v>115</v>
      </c>
      <c r="AR2607" t="s">
        <v>80</v>
      </c>
      <c r="AS2607">
        <v>701</v>
      </c>
      <c r="AT2607" t="s">
        <v>81</v>
      </c>
      <c r="AU2607">
        <v>-19.38</v>
      </c>
      <c r="AV2607">
        <v>-52.13</v>
      </c>
      <c r="AW2607" t="s">
        <v>82</v>
      </c>
      <c r="AX2607">
        <v>701</v>
      </c>
      <c r="AY2607" t="s">
        <v>81</v>
      </c>
      <c r="AZ2607">
        <v>-29.32</v>
      </c>
      <c r="BA2607">
        <v>-61.75</v>
      </c>
      <c r="BB2607" t="s">
        <v>83</v>
      </c>
    </row>
    <row r="2608" spans="1:54" x14ac:dyDescent="0.4">
      <c r="A2608">
        <v>1337217</v>
      </c>
      <c r="D2608" t="s">
        <v>54</v>
      </c>
      <c r="I2608" t="s">
        <v>57</v>
      </c>
      <c r="K2608" t="s">
        <v>141</v>
      </c>
      <c r="L2608" t="s">
        <v>4542</v>
      </c>
      <c r="M2608" t="s">
        <v>60</v>
      </c>
      <c r="O2608" t="s">
        <v>170</v>
      </c>
      <c r="P2608" t="s">
        <v>511</v>
      </c>
      <c r="R2608" t="s">
        <v>512</v>
      </c>
      <c r="S2608" t="s">
        <v>123</v>
      </c>
      <c r="T2608">
        <v>259.51</v>
      </c>
      <c r="U2608">
        <v>254.14</v>
      </c>
      <c r="V2608">
        <f t="shared" si="80"/>
        <v>256.82499999999999</v>
      </c>
      <c r="W2608">
        <f t="shared" si="81"/>
        <v>5.3700000000000045</v>
      </c>
      <c r="X2608">
        <v>24.533332999999999</v>
      </c>
      <c r="Y2608">
        <v>-32.25</v>
      </c>
      <c r="Z2608" t="s">
        <v>124</v>
      </c>
      <c r="AA2608" t="s">
        <v>106</v>
      </c>
      <c r="AB2608" t="s">
        <v>107</v>
      </c>
      <c r="AD2608" t="s">
        <v>1984</v>
      </c>
      <c r="AE2608" t="s">
        <v>110</v>
      </c>
      <c r="AG2608" t="s">
        <v>1800</v>
      </c>
      <c r="AH2608" t="s">
        <v>72</v>
      </c>
      <c r="AI2608" t="s">
        <v>3650</v>
      </c>
      <c r="AJ2608">
        <v>1977</v>
      </c>
      <c r="AK2608" t="s">
        <v>1986</v>
      </c>
      <c r="AN2608" t="s">
        <v>114</v>
      </c>
      <c r="AO2608" t="s">
        <v>160</v>
      </c>
      <c r="AP2608" t="s">
        <v>230</v>
      </c>
      <c r="AQ2608" t="s">
        <v>1987</v>
      </c>
      <c r="AR2608" t="s">
        <v>80</v>
      </c>
      <c r="AS2608">
        <v>701</v>
      </c>
      <c r="AT2608" t="s">
        <v>81</v>
      </c>
      <c r="AU2608">
        <v>-19.52</v>
      </c>
      <c r="AV2608">
        <v>-52.28</v>
      </c>
      <c r="AW2608" t="s">
        <v>82</v>
      </c>
      <c r="AX2608">
        <v>701</v>
      </c>
      <c r="AY2608" t="s">
        <v>81</v>
      </c>
      <c r="AZ2608">
        <v>-29.54</v>
      </c>
      <c r="BA2608">
        <v>-61.89</v>
      </c>
      <c r="BB2608" t="s">
        <v>83</v>
      </c>
    </row>
    <row r="2609" spans="1:54" x14ac:dyDescent="0.4">
      <c r="A2609">
        <v>1337218</v>
      </c>
      <c r="D2609" t="s">
        <v>54</v>
      </c>
      <c r="I2609" t="s">
        <v>57</v>
      </c>
      <c r="K2609" t="s">
        <v>1630</v>
      </c>
      <c r="L2609" t="s">
        <v>1637</v>
      </c>
      <c r="M2609" t="s">
        <v>60</v>
      </c>
      <c r="P2609" t="s">
        <v>511</v>
      </c>
      <c r="R2609" t="s">
        <v>512</v>
      </c>
      <c r="S2609" t="s">
        <v>123</v>
      </c>
      <c r="T2609">
        <v>259.51</v>
      </c>
      <c r="U2609">
        <v>254.14</v>
      </c>
      <c r="V2609">
        <f t="shared" si="80"/>
        <v>256.82499999999999</v>
      </c>
      <c r="W2609">
        <f t="shared" si="81"/>
        <v>5.3700000000000045</v>
      </c>
      <c r="X2609">
        <v>24.533332999999999</v>
      </c>
      <c r="Y2609">
        <v>-32.25</v>
      </c>
      <c r="Z2609" t="s">
        <v>124</v>
      </c>
      <c r="AA2609" t="s">
        <v>106</v>
      </c>
      <c r="AB2609" t="s">
        <v>107</v>
      </c>
      <c r="AD2609" t="s">
        <v>1984</v>
      </c>
      <c r="AE2609" t="s">
        <v>110</v>
      </c>
      <c r="AG2609" t="s">
        <v>1800</v>
      </c>
      <c r="AH2609" t="s">
        <v>72</v>
      </c>
      <c r="AI2609" t="s">
        <v>3650</v>
      </c>
      <c r="AJ2609">
        <v>1977</v>
      </c>
      <c r="AK2609" t="s">
        <v>1986</v>
      </c>
      <c r="AN2609" t="s">
        <v>114</v>
      </c>
      <c r="AO2609" t="s">
        <v>160</v>
      </c>
      <c r="AP2609" t="s">
        <v>230</v>
      </c>
      <c r="AQ2609" t="s">
        <v>1987</v>
      </c>
      <c r="AR2609" t="s">
        <v>80</v>
      </c>
      <c r="AS2609">
        <v>701</v>
      </c>
      <c r="AT2609" t="s">
        <v>81</v>
      </c>
      <c r="AU2609">
        <v>-19.52</v>
      </c>
      <c r="AV2609">
        <v>-52.28</v>
      </c>
      <c r="AW2609" t="s">
        <v>82</v>
      </c>
      <c r="AX2609">
        <v>701</v>
      </c>
      <c r="AY2609" t="s">
        <v>81</v>
      </c>
      <c r="AZ2609">
        <v>-29.54</v>
      </c>
      <c r="BA2609">
        <v>-61.89</v>
      </c>
      <c r="BB2609" t="s">
        <v>83</v>
      </c>
    </row>
    <row r="2610" spans="1:54" x14ac:dyDescent="0.4">
      <c r="A2610">
        <v>1337453</v>
      </c>
      <c r="D2610" t="s">
        <v>54</v>
      </c>
      <c r="I2610" t="s">
        <v>57</v>
      </c>
      <c r="K2610" t="s">
        <v>141</v>
      </c>
      <c r="L2610" t="s">
        <v>4542</v>
      </c>
      <c r="M2610" t="s">
        <v>60</v>
      </c>
      <c r="O2610" t="s">
        <v>170</v>
      </c>
      <c r="P2610" t="s">
        <v>511</v>
      </c>
      <c r="R2610" t="s">
        <v>512</v>
      </c>
      <c r="S2610" t="s">
        <v>123</v>
      </c>
      <c r="T2610">
        <v>259.51</v>
      </c>
      <c r="U2610">
        <v>254.14</v>
      </c>
      <c r="V2610">
        <f t="shared" si="80"/>
        <v>256.82499999999999</v>
      </c>
      <c r="W2610">
        <f t="shared" si="81"/>
        <v>5.3700000000000045</v>
      </c>
      <c r="X2610">
        <v>23.771944000000001</v>
      </c>
      <c r="Y2610">
        <v>-31.945833</v>
      </c>
      <c r="Z2610" t="s">
        <v>124</v>
      </c>
      <c r="AA2610" t="s">
        <v>106</v>
      </c>
      <c r="AB2610" t="s">
        <v>334</v>
      </c>
      <c r="AC2610" t="s">
        <v>4607</v>
      </c>
      <c r="AE2610" t="s">
        <v>110</v>
      </c>
      <c r="AG2610" t="s">
        <v>4464</v>
      </c>
      <c r="AH2610" t="s">
        <v>72</v>
      </c>
      <c r="AI2610" t="s">
        <v>3650</v>
      </c>
      <c r="AJ2610">
        <v>1977</v>
      </c>
      <c r="AK2610" t="s">
        <v>4723</v>
      </c>
      <c r="AN2610" t="s">
        <v>114</v>
      </c>
      <c r="AO2610" t="s">
        <v>77</v>
      </c>
      <c r="AR2610" t="s">
        <v>80</v>
      </c>
      <c r="AS2610">
        <v>701</v>
      </c>
      <c r="AT2610" t="s">
        <v>81</v>
      </c>
      <c r="AU2610">
        <v>-19.59</v>
      </c>
      <c r="AV2610">
        <v>-51.57</v>
      </c>
      <c r="AW2610" t="s">
        <v>82</v>
      </c>
      <c r="AX2610">
        <v>701</v>
      </c>
      <c r="AY2610" t="s">
        <v>81</v>
      </c>
      <c r="AZ2610">
        <v>-29.46</v>
      </c>
      <c r="BA2610">
        <v>-61.18</v>
      </c>
      <c r="BB2610" t="s">
        <v>83</v>
      </c>
    </row>
    <row r="2611" spans="1:54" x14ac:dyDescent="0.4">
      <c r="A2611">
        <v>1358998</v>
      </c>
      <c r="D2611" t="s">
        <v>179</v>
      </c>
      <c r="G2611">
        <v>1</v>
      </c>
      <c r="H2611" t="s">
        <v>56</v>
      </c>
      <c r="I2611" t="s">
        <v>57</v>
      </c>
      <c r="K2611" t="s">
        <v>141</v>
      </c>
      <c r="L2611" t="s">
        <v>4542</v>
      </c>
      <c r="M2611" t="s">
        <v>60</v>
      </c>
      <c r="O2611" t="s">
        <v>170</v>
      </c>
      <c r="P2611" t="s">
        <v>511</v>
      </c>
      <c r="R2611" t="s">
        <v>512</v>
      </c>
      <c r="S2611" t="s">
        <v>123</v>
      </c>
      <c r="T2611">
        <v>259.51</v>
      </c>
      <c r="U2611">
        <v>254.14</v>
      </c>
      <c r="V2611">
        <f t="shared" si="80"/>
        <v>256.82499999999999</v>
      </c>
      <c r="W2611">
        <f t="shared" si="81"/>
        <v>5.3700000000000045</v>
      </c>
      <c r="X2611">
        <v>32.966667000000001</v>
      </c>
      <c r="Y2611">
        <v>-10.566667000000001</v>
      </c>
      <c r="Z2611" t="s">
        <v>124</v>
      </c>
      <c r="AA2611" t="s">
        <v>1796</v>
      </c>
      <c r="AD2611" t="s">
        <v>1799</v>
      </c>
      <c r="AF2611" t="s">
        <v>1188</v>
      </c>
      <c r="AG2611" t="s">
        <v>4464</v>
      </c>
      <c r="AH2611" t="s">
        <v>72</v>
      </c>
      <c r="AI2611" t="s">
        <v>4813</v>
      </c>
      <c r="AJ2611">
        <v>1938</v>
      </c>
      <c r="AK2611" t="s">
        <v>4814</v>
      </c>
      <c r="AN2611" t="s">
        <v>192</v>
      </c>
      <c r="AO2611" t="s">
        <v>160</v>
      </c>
      <c r="AP2611" t="s">
        <v>359</v>
      </c>
      <c r="AR2611" t="s">
        <v>80</v>
      </c>
      <c r="AS2611">
        <v>701</v>
      </c>
      <c r="AT2611" t="s">
        <v>81</v>
      </c>
      <c r="AU2611">
        <v>13.34</v>
      </c>
      <c r="AV2611">
        <v>-44.29</v>
      </c>
      <c r="AW2611" t="s">
        <v>82</v>
      </c>
      <c r="AX2611">
        <v>701</v>
      </c>
      <c r="AY2611" t="s">
        <v>81</v>
      </c>
      <c r="AZ2611">
        <v>12.36</v>
      </c>
      <c r="BA2611">
        <v>-54.12</v>
      </c>
      <c r="BB2611" t="s">
        <v>83</v>
      </c>
    </row>
    <row r="2612" spans="1:54" x14ac:dyDescent="0.4">
      <c r="A2612">
        <v>1386980</v>
      </c>
      <c r="D2612" t="s">
        <v>54</v>
      </c>
      <c r="G2612">
        <v>1</v>
      </c>
      <c r="H2612" t="s">
        <v>56</v>
      </c>
      <c r="I2612" t="s">
        <v>57</v>
      </c>
      <c r="K2612" t="s">
        <v>141</v>
      </c>
      <c r="L2612" t="s">
        <v>4542</v>
      </c>
      <c r="M2612" t="s">
        <v>60</v>
      </c>
      <c r="O2612" t="s">
        <v>170</v>
      </c>
      <c r="P2612" t="s">
        <v>511</v>
      </c>
      <c r="R2612" t="s">
        <v>512</v>
      </c>
      <c r="S2612" t="s">
        <v>123</v>
      </c>
      <c r="T2612">
        <v>259.51</v>
      </c>
      <c r="U2612">
        <v>254.14</v>
      </c>
      <c r="V2612">
        <f t="shared" si="80"/>
        <v>256.82499999999999</v>
      </c>
      <c r="W2612">
        <f t="shared" si="81"/>
        <v>5.3700000000000045</v>
      </c>
      <c r="X2612">
        <v>21.689722</v>
      </c>
      <c r="Y2612">
        <v>-31.974167000000001</v>
      </c>
      <c r="Z2612" t="s">
        <v>124</v>
      </c>
      <c r="AA2612" t="s">
        <v>106</v>
      </c>
      <c r="AB2612" t="s">
        <v>575</v>
      </c>
      <c r="AD2612" t="s">
        <v>1654</v>
      </c>
      <c r="AE2612" t="s">
        <v>110</v>
      </c>
      <c r="AF2612" t="s">
        <v>4892</v>
      </c>
      <c r="AG2612" t="s">
        <v>4464</v>
      </c>
      <c r="AH2612" t="s">
        <v>11</v>
      </c>
      <c r="AI2612" t="s">
        <v>4893</v>
      </c>
      <c r="AJ2612">
        <v>2017</v>
      </c>
      <c r="AK2612" t="s">
        <v>4894</v>
      </c>
      <c r="AN2612" t="s">
        <v>192</v>
      </c>
      <c r="AO2612" t="s">
        <v>77</v>
      </c>
      <c r="AP2612" t="s">
        <v>78</v>
      </c>
      <c r="AR2612" t="s">
        <v>80</v>
      </c>
      <c r="AS2612">
        <v>701</v>
      </c>
      <c r="AT2612" t="s">
        <v>81</v>
      </c>
      <c r="AU2612">
        <v>-20.99</v>
      </c>
      <c r="AV2612">
        <v>-50.04</v>
      </c>
      <c r="AW2612" t="s">
        <v>82</v>
      </c>
      <c r="AX2612">
        <v>701</v>
      </c>
      <c r="AY2612" t="s">
        <v>81</v>
      </c>
      <c r="AZ2612">
        <v>-30.88</v>
      </c>
      <c r="BA2612">
        <v>-59.56</v>
      </c>
      <c r="BB2612" t="s">
        <v>83</v>
      </c>
    </row>
    <row r="2613" spans="1:54" x14ac:dyDescent="0.4">
      <c r="A2613">
        <v>1417195</v>
      </c>
      <c r="D2613" t="s">
        <v>54</v>
      </c>
      <c r="I2613" t="s">
        <v>57</v>
      </c>
      <c r="K2613" t="s">
        <v>1504</v>
      </c>
      <c r="L2613" t="s">
        <v>5134</v>
      </c>
      <c r="M2613" t="s">
        <v>60</v>
      </c>
      <c r="P2613" t="s">
        <v>511</v>
      </c>
      <c r="R2613" t="s">
        <v>512</v>
      </c>
      <c r="S2613" t="s">
        <v>123</v>
      </c>
      <c r="T2613">
        <v>259.51</v>
      </c>
      <c r="U2613">
        <v>254.14</v>
      </c>
      <c r="V2613">
        <f t="shared" si="80"/>
        <v>256.82499999999999</v>
      </c>
      <c r="W2613">
        <f t="shared" si="81"/>
        <v>5.3700000000000045</v>
      </c>
      <c r="X2613">
        <v>11.516667</v>
      </c>
      <c r="Y2613">
        <v>51.516666000000001</v>
      </c>
      <c r="Z2613" t="s">
        <v>1890</v>
      </c>
      <c r="AA2613" t="s">
        <v>211</v>
      </c>
      <c r="AB2613" t="s">
        <v>1891</v>
      </c>
      <c r="AC2613" t="s">
        <v>1892</v>
      </c>
      <c r="AD2613" t="s">
        <v>1785</v>
      </c>
      <c r="AE2613" t="s">
        <v>1508</v>
      </c>
      <c r="AF2613" t="s">
        <v>1893</v>
      </c>
      <c r="AH2613" t="s">
        <v>72</v>
      </c>
      <c r="AI2613" t="s">
        <v>1886</v>
      </c>
      <c r="AJ2613">
        <v>2015</v>
      </c>
      <c r="AK2613" t="s">
        <v>1895</v>
      </c>
      <c r="AM2613" t="s">
        <v>1896</v>
      </c>
      <c r="AN2613" t="s">
        <v>114</v>
      </c>
      <c r="AO2613" t="s">
        <v>160</v>
      </c>
      <c r="AP2613" t="s">
        <v>359</v>
      </c>
      <c r="AQ2613" t="s">
        <v>1897</v>
      </c>
      <c r="AR2613" t="s">
        <v>80</v>
      </c>
      <c r="AS2613">
        <v>315</v>
      </c>
      <c r="AT2613" t="s">
        <v>81</v>
      </c>
      <c r="AU2613">
        <v>30.18</v>
      </c>
      <c r="AV2613">
        <v>25.11</v>
      </c>
      <c r="AW2613" t="s">
        <v>82</v>
      </c>
      <c r="AX2613">
        <v>315</v>
      </c>
      <c r="AY2613" t="s">
        <v>81</v>
      </c>
      <c r="AZ2613">
        <v>23.79</v>
      </c>
      <c r="BA2613">
        <v>16.3</v>
      </c>
      <c r="BB2613" t="s">
        <v>83</v>
      </c>
    </row>
    <row r="2614" spans="1:54" x14ac:dyDescent="0.4">
      <c r="A2614">
        <v>1418143</v>
      </c>
      <c r="D2614" t="s">
        <v>54</v>
      </c>
      <c r="I2614" t="s">
        <v>57</v>
      </c>
      <c r="K2614" t="s">
        <v>1630</v>
      </c>
      <c r="L2614" t="s">
        <v>1637</v>
      </c>
      <c r="M2614" t="s">
        <v>60</v>
      </c>
      <c r="P2614" t="s">
        <v>511</v>
      </c>
      <c r="R2614" t="s">
        <v>512</v>
      </c>
      <c r="S2614" t="s">
        <v>123</v>
      </c>
      <c r="T2614">
        <v>259.51</v>
      </c>
      <c r="U2614">
        <v>254.14</v>
      </c>
      <c r="V2614">
        <f t="shared" si="80"/>
        <v>256.82499999999999</v>
      </c>
      <c r="W2614">
        <f t="shared" si="81"/>
        <v>5.3700000000000045</v>
      </c>
      <c r="X2614">
        <v>23.888888999999999</v>
      </c>
      <c r="Y2614">
        <v>-31.908055999999998</v>
      </c>
      <c r="Z2614" t="s">
        <v>124</v>
      </c>
      <c r="AA2614" t="s">
        <v>106</v>
      </c>
      <c r="AB2614" t="s">
        <v>334</v>
      </c>
      <c r="AC2614" t="s">
        <v>1638</v>
      </c>
      <c r="AD2614" t="s">
        <v>1654</v>
      </c>
      <c r="AE2614" t="s">
        <v>110</v>
      </c>
      <c r="AG2614" t="s">
        <v>4464</v>
      </c>
      <c r="AH2614" t="s">
        <v>72</v>
      </c>
      <c r="AI2614" t="s">
        <v>621</v>
      </c>
      <c r="AJ2614">
        <v>1965</v>
      </c>
      <c r="AK2614" t="s">
        <v>5168</v>
      </c>
      <c r="AM2614" t="s">
        <v>1656</v>
      </c>
      <c r="AN2614" t="s">
        <v>114</v>
      </c>
      <c r="AO2614" t="s">
        <v>77</v>
      </c>
      <c r="AP2614" t="s">
        <v>115</v>
      </c>
      <c r="AQ2614" t="s">
        <v>5169</v>
      </c>
      <c r="AR2614" t="s">
        <v>80</v>
      </c>
      <c r="AS2614">
        <v>701</v>
      </c>
      <c r="AT2614" t="s">
        <v>81</v>
      </c>
      <c r="AU2614">
        <v>-19.46</v>
      </c>
      <c r="AV2614">
        <v>-51.64</v>
      </c>
      <c r="AW2614" t="s">
        <v>82</v>
      </c>
      <c r="AX2614">
        <v>701</v>
      </c>
      <c r="AY2614" t="s">
        <v>81</v>
      </c>
      <c r="AZ2614">
        <v>-29.31</v>
      </c>
      <c r="BA2614">
        <v>-61.25</v>
      </c>
      <c r="BB2614" t="s">
        <v>83</v>
      </c>
    </row>
    <row r="2615" spans="1:54" x14ac:dyDescent="0.4">
      <c r="A2615">
        <v>1418153</v>
      </c>
      <c r="D2615" t="s">
        <v>54</v>
      </c>
      <c r="I2615" t="s">
        <v>57</v>
      </c>
      <c r="K2615" t="s">
        <v>1600</v>
      </c>
      <c r="L2615" t="s">
        <v>2609</v>
      </c>
      <c r="M2615" t="s">
        <v>60</v>
      </c>
      <c r="P2615" t="s">
        <v>511</v>
      </c>
      <c r="R2615" t="s">
        <v>512</v>
      </c>
      <c r="S2615" t="s">
        <v>123</v>
      </c>
      <c r="T2615">
        <v>259.51</v>
      </c>
      <c r="U2615">
        <v>254.14</v>
      </c>
      <c r="V2615">
        <f t="shared" si="80"/>
        <v>256.82499999999999</v>
      </c>
      <c r="W2615">
        <f t="shared" si="81"/>
        <v>5.3700000000000045</v>
      </c>
      <c r="X2615">
        <v>24.424999</v>
      </c>
      <c r="Y2615">
        <v>-32.101391</v>
      </c>
      <c r="Z2615" t="s">
        <v>124</v>
      </c>
      <c r="AA2615" t="s">
        <v>106</v>
      </c>
      <c r="AB2615" t="s">
        <v>107</v>
      </c>
      <c r="AC2615" t="s">
        <v>4566</v>
      </c>
      <c r="AE2615" t="s">
        <v>110</v>
      </c>
      <c r="AG2615" t="s">
        <v>4464</v>
      </c>
      <c r="AH2615" t="s">
        <v>72</v>
      </c>
      <c r="AI2615" t="s">
        <v>621</v>
      </c>
      <c r="AJ2615">
        <v>1965</v>
      </c>
      <c r="AK2615" t="s">
        <v>4575</v>
      </c>
      <c r="AM2615" t="s">
        <v>4576</v>
      </c>
      <c r="AN2615" t="s">
        <v>114</v>
      </c>
      <c r="AO2615" t="s">
        <v>77</v>
      </c>
      <c r="AP2615" t="s">
        <v>115</v>
      </c>
      <c r="AR2615" t="s">
        <v>80</v>
      </c>
      <c r="AS2615">
        <v>701</v>
      </c>
      <c r="AT2615" t="s">
        <v>81</v>
      </c>
      <c r="AU2615">
        <v>-19.38</v>
      </c>
      <c r="AV2615">
        <v>-52.13</v>
      </c>
      <c r="AW2615" t="s">
        <v>82</v>
      </c>
      <c r="AX2615">
        <v>701</v>
      </c>
      <c r="AY2615" t="s">
        <v>81</v>
      </c>
      <c r="AZ2615">
        <v>-29.32</v>
      </c>
      <c r="BA2615">
        <v>-61.75</v>
      </c>
      <c r="BB2615" t="s">
        <v>83</v>
      </c>
    </row>
    <row r="2616" spans="1:54" x14ac:dyDescent="0.4">
      <c r="A2616">
        <v>389772</v>
      </c>
      <c r="D2616" t="s">
        <v>54</v>
      </c>
      <c r="E2616" t="s">
        <v>55</v>
      </c>
      <c r="G2616">
        <v>1</v>
      </c>
      <c r="H2616" t="s">
        <v>84</v>
      </c>
      <c r="I2616" t="s">
        <v>57</v>
      </c>
      <c r="K2616" t="s">
        <v>675</v>
      </c>
      <c r="L2616" t="s">
        <v>676</v>
      </c>
      <c r="M2616" t="s">
        <v>223</v>
      </c>
      <c r="P2616" t="s">
        <v>224</v>
      </c>
      <c r="R2616" t="s">
        <v>183</v>
      </c>
      <c r="S2616" t="s">
        <v>64</v>
      </c>
      <c r="T2616">
        <v>246.7</v>
      </c>
      <c r="U2616">
        <v>242</v>
      </c>
      <c r="V2616">
        <f t="shared" si="80"/>
        <v>244.35</v>
      </c>
      <c r="W2616">
        <f t="shared" si="81"/>
        <v>4.6999999999999886</v>
      </c>
      <c r="X2616">
        <v>12.333333</v>
      </c>
      <c r="Y2616">
        <v>46.75</v>
      </c>
      <c r="Z2616" t="s">
        <v>520</v>
      </c>
      <c r="AA2616" t="s">
        <v>593</v>
      </c>
      <c r="AB2616" t="s">
        <v>603</v>
      </c>
      <c r="AD2616" t="s">
        <v>677</v>
      </c>
      <c r="AH2616" t="s">
        <v>72</v>
      </c>
      <c r="AI2616" t="s">
        <v>664</v>
      </c>
      <c r="AJ2616">
        <v>1986</v>
      </c>
      <c r="AK2616" t="s">
        <v>678</v>
      </c>
      <c r="AM2616" t="s">
        <v>679</v>
      </c>
      <c r="AN2616" t="s">
        <v>114</v>
      </c>
      <c r="AO2616" t="s">
        <v>160</v>
      </c>
      <c r="AP2616" t="s">
        <v>115</v>
      </c>
      <c r="AQ2616" t="s">
        <v>680</v>
      </c>
      <c r="AR2616" t="s">
        <v>80</v>
      </c>
      <c r="AS2616">
        <v>307</v>
      </c>
      <c r="AT2616" t="s">
        <v>81</v>
      </c>
      <c r="AU2616">
        <v>36.130000000000003</v>
      </c>
      <c r="AV2616">
        <v>14.96</v>
      </c>
      <c r="AW2616" t="s">
        <v>82</v>
      </c>
      <c r="AX2616">
        <v>307</v>
      </c>
      <c r="AY2616" t="s">
        <v>81</v>
      </c>
      <c r="AZ2616">
        <v>24.43</v>
      </c>
      <c r="BA2616">
        <v>6.37</v>
      </c>
      <c r="BB2616" t="s">
        <v>83</v>
      </c>
    </row>
    <row r="2617" spans="1:54" x14ac:dyDescent="0.4">
      <c r="A2617">
        <v>451787</v>
      </c>
      <c r="D2617" t="s">
        <v>54</v>
      </c>
      <c r="I2617" t="s">
        <v>57</v>
      </c>
      <c r="K2617" t="s">
        <v>771</v>
      </c>
      <c r="L2617" t="s">
        <v>772</v>
      </c>
      <c r="M2617" t="s">
        <v>223</v>
      </c>
      <c r="P2617" t="s">
        <v>224</v>
      </c>
      <c r="R2617" t="s">
        <v>183</v>
      </c>
      <c r="S2617" t="s">
        <v>64</v>
      </c>
      <c r="T2617">
        <v>246.7</v>
      </c>
      <c r="U2617">
        <v>242</v>
      </c>
      <c r="V2617">
        <f t="shared" si="80"/>
        <v>244.35</v>
      </c>
      <c r="W2617">
        <f t="shared" si="81"/>
        <v>4.6999999999999886</v>
      </c>
      <c r="X2617">
        <v>8.5</v>
      </c>
      <c r="Y2617">
        <v>50.75</v>
      </c>
      <c r="Z2617" t="s">
        <v>520</v>
      </c>
      <c r="AA2617" t="s">
        <v>211</v>
      </c>
      <c r="AB2617" t="s">
        <v>773</v>
      </c>
      <c r="AH2617" t="s">
        <v>11</v>
      </c>
      <c r="AI2617" t="s">
        <v>774</v>
      </c>
      <c r="AJ2617">
        <v>1974</v>
      </c>
      <c r="AK2617" t="s">
        <v>775</v>
      </c>
      <c r="AN2617" t="s">
        <v>114</v>
      </c>
      <c r="AO2617" t="s">
        <v>160</v>
      </c>
      <c r="AP2617" t="s">
        <v>359</v>
      </c>
      <c r="AQ2617" t="s">
        <v>776</v>
      </c>
      <c r="AR2617" t="s">
        <v>80</v>
      </c>
      <c r="AS2617">
        <v>315</v>
      </c>
      <c r="AT2617" t="s">
        <v>81</v>
      </c>
      <c r="AU2617">
        <v>27.71</v>
      </c>
      <c r="AV2617">
        <v>29.22</v>
      </c>
      <c r="AW2617" t="s">
        <v>82</v>
      </c>
      <c r="AX2617">
        <v>315</v>
      </c>
      <c r="AY2617" t="s">
        <v>81</v>
      </c>
      <c r="AZ2617">
        <v>18.170000000000002</v>
      </c>
      <c r="BA2617">
        <v>16.2</v>
      </c>
      <c r="BB2617" t="s">
        <v>83</v>
      </c>
    </row>
    <row r="2618" spans="1:54" x14ac:dyDescent="0.4">
      <c r="A2618">
        <v>558341</v>
      </c>
      <c r="D2618" t="s">
        <v>904</v>
      </c>
      <c r="E2618" t="s">
        <v>55</v>
      </c>
      <c r="G2618">
        <v>2</v>
      </c>
      <c r="H2618" t="s">
        <v>84</v>
      </c>
      <c r="I2618" t="s">
        <v>57</v>
      </c>
      <c r="K2618" t="s">
        <v>141</v>
      </c>
      <c r="L2618" t="s">
        <v>1243</v>
      </c>
      <c r="M2618" t="s">
        <v>60</v>
      </c>
      <c r="P2618" t="s">
        <v>224</v>
      </c>
      <c r="R2618" t="s">
        <v>183</v>
      </c>
      <c r="S2618" t="s">
        <v>64</v>
      </c>
      <c r="T2618">
        <v>246.7</v>
      </c>
      <c r="U2618">
        <v>242</v>
      </c>
      <c r="V2618">
        <f t="shared" si="80"/>
        <v>244.35</v>
      </c>
      <c r="W2618">
        <f t="shared" si="81"/>
        <v>4.6999999999999886</v>
      </c>
      <c r="X2618">
        <v>-1.5762799999999999</v>
      </c>
      <c r="Y2618">
        <v>52.286876999999997</v>
      </c>
      <c r="Z2618" t="s">
        <v>432</v>
      </c>
      <c r="AA2618" t="s">
        <v>91</v>
      </c>
      <c r="AB2618" t="s">
        <v>92</v>
      </c>
      <c r="AC2618" t="s">
        <v>690</v>
      </c>
      <c r="AD2618" t="s">
        <v>1244</v>
      </c>
      <c r="AE2618" t="s">
        <v>1245</v>
      </c>
      <c r="AH2618" t="s">
        <v>72</v>
      </c>
      <c r="AI2618" t="s">
        <v>1246</v>
      </c>
      <c r="AJ2618">
        <v>1996</v>
      </c>
      <c r="AK2618" t="s">
        <v>1247</v>
      </c>
      <c r="AM2618" t="s">
        <v>1248</v>
      </c>
      <c r="AN2618" t="s">
        <v>76</v>
      </c>
      <c r="AO2618">
        <v>6</v>
      </c>
      <c r="AP2618" t="s">
        <v>78</v>
      </c>
      <c r="AQ2618" t="s">
        <v>1249</v>
      </c>
      <c r="AR2618" t="s">
        <v>80</v>
      </c>
      <c r="AS2618">
        <v>315</v>
      </c>
      <c r="AT2618" t="s">
        <v>81</v>
      </c>
      <c r="AU2618">
        <v>20.309999999999999</v>
      </c>
      <c r="AV2618">
        <v>29.55</v>
      </c>
      <c r="AW2618" t="s">
        <v>82</v>
      </c>
      <c r="AX2618">
        <v>315</v>
      </c>
      <c r="AY2618" t="s">
        <v>81</v>
      </c>
      <c r="AZ2618">
        <v>11.49</v>
      </c>
      <c r="BA2618">
        <v>15.59</v>
      </c>
      <c r="BB2618" t="s">
        <v>83</v>
      </c>
    </row>
    <row r="2619" spans="1:54" x14ac:dyDescent="0.4">
      <c r="A2619">
        <v>558342</v>
      </c>
      <c r="D2619" t="s">
        <v>904</v>
      </c>
      <c r="E2619" t="s">
        <v>55</v>
      </c>
      <c r="G2619">
        <v>5</v>
      </c>
      <c r="H2619" t="s">
        <v>84</v>
      </c>
      <c r="I2619" t="s">
        <v>57</v>
      </c>
      <c r="K2619" t="s">
        <v>580</v>
      </c>
      <c r="L2619" t="s">
        <v>1250</v>
      </c>
      <c r="M2619" t="s">
        <v>60</v>
      </c>
      <c r="O2619" t="s">
        <v>87</v>
      </c>
      <c r="P2619" t="s">
        <v>224</v>
      </c>
      <c r="R2619" t="s">
        <v>183</v>
      </c>
      <c r="S2619" t="s">
        <v>64</v>
      </c>
      <c r="T2619">
        <v>246.7</v>
      </c>
      <c r="U2619">
        <v>242</v>
      </c>
      <c r="V2619">
        <f t="shared" si="80"/>
        <v>244.35</v>
      </c>
      <c r="W2619">
        <f t="shared" si="81"/>
        <v>4.6999999999999886</v>
      </c>
      <c r="X2619">
        <v>-1.5762799999999999</v>
      </c>
      <c r="Y2619">
        <v>52.286876999999997</v>
      </c>
      <c r="Z2619" t="s">
        <v>432</v>
      </c>
      <c r="AA2619" t="s">
        <v>91</v>
      </c>
      <c r="AB2619" t="s">
        <v>92</v>
      </c>
      <c r="AC2619" t="s">
        <v>690</v>
      </c>
      <c r="AD2619" t="s">
        <v>1244</v>
      </c>
      <c r="AE2619" t="s">
        <v>1245</v>
      </c>
      <c r="AH2619" t="s">
        <v>72</v>
      </c>
      <c r="AI2619" t="s">
        <v>1049</v>
      </c>
      <c r="AJ2619">
        <v>1994</v>
      </c>
      <c r="AK2619" t="s">
        <v>1247</v>
      </c>
      <c r="AM2619" t="s">
        <v>1248</v>
      </c>
      <c r="AN2619" t="s">
        <v>76</v>
      </c>
      <c r="AO2619">
        <v>6</v>
      </c>
      <c r="AP2619" t="s">
        <v>78</v>
      </c>
      <c r="AQ2619" t="s">
        <v>1249</v>
      </c>
      <c r="AR2619" t="s">
        <v>80</v>
      </c>
      <c r="AS2619">
        <v>315</v>
      </c>
      <c r="AT2619" t="s">
        <v>81</v>
      </c>
      <c r="AU2619">
        <v>20.309999999999999</v>
      </c>
      <c r="AV2619">
        <v>29.55</v>
      </c>
      <c r="AW2619" t="s">
        <v>82</v>
      </c>
      <c r="AX2619">
        <v>315</v>
      </c>
      <c r="AY2619" t="s">
        <v>81</v>
      </c>
      <c r="AZ2619">
        <v>11.49</v>
      </c>
      <c r="BA2619">
        <v>15.59</v>
      </c>
      <c r="BB2619" t="s">
        <v>83</v>
      </c>
    </row>
    <row r="2620" spans="1:54" x14ac:dyDescent="0.4">
      <c r="A2620">
        <v>558344</v>
      </c>
      <c r="D2620" t="s">
        <v>904</v>
      </c>
      <c r="E2620" t="s">
        <v>55</v>
      </c>
      <c r="G2620">
        <v>4</v>
      </c>
      <c r="H2620" t="s">
        <v>84</v>
      </c>
      <c r="I2620" t="s">
        <v>57</v>
      </c>
      <c r="K2620" t="s">
        <v>580</v>
      </c>
      <c r="L2620" t="s">
        <v>1250</v>
      </c>
      <c r="M2620" t="s">
        <v>60</v>
      </c>
      <c r="O2620" t="s">
        <v>87</v>
      </c>
      <c r="P2620" t="s">
        <v>224</v>
      </c>
      <c r="R2620" t="s">
        <v>183</v>
      </c>
      <c r="S2620" t="s">
        <v>64</v>
      </c>
      <c r="T2620">
        <v>246.7</v>
      </c>
      <c r="U2620">
        <v>242</v>
      </c>
      <c r="V2620">
        <f t="shared" si="80"/>
        <v>244.35</v>
      </c>
      <c r="W2620">
        <f t="shared" si="81"/>
        <v>4.6999999999999886</v>
      </c>
      <c r="X2620">
        <v>-1.5762799999999999</v>
      </c>
      <c r="Y2620">
        <v>52.286876999999997</v>
      </c>
      <c r="Z2620" t="s">
        <v>432</v>
      </c>
      <c r="AA2620" t="s">
        <v>91</v>
      </c>
      <c r="AB2620" t="s">
        <v>92</v>
      </c>
      <c r="AC2620" t="s">
        <v>690</v>
      </c>
      <c r="AD2620" t="s">
        <v>1244</v>
      </c>
      <c r="AE2620" t="s">
        <v>1245</v>
      </c>
      <c r="AH2620" t="s">
        <v>72</v>
      </c>
      <c r="AI2620" t="s">
        <v>1045</v>
      </c>
      <c r="AJ2620">
        <v>1842</v>
      </c>
      <c r="AK2620" t="s">
        <v>1247</v>
      </c>
      <c r="AM2620" t="s">
        <v>1248</v>
      </c>
      <c r="AN2620" t="s">
        <v>76</v>
      </c>
      <c r="AO2620">
        <v>6</v>
      </c>
      <c r="AP2620" t="s">
        <v>78</v>
      </c>
      <c r="AQ2620" t="s">
        <v>1249</v>
      </c>
      <c r="AR2620" t="s">
        <v>80</v>
      </c>
      <c r="AS2620">
        <v>315</v>
      </c>
      <c r="AT2620" t="s">
        <v>81</v>
      </c>
      <c r="AU2620">
        <v>20.309999999999999</v>
      </c>
      <c r="AV2620">
        <v>29.55</v>
      </c>
      <c r="AW2620" t="s">
        <v>82</v>
      </c>
      <c r="AX2620">
        <v>315</v>
      </c>
      <c r="AY2620" t="s">
        <v>81</v>
      </c>
      <c r="AZ2620">
        <v>11.49</v>
      </c>
      <c r="BA2620">
        <v>15.59</v>
      </c>
      <c r="BB2620" t="s">
        <v>83</v>
      </c>
    </row>
    <row r="2621" spans="1:54" x14ac:dyDescent="0.4">
      <c r="A2621">
        <v>558345</v>
      </c>
      <c r="D2621" t="s">
        <v>904</v>
      </c>
      <c r="E2621" t="s">
        <v>55</v>
      </c>
      <c r="G2621">
        <v>1</v>
      </c>
      <c r="H2621" t="s">
        <v>84</v>
      </c>
      <c r="I2621" t="s">
        <v>57</v>
      </c>
      <c r="K2621" t="s">
        <v>580</v>
      </c>
      <c r="L2621" t="s">
        <v>1250</v>
      </c>
      <c r="M2621" t="s">
        <v>60</v>
      </c>
      <c r="O2621" t="s">
        <v>87</v>
      </c>
      <c r="P2621" t="s">
        <v>224</v>
      </c>
      <c r="R2621" t="s">
        <v>183</v>
      </c>
      <c r="S2621" t="s">
        <v>64</v>
      </c>
      <c r="T2621">
        <v>246.7</v>
      </c>
      <c r="U2621">
        <v>242</v>
      </c>
      <c r="V2621">
        <f t="shared" si="80"/>
        <v>244.35</v>
      </c>
      <c r="W2621">
        <f t="shared" si="81"/>
        <v>4.6999999999999886</v>
      </c>
      <c r="X2621">
        <v>-1.5762799999999999</v>
      </c>
      <c r="Y2621">
        <v>52.286876999999997</v>
      </c>
      <c r="Z2621" t="s">
        <v>432</v>
      </c>
      <c r="AA2621" t="s">
        <v>91</v>
      </c>
      <c r="AB2621" t="s">
        <v>92</v>
      </c>
      <c r="AC2621" t="s">
        <v>690</v>
      </c>
      <c r="AD2621" t="s">
        <v>1244</v>
      </c>
      <c r="AE2621" t="s">
        <v>1245</v>
      </c>
      <c r="AH2621" t="s">
        <v>11</v>
      </c>
      <c r="AI2621" t="s">
        <v>365</v>
      </c>
      <c r="AJ2621">
        <v>2012</v>
      </c>
      <c r="AK2621" t="s">
        <v>1247</v>
      </c>
      <c r="AM2621" t="s">
        <v>1248</v>
      </c>
      <c r="AN2621" t="s">
        <v>76</v>
      </c>
      <c r="AO2621">
        <v>6</v>
      </c>
      <c r="AP2621" t="s">
        <v>78</v>
      </c>
      <c r="AQ2621" t="s">
        <v>1249</v>
      </c>
      <c r="AR2621" t="s">
        <v>80</v>
      </c>
      <c r="AS2621">
        <v>315</v>
      </c>
      <c r="AT2621" t="s">
        <v>81</v>
      </c>
      <c r="AU2621">
        <v>20.309999999999999</v>
      </c>
      <c r="AV2621">
        <v>29.55</v>
      </c>
      <c r="AW2621" t="s">
        <v>82</v>
      </c>
      <c r="AX2621">
        <v>315</v>
      </c>
      <c r="AY2621" t="s">
        <v>81</v>
      </c>
      <c r="AZ2621">
        <v>11.49</v>
      </c>
      <c r="BA2621">
        <v>15.59</v>
      </c>
      <c r="BB2621" t="s">
        <v>83</v>
      </c>
    </row>
    <row r="2622" spans="1:54" x14ac:dyDescent="0.4">
      <c r="A2622">
        <v>561984</v>
      </c>
      <c r="D2622" t="s">
        <v>904</v>
      </c>
      <c r="E2622" t="s">
        <v>55</v>
      </c>
      <c r="G2622">
        <v>1</v>
      </c>
      <c r="H2622" t="s">
        <v>84</v>
      </c>
      <c r="I2622" t="s">
        <v>57</v>
      </c>
      <c r="K2622" t="s">
        <v>840</v>
      </c>
      <c r="L2622" t="s">
        <v>1268</v>
      </c>
      <c r="M2622" t="s">
        <v>60</v>
      </c>
      <c r="O2622" t="s">
        <v>170</v>
      </c>
      <c r="P2622" t="s">
        <v>224</v>
      </c>
      <c r="R2622" t="s">
        <v>183</v>
      </c>
      <c r="S2622" t="s">
        <v>64</v>
      </c>
      <c r="T2622">
        <v>246.7</v>
      </c>
      <c r="U2622">
        <v>242</v>
      </c>
      <c r="V2622">
        <f t="shared" si="80"/>
        <v>244.35</v>
      </c>
      <c r="W2622">
        <f t="shared" si="81"/>
        <v>4.6999999999999886</v>
      </c>
      <c r="X2622">
        <v>-1.5762799999999999</v>
      </c>
      <c r="Y2622">
        <v>52.286876999999997</v>
      </c>
      <c r="Z2622" t="s">
        <v>432</v>
      </c>
      <c r="AA2622" t="s">
        <v>91</v>
      </c>
      <c r="AB2622" t="s">
        <v>92</v>
      </c>
      <c r="AC2622" t="s">
        <v>690</v>
      </c>
      <c r="AD2622" t="s">
        <v>1244</v>
      </c>
      <c r="AE2622" t="s">
        <v>1245</v>
      </c>
      <c r="AH2622" t="s">
        <v>72</v>
      </c>
      <c r="AI2622" t="s">
        <v>1269</v>
      </c>
      <c r="AJ2622">
        <v>1990</v>
      </c>
      <c r="AK2622" t="s">
        <v>1247</v>
      </c>
      <c r="AM2622" t="s">
        <v>1248</v>
      </c>
      <c r="AN2622" t="s">
        <v>76</v>
      </c>
      <c r="AO2622">
        <v>6</v>
      </c>
      <c r="AP2622" t="s">
        <v>78</v>
      </c>
      <c r="AQ2622" t="s">
        <v>1249</v>
      </c>
      <c r="AR2622" t="s">
        <v>80</v>
      </c>
      <c r="AS2622">
        <v>315</v>
      </c>
      <c r="AT2622" t="s">
        <v>81</v>
      </c>
      <c r="AU2622">
        <v>20.309999999999999</v>
      </c>
      <c r="AV2622">
        <v>29.55</v>
      </c>
      <c r="AW2622" t="s">
        <v>82</v>
      </c>
      <c r="AX2622">
        <v>315</v>
      </c>
      <c r="AY2622" t="s">
        <v>81</v>
      </c>
      <c r="AZ2622">
        <v>11.49</v>
      </c>
      <c r="BA2622">
        <v>15.59</v>
      </c>
      <c r="BB2622" t="s">
        <v>83</v>
      </c>
    </row>
    <row r="2623" spans="1:54" x14ac:dyDescent="0.4">
      <c r="A2623">
        <v>601696</v>
      </c>
      <c r="D2623" t="s">
        <v>54</v>
      </c>
      <c r="I2623" t="s">
        <v>57</v>
      </c>
      <c r="K2623" t="s">
        <v>141</v>
      </c>
      <c r="L2623" t="s">
        <v>1355</v>
      </c>
      <c r="M2623" t="s">
        <v>223</v>
      </c>
      <c r="P2623" t="s">
        <v>224</v>
      </c>
      <c r="R2623" t="s">
        <v>183</v>
      </c>
      <c r="S2623" t="s">
        <v>64</v>
      </c>
      <c r="T2623">
        <v>246.7</v>
      </c>
      <c r="U2623">
        <v>242</v>
      </c>
      <c r="V2623">
        <f t="shared" si="80"/>
        <v>244.35</v>
      </c>
      <c r="W2623">
        <f t="shared" si="81"/>
        <v>4.6999999999999886</v>
      </c>
      <c r="X2623">
        <v>34.883330999999998</v>
      </c>
      <c r="Y2623">
        <v>30.566668</v>
      </c>
      <c r="Z2623" t="s">
        <v>520</v>
      </c>
      <c r="AA2623" t="s">
        <v>1351</v>
      </c>
      <c r="AH2623" t="s">
        <v>72</v>
      </c>
      <c r="AI2623" t="s">
        <v>1352</v>
      </c>
      <c r="AJ2623">
        <v>1956</v>
      </c>
      <c r="AK2623" t="s">
        <v>1356</v>
      </c>
      <c r="AN2623" t="s">
        <v>192</v>
      </c>
      <c r="AO2623" t="s">
        <v>160</v>
      </c>
      <c r="AP2623" t="s">
        <v>359</v>
      </c>
      <c r="AQ2623" t="s">
        <v>1354</v>
      </c>
      <c r="AR2623" t="s">
        <v>80</v>
      </c>
      <c r="AS2623">
        <v>508</v>
      </c>
      <c r="AT2623" t="s">
        <v>81</v>
      </c>
      <c r="AU2623">
        <v>39.1</v>
      </c>
      <c r="AV2623">
        <v>-3.42</v>
      </c>
      <c r="AW2623" t="s">
        <v>82</v>
      </c>
      <c r="AX2623">
        <v>508</v>
      </c>
      <c r="AY2623" t="s">
        <v>81</v>
      </c>
      <c r="AZ2623">
        <v>34.950000000000003</v>
      </c>
      <c r="BA2623">
        <v>-13.96</v>
      </c>
      <c r="BB2623" t="s">
        <v>83</v>
      </c>
    </row>
    <row r="2624" spans="1:54" x14ac:dyDescent="0.4">
      <c r="A2624">
        <v>601699</v>
      </c>
      <c r="D2624" t="s">
        <v>54</v>
      </c>
      <c r="I2624" t="s">
        <v>57</v>
      </c>
      <c r="K2624" t="s">
        <v>746</v>
      </c>
      <c r="L2624" t="s">
        <v>1357</v>
      </c>
      <c r="M2624" t="s">
        <v>60</v>
      </c>
      <c r="N2624" t="s">
        <v>119</v>
      </c>
      <c r="O2624" t="s">
        <v>345</v>
      </c>
      <c r="P2624" t="s">
        <v>224</v>
      </c>
      <c r="R2624" t="s">
        <v>183</v>
      </c>
      <c r="S2624" t="s">
        <v>64</v>
      </c>
      <c r="T2624">
        <v>246.7</v>
      </c>
      <c r="U2624">
        <v>242</v>
      </c>
      <c r="V2624">
        <f t="shared" si="80"/>
        <v>244.35</v>
      </c>
      <c r="W2624">
        <f t="shared" si="81"/>
        <v>4.6999999999999886</v>
      </c>
      <c r="X2624">
        <v>34.883330999999998</v>
      </c>
      <c r="Y2624">
        <v>30.566668</v>
      </c>
      <c r="Z2624" t="s">
        <v>520</v>
      </c>
      <c r="AA2624" t="s">
        <v>1351</v>
      </c>
      <c r="AH2624" t="s">
        <v>11</v>
      </c>
      <c r="AI2624" t="s">
        <v>1352</v>
      </c>
      <c r="AJ2624">
        <v>1956</v>
      </c>
      <c r="AK2624" t="s">
        <v>1356</v>
      </c>
      <c r="AN2624" t="s">
        <v>192</v>
      </c>
      <c r="AO2624" t="s">
        <v>160</v>
      </c>
      <c r="AP2624" t="s">
        <v>359</v>
      </c>
      <c r="AQ2624" t="s">
        <v>1354</v>
      </c>
      <c r="AR2624" t="s">
        <v>80</v>
      </c>
      <c r="AS2624">
        <v>508</v>
      </c>
      <c r="AT2624" t="s">
        <v>81</v>
      </c>
      <c r="AU2624">
        <v>39.1</v>
      </c>
      <c r="AV2624">
        <v>-3.42</v>
      </c>
      <c r="AW2624" t="s">
        <v>82</v>
      </c>
      <c r="AX2624">
        <v>508</v>
      </c>
      <c r="AY2624" t="s">
        <v>81</v>
      </c>
      <c r="AZ2624">
        <v>34.950000000000003</v>
      </c>
      <c r="BA2624">
        <v>-13.96</v>
      </c>
      <c r="BB2624" t="s">
        <v>83</v>
      </c>
    </row>
    <row r="2625" spans="1:54" x14ac:dyDescent="0.4">
      <c r="A2625">
        <v>601701</v>
      </c>
      <c r="D2625" t="s">
        <v>54</v>
      </c>
      <c r="I2625" t="s">
        <v>57</v>
      </c>
      <c r="K2625" t="s">
        <v>771</v>
      </c>
      <c r="L2625" t="s">
        <v>772</v>
      </c>
      <c r="M2625" t="s">
        <v>223</v>
      </c>
      <c r="P2625" t="s">
        <v>224</v>
      </c>
      <c r="R2625" t="s">
        <v>183</v>
      </c>
      <c r="S2625" t="s">
        <v>64</v>
      </c>
      <c r="T2625">
        <v>246.7</v>
      </c>
      <c r="U2625">
        <v>242</v>
      </c>
      <c r="V2625">
        <f t="shared" si="80"/>
        <v>244.35</v>
      </c>
      <c r="W2625">
        <f t="shared" si="81"/>
        <v>4.6999999999999886</v>
      </c>
      <c r="X2625">
        <v>34.883330999999998</v>
      </c>
      <c r="Y2625">
        <v>30.566668</v>
      </c>
      <c r="Z2625" t="s">
        <v>124</v>
      </c>
      <c r="AA2625" t="s">
        <v>1351</v>
      </c>
      <c r="AH2625" t="s">
        <v>11</v>
      </c>
      <c r="AI2625" t="s">
        <v>1352</v>
      </c>
      <c r="AJ2625">
        <v>1956</v>
      </c>
      <c r="AK2625" t="s">
        <v>1358</v>
      </c>
      <c r="AN2625" t="s">
        <v>192</v>
      </c>
      <c r="AO2625" t="s">
        <v>160</v>
      </c>
      <c r="AP2625" t="s">
        <v>359</v>
      </c>
      <c r="AQ2625" t="s">
        <v>1354</v>
      </c>
      <c r="AR2625" t="s">
        <v>80</v>
      </c>
      <c r="AS2625">
        <v>508</v>
      </c>
      <c r="AT2625" t="s">
        <v>81</v>
      </c>
      <c r="AU2625">
        <v>39.1</v>
      </c>
      <c r="AV2625">
        <v>-3.42</v>
      </c>
      <c r="AW2625" t="s">
        <v>82</v>
      </c>
      <c r="AX2625">
        <v>508</v>
      </c>
      <c r="AY2625" t="s">
        <v>81</v>
      </c>
      <c r="AZ2625">
        <v>34.950000000000003</v>
      </c>
      <c r="BA2625">
        <v>-13.96</v>
      </c>
      <c r="BB2625" t="s">
        <v>83</v>
      </c>
    </row>
    <row r="2626" spans="1:54" x14ac:dyDescent="0.4">
      <c r="A2626">
        <v>601702</v>
      </c>
      <c r="D2626" t="s">
        <v>54</v>
      </c>
      <c r="I2626" t="s">
        <v>57</v>
      </c>
      <c r="K2626" t="s">
        <v>1359</v>
      </c>
      <c r="L2626" t="s">
        <v>1360</v>
      </c>
      <c r="M2626" t="s">
        <v>223</v>
      </c>
      <c r="P2626" t="s">
        <v>224</v>
      </c>
      <c r="R2626" t="s">
        <v>183</v>
      </c>
      <c r="S2626" t="s">
        <v>64</v>
      </c>
      <c r="T2626">
        <v>246.7</v>
      </c>
      <c r="U2626">
        <v>242</v>
      </c>
      <c r="V2626">
        <f t="shared" si="80"/>
        <v>244.35</v>
      </c>
      <c r="W2626">
        <f t="shared" si="81"/>
        <v>4.6999999999999886</v>
      </c>
      <c r="X2626">
        <v>34.883330999999998</v>
      </c>
      <c r="Y2626">
        <v>30.566668</v>
      </c>
      <c r="Z2626" t="s">
        <v>124</v>
      </c>
      <c r="AA2626" t="s">
        <v>1351</v>
      </c>
      <c r="AH2626" t="s">
        <v>11</v>
      </c>
      <c r="AI2626" t="s">
        <v>1352</v>
      </c>
      <c r="AJ2626">
        <v>1956</v>
      </c>
      <c r="AK2626" t="s">
        <v>1358</v>
      </c>
      <c r="AN2626" t="s">
        <v>192</v>
      </c>
      <c r="AO2626" t="s">
        <v>160</v>
      </c>
      <c r="AP2626" t="s">
        <v>359</v>
      </c>
      <c r="AQ2626" t="s">
        <v>1354</v>
      </c>
      <c r="AR2626" t="s">
        <v>80</v>
      </c>
      <c r="AS2626">
        <v>508</v>
      </c>
      <c r="AT2626" t="s">
        <v>81</v>
      </c>
      <c r="AU2626">
        <v>39.1</v>
      </c>
      <c r="AV2626">
        <v>-3.42</v>
      </c>
      <c r="AW2626" t="s">
        <v>82</v>
      </c>
      <c r="AX2626">
        <v>508</v>
      </c>
      <c r="AY2626" t="s">
        <v>81</v>
      </c>
      <c r="AZ2626">
        <v>34.950000000000003</v>
      </c>
      <c r="BA2626">
        <v>-13.96</v>
      </c>
      <c r="BB2626" t="s">
        <v>83</v>
      </c>
    </row>
    <row r="2627" spans="1:54" x14ac:dyDescent="0.4">
      <c r="A2627">
        <v>602403</v>
      </c>
      <c r="D2627" t="s">
        <v>54</v>
      </c>
      <c r="E2627" t="s">
        <v>55</v>
      </c>
      <c r="G2627">
        <v>1</v>
      </c>
      <c r="H2627" t="s">
        <v>56</v>
      </c>
      <c r="I2627" t="s">
        <v>57</v>
      </c>
      <c r="K2627" t="s">
        <v>1341</v>
      </c>
      <c r="L2627" t="s">
        <v>1364</v>
      </c>
      <c r="M2627" t="s">
        <v>60</v>
      </c>
      <c r="O2627" t="s">
        <v>87</v>
      </c>
      <c r="P2627" t="s">
        <v>224</v>
      </c>
      <c r="R2627" t="s">
        <v>183</v>
      </c>
      <c r="S2627" t="s">
        <v>64</v>
      </c>
      <c r="T2627">
        <v>246.7</v>
      </c>
      <c r="U2627">
        <v>242</v>
      </c>
      <c r="V2627">
        <f t="shared" ref="V2627:V2690" si="82">(T2627+U2627)/2</f>
        <v>244.35</v>
      </c>
      <c r="W2627">
        <f t="shared" ref="W2627:W2690" si="83">T2627-U2627</f>
        <v>4.6999999999999886</v>
      </c>
      <c r="X2627">
        <v>35.233299000000002</v>
      </c>
      <c r="Y2627">
        <v>-10.283300000000001</v>
      </c>
      <c r="Z2627" t="s">
        <v>1365</v>
      </c>
      <c r="AA2627" t="s">
        <v>1366</v>
      </c>
      <c r="AB2627" t="s">
        <v>1367</v>
      </c>
      <c r="AC2627" t="s">
        <v>1368</v>
      </c>
      <c r="AD2627" t="s">
        <v>1369</v>
      </c>
      <c r="AF2627" t="s">
        <v>1370</v>
      </c>
      <c r="AG2627" t="s">
        <v>1371</v>
      </c>
      <c r="AH2627" t="s">
        <v>72</v>
      </c>
      <c r="AI2627" t="s">
        <v>693</v>
      </c>
      <c r="AJ2627">
        <v>1939</v>
      </c>
      <c r="AK2627" t="s">
        <v>1372</v>
      </c>
      <c r="AN2627" t="s">
        <v>114</v>
      </c>
      <c r="AO2627">
        <v>4</v>
      </c>
      <c r="AP2627" t="s">
        <v>78</v>
      </c>
      <c r="AQ2627" t="s">
        <v>1373</v>
      </c>
      <c r="AR2627" t="s">
        <v>80</v>
      </c>
      <c r="AS2627">
        <v>701</v>
      </c>
      <c r="AT2627" t="s">
        <v>81</v>
      </c>
      <c r="AU2627">
        <v>20.55</v>
      </c>
      <c r="AV2627">
        <v>-40.409999999999997</v>
      </c>
      <c r="AW2627" t="s">
        <v>82</v>
      </c>
      <c r="AX2627">
        <v>709</v>
      </c>
      <c r="AY2627" t="s">
        <v>81</v>
      </c>
      <c r="AZ2627">
        <v>22.52</v>
      </c>
      <c r="BA2627">
        <v>-53.41</v>
      </c>
      <c r="BB2627" t="s">
        <v>83</v>
      </c>
    </row>
    <row r="2628" spans="1:54" x14ac:dyDescent="0.4">
      <c r="A2628">
        <v>792535</v>
      </c>
      <c r="D2628" t="s">
        <v>54</v>
      </c>
      <c r="E2628" t="s">
        <v>55</v>
      </c>
      <c r="G2628">
        <v>1</v>
      </c>
      <c r="H2628" t="s">
        <v>56</v>
      </c>
      <c r="I2628" t="s">
        <v>57</v>
      </c>
      <c r="K2628" t="s">
        <v>141</v>
      </c>
      <c r="L2628" t="s">
        <v>2021</v>
      </c>
      <c r="M2628" t="s">
        <v>60</v>
      </c>
      <c r="P2628" t="s">
        <v>224</v>
      </c>
      <c r="R2628" t="s">
        <v>183</v>
      </c>
      <c r="S2628" t="s">
        <v>64</v>
      </c>
      <c r="T2628">
        <v>246.7</v>
      </c>
      <c r="U2628">
        <v>242</v>
      </c>
      <c r="V2628">
        <f t="shared" si="82"/>
        <v>244.35</v>
      </c>
      <c r="W2628">
        <f t="shared" si="83"/>
        <v>4.6999999999999886</v>
      </c>
      <c r="X2628">
        <v>26.708331999999999</v>
      </c>
      <c r="Y2628">
        <v>-30.691668</v>
      </c>
      <c r="Z2628" t="s">
        <v>836</v>
      </c>
      <c r="AA2628" t="s">
        <v>106</v>
      </c>
      <c r="AB2628" t="s">
        <v>107</v>
      </c>
      <c r="AC2628" t="s">
        <v>2022</v>
      </c>
      <c r="AD2628" t="s">
        <v>2023</v>
      </c>
      <c r="AE2628" t="s">
        <v>110</v>
      </c>
      <c r="AG2628" t="s">
        <v>2024</v>
      </c>
      <c r="AH2628" t="s">
        <v>72</v>
      </c>
      <c r="AI2628" t="s">
        <v>2025</v>
      </c>
      <c r="AJ2628">
        <v>1965</v>
      </c>
      <c r="AK2628" t="s">
        <v>2026</v>
      </c>
      <c r="AM2628" t="s">
        <v>2027</v>
      </c>
      <c r="AN2628" t="s">
        <v>114</v>
      </c>
      <c r="AO2628" t="s">
        <v>77</v>
      </c>
      <c r="AP2628" t="s">
        <v>78</v>
      </c>
      <c r="AQ2628" t="s">
        <v>2028</v>
      </c>
      <c r="AR2628" t="s">
        <v>80</v>
      </c>
      <c r="AS2628">
        <v>701</v>
      </c>
      <c r="AT2628" t="s">
        <v>81</v>
      </c>
      <c r="AU2628">
        <v>-7.31</v>
      </c>
      <c r="AV2628">
        <v>-50.77</v>
      </c>
      <c r="AW2628" t="s">
        <v>82</v>
      </c>
      <c r="AX2628">
        <v>701</v>
      </c>
      <c r="AY2628" t="s">
        <v>81</v>
      </c>
      <c r="AZ2628">
        <v>-13.04</v>
      </c>
      <c r="BA2628">
        <v>-66.349999999999994</v>
      </c>
      <c r="BB2628" t="s">
        <v>83</v>
      </c>
    </row>
    <row r="2629" spans="1:54" x14ac:dyDescent="0.4">
      <c r="A2629">
        <v>792535</v>
      </c>
      <c r="D2629" t="s">
        <v>54</v>
      </c>
      <c r="E2629" t="s">
        <v>55</v>
      </c>
      <c r="G2629">
        <v>1</v>
      </c>
      <c r="H2629" t="s">
        <v>56</v>
      </c>
      <c r="I2629" t="s">
        <v>57</v>
      </c>
      <c r="K2629" t="s">
        <v>141</v>
      </c>
      <c r="L2629" t="s">
        <v>2021</v>
      </c>
      <c r="M2629" t="s">
        <v>60</v>
      </c>
      <c r="P2629" t="s">
        <v>224</v>
      </c>
      <c r="R2629" t="s">
        <v>183</v>
      </c>
      <c r="S2629" t="s">
        <v>64</v>
      </c>
      <c r="T2629">
        <v>246.7</v>
      </c>
      <c r="U2629">
        <v>242</v>
      </c>
      <c r="V2629">
        <f t="shared" si="82"/>
        <v>244.35</v>
      </c>
      <c r="W2629">
        <f t="shared" si="83"/>
        <v>4.6999999999999886</v>
      </c>
      <c r="X2629">
        <v>26.708331999999999</v>
      </c>
      <c r="Y2629">
        <v>-30.691668</v>
      </c>
      <c r="Z2629" t="s">
        <v>836</v>
      </c>
      <c r="AA2629" t="s">
        <v>106</v>
      </c>
      <c r="AB2629" t="s">
        <v>107</v>
      </c>
      <c r="AC2629" t="s">
        <v>2022</v>
      </c>
      <c r="AD2629" t="s">
        <v>2023</v>
      </c>
      <c r="AE2629" t="s">
        <v>110</v>
      </c>
      <c r="AG2629" t="s">
        <v>2024</v>
      </c>
      <c r="AH2629" t="s">
        <v>72</v>
      </c>
      <c r="AI2629" t="s">
        <v>2025</v>
      </c>
      <c r="AJ2629">
        <v>1965</v>
      </c>
      <c r="AK2629" t="s">
        <v>2026</v>
      </c>
      <c r="AM2629" t="s">
        <v>2027</v>
      </c>
      <c r="AN2629" t="s">
        <v>114</v>
      </c>
      <c r="AO2629" t="s">
        <v>77</v>
      </c>
      <c r="AP2629" t="s">
        <v>78</v>
      </c>
      <c r="AQ2629" t="s">
        <v>2028</v>
      </c>
      <c r="AR2629" t="s">
        <v>80</v>
      </c>
      <c r="AS2629">
        <v>701</v>
      </c>
      <c r="AT2629" t="s">
        <v>81</v>
      </c>
      <c r="AU2629">
        <v>-7.31</v>
      </c>
      <c r="AV2629">
        <v>-50.77</v>
      </c>
      <c r="AW2629" t="s">
        <v>82</v>
      </c>
      <c r="AX2629">
        <v>701</v>
      </c>
      <c r="AY2629" t="s">
        <v>81</v>
      </c>
      <c r="AZ2629">
        <v>-13.04</v>
      </c>
      <c r="BA2629">
        <v>-66.349999999999994</v>
      </c>
      <c r="BB2629" t="s">
        <v>83</v>
      </c>
    </row>
    <row r="2630" spans="1:54" x14ac:dyDescent="0.4">
      <c r="A2630">
        <v>792535</v>
      </c>
      <c r="D2630" t="s">
        <v>54</v>
      </c>
      <c r="E2630" t="s">
        <v>55</v>
      </c>
      <c r="G2630">
        <v>1</v>
      </c>
      <c r="H2630" t="s">
        <v>56</v>
      </c>
      <c r="I2630" t="s">
        <v>57</v>
      </c>
      <c r="K2630" t="s">
        <v>141</v>
      </c>
      <c r="L2630" t="s">
        <v>2021</v>
      </c>
      <c r="M2630" t="s">
        <v>60</v>
      </c>
      <c r="P2630" t="s">
        <v>224</v>
      </c>
      <c r="R2630" t="s">
        <v>183</v>
      </c>
      <c r="S2630" t="s">
        <v>64</v>
      </c>
      <c r="T2630">
        <v>246.7</v>
      </c>
      <c r="U2630">
        <v>242</v>
      </c>
      <c r="V2630">
        <f t="shared" si="82"/>
        <v>244.35</v>
      </c>
      <c r="W2630">
        <f t="shared" si="83"/>
        <v>4.6999999999999886</v>
      </c>
      <c r="X2630">
        <v>26.708331999999999</v>
      </c>
      <c r="Y2630">
        <v>-30.691668</v>
      </c>
      <c r="Z2630" t="s">
        <v>836</v>
      </c>
      <c r="AA2630" t="s">
        <v>106</v>
      </c>
      <c r="AB2630" t="s">
        <v>107</v>
      </c>
      <c r="AC2630" t="s">
        <v>2022</v>
      </c>
      <c r="AD2630" t="s">
        <v>2023</v>
      </c>
      <c r="AE2630" t="s">
        <v>110</v>
      </c>
      <c r="AG2630" t="s">
        <v>2024</v>
      </c>
      <c r="AH2630" t="s">
        <v>72</v>
      </c>
      <c r="AI2630" t="s">
        <v>2025</v>
      </c>
      <c r="AJ2630">
        <v>1965</v>
      </c>
      <c r="AK2630" t="s">
        <v>2026</v>
      </c>
      <c r="AM2630" t="s">
        <v>2027</v>
      </c>
      <c r="AN2630" t="s">
        <v>114</v>
      </c>
      <c r="AO2630" t="s">
        <v>77</v>
      </c>
      <c r="AP2630" t="s">
        <v>78</v>
      </c>
      <c r="AQ2630" t="s">
        <v>2028</v>
      </c>
      <c r="AR2630" t="s">
        <v>80</v>
      </c>
      <c r="AS2630">
        <v>701</v>
      </c>
      <c r="AT2630" t="s">
        <v>81</v>
      </c>
      <c r="AU2630">
        <v>-7.31</v>
      </c>
      <c r="AV2630">
        <v>-50.77</v>
      </c>
      <c r="AW2630" t="s">
        <v>82</v>
      </c>
      <c r="AX2630">
        <v>701</v>
      </c>
      <c r="AY2630" t="s">
        <v>81</v>
      </c>
      <c r="AZ2630">
        <v>-13.04</v>
      </c>
      <c r="BA2630">
        <v>-66.349999999999994</v>
      </c>
      <c r="BB2630" t="s">
        <v>83</v>
      </c>
    </row>
    <row r="2631" spans="1:54" x14ac:dyDescent="0.4">
      <c r="A2631">
        <v>792535</v>
      </c>
      <c r="D2631" t="s">
        <v>54</v>
      </c>
      <c r="E2631" t="s">
        <v>55</v>
      </c>
      <c r="G2631">
        <v>1</v>
      </c>
      <c r="H2631" t="s">
        <v>56</v>
      </c>
      <c r="I2631" t="s">
        <v>57</v>
      </c>
      <c r="K2631" t="s">
        <v>141</v>
      </c>
      <c r="L2631" t="s">
        <v>2021</v>
      </c>
      <c r="M2631" t="s">
        <v>60</v>
      </c>
      <c r="P2631" t="s">
        <v>224</v>
      </c>
      <c r="R2631" t="s">
        <v>183</v>
      </c>
      <c r="S2631" t="s">
        <v>64</v>
      </c>
      <c r="T2631">
        <v>246.7</v>
      </c>
      <c r="U2631">
        <v>242</v>
      </c>
      <c r="V2631">
        <f t="shared" si="82"/>
        <v>244.35</v>
      </c>
      <c r="W2631">
        <f t="shared" si="83"/>
        <v>4.6999999999999886</v>
      </c>
      <c r="X2631">
        <v>26.708331999999999</v>
      </c>
      <c r="Y2631">
        <v>-30.691668</v>
      </c>
      <c r="Z2631" t="s">
        <v>836</v>
      </c>
      <c r="AA2631" t="s">
        <v>106</v>
      </c>
      <c r="AB2631" t="s">
        <v>107</v>
      </c>
      <c r="AC2631" t="s">
        <v>2022</v>
      </c>
      <c r="AD2631" t="s">
        <v>2023</v>
      </c>
      <c r="AE2631" t="s">
        <v>110</v>
      </c>
      <c r="AG2631" t="s">
        <v>2024</v>
      </c>
      <c r="AH2631" t="s">
        <v>72</v>
      </c>
      <c r="AI2631" t="s">
        <v>2025</v>
      </c>
      <c r="AJ2631">
        <v>1965</v>
      </c>
      <c r="AK2631" t="s">
        <v>2026</v>
      </c>
      <c r="AM2631" t="s">
        <v>2027</v>
      </c>
      <c r="AN2631" t="s">
        <v>114</v>
      </c>
      <c r="AO2631" t="s">
        <v>77</v>
      </c>
      <c r="AP2631" t="s">
        <v>78</v>
      </c>
      <c r="AQ2631" t="s">
        <v>2028</v>
      </c>
      <c r="AR2631" t="s">
        <v>80</v>
      </c>
      <c r="AS2631">
        <v>701</v>
      </c>
      <c r="AT2631" t="s">
        <v>81</v>
      </c>
      <c r="AU2631">
        <v>-7.31</v>
      </c>
      <c r="AV2631">
        <v>-50.77</v>
      </c>
      <c r="AW2631" t="s">
        <v>82</v>
      </c>
      <c r="AX2631">
        <v>701</v>
      </c>
      <c r="AY2631" t="s">
        <v>81</v>
      </c>
      <c r="AZ2631">
        <v>-13.04</v>
      </c>
      <c r="BA2631">
        <v>-66.349999999999994</v>
      </c>
      <c r="BB2631" t="s">
        <v>83</v>
      </c>
    </row>
    <row r="2632" spans="1:54" x14ac:dyDescent="0.4">
      <c r="A2632">
        <v>792535</v>
      </c>
      <c r="D2632" t="s">
        <v>54</v>
      </c>
      <c r="E2632" t="s">
        <v>55</v>
      </c>
      <c r="G2632">
        <v>1</v>
      </c>
      <c r="H2632" t="s">
        <v>56</v>
      </c>
      <c r="I2632" t="s">
        <v>57</v>
      </c>
      <c r="K2632" t="s">
        <v>141</v>
      </c>
      <c r="L2632" t="s">
        <v>2021</v>
      </c>
      <c r="M2632" t="s">
        <v>60</v>
      </c>
      <c r="P2632" t="s">
        <v>224</v>
      </c>
      <c r="R2632" t="s">
        <v>183</v>
      </c>
      <c r="S2632" t="s">
        <v>64</v>
      </c>
      <c r="T2632">
        <v>246.7</v>
      </c>
      <c r="U2632">
        <v>242</v>
      </c>
      <c r="V2632">
        <f t="shared" si="82"/>
        <v>244.35</v>
      </c>
      <c r="W2632">
        <f t="shared" si="83"/>
        <v>4.6999999999999886</v>
      </c>
      <c r="X2632">
        <v>26.708331999999999</v>
      </c>
      <c r="Y2632">
        <v>-30.691668</v>
      </c>
      <c r="Z2632" t="s">
        <v>836</v>
      </c>
      <c r="AA2632" t="s">
        <v>106</v>
      </c>
      <c r="AB2632" t="s">
        <v>107</v>
      </c>
      <c r="AC2632" t="s">
        <v>2022</v>
      </c>
      <c r="AD2632" t="s">
        <v>2023</v>
      </c>
      <c r="AE2632" t="s">
        <v>110</v>
      </c>
      <c r="AG2632" t="s">
        <v>2024</v>
      </c>
      <c r="AH2632" t="s">
        <v>72</v>
      </c>
      <c r="AI2632" t="s">
        <v>2025</v>
      </c>
      <c r="AJ2632">
        <v>1965</v>
      </c>
      <c r="AK2632" t="s">
        <v>2026</v>
      </c>
      <c r="AM2632" t="s">
        <v>2027</v>
      </c>
      <c r="AN2632" t="s">
        <v>114</v>
      </c>
      <c r="AO2632" t="s">
        <v>77</v>
      </c>
      <c r="AP2632" t="s">
        <v>78</v>
      </c>
      <c r="AQ2632" t="s">
        <v>2028</v>
      </c>
      <c r="AR2632" t="s">
        <v>80</v>
      </c>
      <c r="AS2632">
        <v>701</v>
      </c>
      <c r="AT2632" t="s">
        <v>81</v>
      </c>
      <c r="AU2632">
        <v>-7.31</v>
      </c>
      <c r="AV2632">
        <v>-50.77</v>
      </c>
      <c r="AW2632" t="s">
        <v>82</v>
      </c>
      <c r="AX2632">
        <v>701</v>
      </c>
      <c r="AY2632" t="s">
        <v>81</v>
      </c>
      <c r="AZ2632">
        <v>-13.04</v>
      </c>
      <c r="BA2632">
        <v>-66.349999999999994</v>
      </c>
      <c r="BB2632" t="s">
        <v>83</v>
      </c>
    </row>
    <row r="2633" spans="1:54" x14ac:dyDescent="0.4">
      <c r="A2633">
        <v>792535</v>
      </c>
      <c r="D2633" t="s">
        <v>54</v>
      </c>
      <c r="E2633" t="s">
        <v>55</v>
      </c>
      <c r="G2633">
        <v>1</v>
      </c>
      <c r="H2633" t="s">
        <v>56</v>
      </c>
      <c r="I2633" t="s">
        <v>57</v>
      </c>
      <c r="K2633" t="s">
        <v>141</v>
      </c>
      <c r="L2633" t="s">
        <v>2021</v>
      </c>
      <c r="M2633" t="s">
        <v>60</v>
      </c>
      <c r="P2633" t="s">
        <v>224</v>
      </c>
      <c r="R2633" t="s">
        <v>183</v>
      </c>
      <c r="S2633" t="s">
        <v>64</v>
      </c>
      <c r="T2633">
        <v>246.7</v>
      </c>
      <c r="U2633">
        <v>242</v>
      </c>
      <c r="V2633">
        <f t="shared" si="82"/>
        <v>244.35</v>
      </c>
      <c r="W2633">
        <f t="shared" si="83"/>
        <v>4.6999999999999886</v>
      </c>
      <c r="X2633">
        <v>26.708331999999999</v>
      </c>
      <c r="Y2633">
        <v>-30.691668</v>
      </c>
      <c r="Z2633" t="s">
        <v>836</v>
      </c>
      <c r="AA2633" t="s">
        <v>106</v>
      </c>
      <c r="AB2633" t="s">
        <v>107</v>
      </c>
      <c r="AC2633" t="s">
        <v>2022</v>
      </c>
      <c r="AD2633" t="s">
        <v>2023</v>
      </c>
      <c r="AE2633" t="s">
        <v>110</v>
      </c>
      <c r="AG2633" t="s">
        <v>2024</v>
      </c>
      <c r="AH2633" t="s">
        <v>72</v>
      </c>
      <c r="AI2633" t="s">
        <v>2025</v>
      </c>
      <c r="AJ2633">
        <v>1965</v>
      </c>
      <c r="AK2633" t="s">
        <v>2026</v>
      </c>
      <c r="AM2633" t="s">
        <v>2027</v>
      </c>
      <c r="AN2633" t="s">
        <v>114</v>
      </c>
      <c r="AO2633" t="s">
        <v>77</v>
      </c>
      <c r="AP2633" t="s">
        <v>78</v>
      </c>
      <c r="AQ2633" t="s">
        <v>2028</v>
      </c>
      <c r="AR2633" t="s">
        <v>80</v>
      </c>
      <c r="AS2633">
        <v>701</v>
      </c>
      <c r="AT2633" t="s">
        <v>81</v>
      </c>
      <c r="AU2633">
        <v>-7.31</v>
      </c>
      <c r="AV2633">
        <v>-50.77</v>
      </c>
      <c r="AW2633" t="s">
        <v>82</v>
      </c>
      <c r="AX2633">
        <v>701</v>
      </c>
      <c r="AY2633" t="s">
        <v>81</v>
      </c>
      <c r="AZ2633">
        <v>-13.04</v>
      </c>
      <c r="BA2633">
        <v>-66.349999999999994</v>
      </c>
      <c r="BB2633" t="s">
        <v>83</v>
      </c>
    </row>
    <row r="2634" spans="1:54" x14ac:dyDescent="0.4">
      <c r="A2634">
        <v>792535</v>
      </c>
      <c r="D2634" t="s">
        <v>54</v>
      </c>
      <c r="E2634" t="s">
        <v>55</v>
      </c>
      <c r="G2634">
        <v>1</v>
      </c>
      <c r="H2634" t="s">
        <v>56</v>
      </c>
      <c r="I2634" t="s">
        <v>57</v>
      </c>
      <c r="K2634" t="s">
        <v>141</v>
      </c>
      <c r="L2634" t="s">
        <v>2021</v>
      </c>
      <c r="M2634" t="s">
        <v>60</v>
      </c>
      <c r="P2634" t="s">
        <v>224</v>
      </c>
      <c r="R2634" t="s">
        <v>183</v>
      </c>
      <c r="S2634" t="s">
        <v>64</v>
      </c>
      <c r="T2634">
        <v>246.7</v>
      </c>
      <c r="U2634">
        <v>242</v>
      </c>
      <c r="V2634">
        <f t="shared" si="82"/>
        <v>244.35</v>
      </c>
      <c r="W2634">
        <f t="shared" si="83"/>
        <v>4.6999999999999886</v>
      </c>
      <c r="X2634">
        <v>26.708331999999999</v>
      </c>
      <c r="Y2634">
        <v>-30.691668</v>
      </c>
      <c r="Z2634" t="s">
        <v>836</v>
      </c>
      <c r="AA2634" t="s">
        <v>106</v>
      </c>
      <c r="AB2634" t="s">
        <v>107</v>
      </c>
      <c r="AC2634" t="s">
        <v>2022</v>
      </c>
      <c r="AD2634" t="s">
        <v>2023</v>
      </c>
      <c r="AE2634" t="s">
        <v>110</v>
      </c>
      <c r="AG2634" t="s">
        <v>2024</v>
      </c>
      <c r="AH2634" t="s">
        <v>72</v>
      </c>
      <c r="AI2634" t="s">
        <v>2025</v>
      </c>
      <c r="AJ2634">
        <v>1965</v>
      </c>
      <c r="AK2634" t="s">
        <v>2026</v>
      </c>
      <c r="AM2634" t="s">
        <v>2027</v>
      </c>
      <c r="AN2634" t="s">
        <v>114</v>
      </c>
      <c r="AO2634" t="s">
        <v>77</v>
      </c>
      <c r="AP2634" t="s">
        <v>78</v>
      </c>
      <c r="AQ2634" t="s">
        <v>2028</v>
      </c>
      <c r="AR2634" t="s">
        <v>80</v>
      </c>
      <c r="AS2634">
        <v>701</v>
      </c>
      <c r="AT2634" t="s">
        <v>81</v>
      </c>
      <c r="AU2634">
        <v>-7.31</v>
      </c>
      <c r="AV2634">
        <v>-50.77</v>
      </c>
      <c r="AW2634" t="s">
        <v>82</v>
      </c>
      <c r="AX2634">
        <v>701</v>
      </c>
      <c r="AY2634" t="s">
        <v>81</v>
      </c>
      <c r="AZ2634">
        <v>-13.04</v>
      </c>
      <c r="BA2634">
        <v>-66.349999999999994</v>
      </c>
      <c r="BB2634" t="s">
        <v>83</v>
      </c>
    </row>
    <row r="2635" spans="1:54" x14ac:dyDescent="0.4">
      <c r="A2635">
        <v>792535</v>
      </c>
      <c r="D2635" t="s">
        <v>54</v>
      </c>
      <c r="E2635" t="s">
        <v>55</v>
      </c>
      <c r="G2635">
        <v>1</v>
      </c>
      <c r="H2635" t="s">
        <v>56</v>
      </c>
      <c r="I2635" t="s">
        <v>57</v>
      </c>
      <c r="K2635" t="s">
        <v>141</v>
      </c>
      <c r="L2635" t="s">
        <v>2021</v>
      </c>
      <c r="M2635" t="s">
        <v>60</v>
      </c>
      <c r="P2635" t="s">
        <v>224</v>
      </c>
      <c r="R2635" t="s">
        <v>183</v>
      </c>
      <c r="S2635" t="s">
        <v>64</v>
      </c>
      <c r="T2635">
        <v>246.7</v>
      </c>
      <c r="U2635">
        <v>242</v>
      </c>
      <c r="V2635">
        <f t="shared" si="82"/>
        <v>244.35</v>
      </c>
      <c r="W2635">
        <f t="shared" si="83"/>
        <v>4.6999999999999886</v>
      </c>
      <c r="X2635">
        <v>26.708331999999999</v>
      </c>
      <c r="Y2635">
        <v>-30.691668</v>
      </c>
      <c r="Z2635" t="s">
        <v>836</v>
      </c>
      <c r="AA2635" t="s">
        <v>106</v>
      </c>
      <c r="AB2635" t="s">
        <v>107</v>
      </c>
      <c r="AC2635" t="s">
        <v>2022</v>
      </c>
      <c r="AD2635" t="s">
        <v>2023</v>
      </c>
      <c r="AE2635" t="s">
        <v>110</v>
      </c>
      <c r="AG2635" t="s">
        <v>2024</v>
      </c>
      <c r="AH2635" t="s">
        <v>72</v>
      </c>
      <c r="AI2635" t="s">
        <v>2025</v>
      </c>
      <c r="AJ2635">
        <v>1965</v>
      </c>
      <c r="AK2635" t="s">
        <v>2026</v>
      </c>
      <c r="AM2635" t="s">
        <v>2027</v>
      </c>
      <c r="AN2635" t="s">
        <v>114</v>
      </c>
      <c r="AO2635" t="s">
        <v>77</v>
      </c>
      <c r="AP2635" t="s">
        <v>78</v>
      </c>
      <c r="AQ2635" t="s">
        <v>2028</v>
      </c>
      <c r="AR2635" t="s">
        <v>80</v>
      </c>
      <c r="AS2635">
        <v>701</v>
      </c>
      <c r="AT2635" t="s">
        <v>81</v>
      </c>
      <c r="AU2635">
        <v>-7.31</v>
      </c>
      <c r="AV2635">
        <v>-50.77</v>
      </c>
      <c r="AW2635" t="s">
        <v>82</v>
      </c>
      <c r="AX2635">
        <v>701</v>
      </c>
      <c r="AY2635" t="s">
        <v>81</v>
      </c>
      <c r="AZ2635">
        <v>-13.04</v>
      </c>
      <c r="BA2635">
        <v>-66.349999999999994</v>
      </c>
      <c r="BB2635" t="s">
        <v>83</v>
      </c>
    </row>
    <row r="2636" spans="1:54" x14ac:dyDescent="0.4">
      <c r="A2636">
        <v>792535</v>
      </c>
      <c r="D2636" t="s">
        <v>54</v>
      </c>
      <c r="E2636" t="s">
        <v>55</v>
      </c>
      <c r="G2636">
        <v>1</v>
      </c>
      <c r="H2636" t="s">
        <v>56</v>
      </c>
      <c r="I2636" t="s">
        <v>57</v>
      </c>
      <c r="K2636" t="s">
        <v>141</v>
      </c>
      <c r="L2636" t="s">
        <v>2021</v>
      </c>
      <c r="M2636" t="s">
        <v>60</v>
      </c>
      <c r="P2636" t="s">
        <v>224</v>
      </c>
      <c r="R2636" t="s">
        <v>183</v>
      </c>
      <c r="S2636" t="s">
        <v>64</v>
      </c>
      <c r="T2636">
        <v>246.7</v>
      </c>
      <c r="U2636">
        <v>242</v>
      </c>
      <c r="V2636">
        <f t="shared" si="82"/>
        <v>244.35</v>
      </c>
      <c r="W2636">
        <f t="shared" si="83"/>
        <v>4.6999999999999886</v>
      </c>
      <c r="X2636">
        <v>26.708331999999999</v>
      </c>
      <c r="Y2636">
        <v>-30.691668</v>
      </c>
      <c r="Z2636" t="s">
        <v>836</v>
      </c>
      <c r="AA2636" t="s">
        <v>106</v>
      </c>
      <c r="AB2636" t="s">
        <v>107</v>
      </c>
      <c r="AC2636" t="s">
        <v>2022</v>
      </c>
      <c r="AD2636" t="s">
        <v>2023</v>
      </c>
      <c r="AE2636" t="s">
        <v>110</v>
      </c>
      <c r="AG2636" t="s">
        <v>2024</v>
      </c>
      <c r="AH2636" t="s">
        <v>72</v>
      </c>
      <c r="AI2636" t="s">
        <v>2025</v>
      </c>
      <c r="AJ2636">
        <v>1965</v>
      </c>
      <c r="AK2636" t="s">
        <v>2026</v>
      </c>
      <c r="AM2636" t="s">
        <v>2027</v>
      </c>
      <c r="AN2636" t="s">
        <v>114</v>
      </c>
      <c r="AO2636" t="s">
        <v>77</v>
      </c>
      <c r="AP2636" t="s">
        <v>78</v>
      </c>
      <c r="AQ2636" t="s">
        <v>2028</v>
      </c>
      <c r="AR2636" t="s">
        <v>80</v>
      </c>
      <c r="AS2636">
        <v>701</v>
      </c>
      <c r="AT2636" t="s">
        <v>81</v>
      </c>
      <c r="AU2636">
        <v>-7.31</v>
      </c>
      <c r="AV2636">
        <v>-50.77</v>
      </c>
      <c r="AW2636" t="s">
        <v>82</v>
      </c>
      <c r="AX2636">
        <v>701</v>
      </c>
      <c r="AY2636" t="s">
        <v>81</v>
      </c>
      <c r="AZ2636">
        <v>-13.04</v>
      </c>
      <c r="BA2636">
        <v>-66.349999999999994</v>
      </c>
      <c r="BB2636" t="s">
        <v>83</v>
      </c>
    </row>
    <row r="2637" spans="1:54" x14ac:dyDescent="0.4">
      <c r="A2637">
        <v>792535</v>
      </c>
      <c r="D2637" t="s">
        <v>54</v>
      </c>
      <c r="E2637" t="s">
        <v>55</v>
      </c>
      <c r="G2637">
        <v>1</v>
      </c>
      <c r="H2637" t="s">
        <v>56</v>
      </c>
      <c r="I2637" t="s">
        <v>57</v>
      </c>
      <c r="K2637" t="s">
        <v>141</v>
      </c>
      <c r="L2637" t="s">
        <v>2021</v>
      </c>
      <c r="M2637" t="s">
        <v>60</v>
      </c>
      <c r="P2637" t="s">
        <v>224</v>
      </c>
      <c r="R2637" t="s">
        <v>183</v>
      </c>
      <c r="S2637" t="s">
        <v>64</v>
      </c>
      <c r="T2637">
        <v>246.7</v>
      </c>
      <c r="U2637">
        <v>242</v>
      </c>
      <c r="V2637">
        <f t="shared" si="82"/>
        <v>244.35</v>
      </c>
      <c r="W2637">
        <f t="shared" si="83"/>
        <v>4.6999999999999886</v>
      </c>
      <c r="X2637">
        <v>26.708331999999999</v>
      </c>
      <c r="Y2637">
        <v>-30.691668</v>
      </c>
      <c r="Z2637" t="s">
        <v>836</v>
      </c>
      <c r="AA2637" t="s">
        <v>106</v>
      </c>
      <c r="AB2637" t="s">
        <v>107</v>
      </c>
      <c r="AC2637" t="s">
        <v>2022</v>
      </c>
      <c r="AD2637" t="s">
        <v>2023</v>
      </c>
      <c r="AE2637" t="s">
        <v>110</v>
      </c>
      <c r="AG2637" t="s">
        <v>2024</v>
      </c>
      <c r="AH2637" t="s">
        <v>72</v>
      </c>
      <c r="AI2637" t="s">
        <v>2025</v>
      </c>
      <c r="AJ2637">
        <v>1965</v>
      </c>
      <c r="AK2637" t="s">
        <v>2026</v>
      </c>
      <c r="AM2637" t="s">
        <v>2027</v>
      </c>
      <c r="AN2637" t="s">
        <v>114</v>
      </c>
      <c r="AO2637" t="s">
        <v>77</v>
      </c>
      <c r="AP2637" t="s">
        <v>78</v>
      </c>
      <c r="AQ2637" t="s">
        <v>2028</v>
      </c>
      <c r="AR2637" t="s">
        <v>80</v>
      </c>
      <c r="AS2637">
        <v>701</v>
      </c>
      <c r="AT2637" t="s">
        <v>81</v>
      </c>
      <c r="AU2637">
        <v>-7.31</v>
      </c>
      <c r="AV2637">
        <v>-50.77</v>
      </c>
      <c r="AW2637" t="s">
        <v>82</v>
      </c>
      <c r="AX2637">
        <v>701</v>
      </c>
      <c r="AY2637" t="s">
        <v>81</v>
      </c>
      <c r="AZ2637">
        <v>-13.04</v>
      </c>
      <c r="BA2637">
        <v>-66.349999999999994</v>
      </c>
      <c r="BB2637" t="s">
        <v>83</v>
      </c>
    </row>
    <row r="2638" spans="1:54" x14ac:dyDescent="0.4">
      <c r="A2638">
        <v>792535</v>
      </c>
      <c r="D2638" t="s">
        <v>54</v>
      </c>
      <c r="E2638" t="s">
        <v>55</v>
      </c>
      <c r="G2638">
        <v>1</v>
      </c>
      <c r="H2638" t="s">
        <v>56</v>
      </c>
      <c r="I2638" t="s">
        <v>57</v>
      </c>
      <c r="K2638" t="s">
        <v>141</v>
      </c>
      <c r="L2638" t="s">
        <v>2021</v>
      </c>
      <c r="M2638" t="s">
        <v>60</v>
      </c>
      <c r="P2638" t="s">
        <v>224</v>
      </c>
      <c r="R2638" t="s">
        <v>183</v>
      </c>
      <c r="S2638" t="s">
        <v>64</v>
      </c>
      <c r="T2638">
        <v>246.7</v>
      </c>
      <c r="U2638">
        <v>242</v>
      </c>
      <c r="V2638">
        <f t="shared" si="82"/>
        <v>244.35</v>
      </c>
      <c r="W2638">
        <f t="shared" si="83"/>
        <v>4.6999999999999886</v>
      </c>
      <c r="X2638">
        <v>26.708331999999999</v>
      </c>
      <c r="Y2638">
        <v>-30.691668</v>
      </c>
      <c r="Z2638" t="s">
        <v>836</v>
      </c>
      <c r="AA2638" t="s">
        <v>106</v>
      </c>
      <c r="AB2638" t="s">
        <v>107</v>
      </c>
      <c r="AC2638" t="s">
        <v>2022</v>
      </c>
      <c r="AD2638" t="s">
        <v>2023</v>
      </c>
      <c r="AE2638" t="s">
        <v>110</v>
      </c>
      <c r="AG2638" t="s">
        <v>2024</v>
      </c>
      <c r="AH2638" t="s">
        <v>72</v>
      </c>
      <c r="AI2638" t="s">
        <v>2025</v>
      </c>
      <c r="AJ2638">
        <v>1965</v>
      </c>
      <c r="AK2638" t="s">
        <v>2026</v>
      </c>
      <c r="AM2638" t="s">
        <v>2027</v>
      </c>
      <c r="AN2638" t="s">
        <v>114</v>
      </c>
      <c r="AO2638" t="s">
        <v>77</v>
      </c>
      <c r="AP2638" t="s">
        <v>78</v>
      </c>
      <c r="AQ2638" t="s">
        <v>2028</v>
      </c>
      <c r="AR2638" t="s">
        <v>80</v>
      </c>
      <c r="AS2638">
        <v>701</v>
      </c>
      <c r="AT2638" t="s">
        <v>81</v>
      </c>
      <c r="AU2638">
        <v>-7.31</v>
      </c>
      <c r="AV2638">
        <v>-50.77</v>
      </c>
      <c r="AW2638" t="s">
        <v>82</v>
      </c>
      <c r="AX2638">
        <v>701</v>
      </c>
      <c r="AY2638" t="s">
        <v>81</v>
      </c>
      <c r="AZ2638">
        <v>-13.04</v>
      </c>
      <c r="BA2638">
        <v>-66.349999999999994</v>
      </c>
      <c r="BB2638" t="s">
        <v>83</v>
      </c>
    </row>
    <row r="2639" spans="1:54" x14ac:dyDescent="0.4">
      <c r="A2639">
        <v>792535</v>
      </c>
      <c r="D2639" t="s">
        <v>54</v>
      </c>
      <c r="E2639" t="s">
        <v>55</v>
      </c>
      <c r="G2639">
        <v>1</v>
      </c>
      <c r="H2639" t="s">
        <v>56</v>
      </c>
      <c r="I2639" t="s">
        <v>57</v>
      </c>
      <c r="K2639" t="s">
        <v>141</v>
      </c>
      <c r="L2639" t="s">
        <v>2021</v>
      </c>
      <c r="M2639" t="s">
        <v>60</v>
      </c>
      <c r="P2639" t="s">
        <v>224</v>
      </c>
      <c r="R2639" t="s">
        <v>183</v>
      </c>
      <c r="S2639" t="s">
        <v>64</v>
      </c>
      <c r="T2639">
        <v>246.7</v>
      </c>
      <c r="U2639">
        <v>242</v>
      </c>
      <c r="V2639">
        <f t="shared" si="82"/>
        <v>244.35</v>
      </c>
      <c r="W2639">
        <f t="shared" si="83"/>
        <v>4.6999999999999886</v>
      </c>
      <c r="X2639">
        <v>26.708331999999999</v>
      </c>
      <c r="Y2639">
        <v>-30.691668</v>
      </c>
      <c r="Z2639" t="s">
        <v>836</v>
      </c>
      <c r="AA2639" t="s">
        <v>106</v>
      </c>
      <c r="AB2639" t="s">
        <v>107</v>
      </c>
      <c r="AC2639" t="s">
        <v>2022</v>
      </c>
      <c r="AD2639" t="s">
        <v>2023</v>
      </c>
      <c r="AE2639" t="s">
        <v>110</v>
      </c>
      <c r="AG2639" t="s">
        <v>2024</v>
      </c>
      <c r="AH2639" t="s">
        <v>72</v>
      </c>
      <c r="AI2639" t="s">
        <v>2025</v>
      </c>
      <c r="AJ2639">
        <v>1965</v>
      </c>
      <c r="AK2639" t="s">
        <v>2026</v>
      </c>
      <c r="AM2639" t="s">
        <v>2027</v>
      </c>
      <c r="AN2639" t="s">
        <v>114</v>
      </c>
      <c r="AO2639" t="s">
        <v>77</v>
      </c>
      <c r="AP2639" t="s">
        <v>78</v>
      </c>
      <c r="AQ2639" t="s">
        <v>2028</v>
      </c>
      <c r="AR2639" t="s">
        <v>80</v>
      </c>
      <c r="AS2639">
        <v>701</v>
      </c>
      <c r="AT2639" t="s">
        <v>81</v>
      </c>
      <c r="AU2639">
        <v>-7.31</v>
      </c>
      <c r="AV2639">
        <v>-50.77</v>
      </c>
      <c r="AW2639" t="s">
        <v>82</v>
      </c>
      <c r="AX2639">
        <v>701</v>
      </c>
      <c r="AY2639" t="s">
        <v>81</v>
      </c>
      <c r="AZ2639">
        <v>-13.04</v>
      </c>
      <c r="BA2639">
        <v>-66.349999999999994</v>
      </c>
      <c r="BB2639" t="s">
        <v>83</v>
      </c>
    </row>
    <row r="2640" spans="1:54" x14ac:dyDescent="0.4">
      <c r="A2640">
        <v>792536</v>
      </c>
      <c r="D2640" t="s">
        <v>54</v>
      </c>
      <c r="E2640" t="s">
        <v>55</v>
      </c>
      <c r="G2640">
        <v>1</v>
      </c>
      <c r="H2640" t="s">
        <v>56</v>
      </c>
      <c r="I2640" t="s">
        <v>57</v>
      </c>
      <c r="K2640" t="s">
        <v>141</v>
      </c>
      <c r="L2640" t="s">
        <v>2029</v>
      </c>
      <c r="M2640" t="s">
        <v>60</v>
      </c>
      <c r="O2640" t="s">
        <v>170</v>
      </c>
      <c r="P2640" t="s">
        <v>224</v>
      </c>
      <c r="R2640" t="s">
        <v>183</v>
      </c>
      <c r="S2640" t="s">
        <v>64</v>
      </c>
      <c r="T2640">
        <v>246.7</v>
      </c>
      <c r="U2640">
        <v>242</v>
      </c>
      <c r="V2640">
        <f t="shared" si="82"/>
        <v>244.35</v>
      </c>
      <c r="W2640">
        <f t="shared" si="83"/>
        <v>4.6999999999999886</v>
      </c>
      <c r="X2640">
        <v>26.708331999999999</v>
      </c>
      <c r="Y2640">
        <v>-30.691668</v>
      </c>
      <c r="Z2640" t="s">
        <v>836</v>
      </c>
      <c r="AA2640" t="s">
        <v>106</v>
      </c>
      <c r="AB2640" t="s">
        <v>107</v>
      </c>
      <c r="AC2640" t="s">
        <v>2022</v>
      </c>
      <c r="AD2640" t="s">
        <v>2023</v>
      </c>
      <c r="AE2640" t="s">
        <v>110</v>
      </c>
      <c r="AG2640" t="s">
        <v>2024</v>
      </c>
      <c r="AH2640" t="s">
        <v>72</v>
      </c>
      <c r="AI2640" t="s">
        <v>2030</v>
      </c>
      <c r="AJ2640">
        <v>1998</v>
      </c>
      <c r="AK2640" t="s">
        <v>2026</v>
      </c>
      <c r="AM2640" t="s">
        <v>2027</v>
      </c>
      <c r="AN2640" t="s">
        <v>114</v>
      </c>
      <c r="AO2640" t="s">
        <v>77</v>
      </c>
      <c r="AP2640" t="s">
        <v>78</v>
      </c>
      <c r="AQ2640" t="s">
        <v>2028</v>
      </c>
      <c r="AR2640" t="s">
        <v>80</v>
      </c>
      <c r="AS2640">
        <v>701</v>
      </c>
      <c r="AT2640" t="s">
        <v>81</v>
      </c>
      <c r="AU2640">
        <v>-7.31</v>
      </c>
      <c r="AV2640">
        <v>-50.77</v>
      </c>
      <c r="AW2640" t="s">
        <v>82</v>
      </c>
      <c r="AX2640">
        <v>701</v>
      </c>
      <c r="AY2640" t="s">
        <v>81</v>
      </c>
      <c r="AZ2640">
        <v>-13.04</v>
      </c>
      <c r="BA2640">
        <v>-66.349999999999994</v>
      </c>
      <c r="BB2640" t="s">
        <v>83</v>
      </c>
    </row>
    <row r="2641" spans="1:54" x14ac:dyDescent="0.4">
      <c r="A2641">
        <v>792536</v>
      </c>
      <c r="D2641" t="s">
        <v>54</v>
      </c>
      <c r="E2641" t="s">
        <v>55</v>
      </c>
      <c r="G2641">
        <v>1</v>
      </c>
      <c r="H2641" t="s">
        <v>56</v>
      </c>
      <c r="I2641" t="s">
        <v>57</v>
      </c>
      <c r="K2641" t="s">
        <v>141</v>
      </c>
      <c r="L2641" t="s">
        <v>2029</v>
      </c>
      <c r="M2641" t="s">
        <v>60</v>
      </c>
      <c r="O2641" t="s">
        <v>170</v>
      </c>
      <c r="P2641" t="s">
        <v>224</v>
      </c>
      <c r="R2641" t="s">
        <v>183</v>
      </c>
      <c r="S2641" t="s">
        <v>64</v>
      </c>
      <c r="T2641">
        <v>246.7</v>
      </c>
      <c r="U2641">
        <v>242</v>
      </c>
      <c r="V2641">
        <f t="shared" si="82"/>
        <v>244.35</v>
      </c>
      <c r="W2641">
        <f t="shared" si="83"/>
        <v>4.6999999999999886</v>
      </c>
      <c r="X2641">
        <v>26.708331999999999</v>
      </c>
      <c r="Y2641">
        <v>-30.691668</v>
      </c>
      <c r="Z2641" t="s">
        <v>836</v>
      </c>
      <c r="AA2641" t="s">
        <v>106</v>
      </c>
      <c r="AB2641" t="s">
        <v>107</v>
      </c>
      <c r="AC2641" t="s">
        <v>2022</v>
      </c>
      <c r="AD2641" t="s">
        <v>2023</v>
      </c>
      <c r="AE2641" t="s">
        <v>110</v>
      </c>
      <c r="AG2641" t="s">
        <v>2024</v>
      </c>
      <c r="AH2641" t="s">
        <v>72</v>
      </c>
      <c r="AI2641" t="s">
        <v>2030</v>
      </c>
      <c r="AJ2641">
        <v>1998</v>
      </c>
      <c r="AK2641" t="s">
        <v>2026</v>
      </c>
      <c r="AM2641" t="s">
        <v>2027</v>
      </c>
      <c r="AN2641" t="s">
        <v>114</v>
      </c>
      <c r="AO2641" t="s">
        <v>77</v>
      </c>
      <c r="AP2641" t="s">
        <v>78</v>
      </c>
      <c r="AQ2641" t="s">
        <v>2028</v>
      </c>
      <c r="AR2641" t="s">
        <v>80</v>
      </c>
      <c r="AS2641">
        <v>701</v>
      </c>
      <c r="AT2641" t="s">
        <v>81</v>
      </c>
      <c r="AU2641">
        <v>-7.31</v>
      </c>
      <c r="AV2641">
        <v>-50.77</v>
      </c>
      <c r="AW2641" t="s">
        <v>82</v>
      </c>
      <c r="AX2641">
        <v>701</v>
      </c>
      <c r="AY2641" t="s">
        <v>81</v>
      </c>
      <c r="AZ2641">
        <v>-13.04</v>
      </c>
      <c r="BA2641">
        <v>-66.349999999999994</v>
      </c>
      <c r="BB2641" t="s">
        <v>83</v>
      </c>
    </row>
    <row r="2642" spans="1:54" x14ac:dyDescent="0.4">
      <c r="A2642">
        <v>792536</v>
      </c>
      <c r="D2642" t="s">
        <v>54</v>
      </c>
      <c r="E2642" t="s">
        <v>55</v>
      </c>
      <c r="G2642">
        <v>1</v>
      </c>
      <c r="H2642" t="s">
        <v>56</v>
      </c>
      <c r="I2642" t="s">
        <v>57</v>
      </c>
      <c r="K2642" t="s">
        <v>141</v>
      </c>
      <c r="L2642" t="s">
        <v>2029</v>
      </c>
      <c r="M2642" t="s">
        <v>60</v>
      </c>
      <c r="O2642" t="s">
        <v>170</v>
      </c>
      <c r="P2642" t="s">
        <v>224</v>
      </c>
      <c r="R2642" t="s">
        <v>183</v>
      </c>
      <c r="S2642" t="s">
        <v>64</v>
      </c>
      <c r="T2642">
        <v>246.7</v>
      </c>
      <c r="U2642">
        <v>242</v>
      </c>
      <c r="V2642">
        <f t="shared" si="82"/>
        <v>244.35</v>
      </c>
      <c r="W2642">
        <f t="shared" si="83"/>
        <v>4.6999999999999886</v>
      </c>
      <c r="X2642">
        <v>26.708331999999999</v>
      </c>
      <c r="Y2642">
        <v>-30.691668</v>
      </c>
      <c r="Z2642" t="s">
        <v>836</v>
      </c>
      <c r="AA2642" t="s">
        <v>106</v>
      </c>
      <c r="AB2642" t="s">
        <v>107</v>
      </c>
      <c r="AC2642" t="s">
        <v>2022</v>
      </c>
      <c r="AD2642" t="s">
        <v>2023</v>
      </c>
      <c r="AE2642" t="s">
        <v>110</v>
      </c>
      <c r="AG2642" t="s">
        <v>2024</v>
      </c>
      <c r="AH2642" t="s">
        <v>72</v>
      </c>
      <c r="AI2642" t="s">
        <v>2030</v>
      </c>
      <c r="AJ2642">
        <v>1998</v>
      </c>
      <c r="AK2642" t="s">
        <v>2026</v>
      </c>
      <c r="AM2642" t="s">
        <v>2027</v>
      </c>
      <c r="AN2642" t="s">
        <v>114</v>
      </c>
      <c r="AO2642" t="s">
        <v>77</v>
      </c>
      <c r="AP2642" t="s">
        <v>78</v>
      </c>
      <c r="AQ2642" t="s">
        <v>2028</v>
      </c>
      <c r="AR2642" t="s">
        <v>80</v>
      </c>
      <c r="AS2642">
        <v>701</v>
      </c>
      <c r="AT2642" t="s">
        <v>81</v>
      </c>
      <c r="AU2642">
        <v>-7.31</v>
      </c>
      <c r="AV2642">
        <v>-50.77</v>
      </c>
      <c r="AW2642" t="s">
        <v>82</v>
      </c>
      <c r="AX2642">
        <v>701</v>
      </c>
      <c r="AY2642" t="s">
        <v>81</v>
      </c>
      <c r="AZ2642">
        <v>-13.04</v>
      </c>
      <c r="BA2642">
        <v>-66.349999999999994</v>
      </c>
      <c r="BB2642" t="s">
        <v>83</v>
      </c>
    </row>
    <row r="2643" spans="1:54" x14ac:dyDescent="0.4">
      <c r="A2643">
        <v>792536</v>
      </c>
      <c r="D2643" t="s">
        <v>54</v>
      </c>
      <c r="E2643" t="s">
        <v>55</v>
      </c>
      <c r="G2643">
        <v>1</v>
      </c>
      <c r="H2643" t="s">
        <v>56</v>
      </c>
      <c r="I2643" t="s">
        <v>57</v>
      </c>
      <c r="K2643" t="s">
        <v>141</v>
      </c>
      <c r="L2643" t="s">
        <v>2029</v>
      </c>
      <c r="M2643" t="s">
        <v>60</v>
      </c>
      <c r="O2643" t="s">
        <v>170</v>
      </c>
      <c r="P2643" t="s">
        <v>224</v>
      </c>
      <c r="R2643" t="s">
        <v>183</v>
      </c>
      <c r="S2643" t="s">
        <v>64</v>
      </c>
      <c r="T2643">
        <v>246.7</v>
      </c>
      <c r="U2643">
        <v>242</v>
      </c>
      <c r="V2643">
        <f t="shared" si="82"/>
        <v>244.35</v>
      </c>
      <c r="W2643">
        <f t="shared" si="83"/>
        <v>4.6999999999999886</v>
      </c>
      <c r="X2643">
        <v>26.708331999999999</v>
      </c>
      <c r="Y2643">
        <v>-30.691668</v>
      </c>
      <c r="Z2643" t="s">
        <v>836</v>
      </c>
      <c r="AA2643" t="s">
        <v>106</v>
      </c>
      <c r="AB2643" t="s">
        <v>107</v>
      </c>
      <c r="AC2643" t="s">
        <v>2022</v>
      </c>
      <c r="AD2643" t="s">
        <v>2023</v>
      </c>
      <c r="AE2643" t="s">
        <v>110</v>
      </c>
      <c r="AG2643" t="s">
        <v>2024</v>
      </c>
      <c r="AH2643" t="s">
        <v>72</v>
      </c>
      <c r="AI2643" t="s">
        <v>2030</v>
      </c>
      <c r="AJ2643">
        <v>1998</v>
      </c>
      <c r="AK2643" t="s">
        <v>2026</v>
      </c>
      <c r="AM2643" t="s">
        <v>2027</v>
      </c>
      <c r="AN2643" t="s">
        <v>114</v>
      </c>
      <c r="AO2643" t="s">
        <v>77</v>
      </c>
      <c r="AP2643" t="s">
        <v>78</v>
      </c>
      <c r="AQ2643" t="s">
        <v>2028</v>
      </c>
      <c r="AR2643" t="s">
        <v>80</v>
      </c>
      <c r="AS2643">
        <v>701</v>
      </c>
      <c r="AT2643" t="s">
        <v>81</v>
      </c>
      <c r="AU2643">
        <v>-7.31</v>
      </c>
      <c r="AV2643">
        <v>-50.77</v>
      </c>
      <c r="AW2643" t="s">
        <v>82</v>
      </c>
      <c r="AX2643">
        <v>701</v>
      </c>
      <c r="AY2643" t="s">
        <v>81</v>
      </c>
      <c r="AZ2643">
        <v>-13.04</v>
      </c>
      <c r="BA2643">
        <v>-66.349999999999994</v>
      </c>
      <c r="BB2643" t="s">
        <v>83</v>
      </c>
    </row>
    <row r="2644" spans="1:54" x14ac:dyDescent="0.4">
      <c r="A2644">
        <v>792537</v>
      </c>
      <c r="D2644" t="s">
        <v>54</v>
      </c>
      <c r="E2644" t="s">
        <v>55</v>
      </c>
      <c r="G2644">
        <v>1</v>
      </c>
      <c r="H2644" t="s">
        <v>56</v>
      </c>
      <c r="I2644" t="s">
        <v>57</v>
      </c>
      <c r="K2644" t="s">
        <v>141</v>
      </c>
      <c r="L2644" t="s">
        <v>2021</v>
      </c>
      <c r="M2644" t="s">
        <v>60</v>
      </c>
      <c r="P2644" t="s">
        <v>224</v>
      </c>
      <c r="R2644" t="s">
        <v>183</v>
      </c>
      <c r="S2644" t="s">
        <v>64</v>
      </c>
      <c r="T2644">
        <v>246.7</v>
      </c>
      <c r="U2644">
        <v>242</v>
      </c>
      <c r="V2644">
        <f t="shared" si="82"/>
        <v>244.35</v>
      </c>
      <c r="W2644">
        <f t="shared" si="83"/>
        <v>4.6999999999999886</v>
      </c>
      <c r="X2644">
        <v>26.708331999999999</v>
      </c>
      <c r="Y2644">
        <v>-30.691668</v>
      </c>
      <c r="Z2644" t="s">
        <v>836</v>
      </c>
      <c r="AA2644" t="s">
        <v>106</v>
      </c>
      <c r="AB2644" t="s">
        <v>107</v>
      </c>
      <c r="AC2644" t="s">
        <v>2022</v>
      </c>
      <c r="AD2644" t="s">
        <v>2023</v>
      </c>
      <c r="AE2644" t="s">
        <v>110</v>
      </c>
      <c r="AG2644" t="s">
        <v>2024</v>
      </c>
      <c r="AH2644" t="s">
        <v>72</v>
      </c>
      <c r="AI2644" t="s">
        <v>111</v>
      </c>
      <c r="AJ2644">
        <v>1913</v>
      </c>
      <c r="AK2644" t="s">
        <v>2026</v>
      </c>
      <c r="AM2644" t="s">
        <v>2027</v>
      </c>
      <c r="AN2644" t="s">
        <v>114</v>
      </c>
      <c r="AO2644" t="s">
        <v>77</v>
      </c>
      <c r="AP2644" t="s">
        <v>78</v>
      </c>
      <c r="AQ2644" t="s">
        <v>2028</v>
      </c>
      <c r="AR2644" t="s">
        <v>80</v>
      </c>
      <c r="AS2644">
        <v>701</v>
      </c>
      <c r="AT2644" t="s">
        <v>81</v>
      </c>
      <c r="AU2644">
        <v>-7.31</v>
      </c>
      <c r="AV2644">
        <v>-50.77</v>
      </c>
      <c r="AW2644" t="s">
        <v>82</v>
      </c>
      <c r="AX2644">
        <v>701</v>
      </c>
      <c r="AY2644" t="s">
        <v>81</v>
      </c>
      <c r="AZ2644">
        <v>-13.04</v>
      </c>
      <c r="BA2644">
        <v>-66.349999999999994</v>
      </c>
      <c r="BB2644" t="s">
        <v>83</v>
      </c>
    </row>
    <row r="2645" spans="1:54" x14ac:dyDescent="0.4">
      <c r="A2645">
        <v>797942</v>
      </c>
      <c r="D2645" t="s">
        <v>853</v>
      </c>
      <c r="E2645" t="s">
        <v>310</v>
      </c>
      <c r="G2645">
        <v>1</v>
      </c>
      <c r="H2645" t="s">
        <v>56</v>
      </c>
      <c r="I2645" t="s">
        <v>57</v>
      </c>
      <c r="K2645" t="s">
        <v>746</v>
      </c>
      <c r="L2645" t="s">
        <v>2072</v>
      </c>
      <c r="M2645" t="s">
        <v>60</v>
      </c>
      <c r="P2645" t="s">
        <v>224</v>
      </c>
      <c r="R2645" t="s">
        <v>183</v>
      </c>
      <c r="S2645" t="s">
        <v>64</v>
      </c>
      <c r="T2645">
        <v>246.7</v>
      </c>
      <c r="U2645">
        <v>242</v>
      </c>
      <c r="V2645">
        <f t="shared" si="82"/>
        <v>244.35</v>
      </c>
      <c r="W2645">
        <f t="shared" si="83"/>
        <v>4.6999999999999886</v>
      </c>
      <c r="X2645">
        <v>8.9366669999999999</v>
      </c>
      <c r="Y2645">
        <v>45.910277999999998</v>
      </c>
      <c r="Z2645" t="s">
        <v>1415</v>
      </c>
      <c r="AA2645" t="s">
        <v>226</v>
      </c>
      <c r="AB2645" t="s">
        <v>2079</v>
      </c>
      <c r="AC2645" t="s">
        <v>2080</v>
      </c>
      <c r="AD2645" t="s">
        <v>2075</v>
      </c>
      <c r="AF2645" t="s">
        <v>2081</v>
      </c>
      <c r="AG2645" t="s">
        <v>2082</v>
      </c>
      <c r="AH2645" t="s">
        <v>72</v>
      </c>
      <c r="AI2645" t="s">
        <v>757</v>
      </c>
      <c r="AJ2645">
        <v>1962</v>
      </c>
      <c r="AK2645" t="s">
        <v>2083</v>
      </c>
      <c r="AM2645" t="s">
        <v>2084</v>
      </c>
      <c r="AN2645" t="s">
        <v>192</v>
      </c>
      <c r="AO2645" t="s">
        <v>77</v>
      </c>
      <c r="AP2645" t="s">
        <v>115</v>
      </c>
      <c r="AQ2645" t="s">
        <v>2085</v>
      </c>
      <c r="AR2645" t="s">
        <v>80</v>
      </c>
      <c r="AS2645">
        <v>307</v>
      </c>
      <c r="AT2645" t="s">
        <v>81</v>
      </c>
      <c r="AU2645">
        <v>34.28</v>
      </c>
      <c r="AV2645">
        <v>16.7</v>
      </c>
      <c r="AW2645" t="s">
        <v>82</v>
      </c>
      <c r="AX2645">
        <v>307</v>
      </c>
      <c r="AY2645" t="s">
        <v>81</v>
      </c>
      <c r="AZ2645">
        <v>22.06</v>
      </c>
      <c r="BA2645">
        <v>7.2</v>
      </c>
      <c r="BB2645" t="s">
        <v>83</v>
      </c>
    </row>
    <row r="2646" spans="1:54" x14ac:dyDescent="0.4">
      <c r="A2646">
        <v>797942</v>
      </c>
      <c r="D2646" t="s">
        <v>853</v>
      </c>
      <c r="E2646" t="s">
        <v>310</v>
      </c>
      <c r="G2646">
        <v>1</v>
      </c>
      <c r="H2646" t="s">
        <v>56</v>
      </c>
      <c r="I2646" t="s">
        <v>57</v>
      </c>
      <c r="K2646" t="s">
        <v>746</v>
      </c>
      <c r="L2646" t="s">
        <v>2072</v>
      </c>
      <c r="M2646" t="s">
        <v>60</v>
      </c>
      <c r="P2646" t="s">
        <v>224</v>
      </c>
      <c r="R2646" t="s">
        <v>183</v>
      </c>
      <c r="S2646" t="s">
        <v>64</v>
      </c>
      <c r="T2646">
        <v>246.7</v>
      </c>
      <c r="U2646">
        <v>242</v>
      </c>
      <c r="V2646">
        <f t="shared" si="82"/>
        <v>244.35</v>
      </c>
      <c r="W2646">
        <f t="shared" si="83"/>
        <v>4.6999999999999886</v>
      </c>
      <c r="X2646">
        <v>8.9366669999999999</v>
      </c>
      <c r="Y2646">
        <v>45.910277999999998</v>
      </c>
      <c r="Z2646" t="s">
        <v>1415</v>
      </c>
      <c r="AA2646" t="s">
        <v>226</v>
      </c>
      <c r="AB2646" t="s">
        <v>2079</v>
      </c>
      <c r="AC2646" t="s">
        <v>2080</v>
      </c>
      <c r="AD2646" t="s">
        <v>2075</v>
      </c>
      <c r="AF2646" t="s">
        <v>2081</v>
      </c>
      <c r="AG2646" t="s">
        <v>2082</v>
      </c>
      <c r="AH2646" t="s">
        <v>72</v>
      </c>
      <c r="AI2646" t="s">
        <v>757</v>
      </c>
      <c r="AJ2646">
        <v>1962</v>
      </c>
      <c r="AK2646" t="s">
        <v>2083</v>
      </c>
      <c r="AM2646" t="s">
        <v>2084</v>
      </c>
      <c r="AN2646" t="s">
        <v>192</v>
      </c>
      <c r="AO2646" t="s">
        <v>77</v>
      </c>
      <c r="AP2646" t="s">
        <v>115</v>
      </c>
      <c r="AQ2646" t="s">
        <v>2085</v>
      </c>
      <c r="AR2646" t="s">
        <v>80</v>
      </c>
      <c r="AS2646">
        <v>307</v>
      </c>
      <c r="AT2646" t="s">
        <v>81</v>
      </c>
      <c r="AU2646">
        <v>34.28</v>
      </c>
      <c r="AV2646">
        <v>16.7</v>
      </c>
      <c r="AW2646" t="s">
        <v>82</v>
      </c>
      <c r="AX2646">
        <v>307</v>
      </c>
      <c r="AY2646" t="s">
        <v>81</v>
      </c>
      <c r="AZ2646">
        <v>22.06</v>
      </c>
      <c r="BA2646">
        <v>7.2</v>
      </c>
      <c r="BB2646" t="s">
        <v>83</v>
      </c>
    </row>
    <row r="2647" spans="1:54" x14ac:dyDescent="0.4">
      <c r="A2647">
        <v>797951</v>
      </c>
      <c r="D2647" t="s">
        <v>853</v>
      </c>
      <c r="E2647" t="s">
        <v>310</v>
      </c>
      <c r="G2647">
        <v>1</v>
      </c>
      <c r="H2647" t="s">
        <v>56</v>
      </c>
      <c r="I2647" t="s">
        <v>57</v>
      </c>
      <c r="K2647" t="s">
        <v>221</v>
      </c>
      <c r="L2647" t="s">
        <v>2086</v>
      </c>
      <c r="M2647" t="s">
        <v>223</v>
      </c>
      <c r="P2647" t="s">
        <v>224</v>
      </c>
      <c r="R2647" t="s">
        <v>183</v>
      </c>
      <c r="S2647" t="s">
        <v>64</v>
      </c>
      <c r="T2647">
        <v>246.7</v>
      </c>
      <c r="U2647">
        <v>242</v>
      </c>
      <c r="V2647">
        <f t="shared" si="82"/>
        <v>244.35</v>
      </c>
      <c r="W2647">
        <f t="shared" si="83"/>
        <v>4.6999999999999886</v>
      </c>
      <c r="X2647">
        <v>8.9366669999999999</v>
      </c>
      <c r="Y2647">
        <v>45.910277999999998</v>
      </c>
      <c r="Z2647" t="s">
        <v>1415</v>
      </c>
      <c r="AA2647" t="s">
        <v>226</v>
      </c>
      <c r="AB2647" t="s">
        <v>2079</v>
      </c>
      <c r="AC2647" t="s">
        <v>2080</v>
      </c>
      <c r="AD2647" t="s">
        <v>2075</v>
      </c>
      <c r="AF2647" t="s">
        <v>2081</v>
      </c>
      <c r="AG2647" t="s">
        <v>2082</v>
      </c>
      <c r="AH2647" t="s">
        <v>72</v>
      </c>
      <c r="AI2647" t="s">
        <v>2013</v>
      </c>
      <c r="AJ2647">
        <v>1989</v>
      </c>
      <c r="AK2647" t="s">
        <v>2083</v>
      </c>
      <c r="AM2647" t="s">
        <v>2084</v>
      </c>
      <c r="AN2647" t="s">
        <v>192</v>
      </c>
      <c r="AO2647" t="s">
        <v>77</v>
      </c>
      <c r="AP2647" t="s">
        <v>115</v>
      </c>
      <c r="AQ2647" t="s">
        <v>2085</v>
      </c>
      <c r="AR2647" t="s">
        <v>80</v>
      </c>
      <c r="AS2647">
        <v>307</v>
      </c>
      <c r="AT2647" t="s">
        <v>81</v>
      </c>
      <c r="AU2647">
        <v>34.28</v>
      </c>
      <c r="AV2647">
        <v>16.7</v>
      </c>
      <c r="AW2647" t="s">
        <v>82</v>
      </c>
      <c r="AX2647">
        <v>307</v>
      </c>
      <c r="AY2647" t="s">
        <v>81</v>
      </c>
      <c r="AZ2647">
        <v>22.06</v>
      </c>
      <c r="BA2647">
        <v>7.2</v>
      </c>
      <c r="BB2647" t="s">
        <v>83</v>
      </c>
    </row>
    <row r="2648" spans="1:54" x14ac:dyDescent="0.4">
      <c r="A2648">
        <v>806332</v>
      </c>
      <c r="D2648" t="s">
        <v>54</v>
      </c>
      <c r="E2648" t="s">
        <v>154</v>
      </c>
      <c r="G2648">
        <v>1</v>
      </c>
      <c r="H2648" t="s">
        <v>56</v>
      </c>
      <c r="I2648" t="s">
        <v>57</v>
      </c>
      <c r="K2648" t="s">
        <v>319</v>
      </c>
      <c r="L2648" t="s">
        <v>2165</v>
      </c>
      <c r="M2648" t="s">
        <v>60</v>
      </c>
      <c r="O2648" t="s">
        <v>87</v>
      </c>
      <c r="P2648" t="s">
        <v>224</v>
      </c>
      <c r="R2648" t="s">
        <v>183</v>
      </c>
      <c r="S2648" t="s">
        <v>64</v>
      </c>
      <c r="T2648">
        <v>246.7</v>
      </c>
      <c r="U2648">
        <v>242</v>
      </c>
      <c r="V2648">
        <f t="shared" si="82"/>
        <v>244.35</v>
      </c>
      <c r="W2648">
        <f t="shared" si="83"/>
        <v>4.6999999999999886</v>
      </c>
      <c r="X2648">
        <v>89.166663999999997</v>
      </c>
      <c r="Y2648">
        <v>42.916668000000001</v>
      </c>
      <c r="Z2648" t="s">
        <v>124</v>
      </c>
      <c r="AA2648" t="s">
        <v>379</v>
      </c>
      <c r="AB2648" t="s">
        <v>2166</v>
      </c>
      <c r="AC2648" t="s">
        <v>2167</v>
      </c>
      <c r="AD2648" t="s">
        <v>2168</v>
      </c>
      <c r="AH2648" t="s">
        <v>72</v>
      </c>
      <c r="AI2648" t="s">
        <v>683</v>
      </c>
      <c r="AJ2648">
        <v>1973</v>
      </c>
      <c r="AK2648" t="s">
        <v>2169</v>
      </c>
      <c r="AM2648" t="s">
        <v>2170</v>
      </c>
      <c r="AN2648" t="s">
        <v>341</v>
      </c>
      <c r="AO2648" t="s">
        <v>160</v>
      </c>
      <c r="AP2648" t="s">
        <v>359</v>
      </c>
      <c r="AQ2648" t="s">
        <v>2171</v>
      </c>
      <c r="AR2648" t="s">
        <v>80</v>
      </c>
      <c r="AS2648" t="s">
        <v>528</v>
      </c>
      <c r="AT2648" t="s">
        <v>81</v>
      </c>
      <c r="AW2648" t="s">
        <v>82</v>
      </c>
      <c r="AX2648">
        <v>407</v>
      </c>
      <c r="AY2648" t="s">
        <v>81</v>
      </c>
      <c r="AZ2648">
        <v>70.97</v>
      </c>
      <c r="BA2648">
        <v>47.52</v>
      </c>
      <c r="BB2648" t="s">
        <v>83</v>
      </c>
    </row>
    <row r="2649" spans="1:54" x14ac:dyDescent="0.4">
      <c r="A2649">
        <v>811288</v>
      </c>
      <c r="D2649" t="s">
        <v>54</v>
      </c>
      <c r="G2649">
        <v>1</v>
      </c>
      <c r="H2649" t="s">
        <v>56</v>
      </c>
      <c r="I2649" t="s">
        <v>57</v>
      </c>
      <c r="K2649" t="s">
        <v>840</v>
      </c>
      <c r="L2649" t="s">
        <v>2197</v>
      </c>
      <c r="M2649" t="s">
        <v>60</v>
      </c>
      <c r="O2649" t="s">
        <v>170</v>
      </c>
      <c r="P2649" t="s">
        <v>224</v>
      </c>
      <c r="R2649" t="s">
        <v>183</v>
      </c>
      <c r="S2649" t="s">
        <v>64</v>
      </c>
      <c r="T2649">
        <v>246.7</v>
      </c>
      <c r="U2649">
        <v>242</v>
      </c>
      <c r="V2649">
        <f t="shared" si="82"/>
        <v>244.35</v>
      </c>
      <c r="W2649">
        <f t="shared" si="83"/>
        <v>4.6999999999999886</v>
      </c>
      <c r="X2649">
        <v>-3.2794439999999998</v>
      </c>
      <c r="Y2649">
        <v>50.655276999999998</v>
      </c>
      <c r="Z2649" t="s">
        <v>184</v>
      </c>
      <c r="AA2649" t="s">
        <v>91</v>
      </c>
      <c r="AB2649" t="s">
        <v>92</v>
      </c>
      <c r="AC2649" t="s">
        <v>2198</v>
      </c>
      <c r="AD2649" t="s">
        <v>2199</v>
      </c>
      <c r="AE2649" t="s">
        <v>1245</v>
      </c>
      <c r="AH2649" t="s">
        <v>72</v>
      </c>
      <c r="AI2649" t="s">
        <v>1269</v>
      </c>
      <c r="AJ2649">
        <v>1990</v>
      </c>
      <c r="AK2649" t="s">
        <v>2200</v>
      </c>
      <c r="AN2649" t="s">
        <v>76</v>
      </c>
      <c r="AO2649" t="s">
        <v>77</v>
      </c>
      <c r="AP2649" t="s">
        <v>115</v>
      </c>
      <c r="AQ2649" t="s">
        <v>2201</v>
      </c>
      <c r="AR2649" t="s">
        <v>80</v>
      </c>
      <c r="AS2649">
        <v>315</v>
      </c>
      <c r="AT2649" t="s">
        <v>81</v>
      </c>
      <c r="AU2649">
        <v>19.38</v>
      </c>
      <c r="AV2649">
        <v>27.79</v>
      </c>
      <c r="AW2649" t="s">
        <v>82</v>
      </c>
      <c r="AX2649">
        <v>315</v>
      </c>
      <c r="AY2649" t="s">
        <v>81</v>
      </c>
      <c r="AZ2649">
        <v>10.89</v>
      </c>
      <c r="BA2649">
        <v>13.73</v>
      </c>
      <c r="BB2649" t="s">
        <v>83</v>
      </c>
    </row>
    <row r="2650" spans="1:54" x14ac:dyDescent="0.4">
      <c r="A2650">
        <v>811289</v>
      </c>
      <c r="D2650" t="s">
        <v>54</v>
      </c>
      <c r="G2650">
        <v>1</v>
      </c>
      <c r="H2650" t="s">
        <v>84</v>
      </c>
      <c r="I2650" t="s">
        <v>57</v>
      </c>
      <c r="K2650" t="s">
        <v>840</v>
      </c>
      <c r="L2650" t="s">
        <v>2197</v>
      </c>
      <c r="M2650" t="s">
        <v>60</v>
      </c>
      <c r="O2650" t="s">
        <v>170</v>
      </c>
      <c r="P2650" t="s">
        <v>224</v>
      </c>
      <c r="R2650" t="s">
        <v>183</v>
      </c>
      <c r="S2650" t="s">
        <v>64</v>
      </c>
      <c r="T2650">
        <v>246.7</v>
      </c>
      <c r="U2650">
        <v>242</v>
      </c>
      <c r="V2650">
        <f t="shared" si="82"/>
        <v>244.35</v>
      </c>
      <c r="W2650">
        <f t="shared" si="83"/>
        <v>4.6999999999999886</v>
      </c>
      <c r="X2650">
        <v>-3.276389</v>
      </c>
      <c r="Y2650">
        <v>50.661667000000001</v>
      </c>
      <c r="Z2650" t="s">
        <v>184</v>
      </c>
      <c r="AA2650" t="s">
        <v>91</v>
      </c>
      <c r="AB2650" t="s">
        <v>92</v>
      </c>
      <c r="AC2650" t="s">
        <v>2198</v>
      </c>
      <c r="AD2650" t="s">
        <v>2199</v>
      </c>
      <c r="AE2650" t="s">
        <v>1245</v>
      </c>
      <c r="AH2650" t="s">
        <v>72</v>
      </c>
      <c r="AI2650" t="s">
        <v>1269</v>
      </c>
      <c r="AJ2650">
        <v>1990</v>
      </c>
      <c r="AK2650" t="s">
        <v>2202</v>
      </c>
      <c r="AN2650" t="s">
        <v>76</v>
      </c>
      <c r="AO2650" t="s">
        <v>77</v>
      </c>
      <c r="AP2650" t="s">
        <v>115</v>
      </c>
      <c r="AQ2650" t="s">
        <v>2203</v>
      </c>
      <c r="AR2650" t="s">
        <v>80</v>
      </c>
      <c r="AS2650">
        <v>315</v>
      </c>
      <c r="AT2650" t="s">
        <v>81</v>
      </c>
      <c r="AU2650">
        <v>19.38</v>
      </c>
      <c r="AV2650">
        <v>27.79</v>
      </c>
      <c r="AW2650" t="s">
        <v>82</v>
      </c>
      <c r="AX2650">
        <v>315</v>
      </c>
      <c r="AY2650" t="s">
        <v>81</v>
      </c>
      <c r="AZ2650">
        <v>10.89</v>
      </c>
      <c r="BA2650">
        <v>13.74</v>
      </c>
      <c r="BB2650" t="s">
        <v>83</v>
      </c>
    </row>
    <row r="2651" spans="1:54" x14ac:dyDescent="0.4">
      <c r="A2651">
        <v>811299</v>
      </c>
      <c r="D2651" t="s">
        <v>54</v>
      </c>
      <c r="G2651">
        <v>4</v>
      </c>
      <c r="H2651" t="s">
        <v>84</v>
      </c>
      <c r="I2651" t="s">
        <v>57</v>
      </c>
      <c r="K2651" t="s">
        <v>840</v>
      </c>
      <c r="L2651" t="s">
        <v>2197</v>
      </c>
      <c r="M2651" t="s">
        <v>60</v>
      </c>
      <c r="O2651" t="s">
        <v>170</v>
      </c>
      <c r="P2651" t="s">
        <v>224</v>
      </c>
      <c r="R2651" t="s">
        <v>183</v>
      </c>
      <c r="S2651" t="s">
        <v>64</v>
      </c>
      <c r="T2651">
        <v>246.7</v>
      </c>
      <c r="U2651">
        <v>242</v>
      </c>
      <c r="V2651">
        <f t="shared" si="82"/>
        <v>244.35</v>
      </c>
      <c r="W2651">
        <f t="shared" si="83"/>
        <v>4.6999999999999886</v>
      </c>
      <c r="X2651">
        <v>-3.273333</v>
      </c>
      <c r="Y2651">
        <v>50.662776999999998</v>
      </c>
      <c r="Z2651" t="s">
        <v>184</v>
      </c>
      <c r="AA2651" t="s">
        <v>91</v>
      </c>
      <c r="AB2651" t="s">
        <v>92</v>
      </c>
      <c r="AC2651" t="s">
        <v>2198</v>
      </c>
      <c r="AD2651" t="s">
        <v>2199</v>
      </c>
      <c r="AE2651" t="s">
        <v>1245</v>
      </c>
      <c r="AH2651" t="s">
        <v>72</v>
      </c>
      <c r="AI2651" t="s">
        <v>1269</v>
      </c>
      <c r="AJ2651">
        <v>1990</v>
      </c>
      <c r="AK2651" t="s">
        <v>2204</v>
      </c>
      <c r="AN2651" t="s">
        <v>76</v>
      </c>
      <c r="AO2651" t="s">
        <v>77</v>
      </c>
      <c r="AP2651" t="s">
        <v>115</v>
      </c>
      <c r="AQ2651" t="s">
        <v>2205</v>
      </c>
      <c r="AR2651" t="s">
        <v>80</v>
      </c>
      <c r="AS2651">
        <v>315</v>
      </c>
      <c r="AT2651" t="s">
        <v>81</v>
      </c>
      <c r="AU2651">
        <v>19.38</v>
      </c>
      <c r="AV2651">
        <v>27.8</v>
      </c>
      <c r="AW2651" t="s">
        <v>82</v>
      </c>
      <c r="AX2651">
        <v>315</v>
      </c>
      <c r="AY2651" t="s">
        <v>81</v>
      </c>
      <c r="AZ2651">
        <v>10.89</v>
      </c>
      <c r="BA2651">
        <v>13.74</v>
      </c>
      <c r="BB2651" t="s">
        <v>83</v>
      </c>
    </row>
    <row r="2652" spans="1:54" x14ac:dyDescent="0.4">
      <c r="A2652">
        <v>811300</v>
      </c>
      <c r="D2652" t="s">
        <v>54</v>
      </c>
      <c r="G2652">
        <v>10</v>
      </c>
      <c r="H2652" t="s">
        <v>84</v>
      </c>
      <c r="I2652" t="s">
        <v>57</v>
      </c>
      <c r="K2652" t="s">
        <v>840</v>
      </c>
      <c r="L2652" t="s">
        <v>2197</v>
      </c>
      <c r="M2652" t="s">
        <v>60</v>
      </c>
      <c r="O2652" t="s">
        <v>170</v>
      </c>
      <c r="P2652" t="s">
        <v>224</v>
      </c>
      <c r="R2652" t="s">
        <v>183</v>
      </c>
      <c r="S2652" t="s">
        <v>64</v>
      </c>
      <c r="T2652">
        <v>246.7</v>
      </c>
      <c r="U2652">
        <v>242</v>
      </c>
      <c r="V2652">
        <f t="shared" si="82"/>
        <v>244.35</v>
      </c>
      <c r="W2652">
        <f t="shared" si="83"/>
        <v>4.6999999999999886</v>
      </c>
      <c r="X2652">
        <v>-3.2716669999999999</v>
      </c>
      <c r="Y2652">
        <v>50.663891</v>
      </c>
      <c r="Z2652" t="s">
        <v>184</v>
      </c>
      <c r="AA2652" t="s">
        <v>91</v>
      </c>
      <c r="AB2652" t="s">
        <v>92</v>
      </c>
      <c r="AC2652" t="s">
        <v>2198</v>
      </c>
      <c r="AD2652" t="s">
        <v>2199</v>
      </c>
      <c r="AE2652" t="s">
        <v>1245</v>
      </c>
      <c r="AH2652" t="s">
        <v>72</v>
      </c>
      <c r="AI2652" t="s">
        <v>1269</v>
      </c>
      <c r="AJ2652">
        <v>1990</v>
      </c>
      <c r="AK2652" t="s">
        <v>2206</v>
      </c>
      <c r="AN2652" t="s">
        <v>76</v>
      </c>
      <c r="AO2652" t="s">
        <v>77</v>
      </c>
      <c r="AP2652" t="s">
        <v>115</v>
      </c>
      <c r="AQ2652" t="s">
        <v>2207</v>
      </c>
      <c r="AR2652" t="s">
        <v>80</v>
      </c>
      <c r="AS2652">
        <v>315</v>
      </c>
      <c r="AT2652" t="s">
        <v>81</v>
      </c>
      <c r="AU2652">
        <v>19.39</v>
      </c>
      <c r="AV2652">
        <v>27.8</v>
      </c>
      <c r="AW2652" t="s">
        <v>82</v>
      </c>
      <c r="AX2652">
        <v>315</v>
      </c>
      <c r="AY2652" t="s">
        <v>81</v>
      </c>
      <c r="AZ2652">
        <v>10.89</v>
      </c>
      <c r="BA2652">
        <v>13.74</v>
      </c>
      <c r="BB2652" t="s">
        <v>83</v>
      </c>
    </row>
    <row r="2653" spans="1:54" x14ac:dyDescent="0.4">
      <c r="A2653">
        <v>811301</v>
      </c>
      <c r="D2653" t="s">
        <v>54</v>
      </c>
      <c r="G2653">
        <v>3</v>
      </c>
      <c r="H2653" t="s">
        <v>84</v>
      </c>
      <c r="I2653" t="s">
        <v>57</v>
      </c>
      <c r="K2653" t="s">
        <v>840</v>
      </c>
      <c r="L2653" t="s">
        <v>2197</v>
      </c>
      <c r="M2653" t="s">
        <v>60</v>
      </c>
      <c r="O2653" t="s">
        <v>170</v>
      </c>
      <c r="P2653" t="s">
        <v>224</v>
      </c>
      <c r="R2653" t="s">
        <v>183</v>
      </c>
      <c r="S2653" t="s">
        <v>64</v>
      </c>
      <c r="T2653">
        <v>246.7</v>
      </c>
      <c r="U2653">
        <v>242</v>
      </c>
      <c r="V2653">
        <f t="shared" si="82"/>
        <v>244.35</v>
      </c>
      <c r="W2653">
        <f t="shared" si="83"/>
        <v>4.6999999999999886</v>
      </c>
      <c r="X2653">
        <v>-3.2702779999999998</v>
      </c>
      <c r="Y2653">
        <v>50.665557999999997</v>
      </c>
      <c r="Z2653" t="s">
        <v>184</v>
      </c>
      <c r="AA2653" t="s">
        <v>91</v>
      </c>
      <c r="AB2653" t="s">
        <v>92</v>
      </c>
      <c r="AC2653" t="s">
        <v>2198</v>
      </c>
      <c r="AD2653" t="s">
        <v>2199</v>
      </c>
      <c r="AE2653" t="s">
        <v>1245</v>
      </c>
      <c r="AH2653" t="s">
        <v>72</v>
      </c>
      <c r="AI2653" t="s">
        <v>1269</v>
      </c>
      <c r="AJ2653">
        <v>1990</v>
      </c>
      <c r="AK2653" t="s">
        <v>2208</v>
      </c>
      <c r="AN2653" t="s">
        <v>76</v>
      </c>
      <c r="AO2653" t="s">
        <v>77</v>
      </c>
      <c r="AP2653" t="s">
        <v>115</v>
      </c>
      <c r="AQ2653" t="s">
        <v>2209</v>
      </c>
      <c r="AR2653" t="s">
        <v>80</v>
      </c>
      <c r="AS2653">
        <v>315</v>
      </c>
      <c r="AT2653" t="s">
        <v>81</v>
      </c>
      <c r="AU2653">
        <v>19.39</v>
      </c>
      <c r="AV2653">
        <v>27.8</v>
      </c>
      <c r="AW2653" t="s">
        <v>82</v>
      </c>
      <c r="AX2653">
        <v>315</v>
      </c>
      <c r="AY2653" t="s">
        <v>81</v>
      </c>
      <c r="AZ2653">
        <v>10.89</v>
      </c>
      <c r="BA2653">
        <v>13.74</v>
      </c>
      <c r="BB2653" t="s">
        <v>83</v>
      </c>
    </row>
    <row r="2654" spans="1:54" x14ac:dyDescent="0.4">
      <c r="A2654">
        <v>811302</v>
      </c>
      <c r="D2654" t="s">
        <v>54</v>
      </c>
      <c r="G2654">
        <v>2</v>
      </c>
      <c r="H2654" t="s">
        <v>84</v>
      </c>
      <c r="I2654" t="s">
        <v>57</v>
      </c>
      <c r="K2654" t="s">
        <v>840</v>
      </c>
      <c r="L2654" t="s">
        <v>2197</v>
      </c>
      <c r="M2654" t="s">
        <v>60</v>
      </c>
      <c r="O2654" t="s">
        <v>170</v>
      </c>
      <c r="P2654" t="s">
        <v>224</v>
      </c>
      <c r="R2654" t="s">
        <v>183</v>
      </c>
      <c r="S2654" t="s">
        <v>64</v>
      </c>
      <c r="T2654">
        <v>246.7</v>
      </c>
      <c r="U2654">
        <v>242</v>
      </c>
      <c r="V2654">
        <f t="shared" si="82"/>
        <v>244.35</v>
      </c>
      <c r="W2654">
        <f t="shared" si="83"/>
        <v>4.6999999999999886</v>
      </c>
      <c r="X2654">
        <v>-3.2686109999999999</v>
      </c>
      <c r="Y2654">
        <v>50.665832999999999</v>
      </c>
      <c r="Z2654" t="s">
        <v>184</v>
      </c>
      <c r="AA2654" t="s">
        <v>91</v>
      </c>
      <c r="AB2654" t="s">
        <v>92</v>
      </c>
      <c r="AC2654" t="s">
        <v>2198</v>
      </c>
      <c r="AD2654" t="s">
        <v>2199</v>
      </c>
      <c r="AE2654" t="s">
        <v>1245</v>
      </c>
      <c r="AH2654" t="s">
        <v>72</v>
      </c>
      <c r="AI2654" t="s">
        <v>1269</v>
      </c>
      <c r="AJ2654">
        <v>1990</v>
      </c>
      <c r="AK2654" t="s">
        <v>2210</v>
      </c>
      <c r="AN2654" t="s">
        <v>76</v>
      </c>
      <c r="AO2654" t="s">
        <v>77</v>
      </c>
      <c r="AP2654" t="s">
        <v>115</v>
      </c>
      <c r="AQ2654" t="s">
        <v>2211</v>
      </c>
      <c r="AR2654" t="s">
        <v>80</v>
      </c>
      <c r="AS2654">
        <v>315</v>
      </c>
      <c r="AT2654" t="s">
        <v>81</v>
      </c>
      <c r="AU2654">
        <v>19.39</v>
      </c>
      <c r="AV2654">
        <v>27.8</v>
      </c>
      <c r="AW2654" t="s">
        <v>82</v>
      </c>
      <c r="AX2654">
        <v>315</v>
      </c>
      <c r="AY2654" t="s">
        <v>81</v>
      </c>
      <c r="AZ2654">
        <v>10.89</v>
      </c>
      <c r="BA2654">
        <v>13.74</v>
      </c>
      <c r="BB2654" t="s">
        <v>83</v>
      </c>
    </row>
    <row r="2655" spans="1:54" x14ac:dyDescent="0.4">
      <c r="A2655">
        <v>811303</v>
      </c>
      <c r="D2655" t="s">
        <v>2134</v>
      </c>
      <c r="G2655">
        <v>1</v>
      </c>
      <c r="H2655" t="s">
        <v>84</v>
      </c>
      <c r="I2655" t="s">
        <v>57</v>
      </c>
      <c r="K2655" t="s">
        <v>840</v>
      </c>
      <c r="L2655" t="s">
        <v>2197</v>
      </c>
      <c r="M2655" t="s">
        <v>60</v>
      </c>
      <c r="O2655" t="s">
        <v>170</v>
      </c>
      <c r="P2655" t="s">
        <v>224</v>
      </c>
      <c r="R2655" t="s">
        <v>183</v>
      </c>
      <c r="S2655" t="s">
        <v>64</v>
      </c>
      <c r="T2655">
        <v>246.7</v>
      </c>
      <c r="U2655">
        <v>242</v>
      </c>
      <c r="V2655">
        <f t="shared" si="82"/>
        <v>244.35</v>
      </c>
      <c r="W2655">
        <f t="shared" si="83"/>
        <v>4.6999999999999886</v>
      </c>
      <c r="X2655">
        <v>-3.2686109999999999</v>
      </c>
      <c r="Y2655">
        <v>50.665557999999997</v>
      </c>
      <c r="Z2655" t="s">
        <v>184</v>
      </c>
      <c r="AA2655" t="s">
        <v>91</v>
      </c>
      <c r="AB2655" t="s">
        <v>92</v>
      </c>
      <c r="AC2655" t="s">
        <v>2198</v>
      </c>
      <c r="AD2655" t="s">
        <v>2199</v>
      </c>
      <c r="AE2655" t="s">
        <v>1245</v>
      </c>
      <c r="AH2655" t="s">
        <v>72</v>
      </c>
      <c r="AI2655" t="s">
        <v>1269</v>
      </c>
      <c r="AJ2655">
        <v>1990</v>
      </c>
      <c r="AK2655" t="s">
        <v>2212</v>
      </c>
      <c r="AN2655" t="s">
        <v>76</v>
      </c>
      <c r="AO2655" t="s">
        <v>77</v>
      </c>
      <c r="AP2655" t="s">
        <v>115</v>
      </c>
      <c r="AQ2655" t="s">
        <v>2213</v>
      </c>
      <c r="AR2655" t="s">
        <v>80</v>
      </c>
      <c r="AS2655">
        <v>315</v>
      </c>
      <c r="AT2655" t="s">
        <v>81</v>
      </c>
      <c r="AU2655">
        <v>19.39</v>
      </c>
      <c r="AV2655">
        <v>27.8</v>
      </c>
      <c r="AW2655" t="s">
        <v>82</v>
      </c>
      <c r="AX2655">
        <v>315</v>
      </c>
      <c r="AY2655" t="s">
        <v>81</v>
      </c>
      <c r="AZ2655">
        <v>10.89</v>
      </c>
      <c r="BA2655">
        <v>13.74</v>
      </c>
      <c r="BB2655" t="s">
        <v>83</v>
      </c>
    </row>
    <row r="2656" spans="1:54" x14ac:dyDescent="0.4">
      <c r="A2656">
        <v>811309</v>
      </c>
      <c r="D2656" t="s">
        <v>54</v>
      </c>
      <c r="G2656">
        <v>1</v>
      </c>
      <c r="H2656" t="s">
        <v>84</v>
      </c>
      <c r="I2656" t="s">
        <v>57</v>
      </c>
      <c r="K2656" t="s">
        <v>840</v>
      </c>
      <c r="L2656" t="s">
        <v>2197</v>
      </c>
      <c r="M2656" t="s">
        <v>60</v>
      </c>
      <c r="O2656" t="s">
        <v>170</v>
      </c>
      <c r="P2656" t="s">
        <v>224</v>
      </c>
      <c r="R2656" t="s">
        <v>183</v>
      </c>
      <c r="S2656" t="s">
        <v>64</v>
      </c>
      <c r="T2656">
        <v>246.7</v>
      </c>
      <c r="U2656">
        <v>242</v>
      </c>
      <c r="V2656">
        <f t="shared" si="82"/>
        <v>244.35</v>
      </c>
      <c r="W2656">
        <f t="shared" si="83"/>
        <v>4.6999999999999886</v>
      </c>
      <c r="X2656">
        <v>-3.2672219999999998</v>
      </c>
      <c r="Y2656">
        <v>50.666668000000001</v>
      </c>
      <c r="Z2656" t="s">
        <v>184</v>
      </c>
      <c r="AA2656" t="s">
        <v>91</v>
      </c>
      <c r="AB2656" t="s">
        <v>92</v>
      </c>
      <c r="AC2656" t="s">
        <v>2198</v>
      </c>
      <c r="AD2656" t="s">
        <v>2199</v>
      </c>
      <c r="AE2656" t="s">
        <v>1245</v>
      </c>
      <c r="AH2656" t="s">
        <v>72</v>
      </c>
      <c r="AI2656" t="s">
        <v>1269</v>
      </c>
      <c r="AJ2656">
        <v>1990</v>
      </c>
      <c r="AK2656" t="s">
        <v>2214</v>
      </c>
      <c r="AN2656" t="s">
        <v>76</v>
      </c>
      <c r="AO2656" t="s">
        <v>77</v>
      </c>
      <c r="AP2656" t="s">
        <v>115</v>
      </c>
      <c r="AQ2656" t="s">
        <v>2215</v>
      </c>
      <c r="AR2656" t="s">
        <v>80</v>
      </c>
      <c r="AS2656">
        <v>315</v>
      </c>
      <c r="AT2656" t="s">
        <v>81</v>
      </c>
      <c r="AU2656">
        <v>19.39</v>
      </c>
      <c r="AV2656">
        <v>27.8</v>
      </c>
      <c r="AW2656" t="s">
        <v>82</v>
      </c>
      <c r="AX2656">
        <v>315</v>
      </c>
      <c r="AY2656" t="s">
        <v>81</v>
      </c>
      <c r="AZ2656">
        <v>10.89</v>
      </c>
      <c r="BA2656">
        <v>13.75</v>
      </c>
      <c r="BB2656" t="s">
        <v>83</v>
      </c>
    </row>
    <row r="2657" spans="1:54" x14ac:dyDescent="0.4">
      <c r="A2657">
        <v>811310</v>
      </c>
      <c r="D2657" t="s">
        <v>54</v>
      </c>
      <c r="G2657">
        <v>1</v>
      </c>
      <c r="H2657" t="s">
        <v>84</v>
      </c>
      <c r="I2657" t="s">
        <v>57</v>
      </c>
      <c r="K2657" t="s">
        <v>840</v>
      </c>
      <c r="L2657" t="s">
        <v>2197</v>
      </c>
      <c r="M2657" t="s">
        <v>60</v>
      </c>
      <c r="O2657" t="s">
        <v>170</v>
      </c>
      <c r="P2657" t="s">
        <v>224</v>
      </c>
      <c r="R2657" t="s">
        <v>183</v>
      </c>
      <c r="S2657" t="s">
        <v>64</v>
      </c>
      <c r="T2657">
        <v>246.7</v>
      </c>
      <c r="U2657">
        <v>242</v>
      </c>
      <c r="V2657">
        <f t="shared" si="82"/>
        <v>244.35</v>
      </c>
      <c r="W2657">
        <f t="shared" si="83"/>
        <v>4.6999999999999886</v>
      </c>
      <c r="X2657">
        <v>-3.2330559999999999</v>
      </c>
      <c r="Y2657">
        <v>50.678890000000003</v>
      </c>
      <c r="Z2657" t="s">
        <v>184</v>
      </c>
      <c r="AA2657" t="s">
        <v>91</v>
      </c>
      <c r="AB2657" t="s">
        <v>92</v>
      </c>
      <c r="AC2657" t="s">
        <v>2198</v>
      </c>
      <c r="AD2657" t="s">
        <v>2199</v>
      </c>
      <c r="AE2657" t="s">
        <v>1245</v>
      </c>
      <c r="AH2657" t="s">
        <v>72</v>
      </c>
      <c r="AI2657" t="s">
        <v>1269</v>
      </c>
      <c r="AJ2657">
        <v>1990</v>
      </c>
      <c r="AK2657" t="s">
        <v>2216</v>
      </c>
      <c r="AN2657" t="s">
        <v>76</v>
      </c>
      <c r="AO2657" t="s">
        <v>77</v>
      </c>
      <c r="AP2657" t="s">
        <v>115</v>
      </c>
      <c r="AQ2657" t="s">
        <v>2217</v>
      </c>
      <c r="AR2657" t="s">
        <v>80</v>
      </c>
      <c r="AS2657">
        <v>315</v>
      </c>
      <c r="AT2657" t="s">
        <v>81</v>
      </c>
      <c r="AU2657">
        <v>19.41</v>
      </c>
      <c r="AV2657">
        <v>27.81</v>
      </c>
      <c r="AW2657" t="s">
        <v>82</v>
      </c>
      <c r="AX2657">
        <v>315</v>
      </c>
      <c r="AY2657" t="s">
        <v>81</v>
      </c>
      <c r="AZ2657">
        <v>10.91</v>
      </c>
      <c r="BA2657">
        <v>13.76</v>
      </c>
      <c r="BB2657" t="s">
        <v>83</v>
      </c>
    </row>
    <row r="2658" spans="1:54" x14ac:dyDescent="0.4">
      <c r="A2658">
        <v>811311</v>
      </c>
      <c r="D2658" t="s">
        <v>54</v>
      </c>
      <c r="G2658">
        <v>1</v>
      </c>
      <c r="H2658" t="s">
        <v>84</v>
      </c>
      <c r="I2658" t="s">
        <v>57</v>
      </c>
      <c r="K2658" t="s">
        <v>840</v>
      </c>
      <c r="L2658" t="s">
        <v>2197</v>
      </c>
      <c r="M2658" t="s">
        <v>60</v>
      </c>
      <c r="O2658" t="s">
        <v>170</v>
      </c>
      <c r="P2658" t="s">
        <v>224</v>
      </c>
      <c r="R2658" t="s">
        <v>183</v>
      </c>
      <c r="S2658" t="s">
        <v>64</v>
      </c>
      <c r="T2658">
        <v>246.7</v>
      </c>
      <c r="U2658">
        <v>242</v>
      </c>
      <c r="V2658">
        <f t="shared" si="82"/>
        <v>244.35</v>
      </c>
      <c r="W2658">
        <f t="shared" si="83"/>
        <v>4.6999999999999886</v>
      </c>
      <c r="X2658">
        <v>-3.2655560000000001</v>
      </c>
      <c r="Y2658">
        <v>50.670276999999999</v>
      </c>
      <c r="Z2658" t="s">
        <v>184</v>
      </c>
      <c r="AA2658" t="s">
        <v>91</v>
      </c>
      <c r="AB2658" t="s">
        <v>92</v>
      </c>
      <c r="AC2658" t="s">
        <v>2198</v>
      </c>
      <c r="AD2658" t="s">
        <v>2199</v>
      </c>
      <c r="AE2658" t="s">
        <v>1245</v>
      </c>
      <c r="AH2658" t="s">
        <v>72</v>
      </c>
      <c r="AI2658" t="s">
        <v>1269</v>
      </c>
      <c r="AJ2658">
        <v>1990</v>
      </c>
      <c r="AK2658" t="s">
        <v>2218</v>
      </c>
      <c r="AN2658" t="s">
        <v>76</v>
      </c>
      <c r="AO2658" t="s">
        <v>77</v>
      </c>
      <c r="AP2658" t="s">
        <v>115</v>
      </c>
      <c r="AQ2658" t="s">
        <v>2219</v>
      </c>
      <c r="AR2658" t="s">
        <v>80</v>
      </c>
      <c r="AS2658">
        <v>315</v>
      </c>
      <c r="AT2658" t="s">
        <v>81</v>
      </c>
      <c r="AU2658">
        <v>19.39</v>
      </c>
      <c r="AV2658">
        <v>27.8</v>
      </c>
      <c r="AW2658" t="s">
        <v>82</v>
      </c>
      <c r="AX2658">
        <v>315</v>
      </c>
      <c r="AY2658" t="s">
        <v>81</v>
      </c>
      <c r="AZ2658">
        <v>10.89</v>
      </c>
      <c r="BA2658">
        <v>13.75</v>
      </c>
      <c r="BB2658" t="s">
        <v>83</v>
      </c>
    </row>
    <row r="2659" spans="1:54" x14ac:dyDescent="0.4">
      <c r="A2659">
        <v>811312</v>
      </c>
      <c r="D2659" t="s">
        <v>54</v>
      </c>
      <c r="G2659">
        <v>1</v>
      </c>
      <c r="H2659" t="s">
        <v>84</v>
      </c>
      <c r="I2659" t="s">
        <v>57</v>
      </c>
      <c r="K2659" t="s">
        <v>840</v>
      </c>
      <c r="L2659" t="s">
        <v>2197</v>
      </c>
      <c r="M2659" t="s">
        <v>60</v>
      </c>
      <c r="O2659" t="s">
        <v>170</v>
      </c>
      <c r="P2659" t="s">
        <v>224</v>
      </c>
      <c r="R2659" t="s">
        <v>183</v>
      </c>
      <c r="S2659" t="s">
        <v>64</v>
      </c>
      <c r="T2659">
        <v>246.7</v>
      </c>
      <c r="U2659">
        <v>242</v>
      </c>
      <c r="V2659">
        <f t="shared" si="82"/>
        <v>244.35</v>
      </c>
      <c r="W2659">
        <f t="shared" si="83"/>
        <v>4.6999999999999886</v>
      </c>
      <c r="X2659">
        <v>-3.2655560000000001</v>
      </c>
      <c r="Y2659">
        <v>50.670276999999999</v>
      </c>
      <c r="Z2659" t="s">
        <v>184</v>
      </c>
      <c r="AA2659" t="s">
        <v>91</v>
      </c>
      <c r="AB2659" t="s">
        <v>92</v>
      </c>
      <c r="AC2659" t="s">
        <v>2198</v>
      </c>
      <c r="AD2659" t="s">
        <v>2199</v>
      </c>
      <c r="AE2659" t="s">
        <v>1245</v>
      </c>
      <c r="AH2659" t="s">
        <v>72</v>
      </c>
      <c r="AI2659" t="s">
        <v>1269</v>
      </c>
      <c r="AJ2659">
        <v>1990</v>
      </c>
      <c r="AK2659" t="s">
        <v>2220</v>
      </c>
      <c r="AN2659" t="s">
        <v>76</v>
      </c>
      <c r="AO2659" t="s">
        <v>77</v>
      </c>
      <c r="AP2659" t="s">
        <v>115</v>
      </c>
      <c r="AQ2659" t="s">
        <v>2221</v>
      </c>
      <c r="AR2659" t="s">
        <v>80</v>
      </c>
      <c r="AS2659">
        <v>315</v>
      </c>
      <c r="AT2659" t="s">
        <v>81</v>
      </c>
      <c r="AU2659">
        <v>19.39</v>
      </c>
      <c r="AV2659">
        <v>27.8</v>
      </c>
      <c r="AW2659" t="s">
        <v>82</v>
      </c>
      <c r="AX2659">
        <v>315</v>
      </c>
      <c r="AY2659" t="s">
        <v>81</v>
      </c>
      <c r="AZ2659">
        <v>10.89</v>
      </c>
      <c r="BA2659">
        <v>13.75</v>
      </c>
      <c r="BB2659" t="s">
        <v>83</v>
      </c>
    </row>
    <row r="2660" spans="1:54" x14ac:dyDescent="0.4">
      <c r="A2660">
        <v>811313</v>
      </c>
      <c r="D2660" t="s">
        <v>54</v>
      </c>
      <c r="G2660">
        <v>1</v>
      </c>
      <c r="H2660" t="s">
        <v>84</v>
      </c>
      <c r="I2660" t="s">
        <v>57</v>
      </c>
      <c r="K2660" t="s">
        <v>840</v>
      </c>
      <c r="L2660" t="s">
        <v>2197</v>
      </c>
      <c r="M2660" t="s">
        <v>60</v>
      </c>
      <c r="O2660" t="s">
        <v>170</v>
      </c>
      <c r="P2660" t="s">
        <v>224</v>
      </c>
      <c r="R2660" t="s">
        <v>183</v>
      </c>
      <c r="S2660" t="s">
        <v>64</v>
      </c>
      <c r="T2660">
        <v>246.7</v>
      </c>
      <c r="U2660">
        <v>242</v>
      </c>
      <c r="V2660">
        <f t="shared" si="82"/>
        <v>244.35</v>
      </c>
      <c r="W2660">
        <f t="shared" si="83"/>
        <v>4.6999999999999886</v>
      </c>
      <c r="X2660">
        <v>-3.2805559999999998</v>
      </c>
      <c r="Y2660">
        <v>50.657223000000002</v>
      </c>
      <c r="Z2660" t="s">
        <v>184</v>
      </c>
      <c r="AA2660" t="s">
        <v>91</v>
      </c>
      <c r="AB2660" t="s">
        <v>92</v>
      </c>
      <c r="AC2660" t="s">
        <v>2198</v>
      </c>
      <c r="AD2660" t="s">
        <v>2199</v>
      </c>
      <c r="AE2660" t="s">
        <v>1245</v>
      </c>
      <c r="AH2660" t="s">
        <v>72</v>
      </c>
      <c r="AI2660" t="s">
        <v>1269</v>
      </c>
      <c r="AJ2660">
        <v>1990</v>
      </c>
      <c r="AK2660" t="s">
        <v>2222</v>
      </c>
      <c r="AN2660" t="s">
        <v>76</v>
      </c>
      <c r="AO2660" t="s">
        <v>77</v>
      </c>
      <c r="AP2660" t="s">
        <v>115</v>
      </c>
      <c r="AQ2660" t="s">
        <v>2223</v>
      </c>
      <c r="AR2660" t="s">
        <v>80</v>
      </c>
      <c r="AS2660">
        <v>315</v>
      </c>
      <c r="AT2660" t="s">
        <v>81</v>
      </c>
      <c r="AU2660">
        <v>19.38</v>
      </c>
      <c r="AV2660">
        <v>27.79</v>
      </c>
      <c r="AW2660" t="s">
        <v>82</v>
      </c>
      <c r="AX2660">
        <v>315</v>
      </c>
      <c r="AY2660" t="s">
        <v>81</v>
      </c>
      <c r="AZ2660">
        <v>10.89</v>
      </c>
      <c r="BA2660">
        <v>13.73</v>
      </c>
      <c r="BB2660" t="s">
        <v>83</v>
      </c>
    </row>
    <row r="2661" spans="1:54" x14ac:dyDescent="0.4">
      <c r="A2661">
        <v>811314</v>
      </c>
      <c r="D2661" t="s">
        <v>54</v>
      </c>
      <c r="G2661">
        <v>1</v>
      </c>
      <c r="H2661" t="s">
        <v>56</v>
      </c>
      <c r="I2661" t="s">
        <v>57</v>
      </c>
      <c r="K2661" t="s">
        <v>840</v>
      </c>
      <c r="L2661" t="s">
        <v>2197</v>
      </c>
      <c r="M2661" t="s">
        <v>60</v>
      </c>
      <c r="O2661" t="s">
        <v>170</v>
      </c>
      <c r="P2661" t="s">
        <v>224</v>
      </c>
      <c r="R2661" t="s">
        <v>183</v>
      </c>
      <c r="S2661" t="s">
        <v>64</v>
      </c>
      <c r="T2661">
        <v>246.7</v>
      </c>
      <c r="U2661">
        <v>242</v>
      </c>
      <c r="V2661">
        <f t="shared" si="82"/>
        <v>244.35</v>
      </c>
      <c r="W2661">
        <f t="shared" si="83"/>
        <v>4.6999999999999886</v>
      </c>
      <c r="X2661">
        <v>-3.2663890000000002</v>
      </c>
      <c r="Y2661">
        <v>50.670276999999999</v>
      </c>
      <c r="Z2661" t="s">
        <v>184</v>
      </c>
      <c r="AA2661" t="s">
        <v>91</v>
      </c>
      <c r="AB2661" t="s">
        <v>92</v>
      </c>
      <c r="AC2661" t="s">
        <v>2198</v>
      </c>
      <c r="AD2661" t="s">
        <v>2199</v>
      </c>
      <c r="AE2661" t="s">
        <v>1245</v>
      </c>
      <c r="AH2661" t="s">
        <v>72</v>
      </c>
      <c r="AI2661" t="s">
        <v>1269</v>
      </c>
      <c r="AJ2661">
        <v>1990</v>
      </c>
      <c r="AK2661" t="s">
        <v>2224</v>
      </c>
      <c r="AN2661" t="s">
        <v>76</v>
      </c>
      <c r="AO2661" t="s">
        <v>77</v>
      </c>
      <c r="AP2661" t="s">
        <v>115</v>
      </c>
      <c r="AQ2661" t="s">
        <v>2225</v>
      </c>
      <c r="AR2661" t="s">
        <v>80</v>
      </c>
      <c r="AS2661">
        <v>315</v>
      </c>
      <c r="AT2661" t="s">
        <v>81</v>
      </c>
      <c r="AU2661">
        <v>19.39</v>
      </c>
      <c r="AV2661">
        <v>27.8</v>
      </c>
      <c r="AW2661" t="s">
        <v>82</v>
      </c>
      <c r="AX2661">
        <v>315</v>
      </c>
      <c r="AY2661" t="s">
        <v>81</v>
      </c>
      <c r="AZ2661">
        <v>10.89</v>
      </c>
      <c r="BA2661">
        <v>13.75</v>
      </c>
      <c r="BB2661" t="s">
        <v>83</v>
      </c>
    </row>
    <row r="2662" spans="1:54" x14ac:dyDescent="0.4">
      <c r="A2662">
        <v>811315</v>
      </c>
      <c r="D2662" t="s">
        <v>54</v>
      </c>
      <c r="G2662">
        <v>1</v>
      </c>
      <c r="H2662" t="s">
        <v>84</v>
      </c>
      <c r="I2662" t="s">
        <v>57</v>
      </c>
      <c r="K2662" t="s">
        <v>840</v>
      </c>
      <c r="L2662" t="s">
        <v>2197</v>
      </c>
      <c r="M2662" t="s">
        <v>60</v>
      </c>
      <c r="O2662" t="s">
        <v>170</v>
      </c>
      <c r="P2662" t="s">
        <v>224</v>
      </c>
      <c r="R2662" t="s">
        <v>183</v>
      </c>
      <c r="S2662" t="s">
        <v>64</v>
      </c>
      <c r="T2662">
        <v>246.7</v>
      </c>
      <c r="U2662">
        <v>242</v>
      </c>
      <c r="V2662">
        <f t="shared" si="82"/>
        <v>244.35</v>
      </c>
      <c r="W2662">
        <f t="shared" si="83"/>
        <v>4.6999999999999886</v>
      </c>
      <c r="X2662">
        <v>-3.2672219999999998</v>
      </c>
      <c r="Y2662">
        <v>50.669167000000002</v>
      </c>
      <c r="Z2662" t="s">
        <v>184</v>
      </c>
      <c r="AA2662" t="s">
        <v>91</v>
      </c>
      <c r="AB2662" t="s">
        <v>92</v>
      </c>
      <c r="AC2662" t="s">
        <v>2198</v>
      </c>
      <c r="AD2662" t="s">
        <v>2199</v>
      </c>
      <c r="AE2662" t="s">
        <v>1245</v>
      </c>
      <c r="AH2662" t="s">
        <v>72</v>
      </c>
      <c r="AI2662" t="s">
        <v>1269</v>
      </c>
      <c r="AJ2662">
        <v>1990</v>
      </c>
      <c r="AK2662" t="s">
        <v>2226</v>
      </c>
      <c r="AN2662" t="s">
        <v>76</v>
      </c>
      <c r="AO2662" t="s">
        <v>77</v>
      </c>
      <c r="AP2662" t="s">
        <v>115</v>
      </c>
      <c r="AQ2662" t="s">
        <v>2227</v>
      </c>
      <c r="AR2662" t="s">
        <v>80</v>
      </c>
      <c r="AS2662">
        <v>315</v>
      </c>
      <c r="AT2662" t="s">
        <v>81</v>
      </c>
      <c r="AU2662">
        <v>19.39</v>
      </c>
      <c r="AV2662">
        <v>27.8</v>
      </c>
      <c r="AW2662" t="s">
        <v>82</v>
      </c>
      <c r="AX2662">
        <v>315</v>
      </c>
      <c r="AY2662" t="s">
        <v>81</v>
      </c>
      <c r="AZ2662">
        <v>10.89</v>
      </c>
      <c r="BA2662">
        <v>13.75</v>
      </c>
      <c r="BB2662" t="s">
        <v>83</v>
      </c>
    </row>
    <row r="2663" spans="1:54" x14ac:dyDescent="0.4">
      <c r="A2663">
        <v>811316</v>
      </c>
      <c r="D2663" t="s">
        <v>54</v>
      </c>
      <c r="G2663">
        <v>1</v>
      </c>
      <c r="H2663" t="s">
        <v>84</v>
      </c>
      <c r="I2663" t="s">
        <v>57</v>
      </c>
      <c r="K2663" t="s">
        <v>840</v>
      </c>
      <c r="L2663" t="s">
        <v>2197</v>
      </c>
      <c r="M2663" t="s">
        <v>60</v>
      </c>
      <c r="O2663" t="s">
        <v>170</v>
      </c>
      <c r="P2663" t="s">
        <v>224</v>
      </c>
      <c r="R2663" t="s">
        <v>183</v>
      </c>
      <c r="S2663" t="s">
        <v>64</v>
      </c>
      <c r="T2663">
        <v>246.7</v>
      </c>
      <c r="U2663">
        <v>242</v>
      </c>
      <c r="V2663">
        <f t="shared" si="82"/>
        <v>244.35</v>
      </c>
      <c r="W2663">
        <f t="shared" si="83"/>
        <v>4.6999999999999886</v>
      </c>
      <c r="X2663">
        <v>-3.2672219999999998</v>
      </c>
      <c r="Y2663">
        <v>50.669167000000002</v>
      </c>
      <c r="Z2663" t="s">
        <v>184</v>
      </c>
      <c r="AA2663" t="s">
        <v>91</v>
      </c>
      <c r="AB2663" t="s">
        <v>92</v>
      </c>
      <c r="AC2663" t="s">
        <v>2198</v>
      </c>
      <c r="AD2663" t="s">
        <v>2199</v>
      </c>
      <c r="AE2663" t="s">
        <v>1245</v>
      </c>
      <c r="AH2663" t="s">
        <v>72</v>
      </c>
      <c r="AI2663" t="s">
        <v>1269</v>
      </c>
      <c r="AJ2663">
        <v>1990</v>
      </c>
      <c r="AK2663" t="s">
        <v>2228</v>
      </c>
      <c r="AN2663" t="s">
        <v>76</v>
      </c>
      <c r="AO2663" t="s">
        <v>77</v>
      </c>
      <c r="AP2663" t="s">
        <v>115</v>
      </c>
      <c r="AQ2663" t="s">
        <v>2229</v>
      </c>
      <c r="AR2663" t="s">
        <v>80</v>
      </c>
      <c r="AS2663">
        <v>315</v>
      </c>
      <c r="AT2663" t="s">
        <v>81</v>
      </c>
      <c r="AU2663">
        <v>19.39</v>
      </c>
      <c r="AV2663">
        <v>27.8</v>
      </c>
      <c r="AW2663" t="s">
        <v>82</v>
      </c>
      <c r="AX2663">
        <v>315</v>
      </c>
      <c r="AY2663" t="s">
        <v>81</v>
      </c>
      <c r="AZ2663">
        <v>10.89</v>
      </c>
      <c r="BA2663">
        <v>13.75</v>
      </c>
      <c r="BB2663" t="s">
        <v>83</v>
      </c>
    </row>
    <row r="2664" spans="1:54" x14ac:dyDescent="0.4">
      <c r="A2664">
        <v>811318</v>
      </c>
      <c r="D2664" t="s">
        <v>54</v>
      </c>
      <c r="G2664">
        <v>1</v>
      </c>
      <c r="H2664" t="s">
        <v>84</v>
      </c>
      <c r="I2664" t="s">
        <v>57</v>
      </c>
      <c r="K2664" t="s">
        <v>840</v>
      </c>
      <c r="L2664" t="s">
        <v>2197</v>
      </c>
      <c r="M2664" t="s">
        <v>60</v>
      </c>
      <c r="O2664" t="s">
        <v>170</v>
      </c>
      <c r="P2664" t="s">
        <v>224</v>
      </c>
      <c r="R2664" t="s">
        <v>183</v>
      </c>
      <c r="S2664" t="s">
        <v>64</v>
      </c>
      <c r="T2664">
        <v>246.7</v>
      </c>
      <c r="U2664">
        <v>242</v>
      </c>
      <c r="V2664">
        <f t="shared" si="82"/>
        <v>244.35</v>
      </c>
      <c r="W2664">
        <f t="shared" si="83"/>
        <v>4.6999999999999886</v>
      </c>
      <c r="X2664">
        <v>-3.2675000000000001</v>
      </c>
      <c r="Y2664">
        <v>50.666668000000001</v>
      </c>
      <c r="Z2664" t="s">
        <v>184</v>
      </c>
      <c r="AA2664" t="s">
        <v>91</v>
      </c>
      <c r="AB2664" t="s">
        <v>92</v>
      </c>
      <c r="AC2664" t="s">
        <v>2198</v>
      </c>
      <c r="AD2664" t="s">
        <v>2199</v>
      </c>
      <c r="AE2664" t="s">
        <v>1245</v>
      </c>
      <c r="AH2664" t="s">
        <v>72</v>
      </c>
      <c r="AI2664" t="s">
        <v>1269</v>
      </c>
      <c r="AJ2664">
        <v>1990</v>
      </c>
      <c r="AK2664" t="s">
        <v>2230</v>
      </c>
      <c r="AN2664" t="s">
        <v>76</v>
      </c>
      <c r="AO2664" t="s">
        <v>77</v>
      </c>
      <c r="AP2664" t="s">
        <v>115</v>
      </c>
      <c r="AQ2664" t="s">
        <v>2231</v>
      </c>
      <c r="AR2664" t="s">
        <v>80</v>
      </c>
      <c r="AS2664">
        <v>315</v>
      </c>
      <c r="AT2664" t="s">
        <v>81</v>
      </c>
      <c r="AU2664">
        <v>19.39</v>
      </c>
      <c r="AV2664">
        <v>27.8</v>
      </c>
      <c r="AW2664" t="s">
        <v>82</v>
      </c>
      <c r="AX2664">
        <v>315</v>
      </c>
      <c r="AY2664" t="s">
        <v>81</v>
      </c>
      <c r="AZ2664">
        <v>10.89</v>
      </c>
      <c r="BA2664">
        <v>13.74</v>
      </c>
      <c r="BB2664" t="s">
        <v>83</v>
      </c>
    </row>
    <row r="2665" spans="1:54" x14ac:dyDescent="0.4">
      <c r="A2665">
        <v>811319</v>
      </c>
      <c r="D2665" t="s">
        <v>54</v>
      </c>
      <c r="G2665">
        <v>1</v>
      </c>
      <c r="H2665" t="s">
        <v>84</v>
      </c>
      <c r="I2665" t="s">
        <v>57</v>
      </c>
      <c r="K2665" t="s">
        <v>840</v>
      </c>
      <c r="L2665" t="s">
        <v>2197</v>
      </c>
      <c r="M2665" t="s">
        <v>60</v>
      </c>
      <c r="O2665" t="s">
        <v>170</v>
      </c>
      <c r="P2665" t="s">
        <v>224</v>
      </c>
      <c r="R2665" t="s">
        <v>183</v>
      </c>
      <c r="S2665" t="s">
        <v>64</v>
      </c>
      <c r="T2665">
        <v>246.7</v>
      </c>
      <c r="U2665">
        <v>242</v>
      </c>
      <c r="V2665">
        <f t="shared" si="82"/>
        <v>244.35</v>
      </c>
      <c r="W2665">
        <f t="shared" si="83"/>
        <v>4.6999999999999886</v>
      </c>
      <c r="X2665">
        <v>-3.2675000000000001</v>
      </c>
      <c r="Y2665">
        <v>50.666668000000001</v>
      </c>
      <c r="Z2665" t="s">
        <v>184</v>
      </c>
      <c r="AA2665" t="s">
        <v>91</v>
      </c>
      <c r="AB2665" t="s">
        <v>92</v>
      </c>
      <c r="AC2665" t="s">
        <v>2198</v>
      </c>
      <c r="AD2665" t="s">
        <v>2199</v>
      </c>
      <c r="AE2665" t="s">
        <v>1245</v>
      </c>
      <c r="AH2665" t="s">
        <v>72</v>
      </c>
      <c r="AI2665" t="s">
        <v>1269</v>
      </c>
      <c r="AJ2665">
        <v>1990</v>
      </c>
      <c r="AK2665" t="s">
        <v>2232</v>
      </c>
      <c r="AN2665" t="s">
        <v>76</v>
      </c>
      <c r="AO2665" t="s">
        <v>77</v>
      </c>
      <c r="AP2665" t="s">
        <v>115</v>
      </c>
      <c r="AQ2665" t="s">
        <v>2233</v>
      </c>
      <c r="AR2665" t="s">
        <v>80</v>
      </c>
      <c r="AS2665">
        <v>315</v>
      </c>
      <c r="AT2665" t="s">
        <v>81</v>
      </c>
      <c r="AU2665">
        <v>19.39</v>
      </c>
      <c r="AV2665">
        <v>27.8</v>
      </c>
      <c r="AW2665" t="s">
        <v>82</v>
      </c>
      <c r="AX2665">
        <v>315</v>
      </c>
      <c r="AY2665" t="s">
        <v>81</v>
      </c>
      <c r="AZ2665">
        <v>10.89</v>
      </c>
      <c r="BA2665">
        <v>13.74</v>
      </c>
      <c r="BB2665" t="s">
        <v>83</v>
      </c>
    </row>
    <row r="2666" spans="1:54" x14ac:dyDescent="0.4">
      <c r="A2666">
        <v>811320</v>
      </c>
      <c r="D2666" t="s">
        <v>54</v>
      </c>
      <c r="G2666">
        <v>1</v>
      </c>
      <c r="H2666" t="s">
        <v>84</v>
      </c>
      <c r="I2666" t="s">
        <v>57</v>
      </c>
      <c r="K2666" t="s">
        <v>840</v>
      </c>
      <c r="L2666" t="s">
        <v>2197</v>
      </c>
      <c r="M2666" t="s">
        <v>60</v>
      </c>
      <c r="O2666" t="s">
        <v>170</v>
      </c>
      <c r="P2666" t="s">
        <v>224</v>
      </c>
      <c r="R2666" t="s">
        <v>183</v>
      </c>
      <c r="S2666" t="s">
        <v>64</v>
      </c>
      <c r="T2666">
        <v>246.7</v>
      </c>
      <c r="U2666">
        <v>242</v>
      </c>
      <c r="V2666">
        <f t="shared" si="82"/>
        <v>244.35</v>
      </c>
      <c r="W2666">
        <f t="shared" si="83"/>
        <v>4.6999999999999886</v>
      </c>
      <c r="X2666">
        <v>-3.2672219999999998</v>
      </c>
      <c r="Y2666">
        <v>50.667499999999997</v>
      </c>
      <c r="Z2666" t="s">
        <v>184</v>
      </c>
      <c r="AA2666" t="s">
        <v>91</v>
      </c>
      <c r="AB2666" t="s">
        <v>92</v>
      </c>
      <c r="AC2666" t="s">
        <v>2198</v>
      </c>
      <c r="AD2666" t="s">
        <v>2199</v>
      </c>
      <c r="AE2666" t="s">
        <v>1245</v>
      </c>
      <c r="AH2666" t="s">
        <v>72</v>
      </c>
      <c r="AI2666" t="s">
        <v>1269</v>
      </c>
      <c r="AJ2666">
        <v>1990</v>
      </c>
      <c r="AK2666" t="s">
        <v>2234</v>
      </c>
      <c r="AN2666" t="s">
        <v>76</v>
      </c>
      <c r="AO2666" t="s">
        <v>77</v>
      </c>
      <c r="AP2666" t="s">
        <v>115</v>
      </c>
      <c r="AQ2666" t="s">
        <v>2235</v>
      </c>
      <c r="AR2666" t="s">
        <v>80</v>
      </c>
      <c r="AS2666">
        <v>315</v>
      </c>
      <c r="AT2666" t="s">
        <v>81</v>
      </c>
      <c r="AU2666">
        <v>19.39</v>
      </c>
      <c r="AV2666">
        <v>27.8</v>
      </c>
      <c r="AW2666" t="s">
        <v>82</v>
      </c>
      <c r="AX2666">
        <v>315</v>
      </c>
      <c r="AY2666" t="s">
        <v>81</v>
      </c>
      <c r="AZ2666">
        <v>10.89</v>
      </c>
      <c r="BA2666">
        <v>13.75</v>
      </c>
      <c r="BB2666" t="s">
        <v>83</v>
      </c>
    </row>
    <row r="2667" spans="1:54" x14ac:dyDescent="0.4">
      <c r="A2667">
        <v>811326</v>
      </c>
      <c r="D2667" t="s">
        <v>54</v>
      </c>
      <c r="E2667" t="s">
        <v>55</v>
      </c>
      <c r="G2667">
        <v>1</v>
      </c>
      <c r="H2667" t="s">
        <v>56</v>
      </c>
      <c r="I2667" t="s">
        <v>57</v>
      </c>
      <c r="K2667" t="s">
        <v>840</v>
      </c>
      <c r="L2667" t="s">
        <v>2236</v>
      </c>
      <c r="M2667" t="s">
        <v>60</v>
      </c>
      <c r="O2667" t="s">
        <v>170</v>
      </c>
      <c r="P2667" t="s">
        <v>224</v>
      </c>
      <c r="R2667" t="s">
        <v>183</v>
      </c>
      <c r="S2667" t="s">
        <v>64</v>
      </c>
      <c r="T2667">
        <v>246.7</v>
      </c>
      <c r="U2667">
        <v>242</v>
      </c>
      <c r="V2667">
        <f t="shared" si="82"/>
        <v>244.35</v>
      </c>
      <c r="W2667">
        <f t="shared" si="83"/>
        <v>4.6999999999999886</v>
      </c>
      <c r="X2667">
        <v>-3.2652779999999999</v>
      </c>
      <c r="Y2667">
        <v>50.679169000000002</v>
      </c>
      <c r="Z2667" t="s">
        <v>105</v>
      </c>
      <c r="AA2667" t="s">
        <v>91</v>
      </c>
      <c r="AB2667" t="s">
        <v>92</v>
      </c>
      <c r="AC2667" t="s">
        <v>2198</v>
      </c>
      <c r="AD2667" t="s">
        <v>2199</v>
      </c>
      <c r="AE2667" t="s">
        <v>1245</v>
      </c>
      <c r="AH2667" t="s">
        <v>72</v>
      </c>
      <c r="AI2667" t="s">
        <v>903</v>
      </c>
      <c r="AJ2667">
        <v>2010</v>
      </c>
      <c r="AK2667" t="s">
        <v>2237</v>
      </c>
      <c r="AN2667" t="s">
        <v>76</v>
      </c>
      <c r="AO2667" t="s">
        <v>77</v>
      </c>
      <c r="AP2667" t="s">
        <v>115</v>
      </c>
      <c r="AQ2667" t="s">
        <v>2238</v>
      </c>
      <c r="AR2667" t="s">
        <v>80</v>
      </c>
      <c r="AS2667">
        <v>315</v>
      </c>
      <c r="AT2667" t="s">
        <v>81</v>
      </c>
      <c r="AU2667">
        <v>19.39</v>
      </c>
      <c r="AV2667">
        <v>27.81</v>
      </c>
      <c r="AW2667" t="s">
        <v>82</v>
      </c>
      <c r="AX2667">
        <v>315</v>
      </c>
      <c r="AY2667" t="s">
        <v>81</v>
      </c>
      <c r="AZ2667">
        <v>10.89</v>
      </c>
      <c r="BA2667">
        <v>13.76</v>
      </c>
      <c r="BB2667" t="s">
        <v>83</v>
      </c>
    </row>
    <row r="2668" spans="1:54" x14ac:dyDescent="0.4">
      <c r="A2668">
        <v>811330</v>
      </c>
      <c r="D2668" t="s">
        <v>54</v>
      </c>
      <c r="E2668" t="s">
        <v>152</v>
      </c>
      <c r="G2668">
        <v>6</v>
      </c>
      <c r="H2668" t="s">
        <v>84</v>
      </c>
      <c r="I2668" t="s">
        <v>57</v>
      </c>
      <c r="K2668" t="s">
        <v>100</v>
      </c>
      <c r="L2668" t="s">
        <v>1576</v>
      </c>
      <c r="M2668" t="s">
        <v>60</v>
      </c>
      <c r="P2668" t="s">
        <v>224</v>
      </c>
      <c r="R2668" t="s">
        <v>183</v>
      </c>
      <c r="S2668" t="s">
        <v>64</v>
      </c>
      <c r="T2668">
        <v>246.7</v>
      </c>
      <c r="U2668">
        <v>242</v>
      </c>
      <c r="V2668">
        <f t="shared" si="82"/>
        <v>244.35</v>
      </c>
      <c r="W2668">
        <f t="shared" si="83"/>
        <v>4.6999999999999886</v>
      </c>
      <c r="X2668">
        <v>-3.2330559999999999</v>
      </c>
      <c r="Y2668">
        <v>50.679169000000002</v>
      </c>
      <c r="Z2668" t="s">
        <v>184</v>
      </c>
      <c r="AA2668" t="s">
        <v>91</v>
      </c>
      <c r="AB2668" t="s">
        <v>92</v>
      </c>
      <c r="AC2668" t="s">
        <v>2198</v>
      </c>
      <c r="AD2668" t="s">
        <v>2199</v>
      </c>
      <c r="AE2668" t="s">
        <v>1245</v>
      </c>
      <c r="AH2668" t="s">
        <v>72</v>
      </c>
      <c r="AI2668" t="s">
        <v>1868</v>
      </c>
      <c r="AJ2668">
        <v>2002</v>
      </c>
      <c r="AK2668" t="s">
        <v>2239</v>
      </c>
      <c r="AM2668" t="s">
        <v>2240</v>
      </c>
      <c r="AN2668" t="s">
        <v>76</v>
      </c>
      <c r="AO2668" t="s">
        <v>77</v>
      </c>
      <c r="AP2668" t="s">
        <v>115</v>
      </c>
      <c r="AQ2668" t="s">
        <v>2241</v>
      </c>
      <c r="AR2668" t="s">
        <v>80</v>
      </c>
      <c r="AS2668">
        <v>315</v>
      </c>
      <c r="AT2668" t="s">
        <v>81</v>
      </c>
      <c r="AU2668">
        <v>19.41</v>
      </c>
      <c r="AV2668">
        <v>27.81</v>
      </c>
      <c r="AW2668" t="s">
        <v>82</v>
      </c>
      <c r="AX2668">
        <v>315</v>
      </c>
      <c r="AY2668" t="s">
        <v>81</v>
      </c>
      <c r="AZ2668">
        <v>10.91</v>
      </c>
      <c r="BA2668">
        <v>13.76</v>
      </c>
      <c r="BB2668" t="s">
        <v>83</v>
      </c>
    </row>
    <row r="2669" spans="1:54" x14ac:dyDescent="0.4">
      <c r="A2669">
        <v>811331</v>
      </c>
      <c r="D2669" t="s">
        <v>54</v>
      </c>
      <c r="G2669">
        <v>1</v>
      </c>
      <c r="H2669" t="s">
        <v>84</v>
      </c>
      <c r="I2669" t="s">
        <v>57</v>
      </c>
      <c r="K2669" t="s">
        <v>100</v>
      </c>
      <c r="L2669" t="s">
        <v>1576</v>
      </c>
      <c r="M2669" t="s">
        <v>60</v>
      </c>
      <c r="P2669" t="s">
        <v>224</v>
      </c>
      <c r="R2669" t="s">
        <v>183</v>
      </c>
      <c r="S2669" t="s">
        <v>64</v>
      </c>
      <c r="T2669">
        <v>246.7</v>
      </c>
      <c r="U2669">
        <v>242</v>
      </c>
      <c r="V2669">
        <f t="shared" si="82"/>
        <v>244.35</v>
      </c>
      <c r="W2669">
        <f t="shared" si="83"/>
        <v>4.6999999999999886</v>
      </c>
      <c r="X2669">
        <v>-3.2658330000000002</v>
      </c>
      <c r="Y2669">
        <v>50.672500999999997</v>
      </c>
      <c r="Z2669" t="s">
        <v>184</v>
      </c>
      <c r="AA2669" t="s">
        <v>91</v>
      </c>
      <c r="AB2669" t="s">
        <v>92</v>
      </c>
      <c r="AC2669" t="s">
        <v>2198</v>
      </c>
      <c r="AD2669" t="s">
        <v>2199</v>
      </c>
      <c r="AE2669" t="s">
        <v>1245</v>
      </c>
      <c r="AH2669" t="s">
        <v>72</v>
      </c>
      <c r="AI2669" t="s">
        <v>1868</v>
      </c>
      <c r="AJ2669">
        <v>2002</v>
      </c>
      <c r="AK2669" t="s">
        <v>2242</v>
      </c>
      <c r="AN2669" t="s">
        <v>76</v>
      </c>
      <c r="AO2669" t="s">
        <v>77</v>
      </c>
      <c r="AP2669" t="s">
        <v>115</v>
      </c>
      <c r="AQ2669" t="s">
        <v>2243</v>
      </c>
      <c r="AR2669" t="s">
        <v>80</v>
      </c>
      <c r="AS2669">
        <v>315</v>
      </c>
      <c r="AT2669" t="s">
        <v>81</v>
      </c>
      <c r="AU2669">
        <v>19.39</v>
      </c>
      <c r="AV2669">
        <v>27.81</v>
      </c>
      <c r="AW2669" t="s">
        <v>82</v>
      </c>
      <c r="AX2669">
        <v>315</v>
      </c>
      <c r="AY2669" t="s">
        <v>81</v>
      </c>
      <c r="AZ2669">
        <v>10.89</v>
      </c>
      <c r="BA2669">
        <v>13.75</v>
      </c>
      <c r="BB2669" t="s">
        <v>83</v>
      </c>
    </row>
    <row r="2670" spans="1:54" x14ac:dyDescent="0.4">
      <c r="A2670">
        <v>811337</v>
      </c>
      <c r="D2670" t="s">
        <v>54</v>
      </c>
      <c r="E2670" t="s">
        <v>152</v>
      </c>
      <c r="G2670">
        <v>2</v>
      </c>
      <c r="H2670" t="s">
        <v>84</v>
      </c>
      <c r="I2670" t="s">
        <v>57</v>
      </c>
      <c r="K2670" t="s">
        <v>141</v>
      </c>
      <c r="L2670" t="s">
        <v>2244</v>
      </c>
      <c r="M2670" t="s">
        <v>60</v>
      </c>
      <c r="P2670" t="s">
        <v>224</v>
      </c>
      <c r="R2670" t="s">
        <v>183</v>
      </c>
      <c r="S2670" t="s">
        <v>64</v>
      </c>
      <c r="T2670">
        <v>246.7</v>
      </c>
      <c r="U2670">
        <v>242</v>
      </c>
      <c r="V2670">
        <f t="shared" si="82"/>
        <v>244.35</v>
      </c>
      <c r="W2670">
        <f t="shared" si="83"/>
        <v>4.6999999999999886</v>
      </c>
      <c r="X2670">
        <v>-3.2330559999999999</v>
      </c>
      <c r="Y2670">
        <v>50.679169000000002</v>
      </c>
      <c r="Z2670" t="s">
        <v>184</v>
      </c>
      <c r="AA2670" t="s">
        <v>91</v>
      </c>
      <c r="AB2670" t="s">
        <v>92</v>
      </c>
      <c r="AC2670" t="s">
        <v>2198</v>
      </c>
      <c r="AD2670" t="s">
        <v>2199</v>
      </c>
      <c r="AE2670" t="s">
        <v>1245</v>
      </c>
      <c r="AH2670" t="s">
        <v>72</v>
      </c>
      <c r="AI2670" t="s">
        <v>1868</v>
      </c>
      <c r="AJ2670">
        <v>2002</v>
      </c>
      <c r="AK2670" t="s">
        <v>2239</v>
      </c>
      <c r="AM2670" t="s">
        <v>2240</v>
      </c>
      <c r="AN2670" t="s">
        <v>76</v>
      </c>
      <c r="AO2670" t="s">
        <v>77</v>
      </c>
      <c r="AP2670" t="s">
        <v>115</v>
      </c>
      <c r="AQ2670" t="s">
        <v>2241</v>
      </c>
      <c r="AR2670" t="s">
        <v>80</v>
      </c>
      <c r="AS2670">
        <v>315</v>
      </c>
      <c r="AT2670" t="s">
        <v>81</v>
      </c>
      <c r="AU2670">
        <v>19.41</v>
      </c>
      <c r="AV2670">
        <v>27.81</v>
      </c>
      <c r="AW2670" t="s">
        <v>82</v>
      </c>
      <c r="AX2670">
        <v>315</v>
      </c>
      <c r="AY2670" t="s">
        <v>81</v>
      </c>
      <c r="AZ2670">
        <v>10.91</v>
      </c>
      <c r="BA2670">
        <v>13.76</v>
      </c>
      <c r="BB2670" t="s">
        <v>83</v>
      </c>
    </row>
    <row r="2671" spans="1:54" x14ac:dyDescent="0.4">
      <c r="A2671">
        <v>811338</v>
      </c>
      <c r="D2671" t="s">
        <v>54</v>
      </c>
      <c r="E2671" t="s">
        <v>152</v>
      </c>
      <c r="G2671">
        <v>1</v>
      </c>
      <c r="H2671" t="s">
        <v>84</v>
      </c>
      <c r="I2671" t="s">
        <v>57</v>
      </c>
      <c r="K2671" t="s">
        <v>141</v>
      </c>
      <c r="L2671" t="s">
        <v>2244</v>
      </c>
      <c r="M2671" t="s">
        <v>60</v>
      </c>
      <c r="P2671" t="s">
        <v>224</v>
      </c>
      <c r="R2671" t="s">
        <v>183</v>
      </c>
      <c r="S2671" t="s">
        <v>64</v>
      </c>
      <c r="T2671">
        <v>246.7</v>
      </c>
      <c r="U2671">
        <v>242</v>
      </c>
      <c r="V2671">
        <f t="shared" si="82"/>
        <v>244.35</v>
      </c>
      <c r="W2671">
        <f t="shared" si="83"/>
        <v>4.6999999999999886</v>
      </c>
      <c r="X2671">
        <v>-3.2330559999999999</v>
      </c>
      <c r="Y2671">
        <v>50.679169000000002</v>
      </c>
      <c r="Z2671" t="s">
        <v>184</v>
      </c>
      <c r="AA2671" t="s">
        <v>91</v>
      </c>
      <c r="AB2671" t="s">
        <v>92</v>
      </c>
      <c r="AC2671" t="s">
        <v>2198</v>
      </c>
      <c r="AD2671" t="s">
        <v>2199</v>
      </c>
      <c r="AE2671" t="s">
        <v>1245</v>
      </c>
      <c r="AH2671" t="s">
        <v>72</v>
      </c>
      <c r="AI2671" t="s">
        <v>1868</v>
      </c>
      <c r="AJ2671">
        <v>2002</v>
      </c>
      <c r="AK2671" t="s">
        <v>2239</v>
      </c>
      <c r="AM2671" t="s">
        <v>2240</v>
      </c>
      <c r="AN2671" t="s">
        <v>76</v>
      </c>
      <c r="AO2671" t="s">
        <v>77</v>
      </c>
      <c r="AP2671" t="s">
        <v>115</v>
      </c>
      <c r="AQ2671" t="s">
        <v>2241</v>
      </c>
      <c r="AR2671" t="s">
        <v>80</v>
      </c>
      <c r="AS2671">
        <v>315</v>
      </c>
      <c r="AT2671" t="s">
        <v>81</v>
      </c>
      <c r="AU2671">
        <v>19.41</v>
      </c>
      <c r="AV2671">
        <v>27.81</v>
      </c>
      <c r="AW2671" t="s">
        <v>82</v>
      </c>
      <c r="AX2671">
        <v>315</v>
      </c>
      <c r="AY2671" t="s">
        <v>81</v>
      </c>
      <c r="AZ2671">
        <v>10.91</v>
      </c>
      <c r="BA2671">
        <v>13.76</v>
      </c>
      <c r="BB2671" t="s">
        <v>83</v>
      </c>
    </row>
    <row r="2672" spans="1:54" x14ac:dyDescent="0.4">
      <c r="A2672">
        <v>811340</v>
      </c>
      <c r="D2672" t="s">
        <v>54</v>
      </c>
      <c r="G2672">
        <v>1</v>
      </c>
      <c r="H2672" t="s">
        <v>84</v>
      </c>
      <c r="I2672" t="s">
        <v>57</v>
      </c>
      <c r="K2672" t="s">
        <v>840</v>
      </c>
      <c r="L2672" t="s">
        <v>2197</v>
      </c>
      <c r="M2672" t="s">
        <v>60</v>
      </c>
      <c r="O2672" t="s">
        <v>170</v>
      </c>
      <c r="P2672" t="s">
        <v>224</v>
      </c>
      <c r="R2672" t="s">
        <v>183</v>
      </c>
      <c r="S2672" t="s">
        <v>64</v>
      </c>
      <c r="T2672">
        <v>246.7</v>
      </c>
      <c r="U2672">
        <v>242</v>
      </c>
      <c r="V2672">
        <f t="shared" si="82"/>
        <v>244.35</v>
      </c>
      <c r="W2672">
        <f t="shared" si="83"/>
        <v>4.6999999999999886</v>
      </c>
      <c r="X2672">
        <v>-3.3055560000000002</v>
      </c>
      <c r="Y2672">
        <v>50.630001</v>
      </c>
      <c r="Z2672" t="s">
        <v>836</v>
      </c>
      <c r="AA2672" t="s">
        <v>91</v>
      </c>
      <c r="AB2672" t="s">
        <v>92</v>
      </c>
      <c r="AC2672" t="s">
        <v>2198</v>
      </c>
      <c r="AD2672" t="s">
        <v>2199</v>
      </c>
      <c r="AE2672" t="s">
        <v>1245</v>
      </c>
      <c r="AH2672" t="s">
        <v>72</v>
      </c>
      <c r="AI2672" t="s">
        <v>1269</v>
      </c>
      <c r="AJ2672">
        <v>1990</v>
      </c>
      <c r="AK2672" t="s">
        <v>2245</v>
      </c>
      <c r="AN2672" t="s">
        <v>76</v>
      </c>
      <c r="AO2672" t="s">
        <v>77</v>
      </c>
      <c r="AP2672" t="s">
        <v>115</v>
      </c>
      <c r="AQ2672" t="s">
        <v>2246</v>
      </c>
      <c r="AR2672" t="s">
        <v>80</v>
      </c>
      <c r="AS2672">
        <v>315</v>
      </c>
      <c r="AT2672" t="s">
        <v>81</v>
      </c>
      <c r="AU2672">
        <v>19.37</v>
      </c>
      <c r="AV2672">
        <v>27.76</v>
      </c>
      <c r="AW2672" t="s">
        <v>82</v>
      </c>
      <c r="AX2672">
        <v>315</v>
      </c>
      <c r="AY2672" t="s">
        <v>81</v>
      </c>
      <c r="AZ2672">
        <v>10.88</v>
      </c>
      <c r="BA2672">
        <v>13.7</v>
      </c>
      <c r="BB2672" t="s">
        <v>83</v>
      </c>
    </row>
    <row r="2673" spans="1:54" x14ac:dyDescent="0.4">
      <c r="A2673">
        <v>811360</v>
      </c>
      <c r="D2673" t="s">
        <v>54</v>
      </c>
      <c r="G2673">
        <v>1</v>
      </c>
      <c r="H2673" t="s">
        <v>84</v>
      </c>
      <c r="I2673" t="s">
        <v>57</v>
      </c>
      <c r="K2673" t="s">
        <v>746</v>
      </c>
      <c r="L2673" t="s">
        <v>1357</v>
      </c>
      <c r="M2673" t="s">
        <v>60</v>
      </c>
      <c r="N2673" t="s">
        <v>119</v>
      </c>
      <c r="O2673" t="s">
        <v>345</v>
      </c>
      <c r="P2673" t="s">
        <v>224</v>
      </c>
      <c r="R2673" t="s">
        <v>183</v>
      </c>
      <c r="S2673" t="s">
        <v>64</v>
      </c>
      <c r="T2673">
        <v>246.7</v>
      </c>
      <c r="U2673">
        <v>242</v>
      </c>
      <c r="V2673">
        <f t="shared" si="82"/>
        <v>244.35</v>
      </c>
      <c r="W2673">
        <f t="shared" si="83"/>
        <v>4.6999999999999886</v>
      </c>
      <c r="X2673">
        <v>-3.266667</v>
      </c>
      <c r="Y2673">
        <v>50.666668000000001</v>
      </c>
      <c r="Z2673" t="s">
        <v>184</v>
      </c>
      <c r="AA2673" t="s">
        <v>91</v>
      </c>
      <c r="AB2673" t="s">
        <v>92</v>
      </c>
      <c r="AC2673" t="s">
        <v>2198</v>
      </c>
      <c r="AD2673" t="s">
        <v>2199</v>
      </c>
      <c r="AE2673" t="s">
        <v>1245</v>
      </c>
      <c r="AH2673" t="s">
        <v>11</v>
      </c>
      <c r="AI2673" t="s">
        <v>2247</v>
      </c>
      <c r="AJ2673">
        <v>1990</v>
      </c>
      <c r="AK2673" t="s">
        <v>2248</v>
      </c>
      <c r="AN2673" t="s">
        <v>192</v>
      </c>
      <c r="AO2673" t="s">
        <v>160</v>
      </c>
      <c r="AP2673" t="s">
        <v>78</v>
      </c>
      <c r="AQ2673" t="s">
        <v>2249</v>
      </c>
      <c r="AR2673" t="s">
        <v>80</v>
      </c>
      <c r="AS2673">
        <v>315</v>
      </c>
      <c r="AT2673" t="s">
        <v>81</v>
      </c>
      <c r="AU2673">
        <v>19.39</v>
      </c>
      <c r="AV2673">
        <v>27.8</v>
      </c>
      <c r="AW2673" t="s">
        <v>82</v>
      </c>
      <c r="AX2673">
        <v>315</v>
      </c>
      <c r="AY2673" t="s">
        <v>81</v>
      </c>
      <c r="AZ2673">
        <v>10.89</v>
      </c>
      <c r="BA2673">
        <v>13.75</v>
      </c>
      <c r="BB2673" t="s">
        <v>83</v>
      </c>
    </row>
    <row r="2674" spans="1:54" x14ac:dyDescent="0.4">
      <c r="A2674">
        <v>811363</v>
      </c>
      <c r="D2674" t="s">
        <v>54</v>
      </c>
      <c r="G2674">
        <v>1</v>
      </c>
      <c r="H2674" t="s">
        <v>84</v>
      </c>
      <c r="I2674" t="s">
        <v>57</v>
      </c>
      <c r="K2674" t="s">
        <v>840</v>
      </c>
      <c r="L2674" t="s">
        <v>2197</v>
      </c>
      <c r="M2674" t="s">
        <v>60</v>
      </c>
      <c r="O2674" t="s">
        <v>170</v>
      </c>
      <c r="P2674" t="s">
        <v>224</v>
      </c>
      <c r="R2674" t="s">
        <v>183</v>
      </c>
      <c r="S2674" t="s">
        <v>64</v>
      </c>
      <c r="T2674">
        <v>246.7</v>
      </c>
      <c r="U2674">
        <v>242</v>
      </c>
      <c r="V2674">
        <f t="shared" si="82"/>
        <v>244.35</v>
      </c>
      <c r="W2674">
        <f t="shared" si="83"/>
        <v>4.6999999999999886</v>
      </c>
      <c r="X2674">
        <v>-3.2686109999999999</v>
      </c>
      <c r="Y2674">
        <v>50.665000999999997</v>
      </c>
      <c r="Z2674" t="s">
        <v>184</v>
      </c>
      <c r="AA2674" t="s">
        <v>91</v>
      </c>
      <c r="AB2674" t="s">
        <v>92</v>
      </c>
      <c r="AC2674" t="s">
        <v>2198</v>
      </c>
      <c r="AD2674" t="s">
        <v>2199</v>
      </c>
      <c r="AE2674" t="s">
        <v>1245</v>
      </c>
      <c r="AH2674" t="s">
        <v>72</v>
      </c>
      <c r="AI2674" t="s">
        <v>1269</v>
      </c>
      <c r="AJ2674">
        <v>1990</v>
      </c>
      <c r="AK2674" t="s">
        <v>2250</v>
      </c>
      <c r="AN2674" t="s">
        <v>192</v>
      </c>
      <c r="AO2674" t="s">
        <v>77</v>
      </c>
      <c r="AP2674" t="s">
        <v>115</v>
      </c>
      <c r="AR2674" t="s">
        <v>80</v>
      </c>
      <c r="AS2674">
        <v>315</v>
      </c>
      <c r="AT2674" t="s">
        <v>81</v>
      </c>
      <c r="AU2674">
        <v>19.39</v>
      </c>
      <c r="AV2674">
        <v>27.8</v>
      </c>
      <c r="AW2674" t="s">
        <v>82</v>
      </c>
      <c r="AX2674">
        <v>315</v>
      </c>
      <c r="AY2674" t="s">
        <v>81</v>
      </c>
      <c r="AZ2674">
        <v>10.89</v>
      </c>
      <c r="BA2674">
        <v>13.74</v>
      </c>
      <c r="BB2674" t="s">
        <v>83</v>
      </c>
    </row>
    <row r="2675" spans="1:54" x14ac:dyDescent="0.4">
      <c r="A2675">
        <v>811364</v>
      </c>
      <c r="D2675" t="s">
        <v>54</v>
      </c>
      <c r="G2675">
        <v>1</v>
      </c>
      <c r="H2675" t="s">
        <v>84</v>
      </c>
      <c r="I2675" t="s">
        <v>57</v>
      </c>
      <c r="K2675" t="s">
        <v>840</v>
      </c>
      <c r="L2675" t="s">
        <v>2197</v>
      </c>
      <c r="M2675" t="s">
        <v>60</v>
      </c>
      <c r="O2675" t="s">
        <v>170</v>
      </c>
      <c r="P2675" t="s">
        <v>224</v>
      </c>
      <c r="R2675" t="s">
        <v>183</v>
      </c>
      <c r="S2675" t="s">
        <v>64</v>
      </c>
      <c r="T2675">
        <v>246.7</v>
      </c>
      <c r="U2675">
        <v>242</v>
      </c>
      <c r="V2675">
        <f t="shared" si="82"/>
        <v>244.35</v>
      </c>
      <c r="W2675">
        <f t="shared" si="83"/>
        <v>4.6999999999999886</v>
      </c>
      <c r="X2675">
        <v>-3.2686109999999999</v>
      </c>
      <c r="Y2675">
        <v>50.663891</v>
      </c>
      <c r="Z2675" t="s">
        <v>184</v>
      </c>
      <c r="AA2675" t="s">
        <v>91</v>
      </c>
      <c r="AB2675" t="s">
        <v>92</v>
      </c>
      <c r="AC2675" t="s">
        <v>2198</v>
      </c>
      <c r="AD2675" t="s">
        <v>2199</v>
      </c>
      <c r="AE2675" t="s">
        <v>1245</v>
      </c>
      <c r="AH2675" t="s">
        <v>72</v>
      </c>
      <c r="AI2675" t="s">
        <v>1269</v>
      </c>
      <c r="AJ2675">
        <v>1990</v>
      </c>
      <c r="AK2675" t="s">
        <v>2251</v>
      </c>
      <c r="AN2675" t="s">
        <v>192</v>
      </c>
      <c r="AO2675" t="s">
        <v>77</v>
      </c>
      <c r="AP2675" t="s">
        <v>115</v>
      </c>
      <c r="AR2675" t="s">
        <v>80</v>
      </c>
      <c r="AS2675">
        <v>315</v>
      </c>
      <c r="AT2675" t="s">
        <v>81</v>
      </c>
      <c r="AU2675">
        <v>19.39</v>
      </c>
      <c r="AV2675">
        <v>27.8</v>
      </c>
      <c r="AW2675" t="s">
        <v>82</v>
      </c>
      <c r="AX2675">
        <v>315</v>
      </c>
      <c r="AY2675" t="s">
        <v>81</v>
      </c>
      <c r="AZ2675">
        <v>10.89</v>
      </c>
      <c r="BA2675">
        <v>13.74</v>
      </c>
      <c r="BB2675" t="s">
        <v>83</v>
      </c>
    </row>
    <row r="2676" spans="1:54" x14ac:dyDescent="0.4">
      <c r="A2676">
        <v>818246</v>
      </c>
      <c r="D2676" t="s">
        <v>54</v>
      </c>
      <c r="G2676">
        <v>1</v>
      </c>
      <c r="H2676" t="s">
        <v>56</v>
      </c>
      <c r="I2676" t="s">
        <v>57</v>
      </c>
      <c r="K2676" t="s">
        <v>141</v>
      </c>
      <c r="L2676" t="s">
        <v>2318</v>
      </c>
      <c r="M2676" t="s">
        <v>60</v>
      </c>
      <c r="P2676" t="s">
        <v>224</v>
      </c>
      <c r="R2676" t="s">
        <v>183</v>
      </c>
      <c r="S2676" t="s">
        <v>64</v>
      </c>
      <c r="T2676">
        <v>246.7</v>
      </c>
      <c r="U2676">
        <v>242</v>
      </c>
      <c r="V2676">
        <f t="shared" si="82"/>
        <v>244.35</v>
      </c>
      <c r="W2676">
        <f t="shared" si="83"/>
        <v>4.6999999999999886</v>
      </c>
      <c r="X2676">
        <v>79.683334000000002</v>
      </c>
      <c r="Y2676">
        <v>18.855556</v>
      </c>
      <c r="Z2676" t="s">
        <v>124</v>
      </c>
      <c r="AA2676" t="s">
        <v>1222</v>
      </c>
      <c r="AB2676" t="s">
        <v>1223</v>
      </c>
      <c r="AC2676" t="s">
        <v>1224</v>
      </c>
      <c r="AD2676" t="s">
        <v>2319</v>
      </c>
      <c r="AH2676" t="s">
        <v>72</v>
      </c>
      <c r="AI2676" t="s">
        <v>2320</v>
      </c>
      <c r="AJ2676">
        <v>2005</v>
      </c>
      <c r="AK2676" t="s">
        <v>2321</v>
      </c>
      <c r="AM2676" t="s">
        <v>2322</v>
      </c>
      <c r="AN2676" t="s">
        <v>76</v>
      </c>
      <c r="AO2676" t="s">
        <v>77</v>
      </c>
      <c r="AP2676" t="s">
        <v>115</v>
      </c>
      <c r="AQ2676" t="s">
        <v>2323</v>
      </c>
      <c r="AR2676" t="s">
        <v>80</v>
      </c>
      <c r="AS2676">
        <v>501</v>
      </c>
      <c r="AT2676" t="s">
        <v>81</v>
      </c>
      <c r="AU2676">
        <v>39.36</v>
      </c>
      <c r="AV2676">
        <v>-42.72</v>
      </c>
      <c r="AW2676" t="s">
        <v>82</v>
      </c>
      <c r="AX2676">
        <v>501</v>
      </c>
      <c r="AY2676" t="s">
        <v>81</v>
      </c>
      <c r="AZ2676">
        <v>48.27</v>
      </c>
      <c r="BA2676">
        <v>-51.58</v>
      </c>
      <c r="BB2676" t="s">
        <v>83</v>
      </c>
    </row>
    <row r="2677" spans="1:54" x14ac:dyDescent="0.4">
      <c r="A2677">
        <v>818246</v>
      </c>
      <c r="D2677" t="s">
        <v>54</v>
      </c>
      <c r="G2677">
        <v>1</v>
      </c>
      <c r="H2677" t="s">
        <v>56</v>
      </c>
      <c r="I2677" t="s">
        <v>57</v>
      </c>
      <c r="K2677" t="s">
        <v>141</v>
      </c>
      <c r="L2677" t="s">
        <v>2318</v>
      </c>
      <c r="M2677" t="s">
        <v>60</v>
      </c>
      <c r="P2677" t="s">
        <v>224</v>
      </c>
      <c r="R2677" t="s">
        <v>183</v>
      </c>
      <c r="S2677" t="s">
        <v>64</v>
      </c>
      <c r="T2677">
        <v>246.7</v>
      </c>
      <c r="U2677">
        <v>242</v>
      </c>
      <c r="V2677">
        <f t="shared" si="82"/>
        <v>244.35</v>
      </c>
      <c r="W2677">
        <f t="shared" si="83"/>
        <v>4.6999999999999886</v>
      </c>
      <c r="X2677">
        <v>79.683334000000002</v>
      </c>
      <c r="Y2677">
        <v>18.855556</v>
      </c>
      <c r="Z2677" t="s">
        <v>124</v>
      </c>
      <c r="AA2677" t="s">
        <v>1222</v>
      </c>
      <c r="AB2677" t="s">
        <v>1223</v>
      </c>
      <c r="AC2677" t="s">
        <v>1224</v>
      </c>
      <c r="AD2677" t="s">
        <v>2319</v>
      </c>
      <c r="AH2677" t="s">
        <v>72</v>
      </c>
      <c r="AI2677" t="s">
        <v>2320</v>
      </c>
      <c r="AJ2677">
        <v>2005</v>
      </c>
      <c r="AK2677" t="s">
        <v>2321</v>
      </c>
      <c r="AM2677" t="s">
        <v>2322</v>
      </c>
      <c r="AN2677" t="s">
        <v>76</v>
      </c>
      <c r="AO2677" t="s">
        <v>77</v>
      </c>
      <c r="AP2677" t="s">
        <v>115</v>
      </c>
      <c r="AQ2677" t="s">
        <v>2323</v>
      </c>
      <c r="AR2677" t="s">
        <v>80</v>
      </c>
      <c r="AS2677">
        <v>501</v>
      </c>
      <c r="AT2677" t="s">
        <v>81</v>
      </c>
      <c r="AU2677">
        <v>39.36</v>
      </c>
      <c r="AV2677">
        <v>-42.72</v>
      </c>
      <c r="AW2677" t="s">
        <v>82</v>
      </c>
      <c r="AX2677">
        <v>501</v>
      </c>
      <c r="AY2677" t="s">
        <v>81</v>
      </c>
      <c r="AZ2677">
        <v>48.27</v>
      </c>
      <c r="BA2677">
        <v>-51.58</v>
      </c>
      <c r="BB2677" t="s">
        <v>83</v>
      </c>
    </row>
    <row r="2678" spans="1:54" x14ac:dyDescent="0.4">
      <c r="A2678">
        <v>818268</v>
      </c>
      <c r="D2678" t="s">
        <v>54</v>
      </c>
      <c r="G2678">
        <v>1</v>
      </c>
      <c r="H2678" t="s">
        <v>56</v>
      </c>
      <c r="I2678" t="s">
        <v>57</v>
      </c>
      <c r="K2678" t="s">
        <v>141</v>
      </c>
      <c r="L2678" t="s">
        <v>2324</v>
      </c>
      <c r="M2678" t="s">
        <v>60</v>
      </c>
      <c r="P2678" t="s">
        <v>224</v>
      </c>
      <c r="R2678" t="s">
        <v>183</v>
      </c>
      <c r="S2678" t="s">
        <v>64</v>
      </c>
      <c r="T2678">
        <v>246.7</v>
      </c>
      <c r="U2678">
        <v>242</v>
      </c>
      <c r="V2678">
        <f t="shared" si="82"/>
        <v>244.35</v>
      </c>
      <c r="W2678">
        <f t="shared" si="83"/>
        <v>4.6999999999999886</v>
      </c>
      <c r="X2678">
        <v>79.683334000000002</v>
      </c>
      <c r="Y2678">
        <v>18.855556</v>
      </c>
      <c r="Z2678" t="s">
        <v>124</v>
      </c>
      <c r="AA2678" t="s">
        <v>1222</v>
      </c>
      <c r="AB2678" t="s">
        <v>1223</v>
      </c>
      <c r="AC2678" t="s">
        <v>1224</v>
      </c>
      <c r="AD2678" t="s">
        <v>2319</v>
      </c>
      <c r="AH2678" t="s">
        <v>72</v>
      </c>
      <c r="AI2678" t="s">
        <v>2320</v>
      </c>
      <c r="AJ2678">
        <v>2003</v>
      </c>
      <c r="AK2678" t="s">
        <v>2321</v>
      </c>
      <c r="AM2678" t="s">
        <v>2322</v>
      </c>
      <c r="AN2678" t="s">
        <v>76</v>
      </c>
      <c r="AO2678" t="s">
        <v>77</v>
      </c>
      <c r="AP2678" t="s">
        <v>115</v>
      </c>
      <c r="AQ2678" t="s">
        <v>2323</v>
      </c>
      <c r="AR2678" t="s">
        <v>80</v>
      </c>
      <c r="AS2678">
        <v>501</v>
      </c>
      <c r="AT2678" t="s">
        <v>81</v>
      </c>
      <c r="AU2678">
        <v>39.36</v>
      </c>
      <c r="AV2678">
        <v>-42.72</v>
      </c>
      <c r="AW2678" t="s">
        <v>82</v>
      </c>
      <c r="AX2678">
        <v>501</v>
      </c>
      <c r="AY2678" t="s">
        <v>81</v>
      </c>
      <c r="AZ2678">
        <v>48.27</v>
      </c>
      <c r="BA2678">
        <v>-51.58</v>
      </c>
      <c r="BB2678" t="s">
        <v>83</v>
      </c>
    </row>
    <row r="2679" spans="1:54" x14ac:dyDescent="0.4">
      <c r="A2679">
        <v>818268</v>
      </c>
      <c r="D2679" t="s">
        <v>54</v>
      </c>
      <c r="G2679">
        <v>1</v>
      </c>
      <c r="H2679" t="s">
        <v>56</v>
      </c>
      <c r="I2679" t="s">
        <v>57</v>
      </c>
      <c r="K2679" t="s">
        <v>141</v>
      </c>
      <c r="L2679" t="s">
        <v>2324</v>
      </c>
      <c r="M2679" t="s">
        <v>60</v>
      </c>
      <c r="P2679" t="s">
        <v>224</v>
      </c>
      <c r="R2679" t="s">
        <v>183</v>
      </c>
      <c r="S2679" t="s">
        <v>64</v>
      </c>
      <c r="T2679">
        <v>246.7</v>
      </c>
      <c r="U2679">
        <v>242</v>
      </c>
      <c r="V2679">
        <f t="shared" si="82"/>
        <v>244.35</v>
      </c>
      <c r="W2679">
        <f t="shared" si="83"/>
        <v>4.6999999999999886</v>
      </c>
      <c r="X2679">
        <v>79.683334000000002</v>
      </c>
      <c r="Y2679">
        <v>18.855556</v>
      </c>
      <c r="Z2679" t="s">
        <v>124</v>
      </c>
      <c r="AA2679" t="s">
        <v>1222</v>
      </c>
      <c r="AB2679" t="s">
        <v>1223</v>
      </c>
      <c r="AC2679" t="s">
        <v>1224</v>
      </c>
      <c r="AD2679" t="s">
        <v>2319</v>
      </c>
      <c r="AH2679" t="s">
        <v>72</v>
      </c>
      <c r="AI2679" t="s">
        <v>2320</v>
      </c>
      <c r="AJ2679">
        <v>2003</v>
      </c>
      <c r="AK2679" t="s">
        <v>2321</v>
      </c>
      <c r="AM2679" t="s">
        <v>2322</v>
      </c>
      <c r="AN2679" t="s">
        <v>76</v>
      </c>
      <c r="AO2679" t="s">
        <v>77</v>
      </c>
      <c r="AP2679" t="s">
        <v>115</v>
      </c>
      <c r="AQ2679" t="s">
        <v>2323</v>
      </c>
      <c r="AR2679" t="s">
        <v>80</v>
      </c>
      <c r="AS2679">
        <v>501</v>
      </c>
      <c r="AT2679" t="s">
        <v>81</v>
      </c>
      <c r="AU2679">
        <v>39.36</v>
      </c>
      <c r="AV2679">
        <v>-42.72</v>
      </c>
      <c r="AW2679" t="s">
        <v>82</v>
      </c>
      <c r="AX2679">
        <v>501</v>
      </c>
      <c r="AY2679" t="s">
        <v>81</v>
      </c>
      <c r="AZ2679">
        <v>48.27</v>
      </c>
      <c r="BA2679">
        <v>-51.58</v>
      </c>
      <c r="BB2679" t="s">
        <v>83</v>
      </c>
    </row>
    <row r="2680" spans="1:54" x14ac:dyDescent="0.4">
      <c r="A2680">
        <v>818268</v>
      </c>
      <c r="D2680" t="s">
        <v>54</v>
      </c>
      <c r="G2680">
        <v>1</v>
      </c>
      <c r="H2680" t="s">
        <v>56</v>
      </c>
      <c r="I2680" t="s">
        <v>57</v>
      </c>
      <c r="K2680" t="s">
        <v>141</v>
      </c>
      <c r="L2680" t="s">
        <v>2324</v>
      </c>
      <c r="M2680" t="s">
        <v>60</v>
      </c>
      <c r="P2680" t="s">
        <v>224</v>
      </c>
      <c r="R2680" t="s">
        <v>183</v>
      </c>
      <c r="S2680" t="s">
        <v>64</v>
      </c>
      <c r="T2680">
        <v>246.7</v>
      </c>
      <c r="U2680">
        <v>242</v>
      </c>
      <c r="V2680">
        <f t="shared" si="82"/>
        <v>244.35</v>
      </c>
      <c r="W2680">
        <f t="shared" si="83"/>
        <v>4.6999999999999886</v>
      </c>
      <c r="X2680">
        <v>79.683334000000002</v>
      </c>
      <c r="Y2680">
        <v>18.855556</v>
      </c>
      <c r="Z2680" t="s">
        <v>124</v>
      </c>
      <c r="AA2680" t="s">
        <v>1222</v>
      </c>
      <c r="AB2680" t="s">
        <v>1223</v>
      </c>
      <c r="AC2680" t="s">
        <v>1224</v>
      </c>
      <c r="AD2680" t="s">
        <v>2319</v>
      </c>
      <c r="AH2680" t="s">
        <v>72</v>
      </c>
      <c r="AI2680" t="s">
        <v>2320</v>
      </c>
      <c r="AJ2680">
        <v>2003</v>
      </c>
      <c r="AK2680" t="s">
        <v>2321</v>
      </c>
      <c r="AM2680" t="s">
        <v>2322</v>
      </c>
      <c r="AN2680" t="s">
        <v>76</v>
      </c>
      <c r="AO2680" t="s">
        <v>77</v>
      </c>
      <c r="AP2680" t="s">
        <v>115</v>
      </c>
      <c r="AQ2680" t="s">
        <v>2323</v>
      </c>
      <c r="AR2680" t="s">
        <v>80</v>
      </c>
      <c r="AS2680">
        <v>501</v>
      </c>
      <c r="AT2680" t="s">
        <v>81</v>
      </c>
      <c r="AU2680">
        <v>39.36</v>
      </c>
      <c r="AV2680">
        <v>-42.72</v>
      </c>
      <c r="AW2680" t="s">
        <v>82</v>
      </c>
      <c r="AX2680">
        <v>501</v>
      </c>
      <c r="AY2680" t="s">
        <v>81</v>
      </c>
      <c r="AZ2680">
        <v>48.27</v>
      </c>
      <c r="BA2680">
        <v>-51.58</v>
      </c>
      <c r="BB2680" t="s">
        <v>83</v>
      </c>
    </row>
    <row r="2681" spans="1:54" x14ac:dyDescent="0.4">
      <c r="A2681">
        <v>818268</v>
      </c>
      <c r="D2681" t="s">
        <v>54</v>
      </c>
      <c r="G2681">
        <v>1</v>
      </c>
      <c r="H2681" t="s">
        <v>56</v>
      </c>
      <c r="I2681" t="s">
        <v>57</v>
      </c>
      <c r="K2681" t="s">
        <v>141</v>
      </c>
      <c r="L2681" t="s">
        <v>2324</v>
      </c>
      <c r="M2681" t="s">
        <v>60</v>
      </c>
      <c r="P2681" t="s">
        <v>224</v>
      </c>
      <c r="R2681" t="s">
        <v>183</v>
      </c>
      <c r="S2681" t="s">
        <v>64</v>
      </c>
      <c r="T2681">
        <v>246.7</v>
      </c>
      <c r="U2681">
        <v>242</v>
      </c>
      <c r="V2681">
        <f t="shared" si="82"/>
        <v>244.35</v>
      </c>
      <c r="W2681">
        <f t="shared" si="83"/>
        <v>4.6999999999999886</v>
      </c>
      <c r="X2681">
        <v>79.683334000000002</v>
      </c>
      <c r="Y2681">
        <v>18.855556</v>
      </c>
      <c r="Z2681" t="s">
        <v>124</v>
      </c>
      <c r="AA2681" t="s">
        <v>1222</v>
      </c>
      <c r="AB2681" t="s">
        <v>1223</v>
      </c>
      <c r="AC2681" t="s">
        <v>1224</v>
      </c>
      <c r="AD2681" t="s">
        <v>2319</v>
      </c>
      <c r="AH2681" t="s">
        <v>72</v>
      </c>
      <c r="AI2681" t="s">
        <v>2320</v>
      </c>
      <c r="AJ2681">
        <v>2003</v>
      </c>
      <c r="AK2681" t="s">
        <v>2321</v>
      </c>
      <c r="AM2681" t="s">
        <v>2322</v>
      </c>
      <c r="AN2681" t="s">
        <v>76</v>
      </c>
      <c r="AO2681" t="s">
        <v>77</v>
      </c>
      <c r="AP2681" t="s">
        <v>115</v>
      </c>
      <c r="AQ2681" t="s">
        <v>2323</v>
      </c>
      <c r="AR2681" t="s">
        <v>80</v>
      </c>
      <c r="AS2681">
        <v>501</v>
      </c>
      <c r="AT2681" t="s">
        <v>81</v>
      </c>
      <c r="AU2681">
        <v>39.36</v>
      </c>
      <c r="AV2681">
        <v>-42.72</v>
      </c>
      <c r="AW2681" t="s">
        <v>82</v>
      </c>
      <c r="AX2681">
        <v>501</v>
      </c>
      <c r="AY2681" t="s">
        <v>81</v>
      </c>
      <c r="AZ2681">
        <v>48.27</v>
      </c>
      <c r="BA2681">
        <v>-51.58</v>
      </c>
      <c r="BB2681" t="s">
        <v>83</v>
      </c>
    </row>
    <row r="2682" spans="1:54" x14ac:dyDescent="0.4">
      <c r="A2682">
        <v>818268</v>
      </c>
      <c r="D2682" t="s">
        <v>54</v>
      </c>
      <c r="G2682">
        <v>1</v>
      </c>
      <c r="H2682" t="s">
        <v>56</v>
      </c>
      <c r="I2682" t="s">
        <v>57</v>
      </c>
      <c r="K2682" t="s">
        <v>141</v>
      </c>
      <c r="L2682" t="s">
        <v>2324</v>
      </c>
      <c r="M2682" t="s">
        <v>60</v>
      </c>
      <c r="P2682" t="s">
        <v>224</v>
      </c>
      <c r="R2682" t="s">
        <v>183</v>
      </c>
      <c r="S2682" t="s">
        <v>64</v>
      </c>
      <c r="T2682">
        <v>246.7</v>
      </c>
      <c r="U2682">
        <v>242</v>
      </c>
      <c r="V2682">
        <f t="shared" si="82"/>
        <v>244.35</v>
      </c>
      <c r="W2682">
        <f t="shared" si="83"/>
        <v>4.6999999999999886</v>
      </c>
      <c r="X2682">
        <v>79.683334000000002</v>
      </c>
      <c r="Y2682">
        <v>18.855556</v>
      </c>
      <c r="Z2682" t="s">
        <v>124</v>
      </c>
      <c r="AA2682" t="s">
        <v>1222</v>
      </c>
      <c r="AB2682" t="s">
        <v>1223</v>
      </c>
      <c r="AC2682" t="s">
        <v>1224</v>
      </c>
      <c r="AD2682" t="s">
        <v>2319</v>
      </c>
      <c r="AH2682" t="s">
        <v>72</v>
      </c>
      <c r="AI2682" t="s">
        <v>2320</v>
      </c>
      <c r="AJ2682">
        <v>2003</v>
      </c>
      <c r="AK2682" t="s">
        <v>2321</v>
      </c>
      <c r="AM2682" t="s">
        <v>2322</v>
      </c>
      <c r="AN2682" t="s">
        <v>76</v>
      </c>
      <c r="AO2682" t="s">
        <v>77</v>
      </c>
      <c r="AP2682" t="s">
        <v>115</v>
      </c>
      <c r="AQ2682" t="s">
        <v>2323</v>
      </c>
      <c r="AR2682" t="s">
        <v>80</v>
      </c>
      <c r="AS2682">
        <v>501</v>
      </c>
      <c r="AT2682" t="s">
        <v>81</v>
      </c>
      <c r="AU2682">
        <v>39.36</v>
      </c>
      <c r="AV2682">
        <v>-42.72</v>
      </c>
      <c r="AW2682" t="s">
        <v>82</v>
      </c>
      <c r="AX2682">
        <v>501</v>
      </c>
      <c r="AY2682" t="s">
        <v>81</v>
      </c>
      <c r="AZ2682">
        <v>48.27</v>
      </c>
      <c r="BA2682">
        <v>-51.58</v>
      </c>
      <c r="BB2682" t="s">
        <v>83</v>
      </c>
    </row>
    <row r="2683" spans="1:54" x14ac:dyDescent="0.4">
      <c r="A2683">
        <v>818268</v>
      </c>
      <c r="D2683" t="s">
        <v>54</v>
      </c>
      <c r="G2683">
        <v>1</v>
      </c>
      <c r="H2683" t="s">
        <v>56</v>
      </c>
      <c r="I2683" t="s">
        <v>57</v>
      </c>
      <c r="K2683" t="s">
        <v>141</v>
      </c>
      <c r="L2683" t="s">
        <v>2324</v>
      </c>
      <c r="M2683" t="s">
        <v>60</v>
      </c>
      <c r="P2683" t="s">
        <v>224</v>
      </c>
      <c r="R2683" t="s">
        <v>183</v>
      </c>
      <c r="S2683" t="s">
        <v>64</v>
      </c>
      <c r="T2683">
        <v>246.7</v>
      </c>
      <c r="U2683">
        <v>242</v>
      </c>
      <c r="V2683">
        <f t="shared" si="82"/>
        <v>244.35</v>
      </c>
      <c r="W2683">
        <f t="shared" si="83"/>
        <v>4.6999999999999886</v>
      </c>
      <c r="X2683">
        <v>79.683334000000002</v>
      </c>
      <c r="Y2683">
        <v>18.855556</v>
      </c>
      <c r="Z2683" t="s">
        <v>124</v>
      </c>
      <c r="AA2683" t="s">
        <v>1222</v>
      </c>
      <c r="AB2683" t="s">
        <v>1223</v>
      </c>
      <c r="AC2683" t="s">
        <v>1224</v>
      </c>
      <c r="AD2683" t="s">
        <v>2319</v>
      </c>
      <c r="AH2683" t="s">
        <v>72</v>
      </c>
      <c r="AI2683" t="s">
        <v>2320</v>
      </c>
      <c r="AJ2683">
        <v>2003</v>
      </c>
      <c r="AK2683" t="s">
        <v>2321</v>
      </c>
      <c r="AM2683" t="s">
        <v>2322</v>
      </c>
      <c r="AN2683" t="s">
        <v>76</v>
      </c>
      <c r="AO2683" t="s">
        <v>77</v>
      </c>
      <c r="AP2683" t="s">
        <v>115</v>
      </c>
      <c r="AQ2683" t="s">
        <v>2323</v>
      </c>
      <c r="AR2683" t="s">
        <v>80</v>
      </c>
      <c r="AS2683">
        <v>501</v>
      </c>
      <c r="AT2683" t="s">
        <v>81</v>
      </c>
      <c r="AU2683">
        <v>39.36</v>
      </c>
      <c r="AV2683">
        <v>-42.72</v>
      </c>
      <c r="AW2683" t="s">
        <v>82</v>
      </c>
      <c r="AX2683">
        <v>501</v>
      </c>
      <c r="AY2683" t="s">
        <v>81</v>
      </c>
      <c r="AZ2683">
        <v>48.27</v>
      </c>
      <c r="BA2683">
        <v>-51.58</v>
      </c>
      <c r="BB2683" t="s">
        <v>83</v>
      </c>
    </row>
    <row r="2684" spans="1:54" x14ac:dyDescent="0.4">
      <c r="A2684">
        <v>818844</v>
      </c>
      <c r="D2684" t="s">
        <v>54</v>
      </c>
      <c r="I2684" t="s">
        <v>57</v>
      </c>
      <c r="K2684" t="s">
        <v>1347</v>
      </c>
      <c r="L2684" t="s">
        <v>1348</v>
      </c>
      <c r="M2684" t="s">
        <v>223</v>
      </c>
      <c r="N2684" t="s">
        <v>485</v>
      </c>
      <c r="O2684" t="s">
        <v>1349</v>
      </c>
      <c r="P2684" t="s">
        <v>224</v>
      </c>
      <c r="R2684" t="s">
        <v>183</v>
      </c>
      <c r="S2684" t="s">
        <v>64</v>
      </c>
      <c r="T2684">
        <v>246.7</v>
      </c>
      <c r="U2684">
        <v>242</v>
      </c>
      <c r="V2684">
        <f t="shared" si="82"/>
        <v>244.35</v>
      </c>
      <c r="W2684">
        <f t="shared" si="83"/>
        <v>4.6999999999999886</v>
      </c>
      <c r="X2684">
        <v>18.966667000000001</v>
      </c>
      <c r="Y2684">
        <v>50.299999</v>
      </c>
      <c r="Z2684" t="s">
        <v>1004</v>
      </c>
      <c r="AA2684" t="s">
        <v>697</v>
      </c>
      <c r="AD2684" t="s">
        <v>2329</v>
      </c>
      <c r="AF2684" t="s">
        <v>2330</v>
      </c>
      <c r="AH2684" t="s">
        <v>11</v>
      </c>
      <c r="AI2684" t="s">
        <v>2331</v>
      </c>
      <c r="AJ2684">
        <v>1914</v>
      </c>
      <c r="AK2684" t="s">
        <v>2332</v>
      </c>
      <c r="AN2684" t="s">
        <v>114</v>
      </c>
      <c r="AO2684" t="s">
        <v>160</v>
      </c>
      <c r="AP2684" t="s">
        <v>78</v>
      </c>
      <c r="AQ2684" t="s">
        <v>2333</v>
      </c>
      <c r="AR2684" t="s">
        <v>80</v>
      </c>
      <c r="AS2684">
        <v>305</v>
      </c>
      <c r="AT2684" t="s">
        <v>81</v>
      </c>
      <c r="AU2684">
        <v>35.25</v>
      </c>
      <c r="AV2684">
        <v>30.52</v>
      </c>
      <c r="AW2684" t="s">
        <v>82</v>
      </c>
      <c r="AX2684">
        <v>305</v>
      </c>
      <c r="AY2684" t="s">
        <v>81</v>
      </c>
      <c r="AZ2684">
        <v>24.67</v>
      </c>
      <c r="BA2684">
        <v>18.64</v>
      </c>
      <c r="BB2684" t="s">
        <v>83</v>
      </c>
    </row>
    <row r="2685" spans="1:54" x14ac:dyDescent="0.4">
      <c r="A2685">
        <v>820895</v>
      </c>
      <c r="D2685" t="s">
        <v>54</v>
      </c>
      <c r="E2685" t="s">
        <v>55</v>
      </c>
      <c r="F2685" t="s">
        <v>1283</v>
      </c>
      <c r="G2685">
        <v>1</v>
      </c>
      <c r="H2685" t="s">
        <v>56</v>
      </c>
      <c r="I2685" t="s">
        <v>57</v>
      </c>
      <c r="K2685" t="s">
        <v>1873</v>
      </c>
      <c r="L2685" t="s">
        <v>2385</v>
      </c>
      <c r="M2685" t="s">
        <v>60</v>
      </c>
      <c r="P2685" t="s">
        <v>224</v>
      </c>
      <c r="R2685" t="s">
        <v>183</v>
      </c>
      <c r="S2685" t="s">
        <v>64</v>
      </c>
      <c r="T2685">
        <v>246.7</v>
      </c>
      <c r="U2685">
        <v>242</v>
      </c>
      <c r="V2685">
        <f t="shared" si="82"/>
        <v>244.35</v>
      </c>
      <c r="W2685">
        <f t="shared" si="83"/>
        <v>4.6999999999999886</v>
      </c>
      <c r="X2685">
        <v>26.791668000000001</v>
      </c>
      <c r="Y2685">
        <v>-30.700001</v>
      </c>
      <c r="Z2685" t="s">
        <v>836</v>
      </c>
      <c r="AA2685" t="s">
        <v>106</v>
      </c>
      <c r="AB2685" t="s">
        <v>107</v>
      </c>
      <c r="AC2685" t="s">
        <v>2022</v>
      </c>
      <c r="AD2685" t="s">
        <v>2023</v>
      </c>
      <c r="AE2685" t="s">
        <v>110</v>
      </c>
      <c r="AG2685" t="s">
        <v>2024</v>
      </c>
      <c r="AH2685" t="s">
        <v>72</v>
      </c>
      <c r="AI2685" t="s">
        <v>111</v>
      </c>
      <c r="AJ2685">
        <v>1906</v>
      </c>
      <c r="AK2685" t="s">
        <v>2386</v>
      </c>
      <c r="AM2685" t="s">
        <v>2387</v>
      </c>
      <c r="AN2685" t="s">
        <v>192</v>
      </c>
      <c r="AO2685" t="s">
        <v>160</v>
      </c>
      <c r="AP2685" t="s">
        <v>115</v>
      </c>
      <c r="AQ2685" t="s">
        <v>2388</v>
      </c>
      <c r="AR2685" t="s">
        <v>80</v>
      </c>
      <c r="AS2685">
        <v>701</v>
      </c>
      <c r="AT2685" t="s">
        <v>81</v>
      </c>
      <c r="AU2685">
        <v>-7.25</v>
      </c>
      <c r="AV2685">
        <v>-50.83</v>
      </c>
      <c r="AW2685" t="s">
        <v>82</v>
      </c>
      <c r="AX2685">
        <v>701</v>
      </c>
      <c r="AY2685" t="s">
        <v>81</v>
      </c>
      <c r="AZ2685">
        <v>-12.94</v>
      </c>
      <c r="BA2685">
        <v>-66.41</v>
      </c>
      <c r="BB2685" t="s">
        <v>83</v>
      </c>
    </row>
    <row r="2686" spans="1:54" x14ac:dyDescent="0.4">
      <c r="A2686">
        <v>832667</v>
      </c>
      <c r="D2686" t="s">
        <v>54</v>
      </c>
      <c r="G2686">
        <v>1</v>
      </c>
      <c r="H2686" t="s">
        <v>56</v>
      </c>
      <c r="I2686" t="s">
        <v>57</v>
      </c>
      <c r="K2686" t="s">
        <v>100</v>
      </c>
      <c r="L2686" t="s">
        <v>2544</v>
      </c>
      <c r="M2686" t="s">
        <v>60</v>
      </c>
      <c r="P2686" t="s">
        <v>224</v>
      </c>
      <c r="R2686" t="s">
        <v>183</v>
      </c>
      <c r="S2686" t="s">
        <v>64</v>
      </c>
      <c r="T2686">
        <v>246.7</v>
      </c>
      <c r="U2686">
        <v>242</v>
      </c>
      <c r="V2686">
        <f t="shared" si="82"/>
        <v>244.35</v>
      </c>
      <c r="W2686">
        <f t="shared" si="83"/>
        <v>4.6999999999999886</v>
      </c>
      <c r="X2686">
        <v>26.606943000000001</v>
      </c>
      <c r="Y2686">
        <v>-30.623332999999999</v>
      </c>
      <c r="Z2686" t="s">
        <v>836</v>
      </c>
      <c r="AA2686" t="s">
        <v>106</v>
      </c>
      <c r="AB2686" t="s">
        <v>1625</v>
      </c>
      <c r="AC2686" t="s">
        <v>2545</v>
      </c>
      <c r="AD2686" t="s">
        <v>2023</v>
      </c>
      <c r="AE2686" t="s">
        <v>110</v>
      </c>
      <c r="AG2686" t="s">
        <v>2546</v>
      </c>
      <c r="AH2686" t="s">
        <v>72</v>
      </c>
      <c r="AI2686" t="s">
        <v>1633</v>
      </c>
      <c r="AJ2686">
        <v>1977</v>
      </c>
      <c r="AK2686" t="s">
        <v>2547</v>
      </c>
      <c r="AN2686" t="s">
        <v>341</v>
      </c>
      <c r="AO2686" t="s">
        <v>77</v>
      </c>
      <c r="AP2686" t="s">
        <v>115</v>
      </c>
      <c r="AQ2686" t="s">
        <v>2548</v>
      </c>
      <c r="AR2686" t="s">
        <v>80</v>
      </c>
      <c r="AS2686">
        <v>701</v>
      </c>
      <c r="AT2686" t="s">
        <v>81</v>
      </c>
      <c r="AU2686">
        <v>-7.32</v>
      </c>
      <c r="AV2686">
        <v>-50.66</v>
      </c>
      <c r="AW2686" t="s">
        <v>82</v>
      </c>
      <c r="AX2686">
        <v>701</v>
      </c>
      <c r="AY2686" t="s">
        <v>81</v>
      </c>
      <c r="AZ2686">
        <v>-13.05</v>
      </c>
      <c r="BA2686">
        <v>-66.239999999999995</v>
      </c>
      <c r="BB2686" t="s">
        <v>83</v>
      </c>
    </row>
    <row r="2687" spans="1:54" x14ac:dyDescent="0.4">
      <c r="A2687">
        <v>832667</v>
      </c>
      <c r="D2687" t="s">
        <v>54</v>
      </c>
      <c r="G2687">
        <v>1</v>
      </c>
      <c r="H2687" t="s">
        <v>56</v>
      </c>
      <c r="I2687" t="s">
        <v>57</v>
      </c>
      <c r="K2687" t="s">
        <v>100</v>
      </c>
      <c r="L2687" t="s">
        <v>2544</v>
      </c>
      <c r="M2687" t="s">
        <v>60</v>
      </c>
      <c r="P2687" t="s">
        <v>224</v>
      </c>
      <c r="R2687" t="s">
        <v>183</v>
      </c>
      <c r="S2687" t="s">
        <v>64</v>
      </c>
      <c r="T2687">
        <v>246.7</v>
      </c>
      <c r="U2687">
        <v>242</v>
      </c>
      <c r="V2687">
        <f t="shared" si="82"/>
        <v>244.35</v>
      </c>
      <c r="W2687">
        <f t="shared" si="83"/>
        <v>4.6999999999999886</v>
      </c>
      <c r="X2687">
        <v>26.606943000000001</v>
      </c>
      <c r="Y2687">
        <v>-30.623332999999999</v>
      </c>
      <c r="Z2687" t="s">
        <v>836</v>
      </c>
      <c r="AA2687" t="s">
        <v>106</v>
      </c>
      <c r="AB2687" t="s">
        <v>1625</v>
      </c>
      <c r="AC2687" t="s">
        <v>2545</v>
      </c>
      <c r="AD2687" t="s">
        <v>2023</v>
      </c>
      <c r="AE2687" t="s">
        <v>110</v>
      </c>
      <c r="AG2687" t="s">
        <v>2546</v>
      </c>
      <c r="AH2687" t="s">
        <v>72</v>
      </c>
      <c r="AI2687" t="s">
        <v>1633</v>
      </c>
      <c r="AJ2687">
        <v>1977</v>
      </c>
      <c r="AK2687" t="s">
        <v>2547</v>
      </c>
      <c r="AN2687" t="s">
        <v>341</v>
      </c>
      <c r="AO2687" t="s">
        <v>77</v>
      </c>
      <c r="AP2687" t="s">
        <v>115</v>
      </c>
      <c r="AQ2687" t="s">
        <v>2548</v>
      </c>
      <c r="AR2687" t="s">
        <v>80</v>
      </c>
      <c r="AS2687">
        <v>701</v>
      </c>
      <c r="AT2687" t="s">
        <v>81</v>
      </c>
      <c r="AU2687">
        <v>-7.32</v>
      </c>
      <c r="AV2687">
        <v>-50.66</v>
      </c>
      <c r="AW2687" t="s">
        <v>82</v>
      </c>
      <c r="AX2687">
        <v>701</v>
      </c>
      <c r="AY2687" t="s">
        <v>81</v>
      </c>
      <c r="AZ2687">
        <v>-13.05</v>
      </c>
      <c r="BA2687">
        <v>-66.239999999999995</v>
      </c>
      <c r="BB2687" t="s">
        <v>83</v>
      </c>
    </row>
    <row r="2688" spans="1:54" x14ac:dyDescent="0.4">
      <c r="A2688">
        <v>832667</v>
      </c>
      <c r="D2688" t="s">
        <v>54</v>
      </c>
      <c r="G2688">
        <v>1</v>
      </c>
      <c r="H2688" t="s">
        <v>56</v>
      </c>
      <c r="I2688" t="s">
        <v>57</v>
      </c>
      <c r="K2688" t="s">
        <v>100</v>
      </c>
      <c r="L2688" t="s">
        <v>2544</v>
      </c>
      <c r="M2688" t="s">
        <v>60</v>
      </c>
      <c r="P2688" t="s">
        <v>224</v>
      </c>
      <c r="R2688" t="s">
        <v>183</v>
      </c>
      <c r="S2688" t="s">
        <v>64</v>
      </c>
      <c r="T2688">
        <v>246.7</v>
      </c>
      <c r="U2688">
        <v>242</v>
      </c>
      <c r="V2688">
        <f t="shared" si="82"/>
        <v>244.35</v>
      </c>
      <c r="W2688">
        <f t="shared" si="83"/>
        <v>4.6999999999999886</v>
      </c>
      <c r="X2688">
        <v>26.606943000000001</v>
      </c>
      <c r="Y2688">
        <v>-30.623332999999999</v>
      </c>
      <c r="Z2688" t="s">
        <v>836</v>
      </c>
      <c r="AA2688" t="s">
        <v>106</v>
      </c>
      <c r="AB2688" t="s">
        <v>1625</v>
      </c>
      <c r="AC2688" t="s">
        <v>2545</v>
      </c>
      <c r="AD2688" t="s">
        <v>2023</v>
      </c>
      <c r="AE2688" t="s">
        <v>110</v>
      </c>
      <c r="AG2688" t="s">
        <v>2546</v>
      </c>
      <c r="AH2688" t="s">
        <v>72</v>
      </c>
      <c r="AI2688" t="s">
        <v>1633</v>
      </c>
      <c r="AJ2688">
        <v>1977</v>
      </c>
      <c r="AK2688" t="s">
        <v>2547</v>
      </c>
      <c r="AN2688" t="s">
        <v>341</v>
      </c>
      <c r="AO2688" t="s">
        <v>77</v>
      </c>
      <c r="AP2688" t="s">
        <v>115</v>
      </c>
      <c r="AQ2688" t="s">
        <v>2548</v>
      </c>
      <c r="AR2688" t="s">
        <v>80</v>
      </c>
      <c r="AS2688">
        <v>701</v>
      </c>
      <c r="AT2688" t="s">
        <v>81</v>
      </c>
      <c r="AU2688">
        <v>-7.32</v>
      </c>
      <c r="AV2688">
        <v>-50.66</v>
      </c>
      <c r="AW2688" t="s">
        <v>82</v>
      </c>
      <c r="AX2688">
        <v>701</v>
      </c>
      <c r="AY2688" t="s">
        <v>81</v>
      </c>
      <c r="AZ2688">
        <v>-13.05</v>
      </c>
      <c r="BA2688">
        <v>-66.239999999999995</v>
      </c>
      <c r="BB2688" t="s">
        <v>83</v>
      </c>
    </row>
    <row r="2689" spans="1:54" x14ac:dyDescent="0.4">
      <c r="A2689">
        <v>832667</v>
      </c>
      <c r="D2689" t="s">
        <v>54</v>
      </c>
      <c r="G2689">
        <v>1</v>
      </c>
      <c r="H2689" t="s">
        <v>56</v>
      </c>
      <c r="I2689" t="s">
        <v>57</v>
      </c>
      <c r="K2689" t="s">
        <v>100</v>
      </c>
      <c r="L2689" t="s">
        <v>2544</v>
      </c>
      <c r="M2689" t="s">
        <v>60</v>
      </c>
      <c r="P2689" t="s">
        <v>224</v>
      </c>
      <c r="R2689" t="s">
        <v>183</v>
      </c>
      <c r="S2689" t="s">
        <v>64</v>
      </c>
      <c r="T2689">
        <v>246.7</v>
      </c>
      <c r="U2689">
        <v>242</v>
      </c>
      <c r="V2689">
        <f t="shared" si="82"/>
        <v>244.35</v>
      </c>
      <c r="W2689">
        <f t="shared" si="83"/>
        <v>4.6999999999999886</v>
      </c>
      <c r="X2689">
        <v>26.606943000000001</v>
      </c>
      <c r="Y2689">
        <v>-30.623332999999999</v>
      </c>
      <c r="Z2689" t="s">
        <v>836</v>
      </c>
      <c r="AA2689" t="s">
        <v>106</v>
      </c>
      <c r="AB2689" t="s">
        <v>1625</v>
      </c>
      <c r="AC2689" t="s">
        <v>2545</v>
      </c>
      <c r="AD2689" t="s">
        <v>2023</v>
      </c>
      <c r="AE2689" t="s">
        <v>110</v>
      </c>
      <c r="AG2689" t="s">
        <v>2546</v>
      </c>
      <c r="AH2689" t="s">
        <v>72</v>
      </c>
      <c r="AI2689" t="s">
        <v>1633</v>
      </c>
      <c r="AJ2689">
        <v>1977</v>
      </c>
      <c r="AK2689" t="s">
        <v>2547</v>
      </c>
      <c r="AN2689" t="s">
        <v>341</v>
      </c>
      <c r="AO2689" t="s">
        <v>77</v>
      </c>
      <c r="AP2689" t="s">
        <v>115</v>
      </c>
      <c r="AQ2689" t="s">
        <v>2548</v>
      </c>
      <c r="AR2689" t="s">
        <v>80</v>
      </c>
      <c r="AS2689">
        <v>701</v>
      </c>
      <c r="AT2689" t="s">
        <v>81</v>
      </c>
      <c r="AU2689">
        <v>-7.32</v>
      </c>
      <c r="AV2689">
        <v>-50.66</v>
      </c>
      <c r="AW2689" t="s">
        <v>82</v>
      </c>
      <c r="AX2689">
        <v>701</v>
      </c>
      <c r="AY2689" t="s">
        <v>81</v>
      </c>
      <c r="AZ2689">
        <v>-13.05</v>
      </c>
      <c r="BA2689">
        <v>-66.239999999999995</v>
      </c>
      <c r="BB2689" t="s">
        <v>83</v>
      </c>
    </row>
    <row r="2690" spans="1:54" x14ac:dyDescent="0.4">
      <c r="A2690">
        <v>832667</v>
      </c>
      <c r="D2690" t="s">
        <v>54</v>
      </c>
      <c r="G2690">
        <v>1</v>
      </c>
      <c r="H2690" t="s">
        <v>56</v>
      </c>
      <c r="I2690" t="s">
        <v>57</v>
      </c>
      <c r="K2690" t="s">
        <v>100</v>
      </c>
      <c r="L2690" t="s">
        <v>2544</v>
      </c>
      <c r="M2690" t="s">
        <v>60</v>
      </c>
      <c r="P2690" t="s">
        <v>224</v>
      </c>
      <c r="R2690" t="s">
        <v>183</v>
      </c>
      <c r="S2690" t="s">
        <v>64</v>
      </c>
      <c r="T2690">
        <v>246.7</v>
      </c>
      <c r="U2690">
        <v>242</v>
      </c>
      <c r="V2690">
        <f t="shared" si="82"/>
        <v>244.35</v>
      </c>
      <c r="W2690">
        <f t="shared" si="83"/>
        <v>4.6999999999999886</v>
      </c>
      <c r="X2690">
        <v>26.606943000000001</v>
      </c>
      <c r="Y2690">
        <v>-30.623332999999999</v>
      </c>
      <c r="Z2690" t="s">
        <v>836</v>
      </c>
      <c r="AA2690" t="s">
        <v>106</v>
      </c>
      <c r="AB2690" t="s">
        <v>1625</v>
      </c>
      <c r="AC2690" t="s">
        <v>2545</v>
      </c>
      <c r="AD2690" t="s">
        <v>2023</v>
      </c>
      <c r="AE2690" t="s">
        <v>110</v>
      </c>
      <c r="AG2690" t="s">
        <v>2546</v>
      </c>
      <c r="AH2690" t="s">
        <v>72</v>
      </c>
      <c r="AI2690" t="s">
        <v>1633</v>
      </c>
      <c r="AJ2690">
        <v>1977</v>
      </c>
      <c r="AK2690" t="s">
        <v>2547</v>
      </c>
      <c r="AN2690" t="s">
        <v>341</v>
      </c>
      <c r="AO2690" t="s">
        <v>77</v>
      </c>
      <c r="AP2690" t="s">
        <v>115</v>
      </c>
      <c r="AQ2690" t="s">
        <v>2548</v>
      </c>
      <c r="AR2690" t="s">
        <v>80</v>
      </c>
      <c r="AS2690">
        <v>701</v>
      </c>
      <c r="AT2690" t="s">
        <v>81</v>
      </c>
      <c r="AU2690">
        <v>-7.32</v>
      </c>
      <c r="AV2690">
        <v>-50.66</v>
      </c>
      <c r="AW2690" t="s">
        <v>82</v>
      </c>
      <c r="AX2690">
        <v>701</v>
      </c>
      <c r="AY2690" t="s">
        <v>81</v>
      </c>
      <c r="AZ2690">
        <v>-13.05</v>
      </c>
      <c r="BA2690">
        <v>-66.239999999999995</v>
      </c>
      <c r="BB2690" t="s">
        <v>83</v>
      </c>
    </row>
    <row r="2691" spans="1:54" x14ac:dyDescent="0.4">
      <c r="A2691">
        <v>832669</v>
      </c>
      <c r="D2691" t="s">
        <v>54</v>
      </c>
      <c r="E2691" t="s">
        <v>55</v>
      </c>
      <c r="G2691">
        <v>1</v>
      </c>
      <c r="H2691" t="s">
        <v>56</v>
      </c>
      <c r="I2691" t="s">
        <v>57</v>
      </c>
      <c r="K2691" t="s">
        <v>100</v>
      </c>
      <c r="L2691" t="s">
        <v>2549</v>
      </c>
      <c r="M2691" t="s">
        <v>60</v>
      </c>
      <c r="P2691" t="s">
        <v>224</v>
      </c>
      <c r="R2691" t="s">
        <v>183</v>
      </c>
      <c r="S2691" t="s">
        <v>64</v>
      </c>
      <c r="T2691">
        <v>246.7</v>
      </c>
      <c r="U2691">
        <v>242</v>
      </c>
      <c r="V2691">
        <f t="shared" ref="V2691:V2754" si="84">(T2691+U2691)/2</f>
        <v>244.35</v>
      </c>
      <c r="W2691">
        <f t="shared" ref="W2691:W2754" si="85">T2691-U2691</f>
        <v>4.6999999999999886</v>
      </c>
      <c r="X2691">
        <v>26.111111000000001</v>
      </c>
      <c r="Y2691">
        <v>-30.906943999999999</v>
      </c>
      <c r="Z2691" t="s">
        <v>836</v>
      </c>
      <c r="AA2691" t="s">
        <v>106</v>
      </c>
      <c r="AB2691" t="s">
        <v>107</v>
      </c>
      <c r="AC2691" t="s">
        <v>2550</v>
      </c>
      <c r="AD2691" t="s">
        <v>2023</v>
      </c>
      <c r="AE2691" t="s">
        <v>110</v>
      </c>
      <c r="AG2691" t="s">
        <v>2551</v>
      </c>
      <c r="AH2691" t="s">
        <v>72</v>
      </c>
      <c r="AI2691" t="s">
        <v>1633</v>
      </c>
      <c r="AJ2691">
        <v>1977</v>
      </c>
      <c r="AK2691" t="s">
        <v>2552</v>
      </c>
      <c r="AM2691" t="s">
        <v>2553</v>
      </c>
      <c r="AN2691" t="s">
        <v>341</v>
      </c>
      <c r="AO2691" t="s">
        <v>77</v>
      </c>
      <c r="AP2691" t="s">
        <v>78</v>
      </c>
      <c r="AQ2691" t="s">
        <v>2554</v>
      </c>
      <c r="AR2691" t="s">
        <v>80</v>
      </c>
      <c r="AS2691">
        <v>701</v>
      </c>
      <c r="AT2691" t="s">
        <v>81</v>
      </c>
      <c r="AU2691">
        <v>-8.09</v>
      </c>
      <c r="AV2691">
        <v>-50.52</v>
      </c>
      <c r="AW2691" t="s">
        <v>82</v>
      </c>
      <c r="AX2691">
        <v>701</v>
      </c>
      <c r="AY2691" t="s">
        <v>81</v>
      </c>
      <c r="AZ2691">
        <v>-14.27</v>
      </c>
      <c r="BA2691">
        <v>-66.099999999999994</v>
      </c>
      <c r="BB2691" t="s">
        <v>83</v>
      </c>
    </row>
    <row r="2692" spans="1:54" x14ac:dyDescent="0.4">
      <c r="A2692">
        <v>832670</v>
      </c>
      <c r="D2692" t="s">
        <v>54</v>
      </c>
      <c r="G2692">
        <v>1</v>
      </c>
      <c r="H2692" t="s">
        <v>56</v>
      </c>
      <c r="I2692" t="s">
        <v>57</v>
      </c>
      <c r="K2692" t="s">
        <v>100</v>
      </c>
      <c r="L2692" t="s">
        <v>2555</v>
      </c>
      <c r="M2692" t="s">
        <v>60</v>
      </c>
      <c r="P2692" t="s">
        <v>224</v>
      </c>
      <c r="R2692" t="s">
        <v>183</v>
      </c>
      <c r="S2692" t="s">
        <v>64</v>
      </c>
      <c r="T2692">
        <v>246.7</v>
      </c>
      <c r="U2692">
        <v>242</v>
      </c>
      <c r="V2692">
        <f t="shared" si="84"/>
        <v>244.35</v>
      </c>
      <c r="W2692">
        <f t="shared" si="85"/>
        <v>4.6999999999999886</v>
      </c>
      <c r="X2692">
        <v>26.833331999999999</v>
      </c>
      <c r="Y2692">
        <v>-30.416668000000001</v>
      </c>
      <c r="Z2692" t="s">
        <v>836</v>
      </c>
      <c r="AA2692" t="s">
        <v>106</v>
      </c>
      <c r="AB2692" t="s">
        <v>1625</v>
      </c>
      <c r="AC2692" t="s">
        <v>2545</v>
      </c>
      <c r="AD2692" t="s">
        <v>2023</v>
      </c>
      <c r="AE2692" t="s">
        <v>110</v>
      </c>
      <c r="AG2692" t="s">
        <v>2551</v>
      </c>
      <c r="AH2692" t="s">
        <v>72</v>
      </c>
      <c r="AI2692" t="s">
        <v>1633</v>
      </c>
      <c r="AJ2692">
        <v>1977</v>
      </c>
      <c r="AK2692" t="s">
        <v>2556</v>
      </c>
      <c r="AN2692" t="s">
        <v>114</v>
      </c>
      <c r="AO2692" t="s">
        <v>160</v>
      </c>
      <c r="AP2692" t="s">
        <v>115</v>
      </c>
      <c r="AQ2692" t="s">
        <v>2557</v>
      </c>
      <c r="AR2692" t="s">
        <v>80</v>
      </c>
      <c r="AS2692">
        <v>701</v>
      </c>
      <c r="AT2692" t="s">
        <v>81</v>
      </c>
      <c r="AU2692">
        <v>-6.87</v>
      </c>
      <c r="AV2692">
        <v>-50.68</v>
      </c>
      <c r="AW2692" t="s">
        <v>82</v>
      </c>
      <c r="AX2692">
        <v>701</v>
      </c>
      <c r="AY2692" t="s">
        <v>81</v>
      </c>
      <c r="AZ2692">
        <v>-12.35</v>
      </c>
      <c r="BA2692">
        <v>-66.25</v>
      </c>
      <c r="BB2692" t="s">
        <v>83</v>
      </c>
    </row>
    <row r="2693" spans="1:54" x14ac:dyDescent="0.4">
      <c r="A2693">
        <v>832670</v>
      </c>
      <c r="D2693" t="s">
        <v>54</v>
      </c>
      <c r="G2693">
        <v>1</v>
      </c>
      <c r="H2693" t="s">
        <v>56</v>
      </c>
      <c r="I2693" t="s">
        <v>57</v>
      </c>
      <c r="K2693" t="s">
        <v>100</v>
      </c>
      <c r="L2693" t="s">
        <v>2555</v>
      </c>
      <c r="M2693" t="s">
        <v>60</v>
      </c>
      <c r="P2693" t="s">
        <v>224</v>
      </c>
      <c r="R2693" t="s">
        <v>183</v>
      </c>
      <c r="S2693" t="s">
        <v>64</v>
      </c>
      <c r="T2693">
        <v>246.7</v>
      </c>
      <c r="U2693">
        <v>242</v>
      </c>
      <c r="V2693">
        <f t="shared" si="84"/>
        <v>244.35</v>
      </c>
      <c r="W2693">
        <f t="shared" si="85"/>
        <v>4.6999999999999886</v>
      </c>
      <c r="X2693">
        <v>26.833331999999999</v>
      </c>
      <c r="Y2693">
        <v>-30.416668000000001</v>
      </c>
      <c r="Z2693" t="s">
        <v>836</v>
      </c>
      <c r="AA2693" t="s">
        <v>106</v>
      </c>
      <c r="AB2693" t="s">
        <v>1625</v>
      </c>
      <c r="AC2693" t="s">
        <v>2545</v>
      </c>
      <c r="AD2693" t="s">
        <v>2023</v>
      </c>
      <c r="AE2693" t="s">
        <v>110</v>
      </c>
      <c r="AG2693" t="s">
        <v>2551</v>
      </c>
      <c r="AH2693" t="s">
        <v>72</v>
      </c>
      <c r="AI2693" t="s">
        <v>1633</v>
      </c>
      <c r="AJ2693">
        <v>1977</v>
      </c>
      <c r="AK2693" t="s">
        <v>2556</v>
      </c>
      <c r="AN2693" t="s">
        <v>114</v>
      </c>
      <c r="AO2693" t="s">
        <v>160</v>
      </c>
      <c r="AP2693" t="s">
        <v>115</v>
      </c>
      <c r="AQ2693" t="s">
        <v>2557</v>
      </c>
      <c r="AR2693" t="s">
        <v>80</v>
      </c>
      <c r="AS2693">
        <v>701</v>
      </c>
      <c r="AT2693" t="s">
        <v>81</v>
      </c>
      <c r="AU2693">
        <v>-6.87</v>
      </c>
      <c r="AV2693">
        <v>-50.68</v>
      </c>
      <c r="AW2693" t="s">
        <v>82</v>
      </c>
      <c r="AX2693">
        <v>701</v>
      </c>
      <c r="AY2693" t="s">
        <v>81</v>
      </c>
      <c r="AZ2693">
        <v>-12.35</v>
      </c>
      <c r="BA2693">
        <v>-66.25</v>
      </c>
      <c r="BB2693" t="s">
        <v>83</v>
      </c>
    </row>
    <row r="2694" spans="1:54" x14ac:dyDescent="0.4">
      <c r="A2694">
        <v>832670</v>
      </c>
      <c r="D2694" t="s">
        <v>54</v>
      </c>
      <c r="G2694">
        <v>1</v>
      </c>
      <c r="H2694" t="s">
        <v>56</v>
      </c>
      <c r="I2694" t="s">
        <v>57</v>
      </c>
      <c r="K2694" t="s">
        <v>100</v>
      </c>
      <c r="L2694" t="s">
        <v>2555</v>
      </c>
      <c r="M2694" t="s">
        <v>60</v>
      </c>
      <c r="P2694" t="s">
        <v>224</v>
      </c>
      <c r="R2694" t="s">
        <v>183</v>
      </c>
      <c r="S2694" t="s">
        <v>64</v>
      </c>
      <c r="T2694">
        <v>246.7</v>
      </c>
      <c r="U2694">
        <v>242</v>
      </c>
      <c r="V2694">
        <f t="shared" si="84"/>
        <v>244.35</v>
      </c>
      <c r="W2694">
        <f t="shared" si="85"/>
        <v>4.6999999999999886</v>
      </c>
      <c r="X2694">
        <v>26.833331999999999</v>
      </c>
      <c r="Y2694">
        <v>-30.416668000000001</v>
      </c>
      <c r="Z2694" t="s">
        <v>836</v>
      </c>
      <c r="AA2694" t="s">
        <v>106</v>
      </c>
      <c r="AB2694" t="s">
        <v>1625</v>
      </c>
      <c r="AC2694" t="s">
        <v>2545</v>
      </c>
      <c r="AD2694" t="s">
        <v>2023</v>
      </c>
      <c r="AE2694" t="s">
        <v>110</v>
      </c>
      <c r="AG2694" t="s">
        <v>2551</v>
      </c>
      <c r="AH2694" t="s">
        <v>72</v>
      </c>
      <c r="AI2694" t="s">
        <v>1633</v>
      </c>
      <c r="AJ2694">
        <v>1977</v>
      </c>
      <c r="AK2694" t="s">
        <v>2556</v>
      </c>
      <c r="AN2694" t="s">
        <v>114</v>
      </c>
      <c r="AO2694" t="s">
        <v>160</v>
      </c>
      <c r="AP2694" t="s">
        <v>115</v>
      </c>
      <c r="AQ2694" t="s">
        <v>2557</v>
      </c>
      <c r="AR2694" t="s">
        <v>80</v>
      </c>
      <c r="AS2694">
        <v>701</v>
      </c>
      <c r="AT2694" t="s">
        <v>81</v>
      </c>
      <c r="AU2694">
        <v>-6.87</v>
      </c>
      <c r="AV2694">
        <v>-50.68</v>
      </c>
      <c r="AW2694" t="s">
        <v>82</v>
      </c>
      <c r="AX2694">
        <v>701</v>
      </c>
      <c r="AY2694" t="s">
        <v>81</v>
      </c>
      <c r="AZ2694">
        <v>-12.35</v>
      </c>
      <c r="BA2694">
        <v>-66.25</v>
      </c>
      <c r="BB2694" t="s">
        <v>83</v>
      </c>
    </row>
    <row r="2695" spans="1:54" x14ac:dyDescent="0.4">
      <c r="A2695">
        <v>832671</v>
      </c>
      <c r="D2695" t="s">
        <v>54</v>
      </c>
      <c r="G2695">
        <v>1</v>
      </c>
      <c r="H2695" t="s">
        <v>56</v>
      </c>
      <c r="I2695" t="s">
        <v>57</v>
      </c>
      <c r="K2695" t="s">
        <v>100</v>
      </c>
      <c r="L2695" t="s">
        <v>2558</v>
      </c>
      <c r="M2695" t="s">
        <v>60</v>
      </c>
      <c r="P2695" t="s">
        <v>224</v>
      </c>
      <c r="R2695" t="s">
        <v>183</v>
      </c>
      <c r="S2695" t="s">
        <v>64</v>
      </c>
      <c r="T2695">
        <v>246.7</v>
      </c>
      <c r="U2695">
        <v>242</v>
      </c>
      <c r="V2695">
        <f t="shared" si="84"/>
        <v>244.35</v>
      </c>
      <c r="W2695">
        <f t="shared" si="85"/>
        <v>4.6999999999999886</v>
      </c>
      <c r="X2695">
        <v>26.833331999999999</v>
      </c>
      <c r="Y2695">
        <v>-30.416668000000001</v>
      </c>
      <c r="Z2695" t="s">
        <v>836</v>
      </c>
      <c r="AA2695" t="s">
        <v>106</v>
      </c>
      <c r="AB2695" t="s">
        <v>1625</v>
      </c>
      <c r="AC2695" t="s">
        <v>2545</v>
      </c>
      <c r="AD2695" t="s">
        <v>2023</v>
      </c>
      <c r="AE2695" t="s">
        <v>110</v>
      </c>
      <c r="AG2695" t="s">
        <v>2551</v>
      </c>
      <c r="AH2695" t="s">
        <v>72</v>
      </c>
      <c r="AI2695" t="s">
        <v>1633</v>
      </c>
      <c r="AJ2695">
        <v>1977</v>
      </c>
      <c r="AK2695" t="s">
        <v>2556</v>
      </c>
      <c r="AN2695" t="s">
        <v>114</v>
      </c>
      <c r="AO2695" t="s">
        <v>160</v>
      </c>
      <c r="AP2695" t="s">
        <v>115</v>
      </c>
      <c r="AQ2695" t="s">
        <v>2557</v>
      </c>
      <c r="AR2695" t="s">
        <v>80</v>
      </c>
      <c r="AS2695">
        <v>701</v>
      </c>
      <c r="AT2695" t="s">
        <v>81</v>
      </c>
      <c r="AU2695">
        <v>-6.87</v>
      </c>
      <c r="AV2695">
        <v>-50.68</v>
      </c>
      <c r="AW2695" t="s">
        <v>82</v>
      </c>
      <c r="AX2695">
        <v>701</v>
      </c>
      <c r="AY2695" t="s">
        <v>81</v>
      </c>
      <c r="AZ2695">
        <v>-12.35</v>
      </c>
      <c r="BA2695">
        <v>-66.25</v>
      </c>
      <c r="BB2695" t="s">
        <v>83</v>
      </c>
    </row>
    <row r="2696" spans="1:54" x14ac:dyDescent="0.4">
      <c r="A2696">
        <v>833223</v>
      </c>
      <c r="D2696" t="s">
        <v>54</v>
      </c>
      <c r="E2696" t="s">
        <v>55</v>
      </c>
      <c r="G2696">
        <v>1</v>
      </c>
      <c r="H2696" t="s">
        <v>56</v>
      </c>
      <c r="I2696" t="s">
        <v>57</v>
      </c>
      <c r="K2696" t="s">
        <v>100</v>
      </c>
      <c r="L2696" t="s">
        <v>378</v>
      </c>
      <c r="M2696" t="s">
        <v>60</v>
      </c>
      <c r="P2696" t="s">
        <v>224</v>
      </c>
      <c r="R2696" t="s">
        <v>183</v>
      </c>
      <c r="S2696" t="s">
        <v>64</v>
      </c>
      <c r="T2696">
        <v>246.7</v>
      </c>
      <c r="U2696">
        <v>242</v>
      </c>
      <c r="V2696">
        <f t="shared" si="84"/>
        <v>244.35</v>
      </c>
      <c r="W2696">
        <f t="shared" si="85"/>
        <v>4.6999999999999886</v>
      </c>
      <c r="X2696">
        <v>110.966667</v>
      </c>
      <c r="Y2696">
        <v>39.683334000000002</v>
      </c>
      <c r="Z2696" t="s">
        <v>124</v>
      </c>
      <c r="AA2696" t="s">
        <v>379</v>
      </c>
      <c r="AB2696" t="s">
        <v>380</v>
      </c>
      <c r="AC2696" t="s">
        <v>381</v>
      </c>
      <c r="AD2696" t="s">
        <v>2585</v>
      </c>
      <c r="AF2696" t="s">
        <v>620</v>
      </c>
      <c r="AH2696" t="s">
        <v>72</v>
      </c>
      <c r="AI2696" t="s">
        <v>383</v>
      </c>
      <c r="AJ2696">
        <v>1983</v>
      </c>
      <c r="AK2696" t="s">
        <v>381</v>
      </c>
      <c r="AM2696" t="s">
        <v>2586</v>
      </c>
      <c r="AN2696" t="s">
        <v>192</v>
      </c>
      <c r="AO2696" t="s">
        <v>77</v>
      </c>
      <c r="AP2696" t="s">
        <v>78</v>
      </c>
      <c r="AQ2696" t="s">
        <v>2587</v>
      </c>
      <c r="AR2696" t="s">
        <v>80</v>
      </c>
      <c r="AS2696">
        <v>604</v>
      </c>
      <c r="AT2696" t="s">
        <v>81</v>
      </c>
      <c r="AU2696">
        <v>119.09</v>
      </c>
      <c r="AV2696">
        <v>16.34</v>
      </c>
      <c r="AW2696" t="s">
        <v>82</v>
      </c>
      <c r="AX2696">
        <v>604</v>
      </c>
      <c r="AY2696" t="s">
        <v>81</v>
      </c>
      <c r="AZ2696">
        <v>90.47</v>
      </c>
      <c r="BA2696">
        <v>39.57</v>
      </c>
      <c r="BB2696" t="s">
        <v>83</v>
      </c>
    </row>
    <row r="2697" spans="1:54" x14ac:dyDescent="0.4">
      <c r="A2697">
        <v>833317</v>
      </c>
      <c r="D2697" t="s">
        <v>179</v>
      </c>
      <c r="E2697" t="s">
        <v>152</v>
      </c>
      <c r="G2697">
        <v>1</v>
      </c>
      <c r="H2697" t="s">
        <v>56</v>
      </c>
      <c r="I2697" t="s">
        <v>57</v>
      </c>
      <c r="K2697" t="s">
        <v>100</v>
      </c>
      <c r="L2697" t="s">
        <v>2588</v>
      </c>
      <c r="M2697" t="s">
        <v>60</v>
      </c>
      <c r="P2697" t="s">
        <v>224</v>
      </c>
      <c r="R2697" t="s">
        <v>183</v>
      </c>
      <c r="S2697" t="s">
        <v>64</v>
      </c>
      <c r="T2697">
        <v>246.7</v>
      </c>
      <c r="U2697">
        <v>242</v>
      </c>
      <c r="V2697">
        <f t="shared" si="84"/>
        <v>244.35</v>
      </c>
      <c r="W2697">
        <f t="shared" si="85"/>
        <v>4.6999999999999886</v>
      </c>
      <c r="X2697">
        <v>113</v>
      </c>
      <c r="Y2697">
        <v>37.083331999999999</v>
      </c>
      <c r="Z2697" t="s">
        <v>124</v>
      </c>
      <c r="AA2697" t="s">
        <v>379</v>
      </c>
      <c r="AB2697" t="s">
        <v>1537</v>
      </c>
      <c r="AC2697" t="s">
        <v>2589</v>
      </c>
      <c r="AD2697" t="s">
        <v>2585</v>
      </c>
      <c r="AF2697" t="s">
        <v>1188</v>
      </c>
      <c r="AG2697" t="s">
        <v>2590</v>
      </c>
      <c r="AH2697" t="s">
        <v>72</v>
      </c>
      <c r="AI2697" t="s">
        <v>683</v>
      </c>
      <c r="AJ2697">
        <v>1957</v>
      </c>
      <c r="AK2697" t="s">
        <v>2591</v>
      </c>
      <c r="AM2697" t="s">
        <v>2592</v>
      </c>
      <c r="AN2697" t="s">
        <v>192</v>
      </c>
      <c r="AO2697" t="s">
        <v>160</v>
      </c>
      <c r="AP2697" t="s">
        <v>636</v>
      </c>
      <c r="AQ2697" t="s">
        <v>2593</v>
      </c>
      <c r="AR2697" t="s">
        <v>80</v>
      </c>
      <c r="AS2697">
        <v>604</v>
      </c>
      <c r="AT2697" t="s">
        <v>81</v>
      </c>
      <c r="AU2697">
        <v>118.32</v>
      </c>
      <c r="AV2697">
        <v>13.38</v>
      </c>
      <c r="AW2697" t="s">
        <v>82</v>
      </c>
      <c r="AX2697">
        <v>604</v>
      </c>
      <c r="AY2697" t="s">
        <v>81</v>
      </c>
      <c r="AZ2697">
        <v>91.79</v>
      </c>
      <c r="BA2697">
        <v>36.700000000000003</v>
      </c>
      <c r="BB2697" t="s">
        <v>83</v>
      </c>
    </row>
    <row r="2698" spans="1:54" x14ac:dyDescent="0.4">
      <c r="A2698">
        <v>838129</v>
      </c>
      <c r="D2698" t="s">
        <v>54</v>
      </c>
      <c r="E2698" t="s">
        <v>55</v>
      </c>
      <c r="G2698">
        <v>1</v>
      </c>
      <c r="H2698" t="s">
        <v>421</v>
      </c>
      <c r="I2698" t="s">
        <v>57</v>
      </c>
      <c r="K2698" t="s">
        <v>580</v>
      </c>
      <c r="L2698" t="s">
        <v>2707</v>
      </c>
      <c r="M2698" t="s">
        <v>60</v>
      </c>
      <c r="O2698" t="s">
        <v>87</v>
      </c>
      <c r="P2698" t="s">
        <v>224</v>
      </c>
      <c r="R2698" t="s">
        <v>183</v>
      </c>
      <c r="S2698" t="s">
        <v>64</v>
      </c>
      <c r="T2698">
        <v>246.7</v>
      </c>
      <c r="U2698">
        <v>242</v>
      </c>
      <c r="V2698">
        <f t="shared" si="84"/>
        <v>244.35</v>
      </c>
      <c r="W2698">
        <f t="shared" si="85"/>
        <v>4.6999999999999886</v>
      </c>
      <c r="X2698">
        <v>35.216667000000001</v>
      </c>
      <c r="Y2698">
        <v>-10.336111000000001</v>
      </c>
      <c r="Z2698" t="s">
        <v>1365</v>
      </c>
      <c r="AA2698" t="s">
        <v>1366</v>
      </c>
      <c r="AB2698" t="s">
        <v>1367</v>
      </c>
      <c r="AD2698" t="s">
        <v>1369</v>
      </c>
      <c r="AF2698" t="s">
        <v>1370</v>
      </c>
      <c r="AG2698" t="s">
        <v>1371</v>
      </c>
      <c r="AH2698" t="s">
        <v>72</v>
      </c>
      <c r="AI2698" t="s">
        <v>2708</v>
      </c>
      <c r="AJ2698">
        <v>1967</v>
      </c>
      <c r="AK2698" t="s">
        <v>2709</v>
      </c>
      <c r="AM2698" t="s">
        <v>2710</v>
      </c>
      <c r="AN2698" t="s">
        <v>114</v>
      </c>
      <c r="AO2698" t="s">
        <v>77</v>
      </c>
      <c r="AP2698" t="s">
        <v>115</v>
      </c>
      <c r="AQ2698" t="s">
        <v>2711</v>
      </c>
      <c r="AR2698" t="s">
        <v>80</v>
      </c>
      <c r="AS2698">
        <v>701</v>
      </c>
      <c r="AT2698" t="s">
        <v>81</v>
      </c>
      <c r="AU2698">
        <v>20.49</v>
      </c>
      <c r="AV2698">
        <v>-40.44</v>
      </c>
      <c r="AW2698" t="s">
        <v>82</v>
      </c>
      <c r="AX2698">
        <v>709</v>
      </c>
      <c r="AY2698" t="s">
        <v>81</v>
      </c>
      <c r="AZ2698">
        <v>22.47</v>
      </c>
      <c r="BA2698">
        <v>-53.45</v>
      </c>
      <c r="BB2698" t="s">
        <v>83</v>
      </c>
    </row>
    <row r="2699" spans="1:54" x14ac:dyDescent="0.4">
      <c r="A2699">
        <v>839581</v>
      </c>
      <c r="D2699" t="s">
        <v>54</v>
      </c>
      <c r="G2699">
        <v>1</v>
      </c>
      <c r="H2699" t="s">
        <v>56</v>
      </c>
      <c r="I2699" t="s">
        <v>57</v>
      </c>
      <c r="K2699" t="s">
        <v>100</v>
      </c>
      <c r="L2699" t="s">
        <v>1576</v>
      </c>
      <c r="M2699" t="s">
        <v>60</v>
      </c>
      <c r="P2699" t="s">
        <v>224</v>
      </c>
      <c r="R2699" t="s">
        <v>183</v>
      </c>
      <c r="S2699" t="s">
        <v>64</v>
      </c>
      <c r="T2699">
        <v>246.7</v>
      </c>
      <c r="U2699">
        <v>242</v>
      </c>
      <c r="V2699">
        <f t="shared" si="84"/>
        <v>244.35</v>
      </c>
      <c r="W2699">
        <f t="shared" si="85"/>
        <v>4.6999999999999886</v>
      </c>
      <c r="X2699">
        <v>55.429169000000002</v>
      </c>
      <c r="Y2699">
        <v>51.420833999999999</v>
      </c>
      <c r="Z2699" t="s">
        <v>969</v>
      </c>
      <c r="AA2699" t="s">
        <v>239</v>
      </c>
      <c r="AB2699" t="s">
        <v>638</v>
      </c>
      <c r="AC2699" t="s">
        <v>2791</v>
      </c>
      <c r="AD2699" t="s">
        <v>2792</v>
      </c>
      <c r="AH2699" t="s">
        <v>72</v>
      </c>
      <c r="AI2699" t="s">
        <v>1937</v>
      </c>
      <c r="AJ2699">
        <v>2003</v>
      </c>
      <c r="AK2699" t="s">
        <v>2793</v>
      </c>
      <c r="AN2699" t="s">
        <v>114</v>
      </c>
      <c r="AO2699" t="s">
        <v>77</v>
      </c>
      <c r="AP2699" t="s">
        <v>78</v>
      </c>
      <c r="AQ2699" t="s">
        <v>2794</v>
      </c>
      <c r="AR2699" t="s">
        <v>80</v>
      </c>
      <c r="AS2699">
        <v>302</v>
      </c>
      <c r="AT2699" t="s">
        <v>81</v>
      </c>
      <c r="AU2699">
        <v>60.36</v>
      </c>
      <c r="AV2699">
        <v>41</v>
      </c>
      <c r="AW2699" t="s">
        <v>82</v>
      </c>
      <c r="AX2699">
        <v>301</v>
      </c>
      <c r="AY2699" t="s">
        <v>81</v>
      </c>
      <c r="AZ2699">
        <v>43.79</v>
      </c>
      <c r="BA2699">
        <v>33.78</v>
      </c>
      <c r="BB2699" t="s">
        <v>83</v>
      </c>
    </row>
    <row r="2700" spans="1:54" x14ac:dyDescent="0.4">
      <c r="A2700">
        <v>839583</v>
      </c>
      <c r="D2700" t="s">
        <v>54</v>
      </c>
      <c r="G2700">
        <v>4</v>
      </c>
      <c r="H2700" t="s">
        <v>84</v>
      </c>
      <c r="I2700" t="s">
        <v>57</v>
      </c>
      <c r="K2700" t="s">
        <v>141</v>
      </c>
      <c r="L2700" t="s">
        <v>2795</v>
      </c>
      <c r="M2700" t="s">
        <v>60</v>
      </c>
      <c r="P2700" t="s">
        <v>224</v>
      </c>
      <c r="R2700" t="s">
        <v>183</v>
      </c>
      <c r="S2700" t="s">
        <v>64</v>
      </c>
      <c r="T2700">
        <v>246.7</v>
      </c>
      <c r="U2700">
        <v>242</v>
      </c>
      <c r="V2700">
        <f t="shared" si="84"/>
        <v>244.35</v>
      </c>
      <c r="W2700">
        <f t="shared" si="85"/>
        <v>4.6999999999999886</v>
      </c>
      <c r="X2700">
        <v>55.429169000000002</v>
      </c>
      <c r="Y2700">
        <v>51.420833999999999</v>
      </c>
      <c r="Z2700" t="s">
        <v>969</v>
      </c>
      <c r="AA2700" t="s">
        <v>239</v>
      </c>
      <c r="AB2700" t="s">
        <v>638</v>
      </c>
      <c r="AC2700" t="s">
        <v>2791</v>
      </c>
      <c r="AD2700" t="s">
        <v>2792</v>
      </c>
      <c r="AH2700" t="s">
        <v>72</v>
      </c>
      <c r="AI2700" t="s">
        <v>1877</v>
      </c>
      <c r="AJ2700">
        <v>2000</v>
      </c>
      <c r="AK2700" t="s">
        <v>2793</v>
      </c>
      <c r="AN2700" t="s">
        <v>114</v>
      </c>
      <c r="AO2700" t="s">
        <v>77</v>
      </c>
      <c r="AP2700" t="s">
        <v>78</v>
      </c>
      <c r="AQ2700" t="s">
        <v>2794</v>
      </c>
      <c r="AR2700" t="s">
        <v>80</v>
      </c>
      <c r="AS2700">
        <v>302</v>
      </c>
      <c r="AT2700" t="s">
        <v>81</v>
      </c>
      <c r="AU2700">
        <v>60.36</v>
      </c>
      <c r="AV2700">
        <v>41</v>
      </c>
      <c r="AW2700" t="s">
        <v>82</v>
      </c>
      <c r="AX2700">
        <v>301</v>
      </c>
      <c r="AY2700" t="s">
        <v>81</v>
      </c>
      <c r="AZ2700">
        <v>43.79</v>
      </c>
      <c r="BA2700">
        <v>33.78</v>
      </c>
      <c r="BB2700" t="s">
        <v>83</v>
      </c>
    </row>
    <row r="2701" spans="1:54" x14ac:dyDescent="0.4">
      <c r="A2701">
        <v>843770</v>
      </c>
      <c r="D2701" t="s">
        <v>54</v>
      </c>
      <c r="G2701">
        <v>1</v>
      </c>
      <c r="H2701" t="s">
        <v>56</v>
      </c>
      <c r="I2701" t="s">
        <v>57</v>
      </c>
      <c r="K2701" t="s">
        <v>100</v>
      </c>
      <c r="L2701" t="s">
        <v>2544</v>
      </c>
      <c r="M2701" t="s">
        <v>60</v>
      </c>
      <c r="P2701" t="s">
        <v>224</v>
      </c>
      <c r="R2701" t="s">
        <v>183</v>
      </c>
      <c r="S2701" t="s">
        <v>64</v>
      </c>
      <c r="T2701">
        <v>246.7</v>
      </c>
      <c r="U2701">
        <v>242</v>
      </c>
      <c r="V2701">
        <f t="shared" si="84"/>
        <v>244.35</v>
      </c>
      <c r="W2701">
        <f t="shared" si="85"/>
        <v>4.6999999999999886</v>
      </c>
      <c r="X2701">
        <v>26.606943000000001</v>
      </c>
      <c r="Y2701">
        <v>-30.623332999999999</v>
      </c>
      <c r="Z2701" t="s">
        <v>836</v>
      </c>
      <c r="AA2701" t="s">
        <v>106</v>
      </c>
      <c r="AB2701" t="s">
        <v>1625</v>
      </c>
      <c r="AC2701" t="s">
        <v>2545</v>
      </c>
      <c r="AD2701" t="s">
        <v>2023</v>
      </c>
      <c r="AE2701" t="s">
        <v>110</v>
      </c>
      <c r="AG2701" t="s">
        <v>2546</v>
      </c>
      <c r="AH2701" t="s">
        <v>72</v>
      </c>
      <c r="AI2701" t="s">
        <v>2540</v>
      </c>
      <c r="AJ2701">
        <v>2008</v>
      </c>
      <c r="AK2701" t="s">
        <v>2547</v>
      </c>
      <c r="AN2701" t="s">
        <v>341</v>
      </c>
      <c r="AO2701" t="s">
        <v>77</v>
      </c>
      <c r="AP2701" t="s">
        <v>115</v>
      </c>
      <c r="AQ2701" t="s">
        <v>2548</v>
      </c>
      <c r="AR2701" t="s">
        <v>80</v>
      </c>
      <c r="AS2701">
        <v>701</v>
      </c>
      <c r="AT2701" t="s">
        <v>81</v>
      </c>
      <c r="AU2701">
        <v>-7.32</v>
      </c>
      <c r="AV2701">
        <v>-50.66</v>
      </c>
      <c r="AW2701" t="s">
        <v>82</v>
      </c>
      <c r="AX2701">
        <v>701</v>
      </c>
      <c r="AY2701" t="s">
        <v>81</v>
      </c>
      <c r="AZ2701">
        <v>-13.05</v>
      </c>
      <c r="BA2701">
        <v>-66.239999999999995</v>
      </c>
      <c r="BB2701" t="s">
        <v>83</v>
      </c>
    </row>
    <row r="2702" spans="1:54" x14ac:dyDescent="0.4">
      <c r="A2702">
        <v>850677</v>
      </c>
      <c r="D2702" t="s">
        <v>853</v>
      </c>
      <c r="I2702" t="s">
        <v>57</v>
      </c>
      <c r="K2702" t="s">
        <v>802</v>
      </c>
      <c r="L2702" t="s">
        <v>3129</v>
      </c>
      <c r="M2702" t="s">
        <v>223</v>
      </c>
      <c r="N2702" t="s">
        <v>234</v>
      </c>
      <c r="O2702" t="s">
        <v>87</v>
      </c>
      <c r="P2702" t="s">
        <v>224</v>
      </c>
      <c r="R2702" t="s">
        <v>183</v>
      </c>
      <c r="S2702" t="s">
        <v>64</v>
      </c>
      <c r="T2702">
        <v>246.7</v>
      </c>
      <c r="U2702">
        <v>242</v>
      </c>
      <c r="V2702">
        <f t="shared" si="84"/>
        <v>244.35</v>
      </c>
      <c r="W2702">
        <f t="shared" si="85"/>
        <v>4.6999999999999886</v>
      </c>
      <c r="X2702">
        <v>9.766667</v>
      </c>
      <c r="Y2702">
        <v>49.966667000000001</v>
      </c>
      <c r="Z2702" t="s">
        <v>520</v>
      </c>
      <c r="AA2702" t="s">
        <v>211</v>
      </c>
      <c r="AB2702" t="s">
        <v>953</v>
      </c>
      <c r="AC2702" t="s">
        <v>3130</v>
      </c>
      <c r="AE2702" t="s">
        <v>1378</v>
      </c>
      <c r="AG2702" t="s">
        <v>3131</v>
      </c>
      <c r="AH2702" t="s">
        <v>72</v>
      </c>
      <c r="AI2702" t="s">
        <v>3132</v>
      </c>
      <c r="AJ2702">
        <v>2006</v>
      </c>
      <c r="AK2702" t="s">
        <v>3133</v>
      </c>
      <c r="AM2702" t="s">
        <v>3134</v>
      </c>
      <c r="AN2702" t="s">
        <v>114</v>
      </c>
      <c r="AO2702" t="s">
        <v>160</v>
      </c>
      <c r="AP2702" t="s">
        <v>115</v>
      </c>
      <c r="AQ2702" t="s">
        <v>3135</v>
      </c>
      <c r="AR2702" t="s">
        <v>80</v>
      </c>
      <c r="AS2702">
        <v>305</v>
      </c>
      <c r="AT2702" t="s">
        <v>81</v>
      </c>
      <c r="AU2702">
        <v>28.81</v>
      </c>
      <c r="AV2702">
        <v>28.64</v>
      </c>
      <c r="AW2702" t="s">
        <v>82</v>
      </c>
      <c r="AX2702">
        <v>305</v>
      </c>
      <c r="AY2702" t="s">
        <v>81</v>
      </c>
      <c r="AZ2702">
        <v>19.260000000000002</v>
      </c>
      <c r="BA2702">
        <v>15.79</v>
      </c>
      <c r="BB2702" t="s">
        <v>83</v>
      </c>
    </row>
    <row r="2703" spans="1:54" x14ac:dyDescent="0.4">
      <c r="A2703">
        <v>851246</v>
      </c>
      <c r="D2703" t="s">
        <v>54</v>
      </c>
      <c r="E2703" t="s">
        <v>55</v>
      </c>
      <c r="F2703" t="s">
        <v>1283</v>
      </c>
      <c r="G2703">
        <v>1</v>
      </c>
      <c r="H2703" t="s">
        <v>56</v>
      </c>
      <c r="I2703" t="s">
        <v>57</v>
      </c>
      <c r="K2703" t="s">
        <v>180</v>
      </c>
      <c r="L2703" t="s">
        <v>3136</v>
      </c>
      <c r="M2703" t="s">
        <v>60</v>
      </c>
      <c r="N2703" t="s">
        <v>119</v>
      </c>
      <c r="P2703" t="s">
        <v>224</v>
      </c>
      <c r="R2703" t="s">
        <v>183</v>
      </c>
      <c r="S2703" t="s">
        <v>64</v>
      </c>
      <c r="T2703">
        <v>246.7</v>
      </c>
      <c r="U2703">
        <v>242</v>
      </c>
      <c r="V2703">
        <f t="shared" si="84"/>
        <v>244.35</v>
      </c>
      <c r="W2703">
        <f t="shared" si="85"/>
        <v>4.6999999999999886</v>
      </c>
      <c r="X2703">
        <v>35.133330999999998</v>
      </c>
      <c r="Y2703">
        <v>-10.3</v>
      </c>
      <c r="Z2703" t="s">
        <v>432</v>
      </c>
      <c r="AA2703" t="s">
        <v>1366</v>
      </c>
      <c r="AB2703" t="s">
        <v>1367</v>
      </c>
      <c r="AD2703" t="s">
        <v>1369</v>
      </c>
      <c r="AF2703" t="s">
        <v>1370</v>
      </c>
      <c r="AG2703" t="s">
        <v>1371</v>
      </c>
      <c r="AH2703" t="s">
        <v>72</v>
      </c>
      <c r="AI2703" t="s">
        <v>1127</v>
      </c>
      <c r="AJ2703">
        <v>2010</v>
      </c>
      <c r="AK2703" t="s">
        <v>3137</v>
      </c>
      <c r="AM2703" t="s">
        <v>3138</v>
      </c>
      <c r="AN2703" t="s">
        <v>114</v>
      </c>
      <c r="AO2703" t="s">
        <v>160</v>
      </c>
      <c r="AP2703" t="s">
        <v>115</v>
      </c>
      <c r="AQ2703" t="s">
        <v>3139</v>
      </c>
      <c r="AR2703" t="s">
        <v>80</v>
      </c>
      <c r="AS2703">
        <v>701</v>
      </c>
      <c r="AT2703" t="s">
        <v>81</v>
      </c>
      <c r="AU2703">
        <v>20.43</v>
      </c>
      <c r="AV2703">
        <v>-40.369999999999997</v>
      </c>
      <c r="AW2703" t="s">
        <v>82</v>
      </c>
      <c r="AX2703">
        <v>709</v>
      </c>
      <c r="AY2703" t="s">
        <v>81</v>
      </c>
      <c r="AZ2703">
        <v>22.36</v>
      </c>
      <c r="BA2703">
        <v>-53.39</v>
      </c>
      <c r="BB2703" t="s">
        <v>83</v>
      </c>
    </row>
    <row r="2704" spans="1:54" x14ac:dyDescent="0.4">
      <c r="A2704">
        <v>851246</v>
      </c>
      <c r="D2704" t="s">
        <v>54</v>
      </c>
      <c r="E2704" t="s">
        <v>55</v>
      </c>
      <c r="F2704" t="s">
        <v>1283</v>
      </c>
      <c r="G2704">
        <v>1</v>
      </c>
      <c r="H2704" t="s">
        <v>56</v>
      </c>
      <c r="I2704" t="s">
        <v>57</v>
      </c>
      <c r="K2704" t="s">
        <v>180</v>
      </c>
      <c r="L2704" t="s">
        <v>3136</v>
      </c>
      <c r="M2704" t="s">
        <v>60</v>
      </c>
      <c r="N2704" t="s">
        <v>119</v>
      </c>
      <c r="P2704" t="s">
        <v>224</v>
      </c>
      <c r="R2704" t="s">
        <v>183</v>
      </c>
      <c r="S2704" t="s">
        <v>64</v>
      </c>
      <c r="T2704">
        <v>246.7</v>
      </c>
      <c r="U2704">
        <v>242</v>
      </c>
      <c r="V2704">
        <f t="shared" si="84"/>
        <v>244.35</v>
      </c>
      <c r="W2704">
        <f t="shared" si="85"/>
        <v>4.6999999999999886</v>
      </c>
      <c r="X2704">
        <v>35.133330999999998</v>
      </c>
      <c r="Y2704">
        <v>-10.3</v>
      </c>
      <c r="Z2704" t="s">
        <v>432</v>
      </c>
      <c r="AA2704" t="s">
        <v>1366</v>
      </c>
      <c r="AB2704" t="s">
        <v>1367</v>
      </c>
      <c r="AD2704" t="s">
        <v>1369</v>
      </c>
      <c r="AF2704" t="s">
        <v>1370</v>
      </c>
      <c r="AG2704" t="s">
        <v>1371</v>
      </c>
      <c r="AH2704" t="s">
        <v>72</v>
      </c>
      <c r="AI2704" t="s">
        <v>1127</v>
      </c>
      <c r="AJ2704">
        <v>2010</v>
      </c>
      <c r="AK2704" t="s">
        <v>3137</v>
      </c>
      <c r="AM2704" t="s">
        <v>3138</v>
      </c>
      <c r="AN2704" t="s">
        <v>114</v>
      </c>
      <c r="AO2704" t="s">
        <v>160</v>
      </c>
      <c r="AP2704" t="s">
        <v>115</v>
      </c>
      <c r="AQ2704" t="s">
        <v>3139</v>
      </c>
      <c r="AR2704" t="s">
        <v>80</v>
      </c>
      <c r="AS2704">
        <v>701</v>
      </c>
      <c r="AT2704" t="s">
        <v>81</v>
      </c>
      <c r="AU2704">
        <v>20.43</v>
      </c>
      <c r="AV2704">
        <v>-40.369999999999997</v>
      </c>
      <c r="AW2704" t="s">
        <v>82</v>
      </c>
      <c r="AX2704">
        <v>709</v>
      </c>
      <c r="AY2704" t="s">
        <v>81</v>
      </c>
      <c r="AZ2704">
        <v>22.36</v>
      </c>
      <c r="BA2704">
        <v>-53.39</v>
      </c>
      <c r="BB2704" t="s">
        <v>83</v>
      </c>
    </row>
    <row r="2705" spans="1:54" x14ac:dyDescent="0.4">
      <c r="A2705">
        <v>851246</v>
      </c>
      <c r="D2705" t="s">
        <v>54</v>
      </c>
      <c r="E2705" t="s">
        <v>55</v>
      </c>
      <c r="F2705" t="s">
        <v>1283</v>
      </c>
      <c r="G2705">
        <v>1</v>
      </c>
      <c r="H2705" t="s">
        <v>56</v>
      </c>
      <c r="I2705" t="s">
        <v>57</v>
      </c>
      <c r="K2705" t="s">
        <v>180</v>
      </c>
      <c r="L2705" t="s">
        <v>3136</v>
      </c>
      <c r="M2705" t="s">
        <v>60</v>
      </c>
      <c r="N2705" t="s">
        <v>119</v>
      </c>
      <c r="P2705" t="s">
        <v>224</v>
      </c>
      <c r="R2705" t="s">
        <v>183</v>
      </c>
      <c r="S2705" t="s">
        <v>64</v>
      </c>
      <c r="T2705">
        <v>246.7</v>
      </c>
      <c r="U2705">
        <v>242</v>
      </c>
      <c r="V2705">
        <f t="shared" si="84"/>
        <v>244.35</v>
      </c>
      <c r="W2705">
        <f t="shared" si="85"/>
        <v>4.6999999999999886</v>
      </c>
      <c r="X2705">
        <v>35.133330999999998</v>
      </c>
      <c r="Y2705">
        <v>-10.3</v>
      </c>
      <c r="Z2705" t="s">
        <v>432</v>
      </c>
      <c r="AA2705" t="s">
        <v>1366</v>
      </c>
      <c r="AB2705" t="s">
        <v>1367</v>
      </c>
      <c r="AD2705" t="s">
        <v>1369</v>
      </c>
      <c r="AF2705" t="s">
        <v>1370</v>
      </c>
      <c r="AG2705" t="s">
        <v>1371</v>
      </c>
      <c r="AH2705" t="s">
        <v>72</v>
      </c>
      <c r="AI2705" t="s">
        <v>1127</v>
      </c>
      <c r="AJ2705">
        <v>2010</v>
      </c>
      <c r="AK2705" t="s">
        <v>3137</v>
      </c>
      <c r="AM2705" t="s">
        <v>3138</v>
      </c>
      <c r="AN2705" t="s">
        <v>114</v>
      </c>
      <c r="AO2705" t="s">
        <v>160</v>
      </c>
      <c r="AP2705" t="s">
        <v>115</v>
      </c>
      <c r="AQ2705" t="s">
        <v>3139</v>
      </c>
      <c r="AR2705" t="s">
        <v>80</v>
      </c>
      <c r="AS2705">
        <v>701</v>
      </c>
      <c r="AT2705" t="s">
        <v>81</v>
      </c>
      <c r="AU2705">
        <v>20.43</v>
      </c>
      <c r="AV2705">
        <v>-40.369999999999997</v>
      </c>
      <c r="AW2705" t="s">
        <v>82</v>
      </c>
      <c r="AX2705">
        <v>709</v>
      </c>
      <c r="AY2705" t="s">
        <v>81</v>
      </c>
      <c r="AZ2705">
        <v>22.36</v>
      </c>
      <c r="BA2705">
        <v>-53.39</v>
      </c>
      <c r="BB2705" t="s">
        <v>83</v>
      </c>
    </row>
    <row r="2706" spans="1:54" x14ac:dyDescent="0.4">
      <c r="A2706">
        <v>851246</v>
      </c>
      <c r="D2706" t="s">
        <v>54</v>
      </c>
      <c r="E2706" t="s">
        <v>55</v>
      </c>
      <c r="F2706" t="s">
        <v>1283</v>
      </c>
      <c r="G2706">
        <v>1</v>
      </c>
      <c r="H2706" t="s">
        <v>56</v>
      </c>
      <c r="I2706" t="s">
        <v>57</v>
      </c>
      <c r="K2706" t="s">
        <v>180</v>
      </c>
      <c r="L2706" t="s">
        <v>3136</v>
      </c>
      <c r="M2706" t="s">
        <v>60</v>
      </c>
      <c r="N2706" t="s">
        <v>119</v>
      </c>
      <c r="P2706" t="s">
        <v>224</v>
      </c>
      <c r="R2706" t="s">
        <v>183</v>
      </c>
      <c r="S2706" t="s">
        <v>64</v>
      </c>
      <c r="T2706">
        <v>246.7</v>
      </c>
      <c r="U2706">
        <v>242</v>
      </c>
      <c r="V2706">
        <f t="shared" si="84"/>
        <v>244.35</v>
      </c>
      <c r="W2706">
        <f t="shared" si="85"/>
        <v>4.6999999999999886</v>
      </c>
      <c r="X2706">
        <v>35.133330999999998</v>
      </c>
      <c r="Y2706">
        <v>-10.3</v>
      </c>
      <c r="Z2706" t="s">
        <v>432</v>
      </c>
      <c r="AA2706" t="s">
        <v>1366</v>
      </c>
      <c r="AB2706" t="s">
        <v>1367</v>
      </c>
      <c r="AD2706" t="s">
        <v>1369</v>
      </c>
      <c r="AF2706" t="s">
        <v>1370</v>
      </c>
      <c r="AG2706" t="s">
        <v>1371</v>
      </c>
      <c r="AH2706" t="s">
        <v>72</v>
      </c>
      <c r="AI2706" t="s">
        <v>1127</v>
      </c>
      <c r="AJ2706">
        <v>2010</v>
      </c>
      <c r="AK2706" t="s">
        <v>3137</v>
      </c>
      <c r="AM2706" t="s">
        <v>3138</v>
      </c>
      <c r="AN2706" t="s">
        <v>114</v>
      </c>
      <c r="AO2706" t="s">
        <v>160</v>
      </c>
      <c r="AP2706" t="s">
        <v>115</v>
      </c>
      <c r="AQ2706" t="s">
        <v>3139</v>
      </c>
      <c r="AR2706" t="s">
        <v>80</v>
      </c>
      <c r="AS2706">
        <v>701</v>
      </c>
      <c r="AT2706" t="s">
        <v>81</v>
      </c>
      <c r="AU2706">
        <v>20.43</v>
      </c>
      <c r="AV2706">
        <v>-40.369999999999997</v>
      </c>
      <c r="AW2706" t="s">
        <v>82</v>
      </c>
      <c r="AX2706">
        <v>709</v>
      </c>
      <c r="AY2706" t="s">
        <v>81</v>
      </c>
      <c r="AZ2706">
        <v>22.36</v>
      </c>
      <c r="BA2706">
        <v>-53.39</v>
      </c>
      <c r="BB2706" t="s">
        <v>83</v>
      </c>
    </row>
    <row r="2707" spans="1:54" x14ac:dyDescent="0.4">
      <c r="A2707">
        <v>851246</v>
      </c>
      <c r="D2707" t="s">
        <v>54</v>
      </c>
      <c r="E2707" t="s">
        <v>55</v>
      </c>
      <c r="F2707" t="s">
        <v>1283</v>
      </c>
      <c r="G2707">
        <v>1</v>
      </c>
      <c r="H2707" t="s">
        <v>56</v>
      </c>
      <c r="I2707" t="s">
        <v>57</v>
      </c>
      <c r="K2707" t="s">
        <v>180</v>
      </c>
      <c r="L2707" t="s">
        <v>3136</v>
      </c>
      <c r="M2707" t="s">
        <v>60</v>
      </c>
      <c r="N2707" t="s">
        <v>119</v>
      </c>
      <c r="P2707" t="s">
        <v>224</v>
      </c>
      <c r="R2707" t="s">
        <v>183</v>
      </c>
      <c r="S2707" t="s">
        <v>64</v>
      </c>
      <c r="T2707">
        <v>246.7</v>
      </c>
      <c r="U2707">
        <v>242</v>
      </c>
      <c r="V2707">
        <f t="shared" si="84"/>
        <v>244.35</v>
      </c>
      <c r="W2707">
        <f t="shared" si="85"/>
        <v>4.6999999999999886</v>
      </c>
      <c r="X2707">
        <v>35.133330999999998</v>
      </c>
      <c r="Y2707">
        <v>-10.3</v>
      </c>
      <c r="Z2707" t="s">
        <v>432</v>
      </c>
      <c r="AA2707" t="s">
        <v>1366</v>
      </c>
      <c r="AB2707" t="s">
        <v>1367</v>
      </c>
      <c r="AD2707" t="s">
        <v>1369</v>
      </c>
      <c r="AF2707" t="s">
        <v>1370</v>
      </c>
      <c r="AG2707" t="s">
        <v>1371</v>
      </c>
      <c r="AH2707" t="s">
        <v>72</v>
      </c>
      <c r="AI2707" t="s">
        <v>1127</v>
      </c>
      <c r="AJ2707">
        <v>2010</v>
      </c>
      <c r="AK2707" t="s">
        <v>3137</v>
      </c>
      <c r="AM2707" t="s">
        <v>3138</v>
      </c>
      <c r="AN2707" t="s">
        <v>114</v>
      </c>
      <c r="AO2707" t="s">
        <v>160</v>
      </c>
      <c r="AP2707" t="s">
        <v>115</v>
      </c>
      <c r="AQ2707" t="s">
        <v>3139</v>
      </c>
      <c r="AR2707" t="s">
        <v>80</v>
      </c>
      <c r="AS2707">
        <v>701</v>
      </c>
      <c r="AT2707" t="s">
        <v>81</v>
      </c>
      <c r="AU2707">
        <v>20.43</v>
      </c>
      <c r="AV2707">
        <v>-40.369999999999997</v>
      </c>
      <c r="AW2707" t="s">
        <v>82</v>
      </c>
      <c r="AX2707">
        <v>709</v>
      </c>
      <c r="AY2707" t="s">
        <v>81</v>
      </c>
      <c r="AZ2707">
        <v>22.36</v>
      </c>
      <c r="BA2707">
        <v>-53.39</v>
      </c>
      <c r="BB2707" t="s">
        <v>83</v>
      </c>
    </row>
    <row r="2708" spans="1:54" x14ac:dyDescent="0.4">
      <c r="A2708">
        <v>851246</v>
      </c>
      <c r="D2708" t="s">
        <v>54</v>
      </c>
      <c r="E2708" t="s">
        <v>55</v>
      </c>
      <c r="F2708" t="s">
        <v>1283</v>
      </c>
      <c r="G2708">
        <v>1</v>
      </c>
      <c r="H2708" t="s">
        <v>56</v>
      </c>
      <c r="I2708" t="s">
        <v>57</v>
      </c>
      <c r="K2708" t="s">
        <v>180</v>
      </c>
      <c r="L2708" t="s">
        <v>3136</v>
      </c>
      <c r="M2708" t="s">
        <v>60</v>
      </c>
      <c r="N2708" t="s">
        <v>119</v>
      </c>
      <c r="P2708" t="s">
        <v>224</v>
      </c>
      <c r="R2708" t="s">
        <v>183</v>
      </c>
      <c r="S2708" t="s">
        <v>64</v>
      </c>
      <c r="T2708">
        <v>246.7</v>
      </c>
      <c r="U2708">
        <v>242</v>
      </c>
      <c r="V2708">
        <f t="shared" si="84"/>
        <v>244.35</v>
      </c>
      <c r="W2708">
        <f t="shared" si="85"/>
        <v>4.6999999999999886</v>
      </c>
      <c r="X2708">
        <v>35.133330999999998</v>
      </c>
      <c r="Y2708">
        <v>-10.3</v>
      </c>
      <c r="Z2708" t="s">
        <v>432</v>
      </c>
      <c r="AA2708" t="s">
        <v>1366</v>
      </c>
      <c r="AB2708" t="s">
        <v>1367</v>
      </c>
      <c r="AD2708" t="s">
        <v>1369</v>
      </c>
      <c r="AF2708" t="s">
        <v>1370</v>
      </c>
      <c r="AG2708" t="s">
        <v>1371</v>
      </c>
      <c r="AH2708" t="s">
        <v>72</v>
      </c>
      <c r="AI2708" t="s">
        <v>1127</v>
      </c>
      <c r="AJ2708">
        <v>2010</v>
      </c>
      <c r="AK2708" t="s">
        <v>3137</v>
      </c>
      <c r="AM2708" t="s">
        <v>3138</v>
      </c>
      <c r="AN2708" t="s">
        <v>114</v>
      </c>
      <c r="AO2708" t="s">
        <v>160</v>
      </c>
      <c r="AP2708" t="s">
        <v>115</v>
      </c>
      <c r="AQ2708" t="s">
        <v>3139</v>
      </c>
      <c r="AR2708" t="s">
        <v>80</v>
      </c>
      <c r="AS2708">
        <v>701</v>
      </c>
      <c r="AT2708" t="s">
        <v>81</v>
      </c>
      <c r="AU2708">
        <v>20.43</v>
      </c>
      <c r="AV2708">
        <v>-40.369999999999997</v>
      </c>
      <c r="AW2708" t="s">
        <v>82</v>
      </c>
      <c r="AX2708">
        <v>709</v>
      </c>
      <c r="AY2708" t="s">
        <v>81</v>
      </c>
      <c r="AZ2708">
        <v>22.36</v>
      </c>
      <c r="BA2708">
        <v>-53.39</v>
      </c>
      <c r="BB2708" t="s">
        <v>83</v>
      </c>
    </row>
    <row r="2709" spans="1:54" x14ac:dyDescent="0.4">
      <c r="A2709">
        <v>851246</v>
      </c>
      <c r="D2709" t="s">
        <v>54</v>
      </c>
      <c r="E2709" t="s">
        <v>55</v>
      </c>
      <c r="F2709" t="s">
        <v>1283</v>
      </c>
      <c r="G2709">
        <v>1</v>
      </c>
      <c r="H2709" t="s">
        <v>56</v>
      </c>
      <c r="I2709" t="s">
        <v>57</v>
      </c>
      <c r="K2709" t="s">
        <v>180</v>
      </c>
      <c r="L2709" t="s">
        <v>3136</v>
      </c>
      <c r="M2709" t="s">
        <v>60</v>
      </c>
      <c r="N2709" t="s">
        <v>119</v>
      </c>
      <c r="P2709" t="s">
        <v>224</v>
      </c>
      <c r="R2709" t="s">
        <v>183</v>
      </c>
      <c r="S2709" t="s">
        <v>64</v>
      </c>
      <c r="T2709">
        <v>246.7</v>
      </c>
      <c r="U2709">
        <v>242</v>
      </c>
      <c r="V2709">
        <f t="shared" si="84"/>
        <v>244.35</v>
      </c>
      <c r="W2709">
        <f t="shared" si="85"/>
        <v>4.6999999999999886</v>
      </c>
      <c r="X2709">
        <v>35.133330999999998</v>
      </c>
      <c r="Y2709">
        <v>-10.3</v>
      </c>
      <c r="Z2709" t="s">
        <v>432</v>
      </c>
      <c r="AA2709" t="s">
        <v>1366</v>
      </c>
      <c r="AB2709" t="s">
        <v>1367</v>
      </c>
      <c r="AD2709" t="s">
        <v>1369</v>
      </c>
      <c r="AF2709" t="s">
        <v>1370</v>
      </c>
      <c r="AG2709" t="s">
        <v>1371</v>
      </c>
      <c r="AH2709" t="s">
        <v>72</v>
      </c>
      <c r="AI2709" t="s">
        <v>1127</v>
      </c>
      <c r="AJ2709">
        <v>2010</v>
      </c>
      <c r="AK2709" t="s">
        <v>3137</v>
      </c>
      <c r="AM2709" t="s">
        <v>3138</v>
      </c>
      <c r="AN2709" t="s">
        <v>114</v>
      </c>
      <c r="AO2709" t="s">
        <v>160</v>
      </c>
      <c r="AP2709" t="s">
        <v>115</v>
      </c>
      <c r="AQ2709" t="s">
        <v>3139</v>
      </c>
      <c r="AR2709" t="s">
        <v>80</v>
      </c>
      <c r="AS2709">
        <v>701</v>
      </c>
      <c r="AT2709" t="s">
        <v>81</v>
      </c>
      <c r="AU2709">
        <v>20.43</v>
      </c>
      <c r="AV2709">
        <v>-40.369999999999997</v>
      </c>
      <c r="AW2709" t="s">
        <v>82</v>
      </c>
      <c r="AX2709">
        <v>709</v>
      </c>
      <c r="AY2709" t="s">
        <v>81</v>
      </c>
      <c r="AZ2709">
        <v>22.36</v>
      </c>
      <c r="BA2709">
        <v>-53.39</v>
      </c>
      <c r="BB2709" t="s">
        <v>83</v>
      </c>
    </row>
    <row r="2710" spans="1:54" x14ac:dyDescent="0.4">
      <c r="A2710">
        <v>851246</v>
      </c>
      <c r="D2710" t="s">
        <v>54</v>
      </c>
      <c r="E2710" t="s">
        <v>55</v>
      </c>
      <c r="F2710" t="s">
        <v>1283</v>
      </c>
      <c r="G2710">
        <v>1</v>
      </c>
      <c r="H2710" t="s">
        <v>56</v>
      </c>
      <c r="I2710" t="s">
        <v>57</v>
      </c>
      <c r="K2710" t="s">
        <v>180</v>
      </c>
      <c r="L2710" t="s">
        <v>3136</v>
      </c>
      <c r="M2710" t="s">
        <v>60</v>
      </c>
      <c r="N2710" t="s">
        <v>119</v>
      </c>
      <c r="P2710" t="s">
        <v>224</v>
      </c>
      <c r="R2710" t="s">
        <v>183</v>
      </c>
      <c r="S2710" t="s">
        <v>64</v>
      </c>
      <c r="T2710">
        <v>246.7</v>
      </c>
      <c r="U2710">
        <v>242</v>
      </c>
      <c r="V2710">
        <f t="shared" si="84"/>
        <v>244.35</v>
      </c>
      <c r="W2710">
        <f t="shared" si="85"/>
        <v>4.6999999999999886</v>
      </c>
      <c r="X2710">
        <v>35.133330999999998</v>
      </c>
      <c r="Y2710">
        <v>-10.3</v>
      </c>
      <c r="Z2710" t="s">
        <v>432</v>
      </c>
      <c r="AA2710" t="s">
        <v>1366</v>
      </c>
      <c r="AB2710" t="s">
        <v>1367</v>
      </c>
      <c r="AD2710" t="s">
        <v>1369</v>
      </c>
      <c r="AF2710" t="s">
        <v>1370</v>
      </c>
      <c r="AG2710" t="s">
        <v>1371</v>
      </c>
      <c r="AH2710" t="s">
        <v>72</v>
      </c>
      <c r="AI2710" t="s">
        <v>1127</v>
      </c>
      <c r="AJ2710">
        <v>2010</v>
      </c>
      <c r="AK2710" t="s">
        <v>3137</v>
      </c>
      <c r="AM2710" t="s">
        <v>3138</v>
      </c>
      <c r="AN2710" t="s">
        <v>114</v>
      </c>
      <c r="AO2710" t="s">
        <v>160</v>
      </c>
      <c r="AP2710" t="s">
        <v>115</v>
      </c>
      <c r="AQ2710" t="s">
        <v>3139</v>
      </c>
      <c r="AR2710" t="s">
        <v>80</v>
      </c>
      <c r="AS2710">
        <v>701</v>
      </c>
      <c r="AT2710" t="s">
        <v>81</v>
      </c>
      <c r="AU2710">
        <v>20.43</v>
      </c>
      <c r="AV2710">
        <v>-40.369999999999997</v>
      </c>
      <c r="AW2710" t="s">
        <v>82</v>
      </c>
      <c r="AX2710">
        <v>709</v>
      </c>
      <c r="AY2710" t="s">
        <v>81</v>
      </c>
      <c r="AZ2710">
        <v>22.36</v>
      </c>
      <c r="BA2710">
        <v>-53.39</v>
      </c>
      <c r="BB2710" t="s">
        <v>83</v>
      </c>
    </row>
    <row r="2711" spans="1:54" x14ac:dyDescent="0.4">
      <c r="A2711">
        <v>851246</v>
      </c>
      <c r="D2711" t="s">
        <v>54</v>
      </c>
      <c r="E2711" t="s">
        <v>55</v>
      </c>
      <c r="F2711" t="s">
        <v>1283</v>
      </c>
      <c r="G2711">
        <v>1</v>
      </c>
      <c r="H2711" t="s">
        <v>56</v>
      </c>
      <c r="I2711" t="s">
        <v>57</v>
      </c>
      <c r="K2711" t="s">
        <v>180</v>
      </c>
      <c r="L2711" t="s">
        <v>3136</v>
      </c>
      <c r="M2711" t="s">
        <v>60</v>
      </c>
      <c r="N2711" t="s">
        <v>119</v>
      </c>
      <c r="P2711" t="s">
        <v>224</v>
      </c>
      <c r="R2711" t="s">
        <v>183</v>
      </c>
      <c r="S2711" t="s">
        <v>64</v>
      </c>
      <c r="T2711">
        <v>246.7</v>
      </c>
      <c r="U2711">
        <v>242</v>
      </c>
      <c r="V2711">
        <f t="shared" si="84"/>
        <v>244.35</v>
      </c>
      <c r="W2711">
        <f t="shared" si="85"/>
        <v>4.6999999999999886</v>
      </c>
      <c r="X2711">
        <v>35.133330999999998</v>
      </c>
      <c r="Y2711">
        <v>-10.3</v>
      </c>
      <c r="Z2711" t="s">
        <v>432</v>
      </c>
      <c r="AA2711" t="s">
        <v>1366</v>
      </c>
      <c r="AB2711" t="s">
        <v>1367</v>
      </c>
      <c r="AD2711" t="s">
        <v>1369</v>
      </c>
      <c r="AF2711" t="s">
        <v>1370</v>
      </c>
      <c r="AG2711" t="s">
        <v>1371</v>
      </c>
      <c r="AH2711" t="s">
        <v>72</v>
      </c>
      <c r="AI2711" t="s">
        <v>1127</v>
      </c>
      <c r="AJ2711">
        <v>2010</v>
      </c>
      <c r="AK2711" t="s">
        <v>3137</v>
      </c>
      <c r="AM2711" t="s">
        <v>3138</v>
      </c>
      <c r="AN2711" t="s">
        <v>114</v>
      </c>
      <c r="AO2711" t="s">
        <v>160</v>
      </c>
      <c r="AP2711" t="s">
        <v>115</v>
      </c>
      <c r="AQ2711" t="s">
        <v>3139</v>
      </c>
      <c r="AR2711" t="s">
        <v>80</v>
      </c>
      <c r="AS2711">
        <v>701</v>
      </c>
      <c r="AT2711" t="s">
        <v>81</v>
      </c>
      <c r="AU2711">
        <v>20.43</v>
      </c>
      <c r="AV2711">
        <v>-40.369999999999997</v>
      </c>
      <c r="AW2711" t="s">
        <v>82</v>
      </c>
      <c r="AX2711">
        <v>709</v>
      </c>
      <c r="AY2711" t="s">
        <v>81</v>
      </c>
      <c r="AZ2711">
        <v>22.36</v>
      </c>
      <c r="BA2711">
        <v>-53.39</v>
      </c>
      <c r="BB2711" t="s">
        <v>83</v>
      </c>
    </row>
    <row r="2712" spans="1:54" x14ac:dyDescent="0.4">
      <c r="A2712">
        <v>851246</v>
      </c>
      <c r="D2712" t="s">
        <v>54</v>
      </c>
      <c r="E2712" t="s">
        <v>55</v>
      </c>
      <c r="F2712" t="s">
        <v>1283</v>
      </c>
      <c r="G2712">
        <v>1</v>
      </c>
      <c r="H2712" t="s">
        <v>56</v>
      </c>
      <c r="I2712" t="s">
        <v>57</v>
      </c>
      <c r="K2712" t="s">
        <v>180</v>
      </c>
      <c r="L2712" t="s">
        <v>3136</v>
      </c>
      <c r="M2712" t="s">
        <v>60</v>
      </c>
      <c r="N2712" t="s">
        <v>119</v>
      </c>
      <c r="P2712" t="s">
        <v>224</v>
      </c>
      <c r="R2712" t="s">
        <v>183</v>
      </c>
      <c r="S2712" t="s">
        <v>64</v>
      </c>
      <c r="T2712">
        <v>246.7</v>
      </c>
      <c r="U2712">
        <v>242</v>
      </c>
      <c r="V2712">
        <f t="shared" si="84"/>
        <v>244.35</v>
      </c>
      <c r="W2712">
        <f t="shared" si="85"/>
        <v>4.6999999999999886</v>
      </c>
      <c r="X2712">
        <v>35.133330999999998</v>
      </c>
      <c r="Y2712">
        <v>-10.3</v>
      </c>
      <c r="Z2712" t="s">
        <v>432</v>
      </c>
      <c r="AA2712" t="s">
        <v>1366</v>
      </c>
      <c r="AB2712" t="s">
        <v>1367</v>
      </c>
      <c r="AD2712" t="s">
        <v>1369</v>
      </c>
      <c r="AF2712" t="s">
        <v>1370</v>
      </c>
      <c r="AG2712" t="s">
        <v>1371</v>
      </c>
      <c r="AH2712" t="s">
        <v>72</v>
      </c>
      <c r="AI2712" t="s">
        <v>1127</v>
      </c>
      <c r="AJ2712">
        <v>2010</v>
      </c>
      <c r="AK2712" t="s">
        <v>3137</v>
      </c>
      <c r="AM2712" t="s">
        <v>3138</v>
      </c>
      <c r="AN2712" t="s">
        <v>114</v>
      </c>
      <c r="AO2712" t="s">
        <v>160</v>
      </c>
      <c r="AP2712" t="s">
        <v>115</v>
      </c>
      <c r="AQ2712" t="s">
        <v>3139</v>
      </c>
      <c r="AR2712" t="s">
        <v>80</v>
      </c>
      <c r="AS2712">
        <v>701</v>
      </c>
      <c r="AT2712" t="s">
        <v>81</v>
      </c>
      <c r="AU2712">
        <v>20.43</v>
      </c>
      <c r="AV2712">
        <v>-40.369999999999997</v>
      </c>
      <c r="AW2712" t="s">
        <v>82</v>
      </c>
      <c r="AX2712">
        <v>709</v>
      </c>
      <c r="AY2712" t="s">
        <v>81</v>
      </c>
      <c r="AZ2712">
        <v>22.36</v>
      </c>
      <c r="BA2712">
        <v>-53.39</v>
      </c>
      <c r="BB2712" t="s">
        <v>83</v>
      </c>
    </row>
    <row r="2713" spans="1:54" x14ac:dyDescent="0.4">
      <c r="A2713">
        <v>851246</v>
      </c>
      <c r="D2713" t="s">
        <v>54</v>
      </c>
      <c r="E2713" t="s">
        <v>55</v>
      </c>
      <c r="F2713" t="s">
        <v>1283</v>
      </c>
      <c r="G2713">
        <v>1</v>
      </c>
      <c r="H2713" t="s">
        <v>56</v>
      </c>
      <c r="I2713" t="s">
        <v>57</v>
      </c>
      <c r="K2713" t="s">
        <v>180</v>
      </c>
      <c r="L2713" t="s">
        <v>3136</v>
      </c>
      <c r="M2713" t="s">
        <v>60</v>
      </c>
      <c r="N2713" t="s">
        <v>119</v>
      </c>
      <c r="P2713" t="s">
        <v>224</v>
      </c>
      <c r="R2713" t="s">
        <v>183</v>
      </c>
      <c r="S2713" t="s">
        <v>64</v>
      </c>
      <c r="T2713">
        <v>246.7</v>
      </c>
      <c r="U2713">
        <v>242</v>
      </c>
      <c r="V2713">
        <f t="shared" si="84"/>
        <v>244.35</v>
      </c>
      <c r="W2713">
        <f t="shared" si="85"/>
        <v>4.6999999999999886</v>
      </c>
      <c r="X2713">
        <v>35.133330999999998</v>
      </c>
      <c r="Y2713">
        <v>-10.3</v>
      </c>
      <c r="Z2713" t="s">
        <v>432</v>
      </c>
      <c r="AA2713" t="s">
        <v>1366</v>
      </c>
      <c r="AB2713" t="s">
        <v>1367</v>
      </c>
      <c r="AD2713" t="s">
        <v>1369</v>
      </c>
      <c r="AF2713" t="s">
        <v>1370</v>
      </c>
      <c r="AG2713" t="s">
        <v>1371</v>
      </c>
      <c r="AH2713" t="s">
        <v>72</v>
      </c>
      <c r="AI2713" t="s">
        <v>1127</v>
      </c>
      <c r="AJ2713">
        <v>2010</v>
      </c>
      <c r="AK2713" t="s">
        <v>3137</v>
      </c>
      <c r="AM2713" t="s">
        <v>3138</v>
      </c>
      <c r="AN2713" t="s">
        <v>114</v>
      </c>
      <c r="AO2713" t="s">
        <v>160</v>
      </c>
      <c r="AP2713" t="s">
        <v>115</v>
      </c>
      <c r="AQ2713" t="s">
        <v>3139</v>
      </c>
      <c r="AR2713" t="s">
        <v>80</v>
      </c>
      <c r="AS2713">
        <v>701</v>
      </c>
      <c r="AT2713" t="s">
        <v>81</v>
      </c>
      <c r="AU2713">
        <v>20.43</v>
      </c>
      <c r="AV2713">
        <v>-40.369999999999997</v>
      </c>
      <c r="AW2713" t="s">
        <v>82</v>
      </c>
      <c r="AX2713">
        <v>709</v>
      </c>
      <c r="AY2713" t="s">
        <v>81</v>
      </c>
      <c r="AZ2713">
        <v>22.36</v>
      </c>
      <c r="BA2713">
        <v>-53.39</v>
      </c>
      <c r="BB2713" t="s">
        <v>83</v>
      </c>
    </row>
    <row r="2714" spans="1:54" x14ac:dyDescent="0.4">
      <c r="A2714">
        <v>851246</v>
      </c>
      <c r="D2714" t="s">
        <v>54</v>
      </c>
      <c r="E2714" t="s">
        <v>55</v>
      </c>
      <c r="F2714" t="s">
        <v>1283</v>
      </c>
      <c r="G2714">
        <v>1</v>
      </c>
      <c r="H2714" t="s">
        <v>56</v>
      </c>
      <c r="I2714" t="s">
        <v>57</v>
      </c>
      <c r="K2714" t="s">
        <v>180</v>
      </c>
      <c r="L2714" t="s">
        <v>3136</v>
      </c>
      <c r="M2714" t="s">
        <v>60</v>
      </c>
      <c r="N2714" t="s">
        <v>119</v>
      </c>
      <c r="P2714" t="s">
        <v>224</v>
      </c>
      <c r="R2714" t="s">
        <v>183</v>
      </c>
      <c r="S2714" t="s">
        <v>64</v>
      </c>
      <c r="T2714">
        <v>246.7</v>
      </c>
      <c r="U2714">
        <v>242</v>
      </c>
      <c r="V2714">
        <f t="shared" si="84"/>
        <v>244.35</v>
      </c>
      <c r="W2714">
        <f t="shared" si="85"/>
        <v>4.6999999999999886</v>
      </c>
      <c r="X2714">
        <v>35.133330999999998</v>
      </c>
      <c r="Y2714">
        <v>-10.3</v>
      </c>
      <c r="Z2714" t="s">
        <v>432</v>
      </c>
      <c r="AA2714" t="s">
        <v>1366</v>
      </c>
      <c r="AB2714" t="s">
        <v>1367</v>
      </c>
      <c r="AD2714" t="s">
        <v>1369</v>
      </c>
      <c r="AF2714" t="s">
        <v>1370</v>
      </c>
      <c r="AG2714" t="s">
        <v>1371</v>
      </c>
      <c r="AH2714" t="s">
        <v>72</v>
      </c>
      <c r="AI2714" t="s">
        <v>1127</v>
      </c>
      <c r="AJ2714">
        <v>2010</v>
      </c>
      <c r="AK2714" t="s">
        <v>3137</v>
      </c>
      <c r="AM2714" t="s">
        <v>3138</v>
      </c>
      <c r="AN2714" t="s">
        <v>114</v>
      </c>
      <c r="AO2714" t="s">
        <v>160</v>
      </c>
      <c r="AP2714" t="s">
        <v>115</v>
      </c>
      <c r="AQ2714" t="s">
        <v>3139</v>
      </c>
      <c r="AR2714" t="s">
        <v>80</v>
      </c>
      <c r="AS2714">
        <v>701</v>
      </c>
      <c r="AT2714" t="s">
        <v>81</v>
      </c>
      <c r="AU2714">
        <v>20.43</v>
      </c>
      <c r="AV2714">
        <v>-40.369999999999997</v>
      </c>
      <c r="AW2714" t="s">
        <v>82</v>
      </c>
      <c r="AX2714">
        <v>709</v>
      </c>
      <c r="AY2714" t="s">
        <v>81</v>
      </c>
      <c r="AZ2714">
        <v>22.36</v>
      </c>
      <c r="BA2714">
        <v>-53.39</v>
      </c>
      <c r="BB2714" t="s">
        <v>83</v>
      </c>
    </row>
    <row r="2715" spans="1:54" x14ac:dyDescent="0.4">
      <c r="A2715">
        <v>851246</v>
      </c>
      <c r="D2715" t="s">
        <v>54</v>
      </c>
      <c r="E2715" t="s">
        <v>55</v>
      </c>
      <c r="F2715" t="s">
        <v>1283</v>
      </c>
      <c r="G2715">
        <v>1</v>
      </c>
      <c r="H2715" t="s">
        <v>56</v>
      </c>
      <c r="I2715" t="s">
        <v>57</v>
      </c>
      <c r="K2715" t="s">
        <v>180</v>
      </c>
      <c r="L2715" t="s">
        <v>3136</v>
      </c>
      <c r="M2715" t="s">
        <v>60</v>
      </c>
      <c r="N2715" t="s">
        <v>119</v>
      </c>
      <c r="P2715" t="s">
        <v>224</v>
      </c>
      <c r="R2715" t="s">
        <v>183</v>
      </c>
      <c r="S2715" t="s">
        <v>64</v>
      </c>
      <c r="T2715">
        <v>246.7</v>
      </c>
      <c r="U2715">
        <v>242</v>
      </c>
      <c r="V2715">
        <f t="shared" si="84"/>
        <v>244.35</v>
      </c>
      <c r="W2715">
        <f t="shared" si="85"/>
        <v>4.6999999999999886</v>
      </c>
      <c r="X2715">
        <v>35.133330999999998</v>
      </c>
      <c r="Y2715">
        <v>-10.3</v>
      </c>
      <c r="Z2715" t="s">
        <v>432</v>
      </c>
      <c r="AA2715" t="s">
        <v>1366</v>
      </c>
      <c r="AB2715" t="s">
        <v>1367</v>
      </c>
      <c r="AD2715" t="s">
        <v>1369</v>
      </c>
      <c r="AF2715" t="s">
        <v>1370</v>
      </c>
      <c r="AG2715" t="s">
        <v>1371</v>
      </c>
      <c r="AH2715" t="s">
        <v>72</v>
      </c>
      <c r="AI2715" t="s">
        <v>1127</v>
      </c>
      <c r="AJ2715">
        <v>2010</v>
      </c>
      <c r="AK2715" t="s">
        <v>3137</v>
      </c>
      <c r="AM2715" t="s">
        <v>3138</v>
      </c>
      <c r="AN2715" t="s">
        <v>114</v>
      </c>
      <c r="AO2715" t="s">
        <v>160</v>
      </c>
      <c r="AP2715" t="s">
        <v>115</v>
      </c>
      <c r="AQ2715" t="s">
        <v>3139</v>
      </c>
      <c r="AR2715" t="s">
        <v>80</v>
      </c>
      <c r="AS2715">
        <v>701</v>
      </c>
      <c r="AT2715" t="s">
        <v>81</v>
      </c>
      <c r="AU2715">
        <v>20.43</v>
      </c>
      <c r="AV2715">
        <v>-40.369999999999997</v>
      </c>
      <c r="AW2715" t="s">
        <v>82</v>
      </c>
      <c r="AX2715">
        <v>709</v>
      </c>
      <c r="AY2715" t="s">
        <v>81</v>
      </c>
      <c r="AZ2715">
        <v>22.36</v>
      </c>
      <c r="BA2715">
        <v>-53.39</v>
      </c>
      <c r="BB2715" t="s">
        <v>83</v>
      </c>
    </row>
    <row r="2716" spans="1:54" x14ac:dyDescent="0.4">
      <c r="A2716">
        <v>851246</v>
      </c>
      <c r="D2716" t="s">
        <v>54</v>
      </c>
      <c r="E2716" t="s">
        <v>55</v>
      </c>
      <c r="F2716" t="s">
        <v>1283</v>
      </c>
      <c r="G2716">
        <v>1</v>
      </c>
      <c r="H2716" t="s">
        <v>56</v>
      </c>
      <c r="I2716" t="s">
        <v>57</v>
      </c>
      <c r="K2716" t="s">
        <v>180</v>
      </c>
      <c r="L2716" t="s">
        <v>3136</v>
      </c>
      <c r="M2716" t="s">
        <v>60</v>
      </c>
      <c r="N2716" t="s">
        <v>119</v>
      </c>
      <c r="P2716" t="s">
        <v>224</v>
      </c>
      <c r="R2716" t="s">
        <v>183</v>
      </c>
      <c r="S2716" t="s">
        <v>64</v>
      </c>
      <c r="T2716">
        <v>246.7</v>
      </c>
      <c r="U2716">
        <v>242</v>
      </c>
      <c r="V2716">
        <f t="shared" si="84"/>
        <v>244.35</v>
      </c>
      <c r="W2716">
        <f t="shared" si="85"/>
        <v>4.6999999999999886</v>
      </c>
      <c r="X2716">
        <v>35.133330999999998</v>
      </c>
      <c r="Y2716">
        <v>-10.3</v>
      </c>
      <c r="Z2716" t="s">
        <v>432</v>
      </c>
      <c r="AA2716" t="s">
        <v>1366</v>
      </c>
      <c r="AB2716" t="s">
        <v>1367</v>
      </c>
      <c r="AD2716" t="s">
        <v>1369</v>
      </c>
      <c r="AF2716" t="s">
        <v>1370</v>
      </c>
      <c r="AG2716" t="s">
        <v>1371</v>
      </c>
      <c r="AH2716" t="s">
        <v>72</v>
      </c>
      <c r="AI2716" t="s">
        <v>1127</v>
      </c>
      <c r="AJ2716">
        <v>2010</v>
      </c>
      <c r="AK2716" t="s">
        <v>3137</v>
      </c>
      <c r="AM2716" t="s">
        <v>3138</v>
      </c>
      <c r="AN2716" t="s">
        <v>114</v>
      </c>
      <c r="AO2716" t="s">
        <v>160</v>
      </c>
      <c r="AP2716" t="s">
        <v>115</v>
      </c>
      <c r="AQ2716" t="s">
        <v>3139</v>
      </c>
      <c r="AR2716" t="s">
        <v>80</v>
      </c>
      <c r="AS2716">
        <v>701</v>
      </c>
      <c r="AT2716" t="s">
        <v>81</v>
      </c>
      <c r="AU2716">
        <v>20.43</v>
      </c>
      <c r="AV2716">
        <v>-40.369999999999997</v>
      </c>
      <c r="AW2716" t="s">
        <v>82</v>
      </c>
      <c r="AX2716">
        <v>709</v>
      </c>
      <c r="AY2716" t="s">
        <v>81</v>
      </c>
      <c r="AZ2716">
        <v>22.36</v>
      </c>
      <c r="BA2716">
        <v>-53.39</v>
      </c>
      <c r="BB2716" t="s">
        <v>83</v>
      </c>
    </row>
    <row r="2717" spans="1:54" x14ac:dyDescent="0.4">
      <c r="A2717">
        <v>873708</v>
      </c>
      <c r="D2717" t="s">
        <v>3188</v>
      </c>
      <c r="E2717" t="s">
        <v>55</v>
      </c>
      <c r="F2717" t="s">
        <v>3189</v>
      </c>
      <c r="I2717" t="s">
        <v>57</v>
      </c>
      <c r="K2717" t="s">
        <v>221</v>
      </c>
      <c r="L2717" t="s">
        <v>3190</v>
      </c>
      <c r="M2717" t="s">
        <v>223</v>
      </c>
      <c r="P2717" t="s">
        <v>224</v>
      </c>
      <c r="R2717" t="s">
        <v>183</v>
      </c>
      <c r="S2717" t="s">
        <v>64</v>
      </c>
      <c r="T2717">
        <v>246.7</v>
      </c>
      <c r="U2717">
        <v>242</v>
      </c>
      <c r="V2717">
        <f t="shared" si="84"/>
        <v>244.35</v>
      </c>
      <c r="W2717">
        <f t="shared" si="85"/>
        <v>4.6999999999999886</v>
      </c>
      <c r="X2717">
        <v>6.7258329999999997</v>
      </c>
      <c r="Y2717">
        <v>51.968333999999999</v>
      </c>
      <c r="Z2717" t="s">
        <v>1512</v>
      </c>
      <c r="AA2717" t="s">
        <v>3191</v>
      </c>
      <c r="AB2717" t="s">
        <v>3192</v>
      </c>
      <c r="AD2717" t="s">
        <v>3193</v>
      </c>
      <c r="AE2717" t="s">
        <v>1378</v>
      </c>
      <c r="AF2717" t="s">
        <v>3194</v>
      </c>
      <c r="AH2717" t="s">
        <v>72</v>
      </c>
      <c r="AI2717" t="s">
        <v>3195</v>
      </c>
      <c r="AJ2717">
        <v>2008</v>
      </c>
      <c r="AK2717" t="s">
        <v>3196</v>
      </c>
      <c r="AM2717" t="s">
        <v>3197</v>
      </c>
      <c r="AN2717" t="s">
        <v>192</v>
      </c>
      <c r="AO2717" t="s">
        <v>77</v>
      </c>
      <c r="AP2717" t="s">
        <v>78</v>
      </c>
      <c r="AQ2717" t="s">
        <v>3198</v>
      </c>
      <c r="AR2717" t="s">
        <v>80</v>
      </c>
      <c r="AS2717">
        <v>315</v>
      </c>
      <c r="AT2717" t="s">
        <v>81</v>
      </c>
      <c r="AU2717">
        <v>26.16</v>
      </c>
      <c r="AV2717">
        <v>30.17</v>
      </c>
      <c r="AW2717" t="s">
        <v>82</v>
      </c>
      <c r="AX2717">
        <v>315</v>
      </c>
      <c r="AY2717" t="s">
        <v>81</v>
      </c>
      <c r="AZ2717">
        <v>16.62</v>
      </c>
      <c r="BA2717">
        <v>16.920000000000002</v>
      </c>
      <c r="BB2717" t="s">
        <v>83</v>
      </c>
    </row>
    <row r="2718" spans="1:54" x14ac:dyDescent="0.4">
      <c r="A2718">
        <v>873709</v>
      </c>
      <c r="D2718" t="s">
        <v>3188</v>
      </c>
      <c r="E2718" t="s">
        <v>55</v>
      </c>
      <c r="F2718" t="s">
        <v>3189</v>
      </c>
      <c r="I2718" t="s">
        <v>57</v>
      </c>
      <c r="K2718" t="s">
        <v>221</v>
      </c>
      <c r="L2718" t="s">
        <v>3199</v>
      </c>
      <c r="M2718" t="s">
        <v>223</v>
      </c>
      <c r="P2718" t="s">
        <v>224</v>
      </c>
      <c r="R2718" t="s">
        <v>183</v>
      </c>
      <c r="S2718" t="s">
        <v>64</v>
      </c>
      <c r="T2718">
        <v>246.7</v>
      </c>
      <c r="U2718">
        <v>242</v>
      </c>
      <c r="V2718">
        <f t="shared" si="84"/>
        <v>244.35</v>
      </c>
      <c r="W2718">
        <f t="shared" si="85"/>
        <v>4.6999999999999886</v>
      </c>
      <c r="X2718">
        <v>6.7258329999999997</v>
      </c>
      <c r="Y2718">
        <v>51.968333999999999</v>
      </c>
      <c r="Z2718" t="s">
        <v>1512</v>
      </c>
      <c r="AA2718" t="s">
        <v>3191</v>
      </c>
      <c r="AB2718" t="s">
        <v>3192</v>
      </c>
      <c r="AD2718" t="s">
        <v>3193</v>
      </c>
      <c r="AE2718" t="s">
        <v>1378</v>
      </c>
      <c r="AF2718" t="s">
        <v>3194</v>
      </c>
      <c r="AH2718" t="s">
        <v>72</v>
      </c>
      <c r="AI2718" t="s">
        <v>3195</v>
      </c>
      <c r="AJ2718">
        <v>2008</v>
      </c>
      <c r="AK2718" t="s">
        <v>3196</v>
      </c>
      <c r="AM2718" t="s">
        <v>3197</v>
      </c>
      <c r="AN2718" t="s">
        <v>192</v>
      </c>
      <c r="AO2718" t="s">
        <v>77</v>
      </c>
      <c r="AP2718" t="s">
        <v>78</v>
      </c>
      <c r="AQ2718" t="s">
        <v>3198</v>
      </c>
      <c r="AR2718" t="s">
        <v>80</v>
      </c>
      <c r="AS2718">
        <v>315</v>
      </c>
      <c r="AT2718" t="s">
        <v>81</v>
      </c>
      <c r="AU2718">
        <v>26.16</v>
      </c>
      <c r="AV2718">
        <v>30.17</v>
      </c>
      <c r="AW2718" t="s">
        <v>82</v>
      </c>
      <c r="AX2718">
        <v>315</v>
      </c>
      <c r="AY2718" t="s">
        <v>81</v>
      </c>
      <c r="AZ2718">
        <v>16.62</v>
      </c>
      <c r="BA2718">
        <v>16.920000000000002</v>
      </c>
      <c r="BB2718" t="s">
        <v>83</v>
      </c>
    </row>
    <row r="2719" spans="1:54" x14ac:dyDescent="0.4">
      <c r="A2719">
        <v>873710</v>
      </c>
      <c r="D2719" t="s">
        <v>3188</v>
      </c>
      <c r="E2719" t="s">
        <v>55</v>
      </c>
      <c r="F2719" t="s">
        <v>3189</v>
      </c>
      <c r="G2719">
        <v>1</v>
      </c>
      <c r="H2719" t="s">
        <v>56</v>
      </c>
      <c r="I2719" t="s">
        <v>57</v>
      </c>
      <c r="K2719" t="s">
        <v>771</v>
      </c>
      <c r="L2719" t="s">
        <v>772</v>
      </c>
      <c r="M2719" t="s">
        <v>223</v>
      </c>
      <c r="P2719" t="s">
        <v>224</v>
      </c>
      <c r="R2719" t="s">
        <v>183</v>
      </c>
      <c r="S2719" t="s">
        <v>64</v>
      </c>
      <c r="T2719">
        <v>246.7</v>
      </c>
      <c r="U2719">
        <v>242</v>
      </c>
      <c r="V2719">
        <f t="shared" si="84"/>
        <v>244.35</v>
      </c>
      <c r="W2719">
        <f t="shared" si="85"/>
        <v>4.6999999999999886</v>
      </c>
      <c r="X2719">
        <v>6.7258329999999997</v>
      </c>
      <c r="Y2719">
        <v>51.968333999999999</v>
      </c>
      <c r="Z2719" t="s">
        <v>1512</v>
      </c>
      <c r="AA2719" t="s">
        <v>3191</v>
      </c>
      <c r="AB2719" t="s">
        <v>3192</v>
      </c>
      <c r="AD2719" t="s">
        <v>3193</v>
      </c>
      <c r="AE2719" t="s">
        <v>1378</v>
      </c>
      <c r="AF2719" t="s">
        <v>3194</v>
      </c>
      <c r="AH2719" t="s">
        <v>11</v>
      </c>
      <c r="AI2719" t="s">
        <v>3195</v>
      </c>
      <c r="AJ2719">
        <v>2008</v>
      </c>
      <c r="AK2719" t="s">
        <v>3196</v>
      </c>
      <c r="AM2719" t="s">
        <v>3197</v>
      </c>
      <c r="AN2719" t="s">
        <v>192</v>
      </c>
      <c r="AO2719" t="s">
        <v>77</v>
      </c>
      <c r="AP2719" t="s">
        <v>78</v>
      </c>
      <c r="AQ2719" t="s">
        <v>3198</v>
      </c>
      <c r="AR2719" t="s">
        <v>80</v>
      </c>
      <c r="AS2719">
        <v>315</v>
      </c>
      <c r="AT2719" t="s">
        <v>81</v>
      </c>
      <c r="AU2719">
        <v>26.16</v>
      </c>
      <c r="AV2719">
        <v>30.17</v>
      </c>
      <c r="AW2719" t="s">
        <v>82</v>
      </c>
      <c r="AX2719">
        <v>315</v>
      </c>
      <c r="AY2719" t="s">
        <v>81</v>
      </c>
      <c r="AZ2719">
        <v>16.62</v>
      </c>
      <c r="BA2719">
        <v>16.920000000000002</v>
      </c>
      <c r="BB2719" t="s">
        <v>83</v>
      </c>
    </row>
    <row r="2720" spans="1:54" x14ac:dyDescent="0.4">
      <c r="A2720">
        <v>873711</v>
      </c>
      <c r="D2720" t="s">
        <v>3188</v>
      </c>
      <c r="E2720" t="s">
        <v>55</v>
      </c>
      <c r="F2720" t="s">
        <v>3189</v>
      </c>
      <c r="I2720" t="s">
        <v>57</v>
      </c>
      <c r="K2720" t="s">
        <v>3200</v>
      </c>
      <c r="L2720" t="s">
        <v>3201</v>
      </c>
      <c r="M2720" t="s">
        <v>60</v>
      </c>
      <c r="P2720" t="s">
        <v>224</v>
      </c>
      <c r="R2720" t="s">
        <v>183</v>
      </c>
      <c r="S2720" t="s">
        <v>64</v>
      </c>
      <c r="T2720">
        <v>246.7</v>
      </c>
      <c r="U2720">
        <v>242</v>
      </c>
      <c r="V2720">
        <f t="shared" si="84"/>
        <v>244.35</v>
      </c>
      <c r="W2720">
        <f t="shared" si="85"/>
        <v>4.6999999999999886</v>
      </c>
      <c r="X2720">
        <v>6.7258329999999997</v>
      </c>
      <c r="Y2720">
        <v>51.968333999999999</v>
      </c>
      <c r="Z2720" t="s">
        <v>1512</v>
      </c>
      <c r="AA2720" t="s">
        <v>3191</v>
      </c>
      <c r="AB2720" t="s">
        <v>3192</v>
      </c>
      <c r="AD2720" t="s">
        <v>3193</v>
      </c>
      <c r="AE2720" t="s">
        <v>1378</v>
      </c>
      <c r="AF2720" t="s">
        <v>3194</v>
      </c>
      <c r="AH2720" t="s">
        <v>11</v>
      </c>
      <c r="AI2720" t="s">
        <v>3202</v>
      </c>
      <c r="AJ2720">
        <v>2014</v>
      </c>
      <c r="AK2720" t="s">
        <v>3196</v>
      </c>
      <c r="AM2720" t="s">
        <v>3197</v>
      </c>
      <c r="AN2720" t="s">
        <v>192</v>
      </c>
      <c r="AO2720" t="s">
        <v>77</v>
      </c>
      <c r="AP2720" t="s">
        <v>78</v>
      </c>
      <c r="AQ2720" t="s">
        <v>3198</v>
      </c>
      <c r="AR2720" t="s">
        <v>80</v>
      </c>
      <c r="AS2720">
        <v>315</v>
      </c>
      <c r="AT2720" t="s">
        <v>81</v>
      </c>
      <c r="AU2720">
        <v>26.16</v>
      </c>
      <c r="AV2720">
        <v>30.17</v>
      </c>
      <c r="AW2720" t="s">
        <v>82</v>
      </c>
      <c r="AX2720">
        <v>315</v>
      </c>
      <c r="AY2720" t="s">
        <v>81</v>
      </c>
      <c r="AZ2720">
        <v>16.62</v>
      </c>
      <c r="BA2720">
        <v>16.920000000000002</v>
      </c>
      <c r="BB2720" t="s">
        <v>83</v>
      </c>
    </row>
    <row r="2721" spans="1:54" x14ac:dyDescent="0.4">
      <c r="A2721">
        <v>873712</v>
      </c>
      <c r="D2721" t="s">
        <v>3188</v>
      </c>
      <c r="E2721" t="s">
        <v>55</v>
      </c>
      <c r="F2721" t="s">
        <v>3189</v>
      </c>
      <c r="I2721" t="s">
        <v>57</v>
      </c>
      <c r="K2721" t="s">
        <v>1347</v>
      </c>
      <c r="L2721" t="s">
        <v>1348</v>
      </c>
      <c r="M2721" t="s">
        <v>223</v>
      </c>
      <c r="N2721" t="s">
        <v>485</v>
      </c>
      <c r="O2721" t="s">
        <v>1349</v>
      </c>
      <c r="P2721" t="s">
        <v>224</v>
      </c>
      <c r="R2721" t="s">
        <v>183</v>
      </c>
      <c r="S2721" t="s">
        <v>64</v>
      </c>
      <c r="T2721">
        <v>246.7</v>
      </c>
      <c r="U2721">
        <v>242</v>
      </c>
      <c r="V2721">
        <f t="shared" si="84"/>
        <v>244.35</v>
      </c>
      <c r="W2721">
        <f t="shared" si="85"/>
        <v>4.6999999999999886</v>
      </c>
      <c r="X2721">
        <v>6.7258329999999997</v>
      </c>
      <c r="Y2721">
        <v>51.968333999999999</v>
      </c>
      <c r="Z2721" t="s">
        <v>1512</v>
      </c>
      <c r="AA2721" t="s">
        <v>3191</v>
      </c>
      <c r="AB2721" t="s">
        <v>3192</v>
      </c>
      <c r="AD2721" t="s">
        <v>3193</v>
      </c>
      <c r="AE2721" t="s">
        <v>1378</v>
      </c>
      <c r="AF2721" t="s">
        <v>3194</v>
      </c>
      <c r="AH2721" t="s">
        <v>11</v>
      </c>
      <c r="AI2721" t="s">
        <v>3195</v>
      </c>
      <c r="AJ2721">
        <v>2008</v>
      </c>
      <c r="AK2721" t="s">
        <v>3196</v>
      </c>
      <c r="AM2721" t="s">
        <v>3197</v>
      </c>
      <c r="AN2721" t="s">
        <v>192</v>
      </c>
      <c r="AO2721" t="s">
        <v>77</v>
      </c>
      <c r="AP2721" t="s">
        <v>78</v>
      </c>
      <c r="AQ2721" t="s">
        <v>3198</v>
      </c>
      <c r="AR2721" t="s">
        <v>80</v>
      </c>
      <c r="AS2721">
        <v>315</v>
      </c>
      <c r="AT2721" t="s">
        <v>81</v>
      </c>
      <c r="AU2721">
        <v>26.16</v>
      </c>
      <c r="AV2721">
        <v>30.17</v>
      </c>
      <c r="AW2721" t="s">
        <v>82</v>
      </c>
      <c r="AX2721">
        <v>315</v>
      </c>
      <c r="AY2721" t="s">
        <v>81</v>
      </c>
      <c r="AZ2721">
        <v>16.62</v>
      </c>
      <c r="BA2721">
        <v>16.920000000000002</v>
      </c>
      <c r="BB2721" t="s">
        <v>83</v>
      </c>
    </row>
    <row r="2722" spans="1:54" x14ac:dyDescent="0.4">
      <c r="A2722">
        <v>873713</v>
      </c>
      <c r="D2722" t="s">
        <v>3188</v>
      </c>
      <c r="E2722" t="s">
        <v>55</v>
      </c>
      <c r="F2722" t="s">
        <v>3189</v>
      </c>
      <c r="G2722">
        <v>1</v>
      </c>
      <c r="H2722" t="s">
        <v>56</v>
      </c>
      <c r="I2722" t="s">
        <v>57</v>
      </c>
      <c r="K2722" t="s">
        <v>746</v>
      </c>
      <c r="L2722" t="s">
        <v>3203</v>
      </c>
      <c r="M2722" t="s">
        <v>60</v>
      </c>
      <c r="P2722" t="s">
        <v>224</v>
      </c>
      <c r="R2722" t="s">
        <v>183</v>
      </c>
      <c r="S2722" t="s">
        <v>64</v>
      </c>
      <c r="T2722">
        <v>246.7</v>
      </c>
      <c r="U2722">
        <v>242</v>
      </c>
      <c r="V2722">
        <f t="shared" si="84"/>
        <v>244.35</v>
      </c>
      <c r="W2722">
        <f t="shared" si="85"/>
        <v>4.6999999999999886</v>
      </c>
      <c r="X2722">
        <v>6.7258329999999997</v>
      </c>
      <c r="Y2722">
        <v>51.968333999999999</v>
      </c>
      <c r="Z2722" t="s">
        <v>1512</v>
      </c>
      <c r="AA2722" t="s">
        <v>3191</v>
      </c>
      <c r="AB2722" t="s">
        <v>3192</v>
      </c>
      <c r="AD2722" t="s">
        <v>3193</v>
      </c>
      <c r="AE2722" t="s">
        <v>1378</v>
      </c>
      <c r="AF2722" t="s">
        <v>3194</v>
      </c>
      <c r="AH2722" t="s">
        <v>72</v>
      </c>
      <c r="AI2722" t="s">
        <v>3204</v>
      </c>
      <c r="AJ2722">
        <v>2015</v>
      </c>
      <c r="AK2722" t="s">
        <v>3196</v>
      </c>
      <c r="AM2722" t="s">
        <v>3197</v>
      </c>
      <c r="AN2722" t="s">
        <v>192</v>
      </c>
      <c r="AO2722" t="s">
        <v>77</v>
      </c>
      <c r="AP2722" t="s">
        <v>78</v>
      </c>
      <c r="AQ2722" t="s">
        <v>3198</v>
      </c>
      <c r="AR2722" t="s">
        <v>80</v>
      </c>
      <c r="AS2722">
        <v>315</v>
      </c>
      <c r="AT2722" t="s">
        <v>81</v>
      </c>
      <c r="AU2722">
        <v>26.16</v>
      </c>
      <c r="AV2722">
        <v>30.17</v>
      </c>
      <c r="AW2722" t="s">
        <v>82</v>
      </c>
      <c r="AX2722">
        <v>315</v>
      </c>
      <c r="AY2722" t="s">
        <v>81</v>
      </c>
      <c r="AZ2722">
        <v>16.62</v>
      </c>
      <c r="BA2722">
        <v>16.920000000000002</v>
      </c>
      <c r="BB2722" t="s">
        <v>83</v>
      </c>
    </row>
    <row r="2723" spans="1:54" x14ac:dyDescent="0.4">
      <c r="A2723">
        <v>877604</v>
      </c>
      <c r="D2723" t="s">
        <v>54</v>
      </c>
      <c r="G2723">
        <v>1</v>
      </c>
      <c r="H2723" t="s">
        <v>56</v>
      </c>
      <c r="I2723" t="s">
        <v>57</v>
      </c>
      <c r="K2723" t="s">
        <v>141</v>
      </c>
      <c r="L2723" t="s">
        <v>3206</v>
      </c>
      <c r="M2723" t="s">
        <v>60</v>
      </c>
      <c r="P2723" t="s">
        <v>224</v>
      </c>
      <c r="R2723" t="s">
        <v>183</v>
      </c>
      <c r="S2723" t="s">
        <v>64</v>
      </c>
      <c r="T2723">
        <v>246.7</v>
      </c>
      <c r="U2723">
        <v>242</v>
      </c>
      <c r="V2723">
        <f t="shared" si="84"/>
        <v>244.35</v>
      </c>
      <c r="W2723">
        <f t="shared" si="85"/>
        <v>4.6999999999999886</v>
      </c>
      <c r="X2723">
        <v>55.361111000000001</v>
      </c>
      <c r="Y2723">
        <v>51.549999</v>
      </c>
      <c r="Z2723" t="s">
        <v>406</v>
      </c>
      <c r="AA2723" t="s">
        <v>239</v>
      </c>
      <c r="AB2723" t="s">
        <v>638</v>
      </c>
      <c r="AC2723" t="s">
        <v>2791</v>
      </c>
      <c r="AD2723" t="s">
        <v>2792</v>
      </c>
      <c r="AH2723" t="s">
        <v>72</v>
      </c>
      <c r="AI2723" t="s">
        <v>612</v>
      </c>
      <c r="AJ2723">
        <v>1994</v>
      </c>
      <c r="AK2723" t="s">
        <v>3207</v>
      </c>
      <c r="AN2723" t="s">
        <v>192</v>
      </c>
      <c r="AO2723" t="s">
        <v>160</v>
      </c>
      <c r="AP2723" t="s">
        <v>78</v>
      </c>
      <c r="AQ2723" t="s">
        <v>3208</v>
      </c>
      <c r="AR2723" t="s">
        <v>80</v>
      </c>
      <c r="AS2723">
        <v>302</v>
      </c>
      <c r="AT2723" t="s">
        <v>81</v>
      </c>
      <c r="AU2723">
        <v>60.23</v>
      </c>
      <c r="AV2723">
        <v>41.09</v>
      </c>
      <c r="AW2723" t="s">
        <v>82</v>
      </c>
      <c r="AX2723">
        <v>301</v>
      </c>
      <c r="AY2723" t="s">
        <v>81</v>
      </c>
      <c r="AZ2723">
        <v>43.64</v>
      </c>
      <c r="BA2723">
        <v>33.83</v>
      </c>
      <c r="BB2723" t="s">
        <v>83</v>
      </c>
    </row>
    <row r="2724" spans="1:54" x14ac:dyDescent="0.4">
      <c r="A2724">
        <v>877605</v>
      </c>
      <c r="D2724" t="s">
        <v>54</v>
      </c>
      <c r="G2724">
        <v>2</v>
      </c>
      <c r="H2724" t="s">
        <v>84</v>
      </c>
      <c r="I2724" t="s">
        <v>57</v>
      </c>
      <c r="K2724" t="s">
        <v>196</v>
      </c>
      <c r="L2724" t="s">
        <v>3209</v>
      </c>
      <c r="M2724" t="s">
        <v>60</v>
      </c>
      <c r="O2724" t="s">
        <v>87</v>
      </c>
      <c r="P2724" t="s">
        <v>224</v>
      </c>
      <c r="R2724" t="s">
        <v>183</v>
      </c>
      <c r="S2724" t="s">
        <v>64</v>
      </c>
      <c r="T2724">
        <v>246.7</v>
      </c>
      <c r="U2724">
        <v>242</v>
      </c>
      <c r="V2724">
        <f t="shared" si="84"/>
        <v>244.35</v>
      </c>
      <c r="W2724">
        <f t="shared" si="85"/>
        <v>4.6999999999999886</v>
      </c>
      <c r="X2724">
        <v>55.361111000000001</v>
      </c>
      <c r="Y2724">
        <v>51.549999</v>
      </c>
      <c r="Z2724" t="s">
        <v>406</v>
      </c>
      <c r="AA2724" t="s">
        <v>239</v>
      </c>
      <c r="AB2724" t="s">
        <v>638</v>
      </c>
      <c r="AC2724" t="s">
        <v>2791</v>
      </c>
      <c r="AD2724" t="s">
        <v>2792</v>
      </c>
      <c r="AH2724" t="s">
        <v>72</v>
      </c>
      <c r="AI2724" t="s">
        <v>1877</v>
      </c>
      <c r="AJ2724">
        <v>2000</v>
      </c>
      <c r="AK2724" t="s">
        <v>3207</v>
      </c>
      <c r="AN2724" t="s">
        <v>192</v>
      </c>
      <c r="AO2724" t="s">
        <v>160</v>
      </c>
      <c r="AP2724" t="s">
        <v>78</v>
      </c>
      <c r="AQ2724" t="s">
        <v>3208</v>
      </c>
      <c r="AR2724" t="s">
        <v>80</v>
      </c>
      <c r="AS2724">
        <v>302</v>
      </c>
      <c r="AT2724" t="s">
        <v>81</v>
      </c>
      <c r="AU2724">
        <v>60.23</v>
      </c>
      <c r="AV2724">
        <v>41.09</v>
      </c>
      <c r="AW2724" t="s">
        <v>82</v>
      </c>
      <c r="AX2724">
        <v>301</v>
      </c>
      <c r="AY2724" t="s">
        <v>81</v>
      </c>
      <c r="AZ2724">
        <v>43.64</v>
      </c>
      <c r="BA2724">
        <v>33.83</v>
      </c>
      <c r="BB2724" t="s">
        <v>83</v>
      </c>
    </row>
    <row r="2725" spans="1:54" x14ac:dyDescent="0.4">
      <c r="A2725">
        <v>877610</v>
      </c>
      <c r="D2725" t="s">
        <v>54</v>
      </c>
      <c r="G2725">
        <v>10</v>
      </c>
      <c r="H2725" t="s">
        <v>84</v>
      </c>
      <c r="I2725" t="s">
        <v>57</v>
      </c>
      <c r="K2725" t="s">
        <v>1873</v>
      </c>
      <c r="L2725" t="s">
        <v>3210</v>
      </c>
      <c r="M2725" t="s">
        <v>60</v>
      </c>
      <c r="P2725" t="s">
        <v>224</v>
      </c>
      <c r="R2725" t="s">
        <v>183</v>
      </c>
      <c r="S2725" t="s">
        <v>64</v>
      </c>
      <c r="T2725">
        <v>246.7</v>
      </c>
      <c r="U2725">
        <v>242</v>
      </c>
      <c r="V2725">
        <f t="shared" si="84"/>
        <v>244.35</v>
      </c>
      <c r="W2725">
        <f t="shared" si="85"/>
        <v>4.6999999999999886</v>
      </c>
      <c r="X2725">
        <v>55.491112000000001</v>
      </c>
      <c r="Y2725">
        <v>51.362499</v>
      </c>
      <c r="Z2725" t="s">
        <v>406</v>
      </c>
      <c r="AA2725" t="s">
        <v>239</v>
      </c>
      <c r="AB2725" t="s">
        <v>638</v>
      </c>
      <c r="AC2725" t="s">
        <v>3211</v>
      </c>
      <c r="AD2725" t="s">
        <v>2792</v>
      </c>
      <c r="AH2725" t="s">
        <v>72</v>
      </c>
      <c r="AI2725" t="s">
        <v>1877</v>
      </c>
      <c r="AJ2725">
        <v>2000</v>
      </c>
      <c r="AK2725" t="s">
        <v>3212</v>
      </c>
      <c r="AM2725" t="s">
        <v>3213</v>
      </c>
      <c r="AN2725" t="s">
        <v>114</v>
      </c>
      <c r="AO2725" t="s">
        <v>77</v>
      </c>
      <c r="AP2725" t="s">
        <v>78</v>
      </c>
      <c r="AQ2725" t="s">
        <v>3214</v>
      </c>
      <c r="AR2725" t="s">
        <v>80</v>
      </c>
      <c r="AS2725">
        <v>302</v>
      </c>
      <c r="AT2725" t="s">
        <v>81</v>
      </c>
      <c r="AU2725">
        <v>60.45</v>
      </c>
      <c r="AV2725">
        <v>40.97</v>
      </c>
      <c r="AW2725" t="s">
        <v>82</v>
      </c>
      <c r="AX2725">
        <v>301</v>
      </c>
      <c r="AY2725" t="s">
        <v>81</v>
      </c>
      <c r="AZ2725">
        <v>43.87</v>
      </c>
      <c r="BA2725">
        <v>33.770000000000003</v>
      </c>
      <c r="BB2725" t="s">
        <v>83</v>
      </c>
    </row>
    <row r="2726" spans="1:54" x14ac:dyDescent="0.4">
      <c r="A2726">
        <v>877687</v>
      </c>
      <c r="D2726" t="s">
        <v>179</v>
      </c>
      <c r="G2726">
        <v>1</v>
      </c>
      <c r="H2726" t="s">
        <v>84</v>
      </c>
      <c r="I2726" t="s">
        <v>57</v>
      </c>
      <c r="K2726" t="s">
        <v>1873</v>
      </c>
      <c r="L2726" t="s">
        <v>3210</v>
      </c>
      <c r="M2726" t="s">
        <v>60</v>
      </c>
      <c r="P2726" t="s">
        <v>224</v>
      </c>
      <c r="R2726" t="s">
        <v>183</v>
      </c>
      <c r="S2726" t="s">
        <v>64</v>
      </c>
      <c r="T2726">
        <v>246.7</v>
      </c>
      <c r="U2726">
        <v>242</v>
      </c>
      <c r="V2726">
        <f t="shared" si="84"/>
        <v>244.35</v>
      </c>
      <c r="W2726">
        <f t="shared" si="85"/>
        <v>4.6999999999999886</v>
      </c>
      <c r="X2726">
        <v>55.308334000000002</v>
      </c>
      <c r="Y2726">
        <v>51.358333999999999</v>
      </c>
      <c r="Z2726" t="s">
        <v>1365</v>
      </c>
      <c r="AA2726" t="s">
        <v>239</v>
      </c>
      <c r="AB2726" t="s">
        <v>638</v>
      </c>
      <c r="AC2726" t="s">
        <v>2791</v>
      </c>
      <c r="AD2726" t="s">
        <v>2792</v>
      </c>
      <c r="AG2726" t="s">
        <v>2590</v>
      </c>
      <c r="AH2726" t="s">
        <v>72</v>
      </c>
      <c r="AI2726" t="s">
        <v>1877</v>
      </c>
      <c r="AJ2726">
        <v>2000</v>
      </c>
      <c r="AK2726" t="s">
        <v>3215</v>
      </c>
      <c r="AM2726" t="s">
        <v>3216</v>
      </c>
      <c r="AN2726" t="s">
        <v>114</v>
      </c>
      <c r="AO2726" t="s">
        <v>77</v>
      </c>
      <c r="AP2726" t="s">
        <v>78</v>
      </c>
      <c r="AQ2726" t="s">
        <v>3217</v>
      </c>
      <c r="AR2726" t="s">
        <v>80</v>
      </c>
      <c r="AS2726">
        <v>302</v>
      </c>
      <c r="AT2726" t="s">
        <v>81</v>
      </c>
      <c r="AU2726">
        <v>60.32</v>
      </c>
      <c r="AV2726">
        <v>40.909999999999997</v>
      </c>
      <c r="AW2726" t="s">
        <v>82</v>
      </c>
      <c r="AX2726">
        <v>301</v>
      </c>
      <c r="AY2726" t="s">
        <v>81</v>
      </c>
      <c r="AZ2726">
        <v>43.79</v>
      </c>
      <c r="BA2726">
        <v>33.68</v>
      </c>
      <c r="BB2726" t="s">
        <v>83</v>
      </c>
    </row>
    <row r="2727" spans="1:54" x14ac:dyDescent="0.4">
      <c r="A2727">
        <v>877701</v>
      </c>
      <c r="D2727" t="s">
        <v>179</v>
      </c>
      <c r="G2727">
        <v>1</v>
      </c>
      <c r="H2727" t="s">
        <v>84</v>
      </c>
      <c r="I2727" t="s">
        <v>57</v>
      </c>
      <c r="K2727" t="s">
        <v>141</v>
      </c>
      <c r="L2727" t="s">
        <v>2795</v>
      </c>
      <c r="M2727" t="s">
        <v>60</v>
      </c>
      <c r="P2727" t="s">
        <v>224</v>
      </c>
      <c r="R2727" t="s">
        <v>183</v>
      </c>
      <c r="S2727" t="s">
        <v>64</v>
      </c>
      <c r="T2727">
        <v>246.7</v>
      </c>
      <c r="U2727">
        <v>242</v>
      </c>
      <c r="V2727">
        <f t="shared" si="84"/>
        <v>244.35</v>
      </c>
      <c r="W2727">
        <f t="shared" si="85"/>
        <v>4.6999999999999886</v>
      </c>
      <c r="X2727">
        <v>55.308334000000002</v>
      </c>
      <c r="Y2727">
        <v>51.358333999999999</v>
      </c>
      <c r="Z2727" t="s">
        <v>1365</v>
      </c>
      <c r="AA2727" t="s">
        <v>239</v>
      </c>
      <c r="AB2727" t="s">
        <v>638</v>
      </c>
      <c r="AC2727" t="s">
        <v>2791</v>
      </c>
      <c r="AD2727" t="s">
        <v>2792</v>
      </c>
      <c r="AG2727" t="s">
        <v>2590</v>
      </c>
      <c r="AH2727" t="s">
        <v>72</v>
      </c>
      <c r="AI2727" t="s">
        <v>1877</v>
      </c>
      <c r="AJ2727">
        <v>2000</v>
      </c>
      <c r="AK2727" t="s">
        <v>3215</v>
      </c>
      <c r="AM2727" t="s">
        <v>3216</v>
      </c>
      <c r="AN2727" t="s">
        <v>114</v>
      </c>
      <c r="AO2727" t="s">
        <v>77</v>
      </c>
      <c r="AP2727" t="s">
        <v>78</v>
      </c>
      <c r="AQ2727" t="s">
        <v>3217</v>
      </c>
      <c r="AR2727" t="s">
        <v>80</v>
      </c>
      <c r="AS2727">
        <v>302</v>
      </c>
      <c r="AT2727" t="s">
        <v>81</v>
      </c>
      <c r="AU2727">
        <v>60.32</v>
      </c>
      <c r="AV2727">
        <v>40.909999999999997</v>
      </c>
      <c r="AW2727" t="s">
        <v>82</v>
      </c>
      <c r="AX2727">
        <v>301</v>
      </c>
      <c r="AY2727" t="s">
        <v>81</v>
      </c>
      <c r="AZ2727">
        <v>43.79</v>
      </c>
      <c r="BA2727">
        <v>33.68</v>
      </c>
      <c r="BB2727" t="s">
        <v>83</v>
      </c>
    </row>
    <row r="2728" spans="1:54" x14ac:dyDescent="0.4">
      <c r="A2728">
        <v>877774</v>
      </c>
      <c r="D2728" t="s">
        <v>179</v>
      </c>
      <c r="G2728">
        <v>2</v>
      </c>
      <c r="H2728" t="s">
        <v>84</v>
      </c>
      <c r="I2728" t="s">
        <v>57</v>
      </c>
      <c r="K2728" t="s">
        <v>141</v>
      </c>
      <c r="L2728" t="s">
        <v>3221</v>
      </c>
      <c r="M2728" t="s">
        <v>60</v>
      </c>
      <c r="P2728" t="s">
        <v>224</v>
      </c>
      <c r="R2728" t="s">
        <v>183</v>
      </c>
      <c r="S2728" t="s">
        <v>64</v>
      </c>
      <c r="T2728">
        <v>246.7</v>
      </c>
      <c r="U2728">
        <v>242</v>
      </c>
      <c r="V2728">
        <f t="shared" si="84"/>
        <v>244.35</v>
      </c>
      <c r="W2728">
        <f t="shared" si="85"/>
        <v>4.6999999999999886</v>
      </c>
      <c r="X2728">
        <v>55.308334000000002</v>
      </c>
      <c r="Y2728">
        <v>51.358333999999999</v>
      </c>
      <c r="Z2728" t="s">
        <v>1365</v>
      </c>
      <c r="AA2728" t="s">
        <v>239</v>
      </c>
      <c r="AB2728" t="s">
        <v>638</v>
      </c>
      <c r="AC2728" t="s">
        <v>2791</v>
      </c>
      <c r="AD2728" t="s">
        <v>2792</v>
      </c>
      <c r="AG2728" t="s">
        <v>2590</v>
      </c>
      <c r="AH2728" t="s">
        <v>72</v>
      </c>
      <c r="AI2728" t="s">
        <v>1877</v>
      </c>
      <c r="AJ2728">
        <v>2000</v>
      </c>
      <c r="AK2728" t="s">
        <v>3215</v>
      </c>
      <c r="AM2728" t="s">
        <v>3216</v>
      </c>
      <c r="AN2728" t="s">
        <v>114</v>
      </c>
      <c r="AO2728" t="s">
        <v>77</v>
      </c>
      <c r="AP2728" t="s">
        <v>78</v>
      </c>
      <c r="AQ2728" t="s">
        <v>3217</v>
      </c>
      <c r="AR2728" t="s">
        <v>80</v>
      </c>
      <c r="AS2728">
        <v>302</v>
      </c>
      <c r="AT2728" t="s">
        <v>81</v>
      </c>
      <c r="AU2728">
        <v>60.32</v>
      </c>
      <c r="AV2728">
        <v>40.909999999999997</v>
      </c>
      <c r="AW2728" t="s">
        <v>82</v>
      </c>
      <c r="AX2728">
        <v>301</v>
      </c>
      <c r="AY2728" t="s">
        <v>81</v>
      </c>
      <c r="AZ2728">
        <v>43.79</v>
      </c>
      <c r="BA2728">
        <v>33.68</v>
      </c>
      <c r="BB2728" t="s">
        <v>83</v>
      </c>
    </row>
    <row r="2729" spans="1:54" x14ac:dyDescent="0.4">
      <c r="A2729">
        <v>879452</v>
      </c>
      <c r="D2729" t="s">
        <v>54</v>
      </c>
      <c r="G2729">
        <v>1</v>
      </c>
      <c r="H2729" t="s">
        <v>84</v>
      </c>
      <c r="I2729" t="s">
        <v>57</v>
      </c>
      <c r="K2729" t="s">
        <v>141</v>
      </c>
      <c r="L2729" t="s">
        <v>3221</v>
      </c>
      <c r="M2729" t="s">
        <v>60</v>
      </c>
      <c r="P2729" t="s">
        <v>224</v>
      </c>
      <c r="R2729" t="s">
        <v>183</v>
      </c>
      <c r="S2729" t="s">
        <v>64</v>
      </c>
      <c r="T2729">
        <v>246.7</v>
      </c>
      <c r="U2729">
        <v>242</v>
      </c>
      <c r="V2729">
        <f t="shared" si="84"/>
        <v>244.35</v>
      </c>
      <c r="W2729">
        <f t="shared" si="85"/>
        <v>4.6999999999999886</v>
      </c>
      <c r="X2729">
        <v>53.5</v>
      </c>
      <c r="Y2729">
        <v>52.533332999999999</v>
      </c>
      <c r="Z2729" t="s">
        <v>406</v>
      </c>
      <c r="AA2729" t="s">
        <v>239</v>
      </c>
      <c r="AB2729" t="s">
        <v>399</v>
      </c>
      <c r="AD2729" t="s">
        <v>2792</v>
      </c>
      <c r="AH2729" t="s">
        <v>72</v>
      </c>
      <c r="AI2729" t="s">
        <v>1937</v>
      </c>
      <c r="AJ2729">
        <v>2003</v>
      </c>
      <c r="AK2729" t="s">
        <v>3228</v>
      </c>
      <c r="AM2729" t="s">
        <v>3229</v>
      </c>
      <c r="AN2729" t="s">
        <v>192</v>
      </c>
      <c r="AO2729" t="s">
        <v>160</v>
      </c>
      <c r="AP2729" t="s">
        <v>78</v>
      </c>
      <c r="AQ2729" t="s">
        <v>3230</v>
      </c>
      <c r="AR2729" t="s">
        <v>80</v>
      </c>
      <c r="AS2729">
        <v>302</v>
      </c>
      <c r="AT2729" t="s">
        <v>81</v>
      </c>
      <c r="AU2729">
        <v>58.25</v>
      </c>
      <c r="AV2729">
        <v>41.34</v>
      </c>
      <c r="AW2729" t="s">
        <v>82</v>
      </c>
      <c r="AX2729">
        <v>301</v>
      </c>
      <c r="AY2729" t="s">
        <v>81</v>
      </c>
      <c r="AZ2729">
        <v>41.84</v>
      </c>
      <c r="BA2729">
        <v>33.630000000000003</v>
      </c>
      <c r="BB2729" t="s">
        <v>83</v>
      </c>
    </row>
    <row r="2730" spans="1:54" x14ac:dyDescent="0.4">
      <c r="A2730">
        <v>879453</v>
      </c>
      <c r="D2730" t="s">
        <v>54</v>
      </c>
      <c r="G2730">
        <v>2</v>
      </c>
      <c r="H2730" t="s">
        <v>84</v>
      </c>
      <c r="I2730" t="s">
        <v>57</v>
      </c>
      <c r="K2730" t="s">
        <v>1873</v>
      </c>
      <c r="L2730" t="s">
        <v>3210</v>
      </c>
      <c r="M2730" t="s">
        <v>60</v>
      </c>
      <c r="P2730" t="s">
        <v>224</v>
      </c>
      <c r="R2730" t="s">
        <v>183</v>
      </c>
      <c r="S2730" t="s">
        <v>64</v>
      </c>
      <c r="T2730">
        <v>246.7</v>
      </c>
      <c r="U2730">
        <v>242</v>
      </c>
      <c r="V2730">
        <f t="shared" si="84"/>
        <v>244.35</v>
      </c>
      <c r="W2730">
        <f t="shared" si="85"/>
        <v>4.6999999999999886</v>
      </c>
      <c r="X2730">
        <v>53.5</v>
      </c>
      <c r="Y2730">
        <v>52.533332999999999</v>
      </c>
      <c r="Z2730" t="s">
        <v>406</v>
      </c>
      <c r="AA2730" t="s">
        <v>239</v>
      </c>
      <c r="AB2730" t="s">
        <v>399</v>
      </c>
      <c r="AD2730" t="s">
        <v>2792</v>
      </c>
      <c r="AH2730" t="s">
        <v>72</v>
      </c>
      <c r="AI2730" t="s">
        <v>1937</v>
      </c>
      <c r="AJ2730">
        <v>2003</v>
      </c>
      <c r="AK2730" t="s">
        <v>3228</v>
      </c>
      <c r="AM2730" t="s">
        <v>3229</v>
      </c>
      <c r="AN2730" t="s">
        <v>192</v>
      </c>
      <c r="AO2730" t="s">
        <v>160</v>
      </c>
      <c r="AP2730" t="s">
        <v>78</v>
      </c>
      <c r="AQ2730" t="s">
        <v>3230</v>
      </c>
      <c r="AR2730" t="s">
        <v>80</v>
      </c>
      <c r="AS2730">
        <v>302</v>
      </c>
      <c r="AT2730" t="s">
        <v>81</v>
      </c>
      <c r="AU2730">
        <v>58.25</v>
      </c>
      <c r="AV2730">
        <v>41.34</v>
      </c>
      <c r="AW2730" t="s">
        <v>82</v>
      </c>
      <c r="AX2730">
        <v>301</v>
      </c>
      <c r="AY2730" t="s">
        <v>81</v>
      </c>
      <c r="AZ2730">
        <v>41.84</v>
      </c>
      <c r="BA2730">
        <v>33.630000000000003</v>
      </c>
      <c r="BB2730" t="s">
        <v>83</v>
      </c>
    </row>
    <row r="2731" spans="1:54" x14ac:dyDescent="0.4">
      <c r="A2731">
        <v>879454</v>
      </c>
      <c r="D2731" t="s">
        <v>54</v>
      </c>
      <c r="I2731" t="s">
        <v>57</v>
      </c>
      <c r="K2731" t="s">
        <v>196</v>
      </c>
      <c r="L2731" t="s">
        <v>3209</v>
      </c>
      <c r="M2731" t="s">
        <v>60</v>
      </c>
      <c r="O2731" t="s">
        <v>87</v>
      </c>
      <c r="P2731" t="s">
        <v>224</v>
      </c>
      <c r="R2731" t="s">
        <v>183</v>
      </c>
      <c r="S2731" t="s">
        <v>64</v>
      </c>
      <c r="T2731">
        <v>246.7</v>
      </c>
      <c r="U2731">
        <v>242</v>
      </c>
      <c r="V2731">
        <f t="shared" si="84"/>
        <v>244.35</v>
      </c>
      <c r="W2731">
        <f t="shared" si="85"/>
        <v>4.6999999999999886</v>
      </c>
      <c r="X2731">
        <v>53.5</v>
      </c>
      <c r="Y2731">
        <v>52.533332999999999</v>
      </c>
      <c r="Z2731" t="s">
        <v>406</v>
      </c>
      <c r="AA2731" t="s">
        <v>239</v>
      </c>
      <c r="AB2731" t="s">
        <v>399</v>
      </c>
      <c r="AD2731" t="s">
        <v>2792</v>
      </c>
      <c r="AH2731" t="s">
        <v>72</v>
      </c>
      <c r="AI2731" t="s">
        <v>1937</v>
      </c>
      <c r="AJ2731">
        <v>2003</v>
      </c>
      <c r="AK2731" t="s">
        <v>3228</v>
      </c>
      <c r="AM2731" t="s">
        <v>3229</v>
      </c>
      <c r="AN2731" t="s">
        <v>192</v>
      </c>
      <c r="AO2731" t="s">
        <v>160</v>
      </c>
      <c r="AP2731" t="s">
        <v>78</v>
      </c>
      <c r="AQ2731" t="s">
        <v>3230</v>
      </c>
      <c r="AR2731" t="s">
        <v>80</v>
      </c>
      <c r="AS2731">
        <v>302</v>
      </c>
      <c r="AT2731" t="s">
        <v>81</v>
      </c>
      <c r="AU2731">
        <v>58.25</v>
      </c>
      <c r="AV2731">
        <v>41.34</v>
      </c>
      <c r="AW2731" t="s">
        <v>82</v>
      </c>
      <c r="AX2731">
        <v>301</v>
      </c>
      <c r="AY2731" t="s">
        <v>81</v>
      </c>
      <c r="AZ2731">
        <v>41.84</v>
      </c>
      <c r="BA2731">
        <v>33.630000000000003</v>
      </c>
      <c r="BB2731" t="s">
        <v>83</v>
      </c>
    </row>
    <row r="2732" spans="1:54" x14ac:dyDescent="0.4">
      <c r="A2732">
        <v>880670</v>
      </c>
      <c r="D2732" t="s">
        <v>54</v>
      </c>
      <c r="G2732">
        <v>1</v>
      </c>
      <c r="H2732" t="s">
        <v>56</v>
      </c>
      <c r="I2732" t="s">
        <v>57</v>
      </c>
      <c r="K2732" t="s">
        <v>141</v>
      </c>
      <c r="L2732" t="s">
        <v>3231</v>
      </c>
      <c r="M2732" t="s">
        <v>60</v>
      </c>
      <c r="O2732" t="s">
        <v>87</v>
      </c>
      <c r="P2732" t="s">
        <v>224</v>
      </c>
      <c r="R2732" t="s">
        <v>183</v>
      </c>
      <c r="S2732" t="s">
        <v>64</v>
      </c>
      <c r="T2732">
        <v>246.7</v>
      </c>
      <c r="U2732">
        <v>242</v>
      </c>
      <c r="V2732">
        <f t="shared" si="84"/>
        <v>244.35</v>
      </c>
      <c r="W2732">
        <f t="shared" si="85"/>
        <v>4.6999999999999886</v>
      </c>
      <c r="X2732">
        <v>110.300003</v>
      </c>
      <c r="Y2732">
        <v>29.5</v>
      </c>
      <c r="Z2732" t="s">
        <v>1251</v>
      </c>
      <c r="AA2732" t="s">
        <v>379</v>
      </c>
      <c r="AB2732" t="s">
        <v>3232</v>
      </c>
      <c r="AC2732" t="s">
        <v>3233</v>
      </c>
      <c r="AD2732" t="s">
        <v>3234</v>
      </c>
      <c r="AE2732" t="s">
        <v>3235</v>
      </c>
      <c r="AH2732" t="s">
        <v>72</v>
      </c>
      <c r="AI2732" t="s">
        <v>3236</v>
      </c>
      <c r="AJ2732">
        <v>1975</v>
      </c>
      <c r="AK2732" t="s">
        <v>3237</v>
      </c>
      <c r="AM2732" t="s">
        <v>3238</v>
      </c>
      <c r="AN2732" t="s">
        <v>114</v>
      </c>
      <c r="AO2732">
        <v>2</v>
      </c>
      <c r="AP2732" t="s">
        <v>78</v>
      </c>
      <c r="AR2732" t="s">
        <v>80</v>
      </c>
      <c r="AS2732">
        <v>611</v>
      </c>
      <c r="AT2732" t="s">
        <v>81</v>
      </c>
      <c r="AU2732">
        <v>111.9</v>
      </c>
      <c r="AV2732">
        <v>-6.3</v>
      </c>
      <c r="AW2732" t="s">
        <v>82</v>
      </c>
      <c r="AX2732">
        <v>611</v>
      </c>
      <c r="AY2732" t="s">
        <v>81</v>
      </c>
      <c r="AZ2732">
        <v>97.21</v>
      </c>
      <c r="BA2732">
        <v>17.55</v>
      </c>
      <c r="BB2732" t="s">
        <v>83</v>
      </c>
    </row>
    <row r="2733" spans="1:54" x14ac:dyDescent="0.4">
      <c r="A2733">
        <v>880670</v>
      </c>
      <c r="D2733" t="s">
        <v>54</v>
      </c>
      <c r="G2733">
        <v>1</v>
      </c>
      <c r="H2733" t="s">
        <v>56</v>
      </c>
      <c r="I2733" t="s">
        <v>57</v>
      </c>
      <c r="K2733" t="s">
        <v>141</v>
      </c>
      <c r="L2733" t="s">
        <v>3231</v>
      </c>
      <c r="M2733" t="s">
        <v>60</v>
      </c>
      <c r="O2733" t="s">
        <v>87</v>
      </c>
      <c r="P2733" t="s">
        <v>224</v>
      </c>
      <c r="R2733" t="s">
        <v>183</v>
      </c>
      <c r="S2733" t="s">
        <v>64</v>
      </c>
      <c r="T2733">
        <v>246.7</v>
      </c>
      <c r="U2733">
        <v>242</v>
      </c>
      <c r="V2733">
        <f t="shared" si="84"/>
        <v>244.35</v>
      </c>
      <c r="W2733">
        <f t="shared" si="85"/>
        <v>4.6999999999999886</v>
      </c>
      <c r="X2733">
        <v>110.300003</v>
      </c>
      <c r="Y2733">
        <v>29.5</v>
      </c>
      <c r="Z2733" t="s">
        <v>1251</v>
      </c>
      <c r="AA2733" t="s">
        <v>379</v>
      </c>
      <c r="AB2733" t="s">
        <v>3232</v>
      </c>
      <c r="AC2733" t="s">
        <v>3233</v>
      </c>
      <c r="AD2733" t="s">
        <v>3234</v>
      </c>
      <c r="AE2733" t="s">
        <v>3235</v>
      </c>
      <c r="AH2733" t="s">
        <v>72</v>
      </c>
      <c r="AI2733" t="s">
        <v>3236</v>
      </c>
      <c r="AJ2733">
        <v>1975</v>
      </c>
      <c r="AK2733" t="s">
        <v>3237</v>
      </c>
      <c r="AM2733" t="s">
        <v>3238</v>
      </c>
      <c r="AN2733" t="s">
        <v>114</v>
      </c>
      <c r="AO2733">
        <v>2</v>
      </c>
      <c r="AP2733" t="s">
        <v>78</v>
      </c>
      <c r="AR2733" t="s">
        <v>80</v>
      </c>
      <c r="AS2733">
        <v>611</v>
      </c>
      <c r="AT2733" t="s">
        <v>81</v>
      </c>
      <c r="AU2733">
        <v>111.9</v>
      </c>
      <c r="AV2733">
        <v>-6.3</v>
      </c>
      <c r="AW2733" t="s">
        <v>82</v>
      </c>
      <c r="AX2733">
        <v>611</v>
      </c>
      <c r="AY2733" t="s">
        <v>81</v>
      </c>
      <c r="AZ2733">
        <v>97.21</v>
      </c>
      <c r="BA2733">
        <v>17.55</v>
      </c>
      <c r="BB2733" t="s">
        <v>83</v>
      </c>
    </row>
    <row r="2734" spans="1:54" x14ac:dyDescent="0.4">
      <c r="A2734">
        <v>880670</v>
      </c>
      <c r="D2734" t="s">
        <v>54</v>
      </c>
      <c r="G2734">
        <v>1</v>
      </c>
      <c r="H2734" t="s">
        <v>56</v>
      </c>
      <c r="I2734" t="s">
        <v>57</v>
      </c>
      <c r="K2734" t="s">
        <v>141</v>
      </c>
      <c r="L2734" t="s">
        <v>3231</v>
      </c>
      <c r="M2734" t="s">
        <v>60</v>
      </c>
      <c r="O2734" t="s">
        <v>87</v>
      </c>
      <c r="P2734" t="s">
        <v>224</v>
      </c>
      <c r="R2734" t="s">
        <v>183</v>
      </c>
      <c r="S2734" t="s">
        <v>64</v>
      </c>
      <c r="T2734">
        <v>246.7</v>
      </c>
      <c r="U2734">
        <v>242</v>
      </c>
      <c r="V2734">
        <f t="shared" si="84"/>
        <v>244.35</v>
      </c>
      <c r="W2734">
        <f t="shared" si="85"/>
        <v>4.6999999999999886</v>
      </c>
      <c r="X2734">
        <v>110.300003</v>
      </c>
      <c r="Y2734">
        <v>29.5</v>
      </c>
      <c r="Z2734" t="s">
        <v>1251</v>
      </c>
      <c r="AA2734" t="s">
        <v>379</v>
      </c>
      <c r="AB2734" t="s">
        <v>3232</v>
      </c>
      <c r="AC2734" t="s">
        <v>3233</v>
      </c>
      <c r="AD2734" t="s">
        <v>3234</v>
      </c>
      <c r="AE2734" t="s">
        <v>3235</v>
      </c>
      <c r="AH2734" t="s">
        <v>72</v>
      </c>
      <c r="AI2734" t="s">
        <v>3236</v>
      </c>
      <c r="AJ2734">
        <v>1975</v>
      </c>
      <c r="AK2734" t="s">
        <v>3237</v>
      </c>
      <c r="AM2734" t="s">
        <v>3238</v>
      </c>
      <c r="AN2734" t="s">
        <v>114</v>
      </c>
      <c r="AO2734">
        <v>2</v>
      </c>
      <c r="AP2734" t="s">
        <v>78</v>
      </c>
      <c r="AR2734" t="s">
        <v>80</v>
      </c>
      <c r="AS2734">
        <v>611</v>
      </c>
      <c r="AT2734" t="s">
        <v>81</v>
      </c>
      <c r="AU2734">
        <v>111.9</v>
      </c>
      <c r="AV2734">
        <v>-6.3</v>
      </c>
      <c r="AW2734" t="s">
        <v>82</v>
      </c>
      <c r="AX2734">
        <v>611</v>
      </c>
      <c r="AY2734" t="s">
        <v>81</v>
      </c>
      <c r="AZ2734">
        <v>97.21</v>
      </c>
      <c r="BA2734">
        <v>17.55</v>
      </c>
      <c r="BB2734" t="s">
        <v>83</v>
      </c>
    </row>
    <row r="2735" spans="1:54" x14ac:dyDescent="0.4">
      <c r="A2735">
        <v>880670</v>
      </c>
      <c r="D2735" t="s">
        <v>54</v>
      </c>
      <c r="G2735">
        <v>1</v>
      </c>
      <c r="H2735" t="s">
        <v>56</v>
      </c>
      <c r="I2735" t="s">
        <v>57</v>
      </c>
      <c r="K2735" t="s">
        <v>141</v>
      </c>
      <c r="L2735" t="s">
        <v>3231</v>
      </c>
      <c r="M2735" t="s">
        <v>60</v>
      </c>
      <c r="O2735" t="s">
        <v>87</v>
      </c>
      <c r="P2735" t="s">
        <v>224</v>
      </c>
      <c r="R2735" t="s">
        <v>183</v>
      </c>
      <c r="S2735" t="s">
        <v>64</v>
      </c>
      <c r="T2735">
        <v>246.7</v>
      </c>
      <c r="U2735">
        <v>242</v>
      </c>
      <c r="V2735">
        <f t="shared" si="84"/>
        <v>244.35</v>
      </c>
      <c r="W2735">
        <f t="shared" si="85"/>
        <v>4.6999999999999886</v>
      </c>
      <c r="X2735">
        <v>110.300003</v>
      </c>
      <c r="Y2735">
        <v>29.5</v>
      </c>
      <c r="Z2735" t="s">
        <v>1251</v>
      </c>
      <c r="AA2735" t="s">
        <v>379</v>
      </c>
      <c r="AB2735" t="s">
        <v>3232</v>
      </c>
      <c r="AC2735" t="s">
        <v>3233</v>
      </c>
      <c r="AD2735" t="s">
        <v>3234</v>
      </c>
      <c r="AE2735" t="s">
        <v>3235</v>
      </c>
      <c r="AH2735" t="s">
        <v>72</v>
      </c>
      <c r="AI2735" t="s">
        <v>3236</v>
      </c>
      <c r="AJ2735">
        <v>1975</v>
      </c>
      <c r="AK2735" t="s">
        <v>3237</v>
      </c>
      <c r="AM2735" t="s">
        <v>3238</v>
      </c>
      <c r="AN2735" t="s">
        <v>114</v>
      </c>
      <c r="AO2735">
        <v>2</v>
      </c>
      <c r="AP2735" t="s">
        <v>78</v>
      </c>
      <c r="AR2735" t="s">
        <v>80</v>
      </c>
      <c r="AS2735">
        <v>611</v>
      </c>
      <c r="AT2735" t="s">
        <v>81</v>
      </c>
      <c r="AU2735">
        <v>111.9</v>
      </c>
      <c r="AV2735">
        <v>-6.3</v>
      </c>
      <c r="AW2735" t="s">
        <v>82</v>
      </c>
      <c r="AX2735">
        <v>611</v>
      </c>
      <c r="AY2735" t="s">
        <v>81</v>
      </c>
      <c r="AZ2735">
        <v>97.21</v>
      </c>
      <c r="BA2735">
        <v>17.55</v>
      </c>
      <c r="BB2735" t="s">
        <v>83</v>
      </c>
    </row>
    <row r="2736" spans="1:54" x14ac:dyDescent="0.4">
      <c r="A2736">
        <v>880670</v>
      </c>
      <c r="D2736" t="s">
        <v>54</v>
      </c>
      <c r="G2736">
        <v>1</v>
      </c>
      <c r="H2736" t="s">
        <v>56</v>
      </c>
      <c r="I2736" t="s">
        <v>57</v>
      </c>
      <c r="K2736" t="s">
        <v>141</v>
      </c>
      <c r="L2736" t="s">
        <v>3231</v>
      </c>
      <c r="M2736" t="s">
        <v>60</v>
      </c>
      <c r="O2736" t="s">
        <v>87</v>
      </c>
      <c r="P2736" t="s">
        <v>224</v>
      </c>
      <c r="R2736" t="s">
        <v>183</v>
      </c>
      <c r="S2736" t="s">
        <v>64</v>
      </c>
      <c r="T2736">
        <v>246.7</v>
      </c>
      <c r="U2736">
        <v>242</v>
      </c>
      <c r="V2736">
        <f t="shared" si="84"/>
        <v>244.35</v>
      </c>
      <c r="W2736">
        <f t="shared" si="85"/>
        <v>4.6999999999999886</v>
      </c>
      <c r="X2736">
        <v>110.300003</v>
      </c>
      <c r="Y2736">
        <v>29.5</v>
      </c>
      <c r="Z2736" t="s">
        <v>1251</v>
      </c>
      <c r="AA2736" t="s">
        <v>379</v>
      </c>
      <c r="AB2736" t="s">
        <v>3232</v>
      </c>
      <c r="AC2736" t="s">
        <v>3233</v>
      </c>
      <c r="AD2736" t="s">
        <v>3234</v>
      </c>
      <c r="AE2736" t="s">
        <v>3235</v>
      </c>
      <c r="AH2736" t="s">
        <v>72</v>
      </c>
      <c r="AI2736" t="s">
        <v>3236</v>
      </c>
      <c r="AJ2736">
        <v>1975</v>
      </c>
      <c r="AK2736" t="s">
        <v>3237</v>
      </c>
      <c r="AM2736" t="s">
        <v>3238</v>
      </c>
      <c r="AN2736" t="s">
        <v>114</v>
      </c>
      <c r="AO2736">
        <v>2</v>
      </c>
      <c r="AP2736" t="s">
        <v>78</v>
      </c>
      <c r="AR2736" t="s">
        <v>80</v>
      </c>
      <c r="AS2736">
        <v>611</v>
      </c>
      <c r="AT2736" t="s">
        <v>81</v>
      </c>
      <c r="AU2736">
        <v>111.9</v>
      </c>
      <c r="AV2736">
        <v>-6.3</v>
      </c>
      <c r="AW2736" t="s">
        <v>82</v>
      </c>
      <c r="AX2736">
        <v>611</v>
      </c>
      <c r="AY2736" t="s">
        <v>81</v>
      </c>
      <c r="AZ2736">
        <v>97.21</v>
      </c>
      <c r="BA2736">
        <v>17.55</v>
      </c>
      <c r="BB2736" t="s">
        <v>83</v>
      </c>
    </row>
    <row r="2737" spans="1:54" x14ac:dyDescent="0.4">
      <c r="A2737">
        <v>880670</v>
      </c>
      <c r="D2737" t="s">
        <v>54</v>
      </c>
      <c r="G2737">
        <v>1</v>
      </c>
      <c r="H2737" t="s">
        <v>56</v>
      </c>
      <c r="I2737" t="s">
        <v>57</v>
      </c>
      <c r="K2737" t="s">
        <v>141</v>
      </c>
      <c r="L2737" t="s">
        <v>3231</v>
      </c>
      <c r="M2737" t="s">
        <v>60</v>
      </c>
      <c r="O2737" t="s">
        <v>87</v>
      </c>
      <c r="P2737" t="s">
        <v>224</v>
      </c>
      <c r="R2737" t="s">
        <v>183</v>
      </c>
      <c r="S2737" t="s">
        <v>64</v>
      </c>
      <c r="T2737">
        <v>246.7</v>
      </c>
      <c r="U2737">
        <v>242</v>
      </c>
      <c r="V2737">
        <f t="shared" si="84"/>
        <v>244.35</v>
      </c>
      <c r="W2737">
        <f t="shared" si="85"/>
        <v>4.6999999999999886</v>
      </c>
      <c r="X2737">
        <v>110.300003</v>
      </c>
      <c r="Y2737">
        <v>29.5</v>
      </c>
      <c r="Z2737" t="s">
        <v>1251</v>
      </c>
      <c r="AA2737" t="s">
        <v>379</v>
      </c>
      <c r="AB2737" t="s">
        <v>3232</v>
      </c>
      <c r="AC2737" t="s">
        <v>3233</v>
      </c>
      <c r="AD2737" t="s">
        <v>3234</v>
      </c>
      <c r="AE2737" t="s">
        <v>3235</v>
      </c>
      <c r="AH2737" t="s">
        <v>72</v>
      </c>
      <c r="AI2737" t="s">
        <v>3236</v>
      </c>
      <c r="AJ2737">
        <v>1975</v>
      </c>
      <c r="AK2737" t="s">
        <v>3237</v>
      </c>
      <c r="AM2737" t="s">
        <v>3238</v>
      </c>
      <c r="AN2737" t="s">
        <v>114</v>
      </c>
      <c r="AO2737">
        <v>2</v>
      </c>
      <c r="AP2737" t="s">
        <v>78</v>
      </c>
      <c r="AR2737" t="s">
        <v>80</v>
      </c>
      <c r="AS2737">
        <v>611</v>
      </c>
      <c r="AT2737" t="s">
        <v>81</v>
      </c>
      <c r="AU2737">
        <v>111.9</v>
      </c>
      <c r="AV2737">
        <v>-6.3</v>
      </c>
      <c r="AW2737" t="s">
        <v>82</v>
      </c>
      <c r="AX2737">
        <v>611</v>
      </c>
      <c r="AY2737" t="s">
        <v>81</v>
      </c>
      <c r="AZ2737">
        <v>97.21</v>
      </c>
      <c r="BA2737">
        <v>17.55</v>
      </c>
      <c r="BB2737" t="s">
        <v>83</v>
      </c>
    </row>
    <row r="2738" spans="1:54" x14ac:dyDescent="0.4">
      <c r="A2738">
        <v>880670</v>
      </c>
      <c r="D2738" t="s">
        <v>54</v>
      </c>
      <c r="G2738">
        <v>1</v>
      </c>
      <c r="H2738" t="s">
        <v>56</v>
      </c>
      <c r="I2738" t="s">
        <v>57</v>
      </c>
      <c r="K2738" t="s">
        <v>141</v>
      </c>
      <c r="L2738" t="s">
        <v>3231</v>
      </c>
      <c r="M2738" t="s">
        <v>60</v>
      </c>
      <c r="O2738" t="s">
        <v>87</v>
      </c>
      <c r="P2738" t="s">
        <v>224</v>
      </c>
      <c r="R2738" t="s">
        <v>183</v>
      </c>
      <c r="S2738" t="s">
        <v>64</v>
      </c>
      <c r="T2738">
        <v>246.7</v>
      </c>
      <c r="U2738">
        <v>242</v>
      </c>
      <c r="V2738">
        <f t="shared" si="84"/>
        <v>244.35</v>
      </c>
      <c r="W2738">
        <f t="shared" si="85"/>
        <v>4.6999999999999886</v>
      </c>
      <c r="X2738">
        <v>110.300003</v>
      </c>
      <c r="Y2738">
        <v>29.5</v>
      </c>
      <c r="Z2738" t="s">
        <v>1251</v>
      </c>
      <c r="AA2738" t="s">
        <v>379</v>
      </c>
      <c r="AB2738" t="s">
        <v>3232</v>
      </c>
      <c r="AC2738" t="s">
        <v>3233</v>
      </c>
      <c r="AD2738" t="s">
        <v>3234</v>
      </c>
      <c r="AE2738" t="s">
        <v>3235</v>
      </c>
      <c r="AH2738" t="s">
        <v>72</v>
      </c>
      <c r="AI2738" t="s">
        <v>3236</v>
      </c>
      <c r="AJ2738">
        <v>1975</v>
      </c>
      <c r="AK2738" t="s">
        <v>3237</v>
      </c>
      <c r="AM2738" t="s">
        <v>3238</v>
      </c>
      <c r="AN2738" t="s">
        <v>114</v>
      </c>
      <c r="AO2738">
        <v>2</v>
      </c>
      <c r="AP2738" t="s">
        <v>78</v>
      </c>
      <c r="AR2738" t="s">
        <v>80</v>
      </c>
      <c r="AS2738">
        <v>611</v>
      </c>
      <c r="AT2738" t="s">
        <v>81</v>
      </c>
      <c r="AU2738">
        <v>111.9</v>
      </c>
      <c r="AV2738">
        <v>-6.3</v>
      </c>
      <c r="AW2738" t="s">
        <v>82</v>
      </c>
      <c r="AX2738">
        <v>611</v>
      </c>
      <c r="AY2738" t="s">
        <v>81</v>
      </c>
      <c r="AZ2738">
        <v>97.21</v>
      </c>
      <c r="BA2738">
        <v>17.55</v>
      </c>
      <c r="BB2738" t="s">
        <v>83</v>
      </c>
    </row>
    <row r="2739" spans="1:54" x14ac:dyDescent="0.4">
      <c r="A2739">
        <v>880670</v>
      </c>
      <c r="D2739" t="s">
        <v>54</v>
      </c>
      <c r="G2739">
        <v>1</v>
      </c>
      <c r="H2739" t="s">
        <v>56</v>
      </c>
      <c r="I2739" t="s">
        <v>57</v>
      </c>
      <c r="K2739" t="s">
        <v>141</v>
      </c>
      <c r="L2739" t="s">
        <v>3231</v>
      </c>
      <c r="M2739" t="s">
        <v>60</v>
      </c>
      <c r="O2739" t="s">
        <v>87</v>
      </c>
      <c r="P2739" t="s">
        <v>224</v>
      </c>
      <c r="R2739" t="s">
        <v>183</v>
      </c>
      <c r="S2739" t="s">
        <v>64</v>
      </c>
      <c r="T2739">
        <v>246.7</v>
      </c>
      <c r="U2739">
        <v>242</v>
      </c>
      <c r="V2739">
        <f t="shared" si="84"/>
        <v>244.35</v>
      </c>
      <c r="W2739">
        <f t="shared" si="85"/>
        <v>4.6999999999999886</v>
      </c>
      <c r="X2739">
        <v>110.300003</v>
      </c>
      <c r="Y2739">
        <v>29.5</v>
      </c>
      <c r="Z2739" t="s">
        <v>1251</v>
      </c>
      <c r="AA2739" t="s">
        <v>379</v>
      </c>
      <c r="AB2739" t="s">
        <v>3232</v>
      </c>
      <c r="AC2739" t="s">
        <v>3233</v>
      </c>
      <c r="AD2739" t="s">
        <v>3234</v>
      </c>
      <c r="AE2739" t="s">
        <v>3235</v>
      </c>
      <c r="AH2739" t="s">
        <v>72</v>
      </c>
      <c r="AI2739" t="s">
        <v>3236</v>
      </c>
      <c r="AJ2739">
        <v>1975</v>
      </c>
      <c r="AK2739" t="s">
        <v>3237</v>
      </c>
      <c r="AM2739" t="s">
        <v>3238</v>
      </c>
      <c r="AN2739" t="s">
        <v>114</v>
      </c>
      <c r="AO2739">
        <v>2</v>
      </c>
      <c r="AP2739" t="s">
        <v>78</v>
      </c>
      <c r="AR2739" t="s">
        <v>80</v>
      </c>
      <c r="AS2739">
        <v>611</v>
      </c>
      <c r="AT2739" t="s">
        <v>81</v>
      </c>
      <c r="AU2739">
        <v>111.9</v>
      </c>
      <c r="AV2739">
        <v>-6.3</v>
      </c>
      <c r="AW2739" t="s">
        <v>82</v>
      </c>
      <c r="AX2739">
        <v>611</v>
      </c>
      <c r="AY2739" t="s">
        <v>81</v>
      </c>
      <c r="AZ2739">
        <v>97.21</v>
      </c>
      <c r="BA2739">
        <v>17.55</v>
      </c>
      <c r="BB2739" t="s">
        <v>83</v>
      </c>
    </row>
    <row r="2740" spans="1:54" x14ac:dyDescent="0.4">
      <c r="A2740">
        <v>880670</v>
      </c>
      <c r="D2740" t="s">
        <v>54</v>
      </c>
      <c r="G2740">
        <v>1</v>
      </c>
      <c r="H2740" t="s">
        <v>56</v>
      </c>
      <c r="I2740" t="s">
        <v>57</v>
      </c>
      <c r="K2740" t="s">
        <v>141</v>
      </c>
      <c r="L2740" t="s">
        <v>3231</v>
      </c>
      <c r="M2740" t="s">
        <v>60</v>
      </c>
      <c r="O2740" t="s">
        <v>87</v>
      </c>
      <c r="P2740" t="s">
        <v>224</v>
      </c>
      <c r="R2740" t="s">
        <v>183</v>
      </c>
      <c r="S2740" t="s">
        <v>64</v>
      </c>
      <c r="T2740">
        <v>246.7</v>
      </c>
      <c r="U2740">
        <v>242</v>
      </c>
      <c r="V2740">
        <f t="shared" si="84"/>
        <v>244.35</v>
      </c>
      <c r="W2740">
        <f t="shared" si="85"/>
        <v>4.6999999999999886</v>
      </c>
      <c r="X2740">
        <v>110.300003</v>
      </c>
      <c r="Y2740">
        <v>29.5</v>
      </c>
      <c r="Z2740" t="s">
        <v>1251</v>
      </c>
      <c r="AA2740" t="s">
        <v>379</v>
      </c>
      <c r="AB2740" t="s">
        <v>3232</v>
      </c>
      <c r="AC2740" t="s">
        <v>3233</v>
      </c>
      <c r="AD2740" t="s">
        <v>3234</v>
      </c>
      <c r="AE2740" t="s">
        <v>3235</v>
      </c>
      <c r="AH2740" t="s">
        <v>72</v>
      </c>
      <c r="AI2740" t="s">
        <v>3236</v>
      </c>
      <c r="AJ2740">
        <v>1975</v>
      </c>
      <c r="AK2740" t="s">
        <v>3237</v>
      </c>
      <c r="AM2740" t="s">
        <v>3238</v>
      </c>
      <c r="AN2740" t="s">
        <v>114</v>
      </c>
      <c r="AO2740">
        <v>2</v>
      </c>
      <c r="AP2740" t="s">
        <v>78</v>
      </c>
      <c r="AR2740" t="s">
        <v>80</v>
      </c>
      <c r="AS2740">
        <v>611</v>
      </c>
      <c r="AT2740" t="s">
        <v>81</v>
      </c>
      <c r="AU2740">
        <v>111.9</v>
      </c>
      <c r="AV2740">
        <v>-6.3</v>
      </c>
      <c r="AW2740" t="s">
        <v>82</v>
      </c>
      <c r="AX2740">
        <v>611</v>
      </c>
      <c r="AY2740" t="s">
        <v>81</v>
      </c>
      <c r="AZ2740">
        <v>97.21</v>
      </c>
      <c r="BA2740">
        <v>17.55</v>
      </c>
      <c r="BB2740" t="s">
        <v>83</v>
      </c>
    </row>
    <row r="2741" spans="1:54" x14ac:dyDescent="0.4">
      <c r="A2741">
        <v>880670</v>
      </c>
      <c r="D2741" t="s">
        <v>54</v>
      </c>
      <c r="G2741">
        <v>1</v>
      </c>
      <c r="H2741" t="s">
        <v>56</v>
      </c>
      <c r="I2741" t="s">
        <v>57</v>
      </c>
      <c r="K2741" t="s">
        <v>141</v>
      </c>
      <c r="L2741" t="s">
        <v>3231</v>
      </c>
      <c r="M2741" t="s">
        <v>60</v>
      </c>
      <c r="O2741" t="s">
        <v>87</v>
      </c>
      <c r="P2741" t="s">
        <v>224</v>
      </c>
      <c r="R2741" t="s">
        <v>183</v>
      </c>
      <c r="S2741" t="s">
        <v>64</v>
      </c>
      <c r="T2741">
        <v>246.7</v>
      </c>
      <c r="U2741">
        <v>242</v>
      </c>
      <c r="V2741">
        <f t="shared" si="84"/>
        <v>244.35</v>
      </c>
      <c r="W2741">
        <f t="shared" si="85"/>
        <v>4.6999999999999886</v>
      </c>
      <c r="X2741">
        <v>110.300003</v>
      </c>
      <c r="Y2741">
        <v>29.5</v>
      </c>
      <c r="Z2741" t="s">
        <v>1251</v>
      </c>
      <c r="AA2741" t="s">
        <v>379</v>
      </c>
      <c r="AB2741" t="s">
        <v>3232</v>
      </c>
      <c r="AC2741" t="s">
        <v>3233</v>
      </c>
      <c r="AD2741" t="s">
        <v>3234</v>
      </c>
      <c r="AE2741" t="s">
        <v>3235</v>
      </c>
      <c r="AH2741" t="s">
        <v>72</v>
      </c>
      <c r="AI2741" t="s">
        <v>3236</v>
      </c>
      <c r="AJ2741">
        <v>1975</v>
      </c>
      <c r="AK2741" t="s">
        <v>3237</v>
      </c>
      <c r="AM2741" t="s">
        <v>3238</v>
      </c>
      <c r="AN2741" t="s">
        <v>114</v>
      </c>
      <c r="AO2741">
        <v>2</v>
      </c>
      <c r="AP2741" t="s">
        <v>78</v>
      </c>
      <c r="AR2741" t="s">
        <v>80</v>
      </c>
      <c r="AS2741">
        <v>611</v>
      </c>
      <c r="AT2741" t="s">
        <v>81</v>
      </c>
      <c r="AU2741">
        <v>111.9</v>
      </c>
      <c r="AV2741">
        <v>-6.3</v>
      </c>
      <c r="AW2741" t="s">
        <v>82</v>
      </c>
      <c r="AX2741">
        <v>611</v>
      </c>
      <c r="AY2741" t="s">
        <v>81</v>
      </c>
      <c r="AZ2741">
        <v>97.21</v>
      </c>
      <c r="BA2741">
        <v>17.55</v>
      </c>
      <c r="BB2741" t="s">
        <v>83</v>
      </c>
    </row>
    <row r="2742" spans="1:54" x14ac:dyDescent="0.4">
      <c r="A2742">
        <v>880672</v>
      </c>
      <c r="D2742" t="s">
        <v>54</v>
      </c>
      <c r="E2742" t="s">
        <v>55</v>
      </c>
      <c r="F2742" t="s">
        <v>1283</v>
      </c>
      <c r="I2742" t="s">
        <v>57</v>
      </c>
      <c r="K2742" t="s">
        <v>141</v>
      </c>
      <c r="L2742" t="s">
        <v>3231</v>
      </c>
      <c r="M2742" t="s">
        <v>60</v>
      </c>
      <c r="O2742" t="s">
        <v>87</v>
      </c>
      <c r="P2742" t="s">
        <v>224</v>
      </c>
      <c r="R2742" t="s">
        <v>183</v>
      </c>
      <c r="S2742" t="s">
        <v>64</v>
      </c>
      <c r="T2742">
        <v>246.7</v>
      </c>
      <c r="U2742">
        <v>242</v>
      </c>
      <c r="V2742">
        <f t="shared" si="84"/>
        <v>244.35</v>
      </c>
      <c r="W2742">
        <f t="shared" si="85"/>
        <v>4.6999999999999886</v>
      </c>
      <c r="X2742">
        <v>111.68555499999999</v>
      </c>
      <c r="Y2742">
        <v>31.155832</v>
      </c>
      <c r="Z2742" t="s">
        <v>1251</v>
      </c>
      <c r="AA2742" t="s">
        <v>379</v>
      </c>
      <c r="AB2742" t="s">
        <v>3239</v>
      </c>
      <c r="AC2742" t="s">
        <v>3240</v>
      </c>
      <c r="AD2742" t="s">
        <v>3234</v>
      </c>
      <c r="AE2742" t="s">
        <v>3235</v>
      </c>
      <c r="AH2742" t="s">
        <v>11</v>
      </c>
      <c r="AI2742" t="s">
        <v>3241</v>
      </c>
      <c r="AJ2742">
        <v>2005</v>
      </c>
      <c r="AK2742" t="s">
        <v>3242</v>
      </c>
      <c r="AN2742" t="s">
        <v>114</v>
      </c>
      <c r="AO2742" t="s">
        <v>77</v>
      </c>
      <c r="AP2742" t="s">
        <v>115</v>
      </c>
      <c r="AR2742" t="s">
        <v>80</v>
      </c>
      <c r="AS2742">
        <v>611</v>
      </c>
      <c r="AT2742" t="s">
        <v>81</v>
      </c>
      <c r="AU2742">
        <v>112.93</v>
      </c>
      <c r="AV2742">
        <v>-4.54</v>
      </c>
      <c r="AW2742" t="s">
        <v>82</v>
      </c>
      <c r="AX2742">
        <v>611</v>
      </c>
      <c r="AY2742" t="s">
        <v>81</v>
      </c>
      <c r="AZ2742">
        <v>97.26</v>
      </c>
      <c r="BA2742">
        <v>19.59</v>
      </c>
      <c r="BB2742" t="s">
        <v>83</v>
      </c>
    </row>
    <row r="2743" spans="1:54" x14ac:dyDescent="0.4">
      <c r="A2743">
        <v>880673</v>
      </c>
      <c r="D2743" t="s">
        <v>853</v>
      </c>
      <c r="E2743" t="s">
        <v>152</v>
      </c>
      <c r="F2743" t="s">
        <v>1283</v>
      </c>
      <c r="G2743">
        <v>1</v>
      </c>
      <c r="H2743" t="s">
        <v>84</v>
      </c>
      <c r="I2743" t="s">
        <v>57</v>
      </c>
      <c r="K2743" t="s">
        <v>141</v>
      </c>
      <c r="L2743" t="s">
        <v>1243</v>
      </c>
      <c r="M2743" t="s">
        <v>60</v>
      </c>
      <c r="P2743" t="s">
        <v>224</v>
      </c>
      <c r="R2743" t="s">
        <v>183</v>
      </c>
      <c r="S2743" t="s">
        <v>64</v>
      </c>
      <c r="T2743">
        <v>246.7</v>
      </c>
      <c r="U2743">
        <v>242</v>
      </c>
      <c r="V2743">
        <f t="shared" si="84"/>
        <v>244.35</v>
      </c>
      <c r="W2743">
        <f t="shared" si="85"/>
        <v>4.6999999999999886</v>
      </c>
      <c r="X2743">
        <v>-2.0763889999999998</v>
      </c>
      <c r="Y2743">
        <v>52.326388999999999</v>
      </c>
      <c r="Z2743" t="s">
        <v>184</v>
      </c>
      <c r="AA2743" t="s">
        <v>91</v>
      </c>
      <c r="AB2743" t="s">
        <v>92</v>
      </c>
      <c r="AC2743" t="s">
        <v>3243</v>
      </c>
      <c r="AD2743" t="s">
        <v>1244</v>
      </c>
      <c r="AF2743" t="s">
        <v>3244</v>
      </c>
      <c r="AH2743" t="s">
        <v>72</v>
      </c>
      <c r="AI2743" t="s">
        <v>1246</v>
      </c>
      <c r="AJ2743">
        <v>1996</v>
      </c>
      <c r="AK2743" t="s">
        <v>3245</v>
      </c>
      <c r="AN2743" t="s">
        <v>76</v>
      </c>
      <c r="AO2743" t="s">
        <v>77</v>
      </c>
      <c r="AP2743" t="s">
        <v>359</v>
      </c>
      <c r="AQ2743" t="s">
        <v>3246</v>
      </c>
      <c r="AR2743" t="s">
        <v>80</v>
      </c>
      <c r="AS2743">
        <v>315</v>
      </c>
      <c r="AT2743" t="s">
        <v>81</v>
      </c>
      <c r="AU2743">
        <v>19.96</v>
      </c>
      <c r="AV2743">
        <v>29.55</v>
      </c>
      <c r="AW2743" t="s">
        <v>82</v>
      </c>
      <c r="AX2743">
        <v>315</v>
      </c>
      <c r="AY2743" t="s">
        <v>81</v>
      </c>
      <c r="AZ2743">
        <v>11.18</v>
      </c>
      <c r="BA2743">
        <v>15.54</v>
      </c>
      <c r="BB2743" t="s">
        <v>83</v>
      </c>
    </row>
    <row r="2744" spans="1:54" x14ac:dyDescent="0.4">
      <c r="A2744">
        <v>880676</v>
      </c>
      <c r="D2744" t="s">
        <v>853</v>
      </c>
      <c r="E2744" t="s">
        <v>152</v>
      </c>
      <c r="F2744" t="s">
        <v>1283</v>
      </c>
      <c r="G2744">
        <v>2</v>
      </c>
      <c r="H2744" t="s">
        <v>84</v>
      </c>
      <c r="I2744" t="s">
        <v>57</v>
      </c>
      <c r="K2744" t="s">
        <v>840</v>
      </c>
      <c r="L2744" t="s">
        <v>1268</v>
      </c>
      <c r="M2744" t="s">
        <v>60</v>
      </c>
      <c r="O2744" t="s">
        <v>170</v>
      </c>
      <c r="P2744" t="s">
        <v>224</v>
      </c>
      <c r="R2744" t="s">
        <v>183</v>
      </c>
      <c r="S2744" t="s">
        <v>64</v>
      </c>
      <c r="T2744">
        <v>246.7</v>
      </c>
      <c r="U2744">
        <v>242</v>
      </c>
      <c r="V2744">
        <f t="shared" si="84"/>
        <v>244.35</v>
      </c>
      <c r="W2744">
        <f t="shared" si="85"/>
        <v>4.6999999999999886</v>
      </c>
      <c r="X2744">
        <v>-2.0763889999999998</v>
      </c>
      <c r="Y2744">
        <v>52.326388999999999</v>
      </c>
      <c r="Z2744" t="s">
        <v>184</v>
      </c>
      <c r="AA2744" t="s">
        <v>91</v>
      </c>
      <c r="AB2744" t="s">
        <v>92</v>
      </c>
      <c r="AC2744" t="s">
        <v>3243</v>
      </c>
      <c r="AD2744" t="s">
        <v>1244</v>
      </c>
      <c r="AF2744" t="s">
        <v>3244</v>
      </c>
      <c r="AH2744" t="s">
        <v>72</v>
      </c>
      <c r="AI2744" t="s">
        <v>1269</v>
      </c>
      <c r="AJ2744">
        <v>1990</v>
      </c>
      <c r="AK2744" t="s">
        <v>3245</v>
      </c>
      <c r="AN2744" t="s">
        <v>76</v>
      </c>
      <c r="AO2744" t="s">
        <v>77</v>
      </c>
      <c r="AP2744" t="s">
        <v>359</v>
      </c>
      <c r="AQ2744" t="s">
        <v>3246</v>
      </c>
      <c r="AR2744" t="s">
        <v>80</v>
      </c>
      <c r="AS2744">
        <v>315</v>
      </c>
      <c r="AT2744" t="s">
        <v>81</v>
      </c>
      <c r="AU2744">
        <v>19.96</v>
      </c>
      <c r="AV2744">
        <v>29.55</v>
      </c>
      <c r="AW2744" t="s">
        <v>82</v>
      </c>
      <c r="AX2744">
        <v>315</v>
      </c>
      <c r="AY2744" t="s">
        <v>81</v>
      </c>
      <c r="AZ2744">
        <v>11.18</v>
      </c>
      <c r="BA2744">
        <v>15.54</v>
      </c>
      <c r="BB2744" t="s">
        <v>83</v>
      </c>
    </row>
    <row r="2745" spans="1:54" x14ac:dyDescent="0.4">
      <c r="A2745">
        <v>880677</v>
      </c>
      <c r="D2745" t="s">
        <v>853</v>
      </c>
      <c r="E2745" t="s">
        <v>152</v>
      </c>
      <c r="F2745" t="s">
        <v>1283</v>
      </c>
      <c r="G2745">
        <v>5</v>
      </c>
      <c r="H2745" t="s">
        <v>84</v>
      </c>
      <c r="I2745" t="s">
        <v>57</v>
      </c>
      <c r="K2745" t="s">
        <v>580</v>
      </c>
      <c r="L2745" t="s">
        <v>1250</v>
      </c>
      <c r="M2745" t="s">
        <v>60</v>
      </c>
      <c r="O2745" t="s">
        <v>87</v>
      </c>
      <c r="P2745" t="s">
        <v>224</v>
      </c>
      <c r="R2745" t="s">
        <v>183</v>
      </c>
      <c r="S2745" t="s">
        <v>64</v>
      </c>
      <c r="T2745">
        <v>246.7</v>
      </c>
      <c r="U2745">
        <v>242</v>
      </c>
      <c r="V2745">
        <f t="shared" si="84"/>
        <v>244.35</v>
      </c>
      <c r="W2745">
        <f t="shared" si="85"/>
        <v>4.6999999999999886</v>
      </c>
      <c r="X2745">
        <v>-2.0763889999999998</v>
      </c>
      <c r="Y2745">
        <v>52.326388999999999</v>
      </c>
      <c r="Z2745" t="s">
        <v>184</v>
      </c>
      <c r="AA2745" t="s">
        <v>91</v>
      </c>
      <c r="AB2745" t="s">
        <v>92</v>
      </c>
      <c r="AC2745" t="s">
        <v>3243</v>
      </c>
      <c r="AD2745" t="s">
        <v>1244</v>
      </c>
      <c r="AF2745" t="s">
        <v>3244</v>
      </c>
      <c r="AH2745" t="s">
        <v>72</v>
      </c>
      <c r="AI2745" t="s">
        <v>3247</v>
      </c>
      <c r="AJ2745">
        <v>1997</v>
      </c>
      <c r="AK2745" t="s">
        <v>3245</v>
      </c>
      <c r="AN2745" t="s">
        <v>76</v>
      </c>
      <c r="AO2745" t="s">
        <v>77</v>
      </c>
      <c r="AP2745" t="s">
        <v>359</v>
      </c>
      <c r="AQ2745" t="s">
        <v>3246</v>
      </c>
      <c r="AR2745" t="s">
        <v>80</v>
      </c>
      <c r="AS2745">
        <v>315</v>
      </c>
      <c r="AT2745" t="s">
        <v>81</v>
      </c>
      <c r="AU2745">
        <v>19.96</v>
      </c>
      <c r="AV2745">
        <v>29.55</v>
      </c>
      <c r="AW2745" t="s">
        <v>82</v>
      </c>
      <c r="AX2745">
        <v>315</v>
      </c>
      <c r="AY2745" t="s">
        <v>81</v>
      </c>
      <c r="AZ2745">
        <v>11.18</v>
      </c>
      <c r="BA2745">
        <v>15.54</v>
      </c>
      <c r="BB2745" t="s">
        <v>83</v>
      </c>
    </row>
    <row r="2746" spans="1:54" x14ac:dyDescent="0.4">
      <c r="A2746">
        <v>883956</v>
      </c>
      <c r="D2746" t="s">
        <v>54</v>
      </c>
      <c r="E2746" t="s">
        <v>152</v>
      </c>
      <c r="G2746">
        <v>1</v>
      </c>
      <c r="H2746" t="s">
        <v>56</v>
      </c>
      <c r="I2746" t="s">
        <v>57</v>
      </c>
      <c r="K2746" t="s">
        <v>141</v>
      </c>
      <c r="L2746" t="s">
        <v>3326</v>
      </c>
      <c r="M2746" t="s">
        <v>223</v>
      </c>
      <c r="P2746" t="s">
        <v>224</v>
      </c>
      <c r="R2746" t="s">
        <v>183</v>
      </c>
      <c r="S2746" t="s">
        <v>64</v>
      </c>
      <c r="T2746">
        <v>246.7</v>
      </c>
      <c r="U2746">
        <v>242</v>
      </c>
      <c r="V2746">
        <f t="shared" si="84"/>
        <v>244.35</v>
      </c>
      <c r="W2746">
        <f t="shared" si="85"/>
        <v>4.6999999999999886</v>
      </c>
      <c r="X2746">
        <v>106.5</v>
      </c>
      <c r="Y2746">
        <v>26.5</v>
      </c>
      <c r="Z2746" t="s">
        <v>520</v>
      </c>
      <c r="AA2746" t="s">
        <v>379</v>
      </c>
      <c r="AB2746" t="s">
        <v>682</v>
      </c>
      <c r="AH2746" t="s">
        <v>72</v>
      </c>
      <c r="AI2746" t="s">
        <v>2013</v>
      </c>
      <c r="AJ2746">
        <v>1999</v>
      </c>
      <c r="AK2746" t="s">
        <v>3327</v>
      </c>
      <c r="AN2746" t="s">
        <v>192</v>
      </c>
      <c r="AO2746" t="s">
        <v>160</v>
      </c>
      <c r="AP2746" t="s">
        <v>115</v>
      </c>
      <c r="AQ2746" t="s">
        <v>3328</v>
      </c>
      <c r="AR2746" t="s">
        <v>80</v>
      </c>
      <c r="AS2746">
        <v>611</v>
      </c>
      <c r="AT2746" t="s">
        <v>81</v>
      </c>
      <c r="AU2746">
        <v>108.75</v>
      </c>
      <c r="AV2746">
        <v>-9.5500000000000007</v>
      </c>
      <c r="AW2746" t="s">
        <v>82</v>
      </c>
      <c r="AX2746">
        <v>611</v>
      </c>
      <c r="AY2746" t="s">
        <v>81</v>
      </c>
      <c r="AZ2746">
        <v>96.01</v>
      </c>
      <c r="BA2746">
        <v>13.2</v>
      </c>
      <c r="BB2746" t="s">
        <v>83</v>
      </c>
    </row>
    <row r="2747" spans="1:54" x14ac:dyDescent="0.4">
      <c r="A2747">
        <v>893427</v>
      </c>
      <c r="D2747" t="s">
        <v>54</v>
      </c>
      <c r="F2747" t="s">
        <v>2523</v>
      </c>
      <c r="G2747">
        <v>1</v>
      </c>
      <c r="H2747" t="s">
        <v>56</v>
      </c>
      <c r="I2747" t="s">
        <v>57</v>
      </c>
      <c r="K2747" t="s">
        <v>771</v>
      </c>
      <c r="L2747" t="s">
        <v>772</v>
      </c>
      <c r="M2747" t="s">
        <v>223</v>
      </c>
      <c r="P2747" t="s">
        <v>224</v>
      </c>
      <c r="R2747" t="s">
        <v>183</v>
      </c>
      <c r="S2747" t="s">
        <v>64</v>
      </c>
      <c r="T2747">
        <v>246.7</v>
      </c>
      <c r="U2747">
        <v>242</v>
      </c>
      <c r="V2747">
        <f t="shared" si="84"/>
        <v>244.35</v>
      </c>
      <c r="W2747">
        <f t="shared" si="85"/>
        <v>4.6999999999999886</v>
      </c>
      <c r="X2747">
        <v>104.449997</v>
      </c>
      <c r="Y2747">
        <v>25.700001</v>
      </c>
      <c r="Z2747" t="s">
        <v>520</v>
      </c>
      <c r="AA2747" t="s">
        <v>379</v>
      </c>
      <c r="AB2747" t="s">
        <v>682</v>
      </c>
      <c r="AC2747" t="s">
        <v>2160</v>
      </c>
      <c r="AD2747" t="s">
        <v>2161</v>
      </c>
      <c r="AF2747" t="s">
        <v>3374</v>
      </c>
      <c r="AH2747" t="s">
        <v>72</v>
      </c>
      <c r="AI2747" t="s">
        <v>3375</v>
      </c>
      <c r="AJ2747">
        <v>2006</v>
      </c>
      <c r="AK2747" t="s">
        <v>3376</v>
      </c>
      <c r="AN2747" t="s">
        <v>192</v>
      </c>
      <c r="AO2747" t="s">
        <v>160</v>
      </c>
      <c r="AR2747" t="s">
        <v>80</v>
      </c>
      <c r="AS2747">
        <v>611</v>
      </c>
      <c r="AT2747" t="s">
        <v>81</v>
      </c>
      <c r="AU2747">
        <v>106.92</v>
      </c>
      <c r="AV2747">
        <v>-10.43</v>
      </c>
      <c r="AW2747" t="s">
        <v>82</v>
      </c>
      <c r="AX2747">
        <v>611</v>
      </c>
      <c r="AY2747" t="s">
        <v>81</v>
      </c>
      <c r="AZ2747">
        <v>94.85</v>
      </c>
      <c r="BA2747">
        <v>11.54</v>
      </c>
      <c r="BB2747" t="s">
        <v>83</v>
      </c>
    </row>
    <row r="2748" spans="1:54" x14ac:dyDescent="0.4">
      <c r="A2748">
        <v>893427</v>
      </c>
      <c r="D2748" t="s">
        <v>54</v>
      </c>
      <c r="F2748" t="s">
        <v>2523</v>
      </c>
      <c r="G2748">
        <v>1</v>
      </c>
      <c r="H2748" t="s">
        <v>56</v>
      </c>
      <c r="I2748" t="s">
        <v>57</v>
      </c>
      <c r="K2748" t="s">
        <v>771</v>
      </c>
      <c r="L2748" t="s">
        <v>772</v>
      </c>
      <c r="M2748" t="s">
        <v>223</v>
      </c>
      <c r="P2748" t="s">
        <v>224</v>
      </c>
      <c r="R2748" t="s">
        <v>183</v>
      </c>
      <c r="S2748" t="s">
        <v>64</v>
      </c>
      <c r="T2748">
        <v>246.7</v>
      </c>
      <c r="U2748">
        <v>242</v>
      </c>
      <c r="V2748">
        <f t="shared" si="84"/>
        <v>244.35</v>
      </c>
      <c r="W2748">
        <f t="shared" si="85"/>
        <v>4.6999999999999886</v>
      </c>
      <c r="X2748">
        <v>104.449997</v>
      </c>
      <c r="Y2748">
        <v>25.700001</v>
      </c>
      <c r="Z2748" t="s">
        <v>520</v>
      </c>
      <c r="AA2748" t="s">
        <v>379</v>
      </c>
      <c r="AB2748" t="s">
        <v>682</v>
      </c>
      <c r="AC2748" t="s">
        <v>2160</v>
      </c>
      <c r="AD2748" t="s">
        <v>2161</v>
      </c>
      <c r="AF2748" t="s">
        <v>3374</v>
      </c>
      <c r="AH2748" t="s">
        <v>72</v>
      </c>
      <c r="AI2748" t="s">
        <v>3375</v>
      </c>
      <c r="AJ2748">
        <v>2006</v>
      </c>
      <c r="AK2748" t="s">
        <v>3376</v>
      </c>
      <c r="AN2748" t="s">
        <v>192</v>
      </c>
      <c r="AO2748" t="s">
        <v>160</v>
      </c>
      <c r="AR2748" t="s">
        <v>80</v>
      </c>
      <c r="AS2748">
        <v>611</v>
      </c>
      <c r="AT2748" t="s">
        <v>81</v>
      </c>
      <c r="AU2748">
        <v>106.92</v>
      </c>
      <c r="AV2748">
        <v>-10.43</v>
      </c>
      <c r="AW2748" t="s">
        <v>82</v>
      </c>
      <c r="AX2748">
        <v>611</v>
      </c>
      <c r="AY2748" t="s">
        <v>81</v>
      </c>
      <c r="AZ2748">
        <v>94.85</v>
      </c>
      <c r="BA2748">
        <v>11.54</v>
      </c>
      <c r="BB2748" t="s">
        <v>83</v>
      </c>
    </row>
    <row r="2749" spans="1:54" x14ac:dyDescent="0.4">
      <c r="A2749">
        <v>899258</v>
      </c>
      <c r="D2749" t="s">
        <v>54</v>
      </c>
      <c r="E2749" t="s">
        <v>55</v>
      </c>
      <c r="G2749">
        <v>1</v>
      </c>
      <c r="H2749" t="s">
        <v>56</v>
      </c>
      <c r="I2749" t="s">
        <v>57</v>
      </c>
      <c r="K2749" t="s">
        <v>705</v>
      </c>
      <c r="L2749" t="s">
        <v>3430</v>
      </c>
      <c r="M2749" t="s">
        <v>60</v>
      </c>
      <c r="P2749" t="s">
        <v>224</v>
      </c>
      <c r="R2749" t="s">
        <v>183</v>
      </c>
      <c r="S2749" t="s">
        <v>64</v>
      </c>
      <c r="T2749">
        <v>246.7</v>
      </c>
      <c r="U2749">
        <v>242</v>
      </c>
      <c r="V2749">
        <f t="shared" si="84"/>
        <v>244.35</v>
      </c>
      <c r="W2749">
        <f t="shared" si="85"/>
        <v>4.6999999999999886</v>
      </c>
      <c r="X2749">
        <v>111</v>
      </c>
      <c r="Y2749">
        <v>39.099997999999999</v>
      </c>
      <c r="Z2749" t="s">
        <v>124</v>
      </c>
      <c r="AA2749" t="s">
        <v>379</v>
      </c>
      <c r="AB2749" t="s">
        <v>387</v>
      </c>
      <c r="AD2749" t="s">
        <v>2585</v>
      </c>
      <c r="AF2749" t="s">
        <v>620</v>
      </c>
      <c r="AH2749" t="s">
        <v>72</v>
      </c>
      <c r="AI2749" t="s">
        <v>3355</v>
      </c>
      <c r="AJ2749">
        <v>1982</v>
      </c>
      <c r="AK2749" t="s">
        <v>388</v>
      </c>
      <c r="AN2749" t="s">
        <v>114</v>
      </c>
      <c r="AO2749">
        <v>1</v>
      </c>
      <c r="AP2749" t="s">
        <v>115</v>
      </c>
      <c r="AQ2749" t="s">
        <v>3431</v>
      </c>
      <c r="AR2749" t="s">
        <v>80</v>
      </c>
      <c r="AS2749">
        <v>604</v>
      </c>
      <c r="AT2749" t="s">
        <v>81</v>
      </c>
      <c r="AU2749">
        <v>118.67</v>
      </c>
      <c r="AV2749">
        <v>15.92</v>
      </c>
      <c r="AW2749" t="s">
        <v>82</v>
      </c>
      <c r="AX2749">
        <v>604</v>
      </c>
      <c r="AY2749" t="s">
        <v>81</v>
      </c>
      <c r="AZ2749">
        <v>90.35</v>
      </c>
      <c r="BA2749">
        <v>38.99</v>
      </c>
      <c r="BB2749" t="s">
        <v>83</v>
      </c>
    </row>
    <row r="2750" spans="1:54" x14ac:dyDescent="0.4">
      <c r="A2750">
        <v>899756</v>
      </c>
      <c r="D2750" t="s">
        <v>54</v>
      </c>
      <c r="I2750" t="s">
        <v>57</v>
      </c>
      <c r="K2750" t="s">
        <v>232</v>
      </c>
      <c r="L2750" t="s">
        <v>3436</v>
      </c>
      <c r="M2750" t="s">
        <v>223</v>
      </c>
      <c r="N2750" t="s">
        <v>234</v>
      </c>
      <c r="O2750" t="s">
        <v>87</v>
      </c>
      <c r="P2750" t="s">
        <v>224</v>
      </c>
      <c r="R2750" t="s">
        <v>183</v>
      </c>
      <c r="S2750" t="s">
        <v>64</v>
      </c>
      <c r="T2750">
        <v>246.7</v>
      </c>
      <c r="U2750">
        <v>242</v>
      </c>
      <c r="V2750">
        <f t="shared" si="84"/>
        <v>244.35</v>
      </c>
      <c r="W2750">
        <f t="shared" si="85"/>
        <v>4.6999999999999886</v>
      </c>
      <c r="X2750">
        <v>104.905556</v>
      </c>
      <c r="Y2750">
        <v>25.518888</v>
      </c>
      <c r="Z2750" t="s">
        <v>1596</v>
      </c>
      <c r="AA2750" t="s">
        <v>379</v>
      </c>
      <c r="AB2750" t="s">
        <v>682</v>
      </c>
      <c r="AC2750" t="s">
        <v>2160</v>
      </c>
      <c r="AH2750" t="s">
        <v>72</v>
      </c>
      <c r="AI2750" t="s">
        <v>659</v>
      </c>
      <c r="AJ2750">
        <v>2008</v>
      </c>
      <c r="AK2750" t="s">
        <v>3437</v>
      </c>
      <c r="AN2750" t="s">
        <v>76</v>
      </c>
      <c r="AO2750" t="s">
        <v>77</v>
      </c>
      <c r="AP2750" t="s">
        <v>78</v>
      </c>
      <c r="AQ2750" t="s">
        <v>3438</v>
      </c>
      <c r="AR2750" t="s">
        <v>80</v>
      </c>
      <c r="AS2750">
        <v>611</v>
      </c>
      <c r="AT2750" t="s">
        <v>81</v>
      </c>
      <c r="AU2750">
        <v>107.34</v>
      </c>
      <c r="AV2750">
        <v>-10.6</v>
      </c>
      <c r="AW2750" t="s">
        <v>82</v>
      </c>
      <c r="AX2750">
        <v>611</v>
      </c>
      <c r="AY2750" t="s">
        <v>81</v>
      </c>
      <c r="AZ2750">
        <v>95.3</v>
      </c>
      <c r="BA2750">
        <v>11.61</v>
      </c>
      <c r="BB2750" t="s">
        <v>83</v>
      </c>
    </row>
    <row r="2751" spans="1:54" x14ac:dyDescent="0.4">
      <c r="A2751">
        <v>899759</v>
      </c>
      <c r="D2751" t="s">
        <v>54</v>
      </c>
      <c r="I2751" t="s">
        <v>57</v>
      </c>
      <c r="K2751" t="s">
        <v>232</v>
      </c>
      <c r="L2751" t="s">
        <v>3436</v>
      </c>
      <c r="M2751" t="s">
        <v>223</v>
      </c>
      <c r="N2751" t="s">
        <v>234</v>
      </c>
      <c r="O2751" t="s">
        <v>87</v>
      </c>
      <c r="P2751" t="s">
        <v>224</v>
      </c>
      <c r="R2751" t="s">
        <v>183</v>
      </c>
      <c r="S2751" t="s">
        <v>64</v>
      </c>
      <c r="T2751">
        <v>246.7</v>
      </c>
      <c r="U2751">
        <v>242</v>
      </c>
      <c r="V2751">
        <f t="shared" si="84"/>
        <v>244.35</v>
      </c>
      <c r="W2751">
        <f t="shared" si="85"/>
        <v>4.6999999999999886</v>
      </c>
      <c r="X2751">
        <v>104.905556</v>
      </c>
      <c r="Y2751">
        <v>25.518888</v>
      </c>
      <c r="Z2751" t="s">
        <v>1596</v>
      </c>
      <c r="AA2751" t="s">
        <v>379</v>
      </c>
      <c r="AB2751" t="s">
        <v>682</v>
      </c>
      <c r="AC2751" t="s">
        <v>2160</v>
      </c>
      <c r="AH2751" t="s">
        <v>72</v>
      </c>
      <c r="AI2751" t="s">
        <v>659</v>
      </c>
      <c r="AJ2751">
        <v>2008</v>
      </c>
      <c r="AK2751" t="s">
        <v>3439</v>
      </c>
      <c r="AN2751" t="s">
        <v>76</v>
      </c>
      <c r="AO2751" t="s">
        <v>77</v>
      </c>
      <c r="AP2751" t="s">
        <v>78</v>
      </c>
      <c r="AQ2751" t="s">
        <v>3438</v>
      </c>
      <c r="AR2751" t="s">
        <v>80</v>
      </c>
      <c r="AS2751">
        <v>611</v>
      </c>
      <c r="AT2751" t="s">
        <v>81</v>
      </c>
      <c r="AU2751">
        <v>107.34</v>
      </c>
      <c r="AV2751">
        <v>-10.6</v>
      </c>
      <c r="AW2751" t="s">
        <v>82</v>
      </c>
      <c r="AX2751">
        <v>611</v>
      </c>
      <c r="AY2751" t="s">
        <v>81</v>
      </c>
      <c r="AZ2751">
        <v>95.3</v>
      </c>
      <c r="BA2751">
        <v>11.61</v>
      </c>
      <c r="BB2751" t="s">
        <v>83</v>
      </c>
    </row>
    <row r="2752" spans="1:54" x14ac:dyDescent="0.4">
      <c r="A2752">
        <v>899764</v>
      </c>
      <c r="D2752" t="s">
        <v>54</v>
      </c>
      <c r="I2752" t="s">
        <v>57</v>
      </c>
      <c r="K2752" t="s">
        <v>232</v>
      </c>
      <c r="L2752" t="s">
        <v>3436</v>
      </c>
      <c r="M2752" t="s">
        <v>223</v>
      </c>
      <c r="N2752" t="s">
        <v>234</v>
      </c>
      <c r="O2752" t="s">
        <v>87</v>
      </c>
      <c r="P2752" t="s">
        <v>224</v>
      </c>
      <c r="R2752" t="s">
        <v>183</v>
      </c>
      <c r="S2752" t="s">
        <v>64</v>
      </c>
      <c r="T2752">
        <v>246.7</v>
      </c>
      <c r="U2752">
        <v>242</v>
      </c>
      <c r="V2752">
        <f t="shared" si="84"/>
        <v>244.35</v>
      </c>
      <c r="W2752">
        <f t="shared" si="85"/>
        <v>4.6999999999999886</v>
      </c>
      <c r="X2752">
        <v>104.905556</v>
      </c>
      <c r="Y2752">
        <v>25.518888</v>
      </c>
      <c r="Z2752" t="s">
        <v>1596</v>
      </c>
      <c r="AA2752" t="s">
        <v>379</v>
      </c>
      <c r="AB2752" t="s">
        <v>682</v>
      </c>
      <c r="AC2752" t="s">
        <v>2160</v>
      </c>
      <c r="AH2752" t="s">
        <v>72</v>
      </c>
      <c r="AI2752" t="s">
        <v>659</v>
      </c>
      <c r="AJ2752">
        <v>2008</v>
      </c>
      <c r="AK2752" t="s">
        <v>3442</v>
      </c>
      <c r="AN2752" t="s">
        <v>76</v>
      </c>
      <c r="AO2752" t="s">
        <v>77</v>
      </c>
      <c r="AP2752" t="s">
        <v>78</v>
      </c>
      <c r="AQ2752" t="s">
        <v>3438</v>
      </c>
      <c r="AR2752" t="s">
        <v>80</v>
      </c>
      <c r="AS2752">
        <v>611</v>
      </c>
      <c r="AT2752" t="s">
        <v>81</v>
      </c>
      <c r="AU2752">
        <v>107.34</v>
      </c>
      <c r="AV2752">
        <v>-10.6</v>
      </c>
      <c r="AW2752" t="s">
        <v>82</v>
      </c>
      <c r="AX2752">
        <v>611</v>
      </c>
      <c r="AY2752" t="s">
        <v>81</v>
      </c>
      <c r="AZ2752">
        <v>95.3</v>
      </c>
      <c r="BA2752">
        <v>11.61</v>
      </c>
      <c r="BB2752" t="s">
        <v>83</v>
      </c>
    </row>
    <row r="2753" spans="1:54" x14ac:dyDescent="0.4">
      <c r="A2753">
        <v>899766</v>
      </c>
      <c r="D2753" t="s">
        <v>54</v>
      </c>
      <c r="I2753" t="s">
        <v>57</v>
      </c>
      <c r="K2753" t="s">
        <v>232</v>
      </c>
      <c r="L2753" t="s">
        <v>3436</v>
      </c>
      <c r="M2753" t="s">
        <v>223</v>
      </c>
      <c r="N2753" t="s">
        <v>234</v>
      </c>
      <c r="O2753" t="s">
        <v>87</v>
      </c>
      <c r="P2753" t="s">
        <v>224</v>
      </c>
      <c r="R2753" t="s">
        <v>183</v>
      </c>
      <c r="S2753" t="s">
        <v>64</v>
      </c>
      <c r="T2753">
        <v>246.7</v>
      </c>
      <c r="U2753">
        <v>242</v>
      </c>
      <c r="V2753">
        <f t="shared" si="84"/>
        <v>244.35</v>
      </c>
      <c r="W2753">
        <f t="shared" si="85"/>
        <v>4.6999999999999886</v>
      </c>
      <c r="X2753">
        <v>104.905556</v>
      </c>
      <c r="Y2753">
        <v>25.518888</v>
      </c>
      <c r="Z2753" t="s">
        <v>1596</v>
      </c>
      <c r="AA2753" t="s">
        <v>379</v>
      </c>
      <c r="AB2753" t="s">
        <v>682</v>
      </c>
      <c r="AC2753" t="s">
        <v>2160</v>
      </c>
      <c r="AH2753" t="s">
        <v>72</v>
      </c>
      <c r="AI2753" t="s">
        <v>659</v>
      </c>
      <c r="AJ2753">
        <v>2008</v>
      </c>
      <c r="AK2753" t="s">
        <v>3443</v>
      </c>
      <c r="AN2753" t="s">
        <v>76</v>
      </c>
      <c r="AO2753" t="s">
        <v>77</v>
      </c>
      <c r="AP2753" t="s">
        <v>78</v>
      </c>
      <c r="AQ2753" t="s">
        <v>3438</v>
      </c>
      <c r="AR2753" t="s">
        <v>80</v>
      </c>
      <c r="AS2753">
        <v>611</v>
      </c>
      <c r="AT2753" t="s">
        <v>81</v>
      </c>
      <c r="AU2753">
        <v>107.34</v>
      </c>
      <c r="AV2753">
        <v>-10.6</v>
      </c>
      <c r="AW2753" t="s">
        <v>82</v>
      </c>
      <c r="AX2753">
        <v>611</v>
      </c>
      <c r="AY2753" t="s">
        <v>81</v>
      </c>
      <c r="AZ2753">
        <v>95.3</v>
      </c>
      <c r="BA2753">
        <v>11.61</v>
      </c>
      <c r="BB2753" t="s">
        <v>83</v>
      </c>
    </row>
    <row r="2754" spans="1:54" x14ac:dyDescent="0.4">
      <c r="A2754">
        <v>899768</v>
      </c>
      <c r="D2754" t="s">
        <v>54</v>
      </c>
      <c r="I2754" t="s">
        <v>57</v>
      </c>
      <c r="K2754" t="s">
        <v>232</v>
      </c>
      <c r="L2754" t="s">
        <v>3436</v>
      </c>
      <c r="M2754" t="s">
        <v>223</v>
      </c>
      <c r="N2754" t="s">
        <v>234</v>
      </c>
      <c r="O2754" t="s">
        <v>87</v>
      </c>
      <c r="P2754" t="s">
        <v>224</v>
      </c>
      <c r="R2754" t="s">
        <v>183</v>
      </c>
      <c r="S2754" t="s">
        <v>64</v>
      </c>
      <c r="T2754">
        <v>246.7</v>
      </c>
      <c r="U2754">
        <v>242</v>
      </c>
      <c r="V2754">
        <f t="shared" si="84"/>
        <v>244.35</v>
      </c>
      <c r="W2754">
        <f t="shared" si="85"/>
        <v>4.6999999999999886</v>
      </c>
      <c r="X2754">
        <v>104.905556</v>
      </c>
      <c r="Y2754">
        <v>25.518888</v>
      </c>
      <c r="Z2754" t="s">
        <v>1596</v>
      </c>
      <c r="AA2754" t="s">
        <v>379</v>
      </c>
      <c r="AB2754" t="s">
        <v>682</v>
      </c>
      <c r="AC2754" t="s">
        <v>2160</v>
      </c>
      <c r="AH2754" t="s">
        <v>72</v>
      </c>
      <c r="AI2754" t="s">
        <v>659</v>
      </c>
      <c r="AJ2754">
        <v>2008</v>
      </c>
      <c r="AK2754" t="s">
        <v>3444</v>
      </c>
      <c r="AN2754" t="s">
        <v>76</v>
      </c>
      <c r="AO2754" t="s">
        <v>77</v>
      </c>
      <c r="AP2754" t="s">
        <v>78</v>
      </c>
      <c r="AQ2754" t="s">
        <v>3438</v>
      </c>
      <c r="AR2754" t="s">
        <v>80</v>
      </c>
      <c r="AS2754">
        <v>611</v>
      </c>
      <c r="AT2754" t="s">
        <v>81</v>
      </c>
      <c r="AU2754">
        <v>107.34</v>
      </c>
      <c r="AV2754">
        <v>-10.6</v>
      </c>
      <c r="AW2754" t="s">
        <v>82</v>
      </c>
      <c r="AX2754">
        <v>611</v>
      </c>
      <c r="AY2754" t="s">
        <v>81</v>
      </c>
      <c r="AZ2754">
        <v>95.3</v>
      </c>
      <c r="BA2754">
        <v>11.61</v>
      </c>
      <c r="BB2754" t="s">
        <v>83</v>
      </c>
    </row>
    <row r="2755" spans="1:54" x14ac:dyDescent="0.4">
      <c r="A2755">
        <v>899770</v>
      </c>
      <c r="D2755" t="s">
        <v>54</v>
      </c>
      <c r="I2755" t="s">
        <v>57</v>
      </c>
      <c r="K2755" t="s">
        <v>232</v>
      </c>
      <c r="L2755" t="s">
        <v>3436</v>
      </c>
      <c r="M2755" t="s">
        <v>223</v>
      </c>
      <c r="N2755" t="s">
        <v>234</v>
      </c>
      <c r="O2755" t="s">
        <v>87</v>
      </c>
      <c r="P2755" t="s">
        <v>224</v>
      </c>
      <c r="R2755" t="s">
        <v>183</v>
      </c>
      <c r="S2755" t="s">
        <v>64</v>
      </c>
      <c r="T2755">
        <v>246.7</v>
      </c>
      <c r="U2755">
        <v>242</v>
      </c>
      <c r="V2755">
        <f t="shared" ref="V2755:V2818" si="86">(T2755+U2755)/2</f>
        <v>244.35</v>
      </c>
      <c r="W2755">
        <f t="shared" ref="W2755:W2818" si="87">T2755-U2755</f>
        <v>4.6999999999999886</v>
      </c>
      <c r="X2755">
        <v>104.905556</v>
      </c>
      <c r="Y2755">
        <v>25.518888</v>
      </c>
      <c r="Z2755" t="s">
        <v>1596</v>
      </c>
      <c r="AA2755" t="s">
        <v>379</v>
      </c>
      <c r="AB2755" t="s">
        <v>682</v>
      </c>
      <c r="AC2755" t="s">
        <v>2160</v>
      </c>
      <c r="AH2755" t="s">
        <v>72</v>
      </c>
      <c r="AI2755" t="s">
        <v>659</v>
      </c>
      <c r="AJ2755">
        <v>2008</v>
      </c>
      <c r="AK2755" t="s">
        <v>3445</v>
      </c>
      <c r="AN2755" t="s">
        <v>76</v>
      </c>
      <c r="AO2755" t="s">
        <v>77</v>
      </c>
      <c r="AP2755" t="s">
        <v>78</v>
      </c>
      <c r="AQ2755" t="s">
        <v>3438</v>
      </c>
      <c r="AR2755" t="s">
        <v>80</v>
      </c>
      <c r="AS2755">
        <v>611</v>
      </c>
      <c r="AT2755" t="s">
        <v>81</v>
      </c>
      <c r="AU2755">
        <v>107.34</v>
      </c>
      <c r="AV2755">
        <v>-10.6</v>
      </c>
      <c r="AW2755" t="s">
        <v>82</v>
      </c>
      <c r="AX2755">
        <v>611</v>
      </c>
      <c r="AY2755" t="s">
        <v>81</v>
      </c>
      <c r="AZ2755">
        <v>95.3</v>
      </c>
      <c r="BA2755">
        <v>11.61</v>
      </c>
      <c r="BB2755" t="s">
        <v>83</v>
      </c>
    </row>
    <row r="2756" spans="1:54" x14ac:dyDescent="0.4">
      <c r="A2756">
        <v>902067</v>
      </c>
      <c r="D2756" t="s">
        <v>54</v>
      </c>
      <c r="G2756">
        <v>1</v>
      </c>
      <c r="H2756" t="s">
        <v>56</v>
      </c>
      <c r="I2756" t="s">
        <v>57</v>
      </c>
      <c r="K2756" t="s">
        <v>1873</v>
      </c>
      <c r="L2756" t="s">
        <v>3455</v>
      </c>
      <c r="M2756" t="s">
        <v>60</v>
      </c>
      <c r="P2756" t="s">
        <v>224</v>
      </c>
      <c r="R2756" t="s">
        <v>183</v>
      </c>
      <c r="S2756" t="s">
        <v>64</v>
      </c>
      <c r="T2756">
        <v>246.7</v>
      </c>
      <c r="U2756">
        <v>242</v>
      </c>
      <c r="V2756">
        <f t="shared" si="86"/>
        <v>244.35</v>
      </c>
      <c r="W2756">
        <f t="shared" si="87"/>
        <v>4.6999999999999886</v>
      </c>
      <c r="X2756">
        <v>112.900002</v>
      </c>
      <c r="Y2756">
        <v>36.916668000000001</v>
      </c>
      <c r="Z2756" t="s">
        <v>124</v>
      </c>
      <c r="AA2756" t="s">
        <v>379</v>
      </c>
      <c r="AB2756" t="s">
        <v>1537</v>
      </c>
      <c r="AD2756" t="s">
        <v>2585</v>
      </c>
      <c r="AF2756" t="s">
        <v>3456</v>
      </c>
      <c r="AG2756" t="s">
        <v>2590</v>
      </c>
      <c r="AH2756" t="s">
        <v>72</v>
      </c>
      <c r="AI2756" t="s">
        <v>683</v>
      </c>
      <c r="AJ2756">
        <v>1964</v>
      </c>
      <c r="AK2756" t="s">
        <v>3457</v>
      </c>
      <c r="AM2756" t="s">
        <v>3458</v>
      </c>
      <c r="AN2756" t="s">
        <v>192</v>
      </c>
      <c r="AO2756" t="s">
        <v>160</v>
      </c>
      <c r="AP2756" t="s">
        <v>115</v>
      </c>
      <c r="AQ2756" t="s">
        <v>3459</v>
      </c>
      <c r="AR2756" t="s">
        <v>80</v>
      </c>
      <c r="AS2756">
        <v>604</v>
      </c>
      <c r="AT2756" t="s">
        <v>81</v>
      </c>
      <c r="AU2756">
        <v>118.15</v>
      </c>
      <c r="AV2756">
        <v>13.32</v>
      </c>
      <c r="AW2756" t="s">
        <v>82</v>
      </c>
      <c r="AX2756">
        <v>604</v>
      </c>
      <c r="AY2756" t="s">
        <v>81</v>
      </c>
      <c r="AZ2756">
        <v>91.65</v>
      </c>
      <c r="BA2756">
        <v>36.549999999999997</v>
      </c>
      <c r="BB2756" t="s">
        <v>83</v>
      </c>
    </row>
    <row r="2757" spans="1:54" x14ac:dyDescent="0.4">
      <c r="A2757">
        <v>902068</v>
      </c>
      <c r="D2757" t="s">
        <v>54</v>
      </c>
      <c r="G2757">
        <v>1</v>
      </c>
      <c r="H2757" t="s">
        <v>56</v>
      </c>
      <c r="I2757" t="s">
        <v>57</v>
      </c>
      <c r="K2757" t="s">
        <v>1873</v>
      </c>
      <c r="L2757" t="s">
        <v>3455</v>
      </c>
      <c r="M2757" t="s">
        <v>60</v>
      </c>
      <c r="P2757" t="s">
        <v>224</v>
      </c>
      <c r="R2757" t="s">
        <v>183</v>
      </c>
      <c r="S2757" t="s">
        <v>64</v>
      </c>
      <c r="T2757">
        <v>246.7</v>
      </c>
      <c r="U2757">
        <v>242</v>
      </c>
      <c r="V2757">
        <f t="shared" si="86"/>
        <v>244.35</v>
      </c>
      <c r="W2757">
        <f t="shared" si="87"/>
        <v>4.6999999999999886</v>
      </c>
      <c r="X2757">
        <v>112.883331</v>
      </c>
      <c r="Y2757">
        <v>36.983333999999999</v>
      </c>
      <c r="Z2757" t="s">
        <v>124</v>
      </c>
      <c r="AA2757" t="s">
        <v>379</v>
      </c>
      <c r="AB2757" t="s">
        <v>1537</v>
      </c>
      <c r="AD2757" t="s">
        <v>2585</v>
      </c>
      <c r="AF2757" t="s">
        <v>3456</v>
      </c>
      <c r="AG2757" t="s">
        <v>2590</v>
      </c>
      <c r="AH2757" t="s">
        <v>72</v>
      </c>
      <c r="AI2757" t="s">
        <v>683</v>
      </c>
      <c r="AJ2757">
        <v>1964</v>
      </c>
      <c r="AK2757" t="s">
        <v>3460</v>
      </c>
      <c r="AM2757" t="s">
        <v>3461</v>
      </c>
      <c r="AN2757" t="s">
        <v>192</v>
      </c>
      <c r="AO2757" t="s">
        <v>160</v>
      </c>
      <c r="AP2757" t="s">
        <v>115</v>
      </c>
      <c r="AQ2757" t="s">
        <v>3462</v>
      </c>
      <c r="AR2757" t="s">
        <v>80</v>
      </c>
      <c r="AS2757">
        <v>604</v>
      </c>
      <c r="AT2757" t="s">
        <v>81</v>
      </c>
      <c r="AU2757">
        <v>118.18</v>
      </c>
      <c r="AV2757">
        <v>13.38</v>
      </c>
      <c r="AW2757" t="s">
        <v>82</v>
      </c>
      <c r="AX2757">
        <v>604</v>
      </c>
      <c r="AY2757" t="s">
        <v>81</v>
      </c>
      <c r="AZ2757">
        <v>91.65</v>
      </c>
      <c r="BA2757">
        <v>36.619999999999997</v>
      </c>
      <c r="BB2757" t="s">
        <v>83</v>
      </c>
    </row>
    <row r="2758" spans="1:54" x14ac:dyDescent="0.4">
      <c r="A2758">
        <v>902069</v>
      </c>
      <c r="D2758" t="s">
        <v>54</v>
      </c>
      <c r="E2758" t="s">
        <v>152</v>
      </c>
      <c r="G2758">
        <v>1</v>
      </c>
      <c r="H2758" t="s">
        <v>56</v>
      </c>
      <c r="I2758" t="s">
        <v>57</v>
      </c>
      <c r="K2758" t="s">
        <v>1873</v>
      </c>
      <c r="L2758" t="s">
        <v>3455</v>
      </c>
      <c r="M2758" t="s">
        <v>60</v>
      </c>
      <c r="P2758" t="s">
        <v>224</v>
      </c>
      <c r="R2758" t="s">
        <v>183</v>
      </c>
      <c r="S2758" t="s">
        <v>64</v>
      </c>
      <c r="T2758">
        <v>246.7</v>
      </c>
      <c r="U2758">
        <v>242</v>
      </c>
      <c r="V2758">
        <f t="shared" si="86"/>
        <v>244.35</v>
      </c>
      <c r="W2758">
        <f t="shared" si="87"/>
        <v>4.6999999999999886</v>
      </c>
      <c r="X2758">
        <v>112.849998</v>
      </c>
      <c r="Y2758">
        <v>36.966667000000001</v>
      </c>
      <c r="Z2758" t="s">
        <v>124</v>
      </c>
      <c r="AA2758" t="s">
        <v>379</v>
      </c>
      <c r="AB2758" t="s">
        <v>1537</v>
      </c>
      <c r="AD2758" t="s">
        <v>2585</v>
      </c>
      <c r="AF2758" t="s">
        <v>3456</v>
      </c>
      <c r="AG2758" t="s">
        <v>2590</v>
      </c>
      <c r="AH2758" t="s">
        <v>72</v>
      </c>
      <c r="AI2758" t="s">
        <v>683</v>
      </c>
      <c r="AJ2758">
        <v>1964</v>
      </c>
      <c r="AK2758" t="s">
        <v>3463</v>
      </c>
      <c r="AM2758" t="s">
        <v>3464</v>
      </c>
      <c r="AN2758" t="s">
        <v>192</v>
      </c>
      <c r="AO2758" t="s">
        <v>160</v>
      </c>
      <c r="AP2758" t="s">
        <v>115</v>
      </c>
      <c r="AQ2758" t="s">
        <v>3465</v>
      </c>
      <c r="AR2758" t="s">
        <v>80</v>
      </c>
      <c r="AS2758">
        <v>604</v>
      </c>
      <c r="AT2758" t="s">
        <v>81</v>
      </c>
      <c r="AU2758">
        <v>118.15</v>
      </c>
      <c r="AV2758">
        <v>13.39</v>
      </c>
      <c r="AW2758" t="s">
        <v>82</v>
      </c>
      <c r="AX2758">
        <v>604</v>
      </c>
      <c r="AY2758" t="s">
        <v>81</v>
      </c>
      <c r="AZ2758">
        <v>91.61</v>
      </c>
      <c r="BA2758">
        <v>36.61</v>
      </c>
      <c r="BB2758" t="s">
        <v>83</v>
      </c>
    </row>
    <row r="2759" spans="1:54" x14ac:dyDescent="0.4">
      <c r="A2759">
        <v>902069</v>
      </c>
      <c r="D2759" t="s">
        <v>54</v>
      </c>
      <c r="E2759" t="s">
        <v>152</v>
      </c>
      <c r="G2759">
        <v>1</v>
      </c>
      <c r="H2759" t="s">
        <v>56</v>
      </c>
      <c r="I2759" t="s">
        <v>57</v>
      </c>
      <c r="K2759" t="s">
        <v>1873</v>
      </c>
      <c r="L2759" t="s">
        <v>3455</v>
      </c>
      <c r="M2759" t="s">
        <v>60</v>
      </c>
      <c r="P2759" t="s">
        <v>224</v>
      </c>
      <c r="R2759" t="s">
        <v>183</v>
      </c>
      <c r="S2759" t="s">
        <v>64</v>
      </c>
      <c r="T2759">
        <v>246.7</v>
      </c>
      <c r="U2759">
        <v>242</v>
      </c>
      <c r="V2759">
        <f t="shared" si="86"/>
        <v>244.35</v>
      </c>
      <c r="W2759">
        <f t="shared" si="87"/>
        <v>4.6999999999999886</v>
      </c>
      <c r="X2759">
        <v>112.849998</v>
      </c>
      <c r="Y2759">
        <v>36.966667000000001</v>
      </c>
      <c r="Z2759" t="s">
        <v>124</v>
      </c>
      <c r="AA2759" t="s">
        <v>379</v>
      </c>
      <c r="AB2759" t="s">
        <v>1537</v>
      </c>
      <c r="AD2759" t="s">
        <v>2585</v>
      </c>
      <c r="AF2759" t="s">
        <v>3456</v>
      </c>
      <c r="AG2759" t="s">
        <v>2590</v>
      </c>
      <c r="AH2759" t="s">
        <v>72</v>
      </c>
      <c r="AI2759" t="s">
        <v>683</v>
      </c>
      <c r="AJ2759">
        <v>1964</v>
      </c>
      <c r="AK2759" t="s">
        <v>3463</v>
      </c>
      <c r="AM2759" t="s">
        <v>3464</v>
      </c>
      <c r="AN2759" t="s">
        <v>192</v>
      </c>
      <c r="AO2759" t="s">
        <v>160</v>
      </c>
      <c r="AP2759" t="s">
        <v>115</v>
      </c>
      <c r="AQ2759" t="s">
        <v>3465</v>
      </c>
      <c r="AR2759" t="s">
        <v>80</v>
      </c>
      <c r="AS2759">
        <v>604</v>
      </c>
      <c r="AT2759" t="s">
        <v>81</v>
      </c>
      <c r="AU2759">
        <v>118.15</v>
      </c>
      <c r="AV2759">
        <v>13.39</v>
      </c>
      <c r="AW2759" t="s">
        <v>82</v>
      </c>
      <c r="AX2759">
        <v>604</v>
      </c>
      <c r="AY2759" t="s">
        <v>81</v>
      </c>
      <c r="AZ2759">
        <v>91.61</v>
      </c>
      <c r="BA2759">
        <v>36.61</v>
      </c>
      <c r="BB2759" t="s">
        <v>83</v>
      </c>
    </row>
    <row r="2760" spans="1:54" x14ac:dyDescent="0.4">
      <c r="A2760">
        <v>902070</v>
      </c>
      <c r="D2760" t="s">
        <v>54</v>
      </c>
      <c r="E2760" t="s">
        <v>152</v>
      </c>
      <c r="F2760" t="s">
        <v>3466</v>
      </c>
      <c r="G2760">
        <v>1</v>
      </c>
      <c r="H2760" t="s">
        <v>56</v>
      </c>
      <c r="I2760" t="s">
        <v>57</v>
      </c>
      <c r="K2760" t="s">
        <v>1873</v>
      </c>
      <c r="L2760" t="s">
        <v>3455</v>
      </c>
      <c r="M2760" t="s">
        <v>60</v>
      </c>
      <c r="P2760" t="s">
        <v>224</v>
      </c>
      <c r="R2760" t="s">
        <v>183</v>
      </c>
      <c r="S2760" t="s">
        <v>64</v>
      </c>
      <c r="T2760">
        <v>246.7</v>
      </c>
      <c r="U2760">
        <v>242</v>
      </c>
      <c r="V2760">
        <f t="shared" si="86"/>
        <v>244.35</v>
      </c>
      <c r="W2760">
        <f t="shared" si="87"/>
        <v>4.6999999999999886</v>
      </c>
      <c r="X2760">
        <v>112.849998</v>
      </c>
      <c r="Y2760">
        <v>36.966667000000001</v>
      </c>
      <c r="Z2760" t="s">
        <v>124</v>
      </c>
      <c r="AA2760" t="s">
        <v>379</v>
      </c>
      <c r="AB2760" t="s">
        <v>1537</v>
      </c>
      <c r="AD2760" t="s">
        <v>2585</v>
      </c>
      <c r="AF2760" t="s">
        <v>3456</v>
      </c>
      <c r="AG2760" t="s">
        <v>2590</v>
      </c>
      <c r="AH2760" t="s">
        <v>72</v>
      </c>
      <c r="AI2760" t="s">
        <v>683</v>
      </c>
      <c r="AJ2760">
        <v>1964</v>
      </c>
      <c r="AK2760" t="s">
        <v>3467</v>
      </c>
      <c r="AM2760" t="s">
        <v>3468</v>
      </c>
      <c r="AN2760" t="s">
        <v>192</v>
      </c>
      <c r="AO2760" t="s">
        <v>160</v>
      </c>
      <c r="AP2760" t="s">
        <v>115</v>
      </c>
      <c r="AQ2760" t="s">
        <v>3469</v>
      </c>
      <c r="AR2760" t="s">
        <v>80</v>
      </c>
      <c r="AS2760">
        <v>604</v>
      </c>
      <c r="AT2760" t="s">
        <v>81</v>
      </c>
      <c r="AU2760">
        <v>118.15</v>
      </c>
      <c r="AV2760">
        <v>13.39</v>
      </c>
      <c r="AW2760" t="s">
        <v>82</v>
      </c>
      <c r="AX2760">
        <v>604</v>
      </c>
      <c r="AY2760" t="s">
        <v>81</v>
      </c>
      <c r="AZ2760">
        <v>91.61</v>
      </c>
      <c r="BA2760">
        <v>36.61</v>
      </c>
      <c r="BB2760" t="s">
        <v>83</v>
      </c>
    </row>
    <row r="2761" spans="1:54" x14ac:dyDescent="0.4">
      <c r="A2761">
        <v>902070</v>
      </c>
      <c r="D2761" t="s">
        <v>54</v>
      </c>
      <c r="E2761" t="s">
        <v>152</v>
      </c>
      <c r="F2761" t="s">
        <v>3466</v>
      </c>
      <c r="G2761">
        <v>1</v>
      </c>
      <c r="H2761" t="s">
        <v>56</v>
      </c>
      <c r="I2761" t="s">
        <v>57</v>
      </c>
      <c r="K2761" t="s">
        <v>1873</v>
      </c>
      <c r="L2761" t="s">
        <v>3455</v>
      </c>
      <c r="M2761" t="s">
        <v>60</v>
      </c>
      <c r="P2761" t="s">
        <v>224</v>
      </c>
      <c r="R2761" t="s">
        <v>183</v>
      </c>
      <c r="S2761" t="s">
        <v>64</v>
      </c>
      <c r="T2761">
        <v>246.7</v>
      </c>
      <c r="U2761">
        <v>242</v>
      </c>
      <c r="V2761">
        <f t="shared" si="86"/>
        <v>244.35</v>
      </c>
      <c r="W2761">
        <f t="shared" si="87"/>
        <v>4.6999999999999886</v>
      </c>
      <c r="X2761">
        <v>112.849998</v>
      </c>
      <c r="Y2761">
        <v>36.966667000000001</v>
      </c>
      <c r="Z2761" t="s">
        <v>124</v>
      </c>
      <c r="AA2761" t="s">
        <v>379</v>
      </c>
      <c r="AB2761" t="s">
        <v>1537</v>
      </c>
      <c r="AD2761" t="s">
        <v>2585</v>
      </c>
      <c r="AF2761" t="s">
        <v>3456</v>
      </c>
      <c r="AG2761" t="s">
        <v>2590</v>
      </c>
      <c r="AH2761" t="s">
        <v>72</v>
      </c>
      <c r="AI2761" t="s">
        <v>683</v>
      </c>
      <c r="AJ2761">
        <v>1964</v>
      </c>
      <c r="AK2761" t="s">
        <v>3467</v>
      </c>
      <c r="AM2761" t="s">
        <v>3468</v>
      </c>
      <c r="AN2761" t="s">
        <v>192</v>
      </c>
      <c r="AO2761" t="s">
        <v>160</v>
      </c>
      <c r="AP2761" t="s">
        <v>115</v>
      </c>
      <c r="AQ2761" t="s">
        <v>3469</v>
      </c>
      <c r="AR2761" t="s">
        <v>80</v>
      </c>
      <c r="AS2761">
        <v>604</v>
      </c>
      <c r="AT2761" t="s">
        <v>81</v>
      </c>
      <c r="AU2761">
        <v>118.15</v>
      </c>
      <c r="AV2761">
        <v>13.39</v>
      </c>
      <c r="AW2761" t="s">
        <v>82</v>
      </c>
      <c r="AX2761">
        <v>604</v>
      </c>
      <c r="AY2761" t="s">
        <v>81</v>
      </c>
      <c r="AZ2761">
        <v>91.61</v>
      </c>
      <c r="BA2761">
        <v>36.61</v>
      </c>
      <c r="BB2761" t="s">
        <v>83</v>
      </c>
    </row>
    <row r="2762" spans="1:54" x14ac:dyDescent="0.4">
      <c r="A2762">
        <v>902070</v>
      </c>
      <c r="D2762" t="s">
        <v>54</v>
      </c>
      <c r="E2762" t="s">
        <v>152</v>
      </c>
      <c r="F2762" t="s">
        <v>3466</v>
      </c>
      <c r="G2762">
        <v>1</v>
      </c>
      <c r="H2762" t="s">
        <v>56</v>
      </c>
      <c r="I2762" t="s">
        <v>57</v>
      </c>
      <c r="K2762" t="s">
        <v>1873</v>
      </c>
      <c r="L2762" t="s">
        <v>3455</v>
      </c>
      <c r="M2762" t="s">
        <v>60</v>
      </c>
      <c r="P2762" t="s">
        <v>224</v>
      </c>
      <c r="R2762" t="s">
        <v>183</v>
      </c>
      <c r="S2762" t="s">
        <v>64</v>
      </c>
      <c r="T2762">
        <v>246.7</v>
      </c>
      <c r="U2762">
        <v>242</v>
      </c>
      <c r="V2762">
        <f t="shared" si="86"/>
        <v>244.35</v>
      </c>
      <c r="W2762">
        <f t="shared" si="87"/>
        <v>4.6999999999999886</v>
      </c>
      <c r="X2762">
        <v>112.849998</v>
      </c>
      <c r="Y2762">
        <v>36.966667000000001</v>
      </c>
      <c r="Z2762" t="s">
        <v>124</v>
      </c>
      <c r="AA2762" t="s">
        <v>379</v>
      </c>
      <c r="AB2762" t="s">
        <v>1537</v>
      </c>
      <c r="AD2762" t="s">
        <v>2585</v>
      </c>
      <c r="AF2762" t="s">
        <v>3456</v>
      </c>
      <c r="AG2762" t="s">
        <v>2590</v>
      </c>
      <c r="AH2762" t="s">
        <v>72</v>
      </c>
      <c r="AI2762" t="s">
        <v>683</v>
      </c>
      <c r="AJ2762">
        <v>1964</v>
      </c>
      <c r="AK2762" t="s">
        <v>3467</v>
      </c>
      <c r="AM2762" t="s">
        <v>3468</v>
      </c>
      <c r="AN2762" t="s">
        <v>192</v>
      </c>
      <c r="AO2762" t="s">
        <v>160</v>
      </c>
      <c r="AP2762" t="s">
        <v>115</v>
      </c>
      <c r="AQ2762" t="s">
        <v>3469</v>
      </c>
      <c r="AR2762" t="s">
        <v>80</v>
      </c>
      <c r="AS2762">
        <v>604</v>
      </c>
      <c r="AT2762" t="s">
        <v>81</v>
      </c>
      <c r="AU2762">
        <v>118.15</v>
      </c>
      <c r="AV2762">
        <v>13.39</v>
      </c>
      <c r="AW2762" t="s">
        <v>82</v>
      </c>
      <c r="AX2762">
        <v>604</v>
      </c>
      <c r="AY2762" t="s">
        <v>81</v>
      </c>
      <c r="AZ2762">
        <v>91.61</v>
      </c>
      <c r="BA2762">
        <v>36.61</v>
      </c>
      <c r="BB2762" t="s">
        <v>83</v>
      </c>
    </row>
    <row r="2763" spans="1:54" x14ac:dyDescent="0.4">
      <c r="A2763">
        <v>902070</v>
      </c>
      <c r="D2763" t="s">
        <v>54</v>
      </c>
      <c r="E2763" t="s">
        <v>152</v>
      </c>
      <c r="F2763" t="s">
        <v>3466</v>
      </c>
      <c r="G2763">
        <v>1</v>
      </c>
      <c r="H2763" t="s">
        <v>56</v>
      </c>
      <c r="I2763" t="s">
        <v>57</v>
      </c>
      <c r="K2763" t="s">
        <v>1873</v>
      </c>
      <c r="L2763" t="s">
        <v>3455</v>
      </c>
      <c r="M2763" t="s">
        <v>60</v>
      </c>
      <c r="P2763" t="s">
        <v>224</v>
      </c>
      <c r="R2763" t="s">
        <v>183</v>
      </c>
      <c r="S2763" t="s">
        <v>64</v>
      </c>
      <c r="T2763">
        <v>246.7</v>
      </c>
      <c r="U2763">
        <v>242</v>
      </c>
      <c r="V2763">
        <f t="shared" si="86"/>
        <v>244.35</v>
      </c>
      <c r="W2763">
        <f t="shared" si="87"/>
        <v>4.6999999999999886</v>
      </c>
      <c r="X2763">
        <v>112.849998</v>
      </c>
      <c r="Y2763">
        <v>36.966667000000001</v>
      </c>
      <c r="Z2763" t="s">
        <v>124</v>
      </c>
      <c r="AA2763" t="s">
        <v>379</v>
      </c>
      <c r="AB2763" t="s">
        <v>1537</v>
      </c>
      <c r="AD2763" t="s">
        <v>2585</v>
      </c>
      <c r="AF2763" t="s">
        <v>3456</v>
      </c>
      <c r="AG2763" t="s">
        <v>2590</v>
      </c>
      <c r="AH2763" t="s">
        <v>72</v>
      </c>
      <c r="AI2763" t="s">
        <v>683</v>
      </c>
      <c r="AJ2763">
        <v>1964</v>
      </c>
      <c r="AK2763" t="s">
        <v>3467</v>
      </c>
      <c r="AM2763" t="s">
        <v>3468</v>
      </c>
      <c r="AN2763" t="s">
        <v>192</v>
      </c>
      <c r="AO2763" t="s">
        <v>160</v>
      </c>
      <c r="AP2763" t="s">
        <v>115</v>
      </c>
      <c r="AQ2763" t="s">
        <v>3469</v>
      </c>
      <c r="AR2763" t="s">
        <v>80</v>
      </c>
      <c r="AS2763">
        <v>604</v>
      </c>
      <c r="AT2763" t="s">
        <v>81</v>
      </c>
      <c r="AU2763">
        <v>118.15</v>
      </c>
      <c r="AV2763">
        <v>13.39</v>
      </c>
      <c r="AW2763" t="s">
        <v>82</v>
      </c>
      <c r="AX2763">
        <v>604</v>
      </c>
      <c r="AY2763" t="s">
        <v>81</v>
      </c>
      <c r="AZ2763">
        <v>91.61</v>
      </c>
      <c r="BA2763">
        <v>36.61</v>
      </c>
      <c r="BB2763" t="s">
        <v>83</v>
      </c>
    </row>
    <row r="2764" spans="1:54" x14ac:dyDescent="0.4">
      <c r="A2764">
        <v>902070</v>
      </c>
      <c r="D2764" t="s">
        <v>54</v>
      </c>
      <c r="E2764" t="s">
        <v>152</v>
      </c>
      <c r="F2764" t="s">
        <v>3466</v>
      </c>
      <c r="G2764">
        <v>1</v>
      </c>
      <c r="H2764" t="s">
        <v>56</v>
      </c>
      <c r="I2764" t="s">
        <v>57</v>
      </c>
      <c r="K2764" t="s">
        <v>1873</v>
      </c>
      <c r="L2764" t="s">
        <v>3455</v>
      </c>
      <c r="M2764" t="s">
        <v>60</v>
      </c>
      <c r="P2764" t="s">
        <v>224</v>
      </c>
      <c r="R2764" t="s">
        <v>183</v>
      </c>
      <c r="S2764" t="s">
        <v>64</v>
      </c>
      <c r="T2764">
        <v>246.7</v>
      </c>
      <c r="U2764">
        <v>242</v>
      </c>
      <c r="V2764">
        <f t="shared" si="86"/>
        <v>244.35</v>
      </c>
      <c r="W2764">
        <f t="shared" si="87"/>
        <v>4.6999999999999886</v>
      </c>
      <c r="X2764">
        <v>112.849998</v>
      </c>
      <c r="Y2764">
        <v>36.966667000000001</v>
      </c>
      <c r="Z2764" t="s">
        <v>124</v>
      </c>
      <c r="AA2764" t="s">
        <v>379</v>
      </c>
      <c r="AB2764" t="s">
        <v>1537</v>
      </c>
      <c r="AD2764" t="s">
        <v>2585</v>
      </c>
      <c r="AF2764" t="s">
        <v>3456</v>
      </c>
      <c r="AG2764" t="s">
        <v>2590</v>
      </c>
      <c r="AH2764" t="s">
        <v>72</v>
      </c>
      <c r="AI2764" t="s">
        <v>683</v>
      </c>
      <c r="AJ2764">
        <v>1964</v>
      </c>
      <c r="AK2764" t="s">
        <v>3467</v>
      </c>
      <c r="AM2764" t="s">
        <v>3468</v>
      </c>
      <c r="AN2764" t="s">
        <v>192</v>
      </c>
      <c r="AO2764" t="s">
        <v>160</v>
      </c>
      <c r="AP2764" t="s">
        <v>115</v>
      </c>
      <c r="AQ2764" t="s">
        <v>3469</v>
      </c>
      <c r="AR2764" t="s">
        <v>80</v>
      </c>
      <c r="AS2764">
        <v>604</v>
      </c>
      <c r="AT2764" t="s">
        <v>81</v>
      </c>
      <c r="AU2764">
        <v>118.15</v>
      </c>
      <c r="AV2764">
        <v>13.39</v>
      </c>
      <c r="AW2764" t="s">
        <v>82</v>
      </c>
      <c r="AX2764">
        <v>604</v>
      </c>
      <c r="AY2764" t="s">
        <v>81</v>
      </c>
      <c r="AZ2764">
        <v>91.61</v>
      </c>
      <c r="BA2764">
        <v>36.61</v>
      </c>
      <c r="BB2764" t="s">
        <v>83</v>
      </c>
    </row>
    <row r="2765" spans="1:54" x14ac:dyDescent="0.4">
      <c r="A2765">
        <v>902070</v>
      </c>
      <c r="D2765" t="s">
        <v>54</v>
      </c>
      <c r="E2765" t="s">
        <v>152</v>
      </c>
      <c r="F2765" t="s">
        <v>3466</v>
      </c>
      <c r="G2765">
        <v>1</v>
      </c>
      <c r="H2765" t="s">
        <v>56</v>
      </c>
      <c r="I2765" t="s">
        <v>57</v>
      </c>
      <c r="K2765" t="s">
        <v>1873</v>
      </c>
      <c r="L2765" t="s">
        <v>3455</v>
      </c>
      <c r="M2765" t="s">
        <v>60</v>
      </c>
      <c r="P2765" t="s">
        <v>224</v>
      </c>
      <c r="R2765" t="s">
        <v>183</v>
      </c>
      <c r="S2765" t="s">
        <v>64</v>
      </c>
      <c r="T2765">
        <v>246.7</v>
      </c>
      <c r="U2765">
        <v>242</v>
      </c>
      <c r="V2765">
        <f t="shared" si="86"/>
        <v>244.35</v>
      </c>
      <c r="W2765">
        <f t="shared" si="87"/>
        <v>4.6999999999999886</v>
      </c>
      <c r="X2765">
        <v>112.849998</v>
      </c>
      <c r="Y2765">
        <v>36.966667000000001</v>
      </c>
      <c r="Z2765" t="s">
        <v>124</v>
      </c>
      <c r="AA2765" t="s">
        <v>379</v>
      </c>
      <c r="AB2765" t="s">
        <v>1537</v>
      </c>
      <c r="AD2765" t="s">
        <v>2585</v>
      </c>
      <c r="AF2765" t="s">
        <v>3456</v>
      </c>
      <c r="AG2765" t="s">
        <v>2590</v>
      </c>
      <c r="AH2765" t="s">
        <v>72</v>
      </c>
      <c r="AI2765" t="s">
        <v>683</v>
      </c>
      <c r="AJ2765">
        <v>1964</v>
      </c>
      <c r="AK2765" t="s">
        <v>3467</v>
      </c>
      <c r="AM2765" t="s">
        <v>3468</v>
      </c>
      <c r="AN2765" t="s">
        <v>192</v>
      </c>
      <c r="AO2765" t="s">
        <v>160</v>
      </c>
      <c r="AP2765" t="s">
        <v>115</v>
      </c>
      <c r="AQ2765" t="s">
        <v>3469</v>
      </c>
      <c r="AR2765" t="s">
        <v>80</v>
      </c>
      <c r="AS2765">
        <v>604</v>
      </c>
      <c r="AT2765" t="s">
        <v>81</v>
      </c>
      <c r="AU2765">
        <v>118.15</v>
      </c>
      <c r="AV2765">
        <v>13.39</v>
      </c>
      <c r="AW2765" t="s">
        <v>82</v>
      </c>
      <c r="AX2765">
        <v>604</v>
      </c>
      <c r="AY2765" t="s">
        <v>81</v>
      </c>
      <c r="AZ2765">
        <v>91.61</v>
      </c>
      <c r="BA2765">
        <v>36.61</v>
      </c>
      <c r="BB2765" t="s">
        <v>83</v>
      </c>
    </row>
    <row r="2766" spans="1:54" x14ac:dyDescent="0.4">
      <c r="A2766">
        <v>902070</v>
      </c>
      <c r="D2766" t="s">
        <v>54</v>
      </c>
      <c r="E2766" t="s">
        <v>152</v>
      </c>
      <c r="F2766" t="s">
        <v>3466</v>
      </c>
      <c r="G2766">
        <v>1</v>
      </c>
      <c r="H2766" t="s">
        <v>56</v>
      </c>
      <c r="I2766" t="s">
        <v>57</v>
      </c>
      <c r="K2766" t="s">
        <v>1873</v>
      </c>
      <c r="L2766" t="s">
        <v>3455</v>
      </c>
      <c r="M2766" t="s">
        <v>60</v>
      </c>
      <c r="P2766" t="s">
        <v>224</v>
      </c>
      <c r="R2766" t="s">
        <v>183</v>
      </c>
      <c r="S2766" t="s">
        <v>64</v>
      </c>
      <c r="T2766">
        <v>246.7</v>
      </c>
      <c r="U2766">
        <v>242</v>
      </c>
      <c r="V2766">
        <f t="shared" si="86"/>
        <v>244.35</v>
      </c>
      <c r="W2766">
        <f t="shared" si="87"/>
        <v>4.6999999999999886</v>
      </c>
      <c r="X2766">
        <v>112.849998</v>
      </c>
      <c r="Y2766">
        <v>36.966667000000001</v>
      </c>
      <c r="Z2766" t="s">
        <v>124</v>
      </c>
      <c r="AA2766" t="s">
        <v>379</v>
      </c>
      <c r="AB2766" t="s">
        <v>1537</v>
      </c>
      <c r="AD2766" t="s">
        <v>2585</v>
      </c>
      <c r="AF2766" t="s">
        <v>3456</v>
      </c>
      <c r="AG2766" t="s">
        <v>2590</v>
      </c>
      <c r="AH2766" t="s">
        <v>72</v>
      </c>
      <c r="AI2766" t="s">
        <v>683</v>
      </c>
      <c r="AJ2766">
        <v>1964</v>
      </c>
      <c r="AK2766" t="s">
        <v>3467</v>
      </c>
      <c r="AM2766" t="s">
        <v>3468</v>
      </c>
      <c r="AN2766" t="s">
        <v>192</v>
      </c>
      <c r="AO2766" t="s">
        <v>160</v>
      </c>
      <c r="AP2766" t="s">
        <v>115</v>
      </c>
      <c r="AQ2766" t="s">
        <v>3469</v>
      </c>
      <c r="AR2766" t="s">
        <v>80</v>
      </c>
      <c r="AS2766">
        <v>604</v>
      </c>
      <c r="AT2766" t="s">
        <v>81</v>
      </c>
      <c r="AU2766">
        <v>118.15</v>
      </c>
      <c r="AV2766">
        <v>13.39</v>
      </c>
      <c r="AW2766" t="s">
        <v>82</v>
      </c>
      <c r="AX2766">
        <v>604</v>
      </c>
      <c r="AY2766" t="s">
        <v>81</v>
      </c>
      <c r="AZ2766">
        <v>91.61</v>
      </c>
      <c r="BA2766">
        <v>36.61</v>
      </c>
      <c r="BB2766" t="s">
        <v>83</v>
      </c>
    </row>
    <row r="2767" spans="1:54" x14ac:dyDescent="0.4">
      <c r="A2767">
        <v>902070</v>
      </c>
      <c r="D2767" t="s">
        <v>54</v>
      </c>
      <c r="E2767" t="s">
        <v>152</v>
      </c>
      <c r="F2767" t="s">
        <v>3466</v>
      </c>
      <c r="G2767">
        <v>1</v>
      </c>
      <c r="H2767" t="s">
        <v>56</v>
      </c>
      <c r="I2767" t="s">
        <v>57</v>
      </c>
      <c r="K2767" t="s">
        <v>1873</v>
      </c>
      <c r="L2767" t="s">
        <v>3455</v>
      </c>
      <c r="M2767" t="s">
        <v>60</v>
      </c>
      <c r="P2767" t="s">
        <v>224</v>
      </c>
      <c r="R2767" t="s">
        <v>183</v>
      </c>
      <c r="S2767" t="s">
        <v>64</v>
      </c>
      <c r="T2767">
        <v>246.7</v>
      </c>
      <c r="U2767">
        <v>242</v>
      </c>
      <c r="V2767">
        <f t="shared" si="86"/>
        <v>244.35</v>
      </c>
      <c r="W2767">
        <f t="shared" si="87"/>
        <v>4.6999999999999886</v>
      </c>
      <c r="X2767">
        <v>112.849998</v>
      </c>
      <c r="Y2767">
        <v>36.966667000000001</v>
      </c>
      <c r="Z2767" t="s">
        <v>124</v>
      </c>
      <c r="AA2767" t="s">
        <v>379</v>
      </c>
      <c r="AB2767" t="s">
        <v>1537</v>
      </c>
      <c r="AD2767" t="s">
        <v>2585</v>
      </c>
      <c r="AF2767" t="s">
        <v>3456</v>
      </c>
      <c r="AG2767" t="s">
        <v>2590</v>
      </c>
      <c r="AH2767" t="s">
        <v>72</v>
      </c>
      <c r="AI2767" t="s">
        <v>683</v>
      </c>
      <c r="AJ2767">
        <v>1964</v>
      </c>
      <c r="AK2767" t="s">
        <v>3467</v>
      </c>
      <c r="AM2767" t="s">
        <v>3468</v>
      </c>
      <c r="AN2767" t="s">
        <v>192</v>
      </c>
      <c r="AO2767" t="s">
        <v>160</v>
      </c>
      <c r="AP2767" t="s">
        <v>115</v>
      </c>
      <c r="AQ2767" t="s">
        <v>3469</v>
      </c>
      <c r="AR2767" t="s">
        <v>80</v>
      </c>
      <c r="AS2767">
        <v>604</v>
      </c>
      <c r="AT2767" t="s">
        <v>81</v>
      </c>
      <c r="AU2767">
        <v>118.15</v>
      </c>
      <c r="AV2767">
        <v>13.39</v>
      </c>
      <c r="AW2767" t="s">
        <v>82</v>
      </c>
      <c r="AX2767">
        <v>604</v>
      </c>
      <c r="AY2767" t="s">
        <v>81</v>
      </c>
      <c r="AZ2767">
        <v>91.61</v>
      </c>
      <c r="BA2767">
        <v>36.61</v>
      </c>
      <c r="BB2767" t="s">
        <v>83</v>
      </c>
    </row>
    <row r="2768" spans="1:54" x14ac:dyDescent="0.4">
      <c r="A2768">
        <v>902070</v>
      </c>
      <c r="D2768" t="s">
        <v>54</v>
      </c>
      <c r="E2768" t="s">
        <v>152</v>
      </c>
      <c r="F2768" t="s">
        <v>3466</v>
      </c>
      <c r="G2768">
        <v>1</v>
      </c>
      <c r="H2768" t="s">
        <v>56</v>
      </c>
      <c r="I2768" t="s">
        <v>57</v>
      </c>
      <c r="K2768" t="s">
        <v>1873</v>
      </c>
      <c r="L2768" t="s">
        <v>3455</v>
      </c>
      <c r="M2768" t="s">
        <v>60</v>
      </c>
      <c r="P2768" t="s">
        <v>224</v>
      </c>
      <c r="R2768" t="s">
        <v>183</v>
      </c>
      <c r="S2768" t="s">
        <v>64</v>
      </c>
      <c r="T2768">
        <v>246.7</v>
      </c>
      <c r="U2768">
        <v>242</v>
      </c>
      <c r="V2768">
        <f t="shared" si="86"/>
        <v>244.35</v>
      </c>
      <c r="W2768">
        <f t="shared" si="87"/>
        <v>4.6999999999999886</v>
      </c>
      <c r="X2768">
        <v>112.849998</v>
      </c>
      <c r="Y2768">
        <v>36.966667000000001</v>
      </c>
      <c r="Z2768" t="s">
        <v>124</v>
      </c>
      <c r="AA2768" t="s">
        <v>379</v>
      </c>
      <c r="AB2768" t="s">
        <v>1537</v>
      </c>
      <c r="AD2768" t="s">
        <v>2585</v>
      </c>
      <c r="AF2768" t="s">
        <v>3456</v>
      </c>
      <c r="AG2768" t="s">
        <v>2590</v>
      </c>
      <c r="AH2768" t="s">
        <v>72</v>
      </c>
      <c r="AI2768" t="s">
        <v>683</v>
      </c>
      <c r="AJ2768">
        <v>1964</v>
      </c>
      <c r="AK2768" t="s">
        <v>3467</v>
      </c>
      <c r="AM2768" t="s">
        <v>3468</v>
      </c>
      <c r="AN2768" t="s">
        <v>192</v>
      </c>
      <c r="AO2768" t="s">
        <v>160</v>
      </c>
      <c r="AP2768" t="s">
        <v>115</v>
      </c>
      <c r="AQ2768" t="s">
        <v>3469</v>
      </c>
      <c r="AR2768" t="s">
        <v>80</v>
      </c>
      <c r="AS2768">
        <v>604</v>
      </c>
      <c r="AT2768" t="s">
        <v>81</v>
      </c>
      <c r="AU2768">
        <v>118.15</v>
      </c>
      <c r="AV2768">
        <v>13.39</v>
      </c>
      <c r="AW2768" t="s">
        <v>82</v>
      </c>
      <c r="AX2768">
        <v>604</v>
      </c>
      <c r="AY2768" t="s">
        <v>81</v>
      </c>
      <c r="AZ2768">
        <v>91.61</v>
      </c>
      <c r="BA2768">
        <v>36.61</v>
      </c>
      <c r="BB2768" t="s">
        <v>83</v>
      </c>
    </row>
    <row r="2769" spans="1:54" x14ac:dyDescent="0.4">
      <c r="A2769">
        <v>902070</v>
      </c>
      <c r="D2769" t="s">
        <v>54</v>
      </c>
      <c r="E2769" t="s">
        <v>152</v>
      </c>
      <c r="F2769" t="s">
        <v>3466</v>
      </c>
      <c r="G2769">
        <v>1</v>
      </c>
      <c r="H2769" t="s">
        <v>56</v>
      </c>
      <c r="I2769" t="s">
        <v>57</v>
      </c>
      <c r="K2769" t="s">
        <v>1873</v>
      </c>
      <c r="L2769" t="s">
        <v>3455</v>
      </c>
      <c r="M2769" t="s">
        <v>60</v>
      </c>
      <c r="P2769" t="s">
        <v>224</v>
      </c>
      <c r="R2769" t="s">
        <v>183</v>
      </c>
      <c r="S2769" t="s">
        <v>64</v>
      </c>
      <c r="T2769">
        <v>246.7</v>
      </c>
      <c r="U2769">
        <v>242</v>
      </c>
      <c r="V2769">
        <f t="shared" si="86"/>
        <v>244.35</v>
      </c>
      <c r="W2769">
        <f t="shared" si="87"/>
        <v>4.6999999999999886</v>
      </c>
      <c r="X2769">
        <v>112.849998</v>
      </c>
      <c r="Y2769">
        <v>36.966667000000001</v>
      </c>
      <c r="Z2769" t="s">
        <v>124</v>
      </c>
      <c r="AA2769" t="s">
        <v>379</v>
      </c>
      <c r="AB2769" t="s">
        <v>1537</v>
      </c>
      <c r="AD2769" t="s">
        <v>2585</v>
      </c>
      <c r="AF2769" t="s">
        <v>3456</v>
      </c>
      <c r="AG2769" t="s">
        <v>2590</v>
      </c>
      <c r="AH2769" t="s">
        <v>72</v>
      </c>
      <c r="AI2769" t="s">
        <v>683</v>
      </c>
      <c r="AJ2769">
        <v>1964</v>
      </c>
      <c r="AK2769" t="s">
        <v>3467</v>
      </c>
      <c r="AM2769" t="s">
        <v>3468</v>
      </c>
      <c r="AN2769" t="s">
        <v>192</v>
      </c>
      <c r="AO2769" t="s">
        <v>160</v>
      </c>
      <c r="AP2769" t="s">
        <v>115</v>
      </c>
      <c r="AQ2769" t="s">
        <v>3469</v>
      </c>
      <c r="AR2769" t="s">
        <v>80</v>
      </c>
      <c r="AS2769">
        <v>604</v>
      </c>
      <c r="AT2769" t="s">
        <v>81</v>
      </c>
      <c r="AU2769">
        <v>118.15</v>
      </c>
      <c r="AV2769">
        <v>13.39</v>
      </c>
      <c r="AW2769" t="s">
        <v>82</v>
      </c>
      <c r="AX2769">
        <v>604</v>
      </c>
      <c r="AY2769" t="s">
        <v>81</v>
      </c>
      <c r="AZ2769">
        <v>91.61</v>
      </c>
      <c r="BA2769">
        <v>36.61</v>
      </c>
      <c r="BB2769" t="s">
        <v>83</v>
      </c>
    </row>
    <row r="2770" spans="1:54" x14ac:dyDescent="0.4">
      <c r="A2770">
        <v>902070</v>
      </c>
      <c r="D2770" t="s">
        <v>54</v>
      </c>
      <c r="E2770" t="s">
        <v>152</v>
      </c>
      <c r="F2770" t="s">
        <v>3466</v>
      </c>
      <c r="G2770">
        <v>1</v>
      </c>
      <c r="H2770" t="s">
        <v>56</v>
      </c>
      <c r="I2770" t="s">
        <v>57</v>
      </c>
      <c r="K2770" t="s">
        <v>1873</v>
      </c>
      <c r="L2770" t="s">
        <v>3455</v>
      </c>
      <c r="M2770" t="s">
        <v>60</v>
      </c>
      <c r="P2770" t="s">
        <v>224</v>
      </c>
      <c r="R2770" t="s">
        <v>183</v>
      </c>
      <c r="S2770" t="s">
        <v>64</v>
      </c>
      <c r="T2770">
        <v>246.7</v>
      </c>
      <c r="U2770">
        <v>242</v>
      </c>
      <c r="V2770">
        <f t="shared" si="86"/>
        <v>244.35</v>
      </c>
      <c r="W2770">
        <f t="shared" si="87"/>
        <v>4.6999999999999886</v>
      </c>
      <c r="X2770">
        <v>112.849998</v>
      </c>
      <c r="Y2770">
        <v>36.966667000000001</v>
      </c>
      <c r="Z2770" t="s">
        <v>124</v>
      </c>
      <c r="AA2770" t="s">
        <v>379</v>
      </c>
      <c r="AB2770" t="s">
        <v>1537</v>
      </c>
      <c r="AD2770" t="s">
        <v>2585</v>
      </c>
      <c r="AF2770" t="s">
        <v>3456</v>
      </c>
      <c r="AG2770" t="s">
        <v>2590</v>
      </c>
      <c r="AH2770" t="s">
        <v>72</v>
      </c>
      <c r="AI2770" t="s">
        <v>683</v>
      </c>
      <c r="AJ2770">
        <v>1964</v>
      </c>
      <c r="AK2770" t="s">
        <v>3467</v>
      </c>
      <c r="AM2770" t="s">
        <v>3468</v>
      </c>
      <c r="AN2770" t="s">
        <v>192</v>
      </c>
      <c r="AO2770" t="s">
        <v>160</v>
      </c>
      <c r="AP2770" t="s">
        <v>115</v>
      </c>
      <c r="AQ2770" t="s">
        <v>3469</v>
      </c>
      <c r="AR2770" t="s">
        <v>80</v>
      </c>
      <c r="AS2770">
        <v>604</v>
      </c>
      <c r="AT2770" t="s">
        <v>81</v>
      </c>
      <c r="AU2770">
        <v>118.15</v>
      </c>
      <c r="AV2770">
        <v>13.39</v>
      </c>
      <c r="AW2770" t="s">
        <v>82</v>
      </c>
      <c r="AX2770">
        <v>604</v>
      </c>
      <c r="AY2770" t="s">
        <v>81</v>
      </c>
      <c r="AZ2770">
        <v>91.61</v>
      </c>
      <c r="BA2770">
        <v>36.61</v>
      </c>
      <c r="BB2770" t="s">
        <v>83</v>
      </c>
    </row>
    <row r="2771" spans="1:54" x14ac:dyDescent="0.4">
      <c r="A2771">
        <v>902070</v>
      </c>
      <c r="D2771" t="s">
        <v>54</v>
      </c>
      <c r="E2771" t="s">
        <v>152</v>
      </c>
      <c r="F2771" t="s">
        <v>3466</v>
      </c>
      <c r="G2771">
        <v>1</v>
      </c>
      <c r="H2771" t="s">
        <v>56</v>
      </c>
      <c r="I2771" t="s">
        <v>57</v>
      </c>
      <c r="K2771" t="s">
        <v>1873</v>
      </c>
      <c r="L2771" t="s">
        <v>3455</v>
      </c>
      <c r="M2771" t="s">
        <v>60</v>
      </c>
      <c r="P2771" t="s">
        <v>224</v>
      </c>
      <c r="R2771" t="s">
        <v>183</v>
      </c>
      <c r="S2771" t="s">
        <v>64</v>
      </c>
      <c r="T2771">
        <v>246.7</v>
      </c>
      <c r="U2771">
        <v>242</v>
      </c>
      <c r="V2771">
        <f t="shared" si="86"/>
        <v>244.35</v>
      </c>
      <c r="W2771">
        <f t="shared" si="87"/>
        <v>4.6999999999999886</v>
      </c>
      <c r="X2771">
        <v>112.849998</v>
      </c>
      <c r="Y2771">
        <v>36.966667000000001</v>
      </c>
      <c r="Z2771" t="s">
        <v>124</v>
      </c>
      <c r="AA2771" t="s">
        <v>379</v>
      </c>
      <c r="AB2771" t="s">
        <v>1537</v>
      </c>
      <c r="AD2771" t="s">
        <v>2585</v>
      </c>
      <c r="AF2771" t="s">
        <v>3456</v>
      </c>
      <c r="AG2771" t="s">
        <v>2590</v>
      </c>
      <c r="AH2771" t="s">
        <v>72</v>
      </c>
      <c r="AI2771" t="s">
        <v>683</v>
      </c>
      <c r="AJ2771">
        <v>1964</v>
      </c>
      <c r="AK2771" t="s">
        <v>3467</v>
      </c>
      <c r="AM2771" t="s">
        <v>3468</v>
      </c>
      <c r="AN2771" t="s">
        <v>192</v>
      </c>
      <c r="AO2771" t="s">
        <v>160</v>
      </c>
      <c r="AP2771" t="s">
        <v>115</v>
      </c>
      <c r="AQ2771" t="s">
        <v>3469</v>
      </c>
      <c r="AR2771" t="s">
        <v>80</v>
      </c>
      <c r="AS2771">
        <v>604</v>
      </c>
      <c r="AT2771" t="s">
        <v>81</v>
      </c>
      <c r="AU2771">
        <v>118.15</v>
      </c>
      <c r="AV2771">
        <v>13.39</v>
      </c>
      <c r="AW2771" t="s">
        <v>82</v>
      </c>
      <c r="AX2771">
        <v>604</v>
      </c>
      <c r="AY2771" t="s">
        <v>81</v>
      </c>
      <c r="AZ2771">
        <v>91.61</v>
      </c>
      <c r="BA2771">
        <v>36.61</v>
      </c>
      <c r="BB2771" t="s">
        <v>83</v>
      </c>
    </row>
    <row r="2772" spans="1:54" x14ac:dyDescent="0.4">
      <c r="A2772">
        <v>902070</v>
      </c>
      <c r="D2772" t="s">
        <v>54</v>
      </c>
      <c r="E2772" t="s">
        <v>152</v>
      </c>
      <c r="F2772" t="s">
        <v>3466</v>
      </c>
      <c r="G2772">
        <v>1</v>
      </c>
      <c r="H2772" t="s">
        <v>56</v>
      </c>
      <c r="I2772" t="s">
        <v>57</v>
      </c>
      <c r="K2772" t="s">
        <v>1873</v>
      </c>
      <c r="L2772" t="s">
        <v>3455</v>
      </c>
      <c r="M2772" t="s">
        <v>60</v>
      </c>
      <c r="P2772" t="s">
        <v>224</v>
      </c>
      <c r="R2772" t="s">
        <v>183</v>
      </c>
      <c r="S2772" t="s">
        <v>64</v>
      </c>
      <c r="T2772">
        <v>246.7</v>
      </c>
      <c r="U2772">
        <v>242</v>
      </c>
      <c r="V2772">
        <f t="shared" si="86"/>
        <v>244.35</v>
      </c>
      <c r="W2772">
        <f t="shared" si="87"/>
        <v>4.6999999999999886</v>
      </c>
      <c r="X2772">
        <v>112.849998</v>
      </c>
      <c r="Y2772">
        <v>36.966667000000001</v>
      </c>
      <c r="Z2772" t="s">
        <v>124</v>
      </c>
      <c r="AA2772" t="s">
        <v>379</v>
      </c>
      <c r="AB2772" t="s">
        <v>1537</v>
      </c>
      <c r="AD2772" t="s">
        <v>2585</v>
      </c>
      <c r="AF2772" t="s">
        <v>3456</v>
      </c>
      <c r="AG2772" t="s">
        <v>2590</v>
      </c>
      <c r="AH2772" t="s">
        <v>72</v>
      </c>
      <c r="AI2772" t="s">
        <v>683</v>
      </c>
      <c r="AJ2772">
        <v>1964</v>
      </c>
      <c r="AK2772" t="s">
        <v>3467</v>
      </c>
      <c r="AM2772" t="s">
        <v>3468</v>
      </c>
      <c r="AN2772" t="s">
        <v>192</v>
      </c>
      <c r="AO2772" t="s">
        <v>160</v>
      </c>
      <c r="AP2772" t="s">
        <v>115</v>
      </c>
      <c r="AQ2772" t="s">
        <v>3469</v>
      </c>
      <c r="AR2772" t="s">
        <v>80</v>
      </c>
      <c r="AS2772">
        <v>604</v>
      </c>
      <c r="AT2772" t="s">
        <v>81</v>
      </c>
      <c r="AU2772">
        <v>118.15</v>
      </c>
      <c r="AV2772">
        <v>13.39</v>
      </c>
      <c r="AW2772" t="s">
        <v>82</v>
      </c>
      <c r="AX2772">
        <v>604</v>
      </c>
      <c r="AY2772" t="s">
        <v>81</v>
      </c>
      <c r="AZ2772">
        <v>91.61</v>
      </c>
      <c r="BA2772">
        <v>36.61</v>
      </c>
      <c r="BB2772" t="s">
        <v>83</v>
      </c>
    </row>
    <row r="2773" spans="1:54" x14ac:dyDescent="0.4">
      <c r="A2773">
        <v>902070</v>
      </c>
      <c r="D2773" t="s">
        <v>54</v>
      </c>
      <c r="E2773" t="s">
        <v>152</v>
      </c>
      <c r="F2773" t="s">
        <v>3466</v>
      </c>
      <c r="G2773">
        <v>1</v>
      </c>
      <c r="H2773" t="s">
        <v>56</v>
      </c>
      <c r="I2773" t="s">
        <v>57</v>
      </c>
      <c r="K2773" t="s">
        <v>1873</v>
      </c>
      <c r="L2773" t="s">
        <v>3455</v>
      </c>
      <c r="M2773" t="s">
        <v>60</v>
      </c>
      <c r="P2773" t="s">
        <v>224</v>
      </c>
      <c r="R2773" t="s">
        <v>183</v>
      </c>
      <c r="S2773" t="s">
        <v>64</v>
      </c>
      <c r="T2773">
        <v>246.7</v>
      </c>
      <c r="U2773">
        <v>242</v>
      </c>
      <c r="V2773">
        <f t="shared" si="86"/>
        <v>244.35</v>
      </c>
      <c r="W2773">
        <f t="shared" si="87"/>
        <v>4.6999999999999886</v>
      </c>
      <c r="X2773">
        <v>112.849998</v>
      </c>
      <c r="Y2773">
        <v>36.966667000000001</v>
      </c>
      <c r="Z2773" t="s">
        <v>124</v>
      </c>
      <c r="AA2773" t="s">
        <v>379</v>
      </c>
      <c r="AB2773" t="s">
        <v>1537</v>
      </c>
      <c r="AD2773" t="s">
        <v>2585</v>
      </c>
      <c r="AF2773" t="s">
        <v>3456</v>
      </c>
      <c r="AG2773" t="s">
        <v>2590</v>
      </c>
      <c r="AH2773" t="s">
        <v>72</v>
      </c>
      <c r="AI2773" t="s">
        <v>683</v>
      </c>
      <c r="AJ2773">
        <v>1964</v>
      </c>
      <c r="AK2773" t="s">
        <v>3467</v>
      </c>
      <c r="AM2773" t="s">
        <v>3468</v>
      </c>
      <c r="AN2773" t="s">
        <v>192</v>
      </c>
      <c r="AO2773" t="s">
        <v>160</v>
      </c>
      <c r="AP2773" t="s">
        <v>115</v>
      </c>
      <c r="AQ2773" t="s">
        <v>3469</v>
      </c>
      <c r="AR2773" t="s">
        <v>80</v>
      </c>
      <c r="AS2773">
        <v>604</v>
      </c>
      <c r="AT2773" t="s">
        <v>81</v>
      </c>
      <c r="AU2773">
        <v>118.15</v>
      </c>
      <c r="AV2773">
        <v>13.39</v>
      </c>
      <c r="AW2773" t="s">
        <v>82</v>
      </c>
      <c r="AX2773">
        <v>604</v>
      </c>
      <c r="AY2773" t="s">
        <v>81</v>
      </c>
      <c r="AZ2773">
        <v>91.61</v>
      </c>
      <c r="BA2773">
        <v>36.61</v>
      </c>
      <c r="BB2773" t="s">
        <v>83</v>
      </c>
    </row>
    <row r="2774" spans="1:54" x14ac:dyDescent="0.4">
      <c r="A2774">
        <v>902070</v>
      </c>
      <c r="D2774" t="s">
        <v>54</v>
      </c>
      <c r="E2774" t="s">
        <v>152</v>
      </c>
      <c r="F2774" t="s">
        <v>3466</v>
      </c>
      <c r="G2774">
        <v>1</v>
      </c>
      <c r="H2774" t="s">
        <v>56</v>
      </c>
      <c r="I2774" t="s">
        <v>57</v>
      </c>
      <c r="K2774" t="s">
        <v>1873</v>
      </c>
      <c r="L2774" t="s">
        <v>3455</v>
      </c>
      <c r="M2774" t="s">
        <v>60</v>
      </c>
      <c r="P2774" t="s">
        <v>224</v>
      </c>
      <c r="R2774" t="s">
        <v>183</v>
      </c>
      <c r="S2774" t="s">
        <v>64</v>
      </c>
      <c r="T2774">
        <v>246.7</v>
      </c>
      <c r="U2774">
        <v>242</v>
      </c>
      <c r="V2774">
        <f t="shared" si="86"/>
        <v>244.35</v>
      </c>
      <c r="W2774">
        <f t="shared" si="87"/>
        <v>4.6999999999999886</v>
      </c>
      <c r="X2774">
        <v>112.849998</v>
      </c>
      <c r="Y2774">
        <v>36.966667000000001</v>
      </c>
      <c r="Z2774" t="s">
        <v>124</v>
      </c>
      <c r="AA2774" t="s">
        <v>379</v>
      </c>
      <c r="AB2774" t="s">
        <v>1537</v>
      </c>
      <c r="AD2774" t="s">
        <v>2585</v>
      </c>
      <c r="AF2774" t="s">
        <v>3456</v>
      </c>
      <c r="AG2774" t="s">
        <v>2590</v>
      </c>
      <c r="AH2774" t="s">
        <v>72</v>
      </c>
      <c r="AI2774" t="s">
        <v>683</v>
      </c>
      <c r="AJ2774">
        <v>1964</v>
      </c>
      <c r="AK2774" t="s">
        <v>3467</v>
      </c>
      <c r="AM2774" t="s">
        <v>3468</v>
      </c>
      <c r="AN2774" t="s">
        <v>192</v>
      </c>
      <c r="AO2774" t="s">
        <v>160</v>
      </c>
      <c r="AP2774" t="s">
        <v>115</v>
      </c>
      <c r="AQ2774" t="s">
        <v>3469</v>
      </c>
      <c r="AR2774" t="s">
        <v>80</v>
      </c>
      <c r="AS2774">
        <v>604</v>
      </c>
      <c r="AT2774" t="s">
        <v>81</v>
      </c>
      <c r="AU2774">
        <v>118.15</v>
      </c>
      <c r="AV2774">
        <v>13.39</v>
      </c>
      <c r="AW2774" t="s">
        <v>82</v>
      </c>
      <c r="AX2774">
        <v>604</v>
      </c>
      <c r="AY2774" t="s">
        <v>81</v>
      </c>
      <c r="AZ2774">
        <v>91.61</v>
      </c>
      <c r="BA2774">
        <v>36.61</v>
      </c>
      <c r="BB2774" t="s">
        <v>83</v>
      </c>
    </row>
    <row r="2775" spans="1:54" x14ac:dyDescent="0.4">
      <c r="A2775">
        <v>902070</v>
      </c>
      <c r="D2775" t="s">
        <v>54</v>
      </c>
      <c r="E2775" t="s">
        <v>152</v>
      </c>
      <c r="F2775" t="s">
        <v>3466</v>
      </c>
      <c r="G2775">
        <v>1</v>
      </c>
      <c r="H2775" t="s">
        <v>56</v>
      </c>
      <c r="I2775" t="s">
        <v>57</v>
      </c>
      <c r="K2775" t="s">
        <v>1873</v>
      </c>
      <c r="L2775" t="s">
        <v>3455</v>
      </c>
      <c r="M2775" t="s">
        <v>60</v>
      </c>
      <c r="P2775" t="s">
        <v>224</v>
      </c>
      <c r="R2775" t="s">
        <v>183</v>
      </c>
      <c r="S2775" t="s">
        <v>64</v>
      </c>
      <c r="T2775">
        <v>246.7</v>
      </c>
      <c r="U2775">
        <v>242</v>
      </c>
      <c r="V2775">
        <f t="shared" si="86"/>
        <v>244.35</v>
      </c>
      <c r="W2775">
        <f t="shared" si="87"/>
        <v>4.6999999999999886</v>
      </c>
      <c r="X2775">
        <v>112.849998</v>
      </c>
      <c r="Y2775">
        <v>36.966667000000001</v>
      </c>
      <c r="Z2775" t="s">
        <v>124</v>
      </c>
      <c r="AA2775" t="s">
        <v>379</v>
      </c>
      <c r="AB2775" t="s">
        <v>1537</v>
      </c>
      <c r="AD2775" t="s">
        <v>2585</v>
      </c>
      <c r="AF2775" t="s">
        <v>3456</v>
      </c>
      <c r="AG2775" t="s">
        <v>2590</v>
      </c>
      <c r="AH2775" t="s">
        <v>72</v>
      </c>
      <c r="AI2775" t="s">
        <v>683</v>
      </c>
      <c r="AJ2775">
        <v>1964</v>
      </c>
      <c r="AK2775" t="s">
        <v>3467</v>
      </c>
      <c r="AM2775" t="s">
        <v>3468</v>
      </c>
      <c r="AN2775" t="s">
        <v>192</v>
      </c>
      <c r="AO2775" t="s">
        <v>160</v>
      </c>
      <c r="AP2775" t="s">
        <v>115</v>
      </c>
      <c r="AQ2775" t="s">
        <v>3469</v>
      </c>
      <c r="AR2775" t="s">
        <v>80</v>
      </c>
      <c r="AS2775">
        <v>604</v>
      </c>
      <c r="AT2775" t="s">
        <v>81</v>
      </c>
      <c r="AU2775">
        <v>118.15</v>
      </c>
      <c r="AV2775">
        <v>13.39</v>
      </c>
      <c r="AW2775" t="s">
        <v>82</v>
      </c>
      <c r="AX2775">
        <v>604</v>
      </c>
      <c r="AY2775" t="s">
        <v>81</v>
      </c>
      <c r="AZ2775">
        <v>91.61</v>
      </c>
      <c r="BA2775">
        <v>36.61</v>
      </c>
      <c r="BB2775" t="s">
        <v>83</v>
      </c>
    </row>
    <row r="2776" spans="1:54" x14ac:dyDescent="0.4">
      <c r="A2776">
        <v>902070</v>
      </c>
      <c r="D2776" t="s">
        <v>54</v>
      </c>
      <c r="E2776" t="s">
        <v>152</v>
      </c>
      <c r="F2776" t="s">
        <v>3466</v>
      </c>
      <c r="G2776">
        <v>1</v>
      </c>
      <c r="H2776" t="s">
        <v>56</v>
      </c>
      <c r="I2776" t="s">
        <v>57</v>
      </c>
      <c r="K2776" t="s">
        <v>1873</v>
      </c>
      <c r="L2776" t="s">
        <v>3455</v>
      </c>
      <c r="M2776" t="s">
        <v>60</v>
      </c>
      <c r="P2776" t="s">
        <v>224</v>
      </c>
      <c r="R2776" t="s">
        <v>183</v>
      </c>
      <c r="S2776" t="s">
        <v>64</v>
      </c>
      <c r="T2776">
        <v>246.7</v>
      </c>
      <c r="U2776">
        <v>242</v>
      </c>
      <c r="V2776">
        <f t="shared" si="86"/>
        <v>244.35</v>
      </c>
      <c r="W2776">
        <f t="shared" si="87"/>
        <v>4.6999999999999886</v>
      </c>
      <c r="X2776">
        <v>112.849998</v>
      </c>
      <c r="Y2776">
        <v>36.966667000000001</v>
      </c>
      <c r="Z2776" t="s">
        <v>124</v>
      </c>
      <c r="AA2776" t="s">
        <v>379</v>
      </c>
      <c r="AB2776" t="s">
        <v>1537</v>
      </c>
      <c r="AD2776" t="s">
        <v>2585</v>
      </c>
      <c r="AF2776" t="s">
        <v>3456</v>
      </c>
      <c r="AG2776" t="s">
        <v>2590</v>
      </c>
      <c r="AH2776" t="s">
        <v>72</v>
      </c>
      <c r="AI2776" t="s">
        <v>683</v>
      </c>
      <c r="AJ2776">
        <v>1964</v>
      </c>
      <c r="AK2776" t="s">
        <v>3467</v>
      </c>
      <c r="AM2776" t="s">
        <v>3468</v>
      </c>
      <c r="AN2776" t="s">
        <v>192</v>
      </c>
      <c r="AO2776" t="s">
        <v>160</v>
      </c>
      <c r="AP2776" t="s">
        <v>115</v>
      </c>
      <c r="AQ2776" t="s">
        <v>3469</v>
      </c>
      <c r="AR2776" t="s">
        <v>80</v>
      </c>
      <c r="AS2776">
        <v>604</v>
      </c>
      <c r="AT2776" t="s">
        <v>81</v>
      </c>
      <c r="AU2776">
        <v>118.15</v>
      </c>
      <c r="AV2776">
        <v>13.39</v>
      </c>
      <c r="AW2776" t="s">
        <v>82</v>
      </c>
      <c r="AX2776">
        <v>604</v>
      </c>
      <c r="AY2776" t="s">
        <v>81</v>
      </c>
      <c r="AZ2776">
        <v>91.61</v>
      </c>
      <c r="BA2776">
        <v>36.61</v>
      </c>
      <c r="BB2776" t="s">
        <v>83</v>
      </c>
    </row>
    <row r="2777" spans="1:54" x14ac:dyDescent="0.4">
      <c r="A2777">
        <v>902070</v>
      </c>
      <c r="D2777" t="s">
        <v>54</v>
      </c>
      <c r="E2777" t="s">
        <v>152</v>
      </c>
      <c r="F2777" t="s">
        <v>3466</v>
      </c>
      <c r="G2777">
        <v>1</v>
      </c>
      <c r="H2777" t="s">
        <v>56</v>
      </c>
      <c r="I2777" t="s">
        <v>57</v>
      </c>
      <c r="K2777" t="s">
        <v>1873</v>
      </c>
      <c r="L2777" t="s">
        <v>3455</v>
      </c>
      <c r="M2777" t="s">
        <v>60</v>
      </c>
      <c r="P2777" t="s">
        <v>224</v>
      </c>
      <c r="R2777" t="s">
        <v>183</v>
      </c>
      <c r="S2777" t="s">
        <v>64</v>
      </c>
      <c r="T2777">
        <v>246.7</v>
      </c>
      <c r="U2777">
        <v>242</v>
      </c>
      <c r="V2777">
        <f t="shared" si="86"/>
        <v>244.35</v>
      </c>
      <c r="W2777">
        <f t="shared" si="87"/>
        <v>4.6999999999999886</v>
      </c>
      <c r="X2777">
        <v>112.849998</v>
      </c>
      <c r="Y2777">
        <v>36.966667000000001</v>
      </c>
      <c r="Z2777" t="s">
        <v>124</v>
      </c>
      <c r="AA2777" t="s">
        <v>379</v>
      </c>
      <c r="AB2777" t="s">
        <v>1537</v>
      </c>
      <c r="AD2777" t="s">
        <v>2585</v>
      </c>
      <c r="AF2777" t="s">
        <v>3456</v>
      </c>
      <c r="AG2777" t="s">
        <v>2590</v>
      </c>
      <c r="AH2777" t="s">
        <v>72</v>
      </c>
      <c r="AI2777" t="s">
        <v>683</v>
      </c>
      <c r="AJ2777">
        <v>1964</v>
      </c>
      <c r="AK2777" t="s">
        <v>3467</v>
      </c>
      <c r="AM2777" t="s">
        <v>3468</v>
      </c>
      <c r="AN2777" t="s">
        <v>192</v>
      </c>
      <c r="AO2777" t="s">
        <v>160</v>
      </c>
      <c r="AP2777" t="s">
        <v>115</v>
      </c>
      <c r="AQ2777" t="s">
        <v>3469</v>
      </c>
      <c r="AR2777" t="s">
        <v>80</v>
      </c>
      <c r="AS2777">
        <v>604</v>
      </c>
      <c r="AT2777" t="s">
        <v>81</v>
      </c>
      <c r="AU2777">
        <v>118.15</v>
      </c>
      <c r="AV2777">
        <v>13.39</v>
      </c>
      <c r="AW2777" t="s">
        <v>82</v>
      </c>
      <c r="AX2777">
        <v>604</v>
      </c>
      <c r="AY2777" t="s">
        <v>81</v>
      </c>
      <c r="AZ2777">
        <v>91.61</v>
      </c>
      <c r="BA2777">
        <v>36.61</v>
      </c>
      <c r="BB2777" t="s">
        <v>83</v>
      </c>
    </row>
    <row r="2778" spans="1:54" x14ac:dyDescent="0.4">
      <c r="A2778">
        <v>902070</v>
      </c>
      <c r="D2778" t="s">
        <v>54</v>
      </c>
      <c r="E2778" t="s">
        <v>152</v>
      </c>
      <c r="F2778" t="s">
        <v>3466</v>
      </c>
      <c r="G2778">
        <v>1</v>
      </c>
      <c r="H2778" t="s">
        <v>56</v>
      </c>
      <c r="I2778" t="s">
        <v>57</v>
      </c>
      <c r="K2778" t="s">
        <v>1873</v>
      </c>
      <c r="L2778" t="s">
        <v>3455</v>
      </c>
      <c r="M2778" t="s">
        <v>60</v>
      </c>
      <c r="P2778" t="s">
        <v>224</v>
      </c>
      <c r="R2778" t="s">
        <v>183</v>
      </c>
      <c r="S2778" t="s">
        <v>64</v>
      </c>
      <c r="T2778">
        <v>246.7</v>
      </c>
      <c r="U2778">
        <v>242</v>
      </c>
      <c r="V2778">
        <f t="shared" si="86"/>
        <v>244.35</v>
      </c>
      <c r="W2778">
        <f t="shared" si="87"/>
        <v>4.6999999999999886</v>
      </c>
      <c r="X2778">
        <v>112.849998</v>
      </c>
      <c r="Y2778">
        <v>36.966667000000001</v>
      </c>
      <c r="Z2778" t="s">
        <v>124</v>
      </c>
      <c r="AA2778" t="s">
        <v>379</v>
      </c>
      <c r="AB2778" t="s">
        <v>1537</v>
      </c>
      <c r="AD2778" t="s">
        <v>2585</v>
      </c>
      <c r="AF2778" t="s">
        <v>3456</v>
      </c>
      <c r="AG2778" t="s">
        <v>2590</v>
      </c>
      <c r="AH2778" t="s">
        <v>72</v>
      </c>
      <c r="AI2778" t="s">
        <v>683</v>
      </c>
      <c r="AJ2778">
        <v>1964</v>
      </c>
      <c r="AK2778" t="s">
        <v>3467</v>
      </c>
      <c r="AM2778" t="s">
        <v>3468</v>
      </c>
      <c r="AN2778" t="s">
        <v>192</v>
      </c>
      <c r="AO2778" t="s">
        <v>160</v>
      </c>
      <c r="AP2778" t="s">
        <v>115</v>
      </c>
      <c r="AQ2778" t="s">
        <v>3469</v>
      </c>
      <c r="AR2778" t="s">
        <v>80</v>
      </c>
      <c r="AS2778">
        <v>604</v>
      </c>
      <c r="AT2778" t="s">
        <v>81</v>
      </c>
      <c r="AU2778">
        <v>118.15</v>
      </c>
      <c r="AV2778">
        <v>13.39</v>
      </c>
      <c r="AW2778" t="s">
        <v>82</v>
      </c>
      <c r="AX2778">
        <v>604</v>
      </c>
      <c r="AY2778" t="s">
        <v>81</v>
      </c>
      <c r="AZ2778">
        <v>91.61</v>
      </c>
      <c r="BA2778">
        <v>36.61</v>
      </c>
      <c r="BB2778" t="s">
        <v>83</v>
      </c>
    </row>
    <row r="2779" spans="1:54" x14ac:dyDescent="0.4">
      <c r="A2779">
        <v>902070</v>
      </c>
      <c r="D2779" t="s">
        <v>54</v>
      </c>
      <c r="E2779" t="s">
        <v>152</v>
      </c>
      <c r="F2779" t="s">
        <v>3466</v>
      </c>
      <c r="G2779">
        <v>1</v>
      </c>
      <c r="H2779" t="s">
        <v>56</v>
      </c>
      <c r="I2779" t="s">
        <v>57</v>
      </c>
      <c r="K2779" t="s">
        <v>1873</v>
      </c>
      <c r="L2779" t="s">
        <v>3455</v>
      </c>
      <c r="M2779" t="s">
        <v>60</v>
      </c>
      <c r="P2779" t="s">
        <v>224</v>
      </c>
      <c r="R2779" t="s">
        <v>183</v>
      </c>
      <c r="S2779" t="s">
        <v>64</v>
      </c>
      <c r="T2779">
        <v>246.7</v>
      </c>
      <c r="U2779">
        <v>242</v>
      </c>
      <c r="V2779">
        <f t="shared" si="86"/>
        <v>244.35</v>
      </c>
      <c r="W2779">
        <f t="shared" si="87"/>
        <v>4.6999999999999886</v>
      </c>
      <c r="X2779">
        <v>112.849998</v>
      </c>
      <c r="Y2779">
        <v>36.966667000000001</v>
      </c>
      <c r="Z2779" t="s">
        <v>124</v>
      </c>
      <c r="AA2779" t="s">
        <v>379</v>
      </c>
      <c r="AB2779" t="s">
        <v>1537</v>
      </c>
      <c r="AD2779" t="s">
        <v>2585</v>
      </c>
      <c r="AF2779" t="s">
        <v>3456</v>
      </c>
      <c r="AG2779" t="s">
        <v>2590</v>
      </c>
      <c r="AH2779" t="s">
        <v>72</v>
      </c>
      <c r="AI2779" t="s">
        <v>683</v>
      </c>
      <c r="AJ2779">
        <v>1964</v>
      </c>
      <c r="AK2779" t="s">
        <v>3467</v>
      </c>
      <c r="AM2779" t="s">
        <v>3468</v>
      </c>
      <c r="AN2779" t="s">
        <v>192</v>
      </c>
      <c r="AO2779" t="s">
        <v>160</v>
      </c>
      <c r="AP2779" t="s">
        <v>115</v>
      </c>
      <c r="AQ2779" t="s">
        <v>3469</v>
      </c>
      <c r="AR2779" t="s">
        <v>80</v>
      </c>
      <c r="AS2779">
        <v>604</v>
      </c>
      <c r="AT2779" t="s">
        <v>81</v>
      </c>
      <c r="AU2779">
        <v>118.15</v>
      </c>
      <c r="AV2779">
        <v>13.39</v>
      </c>
      <c r="AW2779" t="s">
        <v>82</v>
      </c>
      <c r="AX2779">
        <v>604</v>
      </c>
      <c r="AY2779" t="s">
        <v>81</v>
      </c>
      <c r="AZ2779">
        <v>91.61</v>
      </c>
      <c r="BA2779">
        <v>36.61</v>
      </c>
      <c r="BB2779" t="s">
        <v>83</v>
      </c>
    </row>
    <row r="2780" spans="1:54" x14ac:dyDescent="0.4">
      <c r="A2780">
        <v>902070</v>
      </c>
      <c r="D2780" t="s">
        <v>54</v>
      </c>
      <c r="E2780" t="s">
        <v>152</v>
      </c>
      <c r="F2780" t="s">
        <v>3466</v>
      </c>
      <c r="G2780">
        <v>1</v>
      </c>
      <c r="H2780" t="s">
        <v>56</v>
      </c>
      <c r="I2780" t="s">
        <v>57</v>
      </c>
      <c r="K2780" t="s">
        <v>1873</v>
      </c>
      <c r="L2780" t="s">
        <v>3455</v>
      </c>
      <c r="M2780" t="s">
        <v>60</v>
      </c>
      <c r="P2780" t="s">
        <v>224</v>
      </c>
      <c r="R2780" t="s">
        <v>183</v>
      </c>
      <c r="S2780" t="s">
        <v>64</v>
      </c>
      <c r="T2780">
        <v>246.7</v>
      </c>
      <c r="U2780">
        <v>242</v>
      </c>
      <c r="V2780">
        <f t="shared" si="86"/>
        <v>244.35</v>
      </c>
      <c r="W2780">
        <f t="shared" si="87"/>
        <v>4.6999999999999886</v>
      </c>
      <c r="X2780">
        <v>112.849998</v>
      </c>
      <c r="Y2780">
        <v>36.966667000000001</v>
      </c>
      <c r="Z2780" t="s">
        <v>124</v>
      </c>
      <c r="AA2780" t="s">
        <v>379</v>
      </c>
      <c r="AB2780" t="s">
        <v>1537</v>
      </c>
      <c r="AD2780" t="s">
        <v>2585</v>
      </c>
      <c r="AF2780" t="s">
        <v>3456</v>
      </c>
      <c r="AG2780" t="s">
        <v>2590</v>
      </c>
      <c r="AH2780" t="s">
        <v>72</v>
      </c>
      <c r="AI2780" t="s">
        <v>683</v>
      </c>
      <c r="AJ2780">
        <v>1964</v>
      </c>
      <c r="AK2780" t="s">
        <v>3467</v>
      </c>
      <c r="AM2780" t="s">
        <v>3468</v>
      </c>
      <c r="AN2780" t="s">
        <v>192</v>
      </c>
      <c r="AO2780" t="s">
        <v>160</v>
      </c>
      <c r="AP2780" t="s">
        <v>115</v>
      </c>
      <c r="AQ2780" t="s">
        <v>3469</v>
      </c>
      <c r="AR2780" t="s">
        <v>80</v>
      </c>
      <c r="AS2780">
        <v>604</v>
      </c>
      <c r="AT2780" t="s">
        <v>81</v>
      </c>
      <c r="AU2780">
        <v>118.15</v>
      </c>
      <c r="AV2780">
        <v>13.39</v>
      </c>
      <c r="AW2780" t="s">
        <v>82</v>
      </c>
      <c r="AX2780">
        <v>604</v>
      </c>
      <c r="AY2780" t="s">
        <v>81</v>
      </c>
      <c r="AZ2780">
        <v>91.61</v>
      </c>
      <c r="BA2780">
        <v>36.61</v>
      </c>
      <c r="BB2780" t="s">
        <v>83</v>
      </c>
    </row>
    <row r="2781" spans="1:54" x14ac:dyDescent="0.4">
      <c r="A2781">
        <v>902070</v>
      </c>
      <c r="D2781" t="s">
        <v>54</v>
      </c>
      <c r="E2781" t="s">
        <v>152</v>
      </c>
      <c r="F2781" t="s">
        <v>3466</v>
      </c>
      <c r="G2781">
        <v>1</v>
      </c>
      <c r="H2781" t="s">
        <v>56</v>
      </c>
      <c r="I2781" t="s">
        <v>57</v>
      </c>
      <c r="K2781" t="s">
        <v>1873</v>
      </c>
      <c r="L2781" t="s">
        <v>3455</v>
      </c>
      <c r="M2781" t="s">
        <v>60</v>
      </c>
      <c r="P2781" t="s">
        <v>224</v>
      </c>
      <c r="R2781" t="s">
        <v>183</v>
      </c>
      <c r="S2781" t="s">
        <v>64</v>
      </c>
      <c r="T2781">
        <v>246.7</v>
      </c>
      <c r="U2781">
        <v>242</v>
      </c>
      <c r="V2781">
        <f t="shared" si="86"/>
        <v>244.35</v>
      </c>
      <c r="W2781">
        <f t="shared" si="87"/>
        <v>4.6999999999999886</v>
      </c>
      <c r="X2781">
        <v>112.849998</v>
      </c>
      <c r="Y2781">
        <v>36.966667000000001</v>
      </c>
      <c r="Z2781" t="s">
        <v>124</v>
      </c>
      <c r="AA2781" t="s">
        <v>379</v>
      </c>
      <c r="AB2781" t="s">
        <v>1537</v>
      </c>
      <c r="AD2781" t="s">
        <v>2585</v>
      </c>
      <c r="AF2781" t="s">
        <v>3456</v>
      </c>
      <c r="AG2781" t="s">
        <v>2590</v>
      </c>
      <c r="AH2781" t="s">
        <v>72</v>
      </c>
      <c r="AI2781" t="s">
        <v>683</v>
      </c>
      <c r="AJ2781">
        <v>1964</v>
      </c>
      <c r="AK2781" t="s">
        <v>3467</v>
      </c>
      <c r="AM2781" t="s">
        <v>3468</v>
      </c>
      <c r="AN2781" t="s">
        <v>192</v>
      </c>
      <c r="AO2781" t="s">
        <v>160</v>
      </c>
      <c r="AP2781" t="s">
        <v>115</v>
      </c>
      <c r="AQ2781" t="s">
        <v>3469</v>
      </c>
      <c r="AR2781" t="s">
        <v>80</v>
      </c>
      <c r="AS2781">
        <v>604</v>
      </c>
      <c r="AT2781" t="s">
        <v>81</v>
      </c>
      <c r="AU2781">
        <v>118.15</v>
      </c>
      <c r="AV2781">
        <v>13.39</v>
      </c>
      <c r="AW2781" t="s">
        <v>82</v>
      </c>
      <c r="AX2781">
        <v>604</v>
      </c>
      <c r="AY2781" t="s">
        <v>81</v>
      </c>
      <c r="AZ2781">
        <v>91.61</v>
      </c>
      <c r="BA2781">
        <v>36.61</v>
      </c>
      <c r="BB2781" t="s">
        <v>83</v>
      </c>
    </row>
    <row r="2782" spans="1:54" x14ac:dyDescent="0.4">
      <c r="A2782">
        <v>902070</v>
      </c>
      <c r="D2782" t="s">
        <v>54</v>
      </c>
      <c r="E2782" t="s">
        <v>152</v>
      </c>
      <c r="F2782" t="s">
        <v>3466</v>
      </c>
      <c r="G2782">
        <v>1</v>
      </c>
      <c r="H2782" t="s">
        <v>56</v>
      </c>
      <c r="I2782" t="s">
        <v>57</v>
      </c>
      <c r="K2782" t="s">
        <v>1873</v>
      </c>
      <c r="L2782" t="s">
        <v>3455</v>
      </c>
      <c r="M2782" t="s">
        <v>60</v>
      </c>
      <c r="P2782" t="s">
        <v>224</v>
      </c>
      <c r="R2782" t="s">
        <v>183</v>
      </c>
      <c r="S2782" t="s">
        <v>64</v>
      </c>
      <c r="T2782">
        <v>246.7</v>
      </c>
      <c r="U2782">
        <v>242</v>
      </c>
      <c r="V2782">
        <f t="shared" si="86"/>
        <v>244.35</v>
      </c>
      <c r="W2782">
        <f t="shared" si="87"/>
        <v>4.6999999999999886</v>
      </c>
      <c r="X2782">
        <v>112.849998</v>
      </c>
      <c r="Y2782">
        <v>36.966667000000001</v>
      </c>
      <c r="Z2782" t="s">
        <v>124</v>
      </c>
      <c r="AA2782" t="s">
        <v>379</v>
      </c>
      <c r="AB2782" t="s">
        <v>1537</v>
      </c>
      <c r="AD2782" t="s">
        <v>2585</v>
      </c>
      <c r="AF2782" t="s">
        <v>3456</v>
      </c>
      <c r="AG2782" t="s">
        <v>2590</v>
      </c>
      <c r="AH2782" t="s">
        <v>72</v>
      </c>
      <c r="AI2782" t="s">
        <v>683</v>
      </c>
      <c r="AJ2782">
        <v>1964</v>
      </c>
      <c r="AK2782" t="s">
        <v>3467</v>
      </c>
      <c r="AM2782" t="s">
        <v>3468</v>
      </c>
      <c r="AN2782" t="s">
        <v>192</v>
      </c>
      <c r="AO2782" t="s">
        <v>160</v>
      </c>
      <c r="AP2782" t="s">
        <v>115</v>
      </c>
      <c r="AQ2782" t="s">
        <v>3469</v>
      </c>
      <c r="AR2782" t="s">
        <v>80</v>
      </c>
      <c r="AS2782">
        <v>604</v>
      </c>
      <c r="AT2782" t="s">
        <v>81</v>
      </c>
      <c r="AU2782">
        <v>118.15</v>
      </c>
      <c r="AV2782">
        <v>13.39</v>
      </c>
      <c r="AW2782" t="s">
        <v>82</v>
      </c>
      <c r="AX2782">
        <v>604</v>
      </c>
      <c r="AY2782" t="s">
        <v>81</v>
      </c>
      <c r="AZ2782">
        <v>91.61</v>
      </c>
      <c r="BA2782">
        <v>36.61</v>
      </c>
      <c r="BB2782" t="s">
        <v>83</v>
      </c>
    </row>
    <row r="2783" spans="1:54" x14ac:dyDescent="0.4">
      <c r="A2783">
        <v>902070</v>
      </c>
      <c r="D2783" t="s">
        <v>54</v>
      </c>
      <c r="E2783" t="s">
        <v>152</v>
      </c>
      <c r="F2783" t="s">
        <v>3466</v>
      </c>
      <c r="G2783">
        <v>1</v>
      </c>
      <c r="H2783" t="s">
        <v>56</v>
      </c>
      <c r="I2783" t="s">
        <v>57</v>
      </c>
      <c r="K2783" t="s">
        <v>1873</v>
      </c>
      <c r="L2783" t="s">
        <v>3455</v>
      </c>
      <c r="M2783" t="s">
        <v>60</v>
      </c>
      <c r="P2783" t="s">
        <v>224</v>
      </c>
      <c r="R2783" t="s">
        <v>183</v>
      </c>
      <c r="S2783" t="s">
        <v>64</v>
      </c>
      <c r="T2783">
        <v>246.7</v>
      </c>
      <c r="U2783">
        <v>242</v>
      </c>
      <c r="V2783">
        <f t="shared" si="86"/>
        <v>244.35</v>
      </c>
      <c r="W2783">
        <f t="shared" si="87"/>
        <v>4.6999999999999886</v>
      </c>
      <c r="X2783">
        <v>112.849998</v>
      </c>
      <c r="Y2783">
        <v>36.966667000000001</v>
      </c>
      <c r="Z2783" t="s">
        <v>124</v>
      </c>
      <c r="AA2783" t="s">
        <v>379</v>
      </c>
      <c r="AB2783" t="s">
        <v>1537</v>
      </c>
      <c r="AD2783" t="s">
        <v>2585</v>
      </c>
      <c r="AF2783" t="s">
        <v>3456</v>
      </c>
      <c r="AG2783" t="s">
        <v>2590</v>
      </c>
      <c r="AH2783" t="s">
        <v>72</v>
      </c>
      <c r="AI2783" t="s">
        <v>683</v>
      </c>
      <c r="AJ2783">
        <v>1964</v>
      </c>
      <c r="AK2783" t="s">
        <v>3467</v>
      </c>
      <c r="AM2783" t="s">
        <v>3468</v>
      </c>
      <c r="AN2783" t="s">
        <v>192</v>
      </c>
      <c r="AO2783" t="s">
        <v>160</v>
      </c>
      <c r="AP2783" t="s">
        <v>115</v>
      </c>
      <c r="AQ2783" t="s">
        <v>3469</v>
      </c>
      <c r="AR2783" t="s">
        <v>80</v>
      </c>
      <c r="AS2783">
        <v>604</v>
      </c>
      <c r="AT2783" t="s">
        <v>81</v>
      </c>
      <c r="AU2783">
        <v>118.15</v>
      </c>
      <c r="AV2783">
        <v>13.39</v>
      </c>
      <c r="AW2783" t="s">
        <v>82</v>
      </c>
      <c r="AX2783">
        <v>604</v>
      </c>
      <c r="AY2783" t="s">
        <v>81</v>
      </c>
      <c r="AZ2783">
        <v>91.61</v>
      </c>
      <c r="BA2783">
        <v>36.61</v>
      </c>
      <c r="BB2783" t="s">
        <v>83</v>
      </c>
    </row>
    <row r="2784" spans="1:54" x14ac:dyDescent="0.4">
      <c r="A2784">
        <v>902070</v>
      </c>
      <c r="D2784" t="s">
        <v>54</v>
      </c>
      <c r="E2784" t="s">
        <v>152</v>
      </c>
      <c r="F2784" t="s">
        <v>3466</v>
      </c>
      <c r="G2784">
        <v>1</v>
      </c>
      <c r="H2784" t="s">
        <v>56</v>
      </c>
      <c r="I2784" t="s">
        <v>57</v>
      </c>
      <c r="K2784" t="s">
        <v>1873</v>
      </c>
      <c r="L2784" t="s">
        <v>3455</v>
      </c>
      <c r="M2784" t="s">
        <v>60</v>
      </c>
      <c r="P2784" t="s">
        <v>224</v>
      </c>
      <c r="R2784" t="s">
        <v>183</v>
      </c>
      <c r="S2784" t="s">
        <v>64</v>
      </c>
      <c r="T2784">
        <v>246.7</v>
      </c>
      <c r="U2784">
        <v>242</v>
      </c>
      <c r="V2784">
        <f t="shared" si="86"/>
        <v>244.35</v>
      </c>
      <c r="W2784">
        <f t="shared" si="87"/>
        <v>4.6999999999999886</v>
      </c>
      <c r="X2784">
        <v>112.849998</v>
      </c>
      <c r="Y2784">
        <v>36.966667000000001</v>
      </c>
      <c r="Z2784" t="s">
        <v>124</v>
      </c>
      <c r="AA2784" t="s">
        <v>379</v>
      </c>
      <c r="AB2784" t="s">
        <v>1537</v>
      </c>
      <c r="AD2784" t="s">
        <v>2585</v>
      </c>
      <c r="AF2784" t="s">
        <v>3456</v>
      </c>
      <c r="AG2784" t="s">
        <v>2590</v>
      </c>
      <c r="AH2784" t="s">
        <v>72</v>
      </c>
      <c r="AI2784" t="s">
        <v>683</v>
      </c>
      <c r="AJ2784">
        <v>1964</v>
      </c>
      <c r="AK2784" t="s">
        <v>3467</v>
      </c>
      <c r="AM2784" t="s">
        <v>3468</v>
      </c>
      <c r="AN2784" t="s">
        <v>192</v>
      </c>
      <c r="AO2784" t="s">
        <v>160</v>
      </c>
      <c r="AP2784" t="s">
        <v>115</v>
      </c>
      <c r="AQ2784" t="s">
        <v>3469</v>
      </c>
      <c r="AR2784" t="s">
        <v>80</v>
      </c>
      <c r="AS2784">
        <v>604</v>
      </c>
      <c r="AT2784" t="s">
        <v>81</v>
      </c>
      <c r="AU2784">
        <v>118.15</v>
      </c>
      <c r="AV2784">
        <v>13.39</v>
      </c>
      <c r="AW2784" t="s">
        <v>82</v>
      </c>
      <c r="AX2784">
        <v>604</v>
      </c>
      <c r="AY2784" t="s">
        <v>81</v>
      </c>
      <c r="AZ2784">
        <v>91.61</v>
      </c>
      <c r="BA2784">
        <v>36.61</v>
      </c>
      <c r="BB2784" t="s">
        <v>83</v>
      </c>
    </row>
    <row r="2785" spans="1:54" x14ac:dyDescent="0.4">
      <c r="A2785">
        <v>902070</v>
      </c>
      <c r="D2785" t="s">
        <v>54</v>
      </c>
      <c r="E2785" t="s">
        <v>152</v>
      </c>
      <c r="F2785" t="s">
        <v>3466</v>
      </c>
      <c r="G2785">
        <v>1</v>
      </c>
      <c r="H2785" t="s">
        <v>56</v>
      </c>
      <c r="I2785" t="s">
        <v>57</v>
      </c>
      <c r="K2785" t="s">
        <v>1873</v>
      </c>
      <c r="L2785" t="s">
        <v>3455</v>
      </c>
      <c r="M2785" t="s">
        <v>60</v>
      </c>
      <c r="P2785" t="s">
        <v>224</v>
      </c>
      <c r="R2785" t="s">
        <v>183</v>
      </c>
      <c r="S2785" t="s">
        <v>64</v>
      </c>
      <c r="T2785">
        <v>246.7</v>
      </c>
      <c r="U2785">
        <v>242</v>
      </c>
      <c r="V2785">
        <f t="shared" si="86"/>
        <v>244.35</v>
      </c>
      <c r="W2785">
        <f t="shared" si="87"/>
        <v>4.6999999999999886</v>
      </c>
      <c r="X2785">
        <v>112.849998</v>
      </c>
      <c r="Y2785">
        <v>36.966667000000001</v>
      </c>
      <c r="Z2785" t="s">
        <v>124</v>
      </c>
      <c r="AA2785" t="s">
        <v>379</v>
      </c>
      <c r="AB2785" t="s">
        <v>1537</v>
      </c>
      <c r="AD2785" t="s">
        <v>2585</v>
      </c>
      <c r="AF2785" t="s">
        <v>3456</v>
      </c>
      <c r="AG2785" t="s">
        <v>2590</v>
      </c>
      <c r="AH2785" t="s">
        <v>72</v>
      </c>
      <c r="AI2785" t="s">
        <v>683</v>
      </c>
      <c r="AJ2785">
        <v>1964</v>
      </c>
      <c r="AK2785" t="s">
        <v>3467</v>
      </c>
      <c r="AM2785" t="s">
        <v>3468</v>
      </c>
      <c r="AN2785" t="s">
        <v>192</v>
      </c>
      <c r="AO2785" t="s">
        <v>160</v>
      </c>
      <c r="AP2785" t="s">
        <v>115</v>
      </c>
      <c r="AQ2785" t="s">
        <v>3469</v>
      </c>
      <c r="AR2785" t="s">
        <v>80</v>
      </c>
      <c r="AS2785">
        <v>604</v>
      </c>
      <c r="AT2785" t="s">
        <v>81</v>
      </c>
      <c r="AU2785">
        <v>118.15</v>
      </c>
      <c r="AV2785">
        <v>13.39</v>
      </c>
      <c r="AW2785" t="s">
        <v>82</v>
      </c>
      <c r="AX2785">
        <v>604</v>
      </c>
      <c r="AY2785" t="s">
        <v>81</v>
      </c>
      <c r="AZ2785">
        <v>91.61</v>
      </c>
      <c r="BA2785">
        <v>36.61</v>
      </c>
      <c r="BB2785" t="s">
        <v>83</v>
      </c>
    </row>
    <row r="2786" spans="1:54" x14ac:dyDescent="0.4">
      <c r="A2786">
        <v>902070</v>
      </c>
      <c r="D2786" t="s">
        <v>54</v>
      </c>
      <c r="E2786" t="s">
        <v>152</v>
      </c>
      <c r="F2786" t="s">
        <v>3466</v>
      </c>
      <c r="G2786">
        <v>1</v>
      </c>
      <c r="H2786" t="s">
        <v>56</v>
      </c>
      <c r="I2786" t="s">
        <v>57</v>
      </c>
      <c r="K2786" t="s">
        <v>1873</v>
      </c>
      <c r="L2786" t="s">
        <v>3455</v>
      </c>
      <c r="M2786" t="s">
        <v>60</v>
      </c>
      <c r="P2786" t="s">
        <v>224</v>
      </c>
      <c r="R2786" t="s">
        <v>183</v>
      </c>
      <c r="S2786" t="s">
        <v>64</v>
      </c>
      <c r="T2786">
        <v>246.7</v>
      </c>
      <c r="U2786">
        <v>242</v>
      </c>
      <c r="V2786">
        <f t="shared" si="86"/>
        <v>244.35</v>
      </c>
      <c r="W2786">
        <f t="shared" si="87"/>
        <v>4.6999999999999886</v>
      </c>
      <c r="X2786">
        <v>112.849998</v>
      </c>
      <c r="Y2786">
        <v>36.966667000000001</v>
      </c>
      <c r="Z2786" t="s">
        <v>124</v>
      </c>
      <c r="AA2786" t="s">
        <v>379</v>
      </c>
      <c r="AB2786" t="s">
        <v>1537</v>
      </c>
      <c r="AD2786" t="s">
        <v>2585</v>
      </c>
      <c r="AF2786" t="s">
        <v>3456</v>
      </c>
      <c r="AG2786" t="s">
        <v>2590</v>
      </c>
      <c r="AH2786" t="s">
        <v>72</v>
      </c>
      <c r="AI2786" t="s">
        <v>683</v>
      </c>
      <c r="AJ2786">
        <v>1964</v>
      </c>
      <c r="AK2786" t="s">
        <v>3467</v>
      </c>
      <c r="AM2786" t="s">
        <v>3468</v>
      </c>
      <c r="AN2786" t="s">
        <v>192</v>
      </c>
      <c r="AO2786" t="s">
        <v>160</v>
      </c>
      <c r="AP2786" t="s">
        <v>115</v>
      </c>
      <c r="AQ2786" t="s">
        <v>3469</v>
      </c>
      <c r="AR2786" t="s">
        <v>80</v>
      </c>
      <c r="AS2786">
        <v>604</v>
      </c>
      <c r="AT2786" t="s">
        <v>81</v>
      </c>
      <c r="AU2786">
        <v>118.15</v>
      </c>
      <c r="AV2786">
        <v>13.39</v>
      </c>
      <c r="AW2786" t="s">
        <v>82</v>
      </c>
      <c r="AX2786">
        <v>604</v>
      </c>
      <c r="AY2786" t="s">
        <v>81</v>
      </c>
      <c r="AZ2786">
        <v>91.61</v>
      </c>
      <c r="BA2786">
        <v>36.61</v>
      </c>
      <c r="BB2786" t="s">
        <v>83</v>
      </c>
    </row>
    <row r="2787" spans="1:54" x14ac:dyDescent="0.4">
      <c r="A2787">
        <v>902070</v>
      </c>
      <c r="D2787" t="s">
        <v>54</v>
      </c>
      <c r="E2787" t="s">
        <v>152</v>
      </c>
      <c r="F2787" t="s">
        <v>3466</v>
      </c>
      <c r="G2787">
        <v>1</v>
      </c>
      <c r="H2787" t="s">
        <v>56</v>
      </c>
      <c r="I2787" t="s">
        <v>57</v>
      </c>
      <c r="K2787" t="s">
        <v>1873</v>
      </c>
      <c r="L2787" t="s">
        <v>3455</v>
      </c>
      <c r="M2787" t="s">
        <v>60</v>
      </c>
      <c r="P2787" t="s">
        <v>224</v>
      </c>
      <c r="R2787" t="s">
        <v>183</v>
      </c>
      <c r="S2787" t="s">
        <v>64</v>
      </c>
      <c r="T2787">
        <v>246.7</v>
      </c>
      <c r="U2787">
        <v>242</v>
      </c>
      <c r="V2787">
        <f t="shared" si="86"/>
        <v>244.35</v>
      </c>
      <c r="W2787">
        <f t="shared" si="87"/>
        <v>4.6999999999999886</v>
      </c>
      <c r="X2787">
        <v>112.849998</v>
      </c>
      <c r="Y2787">
        <v>36.966667000000001</v>
      </c>
      <c r="Z2787" t="s">
        <v>124</v>
      </c>
      <c r="AA2787" t="s">
        <v>379</v>
      </c>
      <c r="AB2787" t="s">
        <v>1537</v>
      </c>
      <c r="AD2787" t="s">
        <v>2585</v>
      </c>
      <c r="AF2787" t="s">
        <v>3456</v>
      </c>
      <c r="AG2787" t="s">
        <v>2590</v>
      </c>
      <c r="AH2787" t="s">
        <v>72</v>
      </c>
      <c r="AI2787" t="s">
        <v>683</v>
      </c>
      <c r="AJ2787">
        <v>1964</v>
      </c>
      <c r="AK2787" t="s">
        <v>3467</v>
      </c>
      <c r="AM2787" t="s">
        <v>3468</v>
      </c>
      <c r="AN2787" t="s">
        <v>192</v>
      </c>
      <c r="AO2787" t="s">
        <v>160</v>
      </c>
      <c r="AP2787" t="s">
        <v>115</v>
      </c>
      <c r="AQ2787" t="s">
        <v>3469</v>
      </c>
      <c r="AR2787" t="s">
        <v>80</v>
      </c>
      <c r="AS2787">
        <v>604</v>
      </c>
      <c r="AT2787" t="s">
        <v>81</v>
      </c>
      <c r="AU2787">
        <v>118.15</v>
      </c>
      <c r="AV2787">
        <v>13.39</v>
      </c>
      <c r="AW2787" t="s">
        <v>82</v>
      </c>
      <c r="AX2787">
        <v>604</v>
      </c>
      <c r="AY2787" t="s">
        <v>81</v>
      </c>
      <c r="AZ2787">
        <v>91.61</v>
      </c>
      <c r="BA2787">
        <v>36.61</v>
      </c>
      <c r="BB2787" t="s">
        <v>83</v>
      </c>
    </row>
    <row r="2788" spans="1:54" x14ac:dyDescent="0.4">
      <c r="A2788">
        <v>902070</v>
      </c>
      <c r="D2788" t="s">
        <v>54</v>
      </c>
      <c r="E2788" t="s">
        <v>152</v>
      </c>
      <c r="F2788" t="s">
        <v>3466</v>
      </c>
      <c r="G2788">
        <v>1</v>
      </c>
      <c r="H2788" t="s">
        <v>56</v>
      </c>
      <c r="I2788" t="s">
        <v>57</v>
      </c>
      <c r="K2788" t="s">
        <v>1873</v>
      </c>
      <c r="L2788" t="s">
        <v>3455</v>
      </c>
      <c r="M2788" t="s">
        <v>60</v>
      </c>
      <c r="P2788" t="s">
        <v>224</v>
      </c>
      <c r="R2788" t="s">
        <v>183</v>
      </c>
      <c r="S2788" t="s">
        <v>64</v>
      </c>
      <c r="T2788">
        <v>246.7</v>
      </c>
      <c r="U2788">
        <v>242</v>
      </c>
      <c r="V2788">
        <f t="shared" si="86"/>
        <v>244.35</v>
      </c>
      <c r="W2788">
        <f t="shared" si="87"/>
        <v>4.6999999999999886</v>
      </c>
      <c r="X2788">
        <v>112.849998</v>
      </c>
      <c r="Y2788">
        <v>36.966667000000001</v>
      </c>
      <c r="Z2788" t="s">
        <v>124</v>
      </c>
      <c r="AA2788" t="s">
        <v>379</v>
      </c>
      <c r="AB2788" t="s">
        <v>1537</v>
      </c>
      <c r="AD2788" t="s">
        <v>2585</v>
      </c>
      <c r="AF2788" t="s">
        <v>3456</v>
      </c>
      <c r="AG2788" t="s">
        <v>2590</v>
      </c>
      <c r="AH2788" t="s">
        <v>72</v>
      </c>
      <c r="AI2788" t="s">
        <v>683</v>
      </c>
      <c r="AJ2788">
        <v>1964</v>
      </c>
      <c r="AK2788" t="s">
        <v>3467</v>
      </c>
      <c r="AM2788" t="s">
        <v>3468</v>
      </c>
      <c r="AN2788" t="s">
        <v>192</v>
      </c>
      <c r="AO2788" t="s">
        <v>160</v>
      </c>
      <c r="AP2788" t="s">
        <v>115</v>
      </c>
      <c r="AQ2788" t="s">
        <v>3469</v>
      </c>
      <c r="AR2788" t="s">
        <v>80</v>
      </c>
      <c r="AS2788">
        <v>604</v>
      </c>
      <c r="AT2788" t="s">
        <v>81</v>
      </c>
      <c r="AU2788">
        <v>118.15</v>
      </c>
      <c r="AV2788">
        <v>13.39</v>
      </c>
      <c r="AW2788" t="s">
        <v>82</v>
      </c>
      <c r="AX2788">
        <v>604</v>
      </c>
      <c r="AY2788" t="s">
        <v>81</v>
      </c>
      <c r="AZ2788">
        <v>91.61</v>
      </c>
      <c r="BA2788">
        <v>36.61</v>
      </c>
      <c r="BB2788" t="s">
        <v>83</v>
      </c>
    </row>
    <row r="2789" spans="1:54" x14ac:dyDescent="0.4">
      <c r="A2789">
        <v>902070</v>
      </c>
      <c r="D2789" t="s">
        <v>54</v>
      </c>
      <c r="E2789" t="s">
        <v>152</v>
      </c>
      <c r="F2789" t="s">
        <v>3466</v>
      </c>
      <c r="G2789">
        <v>1</v>
      </c>
      <c r="H2789" t="s">
        <v>56</v>
      </c>
      <c r="I2789" t="s">
        <v>57</v>
      </c>
      <c r="K2789" t="s">
        <v>1873</v>
      </c>
      <c r="L2789" t="s">
        <v>3455</v>
      </c>
      <c r="M2789" t="s">
        <v>60</v>
      </c>
      <c r="P2789" t="s">
        <v>224</v>
      </c>
      <c r="R2789" t="s">
        <v>183</v>
      </c>
      <c r="S2789" t="s">
        <v>64</v>
      </c>
      <c r="T2789">
        <v>246.7</v>
      </c>
      <c r="U2789">
        <v>242</v>
      </c>
      <c r="V2789">
        <f t="shared" si="86"/>
        <v>244.35</v>
      </c>
      <c r="W2789">
        <f t="shared" si="87"/>
        <v>4.6999999999999886</v>
      </c>
      <c r="X2789">
        <v>112.849998</v>
      </c>
      <c r="Y2789">
        <v>36.966667000000001</v>
      </c>
      <c r="Z2789" t="s">
        <v>124</v>
      </c>
      <c r="AA2789" t="s">
        <v>379</v>
      </c>
      <c r="AB2789" t="s">
        <v>1537</v>
      </c>
      <c r="AD2789" t="s">
        <v>2585</v>
      </c>
      <c r="AF2789" t="s">
        <v>3456</v>
      </c>
      <c r="AG2789" t="s">
        <v>2590</v>
      </c>
      <c r="AH2789" t="s">
        <v>72</v>
      </c>
      <c r="AI2789" t="s">
        <v>683</v>
      </c>
      <c r="AJ2789">
        <v>1964</v>
      </c>
      <c r="AK2789" t="s">
        <v>3467</v>
      </c>
      <c r="AM2789" t="s">
        <v>3468</v>
      </c>
      <c r="AN2789" t="s">
        <v>192</v>
      </c>
      <c r="AO2789" t="s">
        <v>160</v>
      </c>
      <c r="AP2789" t="s">
        <v>115</v>
      </c>
      <c r="AQ2789" t="s">
        <v>3469</v>
      </c>
      <c r="AR2789" t="s">
        <v>80</v>
      </c>
      <c r="AS2789">
        <v>604</v>
      </c>
      <c r="AT2789" t="s">
        <v>81</v>
      </c>
      <c r="AU2789">
        <v>118.15</v>
      </c>
      <c r="AV2789">
        <v>13.39</v>
      </c>
      <c r="AW2789" t="s">
        <v>82</v>
      </c>
      <c r="AX2789">
        <v>604</v>
      </c>
      <c r="AY2789" t="s">
        <v>81</v>
      </c>
      <c r="AZ2789">
        <v>91.61</v>
      </c>
      <c r="BA2789">
        <v>36.61</v>
      </c>
      <c r="BB2789" t="s">
        <v>83</v>
      </c>
    </row>
    <row r="2790" spans="1:54" x14ac:dyDescent="0.4">
      <c r="A2790">
        <v>902070</v>
      </c>
      <c r="D2790" t="s">
        <v>54</v>
      </c>
      <c r="E2790" t="s">
        <v>152</v>
      </c>
      <c r="F2790" t="s">
        <v>3466</v>
      </c>
      <c r="G2790">
        <v>1</v>
      </c>
      <c r="H2790" t="s">
        <v>56</v>
      </c>
      <c r="I2790" t="s">
        <v>57</v>
      </c>
      <c r="K2790" t="s">
        <v>1873</v>
      </c>
      <c r="L2790" t="s">
        <v>3455</v>
      </c>
      <c r="M2790" t="s">
        <v>60</v>
      </c>
      <c r="P2790" t="s">
        <v>224</v>
      </c>
      <c r="R2790" t="s">
        <v>183</v>
      </c>
      <c r="S2790" t="s">
        <v>64</v>
      </c>
      <c r="T2790">
        <v>246.7</v>
      </c>
      <c r="U2790">
        <v>242</v>
      </c>
      <c r="V2790">
        <f t="shared" si="86"/>
        <v>244.35</v>
      </c>
      <c r="W2790">
        <f t="shared" si="87"/>
        <v>4.6999999999999886</v>
      </c>
      <c r="X2790">
        <v>112.849998</v>
      </c>
      <c r="Y2790">
        <v>36.966667000000001</v>
      </c>
      <c r="Z2790" t="s">
        <v>124</v>
      </c>
      <c r="AA2790" t="s">
        <v>379</v>
      </c>
      <c r="AB2790" t="s">
        <v>1537</v>
      </c>
      <c r="AD2790" t="s">
        <v>2585</v>
      </c>
      <c r="AF2790" t="s">
        <v>3456</v>
      </c>
      <c r="AG2790" t="s">
        <v>2590</v>
      </c>
      <c r="AH2790" t="s">
        <v>72</v>
      </c>
      <c r="AI2790" t="s">
        <v>683</v>
      </c>
      <c r="AJ2790">
        <v>1964</v>
      </c>
      <c r="AK2790" t="s">
        <v>3467</v>
      </c>
      <c r="AM2790" t="s">
        <v>3468</v>
      </c>
      <c r="AN2790" t="s">
        <v>192</v>
      </c>
      <c r="AO2790" t="s">
        <v>160</v>
      </c>
      <c r="AP2790" t="s">
        <v>115</v>
      </c>
      <c r="AQ2790" t="s">
        <v>3469</v>
      </c>
      <c r="AR2790" t="s">
        <v>80</v>
      </c>
      <c r="AS2790">
        <v>604</v>
      </c>
      <c r="AT2790" t="s">
        <v>81</v>
      </c>
      <c r="AU2790">
        <v>118.15</v>
      </c>
      <c r="AV2790">
        <v>13.39</v>
      </c>
      <c r="AW2790" t="s">
        <v>82</v>
      </c>
      <c r="AX2790">
        <v>604</v>
      </c>
      <c r="AY2790" t="s">
        <v>81</v>
      </c>
      <c r="AZ2790">
        <v>91.61</v>
      </c>
      <c r="BA2790">
        <v>36.61</v>
      </c>
      <c r="BB2790" t="s">
        <v>83</v>
      </c>
    </row>
    <row r="2791" spans="1:54" x14ac:dyDescent="0.4">
      <c r="A2791">
        <v>902070</v>
      </c>
      <c r="D2791" t="s">
        <v>54</v>
      </c>
      <c r="E2791" t="s">
        <v>152</v>
      </c>
      <c r="F2791" t="s">
        <v>3466</v>
      </c>
      <c r="G2791">
        <v>1</v>
      </c>
      <c r="H2791" t="s">
        <v>56</v>
      </c>
      <c r="I2791" t="s">
        <v>57</v>
      </c>
      <c r="K2791" t="s">
        <v>1873</v>
      </c>
      <c r="L2791" t="s">
        <v>3455</v>
      </c>
      <c r="M2791" t="s">
        <v>60</v>
      </c>
      <c r="P2791" t="s">
        <v>224</v>
      </c>
      <c r="R2791" t="s">
        <v>183</v>
      </c>
      <c r="S2791" t="s">
        <v>64</v>
      </c>
      <c r="T2791">
        <v>246.7</v>
      </c>
      <c r="U2791">
        <v>242</v>
      </c>
      <c r="V2791">
        <f t="shared" si="86"/>
        <v>244.35</v>
      </c>
      <c r="W2791">
        <f t="shared" si="87"/>
        <v>4.6999999999999886</v>
      </c>
      <c r="X2791">
        <v>112.849998</v>
      </c>
      <c r="Y2791">
        <v>36.966667000000001</v>
      </c>
      <c r="Z2791" t="s">
        <v>124</v>
      </c>
      <c r="AA2791" t="s">
        <v>379</v>
      </c>
      <c r="AB2791" t="s">
        <v>1537</v>
      </c>
      <c r="AD2791" t="s">
        <v>2585</v>
      </c>
      <c r="AF2791" t="s">
        <v>3456</v>
      </c>
      <c r="AG2791" t="s">
        <v>2590</v>
      </c>
      <c r="AH2791" t="s">
        <v>72</v>
      </c>
      <c r="AI2791" t="s">
        <v>683</v>
      </c>
      <c r="AJ2791">
        <v>1964</v>
      </c>
      <c r="AK2791" t="s">
        <v>3467</v>
      </c>
      <c r="AM2791" t="s">
        <v>3468</v>
      </c>
      <c r="AN2791" t="s">
        <v>192</v>
      </c>
      <c r="AO2791" t="s">
        <v>160</v>
      </c>
      <c r="AP2791" t="s">
        <v>115</v>
      </c>
      <c r="AQ2791" t="s">
        <v>3469</v>
      </c>
      <c r="AR2791" t="s">
        <v>80</v>
      </c>
      <c r="AS2791">
        <v>604</v>
      </c>
      <c r="AT2791" t="s">
        <v>81</v>
      </c>
      <c r="AU2791">
        <v>118.15</v>
      </c>
      <c r="AV2791">
        <v>13.39</v>
      </c>
      <c r="AW2791" t="s">
        <v>82</v>
      </c>
      <c r="AX2791">
        <v>604</v>
      </c>
      <c r="AY2791" t="s">
        <v>81</v>
      </c>
      <c r="AZ2791">
        <v>91.61</v>
      </c>
      <c r="BA2791">
        <v>36.61</v>
      </c>
      <c r="BB2791" t="s">
        <v>83</v>
      </c>
    </row>
    <row r="2792" spans="1:54" x14ac:dyDescent="0.4">
      <c r="A2792">
        <v>902070</v>
      </c>
      <c r="D2792" t="s">
        <v>54</v>
      </c>
      <c r="E2792" t="s">
        <v>152</v>
      </c>
      <c r="F2792" t="s">
        <v>3466</v>
      </c>
      <c r="G2792">
        <v>1</v>
      </c>
      <c r="H2792" t="s">
        <v>56</v>
      </c>
      <c r="I2792" t="s">
        <v>57</v>
      </c>
      <c r="K2792" t="s">
        <v>1873</v>
      </c>
      <c r="L2792" t="s">
        <v>3455</v>
      </c>
      <c r="M2792" t="s">
        <v>60</v>
      </c>
      <c r="P2792" t="s">
        <v>224</v>
      </c>
      <c r="R2792" t="s">
        <v>183</v>
      </c>
      <c r="S2792" t="s">
        <v>64</v>
      </c>
      <c r="T2792">
        <v>246.7</v>
      </c>
      <c r="U2792">
        <v>242</v>
      </c>
      <c r="V2792">
        <f t="shared" si="86"/>
        <v>244.35</v>
      </c>
      <c r="W2792">
        <f t="shared" si="87"/>
        <v>4.6999999999999886</v>
      </c>
      <c r="X2792">
        <v>112.849998</v>
      </c>
      <c r="Y2792">
        <v>36.966667000000001</v>
      </c>
      <c r="Z2792" t="s">
        <v>124</v>
      </c>
      <c r="AA2792" t="s">
        <v>379</v>
      </c>
      <c r="AB2792" t="s">
        <v>1537</v>
      </c>
      <c r="AD2792" t="s">
        <v>2585</v>
      </c>
      <c r="AF2792" t="s">
        <v>3456</v>
      </c>
      <c r="AG2792" t="s">
        <v>2590</v>
      </c>
      <c r="AH2792" t="s">
        <v>72</v>
      </c>
      <c r="AI2792" t="s">
        <v>683</v>
      </c>
      <c r="AJ2792">
        <v>1964</v>
      </c>
      <c r="AK2792" t="s">
        <v>3467</v>
      </c>
      <c r="AM2792" t="s">
        <v>3468</v>
      </c>
      <c r="AN2792" t="s">
        <v>192</v>
      </c>
      <c r="AO2792" t="s">
        <v>160</v>
      </c>
      <c r="AP2792" t="s">
        <v>115</v>
      </c>
      <c r="AQ2792" t="s">
        <v>3469</v>
      </c>
      <c r="AR2792" t="s">
        <v>80</v>
      </c>
      <c r="AS2792">
        <v>604</v>
      </c>
      <c r="AT2792" t="s">
        <v>81</v>
      </c>
      <c r="AU2792">
        <v>118.15</v>
      </c>
      <c r="AV2792">
        <v>13.39</v>
      </c>
      <c r="AW2792" t="s">
        <v>82</v>
      </c>
      <c r="AX2792">
        <v>604</v>
      </c>
      <c r="AY2792" t="s">
        <v>81</v>
      </c>
      <c r="AZ2792">
        <v>91.61</v>
      </c>
      <c r="BA2792">
        <v>36.61</v>
      </c>
      <c r="BB2792" t="s">
        <v>83</v>
      </c>
    </row>
    <row r="2793" spans="1:54" x14ac:dyDescent="0.4">
      <c r="A2793">
        <v>902374</v>
      </c>
      <c r="D2793" t="s">
        <v>54</v>
      </c>
      <c r="E2793" t="s">
        <v>55</v>
      </c>
      <c r="G2793">
        <v>1</v>
      </c>
      <c r="H2793" t="s">
        <v>56</v>
      </c>
      <c r="I2793" t="s">
        <v>57</v>
      </c>
      <c r="K2793" t="s">
        <v>1873</v>
      </c>
      <c r="L2793" t="s">
        <v>3479</v>
      </c>
      <c r="M2793" t="s">
        <v>60</v>
      </c>
      <c r="P2793" t="s">
        <v>224</v>
      </c>
      <c r="R2793" t="s">
        <v>183</v>
      </c>
      <c r="S2793" t="s">
        <v>64</v>
      </c>
      <c r="T2793">
        <v>246.7</v>
      </c>
      <c r="U2793">
        <v>242</v>
      </c>
      <c r="V2793">
        <f t="shared" si="86"/>
        <v>244.35</v>
      </c>
      <c r="W2793">
        <f t="shared" si="87"/>
        <v>4.6999999999999886</v>
      </c>
      <c r="X2793">
        <v>111</v>
      </c>
      <c r="Y2793">
        <v>39.099997999999999</v>
      </c>
      <c r="Z2793" t="s">
        <v>124</v>
      </c>
      <c r="AA2793" t="s">
        <v>379</v>
      </c>
      <c r="AB2793" t="s">
        <v>387</v>
      </c>
      <c r="AC2793" t="s">
        <v>388</v>
      </c>
      <c r="AD2793" t="s">
        <v>2585</v>
      </c>
      <c r="AF2793" t="s">
        <v>620</v>
      </c>
      <c r="AH2793" t="s">
        <v>72</v>
      </c>
      <c r="AI2793" t="s">
        <v>3480</v>
      </c>
      <c r="AJ2793">
        <v>1991</v>
      </c>
      <c r="AK2793" t="s">
        <v>3481</v>
      </c>
      <c r="AN2793" t="s">
        <v>114</v>
      </c>
      <c r="AO2793">
        <v>1</v>
      </c>
      <c r="AP2793" t="s">
        <v>115</v>
      </c>
      <c r="AQ2793" t="s">
        <v>3482</v>
      </c>
      <c r="AR2793" t="s">
        <v>80</v>
      </c>
      <c r="AS2793">
        <v>604</v>
      </c>
      <c r="AT2793" t="s">
        <v>81</v>
      </c>
      <c r="AU2793">
        <v>118.67</v>
      </c>
      <c r="AV2793">
        <v>15.92</v>
      </c>
      <c r="AW2793" t="s">
        <v>82</v>
      </c>
      <c r="AX2793">
        <v>604</v>
      </c>
      <c r="AY2793" t="s">
        <v>81</v>
      </c>
      <c r="AZ2793">
        <v>90.35</v>
      </c>
      <c r="BA2793">
        <v>38.99</v>
      </c>
      <c r="BB2793" t="s">
        <v>83</v>
      </c>
    </row>
    <row r="2794" spans="1:54" x14ac:dyDescent="0.4">
      <c r="A2794">
        <v>902375</v>
      </c>
      <c r="D2794" t="s">
        <v>54</v>
      </c>
      <c r="E2794" t="s">
        <v>154</v>
      </c>
      <c r="G2794">
        <v>1</v>
      </c>
      <c r="H2794" t="s">
        <v>56</v>
      </c>
      <c r="I2794" t="s">
        <v>57</v>
      </c>
      <c r="K2794" t="s">
        <v>141</v>
      </c>
      <c r="L2794" t="s">
        <v>3483</v>
      </c>
      <c r="M2794" t="s">
        <v>60</v>
      </c>
      <c r="O2794" t="s">
        <v>87</v>
      </c>
      <c r="P2794" t="s">
        <v>224</v>
      </c>
      <c r="R2794" t="s">
        <v>183</v>
      </c>
      <c r="S2794" t="s">
        <v>64</v>
      </c>
      <c r="T2794">
        <v>246.7</v>
      </c>
      <c r="U2794">
        <v>242</v>
      </c>
      <c r="V2794">
        <f t="shared" si="86"/>
        <v>244.35</v>
      </c>
      <c r="W2794">
        <f t="shared" si="87"/>
        <v>4.6999999999999886</v>
      </c>
      <c r="X2794">
        <v>89.166663999999997</v>
      </c>
      <c r="Y2794">
        <v>42.916668000000001</v>
      </c>
      <c r="Z2794" t="s">
        <v>124</v>
      </c>
      <c r="AA2794" t="s">
        <v>379</v>
      </c>
      <c r="AB2794" t="s">
        <v>2166</v>
      </c>
      <c r="AC2794" t="s">
        <v>2167</v>
      </c>
      <c r="AD2794" t="s">
        <v>2168</v>
      </c>
      <c r="AH2794" t="s">
        <v>72</v>
      </c>
      <c r="AI2794" t="s">
        <v>683</v>
      </c>
      <c r="AJ2794">
        <v>1973</v>
      </c>
      <c r="AK2794" t="s">
        <v>2169</v>
      </c>
      <c r="AM2794" t="s">
        <v>2170</v>
      </c>
      <c r="AN2794" t="s">
        <v>341</v>
      </c>
      <c r="AO2794" t="s">
        <v>160</v>
      </c>
      <c r="AP2794" t="s">
        <v>359</v>
      </c>
      <c r="AQ2794" t="s">
        <v>2171</v>
      </c>
      <c r="AR2794" t="s">
        <v>80</v>
      </c>
      <c r="AS2794" t="s">
        <v>528</v>
      </c>
      <c r="AT2794" t="s">
        <v>81</v>
      </c>
      <c r="AW2794" t="s">
        <v>82</v>
      </c>
      <c r="AX2794">
        <v>407</v>
      </c>
      <c r="AY2794" t="s">
        <v>81</v>
      </c>
      <c r="AZ2794">
        <v>70.97</v>
      </c>
      <c r="BA2794">
        <v>47.52</v>
      </c>
      <c r="BB2794" t="s">
        <v>83</v>
      </c>
    </row>
    <row r="2795" spans="1:54" x14ac:dyDescent="0.4">
      <c r="A2795">
        <v>902378</v>
      </c>
      <c r="D2795" t="s">
        <v>54</v>
      </c>
      <c r="G2795">
        <v>1</v>
      </c>
      <c r="H2795" t="s">
        <v>421</v>
      </c>
      <c r="I2795" t="s">
        <v>57</v>
      </c>
      <c r="K2795" t="s">
        <v>1873</v>
      </c>
      <c r="L2795" t="s">
        <v>3455</v>
      </c>
      <c r="M2795" t="s">
        <v>60</v>
      </c>
      <c r="P2795" t="s">
        <v>224</v>
      </c>
      <c r="R2795" t="s">
        <v>183</v>
      </c>
      <c r="S2795" t="s">
        <v>64</v>
      </c>
      <c r="T2795">
        <v>246.7</v>
      </c>
      <c r="U2795">
        <v>242</v>
      </c>
      <c r="V2795">
        <f t="shared" si="86"/>
        <v>244.35</v>
      </c>
      <c r="W2795">
        <f t="shared" si="87"/>
        <v>4.6999999999999886</v>
      </c>
      <c r="X2795">
        <v>112.916664</v>
      </c>
      <c r="Y2795">
        <v>36.916668000000001</v>
      </c>
      <c r="Z2795" t="s">
        <v>124</v>
      </c>
      <c r="AA2795" t="s">
        <v>379</v>
      </c>
      <c r="AB2795" t="s">
        <v>1537</v>
      </c>
      <c r="AD2795" t="s">
        <v>2585</v>
      </c>
      <c r="AF2795" t="s">
        <v>3456</v>
      </c>
      <c r="AG2795" t="s">
        <v>2590</v>
      </c>
      <c r="AH2795" t="s">
        <v>72</v>
      </c>
      <c r="AI2795" t="s">
        <v>683</v>
      </c>
      <c r="AJ2795">
        <v>1964</v>
      </c>
      <c r="AK2795" t="s">
        <v>3484</v>
      </c>
      <c r="AN2795" t="s">
        <v>192</v>
      </c>
      <c r="AO2795" t="s">
        <v>160</v>
      </c>
      <c r="AP2795" t="s">
        <v>115</v>
      </c>
      <c r="AQ2795" t="s">
        <v>3485</v>
      </c>
      <c r="AR2795" t="s">
        <v>80</v>
      </c>
      <c r="AS2795">
        <v>604</v>
      </c>
      <c r="AT2795" t="s">
        <v>81</v>
      </c>
      <c r="AU2795">
        <v>118.16</v>
      </c>
      <c r="AV2795">
        <v>13.31</v>
      </c>
      <c r="AW2795" t="s">
        <v>82</v>
      </c>
      <c r="AX2795">
        <v>604</v>
      </c>
      <c r="AY2795" t="s">
        <v>81</v>
      </c>
      <c r="AZ2795">
        <v>91.67</v>
      </c>
      <c r="BA2795">
        <v>36.549999999999997</v>
      </c>
      <c r="BB2795" t="s">
        <v>83</v>
      </c>
    </row>
    <row r="2796" spans="1:54" x14ac:dyDescent="0.4">
      <c r="A2796">
        <v>902379</v>
      </c>
      <c r="D2796" t="s">
        <v>54</v>
      </c>
      <c r="G2796">
        <v>1</v>
      </c>
      <c r="H2796" t="s">
        <v>56</v>
      </c>
      <c r="I2796" t="s">
        <v>57</v>
      </c>
      <c r="K2796" t="s">
        <v>1873</v>
      </c>
      <c r="L2796" t="s">
        <v>3455</v>
      </c>
      <c r="M2796" t="s">
        <v>60</v>
      </c>
      <c r="P2796" t="s">
        <v>224</v>
      </c>
      <c r="R2796" t="s">
        <v>183</v>
      </c>
      <c r="S2796" t="s">
        <v>64</v>
      </c>
      <c r="T2796">
        <v>246.7</v>
      </c>
      <c r="U2796">
        <v>242</v>
      </c>
      <c r="V2796">
        <f t="shared" si="86"/>
        <v>244.35</v>
      </c>
      <c r="W2796">
        <f t="shared" si="87"/>
        <v>4.6999999999999886</v>
      </c>
      <c r="X2796">
        <v>113.01667</v>
      </c>
      <c r="Y2796">
        <v>37.066665999999998</v>
      </c>
      <c r="Z2796" t="s">
        <v>124</v>
      </c>
      <c r="AA2796" t="s">
        <v>379</v>
      </c>
      <c r="AB2796" t="s">
        <v>1537</v>
      </c>
      <c r="AD2796" t="s">
        <v>2585</v>
      </c>
      <c r="AF2796" t="s">
        <v>3456</v>
      </c>
      <c r="AG2796" t="s">
        <v>2590</v>
      </c>
      <c r="AH2796" t="s">
        <v>72</v>
      </c>
      <c r="AI2796" t="s">
        <v>683</v>
      </c>
      <c r="AJ2796">
        <v>1964</v>
      </c>
      <c r="AK2796" t="s">
        <v>3486</v>
      </c>
      <c r="AN2796" t="s">
        <v>192</v>
      </c>
      <c r="AO2796" t="s">
        <v>160</v>
      </c>
      <c r="AP2796" t="s">
        <v>115</v>
      </c>
      <c r="AQ2796" t="s">
        <v>3487</v>
      </c>
      <c r="AR2796" t="s">
        <v>80</v>
      </c>
      <c r="AS2796">
        <v>604</v>
      </c>
      <c r="AT2796" t="s">
        <v>81</v>
      </c>
      <c r="AU2796">
        <v>118.32</v>
      </c>
      <c r="AV2796">
        <v>13.36</v>
      </c>
      <c r="AW2796" t="s">
        <v>82</v>
      </c>
      <c r="AX2796">
        <v>604</v>
      </c>
      <c r="AY2796" t="s">
        <v>81</v>
      </c>
      <c r="AZ2796">
        <v>91.8</v>
      </c>
      <c r="BA2796">
        <v>36.68</v>
      </c>
      <c r="BB2796" t="s">
        <v>83</v>
      </c>
    </row>
    <row r="2797" spans="1:54" x14ac:dyDescent="0.4">
      <c r="A2797">
        <v>902380</v>
      </c>
      <c r="D2797" t="s">
        <v>54</v>
      </c>
      <c r="G2797">
        <v>1</v>
      </c>
      <c r="H2797" t="s">
        <v>421</v>
      </c>
      <c r="I2797" t="s">
        <v>57</v>
      </c>
      <c r="K2797" t="s">
        <v>1873</v>
      </c>
      <c r="L2797" t="s">
        <v>3455</v>
      </c>
      <c r="M2797" t="s">
        <v>60</v>
      </c>
      <c r="P2797" t="s">
        <v>224</v>
      </c>
      <c r="R2797" t="s">
        <v>183</v>
      </c>
      <c r="S2797" t="s">
        <v>64</v>
      </c>
      <c r="T2797">
        <v>246.7</v>
      </c>
      <c r="U2797">
        <v>242</v>
      </c>
      <c r="V2797">
        <f t="shared" si="86"/>
        <v>244.35</v>
      </c>
      <c r="W2797">
        <f t="shared" si="87"/>
        <v>4.6999999999999886</v>
      </c>
      <c r="X2797">
        <v>112.933334</v>
      </c>
      <c r="Y2797">
        <v>36.966667000000001</v>
      </c>
      <c r="Z2797" t="s">
        <v>124</v>
      </c>
      <c r="AA2797" t="s">
        <v>379</v>
      </c>
      <c r="AB2797" t="s">
        <v>1537</v>
      </c>
      <c r="AD2797" t="s">
        <v>2585</v>
      </c>
      <c r="AF2797" t="s">
        <v>3456</v>
      </c>
      <c r="AG2797" t="s">
        <v>2590</v>
      </c>
      <c r="AH2797" t="s">
        <v>72</v>
      </c>
      <c r="AI2797" t="s">
        <v>683</v>
      </c>
      <c r="AJ2797">
        <v>1964</v>
      </c>
      <c r="AK2797" t="s">
        <v>3488</v>
      </c>
      <c r="AN2797" t="s">
        <v>192</v>
      </c>
      <c r="AO2797" t="s">
        <v>160</v>
      </c>
      <c r="AP2797" t="s">
        <v>115</v>
      </c>
      <c r="AQ2797" t="s">
        <v>3489</v>
      </c>
      <c r="AR2797" t="s">
        <v>80</v>
      </c>
      <c r="AS2797">
        <v>604</v>
      </c>
      <c r="AT2797" t="s">
        <v>81</v>
      </c>
      <c r="AU2797">
        <v>118.2</v>
      </c>
      <c r="AV2797">
        <v>13.34</v>
      </c>
      <c r="AW2797" t="s">
        <v>82</v>
      </c>
      <c r="AX2797">
        <v>604</v>
      </c>
      <c r="AY2797" t="s">
        <v>81</v>
      </c>
      <c r="AZ2797">
        <v>91.69</v>
      </c>
      <c r="BA2797">
        <v>36.590000000000003</v>
      </c>
      <c r="BB2797" t="s">
        <v>83</v>
      </c>
    </row>
    <row r="2798" spans="1:54" x14ac:dyDescent="0.4">
      <c r="A2798">
        <v>902381</v>
      </c>
      <c r="D2798" t="s">
        <v>54</v>
      </c>
      <c r="G2798">
        <v>1</v>
      </c>
      <c r="H2798" t="s">
        <v>56</v>
      </c>
      <c r="I2798" t="s">
        <v>57</v>
      </c>
      <c r="K2798" t="s">
        <v>1873</v>
      </c>
      <c r="L2798" t="s">
        <v>3455</v>
      </c>
      <c r="M2798" t="s">
        <v>60</v>
      </c>
      <c r="P2798" t="s">
        <v>224</v>
      </c>
      <c r="R2798" t="s">
        <v>183</v>
      </c>
      <c r="S2798" t="s">
        <v>64</v>
      </c>
      <c r="T2798">
        <v>246.7</v>
      </c>
      <c r="U2798">
        <v>242</v>
      </c>
      <c r="V2798">
        <f t="shared" si="86"/>
        <v>244.35</v>
      </c>
      <c r="W2798">
        <f t="shared" si="87"/>
        <v>4.6999999999999886</v>
      </c>
      <c r="X2798">
        <v>112.849998</v>
      </c>
      <c r="Y2798">
        <v>36.966667000000001</v>
      </c>
      <c r="Z2798" t="s">
        <v>124</v>
      </c>
      <c r="AA2798" t="s">
        <v>379</v>
      </c>
      <c r="AB2798" t="s">
        <v>1537</v>
      </c>
      <c r="AD2798" t="s">
        <v>2585</v>
      </c>
      <c r="AF2798" t="s">
        <v>3456</v>
      </c>
      <c r="AG2798" t="s">
        <v>2590</v>
      </c>
      <c r="AH2798" t="s">
        <v>72</v>
      </c>
      <c r="AI2798" t="s">
        <v>683</v>
      </c>
      <c r="AJ2798">
        <v>1964</v>
      </c>
      <c r="AK2798" t="s">
        <v>3490</v>
      </c>
      <c r="AN2798" t="s">
        <v>192</v>
      </c>
      <c r="AO2798" t="s">
        <v>160</v>
      </c>
      <c r="AP2798" t="s">
        <v>115</v>
      </c>
      <c r="AQ2798" t="s">
        <v>3491</v>
      </c>
      <c r="AR2798" t="s">
        <v>80</v>
      </c>
      <c r="AS2798">
        <v>604</v>
      </c>
      <c r="AT2798" t="s">
        <v>81</v>
      </c>
      <c r="AU2798">
        <v>118.15</v>
      </c>
      <c r="AV2798">
        <v>13.39</v>
      </c>
      <c r="AW2798" t="s">
        <v>82</v>
      </c>
      <c r="AX2798">
        <v>604</v>
      </c>
      <c r="AY2798" t="s">
        <v>81</v>
      </c>
      <c r="AZ2798">
        <v>91.61</v>
      </c>
      <c r="BA2798">
        <v>36.61</v>
      </c>
      <c r="BB2798" t="s">
        <v>83</v>
      </c>
    </row>
    <row r="2799" spans="1:54" x14ac:dyDescent="0.4">
      <c r="A2799">
        <v>902382</v>
      </c>
      <c r="D2799" t="s">
        <v>54</v>
      </c>
      <c r="G2799">
        <v>1</v>
      </c>
      <c r="H2799" t="s">
        <v>56</v>
      </c>
      <c r="I2799" t="s">
        <v>57</v>
      </c>
      <c r="K2799" t="s">
        <v>1873</v>
      </c>
      <c r="L2799" t="s">
        <v>3455</v>
      </c>
      <c r="M2799" t="s">
        <v>60</v>
      </c>
      <c r="P2799" t="s">
        <v>224</v>
      </c>
      <c r="R2799" t="s">
        <v>183</v>
      </c>
      <c r="S2799" t="s">
        <v>64</v>
      </c>
      <c r="T2799">
        <v>246.7</v>
      </c>
      <c r="U2799">
        <v>242</v>
      </c>
      <c r="V2799">
        <f t="shared" si="86"/>
        <v>244.35</v>
      </c>
      <c r="W2799">
        <f t="shared" si="87"/>
        <v>4.6999999999999886</v>
      </c>
      <c r="X2799">
        <v>112.849998</v>
      </c>
      <c r="Y2799">
        <v>36.966667000000001</v>
      </c>
      <c r="Z2799" t="s">
        <v>124</v>
      </c>
      <c r="AA2799" t="s">
        <v>379</v>
      </c>
      <c r="AB2799" t="s">
        <v>1537</v>
      </c>
      <c r="AD2799" t="s">
        <v>2585</v>
      </c>
      <c r="AF2799" t="s">
        <v>3456</v>
      </c>
      <c r="AG2799" t="s">
        <v>2590</v>
      </c>
      <c r="AH2799" t="s">
        <v>72</v>
      </c>
      <c r="AI2799" t="s">
        <v>683</v>
      </c>
      <c r="AJ2799">
        <v>1964</v>
      </c>
      <c r="AK2799" t="s">
        <v>3492</v>
      </c>
      <c r="AN2799" t="s">
        <v>192</v>
      </c>
      <c r="AO2799" t="s">
        <v>160</v>
      </c>
      <c r="AP2799" t="s">
        <v>115</v>
      </c>
      <c r="AQ2799" t="s">
        <v>3493</v>
      </c>
      <c r="AR2799" t="s">
        <v>80</v>
      </c>
      <c r="AS2799">
        <v>604</v>
      </c>
      <c r="AT2799" t="s">
        <v>81</v>
      </c>
      <c r="AU2799">
        <v>118.15</v>
      </c>
      <c r="AV2799">
        <v>13.39</v>
      </c>
      <c r="AW2799" t="s">
        <v>82</v>
      </c>
      <c r="AX2799">
        <v>604</v>
      </c>
      <c r="AY2799" t="s">
        <v>81</v>
      </c>
      <c r="AZ2799">
        <v>91.61</v>
      </c>
      <c r="BA2799">
        <v>36.61</v>
      </c>
      <c r="BB2799" t="s">
        <v>83</v>
      </c>
    </row>
    <row r="2800" spans="1:54" x14ac:dyDescent="0.4">
      <c r="A2800">
        <v>902383</v>
      </c>
      <c r="D2800" t="s">
        <v>54</v>
      </c>
      <c r="G2800">
        <v>1</v>
      </c>
      <c r="H2800" t="s">
        <v>56</v>
      </c>
      <c r="I2800" t="s">
        <v>57</v>
      </c>
      <c r="K2800" t="s">
        <v>1873</v>
      </c>
      <c r="L2800" t="s">
        <v>3455</v>
      </c>
      <c r="M2800" t="s">
        <v>60</v>
      </c>
      <c r="P2800" t="s">
        <v>224</v>
      </c>
      <c r="R2800" t="s">
        <v>183</v>
      </c>
      <c r="S2800" t="s">
        <v>64</v>
      </c>
      <c r="T2800">
        <v>246.7</v>
      </c>
      <c r="U2800">
        <v>242</v>
      </c>
      <c r="V2800">
        <f t="shared" si="86"/>
        <v>244.35</v>
      </c>
      <c r="W2800">
        <f t="shared" si="87"/>
        <v>4.6999999999999886</v>
      </c>
      <c r="X2800">
        <v>112.883331</v>
      </c>
      <c r="Y2800">
        <v>36.933334000000002</v>
      </c>
      <c r="Z2800" t="s">
        <v>124</v>
      </c>
      <c r="AA2800" t="s">
        <v>379</v>
      </c>
      <c r="AB2800" t="s">
        <v>1537</v>
      </c>
      <c r="AD2800" t="s">
        <v>2585</v>
      </c>
      <c r="AF2800" t="s">
        <v>3456</v>
      </c>
      <c r="AG2800" t="s">
        <v>2590</v>
      </c>
      <c r="AH2800" t="s">
        <v>72</v>
      </c>
      <c r="AI2800" t="s">
        <v>683</v>
      </c>
      <c r="AJ2800">
        <v>1964</v>
      </c>
      <c r="AK2800" t="s">
        <v>3494</v>
      </c>
      <c r="AN2800" t="s">
        <v>192</v>
      </c>
      <c r="AO2800" t="s">
        <v>160</v>
      </c>
      <c r="AP2800" t="s">
        <v>115</v>
      </c>
      <c r="AQ2800" t="s">
        <v>3495</v>
      </c>
      <c r="AR2800" t="s">
        <v>80</v>
      </c>
      <c r="AS2800">
        <v>604</v>
      </c>
      <c r="AT2800" t="s">
        <v>81</v>
      </c>
      <c r="AU2800">
        <v>118.15</v>
      </c>
      <c r="AV2800">
        <v>13.34</v>
      </c>
      <c r="AW2800" t="s">
        <v>82</v>
      </c>
      <c r="AX2800">
        <v>604</v>
      </c>
      <c r="AY2800" t="s">
        <v>81</v>
      </c>
      <c r="AZ2800">
        <v>91.64</v>
      </c>
      <c r="BA2800">
        <v>36.57</v>
      </c>
      <c r="BB2800" t="s">
        <v>83</v>
      </c>
    </row>
    <row r="2801" spans="1:54" x14ac:dyDescent="0.4">
      <c r="A2801">
        <v>902384</v>
      </c>
      <c r="D2801" t="s">
        <v>54</v>
      </c>
      <c r="G2801">
        <v>1</v>
      </c>
      <c r="H2801" t="s">
        <v>56</v>
      </c>
      <c r="I2801" t="s">
        <v>57</v>
      </c>
      <c r="K2801" t="s">
        <v>1873</v>
      </c>
      <c r="L2801" t="s">
        <v>3455</v>
      </c>
      <c r="M2801" t="s">
        <v>60</v>
      </c>
      <c r="P2801" t="s">
        <v>224</v>
      </c>
      <c r="R2801" t="s">
        <v>183</v>
      </c>
      <c r="S2801" t="s">
        <v>64</v>
      </c>
      <c r="T2801">
        <v>246.7</v>
      </c>
      <c r="U2801">
        <v>242</v>
      </c>
      <c r="V2801">
        <f t="shared" si="86"/>
        <v>244.35</v>
      </c>
      <c r="W2801">
        <f t="shared" si="87"/>
        <v>4.6999999999999886</v>
      </c>
      <c r="X2801">
        <v>112.300003</v>
      </c>
      <c r="Y2801">
        <v>39</v>
      </c>
      <c r="Z2801" t="s">
        <v>124</v>
      </c>
      <c r="AA2801" t="s">
        <v>379</v>
      </c>
      <c r="AB2801" t="s">
        <v>1537</v>
      </c>
      <c r="AC2801" t="s">
        <v>3496</v>
      </c>
      <c r="AD2801" t="s">
        <v>2585</v>
      </c>
      <c r="AF2801" t="s">
        <v>3456</v>
      </c>
      <c r="AG2801" t="s">
        <v>2590</v>
      </c>
      <c r="AH2801" t="s">
        <v>72</v>
      </c>
      <c r="AI2801" t="s">
        <v>683</v>
      </c>
      <c r="AJ2801">
        <v>1964</v>
      </c>
      <c r="AK2801" t="s">
        <v>3497</v>
      </c>
      <c r="AN2801" t="s">
        <v>192</v>
      </c>
      <c r="AO2801" t="s">
        <v>657</v>
      </c>
      <c r="AP2801" t="s">
        <v>115</v>
      </c>
      <c r="AQ2801" t="s">
        <v>3498</v>
      </c>
      <c r="AR2801" t="s">
        <v>80</v>
      </c>
      <c r="AS2801">
        <v>604</v>
      </c>
      <c r="AT2801" t="s">
        <v>81</v>
      </c>
      <c r="AU2801">
        <v>119.33</v>
      </c>
      <c r="AV2801">
        <v>15.13</v>
      </c>
      <c r="AW2801" t="s">
        <v>82</v>
      </c>
      <c r="AX2801">
        <v>604</v>
      </c>
      <c r="AY2801" t="s">
        <v>81</v>
      </c>
      <c r="AZ2801">
        <v>91.59</v>
      </c>
      <c r="BA2801">
        <v>38.69</v>
      </c>
      <c r="BB2801" t="s">
        <v>83</v>
      </c>
    </row>
    <row r="2802" spans="1:54" x14ac:dyDescent="0.4">
      <c r="A2802">
        <v>902385</v>
      </c>
      <c r="D2802" t="s">
        <v>54</v>
      </c>
      <c r="G2802">
        <v>1</v>
      </c>
      <c r="H2802" t="s">
        <v>56</v>
      </c>
      <c r="I2802" t="s">
        <v>57</v>
      </c>
      <c r="K2802" t="s">
        <v>1873</v>
      </c>
      <c r="L2802" t="s">
        <v>3455</v>
      </c>
      <c r="M2802" t="s">
        <v>60</v>
      </c>
      <c r="P2802" t="s">
        <v>224</v>
      </c>
      <c r="R2802" t="s">
        <v>183</v>
      </c>
      <c r="S2802" t="s">
        <v>64</v>
      </c>
      <c r="T2802">
        <v>246.7</v>
      </c>
      <c r="U2802">
        <v>242</v>
      </c>
      <c r="V2802">
        <f t="shared" si="86"/>
        <v>244.35</v>
      </c>
      <c r="W2802">
        <f t="shared" si="87"/>
        <v>4.6999999999999886</v>
      </c>
      <c r="X2802">
        <v>112.300003</v>
      </c>
      <c r="Y2802">
        <v>39</v>
      </c>
      <c r="Z2802" t="s">
        <v>124</v>
      </c>
      <c r="AA2802" t="s">
        <v>379</v>
      </c>
      <c r="AB2802" t="s">
        <v>1537</v>
      </c>
      <c r="AD2802" t="s">
        <v>2585</v>
      </c>
      <c r="AF2802" t="s">
        <v>3456</v>
      </c>
      <c r="AG2802" t="s">
        <v>2590</v>
      </c>
      <c r="AH2802" t="s">
        <v>72</v>
      </c>
      <c r="AI2802" t="s">
        <v>683</v>
      </c>
      <c r="AJ2802">
        <v>1964</v>
      </c>
      <c r="AK2802" t="s">
        <v>3499</v>
      </c>
      <c r="AM2802" t="s">
        <v>3500</v>
      </c>
      <c r="AN2802" t="s">
        <v>192</v>
      </c>
      <c r="AO2802" t="s">
        <v>657</v>
      </c>
      <c r="AP2802" t="s">
        <v>115</v>
      </c>
      <c r="AQ2802" t="s">
        <v>3501</v>
      </c>
      <c r="AR2802" t="s">
        <v>80</v>
      </c>
      <c r="AS2802">
        <v>604</v>
      </c>
      <c r="AT2802" t="s">
        <v>81</v>
      </c>
      <c r="AU2802">
        <v>119.33</v>
      </c>
      <c r="AV2802">
        <v>15.13</v>
      </c>
      <c r="AW2802" t="s">
        <v>82</v>
      </c>
      <c r="AX2802">
        <v>604</v>
      </c>
      <c r="AY2802" t="s">
        <v>81</v>
      </c>
      <c r="AZ2802">
        <v>91.59</v>
      </c>
      <c r="BA2802">
        <v>38.69</v>
      </c>
      <c r="BB2802" t="s">
        <v>83</v>
      </c>
    </row>
    <row r="2803" spans="1:54" x14ac:dyDescent="0.4">
      <c r="A2803">
        <v>902385</v>
      </c>
      <c r="D2803" t="s">
        <v>54</v>
      </c>
      <c r="G2803">
        <v>1</v>
      </c>
      <c r="H2803" t="s">
        <v>56</v>
      </c>
      <c r="I2803" t="s">
        <v>57</v>
      </c>
      <c r="K2803" t="s">
        <v>1873</v>
      </c>
      <c r="L2803" t="s">
        <v>3455</v>
      </c>
      <c r="M2803" t="s">
        <v>60</v>
      </c>
      <c r="P2803" t="s">
        <v>224</v>
      </c>
      <c r="R2803" t="s">
        <v>183</v>
      </c>
      <c r="S2803" t="s">
        <v>64</v>
      </c>
      <c r="T2803">
        <v>246.7</v>
      </c>
      <c r="U2803">
        <v>242</v>
      </c>
      <c r="V2803">
        <f t="shared" si="86"/>
        <v>244.35</v>
      </c>
      <c r="W2803">
        <f t="shared" si="87"/>
        <v>4.6999999999999886</v>
      </c>
      <c r="X2803">
        <v>112.300003</v>
      </c>
      <c r="Y2803">
        <v>39</v>
      </c>
      <c r="Z2803" t="s">
        <v>124</v>
      </c>
      <c r="AA2803" t="s">
        <v>379</v>
      </c>
      <c r="AB2803" t="s">
        <v>1537</v>
      </c>
      <c r="AD2803" t="s">
        <v>2585</v>
      </c>
      <c r="AF2803" t="s">
        <v>3456</v>
      </c>
      <c r="AG2803" t="s">
        <v>2590</v>
      </c>
      <c r="AH2803" t="s">
        <v>72</v>
      </c>
      <c r="AI2803" t="s">
        <v>683</v>
      </c>
      <c r="AJ2803">
        <v>1964</v>
      </c>
      <c r="AK2803" t="s">
        <v>3499</v>
      </c>
      <c r="AM2803" t="s">
        <v>3500</v>
      </c>
      <c r="AN2803" t="s">
        <v>192</v>
      </c>
      <c r="AO2803" t="s">
        <v>657</v>
      </c>
      <c r="AP2803" t="s">
        <v>115</v>
      </c>
      <c r="AQ2803" t="s">
        <v>3501</v>
      </c>
      <c r="AR2803" t="s">
        <v>80</v>
      </c>
      <c r="AS2803">
        <v>604</v>
      </c>
      <c r="AT2803" t="s">
        <v>81</v>
      </c>
      <c r="AU2803">
        <v>119.33</v>
      </c>
      <c r="AV2803">
        <v>15.13</v>
      </c>
      <c r="AW2803" t="s">
        <v>82</v>
      </c>
      <c r="AX2803">
        <v>604</v>
      </c>
      <c r="AY2803" t="s">
        <v>81</v>
      </c>
      <c r="AZ2803">
        <v>91.59</v>
      </c>
      <c r="BA2803">
        <v>38.69</v>
      </c>
      <c r="BB2803" t="s">
        <v>83</v>
      </c>
    </row>
    <row r="2804" spans="1:54" x14ac:dyDescent="0.4">
      <c r="A2804">
        <v>902386</v>
      </c>
      <c r="D2804" t="s">
        <v>54</v>
      </c>
      <c r="G2804">
        <v>1</v>
      </c>
      <c r="H2804" t="s">
        <v>421</v>
      </c>
      <c r="I2804" t="s">
        <v>57</v>
      </c>
      <c r="K2804" t="s">
        <v>1873</v>
      </c>
      <c r="L2804" t="s">
        <v>3455</v>
      </c>
      <c r="M2804" t="s">
        <v>60</v>
      </c>
      <c r="P2804" t="s">
        <v>224</v>
      </c>
      <c r="R2804" t="s">
        <v>183</v>
      </c>
      <c r="S2804" t="s">
        <v>64</v>
      </c>
      <c r="T2804">
        <v>246.7</v>
      </c>
      <c r="U2804">
        <v>242</v>
      </c>
      <c r="V2804">
        <f t="shared" si="86"/>
        <v>244.35</v>
      </c>
      <c r="W2804">
        <f t="shared" si="87"/>
        <v>4.6999999999999886</v>
      </c>
      <c r="X2804">
        <v>112.300003</v>
      </c>
      <c r="Y2804">
        <v>39</v>
      </c>
      <c r="Z2804" t="s">
        <v>124</v>
      </c>
      <c r="AA2804" t="s">
        <v>379</v>
      </c>
      <c r="AB2804" t="s">
        <v>1537</v>
      </c>
      <c r="AD2804" t="s">
        <v>2585</v>
      </c>
      <c r="AF2804" t="s">
        <v>3456</v>
      </c>
      <c r="AG2804" t="s">
        <v>2590</v>
      </c>
      <c r="AH2804" t="s">
        <v>72</v>
      </c>
      <c r="AI2804" t="s">
        <v>683</v>
      </c>
      <c r="AJ2804">
        <v>1964</v>
      </c>
      <c r="AK2804" t="s">
        <v>3502</v>
      </c>
      <c r="AN2804" t="s">
        <v>192</v>
      </c>
      <c r="AO2804" t="s">
        <v>657</v>
      </c>
      <c r="AP2804" t="s">
        <v>115</v>
      </c>
      <c r="AQ2804" t="s">
        <v>3503</v>
      </c>
      <c r="AR2804" t="s">
        <v>80</v>
      </c>
      <c r="AS2804">
        <v>604</v>
      </c>
      <c r="AT2804" t="s">
        <v>81</v>
      </c>
      <c r="AU2804">
        <v>119.33</v>
      </c>
      <c r="AV2804">
        <v>15.13</v>
      </c>
      <c r="AW2804" t="s">
        <v>82</v>
      </c>
      <c r="AX2804">
        <v>604</v>
      </c>
      <c r="AY2804" t="s">
        <v>81</v>
      </c>
      <c r="AZ2804">
        <v>91.59</v>
      </c>
      <c r="BA2804">
        <v>38.69</v>
      </c>
      <c r="BB2804" t="s">
        <v>83</v>
      </c>
    </row>
    <row r="2805" spans="1:54" x14ac:dyDescent="0.4">
      <c r="A2805">
        <v>902395</v>
      </c>
      <c r="D2805" t="s">
        <v>54</v>
      </c>
      <c r="E2805" t="s">
        <v>152</v>
      </c>
      <c r="F2805" t="s">
        <v>3466</v>
      </c>
      <c r="G2805">
        <v>1</v>
      </c>
      <c r="H2805" t="s">
        <v>56</v>
      </c>
      <c r="I2805" t="s">
        <v>57</v>
      </c>
      <c r="K2805" t="s">
        <v>1873</v>
      </c>
      <c r="L2805" t="s">
        <v>3455</v>
      </c>
      <c r="M2805" t="s">
        <v>60</v>
      </c>
      <c r="P2805" t="s">
        <v>224</v>
      </c>
      <c r="R2805" t="s">
        <v>183</v>
      </c>
      <c r="S2805" t="s">
        <v>64</v>
      </c>
      <c r="T2805">
        <v>246.7</v>
      </c>
      <c r="U2805">
        <v>242</v>
      </c>
      <c r="V2805">
        <f t="shared" si="86"/>
        <v>244.35</v>
      </c>
      <c r="W2805">
        <f t="shared" si="87"/>
        <v>4.6999999999999886</v>
      </c>
      <c r="X2805">
        <v>112.849998</v>
      </c>
      <c r="Y2805">
        <v>36.966667000000001</v>
      </c>
      <c r="Z2805" t="s">
        <v>124</v>
      </c>
      <c r="AA2805" t="s">
        <v>379</v>
      </c>
      <c r="AB2805" t="s">
        <v>1537</v>
      </c>
      <c r="AD2805" t="s">
        <v>2585</v>
      </c>
      <c r="AF2805" t="s">
        <v>3456</v>
      </c>
      <c r="AG2805" t="s">
        <v>2590</v>
      </c>
      <c r="AH2805" t="s">
        <v>72</v>
      </c>
      <c r="AI2805" t="s">
        <v>683</v>
      </c>
      <c r="AJ2805">
        <v>1964</v>
      </c>
      <c r="AK2805" t="s">
        <v>3467</v>
      </c>
      <c r="AM2805" t="s">
        <v>3468</v>
      </c>
      <c r="AN2805" t="s">
        <v>192</v>
      </c>
      <c r="AO2805" t="s">
        <v>160</v>
      </c>
      <c r="AP2805" t="s">
        <v>115</v>
      </c>
      <c r="AQ2805" t="s">
        <v>3469</v>
      </c>
      <c r="AR2805" t="s">
        <v>80</v>
      </c>
      <c r="AS2805">
        <v>604</v>
      </c>
      <c r="AT2805" t="s">
        <v>81</v>
      </c>
      <c r="AU2805">
        <v>118.15</v>
      </c>
      <c r="AV2805">
        <v>13.39</v>
      </c>
      <c r="AW2805" t="s">
        <v>82</v>
      </c>
      <c r="AX2805">
        <v>604</v>
      </c>
      <c r="AY2805" t="s">
        <v>81</v>
      </c>
      <c r="AZ2805">
        <v>91.61</v>
      </c>
      <c r="BA2805">
        <v>36.61</v>
      </c>
      <c r="BB2805" t="s">
        <v>83</v>
      </c>
    </row>
    <row r="2806" spans="1:54" x14ac:dyDescent="0.4">
      <c r="A2806">
        <v>902395</v>
      </c>
      <c r="D2806" t="s">
        <v>54</v>
      </c>
      <c r="E2806" t="s">
        <v>152</v>
      </c>
      <c r="F2806" t="s">
        <v>3466</v>
      </c>
      <c r="G2806">
        <v>1</v>
      </c>
      <c r="H2806" t="s">
        <v>56</v>
      </c>
      <c r="I2806" t="s">
        <v>57</v>
      </c>
      <c r="K2806" t="s">
        <v>1873</v>
      </c>
      <c r="L2806" t="s">
        <v>3455</v>
      </c>
      <c r="M2806" t="s">
        <v>60</v>
      </c>
      <c r="P2806" t="s">
        <v>224</v>
      </c>
      <c r="R2806" t="s">
        <v>183</v>
      </c>
      <c r="S2806" t="s">
        <v>64</v>
      </c>
      <c r="T2806">
        <v>246.7</v>
      </c>
      <c r="U2806">
        <v>242</v>
      </c>
      <c r="V2806">
        <f t="shared" si="86"/>
        <v>244.35</v>
      </c>
      <c r="W2806">
        <f t="shared" si="87"/>
        <v>4.6999999999999886</v>
      </c>
      <c r="X2806">
        <v>112.849998</v>
      </c>
      <c r="Y2806">
        <v>36.966667000000001</v>
      </c>
      <c r="Z2806" t="s">
        <v>124</v>
      </c>
      <c r="AA2806" t="s">
        <v>379</v>
      </c>
      <c r="AB2806" t="s">
        <v>1537</v>
      </c>
      <c r="AD2806" t="s">
        <v>2585</v>
      </c>
      <c r="AF2806" t="s">
        <v>3456</v>
      </c>
      <c r="AG2806" t="s">
        <v>2590</v>
      </c>
      <c r="AH2806" t="s">
        <v>72</v>
      </c>
      <c r="AI2806" t="s">
        <v>683</v>
      </c>
      <c r="AJ2806">
        <v>1964</v>
      </c>
      <c r="AK2806" t="s">
        <v>3467</v>
      </c>
      <c r="AM2806" t="s">
        <v>3468</v>
      </c>
      <c r="AN2806" t="s">
        <v>192</v>
      </c>
      <c r="AO2806" t="s">
        <v>160</v>
      </c>
      <c r="AP2806" t="s">
        <v>115</v>
      </c>
      <c r="AQ2806" t="s">
        <v>3469</v>
      </c>
      <c r="AR2806" t="s">
        <v>80</v>
      </c>
      <c r="AS2806">
        <v>604</v>
      </c>
      <c r="AT2806" t="s">
        <v>81</v>
      </c>
      <c r="AU2806">
        <v>118.15</v>
      </c>
      <c r="AV2806">
        <v>13.39</v>
      </c>
      <c r="AW2806" t="s">
        <v>82</v>
      </c>
      <c r="AX2806">
        <v>604</v>
      </c>
      <c r="AY2806" t="s">
        <v>81</v>
      </c>
      <c r="AZ2806">
        <v>91.61</v>
      </c>
      <c r="BA2806">
        <v>36.61</v>
      </c>
      <c r="BB2806" t="s">
        <v>83</v>
      </c>
    </row>
    <row r="2807" spans="1:54" x14ac:dyDescent="0.4">
      <c r="A2807">
        <v>902395</v>
      </c>
      <c r="D2807" t="s">
        <v>54</v>
      </c>
      <c r="E2807" t="s">
        <v>152</v>
      </c>
      <c r="F2807" t="s">
        <v>3466</v>
      </c>
      <c r="G2807">
        <v>1</v>
      </c>
      <c r="H2807" t="s">
        <v>56</v>
      </c>
      <c r="I2807" t="s">
        <v>57</v>
      </c>
      <c r="K2807" t="s">
        <v>1873</v>
      </c>
      <c r="L2807" t="s">
        <v>3455</v>
      </c>
      <c r="M2807" t="s">
        <v>60</v>
      </c>
      <c r="P2807" t="s">
        <v>224</v>
      </c>
      <c r="R2807" t="s">
        <v>183</v>
      </c>
      <c r="S2807" t="s">
        <v>64</v>
      </c>
      <c r="T2807">
        <v>246.7</v>
      </c>
      <c r="U2807">
        <v>242</v>
      </c>
      <c r="V2807">
        <f t="shared" si="86"/>
        <v>244.35</v>
      </c>
      <c r="W2807">
        <f t="shared" si="87"/>
        <v>4.6999999999999886</v>
      </c>
      <c r="X2807">
        <v>112.849998</v>
      </c>
      <c r="Y2807">
        <v>36.966667000000001</v>
      </c>
      <c r="Z2807" t="s">
        <v>124</v>
      </c>
      <c r="AA2807" t="s">
        <v>379</v>
      </c>
      <c r="AB2807" t="s">
        <v>1537</v>
      </c>
      <c r="AD2807" t="s">
        <v>2585</v>
      </c>
      <c r="AF2807" t="s">
        <v>3456</v>
      </c>
      <c r="AG2807" t="s">
        <v>2590</v>
      </c>
      <c r="AH2807" t="s">
        <v>72</v>
      </c>
      <c r="AI2807" t="s">
        <v>683</v>
      </c>
      <c r="AJ2807">
        <v>1964</v>
      </c>
      <c r="AK2807" t="s">
        <v>3467</v>
      </c>
      <c r="AM2807" t="s">
        <v>3468</v>
      </c>
      <c r="AN2807" t="s">
        <v>192</v>
      </c>
      <c r="AO2807" t="s">
        <v>160</v>
      </c>
      <c r="AP2807" t="s">
        <v>115</v>
      </c>
      <c r="AQ2807" t="s">
        <v>3469</v>
      </c>
      <c r="AR2807" t="s">
        <v>80</v>
      </c>
      <c r="AS2807">
        <v>604</v>
      </c>
      <c r="AT2807" t="s">
        <v>81</v>
      </c>
      <c r="AU2807">
        <v>118.15</v>
      </c>
      <c r="AV2807">
        <v>13.39</v>
      </c>
      <c r="AW2807" t="s">
        <v>82</v>
      </c>
      <c r="AX2807">
        <v>604</v>
      </c>
      <c r="AY2807" t="s">
        <v>81</v>
      </c>
      <c r="AZ2807">
        <v>91.61</v>
      </c>
      <c r="BA2807">
        <v>36.61</v>
      </c>
      <c r="BB2807" t="s">
        <v>83</v>
      </c>
    </row>
    <row r="2808" spans="1:54" x14ac:dyDescent="0.4">
      <c r="A2808">
        <v>902395</v>
      </c>
      <c r="D2808" t="s">
        <v>54</v>
      </c>
      <c r="E2808" t="s">
        <v>152</v>
      </c>
      <c r="F2808" t="s">
        <v>3466</v>
      </c>
      <c r="G2808">
        <v>1</v>
      </c>
      <c r="H2808" t="s">
        <v>56</v>
      </c>
      <c r="I2808" t="s">
        <v>57</v>
      </c>
      <c r="K2808" t="s">
        <v>1873</v>
      </c>
      <c r="L2808" t="s">
        <v>3455</v>
      </c>
      <c r="M2808" t="s">
        <v>60</v>
      </c>
      <c r="P2808" t="s">
        <v>224</v>
      </c>
      <c r="R2808" t="s">
        <v>183</v>
      </c>
      <c r="S2808" t="s">
        <v>64</v>
      </c>
      <c r="T2808">
        <v>246.7</v>
      </c>
      <c r="U2808">
        <v>242</v>
      </c>
      <c r="V2808">
        <f t="shared" si="86"/>
        <v>244.35</v>
      </c>
      <c r="W2808">
        <f t="shared" si="87"/>
        <v>4.6999999999999886</v>
      </c>
      <c r="X2808">
        <v>112.849998</v>
      </c>
      <c r="Y2808">
        <v>36.966667000000001</v>
      </c>
      <c r="Z2808" t="s">
        <v>124</v>
      </c>
      <c r="AA2808" t="s">
        <v>379</v>
      </c>
      <c r="AB2808" t="s">
        <v>1537</v>
      </c>
      <c r="AD2808" t="s">
        <v>2585</v>
      </c>
      <c r="AF2808" t="s">
        <v>3456</v>
      </c>
      <c r="AG2808" t="s">
        <v>2590</v>
      </c>
      <c r="AH2808" t="s">
        <v>72</v>
      </c>
      <c r="AI2808" t="s">
        <v>683</v>
      </c>
      <c r="AJ2808">
        <v>1964</v>
      </c>
      <c r="AK2808" t="s">
        <v>3467</v>
      </c>
      <c r="AM2808" t="s">
        <v>3468</v>
      </c>
      <c r="AN2808" t="s">
        <v>192</v>
      </c>
      <c r="AO2808" t="s">
        <v>160</v>
      </c>
      <c r="AP2808" t="s">
        <v>115</v>
      </c>
      <c r="AQ2808" t="s">
        <v>3469</v>
      </c>
      <c r="AR2808" t="s">
        <v>80</v>
      </c>
      <c r="AS2808">
        <v>604</v>
      </c>
      <c r="AT2808" t="s">
        <v>81</v>
      </c>
      <c r="AU2808">
        <v>118.15</v>
      </c>
      <c r="AV2808">
        <v>13.39</v>
      </c>
      <c r="AW2808" t="s">
        <v>82</v>
      </c>
      <c r="AX2808">
        <v>604</v>
      </c>
      <c r="AY2808" t="s">
        <v>81</v>
      </c>
      <c r="AZ2808">
        <v>91.61</v>
      </c>
      <c r="BA2808">
        <v>36.61</v>
      </c>
      <c r="BB2808" t="s">
        <v>83</v>
      </c>
    </row>
    <row r="2809" spans="1:54" x14ac:dyDescent="0.4">
      <c r="A2809">
        <v>902395</v>
      </c>
      <c r="D2809" t="s">
        <v>54</v>
      </c>
      <c r="E2809" t="s">
        <v>152</v>
      </c>
      <c r="F2809" t="s">
        <v>3466</v>
      </c>
      <c r="G2809">
        <v>1</v>
      </c>
      <c r="H2809" t="s">
        <v>56</v>
      </c>
      <c r="I2809" t="s">
        <v>57</v>
      </c>
      <c r="K2809" t="s">
        <v>1873</v>
      </c>
      <c r="L2809" t="s">
        <v>3455</v>
      </c>
      <c r="M2809" t="s">
        <v>60</v>
      </c>
      <c r="P2809" t="s">
        <v>224</v>
      </c>
      <c r="R2809" t="s">
        <v>183</v>
      </c>
      <c r="S2809" t="s">
        <v>64</v>
      </c>
      <c r="T2809">
        <v>246.7</v>
      </c>
      <c r="U2809">
        <v>242</v>
      </c>
      <c r="V2809">
        <f t="shared" si="86"/>
        <v>244.35</v>
      </c>
      <c r="W2809">
        <f t="shared" si="87"/>
        <v>4.6999999999999886</v>
      </c>
      <c r="X2809">
        <v>112.849998</v>
      </c>
      <c r="Y2809">
        <v>36.966667000000001</v>
      </c>
      <c r="Z2809" t="s">
        <v>124</v>
      </c>
      <c r="AA2809" t="s">
        <v>379</v>
      </c>
      <c r="AB2809" t="s">
        <v>1537</v>
      </c>
      <c r="AD2809" t="s">
        <v>2585</v>
      </c>
      <c r="AF2809" t="s">
        <v>3456</v>
      </c>
      <c r="AG2809" t="s">
        <v>2590</v>
      </c>
      <c r="AH2809" t="s">
        <v>72</v>
      </c>
      <c r="AI2809" t="s">
        <v>683</v>
      </c>
      <c r="AJ2809">
        <v>1964</v>
      </c>
      <c r="AK2809" t="s">
        <v>3467</v>
      </c>
      <c r="AM2809" t="s">
        <v>3468</v>
      </c>
      <c r="AN2809" t="s">
        <v>192</v>
      </c>
      <c r="AO2809" t="s">
        <v>160</v>
      </c>
      <c r="AP2809" t="s">
        <v>115</v>
      </c>
      <c r="AQ2809" t="s">
        <v>3469</v>
      </c>
      <c r="AR2809" t="s">
        <v>80</v>
      </c>
      <c r="AS2809">
        <v>604</v>
      </c>
      <c r="AT2809" t="s">
        <v>81</v>
      </c>
      <c r="AU2809">
        <v>118.15</v>
      </c>
      <c r="AV2809">
        <v>13.39</v>
      </c>
      <c r="AW2809" t="s">
        <v>82</v>
      </c>
      <c r="AX2809">
        <v>604</v>
      </c>
      <c r="AY2809" t="s">
        <v>81</v>
      </c>
      <c r="AZ2809">
        <v>91.61</v>
      </c>
      <c r="BA2809">
        <v>36.61</v>
      </c>
      <c r="BB2809" t="s">
        <v>83</v>
      </c>
    </row>
    <row r="2810" spans="1:54" x14ac:dyDescent="0.4">
      <c r="A2810">
        <v>902396</v>
      </c>
      <c r="D2810" t="s">
        <v>54</v>
      </c>
      <c r="G2810">
        <v>1</v>
      </c>
      <c r="H2810" t="s">
        <v>421</v>
      </c>
      <c r="I2810" t="s">
        <v>57</v>
      </c>
      <c r="K2810" t="s">
        <v>1873</v>
      </c>
      <c r="L2810" t="s">
        <v>3455</v>
      </c>
      <c r="M2810" t="s">
        <v>60</v>
      </c>
      <c r="P2810" t="s">
        <v>224</v>
      </c>
      <c r="R2810" t="s">
        <v>183</v>
      </c>
      <c r="S2810" t="s">
        <v>64</v>
      </c>
      <c r="T2810">
        <v>246.7</v>
      </c>
      <c r="U2810">
        <v>242</v>
      </c>
      <c r="V2810">
        <f t="shared" si="86"/>
        <v>244.35</v>
      </c>
      <c r="W2810">
        <f t="shared" si="87"/>
        <v>4.6999999999999886</v>
      </c>
      <c r="X2810">
        <v>112.883331</v>
      </c>
      <c r="Y2810">
        <v>36.983333999999999</v>
      </c>
      <c r="Z2810" t="s">
        <v>124</v>
      </c>
      <c r="AA2810" t="s">
        <v>379</v>
      </c>
      <c r="AB2810" t="s">
        <v>1537</v>
      </c>
      <c r="AD2810" t="s">
        <v>2585</v>
      </c>
      <c r="AF2810" t="s">
        <v>3456</v>
      </c>
      <c r="AG2810" t="s">
        <v>2590</v>
      </c>
      <c r="AH2810" t="s">
        <v>72</v>
      </c>
      <c r="AI2810" t="s">
        <v>683</v>
      </c>
      <c r="AJ2810">
        <v>1964</v>
      </c>
      <c r="AK2810" t="s">
        <v>3460</v>
      </c>
      <c r="AM2810" t="s">
        <v>3461</v>
      </c>
      <c r="AN2810" t="s">
        <v>192</v>
      </c>
      <c r="AO2810" t="s">
        <v>160</v>
      </c>
      <c r="AP2810" t="s">
        <v>115</v>
      </c>
      <c r="AQ2810" t="s">
        <v>3462</v>
      </c>
      <c r="AR2810" t="s">
        <v>80</v>
      </c>
      <c r="AS2810">
        <v>604</v>
      </c>
      <c r="AT2810" t="s">
        <v>81</v>
      </c>
      <c r="AU2810">
        <v>118.18</v>
      </c>
      <c r="AV2810">
        <v>13.38</v>
      </c>
      <c r="AW2810" t="s">
        <v>82</v>
      </c>
      <c r="AX2810">
        <v>604</v>
      </c>
      <c r="AY2810" t="s">
        <v>81</v>
      </c>
      <c r="AZ2810">
        <v>91.65</v>
      </c>
      <c r="BA2810">
        <v>36.619999999999997</v>
      </c>
      <c r="BB2810" t="s">
        <v>83</v>
      </c>
    </row>
    <row r="2811" spans="1:54" x14ac:dyDescent="0.4">
      <c r="A2811">
        <v>902397</v>
      </c>
      <c r="D2811" t="s">
        <v>54</v>
      </c>
      <c r="G2811">
        <v>1</v>
      </c>
      <c r="H2811" t="s">
        <v>56</v>
      </c>
      <c r="I2811" t="s">
        <v>57</v>
      </c>
      <c r="K2811" t="s">
        <v>1873</v>
      </c>
      <c r="L2811" t="s">
        <v>3455</v>
      </c>
      <c r="M2811" t="s">
        <v>60</v>
      </c>
      <c r="P2811" t="s">
        <v>224</v>
      </c>
      <c r="R2811" t="s">
        <v>183</v>
      </c>
      <c r="S2811" t="s">
        <v>64</v>
      </c>
      <c r="T2811">
        <v>246.7</v>
      </c>
      <c r="U2811">
        <v>242</v>
      </c>
      <c r="V2811">
        <f t="shared" si="86"/>
        <v>244.35</v>
      </c>
      <c r="W2811">
        <f t="shared" si="87"/>
        <v>4.6999999999999886</v>
      </c>
      <c r="X2811">
        <v>113.01667</v>
      </c>
      <c r="Y2811">
        <v>37.066665999999998</v>
      </c>
      <c r="Z2811" t="s">
        <v>124</v>
      </c>
      <c r="AA2811" t="s">
        <v>379</v>
      </c>
      <c r="AB2811" t="s">
        <v>1537</v>
      </c>
      <c r="AD2811" t="s">
        <v>2585</v>
      </c>
      <c r="AF2811" t="s">
        <v>3456</v>
      </c>
      <c r="AG2811" t="s">
        <v>2590</v>
      </c>
      <c r="AH2811" t="s">
        <v>72</v>
      </c>
      <c r="AI2811" t="s">
        <v>683</v>
      </c>
      <c r="AJ2811">
        <v>1964</v>
      </c>
      <c r="AK2811" t="s">
        <v>3486</v>
      </c>
      <c r="AN2811" t="s">
        <v>192</v>
      </c>
      <c r="AO2811" t="s">
        <v>160</v>
      </c>
      <c r="AP2811" t="s">
        <v>115</v>
      </c>
      <c r="AQ2811" t="s">
        <v>3487</v>
      </c>
      <c r="AR2811" t="s">
        <v>80</v>
      </c>
      <c r="AS2811">
        <v>604</v>
      </c>
      <c r="AT2811" t="s">
        <v>81</v>
      </c>
      <c r="AU2811">
        <v>118.32</v>
      </c>
      <c r="AV2811">
        <v>13.36</v>
      </c>
      <c r="AW2811" t="s">
        <v>82</v>
      </c>
      <c r="AX2811">
        <v>604</v>
      </c>
      <c r="AY2811" t="s">
        <v>81</v>
      </c>
      <c r="AZ2811">
        <v>91.8</v>
      </c>
      <c r="BA2811">
        <v>36.68</v>
      </c>
      <c r="BB2811" t="s">
        <v>83</v>
      </c>
    </row>
    <row r="2812" spans="1:54" x14ac:dyDescent="0.4">
      <c r="A2812">
        <v>902398</v>
      </c>
      <c r="D2812" t="s">
        <v>54</v>
      </c>
      <c r="G2812">
        <v>1</v>
      </c>
      <c r="H2812" t="s">
        <v>84</v>
      </c>
      <c r="I2812" t="s">
        <v>57</v>
      </c>
      <c r="K2812" t="s">
        <v>1873</v>
      </c>
      <c r="L2812" t="s">
        <v>3455</v>
      </c>
      <c r="M2812" t="s">
        <v>60</v>
      </c>
      <c r="P2812" t="s">
        <v>224</v>
      </c>
      <c r="R2812" t="s">
        <v>183</v>
      </c>
      <c r="S2812" t="s">
        <v>64</v>
      </c>
      <c r="T2812">
        <v>246.7</v>
      </c>
      <c r="U2812">
        <v>242</v>
      </c>
      <c r="V2812">
        <f t="shared" si="86"/>
        <v>244.35</v>
      </c>
      <c r="W2812">
        <f t="shared" si="87"/>
        <v>4.6999999999999886</v>
      </c>
      <c r="X2812">
        <v>112.849998</v>
      </c>
      <c r="Y2812">
        <v>36.966667000000001</v>
      </c>
      <c r="Z2812" t="s">
        <v>124</v>
      </c>
      <c r="AA2812" t="s">
        <v>379</v>
      </c>
      <c r="AB2812" t="s">
        <v>1537</v>
      </c>
      <c r="AD2812" t="s">
        <v>2585</v>
      </c>
      <c r="AF2812" t="s">
        <v>3456</v>
      </c>
      <c r="AG2812" t="s">
        <v>2590</v>
      </c>
      <c r="AH2812" t="s">
        <v>72</v>
      </c>
      <c r="AI2812" t="s">
        <v>683</v>
      </c>
      <c r="AJ2812">
        <v>1964</v>
      </c>
      <c r="AK2812" t="s">
        <v>3492</v>
      </c>
      <c r="AN2812" t="s">
        <v>192</v>
      </c>
      <c r="AO2812" t="s">
        <v>160</v>
      </c>
      <c r="AP2812" t="s">
        <v>115</v>
      </c>
      <c r="AQ2812" t="s">
        <v>3493</v>
      </c>
      <c r="AR2812" t="s">
        <v>80</v>
      </c>
      <c r="AS2812">
        <v>604</v>
      </c>
      <c r="AT2812" t="s">
        <v>81</v>
      </c>
      <c r="AU2812">
        <v>118.15</v>
      </c>
      <c r="AV2812">
        <v>13.39</v>
      </c>
      <c r="AW2812" t="s">
        <v>82</v>
      </c>
      <c r="AX2812">
        <v>604</v>
      </c>
      <c r="AY2812" t="s">
        <v>81</v>
      </c>
      <c r="AZ2812">
        <v>91.61</v>
      </c>
      <c r="BA2812">
        <v>36.61</v>
      </c>
      <c r="BB2812" t="s">
        <v>83</v>
      </c>
    </row>
    <row r="2813" spans="1:54" x14ac:dyDescent="0.4">
      <c r="A2813">
        <v>902417</v>
      </c>
      <c r="D2813" t="s">
        <v>54</v>
      </c>
      <c r="I2813" t="s">
        <v>57</v>
      </c>
      <c r="K2813" t="s">
        <v>1873</v>
      </c>
      <c r="L2813" t="s">
        <v>3455</v>
      </c>
      <c r="M2813" t="s">
        <v>60</v>
      </c>
      <c r="P2813" t="s">
        <v>224</v>
      </c>
      <c r="R2813" t="s">
        <v>183</v>
      </c>
      <c r="S2813" t="s">
        <v>64</v>
      </c>
      <c r="T2813">
        <v>246.7</v>
      </c>
      <c r="U2813">
        <v>242</v>
      </c>
      <c r="V2813">
        <f t="shared" si="86"/>
        <v>244.35</v>
      </c>
      <c r="W2813">
        <f t="shared" si="87"/>
        <v>4.6999999999999886</v>
      </c>
      <c r="X2813">
        <v>112.300003</v>
      </c>
      <c r="Y2813">
        <v>39</v>
      </c>
      <c r="Z2813" t="s">
        <v>124</v>
      </c>
      <c r="AA2813" t="s">
        <v>379</v>
      </c>
      <c r="AB2813" t="s">
        <v>1537</v>
      </c>
      <c r="AD2813" t="s">
        <v>2585</v>
      </c>
      <c r="AF2813" t="s">
        <v>3456</v>
      </c>
      <c r="AG2813" t="s">
        <v>2590</v>
      </c>
      <c r="AH2813" t="s">
        <v>72</v>
      </c>
      <c r="AI2813" t="s">
        <v>683</v>
      </c>
      <c r="AJ2813">
        <v>1964</v>
      </c>
      <c r="AK2813" t="s">
        <v>3504</v>
      </c>
      <c r="AN2813" t="s">
        <v>192</v>
      </c>
      <c r="AO2813" t="s">
        <v>657</v>
      </c>
      <c r="AP2813" t="s">
        <v>115</v>
      </c>
      <c r="AQ2813" t="s">
        <v>3503</v>
      </c>
      <c r="AR2813" t="s">
        <v>80</v>
      </c>
      <c r="AS2813">
        <v>604</v>
      </c>
      <c r="AT2813" t="s">
        <v>81</v>
      </c>
      <c r="AU2813">
        <v>119.33</v>
      </c>
      <c r="AV2813">
        <v>15.13</v>
      </c>
      <c r="AW2813" t="s">
        <v>82</v>
      </c>
      <c r="AX2813">
        <v>604</v>
      </c>
      <c r="AY2813" t="s">
        <v>81</v>
      </c>
      <c r="AZ2813">
        <v>91.59</v>
      </c>
      <c r="BA2813">
        <v>38.69</v>
      </c>
      <c r="BB2813" t="s">
        <v>83</v>
      </c>
    </row>
    <row r="2814" spans="1:54" x14ac:dyDescent="0.4">
      <c r="A2814">
        <v>902422</v>
      </c>
      <c r="D2814" t="s">
        <v>54</v>
      </c>
      <c r="G2814">
        <v>1</v>
      </c>
      <c r="H2814" t="s">
        <v>56</v>
      </c>
      <c r="I2814" t="s">
        <v>57</v>
      </c>
      <c r="K2814" t="s">
        <v>1873</v>
      </c>
      <c r="L2814" t="s">
        <v>3455</v>
      </c>
      <c r="M2814" t="s">
        <v>60</v>
      </c>
      <c r="P2814" t="s">
        <v>224</v>
      </c>
      <c r="R2814" t="s">
        <v>183</v>
      </c>
      <c r="S2814" t="s">
        <v>64</v>
      </c>
      <c r="T2814">
        <v>246.7</v>
      </c>
      <c r="U2814">
        <v>242</v>
      </c>
      <c r="V2814">
        <f t="shared" si="86"/>
        <v>244.35</v>
      </c>
      <c r="W2814">
        <f t="shared" si="87"/>
        <v>4.6999999999999886</v>
      </c>
      <c r="X2814">
        <v>110.800003</v>
      </c>
      <c r="Y2814">
        <v>38.466667000000001</v>
      </c>
      <c r="Z2814" t="s">
        <v>124</v>
      </c>
      <c r="AA2814" t="s">
        <v>379</v>
      </c>
      <c r="AB2814" t="s">
        <v>387</v>
      </c>
      <c r="AD2814" t="s">
        <v>2585</v>
      </c>
      <c r="AF2814" t="s">
        <v>3456</v>
      </c>
      <c r="AG2814" t="s">
        <v>2590</v>
      </c>
      <c r="AH2814" t="s">
        <v>72</v>
      </c>
      <c r="AI2814" t="s">
        <v>3505</v>
      </c>
      <c r="AJ2814">
        <v>1980</v>
      </c>
      <c r="AK2814" t="s">
        <v>3506</v>
      </c>
      <c r="AN2814" t="s">
        <v>192</v>
      </c>
      <c r="AO2814" t="s">
        <v>160</v>
      </c>
      <c r="AP2814" t="s">
        <v>115</v>
      </c>
      <c r="AR2814" t="s">
        <v>80</v>
      </c>
      <c r="AS2814">
        <v>604</v>
      </c>
      <c r="AT2814" t="s">
        <v>81</v>
      </c>
      <c r="AU2814">
        <v>118.09</v>
      </c>
      <c r="AV2814">
        <v>15.59</v>
      </c>
      <c r="AW2814" t="s">
        <v>82</v>
      </c>
      <c r="AX2814">
        <v>604</v>
      </c>
      <c r="AY2814" t="s">
        <v>81</v>
      </c>
      <c r="AZ2814">
        <v>89.99</v>
      </c>
      <c r="BA2814">
        <v>38.4</v>
      </c>
      <c r="BB2814" t="s">
        <v>83</v>
      </c>
    </row>
    <row r="2815" spans="1:54" x14ac:dyDescent="0.4">
      <c r="A2815">
        <v>916388</v>
      </c>
      <c r="D2815" t="s">
        <v>54</v>
      </c>
      <c r="E2815" t="s">
        <v>55</v>
      </c>
      <c r="G2815">
        <v>1</v>
      </c>
      <c r="H2815" t="s">
        <v>56</v>
      </c>
      <c r="I2815" t="s">
        <v>57</v>
      </c>
      <c r="K2815" t="s">
        <v>232</v>
      </c>
      <c r="L2815" t="s">
        <v>681</v>
      </c>
      <c r="M2815" t="s">
        <v>223</v>
      </c>
      <c r="N2815" t="s">
        <v>234</v>
      </c>
      <c r="O2815" t="s">
        <v>87</v>
      </c>
      <c r="P2815" t="s">
        <v>224</v>
      </c>
      <c r="R2815" t="s">
        <v>183</v>
      </c>
      <c r="S2815" t="s">
        <v>64</v>
      </c>
      <c r="T2815">
        <v>246.7</v>
      </c>
      <c r="U2815">
        <v>242</v>
      </c>
      <c r="V2815">
        <f t="shared" si="86"/>
        <v>244.35</v>
      </c>
      <c r="W2815">
        <f t="shared" si="87"/>
        <v>4.6999999999999886</v>
      </c>
      <c r="X2815">
        <v>104.833336</v>
      </c>
      <c r="Y2815">
        <v>25.466667000000001</v>
      </c>
      <c r="Z2815" t="s">
        <v>520</v>
      </c>
      <c r="AA2815" t="s">
        <v>379</v>
      </c>
      <c r="AB2815" t="s">
        <v>682</v>
      </c>
      <c r="AC2815" t="s">
        <v>2160</v>
      </c>
      <c r="AD2815" t="s">
        <v>2161</v>
      </c>
      <c r="AF2815" t="s">
        <v>1188</v>
      </c>
      <c r="AG2815" t="s">
        <v>3584</v>
      </c>
      <c r="AH2815" t="s">
        <v>72</v>
      </c>
      <c r="AI2815" t="s">
        <v>3571</v>
      </c>
      <c r="AJ2815">
        <v>2005</v>
      </c>
      <c r="AK2815" t="s">
        <v>3601</v>
      </c>
      <c r="AN2815" t="s">
        <v>114</v>
      </c>
      <c r="AO2815" t="s">
        <v>160</v>
      </c>
      <c r="AP2815" t="s">
        <v>78</v>
      </c>
      <c r="AQ2815" t="s">
        <v>3602</v>
      </c>
      <c r="AR2815" t="s">
        <v>80</v>
      </c>
      <c r="AS2815">
        <v>611</v>
      </c>
      <c r="AT2815" t="s">
        <v>81</v>
      </c>
      <c r="AU2815">
        <v>107.28</v>
      </c>
      <c r="AV2815">
        <v>-10.65</v>
      </c>
      <c r="AW2815" t="s">
        <v>82</v>
      </c>
      <c r="AX2815">
        <v>611</v>
      </c>
      <c r="AY2815" t="s">
        <v>81</v>
      </c>
      <c r="AZ2815">
        <v>95.27</v>
      </c>
      <c r="BA2815">
        <v>11.53</v>
      </c>
      <c r="BB2815" t="s">
        <v>83</v>
      </c>
    </row>
    <row r="2816" spans="1:54" x14ac:dyDescent="0.4">
      <c r="A2816">
        <v>916388</v>
      </c>
      <c r="D2816" t="s">
        <v>54</v>
      </c>
      <c r="E2816" t="s">
        <v>55</v>
      </c>
      <c r="G2816">
        <v>1</v>
      </c>
      <c r="H2816" t="s">
        <v>56</v>
      </c>
      <c r="I2816" t="s">
        <v>57</v>
      </c>
      <c r="K2816" t="s">
        <v>232</v>
      </c>
      <c r="L2816" t="s">
        <v>681</v>
      </c>
      <c r="M2816" t="s">
        <v>223</v>
      </c>
      <c r="N2816" t="s">
        <v>234</v>
      </c>
      <c r="O2816" t="s">
        <v>87</v>
      </c>
      <c r="P2816" t="s">
        <v>224</v>
      </c>
      <c r="R2816" t="s">
        <v>183</v>
      </c>
      <c r="S2816" t="s">
        <v>64</v>
      </c>
      <c r="T2816">
        <v>246.7</v>
      </c>
      <c r="U2816">
        <v>242</v>
      </c>
      <c r="V2816">
        <f t="shared" si="86"/>
        <v>244.35</v>
      </c>
      <c r="W2816">
        <f t="shared" si="87"/>
        <v>4.6999999999999886</v>
      </c>
      <c r="X2816">
        <v>104.833336</v>
      </c>
      <c r="Y2816">
        <v>25.466667000000001</v>
      </c>
      <c r="Z2816" t="s">
        <v>520</v>
      </c>
      <c r="AA2816" t="s">
        <v>379</v>
      </c>
      <c r="AB2816" t="s">
        <v>682</v>
      </c>
      <c r="AC2816" t="s">
        <v>2160</v>
      </c>
      <c r="AD2816" t="s">
        <v>2161</v>
      </c>
      <c r="AF2816" t="s">
        <v>1188</v>
      </c>
      <c r="AG2816" t="s">
        <v>3584</v>
      </c>
      <c r="AH2816" t="s">
        <v>72</v>
      </c>
      <c r="AI2816" t="s">
        <v>3571</v>
      </c>
      <c r="AJ2816">
        <v>2005</v>
      </c>
      <c r="AK2816" t="s">
        <v>3601</v>
      </c>
      <c r="AN2816" t="s">
        <v>114</v>
      </c>
      <c r="AO2816" t="s">
        <v>160</v>
      </c>
      <c r="AP2816" t="s">
        <v>78</v>
      </c>
      <c r="AQ2816" t="s">
        <v>3602</v>
      </c>
      <c r="AR2816" t="s">
        <v>80</v>
      </c>
      <c r="AS2816">
        <v>611</v>
      </c>
      <c r="AT2816" t="s">
        <v>81</v>
      </c>
      <c r="AU2816">
        <v>107.28</v>
      </c>
      <c r="AV2816">
        <v>-10.65</v>
      </c>
      <c r="AW2816" t="s">
        <v>82</v>
      </c>
      <c r="AX2816">
        <v>611</v>
      </c>
      <c r="AY2816" t="s">
        <v>81</v>
      </c>
      <c r="AZ2816">
        <v>95.27</v>
      </c>
      <c r="BA2816">
        <v>11.53</v>
      </c>
      <c r="BB2816" t="s">
        <v>83</v>
      </c>
    </row>
    <row r="2817" spans="1:54" x14ac:dyDescent="0.4">
      <c r="A2817">
        <v>920619</v>
      </c>
      <c r="D2817" t="s">
        <v>54</v>
      </c>
      <c r="E2817" t="s">
        <v>55</v>
      </c>
      <c r="G2817">
        <v>1</v>
      </c>
      <c r="H2817" t="s">
        <v>84</v>
      </c>
      <c r="I2817" t="s">
        <v>57</v>
      </c>
      <c r="K2817" t="s">
        <v>141</v>
      </c>
      <c r="L2817" t="s">
        <v>529</v>
      </c>
      <c r="M2817" t="s">
        <v>223</v>
      </c>
      <c r="P2817" t="s">
        <v>224</v>
      </c>
      <c r="R2817" t="s">
        <v>183</v>
      </c>
      <c r="S2817" t="s">
        <v>64</v>
      </c>
      <c r="T2817">
        <v>246.7</v>
      </c>
      <c r="U2817">
        <v>242</v>
      </c>
      <c r="V2817">
        <f t="shared" si="86"/>
        <v>244.35</v>
      </c>
      <c r="W2817">
        <f t="shared" si="87"/>
        <v>4.6999999999999886</v>
      </c>
      <c r="X2817">
        <v>11.3</v>
      </c>
      <c r="Y2817">
        <v>50.900002000000001</v>
      </c>
      <c r="Z2817" t="s">
        <v>520</v>
      </c>
      <c r="AA2817" t="s">
        <v>211</v>
      </c>
      <c r="AB2817" t="s">
        <v>977</v>
      </c>
      <c r="AC2817" t="s">
        <v>3621</v>
      </c>
      <c r="AD2817" t="s">
        <v>3622</v>
      </c>
      <c r="AE2817" t="s">
        <v>1378</v>
      </c>
      <c r="AF2817" t="s">
        <v>2329</v>
      </c>
      <c r="AH2817" t="s">
        <v>72</v>
      </c>
      <c r="AI2817" t="s">
        <v>3623</v>
      </c>
      <c r="AJ2817">
        <v>1998</v>
      </c>
      <c r="AK2817" t="s">
        <v>3624</v>
      </c>
      <c r="AN2817" t="s">
        <v>114</v>
      </c>
      <c r="AO2817" t="s">
        <v>160</v>
      </c>
      <c r="AP2817" t="s">
        <v>115</v>
      </c>
      <c r="AR2817" t="s">
        <v>80</v>
      </c>
      <c r="AS2817">
        <v>305</v>
      </c>
      <c r="AT2817" t="s">
        <v>81</v>
      </c>
      <c r="AU2817">
        <v>29.64</v>
      </c>
      <c r="AV2817">
        <v>29.78</v>
      </c>
      <c r="AW2817" t="s">
        <v>82</v>
      </c>
      <c r="AX2817">
        <v>305</v>
      </c>
      <c r="AY2817" t="s">
        <v>81</v>
      </c>
      <c r="AZ2817">
        <v>19.809999999999999</v>
      </c>
      <c r="BA2817">
        <v>17.03</v>
      </c>
      <c r="BB2817" t="s">
        <v>83</v>
      </c>
    </row>
    <row r="2818" spans="1:54" x14ac:dyDescent="0.4">
      <c r="A2818">
        <v>921159</v>
      </c>
      <c r="D2818" t="s">
        <v>54</v>
      </c>
      <c r="E2818" t="s">
        <v>152</v>
      </c>
      <c r="I2818" t="s">
        <v>57</v>
      </c>
      <c r="K2818" t="s">
        <v>840</v>
      </c>
      <c r="L2818" t="s">
        <v>3625</v>
      </c>
      <c r="M2818" t="s">
        <v>60</v>
      </c>
      <c r="O2818" t="s">
        <v>170</v>
      </c>
      <c r="P2818" t="s">
        <v>224</v>
      </c>
      <c r="R2818" t="s">
        <v>183</v>
      </c>
      <c r="S2818" t="s">
        <v>64</v>
      </c>
      <c r="T2818">
        <v>246.7</v>
      </c>
      <c r="U2818">
        <v>242</v>
      </c>
      <c r="V2818">
        <f t="shared" si="86"/>
        <v>244.35</v>
      </c>
      <c r="W2818">
        <f t="shared" si="87"/>
        <v>4.6999999999999886</v>
      </c>
      <c r="X2818">
        <v>35.266666000000001</v>
      </c>
      <c r="Y2818">
        <v>-10.383333</v>
      </c>
      <c r="Z2818" t="s">
        <v>1365</v>
      </c>
      <c r="AA2818" t="s">
        <v>1366</v>
      </c>
      <c r="AB2818" t="s">
        <v>3626</v>
      </c>
      <c r="AD2818" t="s">
        <v>1369</v>
      </c>
      <c r="AF2818" t="s">
        <v>1370</v>
      </c>
      <c r="AG2818" t="s">
        <v>1371</v>
      </c>
      <c r="AH2818" t="s">
        <v>72</v>
      </c>
      <c r="AI2818" t="s">
        <v>621</v>
      </c>
      <c r="AJ2818">
        <v>1932</v>
      </c>
      <c r="AK2818" t="s">
        <v>3627</v>
      </c>
      <c r="AN2818" t="s">
        <v>114</v>
      </c>
      <c r="AO2818" t="s">
        <v>160</v>
      </c>
      <c r="AP2818" t="s">
        <v>78</v>
      </c>
      <c r="AQ2818" t="s">
        <v>3628</v>
      </c>
      <c r="AR2818" t="s">
        <v>80</v>
      </c>
      <c r="AS2818">
        <v>701</v>
      </c>
      <c r="AT2818" t="s">
        <v>81</v>
      </c>
      <c r="AU2818">
        <v>20.51</v>
      </c>
      <c r="AV2818">
        <v>-40.51</v>
      </c>
      <c r="AW2818" t="s">
        <v>82</v>
      </c>
      <c r="AX2818">
        <v>709</v>
      </c>
      <c r="AY2818" t="s">
        <v>81</v>
      </c>
      <c r="AZ2818">
        <v>22.53</v>
      </c>
      <c r="BA2818">
        <v>-53.51</v>
      </c>
      <c r="BB2818" t="s">
        <v>83</v>
      </c>
    </row>
    <row r="2819" spans="1:54" x14ac:dyDescent="0.4">
      <c r="A2819">
        <v>921162</v>
      </c>
      <c r="D2819" t="s">
        <v>54</v>
      </c>
      <c r="E2819" t="s">
        <v>55</v>
      </c>
      <c r="F2819" t="s">
        <v>719</v>
      </c>
      <c r="G2819">
        <v>1</v>
      </c>
      <c r="H2819" t="s">
        <v>84</v>
      </c>
      <c r="I2819" t="s">
        <v>57</v>
      </c>
      <c r="K2819" t="s">
        <v>141</v>
      </c>
      <c r="L2819" t="s">
        <v>3629</v>
      </c>
      <c r="M2819" t="s">
        <v>60</v>
      </c>
      <c r="O2819" t="s">
        <v>87</v>
      </c>
      <c r="P2819" t="s">
        <v>224</v>
      </c>
      <c r="R2819" t="s">
        <v>183</v>
      </c>
      <c r="S2819" t="s">
        <v>64</v>
      </c>
      <c r="T2819">
        <v>246.7</v>
      </c>
      <c r="U2819">
        <v>242</v>
      </c>
      <c r="V2819">
        <f t="shared" ref="V2819:V2882" si="88">(T2819+U2819)/2</f>
        <v>244.35</v>
      </c>
      <c r="W2819">
        <f t="shared" ref="W2819:W2882" si="89">T2819-U2819</f>
        <v>4.6999999999999886</v>
      </c>
      <c r="X2819">
        <v>34.783332999999999</v>
      </c>
      <c r="Y2819">
        <v>-10.466666999999999</v>
      </c>
      <c r="Z2819" t="s">
        <v>124</v>
      </c>
      <c r="AA2819" t="s">
        <v>1366</v>
      </c>
      <c r="AB2819" t="s">
        <v>1367</v>
      </c>
      <c r="AD2819" t="s">
        <v>1369</v>
      </c>
      <c r="AF2819" t="s">
        <v>1370</v>
      </c>
      <c r="AH2819" t="s">
        <v>72</v>
      </c>
      <c r="AI2819" t="s">
        <v>621</v>
      </c>
      <c r="AJ2819">
        <v>1932</v>
      </c>
      <c r="AK2819" t="s">
        <v>3630</v>
      </c>
      <c r="AN2819" t="s">
        <v>192</v>
      </c>
      <c r="AO2819" t="s">
        <v>160</v>
      </c>
      <c r="AP2819" t="s">
        <v>78</v>
      </c>
      <c r="AQ2819" t="s">
        <v>3631</v>
      </c>
      <c r="AR2819" t="s">
        <v>80</v>
      </c>
      <c r="AS2819">
        <v>701</v>
      </c>
      <c r="AT2819" t="s">
        <v>81</v>
      </c>
      <c r="AU2819">
        <v>19.93</v>
      </c>
      <c r="AV2819">
        <v>-40.32</v>
      </c>
      <c r="AW2819" t="s">
        <v>82</v>
      </c>
      <c r="AX2819">
        <v>709</v>
      </c>
      <c r="AY2819" t="s">
        <v>81</v>
      </c>
      <c r="AZ2819">
        <v>21.72</v>
      </c>
      <c r="BA2819">
        <v>-53.45</v>
      </c>
      <c r="BB2819" t="s">
        <v>83</v>
      </c>
    </row>
    <row r="2820" spans="1:54" x14ac:dyDescent="0.4">
      <c r="A2820">
        <v>921163</v>
      </c>
      <c r="D2820" t="s">
        <v>54</v>
      </c>
      <c r="E2820" t="s">
        <v>55</v>
      </c>
      <c r="F2820" t="s">
        <v>719</v>
      </c>
      <c r="I2820" t="s">
        <v>57</v>
      </c>
      <c r="K2820" t="s">
        <v>141</v>
      </c>
      <c r="L2820" t="s">
        <v>3632</v>
      </c>
      <c r="M2820" t="s">
        <v>60</v>
      </c>
      <c r="P2820" t="s">
        <v>224</v>
      </c>
      <c r="R2820" t="s">
        <v>183</v>
      </c>
      <c r="S2820" t="s">
        <v>64</v>
      </c>
      <c r="T2820">
        <v>246.7</v>
      </c>
      <c r="U2820">
        <v>242</v>
      </c>
      <c r="V2820">
        <f t="shared" si="88"/>
        <v>244.35</v>
      </c>
      <c r="W2820">
        <f t="shared" si="89"/>
        <v>4.6999999999999886</v>
      </c>
      <c r="X2820">
        <v>34.783332999999999</v>
      </c>
      <c r="Y2820">
        <v>-10.466666999999999</v>
      </c>
      <c r="Z2820" t="s">
        <v>124</v>
      </c>
      <c r="AA2820" t="s">
        <v>1366</v>
      </c>
      <c r="AB2820" t="s">
        <v>1367</v>
      </c>
      <c r="AD2820" t="s">
        <v>1369</v>
      </c>
      <c r="AF2820" t="s">
        <v>1370</v>
      </c>
      <c r="AH2820" t="s">
        <v>72</v>
      </c>
      <c r="AI2820" t="s">
        <v>3633</v>
      </c>
      <c r="AJ2820">
        <v>2013</v>
      </c>
      <c r="AK2820" t="s">
        <v>3630</v>
      </c>
      <c r="AN2820" t="s">
        <v>192</v>
      </c>
      <c r="AO2820" t="s">
        <v>160</v>
      </c>
      <c r="AP2820" t="s">
        <v>78</v>
      </c>
      <c r="AQ2820" t="s">
        <v>3631</v>
      </c>
      <c r="AR2820" t="s">
        <v>80</v>
      </c>
      <c r="AS2820">
        <v>701</v>
      </c>
      <c r="AT2820" t="s">
        <v>81</v>
      </c>
      <c r="AU2820">
        <v>19.93</v>
      </c>
      <c r="AV2820">
        <v>-40.32</v>
      </c>
      <c r="AW2820" t="s">
        <v>82</v>
      </c>
      <c r="AX2820">
        <v>709</v>
      </c>
      <c r="AY2820" t="s">
        <v>81</v>
      </c>
      <c r="AZ2820">
        <v>21.72</v>
      </c>
      <c r="BA2820">
        <v>-53.45</v>
      </c>
      <c r="BB2820" t="s">
        <v>83</v>
      </c>
    </row>
    <row r="2821" spans="1:54" x14ac:dyDescent="0.4">
      <c r="A2821">
        <v>923785</v>
      </c>
      <c r="D2821" t="s">
        <v>54</v>
      </c>
      <c r="G2821">
        <v>1</v>
      </c>
      <c r="H2821" t="s">
        <v>84</v>
      </c>
      <c r="I2821" t="s">
        <v>57</v>
      </c>
      <c r="K2821" t="s">
        <v>1873</v>
      </c>
      <c r="L2821" t="s">
        <v>2385</v>
      </c>
      <c r="M2821" t="s">
        <v>60</v>
      </c>
      <c r="P2821" t="s">
        <v>224</v>
      </c>
      <c r="R2821" t="s">
        <v>183</v>
      </c>
      <c r="S2821" t="s">
        <v>64</v>
      </c>
      <c r="T2821">
        <v>246.7</v>
      </c>
      <c r="U2821">
        <v>242</v>
      </c>
      <c r="V2821">
        <f t="shared" si="88"/>
        <v>244.35</v>
      </c>
      <c r="W2821">
        <f t="shared" si="89"/>
        <v>4.6999999999999886</v>
      </c>
      <c r="X2821">
        <v>27.233333999999999</v>
      </c>
      <c r="Y2821">
        <v>-31.700001</v>
      </c>
      <c r="Z2821" t="s">
        <v>124</v>
      </c>
      <c r="AA2821" t="s">
        <v>106</v>
      </c>
      <c r="AB2821" t="s">
        <v>107</v>
      </c>
      <c r="AD2821" t="s">
        <v>2023</v>
      </c>
      <c r="AE2821" t="s">
        <v>110</v>
      </c>
      <c r="AG2821" t="s">
        <v>3715</v>
      </c>
      <c r="AH2821" t="s">
        <v>72</v>
      </c>
      <c r="AI2821" t="s">
        <v>3716</v>
      </c>
      <c r="AJ2821">
        <v>1955</v>
      </c>
      <c r="AK2821" t="s">
        <v>3717</v>
      </c>
      <c r="AN2821" t="s">
        <v>114</v>
      </c>
      <c r="AO2821" t="s">
        <v>160</v>
      </c>
      <c r="AP2821" t="s">
        <v>359</v>
      </c>
      <c r="AQ2821" t="s">
        <v>3718</v>
      </c>
      <c r="AR2821" t="s">
        <v>80</v>
      </c>
      <c r="AS2821">
        <v>701</v>
      </c>
      <c r="AT2821" t="s">
        <v>81</v>
      </c>
      <c r="AU2821">
        <v>-8.08</v>
      </c>
      <c r="AV2821">
        <v>-51.77</v>
      </c>
      <c r="AW2821" t="s">
        <v>82</v>
      </c>
      <c r="AX2821">
        <v>701</v>
      </c>
      <c r="AY2821" t="s">
        <v>81</v>
      </c>
      <c r="AZ2821">
        <v>-14.27</v>
      </c>
      <c r="BA2821">
        <v>-67.34</v>
      </c>
      <c r="BB2821" t="s">
        <v>83</v>
      </c>
    </row>
    <row r="2822" spans="1:54" x14ac:dyDescent="0.4">
      <c r="A2822">
        <v>923790</v>
      </c>
      <c r="D2822" t="s">
        <v>54</v>
      </c>
      <c r="E2822" t="s">
        <v>152</v>
      </c>
      <c r="G2822">
        <v>1</v>
      </c>
      <c r="H2822" t="s">
        <v>56</v>
      </c>
      <c r="I2822" t="s">
        <v>57</v>
      </c>
      <c r="K2822" t="s">
        <v>141</v>
      </c>
      <c r="L2822" t="s">
        <v>3629</v>
      </c>
      <c r="M2822" t="s">
        <v>60</v>
      </c>
      <c r="O2822" t="s">
        <v>87</v>
      </c>
      <c r="P2822" t="s">
        <v>224</v>
      </c>
      <c r="R2822" t="s">
        <v>183</v>
      </c>
      <c r="S2822" t="s">
        <v>64</v>
      </c>
      <c r="T2822">
        <v>246.7</v>
      </c>
      <c r="U2822">
        <v>242</v>
      </c>
      <c r="V2822">
        <f t="shared" si="88"/>
        <v>244.35</v>
      </c>
      <c r="W2822">
        <f t="shared" si="89"/>
        <v>4.6999999999999886</v>
      </c>
      <c r="X2822">
        <v>35.25</v>
      </c>
      <c r="Y2822">
        <v>-10.333333</v>
      </c>
      <c r="Z2822" t="s">
        <v>1365</v>
      </c>
      <c r="AA2822" t="s">
        <v>1366</v>
      </c>
      <c r="AB2822" t="s">
        <v>1367</v>
      </c>
      <c r="AD2822" t="s">
        <v>1369</v>
      </c>
      <c r="AF2822" t="s">
        <v>1370</v>
      </c>
      <c r="AG2822" t="s">
        <v>1371</v>
      </c>
      <c r="AH2822" t="s">
        <v>72</v>
      </c>
      <c r="AI2822" t="s">
        <v>693</v>
      </c>
      <c r="AJ2822">
        <v>1938</v>
      </c>
      <c r="AK2822" t="s">
        <v>3719</v>
      </c>
      <c r="AN2822" t="s">
        <v>192</v>
      </c>
      <c r="AO2822" t="s">
        <v>160</v>
      </c>
      <c r="AP2822" t="s">
        <v>359</v>
      </c>
      <c r="AQ2822" t="s">
        <v>3720</v>
      </c>
      <c r="AR2822" t="s">
        <v>80</v>
      </c>
      <c r="AS2822">
        <v>701</v>
      </c>
      <c r="AT2822" t="s">
        <v>81</v>
      </c>
      <c r="AU2822">
        <v>20.53</v>
      </c>
      <c r="AV2822">
        <v>-40.46</v>
      </c>
      <c r="AW2822" t="s">
        <v>82</v>
      </c>
      <c r="AX2822">
        <v>709</v>
      </c>
      <c r="AY2822" t="s">
        <v>81</v>
      </c>
      <c r="AZ2822">
        <v>22.52</v>
      </c>
      <c r="BA2822">
        <v>-53.46</v>
      </c>
      <c r="BB2822" t="s">
        <v>83</v>
      </c>
    </row>
    <row r="2823" spans="1:54" x14ac:dyDescent="0.4">
      <c r="A2823">
        <v>923790</v>
      </c>
      <c r="D2823" t="s">
        <v>54</v>
      </c>
      <c r="E2823" t="s">
        <v>152</v>
      </c>
      <c r="G2823">
        <v>1</v>
      </c>
      <c r="H2823" t="s">
        <v>56</v>
      </c>
      <c r="I2823" t="s">
        <v>57</v>
      </c>
      <c r="K2823" t="s">
        <v>141</v>
      </c>
      <c r="L2823" t="s">
        <v>3629</v>
      </c>
      <c r="M2823" t="s">
        <v>60</v>
      </c>
      <c r="O2823" t="s">
        <v>87</v>
      </c>
      <c r="P2823" t="s">
        <v>224</v>
      </c>
      <c r="R2823" t="s">
        <v>183</v>
      </c>
      <c r="S2823" t="s">
        <v>64</v>
      </c>
      <c r="T2823">
        <v>246.7</v>
      </c>
      <c r="U2823">
        <v>242</v>
      </c>
      <c r="V2823">
        <f t="shared" si="88"/>
        <v>244.35</v>
      </c>
      <c r="W2823">
        <f t="shared" si="89"/>
        <v>4.6999999999999886</v>
      </c>
      <c r="X2823">
        <v>35.25</v>
      </c>
      <c r="Y2823">
        <v>-10.333333</v>
      </c>
      <c r="Z2823" t="s">
        <v>1365</v>
      </c>
      <c r="AA2823" t="s">
        <v>1366</v>
      </c>
      <c r="AB2823" t="s">
        <v>1367</v>
      </c>
      <c r="AD2823" t="s">
        <v>1369</v>
      </c>
      <c r="AF2823" t="s">
        <v>1370</v>
      </c>
      <c r="AG2823" t="s">
        <v>1371</v>
      </c>
      <c r="AH2823" t="s">
        <v>72</v>
      </c>
      <c r="AI2823" t="s">
        <v>693</v>
      </c>
      <c r="AJ2823">
        <v>1938</v>
      </c>
      <c r="AK2823" t="s">
        <v>3719</v>
      </c>
      <c r="AN2823" t="s">
        <v>192</v>
      </c>
      <c r="AO2823" t="s">
        <v>160</v>
      </c>
      <c r="AP2823" t="s">
        <v>359</v>
      </c>
      <c r="AQ2823" t="s">
        <v>3720</v>
      </c>
      <c r="AR2823" t="s">
        <v>80</v>
      </c>
      <c r="AS2823">
        <v>701</v>
      </c>
      <c r="AT2823" t="s">
        <v>81</v>
      </c>
      <c r="AU2823">
        <v>20.53</v>
      </c>
      <c r="AV2823">
        <v>-40.46</v>
      </c>
      <c r="AW2823" t="s">
        <v>82</v>
      </c>
      <c r="AX2823">
        <v>709</v>
      </c>
      <c r="AY2823" t="s">
        <v>81</v>
      </c>
      <c r="AZ2823">
        <v>22.52</v>
      </c>
      <c r="BA2823">
        <v>-53.46</v>
      </c>
      <c r="BB2823" t="s">
        <v>83</v>
      </c>
    </row>
    <row r="2824" spans="1:54" x14ac:dyDescent="0.4">
      <c r="A2824">
        <v>923791</v>
      </c>
      <c r="D2824" t="s">
        <v>853</v>
      </c>
      <c r="E2824" t="s">
        <v>310</v>
      </c>
      <c r="G2824">
        <v>1</v>
      </c>
      <c r="H2824" t="s">
        <v>56</v>
      </c>
      <c r="I2824" t="s">
        <v>57</v>
      </c>
      <c r="K2824" t="s">
        <v>141</v>
      </c>
      <c r="L2824" t="s">
        <v>3721</v>
      </c>
      <c r="M2824" t="s">
        <v>60</v>
      </c>
      <c r="O2824" t="s">
        <v>87</v>
      </c>
      <c r="P2824" t="s">
        <v>224</v>
      </c>
      <c r="R2824" t="s">
        <v>183</v>
      </c>
      <c r="S2824" t="s">
        <v>64</v>
      </c>
      <c r="T2824">
        <v>246.7</v>
      </c>
      <c r="U2824">
        <v>242</v>
      </c>
      <c r="V2824">
        <f t="shared" si="88"/>
        <v>244.35</v>
      </c>
      <c r="W2824">
        <f t="shared" si="89"/>
        <v>4.6999999999999886</v>
      </c>
      <c r="X2824">
        <v>8.9413889999999991</v>
      </c>
      <c r="Y2824">
        <v>45.907223000000002</v>
      </c>
      <c r="Z2824" t="s">
        <v>1415</v>
      </c>
      <c r="AA2824" t="s">
        <v>226</v>
      </c>
      <c r="AB2824" t="s">
        <v>2079</v>
      </c>
      <c r="AC2824" t="s">
        <v>2080</v>
      </c>
      <c r="AD2824" t="s">
        <v>2075</v>
      </c>
      <c r="AF2824" t="s">
        <v>2081</v>
      </c>
      <c r="AG2824" t="s">
        <v>2082</v>
      </c>
      <c r="AH2824" t="s">
        <v>72</v>
      </c>
      <c r="AI2824" t="s">
        <v>3722</v>
      </c>
      <c r="AJ2824">
        <v>1965</v>
      </c>
      <c r="AK2824" t="s">
        <v>3723</v>
      </c>
      <c r="AM2824" t="s">
        <v>3724</v>
      </c>
      <c r="AN2824" t="s">
        <v>114</v>
      </c>
      <c r="AO2824" t="s">
        <v>77</v>
      </c>
      <c r="AP2824" t="s">
        <v>115</v>
      </c>
      <c r="AQ2824" t="s">
        <v>3725</v>
      </c>
      <c r="AR2824" t="s">
        <v>80</v>
      </c>
      <c r="AS2824">
        <v>307</v>
      </c>
      <c r="AT2824" t="s">
        <v>81</v>
      </c>
      <c r="AU2824">
        <v>34.28</v>
      </c>
      <c r="AV2824">
        <v>16.7</v>
      </c>
      <c r="AW2824" t="s">
        <v>82</v>
      </c>
      <c r="AX2824">
        <v>307</v>
      </c>
      <c r="AY2824" t="s">
        <v>81</v>
      </c>
      <c r="AZ2824">
        <v>22.06</v>
      </c>
      <c r="BA2824">
        <v>7.19</v>
      </c>
      <c r="BB2824" t="s">
        <v>83</v>
      </c>
    </row>
    <row r="2825" spans="1:54" x14ac:dyDescent="0.4">
      <c r="A2825">
        <v>923792</v>
      </c>
      <c r="D2825" t="s">
        <v>853</v>
      </c>
      <c r="E2825" t="s">
        <v>310</v>
      </c>
      <c r="G2825">
        <v>1</v>
      </c>
      <c r="H2825" t="s">
        <v>56</v>
      </c>
      <c r="I2825" t="s">
        <v>57</v>
      </c>
      <c r="K2825" t="s">
        <v>141</v>
      </c>
      <c r="L2825" t="s">
        <v>3721</v>
      </c>
      <c r="M2825" t="s">
        <v>60</v>
      </c>
      <c r="O2825" t="s">
        <v>87</v>
      </c>
      <c r="P2825" t="s">
        <v>224</v>
      </c>
      <c r="R2825" t="s">
        <v>183</v>
      </c>
      <c r="S2825" t="s">
        <v>64</v>
      </c>
      <c r="T2825">
        <v>246.7</v>
      </c>
      <c r="U2825">
        <v>242</v>
      </c>
      <c r="V2825">
        <f t="shared" si="88"/>
        <v>244.35</v>
      </c>
      <c r="W2825">
        <f t="shared" si="89"/>
        <v>4.6999999999999886</v>
      </c>
      <c r="X2825">
        <v>8.9366669999999999</v>
      </c>
      <c r="Y2825">
        <v>45.910277999999998</v>
      </c>
      <c r="Z2825" t="s">
        <v>1415</v>
      </c>
      <c r="AA2825" t="s">
        <v>226</v>
      </c>
      <c r="AB2825" t="s">
        <v>2079</v>
      </c>
      <c r="AC2825" t="s">
        <v>2080</v>
      </c>
      <c r="AD2825" t="s">
        <v>2075</v>
      </c>
      <c r="AF2825" t="s">
        <v>2081</v>
      </c>
      <c r="AG2825" t="s">
        <v>2082</v>
      </c>
      <c r="AH2825" t="s">
        <v>72</v>
      </c>
      <c r="AI2825" t="s">
        <v>3722</v>
      </c>
      <c r="AJ2825">
        <v>1965</v>
      </c>
      <c r="AK2825" t="s">
        <v>2083</v>
      </c>
      <c r="AM2825" t="s">
        <v>2084</v>
      </c>
      <c r="AN2825" t="s">
        <v>192</v>
      </c>
      <c r="AO2825" t="s">
        <v>77</v>
      </c>
      <c r="AP2825" t="s">
        <v>115</v>
      </c>
      <c r="AQ2825" t="s">
        <v>2085</v>
      </c>
      <c r="AR2825" t="s">
        <v>80</v>
      </c>
      <c r="AS2825">
        <v>307</v>
      </c>
      <c r="AT2825" t="s">
        <v>81</v>
      </c>
      <c r="AU2825">
        <v>34.28</v>
      </c>
      <c r="AV2825">
        <v>16.7</v>
      </c>
      <c r="AW2825" t="s">
        <v>82</v>
      </c>
      <c r="AX2825">
        <v>307</v>
      </c>
      <c r="AY2825" t="s">
        <v>81</v>
      </c>
      <c r="AZ2825">
        <v>22.06</v>
      </c>
      <c r="BA2825">
        <v>7.2</v>
      </c>
      <c r="BB2825" t="s">
        <v>83</v>
      </c>
    </row>
    <row r="2826" spans="1:54" x14ac:dyDescent="0.4">
      <c r="A2826">
        <v>931833</v>
      </c>
      <c r="D2826" t="s">
        <v>54</v>
      </c>
      <c r="E2826" t="s">
        <v>55</v>
      </c>
      <c r="G2826">
        <v>1</v>
      </c>
      <c r="H2826" t="s">
        <v>56</v>
      </c>
      <c r="I2826" t="s">
        <v>57</v>
      </c>
      <c r="K2826" t="s">
        <v>141</v>
      </c>
      <c r="L2826" t="s">
        <v>3803</v>
      </c>
      <c r="M2826" t="s">
        <v>223</v>
      </c>
      <c r="P2826" t="s">
        <v>224</v>
      </c>
      <c r="R2826" t="s">
        <v>183</v>
      </c>
      <c r="S2826" t="s">
        <v>64</v>
      </c>
      <c r="T2826">
        <v>246.7</v>
      </c>
      <c r="U2826">
        <v>242</v>
      </c>
      <c r="V2826">
        <f t="shared" si="88"/>
        <v>244.35</v>
      </c>
      <c r="W2826">
        <f t="shared" si="89"/>
        <v>4.6999999999999886</v>
      </c>
      <c r="X2826">
        <v>104.833336</v>
      </c>
      <c r="Y2826">
        <v>25.466667000000001</v>
      </c>
      <c r="Z2826" t="s">
        <v>520</v>
      </c>
      <c r="AA2826" t="s">
        <v>379</v>
      </c>
      <c r="AB2826" t="s">
        <v>682</v>
      </c>
      <c r="AC2826" t="s">
        <v>2160</v>
      </c>
      <c r="AD2826" t="s">
        <v>2161</v>
      </c>
      <c r="AF2826" t="s">
        <v>1188</v>
      </c>
      <c r="AG2826" t="s">
        <v>3584</v>
      </c>
      <c r="AH2826" t="s">
        <v>72</v>
      </c>
      <c r="AI2826" t="s">
        <v>3804</v>
      </c>
      <c r="AJ2826">
        <v>2011</v>
      </c>
      <c r="AK2826" t="s">
        <v>3601</v>
      </c>
      <c r="AN2826" t="s">
        <v>114</v>
      </c>
      <c r="AO2826" t="s">
        <v>160</v>
      </c>
      <c r="AP2826" t="s">
        <v>78</v>
      </c>
      <c r="AQ2826" t="s">
        <v>3602</v>
      </c>
      <c r="AR2826" t="s">
        <v>80</v>
      </c>
      <c r="AS2826">
        <v>611</v>
      </c>
      <c r="AT2826" t="s">
        <v>81</v>
      </c>
      <c r="AU2826">
        <v>107.28</v>
      </c>
      <c r="AV2826">
        <v>-10.65</v>
      </c>
      <c r="AW2826" t="s">
        <v>82</v>
      </c>
      <c r="AX2826">
        <v>611</v>
      </c>
      <c r="AY2826" t="s">
        <v>81</v>
      </c>
      <c r="AZ2826">
        <v>95.27</v>
      </c>
      <c r="BA2826">
        <v>11.53</v>
      </c>
      <c r="BB2826" t="s">
        <v>83</v>
      </c>
    </row>
    <row r="2827" spans="1:54" x14ac:dyDescent="0.4">
      <c r="A2827">
        <v>931833</v>
      </c>
      <c r="D2827" t="s">
        <v>54</v>
      </c>
      <c r="E2827" t="s">
        <v>55</v>
      </c>
      <c r="G2827">
        <v>1</v>
      </c>
      <c r="H2827" t="s">
        <v>56</v>
      </c>
      <c r="I2827" t="s">
        <v>57</v>
      </c>
      <c r="K2827" t="s">
        <v>141</v>
      </c>
      <c r="L2827" t="s">
        <v>3803</v>
      </c>
      <c r="M2827" t="s">
        <v>223</v>
      </c>
      <c r="P2827" t="s">
        <v>224</v>
      </c>
      <c r="R2827" t="s">
        <v>183</v>
      </c>
      <c r="S2827" t="s">
        <v>64</v>
      </c>
      <c r="T2827">
        <v>246.7</v>
      </c>
      <c r="U2827">
        <v>242</v>
      </c>
      <c r="V2827">
        <f t="shared" si="88"/>
        <v>244.35</v>
      </c>
      <c r="W2827">
        <f t="shared" si="89"/>
        <v>4.6999999999999886</v>
      </c>
      <c r="X2827">
        <v>104.833336</v>
      </c>
      <c r="Y2827">
        <v>25.466667000000001</v>
      </c>
      <c r="Z2827" t="s">
        <v>520</v>
      </c>
      <c r="AA2827" t="s">
        <v>379</v>
      </c>
      <c r="AB2827" t="s">
        <v>682</v>
      </c>
      <c r="AC2827" t="s">
        <v>2160</v>
      </c>
      <c r="AD2827" t="s">
        <v>2161</v>
      </c>
      <c r="AF2827" t="s">
        <v>1188</v>
      </c>
      <c r="AG2827" t="s">
        <v>3584</v>
      </c>
      <c r="AH2827" t="s">
        <v>72</v>
      </c>
      <c r="AI2827" t="s">
        <v>3804</v>
      </c>
      <c r="AJ2827">
        <v>2011</v>
      </c>
      <c r="AK2827" t="s">
        <v>3601</v>
      </c>
      <c r="AN2827" t="s">
        <v>114</v>
      </c>
      <c r="AO2827" t="s">
        <v>160</v>
      </c>
      <c r="AP2827" t="s">
        <v>78</v>
      </c>
      <c r="AQ2827" t="s">
        <v>3602</v>
      </c>
      <c r="AR2827" t="s">
        <v>80</v>
      </c>
      <c r="AS2827">
        <v>611</v>
      </c>
      <c r="AT2827" t="s">
        <v>81</v>
      </c>
      <c r="AU2827">
        <v>107.28</v>
      </c>
      <c r="AV2827">
        <v>-10.65</v>
      </c>
      <c r="AW2827" t="s">
        <v>82</v>
      </c>
      <c r="AX2827">
        <v>611</v>
      </c>
      <c r="AY2827" t="s">
        <v>81</v>
      </c>
      <c r="AZ2827">
        <v>95.27</v>
      </c>
      <c r="BA2827">
        <v>11.53</v>
      </c>
      <c r="BB2827" t="s">
        <v>83</v>
      </c>
    </row>
    <row r="2828" spans="1:54" x14ac:dyDescent="0.4">
      <c r="A2828">
        <v>931833</v>
      </c>
      <c r="D2828" t="s">
        <v>54</v>
      </c>
      <c r="E2828" t="s">
        <v>55</v>
      </c>
      <c r="G2828">
        <v>1</v>
      </c>
      <c r="H2828" t="s">
        <v>56</v>
      </c>
      <c r="I2828" t="s">
        <v>57</v>
      </c>
      <c r="K2828" t="s">
        <v>141</v>
      </c>
      <c r="L2828" t="s">
        <v>3803</v>
      </c>
      <c r="M2828" t="s">
        <v>223</v>
      </c>
      <c r="P2828" t="s">
        <v>224</v>
      </c>
      <c r="R2828" t="s">
        <v>183</v>
      </c>
      <c r="S2828" t="s">
        <v>64</v>
      </c>
      <c r="T2828">
        <v>246.7</v>
      </c>
      <c r="U2828">
        <v>242</v>
      </c>
      <c r="V2828">
        <f t="shared" si="88"/>
        <v>244.35</v>
      </c>
      <c r="W2828">
        <f t="shared" si="89"/>
        <v>4.6999999999999886</v>
      </c>
      <c r="X2828">
        <v>104.833336</v>
      </c>
      <c r="Y2828">
        <v>25.466667000000001</v>
      </c>
      <c r="Z2828" t="s">
        <v>520</v>
      </c>
      <c r="AA2828" t="s">
        <v>379</v>
      </c>
      <c r="AB2828" t="s">
        <v>682</v>
      </c>
      <c r="AC2828" t="s">
        <v>2160</v>
      </c>
      <c r="AD2828" t="s">
        <v>2161</v>
      </c>
      <c r="AF2828" t="s">
        <v>1188</v>
      </c>
      <c r="AG2828" t="s">
        <v>3584</v>
      </c>
      <c r="AH2828" t="s">
        <v>72</v>
      </c>
      <c r="AI2828" t="s">
        <v>3804</v>
      </c>
      <c r="AJ2828">
        <v>2011</v>
      </c>
      <c r="AK2828" t="s">
        <v>3601</v>
      </c>
      <c r="AN2828" t="s">
        <v>114</v>
      </c>
      <c r="AO2828" t="s">
        <v>160</v>
      </c>
      <c r="AP2828" t="s">
        <v>78</v>
      </c>
      <c r="AQ2828" t="s">
        <v>3602</v>
      </c>
      <c r="AR2828" t="s">
        <v>80</v>
      </c>
      <c r="AS2828">
        <v>611</v>
      </c>
      <c r="AT2828" t="s">
        <v>81</v>
      </c>
      <c r="AU2828">
        <v>107.28</v>
      </c>
      <c r="AV2828">
        <v>-10.65</v>
      </c>
      <c r="AW2828" t="s">
        <v>82</v>
      </c>
      <c r="AX2828">
        <v>611</v>
      </c>
      <c r="AY2828" t="s">
        <v>81</v>
      </c>
      <c r="AZ2828">
        <v>95.27</v>
      </c>
      <c r="BA2828">
        <v>11.53</v>
      </c>
      <c r="BB2828" t="s">
        <v>83</v>
      </c>
    </row>
    <row r="2829" spans="1:54" x14ac:dyDescent="0.4">
      <c r="A2829">
        <v>931833</v>
      </c>
      <c r="D2829" t="s">
        <v>54</v>
      </c>
      <c r="E2829" t="s">
        <v>55</v>
      </c>
      <c r="G2829">
        <v>1</v>
      </c>
      <c r="H2829" t="s">
        <v>56</v>
      </c>
      <c r="I2829" t="s">
        <v>57</v>
      </c>
      <c r="K2829" t="s">
        <v>141</v>
      </c>
      <c r="L2829" t="s">
        <v>3803</v>
      </c>
      <c r="M2829" t="s">
        <v>223</v>
      </c>
      <c r="P2829" t="s">
        <v>224</v>
      </c>
      <c r="R2829" t="s">
        <v>183</v>
      </c>
      <c r="S2829" t="s">
        <v>64</v>
      </c>
      <c r="T2829">
        <v>246.7</v>
      </c>
      <c r="U2829">
        <v>242</v>
      </c>
      <c r="V2829">
        <f t="shared" si="88"/>
        <v>244.35</v>
      </c>
      <c r="W2829">
        <f t="shared" si="89"/>
        <v>4.6999999999999886</v>
      </c>
      <c r="X2829">
        <v>104.833336</v>
      </c>
      <c r="Y2829">
        <v>25.466667000000001</v>
      </c>
      <c r="Z2829" t="s">
        <v>520</v>
      </c>
      <c r="AA2829" t="s">
        <v>379</v>
      </c>
      <c r="AB2829" t="s">
        <v>682</v>
      </c>
      <c r="AC2829" t="s">
        <v>2160</v>
      </c>
      <c r="AD2829" t="s">
        <v>2161</v>
      </c>
      <c r="AF2829" t="s">
        <v>1188</v>
      </c>
      <c r="AG2829" t="s">
        <v>3584</v>
      </c>
      <c r="AH2829" t="s">
        <v>72</v>
      </c>
      <c r="AI2829" t="s">
        <v>3804</v>
      </c>
      <c r="AJ2829">
        <v>2011</v>
      </c>
      <c r="AK2829" t="s">
        <v>3601</v>
      </c>
      <c r="AN2829" t="s">
        <v>114</v>
      </c>
      <c r="AO2829" t="s">
        <v>160</v>
      </c>
      <c r="AP2829" t="s">
        <v>78</v>
      </c>
      <c r="AQ2829" t="s">
        <v>3602</v>
      </c>
      <c r="AR2829" t="s">
        <v>80</v>
      </c>
      <c r="AS2829">
        <v>611</v>
      </c>
      <c r="AT2829" t="s">
        <v>81</v>
      </c>
      <c r="AU2829">
        <v>107.28</v>
      </c>
      <c r="AV2829">
        <v>-10.65</v>
      </c>
      <c r="AW2829" t="s">
        <v>82</v>
      </c>
      <c r="AX2829">
        <v>611</v>
      </c>
      <c r="AY2829" t="s">
        <v>81</v>
      </c>
      <c r="AZ2829">
        <v>95.27</v>
      </c>
      <c r="BA2829">
        <v>11.53</v>
      </c>
      <c r="BB2829" t="s">
        <v>83</v>
      </c>
    </row>
    <row r="2830" spans="1:54" x14ac:dyDescent="0.4">
      <c r="A2830">
        <v>931833</v>
      </c>
      <c r="D2830" t="s">
        <v>54</v>
      </c>
      <c r="E2830" t="s">
        <v>55</v>
      </c>
      <c r="G2830">
        <v>1</v>
      </c>
      <c r="H2830" t="s">
        <v>56</v>
      </c>
      <c r="I2830" t="s">
        <v>57</v>
      </c>
      <c r="K2830" t="s">
        <v>141</v>
      </c>
      <c r="L2830" t="s">
        <v>3803</v>
      </c>
      <c r="M2830" t="s">
        <v>223</v>
      </c>
      <c r="P2830" t="s">
        <v>224</v>
      </c>
      <c r="R2830" t="s">
        <v>183</v>
      </c>
      <c r="S2830" t="s">
        <v>64</v>
      </c>
      <c r="T2830">
        <v>246.7</v>
      </c>
      <c r="U2830">
        <v>242</v>
      </c>
      <c r="V2830">
        <f t="shared" si="88"/>
        <v>244.35</v>
      </c>
      <c r="W2830">
        <f t="shared" si="89"/>
        <v>4.6999999999999886</v>
      </c>
      <c r="X2830">
        <v>104.833336</v>
      </c>
      <c r="Y2830">
        <v>25.466667000000001</v>
      </c>
      <c r="Z2830" t="s">
        <v>520</v>
      </c>
      <c r="AA2830" t="s">
        <v>379</v>
      </c>
      <c r="AB2830" t="s">
        <v>682</v>
      </c>
      <c r="AC2830" t="s">
        <v>2160</v>
      </c>
      <c r="AD2830" t="s">
        <v>2161</v>
      </c>
      <c r="AF2830" t="s">
        <v>1188</v>
      </c>
      <c r="AG2830" t="s">
        <v>3584</v>
      </c>
      <c r="AH2830" t="s">
        <v>72</v>
      </c>
      <c r="AI2830" t="s">
        <v>3804</v>
      </c>
      <c r="AJ2830">
        <v>2011</v>
      </c>
      <c r="AK2830" t="s">
        <v>3601</v>
      </c>
      <c r="AN2830" t="s">
        <v>114</v>
      </c>
      <c r="AO2830" t="s">
        <v>160</v>
      </c>
      <c r="AP2830" t="s">
        <v>78</v>
      </c>
      <c r="AQ2830" t="s">
        <v>3602</v>
      </c>
      <c r="AR2830" t="s">
        <v>80</v>
      </c>
      <c r="AS2830">
        <v>611</v>
      </c>
      <c r="AT2830" t="s">
        <v>81</v>
      </c>
      <c r="AU2830">
        <v>107.28</v>
      </c>
      <c r="AV2830">
        <v>-10.65</v>
      </c>
      <c r="AW2830" t="s">
        <v>82</v>
      </c>
      <c r="AX2830">
        <v>611</v>
      </c>
      <c r="AY2830" t="s">
        <v>81</v>
      </c>
      <c r="AZ2830">
        <v>95.27</v>
      </c>
      <c r="BA2830">
        <v>11.53</v>
      </c>
      <c r="BB2830" t="s">
        <v>83</v>
      </c>
    </row>
    <row r="2831" spans="1:54" x14ac:dyDescent="0.4">
      <c r="A2831">
        <v>986756</v>
      </c>
      <c r="D2831" t="s">
        <v>54</v>
      </c>
      <c r="E2831" t="s">
        <v>55</v>
      </c>
      <c r="G2831">
        <v>1</v>
      </c>
      <c r="H2831" t="s">
        <v>56</v>
      </c>
      <c r="I2831" t="s">
        <v>57</v>
      </c>
      <c r="K2831" t="s">
        <v>1873</v>
      </c>
      <c r="L2831" t="s">
        <v>2385</v>
      </c>
      <c r="M2831" t="s">
        <v>60</v>
      </c>
      <c r="P2831" t="s">
        <v>224</v>
      </c>
      <c r="R2831" t="s">
        <v>183</v>
      </c>
      <c r="S2831" t="s">
        <v>64</v>
      </c>
      <c r="T2831">
        <v>246.7</v>
      </c>
      <c r="U2831">
        <v>242</v>
      </c>
      <c r="V2831">
        <f t="shared" si="88"/>
        <v>244.35</v>
      </c>
      <c r="W2831">
        <f t="shared" si="89"/>
        <v>4.6999999999999886</v>
      </c>
      <c r="X2831">
        <v>26.111111000000001</v>
      </c>
      <c r="Y2831">
        <v>-30.906943999999999</v>
      </c>
      <c r="Z2831" t="s">
        <v>836</v>
      </c>
      <c r="AA2831" t="s">
        <v>106</v>
      </c>
      <c r="AB2831" t="s">
        <v>107</v>
      </c>
      <c r="AC2831" t="s">
        <v>2550</v>
      </c>
      <c r="AD2831" t="s">
        <v>2023</v>
      </c>
      <c r="AE2831" t="s">
        <v>110</v>
      </c>
      <c r="AG2831" t="s">
        <v>2551</v>
      </c>
      <c r="AH2831" t="s">
        <v>72</v>
      </c>
      <c r="AI2831" t="s">
        <v>693</v>
      </c>
      <c r="AJ2831">
        <v>1911</v>
      </c>
      <c r="AK2831" t="s">
        <v>2552</v>
      </c>
      <c r="AM2831" t="s">
        <v>2553</v>
      </c>
      <c r="AN2831" t="s">
        <v>341</v>
      </c>
      <c r="AO2831" t="s">
        <v>77</v>
      </c>
      <c r="AP2831" t="s">
        <v>78</v>
      </c>
      <c r="AQ2831" t="s">
        <v>2554</v>
      </c>
      <c r="AR2831" t="s">
        <v>80</v>
      </c>
      <c r="AS2831">
        <v>701</v>
      </c>
      <c r="AT2831" t="s">
        <v>81</v>
      </c>
      <c r="AU2831">
        <v>-8.09</v>
      </c>
      <c r="AV2831">
        <v>-50.52</v>
      </c>
      <c r="AW2831" t="s">
        <v>82</v>
      </c>
      <c r="AX2831">
        <v>701</v>
      </c>
      <c r="AY2831" t="s">
        <v>81</v>
      </c>
      <c r="AZ2831">
        <v>-14.27</v>
      </c>
      <c r="BA2831">
        <v>-66.099999999999994</v>
      </c>
      <c r="BB2831" t="s">
        <v>83</v>
      </c>
    </row>
    <row r="2832" spans="1:54" x14ac:dyDescent="0.4">
      <c r="A2832">
        <v>986756</v>
      </c>
      <c r="D2832" t="s">
        <v>54</v>
      </c>
      <c r="E2832" t="s">
        <v>55</v>
      </c>
      <c r="G2832">
        <v>1</v>
      </c>
      <c r="H2832" t="s">
        <v>56</v>
      </c>
      <c r="I2832" t="s">
        <v>57</v>
      </c>
      <c r="K2832" t="s">
        <v>1873</v>
      </c>
      <c r="L2832" t="s">
        <v>2385</v>
      </c>
      <c r="M2832" t="s">
        <v>60</v>
      </c>
      <c r="P2832" t="s">
        <v>224</v>
      </c>
      <c r="R2832" t="s">
        <v>183</v>
      </c>
      <c r="S2832" t="s">
        <v>64</v>
      </c>
      <c r="T2832">
        <v>246.7</v>
      </c>
      <c r="U2832">
        <v>242</v>
      </c>
      <c r="V2832">
        <f t="shared" si="88"/>
        <v>244.35</v>
      </c>
      <c r="W2832">
        <f t="shared" si="89"/>
        <v>4.6999999999999886</v>
      </c>
      <c r="X2832">
        <v>26.111111000000001</v>
      </c>
      <c r="Y2832">
        <v>-30.906943999999999</v>
      </c>
      <c r="Z2832" t="s">
        <v>836</v>
      </c>
      <c r="AA2832" t="s">
        <v>106</v>
      </c>
      <c r="AB2832" t="s">
        <v>107</v>
      </c>
      <c r="AC2832" t="s">
        <v>2550</v>
      </c>
      <c r="AD2832" t="s">
        <v>2023</v>
      </c>
      <c r="AE2832" t="s">
        <v>110</v>
      </c>
      <c r="AG2832" t="s">
        <v>2551</v>
      </c>
      <c r="AH2832" t="s">
        <v>72</v>
      </c>
      <c r="AI2832" t="s">
        <v>693</v>
      </c>
      <c r="AJ2832">
        <v>1911</v>
      </c>
      <c r="AK2832" t="s">
        <v>2552</v>
      </c>
      <c r="AM2832" t="s">
        <v>2553</v>
      </c>
      <c r="AN2832" t="s">
        <v>341</v>
      </c>
      <c r="AO2832" t="s">
        <v>77</v>
      </c>
      <c r="AP2832" t="s">
        <v>78</v>
      </c>
      <c r="AQ2832" t="s">
        <v>2554</v>
      </c>
      <c r="AR2832" t="s">
        <v>80</v>
      </c>
      <c r="AS2832">
        <v>701</v>
      </c>
      <c r="AT2832" t="s">
        <v>81</v>
      </c>
      <c r="AU2832">
        <v>-8.09</v>
      </c>
      <c r="AV2832">
        <v>-50.52</v>
      </c>
      <c r="AW2832" t="s">
        <v>82</v>
      </c>
      <c r="AX2832">
        <v>701</v>
      </c>
      <c r="AY2832" t="s">
        <v>81</v>
      </c>
      <c r="AZ2832">
        <v>-14.27</v>
      </c>
      <c r="BA2832">
        <v>-66.099999999999994</v>
      </c>
      <c r="BB2832" t="s">
        <v>83</v>
      </c>
    </row>
    <row r="2833" spans="1:54" x14ac:dyDescent="0.4">
      <c r="A2833">
        <v>986756</v>
      </c>
      <c r="D2833" t="s">
        <v>54</v>
      </c>
      <c r="E2833" t="s">
        <v>55</v>
      </c>
      <c r="G2833">
        <v>1</v>
      </c>
      <c r="H2833" t="s">
        <v>56</v>
      </c>
      <c r="I2833" t="s">
        <v>57</v>
      </c>
      <c r="K2833" t="s">
        <v>1873</v>
      </c>
      <c r="L2833" t="s">
        <v>2385</v>
      </c>
      <c r="M2833" t="s">
        <v>60</v>
      </c>
      <c r="P2833" t="s">
        <v>224</v>
      </c>
      <c r="R2833" t="s">
        <v>183</v>
      </c>
      <c r="S2833" t="s">
        <v>64</v>
      </c>
      <c r="T2833">
        <v>246.7</v>
      </c>
      <c r="U2833">
        <v>242</v>
      </c>
      <c r="V2833">
        <f t="shared" si="88"/>
        <v>244.35</v>
      </c>
      <c r="W2833">
        <f t="shared" si="89"/>
        <v>4.6999999999999886</v>
      </c>
      <c r="X2833">
        <v>26.111111000000001</v>
      </c>
      <c r="Y2833">
        <v>-30.906943999999999</v>
      </c>
      <c r="Z2833" t="s">
        <v>836</v>
      </c>
      <c r="AA2833" t="s">
        <v>106</v>
      </c>
      <c r="AB2833" t="s">
        <v>107</v>
      </c>
      <c r="AC2833" t="s">
        <v>2550</v>
      </c>
      <c r="AD2833" t="s">
        <v>2023</v>
      </c>
      <c r="AE2833" t="s">
        <v>110</v>
      </c>
      <c r="AG2833" t="s">
        <v>2551</v>
      </c>
      <c r="AH2833" t="s">
        <v>72</v>
      </c>
      <c r="AI2833" t="s">
        <v>693</v>
      </c>
      <c r="AJ2833">
        <v>1911</v>
      </c>
      <c r="AK2833" t="s">
        <v>2552</v>
      </c>
      <c r="AM2833" t="s">
        <v>2553</v>
      </c>
      <c r="AN2833" t="s">
        <v>341</v>
      </c>
      <c r="AO2833" t="s">
        <v>77</v>
      </c>
      <c r="AP2833" t="s">
        <v>78</v>
      </c>
      <c r="AQ2833" t="s">
        <v>2554</v>
      </c>
      <c r="AR2833" t="s">
        <v>80</v>
      </c>
      <c r="AS2833">
        <v>701</v>
      </c>
      <c r="AT2833" t="s">
        <v>81</v>
      </c>
      <c r="AU2833">
        <v>-8.09</v>
      </c>
      <c r="AV2833">
        <v>-50.52</v>
      </c>
      <c r="AW2833" t="s">
        <v>82</v>
      </c>
      <c r="AX2833">
        <v>701</v>
      </c>
      <c r="AY2833" t="s">
        <v>81</v>
      </c>
      <c r="AZ2833">
        <v>-14.27</v>
      </c>
      <c r="BA2833">
        <v>-66.099999999999994</v>
      </c>
      <c r="BB2833" t="s">
        <v>83</v>
      </c>
    </row>
    <row r="2834" spans="1:54" x14ac:dyDescent="0.4">
      <c r="A2834">
        <v>989470</v>
      </c>
      <c r="D2834" t="s">
        <v>3188</v>
      </c>
      <c r="E2834" t="s">
        <v>55</v>
      </c>
      <c r="F2834" t="s">
        <v>3189</v>
      </c>
      <c r="G2834">
        <v>1</v>
      </c>
      <c r="H2834" t="s">
        <v>56</v>
      </c>
      <c r="I2834" t="s">
        <v>57</v>
      </c>
      <c r="K2834" t="s">
        <v>771</v>
      </c>
      <c r="L2834" t="s">
        <v>3368</v>
      </c>
      <c r="M2834" t="s">
        <v>223</v>
      </c>
      <c r="P2834" t="s">
        <v>224</v>
      </c>
      <c r="R2834" t="s">
        <v>183</v>
      </c>
      <c r="S2834" t="s">
        <v>64</v>
      </c>
      <c r="T2834">
        <v>246.7</v>
      </c>
      <c r="U2834">
        <v>242</v>
      </c>
      <c r="V2834">
        <f t="shared" si="88"/>
        <v>244.35</v>
      </c>
      <c r="W2834">
        <f t="shared" si="89"/>
        <v>4.6999999999999886</v>
      </c>
      <c r="X2834">
        <v>6.7258329999999997</v>
      </c>
      <c r="Y2834">
        <v>51.968333999999999</v>
      </c>
      <c r="Z2834" t="s">
        <v>1512</v>
      </c>
      <c r="AA2834" t="s">
        <v>3191</v>
      </c>
      <c r="AB2834" t="s">
        <v>3192</v>
      </c>
      <c r="AD2834" t="s">
        <v>3193</v>
      </c>
      <c r="AE2834" t="s">
        <v>1378</v>
      </c>
      <c r="AF2834" t="s">
        <v>3194</v>
      </c>
      <c r="AH2834" t="s">
        <v>72</v>
      </c>
      <c r="AI2834" t="s">
        <v>3978</v>
      </c>
      <c r="AJ2834">
        <v>2009</v>
      </c>
      <c r="AK2834" t="s">
        <v>3196</v>
      </c>
      <c r="AM2834" t="s">
        <v>3197</v>
      </c>
      <c r="AN2834" t="s">
        <v>192</v>
      </c>
      <c r="AO2834" t="s">
        <v>77</v>
      </c>
      <c r="AP2834" t="s">
        <v>78</v>
      </c>
      <c r="AQ2834" t="s">
        <v>3198</v>
      </c>
      <c r="AR2834" t="s">
        <v>80</v>
      </c>
      <c r="AS2834">
        <v>315</v>
      </c>
      <c r="AT2834" t="s">
        <v>81</v>
      </c>
      <c r="AU2834">
        <v>26.16</v>
      </c>
      <c r="AV2834">
        <v>30.17</v>
      </c>
      <c r="AW2834" t="s">
        <v>82</v>
      </c>
      <c r="AX2834">
        <v>315</v>
      </c>
      <c r="AY2834" t="s">
        <v>81</v>
      </c>
      <c r="AZ2834">
        <v>16.62</v>
      </c>
      <c r="BA2834">
        <v>16.920000000000002</v>
      </c>
      <c r="BB2834" t="s">
        <v>83</v>
      </c>
    </row>
    <row r="2835" spans="1:54" x14ac:dyDescent="0.4">
      <c r="A2835">
        <v>1058582</v>
      </c>
      <c r="D2835" t="s">
        <v>54</v>
      </c>
      <c r="G2835">
        <v>1</v>
      </c>
      <c r="H2835" t="s">
        <v>84</v>
      </c>
      <c r="I2835" t="s">
        <v>57</v>
      </c>
      <c r="K2835" t="s">
        <v>141</v>
      </c>
      <c r="L2835" t="s">
        <v>3400</v>
      </c>
      <c r="M2835" t="s">
        <v>223</v>
      </c>
      <c r="P2835" t="s">
        <v>224</v>
      </c>
      <c r="R2835" t="s">
        <v>183</v>
      </c>
      <c r="S2835" t="s">
        <v>64</v>
      </c>
      <c r="T2835">
        <v>246.7</v>
      </c>
      <c r="U2835">
        <v>242</v>
      </c>
      <c r="V2835">
        <f t="shared" si="88"/>
        <v>244.35</v>
      </c>
      <c r="W2835">
        <f t="shared" si="89"/>
        <v>4.6999999999999886</v>
      </c>
      <c r="X2835">
        <v>11.64</v>
      </c>
      <c r="Y2835">
        <v>49.985557999999997</v>
      </c>
      <c r="Z2835" t="s">
        <v>520</v>
      </c>
      <c r="AA2835" t="s">
        <v>211</v>
      </c>
      <c r="AE2835" t="s">
        <v>1378</v>
      </c>
      <c r="AH2835" t="s">
        <v>72</v>
      </c>
      <c r="AI2835" t="s">
        <v>725</v>
      </c>
      <c r="AJ2835">
        <v>1987</v>
      </c>
      <c r="AK2835" t="s">
        <v>4012</v>
      </c>
      <c r="AN2835" t="s">
        <v>341</v>
      </c>
      <c r="AO2835" t="s">
        <v>77</v>
      </c>
      <c r="AQ2835" t="s">
        <v>4013</v>
      </c>
      <c r="AR2835" t="s">
        <v>80</v>
      </c>
      <c r="AS2835">
        <v>305</v>
      </c>
      <c r="AT2835" t="s">
        <v>81</v>
      </c>
      <c r="AU2835">
        <v>30.14</v>
      </c>
      <c r="AV2835">
        <v>28.94</v>
      </c>
      <c r="AW2835" t="s">
        <v>82</v>
      </c>
      <c r="AX2835">
        <v>305</v>
      </c>
      <c r="AY2835" t="s">
        <v>81</v>
      </c>
      <c r="AZ2835">
        <v>20.399999999999999</v>
      </c>
      <c r="BA2835">
        <v>16.28</v>
      </c>
      <c r="BB2835" t="s">
        <v>83</v>
      </c>
    </row>
    <row r="2836" spans="1:54" x14ac:dyDescent="0.4">
      <c r="A2836">
        <v>1071678</v>
      </c>
      <c r="D2836" t="s">
        <v>54</v>
      </c>
      <c r="E2836" t="s">
        <v>55</v>
      </c>
      <c r="I2836" t="s">
        <v>57</v>
      </c>
      <c r="K2836" t="s">
        <v>840</v>
      </c>
      <c r="L2836" t="s">
        <v>3625</v>
      </c>
      <c r="M2836" t="s">
        <v>60</v>
      </c>
      <c r="O2836" t="s">
        <v>170</v>
      </c>
      <c r="P2836" t="s">
        <v>224</v>
      </c>
      <c r="R2836" t="s">
        <v>183</v>
      </c>
      <c r="S2836" t="s">
        <v>64</v>
      </c>
      <c r="T2836">
        <v>246.7</v>
      </c>
      <c r="U2836">
        <v>242</v>
      </c>
      <c r="V2836">
        <f t="shared" si="88"/>
        <v>244.35</v>
      </c>
      <c r="W2836">
        <f t="shared" si="89"/>
        <v>4.6999999999999886</v>
      </c>
      <c r="X2836">
        <v>35.233299000000002</v>
      </c>
      <c r="Y2836">
        <v>-10.283300000000001</v>
      </c>
      <c r="Z2836" t="s">
        <v>1365</v>
      </c>
      <c r="AA2836" t="s">
        <v>1366</v>
      </c>
      <c r="AB2836" t="s">
        <v>1367</v>
      </c>
      <c r="AC2836" t="s">
        <v>1368</v>
      </c>
      <c r="AD2836" t="s">
        <v>1369</v>
      </c>
      <c r="AF2836" t="s">
        <v>1370</v>
      </c>
      <c r="AG2836" t="s">
        <v>1371</v>
      </c>
      <c r="AH2836" t="s">
        <v>11</v>
      </c>
      <c r="AI2836" t="s">
        <v>4032</v>
      </c>
      <c r="AJ2836">
        <v>2012</v>
      </c>
      <c r="AK2836" t="s">
        <v>1372</v>
      </c>
      <c r="AN2836" t="s">
        <v>114</v>
      </c>
      <c r="AO2836">
        <v>4</v>
      </c>
      <c r="AP2836" t="s">
        <v>78</v>
      </c>
      <c r="AQ2836" t="s">
        <v>1373</v>
      </c>
      <c r="AR2836" t="s">
        <v>80</v>
      </c>
      <c r="AS2836">
        <v>701</v>
      </c>
      <c r="AT2836" t="s">
        <v>81</v>
      </c>
      <c r="AU2836">
        <v>20.55</v>
      </c>
      <c r="AV2836">
        <v>-40.409999999999997</v>
      </c>
      <c r="AW2836" t="s">
        <v>82</v>
      </c>
      <c r="AX2836">
        <v>709</v>
      </c>
      <c r="AY2836" t="s">
        <v>81</v>
      </c>
      <c r="AZ2836">
        <v>22.52</v>
      </c>
      <c r="BA2836">
        <v>-53.41</v>
      </c>
      <c r="BB2836" t="s">
        <v>83</v>
      </c>
    </row>
    <row r="2837" spans="1:54" x14ac:dyDescent="0.4">
      <c r="A2837">
        <v>1087839</v>
      </c>
      <c r="D2837" t="s">
        <v>54</v>
      </c>
      <c r="G2837">
        <v>3</v>
      </c>
      <c r="H2837" t="s">
        <v>84</v>
      </c>
      <c r="I2837" t="s">
        <v>57</v>
      </c>
      <c r="K2837" t="s">
        <v>840</v>
      </c>
      <c r="L2837" t="s">
        <v>4068</v>
      </c>
      <c r="M2837" t="s">
        <v>60</v>
      </c>
      <c r="O2837" t="s">
        <v>170</v>
      </c>
      <c r="P2837" t="s">
        <v>224</v>
      </c>
      <c r="R2837" t="s">
        <v>183</v>
      </c>
      <c r="S2837" t="s">
        <v>64</v>
      </c>
      <c r="T2837">
        <v>246.7</v>
      </c>
      <c r="U2837">
        <v>242</v>
      </c>
      <c r="V2837">
        <f t="shared" si="88"/>
        <v>244.35</v>
      </c>
      <c r="W2837">
        <f t="shared" si="89"/>
        <v>4.6999999999999886</v>
      </c>
      <c r="X2837">
        <v>79.25</v>
      </c>
      <c r="Y2837">
        <v>19.383333</v>
      </c>
      <c r="Z2837" t="s">
        <v>124</v>
      </c>
      <c r="AA2837" t="s">
        <v>1222</v>
      </c>
      <c r="AB2837" t="s">
        <v>1223</v>
      </c>
      <c r="AC2837" t="s">
        <v>1224</v>
      </c>
      <c r="AD2837" t="s">
        <v>2319</v>
      </c>
      <c r="AH2837" t="s">
        <v>72</v>
      </c>
      <c r="AI2837" t="s">
        <v>202</v>
      </c>
      <c r="AJ2837">
        <v>1980</v>
      </c>
      <c r="AK2837" t="s">
        <v>4069</v>
      </c>
      <c r="AN2837" t="s">
        <v>76</v>
      </c>
      <c r="AO2837" t="s">
        <v>160</v>
      </c>
      <c r="AP2837" t="s">
        <v>115</v>
      </c>
      <c r="AQ2837" t="s">
        <v>4070</v>
      </c>
      <c r="AR2837" t="s">
        <v>80</v>
      </c>
      <c r="AS2837">
        <v>501</v>
      </c>
      <c r="AT2837" t="s">
        <v>81</v>
      </c>
      <c r="AU2837">
        <v>39.9</v>
      </c>
      <c r="AV2837">
        <v>-42.19</v>
      </c>
      <c r="AW2837" t="s">
        <v>82</v>
      </c>
      <c r="AX2837">
        <v>501</v>
      </c>
      <c r="AY2837" t="s">
        <v>81</v>
      </c>
      <c r="AZ2837">
        <v>48.57</v>
      </c>
      <c r="BA2837">
        <v>-50.94</v>
      </c>
      <c r="BB2837" t="s">
        <v>83</v>
      </c>
    </row>
    <row r="2838" spans="1:54" x14ac:dyDescent="0.4">
      <c r="A2838">
        <v>1089127</v>
      </c>
      <c r="D2838" t="s">
        <v>54</v>
      </c>
      <c r="E2838" t="s">
        <v>152</v>
      </c>
      <c r="G2838">
        <v>1</v>
      </c>
      <c r="H2838" t="s">
        <v>84</v>
      </c>
      <c r="I2838" t="s">
        <v>57</v>
      </c>
      <c r="K2838" t="s">
        <v>141</v>
      </c>
      <c r="L2838" t="s">
        <v>4071</v>
      </c>
      <c r="M2838" t="s">
        <v>60</v>
      </c>
      <c r="P2838" t="s">
        <v>224</v>
      </c>
      <c r="R2838" t="s">
        <v>183</v>
      </c>
      <c r="S2838" t="s">
        <v>64</v>
      </c>
      <c r="T2838">
        <v>246.7</v>
      </c>
      <c r="U2838">
        <v>242</v>
      </c>
      <c r="V2838">
        <f t="shared" si="88"/>
        <v>244.35</v>
      </c>
      <c r="W2838">
        <f t="shared" si="89"/>
        <v>4.6999999999999886</v>
      </c>
      <c r="X2838">
        <v>35.233001999999999</v>
      </c>
      <c r="Y2838">
        <v>-10.282999999999999</v>
      </c>
      <c r="Z2838" t="s">
        <v>124</v>
      </c>
      <c r="AA2838" t="s">
        <v>1366</v>
      </c>
      <c r="AB2838" t="s">
        <v>1367</v>
      </c>
      <c r="AD2838" t="s">
        <v>1369</v>
      </c>
      <c r="AF2838" t="s">
        <v>1370</v>
      </c>
      <c r="AG2838" t="s">
        <v>4072</v>
      </c>
      <c r="AH2838" t="s">
        <v>72</v>
      </c>
      <c r="AI2838" t="s">
        <v>1127</v>
      </c>
      <c r="AJ2838">
        <v>2013</v>
      </c>
      <c r="AK2838" t="s">
        <v>4073</v>
      </c>
      <c r="AN2838" t="s">
        <v>114</v>
      </c>
      <c r="AO2838">
        <v>3</v>
      </c>
      <c r="AP2838" t="s">
        <v>115</v>
      </c>
      <c r="AR2838" t="s">
        <v>80</v>
      </c>
      <c r="AS2838">
        <v>701</v>
      </c>
      <c r="AT2838" t="s">
        <v>81</v>
      </c>
      <c r="AU2838">
        <v>20.55</v>
      </c>
      <c r="AV2838">
        <v>-40.409999999999997</v>
      </c>
      <c r="AW2838" t="s">
        <v>82</v>
      </c>
      <c r="AX2838">
        <v>709</v>
      </c>
      <c r="AY2838" t="s">
        <v>81</v>
      </c>
      <c r="AZ2838">
        <v>22.52</v>
      </c>
      <c r="BA2838">
        <v>-53.41</v>
      </c>
      <c r="BB2838" t="s">
        <v>83</v>
      </c>
    </row>
    <row r="2839" spans="1:54" x14ac:dyDescent="0.4">
      <c r="A2839">
        <v>1089130</v>
      </c>
      <c r="D2839" t="s">
        <v>54</v>
      </c>
      <c r="G2839">
        <v>1</v>
      </c>
      <c r="H2839" t="s">
        <v>84</v>
      </c>
      <c r="I2839" t="s">
        <v>57</v>
      </c>
      <c r="K2839" t="s">
        <v>141</v>
      </c>
      <c r="L2839" t="s">
        <v>4071</v>
      </c>
      <c r="M2839" t="s">
        <v>60</v>
      </c>
      <c r="P2839" t="s">
        <v>224</v>
      </c>
      <c r="R2839" t="s">
        <v>183</v>
      </c>
      <c r="S2839" t="s">
        <v>64</v>
      </c>
      <c r="T2839">
        <v>246.7</v>
      </c>
      <c r="U2839">
        <v>242</v>
      </c>
      <c r="V2839">
        <f t="shared" si="88"/>
        <v>244.35</v>
      </c>
      <c r="W2839">
        <f t="shared" si="89"/>
        <v>4.6999999999999886</v>
      </c>
      <c r="X2839">
        <v>34.75</v>
      </c>
      <c r="Y2839">
        <v>-10.533333000000001</v>
      </c>
      <c r="Z2839" t="s">
        <v>124</v>
      </c>
      <c r="AA2839" t="s">
        <v>1366</v>
      </c>
      <c r="AB2839" t="s">
        <v>1367</v>
      </c>
      <c r="AD2839" t="s">
        <v>1369</v>
      </c>
      <c r="AF2839" t="s">
        <v>1370</v>
      </c>
      <c r="AG2839" t="s">
        <v>4072</v>
      </c>
      <c r="AH2839" t="s">
        <v>72</v>
      </c>
      <c r="AI2839" t="s">
        <v>621</v>
      </c>
      <c r="AJ2839">
        <v>1932</v>
      </c>
      <c r="AK2839" t="s">
        <v>4074</v>
      </c>
      <c r="AN2839" t="s">
        <v>192</v>
      </c>
      <c r="AO2839" t="s">
        <v>160</v>
      </c>
      <c r="AP2839" t="s">
        <v>115</v>
      </c>
      <c r="AQ2839" t="s">
        <v>4075</v>
      </c>
      <c r="AR2839" t="s">
        <v>80</v>
      </c>
      <c r="AS2839">
        <v>701</v>
      </c>
      <c r="AT2839" t="s">
        <v>81</v>
      </c>
      <c r="AU2839">
        <v>19.84</v>
      </c>
      <c r="AV2839">
        <v>-40.36</v>
      </c>
      <c r="AW2839" t="s">
        <v>82</v>
      </c>
      <c r="AX2839">
        <v>709</v>
      </c>
      <c r="AY2839" t="s">
        <v>81</v>
      </c>
      <c r="AZ2839">
        <v>21.64</v>
      </c>
      <c r="BA2839">
        <v>-53.51</v>
      </c>
      <c r="BB2839" t="s">
        <v>83</v>
      </c>
    </row>
    <row r="2840" spans="1:54" x14ac:dyDescent="0.4">
      <c r="A2840">
        <v>1089825</v>
      </c>
      <c r="D2840" t="s">
        <v>54</v>
      </c>
      <c r="G2840">
        <v>1</v>
      </c>
      <c r="H2840" t="s">
        <v>421</v>
      </c>
      <c r="I2840" t="s">
        <v>57</v>
      </c>
      <c r="K2840" t="s">
        <v>141</v>
      </c>
      <c r="L2840" t="s">
        <v>3629</v>
      </c>
      <c r="M2840" t="s">
        <v>60</v>
      </c>
      <c r="O2840" t="s">
        <v>87</v>
      </c>
      <c r="P2840" t="s">
        <v>224</v>
      </c>
      <c r="R2840" t="s">
        <v>183</v>
      </c>
      <c r="S2840" t="s">
        <v>64</v>
      </c>
      <c r="T2840">
        <v>246.7</v>
      </c>
      <c r="U2840">
        <v>242</v>
      </c>
      <c r="V2840">
        <f t="shared" si="88"/>
        <v>244.35</v>
      </c>
      <c r="W2840">
        <f t="shared" si="89"/>
        <v>4.6999999999999886</v>
      </c>
      <c r="X2840">
        <v>35.266666000000001</v>
      </c>
      <c r="Y2840">
        <v>-10.383333</v>
      </c>
      <c r="Z2840" t="s">
        <v>124</v>
      </c>
      <c r="AA2840" t="s">
        <v>1366</v>
      </c>
      <c r="AB2840" t="s">
        <v>1367</v>
      </c>
      <c r="AD2840" t="s">
        <v>1369</v>
      </c>
      <c r="AF2840" t="s">
        <v>1370</v>
      </c>
      <c r="AG2840" t="s">
        <v>4072</v>
      </c>
      <c r="AH2840" t="s">
        <v>72</v>
      </c>
      <c r="AI2840" t="s">
        <v>621</v>
      </c>
      <c r="AJ2840">
        <v>1932</v>
      </c>
      <c r="AK2840" t="s">
        <v>4076</v>
      </c>
      <c r="AN2840" t="s">
        <v>192</v>
      </c>
      <c r="AO2840" t="s">
        <v>160</v>
      </c>
      <c r="AP2840" t="s">
        <v>115</v>
      </c>
      <c r="AQ2840" t="s">
        <v>4077</v>
      </c>
      <c r="AR2840" t="s">
        <v>80</v>
      </c>
      <c r="AS2840">
        <v>701</v>
      </c>
      <c r="AT2840" t="s">
        <v>81</v>
      </c>
      <c r="AU2840">
        <v>20.51</v>
      </c>
      <c r="AV2840">
        <v>-40.51</v>
      </c>
      <c r="AW2840" t="s">
        <v>82</v>
      </c>
      <c r="AX2840">
        <v>709</v>
      </c>
      <c r="AY2840" t="s">
        <v>81</v>
      </c>
      <c r="AZ2840">
        <v>22.53</v>
      </c>
      <c r="BA2840">
        <v>-53.51</v>
      </c>
      <c r="BB2840" t="s">
        <v>83</v>
      </c>
    </row>
    <row r="2841" spans="1:54" x14ac:dyDescent="0.4">
      <c r="A2841">
        <v>1094699</v>
      </c>
      <c r="D2841" t="s">
        <v>3188</v>
      </c>
      <c r="E2841" t="s">
        <v>55</v>
      </c>
      <c r="F2841" t="s">
        <v>3189</v>
      </c>
      <c r="G2841">
        <v>1</v>
      </c>
      <c r="H2841" t="s">
        <v>56</v>
      </c>
      <c r="I2841" t="s">
        <v>57</v>
      </c>
      <c r="K2841" t="s">
        <v>771</v>
      </c>
      <c r="L2841" t="s">
        <v>772</v>
      </c>
      <c r="M2841" t="s">
        <v>223</v>
      </c>
      <c r="P2841" t="s">
        <v>224</v>
      </c>
      <c r="R2841" t="s">
        <v>183</v>
      </c>
      <c r="S2841" t="s">
        <v>64</v>
      </c>
      <c r="T2841">
        <v>246.7</v>
      </c>
      <c r="U2841">
        <v>242</v>
      </c>
      <c r="V2841">
        <f t="shared" si="88"/>
        <v>244.35</v>
      </c>
      <c r="W2841">
        <f t="shared" si="89"/>
        <v>4.6999999999999886</v>
      </c>
      <c r="X2841">
        <v>6.7258329999999997</v>
      </c>
      <c r="Y2841">
        <v>51.968333999999999</v>
      </c>
      <c r="Z2841" t="s">
        <v>1512</v>
      </c>
      <c r="AA2841" t="s">
        <v>3191</v>
      </c>
      <c r="AB2841" t="s">
        <v>3192</v>
      </c>
      <c r="AD2841" t="s">
        <v>3193</v>
      </c>
      <c r="AE2841" t="s">
        <v>1378</v>
      </c>
      <c r="AF2841" t="s">
        <v>3194</v>
      </c>
      <c r="AH2841" t="s">
        <v>72</v>
      </c>
      <c r="AI2841" t="s">
        <v>4105</v>
      </c>
      <c r="AJ2841">
        <v>2003</v>
      </c>
      <c r="AK2841" t="s">
        <v>3196</v>
      </c>
      <c r="AM2841" t="s">
        <v>3197</v>
      </c>
      <c r="AN2841" t="s">
        <v>192</v>
      </c>
      <c r="AO2841" t="s">
        <v>77</v>
      </c>
      <c r="AP2841" t="s">
        <v>78</v>
      </c>
      <c r="AQ2841" t="s">
        <v>3198</v>
      </c>
      <c r="AR2841" t="s">
        <v>80</v>
      </c>
      <c r="AS2841">
        <v>315</v>
      </c>
      <c r="AT2841" t="s">
        <v>81</v>
      </c>
      <c r="AU2841">
        <v>26.16</v>
      </c>
      <c r="AV2841">
        <v>30.17</v>
      </c>
      <c r="AW2841" t="s">
        <v>82</v>
      </c>
      <c r="AX2841">
        <v>315</v>
      </c>
      <c r="AY2841" t="s">
        <v>81</v>
      </c>
      <c r="AZ2841">
        <v>16.62</v>
      </c>
      <c r="BA2841">
        <v>16.920000000000002</v>
      </c>
      <c r="BB2841" t="s">
        <v>83</v>
      </c>
    </row>
    <row r="2842" spans="1:54" x14ac:dyDescent="0.4">
      <c r="A2842">
        <v>1094699</v>
      </c>
      <c r="D2842" t="s">
        <v>3188</v>
      </c>
      <c r="E2842" t="s">
        <v>55</v>
      </c>
      <c r="F2842" t="s">
        <v>3189</v>
      </c>
      <c r="G2842">
        <v>1</v>
      </c>
      <c r="H2842" t="s">
        <v>56</v>
      </c>
      <c r="I2842" t="s">
        <v>57</v>
      </c>
      <c r="K2842" t="s">
        <v>771</v>
      </c>
      <c r="L2842" t="s">
        <v>772</v>
      </c>
      <c r="M2842" t="s">
        <v>223</v>
      </c>
      <c r="P2842" t="s">
        <v>224</v>
      </c>
      <c r="R2842" t="s">
        <v>183</v>
      </c>
      <c r="S2842" t="s">
        <v>64</v>
      </c>
      <c r="T2842">
        <v>246.7</v>
      </c>
      <c r="U2842">
        <v>242</v>
      </c>
      <c r="V2842">
        <f t="shared" si="88"/>
        <v>244.35</v>
      </c>
      <c r="W2842">
        <f t="shared" si="89"/>
        <v>4.6999999999999886</v>
      </c>
      <c r="X2842">
        <v>6.7258329999999997</v>
      </c>
      <c r="Y2842">
        <v>51.968333999999999</v>
      </c>
      <c r="Z2842" t="s">
        <v>1512</v>
      </c>
      <c r="AA2842" t="s">
        <v>3191</v>
      </c>
      <c r="AB2842" t="s">
        <v>3192</v>
      </c>
      <c r="AD2842" t="s">
        <v>3193</v>
      </c>
      <c r="AE2842" t="s">
        <v>1378</v>
      </c>
      <c r="AF2842" t="s">
        <v>3194</v>
      </c>
      <c r="AH2842" t="s">
        <v>72</v>
      </c>
      <c r="AI2842" t="s">
        <v>4105</v>
      </c>
      <c r="AJ2842">
        <v>2003</v>
      </c>
      <c r="AK2842" t="s">
        <v>3196</v>
      </c>
      <c r="AM2842" t="s">
        <v>3197</v>
      </c>
      <c r="AN2842" t="s">
        <v>192</v>
      </c>
      <c r="AO2842" t="s">
        <v>77</v>
      </c>
      <c r="AP2842" t="s">
        <v>78</v>
      </c>
      <c r="AQ2842" t="s">
        <v>3198</v>
      </c>
      <c r="AR2842" t="s">
        <v>80</v>
      </c>
      <c r="AS2842">
        <v>315</v>
      </c>
      <c r="AT2842" t="s">
        <v>81</v>
      </c>
      <c r="AU2842">
        <v>26.16</v>
      </c>
      <c r="AV2842">
        <v>30.17</v>
      </c>
      <c r="AW2842" t="s">
        <v>82</v>
      </c>
      <c r="AX2842">
        <v>315</v>
      </c>
      <c r="AY2842" t="s">
        <v>81</v>
      </c>
      <c r="AZ2842">
        <v>16.62</v>
      </c>
      <c r="BA2842">
        <v>16.920000000000002</v>
      </c>
      <c r="BB2842" t="s">
        <v>83</v>
      </c>
    </row>
    <row r="2843" spans="1:54" x14ac:dyDescent="0.4">
      <c r="A2843">
        <v>1094699</v>
      </c>
      <c r="D2843" t="s">
        <v>3188</v>
      </c>
      <c r="E2843" t="s">
        <v>55</v>
      </c>
      <c r="F2843" t="s">
        <v>3189</v>
      </c>
      <c r="G2843">
        <v>1</v>
      </c>
      <c r="H2843" t="s">
        <v>56</v>
      </c>
      <c r="I2843" t="s">
        <v>57</v>
      </c>
      <c r="K2843" t="s">
        <v>771</v>
      </c>
      <c r="L2843" t="s">
        <v>772</v>
      </c>
      <c r="M2843" t="s">
        <v>223</v>
      </c>
      <c r="P2843" t="s">
        <v>224</v>
      </c>
      <c r="R2843" t="s">
        <v>183</v>
      </c>
      <c r="S2843" t="s">
        <v>64</v>
      </c>
      <c r="T2843">
        <v>246.7</v>
      </c>
      <c r="U2843">
        <v>242</v>
      </c>
      <c r="V2843">
        <f t="shared" si="88"/>
        <v>244.35</v>
      </c>
      <c r="W2843">
        <f t="shared" si="89"/>
        <v>4.6999999999999886</v>
      </c>
      <c r="X2843">
        <v>6.7258329999999997</v>
      </c>
      <c r="Y2843">
        <v>51.968333999999999</v>
      </c>
      <c r="Z2843" t="s">
        <v>1512</v>
      </c>
      <c r="AA2843" t="s">
        <v>3191</v>
      </c>
      <c r="AB2843" t="s">
        <v>3192</v>
      </c>
      <c r="AD2843" t="s">
        <v>3193</v>
      </c>
      <c r="AE2843" t="s">
        <v>1378</v>
      </c>
      <c r="AF2843" t="s">
        <v>3194</v>
      </c>
      <c r="AH2843" t="s">
        <v>72</v>
      </c>
      <c r="AI2843" t="s">
        <v>4105</v>
      </c>
      <c r="AJ2843">
        <v>2003</v>
      </c>
      <c r="AK2843" t="s">
        <v>3196</v>
      </c>
      <c r="AM2843" t="s">
        <v>3197</v>
      </c>
      <c r="AN2843" t="s">
        <v>192</v>
      </c>
      <c r="AO2843" t="s">
        <v>77</v>
      </c>
      <c r="AP2843" t="s">
        <v>78</v>
      </c>
      <c r="AQ2843" t="s">
        <v>3198</v>
      </c>
      <c r="AR2843" t="s">
        <v>80</v>
      </c>
      <c r="AS2843">
        <v>315</v>
      </c>
      <c r="AT2843" t="s">
        <v>81</v>
      </c>
      <c r="AU2843">
        <v>26.16</v>
      </c>
      <c r="AV2843">
        <v>30.17</v>
      </c>
      <c r="AW2843" t="s">
        <v>82</v>
      </c>
      <c r="AX2843">
        <v>315</v>
      </c>
      <c r="AY2843" t="s">
        <v>81</v>
      </c>
      <c r="AZ2843">
        <v>16.62</v>
      </c>
      <c r="BA2843">
        <v>16.920000000000002</v>
      </c>
      <c r="BB2843" t="s">
        <v>83</v>
      </c>
    </row>
    <row r="2844" spans="1:54" x14ac:dyDescent="0.4">
      <c r="A2844">
        <v>1094700</v>
      </c>
      <c r="D2844" t="s">
        <v>54</v>
      </c>
      <c r="G2844">
        <v>1</v>
      </c>
      <c r="H2844" t="s">
        <v>84</v>
      </c>
      <c r="I2844" t="s">
        <v>57</v>
      </c>
      <c r="K2844" t="s">
        <v>141</v>
      </c>
      <c r="L2844" t="s">
        <v>529</v>
      </c>
      <c r="M2844" t="s">
        <v>223</v>
      </c>
      <c r="P2844" t="s">
        <v>224</v>
      </c>
      <c r="R2844" t="s">
        <v>183</v>
      </c>
      <c r="S2844" t="s">
        <v>64</v>
      </c>
      <c r="T2844">
        <v>246.7</v>
      </c>
      <c r="U2844">
        <v>242</v>
      </c>
      <c r="V2844">
        <f t="shared" si="88"/>
        <v>244.35</v>
      </c>
      <c r="W2844">
        <f t="shared" si="89"/>
        <v>4.6999999999999886</v>
      </c>
      <c r="X2844">
        <v>18.966667000000001</v>
      </c>
      <c r="Y2844">
        <v>50.299999</v>
      </c>
      <c r="Z2844" t="s">
        <v>1004</v>
      </c>
      <c r="AA2844" t="s">
        <v>697</v>
      </c>
      <c r="AD2844" t="s">
        <v>2329</v>
      </c>
      <c r="AF2844" t="s">
        <v>2330</v>
      </c>
      <c r="AH2844" t="s">
        <v>72</v>
      </c>
      <c r="AI2844" t="s">
        <v>2013</v>
      </c>
      <c r="AJ2844">
        <v>1997</v>
      </c>
      <c r="AK2844" t="s">
        <v>2332</v>
      </c>
      <c r="AN2844" t="s">
        <v>114</v>
      </c>
      <c r="AO2844" t="s">
        <v>160</v>
      </c>
      <c r="AP2844" t="s">
        <v>78</v>
      </c>
      <c r="AQ2844" t="s">
        <v>2333</v>
      </c>
      <c r="AR2844" t="s">
        <v>80</v>
      </c>
      <c r="AS2844">
        <v>305</v>
      </c>
      <c r="AT2844" t="s">
        <v>81</v>
      </c>
      <c r="AU2844">
        <v>35.25</v>
      </c>
      <c r="AV2844">
        <v>30.52</v>
      </c>
      <c r="AW2844" t="s">
        <v>82</v>
      </c>
      <c r="AX2844">
        <v>305</v>
      </c>
      <c r="AY2844" t="s">
        <v>81</v>
      </c>
      <c r="AZ2844">
        <v>24.67</v>
      </c>
      <c r="BA2844">
        <v>18.64</v>
      </c>
      <c r="BB2844" t="s">
        <v>83</v>
      </c>
    </row>
    <row r="2845" spans="1:54" x14ac:dyDescent="0.4">
      <c r="A2845">
        <v>1094703</v>
      </c>
      <c r="D2845" t="s">
        <v>54</v>
      </c>
      <c r="G2845">
        <v>1</v>
      </c>
      <c r="H2845" t="s">
        <v>84</v>
      </c>
      <c r="I2845" t="s">
        <v>57</v>
      </c>
      <c r="K2845" t="s">
        <v>141</v>
      </c>
      <c r="L2845" t="s">
        <v>529</v>
      </c>
      <c r="M2845" t="s">
        <v>223</v>
      </c>
      <c r="P2845" t="s">
        <v>224</v>
      </c>
      <c r="R2845" t="s">
        <v>183</v>
      </c>
      <c r="S2845" t="s">
        <v>64</v>
      </c>
      <c r="T2845">
        <v>246.7</v>
      </c>
      <c r="U2845">
        <v>242</v>
      </c>
      <c r="V2845">
        <f t="shared" si="88"/>
        <v>244.35</v>
      </c>
      <c r="W2845">
        <f t="shared" si="89"/>
        <v>4.6999999999999886</v>
      </c>
      <c r="X2845">
        <v>18.966667000000001</v>
      </c>
      <c r="Y2845">
        <v>50.299999</v>
      </c>
      <c r="Z2845" t="s">
        <v>1004</v>
      </c>
      <c r="AA2845" t="s">
        <v>697</v>
      </c>
      <c r="AD2845" t="s">
        <v>2329</v>
      </c>
      <c r="AF2845" t="s">
        <v>2330</v>
      </c>
      <c r="AH2845" t="s">
        <v>72</v>
      </c>
      <c r="AI2845" t="s">
        <v>2288</v>
      </c>
      <c r="AJ2845">
        <v>1884</v>
      </c>
      <c r="AK2845" t="s">
        <v>2332</v>
      </c>
      <c r="AN2845" t="s">
        <v>114</v>
      </c>
      <c r="AO2845" t="s">
        <v>160</v>
      </c>
      <c r="AP2845" t="s">
        <v>78</v>
      </c>
      <c r="AQ2845" t="s">
        <v>2333</v>
      </c>
      <c r="AR2845" t="s">
        <v>80</v>
      </c>
      <c r="AS2845">
        <v>305</v>
      </c>
      <c r="AT2845" t="s">
        <v>81</v>
      </c>
      <c r="AU2845">
        <v>35.25</v>
      </c>
      <c r="AV2845">
        <v>30.52</v>
      </c>
      <c r="AW2845" t="s">
        <v>82</v>
      </c>
      <c r="AX2845">
        <v>305</v>
      </c>
      <c r="AY2845" t="s">
        <v>81</v>
      </c>
      <c r="AZ2845">
        <v>24.67</v>
      </c>
      <c r="BA2845">
        <v>18.64</v>
      </c>
      <c r="BB2845" t="s">
        <v>83</v>
      </c>
    </row>
    <row r="2846" spans="1:54" x14ac:dyDescent="0.4">
      <c r="A2846">
        <v>1094704</v>
      </c>
      <c r="D2846" t="s">
        <v>54</v>
      </c>
      <c r="G2846">
        <v>1</v>
      </c>
      <c r="H2846" t="s">
        <v>84</v>
      </c>
      <c r="I2846" t="s">
        <v>57</v>
      </c>
      <c r="K2846" t="s">
        <v>141</v>
      </c>
      <c r="L2846" t="s">
        <v>529</v>
      </c>
      <c r="M2846" t="s">
        <v>223</v>
      </c>
      <c r="P2846" t="s">
        <v>224</v>
      </c>
      <c r="R2846" t="s">
        <v>183</v>
      </c>
      <c r="S2846" t="s">
        <v>64</v>
      </c>
      <c r="T2846">
        <v>246.7</v>
      </c>
      <c r="U2846">
        <v>242</v>
      </c>
      <c r="V2846">
        <f t="shared" si="88"/>
        <v>244.35</v>
      </c>
      <c r="W2846">
        <f t="shared" si="89"/>
        <v>4.6999999999999886</v>
      </c>
      <c r="X2846">
        <v>18.075831999999998</v>
      </c>
      <c r="Y2846">
        <v>50.483333999999999</v>
      </c>
      <c r="Z2846" t="s">
        <v>520</v>
      </c>
      <c r="AA2846" t="s">
        <v>697</v>
      </c>
      <c r="AD2846" t="s">
        <v>3596</v>
      </c>
      <c r="AH2846" t="s">
        <v>72</v>
      </c>
      <c r="AI2846" t="s">
        <v>2013</v>
      </c>
      <c r="AJ2846">
        <v>1997</v>
      </c>
      <c r="AK2846" t="s">
        <v>4109</v>
      </c>
      <c r="AM2846" t="s">
        <v>4110</v>
      </c>
      <c r="AN2846" t="s">
        <v>114</v>
      </c>
      <c r="AO2846" t="s">
        <v>77</v>
      </c>
      <c r="AP2846" t="s">
        <v>115</v>
      </c>
      <c r="AR2846" t="s">
        <v>80</v>
      </c>
      <c r="AS2846">
        <v>305</v>
      </c>
      <c r="AT2846" t="s">
        <v>81</v>
      </c>
      <c r="AU2846">
        <v>34.549999999999997</v>
      </c>
      <c r="AV2846">
        <v>30.52</v>
      </c>
      <c r="AW2846" t="s">
        <v>82</v>
      </c>
      <c r="AX2846">
        <v>305</v>
      </c>
      <c r="AY2846" t="s">
        <v>81</v>
      </c>
      <c r="AZ2846">
        <v>24.05</v>
      </c>
      <c r="BA2846">
        <v>18.53</v>
      </c>
      <c r="BB2846" t="s">
        <v>83</v>
      </c>
    </row>
    <row r="2847" spans="1:54" x14ac:dyDescent="0.4">
      <c r="A2847">
        <v>1094707</v>
      </c>
      <c r="D2847" t="s">
        <v>54</v>
      </c>
      <c r="G2847">
        <v>1</v>
      </c>
      <c r="H2847" t="s">
        <v>56</v>
      </c>
      <c r="I2847" t="s">
        <v>57</v>
      </c>
      <c r="K2847" t="s">
        <v>141</v>
      </c>
      <c r="L2847" t="s">
        <v>529</v>
      </c>
      <c r="M2847" t="s">
        <v>223</v>
      </c>
      <c r="P2847" t="s">
        <v>224</v>
      </c>
      <c r="R2847" t="s">
        <v>183</v>
      </c>
      <c r="S2847" t="s">
        <v>64</v>
      </c>
      <c r="T2847">
        <v>246.7</v>
      </c>
      <c r="U2847">
        <v>242</v>
      </c>
      <c r="V2847">
        <f t="shared" si="88"/>
        <v>244.35</v>
      </c>
      <c r="W2847">
        <f t="shared" si="89"/>
        <v>4.6999999999999886</v>
      </c>
      <c r="X2847">
        <v>10.211111000000001</v>
      </c>
      <c r="Y2847">
        <v>47.186667999999997</v>
      </c>
      <c r="Z2847" t="s">
        <v>520</v>
      </c>
      <c r="AA2847" t="s">
        <v>712</v>
      </c>
      <c r="AB2847" t="s">
        <v>4111</v>
      </c>
      <c r="AH2847" t="s">
        <v>72</v>
      </c>
      <c r="AI2847" t="s">
        <v>2013</v>
      </c>
      <c r="AJ2847">
        <v>1997</v>
      </c>
      <c r="AK2847" t="s">
        <v>4112</v>
      </c>
      <c r="AN2847" t="s">
        <v>192</v>
      </c>
      <c r="AO2847" t="s">
        <v>77</v>
      </c>
      <c r="AP2847" t="s">
        <v>115</v>
      </c>
      <c r="AR2847" t="s">
        <v>80</v>
      </c>
      <c r="AS2847">
        <v>307</v>
      </c>
      <c r="AT2847" t="s">
        <v>81</v>
      </c>
      <c r="AU2847">
        <v>35.880000000000003</v>
      </c>
      <c r="AV2847">
        <v>16.45</v>
      </c>
      <c r="AW2847" t="s">
        <v>82</v>
      </c>
      <c r="AX2847">
        <v>307</v>
      </c>
      <c r="AY2847" t="s">
        <v>81</v>
      </c>
      <c r="AZ2847">
        <v>23.56</v>
      </c>
      <c r="BA2847">
        <v>7.62</v>
      </c>
      <c r="BB2847" t="s">
        <v>83</v>
      </c>
    </row>
    <row r="2848" spans="1:54" x14ac:dyDescent="0.4">
      <c r="A2848">
        <v>1094708</v>
      </c>
      <c r="D2848" t="s">
        <v>54</v>
      </c>
      <c r="G2848">
        <v>2</v>
      </c>
      <c r="H2848" t="s">
        <v>84</v>
      </c>
      <c r="I2848" t="s">
        <v>57</v>
      </c>
      <c r="K2848" t="s">
        <v>141</v>
      </c>
      <c r="L2848" t="s">
        <v>529</v>
      </c>
      <c r="M2848" t="s">
        <v>223</v>
      </c>
      <c r="P2848" t="s">
        <v>224</v>
      </c>
      <c r="R2848" t="s">
        <v>183</v>
      </c>
      <c r="S2848" t="s">
        <v>64</v>
      </c>
      <c r="T2848">
        <v>246.7</v>
      </c>
      <c r="U2848">
        <v>242</v>
      </c>
      <c r="V2848">
        <f t="shared" si="88"/>
        <v>244.35</v>
      </c>
      <c r="W2848">
        <f t="shared" si="89"/>
        <v>4.6999999999999886</v>
      </c>
      <c r="X2848">
        <v>13.783333000000001</v>
      </c>
      <c r="Y2848">
        <v>52.466667000000001</v>
      </c>
      <c r="Z2848" t="s">
        <v>520</v>
      </c>
      <c r="AA2848" t="s">
        <v>211</v>
      </c>
      <c r="AD2848" t="s">
        <v>3756</v>
      </c>
      <c r="AE2848" t="s">
        <v>3757</v>
      </c>
      <c r="AH2848" t="s">
        <v>11</v>
      </c>
      <c r="AI2848" t="s">
        <v>2013</v>
      </c>
      <c r="AJ2848">
        <v>1997</v>
      </c>
      <c r="AK2848" t="s">
        <v>4113</v>
      </c>
      <c r="AM2848" t="s">
        <v>4114</v>
      </c>
      <c r="AN2848" t="s">
        <v>192</v>
      </c>
      <c r="AO2848" t="s">
        <v>77</v>
      </c>
      <c r="AP2848" t="s">
        <v>115</v>
      </c>
      <c r="AR2848" t="s">
        <v>80</v>
      </c>
      <c r="AS2848">
        <v>315</v>
      </c>
      <c r="AT2848" t="s">
        <v>81</v>
      </c>
      <c r="AU2848">
        <v>30.91</v>
      </c>
      <c r="AV2848">
        <v>31.68</v>
      </c>
      <c r="AW2848" t="s">
        <v>82</v>
      </c>
      <c r="AX2848">
        <v>315</v>
      </c>
      <c r="AY2848" t="s">
        <v>81</v>
      </c>
      <c r="AZ2848">
        <v>20.59</v>
      </c>
      <c r="BA2848">
        <v>19.100000000000001</v>
      </c>
      <c r="BB2848" t="s">
        <v>83</v>
      </c>
    </row>
    <row r="2849" spans="1:54" x14ac:dyDescent="0.4">
      <c r="A2849">
        <v>1094760</v>
      </c>
      <c r="D2849" t="s">
        <v>54</v>
      </c>
      <c r="I2849" t="s">
        <v>57</v>
      </c>
      <c r="K2849" t="s">
        <v>771</v>
      </c>
      <c r="L2849" t="s">
        <v>4115</v>
      </c>
      <c r="M2849" t="s">
        <v>223</v>
      </c>
      <c r="P2849" t="s">
        <v>224</v>
      </c>
      <c r="R2849" t="s">
        <v>183</v>
      </c>
      <c r="S2849" t="s">
        <v>64</v>
      </c>
      <c r="T2849">
        <v>246.7</v>
      </c>
      <c r="U2849">
        <v>242</v>
      </c>
      <c r="V2849">
        <f t="shared" si="88"/>
        <v>244.35</v>
      </c>
      <c r="W2849">
        <f t="shared" si="89"/>
        <v>4.6999999999999886</v>
      </c>
      <c r="X2849">
        <v>18.075831999999998</v>
      </c>
      <c r="Y2849">
        <v>50.483333999999999</v>
      </c>
      <c r="Z2849" t="s">
        <v>520</v>
      </c>
      <c r="AA2849" t="s">
        <v>697</v>
      </c>
      <c r="AD2849" t="s">
        <v>3596</v>
      </c>
      <c r="AH2849" t="s">
        <v>11</v>
      </c>
      <c r="AI2849" t="s">
        <v>2013</v>
      </c>
      <c r="AJ2849">
        <v>1997</v>
      </c>
      <c r="AK2849" t="s">
        <v>4109</v>
      </c>
      <c r="AM2849" t="s">
        <v>4110</v>
      </c>
      <c r="AN2849" t="s">
        <v>114</v>
      </c>
      <c r="AO2849" t="s">
        <v>77</v>
      </c>
      <c r="AP2849" t="s">
        <v>115</v>
      </c>
      <c r="AR2849" t="s">
        <v>80</v>
      </c>
      <c r="AS2849">
        <v>305</v>
      </c>
      <c r="AT2849" t="s">
        <v>81</v>
      </c>
      <c r="AU2849">
        <v>34.549999999999997</v>
      </c>
      <c r="AV2849">
        <v>30.52</v>
      </c>
      <c r="AW2849" t="s">
        <v>82</v>
      </c>
      <c r="AX2849">
        <v>305</v>
      </c>
      <c r="AY2849" t="s">
        <v>81</v>
      </c>
      <c r="AZ2849">
        <v>24.05</v>
      </c>
      <c r="BA2849">
        <v>18.53</v>
      </c>
      <c r="BB2849" t="s">
        <v>83</v>
      </c>
    </row>
    <row r="2850" spans="1:54" x14ac:dyDescent="0.4">
      <c r="A2850">
        <v>1094761</v>
      </c>
      <c r="D2850" t="s">
        <v>54</v>
      </c>
      <c r="G2850">
        <v>2</v>
      </c>
      <c r="H2850" t="s">
        <v>84</v>
      </c>
      <c r="I2850" t="s">
        <v>57</v>
      </c>
      <c r="K2850" t="s">
        <v>771</v>
      </c>
      <c r="L2850" t="s">
        <v>4115</v>
      </c>
      <c r="M2850" t="s">
        <v>223</v>
      </c>
      <c r="P2850" t="s">
        <v>224</v>
      </c>
      <c r="R2850" t="s">
        <v>183</v>
      </c>
      <c r="S2850" t="s">
        <v>64</v>
      </c>
      <c r="T2850">
        <v>246.7</v>
      </c>
      <c r="U2850">
        <v>242</v>
      </c>
      <c r="V2850">
        <f t="shared" si="88"/>
        <v>244.35</v>
      </c>
      <c r="W2850">
        <f t="shared" si="89"/>
        <v>4.6999999999999886</v>
      </c>
      <c r="X2850">
        <v>18.966667000000001</v>
      </c>
      <c r="Y2850">
        <v>50.299999</v>
      </c>
      <c r="Z2850" t="s">
        <v>1004</v>
      </c>
      <c r="AA2850" t="s">
        <v>697</v>
      </c>
      <c r="AD2850" t="s">
        <v>2329</v>
      </c>
      <c r="AF2850" t="s">
        <v>2330</v>
      </c>
      <c r="AH2850" t="s">
        <v>72</v>
      </c>
      <c r="AI2850" t="s">
        <v>2013</v>
      </c>
      <c r="AJ2850">
        <v>1997</v>
      </c>
      <c r="AK2850" t="s">
        <v>2332</v>
      </c>
      <c r="AN2850" t="s">
        <v>114</v>
      </c>
      <c r="AO2850" t="s">
        <v>160</v>
      </c>
      <c r="AP2850" t="s">
        <v>78</v>
      </c>
      <c r="AQ2850" t="s">
        <v>2333</v>
      </c>
      <c r="AR2850" t="s">
        <v>80</v>
      </c>
      <c r="AS2850">
        <v>305</v>
      </c>
      <c r="AT2850" t="s">
        <v>81</v>
      </c>
      <c r="AU2850">
        <v>35.25</v>
      </c>
      <c r="AV2850">
        <v>30.52</v>
      </c>
      <c r="AW2850" t="s">
        <v>82</v>
      </c>
      <c r="AX2850">
        <v>305</v>
      </c>
      <c r="AY2850" t="s">
        <v>81</v>
      </c>
      <c r="AZ2850">
        <v>24.67</v>
      </c>
      <c r="BA2850">
        <v>18.64</v>
      </c>
      <c r="BB2850" t="s">
        <v>83</v>
      </c>
    </row>
    <row r="2851" spans="1:54" x14ac:dyDescent="0.4">
      <c r="A2851">
        <v>1094788</v>
      </c>
      <c r="D2851" t="s">
        <v>54</v>
      </c>
      <c r="G2851">
        <v>1</v>
      </c>
      <c r="H2851" t="s">
        <v>84</v>
      </c>
      <c r="I2851" t="s">
        <v>57</v>
      </c>
      <c r="K2851" t="s">
        <v>141</v>
      </c>
      <c r="L2851" t="s">
        <v>529</v>
      </c>
      <c r="M2851" t="s">
        <v>223</v>
      </c>
      <c r="P2851" t="s">
        <v>224</v>
      </c>
      <c r="R2851" t="s">
        <v>183</v>
      </c>
      <c r="S2851" t="s">
        <v>64</v>
      </c>
      <c r="T2851">
        <v>246.7</v>
      </c>
      <c r="U2851">
        <v>242</v>
      </c>
      <c r="V2851">
        <f t="shared" si="88"/>
        <v>244.35</v>
      </c>
      <c r="W2851">
        <f t="shared" si="89"/>
        <v>4.6999999999999886</v>
      </c>
      <c r="X2851">
        <v>18.075831999999998</v>
      </c>
      <c r="Y2851">
        <v>50.483333999999999</v>
      </c>
      <c r="Z2851" t="s">
        <v>520</v>
      </c>
      <c r="AA2851" t="s">
        <v>697</v>
      </c>
      <c r="AD2851" t="s">
        <v>3596</v>
      </c>
      <c r="AH2851" t="s">
        <v>11</v>
      </c>
      <c r="AI2851" t="s">
        <v>2013</v>
      </c>
      <c r="AJ2851">
        <v>1994</v>
      </c>
      <c r="AK2851" t="s">
        <v>4109</v>
      </c>
      <c r="AM2851" t="s">
        <v>4110</v>
      </c>
      <c r="AN2851" t="s">
        <v>114</v>
      </c>
      <c r="AO2851" t="s">
        <v>77</v>
      </c>
      <c r="AP2851" t="s">
        <v>115</v>
      </c>
      <c r="AR2851" t="s">
        <v>80</v>
      </c>
      <c r="AS2851">
        <v>305</v>
      </c>
      <c r="AT2851" t="s">
        <v>81</v>
      </c>
      <c r="AU2851">
        <v>34.549999999999997</v>
      </c>
      <c r="AV2851">
        <v>30.52</v>
      </c>
      <c r="AW2851" t="s">
        <v>82</v>
      </c>
      <c r="AX2851">
        <v>305</v>
      </c>
      <c r="AY2851" t="s">
        <v>81</v>
      </c>
      <c r="AZ2851">
        <v>24.05</v>
      </c>
      <c r="BA2851">
        <v>18.53</v>
      </c>
      <c r="BB2851" t="s">
        <v>83</v>
      </c>
    </row>
    <row r="2852" spans="1:54" x14ac:dyDescent="0.4">
      <c r="A2852">
        <v>1094793</v>
      </c>
      <c r="D2852" t="s">
        <v>54</v>
      </c>
      <c r="G2852">
        <v>1</v>
      </c>
      <c r="H2852" t="s">
        <v>84</v>
      </c>
      <c r="I2852" t="s">
        <v>57</v>
      </c>
      <c r="K2852" t="s">
        <v>771</v>
      </c>
      <c r="L2852" t="s">
        <v>772</v>
      </c>
      <c r="M2852" t="s">
        <v>223</v>
      </c>
      <c r="P2852" t="s">
        <v>224</v>
      </c>
      <c r="R2852" t="s">
        <v>183</v>
      </c>
      <c r="S2852" t="s">
        <v>64</v>
      </c>
      <c r="T2852">
        <v>246.7</v>
      </c>
      <c r="U2852">
        <v>242</v>
      </c>
      <c r="V2852">
        <f t="shared" si="88"/>
        <v>244.35</v>
      </c>
      <c r="W2852">
        <f t="shared" si="89"/>
        <v>4.6999999999999886</v>
      </c>
      <c r="X2852">
        <v>13.783333000000001</v>
      </c>
      <c r="Y2852">
        <v>52.466667000000001</v>
      </c>
      <c r="Z2852" t="s">
        <v>520</v>
      </c>
      <c r="AA2852" t="s">
        <v>211</v>
      </c>
      <c r="AE2852" t="s">
        <v>1378</v>
      </c>
      <c r="AH2852" t="s">
        <v>11</v>
      </c>
      <c r="AI2852" t="s">
        <v>2013</v>
      </c>
      <c r="AJ2852">
        <v>1994</v>
      </c>
      <c r="AK2852" t="s">
        <v>4143</v>
      </c>
      <c r="AM2852" t="s">
        <v>4114</v>
      </c>
      <c r="AN2852" t="s">
        <v>192</v>
      </c>
      <c r="AO2852" t="s">
        <v>77</v>
      </c>
      <c r="AP2852" t="s">
        <v>115</v>
      </c>
      <c r="AR2852" t="s">
        <v>80</v>
      </c>
      <c r="AS2852">
        <v>315</v>
      </c>
      <c r="AT2852" t="s">
        <v>81</v>
      </c>
      <c r="AU2852">
        <v>30.91</v>
      </c>
      <c r="AV2852">
        <v>31.68</v>
      </c>
      <c r="AW2852" t="s">
        <v>82</v>
      </c>
      <c r="AX2852">
        <v>315</v>
      </c>
      <c r="AY2852" t="s">
        <v>81</v>
      </c>
      <c r="AZ2852">
        <v>20.59</v>
      </c>
      <c r="BA2852">
        <v>19.100000000000001</v>
      </c>
      <c r="BB2852" t="s">
        <v>83</v>
      </c>
    </row>
    <row r="2853" spans="1:54" x14ac:dyDescent="0.4">
      <c r="A2853">
        <v>1094796</v>
      </c>
      <c r="D2853" t="s">
        <v>54</v>
      </c>
      <c r="G2853">
        <v>1</v>
      </c>
      <c r="H2853" t="s">
        <v>84</v>
      </c>
      <c r="I2853" t="s">
        <v>57</v>
      </c>
      <c r="K2853" t="s">
        <v>771</v>
      </c>
      <c r="L2853" t="s">
        <v>772</v>
      </c>
      <c r="M2853" t="s">
        <v>223</v>
      </c>
      <c r="P2853" t="s">
        <v>224</v>
      </c>
      <c r="R2853" t="s">
        <v>183</v>
      </c>
      <c r="S2853" t="s">
        <v>64</v>
      </c>
      <c r="T2853">
        <v>246.7</v>
      </c>
      <c r="U2853">
        <v>242</v>
      </c>
      <c r="V2853">
        <f t="shared" si="88"/>
        <v>244.35</v>
      </c>
      <c r="W2853">
        <f t="shared" si="89"/>
        <v>4.6999999999999886</v>
      </c>
      <c r="X2853">
        <v>11.64</v>
      </c>
      <c r="Y2853">
        <v>49.985557999999997</v>
      </c>
      <c r="Z2853" t="s">
        <v>520</v>
      </c>
      <c r="AA2853" t="s">
        <v>211</v>
      </c>
      <c r="AE2853" t="s">
        <v>1378</v>
      </c>
      <c r="AH2853" t="s">
        <v>11</v>
      </c>
      <c r="AI2853" t="s">
        <v>2013</v>
      </c>
      <c r="AJ2853">
        <v>1994</v>
      </c>
      <c r="AK2853" t="s">
        <v>4012</v>
      </c>
      <c r="AN2853" t="s">
        <v>341</v>
      </c>
      <c r="AO2853" t="s">
        <v>77</v>
      </c>
      <c r="AQ2853" t="s">
        <v>4013</v>
      </c>
      <c r="AR2853" t="s">
        <v>80</v>
      </c>
      <c r="AS2853">
        <v>305</v>
      </c>
      <c r="AT2853" t="s">
        <v>81</v>
      </c>
      <c r="AU2853">
        <v>30.14</v>
      </c>
      <c r="AV2853">
        <v>28.94</v>
      </c>
      <c r="AW2853" t="s">
        <v>82</v>
      </c>
      <c r="AX2853">
        <v>305</v>
      </c>
      <c r="AY2853" t="s">
        <v>81</v>
      </c>
      <c r="AZ2853">
        <v>20.399999999999999</v>
      </c>
      <c r="BA2853">
        <v>16.28</v>
      </c>
      <c r="BB2853" t="s">
        <v>83</v>
      </c>
    </row>
    <row r="2854" spans="1:54" x14ac:dyDescent="0.4">
      <c r="A2854">
        <v>1094846</v>
      </c>
      <c r="D2854" t="s">
        <v>54</v>
      </c>
      <c r="G2854">
        <v>1</v>
      </c>
      <c r="H2854" t="s">
        <v>84</v>
      </c>
      <c r="I2854" t="s">
        <v>57</v>
      </c>
      <c r="K2854" t="s">
        <v>771</v>
      </c>
      <c r="L2854" t="s">
        <v>772</v>
      </c>
      <c r="M2854" t="s">
        <v>223</v>
      </c>
      <c r="P2854" t="s">
        <v>224</v>
      </c>
      <c r="R2854" t="s">
        <v>183</v>
      </c>
      <c r="S2854" t="s">
        <v>64</v>
      </c>
      <c r="T2854">
        <v>246.7</v>
      </c>
      <c r="U2854">
        <v>242</v>
      </c>
      <c r="V2854">
        <f t="shared" si="88"/>
        <v>244.35</v>
      </c>
      <c r="W2854">
        <f t="shared" si="89"/>
        <v>4.6999999999999886</v>
      </c>
      <c r="X2854">
        <v>11.64</v>
      </c>
      <c r="Y2854">
        <v>49.985557999999997</v>
      </c>
      <c r="Z2854" t="s">
        <v>520</v>
      </c>
      <c r="AA2854" t="s">
        <v>211</v>
      </c>
      <c r="AE2854" t="s">
        <v>1378</v>
      </c>
      <c r="AH2854" t="s">
        <v>72</v>
      </c>
      <c r="AI2854" t="s">
        <v>4147</v>
      </c>
      <c r="AJ2854">
        <v>1996</v>
      </c>
      <c r="AK2854" t="s">
        <v>4012</v>
      </c>
      <c r="AN2854" t="s">
        <v>341</v>
      </c>
      <c r="AO2854" t="s">
        <v>77</v>
      </c>
      <c r="AQ2854" t="s">
        <v>4013</v>
      </c>
      <c r="AR2854" t="s">
        <v>80</v>
      </c>
      <c r="AS2854">
        <v>305</v>
      </c>
      <c r="AT2854" t="s">
        <v>81</v>
      </c>
      <c r="AU2854">
        <v>30.14</v>
      </c>
      <c r="AV2854">
        <v>28.94</v>
      </c>
      <c r="AW2854" t="s">
        <v>82</v>
      </c>
      <c r="AX2854">
        <v>305</v>
      </c>
      <c r="AY2854" t="s">
        <v>81</v>
      </c>
      <c r="AZ2854">
        <v>20.399999999999999</v>
      </c>
      <c r="BA2854">
        <v>16.28</v>
      </c>
      <c r="BB2854" t="s">
        <v>83</v>
      </c>
    </row>
    <row r="2855" spans="1:54" x14ac:dyDescent="0.4">
      <c r="A2855">
        <v>1094849</v>
      </c>
      <c r="D2855" t="s">
        <v>54</v>
      </c>
      <c r="G2855">
        <v>1</v>
      </c>
      <c r="H2855" t="s">
        <v>84</v>
      </c>
      <c r="I2855" t="s">
        <v>57</v>
      </c>
      <c r="K2855" t="s">
        <v>771</v>
      </c>
      <c r="L2855" t="s">
        <v>772</v>
      </c>
      <c r="M2855" t="s">
        <v>223</v>
      </c>
      <c r="P2855" t="s">
        <v>224</v>
      </c>
      <c r="R2855" t="s">
        <v>183</v>
      </c>
      <c r="S2855" t="s">
        <v>64</v>
      </c>
      <c r="T2855">
        <v>246.7</v>
      </c>
      <c r="U2855">
        <v>242</v>
      </c>
      <c r="V2855">
        <f t="shared" si="88"/>
        <v>244.35</v>
      </c>
      <c r="W2855">
        <f t="shared" si="89"/>
        <v>4.6999999999999886</v>
      </c>
      <c r="X2855">
        <v>11.675000000000001</v>
      </c>
      <c r="Y2855">
        <v>51.423611000000001</v>
      </c>
      <c r="Z2855" t="s">
        <v>520</v>
      </c>
      <c r="AA2855" t="s">
        <v>211</v>
      </c>
      <c r="AB2855" t="s">
        <v>266</v>
      </c>
      <c r="AD2855" t="s">
        <v>3622</v>
      </c>
      <c r="AE2855" t="s">
        <v>1378</v>
      </c>
      <c r="AF2855" t="s">
        <v>4177</v>
      </c>
      <c r="AH2855" t="s">
        <v>11</v>
      </c>
      <c r="AI2855" t="s">
        <v>4147</v>
      </c>
      <c r="AJ2855">
        <v>1996</v>
      </c>
      <c r="AK2855" t="s">
        <v>4178</v>
      </c>
      <c r="AM2855" t="s">
        <v>4179</v>
      </c>
      <c r="AN2855" t="s">
        <v>192</v>
      </c>
      <c r="AO2855" t="s">
        <v>77</v>
      </c>
      <c r="AP2855" t="s">
        <v>115</v>
      </c>
      <c r="AR2855" t="s">
        <v>80</v>
      </c>
      <c r="AS2855">
        <v>305</v>
      </c>
      <c r="AT2855" t="s">
        <v>81</v>
      </c>
      <c r="AU2855">
        <v>29.76</v>
      </c>
      <c r="AV2855">
        <v>30.34</v>
      </c>
      <c r="AW2855" t="s">
        <v>82</v>
      </c>
      <c r="AX2855">
        <v>305</v>
      </c>
      <c r="AY2855" t="s">
        <v>81</v>
      </c>
      <c r="AZ2855">
        <v>19.809999999999999</v>
      </c>
      <c r="BA2855">
        <v>17.600000000000001</v>
      </c>
      <c r="BB2855" t="s">
        <v>83</v>
      </c>
    </row>
    <row r="2856" spans="1:54" x14ac:dyDescent="0.4">
      <c r="A2856">
        <v>1094850</v>
      </c>
      <c r="D2856" t="s">
        <v>54</v>
      </c>
      <c r="I2856" t="s">
        <v>57</v>
      </c>
      <c r="K2856" t="s">
        <v>771</v>
      </c>
      <c r="L2856" t="s">
        <v>772</v>
      </c>
      <c r="M2856" t="s">
        <v>223</v>
      </c>
      <c r="P2856" t="s">
        <v>224</v>
      </c>
      <c r="R2856" t="s">
        <v>183</v>
      </c>
      <c r="S2856" t="s">
        <v>64</v>
      </c>
      <c r="T2856">
        <v>246.7</v>
      </c>
      <c r="U2856">
        <v>242</v>
      </c>
      <c r="V2856">
        <f t="shared" si="88"/>
        <v>244.35</v>
      </c>
      <c r="W2856">
        <f t="shared" si="89"/>
        <v>4.6999999999999886</v>
      </c>
      <c r="X2856">
        <v>11.675000000000001</v>
      </c>
      <c r="Y2856">
        <v>51.423611000000001</v>
      </c>
      <c r="Z2856" t="s">
        <v>520</v>
      </c>
      <c r="AA2856" t="s">
        <v>211</v>
      </c>
      <c r="AB2856" t="s">
        <v>266</v>
      </c>
      <c r="AD2856" t="s">
        <v>3622</v>
      </c>
      <c r="AE2856" t="s">
        <v>1378</v>
      </c>
      <c r="AF2856" t="s">
        <v>4177</v>
      </c>
      <c r="AH2856" t="s">
        <v>11</v>
      </c>
      <c r="AI2856" t="s">
        <v>4147</v>
      </c>
      <c r="AJ2856">
        <v>1996</v>
      </c>
      <c r="AK2856" t="s">
        <v>4178</v>
      </c>
      <c r="AM2856" t="s">
        <v>4179</v>
      </c>
      <c r="AN2856" t="s">
        <v>192</v>
      </c>
      <c r="AO2856" t="s">
        <v>77</v>
      </c>
      <c r="AP2856" t="s">
        <v>115</v>
      </c>
      <c r="AR2856" t="s">
        <v>80</v>
      </c>
      <c r="AS2856">
        <v>305</v>
      </c>
      <c r="AT2856" t="s">
        <v>81</v>
      </c>
      <c r="AU2856">
        <v>29.76</v>
      </c>
      <c r="AV2856">
        <v>30.34</v>
      </c>
      <c r="AW2856" t="s">
        <v>82</v>
      </c>
      <c r="AX2856">
        <v>305</v>
      </c>
      <c r="AY2856" t="s">
        <v>81</v>
      </c>
      <c r="AZ2856">
        <v>19.809999999999999</v>
      </c>
      <c r="BA2856">
        <v>17.600000000000001</v>
      </c>
      <c r="BB2856" t="s">
        <v>83</v>
      </c>
    </row>
    <row r="2857" spans="1:54" x14ac:dyDescent="0.4">
      <c r="A2857">
        <v>1094853</v>
      </c>
      <c r="D2857" t="s">
        <v>54</v>
      </c>
      <c r="G2857">
        <v>2</v>
      </c>
      <c r="H2857" t="s">
        <v>84</v>
      </c>
      <c r="I2857" t="s">
        <v>57</v>
      </c>
      <c r="K2857" t="s">
        <v>771</v>
      </c>
      <c r="L2857" t="s">
        <v>772</v>
      </c>
      <c r="M2857" t="s">
        <v>223</v>
      </c>
      <c r="P2857" t="s">
        <v>224</v>
      </c>
      <c r="R2857" t="s">
        <v>183</v>
      </c>
      <c r="S2857" t="s">
        <v>64</v>
      </c>
      <c r="T2857">
        <v>246.7</v>
      </c>
      <c r="U2857">
        <v>242</v>
      </c>
      <c r="V2857">
        <f t="shared" si="88"/>
        <v>244.35</v>
      </c>
      <c r="W2857">
        <f t="shared" si="89"/>
        <v>4.6999999999999886</v>
      </c>
      <c r="X2857">
        <v>13.783333000000001</v>
      </c>
      <c r="Y2857">
        <v>52.466667000000001</v>
      </c>
      <c r="Z2857" t="s">
        <v>520</v>
      </c>
      <c r="AA2857" t="s">
        <v>211</v>
      </c>
      <c r="AD2857" t="s">
        <v>3622</v>
      </c>
      <c r="AE2857" t="s">
        <v>1378</v>
      </c>
      <c r="AF2857" t="s">
        <v>4177</v>
      </c>
      <c r="AH2857" t="s">
        <v>72</v>
      </c>
      <c r="AI2857" t="s">
        <v>4147</v>
      </c>
      <c r="AJ2857">
        <v>1996</v>
      </c>
      <c r="AK2857" t="s">
        <v>4180</v>
      </c>
      <c r="AM2857" t="s">
        <v>4114</v>
      </c>
      <c r="AN2857" t="s">
        <v>192</v>
      </c>
      <c r="AO2857" t="s">
        <v>77</v>
      </c>
      <c r="AP2857" t="s">
        <v>115</v>
      </c>
      <c r="AR2857" t="s">
        <v>80</v>
      </c>
      <c r="AS2857">
        <v>315</v>
      </c>
      <c r="AT2857" t="s">
        <v>81</v>
      </c>
      <c r="AU2857">
        <v>30.91</v>
      </c>
      <c r="AV2857">
        <v>31.68</v>
      </c>
      <c r="AW2857" t="s">
        <v>82</v>
      </c>
      <c r="AX2857">
        <v>315</v>
      </c>
      <c r="AY2857" t="s">
        <v>81</v>
      </c>
      <c r="AZ2857">
        <v>20.59</v>
      </c>
      <c r="BA2857">
        <v>19.100000000000001</v>
      </c>
      <c r="BB2857" t="s">
        <v>83</v>
      </c>
    </row>
    <row r="2858" spans="1:54" x14ac:dyDescent="0.4">
      <c r="A2858">
        <v>1094856</v>
      </c>
      <c r="D2858" t="s">
        <v>54</v>
      </c>
      <c r="I2858" t="s">
        <v>57</v>
      </c>
      <c r="K2858" t="s">
        <v>771</v>
      </c>
      <c r="L2858" t="s">
        <v>772</v>
      </c>
      <c r="M2858" t="s">
        <v>223</v>
      </c>
      <c r="P2858" t="s">
        <v>224</v>
      </c>
      <c r="R2858" t="s">
        <v>183</v>
      </c>
      <c r="S2858" t="s">
        <v>64</v>
      </c>
      <c r="T2858">
        <v>246.7</v>
      </c>
      <c r="U2858">
        <v>242</v>
      </c>
      <c r="V2858">
        <f t="shared" si="88"/>
        <v>244.35</v>
      </c>
      <c r="W2858">
        <f t="shared" si="89"/>
        <v>4.6999999999999886</v>
      </c>
      <c r="X2858">
        <v>13.783333000000001</v>
      </c>
      <c r="Y2858">
        <v>52.466667000000001</v>
      </c>
      <c r="Z2858" t="s">
        <v>520</v>
      </c>
      <c r="AA2858" t="s">
        <v>211</v>
      </c>
      <c r="AD2858" t="s">
        <v>3622</v>
      </c>
      <c r="AE2858" t="s">
        <v>1378</v>
      </c>
      <c r="AF2858" t="s">
        <v>4177</v>
      </c>
      <c r="AH2858" t="s">
        <v>72</v>
      </c>
      <c r="AI2858" t="s">
        <v>4147</v>
      </c>
      <c r="AJ2858">
        <v>1996</v>
      </c>
      <c r="AK2858" t="s">
        <v>4180</v>
      </c>
      <c r="AM2858" t="s">
        <v>4114</v>
      </c>
      <c r="AN2858" t="s">
        <v>192</v>
      </c>
      <c r="AO2858" t="s">
        <v>77</v>
      </c>
      <c r="AP2858" t="s">
        <v>115</v>
      </c>
      <c r="AR2858" t="s">
        <v>80</v>
      </c>
      <c r="AS2858">
        <v>315</v>
      </c>
      <c r="AT2858" t="s">
        <v>81</v>
      </c>
      <c r="AU2858">
        <v>30.91</v>
      </c>
      <c r="AV2858">
        <v>31.68</v>
      </c>
      <c r="AW2858" t="s">
        <v>82</v>
      </c>
      <c r="AX2858">
        <v>315</v>
      </c>
      <c r="AY2858" t="s">
        <v>81</v>
      </c>
      <c r="AZ2858">
        <v>20.59</v>
      </c>
      <c r="BA2858">
        <v>19.100000000000001</v>
      </c>
      <c r="BB2858" t="s">
        <v>83</v>
      </c>
    </row>
    <row r="2859" spans="1:54" x14ac:dyDescent="0.4">
      <c r="A2859">
        <v>1094860</v>
      </c>
      <c r="D2859" t="s">
        <v>54</v>
      </c>
      <c r="G2859">
        <v>4</v>
      </c>
      <c r="H2859" t="s">
        <v>84</v>
      </c>
      <c r="I2859" t="s">
        <v>57</v>
      </c>
      <c r="K2859" t="s">
        <v>771</v>
      </c>
      <c r="L2859" t="s">
        <v>772</v>
      </c>
      <c r="M2859" t="s">
        <v>223</v>
      </c>
      <c r="P2859" t="s">
        <v>224</v>
      </c>
      <c r="R2859" t="s">
        <v>183</v>
      </c>
      <c r="S2859" t="s">
        <v>64</v>
      </c>
      <c r="T2859">
        <v>246.7</v>
      </c>
      <c r="U2859">
        <v>242</v>
      </c>
      <c r="V2859">
        <f t="shared" si="88"/>
        <v>244.35</v>
      </c>
      <c r="W2859">
        <f t="shared" si="89"/>
        <v>4.6999999999999886</v>
      </c>
      <c r="X2859">
        <v>10.420833</v>
      </c>
      <c r="Y2859">
        <v>51.165832999999999</v>
      </c>
      <c r="Z2859" t="s">
        <v>520</v>
      </c>
      <c r="AA2859" t="s">
        <v>211</v>
      </c>
      <c r="AB2859" t="s">
        <v>977</v>
      </c>
      <c r="AE2859" t="s">
        <v>1378</v>
      </c>
      <c r="AH2859" t="s">
        <v>72</v>
      </c>
      <c r="AI2859" t="s">
        <v>4147</v>
      </c>
      <c r="AJ2859">
        <v>1996</v>
      </c>
      <c r="AK2859" t="s">
        <v>4184</v>
      </c>
      <c r="AN2859" t="s">
        <v>192</v>
      </c>
      <c r="AO2859" t="s">
        <v>77</v>
      </c>
      <c r="AP2859" t="s">
        <v>115</v>
      </c>
      <c r="AR2859" t="s">
        <v>80</v>
      </c>
      <c r="AS2859">
        <v>315</v>
      </c>
      <c r="AT2859" t="s">
        <v>81</v>
      </c>
      <c r="AU2859">
        <v>28.95</v>
      </c>
      <c r="AV2859">
        <v>29.9</v>
      </c>
      <c r="AW2859" t="s">
        <v>82</v>
      </c>
      <c r="AX2859">
        <v>315</v>
      </c>
      <c r="AY2859" t="s">
        <v>81</v>
      </c>
      <c r="AZ2859">
        <v>19.16</v>
      </c>
      <c r="BA2859">
        <v>17.05</v>
      </c>
      <c r="BB2859" t="s">
        <v>83</v>
      </c>
    </row>
    <row r="2860" spans="1:54" x14ac:dyDescent="0.4">
      <c r="A2860">
        <v>1094869</v>
      </c>
      <c r="D2860" t="s">
        <v>54</v>
      </c>
      <c r="G2860">
        <v>1</v>
      </c>
      <c r="H2860" t="s">
        <v>84</v>
      </c>
      <c r="I2860" t="s">
        <v>57</v>
      </c>
      <c r="K2860" t="s">
        <v>771</v>
      </c>
      <c r="L2860" t="s">
        <v>772</v>
      </c>
      <c r="M2860" t="s">
        <v>223</v>
      </c>
      <c r="P2860" t="s">
        <v>224</v>
      </c>
      <c r="R2860" t="s">
        <v>183</v>
      </c>
      <c r="S2860" t="s">
        <v>64</v>
      </c>
      <c r="T2860">
        <v>246.7</v>
      </c>
      <c r="U2860">
        <v>242</v>
      </c>
      <c r="V2860">
        <f t="shared" si="88"/>
        <v>244.35</v>
      </c>
      <c r="W2860">
        <f t="shared" si="89"/>
        <v>4.6999999999999886</v>
      </c>
      <c r="X2860">
        <v>11.968610999999999</v>
      </c>
      <c r="Y2860">
        <v>51.479720999999998</v>
      </c>
      <c r="Z2860" t="s">
        <v>520</v>
      </c>
      <c r="AA2860" t="s">
        <v>211</v>
      </c>
      <c r="AE2860" t="s">
        <v>1378</v>
      </c>
      <c r="AH2860" t="s">
        <v>11</v>
      </c>
      <c r="AI2860" t="s">
        <v>4147</v>
      </c>
      <c r="AJ2860">
        <v>1996</v>
      </c>
      <c r="AK2860" t="s">
        <v>4188</v>
      </c>
      <c r="AN2860" t="s">
        <v>192</v>
      </c>
      <c r="AO2860" t="s">
        <v>77</v>
      </c>
      <c r="AP2860" t="s">
        <v>115</v>
      </c>
      <c r="AR2860" t="s">
        <v>80</v>
      </c>
      <c r="AS2860">
        <v>305</v>
      </c>
      <c r="AT2860" t="s">
        <v>81</v>
      </c>
      <c r="AU2860">
        <v>29.95</v>
      </c>
      <c r="AV2860">
        <v>30.44</v>
      </c>
      <c r="AW2860" t="s">
        <v>82</v>
      </c>
      <c r="AX2860">
        <v>305</v>
      </c>
      <c r="AY2860" t="s">
        <v>81</v>
      </c>
      <c r="AZ2860">
        <v>19.96</v>
      </c>
      <c r="BA2860">
        <v>17.73</v>
      </c>
      <c r="BB2860" t="s">
        <v>83</v>
      </c>
    </row>
    <row r="2861" spans="1:54" x14ac:dyDescent="0.4">
      <c r="A2861">
        <v>1094870</v>
      </c>
      <c r="D2861" t="s">
        <v>54</v>
      </c>
      <c r="G2861">
        <v>1</v>
      </c>
      <c r="H2861" t="s">
        <v>84</v>
      </c>
      <c r="I2861" t="s">
        <v>57</v>
      </c>
      <c r="K2861" t="s">
        <v>141</v>
      </c>
      <c r="L2861" t="s">
        <v>529</v>
      </c>
      <c r="M2861" t="s">
        <v>223</v>
      </c>
      <c r="P2861" t="s">
        <v>224</v>
      </c>
      <c r="R2861" t="s">
        <v>183</v>
      </c>
      <c r="S2861" t="s">
        <v>64</v>
      </c>
      <c r="T2861">
        <v>246.7</v>
      </c>
      <c r="U2861">
        <v>242</v>
      </c>
      <c r="V2861">
        <f t="shared" si="88"/>
        <v>244.35</v>
      </c>
      <c r="W2861">
        <f t="shared" si="89"/>
        <v>4.6999999999999886</v>
      </c>
      <c r="X2861">
        <v>18.966667000000001</v>
      </c>
      <c r="Y2861">
        <v>50.299999</v>
      </c>
      <c r="Z2861" t="s">
        <v>1004</v>
      </c>
      <c r="AA2861" t="s">
        <v>697</v>
      </c>
      <c r="AD2861" t="s">
        <v>2329</v>
      </c>
      <c r="AF2861" t="s">
        <v>2330</v>
      </c>
      <c r="AH2861" t="s">
        <v>72</v>
      </c>
      <c r="AI2861" t="s">
        <v>4189</v>
      </c>
      <c r="AJ2861">
        <v>2014</v>
      </c>
      <c r="AK2861" t="s">
        <v>2332</v>
      </c>
      <c r="AN2861" t="s">
        <v>114</v>
      </c>
      <c r="AO2861" t="s">
        <v>160</v>
      </c>
      <c r="AP2861" t="s">
        <v>78</v>
      </c>
      <c r="AQ2861" t="s">
        <v>2333</v>
      </c>
      <c r="AR2861" t="s">
        <v>80</v>
      </c>
      <c r="AS2861">
        <v>305</v>
      </c>
      <c r="AT2861" t="s">
        <v>81</v>
      </c>
      <c r="AU2861">
        <v>35.25</v>
      </c>
      <c r="AV2861">
        <v>30.52</v>
      </c>
      <c r="AW2861" t="s">
        <v>82</v>
      </c>
      <c r="AX2861">
        <v>305</v>
      </c>
      <c r="AY2861" t="s">
        <v>81</v>
      </c>
      <c r="AZ2861">
        <v>24.67</v>
      </c>
      <c r="BA2861">
        <v>18.64</v>
      </c>
      <c r="BB2861" t="s">
        <v>83</v>
      </c>
    </row>
    <row r="2862" spans="1:54" x14ac:dyDescent="0.4">
      <c r="A2862">
        <v>1094871</v>
      </c>
      <c r="D2862" t="s">
        <v>54</v>
      </c>
      <c r="G2862">
        <v>3</v>
      </c>
      <c r="H2862" t="s">
        <v>84</v>
      </c>
      <c r="I2862" t="s">
        <v>57</v>
      </c>
      <c r="K2862" t="s">
        <v>771</v>
      </c>
      <c r="L2862" t="s">
        <v>772</v>
      </c>
      <c r="M2862" t="s">
        <v>223</v>
      </c>
      <c r="P2862" t="s">
        <v>224</v>
      </c>
      <c r="R2862" t="s">
        <v>183</v>
      </c>
      <c r="S2862" t="s">
        <v>64</v>
      </c>
      <c r="T2862">
        <v>246.7</v>
      </c>
      <c r="U2862">
        <v>242</v>
      </c>
      <c r="V2862">
        <f t="shared" si="88"/>
        <v>244.35</v>
      </c>
      <c r="W2862">
        <f t="shared" si="89"/>
        <v>4.6999999999999886</v>
      </c>
      <c r="X2862">
        <v>18.966667000000001</v>
      </c>
      <c r="Y2862">
        <v>50.299999</v>
      </c>
      <c r="Z2862" t="s">
        <v>1004</v>
      </c>
      <c r="AA2862" t="s">
        <v>697</v>
      </c>
      <c r="AD2862" t="s">
        <v>2329</v>
      </c>
      <c r="AF2862" t="s">
        <v>2330</v>
      </c>
      <c r="AH2862" t="s">
        <v>11</v>
      </c>
      <c r="AI2862" t="s">
        <v>4147</v>
      </c>
      <c r="AJ2862">
        <v>1996</v>
      </c>
      <c r="AK2862" t="s">
        <v>2332</v>
      </c>
      <c r="AN2862" t="s">
        <v>114</v>
      </c>
      <c r="AO2862" t="s">
        <v>160</v>
      </c>
      <c r="AP2862" t="s">
        <v>78</v>
      </c>
      <c r="AQ2862" t="s">
        <v>2333</v>
      </c>
      <c r="AR2862" t="s">
        <v>80</v>
      </c>
      <c r="AS2862">
        <v>305</v>
      </c>
      <c r="AT2862" t="s">
        <v>81</v>
      </c>
      <c r="AU2862">
        <v>35.25</v>
      </c>
      <c r="AV2862">
        <v>30.52</v>
      </c>
      <c r="AW2862" t="s">
        <v>82</v>
      </c>
      <c r="AX2862">
        <v>305</v>
      </c>
      <c r="AY2862" t="s">
        <v>81</v>
      </c>
      <c r="AZ2862">
        <v>24.67</v>
      </c>
      <c r="BA2862">
        <v>18.64</v>
      </c>
      <c r="BB2862" t="s">
        <v>83</v>
      </c>
    </row>
    <row r="2863" spans="1:54" x14ac:dyDescent="0.4">
      <c r="A2863">
        <v>1094872</v>
      </c>
      <c r="D2863" t="s">
        <v>54</v>
      </c>
      <c r="G2863">
        <v>1</v>
      </c>
      <c r="H2863" t="s">
        <v>84</v>
      </c>
      <c r="I2863" t="s">
        <v>57</v>
      </c>
      <c r="K2863" t="s">
        <v>771</v>
      </c>
      <c r="L2863" t="s">
        <v>772</v>
      </c>
      <c r="M2863" t="s">
        <v>223</v>
      </c>
      <c r="P2863" t="s">
        <v>224</v>
      </c>
      <c r="R2863" t="s">
        <v>183</v>
      </c>
      <c r="S2863" t="s">
        <v>64</v>
      </c>
      <c r="T2863">
        <v>246.7</v>
      </c>
      <c r="U2863">
        <v>242</v>
      </c>
      <c r="V2863">
        <f t="shared" si="88"/>
        <v>244.35</v>
      </c>
      <c r="W2863">
        <f t="shared" si="89"/>
        <v>4.6999999999999886</v>
      </c>
      <c r="X2863">
        <v>11.767778</v>
      </c>
      <c r="Y2863">
        <v>51.217498999999997</v>
      </c>
      <c r="Z2863" t="s">
        <v>520</v>
      </c>
      <c r="AA2863" t="s">
        <v>211</v>
      </c>
      <c r="AB2863" t="s">
        <v>266</v>
      </c>
      <c r="AC2863" t="s">
        <v>4190</v>
      </c>
      <c r="AD2863" t="s">
        <v>3622</v>
      </c>
      <c r="AE2863" t="s">
        <v>1378</v>
      </c>
      <c r="AF2863" t="s">
        <v>4177</v>
      </c>
      <c r="AH2863" t="s">
        <v>11</v>
      </c>
      <c r="AI2863" t="s">
        <v>4147</v>
      </c>
      <c r="AJ2863">
        <v>1996</v>
      </c>
      <c r="AK2863" t="s">
        <v>4191</v>
      </c>
      <c r="AN2863" t="s">
        <v>341</v>
      </c>
      <c r="AO2863" t="s">
        <v>77</v>
      </c>
      <c r="AP2863" t="s">
        <v>115</v>
      </c>
      <c r="AQ2863" t="s">
        <v>4192</v>
      </c>
      <c r="AR2863" t="s">
        <v>80</v>
      </c>
      <c r="AS2863">
        <v>305</v>
      </c>
      <c r="AT2863" t="s">
        <v>81</v>
      </c>
      <c r="AU2863">
        <v>29.88</v>
      </c>
      <c r="AV2863">
        <v>30.16</v>
      </c>
      <c r="AW2863" t="s">
        <v>82</v>
      </c>
      <c r="AX2863">
        <v>305</v>
      </c>
      <c r="AY2863" t="s">
        <v>81</v>
      </c>
      <c r="AZ2863">
        <v>19.95</v>
      </c>
      <c r="BA2863">
        <v>17.440000000000001</v>
      </c>
      <c r="BB2863" t="s">
        <v>83</v>
      </c>
    </row>
    <row r="2864" spans="1:54" x14ac:dyDescent="0.4">
      <c r="A2864">
        <v>1094873</v>
      </c>
      <c r="D2864" t="s">
        <v>54</v>
      </c>
      <c r="G2864">
        <v>1</v>
      </c>
      <c r="H2864" t="s">
        <v>84</v>
      </c>
      <c r="I2864" t="s">
        <v>57</v>
      </c>
      <c r="K2864" t="s">
        <v>771</v>
      </c>
      <c r="L2864" t="s">
        <v>772</v>
      </c>
      <c r="M2864" t="s">
        <v>223</v>
      </c>
      <c r="P2864" t="s">
        <v>224</v>
      </c>
      <c r="R2864" t="s">
        <v>183</v>
      </c>
      <c r="S2864" t="s">
        <v>64</v>
      </c>
      <c r="T2864">
        <v>246.7</v>
      </c>
      <c r="U2864">
        <v>242</v>
      </c>
      <c r="V2864">
        <f t="shared" si="88"/>
        <v>244.35</v>
      </c>
      <c r="W2864">
        <f t="shared" si="89"/>
        <v>4.6999999999999886</v>
      </c>
      <c r="X2864">
        <v>18.966667000000001</v>
      </c>
      <c r="Y2864">
        <v>50.299999</v>
      </c>
      <c r="Z2864" t="s">
        <v>1004</v>
      </c>
      <c r="AA2864" t="s">
        <v>697</v>
      </c>
      <c r="AD2864" t="s">
        <v>2329</v>
      </c>
      <c r="AF2864" t="s">
        <v>2330</v>
      </c>
      <c r="AH2864" t="s">
        <v>11</v>
      </c>
      <c r="AI2864" t="s">
        <v>4147</v>
      </c>
      <c r="AJ2864">
        <v>1996</v>
      </c>
      <c r="AK2864" t="s">
        <v>2332</v>
      </c>
      <c r="AN2864" t="s">
        <v>114</v>
      </c>
      <c r="AO2864" t="s">
        <v>160</v>
      </c>
      <c r="AP2864" t="s">
        <v>78</v>
      </c>
      <c r="AQ2864" t="s">
        <v>2333</v>
      </c>
      <c r="AR2864" t="s">
        <v>80</v>
      </c>
      <c r="AS2864">
        <v>305</v>
      </c>
      <c r="AT2864" t="s">
        <v>81</v>
      </c>
      <c r="AU2864">
        <v>35.25</v>
      </c>
      <c r="AV2864">
        <v>30.52</v>
      </c>
      <c r="AW2864" t="s">
        <v>82</v>
      </c>
      <c r="AX2864">
        <v>305</v>
      </c>
      <c r="AY2864" t="s">
        <v>81</v>
      </c>
      <c r="AZ2864">
        <v>24.67</v>
      </c>
      <c r="BA2864">
        <v>18.64</v>
      </c>
      <c r="BB2864" t="s">
        <v>83</v>
      </c>
    </row>
    <row r="2865" spans="1:54" x14ac:dyDescent="0.4">
      <c r="A2865">
        <v>1094884</v>
      </c>
      <c r="D2865" t="s">
        <v>54</v>
      </c>
      <c r="G2865">
        <v>1</v>
      </c>
      <c r="H2865" t="s">
        <v>84</v>
      </c>
      <c r="I2865" t="s">
        <v>57</v>
      </c>
      <c r="K2865" t="s">
        <v>771</v>
      </c>
      <c r="L2865" t="s">
        <v>772</v>
      </c>
      <c r="M2865" t="s">
        <v>223</v>
      </c>
      <c r="P2865" t="s">
        <v>224</v>
      </c>
      <c r="R2865" t="s">
        <v>183</v>
      </c>
      <c r="S2865" t="s">
        <v>64</v>
      </c>
      <c r="T2865">
        <v>246.7</v>
      </c>
      <c r="U2865">
        <v>242</v>
      </c>
      <c r="V2865">
        <f t="shared" si="88"/>
        <v>244.35</v>
      </c>
      <c r="W2865">
        <f t="shared" si="89"/>
        <v>4.6999999999999886</v>
      </c>
      <c r="X2865">
        <v>10.420833</v>
      </c>
      <c r="Y2865">
        <v>51.165832999999999</v>
      </c>
      <c r="Z2865" t="s">
        <v>520</v>
      </c>
      <c r="AA2865" t="s">
        <v>211</v>
      </c>
      <c r="AB2865" t="s">
        <v>977</v>
      </c>
      <c r="AE2865" t="s">
        <v>1378</v>
      </c>
      <c r="AH2865" t="s">
        <v>72</v>
      </c>
      <c r="AI2865" t="s">
        <v>4147</v>
      </c>
      <c r="AJ2865">
        <v>1996</v>
      </c>
      <c r="AK2865" t="s">
        <v>4184</v>
      </c>
      <c r="AN2865" t="s">
        <v>192</v>
      </c>
      <c r="AO2865" t="s">
        <v>77</v>
      </c>
      <c r="AP2865" t="s">
        <v>115</v>
      </c>
      <c r="AR2865" t="s">
        <v>80</v>
      </c>
      <c r="AS2865">
        <v>315</v>
      </c>
      <c r="AT2865" t="s">
        <v>81</v>
      </c>
      <c r="AU2865">
        <v>28.95</v>
      </c>
      <c r="AV2865">
        <v>29.9</v>
      </c>
      <c r="AW2865" t="s">
        <v>82</v>
      </c>
      <c r="AX2865">
        <v>315</v>
      </c>
      <c r="AY2865" t="s">
        <v>81</v>
      </c>
      <c r="AZ2865">
        <v>19.16</v>
      </c>
      <c r="BA2865">
        <v>17.05</v>
      </c>
      <c r="BB2865" t="s">
        <v>83</v>
      </c>
    </row>
    <row r="2866" spans="1:54" x14ac:dyDescent="0.4">
      <c r="A2866">
        <v>1094904</v>
      </c>
      <c r="D2866" t="s">
        <v>54</v>
      </c>
      <c r="G2866">
        <v>1</v>
      </c>
      <c r="H2866" t="s">
        <v>84</v>
      </c>
      <c r="I2866" t="s">
        <v>57</v>
      </c>
      <c r="K2866" t="s">
        <v>1347</v>
      </c>
      <c r="L2866" t="s">
        <v>1348</v>
      </c>
      <c r="M2866" t="s">
        <v>223</v>
      </c>
      <c r="N2866" t="s">
        <v>485</v>
      </c>
      <c r="O2866" t="s">
        <v>1349</v>
      </c>
      <c r="P2866" t="s">
        <v>224</v>
      </c>
      <c r="R2866" t="s">
        <v>183</v>
      </c>
      <c r="S2866" t="s">
        <v>64</v>
      </c>
      <c r="T2866">
        <v>246.7</v>
      </c>
      <c r="U2866">
        <v>242</v>
      </c>
      <c r="V2866">
        <f t="shared" si="88"/>
        <v>244.35</v>
      </c>
      <c r="W2866">
        <f t="shared" si="89"/>
        <v>4.6999999999999886</v>
      </c>
      <c r="X2866">
        <v>11.767778</v>
      </c>
      <c r="Y2866">
        <v>51.217498999999997</v>
      </c>
      <c r="Z2866" t="s">
        <v>520</v>
      </c>
      <c r="AA2866" t="s">
        <v>211</v>
      </c>
      <c r="AB2866" t="s">
        <v>266</v>
      </c>
      <c r="AC2866" t="s">
        <v>4190</v>
      </c>
      <c r="AD2866" t="s">
        <v>3622</v>
      </c>
      <c r="AE2866" t="s">
        <v>1378</v>
      </c>
      <c r="AF2866" t="s">
        <v>4177</v>
      </c>
      <c r="AH2866" t="s">
        <v>72</v>
      </c>
      <c r="AI2866" t="s">
        <v>2013</v>
      </c>
      <c r="AJ2866">
        <v>1995</v>
      </c>
      <c r="AK2866" t="s">
        <v>4191</v>
      </c>
      <c r="AN2866" t="s">
        <v>341</v>
      </c>
      <c r="AO2866" t="s">
        <v>77</v>
      </c>
      <c r="AP2866" t="s">
        <v>115</v>
      </c>
      <c r="AQ2866" t="s">
        <v>4192</v>
      </c>
      <c r="AR2866" t="s">
        <v>80</v>
      </c>
      <c r="AS2866">
        <v>305</v>
      </c>
      <c r="AT2866" t="s">
        <v>81</v>
      </c>
      <c r="AU2866">
        <v>29.88</v>
      </c>
      <c r="AV2866">
        <v>30.16</v>
      </c>
      <c r="AW2866" t="s">
        <v>82</v>
      </c>
      <c r="AX2866">
        <v>305</v>
      </c>
      <c r="AY2866" t="s">
        <v>81</v>
      </c>
      <c r="AZ2866">
        <v>19.95</v>
      </c>
      <c r="BA2866">
        <v>17.440000000000001</v>
      </c>
      <c r="BB2866" t="s">
        <v>83</v>
      </c>
    </row>
    <row r="2867" spans="1:54" x14ac:dyDescent="0.4">
      <c r="A2867">
        <v>1094907</v>
      </c>
      <c r="D2867" t="s">
        <v>54</v>
      </c>
      <c r="G2867">
        <v>3</v>
      </c>
      <c r="H2867" t="s">
        <v>84</v>
      </c>
      <c r="I2867" t="s">
        <v>57</v>
      </c>
      <c r="K2867" t="s">
        <v>1347</v>
      </c>
      <c r="L2867" t="s">
        <v>1348</v>
      </c>
      <c r="M2867" t="s">
        <v>223</v>
      </c>
      <c r="N2867" t="s">
        <v>485</v>
      </c>
      <c r="O2867" t="s">
        <v>1349</v>
      </c>
      <c r="P2867" t="s">
        <v>224</v>
      </c>
      <c r="R2867" t="s">
        <v>183</v>
      </c>
      <c r="S2867" t="s">
        <v>64</v>
      </c>
      <c r="T2867">
        <v>246.7</v>
      </c>
      <c r="U2867">
        <v>242</v>
      </c>
      <c r="V2867">
        <f t="shared" si="88"/>
        <v>244.35</v>
      </c>
      <c r="W2867">
        <f t="shared" si="89"/>
        <v>4.6999999999999886</v>
      </c>
      <c r="X2867">
        <v>11.767778</v>
      </c>
      <c r="Y2867">
        <v>51.217498999999997</v>
      </c>
      <c r="Z2867" t="s">
        <v>520</v>
      </c>
      <c r="AA2867" t="s">
        <v>211</v>
      </c>
      <c r="AB2867" t="s">
        <v>266</v>
      </c>
      <c r="AC2867" t="s">
        <v>4190</v>
      </c>
      <c r="AD2867" t="s">
        <v>3622</v>
      </c>
      <c r="AE2867" t="s">
        <v>1378</v>
      </c>
      <c r="AF2867" t="s">
        <v>4177</v>
      </c>
      <c r="AH2867" t="s">
        <v>72</v>
      </c>
      <c r="AI2867" t="s">
        <v>4209</v>
      </c>
      <c r="AJ2867">
        <v>1952</v>
      </c>
      <c r="AK2867" t="s">
        <v>4191</v>
      </c>
      <c r="AN2867" t="s">
        <v>341</v>
      </c>
      <c r="AO2867" t="s">
        <v>77</v>
      </c>
      <c r="AP2867" t="s">
        <v>115</v>
      </c>
      <c r="AQ2867" t="s">
        <v>4192</v>
      </c>
      <c r="AR2867" t="s">
        <v>80</v>
      </c>
      <c r="AS2867">
        <v>305</v>
      </c>
      <c r="AT2867" t="s">
        <v>81</v>
      </c>
      <c r="AU2867">
        <v>29.88</v>
      </c>
      <c r="AV2867">
        <v>30.16</v>
      </c>
      <c r="AW2867" t="s">
        <v>82</v>
      </c>
      <c r="AX2867">
        <v>305</v>
      </c>
      <c r="AY2867" t="s">
        <v>81</v>
      </c>
      <c r="AZ2867">
        <v>19.95</v>
      </c>
      <c r="BA2867">
        <v>17.440000000000001</v>
      </c>
      <c r="BB2867" t="s">
        <v>83</v>
      </c>
    </row>
    <row r="2868" spans="1:54" x14ac:dyDescent="0.4">
      <c r="A2868">
        <v>1094909</v>
      </c>
      <c r="D2868" t="s">
        <v>54</v>
      </c>
      <c r="G2868">
        <v>1</v>
      </c>
      <c r="H2868" t="s">
        <v>84</v>
      </c>
      <c r="I2868" t="s">
        <v>57</v>
      </c>
      <c r="K2868" t="s">
        <v>1347</v>
      </c>
      <c r="L2868" t="s">
        <v>1348</v>
      </c>
      <c r="M2868" t="s">
        <v>223</v>
      </c>
      <c r="N2868" t="s">
        <v>485</v>
      </c>
      <c r="O2868" t="s">
        <v>1349</v>
      </c>
      <c r="P2868" t="s">
        <v>224</v>
      </c>
      <c r="R2868" t="s">
        <v>183</v>
      </c>
      <c r="S2868" t="s">
        <v>64</v>
      </c>
      <c r="T2868">
        <v>246.7</v>
      </c>
      <c r="U2868">
        <v>242</v>
      </c>
      <c r="V2868">
        <f t="shared" si="88"/>
        <v>244.35</v>
      </c>
      <c r="W2868">
        <f t="shared" si="89"/>
        <v>4.6999999999999886</v>
      </c>
      <c r="X2868">
        <v>9.3155560000000008</v>
      </c>
      <c r="Y2868">
        <v>49.474997999999999</v>
      </c>
      <c r="Z2868" t="s">
        <v>520</v>
      </c>
      <c r="AA2868" t="s">
        <v>211</v>
      </c>
      <c r="AE2868" t="s">
        <v>1378</v>
      </c>
      <c r="AH2868" t="s">
        <v>72</v>
      </c>
      <c r="AI2868" t="s">
        <v>2013</v>
      </c>
      <c r="AJ2868">
        <v>1995</v>
      </c>
      <c r="AK2868" t="s">
        <v>4211</v>
      </c>
      <c r="AN2868" t="s">
        <v>192</v>
      </c>
      <c r="AO2868" t="s">
        <v>77</v>
      </c>
      <c r="AP2868" t="s">
        <v>115</v>
      </c>
      <c r="AR2868" t="s">
        <v>80</v>
      </c>
      <c r="AS2868">
        <v>305</v>
      </c>
      <c r="AT2868" t="s">
        <v>81</v>
      </c>
      <c r="AU2868">
        <v>28.61</v>
      </c>
      <c r="AV2868">
        <v>28.09</v>
      </c>
      <c r="AW2868" t="s">
        <v>82</v>
      </c>
      <c r="AX2868">
        <v>305</v>
      </c>
      <c r="AY2868" t="s">
        <v>81</v>
      </c>
      <c r="AZ2868">
        <v>19.170000000000002</v>
      </c>
      <c r="BA2868">
        <v>15.22</v>
      </c>
      <c r="BB2868" t="s">
        <v>83</v>
      </c>
    </row>
    <row r="2869" spans="1:54" x14ac:dyDescent="0.4">
      <c r="A2869">
        <v>1094912</v>
      </c>
      <c r="D2869" t="s">
        <v>54</v>
      </c>
      <c r="G2869">
        <v>1</v>
      </c>
      <c r="H2869" t="s">
        <v>84</v>
      </c>
      <c r="I2869" t="s">
        <v>57</v>
      </c>
      <c r="K2869" t="s">
        <v>1347</v>
      </c>
      <c r="L2869" t="s">
        <v>1348</v>
      </c>
      <c r="M2869" t="s">
        <v>223</v>
      </c>
      <c r="N2869" t="s">
        <v>485</v>
      </c>
      <c r="O2869" t="s">
        <v>1349</v>
      </c>
      <c r="P2869" t="s">
        <v>224</v>
      </c>
      <c r="R2869" t="s">
        <v>183</v>
      </c>
      <c r="S2869" t="s">
        <v>64</v>
      </c>
      <c r="T2869">
        <v>246.7</v>
      </c>
      <c r="U2869">
        <v>242</v>
      </c>
      <c r="V2869">
        <f t="shared" si="88"/>
        <v>244.35</v>
      </c>
      <c r="W2869">
        <f t="shared" si="89"/>
        <v>4.6999999999999886</v>
      </c>
      <c r="X2869">
        <v>8.418056</v>
      </c>
      <c r="Y2869">
        <v>48.464443000000003</v>
      </c>
      <c r="Z2869" t="s">
        <v>520</v>
      </c>
      <c r="AA2869" t="s">
        <v>211</v>
      </c>
      <c r="AB2869" t="s">
        <v>212</v>
      </c>
      <c r="AE2869" t="s">
        <v>1378</v>
      </c>
      <c r="AH2869" t="s">
        <v>72</v>
      </c>
      <c r="AI2869" t="s">
        <v>2013</v>
      </c>
      <c r="AJ2869">
        <v>1995</v>
      </c>
      <c r="AK2869" t="s">
        <v>4043</v>
      </c>
      <c r="AN2869" t="s">
        <v>192</v>
      </c>
      <c r="AO2869" t="s">
        <v>77</v>
      </c>
      <c r="AP2869" t="s">
        <v>115</v>
      </c>
      <c r="AR2869" t="s">
        <v>80</v>
      </c>
      <c r="AS2869">
        <v>305</v>
      </c>
      <c r="AT2869" t="s">
        <v>81</v>
      </c>
      <c r="AU2869">
        <v>28.22</v>
      </c>
      <c r="AV2869">
        <v>26.98</v>
      </c>
      <c r="AW2869" t="s">
        <v>82</v>
      </c>
      <c r="AX2869">
        <v>305</v>
      </c>
      <c r="AY2869" t="s">
        <v>81</v>
      </c>
      <c r="AZ2869">
        <v>19.010000000000002</v>
      </c>
      <c r="BA2869">
        <v>14.06</v>
      </c>
      <c r="BB2869" t="s">
        <v>83</v>
      </c>
    </row>
    <row r="2870" spans="1:54" x14ac:dyDescent="0.4">
      <c r="A2870">
        <v>1094914</v>
      </c>
      <c r="D2870" t="s">
        <v>54</v>
      </c>
      <c r="G2870">
        <v>2</v>
      </c>
      <c r="H2870" t="s">
        <v>84</v>
      </c>
      <c r="I2870" t="s">
        <v>57</v>
      </c>
      <c r="K2870" t="s">
        <v>1347</v>
      </c>
      <c r="L2870" t="s">
        <v>1348</v>
      </c>
      <c r="M2870" t="s">
        <v>223</v>
      </c>
      <c r="N2870" t="s">
        <v>485</v>
      </c>
      <c r="O2870" t="s">
        <v>1349</v>
      </c>
      <c r="P2870" t="s">
        <v>224</v>
      </c>
      <c r="R2870" t="s">
        <v>183</v>
      </c>
      <c r="S2870" t="s">
        <v>64</v>
      </c>
      <c r="T2870">
        <v>246.7</v>
      </c>
      <c r="U2870">
        <v>242</v>
      </c>
      <c r="V2870">
        <f t="shared" si="88"/>
        <v>244.35</v>
      </c>
      <c r="W2870">
        <f t="shared" si="89"/>
        <v>4.6999999999999886</v>
      </c>
      <c r="X2870">
        <v>11.64</v>
      </c>
      <c r="Y2870">
        <v>49.985557999999997</v>
      </c>
      <c r="Z2870" t="s">
        <v>520</v>
      </c>
      <c r="AA2870" t="s">
        <v>211</v>
      </c>
      <c r="AB2870" t="s">
        <v>953</v>
      </c>
      <c r="AE2870" t="s">
        <v>1378</v>
      </c>
      <c r="AH2870" t="s">
        <v>72</v>
      </c>
      <c r="AI2870" t="s">
        <v>2013</v>
      </c>
      <c r="AJ2870">
        <v>1995</v>
      </c>
      <c r="AK2870" t="s">
        <v>4212</v>
      </c>
      <c r="AN2870" t="s">
        <v>341</v>
      </c>
      <c r="AO2870" t="s">
        <v>77</v>
      </c>
      <c r="AQ2870" t="s">
        <v>4013</v>
      </c>
      <c r="AR2870" t="s">
        <v>80</v>
      </c>
      <c r="AS2870">
        <v>305</v>
      </c>
      <c r="AT2870" t="s">
        <v>81</v>
      </c>
      <c r="AU2870">
        <v>30.14</v>
      </c>
      <c r="AV2870">
        <v>28.94</v>
      </c>
      <c r="AW2870" t="s">
        <v>82</v>
      </c>
      <c r="AX2870">
        <v>305</v>
      </c>
      <c r="AY2870" t="s">
        <v>81</v>
      </c>
      <c r="AZ2870">
        <v>20.399999999999999</v>
      </c>
      <c r="BA2870">
        <v>16.28</v>
      </c>
      <c r="BB2870" t="s">
        <v>83</v>
      </c>
    </row>
    <row r="2871" spans="1:54" x14ac:dyDescent="0.4">
      <c r="A2871">
        <v>1094918</v>
      </c>
      <c r="D2871" t="s">
        <v>54</v>
      </c>
      <c r="G2871">
        <v>3</v>
      </c>
      <c r="H2871" t="s">
        <v>84</v>
      </c>
      <c r="I2871" t="s">
        <v>57</v>
      </c>
      <c r="K2871" t="s">
        <v>1347</v>
      </c>
      <c r="L2871" t="s">
        <v>1348</v>
      </c>
      <c r="M2871" t="s">
        <v>223</v>
      </c>
      <c r="N2871" t="s">
        <v>485</v>
      </c>
      <c r="O2871" t="s">
        <v>1349</v>
      </c>
      <c r="P2871" t="s">
        <v>224</v>
      </c>
      <c r="R2871" t="s">
        <v>183</v>
      </c>
      <c r="S2871" t="s">
        <v>64</v>
      </c>
      <c r="T2871">
        <v>246.7</v>
      </c>
      <c r="U2871">
        <v>242</v>
      </c>
      <c r="V2871">
        <f t="shared" si="88"/>
        <v>244.35</v>
      </c>
      <c r="W2871">
        <f t="shared" si="89"/>
        <v>4.6999999999999886</v>
      </c>
      <c r="X2871">
        <v>13.783333000000001</v>
      </c>
      <c r="Y2871">
        <v>52.466667000000001</v>
      </c>
      <c r="Z2871" t="s">
        <v>520</v>
      </c>
      <c r="AA2871" t="s">
        <v>211</v>
      </c>
      <c r="AE2871" t="s">
        <v>1378</v>
      </c>
      <c r="AH2871" t="s">
        <v>72</v>
      </c>
      <c r="AI2871" t="s">
        <v>2013</v>
      </c>
      <c r="AJ2871">
        <v>1995</v>
      </c>
      <c r="AK2871" t="s">
        <v>4143</v>
      </c>
      <c r="AM2871" t="s">
        <v>4114</v>
      </c>
      <c r="AN2871" t="s">
        <v>192</v>
      </c>
      <c r="AO2871" t="s">
        <v>77</v>
      </c>
      <c r="AP2871" t="s">
        <v>115</v>
      </c>
      <c r="AR2871" t="s">
        <v>80</v>
      </c>
      <c r="AS2871">
        <v>315</v>
      </c>
      <c r="AT2871" t="s">
        <v>81</v>
      </c>
      <c r="AU2871">
        <v>30.91</v>
      </c>
      <c r="AV2871">
        <v>31.68</v>
      </c>
      <c r="AW2871" t="s">
        <v>82</v>
      </c>
      <c r="AX2871">
        <v>315</v>
      </c>
      <c r="AY2871" t="s">
        <v>81</v>
      </c>
      <c r="AZ2871">
        <v>20.59</v>
      </c>
      <c r="BA2871">
        <v>19.100000000000001</v>
      </c>
      <c r="BB2871" t="s">
        <v>83</v>
      </c>
    </row>
    <row r="2872" spans="1:54" x14ac:dyDescent="0.4">
      <c r="A2872">
        <v>1094921</v>
      </c>
      <c r="D2872" t="s">
        <v>54</v>
      </c>
      <c r="G2872">
        <v>1</v>
      </c>
      <c r="H2872" t="s">
        <v>84</v>
      </c>
      <c r="I2872" t="s">
        <v>57</v>
      </c>
      <c r="K2872" t="s">
        <v>1347</v>
      </c>
      <c r="L2872" t="s">
        <v>1348</v>
      </c>
      <c r="M2872" t="s">
        <v>223</v>
      </c>
      <c r="N2872" t="s">
        <v>485</v>
      </c>
      <c r="O2872" t="s">
        <v>1349</v>
      </c>
      <c r="P2872" t="s">
        <v>224</v>
      </c>
      <c r="R2872" t="s">
        <v>183</v>
      </c>
      <c r="S2872" t="s">
        <v>64</v>
      </c>
      <c r="T2872">
        <v>246.7</v>
      </c>
      <c r="U2872">
        <v>242</v>
      </c>
      <c r="V2872">
        <f t="shared" si="88"/>
        <v>244.35</v>
      </c>
      <c r="W2872">
        <f t="shared" si="89"/>
        <v>4.6999999999999886</v>
      </c>
      <c r="X2872">
        <v>10.866667</v>
      </c>
      <c r="Y2872">
        <v>51.366669000000002</v>
      </c>
      <c r="Z2872" t="s">
        <v>520</v>
      </c>
      <c r="AA2872" t="s">
        <v>211</v>
      </c>
      <c r="AC2872" t="s">
        <v>4216</v>
      </c>
      <c r="AD2872" t="s">
        <v>1378</v>
      </c>
      <c r="AF2872" t="s">
        <v>4217</v>
      </c>
      <c r="AH2872" t="s">
        <v>72</v>
      </c>
      <c r="AI2872" t="s">
        <v>2013</v>
      </c>
      <c r="AJ2872">
        <v>1995</v>
      </c>
      <c r="AK2872" t="s">
        <v>4218</v>
      </c>
      <c r="AN2872" t="s">
        <v>114</v>
      </c>
      <c r="AO2872" t="s">
        <v>160</v>
      </c>
      <c r="AP2872" t="s">
        <v>636</v>
      </c>
      <c r="AQ2872" t="s">
        <v>4219</v>
      </c>
      <c r="AR2872" t="s">
        <v>80</v>
      </c>
      <c r="AS2872">
        <v>315</v>
      </c>
      <c r="AT2872" t="s">
        <v>81</v>
      </c>
      <c r="AU2872">
        <v>29.21</v>
      </c>
      <c r="AV2872">
        <v>30.16</v>
      </c>
      <c r="AW2872" t="s">
        <v>82</v>
      </c>
      <c r="AX2872">
        <v>315</v>
      </c>
      <c r="AY2872" t="s">
        <v>81</v>
      </c>
      <c r="AZ2872">
        <v>19.350000000000001</v>
      </c>
      <c r="BA2872">
        <v>17.350000000000001</v>
      </c>
      <c r="BB2872" t="s">
        <v>83</v>
      </c>
    </row>
    <row r="2873" spans="1:54" x14ac:dyDescent="0.4">
      <c r="A2873">
        <v>1106822</v>
      </c>
      <c r="D2873" t="s">
        <v>54</v>
      </c>
      <c r="I2873" t="s">
        <v>57</v>
      </c>
      <c r="K2873" t="s">
        <v>141</v>
      </c>
      <c r="L2873" t="s">
        <v>1043</v>
      </c>
      <c r="M2873" t="s">
        <v>60</v>
      </c>
      <c r="P2873" t="s">
        <v>224</v>
      </c>
      <c r="R2873" t="s">
        <v>183</v>
      </c>
      <c r="S2873" t="s">
        <v>64</v>
      </c>
      <c r="T2873">
        <v>246.7</v>
      </c>
      <c r="U2873">
        <v>242</v>
      </c>
      <c r="V2873">
        <f t="shared" si="88"/>
        <v>244.35</v>
      </c>
      <c r="W2873">
        <f t="shared" si="89"/>
        <v>4.6999999999999886</v>
      </c>
      <c r="X2873">
        <v>11.64</v>
      </c>
      <c r="Y2873">
        <v>49.959999000000003</v>
      </c>
      <c r="Z2873" t="s">
        <v>520</v>
      </c>
      <c r="AA2873" t="s">
        <v>211</v>
      </c>
      <c r="AE2873" t="s">
        <v>1378</v>
      </c>
      <c r="AH2873" t="s">
        <v>11</v>
      </c>
      <c r="AI2873" t="s">
        <v>693</v>
      </c>
      <c r="AJ2873">
        <v>1905</v>
      </c>
      <c r="AK2873" t="s">
        <v>4308</v>
      </c>
      <c r="AN2873" t="s">
        <v>114</v>
      </c>
      <c r="AO2873">
        <v>2</v>
      </c>
      <c r="AP2873" t="s">
        <v>78</v>
      </c>
      <c r="AR2873" t="s">
        <v>80</v>
      </c>
      <c r="AS2873">
        <v>305</v>
      </c>
      <c r="AT2873" t="s">
        <v>81</v>
      </c>
      <c r="AU2873">
        <v>30.15</v>
      </c>
      <c r="AV2873">
        <v>28.92</v>
      </c>
      <c r="AW2873" t="s">
        <v>82</v>
      </c>
      <c r="AX2873">
        <v>305</v>
      </c>
      <c r="AY2873" t="s">
        <v>81</v>
      </c>
      <c r="AZ2873">
        <v>20.41</v>
      </c>
      <c r="BA2873">
        <v>16.260000000000002</v>
      </c>
      <c r="BB2873" t="s">
        <v>83</v>
      </c>
    </row>
    <row r="2874" spans="1:54" x14ac:dyDescent="0.4">
      <c r="A2874">
        <v>1106823</v>
      </c>
      <c r="D2874" t="s">
        <v>54</v>
      </c>
      <c r="E2874" t="s">
        <v>152</v>
      </c>
      <c r="I2874" t="s">
        <v>57</v>
      </c>
      <c r="K2874" t="s">
        <v>746</v>
      </c>
      <c r="L2874" t="s">
        <v>4309</v>
      </c>
      <c r="M2874" t="s">
        <v>60</v>
      </c>
      <c r="P2874" t="s">
        <v>224</v>
      </c>
      <c r="R2874" t="s">
        <v>183</v>
      </c>
      <c r="S2874" t="s">
        <v>64</v>
      </c>
      <c r="T2874">
        <v>246.7</v>
      </c>
      <c r="U2874">
        <v>242</v>
      </c>
      <c r="V2874">
        <f t="shared" si="88"/>
        <v>244.35</v>
      </c>
      <c r="W2874">
        <f t="shared" si="89"/>
        <v>4.6999999999999886</v>
      </c>
      <c r="X2874">
        <v>17.628889000000001</v>
      </c>
      <c r="Y2874">
        <v>50.577778000000002</v>
      </c>
      <c r="Z2874" t="s">
        <v>520</v>
      </c>
      <c r="AA2874" t="s">
        <v>697</v>
      </c>
      <c r="AB2874" t="s">
        <v>3595</v>
      </c>
      <c r="AD2874" t="s">
        <v>4310</v>
      </c>
      <c r="AE2874" t="s">
        <v>1378</v>
      </c>
      <c r="AH2874" t="s">
        <v>72</v>
      </c>
      <c r="AI2874" t="s">
        <v>693</v>
      </c>
      <c r="AJ2874">
        <v>1905</v>
      </c>
      <c r="AK2874" t="s">
        <v>4311</v>
      </c>
      <c r="AN2874" t="s">
        <v>114</v>
      </c>
      <c r="AO2874" t="s">
        <v>77</v>
      </c>
      <c r="AP2874" t="s">
        <v>115</v>
      </c>
      <c r="AQ2874" t="s">
        <v>4312</v>
      </c>
      <c r="AR2874" t="s">
        <v>80</v>
      </c>
      <c r="AS2874">
        <v>305</v>
      </c>
      <c r="AT2874" t="s">
        <v>81</v>
      </c>
      <c r="AU2874">
        <v>34.21</v>
      </c>
      <c r="AV2874">
        <v>30.53</v>
      </c>
      <c r="AW2874" t="s">
        <v>82</v>
      </c>
      <c r="AX2874">
        <v>305</v>
      </c>
      <c r="AY2874" t="s">
        <v>81</v>
      </c>
      <c r="AZ2874">
        <v>23.74</v>
      </c>
      <c r="BA2874">
        <v>18.48</v>
      </c>
      <c r="BB2874" t="s">
        <v>83</v>
      </c>
    </row>
    <row r="2875" spans="1:54" x14ac:dyDescent="0.4">
      <c r="A2875">
        <v>1125596</v>
      </c>
      <c r="D2875" t="s">
        <v>54</v>
      </c>
      <c r="G2875">
        <v>2</v>
      </c>
      <c r="H2875" t="s">
        <v>84</v>
      </c>
      <c r="I2875" t="s">
        <v>57</v>
      </c>
      <c r="K2875" t="s">
        <v>141</v>
      </c>
      <c r="L2875" t="s">
        <v>4335</v>
      </c>
      <c r="M2875" t="s">
        <v>223</v>
      </c>
      <c r="P2875" t="s">
        <v>224</v>
      </c>
      <c r="R2875" t="s">
        <v>183</v>
      </c>
      <c r="S2875" t="s">
        <v>64</v>
      </c>
      <c r="T2875">
        <v>246.7</v>
      </c>
      <c r="U2875">
        <v>242</v>
      </c>
      <c r="V2875">
        <f t="shared" si="88"/>
        <v>244.35</v>
      </c>
      <c r="W2875">
        <f t="shared" si="89"/>
        <v>4.6999999999999886</v>
      </c>
      <c r="X2875">
        <v>6.7258329999999997</v>
      </c>
      <c r="Y2875">
        <v>51.968333999999999</v>
      </c>
      <c r="Z2875" t="s">
        <v>602</v>
      </c>
      <c r="AA2875" t="s">
        <v>3191</v>
      </c>
      <c r="AB2875" t="s">
        <v>3192</v>
      </c>
      <c r="AD2875" t="s">
        <v>3193</v>
      </c>
      <c r="AE2875" t="s">
        <v>1378</v>
      </c>
      <c r="AF2875" t="s">
        <v>3194</v>
      </c>
      <c r="AH2875" t="s">
        <v>72</v>
      </c>
      <c r="AI2875" t="s">
        <v>4336</v>
      </c>
      <c r="AJ2875">
        <v>2014</v>
      </c>
      <c r="AK2875" t="s">
        <v>4337</v>
      </c>
      <c r="AN2875" t="s">
        <v>192</v>
      </c>
      <c r="AO2875" t="s">
        <v>77</v>
      </c>
      <c r="AP2875" t="s">
        <v>78</v>
      </c>
      <c r="AR2875" t="s">
        <v>80</v>
      </c>
      <c r="AS2875">
        <v>315</v>
      </c>
      <c r="AT2875" t="s">
        <v>81</v>
      </c>
      <c r="AU2875">
        <v>26.16</v>
      </c>
      <c r="AV2875">
        <v>30.17</v>
      </c>
      <c r="AW2875" t="s">
        <v>82</v>
      </c>
      <c r="AX2875">
        <v>315</v>
      </c>
      <c r="AY2875" t="s">
        <v>81</v>
      </c>
      <c r="AZ2875">
        <v>16.62</v>
      </c>
      <c r="BA2875">
        <v>16.920000000000002</v>
      </c>
      <c r="BB2875" t="s">
        <v>83</v>
      </c>
    </row>
    <row r="2876" spans="1:54" x14ac:dyDescent="0.4">
      <c r="A2876">
        <v>1134215</v>
      </c>
      <c r="D2876" t="s">
        <v>54</v>
      </c>
      <c r="G2876">
        <v>1</v>
      </c>
      <c r="H2876" t="s">
        <v>56</v>
      </c>
      <c r="I2876" t="s">
        <v>57</v>
      </c>
      <c r="K2876" t="s">
        <v>141</v>
      </c>
      <c r="L2876" t="s">
        <v>4365</v>
      </c>
      <c r="M2876" t="s">
        <v>60</v>
      </c>
      <c r="O2876" t="s">
        <v>170</v>
      </c>
      <c r="P2876" t="s">
        <v>224</v>
      </c>
      <c r="R2876" t="s">
        <v>183</v>
      </c>
      <c r="S2876" t="s">
        <v>64</v>
      </c>
      <c r="T2876">
        <v>246.7</v>
      </c>
      <c r="U2876">
        <v>242</v>
      </c>
      <c r="V2876">
        <f t="shared" si="88"/>
        <v>244.35</v>
      </c>
      <c r="W2876">
        <f t="shared" si="89"/>
        <v>4.6999999999999886</v>
      </c>
      <c r="X2876">
        <v>26.700001</v>
      </c>
      <c r="Y2876">
        <v>-30.683332</v>
      </c>
      <c r="Z2876" t="s">
        <v>124</v>
      </c>
      <c r="AA2876" t="s">
        <v>106</v>
      </c>
      <c r="AB2876" t="s">
        <v>107</v>
      </c>
      <c r="AC2876" t="s">
        <v>2022</v>
      </c>
      <c r="AD2876" t="s">
        <v>2023</v>
      </c>
      <c r="AE2876" t="s">
        <v>110</v>
      </c>
      <c r="AG2876" t="s">
        <v>4366</v>
      </c>
      <c r="AH2876" t="s">
        <v>72</v>
      </c>
      <c r="AI2876" t="s">
        <v>2030</v>
      </c>
      <c r="AJ2876">
        <v>1995</v>
      </c>
      <c r="AK2876" t="s">
        <v>4367</v>
      </c>
      <c r="AN2876" t="s">
        <v>114</v>
      </c>
      <c r="AO2876" t="s">
        <v>160</v>
      </c>
      <c r="AP2876" t="s">
        <v>359</v>
      </c>
      <c r="AQ2876" t="s">
        <v>4368</v>
      </c>
      <c r="AR2876" t="s">
        <v>80</v>
      </c>
      <c r="AS2876">
        <v>701</v>
      </c>
      <c r="AT2876" t="s">
        <v>81</v>
      </c>
      <c r="AU2876">
        <v>-7.31</v>
      </c>
      <c r="AV2876">
        <v>-50.76</v>
      </c>
      <c r="AW2876" t="s">
        <v>82</v>
      </c>
      <c r="AX2876">
        <v>701</v>
      </c>
      <c r="AY2876" t="s">
        <v>81</v>
      </c>
      <c r="AZ2876">
        <v>-13.04</v>
      </c>
      <c r="BA2876">
        <v>-66.34</v>
      </c>
      <c r="BB2876" t="s">
        <v>83</v>
      </c>
    </row>
    <row r="2877" spans="1:54" x14ac:dyDescent="0.4">
      <c r="A2877">
        <v>1134215</v>
      </c>
      <c r="D2877" t="s">
        <v>54</v>
      </c>
      <c r="G2877">
        <v>1</v>
      </c>
      <c r="H2877" t="s">
        <v>56</v>
      </c>
      <c r="I2877" t="s">
        <v>57</v>
      </c>
      <c r="K2877" t="s">
        <v>141</v>
      </c>
      <c r="L2877" t="s">
        <v>4365</v>
      </c>
      <c r="M2877" t="s">
        <v>60</v>
      </c>
      <c r="O2877" t="s">
        <v>170</v>
      </c>
      <c r="P2877" t="s">
        <v>224</v>
      </c>
      <c r="R2877" t="s">
        <v>183</v>
      </c>
      <c r="S2877" t="s">
        <v>64</v>
      </c>
      <c r="T2877">
        <v>246.7</v>
      </c>
      <c r="U2877">
        <v>242</v>
      </c>
      <c r="V2877">
        <f t="shared" si="88"/>
        <v>244.35</v>
      </c>
      <c r="W2877">
        <f t="shared" si="89"/>
        <v>4.6999999999999886</v>
      </c>
      <c r="X2877">
        <v>26.700001</v>
      </c>
      <c r="Y2877">
        <v>-30.683332</v>
      </c>
      <c r="Z2877" t="s">
        <v>124</v>
      </c>
      <c r="AA2877" t="s">
        <v>106</v>
      </c>
      <c r="AB2877" t="s">
        <v>107</v>
      </c>
      <c r="AC2877" t="s">
        <v>2022</v>
      </c>
      <c r="AD2877" t="s">
        <v>2023</v>
      </c>
      <c r="AE2877" t="s">
        <v>110</v>
      </c>
      <c r="AG2877" t="s">
        <v>4366</v>
      </c>
      <c r="AH2877" t="s">
        <v>72</v>
      </c>
      <c r="AI2877" t="s">
        <v>2030</v>
      </c>
      <c r="AJ2877">
        <v>1995</v>
      </c>
      <c r="AK2877" t="s">
        <v>4367</v>
      </c>
      <c r="AN2877" t="s">
        <v>114</v>
      </c>
      <c r="AO2877" t="s">
        <v>160</v>
      </c>
      <c r="AP2877" t="s">
        <v>359</v>
      </c>
      <c r="AQ2877" t="s">
        <v>4368</v>
      </c>
      <c r="AR2877" t="s">
        <v>80</v>
      </c>
      <c r="AS2877">
        <v>701</v>
      </c>
      <c r="AT2877" t="s">
        <v>81</v>
      </c>
      <c r="AU2877">
        <v>-7.31</v>
      </c>
      <c r="AV2877">
        <v>-50.76</v>
      </c>
      <c r="AW2877" t="s">
        <v>82</v>
      </c>
      <c r="AX2877">
        <v>701</v>
      </c>
      <c r="AY2877" t="s">
        <v>81</v>
      </c>
      <c r="AZ2877">
        <v>-13.04</v>
      </c>
      <c r="BA2877">
        <v>-66.34</v>
      </c>
      <c r="BB2877" t="s">
        <v>83</v>
      </c>
    </row>
    <row r="2878" spans="1:54" x14ac:dyDescent="0.4">
      <c r="A2878">
        <v>1134313</v>
      </c>
      <c r="D2878" t="s">
        <v>54</v>
      </c>
      <c r="E2878" t="s">
        <v>55</v>
      </c>
      <c r="G2878">
        <v>1</v>
      </c>
      <c r="H2878" t="s">
        <v>56</v>
      </c>
      <c r="I2878" t="s">
        <v>57</v>
      </c>
      <c r="K2878" t="s">
        <v>141</v>
      </c>
      <c r="L2878" t="s">
        <v>4369</v>
      </c>
      <c r="M2878" t="s">
        <v>60</v>
      </c>
      <c r="P2878" t="s">
        <v>224</v>
      </c>
      <c r="R2878" t="s">
        <v>183</v>
      </c>
      <c r="S2878" t="s">
        <v>64</v>
      </c>
      <c r="T2878">
        <v>246.7</v>
      </c>
      <c r="U2878">
        <v>242</v>
      </c>
      <c r="V2878">
        <f t="shared" si="88"/>
        <v>244.35</v>
      </c>
      <c r="W2878">
        <f t="shared" si="89"/>
        <v>4.6999999999999886</v>
      </c>
      <c r="X2878">
        <v>35.236111000000001</v>
      </c>
      <c r="Y2878">
        <v>-10.358333</v>
      </c>
      <c r="Z2878" t="s">
        <v>105</v>
      </c>
      <c r="AA2878" t="s">
        <v>1366</v>
      </c>
      <c r="AB2878" t="s">
        <v>1367</v>
      </c>
      <c r="AC2878" t="s">
        <v>1368</v>
      </c>
      <c r="AD2878" t="s">
        <v>1369</v>
      </c>
      <c r="AF2878" t="s">
        <v>1370</v>
      </c>
      <c r="AG2878" t="s">
        <v>4370</v>
      </c>
      <c r="AH2878" t="s">
        <v>72</v>
      </c>
      <c r="AI2878" t="s">
        <v>1127</v>
      </c>
      <c r="AJ2878">
        <v>2013</v>
      </c>
      <c r="AK2878" t="s">
        <v>4371</v>
      </c>
      <c r="AN2878" t="s">
        <v>192</v>
      </c>
      <c r="AO2878" t="s">
        <v>77</v>
      </c>
      <c r="AP2878" t="s">
        <v>78</v>
      </c>
      <c r="AQ2878" t="s">
        <v>4372</v>
      </c>
      <c r="AR2878" t="s">
        <v>80</v>
      </c>
      <c r="AS2878">
        <v>701</v>
      </c>
      <c r="AT2878" t="s">
        <v>81</v>
      </c>
      <c r="AU2878">
        <v>20.5</v>
      </c>
      <c r="AV2878">
        <v>-40.47</v>
      </c>
      <c r="AW2878" t="s">
        <v>82</v>
      </c>
      <c r="AX2878">
        <v>709</v>
      </c>
      <c r="AY2878" t="s">
        <v>81</v>
      </c>
      <c r="AZ2878">
        <v>22.49</v>
      </c>
      <c r="BA2878">
        <v>-53.48</v>
      </c>
      <c r="BB2878" t="s">
        <v>83</v>
      </c>
    </row>
    <row r="2879" spans="1:54" x14ac:dyDescent="0.4">
      <c r="A2879">
        <v>1163590</v>
      </c>
      <c r="D2879" t="s">
        <v>54</v>
      </c>
      <c r="G2879">
        <v>2</v>
      </c>
      <c r="H2879" t="s">
        <v>84</v>
      </c>
      <c r="I2879" t="s">
        <v>57</v>
      </c>
      <c r="K2879" t="s">
        <v>141</v>
      </c>
      <c r="L2879" t="s">
        <v>4455</v>
      </c>
      <c r="M2879" t="s">
        <v>60</v>
      </c>
      <c r="O2879" t="s">
        <v>87</v>
      </c>
      <c r="P2879" t="s">
        <v>224</v>
      </c>
      <c r="R2879" t="s">
        <v>183</v>
      </c>
      <c r="S2879" t="s">
        <v>64</v>
      </c>
      <c r="T2879">
        <v>246.7</v>
      </c>
      <c r="U2879">
        <v>242</v>
      </c>
      <c r="V2879">
        <f t="shared" si="88"/>
        <v>244.35</v>
      </c>
      <c r="W2879">
        <f t="shared" si="89"/>
        <v>4.6999999999999886</v>
      </c>
      <c r="X2879">
        <v>53.5</v>
      </c>
      <c r="Y2879">
        <v>52.533332999999999</v>
      </c>
      <c r="Z2879" t="s">
        <v>406</v>
      </c>
      <c r="AA2879" t="s">
        <v>239</v>
      </c>
      <c r="AB2879" t="s">
        <v>399</v>
      </c>
      <c r="AD2879" t="s">
        <v>2792</v>
      </c>
      <c r="AH2879" t="s">
        <v>72</v>
      </c>
      <c r="AI2879" t="s">
        <v>4456</v>
      </c>
      <c r="AJ2879">
        <v>1985</v>
      </c>
      <c r="AK2879" t="s">
        <v>3228</v>
      </c>
      <c r="AM2879" t="s">
        <v>3229</v>
      </c>
      <c r="AN2879" t="s">
        <v>192</v>
      </c>
      <c r="AO2879" t="s">
        <v>160</v>
      </c>
      <c r="AP2879" t="s">
        <v>78</v>
      </c>
      <c r="AQ2879" t="s">
        <v>3230</v>
      </c>
      <c r="AR2879" t="s">
        <v>80</v>
      </c>
      <c r="AS2879">
        <v>302</v>
      </c>
      <c r="AT2879" t="s">
        <v>81</v>
      </c>
      <c r="AU2879">
        <v>58.25</v>
      </c>
      <c r="AV2879">
        <v>41.34</v>
      </c>
      <c r="AW2879" t="s">
        <v>82</v>
      </c>
      <c r="AX2879">
        <v>301</v>
      </c>
      <c r="AY2879" t="s">
        <v>81</v>
      </c>
      <c r="AZ2879">
        <v>41.84</v>
      </c>
      <c r="BA2879">
        <v>33.630000000000003</v>
      </c>
      <c r="BB2879" t="s">
        <v>83</v>
      </c>
    </row>
    <row r="2880" spans="1:54" x14ac:dyDescent="0.4">
      <c r="A2880">
        <v>1242875</v>
      </c>
      <c r="D2880" t="s">
        <v>54</v>
      </c>
      <c r="G2880">
        <v>1</v>
      </c>
      <c r="H2880" t="s">
        <v>56</v>
      </c>
      <c r="I2880" t="s">
        <v>57</v>
      </c>
      <c r="K2880" t="s">
        <v>1873</v>
      </c>
      <c r="L2880" t="s">
        <v>2385</v>
      </c>
      <c r="M2880" t="s">
        <v>60</v>
      </c>
      <c r="P2880" t="s">
        <v>224</v>
      </c>
      <c r="R2880" t="s">
        <v>183</v>
      </c>
      <c r="S2880" t="s">
        <v>64</v>
      </c>
      <c r="T2880">
        <v>246.7</v>
      </c>
      <c r="U2880">
        <v>242</v>
      </c>
      <c r="V2880">
        <f t="shared" si="88"/>
        <v>244.35</v>
      </c>
      <c r="W2880">
        <f t="shared" si="89"/>
        <v>4.6999999999999886</v>
      </c>
      <c r="X2880">
        <v>26.966667000000001</v>
      </c>
      <c r="Y2880">
        <v>-30.833331999999999</v>
      </c>
      <c r="Z2880" t="s">
        <v>124</v>
      </c>
      <c r="AA2880" t="s">
        <v>106</v>
      </c>
      <c r="AB2880" t="s">
        <v>107</v>
      </c>
      <c r="AE2880" t="s">
        <v>619</v>
      </c>
      <c r="AH2880" t="s">
        <v>72</v>
      </c>
      <c r="AI2880" t="s">
        <v>2370</v>
      </c>
      <c r="AJ2880">
        <v>1908</v>
      </c>
      <c r="AK2880" t="s">
        <v>4522</v>
      </c>
      <c r="AN2880" t="s">
        <v>849</v>
      </c>
      <c r="AO2880" t="s">
        <v>160</v>
      </c>
      <c r="AQ2880" t="s">
        <v>4523</v>
      </c>
      <c r="AR2880" t="s">
        <v>80</v>
      </c>
      <c r="AS2880">
        <v>701</v>
      </c>
      <c r="AT2880" t="s">
        <v>81</v>
      </c>
      <c r="AU2880">
        <v>-7.25</v>
      </c>
      <c r="AV2880">
        <v>-51.04</v>
      </c>
      <c r="AW2880" t="s">
        <v>82</v>
      </c>
      <c r="AX2880">
        <v>701</v>
      </c>
      <c r="AY2880" t="s">
        <v>81</v>
      </c>
      <c r="AZ2880">
        <v>-12.95</v>
      </c>
      <c r="BA2880">
        <v>-66.61</v>
      </c>
      <c r="BB2880" t="s">
        <v>83</v>
      </c>
    </row>
    <row r="2881" spans="1:54" x14ac:dyDescent="0.4">
      <c r="A2881">
        <v>1266936</v>
      </c>
      <c r="D2881" t="s">
        <v>54</v>
      </c>
      <c r="G2881">
        <v>1</v>
      </c>
      <c r="H2881" t="s">
        <v>56</v>
      </c>
      <c r="I2881" t="s">
        <v>57</v>
      </c>
      <c r="K2881" t="s">
        <v>141</v>
      </c>
      <c r="L2881" t="s">
        <v>3157</v>
      </c>
      <c r="M2881" t="s">
        <v>60</v>
      </c>
      <c r="P2881" t="s">
        <v>224</v>
      </c>
      <c r="R2881" t="s">
        <v>183</v>
      </c>
      <c r="S2881" t="s">
        <v>64</v>
      </c>
      <c r="T2881">
        <v>246.7</v>
      </c>
      <c r="U2881">
        <v>242</v>
      </c>
      <c r="V2881">
        <f t="shared" si="88"/>
        <v>244.35</v>
      </c>
      <c r="W2881">
        <f t="shared" si="89"/>
        <v>4.6999999999999886</v>
      </c>
      <c r="X2881">
        <v>26.700001</v>
      </c>
      <c r="Y2881">
        <v>-30.683332</v>
      </c>
      <c r="Z2881" t="s">
        <v>124</v>
      </c>
      <c r="AA2881" t="s">
        <v>106</v>
      </c>
      <c r="AB2881" t="s">
        <v>107</v>
      </c>
      <c r="AC2881" t="s">
        <v>2022</v>
      </c>
      <c r="AD2881" t="s">
        <v>2023</v>
      </c>
      <c r="AE2881" t="s">
        <v>110</v>
      </c>
      <c r="AG2881" t="s">
        <v>2024</v>
      </c>
      <c r="AH2881" t="s">
        <v>72</v>
      </c>
      <c r="AI2881" t="s">
        <v>1633</v>
      </c>
      <c r="AJ2881">
        <v>1999</v>
      </c>
      <c r="AK2881" t="s">
        <v>4524</v>
      </c>
      <c r="AN2881" t="s">
        <v>114</v>
      </c>
      <c r="AO2881" t="s">
        <v>160</v>
      </c>
      <c r="AP2881" t="s">
        <v>359</v>
      </c>
      <c r="AQ2881" t="s">
        <v>4525</v>
      </c>
      <c r="AR2881" t="s">
        <v>80</v>
      </c>
      <c r="AS2881">
        <v>701</v>
      </c>
      <c r="AT2881" t="s">
        <v>81</v>
      </c>
      <c r="AU2881">
        <v>-7.31</v>
      </c>
      <c r="AV2881">
        <v>-50.76</v>
      </c>
      <c r="AW2881" t="s">
        <v>82</v>
      </c>
      <c r="AX2881">
        <v>701</v>
      </c>
      <c r="AY2881" t="s">
        <v>81</v>
      </c>
      <c r="AZ2881">
        <v>-13.04</v>
      </c>
      <c r="BA2881">
        <v>-66.34</v>
      </c>
      <c r="BB2881" t="s">
        <v>83</v>
      </c>
    </row>
    <row r="2882" spans="1:54" x14ac:dyDescent="0.4">
      <c r="A2882">
        <v>1284944</v>
      </c>
      <c r="D2882" t="s">
        <v>54</v>
      </c>
      <c r="E2882" t="s">
        <v>152</v>
      </c>
      <c r="G2882">
        <v>1</v>
      </c>
      <c r="H2882" t="s">
        <v>56</v>
      </c>
      <c r="I2882" t="s">
        <v>57</v>
      </c>
      <c r="K2882" t="s">
        <v>141</v>
      </c>
      <c r="L2882" t="s">
        <v>4532</v>
      </c>
      <c r="M2882" t="s">
        <v>60</v>
      </c>
      <c r="O2882" t="s">
        <v>170</v>
      </c>
      <c r="P2882" t="s">
        <v>224</v>
      </c>
      <c r="R2882" t="s">
        <v>183</v>
      </c>
      <c r="S2882" t="s">
        <v>64</v>
      </c>
      <c r="T2882">
        <v>246.7</v>
      </c>
      <c r="U2882">
        <v>242</v>
      </c>
      <c r="V2882">
        <f t="shared" si="88"/>
        <v>244.35</v>
      </c>
      <c r="W2882">
        <f t="shared" si="89"/>
        <v>4.6999999999999886</v>
      </c>
      <c r="X2882">
        <v>26.623055999999998</v>
      </c>
      <c r="Y2882">
        <v>-30.612223</v>
      </c>
      <c r="Z2882" t="s">
        <v>124</v>
      </c>
      <c r="AA2882" t="s">
        <v>106</v>
      </c>
      <c r="AB2882" t="s">
        <v>1625</v>
      </c>
      <c r="AD2882" t="s">
        <v>2023</v>
      </c>
      <c r="AE2882" t="s">
        <v>110</v>
      </c>
      <c r="AH2882" t="s">
        <v>72</v>
      </c>
      <c r="AI2882" t="s">
        <v>1482</v>
      </c>
      <c r="AJ2882">
        <v>2015</v>
      </c>
      <c r="AK2882" t="s">
        <v>4533</v>
      </c>
      <c r="AN2882" t="s">
        <v>76</v>
      </c>
      <c r="AO2882" t="s">
        <v>77</v>
      </c>
      <c r="AR2882" t="s">
        <v>80</v>
      </c>
      <c r="AS2882">
        <v>701</v>
      </c>
      <c r="AT2882" t="s">
        <v>81</v>
      </c>
      <c r="AU2882">
        <v>-7.29</v>
      </c>
      <c r="AV2882">
        <v>-50.67</v>
      </c>
      <c r="AW2882" t="s">
        <v>82</v>
      </c>
      <c r="AX2882">
        <v>701</v>
      </c>
      <c r="AY2882" t="s">
        <v>81</v>
      </c>
      <c r="AZ2882">
        <v>-13.01</v>
      </c>
      <c r="BA2882">
        <v>-66.25</v>
      </c>
      <c r="BB2882" t="s">
        <v>83</v>
      </c>
    </row>
    <row r="2883" spans="1:54" x14ac:dyDescent="0.4">
      <c r="A2883">
        <v>1284945</v>
      </c>
      <c r="D2883" t="s">
        <v>54</v>
      </c>
      <c r="E2883" t="s">
        <v>152</v>
      </c>
      <c r="I2883" t="s">
        <v>57</v>
      </c>
      <c r="K2883" t="s">
        <v>1873</v>
      </c>
      <c r="L2883" t="s">
        <v>2385</v>
      </c>
      <c r="M2883" t="s">
        <v>60</v>
      </c>
      <c r="P2883" t="s">
        <v>224</v>
      </c>
      <c r="R2883" t="s">
        <v>183</v>
      </c>
      <c r="S2883" t="s">
        <v>64</v>
      </c>
      <c r="T2883">
        <v>246.7</v>
      </c>
      <c r="U2883">
        <v>242</v>
      </c>
      <c r="V2883">
        <f t="shared" ref="V2883:V2946" si="90">(T2883+U2883)/2</f>
        <v>244.35</v>
      </c>
      <c r="W2883">
        <f t="shared" ref="W2883:W2946" si="91">T2883-U2883</f>
        <v>4.6999999999999886</v>
      </c>
      <c r="X2883">
        <v>26.623055999999998</v>
      </c>
      <c r="Y2883">
        <v>-30.612223</v>
      </c>
      <c r="Z2883" t="s">
        <v>124</v>
      </c>
      <c r="AA2883" t="s">
        <v>106</v>
      </c>
      <c r="AB2883" t="s">
        <v>1625</v>
      </c>
      <c r="AD2883" t="s">
        <v>2023</v>
      </c>
      <c r="AE2883" t="s">
        <v>110</v>
      </c>
      <c r="AH2883" t="s">
        <v>72</v>
      </c>
      <c r="AI2883" t="s">
        <v>1482</v>
      </c>
      <c r="AJ2883">
        <v>2015</v>
      </c>
      <c r="AK2883" t="s">
        <v>4533</v>
      </c>
      <c r="AN2883" t="s">
        <v>76</v>
      </c>
      <c r="AO2883" t="s">
        <v>77</v>
      </c>
      <c r="AR2883" t="s">
        <v>80</v>
      </c>
      <c r="AS2883">
        <v>701</v>
      </c>
      <c r="AT2883" t="s">
        <v>81</v>
      </c>
      <c r="AU2883">
        <v>-7.29</v>
      </c>
      <c r="AV2883">
        <v>-50.67</v>
      </c>
      <c r="AW2883" t="s">
        <v>82</v>
      </c>
      <c r="AX2883">
        <v>701</v>
      </c>
      <c r="AY2883" t="s">
        <v>81</v>
      </c>
      <c r="AZ2883">
        <v>-13.01</v>
      </c>
      <c r="BA2883">
        <v>-66.25</v>
      </c>
      <c r="BB2883" t="s">
        <v>83</v>
      </c>
    </row>
    <row r="2884" spans="1:54" x14ac:dyDescent="0.4">
      <c r="A2884">
        <v>1308749</v>
      </c>
      <c r="D2884" t="s">
        <v>54</v>
      </c>
      <c r="E2884" t="s">
        <v>55</v>
      </c>
      <c r="G2884">
        <v>1</v>
      </c>
      <c r="H2884" t="s">
        <v>56</v>
      </c>
      <c r="I2884" t="s">
        <v>57</v>
      </c>
      <c r="K2884" t="s">
        <v>1873</v>
      </c>
      <c r="L2884" t="s">
        <v>3455</v>
      </c>
      <c r="M2884" t="s">
        <v>60</v>
      </c>
      <c r="P2884" t="s">
        <v>224</v>
      </c>
      <c r="R2884" t="s">
        <v>183</v>
      </c>
      <c r="S2884" t="s">
        <v>64</v>
      </c>
      <c r="T2884">
        <v>246.7</v>
      </c>
      <c r="U2884">
        <v>242</v>
      </c>
      <c r="V2884">
        <f t="shared" si="90"/>
        <v>244.35</v>
      </c>
      <c r="W2884">
        <f t="shared" si="91"/>
        <v>4.6999999999999886</v>
      </c>
      <c r="X2884">
        <v>110.44388600000001</v>
      </c>
      <c r="Y2884">
        <v>36.147221000000002</v>
      </c>
      <c r="Z2884" t="s">
        <v>124</v>
      </c>
      <c r="AA2884" t="s">
        <v>379</v>
      </c>
      <c r="AB2884" t="s">
        <v>1537</v>
      </c>
      <c r="AD2884" t="s">
        <v>2585</v>
      </c>
      <c r="AF2884" t="s">
        <v>1188</v>
      </c>
      <c r="AH2884" t="s">
        <v>72</v>
      </c>
      <c r="AI2884" t="s">
        <v>1815</v>
      </c>
      <c r="AJ2884">
        <v>2013</v>
      </c>
      <c r="AK2884" t="s">
        <v>4635</v>
      </c>
      <c r="AN2884" t="s">
        <v>114</v>
      </c>
      <c r="AO2884" t="s">
        <v>77</v>
      </c>
      <c r="AP2884" t="s">
        <v>115</v>
      </c>
      <c r="AR2884" t="s">
        <v>80</v>
      </c>
      <c r="AS2884">
        <v>604</v>
      </c>
      <c r="AT2884" t="s">
        <v>81</v>
      </c>
      <c r="AU2884">
        <v>116.15</v>
      </c>
      <c r="AV2884">
        <v>14.19</v>
      </c>
      <c r="AW2884" t="s">
        <v>82</v>
      </c>
      <c r="AX2884">
        <v>604</v>
      </c>
      <c r="AY2884" t="s">
        <v>81</v>
      </c>
      <c r="AZ2884">
        <v>89.06</v>
      </c>
      <c r="BA2884">
        <v>36.19</v>
      </c>
      <c r="BB2884" t="s">
        <v>83</v>
      </c>
    </row>
    <row r="2885" spans="1:54" x14ac:dyDescent="0.4">
      <c r="A2885">
        <v>1332742</v>
      </c>
      <c r="D2885" t="s">
        <v>54</v>
      </c>
      <c r="I2885" t="s">
        <v>57</v>
      </c>
      <c r="K2885" t="s">
        <v>1873</v>
      </c>
      <c r="L2885" t="s">
        <v>2385</v>
      </c>
      <c r="M2885" t="s">
        <v>60</v>
      </c>
      <c r="P2885" t="s">
        <v>224</v>
      </c>
      <c r="R2885" t="s">
        <v>183</v>
      </c>
      <c r="S2885" t="s">
        <v>64</v>
      </c>
      <c r="T2885">
        <v>246.7</v>
      </c>
      <c r="U2885">
        <v>242</v>
      </c>
      <c r="V2885">
        <f t="shared" si="90"/>
        <v>244.35</v>
      </c>
      <c r="W2885">
        <f t="shared" si="91"/>
        <v>4.6999999999999886</v>
      </c>
      <c r="X2885">
        <v>27.241112000000001</v>
      </c>
      <c r="Y2885">
        <v>-31.712499999999999</v>
      </c>
      <c r="Z2885" t="s">
        <v>124</v>
      </c>
      <c r="AA2885" t="s">
        <v>106</v>
      </c>
      <c r="AB2885" t="s">
        <v>107</v>
      </c>
      <c r="AD2885" t="s">
        <v>2023</v>
      </c>
      <c r="AE2885" t="s">
        <v>110</v>
      </c>
      <c r="AG2885" t="s">
        <v>4714</v>
      </c>
      <c r="AH2885" t="s">
        <v>72</v>
      </c>
      <c r="AI2885" t="s">
        <v>3650</v>
      </c>
      <c r="AJ2885">
        <v>1977</v>
      </c>
      <c r="AK2885" t="s">
        <v>4715</v>
      </c>
      <c r="AN2885" t="s">
        <v>192</v>
      </c>
      <c r="AO2885" t="s">
        <v>77</v>
      </c>
      <c r="AP2885" t="s">
        <v>78</v>
      </c>
      <c r="AQ2885" t="s">
        <v>4716</v>
      </c>
      <c r="AR2885" t="s">
        <v>80</v>
      </c>
      <c r="AS2885">
        <v>701</v>
      </c>
      <c r="AT2885" t="s">
        <v>81</v>
      </c>
      <c r="AU2885">
        <v>-8.09</v>
      </c>
      <c r="AV2885">
        <v>-51.78</v>
      </c>
      <c r="AW2885" t="s">
        <v>82</v>
      </c>
      <c r="AX2885">
        <v>701</v>
      </c>
      <c r="AY2885" t="s">
        <v>81</v>
      </c>
      <c r="AZ2885">
        <v>-14.29</v>
      </c>
      <c r="BA2885">
        <v>-67.36</v>
      </c>
      <c r="BB2885" t="s">
        <v>83</v>
      </c>
    </row>
    <row r="2886" spans="1:54" x14ac:dyDescent="0.4">
      <c r="A2886">
        <v>1340356</v>
      </c>
      <c r="D2886" t="s">
        <v>54</v>
      </c>
      <c r="E2886" t="s">
        <v>55</v>
      </c>
      <c r="F2886" t="s">
        <v>1283</v>
      </c>
      <c r="G2886">
        <v>3</v>
      </c>
      <c r="H2886" t="s">
        <v>84</v>
      </c>
      <c r="I2886" t="s">
        <v>57</v>
      </c>
      <c r="K2886" t="s">
        <v>180</v>
      </c>
      <c r="L2886" t="s">
        <v>3136</v>
      </c>
      <c r="M2886" t="s">
        <v>60</v>
      </c>
      <c r="N2886" t="s">
        <v>119</v>
      </c>
      <c r="P2886" t="s">
        <v>224</v>
      </c>
      <c r="R2886" t="s">
        <v>183</v>
      </c>
      <c r="S2886" t="s">
        <v>64</v>
      </c>
      <c r="T2886">
        <v>246.7</v>
      </c>
      <c r="U2886">
        <v>242</v>
      </c>
      <c r="V2886">
        <f t="shared" si="90"/>
        <v>244.35</v>
      </c>
      <c r="W2886">
        <f t="shared" si="91"/>
        <v>4.6999999999999886</v>
      </c>
      <c r="X2886">
        <v>35.133330999999998</v>
      </c>
      <c r="Y2886">
        <v>-10.3</v>
      </c>
      <c r="Z2886" t="s">
        <v>124</v>
      </c>
      <c r="AA2886" t="s">
        <v>1366</v>
      </c>
      <c r="AB2886" t="s">
        <v>1367</v>
      </c>
      <c r="AD2886" t="s">
        <v>1369</v>
      </c>
      <c r="AF2886" t="s">
        <v>1370</v>
      </c>
      <c r="AG2886" t="s">
        <v>1371</v>
      </c>
      <c r="AH2886" t="s">
        <v>72</v>
      </c>
      <c r="AI2886" t="s">
        <v>4741</v>
      </c>
      <c r="AJ2886">
        <v>2016</v>
      </c>
      <c r="AK2886" t="s">
        <v>4742</v>
      </c>
      <c r="AN2886" t="s">
        <v>114</v>
      </c>
      <c r="AO2886" t="s">
        <v>160</v>
      </c>
      <c r="AP2886" t="s">
        <v>115</v>
      </c>
      <c r="AQ2886" t="s">
        <v>4743</v>
      </c>
      <c r="AR2886" t="s">
        <v>80</v>
      </c>
      <c r="AS2886">
        <v>701</v>
      </c>
      <c r="AT2886" t="s">
        <v>81</v>
      </c>
      <c r="AU2886">
        <v>20.43</v>
      </c>
      <c r="AV2886">
        <v>-40.369999999999997</v>
      </c>
      <c r="AW2886" t="s">
        <v>82</v>
      </c>
      <c r="AX2886">
        <v>709</v>
      </c>
      <c r="AY2886" t="s">
        <v>81</v>
      </c>
      <c r="AZ2886">
        <v>22.36</v>
      </c>
      <c r="BA2886">
        <v>-53.39</v>
      </c>
      <c r="BB2886" t="s">
        <v>83</v>
      </c>
    </row>
    <row r="2887" spans="1:54" x14ac:dyDescent="0.4">
      <c r="A2887">
        <v>1340357</v>
      </c>
      <c r="D2887" t="s">
        <v>54</v>
      </c>
      <c r="G2887">
        <v>1</v>
      </c>
      <c r="H2887" t="s">
        <v>84</v>
      </c>
      <c r="I2887" t="s">
        <v>57</v>
      </c>
      <c r="K2887" t="s">
        <v>180</v>
      </c>
      <c r="L2887" t="s">
        <v>3136</v>
      </c>
      <c r="M2887" t="s">
        <v>60</v>
      </c>
      <c r="N2887" t="s">
        <v>119</v>
      </c>
      <c r="P2887" t="s">
        <v>224</v>
      </c>
      <c r="R2887" t="s">
        <v>183</v>
      </c>
      <c r="S2887" t="s">
        <v>64</v>
      </c>
      <c r="T2887">
        <v>246.7</v>
      </c>
      <c r="U2887">
        <v>242</v>
      </c>
      <c r="V2887">
        <f t="shared" si="90"/>
        <v>244.35</v>
      </c>
      <c r="W2887">
        <f t="shared" si="91"/>
        <v>4.6999999999999886</v>
      </c>
      <c r="X2887">
        <v>35.133330999999998</v>
      </c>
      <c r="Y2887">
        <v>-10.3</v>
      </c>
      <c r="Z2887" t="s">
        <v>124</v>
      </c>
      <c r="AA2887" t="s">
        <v>1366</v>
      </c>
      <c r="AB2887" t="s">
        <v>1367</v>
      </c>
      <c r="AD2887" t="s">
        <v>1369</v>
      </c>
      <c r="AF2887" t="s">
        <v>1370</v>
      </c>
      <c r="AG2887" t="s">
        <v>1371</v>
      </c>
      <c r="AH2887" t="s">
        <v>72</v>
      </c>
      <c r="AI2887" t="s">
        <v>4741</v>
      </c>
      <c r="AJ2887">
        <v>2016</v>
      </c>
      <c r="AK2887" t="s">
        <v>4744</v>
      </c>
      <c r="AN2887" t="s">
        <v>114</v>
      </c>
      <c r="AO2887" t="s">
        <v>160</v>
      </c>
      <c r="AP2887" t="s">
        <v>115</v>
      </c>
      <c r="AQ2887" t="s">
        <v>4743</v>
      </c>
      <c r="AR2887" t="s">
        <v>80</v>
      </c>
      <c r="AS2887">
        <v>701</v>
      </c>
      <c r="AT2887" t="s">
        <v>81</v>
      </c>
      <c r="AU2887">
        <v>20.43</v>
      </c>
      <c r="AV2887">
        <v>-40.369999999999997</v>
      </c>
      <c r="AW2887" t="s">
        <v>82</v>
      </c>
      <c r="AX2887">
        <v>709</v>
      </c>
      <c r="AY2887" t="s">
        <v>81</v>
      </c>
      <c r="AZ2887">
        <v>22.36</v>
      </c>
      <c r="BA2887">
        <v>-53.39</v>
      </c>
      <c r="BB2887" t="s">
        <v>83</v>
      </c>
    </row>
    <row r="2888" spans="1:54" x14ac:dyDescent="0.4">
      <c r="A2888">
        <v>1340358</v>
      </c>
      <c r="D2888" t="s">
        <v>54</v>
      </c>
      <c r="E2888" t="s">
        <v>55</v>
      </c>
      <c r="F2888" t="s">
        <v>1283</v>
      </c>
      <c r="G2888">
        <v>1</v>
      </c>
      <c r="H2888" t="s">
        <v>56</v>
      </c>
      <c r="I2888" t="s">
        <v>57</v>
      </c>
      <c r="K2888" t="s">
        <v>180</v>
      </c>
      <c r="L2888" t="s">
        <v>3136</v>
      </c>
      <c r="M2888" t="s">
        <v>60</v>
      </c>
      <c r="N2888" t="s">
        <v>119</v>
      </c>
      <c r="P2888" t="s">
        <v>224</v>
      </c>
      <c r="R2888" t="s">
        <v>183</v>
      </c>
      <c r="S2888" t="s">
        <v>64</v>
      </c>
      <c r="T2888">
        <v>246.7</v>
      </c>
      <c r="U2888">
        <v>242</v>
      </c>
      <c r="V2888">
        <f t="shared" si="90"/>
        <v>244.35</v>
      </c>
      <c r="W2888">
        <f t="shared" si="91"/>
        <v>4.6999999999999886</v>
      </c>
      <c r="X2888">
        <v>35.341800999999997</v>
      </c>
      <c r="Y2888">
        <v>-10.128299999999999</v>
      </c>
      <c r="Z2888" t="s">
        <v>124</v>
      </c>
      <c r="AA2888" t="s">
        <v>1366</v>
      </c>
      <c r="AB2888" t="s">
        <v>1367</v>
      </c>
      <c r="AD2888" t="s">
        <v>1369</v>
      </c>
      <c r="AF2888" t="s">
        <v>1370</v>
      </c>
      <c r="AG2888" t="s">
        <v>1371</v>
      </c>
      <c r="AH2888" t="s">
        <v>72</v>
      </c>
      <c r="AI2888" t="s">
        <v>4741</v>
      </c>
      <c r="AJ2888">
        <v>2016</v>
      </c>
      <c r="AK2888" t="s">
        <v>4745</v>
      </c>
      <c r="AN2888" t="s">
        <v>114</v>
      </c>
      <c r="AO2888">
        <v>4</v>
      </c>
      <c r="AP2888" t="s">
        <v>115</v>
      </c>
      <c r="AQ2888" t="s">
        <v>4746</v>
      </c>
      <c r="AR2888" t="s">
        <v>80</v>
      </c>
      <c r="AS2888">
        <v>701</v>
      </c>
      <c r="AT2888" t="s">
        <v>81</v>
      </c>
      <c r="AU2888">
        <v>20.77</v>
      </c>
      <c r="AV2888">
        <v>-40.33</v>
      </c>
      <c r="AW2888" t="s">
        <v>82</v>
      </c>
      <c r="AX2888">
        <v>709</v>
      </c>
      <c r="AY2888" t="s">
        <v>81</v>
      </c>
      <c r="AZ2888">
        <v>22.77</v>
      </c>
      <c r="BA2888">
        <v>-53.29</v>
      </c>
      <c r="BB2888" t="s">
        <v>83</v>
      </c>
    </row>
    <row r="2889" spans="1:54" x14ac:dyDescent="0.4">
      <c r="A2889">
        <v>1340358</v>
      </c>
      <c r="D2889" t="s">
        <v>54</v>
      </c>
      <c r="E2889" t="s">
        <v>55</v>
      </c>
      <c r="F2889" t="s">
        <v>1283</v>
      </c>
      <c r="G2889">
        <v>1</v>
      </c>
      <c r="H2889" t="s">
        <v>56</v>
      </c>
      <c r="I2889" t="s">
        <v>57</v>
      </c>
      <c r="K2889" t="s">
        <v>180</v>
      </c>
      <c r="L2889" t="s">
        <v>3136</v>
      </c>
      <c r="M2889" t="s">
        <v>60</v>
      </c>
      <c r="N2889" t="s">
        <v>119</v>
      </c>
      <c r="P2889" t="s">
        <v>224</v>
      </c>
      <c r="R2889" t="s">
        <v>183</v>
      </c>
      <c r="S2889" t="s">
        <v>64</v>
      </c>
      <c r="T2889">
        <v>246.7</v>
      </c>
      <c r="U2889">
        <v>242</v>
      </c>
      <c r="V2889">
        <f t="shared" si="90"/>
        <v>244.35</v>
      </c>
      <c r="W2889">
        <f t="shared" si="91"/>
        <v>4.6999999999999886</v>
      </c>
      <c r="X2889">
        <v>35.341800999999997</v>
      </c>
      <c r="Y2889">
        <v>-10.128299999999999</v>
      </c>
      <c r="Z2889" t="s">
        <v>124</v>
      </c>
      <c r="AA2889" t="s">
        <v>1366</v>
      </c>
      <c r="AB2889" t="s">
        <v>1367</v>
      </c>
      <c r="AD2889" t="s">
        <v>1369</v>
      </c>
      <c r="AF2889" t="s">
        <v>1370</v>
      </c>
      <c r="AG2889" t="s">
        <v>1371</v>
      </c>
      <c r="AH2889" t="s">
        <v>72</v>
      </c>
      <c r="AI2889" t="s">
        <v>4741</v>
      </c>
      <c r="AJ2889">
        <v>2016</v>
      </c>
      <c r="AK2889" t="s">
        <v>4745</v>
      </c>
      <c r="AN2889" t="s">
        <v>114</v>
      </c>
      <c r="AO2889">
        <v>4</v>
      </c>
      <c r="AP2889" t="s">
        <v>115</v>
      </c>
      <c r="AQ2889" t="s">
        <v>4746</v>
      </c>
      <c r="AR2889" t="s">
        <v>80</v>
      </c>
      <c r="AS2889">
        <v>701</v>
      </c>
      <c r="AT2889" t="s">
        <v>81</v>
      </c>
      <c r="AU2889">
        <v>20.77</v>
      </c>
      <c r="AV2889">
        <v>-40.33</v>
      </c>
      <c r="AW2889" t="s">
        <v>82</v>
      </c>
      <c r="AX2889">
        <v>709</v>
      </c>
      <c r="AY2889" t="s">
        <v>81</v>
      </c>
      <c r="AZ2889">
        <v>22.77</v>
      </c>
      <c r="BA2889">
        <v>-53.29</v>
      </c>
      <c r="BB2889" t="s">
        <v>83</v>
      </c>
    </row>
    <row r="2890" spans="1:54" x14ac:dyDescent="0.4">
      <c r="A2890">
        <v>1347585</v>
      </c>
      <c r="D2890" t="s">
        <v>54</v>
      </c>
      <c r="G2890">
        <v>1</v>
      </c>
      <c r="H2890" t="s">
        <v>84</v>
      </c>
      <c r="I2890" t="s">
        <v>57</v>
      </c>
      <c r="K2890" t="s">
        <v>746</v>
      </c>
      <c r="L2890" t="s">
        <v>4309</v>
      </c>
      <c r="M2890" t="s">
        <v>60</v>
      </c>
      <c r="P2890" t="s">
        <v>224</v>
      </c>
      <c r="R2890" t="s">
        <v>183</v>
      </c>
      <c r="S2890" t="s">
        <v>64</v>
      </c>
      <c r="T2890">
        <v>246.7</v>
      </c>
      <c r="U2890">
        <v>242</v>
      </c>
      <c r="V2890">
        <f t="shared" si="90"/>
        <v>244.35</v>
      </c>
      <c r="W2890">
        <f t="shared" si="91"/>
        <v>4.6999999999999886</v>
      </c>
      <c r="X2890">
        <v>8.3430560000000007</v>
      </c>
      <c r="Y2890">
        <v>47.819443</v>
      </c>
      <c r="Z2890" t="s">
        <v>520</v>
      </c>
      <c r="AA2890" t="s">
        <v>211</v>
      </c>
      <c r="AB2890" t="s">
        <v>212</v>
      </c>
      <c r="AE2890" t="s">
        <v>1378</v>
      </c>
      <c r="AH2890" t="s">
        <v>72</v>
      </c>
      <c r="AI2890" t="s">
        <v>4752</v>
      </c>
      <c r="AJ2890">
        <v>1984</v>
      </c>
      <c r="AK2890" t="s">
        <v>4753</v>
      </c>
      <c r="AN2890" t="s">
        <v>114</v>
      </c>
      <c r="AO2890" t="s">
        <v>77</v>
      </c>
      <c r="AP2890" t="s">
        <v>115</v>
      </c>
      <c r="AR2890" t="s">
        <v>80</v>
      </c>
      <c r="AS2890">
        <v>305</v>
      </c>
      <c r="AT2890" t="s">
        <v>81</v>
      </c>
      <c r="AU2890">
        <v>28.32</v>
      </c>
      <c r="AV2890">
        <v>26.34</v>
      </c>
      <c r="AW2890" t="s">
        <v>82</v>
      </c>
      <c r="AX2890">
        <v>305</v>
      </c>
      <c r="AY2890" t="s">
        <v>81</v>
      </c>
      <c r="AZ2890">
        <v>19.21</v>
      </c>
      <c r="BA2890">
        <v>13.44</v>
      </c>
      <c r="BB2890" t="s">
        <v>83</v>
      </c>
    </row>
    <row r="2891" spans="1:54" x14ac:dyDescent="0.4">
      <c r="A2891">
        <v>1363319</v>
      </c>
      <c r="D2891" t="s">
        <v>54</v>
      </c>
      <c r="E2891" t="s">
        <v>55</v>
      </c>
      <c r="G2891">
        <v>1</v>
      </c>
      <c r="H2891" t="s">
        <v>56</v>
      </c>
      <c r="I2891" t="s">
        <v>57</v>
      </c>
      <c r="K2891" t="s">
        <v>141</v>
      </c>
      <c r="L2891" t="s">
        <v>4815</v>
      </c>
      <c r="M2891" t="s">
        <v>60</v>
      </c>
      <c r="P2891" t="s">
        <v>224</v>
      </c>
      <c r="R2891" t="s">
        <v>183</v>
      </c>
      <c r="S2891" t="s">
        <v>64</v>
      </c>
      <c r="T2891">
        <v>246.7</v>
      </c>
      <c r="U2891">
        <v>242</v>
      </c>
      <c r="V2891">
        <f t="shared" si="90"/>
        <v>244.35</v>
      </c>
      <c r="W2891">
        <f t="shared" si="91"/>
        <v>4.6999999999999886</v>
      </c>
      <c r="X2891">
        <v>34.914295000000003</v>
      </c>
      <c r="Y2891">
        <v>-10.35591</v>
      </c>
      <c r="Z2891" t="s">
        <v>184</v>
      </c>
      <c r="AA2891" t="s">
        <v>1366</v>
      </c>
      <c r="AB2891" t="s">
        <v>1367</v>
      </c>
      <c r="AD2891" t="s">
        <v>1369</v>
      </c>
      <c r="AF2891" t="s">
        <v>1370</v>
      </c>
      <c r="AG2891" t="s">
        <v>4816</v>
      </c>
      <c r="AH2891" t="s">
        <v>72</v>
      </c>
      <c r="AI2891" t="s">
        <v>2708</v>
      </c>
      <c r="AJ2891">
        <v>1967</v>
      </c>
      <c r="AK2891" t="s">
        <v>4817</v>
      </c>
      <c r="AN2891" t="s">
        <v>192</v>
      </c>
      <c r="AO2891">
        <v>5</v>
      </c>
      <c r="AP2891" t="s">
        <v>78</v>
      </c>
      <c r="AQ2891" t="s">
        <v>4818</v>
      </c>
      <c r="AR2891" t="s">
        <v>80</v>
      </c>
      <c r="AS2891">
        <v>701</v>
      </c>
      <c r="AT2891" t="s">
        <v>81</v>
      </c>
      <c r="AU2891">
        <v>20.149999999999999</v>
      </c>
      <c r="AV2891">
        <v>-40.299999999999997</v>
      </c>
      <c r="AW2891" t="s">
        <v>82</v>
      </c>
      <c r="AX2891">
        <v>709</v>
      </c>
      <c r="AY2891" t="s">
        <v>81</v>
      </c>
      <c r="AZ2891">
        <v>21.98</v>
      </c>
      <c r="BA2891">
        <v>-53.39</v>
      </c>
      <c r="BB2891" t="s">
        <v>83</v>
      </c>
    </row>
    <row r="2892" spans="1:54" x14ac:dyDescent="0.4">
      <c r="A2892">
        <v>1375740</v>
      </c>
      <c r="D2892" t="s">
        <v>54</v>
      </c>
      <c r="E2892" t="s">
        <v>55</v>
      </c>
      <c r="I2892" t="s">
        <v>57</v>
      </c>
      <c r="K2892" t="s">
        <v>141</v>
      </c>
      <c r="L2892" t="s">
        <v>4815</v>
      </c>
      <c r="M2892" t="s">
        <v>60</v>
      </c>
      <c r="P2892" t="s">
        <v>224</v>
      </c>
      <c r="R2892" t="s">
        <v>183</v>
      </c>
      <c r="S2892" t="s">
        <v>64</v>
      </c>
      <c r="T2892">
        <v>246.7</v>
      </c>
      <c r="U2892">
        <v>242</v>
      </c>
      <c r="V2892">
        <f t="shared" si="90"/>
        <v>244.35</v>
      </c>
      <c r="W2892">
        <f t="shared" si="91"/>
        <v>4.6999999999999886</v>
      </c>
      <c r="X2892">
        <v>34.914295000000003</v>
      </c>
      <c r="Y2892">
        <v>-10.35591</v>
      </c>
      <c r="Z2892" t="s">
        <v>184</v>
      </c>
      <c r="AA2892" t="s">
        <v>1366</v>
      </c>
      <c r="AB2892" t="s">
        <v>1367</v>
      </c>
      <c r="AD2892" t="s">
        <v>1369</v>
      </c>
      <c r="AF2892" t="s">
        <v>1370</v>
      </c>
      <c r="AG2892" t="s">
        <v>4816</v>
      </c>
      <c r="AH2892" t="s">
        <v>72</v>
      </c>
      <c r="AI2892" t="s">
        <v>1127</v>
      </c>
      <c r="AJ2892">
        <v>2017</v>
      </c>
      <c r="AK2892" t="s">
        <v>4844</v>
      </c>
      <c r="AN2892" t="s">
        <v>192</v>
      </c>
      <c r="AO2892">
        <v>5</v>
      </c>
      <c r="AP2892" t="s">
        <v>78</v>
      </c>
      <c r="AQ2892" t="s">
        <v>4845</v>
      </c>
      <c r="AR2892" t="s">
        <v>80</v>
      </c>
      <c r="AS2892">
        <v>701</v>
      </c>
      <c r="AT2892" t="s">
        <v>81</v>
      </c>
      <c r="AU2892">
        <v>20.149999999999999</v>
      </c>
      <c r="AV2892">
        <v>-40.299999999999997</v>
      </c>
      <c r="AW2892" t="s">
        <v>82</v>
      </c>
      <c r="AX2892">
        <v>709</v>
      </c>
      <c r="AY2892" t="s">
        <v>81</v>
      </c>
      <c r="AZ2892">
        <v>21.98</v>
      </c>
      <c r="BA2892">
        <v>-53.39</v>
      </c>
      <c r="BB2892" t="s">
        <v>83</v>
      </c>
    </row>
    <row r="2893" spans="1:54" x14ac:dyDescent="0.4">
      <c r="A2893">
        <v>1383183</v>
      </c>
      <c r="D2893" t="s">
        <v>54</v>
      </c>
      <c r="I2893" t="s">
        <v>57</v>
      </c>
      <c r="K2893" t="s">
        <v>141</v>
      </c>
      <c r="L2893" t="s">
        <v>3221</v>
      </c>
      <c r="M2893" t="s">
        <v>60</v>
      </c>
      <c r="P2893" t="s">
        <v>224</v>
      </c>
      <c r="R2893" t="s">
        <v>183</v>
      </c>
      <c r="S2893" t="s">
        <v>64</v>
      </c>
      <c r="T2893">
        <v>246.7</v>
      </c>
      <c r="U2893">
        <v>242</v>
      </c>
      <c r="V2893">
        <f t="shared" si="90"/>
        <v>244.35</v>
      </c>
      <c r="W2893">
        <f t="shared" si="91"/>
        <v>4.6999999999999886</v>
      </c>
      <c r="X2893">
        <v>55.184165999999998</v>
      </c>
      <c r="Y2893">
        <v>51.461387999999999</v>
      </c>
      <c r="Z2893" t="s">
        <v>124</v>
      </c>
      <c r="AA2893" t="s">
        <v>239</v>
      </c>
      <c r="AB2893" t="s">
        <v>638</v>
      </c>
      <c r="AD2893" t="s">
        <v>2792</v>
      </c>
      <c r="AH2893" t="s">
        <v>72</v>
      </c>
      <c r="AI2893" t="s">
        <v>1937</v>
      </c>
      <c r="AJ2893">
        <v>2003</v>
      </c>
      <c r="AK2893" t="s">
        <v>4879</v>
      </c>
      <c r="AM2893" t="s">
        <v>4880</v>
      </c>
      <c r="AN2893" t="s">
        <v>192</v>
      </c>
      <c r="AO2893" t="s">
        <v>77</v>
      </c>
      <c r="AP2893" t="s">
        <v>78</v>
      </c>
      <c r="AR2893" t="s">
        <v>80</v>
      </c>
      <c r="AS2893">
        <v>302</v>
      </c>
      <c r="AT2893" t="s">
        <v>81</v>
      </c>
      <c r="AU2893">
        <v>60.16</v>
      </c>
      <c r="AV2893">
        <v>40.950000000000003</v>
      </c>
      <c r="AW2893" t="s">
        <v>82</v>
      </c>
      <c r="AX2893">
        <v>301</v>
      </c>
      <c r="AY2893" t="s">
        <v>81</v>
      </c>
      <c r="AZ2893">
        <v>43.63</v>
      </c>
      <c r="BA2893">
        <v>33.69</v>
      </c>
      <c r="BB2893" t="s">
        <v>83</v>
      </c>
    </row>
    <row r="2894" spans="1:54" x14ac:dyDescent="0.4">
      <c r="A2894">
        <v>1394192</v>
      </c>
      <c r="D2894" t="s">
        <v>54</v>
      </c>
      <c r="G2894">
        <v>1</v>
      </c>
      <c r="H2894" t="s">
        <v>84</v>
      </c>
      <c r="I2894" t="s">
        <v>57</v>
      </c>
      <c r="K2894" t="s">
        <v>802</v>
      </c>
      <c r="L2894" t="s">
        <v>803</v>
      </c>
      <c r="M2894" t="s">
        <v>223</v>
      </c>
      <c r="N2894" t="s">
        <v>234</v>
      </c>
      <c r="O2894" t="s">
        <v>87</v>
      </c>
      <c r="P2894" t="s">
        <v>224</v>
      </c>
      <c r="R2894" t="s">
        <v>183</v>
      </c>
      <c r="S2894" t="s">
        <v>64</v>
      </c>
      <c r="T2894">
        <v>246.7</v>
      </c>
      <c r="U2894">
        <v>242</v>
      </c>
      <c r="V2894">
        <f t="shared" si="90"/>
        <v>244.35</v>
      </c>
      <c r="W2894">
        <f t="shared" si="91"/>
        <v>4.6999999999999886</v>
      </c>
      <c r="X2894">
        <v>11.767778</v>
      </c>
      <c r="Y2894">
        <v>51.217498999999997</v>
      </c>
      <c r="Z2894" t="s">
        <v>520</v>
      </c>
      <c r="AA2894" t="s">
        <v>211</v>
      </c>
      <c r="AB2894" t="s">
        <v>266</v>
      </c>
      <c r="AC2894" t="s">
        <v>4190</v>
      </c>
      <c r="AD2894" t="s">
        <v>3622</v>
      </c>
      <c r="AE2894" t="s">
        <v>1378</v>
      </c>
      <c r="AF2894" t="s">
        <v>4177</v>
      </c>
      <c r="AH2894" t="s">
        <v>11</v>
      </c>
      <c r="AI2894" t="s">
        <v>3273</v>
      </c>
      <c r="AJ2894">
        <v>1942</v>
      </c>
      <c r="AK2894" t="s">
        <v>4191</v>
      </c>
      <c r="AN2894" t="s">
        <v>341</v>
      </c>
      <c r="AO2894" t="s">
        <v>77</v>
      </c>
      <c r="AP2894" t="s">
        <v>115</v>
      </c>
      <c r="AQ2894" t="s">
        <v>4192</v>
      </c>
      <c r="AR2894" t="s">
        <v>80</v>
      </c>
      <c r="AS2894">
        <v>305</v>
      </c>
      <c r="AT2894" t="s">
        <v>81</v>
      </c>
      <c r="AU2894">
        <v>29.88</v>
      </c>
      <c r="AV2894">
        <v>30.16</v>
      </c>
      <c r="AW2894" t="s">
        <v>82</v>
      </c>
      <c r="AX2894">
        <v>305</v>
      </c>
      <c r="AY2894" t="s">
        <v>81</v>
      </c>
      <c r="AZ2894">
        <v>19.95</v>
      </c>
      <c r="BA2894">
        <v>17.440000000000001</v>
      </c>
      <c r="BB2894" t="s">
        <v>83</v>
      </c>
    </row>
    <row r="2895" spans="1:54" x14ac:dyDescent="0.4">
      <c r="A2895">
        <v>1394193</v>
      </c>
      <c r="D2895" t="s">
        <v>54</v>
      </c>
      <c r="G2895">
        <v>1</v>
      </c>
      <c r="H2895" t="s">
        <v>84</v>
      </c>
      <c r="I2895" t="s">
        <v>57</v>
      </c>
      <c r="K2895" t="s">
        <v>232</v>
      </c>
      <c r="L2895" t="s">
        <v>804</v>
      </c>
      <c r="M2895" t="s">
        <v>223</v>
      </c>
      <c r="N2895" t="s">
        <v>234</v>
      </c>
      <c r="O2895" t="s">
        <v>87</v>
      </c>
      <c r="P2895" t="s">
        <v>224</v>
      </c>
      <c r="R2895" t="s">
        <v>183</v>
      </c>
      <c r="S2895" t="s">
        <v>64</v>
      </c>
      <c r="T2895">
        <v>246.7</v>
      </c>
      <c r="U2895">
        <v>242</v>
      </c>
      <c r="V2895">
        <f t="shared" si="90"/>
        <v>244.35</v>
      </c>
      <c r="W2895">
        <f t="shared" si="91"/>
        <v>4.6999999999999886</v>
      </c>
      <c r="X2895">
        <v>11.767778</v>
      </c>
      <c r="Y2895">
        <v>51.217498999999997</v>
      </c>
      <c r="Z2895" t="s">
        <v>520</v>
      </c>
      <c r="AA2895" t="s">
        <v>211</v>
      </c>
      <c r="AB2895" t="s">
        <v>266</v>
      </c>
      <c r="AC2895" t="s">
        <v>4190</v>
      </c>
      <c r="AD2895" t="s">
        <v>3622</v>
      </c>
      <c r="AE2895" t="s">
        <v>1378</v>
      </c>
      <c r="AF2895" t="s">
        <v>4177</v>
      </c>
      <c r="AH2895" t="s">
        <v>72</v>
      </c>
      <c r="AI2895" t="s">
        <v>3273</v>
      </c>
      <c r="AJ2895">
        <v>1942</v>
      </c>
      <c r="AK2895" t="s">
        <v>4191</v>
      </c>
      <c r="AN2895" t="s">
        <v>341</v>
      </c>
      <c r="AO2895" t="s">
        <v>77</v>
      </c>
      <c r="AP2895" t="s">
        <v>115</v>
      </c>
      <c r="AQ2895" t="s">
        <v>4192</v>
      </c>
      <c r="AR2895" t="s">
        <v>80</v>
      </c>
      <c r="AS2895">
        <v>305</v>
      </c>
      <c r="AT2895" t="s">
        <v>81</v>
      </c>
      <c r="AU2895">
        <v>29.88</v>
      </c>
      <c r="AV2895">
        <v>30.16</v>
      </c>
      <c r="AW2895" t="s">
        <v>82</v>
      </c>
      <c r="AX2895">
        <v>305</v>
      </c>
      <c r="AY2895" t="s">
        <v>81</v>
      </c>
      <c r="AZ2895">
        <v>19.95</v>
      </c>
      <c r="BA2895">
        <v>17.440000000000001</v>
      </c>
      <c r="BB2895" t="s">
        <v>83</v>
      </c>
    </row>
    <row r="2896" spans="1:54" x14ac:dyDescent="0.4">
      <c r="A2896">
        <v>1394194</v>
      </c>
      <c r="D2896" t="s">
        <v>54</v>
      </c>
      <c r="G2896">
        <v>1</v>
      </c>
      <c r="H2896" t="s">
        <v>84</v>
      </c>
      <c r="I2896" t="s">
        <v>57</v>
      </c>
      <c r="K2896" t="s">
        <v>232</v>
      </c>
      <c r="L2896" t="s">
        <v>804</v>
      </c>
      <c r="M2896" t="s">
        <v>223</v>
      </c>
      <c r="N2896" t="s">
        <v>234</v>
      </c>
      <c r="O2896" t="s">
        <v>87</v>
      </c>
      <c r="P2896" t="s">
        <v>224</v>
      </c>
      <c r="R2896" t="s">
        <v>183</v>
      </c>
      <c r="S2896" t="s">
        <v>64</v>
      </c>
      <c r="T2896">
        <v>246.7</v>
      </c>
      <c r="U2896">
        <v>242</v>
      </c>
      <c r="V2896">
        <f t="shared" si="90"/>
        <v>244.35</v>
      </c>
      <c r="W2896">
        <f t="shared" si="91"/>
        <v>4.6999999999999886</v>
      </c>
      <c r="X2896">
        <v>11.767778</v>
      </c>
      <c r="Y2896">
        <v>51.217498999999997</v>
      </c>
      <c r="Z2896" t="s">
        <v>520</v>
      </c>
      <c r="AA2896" t="s">
        <v>211</v>
      </c>
      <c r="AB2896" t="s">
        <v>266</v>
      </c>
      <c r="AC2896" t="s">
        <v>4190</v>
      </c>
      <c r="AD2896" t="s">
        <v>3622</v>
      </c>
      <c r="AE2896" t="s">
        <v>1378</v>
      </c>
      <c r="AF2896" t="s">
        <v>4177</v>
      </c>
      <c r="AH2896" t="s">
        <v>72</v>
      </c>
      <c r="AI2896" t="s">
        <v>3273</v>
      </c>
      <c r="AJ2896">
        <v>1942</v>
      </c>
      <c r="AK2896" t="s">
        <v>4191</v>
      </c>
      <c r="AN2896" t="s">
        <v>341</v>
      </c>
      <c r="AO2896" t="s">
        <v>77</v>
      </c>
      <c r="AP2896" t="s">
        <v>115</v>
      </c>
      <c r="AQ2896" t="s">
        <v>4192</v>
      </c>
      <c r="AR2896" t="s">
        <v>80</v>
      </c>
      <c r="AS2896">
        <v>305</v>
      </c>
      <c r="AT2896" t="s">
        <v>81</v>
      </c>
      <c r="AU2896">
        <v>29.88</v>
      </c>
      <c r="AV2896">
        <v>30.16</v>
      </c>
      <c r="AW2896" t="s">
        <v>82</v>
      </c>
      <c r="AX2896">
        <v>305</v>
      </c>
      <c r="AY2896" t="s">
        <v>81</v>
      </c>
      <c r="AZ2896">
        <v>19.95</v>
      </c>
      <c r="BA2896">
        <v>17.440000000000001</v>
      </c>
      <c r="BB2896" t="s">
        <v>83</v>
      </c>
    </row>
    <row r="2897" spans="1:54" x14ac:dyDescent="0.4">
      <c r="A2897">
        <v>1394195</v>
      </c>
      <c r="D2897" t="s">
        <v>54</v>
      </c>
      <c r="G2897">
        <v>1</v>
      </c>
      <c r="H2897" t="s">
        <v>84</v>
      </c>
      <c r="I2897" t="s">
        <v>57</v>
      </c>
      <c r="K2897" t="s">
        <v>556</v>
      </c>
      <c r="L2897" t="s">
        <v>4376</v>
      </c>
      <c r="M2897" t="s">
        <v>223</v>
      </c>
      <c r="N2897" t="s">
        <v>234</v>
      </c>
      <c r="O2897" t="s">
        <v>87</v>
      </c>
      <c r="P2897" t="s">
        <v>224</v>
      </c>
      <c r="R2897" t="s">
        <v>183</v>
      </c>
      <c r="S2897" t="s">
        <v>64</v>
      </c>
      <c r="T2897">
        <v>246.7</v>
      </c>
      <c r="U2897">
        <v>242</v>
      </c>
      <c r="V2897">
        <f t="shared" si="90"/>
        <v>244.35</v>
      </c>
      <c r="W2897">
        <f t="shared" si="91"/>
        <v>4.6999999999999886</v>
      </c>
      <c r="X2897">
        <v>11.767778</v>
      </c>
      <c r="Y2897">
        <v>51.217498999999997</v>
      </c>
      <c r="Z2897" t="s">
        <v>520</v>
      </c>
      <c r="AA2897" t="s">
        <v>211</v>
      </c>
      <c r="AB2897" t="s">
        <v>266</v>
      </c>
      <c r="AC2897" t="s">
        <v>4190</v>
      </c>
      <c r="AD2897" t="s">
        <v>3622</v>
      </c>
      <c r="AE2897" t="s">
        <v>1378</v>
      </c>
      <c r="AF2897" t="s">
        <v>4177</v>
      </c>
      <c r="AH2897" t="s">
        <v>72</v>
      </c>
      <c r="AI2897" t="s">
        <v>3273</v>
      </c>
      <c r="AJ2897">
        <v>1942</v>
      </c>
      <c r="AK2897" t="s">
        <v>4191</v>
      </c>
      <c r="AN2897" t="s">
        <v>341</v>
      </c>
      <c r="AO2897" t="s">
        <v>77</v>
      </c>
      <c r="AP2897" t="s">
        <v>115</v>
      </c>
      <c r="AQ2897" t="s">
        <v>4192</v>
      </c>
      <c r="AR2897" t="s">
        <v>80</v>
      </c>
      <c r="AS2897">
        <v>305</v>
      </c>
      <c r="AT2897" t="s">
        <v>81</v>
      </c>
      <c r="AU2897">
        <v>29.88</v>
      </c>
      <c r="AV2897">
        <v>30.16</v>
      </c>
      <c r="AW2897" t="s">
        <v>82</v>
      </c>
      <c r="AX2897">
        <v>305</v>
      </c>
      <c r="AY2897" t="s">
        <v>81</v>
      </c>
      <c r="AZ2897">
        <v>19.95</v>
      </c>
      <c r="BA2897">
        <v>17.440000000000001</v>
      </c>
      <c r="BB2897" t="s">
        <v>83</v>
      </c>
    </row>
    <row r="2898" spans="1:54" x14ac:dyDescent="0.4">
      <c r="A2898">
        <v>1397832</v>
      </c>
      <c r="D2898" t="s">
        <v>54</v>
      </c>
      <c r="F2898" t="s">
        <v>600</v>
      </c>
      <c r="G2898">
        <v>1</v>
      </c>
      <c r="H2898" t="s">
        <v>84</v>
      </c>
      <c r="I2898" t="s">
        <v>57</v>
      </c>
      <c r="K2898" t="s">
        <v>100</v>
      </c>
      <c r="L2898" t="s">
        <v>4910</v>
      </c>
      <c r="M2898" t="s">
        <v>60</v>
      </c>
      <c r="P2898" t="s">
        <v>224</v>
      </c>
      <c r="R2898" t="s">
        <v>183</v>
      </c>
      <c r="S2898" t="s">
        <v>64</v>
      </c>
      <c r="T2898">
        <v>246.7</v>
      </c>
      <c r="U2898">
        <v>242</v>
      </c>
      <c r="V2898">
        <f t="shared" si="90"/>
        <v>244.35</v>
      </c>
      <c r="W2898">
        <f t="shared" si="91"/>
        <v>4.6999999999999886</v>
      </c>
      <c r="X2898">
        <v>34.750557000000001</v>
      </c>
      <c r="Y2898">
        <v>-10.508333</v>
      </c>
      <c r="Z2898" t="s">
        <v>124</v>
      </c>
      <c r="AA2898" t="s">
        <v>1366</v>
      </c>
      <c r="AB2898" t="s">
        <v>1367</v>
      </c>
      <c r="AC2898" t="s">
        <v>1368</v>
      </c>
      <c r="AD2898" t="s">
        <v>1369</v>
      </c>
      <c r="AE2898" t="s">
        <v>1368</v>
      </c>
      <c r="AF2898" t="s">
        <v>1370</v>
      </c>
      <c r="AH2898" t="s">
        <v>72</v>
      </c>
      <c r="AI2898" t="s">
        <v>4911</v>
      </c>
      <c r="AJ2898">
        <v>2018</v>
      </c>
      <c r="AK2898" t="s">
        <v>4912</v>
      </c>
      <c r="AM2898" t="s">
        <v>4913</v>
      </c>
      <c r="AO2898" t="s">
        <v>77</v>
      </c>
      <c r="AR2898" t="s">
        <v>80</v>
      </c>
      <c r="AS2898">
        <v>701</v>
      </c>
      <c r="AT2898" t="s">
        <v>81</v>
      </c>
      <c r="AU2898">
        <v>19.86</v>
      </c>
      <c r="AV2898">
        <v>-40.340000000000003</v>
      </c>
      <c r="AW2898" t="s">
        <v>82</v>
      </c>
      <c r="AX2898">
        <v>709</v>
      </c>
      <c r="AY2898" t="s">
        <v>81</v>
      </c>
      <c r="AZ2898">
        <v>21.65</v>
      </c>
      <c r="BA2898">
        <v>-53.48</v>
      </c>
      <c r="BB2898" t="s">
        <v>83</v>
      </c>
    </row>
    <row r="2899" spans="1:54" x14ac:dyDescent="0.4">
      <c r="A2899">
        <v>1397833</v>
      </c>
      <c r="D2899" t="s">
        <v>54</v>
      </c>
      <c r="E2899" t="s">
        <v>310</v>
      </c>
      <c r="G2899">
        <v>25</v>
      </c>
      <c r="H2899" t="s">
        <v>84</v>
      </c>
      <c r="I2899" t="s">
        <v>57</v>
      </c>
      <c r="K2899" t="s">
        <v>141</v>
      </c>
      <c r="L2899" t="s">
        <v>4815</v>
      </c>
      <c r="M2899" t="s">
        <v>60</v>
      </c>
      <c r="P2899" t="s">
        <v>224</v>
      </c>
      <c r="R2899" t="s">
        <v>183</v>
      </c>
      <c r="S2899" t="s">
        <v>64</v>
      </c>
      <c r="T2899">
        <v>246.7</v>
      </c>
      <c r="U2899">
        <v>242</v>
      </c>
      <c r="V2899">
        <f t="shared" si="90"/>
        <v>244.35</v>
      </c>
      <c r="W2899">
        <f t="shared" si="91"/>
        <v>4.6999999999999886</v>
      </c>
      <c r="X2899">
        <v>35.248333000000002</v>
      </c>
      <c r="Y2899">
        <v>-10.296111</v>
      </c>
      <c r="Z2899" t="s">
        <v>124</v>
      </c>
      <c r="AA2899" t="s">
        <v>1366</v>
      </c>
      <c r="AB2899" t="s">
        <v>1367</v>
      </c>
      <c r="AC2899" t="s">
        <v>1368</v>
      </c>
      <c r="AD2899" t="s">
        <v>1369</v>
      </c>
      <c r="AE2899" t="s">
        <v>1368</v>
      </c>
      <c r="AF2899" t="s">
        <v>1370</v>
      </c>
      <c r="AH2899" t="s">
        <v>72</v>
      </c>
      <c r="AI2899" t="s">
        <v>4911</v>
      </c>
      <c r="AJ2899">
        <v>2018</v>
      </c>
      <c r="AK2899" t="s">
        <v>4914</v>
      </c>
      <c r="AM2899" t="s">
        <v>4915</v>
      </c>
      <c r="AN2899" t="s">
        <v>192</v>
      </c>
      <c r="AO2899" t="s">
        <v>77</v>
      </c>
      <c r="AP2899" t="s">
        <v>115</v>
      </c>
      <c r="AR2899" t="s">
        <v>80</v>
      </c>
      <c r="AS2899">
        <v>701</v>
      </c>
      <c r="AT2899" t="s">
        <v>81</v>
      </c>
      <c r="AU2899">
        <v>20.55</v>
      </c>
      <c r="AV2899">
        <v>-40.43</v>
      </c>
      <c r="AW2899" t="s">
        <v>82</v>
      </c>
      <c r="AX2899">
        <v>709</v>
      </c>
      <c r="AY2899" t="s">
        <v>81</v>
      </c>
      <c r="AZ2899">
        <v>22.54</v>
      </c>
      <c r="BA2899">
        <v>-53.42</v>
      </c>
      <c r="BB2899" t="s">
        <v>83</v>
      </c>
    </row>
    <row r="2900" spans="1:54" x14ac:dyDescent="0.4">
      <c r="A2900">
        <v>1405272</v>
      </c>
      <c r="D2900" t="s">
        <v>54</v>
      </c>
      <c r="G2900">
        <v>1</v>
      </c>
      <c r="H2900" t="s">
        <v>56</v>
      </c>
      <c r="I2900" t="s">
        <v>57</v>
      </c>
      <c r="K2900" t="s">
        <v>1270</v>
      </c>
      <c r="L2900" t="s">
        <v>4927</v>
      </c>
      <c r="M2900" t="s">
        <v>60</v>
      </c>
      <c r="P2900" t="s">
        <v>224</v>
      </c>
      <c r="R2900" t="s">
        <v>183</v>
      </c>
      <c r="S2900" t="s">
        <v>64</v>
      </c>
      <c r="T2900">
        <v>246.7</v>
      </c>
      <c r="U2900">
        <v>242</v>
      </c>
      <c r="V2900">
        <f t="shared" si="90"/>
        <v>244.35</v>
      </c>
      <c r="W2900">
        <f t="shared" si="91"/>
        <v>4.6999999999999886</v>
      </c>
      <c r="X2900">
        <v>78.481589999999997</v>
      </c>
      <c r="Y2900">
        <v>22.616426000000001</v>
      </c>
      <c r="Z2900" t="s">
        <v>105</v>
      </c>
      <c r="AA2900" t="s">
        <v>1222</v>
      </c>
      <c r="AB2900" t="s">
        <v>3149</v>
      </c>
      <c r="AC2900" t="s">
        <v>4928</v>
      </c>
      <c r="AD2900" t="s">
        <v>4929</v>
      </c>
      <c r="AH2900" t="s">
        <v>72</v>
      </c>
      <c r="AI2900" t="s">
        <v>4930</v>
      </c>
      <c r="AJ2900">
        <v>2017</v>
      </c>
      <c r="AK2900" t="s">
        <v>4931</v>
      </c>
      <c r="AN2900" t="s">
        <v>114</v>
      </c>
      <c r="AO2900">
        <v>6</v>
      </c>
      <c r="AP2900" t="s">
        <v>115</v>
      </c>
      <c r="AQ2900" t="s">
        <v>4932</v>
      </c>
      <c r="AR2900" t="s">
        <v>80</v>
      </c>
      <c r="AS2900">
        <v>501</v>
      </c>
      <c r="AT2900" t="s">
        <v>81</v>
      </c>
      <c r="AU2900">
        <v>43.75</v>
      </c>
      <c r="AV2900">
        <v>-40.56</v>
      </c>
      <c r="AW2900" t="s">
        <v>82</v>
      </c>
      <c r="AX2900">
        <v>501</v>
      </c>
      <c r="AY2900" t="s">
        <v>81</v>
      </c>
      <c r="AZ2900">
        <v>51.87</v>
      </c>
      <c r="BA2900">
        <v>-48.41</v>
      </c>
      <c r="BB2900" t="s">
        <v>83</v>
      </c>
    </row>
    <row r="2901" spans="1:54" x14ac:dyDescent="0.4">
      <c r="A2901">
        <v>1405272</v>
      </c>
      <c r="D2901" t="s">
        <v>54</v>
      </c>
      <c r="G2901">
        <v>1</v>
      </c>
      <c r="H2901" t="s">
        <v>56</v>
      </c>
      <c r="I2901" t="s">
        <v>57</v>
      </c>
      <c r="K2901" t="s">
        <v>1270</v>
      </c>
      <c r="L2901" t="s">
        <v>4927</v>
      </c>
      <c r="M2901" t="s">
        <v>60</v>
      </c>
      <c r="P2901" t="s">
        <v>224</v>
      </c>
      <c r="R2901" t="s">
        <v>183</v>
      </c>
      <c r="S2901" t="s">
        <v>64</v>
      </c>
      <c r="T2901">
        <v>246.7</v>
      </c>
      <c r="U2901">
        <v>242</v>
      </c>
      <c r="V2901">
        <f t="shared" si="90"/>
        <v>244.35</v>
      </c>
      <c r="W2901">
        <f t="shared" si="91"/>
        <v>4.6999999999999886</v>
      </c>
      <c r="X2901">
        <v>78.481589999999997</v>
      </c>
      <c r="Y2901">
        <v>22.616426000000001</v>
      </c>
      <c r="Z2901" t="s">
        <v>105</v>
      </c>
      <c r="AA2901" t="s">
        <v>1222</v>
      </c>
      <c r="AB2901" t="s">
        <v>3149</v>
      </c>
      <c r="AC2901" t="s">
        <v>4928</v>
      </c>
      <c r="AD2901" t="s">
        <v>4929</v>
      </c>
      <c r="AH2901" t="s">
        <v>72</v>
      </c>
      <c r="AI2901" t="s">
        <v>4930</v>
      </c>
      <c r="AJ2901">
        <v>2017</v>
      </c>
      <c r="AK2901" t="s">
        <v>4931</v>
      </c>
      <c r="AN2901" t="s">
        <v>114</v>
      </c>
      <c r="AO2901">
        <v>6</v>
      </c>
      <c r="AP2901" t="s">
        <v>115</v>
      </c>
      <c r="AQ2901" t="s">
        <v>4932</v>
      </c>
      <c r="AR2901" t="s">
        <v>80</v>
      </c>
      <c r="AS2901">
        <v>501</v>
      </c>
      <c r="AT2901" t="s">
        <v>81</v>
      </c>
      <c r="AU2901">
        <v>43.75</v>
      </c>
      <c r="AV2901">
        <v>-40.56</v>
      </c>
      <c r="AW2901" t="s">
        <v>82</v>
      </c>
      <c r="AX2901">
        <v>501</v>
      </c>
      <c r="AY2901" t="s">
        <v>81</v>
      </c>
      <c r="AZ2901">
        <v>51.87</v>
      </c>
      <c r="BA2901">
        <v>-48.41</v>
      </c>
      <c r="BB2901" t="s">
        <v>83</v>
      </c>
    </row>
    <row r="2902" spans="1:54" x14ac:dyDescent="0.4">
      <c r="A2902">
        <v>1405272</v>
      </c>
      <c r="D2902" t="s">
        <v>54</v>
      </c>
      <c r="G2902">
        <v>1</v>
      </c>
      <c r="H2902" t="s">
        <v>56</v>
      </c>
      <c r="I2902" t="s">
        <v>57</v>
      </c>
      <c r="K2902" t="s">
        <v>1270</v>
      </c>
      <c r="L2902" t="s">
        <v>4927</v>
      </c>
      <c r="M2902" t="s">
        <v>60</v>
      </c>
      <c r="P2902" t="s">
        <v>224</v>
      </c>
      <c r="R2902" t="s">
        <v>183</v>
      </c>
      <c r="S2902" t="s">
        <v>64</v>
      </c>
      <c r="T2902">
        <v>246.7</v>
      </c>
      <c r="U2902">
        <v>242</v>
      </c>
      <c r="V2902">
        <f t="shared" si="90"/>
        <v>244.35</v>
      </c>
      <c r="W2902">
        <f t="shared" si="91"/>
        <v>4.6999999999999886</v>
      </c>
      <c r="X2902">
        <v>78.481589999999997</v>
      </c>
      <c r="Y2902">
        <v>22.616426000000001</v>
      </c>
      <c r="Z2902" t="s">
        <v>105</v>
      </c>
      <c r="AA2902" t="s">
        <v>1222</v>
      </c>
      <c r="AB2902" t="s">
        <v>3149</v>
      </c>
      <c r="AC2902" t="s">
        <v>4928</v>
      </c>
      <c r="AD2902" t="s">
        <v>4929</v>
      </c>
      <c r="AH2902" t="s">
        <v>72</v>
      </c>
      <c r="AI2902" t="s">
        <v>4930</v>
      </c>
      <c r="AJ2902">
        <v>2017</v>
      </c>
      <c r="AK2902" t="s">
        <v>4931</v>
      </c>
      <c r="AN2902" t="s">
        <v>114</v>
      </c>
      <c r="AO2902">
        <v>6</v>
      </c>
      <c r="AP2902" t="s">
        <v>115</v>
      </c>
      <c r="AQ2902" t="s">
        <v>4932</v>
      </c>
      <c r="AR2902" t="s">
        <v>80</v>
      </c>
      <c r="AS2902">
        <v>501</v>
      </c>
      <c r="AT2902" t="s">
        <v>81</v>
      </c>
      <c r="AU2902">
        <v>43.75</v>
      </c>
      <c r="AV2902">
        <v>-40.56</v>
      </c>
      <c r="AW2902" t="s">
        <v>82</v>
      </c>
      <c r="AX2902">
        <v>501</v>
      </c>
      <c r="AY2902" t="s">
        <v>81</v>
      </c>
      <c r="AZ2902">
        <v>51.87</v>
      </c>
      <c r="BA2902">
        <v>-48.41</v>
      </c>
      <c r="BB2902" t="s">
        <v>83</v>
      </c>
    </row>
    <row r="2903" spans="1:54" x14ac:dyDescent="0.4">
      <c r="A2903">
        <v>1405272</v>
      </c>
      <c r="D2903" t="s">
        <v>54</v>
      </c>
      <c r="G2903">
        <v>1</v>
      </c>
      <c r="H2903" t="s">
        <v>56</v>
      </c>
      <c r="I2903" t="s">
        <v>57</v>
      </c>
      <c r="K2903" t="s">
        <v>1270</v>
      </c>
      <c r="L2903" t="s">
        <v>4927</v>
      </c>
      <c r="M2903" t="s">
        <v>60</v>
      </c>
      <c r="P2903" t="s">
        <v>224</v>
      </c>
      <c r="R2903" t="s">
        <v>183</v>
      </c>
      <c r="S2903" t="s">
        <v>64</v>
      </c>
      <c r="T2903">
        <v>246.7</v>
      </c>
      <c r="U2903">
        <v>242</v>
      </c>
      <c r="V2903">
        <f t="shared" si="90"/>
        <v>244.35</v>
      </c>
      <c r="W2903">
        <f t="shared" si="91"/>
        <v>4.6999999999999886</v>
      </c>
      <c r="X2903">
        <v>78.481589999999997</v>
      </c>
      <c r="Y2903">
        <v>22.616426000000001</v>
      </c>
      <c r="Z2903" t="s">
        <v>105</v>
      </c>
      <c r="AA2903" t="s">
        <v>1222</v>
      </c>
      <c r="AB2903" t="s">
        <v>3149</v>
      </c>
      <c r="AC2903" t="s">
        <v>4928</v>
      </c>
      <c r="AD2903" t="s">
        <v>4929</v>
      </c>
      <c r="AH2903" t="s">
        <v>72</v>
      </c>
      <c r="AI2903" t="s">
        <v>4930</v>
      </c>
      <c r="AJ2903">
        <v>2017</v>
      </c>
      <c r="AK2903" t="s">
        <v>4931</v>
      </c>
      <c r="AN2903" t="s">
        <v>114</v>
      </c>
      <c r="AO2903">
        <v>6</v>
      </c>
      <c r="AP2903" t="s">
        <v>115</v>
      </c>
      <c r="AQ2903" t="s">
        <v>4932</v>
      </c>
      <c r="AR2903" t="s">
        <v>80</v>
      </c>
      <c r="AS2903">
        <v>501</v>
      </c>
      <c r="AT2903" t="s">
        <v>81</v>
      </c>
      <c r="AU2903">
        <v>43.75</v>
      </c>
      <c r="AV2903">
        <v>-40.56</v>
      </c>
      <c r="AW2903" t="s">
        <v>82</v>
      </c>
      <c r="AX2903">
        <v>501</v>
      </c>
      <c r="AY2903" t="s">
        <v>81</v>
      </c>
      <c r="AZ2903">
        <v>51.87</v>
      </c>
      <c r="BA2903">
        <v>-48.41</v>
      </c>
      <c r="BB2903" t="s">
        <v>83</v>
      </c>
    </row>
    <row r="2904" spans="1:54" x14ac:dyDescent="0.4">
      <c r="A2904">
        <v>1405272</v>
      </c>
      <c r="D2904" t="s">
        <v>54</v>
      </c>
      <c r="G2904">
        <v>1</v>
      </c>
      <c r="H2904" t="s">
        <v>56</v>
      </c>
      <c r="I2904" t="s">
        <v>57</v>
      </c>
      <c r="K2904" t="s">
        <v>1270</v>
      </c>
      <c r="L2904" t="s">
        <v>4927</v>
      </c>
      <c r="M2904" t="s">
        <v>60</v>
      </c>
      <c r="P2904" t="s">
        <v>224</v>
      </c>
      <c r="R2904" t="s">
        <v>183</v>
      </c>
      <c r="S2904" t="s">
        <v>64</v>
      </c>
      <c r="T2904">
        <v>246.7</v>
      </c>
      <c r="U2904">
        <v>242</v>
      </c>
      <c r="V2904">
        <f t="shared" si="90"/>
        <v>244.35</v>
      </c>
      <c r="W2904">
        <f t="shared" si="91"/>
        <v>4.6999999999999886</v>
      </c>
      <c r="X2904">
        <v>78.481589999999997</v>
      </c>
      <c r="Y2904">
        <v>22.616426000000001</v>
      </c>
      <c r="Z2904" t="s">
        <v>105</v>
      </c>
      <c r="AA2904" t="s">
        <v>1222</v>
      </c>
      <c r="AB2904" t="s">
        <v>3149</v>
      </c>
      <c r="AC2904" t="s">
        <v>4928</v>
      </c>
      <c r="AD2904" t="s">
        <v>4929</v>
      </c>
      <c r="AH2904" t="s">
        <v>72</v>
      </c>
      <c r="AI2904" t="s">
        <v>4930</v>
      </c>
      <c r="AJ2904">
        <v>2017</v>
      </c>
      <c r="AK2904" t="s">
        <v>4931</v>
      </c>
      <c r="AN2904" t="s">
        <v>114</v>
      </c>
      <c r="AO2904">
        <v>6</v>
      </c>
      <c r="AP2904" t="s">
        <v>115</v>
      </c>
      <c r="AQ2904" t="s">
        <v>4932</v>
      </c>
      <c r="AR2904" t="s">
        <v>80</v>
      </c>
      <c r="AS2904">
        <v>501</v>
      </c>
      <c r="AT2904" t="s">
        <v>81</v>
      </c>
      <c r="AU2904">
        <v>43.75</v>
      </c>
      <c r="AV2904">
        <v>-40.56</v>
      </c>
      <c r="AW2904" t="s">
        <v>82</v>
      </c>
      <c r="AX2904">
        <v>501</v>
      </c>
      <c r="AY2904" t="s">
        <v>81</v>
      </c>
      <c r="AZ2904">
        <v>51.87</v>
      </c>
      <c r="BA2904">
        <v>-48.41</v>
      </c>
      <c r="BB2904" t="s">
        <v>83</v>
      </c>
    </row>
    <row r="2905" spans="1:54" x14ac:dyDescent="0.4">
      <c r="A2905">
        <v>1405272</v>
      </c>
      <c r="D2905" t="s">
        <v>54</v>
      </c>
      <c r="G2905">
        <v>1</v>
      </c>
      <c r="H2905" t="s">
        <v>56</v>
      </c>
      <c r="I2905" t="s">
        <v>57</v>
      </c>
      <c r="K2905" t="s">
        <v>1270</v>
      </c>
      <c r="L2905" t="s">
        <v>4927</v>
      </c>
      <c r="M2905" t="s">
        <v>60</v>
      </c>
      <c r="P2905" t="s">
        <v>224</v>
      </c>
      <c r="R2905" t="s">
        <v>183</v>
      </c>
      <c r="S2905" t="s">
        <v>64</v>
      </c>
      <c r="T2905">
        <v>246.7</v>
      </c>
      <c r="U2905">
        <v>242</v>
      </c>
      <c r="V2905">
        <f t="shared" si="90"/>
        <v>244.35</v>
      </c>
      <c r="W2905">
        <f t="shared" si="91"/>
        <v>4.6999999999999886</v>
      </c>
      <c r="X2905">
        <v>78.481589999999997</v>
      </c>
      <c r="Y2905">
        <v>22.616426000000001</v>
      </c>
      <c r="Z2905" t="s">
        <v>105</v>
      </c>
      <c r="AA2905" t="s">
        <v>1222</v>
      </c>
      <c r="AB2905" t="s">
        <v>3149</v>
      </c>
      <c r="AC2905" t="s">
        <v>4928</v>
      </c>
      <c r="AD2905" t="s">
        <v>4929</v>
      </c>
      <c r="AH2905" t="s">
        <v>72</v>
      </c>
      <c r="AI2905" t="s">
        <v>4930</v>
      </c>
      <c r="AJ2905">
        <v>2017</v>
      </c>
      <c r="AK2905" t="s">
        <v>4931</v>
      </c>
      <c r="AN2905" t="s">
        <v>114</v>
      </c>
      <c r="AO2905">
        <v>6</v>
      </c>
      <c r="AP2905" t="s">
        <v>115</v>
      </c>
      <c r="AQ2905" t="s">
        <v>4932</v>
      </c>
      <c r="AR2905" t="s">
        <v>80</v>
      </c>
      <c r="AS2905">
        <v>501</v>
      </c>
      <c r="AT2905" t="s">
        <v>81</v>
      </c>
      <c r="AU2905">
        <v>43.75</v>
      </c>
      <c r="AV2905">
        <v>-40.56</v>
      </c>
      <c r="AW2905" t="s">
        <v>82</v>
      </c>
      <c r="AX2905">
        <v>501</v>
      </c>
      <c r="AY2905" t="s">
        <v>81</v>
      </c>
      <c r="AZ2905">
        <v>51.87</v>
      </c>
      <c r="BA2905">
        <v>-48.41</v>
      </c>
      <c r="BB2905" t="s">
        <v>83</v>
      </c>
    </row>
    <row r="2906" spans="1:54" x14ac:dyDescent="0.4">
      <c r="A2906">
        <v>1405272</v>
      </c>
      <c r="D2906" t="s">
        <v>54</v>
      </c>
      <c r="G2906">
        <v>1</v>
      </c>
      <c r="H2906" t="s">
        <v>56</v>
      </c>
      <c r="I2906" t="s">
        <v>57</v>
      </c>
      <c r="K2906" t="s">
        <v>1270</v>
      </c>
      <c r="L2906" t="s">
        <v>4927</v>
      </c>
      <c r="M2906" t="s">
        <v>60</v>
      </c>
      <c r="P2906" t="s">
        <v>224</v>
      </c>
      <c r="R2906" t="s">
        <v>183</v>
      </c>
      <c r="S2906" t="s">
        <v>64</v>
      </c>
      <c r="T2906">
        <v>246.7</v>
      </c>
      <c r="U2906">
        <v>242</v>
      </c>
      <c r="V2906">
        <f t="shared" si="90"/>
        <v>244.35</v>
      </c>
      <c r="W2906">
        <f t="shared" si="91"/>
        <v>4.6999999999999886</v>
      </c>
      <c r="X2906">
        <v>78.481589999999997</v>
      </c>
      <c r="Y2906">
        <v>22.616426000000001</v>
      </c>
      <c r="Z2906" t="s">
        <v>105</v>
      </c>
      <c r="AA2906" t="s">
        <v>1222</v>
      </c>
      <c r="AB2906" t="s">
        <v>3149</v>
      </c>
      <c r="AC2906" t="s">
        <v>4928</v>
      </c>
      <c r="AD2906" t="s">
        <v>4929</v>
      </c>
      <c r="AH2906" t="s">
        <v>72</v>
      </c>
      <c r="AI2906" t="s">
        <v>4930</v>
      </c>
      <c r="AJ2906">
        <v>2017</v>
      </c>
      <c r="AK2906" t="s">
        <v>4931</v>
      </c>
      <c r="AN2906" t="s">
        <v>114</v>
      </c>
      <c r="AO2906">
        <v>6</v>
      </c>
      <c r="AP2906" t="s">
        <v>115</v>
      </c>
      <c r="AQ2906" t="s">
        <v>4932</v>
      </c>
      <c r="AR2906" t="s">
        <v>80</v>
      </c>
      <c r="AS2906">
        <v>501</v>
      </c>
      <c r="AT2906" t="s">
        <v>81</v>
      </c>
      <c r="AU2906">
        <v>43.75</v>
      </c>
      <c r="AV2906">
        <v>-40.56</v>
      </c>
      <c r="AW2906" t="s">
        <v>82</v>
      </c>
      <c r="AX2906">
        <v>501</v>
      </c>
      <c r="AY2906" t="s">
        <v>81</v>
      </c>
      <c r="AZ2906">
        <v>51.87</v>
      </c>
      <c r="BA2906">
        <v>-48.41</v>
      </c>
      <c r="BB2906" t="s">
        <v>83</v>
      </c>
    </row>
    <row r="2907" spans="1:54" x14ac:dyDescent="0.4">
      <c r="A2907">
        <v>1406763</v>
      </c>
      <c r="D2907" t="s">
        <v>54</v>
      </c>
      <c r="G2907">
        <v>1</v>
      </c>
      <c r="H2907" t="s">
        <v>56</v>
      </c>
      <c r="I2907" t="s">
        <v>57</v>
      </c>
      <c r="K2907" t="s">
        <v>141</v>
      </c>
      <c r="L2907" t="s">
        <v>4936</v>
      </c>
      <c r="M2907" t="s">
        <v>60</v>
      </c>
      <c r="O2907" t="s">
        <v>87</v>
      </c>
      <c r="P2907" t="s">
        <v>224</v>
      </c>
      <c r="R2907" t="s">
        <v>183</v>
      </c>
      <c r="S2907" t="s">
        <v>64</v>
      </c>
      <c r="T2907">
        <v>246.7</v>
      </c>
      <c r="U2907">
        <v>242</v>
      </c>
      <c r="V2907">
        <f t="shared" si="90"/>
        <v>244.35</v>
      </c>
      <c r="W2907">
        <f t="shared" si="91"/>
        <v>4.6999999999999886</v>
      </c>
      <c r="X2907">
        <v>35.314444999999999</v>
      </c>
      <c r="Y2907">
        <v>-10.302222</v>
      </c>
      <c r="Z2907" t="s">
        <v>184</v>
      </c>
      <c r="AA2907" t="s">
        <v>1366</v>
      </c>
      <c r="AB2907" t="s">
        <v>1367</v>
      </c>
      <c r="AD2907" t="s">
        <v>1369</v>
      </c>
      <c r="AF2907" t="s">
        <v>1370</v>
      </c>
      <c r="AG2907" t="s">
        <v>4072</v>
      </c>
      <c r="AH2907" t="s">
        <v>72</v>
      </c>
      <c r="AI2907" t="s">
        <v>2708</v>
      </c>
      <c r="AJ2907">
        <v>1967</v>
      </c>
      <c r="AK2907" t="s">
        <v>4937</v>
      </c>
      <c r="AN2907" t="s">
        <v>192</v>
      </c>
      <c r="AO2907" t="s">
        <v>77</v>
      </c>
      <c r="AP2907" t="s">
        <v>78</v>
      </c>
      <c r="AQ2907" t="s">
        <v>4938</v>
      </c>
      <c r="AR2907" t="s">
        <v>80</v>
      </c>
      <c r="AS2907">
        <v>701</v>
      </c>
      <c r="AT2907" t="s">
        <v>81</v>
      </c>
      <c r="AU2907">
        <v>20.62</v>
      </c>
      <c r="AV2907">
        <v>-40.47</v>
      </c>
      <c r="AW2907" t="s">
        <v>82</v>
      </c>
      <c r="AX2907">
        <v>709</v>
      </c>
      <c r="AY2907" t="s">
        <v>81</v>
      </c>
      <c r="AZ2907">
        <v>22.64</v>
      </c>
      <c r="BA2907">
        <v>-53.45</v>
      </c>
      <c r="BB2907" t="s">
        <v>83</v>
      </c>
    </row>
    <row r="2908" spans="1:54" x14ac:dyDescent="0.4">
      <c r="A2908">
        <v>1406763</v>
      </c>
      <c r="D2908" t="s">
        <v>54</v>
      </c>
      <c r="G2908">
        <v>1</v>
      </c>
      <c r="H2908" t="s">
        <v>56</v>
      </c>
      <c r="I2908" t="s">
        <v>57</v>
      </c>
      <c r="K2908" t="s">
        <v>141</v>
      </c>
      <c r="L2908" t="s">
        <v>4936</v>
      </c>
      <c r="M2908" t="s">
        <v>60</v>
      </c>
      <c r="O2908" t="s">
        <v>87</v>
      </c>
      <c r="P2908" t="s">
        <v>224</v>
      </c>
      <c r="R2908" t="s">
        <v>183</v>
      </c>
      <c r="S2908" t="s">
        <v>64</v>
      </c>
      <c r="T2908">
        <v>246.7</v>
      </c>
      <c r="U2908">
        <v>242</v>
      </c>
      <c r="V2908">
        <f t="shared" si="90"/>
        <v>244.35</v>
      </c>
      <c r="W2908">
        <f t="shared" si="91"/>
        <v>4.6999999999999886</v>
      </c>
      <c r="X2908">
        <v>35.314444999999999</v>
      </c>
      <c r="Y2908">
        <v>-10.302222</v>
      </c>
      <c r="Z2908" t="s">
        <v>184</v>
      </c>
      <c r="AA2908" t="s">
        <v>1366</v>
      </c>
      <c r="AB2908" t="s">
        <v>1367</v>
      </c>
      <c r="AD2908" t="s">
        <v>1369</v>
      </c>
      <c r="AF2908" t="s">
        <v>1370</v>
      </c>
      <c r="AG2908" t="s">
        <v>4072</v>
      </c>
      <c r="AH2908" t="s">
        <v>72</v>
      </c>
      <c r="AI2908" t="s">
        <v>2708</v>
      </c>
      <c r="AJ2908">
        <v>1967</v>
      </c>
      <c r="AK2908" t="s">
        <v>4937</v>
      </c>
      <c r="AN2908" t="s">
        <v>192</v>
      </c>
      <c r="AO2908" t="s">
        <v>77</v>
      </c>
      <c r="AP2908" t="s">
        <v>78</v>
      </c>
      <c r="AQ2908" t="s">
        <v>4938</v>
      </c>
      <c r="AR2908" t="s">
        <v>80</v>
      </c>
      <c r="AS2908">
        <v>701</v>
      </c>
      <c r="AT2908" t="s">
        <v>81</v>
      </c>
      <c r="AU2908">
        <v>20.62</v>
      </c>
      <c r="AV2908">
        <v>-40.47</v>
      </c>
      <c r="AW2908" t="s">
        <v>82</v>
      </c>
      <c r="AX2908">
        <v>709</v>
      </c>
      <c r="AY2908" t="s">
        <v>81</v>
      </c>
      <c r="AZ2908">
        <v>22.64</v>
      </c>
      <c r="BA2908">
        <v>-53.45</v>
      </c>
      <c r="BB2908" t="s">
        <v>83</v>
      </c>
    </row>
    <row r="2909" spans="1:54" x14ac:dyDescent="0.4">
      <c r="A2909">
        <v>1406766</v>
      </c>
      <c r="D2909" t="s">
        <v>54</v>
      </c>
      <c r="I2909" t="s">
        <v>57</v>
      </c>
      <c r="K2909" t="s">
        <v>840</v>
      </c>
      <c r="L2909" t="s">
        <v>3625</v>
      </c>
      <c r="M2909" t="s">
        <v>60</v>
      </c>
      <c r="O2909" t="s">
        <v>170</v>
      </c>
      <c r="P2909" t="s">
        <v>224</v>
      </c>
      <c r="R2909" t="s">
        <v>183</v>
      </c>
      <c r="S2909" t="s">
        <v>64</v>
      </c>
      <c r="T2909">
        <v>246.7</v>
      </c>
      <c r="U2909">
        <v>242</v>
      </c>
      <c r="V2909">
        <f t="shared" si="90"/>
        <v>244.35</v>
      </c>
      <c r="W2909">
        <f t="shared" si="91"/>
        <v>4.6999999999999886</v>
      </c>
      <c r="X2909">
        <v>35.314444999999999</v>
      </c>
      <c r="Y2909">
        <v>-10.302222</v>
      </c>
      <c r="Z2909" t="s">
        <v>184</v>
      </c>
      <c r="AA2909" t="s">
        <v>1366</v>
      </c>
      <c r="AB2909" t="s">
        <v>1367</v>
      </c>
      <c r="AD2909" t="s">
        <v>1369</v>
      </c>
      <c r="AF2909" t="s">
        <v>1370</v>
      </c>
      <c r="AG2909" t="s">
        <v>4072</v>
      </c>
      <c r="AH2909" t="s">
        <v>11</v>
      </c>
      <c r="AI2909" t="s">
        <v>1482</v>
      </c>
      <c r="AJ2909">
        <v>2018</v>
      </c>
      <c r="AK2909" t="s">
        <v>4937</v>
      </c>
      <c r="AN2909" t="s">
        <v>192</v>
      </c>
      <c r="AO2909" t="s">
        <v>77</v>
      </c>
      <c r="AP2909" t="s">
        <v>78</v>
      </c>
      <c r="AQ2909" t="s">
        <v>4938</v>
      </c>
      <c r="AR2909" t="s">
        <v>80</v>
      </c>
      <c r="AS2909">
        <v>701</v>
      </c>
      <c r="AT2909" t="s">
        <v>81</v>
      </c>
      <c r="AU2909">
        <v>20.62</v>
      </c>
      <c r="AV2909">
        <v>-40.47</v>
      </c>
      <c r="AW2909" t="s">
        <v>82</v>
      </c>
      <c r="AX2909">
        <v>709</v>
      </c>
      <c r="AY2909" t="s">
        <v>81</v>
      </c>
      <c r="AZ2909">
        <v>22.64</v>
      </c>
      <c r="BA2909">
        <v>-53.45</v>
      </c>
      <c r="BB2909" t="s">
        <v>83</v>
      </c>
    </row>
    <row r="2910" spans="1:54" x14ac:dyDescent="0.4">
      <c r="A2910">
        <v>1406767</v>
      </c>
      <c r="D2910" t="s">
        <v>54</v>
      </c>
      <c r="G2910">
        <v>1</v>
      </c>
      <c r="H2910" t="s">
        <v>56</v>
      </c>
      <c r="I2910" t="s">
        <v>57</v>
      </c>
      <c r="K2910" t="s">
        <v>141</v>
      </c>
      <c r="L2910" t="s">
        <v>4936</v>
      </c>
      <c r="M2910" t="s">
        <v>60</v>
      </c>
      <c r="O2910" t="s">
        <v>87</v>
      </c>
      <c r="P2910" t="s">
        <v>224</v>
      </c>
      <c r="R2910" t="s">
        <v>183</v>
      </c>
      <c r="S2910" t="s">
        <v>64</v>
      </c>
      <c r="T2910">
        <v>246.7</v>
      </c>
      <c r="U2910">
        <v>242</v>
      </c>
      <c r="V2910">
        <f t="shared" si="90"/>
        <v>244.35</v>
      </c>
      <c r="W2910">
        <f t="shared" si="91"/>
        <v>4.6999999999999886</v>
      </c>
      <c r="X2910">
        <v>35.266666000000001</v>
      </c>
      <c r="Y2910">
        <v>-10.383333</v>
      </c>
      <c r="Z2910" t="s">
        <v>184</v>
      </c>
      <c r="AA2910" t="s">
        <v>1366</v>
      </c>
      <c r="AB2910" t="s">
        <v>1367</v>
      </c>
      <c r="AD2910" t="s">
        <v>1369</v>
      </c>
      <c r="AF2910" t="s">
        <v>1370</v>
      </c>
      <c r="AG2910" t="s">
        <v>1371</v>
      </c>
      <c r="AH2910" t="s">
        <v>72</v>
      </c>
      <c r="AI2910" t="s">
        <v>1482</v>
      </c>
      <c r="AJ2910">
        <v>2018</v>
      </c>
      <c r="AK2910" t="s">
        <v>4939</v>
      </c>
      <c r="AN2910" t="s">
        <v>114</v>
      </c>
      <c r="AO2910" t="s">
        <v>160</v>
      </c>
      <c r="AP2910" t="s">
        <v>78</v>
      </c>
      <c r="AQ2910" t="s">
        <v>3628</v>
      </c>
      <c r="AR2910" t="s">
        <v>80</v>
      </c>
      <c r="AS2910">
        <v>701</v>
      </c>
      <c r="AT2910" t="s">
        <v>81</v>
      </c>
      <c r="AU2910">
        <v>20.51</v>
      </c>
      <c r="AV2910">
        <v>-40.51</v>
      </c>
      <c r="AW2910" t="s">
        <v>82</v>
      </c>
      <c r="AX2910">
        <v>709</v>
      </c>
      <c r="AY2910" t="s">
        <v>81</v>
      </c>
      <c r="AZ2910">
        <v>22.53</v>
      </c>
      <c r="BA2910">
        <v>-53.51</v>
      </c>
      <c r="BB2910" t="s">
        <v>83</v>
      </c>
    </row>
    <row r="2911" spans="1:54" x14ac:dyDescent="0.4">
      <c r="A2911">
        <v>1406768</v>
      </c>
      <c r="D2911" t="s">
        <v>54</v>
      </c>
      <c r="E2911" t="s">
        <v>55</v>
      </c>
      <c r="G2911">
        <v>1</v>
      </c>
      <c r="H2911" t="s">
        <v>56</v>
      </c>
      <c r="I2911" t="s">
        <v>57</v>
      </c>
      <c r="K2911" t="s">
        <v>141</v>
      </c>
      <c r="L2911" t="s">
        <v>4936</v>
      </c>
      <c r="M2911" t="s">
        <v>60</v>
      </c>
      <c r="O2911" t="s">
        <v>87</v>
      </c>
      <c r="P2911" t="s">
        <v>224</v>
      </c>
      <c r="R2911" t="s">
        <v>183</v>
      </c>
      <c r="S2911" t="s">
        <v>64</v>
      </c>
      <c r="T2911">
        <v>246.7</v>
      </c>
      <c r="U2911">
        <v>242</v>
      </c>
      <c r="V2911">
        <f t="shared" si="90"/>
        <v>244.35</v>
      </c>
      <c r="W2911">
        <f t="shared" si="91"/>
        <v>4.6999999999999886</v>
      </c>
      <c r="X2911">
        <v>34.843887000000002</v>
      </c>
      <c r="Y2911">
        <v>-10.350277999999999</v>
      </c>
      <c r="Z2911" t="s">
        <v>184</v>
      </c>
      <c r="AA2911" t="s">
        <v>1366</v>
      </c>
      <c r="AB2911" t="s">
        <v>1367</v>
      </c>
      <c r="AD2911" t="s">
        <v>1369</v>
      </c>
      <c r="AF2911" t="s">
        <v>1370</v>
      </c>
      <c r="AG2911" t="s">
        <v>4816</v>
      </c>
      <c r="AH2911" t="s">
        <v>72</v>
      </c>
      <c r="AI2911" t="s">
        <v>1482</v>
      </c>
      <c r="AJ2911">
        <v>2018</v>
      </c>
      <c r="AK2911" t="s">
        <v>4940</v>
      </c>
      <c r="AN2911" t="s">
        <v>192</v>
      </c>
      <c r="AO2911" t="s">
        <v>77</v>
      </c>
      <c r="AP2911" t="s">
        <v>78</v>
      </c>
      <c r="AR2911" t="s">
        <v>80</v>
      </c>
      <c r="AS2911">
        <v>701</v>
      </c>
      <c r="AT2911" t="s">
        <v>81</v>
      </c>
      <c r="AU2911">
        <v>20.079999999999998</v>
      </c>
      <c r="AV2911">
        <v>-40.26</v>
      </c>
      <c r="AW2911" t="s">
        <v>82</v>
      </c>
      <c r="AX2911">
        <v>709</v>
      </c>
      <c r="AY2911" t="s">
        <v>81</v>
      </c>
      <c r="AZ2911">
        <v>21.87</v>
      </c>
      <c r="BA2911">
        <v>-53.36</v>
      </c>
      <c r="BB2911" t="s">
        <v>83</v>
      </c>
    </row>
    <row r="2912" spans="1:54" x14ac:dyDescent="0.4">
      <c r="A2912">
        <v>1407310</v>
      </c>
      <c r="D2912" t="s">
        <v>54</v>
      </c>
      <c r="E2912" t="s">
        <v>55</v>
      </c>
      <c r="G2912">
        <v>1</v>
      </c>
      <c r="H2912" t="s">
        <v>84</v>
      </c>
      <c r="I2912" t="s">
        <v>57</v>
      </c>
      <c r="K2912" t="s">
        <v>141</v>
      </c>
      <c r="L2912" t="s">
        <v>4970</v>
      </c>
      <c r="M2912" t="s">
        <v>60</v>
      </c>
      <c r="O2912" t="s">
        <v>87</v>
      </c>
      <c r="P2912" t="s">
        <v>224</v>
      </c>
      <c r="R2912" t="s">
        <v>183</v>
      </c>
      <c r="S2912" t="s">
        <v>64</v>
      </c>
      <c r="T2912">
        <v>246.7</v>
      </c>
      <c r="U2912">
        <v>242</v>
      </c>
      <c r="V2912">
        <f t="shared" si="90"/>
        <v>244.35</v>
      </c>
      <c r="W2912">
        <f t="shared" si="91"/>
        <v>4.6999999999999886</v>
      </c>
      <c r="X2912">
        <v>35.216667000000001</v>
      </c>
      <c r="Y2912">
        <v>-10.336111000000001</v>
      </c>
      <c r="Z2912" t="s">
        <v>184</v>
      </c>
      <c r="AA2912" t="s">
        <v>1366</v>
      </c>
      <c r="AB2912" t="s">
        <v>1367</v>
      </c>
      <c r="AD2912" t="s">
        <v>1369</v>
      </c>
      <c r="AF2912" t="s">
        <v>1370</v>
      </c>
      <c r="AG2912" t="s">
        <v>1371</v>
      </c>
      <c r="AH2912" t="s">
        <v>72</v>
      </c>
      <c r="AI2912" t="s">
        <v>1127</v>
      </c>
      <c r="AJ2912">
        <v>2014</v>
      </c>
      <c r="AK2912" t="s">
        <v>4971</v>
      </c>
      <c r="AM2912" t="s">
        <v>4972</v>
      </c>
      <c r="AO2912" t="s">
        <v>77</v>
      </c>
      <c r="AP2912" t="s">
        <v>115</v>
      </c>
      <c r="AQ2912" t="s">
        <v>4973</v>
      </c>
      <c r="AR2912" t="s">
        <v>80</v>
      </c>
      <c r="AS2912">
        <v>701</v>
      </c>
      <c r="AT2912" t="s">
        <v>81</v>
      </c>
      <c r="AU2912">
        <v>20.49</v>
      </c>
      <c r="AV2912">
        <v>-40.44</v>
      </c>
      <c r="AW2912" t="s">
        <v>82</v>
      </c>
      <c r="AX2912">
        <v>709</v>
      </c>
      <c r="AY2912" t="s">
        <v>81</v>
      </c>
      <c r="AZ2912">
        <v>22.47</v>
      </c>
      <c r="BA2912">
        <v>-53.45</v>
      </c>
      <c r="BB2912" t="s">
        <v>83</v>
      </c>
    </row>
    <row r="2913" spans="1:54" x14ac:dyDescent="0.4">
      <c r="A2913">
        <v>1409648</v>
      </c>
      <c r="D2913" t="s">
        <v>54</v>
      </c>
      <c r="F2913" t="s">
        <v>2523</v>
      </c>
      <c r="G2913">
        <v>1</v>
      </c>
      <c r="H2913" t="s">
        <v>84</v>
      </c>
      <c r="I2913" t="s">
        <v>57</v>
      </c>
      <c r="K2913" t="s">
        <v>141</v>
      </c>
      <c r="L2913" t="s">
        <v>4999</v>
      </c>
      <c r="M2913" t="s">
        <v>223</v>
      </c>
      <c r="P2913" t="s">
        <v>224</v>
      </c>
      <c r="R2913" t="s">
        <v>183</v>
      </c>
      <c r="S2913" t="s">
        <v>64</v>
      </c>
      <c r="T2913">
        <v>246.7</v>
      </c>
      <c r="U2913">
        <v>242</v>
      </c>
      <c r="V2913">
        <f t="shared" si="90"/>
        <v>244.35</v>
      </c>
      <c r="W2913">
        <f t="shared" si="91"/>
        <v>4.6999999999999886</v>
      </c>
      <c r="X2913">
        <v>104.327904</v>
      </c>
      <c r="Y2913">
        <v>24.779699000000001</v>
      </c>
      <c r="Z2913" t="s">
        <v>520</v>
      </c>
      <c r="AA2913" t="s">
        <v>379</v>
      </c>
      <c r="AB2913" t="s">
        <v>828</v>
      </c>
      <c r="AC2913" t="s">
        <v>3856</v>
      </c>
      <c r="AD2913" t="s">
        <v>2161</v>
      </c>
      <c r="AF2913">
        <v>2</v>
      </c>
      <c r="AG2913" t="s">
        <v>3440</v>
      </c>
      <c r="AH2913" t="s">
        <v>72</v>
      </c>
      <c r="AI2913" t="s">
        <v>3565</v>
      </c>
      <c r="AJ2913">
        <v>2016</v>
      </c>
      <c r="AK2913" t="s">
        <v>5000</v>
      </c>
      <c r="AM2913" t="s">
        <v>5001</v>
      </c>
      <c r="AN2913" t="s">
        <v>76</v>
      </c>
      <c r="AO2913">
        <v>4</v>
      </c>
      <c r="AP2913" t="s">
        <v>115</v>
      </c>
      <c r="AQ2913" t="s">
        <v>3860</v>
      </c>
      <c r="AR2913" t="s">
        <v>80</v>
      </c>
      <c r="AS2913">
        <v>611</v>
      </c>
      <c r="AT2913" t="s">
        <v>81</v>
      </c>
      <c r="AU2913">
        <v>106.84</v>
      </c>
      <c r="AV2913">
        <v>-11.35</v>
      </c>
      <c r="AW2913" t="s">
        <v>82</v>
      </c>
      <c r="AX2913">
        <v>611</v>
      </c>
      <c r="AY2913" t="s">
        <v>81</v>
      </c>
      <c r="AZ2913">
        <v>95.25</v>
      </c>
      <c r="BA2913">
        <v>10.7</v>
      </c>
      <c r="BB2913" t="s">
        <v>83</v>
      </c>
    </row>
    <row r="2914" spans="1:54" x14ac:dyDescent="0.4">
      <c r="A2914">
        <v>1412635</v>
      </c>
      <c r="D2914" t="s">
        <v>54</v>
      </c>
      <c r="I2914" t="s">
        <v>57</v>
      </c>
      <c r="K2914" t="s">
        <v>556</v>
      </c>
      <c r="L2914" t="s">
        <v>4376</v>
      </c>
      <c r="M2914" t="s">
        <v>223</v>
      </c>
      <c r="N2914" t="s">
        <v>234</v>
      </c>
      <c r="O2914" t="s">
        <v>87</v>
      </c>
      <c r="P2914" t="s">
        <v>224</v>
      </c>
      <c r="R2914" t="s">
        <v>183</v>
      </c>
      <c r="S2914" t="s">
        <v>64</v>
      </c>
      <c r="T2914">
        <v>246.7</v>
      </c>
      <c r="U2914">
        <v>242</v>
      </c>
      <c r="V2914">
        <f t="shared" si="90"/>
        <v>244.35</v>
      </c>
      <c r="W2914">
        <f t="shared" si="91"/>
        <v>4.6999999999999886</v>
      </c>
      <c r="X2914">
        <v>131.91999799999999</v>
      </c>
      <c r="Y2914">
        <v>43.002220000000001</v>
      </c>
      <c r="Z2914" t="s">
        <v>520</v>
      </c>
      <c r="AA2914" t="s">
        <v>239</v>
      </c>
      <c r="AB2914" t="s">
        <v>5010</v>
      </c>
      <c r="AD2914" t="s">
        <v>5011</v>
      </c>
      <c r="AG2914" t="s">
        <v>5012</v>
      </c>
      <c r="AH2914" t="s">
        <v>72</v>
      </c>
      <c r="AI2914" t="s">
        <v>5013</v>
      </c>
      <c r="AJ2914">
        <v>2016</v>
      </c>
      <c r="AK2914" t="s">
        <v>5014</v>
      </c>
      <c r="AM2914" t="s">
        <v>5015</v>
      </c>
      <c r="AN2914" t="s">
        <v>76</v>
      </c>
      <c r="AO2914" t="s">
        <v>77</v>
      </c>
      <c r="AP2914" t="s">
        <v>115</v>
      </c>
      <c r="AQ2914" t="s">
        <v>5016</v>
      </c>
      <c r="AR2914" t="s">
        <v>80</v>
      </c>
      <c r="AS2914">
        <v>628</v>
      </c>
      <c r="AT2914" t="s">
        <v>81</v>
      </c>
      <c r="AU2914">
        <v>140.66</v>
      </c>
      <c r="AV2914">
        <v>21.62</v>
      </c>
      <c r="AW2914" t="s">
        <v>82</v>
      </c>
      <c r="AX2914">
        <v>628</v>
      </c>
      <c r="AY2914" t="s">
        <v>81</v>
      </c>
      <c r="AZ2914">
        <v>112.07</v>
      </c>
      <c r="BA2914">
        <v>40.130000000000003</v>
      </c>
      <c r="BB2914" t="s">
        <v>83</v>
      </c>
    </row>
    <row r="2915" spans="1:54" x14ac:dyDescent="0.4">
      <c r="A2915">
        <v>1415005</v>
      </c>
      <c r="D2915" t="s">
        <v>54</v>
      </c>
      <c r="I2915" t="s">
        <v>57</v>
      </c>
      <c r="K2915" t="s">
        <v>221</v>
      </c>
      <c r="L2915" t="s">
        <v>3190</v>
      </c>
      <c r="M2915" t="s">
        <v>223</v>
      </c>
      <c r="P2915" t="s">
        <v>224</v>
      </c>
      <c r="R2915" t="s">
        <v>183</v>
      </c>
      <c r="S2915" t="s">
        <v>64</v>
      </c>
      <c r="T2915">
        <v>246.7</v>
      </c>
      <c r="U2915">
        <v>242</v>
      </c>
      <c r="V2915">
        <f t="shared" si="90"/>
        <v>244.35</v>
      </c>
      <c r="W2915">
        <f t="shared" si="91"/>
        <v>4.6999999999999886</v>
      </c>
      <c r="X2915">
        <v>11.353889000000001</v>
      </c>
      <c r="Y2915">
        <v>52.088054999999997</v>
      </c>
      <c r="Z2915" t="s">
        <v>124</v>
      </c>
      <c r="AA2915" t="s">
        <v>211</v>
      </c>
      <c r="AB2915" t="s">
        <v>266</v>
      </c>
      <c r="AE2915" t="s">
        <v>1378</v>
      </c>
      <c r="AF2915" t="s">
        <v>5023</v>
      </c>
      <c r="AH2915" t="s">
        <v>72</v>
      </c>
      <c r="AI2915" t="s">
        <v>5024</v>
      </c>
      <c r="AJ2915">
        <v>1995</v>
      </c>
      <c r="AK2915" t="s">
        <v>5025</v>
      </c>
      <c r="AN2915" t="s">
        <v>114</v>
      </c>
      <c r="AO2915" t="s">
        <v>77</v>
      </c>
      <c r="AP2915" t="s">
        <v>359</v>
      </c>
      <c r="AQ2915" t="s">
        <v>5026</v>
      </c>
      <c r="AR2915" t="s">
        <v>80</v>
      </c>
      <c r="AS2915">
        <v>315</v>
      </c>
      <c r="AT2915" t="s">
        <v>81</v>
      </c>
      <c r="AU2915">
        <v>29.34</v>
      </c>
      <c r="AV2915">
        <v>30.94</v>
      </c>
      <c r="AW2915" t="s">
        <v>82</v>
      </c>
      <c r="AX2915">
        <v>315</v>
      </c>
      <c r="AY2915" t="s">
        <v>81</v>
      </c>
      <c r="AZ2915">
        <v>19.329999999999998</v>
      </c>
      <c r="BA2915">
        <v>18.13</v>
      </c>
      <c r="BB2915" t="s">
        <v>83</v>
      </c>
    </row>
    <row r="2916" spans="1:54" x14ac:dyDescent="0.4">
      <c r="A2916">
        <v>1415006</v>
      </c>
      <c r="D2916" t="s">
        <v>54</v>
      </c>
      <c r="G2916">
        <v>1</v>
      </c>
      <c r="H2916" t="s">
        <v>84</v>
      </c>
      <c r="I2916" t="s">
        <v>57</v>
      </c>
      <c r="K2916" t="s">
        <v>221</v>
      </c>
      <c r="L2916" t="s">
        <v>3190</v>
      </c>
      <c r="M2916" t="s">
        <v>223</v>
      </c>
      <c r="P2916" t="s">
        <v>224</v>
      </c>
      <c r="R2916" t="s">
        <v>183</v>
      </c>
      <c r="S2916" t="s">
        <v>64</v>
      </c>
      <c r="T2916">
        <v>246.7</v>
      </c>
      <c r="U2916">
        <v>242</v>
      </c>
      <c r="V2916">
        <f t="shared" si="90"/>
        <v>244.35</v>
      </c>
      <c r="W2916">
        <f t="shared" si="91"/>
        <v>4.6999999999999886</v>
      </c>
      <c r="X2916">
        <v>11.767778</v>
      </c>
      <c r="Y2916">
        <v>51.217498999999997</v>
      </c>
      <c r="Z2916" t="s">
        <v>520</v>
      </c>
      <c r="AA2916" t="s">
        <v>211</v>
      </c>
      <c r="AB2916" t="s">
        <v>266</v>
      </c>
      <c r="AC2916" t="s">
        <v>4190</v>
      </c>
      <c r="AD2916" t="s">
        <v>3622</v>
      </c>
      <c r="AE2916" t="s">
        <v>1378</v>
      </c>
      <c r="AF2916" t="s">
        <v>4177</v>
      </c>
      <c r="AH2916" t="s">
        <v>72</v>
      </c>
      <c r="AI2916" t="s">
        <v>5024</v>
      </c>
      <c r="AJ2916">
        <v>1995</v>
      </c>
      <c r="AK2916" t="s">
        <v>4191</v>
      </c>
      <c r="AN2916" t="s">
        <v>341</v>
      </c>
      <c r="AO2916" t="s">
        <v>77</v>
      </c>
      <c r="AP2916" t="s">
        <v>115</v>
      </c>
      <c r="AQ2916" t="s">
        <v>4192</v>
      </c>
      <c r="AR2916" t="s">
        <v>80</v>
      </c>
      <c r="AS2916">
        <v>305</v>
      </c>
      <c r="AT2916" t="s">
        <v>81</v>
      </c>
      <c r="AU2916">
        <v>29.88</v>
      </c>
      <c r="AV2916">
        <v>30.16</v>
      </c>
      <c r="AW2916" t="s">
        <v>82</v>
      </c>
      <c r="AX2916">
        <v>305</v>
      </c>
      <c r="AY2916" t="s">
        <v>81</v>
      </c>
      <c r="AZ2916">
        <v>19.95</v>
      </c>
      <c r="BA2916">
        <v>17.440000000000001</v>
      </c>
      <c r="BB2916" t="s">
        <v>83</v>
      </c>
    </row>
    <row r="2917" spans="1:54" x14ac:dyDescent="0.4">
      <c r="A2917">
        <v>1415007</v>
      </c>
      <c r="D2917" t="s">
        <v>2134</v>
      </c>
      <c r="G2917">
        <v>1</v>
      </c>
      <c r="H2917" t="s">
        <v>84</v>
      </c>
      <c r="I2917" t="s">
        <v>57</v>
      </c>
      <c r="K2917" t="s">
        <v>221</v>
      </c>
      <c r="L2917" t="s">
        <v>3199</v>
      </c>
      <c r="M2917" t="s">
        <v>223</v>
      </c>
      <c r="P2917" t="s">
        <v>224</v>
      </c>
      <c r="R2917" t="s">
        <v>183</v>
      </c>
      <c r="S2917" t="s">
        <v>64</v>
      </c>
      <c r="T2917">
        <v>246.7</v>
      </c>
      <c r="U2917">
        <v>242</v>
      </c>
      <c r="V2917">
        <f t="shared" si="90"/>
        <v>244.35</v>
      </c>
      <c r="W2917">
        <f t="shared" si="91"/>
        <v>4.6999999999999886</v>
      </c>
      <c r="X2917">
        <v>19</v>
      </c>
      <c r="Y2917">
        <v>50.319721000000001</v>
      </c>
      <c r="Z2917" t="s">
        <v>520</v>
      </c>
      <c r="AA2917" t="s">
        <v>697</v>
      </c>
      <c r="AB2917" t="s">
        <v>5027</v>
      </c>
      <c r="AE2917" t="s">
        <v>1378</v>
      </c>
      <c r="AH2917" t="s">
        <v>72</v>
      </c>
      <c r="AI2917" t="s">
        <v>2288</v>
      </c>
      <c r="AJ2917">
        <v>1884</v>
      </c>
      <c r="AK2917" t="s">
        <v>5028</v>
      </c>
      <c r="AN2917" t="s">
        <v>114</v>
      </c>
      <c r="AO2917" t="s">
        <v>77</v>
      </c>
      <c r="AP2917" t="s">
        <v>359</v>
      </c>
      <c r="AQ2917" t="s">
        <v>5029</v>
      </c>
      <c r="AR2917" t="s">
        <v>80</v>
      </c>
      <c r="AS2917">
        <v>305</v>
      </c>
      <c r="AT2917" t="s">
        <v>81</v>
      </c>
      <c r="AU2917">
        <v>35.26</v>
      </c>
      <c r="AV2917">
        <v>30.54</v>
      </c>
      <c r="AW2917" t="s">
        <v>82</v>
      </c>
      <c r="AX2917">
        <v>305</v>
      </c>
      <c r="AY2917" t="s">
        <v>81</v>
      </c>
      <c r="AZ2917">
        <v>24.68</v>
      </c>
      <c r="BA2917">
        <v>18.66</v>
      </c>
      <c r="BB2917" t="s">
        <v>83</v>
      </c>
    </row>
    <row r="2918" spans="1:54" x14ac:dyDescent="0.4">
      <c r="A2918">
        <v>1415009</v>
      </c>
      <c r="D2918" t="s">
        <v>54</v>
      </c>
      <c r="E2918" t="s">
        <v>152</v>
      </c>
      <c r="I2918" t="s">
        <v>57</v>
      </c>
      <c r="K2918" t="s">
        <v>221</v>
      </c>
      <c r="L2918" t="s">
        <v>3199</v>
      </c>
      <c r="M2918" t="s">
        <v>223</v>
      </c>
      <c r="P2918" t="s">
        <v>224</v>
      </c>
      <c r="R2918" t="s">
        <v>183</v>
      </c>
      <c r="S2918" t="s">
        <v>64</v>
      </c>
      <c r="T2918">
        <v>246.7</v>
      </c>
      <c r="U2918">
        <v>242</v>
      </c>
      <c r="V2918">
        <f t="shared" si="90"/>
        <v>244.35</v>
      </c>
      <c r="W2918">
        <f t="shared" si="91"/>
        <v>4.6999999999999886</v>
      </c>
      <c r="X2918">
        <v>17.628889000000001</v>
      </c>
      <c r="Y2918">
        <v>50.577778000000002</v>
      </c>
      <c r="Z2918" t="s">
        <v>520</v>
      </c>
      <c r="AA2918" t="s">
        <v>697</v>
      </c>
      <c r="AB2918" t="s">
        <v>3595</v>
      </c>
      <c r="AD2918" t="s">
        <v>4310</v>
      </c>
      <c r="AE2918" t="s">
        <v>1378</v>
      </c>
      <c r="AH2918" t="s">
        <v>72</v>
      </c>
      <c r="AI2918" t="s">
        <v>5024</v>
      </c>
      <c r="AJ2918">
        <v>1995</v>
      </c>
      <c r="AK2918" t="s">
        <v>4311</v>
      </c>
      <c r="AN2918" t="s">
        <v>114</v>
      </c>
      <c r="AO2918" t="s">
        <v>77</v>
      </c>
      <c r="AP2918" t="s">
        <v>115</v>
      </c>
      <c r="AQ2918" t="s">
        <v>4312</v>
      </c>
      <c r="AR2918" t="s">
        <v>80</v>
      </c>
      <c r="AS2918">
        <v>305</v>
      </c>
      <c r="AT2918" t="s">
        <v>81</v>
      </c>
      <c r="AU2918">
        <v>34.21</v>
      </c>
      <c r="AV2918">
        <v>30.53</v>
      </c>
      <c r="AW2918" t="s">
        <v>82</v>
      </c>
      <c r="AX2918">
        <v>305</v>
      </c>
      <c r="AY2918" t="s">
        <v>81</v>
      </c>
      <c r="AZ2918">
        <v>23.74</v>
      </c>
      <c r="BA2918">
        <v>18.48</v>
      </c>
      <c r="BB2918" t="s">
        <v>83</v>
      </c>
    </row>
    <row r="2919" spans="1:54" x14ac:dyDescent="0.4">
      <c r="A2919">
        <v>1415290</v>
      </c>
      <c r="D2919" t="s">
        <v>54</v>
      </c>
      <c r="I2919" t="s">
        <v>57</v>
      </c>
      <c r="K2919" t="s">
        <v>141</v>
      </c>
      <c r="L2919" t="s">
        <v>529</v>
      </c>
      <c r="M2919" t="s">
        <v>223</v>
      </c>
      <c r="P2919" t="s">
        <v>224</v>
      </c>
      <c r="R2919" t="s">
        <v>183</v>
      </c>
      <c r="S2919" t="s">
        <v>64</v>
      </c>
      <c r="T2919">
        <v>246.7</v>
      </c>
      <c r="U2919">
        <v>242</v>
      </c>
      <c r="V2919">
        <f t="shared" si="90"/>
        <v>244.35</v>
      </c>
      <c r="W2919">
        <f t="shared" si="91"/>
        <v>4.6999999999999886</v>
      </c>
      <c r="X2919">
        <v>18.966667000000001</v>
      </c>
      <c r="Y2919">
        <v>50.299999</v>
      </c>
      <c r="Z2919" t="s">
        <v>1004</v>
      </c>
      <c r="AA2919" t="s">
        <v>697</v>
      </c>
      <c r="AD2919" t="s">
        <v>2329</v>
      </c>
      <c r="AF2919" t="s">
        <v>2330</v>
      </c>
      <c r="AH2919" t="s">
        <v>72</v>
      </c>
      <c r="AI2919" t="s">
        <v>5041</v>
      </c>
      <c r="AJ2919">
        <v>2016</v>
      </c>
      <c r="AK2919" t="s">
        <v>2332</v>
      </c>
      <c r="AN2919" t="s">
        <v>114</v>
      </c>
      <c r="AO2919" t="s">
        <v>160</v>
      </c>
      <c r="AP2919" t="s">
        <v>78</v>
      </c>
      <c r="AQ2919" t="s">
        <v>2333</v>
      </c>
      <c r="AR2919" t="s">
        <v>80</v>
      </c>
      <c r="AS2919">
        <v>305</v>
      </c>
      <c r="AT2919" t="s">
        <v>81</v>
      </c>
      <c r="AU2919">
        <v>35.25</v>
      </c>
      <c r="AV2919">
        <v>30.52</v>
      </c>
      <c r="AW2919" t="s">
        <v>82</v>
      </c>
      <c r="AX2919">
        <v>305</v>
      </c>
      <c r="AY2919" t="s">
        <v>81</v>
      </c>
      <c r="AZ2919">
        <v>24.67</v>
      </c>
      <c r="BA2919">
        <v>18.64</v>
      </c>
      <c r="BB2919" t="s">
        <v>83</v>
      </c>
    </row>
    <row r="2920" spans="1:54" x14ac:dyDescent="0.4">
      <c r="A2920">
        <v>1415291</v>
      </c>
      <c r="D2920" t="s">
        <v>54</v>
      </c>
      <c r="I2920" t="s">
        <v>57</v>
      </c>
      <c r="K2920" t="s">
        <v>141</v>
      </c>
      <c r="L2920" t="s">
        <v>529</v>
      </c>
      <c r="M2920" t="s">
        <v>223</v>
      </c>
      <c r="P2920" t="s">
        <v>224</v>
      </c>
      <c r="R2920" t="s">
        <v>183</v>
      </c>
      <c r="S2920" t="s">
        <v>64</v>
      </c>
      <c r="T2920">
        <v>246.7</v>
      </c>
      <c r="U2920">
        <v>242</v>
      </c>
      <c r="V2920">
        <f t="shared" si="90"/>
        <v>244.35</v>
      </c>
      <c r="W2920">
        <f t="shared" si="91"/>
        <v>4.6999999999999886</v>
      </c>
      <c r="X2920">
        <v>18.075831999999998</v>
      </c>
      <c r="Y2920">
        <v>50.483333999999999</v>
      </c>
      <c r="Z2920" t="s">
        <v>520</v>
      </c>
      <c r="AA2920" t="s">
        <v>697</v>
      </c>
      <c r="AD2920" t="s">
        <v>3596</v>
      </c>
      <c r="AH2920" t="s">
        <v>72</v>
      </c>
      <c r="AI2920" t="s">
        <v>5041</v>
      </c>
      <c r="AJ2920">
        <v>2016</v>
      </c>
      <c r="AK2920" t="s">
        <v>4109</v>
      </c>
      <c r="AM2920" t="s">
        <v>4110</v>
      </c>
      <c r="AN2920" t="s">
        <v>114</v>
      </c>
      <c r="AO2920" t="s">
        <v>77</v>
      </c>
      <c r="AP2920" t="s">
        <v>115</v>
      </c>
      <c r="AR2920" t="s">
        <v>80</v>
      </c>
      <c r="AS2920">
        <v>305</v>
      </c>
      <c r="AT2920" t="s">
        <v>81</v>
      </c>
      <c r="AU2920">
        <v>34.549999999999997</v>
      </c>
      <c r="AV2920">
        <v>30.52</v>
      </c>
      <c r="AW2920" t="s">
        <v>82</v>
      </c>
      <c r="AX2920">
        <v>305</v>
      </c>
      <c r="AY2920" t="s">
        <v>81</v>
      </c>
      <c r="AZ2920">
        <v>24.05</v>
      </c>
      <c r="BA2920">
        <v>18.53</v>
      </c>
      <c r="BB2920" t="s">
        <v>83</v>
      </c>
    </row>
    <row r="2921" spans="1:54" x14ac:dyDescent="0.4">
      <c r="A2921">
        <v>1415292</v>
      </c>
      <c r="D2921" t="s">
        <v>54</v>
      </c>
      <c r="I2921" t="s">
        <v>57</v>
      </c>
      <c r="K2921" t="s">
        <v>3861</v>
      </c>
      <c r="L2921" t="s">
        <v>5042</v>
      </c>
      <c r="M2921" t="s">
        <v>60</v>
      </c>
      <c r="P2921" t="s">
        <v>224</v>
      </c>
      <c r="R2921" t="s">
        <v>183</v>
      </c>
      <c r="S2921" t="s">
        <v>64</v>
      </c>
      <c r="T2921">
        <v>246.7</v>
      </c>
      <c r="U2921">
        <v>242</v>
      </c>
      <c r="V2921">
        <f t="shared" si="90"/>
        <v>244.35</v>
      </c>
      <c r="W2921">
        <f t="shared" si="91"/>
        <v>4.6999999999999886</v>
      </c>
      <c r="X2921">
        <v>18.966667000000001</v>
      </c>
      <c r="Y2921">
        <v>50.299999</v>
      </c>
      <c r="Z2921" t="s">
        <v>1004</v>
      </c>
      <c r="AA2921" t="s">
        <v>697</v>
      </c>
      <c r="AD2921" t="s">
        <v>2329</v>
      </c>
      <c r="AF2921" t="s">
        <v>2330</v>
      </c>
      <c r="AH2921" t="s">
        <v>72</v>
      </c>
      <c r="AI2921" t="s">
        <v>5041</v>
      </c>
      <c r="AJ2921">
        <v>2016</v>
      </c>
      <c r="AK2921" t="s">
        <v>2332</v>
      </c>
      <c r="AN2921" t="s">
        <v>114</v>
      </c>
      <c r="AO2921" t="s">
        <v>160</v>
      </c>
      <c r="AP2921" t="s">
        <v>78</v>
      </c>
      <c r="AQ2921" t="s">
        <v>2333</v>
      </c>
      <c r="AR2921" t="s">
        <v>80</v>
      </c>
      <c r="AS2921">
        <v>305</v>
      </c>
      <c r="AT2921" t="s">
        <v>81</v>
      </c>
      <c r="AU2921">
        <v>35.25</v>
      </c>
      <c r="AV2921">
        <v>30.52</v>
      </c>
      <c r="AW2921" t="s">
        <v>82</v>
      </c>
      <c r="AX2921">
        <v>305</v>
      </c>
      <c r="AY2921" t="s">
        <v>81</v>
      </c>
      <c r="AZ2921">
        <v>24.67</v>
      </c>
      <c r="BA2921">
        <v>18.64</v>
      </c>
      <c r="BB2921" t="s">
        <v>83</v>
      </c>
    </row>
    <row r="2922" spans="1:54" x14ac:dyDescent="0.4">
      <c r="A2922">
        <v>1415293</v>
      </c>
      <c r="D2922" t="s">
        <v>54</v>
      </c>
      <c r="I2922" t="s">
        <v>57</v>
      </c>
      <c r="K2922" t="s">
        <v>3861</v>
      </c>
      <c r="L2922" t="s">
        <v>5042</v>
      </c>
      <c r="M2922" t="s">
        <v>60</v>
      </c>
      <c r="P2922" t="s">
        <v>224</v>
      </c>
      <c r="R2922" t="s">
        <v>183</v>
      </c>
      <c r="S2922" t="s">
        <v>64</v>
      </c>
      <c r="T2922">
        <v>246.7</v>
      </c>
      <c r="U2922">
        <v>242</v>
      </c>
      <c r="V2922">
        <f t="shared" si="90"/>
        <v>244.35</v>
      </c>
      <c r="W2922">
        <f t="shared" si="91"/>
        <v>4.6999999999999886</v>
      </c>
      <c r="X2922">
        <v>18.075831999999998</v>
      </c>
      <c r="Y2922">
        <v>50.483333999999999</v>
      </c>
      <c r="Z2922" t="s">
        <v>520</v>
      </c>
      <c r="AA2922" t="s">
        <v>697</v>
      </c>
      <c r="AD2922" t="s">
        <v>3596</v>
      </c>
      <c r="AH2922" t="s">
        <v>72</v>
      </c>
      <c r="AI2922" t="s">
        <v>5041</v>
      </c>
      <c r="AJ2922">
        <v>2016</v>
      </c>
      <c r="AK2922" t="s">
        <v>4109</v>
      </c>
      <c r="AM2922" t="s">
        <v>4110</v>
      </c>
      <c r="AN2922" t="s">
        <v>114</v>
      </c>
      <c r="AO2922" t="s">
        <v>77</v>
      </c>
      <c r="AP2922" t="s">
        <v>115</v>
      </c>
      <c r="AR2922" t="s">
        <v>80</v>
      </c>
      <c r="AS2922">
        <v>305</v>
      </c>
      <c r="AT2922" t="s">
        <v>81</v>
      </c>
      <c r="AU2922">
        <v>34.549999999999997</v>
      </c>
      <c r="AV2922">
        <v>30.52</v>
      </c>
      <c r="AW2922" t="s">
        <v>82</v>
      </c>
      <c r="AX2922">
        <v>305</v>
      </c>
      <c r="AY2922" t="s">
        <v>81</v>
      </c>
      <c r="AZ2922">
        <v>24.05</v>
      </c>
      <c r="BA2922">
        <v>18.53</v>
      </c>
      <c r="BB2922" t="s">
        <v>83</v>
      </c>
    </row>
    <row r="2923" spans="1:54" x14ac:dyDescent="0.4">
      <c r="A2923">
        <v>1415294</v>
      </c>
      <c r="D2923" t="s">
        <v>54</v>
      </c>
      <c r="E2923" t="s">
        <v>152</v>
      </c>
      <c r="I2923" t="s">
        <v>57</v>
      </c>
      <c r="K2923" t="s">
        <v>3861</v>
      </c>
      <c r="L2923" t="s">
        <v>5042</v>
      </c>
      <c r="M2923" t="s">
        <v>60</v>
      </c>
      <c r="P2923" t="s">
        <v>224</v>
      </c>
      <c r="R2923" t="s">
        <v>183</v>
      </c>
      <c r="S2923" t="s">
        <v>64</v>
      </c>
      <c r="T2923">
        <v>246.7</v>
      </c>
      <c r="U2923">
        <v>242</v>
      </c>
      <c r="V2923">
        <f t="shared" si="90"/>
        <v>244.35</v>
      </c>
      <c r="W2923">
        <f t="shared" si="91"/>
        <v>4.6999999999999886</v>
      </c>
      <c r="X2923">
        <v>17.628889000000001</v>
      </c>
      <c r="Y2923">
        <v>50.577778000000002</v>
      </c>
      <c r="Z2923" t="s">
        <v>520</v>
      </c>
      <c r="AA2923" t="s">
        <v>697</v>
      </c>
      <c r="AB2923" t="s">
        <v>3595</v>
      </c>
      <c r="AD2923" t="s">
        <v>4310</v>
      </c>
      <c r="AE2923" t="s">
        <v>1378</v>
      </c>
      <c r="AH2923" t="s">
        <v>72</v>
      </c>
      <c r="AI2923" t="s">
        <v>5041</v>
      </c>
      <c r="AJ2923">
        <v>2016</v>
      </c>
      <c r="AK2923" t="s">
        <v>4311</v>
      </c>
      <c r="AN2923" t="s">
        <v>114</v>
      </c>
      <c r="AO2923" t="s">
        <v>77</v>
      </c>
      <c r="AP2923" t="s">
        <v>115</v>
      </c>
      <c r="AQ2923" t="s">
        <v>4312</v>
      </c>
      <c r="AR2923" t="s">
        <v>80</v>
      </c>
      <c r="AS2923">
        <v>305</v>
      </c>
      <c r="AT2923" t="s">
        <v>81</v>
      </c>
      <c r="AU2923">
        <v>34.21</v>
      </c>
      <c r="AV2923">
        <v>30.53</v>
      </c>
      <c r="AW2923" t="s">
        <v>82</v>
      </c>
      <c r="AX2923">
        <v>305</v>
      </c>
      <c r="AY2923" t="s">
        <v>81</v>
      </c>
      <c r="AZ2923">
        <v>23.74</v>
      </c>
      <c r="BA2923">
        <v>18.48</v>
      </c>
      <c r="BB2923" t="s">
        <v>83</v>
      </c>
    </row>
    <row r="2924" spans="1:54" x14ac:dyDescent="0.4">
      <c r="A2924">
        <v>1415297</v>
      </c>
      <c r="D2924" t="s">
        <v>54</v>
      </c>
      <c r="I2924" t="s">
        <v>57</v>
      </c>
      <c r="K2924" t="s">
        <v>3861</v>
      </c>
      <c r="L2924" t="s">
        <v>5042</v>
      </c>
      <c r="M2924" t="s">
        <v>60</v>
      </c>
      <c r="P2924" t="s">
        <v>224</v>
      </c>
      <c r="R2924" t="s">
        <v>183</v>
      </c>
      <c r="S2924" t="s">
        <v>64</v>
      </c>
      <c r="T2924">
        <v>246.7</v>
      </c>
      <c r="U2924">
        <v>242</v>
      </c>
      <c r="V2924">
        <f t="shared" si="90"/>
        <v>244.35</v>
      </c>
      <c r="W2924">
        <f t="shared" si="91"/>
        <v>4.6999999999999886</v>
      </c>
      <c r="X2924">
        <v>18.947779000000001</v>
      </c>
      <c r="Y2924">
        <v>50.486941999999999</v>
      </c>
      <c r="Z2924" t="s">
        <v>520</v>
      </c>
      <c r="AA2924" t="s">
        <v>697</v>
      </c>
      <c r="AB2924" t="s">
        <v>5043</v>
      </c>
      <c r="AE2924" t="s">
        <v>1378</v>
      </c>
      <c r="AH2924" t="s">
        <v>72</v>
      </c>
      <c r="AI2924" t="s">
        <v>5041</v>
      </c>
      <c r="AJ2924">
        <v>2016</v>
      </c>
      <c r="AK2924" t="s">
        <v>5046</v>
      </c>
      <c r="AN2924" t="s">
        <v>114</v>
      </c>
      <c r="AO2924" t="s">
        <v>77</v>
      </c>
      <c r="AQ2924" t="s">
        <v>5047</v>
      </c>
      <c r="AR2924" t="s">
        <v>80</v>
      </c>
      <c r="AS2924">
        <v>305</v>
      </c>
      <c r="AT2924" t="s">
        <v>81</v>
      </c>
      <c r="AU2924">
        <v>35.17</v>
      </c>
      <c r="AV2924">
        <v>30.69</v>
      </c>
      <c r="AW2924" t="s">
        <v>82</v>
      </c>
      <c r="AX2924">
        <v>305</v>
      </c>
      <c r="AY2924" t="s">
        <v>81</v>
      </c>
      <c r="AZ2924">
        <v>24.56</v>
      </c>
      <c r="BA2924">
        <v>18.8</v>
      </c>
      <c r="BB2924" t="s">
        <v>83</v>
      </c>
    </row>
    <row r="2925" spans="1:54" x14ac:dyDescent="0.4">
      <c r="A2925">
        <v>1417529</v>
      </c>
      <c r="D2925" t="s">
        <v>54</v>
      </c>
      <c r="G2925">
        <v>1</v>
      </c>
      <c r="H2925" t="s">
        <v>84</v>
      </c>
      <c r="I2925" t="s">
        <v>57</v>
      </c>
      <c r="K2925" t="s">
        <v>802</v>
      </c>
      <c r="L2925" t="s">
        <v>803</v>
      </c>
      <c r="M2925" t="s">
        <v>223</v>
      </c>
      <c r="N2925" t="s">
        <v>234</v>
      </c>
      <c r="O2925" t="s">
        <v>87</v>
      </c>
      <c r="P2925" t="s">
        <v>224</v>
      </c>
      <c r="R2925" t="s">
        <v>183</v>
      </c>
      <c r="S2925" t="s">
        <v>64</v>
      </c>
      <c r="T2925">
        <v>246.7</v>
      </c>
      <c r="U2925">
        <v>242</v>
      </c>
      <c r="V2925">
        <f t="shared" si="90"/>
        <v>244.35</v>
      </c>
      <c r="W2925">
        <f t="shared" si="91"/>
        <v>4.6999999999999886</v>
      </c>
      <c r="X2925">
        <v>-117.539444</v>
      </c>
      <c r="Y2925">
        <v>40.001389000000003</v>
      </c>
      <c r="Z2925" t="s">
        <v>520</v>
      </c>
      <c r="AA2925" t="s">
        <v>66</v>
      </c>
      <c r="AB2925" t="s">
        <v>558</v>
      </c>
      <c r="AC2925" t="s">
        <v>559</v>
      </c>
      <c r="AD2925" t="s">
        <v>3344</v>
      </c>
      <c r="AF2925" t="s">
        <v>3346</v>
      </c>
      <c r="AH2925" t="s">
        <v>72</v>
      </c>
      <c r="AI2925" t="s">
        <v>4236</v>
      </c>
      <c r="AJ2925">
        <v>2006</v>
      </c>
      <c r="AK2925" t="s">
        <v>5150</v>
      </c>
      <c r="AN2925" t="s">
        <v>114</v>
      </c>
      <c r="AO2925" t="s">
        <v>77</v>
      </c>
      <c r="AP2925" t="s">
        <v>359</v>
      </c>
      <c r="AQ2925" t="s">
        <v>5151</v>
      </c>
      <c r="AR2925" t="s">
        <v>80</v>
      </c>
      <c r="AS2925">
        <v>101</v>
      </c>
      <c r="AT2925" t="s">
        <v>81</v>
      </c>
      <c r="AU2925">
        <v>-38.03</v>
      </c>
      <c r="AV2925">
        <v>24.55</v>
      </c>
      <c r="AW2925" t="s">
        <v>82</v>
      </c>
      <c r="AX2925">
        <v>131</v>
      </c>
      <c r="AY2925" t="s">
        <v>81</v>
      </c>
      <c r="AZ2925">
        <v>-43.1</v>
      </c>
      <c r="BA2925">
        <v>9.11</v>
      </c>
      <c r="BB2925" t="s">
        <v>83</v>
      </c>
    </row>
    <row r="2926" spans="1:54" x14ac:dyDescent="0.4">
      <c r="A2926">
        <v>1418524</v>
      </c>
      <c r="D2926" t="s">
        <v>3188</v>
      </c>
      <c r="E2926" t="s">
        <v>55</v>
      </c>
      <c r="F2926" t="s">
        <v>3189</v>
      </c>
      <c r="G2926">
        <v>1</v>
      </c>
      <c r="H2926" t="s">
        <v>56</v>
      </c>
      <c r="I2926" t="s">
        <v>57</v>
      </c>
      <c r="K2926" t="s">
        <v>771</v>
      </c>
      <c r="L2926" t="s">
        <v>3368</v>
      </c>
      <c r="M2926" t="s">
        <v>223</v>
      </c>
      <c r="P2926" t="s">
        <v>224</v>
      </c>
      <c r="R2926" t="s">
        <v>183</v>
      </c>
      <c r="S2926" t="s">
        <v>64</v>
      </c>
      <c r="T2926">
        <v>246.7</v>
      </c>
      <c r="U2926">
        <v>242</v>
      </c>
      <c r="V2926">
        <f t="shared" si="90"/>
        <v>244.35</v>
      </c>
      <c r="W2926">
        <f t="shared" si="91"/>
        <v>4.6999999999999886</v>
      </c>
      <c r="X2926">
        <v>6.7258329999999997</v>
      </c>
      <c r="Y2926">
        <v>51.968333999999999</v>
      </c>
      <c r="Z2926" t="s">
        <v>1512</v>
      </c>
      <c r="AA2926" t="s">
        <v>3191</v>
      </c>
      <c r="AB2926" t="s">
        <v>3192</v>
      </c>
      <c r="AD2926" t="s">
        <v>3193</v>
      </c>
      <c r="AE2926" t="s">
        <v>1378</v>
      </c>
      <c r="AF2926" t="s">
        <v>3194</v>
      </c>
      <c r="AH2926" t="s">
        <v>72</v>
      </c>
      <c r="AI2926" t="s">
        <v>3204</v>
      </c>
      <c r="AJ2926">
        <v>2016</v>
      </c>
      <c r="AK2926" t="s">
        <v>3196</v>
      </c>
      <c r="AM2926" t="s">
        <v>3197</v>
      </c>
      <c r="AN2926" t="s">
        <v>192</v>
      </c>
      <c r="AO2926" t="s">
        <v>77</v>
      </c>
      <c r="AP2926" t="s">
        <v>78</v>
      </c>
      <c r="AQ2926" t="s">
        <v>3198</v>
      </c>
      <c r="AR2926" t="s">
        <v>80</v>
      </c>
      <c r="AS2926">
        <v>315</v>
      </c>
      <c r="AT2926" t="s">
        <v>81</v>
      </c>
      <c r="AU2926">
        <v>26.16</v>
      </c>
      <c r="AV2926">
        <v>30.17</v>
      </c>
      <c r="AW2926" t="s">
        <v>82</v>
      </c>
      <c r="AX2926">
        <v>315</v>
      </c>
      <c r="AY2926" t="s">
        <v>81</v>
      </c>
      <c r="AZ2926">
        <v>16.62</v>
      </c>
      <c r="BA2926">
        <v>16.920000000000002</v>
      </c>
      <c r="BB2926" t="s">
        <v>83</v>
      </c>
    </row>
    <row r="2927" spans="1:54" x14ac:dyDescent="0.4">
      <c r="A2927">
        <v>1418768</v>
      </c>
      <c r="D2927" t="s">
        <v>54</v>
      </c>
      <c r="I2927" t="s">
        <v>57</v>
      </c>
      <c r="K2927" t="s">
        <v>232</v>
      </c>
      <c r="L2927" t="s">
        <v>233</v>
      </c>
      <c r="M2927" t="s">
        <v>223</v>
      </c>
      <c r="N2927" t="s">
        <v>234</v>
      </c>
      <c r="O2927" t="s">
        <v>87</v>
      </c>
      <c r="P2927" t="s">
        <v>224</v>
      </c>
      <c r="R2927" t="s">
        <v>183</v>
      </c>
      <c r="S2927" t="s">
        <v>64</v>
      </c>
      <c r="T2927">
        <v>246.7</v>
      </c>
      <c r="U2927">
        <v>242</v>
      </c>
      <c r="V2927">
        <f t="shared" si="90"/>
        <v>244.35</v>
      </c>
      <c r="W2927">
        <f t="shared" si="91"/>
        <v>4.6999999999999886</v>
      </c>
      <c r="X2927">
        <v>104.28971900000001</v>
      </c>
      <c r="Y2927">
        <v>24.782499000000001</v>
      </c>
      <c r="Z2927" t="s">
        <v>520</v>
      </c>
      <c r="AA2927" t="s">
        <v>379</v>
      </c>
      <c r="AB2927" t="s">
        <v>828</v>
      </c>
      <c r="AC2927" t="s">
        <v>3856</v>
      </c>
      <c r="AD2927" t="s">
        <v>2161</v>
      </c>
      <c r="AH2927" t="s">
        <v>72</v>
      </c>
      <c r="AI2927" t="s">
        <v>5203</v>
      </c>
      <c r="AJ2927">
        <v>2009</v>
      </c>
      <c r="AK2927" t="s">
        <v>5205</v>
      </c>
      <c r="AN2927" t="s">
        <v>76</v>
      </c>
      <c r="AO2927" t="s">
        <v>77</v>
      </c>
      <c r="AP2927" t="s">
        <v>359</v>
      </c>
      <c r="AQ2927" t="s">
        <v>5206</v>
      </c>
      <c r="AR2927" t="s">
        <v>80</v>
      </c>
      <c r="AS2927">
        <v>611</v>
      </c>
      <c r="AT2927" t="s">
        <v>81</v>
      </c>
      <c r="AU2927">
        <v>106.8</v>
      </c>
      <c r="AV2927">
        <v>-11.35</v>
      </c>
      <c r="AW2927" t="s">
        <v>82</v>
      </c>
      <c r="AX2927">
        <v>611</v>
      </c>
      <c r="AY2927" t="s">
        <v>81</v>
      </c>
      <c r="AZ2927">
        <v>95.22</v>
      </c>
      <c r="BA2927">
        <v>10.69</v>
      </c>
      <c r="BB2927" t="s">
        <v>83</v>
      </c>
    </row>
    <row r="2928" spans="1:54" x14ac:dyDescent="0.4">
      <c r="A2928">
        <v>1418847</v>
      </c>
      <c r="D2928" t="s">
        <v>54</v>
      </c>
      <c r="I2928" t="s">
        <v>57</v>
      </c>
      <c r="K2928" t="s">
        <v>221</v>
      </c>
      <c r="L2928" t="s">
        <v>222</v>
      </c>
      <c r="M2928" t="s">
        <v>223</v>
      </c>
      <c r="P2928" t="s">
        <v>224</v>
      </c>
      <c r="R2928" t="s">
        <v>183</v>
      </c>
      <c r="S2928" t="s">
        <v>64</v>
      </c>
      <c r="T2928">
        <v>246.7</v>
      </c>
      <c r="U2928">
        <v>242</v>
      </c>
      <c r="V2928">
        <f t="shared" si="90"/>
        <v>244.35</v>
      </c>
      <c r="W2928">
        <f t="shared" si="91"/>
        <v>4.6999999999999886</v>
      </c>
      <c r="X2928">
        <v>19.589167</v>
      </c>
      <c r="Y2928">
        <v>48.990276000000001</v>
      </c>
      <c r="Z2928" t="s">
        <v>520</v>
      </c>
      <c r="AA2928" t="s">
        <v>5210</v>
      </c>
      <c r="AB2928" t="s">
        <v>5211</v>
      </c>
      <c r="AD2928" t="s">
        <v>5212</v>
      </c>
      <c r="AH2928" t="s">
        <v>11</v>
      </c>
      <c r="AI2928" t="s">
        <v>5213</v>
      </c>
      <c r="AJ2928">
        <v>2018</v>
      </c>
      <c r="AK2928" t="s">
        <v>5214</v>
      </c>
      <c r="AN2928" t="s">
        <v>76</v>
      </c>
      <c r="AO2928" t="s">
        <v>77</v>
      </c>
      <c r="AP2928" t="s">
        <v>78</v>
      </c>
      <c r="AR2928" t="s">
        <v>80</v>
      </c>
      <c r="AS2928">
        <v>308</v>
      </c>
      <c r="AT2928" t="s">
        <v>81</v>
      </c>
      <c r="AU2928">
        <v>40.56</v>
      </c>
      <c r="AV2928">
        <v>11.78</v>
      </c>
      <c r="AW2928" t="s">
        <v>82</v>
      </c>
      <c r="AX2928" t="s">
        <v>528</v>
      </c>
      <c r="AY2928" t="s">
        <v>81</v>
      </c>
      <c r="BB2928" t="s">
        <v>83</v>
      </c>
    </row>
    <row r="2929" spans="1:54" x14ac:dyDescent="0.4">
      <c r="A2929">
        <v>1418894</v>
      </c>
      <c r="D2929" t="s">
        <v>3188</v>
      </c>
      <c r="E2929" t="s">
        <v>55</v>
      </c>
      <c r="F2929" t="s">
        <v>3189</v>
      </c>
      <c r="G2929">
        <v>1</v>
      </c>
      <c r="H2929" t="s">
        <v>56</v>
      </c>
      <c r="I2929" t="s">
        <v>57</v>
      </c>
      <c r="K2929" t="s">
        <v>771</v>
      </c>
      <c r="L2929" t="s">
        <v>772</v>
      </c>
      <c r="M2929" t="s">
        <v>223</v>
      </c>
      <c r="P2929" t="s">
        <v>224</v>
      </c>
      <c r="R2929" t="s">
        <v>183</v>
      </c>
      <c r="S2929" t="s">
        <v>64</v>
      </c>
      <c r="T2929">
        <v>246.7</v>
      </c>
      <c r="U2929">
        <v>242</v>
      </c>
      <c r="V2929">
        <f t="shared" si="90"/>
        <v>244.35</v>
      </c>
      <c r="W2929">
        <f t="shared" si="91"/>
        <v>4.6999999999999886</v>
      </c>
      <c r="X2929">
        <v>6.7258329999999997</v>
      </c>
      <c r="Y2929">
        <v>51.968333999999999</v>
      </c>
      <c r="Z2929" t="s">
        <v>1512</v>
      </c>
      <c r="AA2929" t="s">
        <v>3191</v>
      </c>
      <c r="AB2929" t="s">
        <v>3192</v>
      </c>
      <c r="AD2929" t="s">
        <v>3193</v>
      </c>
      <c r="AE2929" t="s">
        <v>1378</v>
      </c>
      <c r="AF2929" t="s">
        <v>3194</v>
      </c>
      <c r="AH2929" t="s">
        <v>72</v>
      </c>
      <c r="AI2929" t="s">
        <v>3204</v>
      </c>
      <c r="AJ2929">
        <v>2015</v>
      </c>
      <c r="AK2929" t="s">
        <v>3196</v>
      </c>
      <c r="AM2929" t="s">
        <v>3197</v>
      </c>
      <c r="AN2929" t="s">
        <v>192</v>
      </c>
      <c r="AO2929" t="s">
        <v>77</v>
      </c>
      <c r="AP2929" t="s">
        <v>78</v>
      </c>
      <c r="AQ2929" t="s">
        <v>3198</v>
      </c>
      <c r="AR2929" t="s">
        <v>80</v>
      </c>
      <c r="AS2929">
        <v>315</v>
      </c>
      <c r="AT2929" t="s">
        <v>81</v>
      </c>
      <c r="AU2929">
        <v>26.16</v>
      </c>
      <c r="AV2929">
        <v>30.17</v>
      </c>
      <c r="AW2929" t="s">
        <v>82</v>
      </c>
      <c r="AX2929">
        <v>315</v>
      </c>
      <c r="AY2929" t="s">
        <v>81</v>
      </c>
      <c r="AZ2929">
        <v>16.62</v>
      </c>
      <c r="BA2929">
        <v>16.920000000000002</v>
      </c>
      <c r="BB2929" t="s">
        <v>83</v>
      </c>
    </row>
    <row r="2930" spans="1:54" x14ac:dyDescent="0.4">
      <c r="A2930">
        <v>1418894</v>
      </c>
      <c r="D2930" t="s">
        <v>3188</v>
      </c>
      <c r="E2930" t="s">
        <v>55</v>
      </c>
      <c r="F2930" t="s">
        <v>3189</v>
      </c>
      <c r="G2930">
        <v>1</v>
      </c>
      <c r="H2930" t="s">
        <v>56</v>
      </c>
      <c r="I2930" t="s">
        <v>57</v>
      </c>
      <c r="K2930" t="s">
        <v>771</v>
      </c>
      <c r="L2930" t="s">
        <v>772</v>
      </c>
      <c r="M2930" t="s">
        <v>223</v>
      </c>
      <c r="P2930" t="s">
        <v>224</v>
      </c>
      <c r="R2930" t="s">
        <v>183</v>
      </c>
      <c r="S2930" t="s">
        <v>64</v>
      </c>
      <c r="T2930">
        <v>246.7</v>
      </c>
      <c r="U2930">
        <v>242</v>
      </c>
      <c r="V2930">
        <f t="shared" si="90"/>
        <v>244.35</v>
      </c>
      <c r="W2930">
        <f t="shared" si="91"/>
        <v>4.6999999999999886</v>
      </c>
      <c r="X2930">
        <v>6.7258329999999997</v>
      </c>
      <c r="Y2930">
        <v>51.968333999999999</v>
      </c>
      <c r="Z2930" t="s">
        <v>1512</v>
      </c>
      <c r="AA2930" t="s">
        <v>3191</v>
      </c>
      <c r="AB2930" t="s">
        <v>3192</v>
      </c>
      <c r="AD2930" t="s">
        <v>3193</v>
      </c>
      <c r="AE2930" t="s">
        <v>1378</v>
      </c>
      <c r="AF2930" t="s">
        <v>3194</v>
      </c>
      <c r="AH2930" t="s">
        <v>72</v>
      </c>
      <c r="AI2930" t="s">
        <v>3204</v>
      </c>
      <c r="AJ2930">
        <v>2015</v>
      </c>
      <c r="AK2930" t="s">
        <v>3196</v>
      </c>
      <c r="AM2930" t="s">
        <v>3197</v>
      </c>
      <c r="AN2930" t="s">
        <v>192</v>
      </c>
      <c r="AO2930" t="s">
        <v>77</v>
      </c>
      <c r="AP2930" t="s">
        <v>78</v>
      </c>
      <c r="AQ2930" t="s">
        <v>3198</v>
      </c>
      <c r="AR2930" t="s">
        <v>80</v>
      </c>
      <c r="AS2930">
        <v>315</v>
      </c>
      <c r="AT2930" t="s">
        <v>81</v>
      </c>
      <c r="AU2930">
        <v>26.16</v>
      </c>
      <c r="AV2930">
        <v>30.17</v>
      </c>
      <c r="AW2930" t="s">
        <v>82</v>
      </c>
      <c r="AX2930">
        <v>315</v>
      </c>
      <c r="AY2930" t="s">
        <v>81</v>
      </c>
      <c r="AZ2930">
        <v>16.62</v>
      </c>
      <c r="BA2930">
        <v>16.920000000000002</v>
      </c>
      <c r="BB2930" t="s">
        <v>83</v>
      </c>
    </row>
    <row r="2931" spans="1:54" x14ac:dyDescent="0.4">
      <c r="A2931">
        <v>1418992</v>
      </c>
      <c r="D2931" t="s">
        <v>54</v>
      </c>
      <c r="I2931" t="s">
        <v>57</v>
      </c>
      <c r="K2931" t="s">
        <v>1347</v>
      </c>
      <c r="L2931" t="s">
        <v>1348</v>
      </c>
      <c r="M2931" t="s">
        <v>223</v>
      </c>
      <c r="N2931" t="s">
        <v>485</v>
      </c>
      <c r="O2931" t="s">
        <v>1349</v>
      </c>
      <c r="P2931" t="s">
        <v>224</v>
      </c>
      <c r="R2931" t="s">
        <v>183</v>
      </c>
      <c r="S2931" t="s">
        <v>64</v>
      </c>
      <c r="T2931">
        <v>246.7</v>
      </c>
      <c r="U2931">
        <v>242</v>
      </c>
      <c r="V2931">
        <f t="shared" si="90"/>
        <v>244.35</v>
      </c>
      <c r="W2931">
        <f t="shared" si="91"/>
        <v>4.6999999999999886</v>
      </c>
      <c r="X2931">
        <v>13.783333000000001</v>
      </c>
      <c r="Y2931">
        <v>52.466667000000001</v>
      </c>
      <c r="Z2931" t="s">
        <v>520</v>
      </c>
      <c r="AA2931" t="s">
        <v>211</v>
      </c>
      <c r="AD2931" t="s">
        <v>3622</v>
      </c>
      <c r="AE2931" t="s">
        <v>1378</v>
      </c>
      <c r="AF2931" t="s">
        <v>4177</v>
      </c>
      <c r="AH2931" t="s">
        <v>72</v>
      </c>
      <c r="AI2931" t="s">
        <v>5221</v>
      </c>
      <c r="AJ2931">
        <v>2002</v>
      </c>
      <c r="AK2931" t="s">
        <v>4180</v>
      </c>
      <c r="AM2931" t="s">
        <v>4114</v>
      </c>
      <c r="AN2931" t="s">
        <v>192</v>
      </c>
      <c r="AO2931" t="s">
        <v>77</v>
      </c>
      <c r="AP2931" t="s">
        <v>115</v>
      </c>
      <c r="AR2931" t="s">
        <v>80</v>
      </c>
      <c r="AS2931">
        <v>315</v>
      </c>
      <c r="AT2931" t="s">
        <v>81</v>
      </c>
      <c r="AU2931">
        <v>30.91</v>
      </c>
      <c r="AV2931">
        <v>31.68</v>
      </c>
      <c r="AW2931" t="s">
        <v>82</v>
      </c>
      <c r="AX2931">
        <v>315</v>
      </c>
      <c r="AY2931" t="s">
        <v>81</v>
      </c>
      <c r="AZ2931">
        <v>20.59</v>
      </c>
      <c r="BA2931">
        <v>19.100000000000001</v>
      </c>
      <c r="BB2931" t="s">
        <v>83</v>
      </c>
    </row>
    <row r="2932" spans="1:54" x14ac:dyDescent="0.4">
      <c r="A2932">
        <v>1418997</v>
      </c>
      <c r="D2932" t="s">
        <v>54</v>
      </c>
      <c r="I2932" t="s">
        <v>57</v>
      </c>
      <c r="K2932" t="s">
        <v>556</v>
      </c>
      <c r="L2932" t="s">
        <v>557</v>
      </c>
      <c r="M2932" t="s">
        <v>223</v>
      </c>
      <c r="N2932" t="s">
        <v>234</v>
      </c>
      <c r="O2932" t="s">
        <v>87</v>
      </c>
      <c r="P2932" t="s">
        <v>224</v>
      </c>
      <c r="R2932" t="s">
        <v>183</v>
      </c>
      <c r="S2932" t="s">
        <v>64</v>
      </c>
      <c r="T2932">
        <v>246.7</v>
      </c>
      <c r="U2932">
        <v>242</v>
      </c>
      <c r="V2932">
        <f t="shared" si="90"/>
        <v>244.35</v>
      </c>
      <c r="W2932">
        <f t="shared" si="91"/>
        <v>4.6999999999999886</v>
      </c>
      <c r="X2932">
        <v>18.299999</v>
      </c>
      <c r="Y2932">
        <v>50.5</v>
      </c>
      <c r="Z2932" t="s">
        <v>5222</v>
      </c>
      <c r="AA2932" t="s">
        <v>697</v>
      </c>
      <c r="AB2932" t="s">
        <v>1326</v>
      </c>
      <c r="AD2932" t="s">
        <v>5030</v>
      </c>
      <c r="AH2932" t="s">
        <v>11</v>
      </c>
      <c r="AI2932" t="s">
        <v>4996</v>
      </c>
      <c r="AJ2932">
        <v>2017</v>
      </c>
      <c r="AK2932" t="s">
        <v>5223</v>
      </c>
      <c r="AM2932" t="s">
        <v>5033</v>
      </c>
      <c r="AN2932" t="s">
        <v>114</v>
      </c>
      <c r="AO2932" t="s">
        <v>160</v>
      </c>
      <c r="AP2932" t="s">
        <v>115</v>
      </c>
      <c r="AR2932" t="s">
        <v>80</v>
      </c>
      <c r="AS2932">
        <v>305</v>
      </c>
      <c r="AT2932" t="s">
        <v>81</v>
      </c>
      <c r="AU2932">
        <v>34.71</v>
      </c>
      <c r="AV2932">
        <v>30.58</v>
      </c>
      <c r="AW2932" t="s">
        <v>82</v>
      </c>
      <c r="AX2932">
        <v>305</v>
      </c>
      <c r="AY2932" t="s">
        <v>81</v>
      </c>
      <c r="AZ2932">
        <v>24.17</v>
      </c>
      <c r="BA2932">
        <v>18.61</v>
      </c>
      <c r="BB2932" t="s">
        <v>83</v>
      </c>
    </row>
    <row r="2933" spans="1:54" x14ac:dyDescent="0.4">
      <c r="A2933">
        <v>1419121</v>
      </c>
      <c r="D2933" t="s">
        <v>54</v>
      </c>
      <c r="I2933" t="s">
        <v>57</v>
      </c>
      <c r="K2933" t="s">
        <v>232</v>
      </c>
      <c r="L2933" t="s">
        <v>804</v>
      </c>
      <c r="M2933" t="s">
        <v>223</v>
      </c>
      <c r="N2933" t="s">
        <v>234</v>
      </c>
      <c r="O2933" t="s">
        <v>87</v>
      </c>
      <c r="P2933" t="s">
        <v>224</v>
      </c>
      <c r="R2933" t="s">
        <v>183</v>
      </c>
      <c r="S2933" t="s">
        <v>64</v>
      </c>
      <c r="T2933">
        <v>246.7</v>
      </c>
      <c r="U2933">
        <v>242</v>
      </c>
      <c r="V2933">
        <f t="shared" si="90"/>
        <v>244.35</v>
      </c>
      <c r="W2933">
        <f t="shared" si="91"/>
        <v>4.6999999999999886</v>
      </c>
      <c r="X2933">
        <v>8.4780560000000005</v>
      </c>
      <c r="Y2933">
        <v>48.467219999999998</v>
      </c>
      <c r="Z2933" t="s">
        <v>520</v>
      </c>
      <c r="AA2933" t="s">
        <v>211</v>
      </c>
      <c r="AB2933" t="s">
        <v>212</v>
      </c>
      <c r="AE2933" t="s">
        <v>1378</v>
      </c>
      <c r="AH2933" t="s">
        <v>72</v>
      </c>
      <c r="AI2933" t="s">
        <v>3132</v>
      </c>
      <c r="AJ2933">
        <v>2001</v>
      </c>
      <c r="AK2933" t="s">
        <v>5242</v>
      </c>
      <c r="AN2933" t="s">
        <v>114</v>
      </c>
      <c r="AO2933" t="s">
        <v>77</v>
      </c>
      <c r="AP2933" t="s">
        <v>359</v>
      </c>
      <c r="AQ2933" t="s">
        <v>5243</v>
      </c>
      <c r="AR2933" t="s">
        <v>80</v>
      </c>
      <c r="AS2933">
        <v>305</v>
      </c>
      <c r="AT2933" t="s">
        <v>81</v>
      </c>
      <c r="AU2933">
        <v>28.26</v>
      </c>
      <c r="AV2933">
        <v>26.99</v>
      </c>
      <c r="AW2933" t="s">
        <v>82</v>
      </c>
      <c r="AX2933">
        <v>305</v>
      </c>
      <c r="AY2933" t="s">
        <v>81</v>
      </c>
      <c r="AZ2933">
        <v>19.04</v>
      </c>
      <c r="BA2933">
        <v>14.08</v>
      </c>
      <c r="BB2933" t="s">
        <v>83</v>
      </c>
    </row>
    <row r="2934" spans="1:54" x14ac:dyDescent="0.4">
      <c r="A2934">
        <v>1419161</v>
      </c>
      <c r="D2934" t="s">
        <v>54</v>
      </c>
      <c r="I2934" t="s">
        <v>57</v>
      </c>
      <c r="K2934" t="s">
        <v>141</v>
      </c>
      <c r="L2934" t="s">
        <v>3400</v>
      </c>
      <c r="M2934" t="s">
        <v>223</v>
      </c>
      <c r="P2934" t="s">
        <v>224</v>
      </c>
      <c r="R2934" t="s">
        <v>183</v>
      </c>
      <c r="S2934" t="s">
        <v>64</v>
      </c>
      <c r="T2934">
        <v>246.7</v>
      </c>
      <c r="U2934">
        <v>242</v>
      </c>
      <c r="V2934">
        <f t="shared" si="90"/>
        <v>244.35</v>
      </c>
      <c r="W2934">
        <f t="shared" si="91"/>
        <v>4.6999999999999886</v>
      </c>
      <c r="X2934">
        <v>11.64</v>
      </c>
      <c r="Y2934">
        <v>49.985557999999997</v>
      </c>
      <c r="Z2934" t="s">
        <v>520</v>
      </c>
      <c r="AA2934" t="s">
        <v>211</v>
      </c>
      <c r="AB2934" t="s">
        <v>953</v>
      </c>
      <c r="AE2934" t="s">
        <v>1378</v>
      </c>
      <c r="AH2934" t="s">
        <v>72</v>
      </c>
      <c r="AI2934" t="s">
        <v>5245</v>
      </c>
      <c r="AJ2934">
        <v>2017</v>
      </c>
      <c r="AK2934" t="s">
        <v>4212</v>
      </c>
      <c r="AN2934" t="s">
        <v>341</v>
      </c>
      <c r="AO2934" t="s">
        <v>77</v>
      </c>
      <c r="AQ2934" t="s">
        <v>4013</v>
      </c>
      <c r="AR2934" t="s">
        <v>80</v>
      </c>
      <c r="AS2934">
        <v>305</v>
      </c>
      <c r="AT2934" t="s">
        <v>81</v>
      </c>
      <c r="AU2934">
        <v>30.14</v>
      </c>
      <c r="AV2934">
        <v>28.94</v>
      </c>
      <c r="AW2934" t="s">
        <v>82</v>
      </c>
      <c r="AX2934">
        <v>305</v>
      </c>
      <c r="AY2934" t="s">
        <v>81</v>
      </c>
      <c r="AZ2934">
        <v>20.399999999999999</v>
      </c>
      <c r="BA2934">
        <v>16.28</v>
      </c>
      <c r="BB2934" t="s">
        <v>83</v>
      </c>
    </row>
    <row r="2935" spans="1:54" x14ac:dyDescent="0.4">
      <c r="A2935">
        <v>1419483</v>
      </c>
      <c r="D2935" t="s">
        <v>54</v>
      </c>
      <c r="I2935" t="s">
        <v>57</v>
      </c>
      <c r="K2935" t="s">
        <v>5285</v>
      </c>
      <c r="L2935" t="s">
        <v>5286</v>
      </c>
      <c r="M2935" t="s">
        <v>223</v>
      </c>
      <c r="N2935" t="s">
        <v>234</v>
      </c>
      <c r="O2935" t="s">
        <v>87</v>
      </c>
      <c r="P2935" t="s">
        <v>224</v>
      </c>
      <c r="R2935" t="s">
        <v>183</v>
      </c>
      <c r="S2935" t="s">
        <v>64</v>
      </c>
      <c r="T2935">
        <v>246.7</v>
      </c>
      <c r="U2935">
        <v>242</v>
      </c>
      <c r="V2935">
        <f t="shared" si="90"/>
        <v>244.35</v>
      </c>
      <c r="W2935">
        <f t="shared" si="91"/>
        <v>4.6999999999999886</v>
      </c>
      <c r="X2935">
        <v>15.383333</v>
      </c>
      <c r="Y2935">
        <v>78.583336000000003</v>
      </c>
      <c r="Z2935" t="s">
        <v>520</v>
      </c>
      <c r="AA2935" t="s">
        <v>4636</v>
      </c>
      <c r="AH2935" t="s">
        <v>72</v>
      </c>
      <c r="AI2935" t="s">
        <v>5287</v>
      </c>
      <c r="AJ2935">
        <v>1990</v>
      </c>
      <c r="AK2935" t="s">
        <v>5288</v>
      </c>
      <c r="AN2935" t="s">
        <v>114</v>
      </c>
      <c r="AO2935" t="s">
        <v>160</v>
      </c>
      <c r="AP2935" t="s">
        <v>78</v>
      </c>
      <c r="AR2935" t="s">
        <v>80</v>
      </c>
      <c r="AS2935">
        <v>309</v>
      </c>
      <c r="AT2935" t="s">
        <v>81</v>
      </c>
      <c r="AU2935">
        <v>19.23</v>
      </c>
      <c r="AV2935">
        <v>56.51</v>
      </c>
      <c r="AW2935" t="s">
        <v>82</v>
      </c>
      <c r="AX2935">
        <v>309</v>
      </c>
      <c r="AY2935" t="s">
        <v>81</v>
      </c>
      <c r="AZ2935">
        <v>6.11</v>
      </c>
      <c r="BA2935">
        <v>42.16</v>
      </c>
      <c r="BB2935" t="s">
        <v>83</v>
      </c>
    </row>
    <row r="2936" spans="1:54" x14ac:dyDescent="0.4">
      <c r="A2936">
        <v>1419692</v>
      </c>
      <c r="D2936" t="s">
        <v>54</v>
      </c>
      <c r="I2936" t="s">
        <v>57</v>
      </c>
      <c r="K2936" t="s">
        <v>746</v>
      </c>
      <c r="L2936" t="s">
        <v>1357</v>
      </c>
      <c r="M2936" t="s">
        <v>60</v>
      </c>
      <c r="N2936" t="s">
        <v>119</v>
      </c>
      <c r="O2936" t="s">
        <v>345</v>
      </c>
      <c r="P2936" t="s">
        <v>224</v>
      </c>
      <c r="R2936" t="s">
        <v>183</v>
      </c>
      <c r="S2936" t="s">
        <v>64</v>
      </c>
      <c r="T2936">
        <v>246.7</v>
      </c>
      <c r="U2936">
        <v>242</v>
      </c>
      <c r="V2936">
        <f t="shared" si="90"/>
        <v>244.35</v>
      </c>
      <c r="W2936">
        <f t="shared" si="91"/>
        <v>4.6999999999999886</v>
      </c>
      <c r="X2936">
        <v>22.350279</v>
      </c>
      <c r="Y2936">
        <v>47.104720999999998</v>
      </c>
      <c r="Z2936" t="s">
        <v>520</v>
      </c>
      <c r="AA2936" t="s">
        <v>5295</v>
      </c>
      <c r="AB2936" t="s">
        <v>5296</v>
      </c>
      <c r="AH2936" t="s">
        <v>72</v>
      </c>
      <c r="AI2936" t="s">
        <v>5297</v>
      </c>
      <c r="AJ2936">
        <v>1975</v>
      </c>
      <c r="AK2936" t="s">
        <v>5298</v>
      </c>
      <c r="AN2936" t="s">
        <v>76</v>
      </c>
      <c r="AO2936" t="s">
        <v>77</v>
      </c>
      <c r="AP2936" t="s">
        <v>115</v>
      </c>
      <c r="AR2936" t="s">
        <v>80</v>
      </c>
      <c r="AS2936">
        <v>308</v>
      </c>
      <c r="AT2936" t="s">
        <v>81</v>
      </c>
      <c r="AU2936">
        <v>39.94</v>
      </c>
      <c r="AV2936">
        <v>9.2100000000000009</v>
      </c>
      <c r="AW2936" t="s">
        <v>82</v>
      </c>
      <c r="AX2936" t="s">
        <v>528</v>
      </c>
      <c r="AY2936" t="s">
        <v>81</v>
      </c>
      <c r="BB2936" t="s">
        <v>83</v>
      </c>
    </row>
    <row r="2937" spans="1:54" x14ac:dyDescent="0.4">
      <c r="A2937">
        <v>1425292</v>
      </c>
      <c r="D2937" t="s">
        <v>54</v>
      </c>
      <c r="F2937" t="s">
        <v>2523</v>
      </c>
      <c r="G2937">
        <v>1</v>
      </c>
      <c r="H2937" t="s">
        <v>84</v>
      </c>
      <c r="I2937" t="s">
        <v>57</v>
      </c>
      <c r="K2937" t="s">
        <v>141</v>
      </c>
      <c r="L2937" t="s">
        <v>5333</v>
      </c>
      <c r="M2937" t="s">
        <v>60</v>
      </c>
      <c r="N2937" t="s">
        <v>119</v>
      </c>
      <c r="O2937" t="s">
        <v>87</v>
      </c>
      <c r="P2937" t="s">
        <v>224</v>
      </c>
      <c r="R2937" t="s">
        <v>183</v>
      </c>
      <c r="S2937" t="s">
        <v>64</v>
      </c>
      <c r="T2937">
        <v>246.7</v>
      </c>
      <c r="U2937">
        <v>242</v>
      </c>
      <c r="V2937">
        <f t="shared" si="90"/>
        <v>244.35</v>
      </c>
      <c r="W2937">
        <f t="shared" si="91"/>
        <v>4.6999999999999886</v>
      </c>
      <c r="X2937">
        <v>104.327904</v>
      </c>
      <c r="Y2937">
        <v>24.779699000000001</v>
      </c>
      <c r="Z2937" t="s">
        <v>520</v>
      </c>
      <c r="AA2937" t="s">
        <v>379</v>
      </c>
      <c r="AB2937" t="s">
        <v>828</v>
      </c>
      <c r="AC2937" t="s">
        <v>3856</v>
      </c>
      <c r="AD2937" t="s">
        <v>2161</v>
      </c>
      <c r="AF2937">
        <v>2</v>
      </c>
      <c r="AG2937" t="s">
        <v>3440</v>
      </c>
      <c r="AH2937" t="s">
        <v>72</v>
      </c>
      <c r="AI2937" t="s">
        <v>1810</v>
      </c>
      <c r="AJ2937">
        <v>2017</v>
      </c>
      <c r="AK2937" t="s">
        <v>5000</v>
      </c>
      <c r="AM2937" t="s">
        <v>5001</v>
      </c>
      <c r="AN2937" t="s">
        <v>76</v>
      </c>
      <c r="AO2937">
        <v>4</v>
      </c>
      <c r="AP2937" t="s">
        <v>115</v>
      </c>
      <c r="AQ2937" t="s">
        <v>3860</v>
      </c>
      <c r="AR2937" t="s">
        <v>80</v>
      </c>
      <c r="AS2937">
        <v>611</v>
      </c>
      <c r="AT2937" t="s">
        <v>81</v>
      </c>
      <c r="AU2937">
        <v>106.84</v>
      </c>
      <c r="AV2937">
        <v>-11.35</v>
      </c>
      <c r="AW2937" t="s">
        <v>82</v>
      </c>
      <c r="AX2937">
        <v>611</v>
      </c>
      <c r="AY2937" t="s">
        <v>81</v>
      </c>
      <c r="AZ2937">
        <v>95.25</v>
      </c>
      <c r="BA2937">
        <v>10.7</v>
      </c>
      <c r="BB2937" t="s">
        <v>83</v>
      </c>
    </row>
    <row r="2938" spans="1:54" x14ac:dyDescent="0.4">
      <c r="A2938">
        <v>1428360</v>
      </c>
      <c r="D2938" t="s">
        <v>54</v>
      </c>
      <c r="E2938" t="s">
        <v>152</v>
      </c>
      <c r="G2938">
        <v>1</v>
      </c>
      <c r="H2938" t="s">
        <v>84</v>
      </c>
      <c r="I2938" t="s">
        <v>57</v>
      </c>
      <c r="K2938" t="s">
        <v>141</v>
      </c>
      <c r="L2938" t="s">
        <v>3629</v>
      </c>
      <c r="M2938" t="s">
        <v>60</v>
      </c>
      <c r="O2938" t="s">
        <v>87</v>
      </c>
      <c r="P2938" t="s">
        <v>224</v>
      </c>
      <c r="R2938" t="s">
        <v>183</v>
      </c>
      <c r="S2938" t="s">
        <v>64</v>
      </c>
      <c r="T2938">
        <v>246.7</v>
      </c>
      <c r="U2938">
        <v>242</v>
      </c>
      <c r="V2938">
        <f t="shared" si="90"/>
        <v>244.35</v>
      </c>
      <c r="W2938">
        <f t="shared" si="91"/>
        <v>4.6999999999999886</v>
      </c>
      <c r="X2938">
        <v>35.266666000000001</v>
      </c>
      <c r="Y2938">
        <v>-10.383333</v>
      </c>
      <c r="Z2938" t="s">
        <v>1365</v>
      </c>
      <c r="AA2938" t="s">
        <v>1366</v>
      </c>
      <c r="AB2938" t="s">
        <v>3626</v>
      </c>
      <c r="AD2938" t="s">
        <v>1369</v>
      </c>
      <c r="AF2938" t="s">
        <v>1370</v>
      </c>
      <c r="AG2938" t="s">
        <v>1371</v>
      </c>
      <c r="AH2938" t="s">
        <v>72</v>
      </c>
      <c r="AI2938" t="s">
        <v>4813</v>
      </c>
      <c r="AJ2938">
        <v>1953</v>
      </c>
      <c r="AK2938" t="s">
        <v>3627</v>
      </c>
      <c r="AN2938" t="s">
        <v>114</v>
      </c>
      <c r="AO2938" t="s">
        <v>160</v>
      </c>
      <c r="AP2938" t="s">
        <v>78</v>
      </c>
      <c r="AQ2938" t="s">
        <v>3628</v>
      </c>
      <c r="AR2938" t="s">
        <v>80</v>
      </c>
      <c r="AS2938">
        <v>701</v>
      </c>
      <c r="AT2938" t="s">
        <v>81</v>
      </c>
      <c r="AU2938">
        <v>20.51</v>
      </c>
      <c r="AV2938">
        <v>-40.51</v>
      </c>
      <c r="AW2938" t="s">
        <v>82</v>
      </c>
      <c r="AX2938">
        <v>709</v>
      </c>
      <c r="AY2938" t="s">
        <v>81</v>
      </c>
      <c r="AZ2938">
        <v>22.53</v>
      </c>
      <c r="BA2938">
        <v>-53.51</v>
      </c>
      <c r="BB2938" t="s">
        <v>83</v>
      </c>
    </row>
    <row r="2939" spans="1:54" x14ac:dyDescent="0.4">
      <c r="A2939">
        <v>1432347</v>
      </c>
      <c r="D2939" t="s">
        <v>54</v>
      </c>
      <c r="G2939">
        <v>1</v>
      </c>
      <c r="H2939" t="s">
        <v>84</v>
      </c>
      <c r="I2939" t="s">
        <v>57</v>
      </c>
      <c r="K2939" t="s">
        <v>221</v>
      </c>
      <c r="L2939" t="s">
        <v>5379</v>
      </c>
      <c r="M2939" t="s">
        <v>223</v>
      </c>
      <c r="P2939" t="s">
        <v>224</v>
      </c>
      <c r="R2939" t="s">
        <v>183</v>
      </c>
      <c r="S2939" t="s">
        <v>64</v>
      </c>
      <c r="T2939">
        <v>246.7</v>
      </c>
      <c r="U2939">
        <v>242</v>
      </c>
      <c r="V2939">
        <f t="shared" si="90"/>
        <v>244.35</v>
      </c>
      <c r="W2939">
        <f t="shared" si="91"/>
        <v>4.6999999999999886</v>
      </c>
      <c r="X2939">
        <v>11.767778</v>
      </c>
      <c r="Y2939">
        <v>51.217498999999997</v>
      </c>
      <c r="Z2939" t="s">
        <v>520</v>
      </c>
      <c r="AA2939" t="s">
        <v>211</v>
      </c>
      <c r="AB2939" t="s">
        <v>266</v>
      </c>
      <c r="AC2939" t="s">
        <v>4190</v>
      </c>
      <c r="AD2939" t="s">
        <v>3622</v>
      </c>
      <c r="AE2939" t="s">
        <v>1378</v>
      </c>
      <c r="AF2939" t="s">
        <v>4177</v>
      </c>
      <c r="AH2939" t="s">
        <v>72</v>
      </c>
      <c r="AI2939" t="s">
        <v>4101</v>
      </c>
      <c r="AJ2939">
        <v>1991</v>
      </c>
      <c r="AK2939" t="s">
        <v>4191</v>
      </c>
      <c r="AN2939" t="s">
        <v>341</v>
      </c>
      <c r="AO2939" t="s">
        <v>77</v>
      </c>
      <c r="AP2939" t="s">
        <v>115</v>
      </c>
      <c r="AQ2939" t="s">
        <v>4192</v>
      </c>
      <c r="AR2939" t="s">
        <v>80</v>
      </c>
      <c r="AS2939">
        <v>305</v>
      </c>
      <c r="AT2939" t="s">
        <v>81</v>
      </c>
      <c r="AU2939">
        <v>29.88</v>
      </c>
      <c r="AV2939">
        <v>30.16</v>
      </c>
      <c r="AW2939" t="s">
        <v>82</v>
      </c>
      <c r="AX2939">
        <v>305</v>
      </c>
      <c r="AY2939" t="s">
        <v>81</v>
      </c>
      <c r="AZ2939">
        <v>19.95</v>
      </c>
      <c r="BA2939">
        <v>17.440000000000001</v>
      </c>
      <c r="BB2939" t="s">
        <v>83</v>
      </c>
    </row>
    <row r="2940" spans="1:54" x14ac:dyDescent="0.4">
      <c r="A2940">
        <v>1530023</v>
      </c>
      <c r="D2940" t="s">
        <v>54</v>
      </c>
      <c r="E2940" t="s">
        <v>152</v>
      </c>
      <c r="G2940">
        <v>1</v>
      </c>
      <c r="H2940" t="s">
        <v>56</v>
      </c>
      <c r="I2940" t="s">
        <v>57</v>
      </c>
      <c r="K2940" t="s">
        <v>141</v>
      </c>
      <c r="L2940" t="s">
        <v>5500</v>
      </c>
      <c r="M2940" t="s">
        <v>60</v>
      </c>
      <c r="P2940" t="s">
        <v>224</v>
      </c>
      <c r="R2940" t="s">
        <v>183</v>
      </c>
      <c r="S2940" t="s">
        <v>64</v>
      </c>
      <c r="T2940">
        <v>246.7</v>
      </c>
      <c r="U2940">
        <v>242</v>
      </c>
      <c r="V2940">
        <f t="shared" si="90"/>
        <v>244.35</v>
      </c>
      <c r="W2940">
        <f t="shared" si="91"/>
        <v>4.6999999999999886</v>
      </c>
      <c r="X2940">
        <v>-3.2647219999999999</v>
      </c>
      <c r="Y2940">
        <v>50.670833999999999</v>
      </c>
      <c r="Z2940" t="s">
        <v>184</v>
      </c>
      <c r="AA2940" t="s">
        <v>91</v>
      </c>
      <c r="AB2940" t="s">
        <v>92</v>
      </c>
      <c r="AC2940" t="s">
        <v>2198</v>
      </c>
      <c r="AD2940" t="s">
        <v>5501</v>
      </c>
      <c r="AE2940" t="s">
        <v>1245</v>
      </c>
      <c r="AF2940" t="s">
        <v>5502</v>
      </c>
      <c r="AH2940" t="s">
        <v>72</v>
      </c>
      <c r="AI2940" t="s">
        <v>5503</v>
      </c>
      <c r="AJ2940">
        <v>2020</v>
      </c>
      <c r="AK2940" t="s">
        <v>5504</v>
      </c>
      <c r="AN2940" t="s">
        <v>76</v>
      </c>
      <c r="AO2940" t="s">
        <v>77</v>
      </c>
      <c r="AP2940" t="s">
        <v>115</v>
      </c>
      <c r="AQ2940" t="s">
        <v>5505</v>
      </c>
      <c r="AR2940" t="s">
        <v>80</v>
      </c>
      <c r="AS2940">
        <v>315</v>
      </c>
      <c r="AT2940" t="s">
        <v>81</v>
      </c>
      <c r="AU2940">
        <v>19.39</v>
      </c>
      <c r="AV2940">
        <v>27.8</v>
      </c>
      <c r="AW2940" t="s">
        <v>82</v>
      </c>
      <c r="AX2940">
        <v>315</v>
      </c>
      <c r="AY2940" t="s">
        <v>81</v>
      </c>
      <c r="AZ2940">
        <v>10.89</v>
      </c>
      <c r="BA2940">
        <v>13.75</v>
      </c>
      <c r="BB2940" t="s">
        <v>83</v>
      </c>
    </row>
    <row r="2941" spans="1:54" x14ac:dyDescent="0.4">
      <c r="A2941">
        <v>1574347</v>
      </c>
      <c r="D2941" t="s">
        <v>54</v>
      </c>
      <c r="G2941">
        <v>1</v>
      </c>
      <c r="H2941" t="s">
        <v>84</v>
      </c>
      <c r="I2941" t="s">
        <v>57</v>
      </c>
      <c r="K2941" t="s">
        <v>5575</v>
      </c>
      <c r="L2941" t="s">
        <v>5576</v>
      </c>
      <c r="M2941" t="s">
        <v>60</v>
      </c>
      <c r="O2941" t="s">
        <v>87</v>
      </c>
      <c r="P2941" t="s">
        <v>224</v>
      </c>
      <c r="R2941" t="s">
        <v>183</v>
      </c>
      <c r="S2941" t="s">
        <v>64</v>
      </c>
      <c r="T2941">
        <v>246.7</v>
      </c>
      <c r="U2941">
        <v>242</v>
      </c>
      <c r="V2941">
        <f t="shared" si="90"/>
        <v>244.35</v>
      </c>
      <c r="W2941">
        <f t="shared" si="91"/>
        <v>4.6999999999999886</v>
      </c>
      <c r="X2941">
        <v>18.966667000000001</v>
      </c>
      <c r="Y2941">
        <v>50.299999</v>
      </c>
      <c r="Z2941" t="s">
        <v>1004</v>
      </c>
      <c r="AA2941" t="s">
        <v>697</v>
      </c>
      <c r="AD2941" t="s">
        <v>2329</v>
      </c>
      <c r="AF2941" t="s">
        <v>2330</v>
      </c>
      <c r="AH2941" t="s">
        <v>11</v>
      </c>
      <c r="AI2941" t="s">
        <v>2288</v>
      </c>
      <c r="AJ2941">
        <v>1884</v>
      </c>
      <c r="AK2941" t="s">
        <v>2332</v>
      </c>
      <c r="AN2941" t="s">
        <v>114</v>
      </c>
      <c r="AO2941" t="s">
        <v>160</v>
      </c>
      <c r="AP2941" t="s">
        <v>78</v>
      </c>
      <c r="AQ2941" t="s">
        <v>2333</v>
      </c>
      <c r="AR2941" t="s">
        <v>80</v>
      </c>
      <c r="AS2941">
        <v>305</v>
      </c>
      <c r="AT2941" t="s">
        <v>81</v>
      </c>
      <c r="AU2941">
        <v>35.25</v>
      </c>
      <c r="AV2941">
        <v>30.52</v>
      </c>
      <c r="AW2941" t="s">
        <v>82</v>
      </c>
      <c r="AX2941">
        <v>305</v>
      </c>
      <c r="AY2941" t="s">
        <v>81</v>
      </c>
      <c r="AZ2941">
        <v>24.67</v>
      </c>
      <c r="BA2941">
        <v>18.64</v>
      </c>
      <c r="BB2941" t="s">
        <v>83</v>
      </c>
    </row>
    <row r="2942" spans="1:54" x14ac:dyDescent="0.4">
      <c r="A2942">
        <v>1583200</v>
      </c>
      <c r="D2942" t="s">
        <v>54</v>
      </c>
      <c r="G2942">
        <v>1</v>
      </c>
      <c r="H2942" t="s">
        <v>84</v>
      </c>
      <c r="I2942" t="s">
        <v>57</v>
      </c>
      <c r="K2942" t="s">
        <v>141</v>
      </c>
      <c r="L2942" t="s">
        <v>5588</v>
      </c>
      <c r="M2942" t="s">
        <v>60</v>
      </c>
      <c r="P2942" t="s">
        <v>224</v>
      </c>
      <c r="R2942" t="s">
        <v>183</v>
      </c>
      <c r="S2942" t="s">
        <v>64</v>
      </c>
      <c r="T2942">
        <v>246.7</v>
      </c>
      <c r="U2942">
        <v>242</v>
      </c>
      <c r="V2942">
        <f t="shared" si="90"/>
        <v>244.35</v>
      </c>
      <c r="W2942">
        <f t="shared" si="91"/>
        <v>4.6999999999999886</v>
      </c>
      <c r="X2942">
        <v>13.199593999999999</v>
      </c>
      <c r="Y2942">
        <v>46.490940000000002</v>
      </c>
      <c r="Z2942" t="s">
        <v>124</v>
      </c>
      <c r="AA2942" t="s">
        <v>593</v>
      </c>
      <c r="AB2942" t="s">
        <v>595</v>
      </c>
      <c r="AD2942" t="s">
        <v>5589</v>
      </c>
      <c r="AH2942" t="s">
        <v>72</v>
      </c>
      <c r="AI2942" t="s">
        <v>1683</v>
      </c>
      <c r="AJ2942">
        <v>2021</v>
      </c>
      <c r="AK2942" t="s">
        <v>5590</v>
      </c>
      <c r="AM2942" t="s">
        <v>5591</v>
      </c>
      <c r="AN2942" t="s">
        <v>114</v>
      </c>
      <c r="AO2942">
        <v>6</v>
      </c>
      <c r="AP2942" t="s">
        <v>115</v>
      </c>
      <c r="AQ2942" t="s">
        <v>5592</v>
      </c>
      <c r="AR2942" t="s">
        <v>80</v>
      </c>
      <c r="AS2942">
        <v>307</v>
      </c>
      <c r="AT2942" t="s">
        <v>81</v>
      </c>
      <c r="AU2942">
        <v>36.17</v>
      </c>
      <c r="AV2942">
        <v>14.31</v>
      </c>
      <c r="AW2942" t="s">
        <v>82</v>
      </c>
      <c r="AX2942">
        <v>307</v>
      </c>
      <c r="AY2942" t="s">
        <v>81</v>
      </c>
      <c r="AZ2942">
        <v>24.74</v>
      </c>
      <c r="BA2942">
        <v>5.8</v>
      </c>
      <c r="BB2942" t="s">
        <v>83</v>
      </c>
    </row>
    <row r="2943" spans="1:54" x14ac:dyDescent="0.4">
      <c r="A2943">
        <v>1587701</v>
      </c>
      <c r="D2943" t="s">
        <v>54</v>
      </c>
      <c r="G2943">
        <v>1</v>
      </c>
      <c r="H2943" t="s">
        <v>56</v>
      </c>
      <c r="I2943" t="s">
        <v>57</v>
      </c>
      <c r="K2943" t="s">
        <v>141</v>
      </c>
      <c r="L2943" t="s">
        <v>5598</v>
      </c>
      <c r="M2943" t="s">
        <v>60</v>
      </c>
      <c r="O2943" t="s">
        <v>87</v>
      </c>
      <c r="P2943" t="s">
        <v>224</v>
      </c>
      <c r="R2943" t="s">
        <v>183</v>
      </c>
      <c r="S2943" t="s">
        <v>64</v>
      </c>
      <c r="T2943">
        <v>246.7</v>
      </c>
      <c r="U2943">
        <v>242</v>
      </c>
      <c r="V2943">
        <f t="shared" si="90"/>
        <v>244.35</v>
      </c>
      <c r="W2943">
        <f t="shared" si="91"/>
        <v>4.6999999999999886</v>
      </c>
      <c r="X2943">
        <v>35.496943999999999</v>
      </c>
      <c r="Y2943">
        <v>-10.471944000000001</v>
      </c>
      <c r="Z2943" t="s">
        <v>105</v>
      </c>
      <c r="AA2943" t="s">
        <v>1366</v>
      </c>
      <c r="AB2943" t="s">
        <v>1367</v>
      </c>
      <c r="AC2943" t="s">
        <v>1368</v>
      </c>
      <c r="AD2943" t="s">
        <v>1369</v>
      </c>
      <c r="AF2943" t="s">
        <v>1370</v>
      </c>
      <c r="AG2943" t="s">
        <v>4370</v>
      </c>
      <c r="AH2943" t="s">
        <v>72</v>
      </c>
      <c r="AI2943" t="s">
        <v>1482</v>
      </c>
      <c r="AJ2943">
        <v>2022</v>
      </c>
      <c r="AK2943" t="s">
        <v>5599</v>
      </c>
      <c r="AM2943" t="s">
        <v>5600</v>
      </c>
      <c r="AN2943" t="s">
        <v>192</v>
      </c>
      <c r="AO2943" t="s">
        <v>77</v>
      </c>
      <c r="AP2943" t="s">
        <v>78</v>
      </c>
      <c r="AQ2943" t="s">
        <v>5601</v>
      </c>
      <c r="AR2943" t="s">
        <v>80</v>
      </c>
      <c r="AS2943">
        <v>701</v>
      </c>
      <c r="AT2943" t="s">
        <v>81</v>
      </c>
      <c r="AU2943">
        <v>20.7</v>
      </c>
      <c r="AV2943">
        <v>-40.71</v>
      </c>
      <c r="AW2943" t="s">
        <v>82</v>
      </c>
      <c r="AX2943">
        <v>709</v>
      </c>
      <c r="AY2943" t="s">
        <v>81</v>
      </c>
      <c r="AZ2943">
        <v>22.85</v>
      </c>
      <c r="BA2943">
        <v>-53.66</v>
      </c>
      <c r="BB2943" t="s">
        <v>83</v>
      </c>
    </row>
    <row r="2944" spans="1:54" x14ac:dyDescent="0.4">
      <c r="A2944">
        <v>1611415</v>
      </c>
      <c r="D2944" t="s">
        <v>904</v>
      </c>
      <c r="I2944" t="s">
        <v>57</v>
      </c>
      <c r="K2944" t="s">
        <v>100</v>
      </c>
      <c r="L2944" t="s">
        <v>1993</v>
      </c>
      <c r="M2944" t="s">
        <v>60</v>
      </c>
      <c r="O2944" t="s">
        <v>170</v>
      </c>
      <c r="P2944" t="s">
        <v>224</v>
      </c>
      <c r="R2944" t="s">
        <v>183</v>
      </c>
      <c r="S2944" t="s">
        <v>64</v>
      </c>
      <c r="T2944">
        <v>246.7</v>
      </c>
      <c r="U2944">
        <v>242</v>
      </c>
      <c r="V2944">
        <f t="shared" si="90"/>
        <v>244.35</v>
      </c>
      <c r="W2944">
        <f t="shared" si="91"/>
        <v>4.6999999999999886</v>
      </c>
      <c r="X2944">
        <v>-63.957802000000001</v>
      </c>
      <c r="Y2944">
        <v>45.396701999999998</v>
      </c>
      <c r="Z2944" t="s">
        <v>1447</v>
      </c>
      <c r="AA2944" t="s">
        <v>1456</v>
      </c>
      <c r="AB2944" t="s">
        <v>1457</v>
      </c>
      <c r="AD2944" t="s">
        <v>1610</v>
      </c>
      <c r="AE2944" t="s">
        <v>70</v>
      </c>
      <c r="AH2944" t="s">
        <v>11</v>
      </c>
      <c r="AI2944" t="s">
        <v>1343</v>
      </c>
      <c r="AJ2944">
        <v>1989</v>
      </c>
      <c r="AK2944" t="s">
        <v>5630</v>
      </c>
      <c r="AM2944" t="s">
        <v>5631</v>
      </c>
      <c r="AN2944" t="s">
        <v>192</v>
      </c>
      <c r="AO2944">
        <v>4</v>
      </c>
      <c r="AP2944" t="s">
        <v>78</v>
      </c>
      <c r="AQ2944" t="s">
        <v>5632</v>
      </c>
      <c r="AR2944" t="s">
        <v>80</v>
      </c>
      <c r="AS2944">
        <v>108</v>
      </c>
      <c r="AT2944" t="s">
        <v>81</v>
      </c>
      <c r="AU2944">
        <v>4.32</v>
      </c>
      <c r="AV2944">
        <v>21.21</v>
      </c>
      <c r="AW2944" t="s">
        <v>82</v>
      </c>
      <c r="AX2944">
        <v>108</v>
      </c>
      <c r="AY2944" t="s">
        <v>81</v>
      </c>
      <c r="AZ2944">
        <v>-2.36</v>
      </c>
      <c r="BA2944">
        <v>5.94</v>
      </c>
      <c r="BB2944" t="s">
        <v>83</v>
      </c>
    </row>
    <row r="2945" spans="1:54" x14ac:dyDescent="0.4">
      <c r="A2945">
        <v>1611416</v>
      </c>
      <c r="D2945" t="s">
        <v>904</v>
      </c>
      <c r="I2945" t="s">
        <v>57</v>
      </c>
      <c r="K2945" t="s">
        <v>100</v>
      </c>
      <c r="L2945" t="s">
        <v>2040</v>
      </c>
      <c r="M2945" t="s">
        <v>60</v>
      </c>
      <c r="P2945" t="s">
        <v>224</v>
      </c>
      <c r="R2945" t="s">
        <v>183</v>
      </c>
      <c r="S2945" t="s">
        <v>64</v>
      </c>
      <c r="T2945">
        <v>246.7</v>
      </c>
      <c r="U2945">
        <v>242</v>
      </c>
      <c r="V2945">
        <f t="shared" si="90"/>
        <v>244.35</v>
      </c>
      <c r="W2945">
        <f t="shared" si="91"/>
        <v>4.6999999999999886</v>
      </c>
      <c r="X2945">
        <v>-63.957802000000001</v>
      </c>
      <c r="Y2945">
        <v>45.396701999999998</v>
      </c>
      <c r="Z2945" t="s">
        <v>1447</v>
      </c>
      <c r="AA2945" t="s">
        <v>1456</v>
      </c>
      <c r="AB2945" t="s">
        <v>1457</v>
      </c>
      <c r="AD2945" t="s">
        <v>1610</v>
      </c>
      <c r="AE2945" t="s">
        <v>70</v>
      </c>
      <c r="AH2945" t="s">
        <v>11</v>
      </c>
      <c r="AI2945" t="s">
        <v>1343</v>
      </c>
      <c r="AJ2945">
        <v>1989</v>
      </c>
      <c r="AK2945" t="s">
        <v>5630</v>
      </c>
      <c r="AM2945" t="s">
        <v>5631</v>
      </c>
      <c r="AN2945" t="s">
        <v>192</v>
      </c>
      <c r="AO2945">
        <v>4</v>
      </c>
      <c r="AP2945" t="s">
        <v>78</v>
      </c>
      <c r="AQ2945" t="s">
        <v>5632</v>
      </c>
      <c r="AR2945" t="s">
        <v>80</v>
      </c>
      <c r="AS2945">
        <v>108</v>
      </c>
      <c r="AT2945" t="s">
        <v>81</v>
      </c>
      <c r="AU2945">
        <v>4.32</v>
      </c>
      <c r="AV2945">
        <v>21.21</v>
      </c>
      <c r="AW2945" t="s">
        <v>82</v>
      </c>
      <c r="AX2945">
        <v>108</v>
      </c>
      <c r="AY2945" t="s">
        <v>81</v>
      </c>
      <c r="AZ2945">
        <v>-2.36</v>
      </c>
      <c r="BA2945">
        <v>5.94</v>
      </c>
      <c r="BB2945" t="s">
        <v>83</v>
      </c>
    </row>
    <row r="2946" spans="1:54" x14ac:dyDescent="0.4">
      <c r="A2946">
        <v>1611419</v>
      </c>
      <c r="D2946" t="s">
        <v>904</v>
      </c>
      <c r="I2946" t="s">
        <v>57</v>
      </c>
      <c r="K2946" t="s">
        <v>746</v>
      </c>
      <c r="L2946" t="s">
        <v>1357</v>
      </c>
      <c r="M2946" t="s">
        <v>60</v>
      </c>
      <c r="N2946" t="s">
        <v>119</v>
      </c>
      <c r="O2946" t="s">
        <v>345</v>
      </c>
      <c r="P2946" t="s">
        <v>224</v>
      </c>
      <c r="R2946" t="s">
        <v>183</v>
      </c>
      <c r="S2946" t="s">
        <v>64</v>
      </c>
      <c r="T2946">
        <v>246.7</v>
      </c>
      <c r="U2946">
        <v>242</v>
      </c>
      <c r="V2946">
        <f t="shared" si="90"/>
        <v>244.35</v>
      </c>
      <c r="W2946">
        <f t="shared" si="91"/>
        <v>4.6999999999999886</v>
      </c>
      <c r="X2946">
        <v>-63.957802000000001</v>
      </c>
      <c r="Y2946">
        <v>45.396701999999998</v>
      </c>
      <c r="Z2946" t="s">
        <v>1447</v>
      </c>
      <c r="AA2946" t="s">
        <v>1456</v>
      </c>
      <c r="AB2946" t="s">
        <v>1457</v>
      </c>
      <c r="AD2946" t="s">
        <v>1610</v>
      </c>
      <c r="AE2946" t="s">
        <v>70</v>
      </c>
      <c r="AH2946" t="s">
        <v>11</v>
      </c>
      <c r="AI2946" t="s">
        <v>1343</v>
      </c>
      <c r="AJ2946">
        <v>1989</v>
      </c>
      <c r="AK2946" t="s">
        <v>5630</v>
      </c>
      <c r="AM2946" t="s">
        <v>5631</v>
      </c>
      <c r="AN2946" t="s">
        <v>192</v>
      </c>
      <c r="AO2946">
        <v>4</v>
      </c>
      <c r="AP2946" t="s">
        <v>78</v>
      </c>
      <c r="AQ2946" t="s">
        <v>5632</v>
      </c>
      <c r="AR2946" t="s">
        <v>80</v>
      </c>
      <c r="AS2946">
        <v>108</v>
      </c>
      <c r="AT2946" t="s">
        <v>81</v>
      </c>
      <c r="AU2946">
        <v>4.32</v>
      </c>
      <c r="AV2946">
        <v>21.21</v>
      </c>
      <c r="AW2946" t="s">
        <v>82</v>
      </c>
      <c r="AX2946">
        <v>108</v>
      </c>
      <c r="AY2946" t="s">
        <v>81</v>
      </c>
      <c r="AZ2946">
        <v>-2.36</v>
      </c>
      <c r="BA2946">
        <v>5.94</v>
      </c>
      <c r="BB2946" t="s">
        <v>83</v>
      </c>
    </row>
    <row r="2947" spans="1:54" x14ac:dyDescent="0.4">
      <c r="A2947">
        <v>1639002</v>
      </c>
      <c r="D2947" t="s">
        <v>54</v>
      </c>
      <c r="G2947">
        <v>1</v>
      </c>
      <c r="H2947" t="s">
        <v>84</v>
      </c>
      <c r="I2947" t="s">
        <v>57</v>
      </c>
      <c r="K2947" t="s">
        <v>771</v>
      </c>
      <c r="L2947" t="s">
        <v>772</v>
      </c>
      <c r="M2947" t="s">
        <v>223</v>
      </c>
      <c r="P2947" t="s">
        <v>224</v>
      </c>
      <c r="R2947" t="s">
        <v>183</v>
      </c>
      <c r="S2947" t="s">
        <v>64</v>
      </c>
      <c r="T2947">
        <v>246.7</v>
      </c>
      <c r="U2947">
        <v>242</v>
      </c>
      <c r="V2947">
        <f t="shared" ref="V2947:V3010" si="92">(T2947+U2947)/2</f>
        <v>244.35</v>
      </c>
      <c r="W2947">
        <f t="shared" ref="W2947:W3010" si="93">T2947-U2947</f>
        <v>4.6999999999999886</v>
      </c>
      <c r="X2947">
        <v>11.767778</v>
      </c>
      <c r="Y2947">
        <v>51.217498999999997</v>
      </c>
      <c r="Z2947" t="s">
        <v>520</v>
      </c>
      <c r="AA2947" t="s">
        <v>211</v>
      </c>
      <c r="AB2947" t="s">
        <v>266</v>
      </c>
      <c r="AC2947" t="s">
        <v>4190</v>
      </c>
      <c r="AD2947" t="s">
        <v>3622</v>
      </c>
      <c r="AE2947" t="s">
        <v>1378</v>
      </c>
      <c r="AF2947" t="s">
        <v>4177</v>
      </c>
      <c r="AH2947" t="s">
        <v>72</v>
      </c>
      <c r="AI2947" t="s">
        <v>4209</v>
      </c>
      <c r="AJ2947">
        <v>1952</v>
      </c>
      <c r="AK2947" t="s">
        <v>4191</v>
      </c>
      <c r="AN2947" t="s">
        <v>341</v>
      </c>
      <c r="AO2947" t="s">
        <v>77</v>
      </c>
      <c r="AP2947" t="s">
        <v>115</v>
      </c>
      <c r="AQ2947" t="s">
        <v>4192</v>
      </c>
      <c r="AR2947" t="s">
        <v>80</v>
      </c>
      <c r="AS2947">
        <v>305</v>
      </c>
      <c r="AT2947" t="s">
        <v>81</v>
      </c>
      <c r="AU2947">
        <v>29.88</v>
      </c>
      <c r="AV2947">
        <v>30.16</v>
      </c>
      <c r="AW2947" t="s">
        <v>82</v>
      </c>
      <c r="AX2947">
        <v>305</v>
      </c>
      <c r="AY2947" t="s">
        <v>81</v>
      </c>
      <c r="AZ2947">
        <v>19.95</v>
      </c>
      <c r="BA2947">
        <v>17.440000000000001</v>
      </c>
      <c r="BB2947" t="s">
        <v>83</v>
      </c>
    </row>
    <row r="2948" spans="1:54" x14ac:dyDescent="0.4">
      <c r="A2948">
        <v>1639003</v>
      </c>
      <c r="D2948" t="s">
        <v>54</v>
      </c>
      <c r="G2948">
        <v>1</v>
      </c>
      <c r="H2948" t="s">
        <v>84</v>
      </c>
      <c r="I2948" t="s">
        <v>57</v>
      </c>
      <c r="K2948" t="s">
        <v>771</v>
      </c>
      <c r="L2948" t="s">
        <v>772</v>
      </c>
      <c r="M2948" t="s">
        <v>223</v>
      </c>
      <c r="P2948" t="s">
        <v>224</v>
      </c>
      <c r="R2948" t="s">
        <v>183</v>
      </c>
      <c r="S2948" t="s">
        <v>64</v>
      </c>
      <c r="T2948">
        <v>246.7</v>
      </c>
      <c r="U2948">
        <v>242</v>
      </c>
      <c r="V2948">
        <f t="shared" si="92"/>
        <v>244.35</v>
      </c>
      <c r="W2948">
        <f t="shared" si="93"/>
        <v>4.6999999999999886</v>
      </c>
      <c r="X2948">
        <v>11.767778</v>
      </c>
      <c r="Y2948">
        <v>51.217498999999997</v>
      </c>
      <c r="Z2948" t="s">
        <v>520</v>
      </c>
      <c r="AA2948" t="s">
        <v>211</v>
      </c>
      <c r="AB2948" t="s">
        <v>266</v>
      </c>
      <c r="AC2948" t="s">
        <v>4190</v>
      </c>
      <c r="AD2948" t="s">
        <v>3622</v>
      </c>
      <c r="AE2948" t="s">
        <v>1378</v>
      </c>
      <c r="AF2948" t="s">
        <v>4177</v>
      </c>
      <c r="AH2948" t="s">
        <v>11</v>
      </c>
      <c r="AI2948" t="s">
        <v>4209</v>
      </c>
      <c r="AJ2948">
        <v>1952</v>
      </c>
      <c r="AK2948" t="s">
        <v>4191</v>
      </c>
      <c r="AN2948" t="s">
        <v>341</v>
      </c>
      <c r="AO2948" t="s">
        <v>77</v>
      </c>
      <c r="AP2948" t="s">
        <v>115</v>
      </c>
      <c r="AQ2948" t="s">
        <v>4192</v>
      </c>
      <c r="AR2948" t="s">
        <v>80</v>
      </c>
      <c r="AS2948">
        <v>305</v>
      </c>
      <c r="AT2948" t="s">
        <v>81</v>
      </c>
      <c r="AU2948">
        <v>29.88</v>
      </c>
      <c r="AV2948">
        <v>30.16</v>
      </c>
      <c r="AW2948" t="s">
        <v>82</v>
      </c>
      <c r="AX2948">
        <v>305</v>
      </c>
      <c r="AY2948" t="s">
        <v>81</v>
      </c>
      <c r="AZ2948">
        <v>19.95</v>
      </c>
      <c r="BA2948">
        <v>17.440000000000001</v>
      </c>
      <c r="BB2948" t="s">
        <v>83</v>
      </c>
    </row>
    <row r="2949" spans="1:54" x14ac:dyDescent="0.4">
      <c r="A2949">
        <v>1643172</v>
      </c>
      <c r="D2949" t="s">
        <v>54</v>
      </c>
      <c r="E2949" t="s">
        <v>55</v>
      </c>
      <c r="F2949" t="s">
        <v>2523</v>
      </c>
      <c r="G2949">
        <v>1</v>
      </c>
      <c r="H2949" t="s">
        <v>56</v>
      </c>
      <c r="I2949" t="s">
        <v>57</v>
      </c>
      <c r="K2949" t="s">
        <v>141</v>
      </c>
      <c r="L2949" t="s">
        <v>5152</v>
      </c>
      <c r="M2949" t="s">
        <v>223</v>
      </c>
      <c r="P2949" t="s">
        <v>224</v>
      </c>
      <c r="R2949" t="s">
        <v>183</v>
      </c>
      <c r="S2949" t="s">
        <v>64</v>
      </c>
      <c r="T2949">
        <v>246.7</v>
      </c>
      <c r="U2949">
        <v>242</v>
      </c>
      <c r="V2949">
        <f t="shared" si="92"/>
        <v>244.35</v>
      </c>
      <c r="W2949">
        <f t="shared" si="93"/>
        <v>4.6999999999999886</v>
      </c>
      <c r="X2949">
        <v>103.926109</v>
      </c>
      <c r="Y2949">
        <v>24.521667000000001</v>
      </c>
      <c r="Z2949" t="s">
        <v>520</v>
      </c>
      <c r="AA2949" t="s">
        <v>379</v>
      </c>
      <c r="AB2949" t="s">
        <v>828</v>
      </c>
      <c r="AC2949" t="s">
        <v>5675</v>
      </c>
      <c r="AD2949" t="s">
        <v>2161</v>
      </c>
      <c r="AF2949" t="s">
        <v>1188</v>
      </c>
      <c r="AH2949" t="s">
        <v>72</v>
      </c>
      <c r="AI2949" t="s">
        <v>5676</v>
      </c>
      <c r="AJ2949">
        <v>2024</v>
      </c>
      <c r="AK2949" t="s">
        <v>5677</v>
      </c>
      <c r="AN2949" t="s">
        <v>192</v>
      </c>
      <c r="AO2949" t="s">
        <v>77</v>
      </c>
      <c r="AP2949" t="s">
        <v>115</v>
      </c>
      <c r="AQ2949" t="s">
        <v>5678</v>
      </c>
      <c r="AR2949" t="s">
        <v>80</v>
      </c>
      <c r="AS2949">
        <v>611</v>
      </c>
      <c r="AT2949" t="s">
        <v>81</v>
      </c>
      <c r="AU2949">
        <v>106.48</v>
      </c>
      <c r="AV2949">
        <v>-11.62</v>
      </c>
      <c r="AW2949" t="s">
        <v>82</v>
      </c>
      <c r="AX2949">
        <v>611</v>
      </c>
      <c r="AY2949" t="s">
        <v>81</v>
      </c>
      <c r="AZ2949">
        <v>95.07</v>
      </c>
      <c r="BA2949">
        <v>10.29</v>
      </c>
      <c r="BB2949" t="s">
        <v>83</v>
      </c>
    </row>
    <row r="2950" spans="1:54" x14ac:dyDescent="0.4">
      <c r="A2950">
        <v>1658055</v>
      </c>
      <c r="D2950" t="s">
        <v>54</v>
      </c>
      <c r="E2950" t="s">
        <v>310</v>
      </c>
      <c r="F2950" t="s">
        <v>2523</v>
      </c>
      <c r="G2950">
        <v>1</v>
      </c>
      <c r="H2950" t="s">
        <v>56</v>
      </c>
      <c r="I2950" t="s">
        <v>57</v>
      </c>
      <c r="K2950" t="s">
        <v>232</v>
      </c>
      <c r="L2950" t="s">
        <v>233</v>
      </c>
      <c r="M2950" t="s">
        <v>223</v>
      </c>
      <c r="N2950" t="s">
        <v>234</v>
      </c>
      <c r="O2950" t="s">
        <v>87</v>
      </c>
      <c r="P2950" t="s">
        <v>224</v>
      </c>
      <c r="R2950" t="s">
        <v>183</v>
      </c>
      <c r="S2950" t="s">
        <v>64</v>
      </c>
      <c r="T2950">
        <v>246.7</v>
      </c>
      <c r="U2950">
        <v>242</v>
      </c>
      <c r="V2950">
        <f t="shared" si="92"/>
        <v>244.35</v>
      </c>
      <c r="W2950">
        <f t="shared" si="93"/>
        <v>4.6999999999999886</v>
      </c>
      <c r="X2950">
        <v>103.849998</v>
      </c>
      <c r="Y2950">
        <v>24.533332999999999</v>
      </c>
      <c r="Z2950" t="s">
        <v>520</v>
      </c>
      <c r="AA2950" t="s">
        <v>379</v>
      </c>
      <c r="AB2950" t="s">
        <v>828</v>
      </c>
      <c r="AC2950" t="s">
        <v>5698</v>
      </c>
      <c r="AD2950" t="s">
        <v>2161</v>
      </c>
      <c r="AF2950" t="s">
        <v>1188</v>
      </c>
      <c r="AH2950" t="s">
        <v>72</v>
      </c>
      <c r="AI2950" t="s">
        <v>5699</v>
      </c>
      <c r="AJ2950">
        <v>2024</v>
      </c>
      <c r="AK2950" t="s">
        <v>5700</v>
      </c>
      <c r="AM2950" t="s">
        <v>5701</v>
      </c>
      <c r="AN2950" t="s">
        <v>192</v>
      </c>
      <c r="AO2950" t="s">
        <v>160</v>
      </c>
      <c r="AP2950" t="s">
        <v>115</v>
      </c>
      <c r="AQ2950" t="s">
        <v>5702</v>
      </c>
      <c r="AR2950" t="s">
        <v>80</v>
      </c>
      <c r="AS2950">
        <v>611</v>
      </c>
      <c r="AT2950" t="s">
        <v>81</v>
      </c>
      <c r="AU2950">
        <v>106.4</v>
      </c>
      <c r="AV2950">
        <v>-11.61</v>
      </c>
      <c r="AW2950" t="s">
        <v>82</v>
      </c>
      <c r="AX2950">
        <v>611</v>
      </c>
      <c r="AY2950" t="s">
        <v>81</v>
      </c>
      <c r="AZ2950">
        <v>95</v>
      </c>
      <c r="BA2950">
        <v>10.26</v>
      </c>
      <c r="BB2950" t="s">
        <v>83</v>
      </c>
    </row>
    <row r="2951" spans="1:54" x14ac:dyDescent="0.4">
      <c r="A2951">
        <v>1658965</v>
      </c>
      <c r="D2951" t="s">
        <v>54</v>
      </c>
      <c r="I2951" t="s">
        <v>57</v>
      </c>
      <c r="K2951" t="s">
        <v>141</v>
      </c>
      <c r="L2951" t="s">
        <v>5703</v>
      </c>
      <c r="M2951" t="s">
        <v>60</v>
      </c>
      <c r="O2951" t="s">
        <v>87</v>
      </c>
      <c r="P2951" t="s">
        <v>224</v>
      </c>
      <c r="R2951" t="s">
        <v>183</v>
      </c>
      <c r="S2951" t="s">
        <v>64</v>
      </c>
      <c r="T2951">
        <v>246.7</v>
      </c>
      <c r="U2951">
        <v>242</v>
      </c>
      <c r="V2951">
        <f t="shared" si="92"/>
        <v>244.35</v>
      </c>
      <c r="W2951">
        <f t="shared" si="93"/>
        <v>4.6999999999999886</v>
      </c>
      <c r="X2951">
        <v>-117.580833</v>
      </c>
      <c r="Y2951">
        <v>40.066386999999999</v>
      </c>
      <c r="Z2951" t="s">
        <v>1251</v>
      </c>
      <c r="AA2951" t="s">
        <v>66</v>
      </c>
      <c r="AB2951" t="s">
        <v>558</v>
      </c>
      <c r="AC2951" t="s">
        <v>559</v>
      </c>
      <c r="AD2951" t="s">
        <v>3344</v>
      </c>
      <c r="AF2951" t="s">
        <v>3346</v>
      </c>
      <c r="AG2951" t="s">
        <v>5704</v>
      </c>
      <c r="AH2951" t="s">
        <v>72</v>
      </c>
      <c r="AI2951" t="s">
        <v>5705</v>
      </c>
      <c r="AJ2951">
        <v>2024</v>
      </c>
      <c r="AK2951" t="s">
        <v>5706</v>
      </c>
      <c r="AM2951" t="s">
        <v>5707</v>
      </c>
      <c r="AN2951" t="s">
        <v>114</v>
      </c>
      <c r="AO2951" t="s">
        <v>77</v>
      </c>
      <c r="AP2951" t="s">
        <v>78</v>
      </c>
      <c r="AQ2951" t="s">
        <v>5708</v>
      </c>
      <c r="AR2951" t="s">
        <v>80</v>
      </c>
      <c r="AS2951">
        <v>101</v>
      </c>
      <c r="AT2951" t="s">
        <v>81</v>
      </c>
      <c r="AU2951">
        <v>-38.04</v>
      </c>
      <c r="AV2951">
        <v>24.63</v>
      </c>
      <c r="AW2951" t="s">
        <v>82</v>
      </c>
      <c r="AX2951">
        <v>131</v>
      </c>
      <c r="AY2951" t="s">
        <v>81</v>
      </c>
      <c r="AZ2951">
        <v>-43.1</v>
      </c>
      <c r="BA2951">
        <v>9.18</v>
      </c>
      <c r="BB2951" t="s">
        <v>83</v>
      </c>
    </row>
    <row r="2952" spans="1:54" x14ac:dyDescent="0.4">
      <c r="A2952">
        <v>149866</v>
      </c>
      <c r="D2952" t="s">
        <v>179</v>
      </c>
      <c r="E2952" t="s">
        <v>152</v>
      </c>
      <c r="G2952">
        <v>1</v>
      </c>
      <c r="H2952" t="s">
        <v>56</v>
      </c>
      <c r="I2952" t="s">
        <v>57</v>
      </c>
      <c r="K2952" t="s">
        <v>180</v>
      </c>
      <c r="L2952" t="s">
        <v>181</v>
      </c>
      <c r="M2952" t="s">
        <v>60</v>
      </c>
      <c r="N2952" t="s">
        <v>119</v>
      </c>
      <c r="P2952" t="s">
        <v>182</v>
      </c>
      <c r="R2952" t="s">
        <v>183</v>
      </c>
      <c r="S2952" t="s">
        <v>64</v>
      </c>
      <c r="T2952">
        <v>242</v>
      </c>
      <c r="U2952">
        <v>237</v>
      </c>
      <c r="V2952">
        <f t="shared" si="92"/>
        <v>239.5</v>
      </c>
      <c r="W2952">
        <f t="shared" si="93"/>
        <v>5</v>
      </c>
      <c r="X2952">
        <v>-67.820556999999994</v>
      </c>
      <c r="Y2952">
        <v>-29.823055</v>
      </c>
      <c r="Z2952" t="s">
        <v>184</v>
      </c>
      <c r="AA2952" t="s">
        <v>185</v>
      </c>
      <c r="AB2952" t="s">
        <v>186</v>
      </c>
      <c r="AD2952" t="s">
        <v>187</v>
      </c>
      <c r="AE2952" t="s">
        <v>188</v>
      </c>
      <c r="AH2952" t="s">
        <v>72</v>
      </c>
      <c r="AI2952" t="s">
        <v>189</v>
      </c>
      <c r="AJ2952">
        <v>1972</v>
      </c>
      <c r="AK2952" t="s">
        <v>190</v>
      </c>
      <c r="AL2952">
        <v>26092</v>
      </c>
      <c r="AM2952" t="s">
        <v>191</v>
      </c>
      <c r="AN2952" t="s">
        <v>192</v>
      </c>
      <c r="AO2952" t="s">
        <v>77</v>
      </c>
      <c r="AP2952" t="s">
        <v>115</v>
      </c>
      <c r="AQ2952" t="s">
        <v>193</v>
      </c>
      <c r="AR2952" t="s">
        <v>80</v>
      </c>
      <c r="AS2952">
        <v>291</v>
      </c>
      <c r="AT2952" t="s">
        <v>81</v>
      </c>
      <c r="AU2952">
        <v>-27.03</v>
      </c>
      <c r="AV2952">
        <v>-33.78</v>
      </c>
      <c r="AW2952" t="s">
        <v>82</v>
      </c>
      <c r="AX2952">
        <v>291</v>
      </c>
      <c r="AY2952" t="s">
        <v>81</v>
      </c>
      <c r="AZ2952">
        <v>-37.770000000000003</v>
      </c>
      <c r="BA2952">
        <v>-49.88</v>
      </c>
      <c r="BB2952" t="s">
        <v>83</v>
      </c>
    </row>
    <row r="2953" spans="1:54" x14ac:dyDescent="0.4">
      <c r="A2953">
        <v>149867</v>
      </c>
      <c r="D2953" t="s">
        <v>179</v>
      </c>
      <c r="E2953" t="s">
        <v>152</v>
      </c>
      <c r="G2953">
        <v>1</v>
      </c>
      <c r="H2953" t="s">
        <v>56</v>
      </c>
      <c r="I2953" t="s">
        <v>57</v>
      </c>
      <c r="K2953" t="s">
        <v>194</v>
      </c>
      <c r="L2953" t="s">
        <v>195</v>
      </c>
      <c r="M2953" t="s">
        <v>60</v>
      </c>
      <c r="P2953" t="s">
        <v>182</v>
      </c>
      <c r="R2953" t="s">
        <v>183</v>
      </c>
      <c r="S2953" t="s">
        <v>64</v>
      </c>
      <c r="T2953">
        <v>242</v>
      </c>
      <c r="U2953">
        <v>237</v>
      </c>
      <c r="V2953">
        <f t="shared" si="92"/>
        <v>239.5</v>
      </c>
      <c r="W2953">
        <f t="shared" si="93"/>
        <v>5</v>
      </c>
      <c r="X2953">
        <v>-67.820556999999994</v>
      </c>
      <c r="Y2953">
        <v>-29.823055</v>
      </c>
      <c r="Z2953" t="s">
        <v>184</v>
      </c>
      <c r="AA2953" t="s">
        <v>185</v>
      </c>
      <c r="AB2953" t="s">
        <v>186</v>
      </c>
      <c r="AD2953" t="s">
        <v>187</v>
      </c>
      <c r="AE2953" t="s">
        <v>188</v>
      </c>
      <c r="AH2953" t="s">
        <v>72</v>
      </c>
      <c r="AI2953" t="s">
        <v>189</v>
      </c>
      <c r="AJ2953">
        <v>1972</v>
      </c>
      <c r="AK2953" t="s">
        <v>190</v>
      </c>
      <c r="AL2953">
        <v>26092</v>
      </c>
      <c r="AM2953" t="s">
        <v>191</v>
      </c>
      <c r="AN2953" t="s">
        <v>192</v>
      </c>
      <c r="AO2953" t="s">
        <v>77</v>
      </c>
      <c r="AP2953" t="s">
        <v>115</v>
      </c>
      <c r="AQ2953" t="s">
        <v>193</v>
      </c>
      <c r="AR2953" t="s">
        <v>80</v>
      </c>
      <c r="AS2953">
        <v>291</v>
      </c>
      <c r="AT2953" t="s">
        <v>81</v>
      </c>
      <c r="AU2953">
        <v>-27.03</v>
      </c>
      <c r="AV2953">
        <v>-33.78</v>
      </c>
      <c r="AW2953" t="s">
        <v>82</v>
      </c>
      <c r="AX2953">
        <v>291</v>
      </c>
      <c r="AY2953" t="s">
        <v>81</v>
      </c>
      <c r="AZ2953">
        <v>-37.770000000000003</v>
      </c>
      <c r="BA2953">
        <v>-49.88</v>
      </c>
      <c r="BB2953" t="s">
        <v>83</v>
      </c>
    </row>
    <row r="2954" spans="1:54" x14ac:dyDescent="0.4">
      <c r="A2954">
        <v>272321</v>
      </c>
      <c r="D2954" t="s">
        <v>309</v>
      </c>
      <c r="E2954" t="s">
        <v>310</v>
      </c>
      <c r="I2954" t="s">
        <v>57</v>
      </c>
      <c r="K2954" t="s">
        <v>196</v>
      </c>
      <c r="L2954" t="s">
        <v>311</v>
      </c>
      <c r="M2954" t="s">
        <v>60</v>
      </c>
      <c r="O2954" t="s">
        <v>87</v>
      </c>
      <c r="P2954" t="s">
        <v>182</v>
      </c>
      <c r="R2954" t="s">
        <v>183</v>
      </c>
      <c r="S2954" t="s">
        <v>64</v>
      </c>
      <c r="T2954">
        <v>242</v>
      </c>
      <c r="U2954">
        <v>237</v>
      </c>
      <c r="V2954">
        <f t="shared" si="92"/>
        <v>239.5</v>
      </c>
      <c r="W2954">
        <f t="shared" si="93"/>
        <v>5</v>
      </c>
      <c r="X2954">
        <v>-67.779724000000002</v>
      </c>
      <c r="Y2954">
        <v>-29.850555</v>
      </c>
      <c r="Z2954" t="s">
        <v>184</v>
      </c>
      <c r="AA2954" t="s">
        <v>185</v>
      </c>
      <c r="AB2954" t="s">
        <v>186</v>
      </c>
      <c r="AD2954" t="s">
        <v>187</v>
      </c>
      <c r="AE2954" t="s">
        <v>188</v>
      </c>
      <c r="AH2954" t="s">
        <v>72</v>
      </c>
      <c r="AI2954" t="s">
        <v>312</v>
      </c>
      <c r="AJ2954">
        <v>2001</v>
      </c>
      <c r="AK2954" t="s">
        <v>313</v>
      </c>
      <c r="AM2954" t="s">
        <v>314</v>
      </c>
      <c r="AN2954" t="s">
        <v>192</v>
      </c>
      <c r="AO2954" t="s">
        <v>77</v>
      </c>
      <c r="AP2954" t="s">
        <v>78</v>
      </c>
      <c r="AQ2954" t="s">
        <v>315</v>
      </c>
      <c r="AR2954" t="s">
        <v>80</v>
      </c>
      <c r="AS2954">
        <v>291</v>
      </c>
      <c r="AT2954" t="s">
        <v>81</v>
      </c>
      <c r="AU2954">
        <v>-26.98</v>
      </c>
      <c r="AV2954">
        <v>-33.81</v>
      </c>
      <c r="AW2954" t="s">
        <v>82</v>
      </c>
      <c r="AX2954">
        <v>291</v>
      </c>
      <c r="AY2954" t="s">
        <v>81</v>
      </c>
      <c r="AZ2954">
        <v>-37.72</v>
      </c>
      <c r="BA2954">
        <v>-49.91</v>
      </c>
      <c r="BB2954" t="s">
        <v>83</v>
      </c>
    </row>
    <row r="2955" spans="1:54" x14ac:dyDescent="0.4">
      <c r="A2955">
        <v>272322</v>
      </c>
      <c r="D2955" t="s">
        <v>309</v>
      </c>
      <c r="E2955" t="s">
        <v>310</v>
      </c>
      <c r="I2955" t="s">
        <v>57</v>
      </c>
      <c r="K2955" t="s">
        <v>194</v>
      </c>
      <c r="L2955" t="s">
        <v>195</v>
      </c>
      <c r="M2955" t="s">
        <v>60</v>
      </c>
      <c r="P2955" t="s">
        <v>182</v>
      </c>
      <c r="R2955" t="s">
        <v>183</v>
      </c>
      <c r="S2955" t="s">
        <v>64</v>
      </c>
      <c r="T2955">
        <v>242</v>
      </c>
      <c r="U2955">
        <v>237</v>
      </c>
      <c r="V2955">
        <f t="shared" si="92"/>
        <v>239.5</v>
      </c>
      <c r="W2955">
        <f t="shared" si="93"/>
        <v>5</v>
      </c>
      <c r="X2955">
        <v>-67.779724000000002</v>
      </c>
      <c r="Y2955">
        <v>-29.850555</v>
      </c>
      <c r="Z2955" t="s">
        <v>184</v>
      </c>
      <c r="AA2955" t="s">
        <v>185</v>
      </c>
      <c r="AB2955" t="s">
        <v>186</v>
      </c>
      <c r="AD2955" t="s">
        <v>187</v>
      </c>
      <c r="AE2955" t="s">
        <v>188</v>
      </c>
      <c r="AH2955" t="s">
        <v>72</v>
      </c>
      <c r="AI2955" t="s">
        <v>312</v>
      </c>
      <c r="AJ2955">
        <v>2001</v>
      </c>
      <c r="AK2955" t="s">
        <v>313</v>
      </c>
      <c r="AM2955" t="s">
        <v>314</v>
      </c>
      <c r="AN2955" t="s">
        <v>192</v>
      </c>
      <c r="AO2955" t="s">
        <v>77</v>
      </c>
      <c r="AP2955" t="s">
        <v>78</v>
      </c>
      <c r="AQ2955" t="s">
        <v>315</v>
      </c>
      <c r="AR2955" t="s">
        <v>80</v>
      </c>
      <c r="AS2955">
        <v>291</v>
      </c>
      <c r="AT2955" t="s">
        <v>81</v>
      </c>
      <c r="AU2955">
        <v>-26.98</v>
      </c>
      <c r="AV2955">
        <v>-33.81</v>
      </c>
      <c r="AW2955" t="s">
        <v>82</v>
      </c>
      <c r="AX2955">
        <v>291</v>
      </c>
      <c r="AY2955" t="s">
        <v>81</v>
      </c>
      <c r="AZ2955">
        <v>-37.72</v>
      </c>
      <c r="BA2955">
        <v>-49.91</v>
      </c>
      <c r="BB2955" t="s">
        <v>83</v>
      </c>
    </row>
    <row r="2956" spans="1:54" x14ac:dyDescent="0.4">
      <c r="A2956">
        <v>272323</v>
      </c>
      <c r="D2956" t="s">
        <v>309</v>
      </c>
      <c r="E2956" t="s">
        <v>310</v>
      </c>
      <c r="I2956" t="s">
        <v>57</v>
      </c>
      <c r="K2956" t="s">
        <v>316</v>
      </c>
      <c r="L2956" t="s">
        <v>317</v>
      </c>
      <c r="M2956" t="s">
        <v>60</v>
      </c>
      <c r="P2956" t="s">
        <v>182</v>
      </c>
      <c r="R2956" t="s">
        <v>183</v>
      </c>
      <c r="S2956" t="s">
        <v>64</v>
      </c>
      <c r="T2956">
        <v>242</v>
      </c>
      <c r="U2956">
        <v>237</v>
      </c>
      <c r="V2956">
        <f t="shared" si="92"/>
        <v>239.5</v>
      </c>
      <c r="W2956">
        <f t="shared" si="93"/>
        <v>5</v>
      </c>
      <c r="X2956">
        <v>-67.779724000000002</v>
      </c>
      <c r="Y2956">
        <v>-29.850555</v>
      </c>
      <c r="Z2956" t="s">
        <v>184</v>
      </c>
      <c r="AA2956" t="s">
        <v>185</v>
      </c>
      <c r="AB2956" t="s">
        <v>186</v>
      </c>
      <c r="AD2956" t="s">
        <v>187</v>
      </c>
      <c r="AE2956" t="s">
        <v>188</v>
      </c>
      <c r="AH2956" t="s">
        <v>72</v>
      </c>
      <c r="AI2956" t="s">
        <v>312</v>
      </c>
      <c r="AJ2956">
        <v>2001</v>
      </c>
      <c r="AK2956" t="s">
        <v>313</v>
      </c>
      <c r="AM2956" t="s">
        <v>314</v>
      </c>
      <c r="AN2956" t="s">
        <v>192</v>
      </c>
      <c r="AO2956" t="s">
        <v>77</v>
      </c>
      <c r="AP2956" t="s">
        <v>78</v>
      </c>
      <c r="AQ2956" t="s">
        <v>315</v>
      </c>
      <c r="AR2956" t="s">
        <v>80</v>
      </c>
      <c r="AS2956">
        <v>291</v>
      </c>
      <c r="AT2956" t="s">
        <v>81</v>
      </c>
      <c r="AU2956">
        <v>-26.98</v>
      </c>
      <c r="AV2956">
        <v>-33.81</v>
      </c>
      <c r="AW2956" t="s">
        <v>82</v>
      </c>
      <c r="AX2956">
        <v>291</v>
      </c>
      <c r="AY2956" t="s">
        <v>81</v>
      </c>
      <c r="AZ2956">
        <v>-37.72</v>
      </c>
      <c r="BA2956">
        <v>-49.91</v>
      </c>
      <c r="BB2956" t="s">
        <v>83</v>
      </c>
    </row>
    <row r="2957" spans="1:54" x14ac:dyDescent="0.4">
      <c r="A2957">
        <v>272324</v>
      </c>
      <c r="D2957" t="s">
        <v>309</v>
      </c>
      <c r="E2957" t="s">
        <v>310</v>
      </c>
      <c r="I2957" t="s">
        <v>57</v>
      </c>
      <c r="K2957" t="s">
        <v>316</v>
      </c>
      <c r="L2957" t="s">
        <v>318</v>
      </c>
      <c r="M2957" t="s">
        <v>60</v>
      </c>
      <c r="P2957" t="s">
        <v>182</v>
      </c>
      <c r="R2957" t="s">
        <v>183</v>
      </c>
      <c r="S2957" t="s">
        <v>64</v>
      </c>
      <c r="T2957">
        <v>242</v>
      </c>
      <c r="U2957">
        <v>237</v>
      </c>
      <c r="V2957">
        <f t="shared" si="92"/>
        <v>239.5</v>
      </c>
      <c r="W2957">
        <f t="shared" si="93"/>
        <v>5</v>
      </c>
      <c r="X2957">
        <v>-67.779724000000002</v>
      </c>
      <c r="Y2957">
        <v>-29.850555</v>
      </c>
      <c r="Z2957" t="s">
        <v>184</v>
      </c>
      <c r="AA2957" t="s">
        <v>185</v>
      </c>
      <c r="AB2957" t="s">
        <v>186</v>
      </c>
      <c r="AD2957" t="s">
        <v>187</v>
      </c>
      <c r="AE2957" t="s">
        <v>188</v>
      </c>
      <c r="AH2957" t="s">
        <v>72</v>
      </c>
      <c r="AI2957" t="s">
        <v>312</v>
      </c>
      <c r="AJ2957">
        <v>2001</v>
      </c>
      <c r="AK2957" t="s">
        <v>313</v>
      </c>
      <c r="AM2957" t="s">
        <v>314</v>
      </c>
      <c r="AN2957" t="s">
        <v>192</v>
      </c>
      <c r="AO2957" t="s">
        <v>77</v>
      </c>
      <c r="AP2957" t="s">
        <v>78</v>
      </c>
      <c r="AQ2957" t="s">
        <v>315</v>
      </c>
      <c r="AR2957" t="s">
        <v>80</v>
      </c>
      <c r="AS2957">
        <v>291</v>
      </c>
      <c r="AT2957" t="s">
        <v>81</v>
      </c>
      <c r="AU2957">
        <v>-26.98</v>
      </c>
      <c r="AV2957">
        <v>-33.81</v>
      </c>
      <c r="AW2957" t="s">
        <v>82</v>
      </c>
      <c r="AX2957">
        <v>291</v>
      </c>
      <c r="AY2957" t="s">
        <v>81</v>
      </c>
      <c r="AZ2957">
        <v>-37.72</v>
      </c>
      <c r="BA2957">
        <v>-49.91</v>
      </c>
      <c r="BB2957" t="s">
        <v>83</v>
      </c>
    </row>
    <row r="2958" spans="1:54" x14ac:dyDescent="0.4">
      <c r="A2958">
        <v>272325</v>
      </c>
      <c r="D2958" t="s">
        <v>309</v>
      </c>
      <c r="E2958" t="s">
        <v>310</v>
      </c>
      <c r="I2958" t="s">
        <v>57</v>
      </c>
      <c r="K2958" t="s">
        <v>319</v>
      </c>
      <c r="L2958" t="s">
        <v>320</v>
      </c>
      <c r="M2958" t="s">
        <v>60</v>
      </c>
      <c r="O2958" t="s">
        <v>87</v>
      </c>
      <c r="P2958" t="s">
        <v>182</v>
      </c>
      <c r="R2958" t="s">
        <v>183</v>
      </c>
      <c r="S2958" t="s">
        <v>64</v>
      </c>
      <c r="T2958">
        <v>242</v>
      </c>
      <c r="U2958">
        <v>237</v>
      </c>
      <c r="V2958">
        <f t="shared" si="92"/>
        <v>239.5</v>
      </c>
      <c r="W2958">
        <f t="shared" si="93"/>
        <v>5</v>
      </c>
      <c r="X2958">
        <v>-67.779724000000002</v>
      </c>
      <c r="Y2958">
        <v>-29.850555</v>
      </c>
      <c r="Z2958" t="s">
        <v>184</v>
      </c>
      <c r="AA2958" t="s">
        <v>185</v>
      </c>
      <c r="AB2958" t="s">
        <v>186</v>
      </c>
      <c r="AD2958" t="s">
        <v>187</v>
      </c>
      <c r="AE2958" t="s">
        <v>188</v>
      </c>
      <c r="AH2958" t="s">
        <v>72</v>
      </c>
      <c r="AI2958" t="s">
        <v>312</v>
      </c>
      <c r="AJ2958">
        <v>2001</v>
      </c>
      <c r="AK2958" t="s">
        <v>313</v>
      </c>
      <c r="AM2958" t="s">
        <v>314</v>
      </c>
      <c r="AN2958" t="s">
        <v>192</v>
      </c>
      <c r="AO2958" t="s">
        <v>77</v>
      </c>
      <c r="AP2958" t="s">
        <v>78</v>
      </c>
      <c r="AQ2958" t="s">
        <v>315</v>
      </c>
      <c r="AR2958" t="s">
        <v>80</v>
      </c>
      <c r="AS2958">
        <v>291</v>
      </c>
      <c r="AT2958" t="s">
        <v>81</v>
      </c>
      <c r="AU2958">
        <v>-26.98</v>
      </c>
      <c r="AV2958">
        <v>-33.81</v>
      </c>
      <c r="AW2958" t="s">
        <v>82</v>
      </c>
      <c r="AX2958">
        <v>291</v>
      </c>
      <c r="AY2958" t="s">
        <v>81</v>
      </c>
      <c r="AZ2958">
        <v>-37.72</v>
      </c>
      <c r="BA2958">
        <v>-49.91</v>
      </c>
      <c r="BB2958" t="s">
        <v>83</v>
      </c>
    </row>
    <row r="2959" spans="1:54" x14ac:dyDescent="0.4">
      <c r="A2959">
        <v>272327</v>
      </c>
      <c r="D2959" t="s">
        <v>309</v>
      </c>
      <c r="E2959" t="s">
        <v>310</v>
      </c>
      <c r="I2959" t="s">
        <v>57</v>
      </c>
      <c r="K2959" t="s">
        <v>141</v>
      </c>
      <c r="L2959" t="s">
        <v>321</v>
      </c>
      <c r="M2959" t="s">
        <v>60</v>
      </c>
      <c r="P2959" t="s">
        <v>182</v>
      </c>
      <c r="R2959" t="s">
        <v>183</v>
      </c>
      <c r="S2959" t="s">
        <v>64</v>
      </c>
      <c r="T2959">
        <v>242</v>
      </c>
      <c r="U2959">
        <v>237</v>
      </c>
      <c r="V2959">
        <f t="shared" si="92"/>
        <v>239.5</v>
      </c>
      <c r="W2959">
        <f t="shared" si="93"/>
        <v>5</v>
      </c>
      <c r="X2959">
        <v>-67.779724000000002</v>
      </c>
      <c r="Y2959">
        <v>-29.850555</v>
      </c>
      <c r="Z2959" t="s">
        <v>184</v>
      </c>
      <c r="AA2959" t="s">
        <v>185</v>
      </c>
      <c r="AB2959" t="s">
        <v>186</v>
      </c>
      <c r="AD2959" t="s">
        <v>187</v>
      </c>
      <c r="AE2959" t="s">
        <v>188</v>
      </c>
      <c r="AH2959" t="s">
        <v>72</v>
      </c>
      <c r="AI2959" t="s">
        <v>312</v>
      </c>
      <c r="AJ2959">
        <v>2001</v>
      </c>
      <c r="AK2959" t="s">
        <v>313</v>
      </c>
      <c r="AM2959" t="s">
        <v>314</v>
      </c>
      <c r="AN2959" t="s">
        <v>192</v>
      </c>
      <c r="AO2959" t="s">
        <v>77</v>
      </c>
      <c r="AP2959" t="s">
        <v>78</v>
      </c>
      <c r="AQ2959" t="s">
        <v>315</v>
      </c>
      <c r="AR2959" t="s">
        <v>80</v>
      </c>
      <c r="AS2959">
        <v>291</v>
      </c>
      <c r="AT2959" t="s">
        <v>81</v>
      </c>
      <c r="AU2959">
        <v>-26.98</v>
      </c>
      <c r="AV2959">
        <v>-33.81</v>
      </c>
      <c r="AW2959" t="s">
        <v>82</v>
      </c>
      <c r="AX2959">
        <v>291</v>
      </c>
      <c r="AY2959" t="s">
        <v>81</v>
      </c>
      <c r="AZ2959">
        <v>-37.72</v>
      </c>
      <c r="BA2959">
        <v>-49.91</v>
      </c>
      <c r="BB2959" t="s">
        <v>83</v>
      </c>
    </row>
    <row r="2960" spans="1:54" x14ac:dyDescent="0.4">
      <c r="A2960">
        <v>272328</v>
      </c>
      <c r="D2960" t="s">
        <v>309</v>
      </c>
      <c r="E2960" t="s">
        <v>310</v>
      </c>
      <c r="I2960" t="s">
        <v>57</v>
      </c>
      <c r="K2960" t="s">
        <v>180</v>
      </c>
      <c r="L2960" t="s">
        <v>181</v>
      </c>
      <c r="M2960" t="s">
        <v>60</v>
      </c>
      <c r="N2960" t="s">
        <v>119</v>
      </c>
      <c r="P2960" t="s">
        <v>182</v>
      </c>
      <c r="R2960" t="s">
        <v>183</v>
      </c>
      <c r="S2960" t="s">
        <v>64</v>
      </c>
      <c r="T2960">
        <v>242</v>
      </c>
      <c r="U2960">
        <v>237</v>
      </c>
      <c r="V2960">
        <f t="shared" si="92"/>
        <v>239.5</v>
      </c>
      <c r="W2960">
        <f t="shared" si="93"/>
        <v>5</v>
      </c>
      <c r="X2960">
        <v>-67.779724000000002</v>
      </c>
      <c r="Y2960">
        <v>-29.850555</v>
      </c>
      <c r="Z2960" t="s">
        <v>184</v>
      </c>
      <c r="AA2960" t="s">
        <v>185</v>
      </c>
      <c r="AB2960" t="s">
        <v>186</v>
      </c>
      <c r="AD2960" t="s">
        <v>187</v>
      </c>
      <c r="AE2960" t="s">
        <v>188</v>
      </c>
      <c r="AH2960" t="s">
        <v>72</v>
      </c>
      <c r="AI2960" t="s">
        <v>312</v>
      </c>
      <c r="AJ2960">
        <v>2001</v>
      </c>
      <c r="AK2960" t="s">
        <v>313</v>
      </c>
      <c r="AM2960" t="s">
        <v>314</v>
      </c>
      <c r="AN2960" t="s">
        <v>192</v>
      </c>
      <c r="AO2960" t="s">
        <v>77</v>
      </c>
      <c r="AP2960" t="s">
        <v>78</v>
      </c>
      <c r="AQ2960" t="s">
        <v>315</v>
      </c>
      <c r="AR2960" t="s">
        <v>80</v>
      </c>
      <c r="AS2960">
        <v>291</v>
      </c>
      <c r="AT2960" t="s">
        <v>81</v>
      </c>
      <c r="AU2960">
        <v>-26.98</v>
      </c>
      <c r="AV2960">
        <v>-33.81</v>
      </c>
      <c r="AW2960" t="s">
        <v>82</v>
      </c>
      <c r="AX2960">
        <v>291</v>
      </c>
      <c r="AY2960" t="s">
        <v>81</v>
      </c>
      <c r="AZ2960">
        <v>-37.72</v>
      </c>
      <c r="BA2960">
        <v>-49.91</v>
      </c>
      <c r="BB2960" t="s">
        <v>83</v>
      </c>
    </row>
    <row r="2961" spans="1:54" x14ac:dyDescent="0.4">
      <c r="A2961">
        <v>272329</v>
      </c>
      <c r="D2961" t="s">
        <v>309</v>
      </c>
      <c r="E2961" t="s">
        <v>310</v>
      </c>
      <c r="I2961" t="s">
        <v>57</v>
      </c>
      <c r="K2961" t="s">
        <v>316</v>
      </c>
      <c r="L2961" t="s">
        <v>322</v>
      </c>
      <c r="M2961" t="s">
        <v>60</v>
      </c>
      <c r="P2961" t="s">
        <v>182</v>
      </c>
      <c r="R2961" t="s">
        <v>183</v>
      </c>
      <c r="S2961" t="s">
        <v>64</v>
      </c>
      <c r="T2961">
        <v>242</v>
      </c>
      <c r="U2961">
        <v>237</v>
      </c>
      <c r="V2961">
        <f t="shared" si="92"/>
        <v>239.5</v>
      </c>
      <c r="W2961">
        <f t="shared" si="93"/>
        <v>5</v>
      </c>
      <c r="X2961">
        <v>-67.779724000000002</v>
      </c>
      <c r="Y2961">
        <v>-29.850555</v>
      </c>
      <c r="Z2961" t="s">
        <v>184</v>
      </c>
      <c r="AA2961" t="s">
        <v>185</v>
      </c>
      <c r="AB2961" t="s">
        <v>186</v>
      </c>
      <c r="AD2961" t="s">
        <v>187</v>
      </c>
      <c r="AE2961" t="s">
        <v>188</v>
      </c>
      <c r="AH2961" t="s">
        <v>72</v>
      </c>
      <c r="AI2961" t="s">
        <v>312</v>
      </c>
      <c r="AJ2961">
        <v>2001</v>
      </c>
      <c r="AK2961" t="s">
        <v>313</v>
      </c>
      <c r="AM2961" t="s">
        <v>314</v>
      </c>
      <c r="AN2961" t="s">
        <v>192</v>
      </c>
      <c r="AO2961" t="s">
        <v>77</v>
      </c>
      <c r="AP2961" t="s">
        <v>78</v>
      </c>
      <c r="AQ2961" t="s">
        <v>315</v>
      </c>
      <c r="AR2961" t="s">
        <v>80</v>
      </c>
      <c r="AS2961">
        <v>291</v>
      </c>
      <c r="AT2961" t="s">
        <v>81</v>
      </c>
      <c r="AU2961">
        <v>-26.98</v>
      </c>
      <c r="AV2961">
        <v>-33.81</v>
      </c>
      <c r="AW2961" t="s">
        <v>82</v>
      </c>
      <c r="AX2961">
        <v>291</v>
      </c>
      <c r="AY2961" t="s">
        <v>81</v>
      </c>
      <c r="AZ2961">
        <v>-37.72</v>
      </c>
      <c r="BA2961">
        <v>-49.91</v>
      </c>
      <c r="BB2961" t="s">
        <v>83</v>
      </c>
    </row>
    <row r="2962" spans="1:54" x14ac:dyDescent="0.4">
      <c r="A2962">
        <v>272330</v>
      </c>
      <c r="D2962" t="s">
        <v>309</v>
      </c>
      <c r="E2962" t="s">
        <v>310</v>
      </c>
      <c r="I2962" t="s">
        <v>57</v>
      </c>
      <c r="K2962" t="s">
        <v>323</v>
      </c>
      <c r="L2962" t="s">
        <v>324</v>
      </c>
      <c r="M2962" t="s">
        <v>60</v>
      </c>
      <c r="P2962" t="s">
        <v>182</v>
      </c>
      <c r="R2962" t="s">
        <v>183</v>
      </c>
      <c r="S2962" t="s">
        <v>64</v>
      </c>
      <c r="T2962">
        <v>242</v>
      </c>
      <c r="U2962">
        <v>237</v>
      </c>
      <c r="V2962">
        <f t="shared" si="92"/>
        <v>239.5</v>
      </c>
      <c r="W2962">
        <f t="shared" si="93"/>
        <v>5</v>
      </c>
      <c r="X2962">
        <v>-67.779724000000002</v>
      </c>
      <c r="Y2962">
        <v>-29.850555</v>
      </c>
      <c r="Z2962" t="s">
        <v>184</v>
      </c>
      <c r="AA2962" t="s">
        <v>185</v>
      </c>
      <c r="AB2962" t="s">
        <v>186</v>
      </c>
      <c r="AD2962" t="s">
        <v>187</v>
      </c>
      <c r="AE2962" t="s">
        <v>188</v>
      </c>
      <c r="AH2962" t="s">
        <v>72</v>
      </c>
      <c r="AI2962" t="s">
        <v>312</v>
      </c>
      <c r="AJ2962">
        <v>2001</v>
      </c>
      <c r="AK2962" t="s">
        <v>313</v>
      </c>
      <c r="AM2962" t="s">
        <v>314</v>
      </c>
      <c r="AN2962" t="s">
        <v>192</v>
      </c>
      <c r="AO2962" t="s">
        <v>77</v>
      </c>
      <c r="AP2962" t="s">
        <v>78</v>
      </c>
      <c r="AQ2962" t="s">
        <v>315</v>
      </c>
      <c r="AR2962" t="s">
        <v>80</v>
      </c>
      <c r="AS2962">
        <v>291</v>
      </c>
      <c r="AT2962" t="s">
        <v>81</v>
      </c>
      <c r="AU2962">
        <v>-26.98</v>
      </c>
      <c r="AV2962">
        <v>-33.81</v>
      </c>
      <c r="AW2962" t="s">
        <v>82</v>
      </c>
      <c r="AX2962">
        <v>291</v>
      </c>
      <c r="AY2962" t="s">
        <v>81</v>
      </c>
      <c r="AZ2962">
        <v>-37.72</v>
      </c>
      <c r="BA2962">
        <v>-49.91</v>
      </c>
      <c r="BB2962" t="s">
        <v>83</v>
      </c>
    </row>
    <row r="2963" spans="1:54" x14ac:dyDescent="0.4">
      <c r="A2963">
        <v>486189</v>
      </c>
      <c r="D2963" t="s">
        <v>54</v>
      </c>
      <c r="E2963" t="s">
        <v>152</v>
      </c>
      <c r="G2963">
        <v>12</v>
      </c>
      <c r="H2963" t="s">
        <v>421</v>
      </c>
      <c r="I2963" t="s">
        <v>57</v>
      </c>
      <c r="K2963" t="s">
        <v>141</v>
      </c>
      <c r="L2963" t="s">
        <v>948</v>
      </c>
      <c r="M2963" t="s">
        <v>60</v>
      </c>
      <c r="P2963" t="s">
        <v>182</v>
      </c>
      <c r="R2963" t="s">
        <v>183</v>
      </c>
      <c r="S2963" t="s">
        <v>64</v>
      </c>
      <c r="T2963">
        <v>242</v>
      </c>
      <c r="U2963">
        <v>237</v>
      </c>
      <c r="V2963">
        <f t="shared" si="92"/>
        <v>239.5</v>
      </c>
      <c r="W2963">
        <f t="shared" si="93"/>
        <v>5</v>
      </c>
      <c r="X2963">
        <v>-54.366698999999997</v>
      </c>
      <c r="Y2963">
        <v>-29.666699999999999</v>
      </c>
      <c r="Z2963" t="s">
        <v>124</v>
      </c>
      <c r="AA2963" t="s">
        <v>783</v>
      </c>
      <c r="AB2963" t="s">
        <v>784</v>
      </c>
      <c r="AD2963" t="s">
        <v>943</v>
      </c>
      <c r="AE2963" t="s">
        <v>786</v>
      </c>
      <c r="AG2963" t="s">
        <v>949</v>
      </c>
      <c r="AH2963" t="s">
        <v>72</v>
      </c>
      <c r="AI2963" t="s">
        <v>693</v>
      </c>
      <c r="AJ2963">
        <v>1942</v>
      </c>
      <c r="AK2963" t="s">
        <v>950</v>
      </c>
      <c r="AM2963" t="s">
        <v>951</v>
      </c>
      <c r="AN2963" t="s">
        <v>114</v>
      </c>
      <c r="AO2963">
        <v>4</v>
      </c>
      <c r="AP2963" t="s">
        <v>115</v>
      </c>
      <c r="AQ2963" t="s">
        <v>952</v>
      </c>
      <c r="AR2963" t="s">
        <v>80</v>
      </c>
      <c r="AS2963">
        <v>201</v>
      </c>
      <c r="AT2963" t="s">
        <v>81</v>
      </c>
      <c r="AU2963">
        <v>-13.32</v>
      </c>
      <c r="AV2963">
        <v>-35.17</v>
      </c>
      <c r="AW2963" t="s">
        <v>82</v>
      </c>
      <c r="AX2963">
        <v>202</v>
      </c>
      <c r="AY2963" t="s">
        <v>81</v>
      </c>
      <c r="AZ2963">
        <v>-19.57</v>
      </c>
      <c r="BA2963">
        <v>-51.75</v>
      </c>
      <c r="BB2963" t="s">
        <v>83</v>
      </c>
    </row>
    <row r="2964" spans="1:54" x14ac:dyDescent="0.4">
      <c r="A2964">
        <v>486398</v>
      </c>
      <c r="D2964" t="s">
        <v>54</v>
      </c>
      <c r="G2964">
        <v>1</v>
      </c>
      <c r="H2964" t="s">
        <v>84</v>
      </c>
      <c r="I2964" t="s">
        <v>57</v>
      </c>
      <c r="K2964" t="s">
        <v>141</v>
      </c>
      <c r="L2964" t="s">
        <v>959</v>
      </c>
      <c r="M2964" t="s">
        <v>60</v>
      </c>
      <c r="P2964" t="s">
        <v>182</v>
      </c>
      <c r="R2964" t="s">
        <v>183</v>
      </c>
      <c r="S2964" t="s">
        <v>64</v>
      </c>
      <c r="T2964">
        <v>242</v>
      </c>
      <c r="U2964">
        <v>237</v>
      </c>
      <c r="V2964">
        <f t="shared" si="92"/>
        <v>239.5</v>
      </c>
      <c r="W2964">
        <f t="shared" si="93"/>
        <v>5</v>
      </c>
      <c r="X2964">
        <v>9.7711109999999994</v>
      </c>
      <c r="Y2964">
        <v>49.038891</v>
      </c>
      <c r="Z2964" t="s">
        <v>124</v>
      </c>
      <c r="AA2964" t="s">
        <v>211</v>
      </c>
      <c r="AB2964" t="s">
        <v>212</v>
      </c>
      <c r="AD2964" t="s">
        <v>960</v>
      </c>
      <c r="AE2964" t="s">
        <v>215</v>
      </c>
      <c r="AF2964" t="s">
        <v>961</v>
      </c>
      <c r="AH2964" t="s">
        <v>72</v>
      </c>
      <c r="AI2964" t="s">
        <v>962</v>
      </c>
      <c r="AJ2964">
        <v>1846</v>
      </c>
      <c r="AK2964" t="s">
        <v>963</v>
      </c>
      <c r="AM2964" t="s">
        <v>964</v>
      </c>
      <c r="AN2964" t="s">
        <v>114</v>
      </c>
      <c r="AO2964">
        <v>5</v>
      </c>
      <c r="AP2964" t="s">
        <v>115</v>
      </c>
      <c r="AQ2964" t="s">
        <v>965</v>
      </c>
      <c r="AR2964" t="s">
        <v>80</v>
      </c>
      <c r="AS2964">
        <v>305</v>
      </c>
      <c r="AT2964" t="s">
        <v>81</v>
      </c>
      <c r="AU2964">
        <v>28.12</v>
      </c>
      <c r="AV2964">
        <v>28.71</v>
      </c>
      <c r="AW2964" t="s">
        <v>82</v>
      </c>
      <c r="AX2964">
        <v>305</v>
      </c>
      <c r="AY2964" t="s">
        <v>81</v>
      </c>
      <c r="AZ2964">
        <v>17.82</v>
      </c>
      <c r="BA2964">
        <v>15.3</v>
      </c>
      <c r="BB2964" t="s">
        <v>83</v>
      </c>
    </row>
    <row r="2965" spans="1:54" x14ac:dyDescent="0.4">
      <c r="A2965">
        <v>573788</v>
      </c>
      <c r="D2965" t="s">
        <v>179</v>
      </c>
      <c r="E2965" t="s">
        <v>152</v>
      </c>
      <c r="G2965">
        <v>4</v>
      </c>
      <c r="H2965" t="s">
        <v>84</v>
      </c>
      <c r="I2965" t="s">
        <v>57</v>
      </c>
      <c r="K2965" t="s">
        <v>319</v>
      </c>
      <c r="L2965" t="s">
        <v>320</v>
      </c>
      <c r="M2965" t="s">
        <v>60</v>
      </c>
      <c r="O2965" t="s">
        <v>87</v>
      </c>
      <c r="P2965" t="s">
        <v>182</v>
      </c>
      <c r="R2965" t="s">
        <v>183</v>
      </c>
      <c r="S2965" t="s">
        <v>64</v>
      </c>
      <c r="T2965">
        <v>242</v>
      </c>
      <c r="U2965">
        <v>237</v>
      </c>
      <c r="V2965">
        <f t="shared" si="92"/>
        <v>239.5</v>
      </c>
      <c r="W2965">
        <f t="shared" si="93"/>
        <v>5</v>
      </c>
      <c r="X2965">
        <v>-67.824164999999994</v>
      </c>
      <c r="Y2965">
        <v>-29.830832999999998</v>
      </c>
      <c r="Z2965" t="s">
        <v>184</v>
      </c>
      <c r="AA2965" t="s">
        <v>185</v>
      </c>
      <c r="AB2965" t="s">
        <v>186</v>
      </c>
      <c r="AD2965" t="s">
        <v>187</v>
      </c>
      <c r="AE2965" t="s">
        <v>188</v>
      </c>
      <c r="AH2965" t="s">
        <v>72</v>
      </c>
      <c r="AI2965" t="s">
        <v>189</v>
      </c>
      <c r="AJ2965">
        <v>1972</v>
      </c>
      <c r="AK2965" t="s">
        <v>1316</v>
      </c>
      <c r="AL2965">
        <v>26092</v>
      </c>
      <c r="AN2965" t="s">
        <v>192</v>
      </c>
      <c r="AO2965" t="s">
        <v>77</v>
      </c>
      <c r="AP2965" t="s">
        <v>115</v>
      </c>
      <c r="AQ2965" t="s">
        <v>1317</v>
      </c>
      <c r="AR2965" t="s">
        <v>80</v>
      </c>
      <c r="AS2965">
        <v>291</v>
      </c>
      <c r="AT2965" t="s">
        <v>81</v>
      </c>
      <c r="AU2965">
        <v>-27.03</v>
      </c>
      <c r="AV2965">
        <v>-33.79</v>
      </c>
      <c r="AW2965" t="s">
        <v>82</v>
      </c>
      <c r="AX2965">
        <v>291</v>
      </c>
      <c r="AY2965" t="s">
        <v>81</v>
      </c>
      <c r="AZ2965">
        <v>-37.770000000000003</v>
      </c>
      <c r="BA2965">
        <v>-49.89</v>
      </c>
      <c r="BB2965" t="s">
        <v>83</v>
      </c>
    </row>
    <row r="2966" spans="1:54" x14ac:dyDescent="0.4">
      <c r="A2966">
        <v>573792</v>
      </c>
      <c r="D2966" t="s">
        <v>179</v>
      </c>
      <c r="E2966" t="s">
        <v>55</v>
      </c>
      <c r="G2966">
        <v>1</v>
      </c>
      <c r="H2966" t="s">
        <v>84</v>
      </c>
      <c r="I2966" t="s">
        <v>57</v>
      </c>
      <c r="K2966" t="s">
        <v>196</v>
      </c>
      <c r="L2966" t="s">
        <v>311</v>
      </c>
      <c r="M2966" t="s">
        <v>60</v>
      </c>
      <c r="O2966" t="s">
        <v>87</v>
      </c>
      <c r="P2966" t="s">
        <v>182</v>
      </c>
      <c r="R2966" t="s">
        <v>183</v>
      </c>
      <c r="S2966" t="s">
        <v>64</v>
      </c>
      <c r="T2966">
        <v>242</v>
      </c>
      <c r="U2966">
        <v>237</v>
      </c>
      <c r="V2966">
        <f t="shared" si="92"/>
        <v>239.5</v>
      </c>
      <c r="W2966">
        <f t="shared" si="93"/>
        <v>5</v>
      </c>
      <c r="X2966">
        <v>-67.786941999999996</v>
      </c>
      <c r="Y2966">
        <v>-29.823055</v>
      </c>
      <c r="Z2966" t="s">
        <v>184</v>
      </c>
      <c r="AA2966" t="s">
        <v>185</v>
      </c>
      <c r="AB2966" t="s">
        <v>186</v>
      </c>
      <c r="AD2966" t="s">
        <v>187</v>
      </c>
      <c r="AE2966" t="s">
        <v>188</v>
      </c>
      <c r="AH2966" t="s">
        <v>72</v>
      </c>
      <c r="AI2966" t="s">
        <v>189</v>
      </c>
      <c r="AJ2966">
        <v>1971</v>
      </c>
      <c r="AK2966" t="s">
        <v>1318</v>
      </c>
      <c r="AL2966">
        <v>26092</v>
      </c>
      <c r="AN2966" t="s">
        <v>192</v>
      </c>
      <c r="AO2966" t="s">
        <v>77</v>
      </c>
      <c r="AP2966" t="s">
        <v>115</v>
      </c>
      <c r="AQ2966" t="s">
        <v>1319</v>
      </c>
      <c r="AR2966" t="s">
        <v>80</v>
      </c>
      <c r="AS2966">
        <v>291</v>
      </c>
      <c r="AT2966" t="s">
        <v>81</v>
      </c>
      <c r="AU2966">
        <v>-26.99</v>
      </c>
      <c r="AV2966">
        <v>-33.78</v>
      </c>
      <c r="AW2966" t="s">
        <v>82</v>
      </c>
      <c r="AX2966">
        <v>291</v>
      </c>
      <c r="AY2966" t="s">
        <v>81</v>
      </c>
      <c r="AZ2966">
        <v>-37.72</v>
      </c>
      <c r="BA2966">
        <v>-49.88</v>
      </c>
      <c r="BB2966" t="s">
        <v>83</v>
      </c>
    </row>
    <row r="2967" spans="1:54" x14ac:dyDescent="0.4">
      <c r="A2967">
        <v>573793</v>
      </c>
      <c r="D2967" t="s">
        <v>179</v>
      </c>
      <c r="E2967" t="s">
        <v>55</v>
      </c>
      <c r="G2967">
        <v>1</v>
      </c>
      <c r="H2967" t="s">
        <v>84</v>
      </c>
      <c r="I2967" t="s">
        <v>57</v>
      </c>
      <c r="K2967" t="s">
        <v>194</v>
      </c>
      <c r="L2967" t="s">
        <v>195</v>
      </c>
      <c r="M2967" t="s">
        <v>60</v>
      </c>
      <c r="P2967" t="s">
        <v>182</v>
      </c>
      <c r="R2967" t="s">
        <v>183</v>
      </c>
      <c r="S2967" t="s">
        <v>64</v>
      </c>
      <c r="T2967">
        <v>242</v>
      </c>
      <c r="U2967">
        <v>237</v>
      </c>
      <c r="V2967">
        <f t="shared" si="92"/>
        <v>239.5</v>
      </c>
      <c r="W2967">
        <f t="shared" si="93"/>
        <v>5</v>
      </c>
      <c r="X2967">
        <v>-67.784447</v>
      </c>
      <c r="Y2967">
        <v>-29.848887999999999</v>
      </c>
      <c r="Z2967" t="s">
        <v>184</v>
      </c>
      <c r="AA2967" t="s">
        <v>185</v>
      </c>
      <c r="AB2967" t="s">
        <v>186</v>
      </c>
      <c r="AD2967" t="s">
        <v>187</v>
      </c>
      <c r="AE2967" t="s">
        <v>188</v>
      </c>
      <c r="AH2967" t="s">
        <v>72</v>
      </c>
      <c r="AI2967" t="s">
        <v>189</v>
      </c>
      <c r="AJ2967">
        <v>1971</v>
      </c>
      <c r="AK2967" t="s">
        <v>1320</v>
      </c>
      <c r="AL2967">
        <v>26092</v>
      </c>
      <c r="AN2967" t="s">
        <v>192</v>
      </c>
      <c r="AO2967" t="s">
        <v>77</v>
      </c>
      <c r="AP2967" t="s">
        <v>115</v>
      </c>
      <c r="AQ2967" t="s">
        <v>1321</v>
      </c>
      <c r="AR2967" t="s">
        <v>80</v>
      </c>
      <c r="AS2967">
        <v>291</v>
      </c>
      <c r="AT2967" t="s">
        <v>81</v>
      </c>
      <c r="AU2967">
        <v>-26.99</v>
      </c>
      <c r="AV2967">
        <v>-33.799999999999997</v>
      </c>
      <c r="AW2967" t="s">
        <v>82</v>
      </c>
      <c r="AX2967">
        <v>291</v>
      </c>
      <c r="AY2967" t="s">
        <v>81</v>
      </c>
      <c r="AZ2967">
        <v>-37.72</v>
      </c>
      <c r="BA2967">
        <v>-49.91</v>
      </c>
      <c r="BB2967" t="s">
        <v>83</v>
      </c>
    </row>
    <row r="2968" spans="1:54" x14ac:dyDescent="0.4">
      <c r="A2968">
        <v>573794</v>
      </c>
      <c r="D2968" t="s">
        <v>179</v>
      </c>
      <c r="E2968" t="s">
        <v>55</v>
      </c>
      <c r="G2968">
        <v>1</v>
      </c>
      <c r="H2968" t="s">
        <v>84</v>
      </c>
      <c r="I2968" t="s">
        <v>57</v>
      </c>
      <c r="K2968" t="s">
        <v>316</v>
      </c>
      <c r="L2968" t="s">
        <v>317</v>
      </c>
      <c r="M2968" t="s">
        <v>60</v>
      </c>
      <c r="P2968" t="s">
        <v>182</v>
      </c>
      <c r="R2968" t="s">
        <v>183</v>
      </c>
      <c r="S2968" t="s">
        <v>64</v>
      </c>
      <c r="T2968">
        <v>242</v>
      </c>
      <c r="U2968">
        <v>237</v>
      </c>
      <c r="V2968">
        <f t="shared" si="92"/>
        <v>239.5</v>
      </c>
      <c r="W2968">
        <f t="shared" si="93"/>
        <v>5</v>
      </c>
      <c r="X2968">
        <v>-67.790558000000004</v>
      </c>
      <c r="Y2968">
        <v>-29.852777</v>
      </c>
      <c r="Z2968" t="s">
        <v>184</v>
      </c>
      <c r="AA2968" t="s">
        <v>185</v>
      </c>
      <c r="AB2968" t="s">
        <v>186</v>
      </c>
      <c r="AD2968" t="s">
        <v>187</v>
      </c>
      <c r="AE2968" t="s">
        <v>188</v>
      </c>
      <c r="AH2968" t="s">
        <v>72</v>
      </c>
      <c r="AI2968" t="s">
        <v>189</v>
      </c>
      <c r="AJ2968">
        <v>1971</v>
      </c>
      <c r="AK2968" t="s">
        <v>1322</v>
      </c>
      <c r="AL2968">
        <v>26092</v>
      </c>
      <c r="AN2968" t="s">
        <v>192</v>
      </c>
      <c r="AO2968" t="s">
        <v>77</v>
      </c>
      <c r="AP2968" t="s">
        <v>115</v>
      </c>
      <c r="AQ2968" t="s">
        <v>1323</v>
      </c>
      <c r="AR2968" t="s">
        <v>80</v>
      </c>
      <c r="AS2968">
        <v>291</v>
      </c>
      <c r="AT2968" t="s">
        <v>81</v>
      </c>
      <c r="AU2968">
        <v>-26.99</v>
      </c>
      <c r="AV2968">
        <v>-33.81</v>
      </c>
      <c r="AW2968" t="s">
        <v>82</v>
      </c>
      <c r="AX2968">
        <v>291</v>
      </c>
      <c r="AY2968" t="s">
        <v>81</v>
      </c>
      <c r="AZ2968">
        <v>-37.729999999999997</v>
      </c>
      <c r="BA2968">
        <v>-49.91</v>
      </c>
      <c r="BB2968" t="s">
        <v>83</v>
      </c>
    </row>
    <row r="2969" spans="1:54" x14ac:dyDescent="0.4">
      <c r="A2969">
        <v>573795</v>
      </c>
      <c r="D2969" t="s">
        <v>179</v>
      </c>
      <c r="E2969" t="s">
        <v>55</v>
      </c>
      <c r="G2969">
        <v>1</v>
      </c>
      <c r="H2969" t="s">
        <v>84</v>
      </c>
      <c r="I2969" t="s">
        <v>57</v>
      </c>
      <c r="K2969" t="s">
        <v>316</v>
      </c>
      <c r="L2969" t="s">
        <v>318</v>
      </c>
      <c r="M2969" t="s">
        <v>60</v>
      </c>
      <c r="P2969" t="s">
        <v>182</v>
      </c>
      <c r="R2969" t="s">
        <v>183</v>
      </c>
      <c r="S2969" t="s">
        <v>64</v>
      </c>
      <c r="T2969">
        <v>242</v>
      </c>
      <c r="U2969">
        <v>237</v>
      </c>
      <c r="V2969">
        <f t="shared" si="92"/>
        <v>239.5</v>
      </c>
      <c r="W2969">
        <f t="shared" si="93"/>
        <v>5</v>
      </c>
      <c r="X2969">
        <v>-67.787497999999999</v>
      </c>
      <c r="Y2969">
        <v>-29.834999</v>
      </c>
      <c r="Z2969" t="s">
        <v>184</v>
      </c>
      <c r="AA2969" t="s">
        <v>185</v>
      </c>
      <c r="AB2969" t="s">
        <v>186</v>
      </c>
      <c r="AD2969" t="s">
        <v>187</v>
      </c>
      <c r="AE2969" t="s">
        <v>188</v>
      </c>
      <c r="AH2969" t="s">
        <v>72</v>
      </c>
      <c r="AI2969" t="s">
        <v>189</v>
      </c>
      <c r="AJ2969">
        <v>1971</v>
      </c>
      <c r="AK2969" t="s">
        <v>1324</v>
      </c>
      <c r="AL2969">
        <v>26092</v>
      </c>
      <c r="AN2969" t="s">
        <v>192</v>
      </c>
      <c r="AO2969" t="s">
        <v>77</v>
      </c>
      <c r="AP2969" t="s">
        <v>115</v>
      </c>
      <c r="AQ2969" t="s">
        <v>1325</v>
      </c>
      <c r="AR2969" t="s">
        <v>80</v>
      </c>
      <c r="AS2969">
        <v>291</v>
      </c>
      <c r="AT2969" t="s">
        <v>81</v>
      </c>
      <c r="AU2969">
        <v>-26.99</v>
      </c>
      <c r="AV2969">
        <v>-33.79</v>
      </c>
      <c r="AW2969" t="s">
        <v>82</v>
      </c>
      <c r="AX2969">
        <v>291</v>
      </c>
      <c r="AY2969" t="s">
        <v>81</v>
      </c>
      <c r="AZ2969">
        <v>-37.72</v>
      </c>
      <c r="BA2969">
        <v>-49.89</v>
      </c>
      <c r="BB2969" t="s">
        <v>83</v>
      </c>
    </row>
    <row r="2970" spans="1:54" x14ac:dyDescent="0.4">
      <c r="A2970">
        <v>614939</v>
      </c>
      <c r="D2970" t="s">
        <v>54</v>
      </c>
      <c r="G2970">
        <v>6</v>
      </c>
      <c r="H2970" t="s">
        <v>84</v>
      </c>
      <c r="I2970" t="s">
        <v>57</v>
      </c>
      <c r="K2970" t="s">
        <v>771</v>
      </c>
      <c r="L2970" t="s">
        <v>772</v>
      </c>
      <c r="M2970" t="s">
        <v>223</v>
      </c>
      <c r="P2970" t="s">
        <v>182</v>
      </c>
      <c r="R2970" t="s">
        <v>183</v>
      </c>
      <c r="S2970" t="s">
        <v>64</v>
      </c>
      <c r="T2970">
        <v>242</v>
      </c>
      <c r="U2970">
        <v>237</v>
      </c>
      <c r="V2970">
        <f t="shared" si="92"/>
        <v>239.5</v>
      </c>
      <c r="W2970">
        <f t="shared" si="93"/>
        <v>5</v>
      </c>
      <c r="X2970">
        <v>9.6999999999999993</v>
      </c>
      <c r="Y2970">
        <v>49.116669000000002</v>
      </c>
      <c r="Z2970" t="s">
        <v>602</v>
      </c>
      <c r="AA2970" t="s">
        <v>211</v>
      </c>
      <c r="AB2970" t="s">
        <v>212</v>
      </c>
      <c r="AE2970" t="s">
        <v>1378</v>
      </c>
      <c r="AF2970" t="s">
        <v>1379</v>
      </c>
      <c r="AH2970" t="s">
        <v>11</v>
      </c>
      <c r="AI2970" t="s">
        <v>1380</v>
      </c>
      <c r="AJ2970">
        <v>2006</v>
      </c>
      <c r="AK2970" t="s">
        <v>1381</v>
      </c>
      <c r="AN2970" t="s">
        <v>114</v>
      </c>
      <c r="AO2970" t="s">
        <v>160</v>
      </c>
      <c r="AP2970" t="s">
        <v>115</v>
      </c>
      <c r="AQ2970" t="s">
        <v>1382</v>
      </c>
      <c r="AR2970" t="s">
        <v>80</v>
      </c>
      <c r="AS2970">
        <v>305</v>
      </c>
      <c r="AT2970" t="s">
        <v>81</v>
      </c>
      <c r="AU2970">
        <v>28.05</v>
      </c>
      <c r="AV2970">
        <v>28.78</v>
      </c>
      <c r="AW2970" t="s">
        <v>82</v>
      </c>
      <c r="AX2970">
        <v>305</v>
      </c>
      <c r="AY2970" t="s">
        <v>81</v>
      </c>
      <c r="AZ2970">
        <v>17.739999999999998</v>
      </c>
      <c r="BA2970">
        <v>15.35</v>
      </c>
      <c r="BB2970" t="s">
        <v>83</v>
      </c>
    </row>
    <row r="2971" spans="1:54" x14ac:dyDescent="0.4">
      <c r="A2971">
        <v>668708</v>
      </c>
      <c r="D2971" t="s">
        <v>54</v>
      </c>
      <c r="E2971" t="s">
        <v>152</v>
      </c>
      <c r="G2971">
        <v>1</v>
      </c>
      <c r="H2971" t="s">
        <v>84</v>
      </c>
      <c r="I2971" t="s">
        <v>57</v>
      </c>
      <c r="K2971" t="s">
        <v>141</v>
      </c>
      <c r="L2971" t="s">
        <v>1442</v>
      </c>
      <c r="M2971" t="s">
        <v>60</v>
      </c>
      <c r="O2971" t="s">
        <v>87</v>
      </c>
      <c r="P2971" t="s">
        <v>182</v>
      </c>
      <c r="R2971" t="s">
        <v>183</v>
      </c>
      <c r="S2971" t="s">
        <v>64</v>
      </c>
      <c r="T2971">
        <v>242</v>
      </c>
      <c r="U2971">
        <v>237</v>
      </c>
      <c r="V2971">
        <f t="shared" si="92"/>
        <v>239.5</v>
      </c>
      <c r="W2971">
        <f t="shared" si="93"/>
        <v>5</v>
      </c>
      <c r="X2971">
        <v>-54.366698999999997</v>
      </c>
      <c r="Y2971">
        <v>-29.666699999999999</v>
      </c>
      <c r="Z2971" t="s">
        <v>124</v>
      </c>
      <c r="AA2971" t="s">
        <v>783</v>
      </c>
      <c r="AB2971" t="s">
        <v>784</v>
      </c>
      <c r="AD2971" t="s">
        <v>943</v>
      </c>
      <c r="AE2971" t="s">
        <v>786</v>
      </c>
      <c r="AG2971" t="s">
        <v>949</v>
      </c>
      <c r="AH2971" t="s">
        <v>72</v>
      </c>
      <c r="AI2971" t="s">
        <v>693</v>
      </c>
      <c r="AJ2971">
        <v>1942</v>
      </c>
      <c r="AK2971" t="s">
        <v>1443</v>
      </c>
      <c r="AN2971" t="s">
        <v>114</v>
      </c>
      <c r="AO2971">
        <v>4</v>
      </c>
      <c r="AP2971" t="s">
        <v>115</v>
      </c>
      <c r="AQ2971" t="s">
        <v>1444</v>
      </c>
      <c r="AR2971" t="s">
        <v>80</v>
      </c>
      <c r="AS2971">
        <v>201</v>
      </c>
      <c r="AT2971" t="s">
        <v>81</v>
      </c>
      <c r="AU2971">
        <v>-13.32</v>
      </c>
      <c r="AV2971">
        <v>-35.17</v>
      </c>
      <c r="AW2971" t="s">
        <v>82</v>
      </c>
      <c r="AX2971">
        <v>202</v>
      </c>
      <c r="AY2971" t="s">
        <v>81</v>
      </c>
      <c r="AZ2971">
        <v>-19.57</v>
      </c>
      <c r="BA2971">
        <v>-51.75</v>
      </c>
      <c r="BB2971" t="s">
        <v>83</v>
      </c>
    </row>
    <row r="2972" spans="1:54" x14ac:dyDescent="0.4">
      <c r="A2972">
        <v>789771</v>
      </c>
      <c r="D2972" t="s">
        <v>54</v>
      </c>
      <c r="G2972">
        <v>1</v>
      </c>
      <c r="H2972" t="s">
        <v>84</v>
      </c>
      <c r="I2972" t="s">
        <v>57</v>
      </c>
      <c r="K2972" t="s">
        <v>1873</v>
      </c>
      <c r="L2972" t="s">
        <v>1874</v>
      </c>
      <c r="M2972" t="s">
        <v>60</v>
      </c>
      <c r="P2972" t="s">
        <v>182</v>
      </c>
      <c r="R2972" t="s">
        <v>183</v>
      </c>
      <c r="S2972" t="s">
        <v>64</v>
      </c>
      <c r="T2972">
        <v>242</v>
      </c>
      <c r="U2972">
        <v>237</v>
      </c>
      <c r="V2972">
        <f t="shared" si="92"/>
        <v>239.5</v>
      </c>
      <c r="W2972">
        <f t="shared" si="93"/>
        <v>5</v>
      </c>
      <c r="X2972">
        <v>55.645000000000003</v>
      </c>
      <c r="Y2972">
        <v>52.405555999999997</v>
      </c>
      <c r="Z2972" t="s">
        <v>432</v>
      </c>
      <c r="AA2972" t="s">
        <v>239</v>
      </c>
      <c r="AB2972" t="s">
        <v>399</v>
      </c>
      <c r="AD2972" t="s">
        <v>1875</v>
      </c>
      <c r="AG2972" t="s">
        <v>1876</v>
      </c>
      <c r="AH2972" t="s">
        <v>11</v>
      </c>
      <c r="AI2972" t="s">
        <v>1877</v>
      </c>
      <c r="AJ2972">
        <v>2000</v>
      </c>
      <c r="AK2972" t="s">
        <v>1878</v>
      </c>
      <c r="AM2972" t="s">
        <v>1879</v>
      </c>
      <c r="AN2972" t="s">
        <v>192</v>
      </c>
      <c r="AO2972" t="s">
        <v>77</v>
      </c>
      <c r="AP2972" t="s">
        <v>359</v>
      </c>
      <c r="AQ2972" t="s">
        <v>1880</v>
      </c>
      <c r="AR2972" t="s">
        <v>80</v>
      </c>
      <c r="AS2972">
        <v>302</v>
      </c>
      <c r="AT2972" t="s">
        <v>81</v>
      </c>
      <c r="AU2972">
        <v>59</v>
      </c>
      <c r="AV2972">
        <v>43.46</v>
      </c>
      <c r="AW2972" t="s">
        <v>82</v>
      </c>
      <c r="AX2972">
        <v>301</v>
      </c>
      <c r="AY2972" t="s">
        <v>81</v>
      </c>
      <c r="AZ2972">
        <v>40.14</v>
      </c>
      <c r="BA2972">
        <v>36.03</v>
      </c>
      <c r="BB2972" t="s">
        <v>83</v>
      </c>
    </row>
    <row r="2973" spans="1:54" x14ac:dyDescent="0.4">
      <c r="A2973">
        <v>789773</v>
      </c>
      <c r="D2973" t="s">
        <v>54</v>
      </c>
      <c r="G2973">
        <v>1</v>
      </c>
      <c r="H2973" t="s">
        <v>84</v>
      </c>
      <c r="I2973" t="s">
        <v>57</v>
      </c>
      <c r="K2973" t="s">
        <v>196</v>
      </c>
      <c r="L2973" t="s">
        <v>1881</v>
      </c>
      <c r="M2973" t="s">
        <v>60</v>
      </c>
      <c r="O2973" t="s">
        <v>87</v>
      </c>
      <c r="P2973" t="s">
        <v>182</v>
      </c>
      <c r="R2973" t="s">
        <v>183</v>
      </c>
      <c r="S2973" t="s">
        <v>64</v>
      </c>
      <c r="T2973">
        <v>242</v>
      </c>
      <c r="U2973">
        <v>237</v>
      </c>
      <c r="V2973">
        <f t="shared" si="92"/>
        <v>239.5</v>
      </c>
      <c r="W2973">
        <f t="shared" si="93"/>
        <v>5</v>
      </c>
      <c r="X2973">
        <v>55.645000000000003</v>
      </c>
      <c r="Y2973">
        <v>52.405555999999997</v>
      </c>
      <c r="Z2973" t="s">
        <v>432</v>
      </c>
      <c r="AA2973" t="s">
        <v>239</v>
      </c>
      <c r="AB2973" t="s">
        <v>399</v>
      </c>
      <c r="AD2973" t="s">
        <v>1875</v>
      </c>
      <c r="AG2973" t="s">
        <v>1876</v>
      </c>
      <c r="AH2973" t="s">
        <v>72</v>
      </c>
      <c r="AI2973" t="s">
        <v>1877</v>
      </c>
      <c r="AJ2973">
        <v>2000</v>
      </c>
      <c r="AK2973" t="s">
        <v>1878</v>
      </c>
      <c r="AM2973" t="s">
        <v>1879</v>
      </c>
      <c r="AN2973" t="s">
        <v>192</v>
      </c>
      <c r="AO2973" t="s">
        <v>77</v>
      </c>
      <c r="AP2973" t="s">
        <v>359</v>
      </c>
      <c r="AQ2973" t="s">
        <v>1880</v>
      </c>
      <c r="AR2973" t="s">
        <v>80</v>
      </c>
      <c r="AS2973">
        <v>302</v>
      </c>
      <c r="AT2973" t="s">
        <v>81</v>
      </c>
      <c r="AU2973">
        <v>59</v>
      </c>
      <c r="AV2973">
        <v>43.46</v>
      </c>
      <c r="AW2973" t="s">
        <v>82</v>
      </c>
      <c r="AX2973">
        <v>301</v>
      </c>
      <c r="AY2973" t="s">
        <v>81</v>
      </c>
      <c r="AZ2973">
        <v>40.14</v>
      </c>
      <c r="BA2973">
        <v>36.03</v>
      </c>
      <c r="BB2973" t="s">
        <v>83</v>
      </c>
    </row>
    <row r="2974" spans="1:54" x14ac:dyDescent="0.4">
      <c r="A2974">
        <v>791754</v>
      </c>
      <c r="D2974" t="s">
        <v>54</v>
      </c>
      <c r="G2974">
        <v>1</v>
      </c>
      <c r="H2974" t="s">
        <v>84</v>
      </c>
      <c r="I2974" t="s">
        <v>57</v>
      </c>
      <c r="K2974" t="s">
        <v>141</v>
      </c>
      <c r="L2974" t="s">
        <v>959</v>
      </c>
      <c r="M2974" t="s">
        <v>60</v>
      </c>
      <c r="P2974" t="s">
        <v>182</v>
      </c>
      <c r="R2974" t="s">
        <v>183</v>
      </c>
      <c r="S2974" t="s">
        <v>64</v>
      </c>
      <c r="T2974">
        <v>242</v>
      </c>
      <c r="U2974">
        <v>237</v>
      </c>
      <c r="V2974">
        <f t="shared" si="92"/>
        <v>239.5</v>
      </c>
      <c r="W2974">
        <f t="shared" si="93"/>
        <v>5</v>
      </c>
      <c r="X2974">
        <v>9.7711109999999994</v>
      </c>
      <c r="Y2974">
        <v>49.038891</v>
      </c>
      <c r="Z2974" t="s">
        <v>124</v>
      </c>
      <c r="AA2974" t="s">
        <v>211</v>
      </c>
      <c r="AB2974" t="s">
        <v>212</v>
      </c>
      <c r="AD2974" t="s">
        <v>960</v>
      </c>
      <c r="AE2974" t="s">
        <v>215</v>
      </c>
      <c r="AF2974" t="s">
        <v>961</v>
      </c>
      <c r="AH2974" t="s">
        <v>72</v>
      </c>
      <c r="AI2974" t="s">
        <v>962</v>
      </c>
      <c r="AJ2974">
        <v>1846</v>
      </c>
      <c r="AK2974" t="s">
        <v>963</v>
      </c>
      <c r="AM2974" t="s">
        <v>964</v>
      </c>
      <c r="AN2974" t="s">
        <v>114</v>
      </c>
      <c r="AO2974">
        <v>5</v>
      </c>
      <c r="AP2974" t="s">
        <v>115</v>
      </c>
      <c r="AQ2974" t="s">
        <v>965</v>
      </c>
      <c r="AR2974" t="s">
        <v>80</v>
      </c>
      <c r="AS2974">
        <v>305</v>
      </c>
      <c r="AT2974" t="s">
        <v>81</v>
      </c>
      <c r="AU2974">
        <v>28.12</v>
      </c>
      <c r="AV2974">
        <v>28.71</v>
      </c>
      <c r="AW2974" t="s">
        <v>82</v>
      </c>
      <c r="AX2974">
        <v>305</v>
      </c>
      <c r="AY2974" t="s">
        <v>81</v>
      </c>
      <c r="AZ2974">
        <v>17.82</v>
      </c>
      <c r="BA2974">
        <v>15.3</v>
      </c>
      <c r="BB2974" t="s">
        <v>83</v>
      </c>
    </row>
    <row r="2975" spans="1:54" x14ac:dyDescent="0.4">
      <c r="A2975">
        <v>797957</v>
      </c>
      <c r="D2975" t="s">
        <v>853</v>
      </c>
      <c r="E2975" t="s">
        <v>310</v>
      </c>
      <c r="G2975">
        <v>1</v>
      </c>
      <c r="H2975" t="s">
        <v>56</v>
      </c>
      <c r="I2975" t="s">
        <v>57</v>
      </c>
      <c r="K2975" t="s">
        <v>746</v>
      </c>
      <c r="L2975" t="s">
        <v>2072</v>
      </c>
      <c r="M2975" t="s">
        <v>60</v>
      </c>
      <c r="P2975" t="s">
        <v>182</v>
      </c>
      <c r="R2975" t="s">
        <v>183</v>
      </c>
      <c r="S2975" t="s">
        <v>64</v>
      </c>
      <c r="T2975">
        <v>242</v>
      </c>
      <c r="U2975">
        <v>237</v>
      </c>
      <c r="V2975">
        <f t="shared" si="92"/>
        <v>239.5</v>
      </c>
      <c r="W2975">
        <f t="shared" si="93"/>
        <v>5</v>
      </c>
      <c r="X2975">
        <v>8.9463889999999999</v>
      </c>
      <c r="Y2975">
        <v>45.906944000000003</v>
      </c>
      <c r="Z2975" t="s">
        <v>1415</v>
      </c>
      <c r="AA2975" t="s">
        <v>226</v>
      </c>
      <c r="AB2975" t="s">
        <v>2079</v>
      </c>
      <c r="AC2975" t="s">
        <v>2080</v>
      </c>
      <c r="AD2975" t="s">
        <v>2106</v>
      </c>
      <c r="AF2975" t="s">
        <v>2107</v>
      </c>
      <c r="AH2975" t="s">
        <v>72</v>
      </c>
      <c r="AI2975" t="s">
        <v>757</v>
      </c>
      <c r="AJ2975">
        <v>1962</v>
      </c>
      <c r="AK2975" t="s">
        <v>2107</v>
      </c>
      <c r="AM2975" t="s">
        <v>2108</v>
      </c>
      <c r="AN2975" t="s">
        <v>192</v>
      </c>
      <c r="AO2975" t="s">
        <v>77</v>
      </c>
      <c r="AP2975" t="s">
        <v>115</v>
      </c>
      <c r="AQ2975" t="s">
        <v>2109</v>
      </c>
      <c r="AR2975" t="s">
        <v>80</v>
      </c>
      <c r="AS2975">
        <v>307</v>
      </c>
      <c r="AT2975" t="s">
        <v>81</v>
      </c>
      <c r="AU2975">
        <v>33.630000000000003</v>
      </c>
      <c r="AV2975">
        <v>18.02</v>
      </c>
      <c r="AW2975" t="s">
        <v>82</v>
      </c>
      <c r="AX2975">
        <v>307</v>
      </c>
      <c r="AY2975" t="s">
        <v>81</v>
      </c>
      <c r="AZ2975">
        <v>20.6</v>
      </c>
      <c r="BA2975">
        <v>7.95</v>
      </c>
      <c r="BB2975" t="s">
        <v>83</v>
      </c>
    </row>
    <row r="2976" spans="1:54" x14ac:dyDescent="0.4">
      <c r="A2976">
        <v>837002</v>
      </c>
      <c r="D2976" t="s">
        <v>2619</v>
      </c>
      <c r="E2976" t="s">
        <v>152</v>
      </c>
      <c r="G2976">
        <v>1</v>
      </c>
      <c r="H2976" t="s">
        <v>56</v>
      </c>
      <c r="I2976" t="s">
        <v>57</v>
      </c>
      <c r="K2976" t="s">
        <v>1600</v>
      </c>
      <c r="L2976" t="s">
        <v>2620</v>
      </c>
      <c r="M2976" t="s">
        <v>60</v>
      </c>
      <c r="P2976" t="s">
        <v>182</v>
      </c>
      <c r="R2976" t="s">
        <v>183</v>
      </c>
      <c r="S2976" t="s">
        <v>64</v>
      </c>
      <c r="T2976">
        <v>242</v>
      </c>
      <c r="U2976">
        <v>237</v>
      </c>
      <c r="V2976">
        <f t="shared" si="92"/>
        <v>239.5</v>
      </c>
      <c r="W2976">
        <f t="shared" si="93"/>
        <v>5</v>
      </c>
      <c r="X2976">
        <v>-52.748333000000002</v>
      </c>
      <c r="Y2976">
        <v>-29.771944000000001</v>
      </c>
      <c r="Z2976" t="s">
        <v>105</v>
      </c>
      <c r="AA2976" t="s">
        <v>783</v>
      </c>
      <c r="AB2976" t="s">
        <v>784</v>
      </c>
      <c r="AC2976" t="s">
        <v>2621</v>
      </c>
      <c r="AD2976" t="s">
        <v>943</v>
      </c>
      <c r="AE2976" t="s">
        <v>786</v>
      </c>
      <c r="AF2976" t="s">
        <v>944</v>
      </c>
      <c r="AG2976" t="s">
        <v>949</v>
      </c>
      <c r="AH2976" t="s">
        <v>72</v>
      </c>
      <c r="AI2976" t="s">
        <v>2307</v>
      </c>
      <c r="AJ2976">
        <v>2004</v>
      </c>
      <c r="AK2976" t="s">
        <v>2622</v>
      </c>
      <c r="AN2976" t="s">
        <v>76</v>
      </c>
      <c r="AO2976" t="s">
        <v>77</v>
      </c>
      <c r="AP2976" t="s">
        <v>115</v>
      </c>
      <c r="AQ2976" t="s">
        <v>2623</v>
      </c>
      <c r="AR2976" t="s">
        <v>80</v>
      </c>
      <c r="AS2976">
        <v>201</v>
      </c>
      <c r="AT2976" t="s">
        <v>81</v>
      </c>
      <c r="AU2976">
        <v>-11.6</v>
      </c>
      <c r="AV2976">
        <v>-35.31</v>
      </c>
      <c r="AW2976" t="s">
        <v>82</v>
      </c>
      <c r="AX2976">
        <v>202</v>
      </c>
      <c r="AY2976" t="s">
        <v>81</v>
      </c>
      <c r="AZ2976">
        <v>-17.3</v>
      </c>
      <c r="BA2976">
        <v>-51.84</v>
      </c>
      <c r="BB2976" t="s">
        <v>83</v>
      </c>
    </row>
    <row r="2977" spans="1:54" x14ac:dyDescent="0.4">
      <c r="A2977">
        <v>837006</v>
      </c>
      <c r="D2977" t="s">
        <v>2619</v>
      </c>
      <c r="E2977" t="s">
        <v>55</v>
      </c>
      <c r="F2977" t="s">
        <v>1283</v>
      </c>
      <c r="G2977">
        <v>1</v>
      </c>
      <c r="H2977" t="s">
        <v>56</v>
      </c>
      <c r="I2977" t="s">
        <v>57</v>
      </c>
      <c r="K2977" t="s">
        <v>1600</v>
      </c>
      <c r="L2977" t="s">
        <v>2620</v>
      </c>
      <c r="M2977" t="s">
        <v>60</v>
      </c>
      <c r="P2977" t="s">
        <v>182</v>
      </c>
      <c r="R2977" t="s">
        <v>183</v>
      </c>
      <c r="S2977" t="s">
        <v>64</v>
      </c>
      <c r="T2977">
        <v>242</v>
      </c>
      <c r="U2977">
        <v>237</v>
      </c>
      <c r="V2977">
        <f t="shared" si="92"/>
        <v>239.5</v>
      </c>
      <c r="W2977">
        <f t="shared" si="93"/>
        <v>5</v>
      </c>
      <c r="X2977">
        <v>-53.001666999999998</v>
      </c>
      <c r="Y2977">
        <v>-29.748611</v>
      </c>
      <c r="Z2977" t="s">
        <v>198</v>
      </c>
      <c r="AA2977" t="s">
        <v>783</v>
      </c>
      <c r="AB2977" t="s">
        <v>784</v>
      </c>
      <c r="AC2977" t="s">
        <v>2627</v>
      </c>
      <c r="AD2977" t="s">
        <v>943</v>
      </c>
      <c r="AE2977" t="s">
        <v>786</v>
      </c>
      <c r="AF2977" t="s">
        <v>944</v>
      </c>
      <c r="AG2977" t="s">
        <v>949</v>
      </c>
      <c r="AH2977" t="s">
        <v>72</v>
      </c>
      <c r="AI2977" t="s">
        <v>2307</v>
      </c>
      <c r="AJ2977">
        <v>2004</v>
      </c>
      <c r="AK2977" t="s">
        <v>2628</v>
      </c>
      <c r="AN2977" t="s">
        <v>76</v>
      </c>
      <c r="AO2977" t="s">
        <v>77</v>
      </c>
      <c r="AP2977" t="s">
        <v>78</v>
      </c>
      <c r="AQ2977" t="s">
        <v>2629</v>
      </c>
      <c r="AR2977" t="s">
        <v>80</v>
      </c>
      <c r="AS2977">
        <v>201</v>
      </c>
      <c r="AT2977" t="s">
        <v>81</v>
      </c>
      <c r="AU2977">
        <v>-11.87</v>
      </c>
      <c r="AV2977">
        <v>-35.28</v>
      </c>
      <c r="AW2977" t="s">
        <v>82</v>
      </c>
      <c r="AX2977">
        <v>202</v>
      </c>
      <c r="AY2977" t="s">
        <v>81</v>
      </c>
      <c r="AZ2977">
        <v>-17.649999999999999</v>
      </c>
      <c r="BA2977">
        <v>-51.82</v>
      </c>
      <c r="BB2977" t="s">
        <v>83</v>
      </c>
    </row>
    <row r="2978" spans="1:54" x14ac:dyDescent="0.4">
      <c r="A2978">
        <v>837006</v>
      </c>
      <c r="D2978" t="s">
        <v>2619</v>
      </c>
      <c r="E2978" t="s">
        <v>55</v>
      </c>
      <c r="F2978" t="s">
        <v>1283</v>
      </c>
      <c r="G2978">
        <v>1</v>
      </c>
      <c r="H2978" t="s">
        <v>56</v>
      </c>
      <c r="I2978" t="s">
        <v>57</v>
      </c>
      <c r="K2978" t="s">
        <v>1600</v>
      </c>
      <c r="L2978" t="s">
        <v>2620</v>
      </c>
      <c r="M2978" t="s">
        <v>60</v>
      </c>
      <c r="P2978" t="s">
        <v>182</v>
      </c>
      <c r="R2978" t="s">
        <v>183</v>
      </c>
      <c r="S2978" t="s">
        <v>64</v>
      </c>
      <c r="T2978">
        <v>242</v>
      </c>
      <c r="U2978">
        <v>237</v>
      </c>
      <c r="V2978">
        <f t="shared" si="92"/>
        <v>239.5</v>
      </c>
      <c r="W2978">
        <f t="shared" si="93"/>
        <v>5</v>
      </c>
      <c r="X2978">
        <v>-53.001666999999998</v>
      </c>
      <c r="Y2978">
        <v>-29.748611</v>
      </c>
      <c r="Z2978" t="s">
        <v>198</v>
      </c>
      <c r="AA2978" t="s">
        <v>783</v>
      </c>
      <c r="AB2978" t="s">
        <v>784</v>
      </c>
      <c r="AC2978" t="s">
        <v>2627</v>
      </c>
      <c r="AD2978" t="s">
        <v>943</v>
      </c>
      <c r="AE2978" t="s">
        <v>786</v>
      </c>
      <c r="AF2978" t="s">
        <v>944</v>
      </c>
      <c r="AG2978" t="s">
        <v>949</v>
      </c>
      <c r="AH2978" t="s">
        <v>72</v>
      </c>
      <c r="AI2978" t="s">
        <v>2307</v>
      </c>
      <c r="AJ2978">
        <v>2004</v>
      </c>
      <c r="AK2978" t="s">
        <v>2628</v>
      </c>
      <c r="AN2978" t="s">
        <v>76</v>
      </c>
      <c r="AO2978" t="s">
        <v>77</v>
      </c>
      <c r="AP2978" t="s">
        <v>78</v>
      </c>
      <c r="AQ2978" t="s">
        <v>2629</v>
      </c>
      <c r="AR2978" t="s">
        <v>80</v>
      </c>
      <c r="AS2978">
        <v>201</v>
      </c>
      <c r="AT2978" t="s">
        <v>81</v>
      </c>
      <c r="AU2978">
        <v>-11.87</v>
      </c>
      <c r="AV2978">
        <v>-35.28</v>
      </c>
      <c r="AW2978" t="s">
        <v>82</v>
      </c>
      <c r="AX2978">
        <v>202</v>
      </c>
      <c r="AY2978" t="s">
        <v>81</v>
      </c>
      <c r="AZ2978">
        <v>-17.649999999999999</v>
      </c>
      <c r="BA2978">
        <v>-51.82</v>
      </c>
      <c r="BB2978" t="s">
        <v>83</v>
      </c>
    </row>
    <row r="2979" spans="1:54" x14ac:dyDescent="0.4">
      <c r="A2979">
        <v>877690</v>
      </c>
      <c r="D2979" t="s">
        <v>54</v>
      </c>
      <c r="G2979">
        <v>3</v>
      </c>
      <c r="H2979" t="s">
        <v>84</v>
      </c>
      <c r="I2979" t="s">
        <v>57</v>
      </c>
      <c r="K2979" t="s">
        <v>1873</v>
      </c>
      <c r="L2979" t="s">
        <v>1874</v>
      </c>
      <c r="M2979" t="s">
        <v>60</v>
      </c>
      <c r="P2979" t="s">
        <v>182</v>
      </c>
      <c r="R2979" t="s">
        <v>183</v>
      </c>
      <c r="S2979" t="s">
        <v>64</v>
      </c>
      <c r="T2979">
        <v>242</v>
      </c>
      <c r="U2979">
        <v>237</v>
      </c>
      <c r="V2979">
        <f t="shared" si="92"/>
        <v>239.5</v>
      </c>
      <c r="W2979">
        <f t="shared" si="93"/>
        <v>5</v>
      </c>
      <c r="X2979">
        <v>55.494446000000003</v>
      </c>
      <c r="Y2979">
        <v>51.450001</v>
      </c>
      <c r="Z2979" t="s">
        <v>184</v>
      </c>
      <c r="AA2979" t="s">
        <v>239</v>
      </c>
      <c r="AB2979" t="s">
        <v>638</v>
      </c>
      <c r="AC2979" t="s">
        <v>2791</v>
      </c>
      <c r="AD2979" t="s">
        <v>1875</v>
      </c>
      <c r="AG2979" t="s">
        <v>1876</v>
      </c>
      <c r="AH2979" t="s">
        <v>72</v>
      </c>
      <c r="AI2979" t="s">
        <v>1877</v>
      </c>
      <c r="AJ2979">
        <v>2000</v>
      </c>
      <c r="AK2979" t="s">
        <v>3218</v>
      </c>
      <c r="AM2979" t="s">
        <v>3219</v>
      </c>
      <c r="AN2979" t="s">
        <v>192</v>
      </c>
      <c r="AO2979" t="s">
        <v>160</v>
      </c>
      <c r="AP2979" t="s">
        <v>78</v>
      </c>
      <c r="AQ2979" t="s">
        <v>3220</v>
      </c>
      <c r="AR2979" t="s">
        <v>80</v>
      </c>
      <c r="AS2979">
        <v>302</v>
      </c>
      <c r="AT2979" t="s">
        <v>81</v>
      </c>
      <c r="AU2979">
        <v>59.59</v>
      </c>
      <c r="AV2979">
        <v>42.6</v>
      </c>
      <c r="AW2979" t="s">
        <v>82</v>
      </c>
      <c r="AX2979">
        <v>301</v>
      </c>
      <c r="AY2979" t="s">
        <v>81</v>
      </c>
      <c r="AZ2979">
        <v>41</v>
      </c>
      <c r="BA2979">
        <v>35.369999999999997</v>
      </c>
      <c r="BB2979" t="s">
        <v>83</v>
      </c>
    </row>
    <row r="2980" spans="1:54" x14ac:dyDescent="0.4">
      <c r="A2980">
        <v>877792</v>
      </c>
      <c r="D2980" t="s">
        <v>54</v>
      </c>
      <c r="I2980" t="s">
        <v>57</v>
      </c>
      <c r="K2980" t="s">
        <v>1873</v>
      </c>
      <c r="L2980" t="s">
        <v>1874</v>
      </c>
      <c r="M2980" t="s">
        <v>60</v>
      </c>
      <c r="P2980" t="s">
        <v>182</v>
      </c>
      <c r="R2980" t="s">
        <v>183</v>
      </c>
      <c r="S2980" t="s">
        <v>64</v>
      </c>
      <c r="T2980">
        <v>242</v>
      </c>
      <c r="U2980">
        <v>237</v>
      </c>
      <c r="V2980">
        <f t="shared" si="92"/>
        <v>239.5</v>
      </c>
      <c r="W2980">
        <f t="shared" si="93"/>
        <v>5</v>
      </c>
      <c r="X2980">
        <v>55.513888999999999</v>
      </c>
      <c r="Y2980">
        <v>51.447223999999999</v>
      </c>
      <c r="Z2980" t="s">
        <v>124</v>
      </c>
      <c r="AA2980" t="s">
        <v>239</v>
      </c>
      <c r="AB2980" t="s">
        <v>638</v>
      </c>
      <c r="AC2980" t="s">
        <v>2791</v>
      </c>
      <c r="AD2980" t="s">
        <v>1875</v>
      </c>
      <c r="AG2980" t="s">
        <v>1876</v>
      </c>
      <c r="AH2980" t="s">
        <v>72</v>
      </c>
      <c r="AI2980" t="s">
        <v>1877</v>
      </c>
      <c r="AJ2980">
        <v>2000</v>
      </c>
      <c r="AK2980" t="s">
        <v>3222</v>
      </c>
      <c r="AN2980" t="s">
        <v>192</v>
      </c>
      <c r="AO2980" t="s">
        <v>77</v>
      </c>
      <c r="AP2980" t="s">
        <v>78</v>
      </c>
      <c r="AQ2980" t="s">
        <v>3223</v>
      </c>
      <c r="AR2980" t="s">
        <v>80</v>
      </c>
      <c r="AS2980">
        <v>302</v>
      </c>
      <c r="AT2980" t="s">
        <v>81</v>
      </c>
      <c r="AU2980">
        <v>59.61</v>
      </c>
      <c r="AV2980">
        <v>42.61</v>
      </c>
      <c r="AW2980" t="s">
        <v>82</v>
      </c>
      <c r="AX2980">
        <v>301</v>
      </c>
      <c r="AY2980" t="s">
        <v>81</v>
      </c>
      <c r="AZ2980">
        <v>41.01</v>
      </c>
      <c r="BA2980">
        <v>35.380000000000003</v>
      </c>
      <c r="BB2980" t="s">
        <v>83</v>
      </c>
    </row>
    <row r="2981" spans="1:54" x14ac:dyDescent="0.4">
      <c r="A2981">
        <v>877798</v>
      </c>
      <c r="D2981" t="s">
        <v>54</v>
      </c>
      <c r="G2981">
        <v>5</v>
      </c>
      <c r="H2981" t="s">
        <v>421</v>
      </c>
      <c r="I2981" t="s">
        <v>57</v>
      </c>
      <c r="K2981" t="s">
        <v>1957</v>
      </c>
      <c r="L2981" t="s">
        <v>3224</v>
      </c>
      <c r="M2981" t="s">
        <v>60</v>
      </c>
      <c r="P2981" t="s">
        <v>182</v>
      </c>
      <c r="R2981" t="s">
        <v>183</v>
      </c>
      <c r="S2981" t="s">
        <v>64</v>
      </c>
      <c r="T2981">
        <v>242</v>
      </c>
      <c r="U2981">
        <v>237</v>
      </c>
      <c r="V2981">
        <f t="shared" si="92"/>
        <v>239.5</v>
      </c>
      <c r="W2981">
        <f t="shared" si="93"/>
        <v>5</v>
      </c>
      <c r="X2981">
        <v>55.516666000000001</v>
      </c>
      <c r="Y2981">
        <v>51.438889000000003</v>
      </c>
      <c r="Z2981" t="s">
        <v>432</v>
      </c>
      <c r="AA2981" t="s">
        <v>239</v>
      </c>
      <c r="AB2981" t="s">
        <v>638</v>
      </c>
      <c r="AC2981" t="s">
        <v>2791</v>
      </c>
      <c r="AD2981" t="s">
        <v>1875</v>
      </c>
      <c r="AG2981" t="s">
        <v>1876</v>
      </c>
      <c r="AH2981" t="s">
        <v>72</v>
      </c>
      <c r="AI2981" t="s">
        <v>2811</v>
      </c>
      <c r="AJ2981">
        <v>1986</v>
      </c>
      <c r="AK2981" t="s">
        <v>3225</v>
      </c>
      <c r="AM2981" t="s">
        <v>3226</v>
      </c>
      <c r="AN2981" t="s">
        <v>192</v>
      </c>
      <c r="AO2981" t="s">
        <v>77</v>
      </c>
      <c r="AP2981" t="s">
        <v>78</v>
      </c>
      <c r="AQ2981" t="s">
        <v>3227</v>
      </c>
      <c r="AR2981" t="s">
        <v>80</v>
      </c>
      <c r="AS2981">
        <v>302</v>
      </c>
      <c r="AT2981" t="s">
        <v>81</v>
      </c>
      <c r="AU2981">
        <v>59.62</v>
      </c>
      <c r="AV2981">
        <v>42.6</v>
      </c>
      <c r="AW2981" t="s">
        <v>82</v>
      </c>
      <c r="AX2981">
        <v>301</v>
      </c>
      <c r="AY2981" t="s">
        <v>81</v>
      </c>
      <c r="AZ2981">
        <v>41.02</v>
      </c>
      <c r="BA2981">
        <v>35.369999999999997</v>
      </c>
      <c r="BB2981" t="s">
        <v>83</v>
      </c>
    </row>
    <row r="2982" spans="1:54" x14ac:dyDescent="0.4">
      <c r="A2982">
        <v>877799</v>
      </c>
      <c r="D2982" t="s">
        <v>54</v>
      </c>
      <c r="I2982" t="s">
        <v>57</v>
      </c>
      <c r="K2982" t="s">
        <v>1873</v>
      </c>
      <c r="L2982" t="s">
        <v>1874</v>
      </c>
      <c r="M2982" t="s">
        <v>60</v>
      </c>
      <c r="P2982" t="s">
        <v>182</v>
      </c>
      <c r="R2982" t="s">
        <v>183</v>
      </c>
      <c r="S2982" t="s">
        <v>64</v>
      </c>
      <c r="T2982">
        <v>242</v>
      </c>
      <c r="U2982">
        <v>237</v>
      </c>
      <c r="V2982">
        <f t="shared" si="92"/>
        <v>239.5</v>
      </c>
      <c r="W2982">
        <f t="shared" si="93"/>
        <v>5</v>
      </c>
      <c r="X2982">
        <v>55.516666000000001</v>
      </c>
      <c r="Y2982">
        <v>51.438889000000003</v>
      </c>
      <c r="Z2982" t="s">
        <v>432</v>
      </c>
      <c r="AA2982" t="s">
        <v>239</v>
      </c>
      <c r="AB2982" t="s">
        <v>638</v>
      </c>
      <c r="AC2982" t="s">
        <v>2791</v>
      </c>
      <c r="AD2982" t="s">
        <v>1875</v>
      </c>
      <c r="AG2982" t="s">
        <v>1876</v>
      </c>
      <c r="AH2982" t="s">
        <v>72</v>
      </c>
      <c r="AI2982" t="s">
        <v>1937</v>
      </c>
      <c r="AJ2982">
        <v>2003</v>
      </c>
      <c r="AK2982" t="s">
        <v>3225</v>
      </c>
      <c r="AM2982" t="s">
        <v>3226</v>
      </c>
      <c r="AN2982" t="s">
        <v>192</v>
      </c>
      <c r="AO2982" t="s">
        <v>77</v>
      </c>
      <c r="AP2982" t="s">
        <v>78</v>
      </c>
      <c r="AQ2982" t="s">
        <v>3227</v>
      </c>
      <c r="AR2982" t="s">
        <v>80</v>
      </c>
      <c r="AS2982">
        <v>302</v>
      </c>
      <c r="AT2982" t="s">
        <v>81</v>
      </c>
      <c r="AU2982">
        <v>59.62</v>
      </c>
      <c r="AV2982">
        <v>42.6</v>
      </c>
      <c r="AW2982" t="s">
        <v>82</v>
      </c>
      <c r="AX2982">
        <v>301</v>
      </c>
      <c r="AY2982" t="s">
        <v>81</v>
      </c>
      <c r="AZ2982">
        <v>41.02</v>
      </c>
      <c r="BA2982">
        <v>35.369999999999997</v>
      </c>
      <c r="BB2982" t="s">
        <v>83</v>
      </c>
    </row>
    <row r="2983" spans="1:54" x14ac:dyDescent="0.4">
      <c r="A2983">
        <v>877800</v>
      </c>
      <c r="D2983" t="s">
        <v>54</v>
      </c>
      <c r="G2983">
        <v>24</v>
      </c>
      <c r="H2983" t="s">
        <v>421</v>
      </c>
      <c r="I2983" t="s">
        <v>57</v>
      </c>
      <c r="K2983" t="s">
        <v>196</v>
      </c>
      <c r="L2983" t="s">
        <v>1881</v>
      </c>
      <c r="M2983" t="s">
        <v>60</v>
      </c>
      <c r="O2983" t="s">
        <v>87</v>
      </c>
      <c r="P2983" t="s">
        <v>182</v>
      </c>
      <c r="R2983" t="s">
        <v>183</v>
      </c>
      <c r="S2983" t="s">
        <v>64</v>
      </c>
      <c r="T2983">
        <v>242</v>
      </c>
      <c r="U2983">
        <v>237</v>
      </c>
      <c r="V2983">
        <f t="shared" si="92"/>
        <v>239.5</v>
      </c>
      <c r="W2983">
        <f t="shared" si="93"/>
        <v>5</v>
      </c>
      <c r="X2983">
        <v>55.516666000000001</v>
      </c>
      <c r="Y2983">
        <v>51.438889000000003</v>
      </c>
      <c r="Z2983" t="s">
        <v>432</v>
      </c>
      <c r="AA2983" t="s">
        <v>239</v>
      </c>
      <c r="AB2983" t="s">
        <v>638</v>
      </c>
      <c r="AC2983" t="s">
        <v>2791</v>
      </c>
      <c r="AD2983" t="s">
        <v>1875</v>
      </c>
      <c r="AG2983" t="s">
        <v>1876</v>
      </c>
      <c r="AH2983" t="s">
        <v>72</v>
      </c>
      <c r="AI2983" t="s">
        <v>2811</v>
      </c>
      <c r="AJ2983">
        <v>1986</v>
      </c>
      <c r="AK2983" t="s">
        <v>3225</v>
      </c>
      <c r="AM2983" t="s">
        <v>3226</v>
      </c>
      <c r="AN2983" t="s">
        <v>192</v>
      </c>
      <c r="AO2983" t="s">
        <v>77</v>
      </c>
      <c r="AP2983" t="s">
        <v>78</v>
      </c>
      <c r="AQ2983" t="s">
        <v>3227</v>
      </c>
      <c r="AR2983" t="s">
        <v>80</v>
      </c>
      <c r="AS2983">
        <v>302</v>
      </c>
      <c r="AT2983" t="s">
        <v>81</v>
      </c>
      <c r="AU2983">
        <v>59.62</v>
      </c>
      <c r="AV2983">
        <v>42.6</v>
      </c>
      <c r="AW2983" t="s">
        <v>82</v>
      </c>
      <c r="AX2983">
        <v>301</v>
      </c>
      <c r="AY2983" t="s">
        <v>81</v>
      </c>
      <c r="AZ2983">
        <v>41.02</v>
      </c>
      <c r="BA2983">
        <v>35.369999999999997</v>
      </c>
      <c r="BB2983" t="s">
        <v>83</v>
      </c>
    </row>
    <row r="2984" spans="1:54" x14ac:dyDescent="0.4">
      <c r="A2984">
        <v>882311</v>
      </c>
      <c r="D2984" t="s">
        <v>54</v>
      </c>
      <c r="E2984" t="s">
        <v>152</v>
      </c>
      <c r="G2984">
        <v>1</v>
      </c>
      <c r="H2984" t="s">
        <v>84</v>
      </c>
      <c r="I2984" t="s">
        <v>57</v>
      </c>
      <c r="K2984" t="s">
        <v>556</v>
      </c>
      <c r="L2984" t="s">
        <v>557</v>
      </c>
      <c r="M2984" t="s">
        <v>223</v>
      </c>
      <c r="N2984" t="s">
        <v>234</v>
      </c>
      <c r="O2984" t="s">
        <v>87</v>
      </c>
      <c r="P2984" t="s">
        <v>182</v>
      </c>
      <c r="R2984" t="s">
        <v>183</v>
      </c>
      <c r="S2984" t="s">
        <v>64</v>
      </c>
      <c r="T2984">
        <v>242</v>
      </c>
      <c r="U2984">
        <v>237</v>
      </c>
      <c r="V2984">
        <f t="shared" si="92"/>
        <v>239.5</v>
      </c>
      <c r="W2984">
        <f t="shared" si="93"/>
        <v>5</v>
      </c>
      <c r="X2984">
        <v>13.06</v>
      </c>
      <c r="Y2984">
        <v>47.666668000000001</v>
      </c>
      <c r="Z2984" t="s">
        <v>1596</v>
      </c>
      <c r="AA2984" t="s">
        <v>211</v>
      </c>
      <c r="AB2984" t="s">
        <v>3308</v>
      </c>
      <c r="AC2984" t="s">
        <v>3309</v>
      </c>
      <c r="AD2984" t="s">
        <v>3310</v>
      </c>
      <c r="AE2984" t="s">
        <v>3311</v>
      </c>
      <c r="AH2984" t="s">
        <v>72</v>
      </c>
      <c r="AI2984" t="s">
        <v>3312</v>
      </c>
      <c r="AJ2984">
        <v>2003</v>
      </c>
      <c r="AK2984" t="s">
        <v>3313</v>
      </c>
      <c r="AN2984" t="s">
        <v>76</v>
      </c>
      <c r="AO2984" t="s">
        <v>77</v>
      </c>
      <c r="AP2984" t="s">
        <v>78</v>
      </c>
      <c r="AQ2984" t="s">
        <v>3314</v>
      </c>
      <c r="AR2984" t="s">
        <v>80</v>
      </c>
      <c r="AS2984">
        <v>307</v>
      </c>
      <c r="AT2984" t="s">
        <v>81</v>
      </c>
      <c r="AU2984">
        <v>36.630000000000003</v>
      </c>
      <c r="AV2984">
        <v>16.34</v>
      </c>
      <c r="AW2984" t="s">
        <v>82</v>
      </c>
      <c r="AX2984">
        <v>307</v>
      </c>
      <c r="AY2984" t="s">
        <v>81</v>
      </c>
      <c r="AZ2984">
        <v>23.95</v>
      </c>
      <c r="BA2984">
        <v>7.75</v>
      </c>
      <c r="BB2984" t="s">
        <v>83</v>
      </c>
    </row>
    <row r="2985" spans="1:54" x14ac:dyDescent="0.4">
      <c r="A2985">
        <v>892977</v>
      </c>
      <c r="D2985" t="s">
        <v>54</v>
      </c>
      <c r="E2985" t="s">
        <v>310</v>
      </c>
      <c r="F2985" t="s">
        <v>2523</v>
      </c>
      <c r="G2985">
        <v>1</v>
      </c>
      <c r="H2985" t="s">
        <v>56</v>
      </c>
      <c r="I2985" t="s">
        <v>57</v>
      </c>
      <c r="K2985" t="s">
        <v>771</v>
      </c>
      <c r="L2985" t="s">
        <v>3368</v>
      </c>
      <c r="M2985" t="s">
        <v>223</v>
      </c>
      <c r="P2985" t="s">
        <v>182</v>
      </c>
      <c r="R2985" t="s">
        <v>183</v>
      </c>
      <c r="S2985" t="s">
        <v>64</v>
      </c>
      <c r="T2985">
        <v>242</v>
      </c>
      <c r="U2985">
        <v>237</v>
      </c>
      <c r="V2985">
        <f t="shared" si="92"/>
        <v>239.5</v>
      </c>
      <c r="W2985">
        <f t="shared" si="93"/>
        <v>5</v>
      </c>
      <c r="X2985">
        <v>104.883331</v>
      </c>
      <c r="Y2985">
        <v>25.083331999999999</v>
      </c>
      <c r="Z2985" t="s">
        <v>520</v>
      </c>
      <c r="AA2985" t="s">
        <v>379</v>
      </c>
      <c r="AB2985" t="s">
        <v>682</v>
      </c>
      <c r="AD2985" t="s">
        <v>3251</v>
      </c>
      <c r="AF2985" t="s">
        <v>3260</v>
      </c>
      <c r="AH2985" t="s">
        <v>72</v>
      </c>
      <c r="AI2985" t="s">
        <v>1810</v>
      </c>
      <c r="AJ2985">
        <v>2002</v>
      </c>
      <c r="AK2985" t="s">
        <v>3369</v>
      </c>
      <c r="AN2985" t="s">
        <v>341</v>
      </c>
      <c r="AO2985" t="s">
        <v>160</v>
      </c>
      <c r="AP2985" t="s">
        <v>115</v>
      </c>
      <c r="AR2985" t="s">
        <v>80</v>
      </c>
      <c r="AS2985">
        <v>611</v>
      </c>
      <c r="AT2985" t="s">
        <v>81</v>
      </c>
      <c r="AU2985">
        <v>108.36</v>
      </c>
      <c r="AV2985">
        <v>-8</v>
      </c>
      <c r="AW2985" t="s">
        <v>82</v>
      </c>
      <c r="AX2985">
        <v>611</v>
      </c>
      <c r="AY2985" t="s">
        <v>81</v>
      </c>
      <c r="AZ2985">
        <v>94.18</v>
      </c>
      <c r="BA2985">
        <v>16.25</v>
      </c>
      <c r="BB2985" t="s">
        <v>83</v>
      </c>
    </row>
    <row r="2986" spans="1:54" x14ac:dyDescent="0.4">
      <c r="A2986">
        <v>895292</v>
      </c>
      <c r="D2986" t="s">
        <v>2619</v>
      </c>
      <c r="E2986" t="s">
        <v>55</v>
      </c>
      <c r="F2986" t="s">
        <v>1283</v>
      </c>
      <c r="G2986">
        <v>1</v>
      </c>
      <c r="H2986" t="s">
        <v>56</v>
      </c>
      <c r="I2986" t="s">
        <v>57</v>
      </c>
      <c r="K2986" t="s">
        <v>141</v>
      </c>
      <c r="L2986" t="s">
        <v>3387</v>
      </c>
      <c r="M2986" t="s">
        <v>60</v>
      </c>
      <c r="P2986" t="s">
        <v>182</v>
      </c>
      <c r="R2986" t="s">
        <v>183</v>
      </c>
      <c r="S2986" t="s">
        <v>64</v>
      </c>
      <c r="T2986">
        <v>242</v>
      </c>
      <c r="U2986">
        <v>237</v>
      </c>
      <c r="V2986">
        <f t="shared" si="92"/>
        <v>239.5</v>
      </c>
      <c r="W2986">
        <f t="shared" si="93"/>
        <v>5</v>
      </c>
      <c r="X2986">
        <v>-53.001666999999998</v>
      </c>
      <c r="Y2986">
        <v>-29.748611</v>
      </c>
      <c r="Z2986" t="s">
        <v>198</v>
      </c>
      <c r="AA2986" t="s">
        <v>783</v>
      </c>
      <c r="AB2986" t="s">
        <v>784</v>
      </c>
      <c r="AC2986" t="s">
        <v>2627</v>
      </c>
      <c r="AD2986" t="s">
        <v>943</v>
      </c>
      <c r="AE2986" t="s">
        <v>786</v>
      </c>
      <c r="AF2986" t="s">
        <v>944</v>
      </c>
      <c r="AG2986" t="s">
        <v>949</v>
      </c>
      <c r="AH2986" t="s">
        <v>72</v>
      </c>
      <c r="AI2986" t="s">
        <v>3388</v>
      </c>
      <c r="AJ2986">
        <v>1987</v>
      </c>
      <c r="AK2986" t="s">
        <v>2628</v>
      </c>
      <c r="AN2986" t="s">
        <v>76</v>
      </c>
      <c r="AO2986" t="s">
        <v>77</v>
      </c>
      <c r="AP2986" t="s">
        <v>78</v>
      </c>
      <c r="AQ2986" t="s">
        <v>2629</v>
      </c>
      <c r="AR2986" t="s">
        <v>80</v>
      </c>
      <c r="AS2986">
        <v>201</v>
      </c>
      <c r="AT2986" t="s">
        <v>81</v>
      </c>
      <c r="AU2986">
        <v>-11.87</v>
      </c>
      <c r="AV2986">
        <v>-35.28</v>
      </c>
      <c r="AW2986" t="s">
        <v>82</v>
      </c>
      <c r="AX2986">
        <v>202</v>
      </c>
      <c r="AY2986" t="s">
        <v>81</v>
      </c>
      <c r="AZ2986">
        <v>-17.649999999999999</v>
      </c>
      <c r="BA2986">
        <v>-51.82</v>
      </c>
      <c r="BB2986" t="s">
        <v>83</v>
      </c>
    </row>
    <row r="2987" spans="1:54" x14ac:dyDescent="0.4">
      <c r="A2987">
        <v>895629</v>
      </c>
      <c r="D2987" t="s">
        <v>54</v>
      </c>
      <c r="E2987" t="s">
        <v>152</v>
      </c>
      <c r="G2987">
        <v>3</v>
      </c>
      <c r="H2987" t="s">
        <v>84</v>
      </c>
      <c r="I2987" t="s">
        <v>57</v>
      </c>
      <c r="K2987" t="s">
        <v>802</v>
      </c>
      <c r="L2987" t="s">
        <v>803</v>
      </c>
      <c r="M2987" t="s">
        <v>223</v>
      </c>
      <c r="N2987" t="s">
        <v>234</v>
      </c>
      <c r="O2987" t="s">
        <v>87</v>
      </c>
      <c r="P2987" t="s">
        <v>182</v>
      </c>
      <c r="R2987" t="s">
        <v>183</v>
      </c>
      <c r="S2987" t="s">
        <v>64</v>
      </c>
      <c r="T2987">
        <v>242</v>
      </c>
      <c r="U2987">
        <v>237</v>
      </c>
      <c r="V2987">
        <f t="shared" si="92"/>
        <v>239.5</v>
      </c>
      <c r="W2987">
        <f t="shared" si="93"/>
        <v>5</v>
      </c>
      <c r="X2987">
        <v>12.666667</v>
      </c>
      <c r="Y2987">
        <v>46.383330999999998</v>
      </c>
      <c r="Z2987" t="s">
        <v>1596</v>
      </c>
      <c r="AA2987" t="s">
        <v>593</v>
      </c>
      <c r="AB2987" t="s">
        <v>595</v>
      </c>
      <c r="AD2987" t="s">
        <v>3410</v>
      </c>
      <c r="AH2987" t="s">
        <v>11</v>
      </c>
      <c r="AI2987" t="s">
        <v>3394</v>
      </c>
      <c r="AJ2987">
        <v>2002</v>
      </c>
      <c r="AK2987" t="s">
        <v>3411</v>
      </c>
      <c r="AN2987" t="s">
        <v>192</v>
      </c>
      <c r="AO2987" t="s">
        <v>160</v>
      </c>
      <c r="AP2987" t="s">
        <v>115</v>
      </c>
      <c r="AQ2987" t="s">
        <v>3412</v>
      </c>
      <c r="AR2987" t="s">
        <v>80</v>
      </c>
      <c r="AS2987">
        <v>307</v>
      </c>
      <c r="AT2987" t="s">
        <v>81</v>
      </c>
      <c r="AU2987">
        <v>35.32</v>
      </c>
      <c r="AV2987">
        <v>15.96</v>
      </c>
      <c r="AW2987" t="s">
        <v>82</v>
      </c>
      <c r="AX2987">
        <v>307</v>
      </c>
      <c r="AY2987" t="s">
        <v>81</v>
      </c>
      <c r="AZ2987">
        <v>23</v>
      </c>
      <c r="BA2987">
        <v>6.84</v>
      </c>
      <c r="BB2987" t="s">
        <v>83</v>
      </c>
    </row>
    <row r="2988" spans="1:54" x14ac:dyDescent="0.4">
      <c r="A2988">
        <v>895947</v>
      </c>
      <c r="D2988" t="s">
        <v>54</v>
      </c>
      <c r="E2988" t="s">
        <v>152</v>
      </c>
      <c r="G2988">
        <v>1</v>
      </c>
      <c r="H2988" t="s">
        <v>84</v>
      </c>
      <c r="I2988" t="s">
        <v>57</v>
      </c>
      <c r="K2988" t="s">
        <v>141</v>
      </c>
      <c r="L2988" t="s">
        <v>948</v>
      </c>
      <c r="M2988" t="s">
        <v>60</v>
      </c>
      <c r="P2988" t="s">
        <v>182</v>
      </c>
      <c r="R2988" t="s">
        <v>183</v>
      </c>
      <c r="S2988" t="s">
        <v>64</v>
      </c>
      <c r="T2988">
        <v>242</v>
      </c>
      <c r="U2988">
        <v>237</v>
      </c>
      <c r="V2988">
        <f t="shared" si="92"/>
        <v>239.5</v>
      </c>
      <c r="W2988">
        <f t="shared" si="93"/>
        <v>5</v>
      </c>
      <c r="X2988">
        <v>-54.366698999999997</v>
      </c>
      <c r="Y2988">
        <v>-29.666699999999999</v>
      </c>
      <c r="Z2988" t="s">
        <v>124</v>
      </c>
      <c r="AA2988" t="s">
        <v>783</v>
      </c>
      <c r="AB2988" t="s">
        <v>784</v>
      </c>
      <c r="AD2988" t="s">
        <v>943</v>
      </c>
      <c r="AE2988" t="s">
        <v>786</v>
      </c>
      <c r="AG2988" t="s">
        <v>949</v>
      </c>
      <c r="AH2988" t="s">
        <v>72</v>
      </c>
      <c r="AI2988" t="s">
        <v>693</v>
      </c>
      <c r="AJ2988">
        <v>1942</v>
      </c>
      <c r="AK2988" t="s">
        <v>3413</v>
      </c>
      <c r="AN2988" t="s">
        <v>114</v>
      </c>
      <c r="AO2988">
        <v>4</v>
      </c>
      <c r="AP2988" t="s">
        <v>115</v>
      </c>
      <c r="AQ2988" t="s">
        <v>3414</v>
      </c>
      <c r="AR2988" t="s">
        <v>80</v>
      </c>
      <c r="AS2988">
        <v>201</v>
      </c>
      <c r="AT2988" t="s">
        <v>81</v>
      </c>
      <c r="AU2988">
        <v>-13.32</v>
      </c>
      <c r="AV2988">
        <v>-35.17</v>
      </c>
      <c r="AW2988" t="s">
        <v>82</v>
      </c>
      <c r="AX2988">
        <v>202</v>
      </c>
      <c r="AY2988" t="s">
        <v>81</v>
      </c>
      <c r="AZ2988">
        <v>-19.57</v>
      </c>
      <c r="BA2988">
        <v>-51.75</v>
      </c>
      <c r="BB2988" t="s">
        <v>83</v>
      </c>
    </row>
    <row r="2989" spans="1:54" x14ac:dyDescent="0.4">
      <c r="A2989">
        <v>896139</v>
      </c>
      <c r="D2989" t="s">
        <v>54</v>
      </c>
      <c r="E2989" t="s">
        <v>152</v>
      </c>
      <c r="G2989">
        <v>3</v>
      </c>
      <c r="H2989" t="s">
        <v>421</v>
      </c>
      <c r="I2989" t="s">
        <v>57</v>
      </c>
      <c r="K2989" t="s">
        <v>141</v>
      </c>
      <c r="L2989" t="s">
        <v>1442</v>
      </c>
      <c r="M2989" t="s">
        <v>60</v>
      </c>
      <c r="O2989" t="s">
        <v>87</v>
      </c>
      <c r="P2989" t="s">
        <v>182</v>
      </c>
      <c r="R2989" t="s">
        <v>183</v>
      </c>
      <c r="S2989" t="s">
        <v>64</v>
      </c>
      <c r="T2989">
        <v>242</v>
      </c>
      <c r="U2989">
        <v>237</v>
      </c>
      <c r="V2989">
        <f t="shared" si="92"/>
        <v>239.5</v>
      </c>
      <c r="W2989">
        <f t="shared" si="93"/>
        <v>5</v>
      </c>
      <c r="X2989">
        <v>-54.366698999999997</v>
      </c>
      <c r="Y2989">
        <v>-29.666699999999999</v>
      </c>
      <c r="Z2989" t="s">
        <v>124</v>
      </c>
      <c r="AA2989" t="s">
        <v>783</v>
      </c>
      <c r="AB2989" t="s">
        <v>784</v>
      </c>
      <c r="AD2989" t="s">
        <v>943</v>
      </c>
      <c r="AE2989" t="s">
        <v>786</v>
      </c>
      <c r="AG2989" t="s">
        <v>949</v>
      </c>
      <c r="AH2989" t="s">
        <v>72</v>
      </c>
      <c r="AI2989" t="s">
        <v>693</v>
      </c>
      <c r="AJ2989">
        <v>1942</v>
      </c>
      <c r="AK2989" t="s">
        <v>3415</v>
      </c>
      <c r="AN2989" t="s">
        <v>114</v>
      </c>
      <c r="AO2989">
        <v>4</v>
      </c>
      <c r="AP2989" t="s">
        <v>115</v>
      </c>
      <c r="AQ2989" t="s">
        <v>3416</v>
      </c>
      <c r="AR2989" t="s">
        <v>80</v>
      </c>
      <c r="AS2989">
        <v>201</v>
      </c>
      <c r="AT2989" t="s">
        <v>81</v>
      </c>
      <c r="AU2989">
        <v>-13.32</v>
      </c>
      <c r="AV2989">
        <v>-35.17</v>
      </c>
      <c r="AW2989" t="s">
        <v>82</v>
      </c>
      <c r="AX2989">
        <v>202</v>
      </c>
      <c r="AY2989" t="s">
        <v>81</v>
      </c>
      <c r="AZ2989">
        <v>-19.57</v>
      </c>
      <c r="BA2989">
        <v>-51.75</v>
      </c>
      <c r="BB2989" t="s">
        <v>83</v>
      </c>
    </row>
    <row r="2990" spans="1:54" x14ac:dyDescent="0.4">
      <c r="A2990">
        <v>896140</v>
      </c>
      <c r="D2990" t="s">
        <v>54</v>
      </c>
      <c r="E2990" t="s">
        <v>152</v>
      </c>
      <c r="I2990" t="s">
        <v>57</v>
      </c>
      <c r="K2990" t="s">
        <v>141</v>
      </c>
      <c r="L2990" t="s">
        <v>1442</v>
      </c>
      <c r="M2990" t="s">
        <v>60</v>
      </c>
      <c r="O2990" t="s">
        <v>87</v>
      </c>
      <c r="P2990" t="s">
        <v>182</v>
      </c>
      <c r="R2990" t="s">
        <v>183</v>
      </c>
      <c r="S2990" t="s">
        <v>64</v>
      </c>
      <c r="T2990">
        <v>242</v>
      </c>
      <c r="U2990">
        <v>237</v>
      </c>
      <c r="V2990">
        <f t="shared" si="92"/>
        <v>239.5</v>
      </c>
      <c r="W2990">
        <f t="shared" si="93"/>
        <v>5</v>
      </c>
      <c r="X2990">
        <v>-54.366698999999997</v>
      </c>
      <c r="Y2990">
        <v>-29.666699999999999</v>
      </c>
      <c r="Z2990" t="s">
        <v>124</v>
      </c>
      <c r="AA2990" t="s">
        <v>783</v>
      </c>
      <c r="AB2990" t="s">
        <v>784</v>
      </c>
      <c r="AD2990" t="s">
        <v>943</v>
      </c>
      <c r="AE2990" t="s">
        <v>786</v>
      </c>
      <c r="AG2990" t="s">
        <v>949</v>
      </c>
      <c r="AH2990" t="s">
        <v>72</v>
      </c>
      <c r="AI2990" t="s">
        <v>693</v>
      </c>
      <c r="AJ2990">
        <v>1942</v>
      </c>
      <c r="AK2990" t="s">
        <v>3417</v>
      </c>
      <c r="AN2990" t="s">
        <v>114</v>
      </c>
      <c r="AO2990">
        <v>4</v>
      </c>
      <c r="AP2990" t="s">
        <v>115</v>
      </c>
      <c r="AQ2990" t="s">
        <v>3418</v>
      </c>
      <c r="AR2990" t="s">
        <v>80</v>
      </c>
      <c r="AS2990">
        <v>201</v>
      </c>
      <c r="AT2990" t="s">
        <v>81</v>
      </c>
      <c r="AU2990">
        <v>-13.32</v>
      </c>
      <c r="AV2990">
        <v>-35.17</v>
      </c>
      <c r="AW2990" t="s">
        <v>82</v>
      </c>
      <c r="AX2990">
        <v>202</v>
      </c>
      <c r="AY2990" t="s">
        <v>81</v>
      </c>
      <c r="AZ2990">
        <v>-19.57</v>
      </c>
      <c r="BA2990">
        <v>-51.75</v>
      </c>
      <c r="BB2990" t="s">
        <v>83</v>
      </c>
    </row>
    <row r="2991" spans="1:54" x14ac:dyDescent="0.4">
      <c r="A2991">
        <v>896145</v>
      </c>
      <c r="D2991" t="s">
        <v>54</v>
      </c>
      <c r="E2991" t="s">
        <v>152</v>
      </c>
      <c r="I2991" t="s">
        <v>57</v>
      </c>
      <c r="K2991" t="s">
        <v>141</v>
      </c>
      <c r="L2991" t="s">
        <v>1442</v>
      </c>
      <c r="M2991" t="s">
        <v>60</v>
      </c>
      <c r="O2991" t="s">
        <v>87</v>
      </c>
      <c r="P2991" t="s">
        <v>182</v>
      </c>
      <c r="R2991" t="s">
        <v>183</v>
      </c>
      <c r="S2991" t="s">
        <v>64</v>
      </c>
      <c r="T2991">
        <v>242</v>
      </c>
      <c r="U2991">
        <v>237</v>
      </c>
      <c r="V2991">
        <f t="shared" si="92"/>
        <v>239.5</v>
      </c>
      <c r="W2991">
        <f t="shared" si="93"/>
        <v>5</v>
      </c>
      <c r="X2991">
        <v>-54.366698999999997</v>
      </c>
      <c r="Y2991">
        <v>-29.666699999999999</v>
      </c>
      <c r="Z2991" t="s">
        <v>124</v>
      </c>
      <c r="AA2991" t="s">
        <v>783</v>
      </c>
      <c r="AB2991" t="s">
        <v>784</v>
      </c>
      <c r="AD2991" t="s">
        <v>943</v>
      </c>
      <c r="AE2991" t="s">
        <v>786</v>
      </c>
      <c r="AG2991" t="s">
        <v>949</v>
      </c>
      <c r="AH2991" t="s">
        <v>72</v>
      </c>
      <c r="AI2991" t="s">
        <v>693</v>
      </c>
      <c r="AJ2991">
        <v>1942</v>
      </c>
      <c r="AK2991" t="s">
        <v>3419</v>
      </c>
      <c r="AN2991" t="s">
        <v>114</v>
      </c>
      <c r="AO2991">
        <v>4</v>
      </c>
      <c r="AP2991" t="s">
        <v>115</v>
      </c>
      <c r="AQ2991" t="s">
        <v>3420</v>
      </c>
      <c r="AR2991" t="s">
        <v>80</v>
      </c>
      <c r="AS2991">
        <v>201</v>
      </c>
      <c r="AT2991" t="s">
        <v>81</v>
      </c>
      <c r="AU2991">
        <v>-13.32</v>
      </c>
      <c r="AV2991">
        <v>-35.17</v>
      </c>
      <c r="AW2991" t="s">
        <v>82</v>
      </c>
      <c r="AX2991">
        <v>202</v>
      </c>
      <c r="AY2991" t="s">
        <v>81</v>
      </c>
      <c r="AZ2991">
        <v>-19.57</v>
      </c>
      <c r="BA2991">
        <v>-51.75</v>
      </c>
      <c r="BB2991" t="s">
        <v>83</v>
      </c>
    </row>
    <row r="2992" spans="1:54" x14ac:dyDescent="0.4">
      <c r="A2992">
        <v>896147</v>
      </c>
      <c r="D2992" t="s">
        <v>54</v>
      </c>
      <c r="E2992" t="s">
        <v>152</v>
      </c>
      <c r="G2992">
        <v>1</v>
      </c>
      <c r="H2992" t="s">
        <v>84</v>
      </c>
      <c r="I2992" t="s">
        <v>57</v>
      </c>
      <c r="K2992" t="s">
        <v>141</v>
      </c>
      <c r="L2992" t="s">
        <v>948</v>
      </c>
      <c r="M2992" t="s">
        <v>60</v>
      </c>
      <c r="P2992" t="s">
        <v>182</v>
      </c>
      <c r="R2992" t="s">
        <v>183</v>
      </c>
      <c r="S2992" t="s">
        <v>64</v>
      </c>
      <c r="T2992">
        <v>242</v>
      </c>
      <c r="U2992">
        <v>237</v>
      </c>
      <c r="V2992">
        <f t="shared" si="92"/>
        <v>239.5</v>
      </c>
      <c r="W2992">
        <f t="shared" si="93"/>
        <v>5</v>
      </c>
      <c r="X2992">
        <v>-54.366698999999997</v>
      </c>
      <c r="Y2992">
        <v>-29.666699999999999</v>
      </c>
      <c r="Z2992" t="s">
        <v>124</v>
      </c>
      <c r="AA2992" t="s">
        <v>783</v>
      </c>
      <c r="AB2992" t="s">
        <v>784</v>
      </c>
      <c r="AD2992" t="s">
        <v>943</v>
      </c>
      <c r="AE2992" t="s">
        <v>786</v>
      </c>
      <c r="AG2992" t="s">
        <v>949</v>
      </c>
      <c r="AH2992" t="s">
        <v>72</v>
      </c>
      <c r="AI2992" t="s">
        <v>693</v>
      </c>
      <c r="AJ2992">
        <v>1942</v>
      </c>
      <c r="AK2992" t="s">
        <v>3421</v>
      </c>
      <c r="AN2992" t="s">
        <v>114</v>
      </c>
      <c r="AO2992">
        <v>4</v>
      </c>
      <c r="AP2992" t="s">
        <v>115</v>
      </c>
      <c r="AQ2992" t="s">
        <v>3422</v>
      </c>
      <c r="AR2992" t="s">
        <v>80</v>
      </c>
      <c r="AS2992">
        <v>201</v>
      </c>
      <c r="AT2992" t="s">
        <v>81</v>
      </c>
      <c r="AU2992">
        <v>-13.32</v>
      </c>
      <c r="AV2992">
        <v>-35.17</v>
      </c>
      <c r="AW2992" t="s">
        <v>82</v>
      </c>
      <c r="AX2992">
        <v>202</v>
      </c>
      <c r="AY2992" t="s">
        <v>81</v>
      </c>
      <c r="AZ2992">
        <v>-19.57</v>
      </c>
      <c r="BA2992">
        <v>-51.75</v>
      </c>
      <c r="BB2992" t="s">
        <v>83</v>
      </c>
    </row>
    <row r="2993" spans="1:54" x14ac:dyDescent="0.4">
      <c r="A2993">
        <v>908441</v>
      </c>
      <c r="D2993" t="s">
        <v>54</v>
      </c>
      <c r="E2993" t="s">
        <v>152</v>
      </c>
      <c r="G2993">
        <v>1</v>
      </c>
      <c r="H2993" t="s">
        <v>84</v>
      </c>
      <c r="I2993" t="s">
        <v>57</v>
      </c>
      <c r="K2993" t="s">
        <v>802</v>
      </c>
      <c r="L2993" t="s">
        <v>803</v>
      </c>
      <c r="M2993" t="s">
        <v>223</v>
      </c>
      <c r="N2993" t="s">
        <v>234</v>
      </c>
      <c r="O2993" t="s">
        <v>87</v>
      </c>
      <c r="P2993" t="s">
        <v>182</v>
      </c>
      <c r="R2993" t="s">
        <v>183</v>
      </c>
      <c r="S2993" t="s">
        <v>64</v>
      </c>
      <c r="T2993">
        <v>242</v>
      </c>
      <c r="U2993">
        <v>237</v>
      </c>
      <c r="V2993">
        <f t="shared" si="92"/>
        <v>239.5</v>
      </c>
      <c r="W2993">
        <f t="shared" si="93"/>
        <v>5</v>
      </c>
      <c r="X2993">
        <v>16.484722000000001</v>
      </c>
      <c r="Y2993">
        <v>78.313889000000003</v>
      </c>
      <c r="Z2993" t="s">
        <v>520</v>
      </c>
      <c r="AA2993" t="s">
        <v>567</v>
      </c>
      <c r="AB2993" t="s">
        <v>3529</v>
      </c>
      <c r="AC2993" t="s">
        <v>3530</v>
      </c>
      <c r="AD2993" t="s">
        <v>3531</v>
      </c>
      <c r="AH2993" t="s">
        <v>11</v>
      </c>
      <c r="AI2993" t="s">
        <v>228</v>
      </c>
      <c r="AJ2993">
        <v>1992</v>
      </c>
      <c r="AK2993" t="s">
        <v>3532</v>
      </c>
      <c r="AN2993" t="s">
        <v>114</v>
      </c>
      <c r="AO2993" t="s">
        <v>77</v>
      </c>
      <c r="AP2993" t="s">
        <v>115</v>
      </c>
      <c r="AQ2993" t="s">
        <v>3533</v>
      </c>
      <c r="AR2993" t="s">
        <v>80</v>
      </c>
      <c r="AS2993">
        <v>309</v>
      </c>
      <c r="AT2993" t="s">
        <v>81</v>
      </c>
      <c r="AU2993">
        <v>17.27</v>
      </c>
      <c r="AV2993">
        <v>57.08</v>
      </c>
      <c r="AW2993" t="s">
        <v>82</v>
      </c>
      <c r="AX2993">
        <v>309</v>
      </c>
      <c r="AY2993" t="s">
        <v>81</v>
      </c>
      <c r="AZ2993">
        <v>2.86</v>
      </c>
      <c r="BA2993">
        <v>41.69</v>
      </c>
      <c r="BB2993" t="s">
        <v>83</v>
      </c>
    </row>
    <row r="2994" spans="1:54" x14ac:dyDescent="0.4">
      <c r="A2994">
        <v>908443</v>
      </c>
      <c r="D2994" t="s">
        <v>54</v>
      </c>
      <c r="E2994" t="s">
        <v>152</v>
      </c>
      <c r="G2994">
        <v>2</v>
      </c>
      <c r="H2994" t="s">
        <v>84</v>
      </c>
      <c r="I2994" t="s">
        <v>57</v>
      </c>
      <c r="K2994" t="s">
        <v>802</v>
      </c>
      <c r="L2994" t="s">
        <v>803</v>
      </c>
      <c r="M2994" t="s">
        <v>223</v>
      </c>
      <c r="N2994" t="s">
        <v>234</v>
      </c>
      <c r="O2994" t="s">
        <v>87</v>
      </c>
      <c r="P2994" t="s">
        <v>182</v>
      </c>
      <c r="R2994" t="s">
        <v>183</v>
      </c>
      <c r="S2994" t="s">
        <v>64</v>
      </c>
      <c r="T2994">
        <v>242</v>
      </c>
      <c r="U2994">
        <v>237</v>
      </c>
      <c r="V2994">
        <f t="shared" si="92"/>
        <v>239.5</v>
      </c>
      <c r="W2994">
        <f t="shared" si="93"/>
        <v>5</v>
      </c>
      <c r="X2994">
        <v>18.905556000000001</v>
      </c>
      <c r="Y2994">
        <v>78.487503000000004</v>
      </c>
      <c r="Z2994" t="s">
        <v>520</v>
      </c>
      <c r="AA2994" t="s">
        <v>567</v>
      </c>
      <c r="AB2994" t="s">
        <v>3529</v>
      </c>
      <c r="AC2994" t="s">
        <v>3530</v>
      </c>
      <c r="AD2994" t="s">
        <v>3531</v>
      </c>
      <c r="AH2994" t="s">
        <v>11</v>
      </c>
      <c r="AI2994" t="s">
        <v>228</v>
      </c>
      <c r="AJ2994">
        <v>1992</v>
      </c>
      <c r="AK2994" t="s">
        <v>3534</v>
      </c>
      <c r="AN2994" t="s">
        <v>114</v>
      </c>
      <c r="AO2994" t="s">
        <v>77</v>
      </c>
      <c r="AP2994" t="s">
        <v>115</v>
      </c>
      <c r="AQ2994" t="s">
        <v>3535</v>
      </c>
      <c r="AR2994" t="s">
        <v>80</v>
      </c>
      <c r="AS2994">
        <v>311</v>
      </c>
      <c r="AT2994" t="s">
        <v>81</v>
      </c>
      <c r="AU2994">
        <v>17.89</v>
      </c>
      <c r="AV2994">
        <v>57.47</v>
      </c>
      <c r="AW2994" t="s">
        <v>82</v>
      </c>
      <c r="AX2994">
        <v>310</v>
      </c>
      <c r="AY2994" t="s">
        <v>81</v>
      </c>
      <c r="AZ2994">
        <v>3.21</v>
      </c>
      <c r="BA2994">
        <v>42.14</v>
      </c>
      <c r="BB2994" t="s">
        <v>83</v>
      </c>
    </row>
    <row r="2995" spans="1:54" x14ac:dyDescent="0.4">
      <c r="A2995">
        <v>914542</v>
      </c>
      <c r="D2995" t="s">
        <v>54</v>
      </c>
      <c r="E2995" t="s">
        <v>55</v>
      </c>
      <c r="G2995">
        <v>1</v>
      </c>
      <c r="H2995" t="s">
        <v>84</v>
      </c>
      <c r="I2995" t="s">
        <v>57</v>
      </c>
      <c r="K2995" t="s">
        <v>556</v>
      </c>
      <c r="L2995" t="s">
        <v>557</v>
      </c>
      <c r="M2995" t="s">
        <v>223</v>
      </c>
      <c r="N2995" t="s">
        <v>234</v>
      </c>
      <c r="O2995" t="s">
        <v>87</v>
      </c>
      <c r="P2995" t="s">
        <v>182</v>
      </c>
      <c r="R2995" t="s">
        <v>183</v>
      </c>
      <c r="S2995" t="s">
        <v>64</v>
      </c>
      <c r="T2995">
        <v>242</v>
      </c>
      <c r="U2995">
        <v>237</v>
      </c>
      <c r="V2995">
        <f t="shared" si="92"/>
        <v>239.5</v>
      </c>
      <c r="W2995">
        <f t="shared" si="93"/>
        <v>5</v>
      </c>
      <c r="X2995">
        <v>9.7108329999999992</v>
      </c>
      <c r="Y2995">
        <v>49.281666000000001</v>
      </c>
      <c r="Z2995" t="s">
        <v>520</v>
      </c>
      <c r="AA2995" t="s">
        <v>211</v>
      </c>
      <c r="AB2995" t="s">
        <v>3573</v>
      </c>
      <c r="AC2995" t="s">
        <v>3516</v>
      </c>
      <c r="AE2995" t="s">
        <v>1378</v>
      </c>
      <c r="AH2995" t="s">
        <v>11</v>
      </c>
      <c r="AI2995" t="s">
        <v>3312</v>
      </c>
      <c r="AJ2995">
        <v>1998</v>
      </c>
      <c r="AK2995" t="s">
        <v>3574</v>
      </c>
      <c r="AN2995" t="s">
        <v>114</v>
      </c>
      <c r="AO2995" t="s">
        <v>77</v>
      </c>
      <c r="AP2995" t="s">
        <v>78</v>
      </c>
      <c r="AQ2995" t="s">
        <v>3575</v>
      </c>
      <c r="AR2995" t="s">
        <v>80</v>
      </c>
      <c r="AS2995">
        <v>305</v>
      </c>
      <c r="AT2995" t="s">
        <v>81</v>
      </c>
      <c r="AU2995">
        <v>28.01</v>
      </c>
      <c r="AV2995">
        <v>28.94</v>
      </c>
      <c r="AW2995" t="s">
        <v>82</v>
      </c>
      <c r="AX2995">
        <v>305</v>
      </c>
      <c r="AY2995" t="s">
        <v>81</v>
      </c>
      <c r="AZ2995">
        <v>17.670000000000002</v>
      </c>
      <c r="BA2995">
        <v>15.5</v>
      </c>
      <c r="BB2995" t="s">
        <v>83</v>
      </c>
    </row>
    <row r="2996" spans="1:54" x14ac:dyDescent="0.4">
      <c r="A2996">
        <v>915953</v>
      </c>
      <c r="D2996" t="s">
        <v>54</v>
      </c>
      <c r="E2996" t="s">
        <v>152</v>
      </c>
      <c r="G2996">
        <v>1</v>
      </c>
      <c r="H2996" t="s">
        <v>84</v>
      </c>
      <c r="I2996" t="s">
        <v>57</v>
      </c>
      <c r="K2996" t="s">
        <v>755</v>
      </c>
      <c r="L2996" t="s">
        <v>756</v>
      </c>
      <c r="M2996" t="s">
        <v>223</v>
      </c>
      <c r="P2996" t="s">
        <v>182</v>
      </c>
      <c r="R2996" t="s">
        <v>183</v>
      </c>
      <c r="S2996" t="s">
        <v>64</v>
      </c>
      <c r="T2996">
        <v>242</v>
      </c>
      <c r="U2996">
        <v>237</v>
      </c>
      <c r="V2996">
        <f t="shared" si="92"/>
        <v>239.5</v>
      </c>
      <c r="W2996">
        <f t="shared" si="93"/>
        <v>5</v>
      </c>
      <c r="X2996">
        <v>7.443333</v>
      </c>
      <c r="Y2996">
        <v>48.649723000000002</v>
      </c>
      <c r="Z2996" t="s">
        <v>520</v>
      </c>
      <c r="AA2996" t="s">
        <v>521</v>
      </c>
      <c r="AB2996" t="s">
        <v>3590</v>
      </c>
      <c r="AC2996" t="s">
        <v>3591</v>
      </c>
      <c r="AE2996" t="s">
        <v>1378</v>
      </c>
      <c r="AH2996" t="s">
        <v>72</v>
      </c>
      <c r="AI2996" t="s">
        <v>3592</v>
      </c>
      <c r="AJ2996">
        <v>1999</v>
      </c>
      <c r="AK2996" t="s">
        <v>3593</v>
      </c>
      <c r="AN2996" t="s">
        <v>114</v>
      </c>
      <c r="AO2996" t="s">
        <v>77</v>
      </c>
      <c r="AP2996" t="s">
        <v>78</v>
      </c>
      <c r="AQ2996" t="s">
        <v>3594</v>
      </c>
      <c r="AR2996" t="s">
        <v>80</v>
      </c>
      <c r="AS2996">
        <v>305</v>
      </c>
      <c r="AT2996" t="s">
        <v>81</v>
      </c>
      <c r="AU2996">
        <v>26.54</v>
      </c>
      <c r="AV2996">
        <v>27.96</v>
      </c>
      <c r="AW2996" t="s">
        <v>82</v>
      </c>
      <c r="AX2996">
        <v>305</v>
      </c>
      <c r="AY2996" t="s">
        <v>81</v>
      </c>
      <c r="AZ2996">
        <v>16.559999999999999</v>
      </c>
      <c r="BA2996">
        <v>14.3</v>
      </c>
      <c r="BB2996" t="s">
        <v>83</v>
      </c>
    </row>
    <row r="2997" spans="1:54" x14ac:dyDescent="0.4">
      <c r="A2997">
        <v>922174</v>
      </c>
      <c r="D2997" t="s">
        <v>179</v>
      </c>
      <c r="E2997" t="s">
        <v>152</v>
      </c>
      <c r="G2997">
        <v>1</v>
      </c>
      <c r="H2997" t="s">
        <v>56</v>
      </c>
      <c r="I2997" t="s">
        <v>57</v>
      </c>
      <c r="K2997" t="s">
        <v>316</v>
      </c>
      <c r="L2997" t="s">
        <v>322</v>
      </c>
      <c r="M2997" t="s">
        <v>60</v>
      </c>
      <c r="P2997" t="s">
        <v>182</v>
      </c>
      <c r="R2997" t="s">
        <v>183</v>
      </c>
      <c r="S2997" t="s">
        <v>64</v>
      </c>
      <c r="T2997">
        <v>242</v>
      </c>
      <c r="U2997">
        <v>237</v>
      </c>
      <c r="V2997">
        <f t="shared" si="92"/>
        <v>239.5</v>
      </c>
      <c r="W2997">
        <f t="shared" si="93"/>
        <v>5</v>
      </c>
      <c r="X2997">
        <v>-67.824164999999994</v>
      </c>
      <c r="Y2997">
        <v>-29.830832999999998</v>
      </c>
      <c r="Z2997" t="s">
        <v>184</v>
      </c>
      <c r="AA2997" t="s">
        <v>185</v>
      </c>
      <c r="AB2997" t="s">
        <v>186</v>
      </c>
      <c r="AD2997" t="s">
        <v>187</v>
      </c>
      <c r="AE2997" t="s">
        <v>188</v>
      </c>
      <c r="AH2997" t="s">
        <v>72</v>
      </c>
      <c r="AI2997" t="s">
        <v>3636</v>
      </c>
      <c r="AJ2997">
        <v>1994</v>
      </c>
      <c r="AK2997" t="s">
        <v>1316</v>
      </c>
      <c r="AL2997">
        <v>26092</v>
      </c>
      <c r="AN2997" t="s">
        <v>192</v>
      </c>
      <c r="AO2997" t="s">
        <v>77</v>
      </c>
      <c r="AP2997" t="s">
        <v>115</v>
      </c>
      <c r="AQ2997" t="s">
        <v>1317</v>
      </c>
      <c r="AR2997" t="s">
        <v>80</v>
      </c>
      <c r="AS2997">
        <v>291</v>
      </c>
      <c r="AT2997" t="s">
        <v>81</v>
      </c>
      <c r="AU2997">
        <v>-27.03</v>
      </c>
      <c r="AV2997">
        <v>-33.79</v>
      </c>
      <c r="AW2997" t="s">
        <v>82</v>
      </c>
      <c r="AX2997">
        <v>291</v>
      </c>
      <c r="AY2997" t="s">
        <v>81</v>
      </c>
      <c r="AZ2997">
        <v>-37.770000000000003</v>
      </c>
      <c r="BA2997">
        <v>-49.89</v>
      </c>
      <c r="BB2997" t="s">
        <v>83</v>
      </c>
    </row>
    <row r="2998" spans="1:54" x14ac:dyDescent="0.4">
      <c r="A2998">
        <v>922175</v>
      </c>
      <c r="D2998" t="s">
        <v>54</v>
      </c>
      <c r="E2998" t="s">
        <v>55</v>
      </c>
      <c r="F2998" t="s">
        <v>600</v>
      </c>
      <c r="G2998">
        <v>1</v>
      </c>
      <c r="H2998" t="s">
        <v>56</v>
      </c>
      <c r="I2998" t="s">
        <v>57</v>
      </c>
      <c r="K2998" t="s">
        <v>141</v>
      </c>
      <c r="L2998" t="s">
        <v>321</v>
      </c>
      <c r="M2998" t="s">
        <v>60</v>
      </c>
      <c r="P2998" t="s">
        <v>182</v>
      </c>
      <c r="R2998" t="s">
        <v>183</v>
      </c>
      <c r="S2998" t="s">
        <v>64</v>
      </c>
      <c r="T2998">
        <v>242</v>
      </c>
      <c r="U2998">
        <v>237</v>
      </c>
      <c r="V2998">
        <f t="shared" si="92"/>
        <v>239.5</v>
      </c>
      <c r="W2998">
        <f t="shared" si="93"/>
        <v>5</v>
      </c>
      <c r="X2998">
        <v>-67.816665999999998</v>
      </c>
      <c r="Y2998">
        <v>-29.833331999999999</v>
      </c>
      <c r="Z2998" t="s">
        <v>124</v>
      </c>
      <c r="AA2998" t="s">
        <v>185</v>
      </c>
      <c r="AB2998" t="s">
        <v>186</v>
      </c>
      <c r="AD2998" t="s">
        <v>187</v>
      </c>
      <c r="AE2998" t="s">
        <v>188</v>
      </c>
      <c r="AH2998" t="s">
        <v>72</v>
      </c>
      <c r="AI2998" t="s">
        <v>3636</v>
      </c>
      <c r="AJ2998">
        <v>1994</v>
      </c>
      <c r="AK2998" t="s">
        <v>3637</v>
      </c>
      <c r="AN2998" t="s">
        <v>192</v>
      </c>
      <c r="AO2998" t="s">
        <v>160</v>
      </c>
      <c r="AP2998" t="s">
        <v>78</v>
      </c>
      <c r="AQ2998" t="s">
        <v>3638</v>
      </c>
      <c r="AR2998" t="s">
        <v>80</v>
      </c>
      <c r="AS2998">
        <v>291</v>
      </c>
      <c r="AT2998" t="s">
        <v>81</v>
      </c>
      <c r="AU2998">
        <v>-27.02</v>
      </c>
      <c r="AV2998">
        <v>-33.79</v>
      </c>
      <c r="AW2998" t="s">
        <v>82</v>
      </c>
      <c r="AX2998">
        <v>291</v>
      </c>
      <c r="AY2998" t="s">
        <v>81</v>
      </c>
      <c r="AZ2998">
        <v>-37.76</v>
      </c>
      <c r="BA2998">
        <v>-49.89</v>
      </c>
      <c r="BB2998" t="s">
        <v>83</v>
      </c>
    </row>
    <row r="2999" spans="1:54" x14ac:dyDescent="0.4">
      <c r="A2999">
        <v>922176</v>
      </c>
      <c r="D2999" t="s">
        <v>54</v>
      </c>
      <c r="E2999" t="s">
        <v>55</v>
      </c>
      <c r="F2999" t="s">
        <v>600</v>
      </c>
      <c r="G2999">
        <v>1</v>
      </c>
      <c r="H2999" t="s">
        <v>56</v>
      </c>
      <c r="I2999" t="s">
        <v>57</v>
      </c>
      <c r="K2999" t="s">
        <v>196</v>
      </c>
      <c r="L2999" t="s">
        <v>311</v>
      </c>
      <c r="M2999" t="s">
        <v>60</v>
      </c>
      <c r="O2999" t="s">
        <v>87</v>
      </c>
      <c r="P2999" t="s">
        <v>182</v>
      </c>
      <c r="R2999" t="s">
        <v>183</v>
      </c>
      <c r="S2999" t="s">
        <v>64</v>
      </c>
      <c r="T2999">
        <v>242</v>
      </c>
      <c r="U2999">
        <v>237</v>
      </c>
      <c r="V2999">
        <f t="shared" si="92"/>
        <v>239.5</v>
      </c>
      <c r="W2999">
        <f t="shared" si="93"/>
        <v>5</v>
      </c>
      <c r="X2999">
        <v>-67.816665999999998</v>
      </c>
      <c r="Y2999">
        <v>-29.833331999999999</v>
      </c>
      <c r="Z2999" t="s">
        <v>124</v>
      </c>
      <c r="AA2999" t="s">
        <v>185</v>
      </c>
      <c r="AB2999" t="s">
        <v>186</v>
      </c>
      <c r="AD2999" t="s">
        <v>187</v>
      </c>
      <c r="AE2999" t="s">
        <v>188</v>
      </c>
      <c r="AH2999" t="s">
        <v>72</v>
      </c>
      <c r="AI2999" t="s">
        <v>3639</v>
      </c>
      <c r="AJ2999">
        <v>2009</v>
      </c>
      <c r="AK2999" t="s">
        <v>3637</v>
      </c>
      <c r="AN2999" t="s">
        <v>192</v>
      </c>
      <c r="AO2999" t="s">
        <v>160</v>
      </c>
      <c r="AP2999" t="s">
        <v>78</v>
      </c>
      <c r="AQ2999" t="s">
        <v>3638</v>
      </c>
      <c r="AR2999" t="s">
        <v>80</v>
      </c>
      <c r="AS2999">
        <v>291</v>
      </c>
      <c r="AT2999" t="s">
        <v>81</v>
      </c>
      <c r="AU2999">
        <v>-27.02</v>
      </c>
      <c r="AV2999">
        <v>-33.79</v>
      </c>
      <c r="AW2999" t="s">
        <v>82</v>
      </c>
      <c r="AX2999">
        <v>291</v>
      </c>
      <c r="AY2999" t="s">
        <v>81</v>
      </c>
      <c r="AZ2999">
        <v>-37.76</v>
      </c>
      <c r="BA2999">
        <v>-49.89</v>
      </c>
      <c r="BB2999" t="s">
        <v>83</v>
      </c>
    </row>
    <row r="3000" spans="1:54" x14ac:dyDescent="0.4">
      <c r="A3000">
        <v>922177</v>
      </c>
      <c r="D3000" t="s">
        <v>179</v>
      </c>
      <c r="E3000" t="s">
        <v>55</v>
      </c>
      <c r="G3000">
        <v>1</v>
      </c>
      <c r="H3000" t="s">
        <v>84</v>
      </c>
      <c r="I3000" t="s">
        <v>57</v>
      </c>
      <c r="K3000" t="s">
        <v>323</v>
      </c>
      <c r="L3000" t="s">
        <v>324</v>
      </c>
      <c r="M3000" t="s">
        <v>60</v>
      </c>
      <c r="P3000" t="s">
        <v>182</v>
      </c>
      <c r="R3000" t="s">
        <v>183</v>
      </c>
      <c r="S3000" t="s">
        <v>64</v>
      </c>
      <c r="T3000">
        <v>242</v>
      </c>
      <c r="U3000">
        <v>237</v>
      </c>
      <c r="V3000">
        <f t="shared" si="92"/>
        <v>239.5</v>
      </c>
      <c r="W3000">
        <f t="shared" si="93"/>
        <v>5</v>
      </c>
      <c r="X3000">
        <v>-67.786941999999996</v>
      </c>
      <c r="Y3000">
        <v>-29.823055</v>
      </c>
      <c r="Z3000" t="s">
        <v>184</v>
      </c>
      <c r="AA3000" t="s">
        <v>185</v>
      </c>
      <c r="AB3000" t="s">
        <v>186</v>
      </c>
      <c r="AD3000" t="s">
        <v>187</v>
      </c>
      <c r="AE3000" t="s">
        <v>188</v>
      </c>
      <c r="AH3000" t="s">
        <v>72</v>
      </c>
      <c r="AI3000" t="s">
        <v>3640</v>
      </c>
      <c r="AJ3000">
        <v>1999</v>
      </c>
      <c r="AK3000" t="s">
        <v>1318</v>
      </c>
      <c r="AL3000">
        <v>26092</v>
      </c>
      <c r="AN3000" t="s">
        <v>192</v>
      </c>
      <c r="AO3000" t="s">
        <v>77</v>
      </c>
      <c r="AP3000" t="s">
        <v>115</v>
      </c>
      <c r="AQ3000" t="s">
        <v>1319</v>
      </c>
      <c r="AR3000" t="s">
        <v>80</v>
      </c>
      <c r="AS3000">
        <v>291</v>
      </c>
      <c r="AT3000" t="s">
        <v>81</v>
      </c>
      <c r="AU3000">
        <v>-26.99</v>
      </c>
      <c r="AV3000">
        <v>-33.78</v>
      </c>
      <c r="AW3000" t="s">
        <v>82</v>
      </c>
      <c r="AX3000">
        <v>291</v>
      </c>
      <c r="AY3000" t="s">
        <v>81</v>
      </c>
      <c r="AZ3000">
        <v>-37.72</v>
      </c>
      <c r="BA3000">
        <v>-49.88</v>
      </c>
      <c r="BB3000" t="s">
        <v>83</v>
      </c>
    </row>
    <row r="3001" spans="1:54" x14ac:dyDescent="0.4">
      <c r="A3001">
        <v>922178</v>
      </c>
      <c r="D3001" t="s">
        <v>54</v>
      </c>
      <c r="G3001">
        <v>1</v>
      </c>
      <c r="H3001" t="s">
        <v>56</v>
      </c>
      <c r="I3001" t="s">
        <v>57</v>
      </c>
      <c r="K3001" t="s">
        <v>323</v>
      </c>
      <c r="L3001" t="s">
        <v>324</v>
      </c>
      <c r="M3001" t="s">
        <v>60</v>
      </c>
      <c r="P3001" t="s">
        <v>182</v>
      </c>
      <c r="R3001" t="s">
        <v>183</v>
      </c>
      <c r="S3001" t="s">
        <v>64</v>
      </c>
      <c r="T3001">
        <v>242</v>
      </c>
      <c r="U3001">
        <v>237</v>
      </c>
      <c r="V3001">
        <f t="shared" si="92"/>
        <v>239.5</v>
      </c>
      <c r="W3001">
        <f t="shared" si="93"/>
        <v>5</v>
      </c>
      <c r="X3001">
        <v>-67.766670000000005</v>
      </c>
      <c r="Y3001">
        <v>-29.883333</v>
      </c>
      <c r="Z3001" t="s">
        <v>184</v>
      </c>
      <c r="AA3001" t="s">
        <v>185</v>
      </c>
      <c r="AB3001" t="s">
        <v>186</v>
      </c>
      <c r="AD3001" t="s">
        <v>187</v>
      </c>
      <c r="AE3001" t="s">
        <v>188</v>
      </c>
      <c r="AH3001" t="s">
        <v>72</v>
      </c>
      <c r="AI3001" t="s">
        <v>3640</v>
      </c>
      <c r="AJ3001">
        <v>1999</v>
      </c>
      <c r="AK3001" t="s">
        <v>3641</v>
      </c>
      <c r="AN3001" t="s">
        <v>192</v>
      </c>
      <c r="AO3001" t="s">
        <v>160</v>
      </c>
      <c r="AP3001" t="s">
        <v>115</v>
      </c>
      <c r="AQ3001" t="s">
        <v>3642</v>
      </c>
      <c r="AR3001" t="s">
        <v>80</v>
      </c>
      <c r="AS3001">
        <v>291</v>
      </c>
      <c r="AT3001" t="s">
        <v>81</v>
      </c>
      <c r="AU3001">
        <v>-26.97</v>
      </c>
      <c r="AV3001">
        <v>-33.840000000000003</v>
      </c>
      <c r="AW3001" t="s">
        <v>82</v>
      </c>
      <c r="AX3001">
        <v>291</v>
      </c>
      <c r="AY3001" t="s">
        <v>81</v>
      </c>
      <c r="AZ3001">
        <v>-37.700000000000003</v>
      </c>
      <c r="BA3001">
        <v>-49.94</v>
      </c>
      <c r="BB3001" t="s">
        <v>83</v>
      </c>
    </row>
    <row r="3002" spans="1:54" x14ac:dyDescent="0.4">
      <c r="A3002">
        <v>922179</v>
      </c>
      <c r="D3002" t="s">
        <v>54</v>
      </c>
      <c r="G3002">
        <v>1</v>
      </c>
      <c r="H3002" t="s">
        <v>56</v>
      </c>
      <c r="I3002" t="s">
        <v>57</v>
      </c>
      <c r="K3002" t="s">
        <v>323</v>
      </c>
      <c r="L3002" t="s">
        <v>324</v>
      </c>
      <c r="M3002" t="s">
        <v>60</v>
      </c>
      <c r="P3002" t="s">
        <v>182</v>
      </c>
      <c r="R3002" t="s">
        <v>183</v>
      </c>
      <c r="S3002" t="s">
        <v>64</v>
      </c>
      <c r="T3002">
        <v>242</v>
      </c>
      <c r="U3002">
        <v>237</v>
      </c>
      <c r="V3002">
        <f t="shared" si="92"/>
        <v>239.5</v>
      </c>
      <c r="W3002">
        <f t="shared" si="93"/>
        <v>5</v>
      </c>
      <c r="X3002">
        <v>-67.833336000000003</v>
      </c>
      <c r="Y3002">
        <v>-29.783332999999999</v>
      </c>
      <c r="Z3002" t="s">
        <v>184</v>
      </c>
      <c r="AA3002" t="s">
        <v>185</v>
      </c>
      <c r="AB3002" t="s">
        <v>186</v>
      </c>
      <c r="AD3002" t="s">
        <v>187</v>
      </c>
      <c r="AE3002" t="s">
        <v>188</v>
      </c>
      <c r="AH3002" t="s">
        <v>72</v>
      </c>
      <c r="AI3002" t="s">
        <v>3640</v>
      </c>
      <c r="AJ3002">
        <v>1999</v>
      </c>
      <c r="AK3002" t="s">
        <v>3643</v>
      </c>
      <c r="AM3002" t="s">
        <v>3644</v>
      </c>
      <c r="AN3002" t="s">
        <v>192</v>
      </c>
      <c r="AO3002" t="s">
        <v>160</v>
      </c>
      <c r="AP3002" t="s">
        <v>359</v>
      </c>
      <c r="AR3002" t="s">
        <v>80</v>
      </c>
      <c r="AS3002">
        <v>291</v>
      </c>
      <c r="AT3002" t="s">
        <v>81</v>
      </c>
      <c r="AU3002">
        <v>-27.04</v>
      </c>
      <c r="AV3002">
        <v>-33.74</v>
      </c>
      <c r="AW3002" t="s">
        <v>82</v>
      </c>
      <c r="AX3002">
        <v>291</v>
      </c>
      <c r="AY3002" t="s">
        <v>81</v>
      </c>
      <c r="AZ3002">
        <v>-37.770000000000003</v>
      </c>
      <c r="BA3002">
        <v>-49.84</v>
      </c>
      <c r="BB3002" t="s">
        <v>83</v>
      </c>
    </row>
    <row r="3003" spans="1:54" x14ac:dyDescent="0.4">
      <c r="A3003">
        <v>922685</v>
      </c>
      <c r="D3003" t="s">
        <v>54</v>
      </c>
      <c r="I3003" t="s">
        <v>57</v>
      </c>
      <c r="K3003" t="s">
        <v>840</v>
      </c>
      <c r="L3003" t="s">
        <v>3660</v>
      </c>
      <c r="M3003" t="s">
        <v>60</v>
      </c>
      <c r="O3003" t="s">
        <v>170</v>
      </c>
      <c r="P3003" t="s">
        <v>182</v>
      </c>
      <c r="R3003" t="s">
        <v>183</v>
      </c>
      <c r="S3003" t="s">
        <v>64</v>
      </c>
      <c r="T3003">
        <v>242</v>
      </c>
      <c r="U3003">
        <v>237</v>
      </c>
      <c r="V3003">
        <f t="shared" si="92"/>
        <v>239.5</v>
      </c>
      <c r="W3003">
        <f t="shared" si="93"/>
        <v>5</v>
      </c>
      <c r="X3003">
        <v>-52.049999</v>
      </c>
      <c r="Y3003">
        <v>-29.733333999999999</v>
      </c>
      <c r="Z3003" t="s">
        <v>124</v>
      </c>
      <c r="AA3003" t="s">
        <v>783</v>
      </c>
      <c r="AB3003" t="s">
        <v>784</v>
      </c>
      <c r="AC3003" t="s">
        <v>3661</v>
      </c>
      <c r="AD3003" t="s">
        <v>943</v>
      </c>
      <c r="AE3003" t="s">
        <v>786</v>
      </c>
      <c r="AG3003" t="s">
        <v>949</v>
      </c>
      <c r="AH3003" t="s">
        <v>72</v>
      </c>
      <c r="AI3003" t="s">
        <v>3662</v>
      </c>
      <c r="AJ3003">
        <v>2016</v>
      </c>
      <c r="AK3003" t="s">
        <v>3663</v>
      </c>
      <c r="AN3003" t="s">
        <v>192</v>
      </c>
      <c r="AO3003" t="s">
        <v>160</v>
      </c>
      <c r="AP3003" t="s">
        <v>115</v>
      </c>
      <c r="AR3003" t="s">
        <v>80</v>
      </c>
      <c r="AS3003">
        <v>201</v>
      </c>
      <c r="AT3003" t="s">
        <v>81</v>
      </c>
      <c r="AU3003">
        <v>-10.86</v>
      </c>
      <c r="AV3003">
        <v>-35.28</v>
      </c>
      <c r="AW3003" t="s">
        <v>82</v>
      </c>
      <c r="AX3003">
        <v>202</v>
      </c>
      <c r="AY3003" t="s">
        <v>81</v>
      </c>
      <c r="AZ3003">
        <v>-16.32</v>
      </c>
      <c r="BA3003">
        <v>-51.79</v>
      </c>
      <c r="BB3003" t="s">
        <v>83</v>
      </c>
    </row>
    <row r="3004" spans="1:54" x14ac:dyDescent="0.4">
      <c r="A3004">
        <v>923804</v>
      </c>
      <c r="D3004" t="s">
        <v>54</v>
      </c>
      <c r="G3004">
        <v>1</v>
      </c>
      <c r="H3004" t="s">
        <v>56</v>
      </c>
      <c r="I3004" t="s">
        <v>57</v>
      </c>
      <c r="K3004" t="s">
        <v>180</v>
      </c>
      <c r="L3004" t="s">
        <v>181</v>
      </c>
      <c r="M3004" t="s">
        <v>60</v>
      </c>
      <c r="N3004" t="s">
        <v>119</v>
      </c>
      <c r="P3004" t="s">
        <v>182</v>
      </c>
      <c r="R3004" t="s">
        <v>183</v>
      </c>
      <c r="S3004" t="s">
        <v>64</v>
      </c>
      <c r="T3004">
        <v>242</v>
      </c>
      <c r="U3004">
        <v>237</v>
      </c>
      <c r="V3004">
        <f t="shared" si="92"/>
        <v>239.5</v>
      </c>
      <c r="W3004">
        <f t="shared" si="93"/>
        <v>5</v>
      </c>
      <c r="X3004">
        <v>-67.833336000000003</v>
      </c>
      <c r="Y3004">
        <v>-29.783332999999999</v>
      </c>
      <c r="Z3004" t="s">
        <v>184</v>
      </c>
      <c r="AA3004" t="s">
        <v>185</v>
      </c>
      <c r="AB3004" t="s">
        <v>186</v>
      </c>
      <c r="AD3004" t="s">
        <v>187</v>
      </c>
      <c r="AE3004" t="s">
        <v>188</v>
      </c>
      <c r="AH3004" t="s">
        <v>72</v>
      </c>
      <c r="AI3004" t="s">
        <v>3726</v>
      </c>
      <c r="AJ3004">
        <v>1987</v>
      </c>
      <c r="AK3004" t="s">
        <v>3643</v>
      </c>
      <c r="AM3004" t="s">
        <v>3644</v>
      </c>
      <c r="AN3004" t="s">
        <v>192</v>
      </c>
      <c r="AO3004" t="s">
        <v>160</v>
      </c>
      <c r="AP3004" t="s">
        <v>359</v>
      </c>
      <c r="AR3004" t="s">
        <v>80</v>
      </c>
      <c r="AS3004">
        <v>291</v>
      </c>
      <c r="AT3004" t="s">
        <v>81</v>
      </c>
      <c r="AU3004">
        <v>-27.04</v>
      </c>
      <c r="AV3004">
        <v>-33.74</v>
      </c>
      <c r="AW3004" t="s">
        <v>82</v>
      </c>
      <c r="AX3004">
        <v>291</v>
      </c>
      <c r="AY3004" t="s">
        <v>81</v>
      </c>
      <c r="AZ3004">
        <v>-37.770000000000003</v>
      </c>
      <c r="BA3004">
        <v>-49.84</v>
      </c>
      <c r="BB3004" t="s">
        <v>83</v>
      </c>
    </row>
    <row r="3005" spans="1:54" x14ac:dyDescent="0.4">
      <c r="A3005">
        <v>923804</v>
      </c>
      <c r="D3005" t="s">
        <v>54</v>
      </c>
      <c r="G3005">
        <v>1</v>
      </c>
      <c r="H3005" t="s">
        <v>56</v>
      </c>
      <c r="I3005" t="s">
        <v>57</v>
      </c>
      <c r="K3005" t="s">
        <v>180</v>
      </c>
      <c r="L3005" t="s">
        <v>181</v>
      </c>
      <c r="M3005" t="s">
        <v>60</v>
      </c>
      <c r="N3005" t="s">
        <v>119</v>
      </c>
      <c r="P3005" t="s">
        <v>182</v>
      </c>
      <c r="R3005" t="s">
        <v>183</v>
      </c>
      <c r="S3005" t="s">
        <v>64</v>
      </c>
      <c r="T3005">
        <v>242</v>
      </c>
      <c r="U3005">
        <v>237</v>
      </c>
      <c r="V3005">
        <f t="shared" si="92"/>
        <v>239.5</v>
      </c>
      <c r="W3005">
        <f t="shared" si="93"/>
        <v>5</v>
      </c>
      <c r="X3005">
        <v>-67.833336000000003</v>
      </c>
      <c r="Y3005">
        <v>-29.783332999999999</v>
      </c>
      <c r="Z3005" t="s">
        <v>184</v>
      </c>
      <c r="AA3005" t="s">
        <v>185</v>
      </c>
      <c r="AB3005" t="s">
        <v>186</v>
      </c>
      <c r="AD3005" t="s">
        <v>187</v>
      </c>
      <c r="AE3005" t="s">
        <v>188</v>
      </c>
      <c r="AH3005" t="s">
        <v>72</v>
      </c>
      <c r="AI3005" t="s">
        <v>3726</v>
      </c>
      <c r="AJ3005">
        <v>1987</v>
      </c>
      <c r="AK3005" t="s">
        <v>3643</v>
      </c>
      <c r="AM3005" t="s">
        <v>3644</v>
      </c>
      <c r="AN3005" t="s">
        <v>192</v>
      </c>
      <c r="AO3005" t="s">
        <v>160</v>
      </c>
      <c r="AP3005" t="s">
        <v>359</v>
      </c>
      <c r="AR3005" t="s">
        <v>80</v>
      </c>
      <c r="AS3005">
        <v>291</v>
      </c>
      <c r="AT3005" t="s">
        <v>81</v>
      </c>
      <c r="AU3005">
        <v>-27.04</v>
      </c>
      <c r="AV3005">
        <v>-33.74</v>
      </c>
      <c r="AW3005" t="s">
        <v>82</v>
      </c>
      <c r="AX3005">
        <v>291</v>
      </c>
      <c r="AY3005" t="s">
        <v>81</v>
      </c>
      <c r="AZ3005">
        <v>-37.770000000000003</v>
      </c>
      <c r="BA3005">
        <v>-49.84</v>
      </c>
      <c r="BB3005" t="s">
        <v>83</v>
      </c>
    </row>
    <row r="3006" spans="1:54" x14ac:dyDescent="0.4">
      <c r="A3006">
        <v>923804</v>
      </c>
      <c r="D3006" t="s">
        <v>54</v>
      </c>
      <c r="G3006">
        <v>1</v>
      </c>
      <c r="H3006" t="s">
        <v>56</v>
      </c>
      <c r="I3006" t="s">
        <v>57</v>
      </c>
      <c r="K3006" t="s">
        <v>180</v>
      </c>
      <c r="L3006" t="s">
        <v>181</v>
      </c>
      <c r="M3006" t="s">
        <v>60</v>
      </c>
      <c r="N3006" t="s">
        <v>119</v>
      </c>
      <c r="P3006" t="s">
        <v>182</v>
      </c>
      <c r="R3006" t="s">
        <v>183</v>
      </c>
      <c r="S3006" t="s">
        <v>64</v>
      </c>
      <c r="T3006">
        <v>242</v>
      </c>
      <c r="U3006">
        <v>237</v>
      </c>
      <c r="V3006">
        <f t="shared" si="92"/>
        <v>239.5</v>
      </c>
      <c r="W3006">
        <f t="shared" si="93"/>
        <v>5</v>
      </c>
      <c r="X3006">
        <v>-67.833336000000003</v>
      </c>
      <c r="Y3006">
        <v>-29.783332999999999</v>
      </c>
      <c r="Z3006" t="s">
        <v>184</v>
      </c>
      <c r="AA3006" t="s">
        <v>185</v>
      </c>
      <c r="AB3006" t="s">
        <v>186</v>
      </c>
      <c r="AD3006" t="s">
        <v>187</v>
      </c>
      <c r="AE3006" t="s">
        <v>188</v>
      </c>
      <c r="AH3006" t="s">
        <v>72</v>
      </c>
      <c r="AI3006" t="s">
        <v>3726</v>
      </c>
      <c r="AJ3006">
        <v>1987</v>
      </c>
      <c r="AK3006" t="s">
        <v>3643</v>
      </c>
      <c r="AM3006" t="s">
        <v>3644</v>
      </c>
      <c r="AN3006" t="s">
        <v>192</v>
      </c>
      <c r="AO3006" t="s">
        <v>160</v>
      </c>
      <c r="AP3006" t="s">
        <v>359</v>
      </c>
      <c r="AR3006" t="s">
        <v>80</v>
      </c>
      <c r="AS3006">
        <v>291</v>
      </c>
      <c r="AT3006" t="s">
        <v>81</v>
      </c>
      <c r="AU3006">
        <v>-27.04</v>
      </c>
      <c r="AV3006">
        <v>-33.74</v>
      </c>
      <c r="AW3006" t="s">
        <v>82</v>
      </c>
      <c r="AX3006">
        <v>291</v>
      </c>
      <c r="AY3006" t="s">
        <v>81</v>
      </c>
      <c r="AZ3006">
        <v>-37.770000000000003</v>
      </c>
      <c r="BA3006">
        <v>-49.84</v>
      </c>
      <c r="BB3006" t="s">
        <v>83</v>
      </c>
    </row>
    <row r="3007" spans="1:54" x14ac:dyDescent="0.4">
      <c r="A3007">
        <v>923807</v>
      </c>
      <c r="D3007" t="s">
        <v>54</v>
      </c>
      <c r="G3007">
        <v>1</v>
      </c>
      <c r="H3007" t="s">
        <v>56</v>
      </c>
      <c r="I3007" t="s">
        <v>57</v>
      </c>
      <c r="K3007" t="s">
        <v>194</v>
      </c>
      <c r="L3007" t="s">
        <v>195</v>
      </c>
      <c r="M3007" t="s">
        <v>60</v>
      </c>
      <c r="P3007" t="s">
        <v>182</v>
      </c>
      <c r="R3007" t="s">
        <v>183</v>
      </c>
      <c r="S3007" t="s">
        <v>64</v>
      </c>
      <c r="T3007">
        <v>242</v>
      </c>
      <c r="U3007">
        <v>237</v>
      </c>
      <c r="V3007">
        <f t="shared" si="92"/>
        <v>239.5</v>
      </c>
      <c r="W3007">
        <f t="shared" si="93"/>
        <v>5</v>
      </c>
      <c r="X3007">
        <v>-67.833336000000003</v>
      </c>
      <c r="Y3007">
        <v>-29.783332999999999</v>
      </c>
      <c r="Z3007" t="s">
        <v>184</v>
      </c>
      <c r="AA3007" t="s">
        <v>185</v>
      </c>
      <c r="AB3007" t="s">
        <v>186</v>
      </c>
      <c r="AD3007" t="s">
        <v>187</v>
      </c>
      <c r="AE3007" t="s">
        <v>188</v>
      </c>
      <c r="AH3007" t="s">
        <v>72</v>
      </c>
      <c r="AI3007" t="s">
        <v>3726</v>
      </c>
      <c r="AJ3007">
        <v>1986</v>
      </c>
      <c r="AK3007" t="s">
        <v>3643</v>
      </c>
      <c r="AM3007" t="s">
        <v>3644</v>
      </c>
      <c r="AN3007" t="s">
        <v>192</v>
      </c>
      <c r="AO3007" t="s">
        <v>160</v>
      </c>
      <c r="AP3007" t="s">
        <v>359</v>
      </c>
      <c r="AR3007" t="s">
        <v>80</v>
      </c>
      <c r="AS3007">
        <v>291</v>
      </c>
      <c r="AT3007" t="s">
        <v>81</v>
      </c>
      <c r="AU3007">
        <v>-27.04</v>
      </c>
      <c r="AV3007">
        <v>-33.74</v>
      </c>
      <c r="AW3007" t="s">
        <v>82</v>
      </c>
      <c r="AX3007">
        <v>291</v>
      </c>
      <c r="AY3007" t="s">
        <v>81</v>
      </c>
      <c r="AZ3007">
        <v>-37.770000000000003</v>
      </c>
      <c r="BA3007">
        <v>-49.84</v>
      </c>
      <c r="BB3007" t="s">
        <v>83</v>
      </c>
    </row>
    <row r="3008" spans="1:54" x14ac:dyDescent="0.4">
      <c r="A3008">
        <v>923807</v>
      </c>
      <c r="D3008" t="s">
        <v>54</v>
      </c>
      <c r="G3008">
        <v>1</v>
      </c>
      <c r="H3008" t="s">
        <v>56</v>
      </c>
      <c r="I3008" t="s">
        <v>57</v>
      </c>
      <c r="K3008" t="s">
        <v>194</v>
      </c>
      <c r="L3008" t="s">
        <v>195</v>
      </c>
      <c r="M3008" t="s">
        <v>60</v>
      </c>
      <c r="P3008" t="s">
        <v>182</v>
      </c>
      <c r="R3008" t="s">
        <v>183</v>
      </c>
      <c r="S3008" t="s">
        <v>64</v>
      </c>
      <c r="T3008">
        <v>242</v>
      </c>
      <c r="U3008">
        <v>237</v>
      </c>
      <c r="V3008">
        <f t="shared" si="92"/>
        <v>239.5</v>
      </c>
      <c r="W3008">
        <f t="shared" si="93"/>
        <v>5</v>
      </c>
      <c r="X3008">
        <v>-67.833336000000003</v>
      </c>
      <c r="Y3008">
        <v>-29.783332999999999</v>
      </c>
      <c r="Z3008" t="s">
        <v>184</v>
      </c>
      <c r="AA3008" t="s">
        <v>185</v>
      </c>
      <c r="AB3008" t="s">
        <v>186</v>
      </c>
      <c r="AD3008" t="s">
        <v>187</v>
      </c>
      <c r="AE3008" t="s">
        <v>188</v>
      </c>
      <c r="AH3008" t="s">
        <v>72</v>
      </c>
      <c r="AI3008" t="s">
        <v>3726</v>
      </c>
      <c r="AJ3008">
        <v>1986</v>
      </c>
      <c r="AK3008" t="s">
        <v>3643</v>
      </c>
      <c r="AM3008" t="s">
        <v>3644</v>
      </c>
      <c r="AN3008" t="s">
        <v>192</v>
      </c>
      <c r="AO3008" t="s">
        <v>160</v>
      </c>
      <c r="AP3008" t="s">
        <v>359</v>
      </c>
      <c r="AR3008" t="s">
        <v>80</v>
      </c>
      <c r="AS3008">
        <v>291</v>
      </c>
      <c r="AT3008" t="s">
        <v>81</v>
      </c>
      <c r="AU3008">
        <v>-27.04</v>
      </c>
      <c r="AV3008">
        <v>-33.74</v>
      </c>
      <c r="AW3008" t="s">
        <v>82</v>
      </c>
      <c r="AX3008">
        <v>291</v>
      </c>
      <c r="AY3008" t="s">
        <v>81</v>
      </c>
      <c r="AZ3008">
        <v>-37.770000000000003</v>
      </c>
      <c r="BA3008">
        <v>-49.84</v>
      </c>
      <c r="BB3008" t="s">
        <v>83</v>
      </c>
    </row>
    <row r="3009" spans="1:54" x14ac:dyDescent="0.4">
      <c r="A3009">
        <v>923809</v>
      </c>
      <c r="D3009" t="s">
        <v>54</v>
      </c>
      <c r="G3009">
        <v>1</v>
      </c>
      <c r="H3009" t="s">
        <v>56</v>
      </c>
      <c r="I3009" t="s">
        <v>57</v>
      </c>
      <c r="K3009" t="s">
        <v>316</v>
      </c>
      <c r="L3009" t="s">
        <v>322</v>
      </c>
      <c r="M3009" t="s">
        <v>60</v>
      </c>
      <c r="P3009" t="s">
        <v>182</v>
      </c>
      <c r="R3009" t="s">
        <v>183</v>
      </c>
      <c r="S3009" t="s">
        <v>64</v>
      </c>
      <c r="T3009">
        <v>242</v>
      </c>
      <c r="U3009">
        <v>237</v>
      </c>
      <c r="V3009">
        <f t="shared" si="92"/>
        <v>239.5</v>
      </c>
      <c r="W3009">
        <f t="shared" si="93"/>
        <v>5</v>
      </c>
      <c r="X3009">
        <v>-67.833336000000003</v>
      </c>
      <c r="Y3009">
        <v>-29.783332999999999</v>
      </c>
      <c r="Z3009" t="s">
        <v>184</v>
      </c>
      <c r="AA3009" t="s">
        <v>185</v>
      </c>
      <c r="AB3009" t="s">
        <v>186</v>
      </c>
      <c r="AD3009" t="s">
        <v>187</v>
      </c>
      <c r="AE3009" t="s">
        <v>188</v>
      </c>
      <c r="AH3009" t="s">
        <v>72</v>
      </c>
      <c r="AI3009" t="s">
        <v>3726</v>
      </c>
      <c r="AJ3009">
        <v>1990</v>
      </c>
      <c r="AK3009" t="s">
        <v>3643</v>
      </c>
      <c r="AM3009" t="s">
        <v>3644</v>
      </c>
      <c r="AN3009" t="s">
        <v>192</v>
      </c>
      <c r="AO3009" t="s">
        <v>160</v>
      </c>
      <c r="AP3009" t="s">
        <v>359</v>
      </c>
      <c r="AR3009" t="s">
        <v>80</v>
      </c>
      <c r="AS3009">
        <v>291</v>
      </c>
      <c r="AT3009" t="s">
        <v>81</v>
      </c>
      <c r="AU3009">
        <v>-27.04</v>
      </c>
      <c r="AV3009">
        <v>-33.74</v>
      </c>
      <c r="AW3009" t="s">
        <v>82</v>
      </c>
      <c r="AX3009">
        <v>291</v>
      </c>
      <c r="AY3009" t="s">
        <v>81</v>
      </c>
      <c r="AZ3009">
        <v>-37.770000000000003</v>
      </c>
      <c r="BA3009">
        <v>-49.84</v>
      </c>
      <c r="BB3009" t="s">
        <v>83</v>
      </c>
    </row>
    <row r="3010" spans="1:54" x14ac:dyDescent="0.4">
      <c r="A3010">
        <v>923809</v>
      </c>
      <c r="D3010" t="s">
        <v>54</v>
      </c>
      <c r="G3010">
        <v>1</v>
      </c>
      <c r="H3010" t="s">
        <v>56</v>
      </c>
      <c r="I3010" t="s">
        <v>57</v>
      </c>
      <c r="K3010" t="s">
        <v>316</v>
      </c>
      <c r="L3010" t="s">
        <v>322</v>
      </c>
      <c r="M3010" t="s">
        <v>60</v>
      </c>
      <c r="P3010" t="s">
        <v>182</v>
      </c>
      <c r="R3010" t="s">
        <v>183</v>
      </c>
      <c r="S3010" t="s">
        <v>64</v>
      </c>
      <c r="T3010">
        <v>242</v>
      </c>
      <c r="U3010">
        <v>237</v>
      </c>
      <c r="V3010">
        <f t="shared" si="92"/>
        <v>239.5</v>
      </c>
      <c r="W3010">
        <f t="shared" si="93"/>
        <v>5</v>
      </c>
      <c r="X3010">
        <v>-67.833336000000003</v>
      </c>
      <c r="Y3010">
        <v>-29.783332999999999</v>
      </c>
      <c r="Z3010" t="s">
        <v>184</v>
      </c>
      <c r="AA3010" t="s">
        <v>185</v>
      </c>
      <c r="AB3010" t="s">
        <v>186</v>
      </c>
      <c r="AD3010" t="s">
        <v>187</v>
      </c>
      <c r="AE3010" t="s">
        <v>188</v>
      </c>
      <c r="AH3010" t="s">
        <v>72</v>
      </c>
      <c r="AI3010" t="s">
        <v>3726</v>
      </c>
      <c r="AJ3010">
        <v>1990</v>
      </c>
      <c r="AK3010" t="s">
        <v>3643</v>
      </c>
      <c r="AM3010" t="s">
        <v>3644</v>
      </c>
      <c r="AN3010" t="s">
        <v>192</v>
      </c>
      <c r="AO3010" t="s">
        <v>160</v>
      </c>
      <c r="AP3010" t="s">
        <v>359</v>
      </c>
      <c r="AR3010" t="s">
        <v>80</v>
      </c>
      <c r="AS3010">
        <v>291</v>
      </c>
      <c r="AT3010" t="s">
        <v>81</v>
      </c>
      <c r="AU3010">
        <v>-27.04</v>
      </c>
      <c r="AV3010">
        <v>-33.74</v>
      </c>
      <c r="AW3010" t="s">
        <v>82</v>
      </c>
      <c r="AX3010">
        <v>291</v>
      </c>
      <c r="AY3010" t="s">
        <v>81</v>
      </c>
      <c r="AZ3010">
        <v>-37.770000000000003</v>
      </c>
      <c r="BA3010">
        <v>-49.84</v>
      </c>
      <c r="BB3010" t="s">
        <v>83</v>
      </c>
    </row>
    <row r="3011" spans="1:54" x14ac:dyDescent="0.4">
      <c r="A3011">
        <v>923809</v>
      </c>
      <c r="D3011" t="s">
        <v>54</v>
      </c>
      <c r="G3011">
        <v>1</v>
      </c>
      <c r="H3011" t="s">
        <v>56</v>
      </c>
      <c r="I3011" t="s">
        <v>57</v>
      </c>
      <c r="K3011" t="s">
        <v>316</v>
      </c>
      <c r="L3011" t="s">
        <v>322</v>
      </c>
      <c r="M3011" t="s">
        <v>60</v>
      </c>
      <c r="P3011" t="s">
        <v>182</v>
      </c>
      <c r="R3011" t="s">
        <v>183</v>
      </c>
      <c r="S3011" t="s">
        <v>64</v>
      </c>
      <c r="T3011">
        <v>242</v>
      </c>
      <c r="U3011">
        <v>237</v>
      </c>
      <c r="V3011">
        <f t="shared" ref="V3011:V3074" si="94">(T3011+U3011)/2</f>
        <v>239.5</v>
      </c>
      <c r="W3011">
        <f t="shared" ref="W3011:W3074" si="95">T3011-U3011</f>
        <v>5</v>
      </c>
      <c r="X3011">
        <v>-67.833336000000003</v>
      </c>
      <c r="Y3011">
        <v>-29.783332999999999</v>
      </c>
      <c r="Z3011" t="s">
        <v>184</v>
      </c>
      <c r="AA3011" t="s">
        <v>185</v>
      </c>
      <c r="AB3011" t="s">
        <v>186</v>
      </c>
      <c r="AD3011" t="s">
        <v>187</v>
      </c>
      <c r="AE3011" t="s">
        <v>188</v>
      </c>
      <c r="AH3011" t="s">
        <v>72</v>
      </c>
      <c r="AI3011" t="s">
        <v>3726</v>
      </c>
      <c r="AJ3011">
        <v>1990</v>
      </c>
      <c r="AK3011" t="s">
        <v>3643</v>
      </c>
      <c r="AM3011" t="s">
        <v>3644</v>
      </c>
      <c r="AN3011" t="s">
        <v>192</v>
      </c>
      <c r="AO3011" t="s">
        <v>160</v>
      </c>
      <c r="AP3011" t="s">
        <v>359</v>
      </c>
      <c r="AR3011" t="s">
        <v>80</v>
      </c>
      <c r="AS3011">
        <v>291</v>
      </c>
      <c r="AT3011" t="s">
        <v>81</v>
      </c>
      <c r="AU3011">
        <v>-27.04</v>
      </c>
      <c r="AV3011">
        <v>-33.74</v>
      </c>
      <c r="AW3011" t="s">
        <v>82</v>
      </c>
      <c r="AX3011">
        <v>291</v>
      </c>
      <c r="AY3011" t="s">
        <v>81</v>
      </c>
      <c r="AZ3011">
        <v>-37.770000000000003</v>
      </c>
      <c r="BA3011">
        <v>-49.84</v>
      </c>
      <c r="BB3011" t="s">
        <v>83</v>
      </c>
    </row>
    <row r="3012" spans="1:54" x14ac:dyDescent="0.4">
      <c r="A3012">
        <v>923809</v>
      </c>
      <c r="D3012" t="s">
        <v>54</v>
      </c>
      <c r="G3012">
        <v>1</v>
      </c>
      <c r="H3012" t="s">
        <v>56</v>
      </c>
      <c r="I3012" t="s">
        <v>57</v>
      </c>
      <c r="K3012" t="s">
        <v>316</v>
      </c>
      <c r="L3012" t="s">
        <v>322</v>
      </c>
      <c r="M3012" t="s">
        <v>60</v>
      </c>
      <c r="P3012" t="s">
        <v>182</v>
      </c>
      <c r="R3012" t="s">
        <v>183</v>
      </c>
      <c r="S3012" t="s">
        <v>64</v>
      </c>
      <c r="T3012">
        <v>242</v>
      </c>
      <c r="U3012">
        <v>237</v>
      </c>
      <c r="V3012">
        <f t="shared" si="94"/>
        <v>239.5</v>
      </c>
      <c r="W3012">
        <f t="shared" si="95"/>
        <v>5</v>
      </c>
      <c r="X3012">
        <v>-67.833336000000003</v>
      </c>
      <c r="Y3012">
        <v>-29.783332999999999</v>
      </c>
      <c r="Z3012" t="s">
        <v>184</v>
      </c>
      <c r="AA3012" t="s">
        <v>185</v>
      </c>
      <c r="AB3012" t="s">
        <v>186</v>
      </c>
      <c r="AD3012" t="s">
        <v>187</v>
      </c>
      <c r="AE3012" t="s">
        <v>188</v>
      </c>
      <c r="AH3012" t="s">
        <v>72</v>
      </c>
      <c r="AI3012" t="s">
        <v>3726</v>
      </c>
      <c r="AJ3012">
        <v>1990</v>
      </c>
      <c r="AK3012" t="s">
        <v>3643</v>
      </c>
      <c r="AM3012" t="s">
        <v>3644</v>
      </c>
      <c r="AN3012" t="s">
        <v>192</v>
      </c>
      <c r="AO3012" t="s">
        <v>160</v>
      </c>
      <c r="AP3012" t="s">
        <v>359</v>
      </c>
      <c r="AR3012" t="s">
        <v>80</v>
      </c>
      <c r="AS3012">
        <v>291</v>
      </c>
      <c r="AT3012" t="s">
        <v>81</v>
      </c>
      <c r="AU3012">
        <v>-27.04</v>
      </c>
      <c r="AV3012">
        <v>-33.74</v>
      </c>
      <c r="AW3012" t="s">
        <v>82</v>
      </c>
      <c r="AX3012">
        <v>291</v>
      </c>
      <c r="AY3012" t="s">
        <v>81</v>
      </c>
      <c r="AZ3012">
        <v>-37.770000000000003</v>
      </c>
      <c r="BA3012">
        <v>-49.84</v>
      </c>
      <c r="BB3012" t="s">
        <v>83</v>
      </c>
    </row>
    <row r="3013" spans="1:54" x14ac:dyDescent="0.4">
      <c r="A3013">
        <v>923809</v>
      </c>
      <c r="D3013" t="s">
        <v>54</v>
      </c>
      <c r="G3013">
        <v>1</v>
      </c>
      <c r="H3013" t="s">
        <v>56</v>
      </c>
      <c r="I3013" t="s">
        <v>57</v>
      </c>
      <c r="K3013" t="s">
        <v>316</v>
      </c>
      <c r="L3013" t="s">
        <v>322</v>
      </c>
      <c r="M3013" t="s">
        <v>60</v>
      </c>
      <c r="P3013" t="s">
        <v>182</v>
      </c>
      <c r="R3013" t="s">
        <v>183</v>
      </c>
      <c r="S3013" t="s">
        <v>64</v>
      </c>
      <c r="T3013">
        <v>242</v>
      </c>
      <c r="U3013">
        <v>237</v>
      </c>
      <c r="V3013">
        <f t="shared" si="94"/>
        <v>239.5</v>
      </c>
      <c r="W3013">
        <f t="shared" si="95"/>
        <v>5</v>
      </c>
      <c r="X3013">
        <v>-67.833336000000003</v>
      </c>
      <c r="Y3013">
        <v>-29.783332999999999</v>
      </c>
      <c r="Z3013" t="s">
        <v>184</v>
      </c>
      <c r="AA3013" t="s">
        <v>185</v>
      </c>
      <c r="AB3013" t="s">
        <v>186</v>
      </c>
      <c r="AD3013" t="s">
        <v>187</v>
      </c>
      <c r="AE3013" t="s">
        <v>188</v>
      </c>
      <c r="AH3013" t="s">
        <v>72</v>
      </c>
      <c r="AI3013" t="s">
        <v>3726</v>
      </c>
      <c r="AJ3013">
        <v>1990</v>
      </c>
      <c r="AK3013" t="s">
        <v>3643</v>
      </c>
      <c r="AM3013" t="s">
        <v>3644</v>
      </c>
      <c r="AN3013" t="s">
        <v>192</v>
      </c>
      <c r="AO3013" t="s">
        <v>160</v>
      </c>
      <c r="AP3013" t="s">
        <v>359</v>
      </c>
      <c r="AR3013" t="s">
        <v>80</v>
      </c>
      <c r="AS3013">
        <v>291</v>
      </c>
      <c r="AT3013" t="s">
        <v>81</v>
      </c>
      <c r="AU3013">
        <v>-27.04</v>
      </c>
      <c r="AV3013">
        <v>-33.74</v>
      </c>
      <c r="AW3013" t="s">
        <v>82</v>
      </c>
      <c r="AX3013">
        <v>291</v>
      </c>
      <c r="AY3013" t="s">
        <v>81</v>
      </c>
      <c r="AZ3013">
        <v>-37.770000000000003</v>
      </c>
      <c r="BA3013">
        <v>-49.84</v>
      </c>
      <c r="BB3013" t="s">
        <v>83</v>
      </c>
    </row>
    <row r="3014" spans="1:54" x14ac:dyDescent="0.4">
      <c r="A3014">
        <v>923809</v>
      </c>
      <c r="D3014" t="s">
        <v>54</v>
      </c>
      <c r="G3014">
        <v>1</v>
      </c>
      <c r="H3014" t="s">
        <v>56</v>
      </c>
      <c r="I3014" t="s">
        <v>57</v>
      </c>
      <c r="K3014" t="s">
        <v>316</v>
      </c>
      <c r="L3014" t="s">
        <v>322</v>
      </c>
      <c r="M3014" t="s">
        <v>60</v>
      </c>
      <c r="P3014" t="s">
        <v>182</v>
      </c>
      <c r="R3014" t="s">
        <v>183</v>
      </c>
      <c r="S3014" t="s">
        <v>64</v>
      </c>
      <c r="T3014">
        <v>242</v>
      </c>
      <c r="U3014">
        <v>237</v>
      </c>
      <c r="V3014">
        <f t="shared" si="94"/>
        <v>239.5</v>
      </c>
      <c r="W3014">
        <f t="shared" si="95"/>
        <v>5</v>
      </c>
      <c r="X3014">
        <v>-67.833336000000003</v>
      </c>
      <c r="Y3014">
        <v>-29.783332999999999</v>
      </c>
      <c r="Z3014" t="s">
        <v>184</v>
      </c>
      <c r="AA3014" t="s">
        <v>185</v>
      </c>
      <c r="AB3014" t="s">
        <v>186</v>
      </c>
      <c r="AD3014" t="s">
        <v>187</v>
      </c>
      <c r="AE3014" t="s">
        <v>188</v>
      </c>
      <c r="AH3014" t="s">
        <v>72</v>
      </c>
      <c r="AI3014" t="s">
        <v>3726</v>
      </c>
      <c r="AJ3014">
        <v>1990</v>
      </c>
      <c r="AK3014" t="s">
        <v>3643</v>
      </c>
      <c r="AM3014" t="s">
        <v>3644</v>
      </c>
      <c r="AN3014" t="s">
        <v>192</v>
      </c>
      <c r="AO3014" t="s">
        <v>160</v>
      </c>
      <c r="AP3014" t="s">
        <v>359</v>
      </c>
      <c r="AR3014" t="s">
        <v>80</v>
      </c>
      <c r="AS3014">
        <v>291</v>
      </c>
      <c r="AT3014" t="s">
        <v>81</v>
      </c>
      <c r="AU3014">
        <v>-27.04</v>
      </c>
      <c r="AV3014">
        <v>-33.74</v>
      </c>
      <c r="AW3014" t="s">
        <v>82</v>
      </c>
      <c r="AX3014">
        <v>291</v>
      </c>
      <c r="AY3014" t="s">
        <v>81</v>
      </c>
      <c r="AZ3014">
        <v>-37.770000000000003</v>
      </c>
      <c r="BA3014">
        <v>-49.84</v>
      </c>
      <c r="BB3014" t="s">
        <v>83</v>
      </c>
    </row>
    <row r="3015" spans="1:54" x14ac:dyDescent="0.4">
      <c r="A3015">
        <v>923809</v>
      </c>
      <c r="D3015" t="s">
        <v>54</v>
      </c>
      <c r="G3015">
        <v>1</v>
      </c>
      <c r="H3015" t="s">
        <v>56</v>
      </c>
      <c r="I3015" t="s">
        <v>57</v>
      </c>
      <c r="K3015" t="s">
        <v>316</v>
      </c>
      <c r="L3015" t="s">
        <v>322</v>
      </c>
      <c r="M3015" t="s">
        <v>60</v>
      </c>
      <c r="P3015" t="s">
        <v>182</v>
      </c>
      <c r="R3015" t="s">
        <v>183</v>
      </c>
      <c r="S3015" t="s">
        <v>64</v>
      </c>
      <c r="T3015">
        <v>242</v>
      </c>
      <c r="U3015">
        <v>237</v>
      </c>
      <c r="V3015">
        <f t="shared" si="94"/>
        <v>239.5</v>
      </c>
      <c r="W3015">
        <f t="shared" si="95"/>
        <v>5</v>
      </c>
      <c r="X3015">
        <v>-67.833336000000003</v>
      </c>
      <c r="Y3015">
        <v>-29.783332999999999</v>
      </c>
      <c r="Z3015" t="s">
        <v>184</v>
      </c>
      <c r="AA3015" t="s">
        <v>185</v>
      </c>
      <c r="AB3015" t="s">
        <v>186</v>
      </c>
      <c r="AD3015" t="s">
        <v>187</v>
      </c>
      <c r="AE3015" t="s">
        <v>188</v>
      </c>
      <c r="AH3015" t="s">
        <v>72</v>
      </c>
      <c r="AI3015" t="s">
        <v>3726</v>
      </c>
      <c r="AJ3015">
        <v>1990</v>
      </c>
      <c r="AK3015" t="s">
        <v>3643</v>
      </c>
      <c r="AM3015" t="s">
        <v>3644</v>
      </c>
      <c r="AN3015" t="s">
        <v>192</v>
      </c>
      <c r="AO3015" t="s">
        <v>160</v>
      </c>
      <c r="AP3015" t="s">
        <v>359</v>
      </c>
      <c r="AR3015" t="s">
        <v>80</v>
      </c>
      <c r="AS3015">
        <v>291</v>
      </c>
      <c r="AT3015" t="s">
        <v>81</v>
      </c>
      <c r="AU3015">
        <v>-27.04</v>
      </c>
      <c r="AV3015">
        <v>-33.74</v>
      </c>
      <c r="AW3015" t="s">
        <v>82</v>
      </c>
      <c r="AX3015">
        <v>291</v>
      </c>
      <c r="AY3015" t="s">
        <v>81</v>
      </c>
      <c r="AZ3015">
        <v>-37.770000000000003</v>
      </c>
      <c r="BA3015">
        <v>-49.84</v>
      </c>
      <c r="BB3015" t="s">
        <v>83</v>
      </c>
    </row>
    <row r="3016" spans="1:54" x14ac:dyDescent="0.4">
      <c r="A3016">
        <v>924724</v>
      </c>
      <c r="D3016" t="s">
        <v>54</v>
      </c>
      <c r="G3016">
        <v>1</v>
      </c>
      <c r="H3016" t="s">
        <v>56</v>
      </c>
      <c r="I3016" t="s">
        <v>57</v>
      </c>
      <c r="K3016" t="s">
        <v>141</v>
      </c>
      <c r="L3016" t="s">
        <v>1442</v>
      </c>
      <c r="M3016" t="s">
        <v>60</v>
      </c>
      <c r="O3016" t="s">
        <v>87</v>
      </c>
      <c r="P3016" t="s">
        <v>182</v>
      </c>
      <c r="R3016" t="s">
        <v>183</v>
      </c>
      <c r="S3016" t="s">
        <v>64</v>
      </c>
      <c r="T3016">
        <v>242</v>
      </c>
      <c r="U3016">
        <v>237</v>
      </c>
      <c r="V3016">
        <f t="shared" si="94"/>
        <v>239.5</v>
      </c>
      <c r="W3016">
        <f t="shared" si="95"/>
        <v>5</v>
      </c>
      <c r="X3016">
        <v>-54.366698999999997</v>
      </c>
      <c r="Y3016">
        <v>-29.666699999999999</v>
      </c>
      <c r="Z3016" t="s">
        <v>124</v>
      </c>
      <c r="AA3016" t="s">
        <v>783</v>
      </c>
      <c r="AB3016" t="s">
        <v>784</v>
      </c>
      <c r="AD3016" t="s">
        <v>943</v>
      </c>
      <c r="AE3016" t="s">
        <v>786</v>
      </c>
      <c r="AG3016" t="s">
        <v>949</v>
      </c>
      <c r="AH3016" t="s">
        <v>72</v>
      </c>
      <c r="AI3016" t="s">
        <v>693</v>
      </c>
      <c r="AJ3016">
        <v>1942</v>
      </c>
      <c r="AK3016" t="s">
        <v>3727</v>
      </c>
      <c r="AM3016" t="s">
        <v>3728</v>
      </c>
      <c r="AN3016" t="s">
        <v>114</v>
      </c>
      <c r="AO3016">
        <v>4</v>
      </c>
      <c r="AP3016" t="s">
        <v>115</v>
      </c>
      <c r="AQ3016" t="s">
        <v>3729</v>
      </c>
      <c r="AR3016" t="s">
        <v>80</v>
      </c>
      <c r="AS3016">
        <v>201</v>
      </c>
      <c r="AT3016" t="s">
        <v>81</v>
      </c>
      <c r="AU3016">
        <v>-13.32</v>
      </c>
      <c r="AV3016">
        <v>-35.17</v>
      </c>
      <c r="AW3016" t="s">
        <v>82</v>
      </c>
      <c r="AX3016">
        <v>202</v>
      </c>
      <c r="AY3016" t="s">
        <v>81</v>
      </c>
      <c r="AZ3016">
        <v>-19.57</v>
      </c>
      <c r="BA3016">
        <v>-51.75</v>
      </c>
      <c r="BB3016" t="s">
        <v>83</v>
      </c>
    </row>
    <row r="3017" spans="1:54" x14ac:dyDescent="0.4">
      <c r="A3017">
        <v>924725</v>
      </c>
      <c r="D3017" t="s">
        <v>54</v>
      </c>
      <c r="I3017" t="s">
        <v>57</v>
      </c>
      <c r="K3017" t="s">
        <v>141</v>
      </c>
      <c r="L3017" t="s">
        <v>1442</v>
      </c>
      <c r="M3017" t="s">
        <v>60</v>
      </c>
      <c r="O3017" t="s">
        <v>87</v>
      </c>
      <c r="P3017" t="s">
        <v>182</v>
      </c>
      <c r="R3017" t="s">
        <v>183</v>
      </c>
      <c r="S3017" t="s">
        <v>64</v>
      </c>
      <c r="T3017">
        <v>242</v>
      </c>
      <c r="U3017">
        <v>237</v>
      </c>
      <c r="V3017">
        <f t="shared" si="94"/>
        <v>239.5</v>
      </c>
      <c r="W3017">
        <f t="shared" si="95"/>
        <v>5</v>
      </c>
      <c r="X3017">
        <v>-54.366698999999997</v>
      </c>
      <c r="Y3017">
        <v>-29.666699999999999</v>
      </c>
      <c r="Z3017" t="s">
        <v>124</v>
      </c>
      <c r="AA3017" t="s">
        <v>783</v>
      </c>
      <c r="AB3017" t="s">
        <v>784</v>
      </c>
      <c r="AD3017" t="s">
        <v>943</v>
      </c>
      <c r="AE3017" t="s">
        <v>786</v>
      </c>
      <c r="AG3017" t="s">
        <v>949</v>
      </c>
      <c r="AH3017" t="s">
        <v>72</v>
      </c>
      <c r="AI3017" t="s">
        <v>693</v>
      </c>
      <c r="AJ3017">
        <v>1942</v>
      </c>
      <c r="AK3017" t="s">
        <v>3730</v>
      </c>
      <c r="AM3017" t="s">
        <v>3728</v>
      </c>
      <c r="AN3017" t="s">
        <v>114</v>
      </c>
      <c r="AO3017">
        <v>4</v>
      </c>
      <c r="AP3017" t="s">
        <v>115</v>
      </c>
      <c r="AQ3017" t="s">
        <v>3729</v>
      </c>
      <c r="AR3017" t="s">
        <v>80</v>
      </c>
      <c r="AS3017">
        <v>201</v>
      </c>
      <c r="AT3017" t="s">
        <v>81</v>
      </c>
      <c r="AU3017">
        <v>-13.32</v>
      </c>
      <c r="AV3017">
        <v>-35.17</v>
      </c>
      <c r="AW3017" t="s">
        <v>82</v>
      </c>
      <c r="AX3017">
        <v>202</v>
      </c>
      <c r="AY3017" t="s">
        <v>81</v>
      </c>
      <c r="AZ3017">
        <v>-19.57</v>
      </c>
      <c r="BA3017">
        <v>-51.75</v>
      </c>
      <c r="BB3017" t="s">
        <v>83</v>
      </c>
    </row>
    <row r="3018" spans="1:54" x14ac:dyDescent="0.4">
      <c r="A3018">
        <v>924728</v>
      </c>
      <c r="D3018" t="s">
        <v>54</v>
      </c>
      <c r="G3018">
        <v>1</v>
      </c>
      <c r="H3018" t="s">
        <v>56</v>
      </c>
      <c r="I3018" t="s">
        <v>57</v>
      </c>
      <c r="K3018" t="s">
        <v>141</v>
      </c>
      <c r="L3018" t="s">
        <v>3731</v>
      </c>
      <c r="M3018" t="s">
        <v>60</v>
      </c>
      <c r="O3018" t="s">
        <v>87</v>
      </c>
      <c r="P3018" t="s">
        <v>182</v>
      </c>
      <c r="R3018" t="s">
        <v>183</v>
      </c>
      <c r="S3018" t="s">
        <v>64</v>
      </c>
      <c r="T3018">
        <v>242</v>
      </c>
      <c r="U3018">
        <v>237</v>
      </c>
      <c r="V3018">
        <f t="shared" si="94"/>
        <v>239.5</v>
      </c>
      <c r="W3018">
        <f t="shared" si="95"/>
        <v>5</v>
      </c>
      <c r="X3018">
        <v>-54.366698999999997</v>
      </c>
      <c r="Y3018">
        <v>-29.666699999999999</v>
      </c>
      <c r="Z3018" t="s">
        <v>124</v>
      </c>
      <c r="AA3018" t="s">
        <v>783</v>
      </c>
      <c r="AB3018" t="s">
        <v>784</v>
      </c>
      <c r="AD3018" t="s">
        <v>943</v>
      </c>
      <c r="AE3018" t="s">
        <v>786</v>
      </c>
      <c r="AG3018" t="s">
        <v>949</v>
      </c>
      <c r="AH3018" t="s">
        <v>72</v>
      </c>
      <c r="AI3018" t="s">
        <v>693</v>
      </c>
      <c r="AJ3018">
        <v>1942</v>
      </c>
      <c r="AK3018" t="s">
        <v>3732</v>
      </c>
      <c r="AM3018" t="s">
        <v>3728</v>
      </c>
      <c r="AN3018" t="s">
        <v>114</v>
      </c>
      <c r="AO3018">
        <v>4</v>
      </c>
      <c r="AP3018" t="s">
        <v>115</v>
      </c>
      <c r="AQ3018" t="s">
        <v>3729</v>
      </c>
      <c r="AR3018" t="s">
        <v>80</v>
      </c>
      <c r="AS3018">
        <v>201</v>
      </c>
      <c r="AT3018" t="s">
        <v>81</v>
      </c>
      <c r="AU3018">
        <v>-13.32</v>
      </c>
      <c r="AV3018">
        <v>-35.17</v>
      </c>
      <c r="AW3018" t="s">
        <v>82</v>
      </c>
      <c r="AX3018">
        <v>202</v>
      </c>
      <c r="AY3018" t="s">
        <v>81</v>
      </c>
      <c r="AZ3018">
        <v>-19.57</v>
      </c>
      <c r="BA3018">
        <v>-51.75</v>
      </c>
      <c r="BB3018" t="s">
        <v>83</v>
      </c>
    </row>
    <row r="3019" spans="1:54" x14ac:dyDescent="0.4">
      <c r="A3019">
        <v>929597</v>
      </c>
      <c r="D3019" t="s">
        <v>54</v>
      </c>
      <c r="E3019" t="s">
        <v>55</v>
      </c>
      <c r="G3019">
        <v>1</v>
      </c>
      <c r="H3019" t="s">
        <v>56</v>
      </c>
      <c r="I3019" t="s">
        <v>57</v>
      </c>
      <c r="K3019" t="s">
        <v>221</v>
      </c>
      <c r="L3019" t="s">
        <v>3745</v>
      </c>
      <c r="M3019" t="s">
        <v>223</v>
      </c>
      <c r="P3019" t="s">
        <v>182</v>
      </c>
      <c r="R3019" t="s">
        <v>183</v>
      </c>
      <c r="S3019" t="s">
        <v>64</v>
      </c>
      <c r="T3019">
        <v>242</v>
      </c>
      <c r="U3019">
        <v>237</v>
      </c>
      <c r="V3019">
        <f t="shared" si="94"/>
        <v>239.5</v>
      </c>
      <c r="W3019">
        <f t="shared" si="95"/>
        <v>5</v>
      </c>
      <c r="X3019">
        <v>8.9666669999999993</v>
      </c>
      <c r="Y3019">
        <v>45.983333999999999</v>
      </c>
      <c r="Z3019" t="s">
        <v>1251</v>
      </c>
      <c r="AA3019" t="s">
        <v>593</v>
      </c>
      <c r="AB3019" t="s">
        <v>603</v>
      </c>
      <c r="AC3019" t="s">
        <v>3746</v>
      </c>
      <c r="AD3019" t="s">
        <v>3747</v>
      </c>
      <c r="AH3019" t="s">
        <v>72</v>
      </c>
      <c r="AI3019" t="s">
        <v>3748</v>
      </c>
      <c r="AJ3019">
        <v>1976</v>
      </c>
      <c r="AK3019" t="s">
        <v>3749</v>
      </c>
      <c r="AN3019" t="s">
        <v>114</v>
      </c>
      <c r="AO3019" t="s">
        <v>160</v>
      </c>
      <c r="AP3019" t="s">
        <v>359</v>
      </c>
      <c r="AQ3019" t="s">
        <v>3750</v>
      </c>
      <c r="AR3019" t="s">
        <v>80</v>
      </c>
      <c r="AS3019">
        <v>307</v>
      </c>
      <c r="AT3019" t="s">
        <v>81</v>
      </c>
      <c r="AU3019">
        <v>33.71</v>
      </c>
      <c r="AV3019">
        <v>18.04</v>
      </c>
      <c r="AW3019" t="s">
        <v>82</v>
      </c>
      <c r="AX3019">
        <v>307</v>
      </c>
      <c r="AY3019" t="s">
        <v>81</v>
      </c>
      <c r="AZ3019">
        <v>20.66</v>
      </c>
      <c r="BA3019">
        <v>8.01</v>
      </c>
      <c r="BB3019" t="s">
        <v>83</v>
      </c>
    </row>
    <row r="3020" spans="1:54" x14ac:dyDescent="0.4">
      <c r="A3020">
        <v>929597</v>
      </c>
      <c r="D3020" t="s">
        <v>54</v>
      </c>
      <c r="E3020" t="s">
        <v>55</v>
      </c>
      <c r="G3020">
        <v>1</v>
      </c>
      <c r="H3020" t="s">
        <v>56</v>
      </c>
      <c r="I3020" t="s">
        <v>57</v>
      </c>
      <c r="K3020" t="s">
        <v>221</v>
      </c>
      <c r="L3020" t="s">
        <v>3745</v>
      </c>
      <c r="M3020" t="s">
        <v>223</v>
      </c>
      <c r="P3020" t="s">
        <v>182</v>
      </c>
      <c r="R3020" t="s">
        <v>183</v>
      </c>
      <c r="S3020" t="s">
        <v>64</v>
      </c>
      <c r="T3020">
        <v>242</v>
      </c>
      <c r="U3020">
        <v>237</v>
      </c>
      <c r="V3020">
        <f t="shared" si="94"/>
        <v>239.5</v>
      </c>
      <c r="W3020">
        <f t="shared" si="95"/>
        <v>5</v>
      </c>
      <c r="X3020">
        <v>8.9666669999999993</v>
      </c>
      <c r="Y3020">
        <v>45.983333999999999</v>
      </c>
      <c r="Z3020" t="s">
        <v>1251</v>
      </c>
      <c r="AA3020" t="s">
        <v>593</v>
      </c>
      <c r="AB3020" t="s">
        <v>603</v>
      </c>
      <c r="AC3020" t="s">
        <v>3746</v>
      </c>
      <c r="AD3020" t="s">
        <v>3747</v>
      </c>
      <c r="AH3020" t="s">
        <v>72</v>
      </c>
      <c r="AI3020" t="s">
        <v>3748</v>
      </c>
      <c r="AJ3020">
        <v>1976</v>
      </c>
      <c r="AK3020" t="s">
        <v>3749</v>
      </c>
      <c r="AN3020" t="s">
        <v>114</v>
      </c>
      <c r="AO3020" t="s">
        <v>160</v>
      </c>
      <c r="AP3020" t="s">
        <v>359</v>
      </c>
      <c r="AQ3020" t="s">
        <v>3750</v>
      </c>
      <c r="AR3020" t="s">
        <v>80</v>
      </c>
      <c r="AS3020">
        <v>307</v>
      </c>
      <c r="AT3020" t="s">
        <v>81</v>
      </c>
      <c r="AU3020">
        <v>33.71</v>
      </c>
      <c r="AV3020">
        <v>18.04</v>
      </c>
      <c r="AW3020" t="s">
        <v>82</v>
      </c>
      <c r="AX3020">
        <v>307</v>
      </c>
      <c r="AY3020" t="s">
        <v>81</v>
      </c>
      <c r="AZ3020">
        <v>20.66</v>
      </c>
      <c r="BA3020">
        <v>8.01</v>
      </c>
      <c r="BB3020" t="s">
        <v>83</v>
      </c>
    </row>
    <row r="3021" spans="1:54" x14ac:dyDescent="0.4">
      <c r="A3021">
        <v>930780</v>
      </c>
      <c r="D3021" t="s">
        <v>54</v>
      </c>
      <c r="E3021" t="s">
        <v>152</v>
      </c>
      <c r="G3021">
        <v>1</v>
      </c>
      <c r="H3021" t="s">
        <v>56</v>
      </c>
      <c r="I3021" t="s">
        <v>57</v>
      </c>
      <c r="K3021" t="s">
        <v>323</v>
      </c>
      <c r="L3021" t="s">
        <v>3760</v>
      </c>
      <c r="M3021" t="s">
        <v>60</v>
      </c>
      <c r="P3021" t="s">
        <v>182</v>
      </c>
      <c r="R3021" t="s">
        <v>183</v>
      </c>
      <c r="S3021" t="s">
        <v>64</v>
      </c>
      <c r="T3021">
        <v>242</v>
      </c>
      <c r="U3021">
        <v>237</v>
      </c>
      <c r="V3021">
        <f t="shared" si="94"/>
        <v>239.5</v>
      </c>
      <c r="W3021">
        <f t="shared" si="95"/>
        <v>5</v>
      </c>
      <c r="X3021">
        <v>-54.366698999999997</v>
      </c>
      <c r="Y3021">
        <v>-29.666699999999999</v>
      </c>
      <c r="Z3021" t="s">
        <v>124</v>
      </c>
      <c r="AA3021" t="s">
        <v>783</v>
      </c>
      <c r="AB3021" t="s">
        <v>784</v>
      </c>
      <c r="AC3021" t="s">
        <v>3761</v>
      </c>
      <c r="AD3021" t="s">
        <v>943</v>
      </c>
      <c r="AE3021" t="s">
        <v>786</v>
      </c>
      <c r="AG3021" t="s">
        <v>949</v>
      </c>
      <c r="AH3021" t="s">
        <v>72</v>
      </c>
      <c r="AI3021" t="s">
        <v>3762</v>
      </c>
      <c r="AJ3021">
        <v>2011</v>
      </c>
      <c r="AK3021" t="s">
        <v>3763</v>
      </c>
      <c r="AM3021" t="s">
        <v>3764</v>
      </c>
      <c r="AN3021" t="s">
        <v>114</v>
      </c>
      <c r="AO3021">
        <v>4</v>
      </c>
      <c r="AP3021" t="s">
        <v>115</v>
      </c>
      <c r="AQ3021" t="s">
        <v>3765</v>
      </c>
      <c r="AR3021" t="s">
        <v>80</v>
      </c>
      <c r="AS3021">
        <v>201</v>
      </c>
      <c r="AT3021" t="s">
        <v>81</v>
      </c>
      <c r="AU3021">
        <v>-13.32</v>
      </c>
      <c r="AV3021">
        <v>-35.17</v>
      </c>
      <c r="AW3021" t="s">
        <v>82</v>
      </c>
      <c r="AX3021">
        <v>202</v>
      </c>
      <c r="AY3021" t="s">
        <v>81</v>
      </c>
      <c r="AZ3021">
        <v>-19.57</v>
      </c>
      <c r="BA3021">
        <v>-51.75</v>
      </c>
      <c r="BB3021" t="s">
        <v>83</v>
      </c>
    </row>
    <row r="3022" spans="1:54" x14ac:dyDescent="0.4">
      <c r="A3022">
        <v>931425</v>
      </c>
      <c r="D3022" t="s">
        <v>853</v>
      </c>
      <c r="E3022" t="s">
        <v>310</v>
      </c>
      <c r="G3022">
        <v>1</v>
      </c>
      <c r="H3022" t="s">
        <v>56</v>
      </c>
      <c r="I3022" t="s">
        <v>57</v>
      </c>
      <c r="K3022" t="s">
        <v>746</v>
      </c>
      <c r="L3022" t="s">
        <v>2072</v>
      </c>
      <c r="M3022" t="s">
        <v>60</v>
      </c>
      <c r="P3022" t="s">
        <v>182</v>
      </c>
      <c r="R3022" t="s">
        <v>183</v>
      </c>
      <c r="S3022" t="s">
        <v>64</v>
      </c>
      <c r="T3022">
        <v>242</v>
      </c>
      <c r="U3022">
        <v>237</v>
      </c>
      <c r="V3022">
        <f t="shared" si="94"/>
        <v>239.5</v>
      </c>
      <c r="W3022">
        <f t="shared" si="95"/>
        <v>5</v>
      </c>
      <c r="X3022">
        <v>104.666664</v>
      </c>
      <c r="Y3022">
        <v>25.083331999999999</v>
      </c>
      <c r="Z3022" t="s">
        <v>225</v>
      </c>
      <c r="AA3022" t="s">
        <v>379</v>
      </c>
      <c r="AB3022" t="s">
        <v>828</v>
      </c>
      <c r="AC3022" t="s">
        <v>3796</v>
      </c>
      <c r="AD3022" t="s">
        <v>3251</v>
      </c>
      <c r="AF3022" t="s">
        <v>3260</v>
      </c>
      <c r="AH3022" t="s">
        <v>72</v>
      </c>
      <c r="AI3022" t="s">
        <v>1810</v>
      </c>
      <c r="AJ3022">
        <v>2007</v>
      </c>
      <c r="AK3022" t="s">
        <v>3797</v>
      </c>
      <c r="AM3022" t="s">
        <v>3796</v>
      </c>
      <c r="AN3022" t="s">
        <v>114</v>
      </c>
      <c r="AO3022" t="s">
        <v>160</v>
      </c>
      <c r="AP3022" t="s">
        <v>78</v>
      </c>
      <c r="AQ3022" t="s">
        <v>3798</v>
      </c>
      <c r="AR3022" t="s">
        <v>80</v>
      </c>
      <c r="AS3022">
        <v>611</v>
      </c>
      <c r="AT3022" t="s">
        <v>81</v>
      </c>
      <c r="AU3022">
        <v>108.16</v>
      </c>
      <c r="AV3022">
        <v>-8</v>
      </c>
      <c r="AW3022" t="s">
        <v>82</v>
      </c>
      <c r="AX3022">
        <v>611</v>
      </c>
      <c r="AY3022" t="s">
        <v>81</v>
      </c>
      <c r="AZ3022">
        <v>94</v>
      </c>
      <c r="BA3022">
        <v>16.149999999999999</v>
      </c>
      <c r="BB3022" t="s">
        <v>83</v>
      </c>
    </row>
    <row r="3023" spans="1:54" x14ac:dyDescent="0.4">
      <c r="A3023">
        <v>931425</v>
      </c>
      <c r="D3023" t="s">
        <v>853</v>
      </c>
      <c r="E3023" t="s">
        <v>310</v>
      </c>
      <c r="G3023">
        <v>1</v>
      </c>
      <c r="H3023" t="s">
        <v>56</v>
      </c>
      <c r="I3023" t="s">
        <v>57</v>
      </c>
      <c r="K3023" t="s">
        <v>746</v>
      </c>
      <c r="L3023" t="s">
        <v>2072</v>
      </c>
      <c r="M3023" t="s">
        <v>60</v>
      </c>
      <c r="P3023" t="s">
        <v>182</v>
      </c>
      <c r="R3023" t="s">
        <v>183</v>
      </c>
      <c r="S3023" t="s">
        <v>64</v>
      </c>
      <c r="T3023">
        <v>242</v>
      </c>
      <c r="U3023">
        <v>237</v>
      </c>
      <c r="V3023">
        <f t="shared" si="94"/>
        <v>239.5</v>
      </c>
      <c r="W3023">
        <f t="shared" si="95"/>
        <v>5</v>
      </c>
      <c r="X3023">
        <v>104.666664</v>
      </c>
      <c r="Y3023">
        <v>25.083331999999999</v>
      </c>
      <c r="Z3023" t="s">
        <v>225</v>
      </c>
      <c r="AA3023" t="s">
        <v>379</v>
      </c>
      <c r="AB3023" t="s">
        <v>828</v>
      </c>
      <c r="AC3023" t="s">
        <v>3796</v>
      </c>
      <c r="AD3023" t="s">
        <v>3251</v>
      </c>
      <c r="AF3023" t="s">
        <v>3260</v>
      </c>
      <c r="AH3023" t="s">
        <v>72</v>
      </c>
      <c r="AI3023" t="s">
        <v>1810</v>
      </c>
      <c r="AJ3023">
        <v>2007</v>
      </c>
      <c r="AK3023" t="s">
        <v>3797</v>
      </c>
      <c r="AM3023" t="s">
        <v>3796</v>
      </c>
      <c r="AN3023" t="s">
        <v>114</v>
      </c>
      <c r="AO3023" t="s">
        <v>160</v>
      </c>
      <c r="AP3023" t="s">
        <v>78</v>
      </c>
      <c r="AQ3023" t="s">
        <v>3798</v>
      </c>
      <c r="AR3023" t="s">
        <v>80</v>
      </c>
      <c r="AS3023">
        <v>611</v>
      </c>
      <c r="AT3023" t="s">
        <v>81</v>
      </c>
      <c r="AU3023">
        <v>108.16</v>
      </c>
      <c r="AV3023">
        <v>-8</v>
      </c>
      <c r="AW3023" t="s">
        <v>82</v>
      </c>
      <c r="AX3023">
        <v>611</v>
      </c>
      <c r="AY3023" t="s">
        <v>81</v>
      </c>
      <c r="AZ3023">
        <v>94</v>
      </c>
      <c r="BA3023">
        <v>16.149999999999999</v>
      </c>
      <c r="BB3023" t="s">
        <v>83</v>
      </c>
    </row>
    <row r="3024" spans="1:54" x14ac:dyDescent="0.4">
      <c r="A3024">
        <v>931426</v>
      </c>
      <c r="D3024" t="s">
        <v>853</v>
      </c>
      <c r="E3024" t="s">
        <v>310</v>
      </c>
      <c r="I3024" t="s">
        <v>57</v>
      </c>
      <c r="K3024" t="s">
        <v>3362</v>
      </c>
      <c r="L3024" t="s">
        <v>3363</v>
      </c>
      <c r="M3024" t="s">
        <v>223</v>
      </c>
      <c r="P3024" t="s">
        <v>182</v>
      </c>
      <c r="R3024" t="s">
        <v>183</v>
      </c>
      <c r="S3024" t="s">
        <v>64</v>
      </c>
      <c r="T3024">
        <v>242</v>
      </c>
      <c r="U3024">
        <v>237</v>
      </c>
      <c r="V3024">
        <f t="shared" si="94"/>
        <v>239.5</v>
      </c>
      <c r="W3024">
        <f t="shared" si="95"/>
        <v>5</v>
      </c>
      <c r="X3024">
        <v>104.666664</v>
      </c>
      <c r="Y3024">
        <v>25.083331999999999</v>
      </c>
      <c r="Z3024" t="s">
        <v>225</v>
      </c>
      <c r="AA3024" t="s">
        <v>379</v>
      </c>
      <c r="AB3024" t="s">
        <v>828</v>
      </c>
      <c r="AC3024" t="s">
        <v>3796</v>
      </c>
      <c r="AD3024" t="s">
        <v>3251</v>
      </c>
      <c r="AF3024" t="s">
        <v>3260</v>
      </c>
      <c r="AH3024" t="s">
        <v>11</v>
      </c>
      <c r="AI3024" t="s">
        <v>1810</v>
      </c>
      <c r="AJ3024">
        <v>2007</v>
      </c>
      <c r="AK3024" t="s">
        <v>3797</v>
      </c>
      <c r="AM3024" t="s">
        <v>3796</v>
      </c>
      <c r="AN3024" t="s">
        <v>114</v>
      </c>
      <c r="AO3024" t="s">
        <v>160</v>
      </c>
      <c r="AP3024" t="s">
        <v>78</v>
      </c>
      <c r="AQ3024" t="s">
        <v>3798</v>
      </c>
      <c r="AR3024" t="s">
        <v>80</v>
      </c>
      <c r="AS3024">
        <v>611</v>
      </c>
      <c r="AT3024" t="s">
        <v>81</v>
      </c>
      <c r="AU3024">
        <v>108.16</v>
      </c>
      <c r="AV3024">
        <v>-8</v>
      </c>
      <c r="AW3024" t="s">
        <v>82</v>
      </c>
      <c r="AX3024">
        <v>611</v>
      </c>
      <c r="AY3024" t="s">
        <v>81</v>
      </c>
      <c r="AZ3024">
        <v>94</v>
      </c>
      <c r="BA3024">
        <v>16.149999999999999</v>
      </c>
      <c r="BB3024" t="s">
        <v>83</v>
      </c>
    </row>
    <row r="3025" spans="1:54" x14ac:dyDescent="0.4">
      <c r="A3025">
        <v>931597</v>
      </c>
      <c r="D3025" t="s">
        <v>599</v>
      </c>
      <c r="I3025" t="s">
        <v>57</v>
      </c>
      <c r="K3025" t="s">
        <v>746</v>
      </c>
      <c r="L3025" t="s">
        <v>1357</v>
      </c>
      <c r="M3025" t="s">
        <v>60</v>
      </c>
      <c r="N3025" t="s">
        <v>119</v>
      </c>
      <c r="O3025" t="s">
        <v>345</v>
      </c>
      <c r="P3025" t="s">
        <v>182</v>
      </c>
      <c r="R3025" t="s">
        <v>183</v>
      </c>
      <c r="S3025" t="s">
        <v>64</v>
      </c>
      <c r="T3025">
        <v>242</v>
      </c>
      <c r="U3025">
        <v>237</v>
      </c>
      <c r="V3025">
        <f t="shared" si="94"/>
        <v>239.5</v>
      </c>
      <c r="W3025">
        <f t="shared" si="95"/>
        <v>5</v>
      </c>
      <c r="X3025">
        <v>8.9499999999999993</v>
      </c>
      <c r="Y3025">
        <v>45.900002000000001</v>
      </c>
      <c r="Z3025" t="s">
        <v>1361</v>
      </c>
      <c r="AA3025" t="s">
        <v>226</v>
      </c>
      <c r="AB3025" t="s">
        <v>2079</v>
      </c>
      <c r="AD3025" t="s">
        <v>3799</v>
      </c>
      <c r="AF3025" t="s">
        <v>3800</v>
      </c>
      <c r="AH3025" t="s">
        <v>72</v>
      </c>
      <c r="AI3025" t="s">
        <v>3094</v>
      </c>
      <c r="AJ3025">
        <v>2005</v>
      </c>
      <c r="AK3025" t="s">
        <v>3801</v>
      </c>
      <c r="AM3025" t="s">
        <v>2108</v>
      </c>
      <c r="AN3025" t="s">
        <v>192</v>
      </c>
      <c r="AO3025" t="s">
        <v>160</v>
      </c>
      <c r="AP3025" t="s">
        <v>115</v>
      </c>
      <c r="AQ3025" t="s">
        <v>3802</v>
      </c>
      <c r="AR3025" t="s">
        <v>80</v>
      </c>
      <c r="AS3025">
        <v>307</v>
      </c>
      <c r="AT3025" t="s">
        <v>81</v>
      </c>
      <c r="AU3025">
        <v>33.630000000000003</v>
      </c>
      <c r="AV3025">
        <v>18.02</v>
      </c>
      <c r="AW3025" t="s">
        <v>82</v>
      </c>
      <c r="AX3025">
        <v>307</v>
      </c>
      <c r="AY3025" t="s">
        <v>81</v>
      </c>
      <c r="AZ3025">
        <v>20.6</v>
      </c>
      <c r="BA3025">
        <v>7.95</v>
      </c>
      <c r="BB3025" t="s">
        <v>83</v>
      </c>
    </row>
    <row r="3026" spans="1:54" x14ac:dyDescent="0.4">
      <c r="A3026">
        <v>931661</v>
      </c>
      <c r="D3026" t="s">
        <v>54</v>
      </c>
      <c r="G3026">
        <v>1</v>
      </c>
      <c r="H3026" t="s">
        <v>421</v>
      </c>
      <c r="I3026" t="s">
        <v>57</v>
      </c>
      <c r="K3026" t="s">
        <v>771</v>
      </c>
      <c r="L3026" t="s">
        <v>772</v>
      </c>
      <c r="M3026" t="s">
        <v>223</v>
      </c>
      <c r="P3026" t="s">
        <v>182</v>
      </c>
      <c r="R3026" t="s">
        <v>183</v>
      </c>
      <c r="S3026" t="s">
        <v>64</v>
      </c>
      <c r="T3026">
        <v>242</v>
      </c>
      <c r="U3026">
        <v>237</v>
      </c>
      <c r="V3026">
        <f t="shared" si="94"/>
        <v>239.5</v>
      </c>
      <c r="W3026">
        <f t="shared" si="95"/>
        <v>5</v>
      </c>
      <c r="X3026">
        <v>9.7711109999999994</v>
      </c>
      <c r="Y3026">
        <v>49.038891</v>
      </c>
      <c r="Z3026" t="s">
        <v>124</v>
      </c>
      <c r="AA3026" t="s">
        <v>211</v>
      </c>
      <c r="AB3026" t="s">
        <v>212</v>
      </c>
      <c r="AD3026" t="s">
        <v>960</v>
      </c>
      <c r="AE3026" t="s">
        <v>215</v>
      </c>
      <c r="AF3026" t="s">
        <v>961</v>
      </c>
      <c r="AH3026" t="s">
        <v>11</v>
      </c>
      <c r="AI3026" t="s">
        <v>365</v>
      </c>
      <c r="AJ3026">
        <v>2001</v>
      </c>
      <c r="AK3026" t="s">
        <v>963</v>
      </c>
      <c r="AM3026" t="s">
        <v>964</v>
      </c>
      <c r="AN3026" t="s">
        <v>114</v>
      </c>
      <c r="AO3026">
        <v>5</v>
      </c>
      <c r="AP3026" t="s">
        <v>115</v>
      </c>
      <c r="AQ3026" t="s">
        <v>965</v>
      </c>
      <c r="AR3026" t="s">
        <v>80</v>
      </c>
      <c r="AS3026">
        <v>305</v>
      </c>
      <c r="AT3026" t="s">
        <v>81</v>
      </c>
      <c r="AU3026">
        <v>28.12</v>
      </c>
      <c r="AV3026">
        <v>28.71</v>
      </c>
      <c r="AW3026" t="s">
        <v>82</v>
      </c>
      <c r="AX3026">
        <v>305</v>
      </c>
      <c r="AY3026" t="s">
        <v>81</v>
      </c>
      <c r="AZ3026">
        <v>17.82</v>
      </c>
      <c r="BA3026">
        <v>15.3</v>
      </c>
      <c r="BB3026" t="s">
        <v>83</v>
      </c>
    </row>
    <row r="3027" spans="1:54" x14ac:dyDescent="0.4">
      <c r="A3027">
        <v>931662</v>
      </c>
      <c r="D3027" t="s">
        <v>54</v>
      </c>
      <c r="G3027">
        <v>1</v>
      </c>
      <c r="H3027" t="s">
        <v>421</v>
      </c>
      <c r="I3027" t="s">
        <v>57</v>
      </c>
      <c r="K3027" t="s">
        <v>746</v>
      </c>
      <c r="L3027" t="s">
        <v>1357</v>
      </c>
      <c r="M3027" t="s">
        <v>60</v>
      </c>
      <c r="N3027" t="s">
        <v>119</v>
      </c>
      <c r="O3027" t="s">
        <v>345</v>
      </c>
      <c r="P3027" t="s">
        <v>182</v>
      </c>
      <c r="R3027" t="s">
        <v>183</v>
      </c>
      <c r="S3027" t="s">
        <v>64</v>
      </c>
      <c r="T3027">
        <v>242</v>
      </c>
      <c r="U3027">
        <v>237</v>
      </c>
      <c r="V3027">
        <f t="shared" si="94"/>
        <v>239.5</v>
      </c>
      <c r="W3027">
        <f t="shared" si="95"/>
        <v>5</v>
      </c>
      <c r="X3027">
        <v>9.7711109999999994</v>
      </c>
      <c r="Y3027">
        <v>49.038891</v>
      </c>
      <c r="Z3027" t="s">
        <v>124</v>
      </c>
      <c r="AA3027" t="s">
        <v>211</v>
      </c>
      <c r="AB3027" t="s">
        <v>212</v>
      </c>
      <c r="AD3027" t="s">
        <v>960</v>
      </c>
      <c r="AE3027" t="s">
        <v>215</v>
      </c>
      <c r="AF3027" t="s">
        <v>961</v>
      </c>
      <c r="AH3027" t="s">
        <v>11</v>
      </c>
      <c r="AI3027" t="s">
        <v>365</v>
      </c>
      <c r="AJ3027">
        <v>2001</v>
      </c>
      <c r="AK3027" t="s">
        <v>963</v>
      </c>
      <c r="AM3027" t="s">
        <v>964</v>
      </c>
      <c r="AN3027" t="s">
        <v>114</v>
      </c>
      <c r="AO3027">
        <v>5</v>
      </c>
      <c r="AP3027" t="s">
        <v>115</v>
      </c>
      <c r="AQ3027" t="s">
        <v>965</v>
      </c>
      <c r="AR3027" t="s">
        <v>80</v>
      </c>
      <c r="AS3027">
        <v>305</v>
      </c>
      <c r="AT3027" t="s">
        <v>81</v>
      </c>
      <c r="AU3027">
        <v>28.12</v>
      </c>
      <c r="AV3027">
        <v>28.71</v>
      </c>
      <c r="AW3027" t="s">
        <v>82</v>
      </c>
      <c r="AX3027">
        <v>305</v>
      </c>
      <c r="AY3027" t="s">
        <v>81</v>
      </c>
      <c r="AZ3027">
        <v>17.82</v>
      </c>
      <c r="BA3027">
        <v>15.3</v>
      </c>
      <c r="BB3027" t="s">
        <v>83</v>
      </c>
    </row>
    <row r="3028" spans="1:54" x14ac:dyDescent="0.4">
      <c r="A3028">
        <v>933819</v>
      </c>
      <c r="D3028" t="s">
        <v>54</v>
      </c>
      <c r="E3028" t="s">
        <v>55</v>
      </c>
      <c r="F3028" t="s">
        <v>600</v>
      </c>
      <c r="G3028">
        <v>1</v>
      </c>
      <c r="H3028" t="s">
        <v>56</v>
      </c>
      <c r="I3028" t="s">
        <v>57</v>
      </c>
      <c r="K3028" t="s">
        <v>141</v>
      </c>
      <c r="L3028" t="s">
        <v>3834</v>
      </c>
      <c r="M3028" t="s">
        <v>60</v>
      </c>
      <c r="O3028" t="s">
        <v>87</v>
      </c>
      <c r="P3028" t="s">
        <v>182</v>
      </c>
      <c r="R3028" t="s">
        <v>183</v>
      </c>
      <c r="S3028" t="s">
        <v>64</v>
      </c>
      <c r="T3028">
        <v>242</v>
      </c>
      <c r="U3028">
        <v>237</v>
      </c>
      <c r="V3028">
        <f t="shared" si="94"/>
        <v>239.5</v>
      </c>
      <c r="W3028">
        <f t="shared" si="95"/>
        <v>5</v>
      </c>
      <c r="X3028">
        <v>-53.368609999999997</v>
      </c>
      <c r="Y3028">
        <v>-29.627222</v>
      </c>
      <c r="Z3028" t="s">
        <v>734</v>
      </c>
      <c r="AA3028" t="s">
        <v>783</v>
      </c>
      <c r="AB3028" t="s">
        <v>784</v>
      </c>
      <c r="AD3028" t="s">
        <v>943</v>
      </c>
      <c r="AE3028" t="s">
        <v>786</v>
      </c>
      <c r="AF3028" t="s">
        <v>944</v>
      </c>
      <c r="AG3028" t="s">
        <v>949</v>
      </c>
      <c r="AH3028" t="s">
        <v>72</v>
      </c>
      <c r="AI3028" t="s">
        <v>3835</v>
      </c>
      <c r="AJ3028">
        <v>2011</v>
      </c>
      <c r="AK3028" t="s">
        <v>3836</v>
      </c>
      <c r="AM3028" t="s">
        <v>3837</v>
      </c>
      <c r="AN3028" t="s">
        <v>76</v>
      </c>
      <c r="AO3028" t="s">
        <v>77</v>
      </c>
      <c r="AP3028" t="s">
        <v>115</v>
      </c>
      <c r="AQ3028" t="s">
        <v>3838</v>
      </c>
      <c r="AR3028" t="s">
        <v>80</v>
      </c>
      <c r="AS3028">
        <v>201</v>
      </c>
      <c r="AT3028" t="s">
        <v>81</v>
      </c>
      <c r="AU3028">
        <v>-12.26</v>
      </c>
      <c r="AV3028">
        <v>-35.15</v>
      </c>
      <c r="AW3028" t="s">
        <v>82</v>
      </c>
      <c r="AX3028">
        <v>202</v>
      </c>
      <c r="AY3028" t="s">
        <v>81</v>
      </c>
      <c r="AZ3028">
        <v>-18.170000000000002</v>
      </c>
      <c r="BA3028">
        <v>-51.71</v>
      </c>
      <c r="BB3028" t="s">
        <v>83</v>
      </c>
    </row>
    <row r="3029" spans="1:54" x14ac:dyDescent="0.4">
      <c r="A3029">
        <v>933819</v>
      </c>
      <c r="D3029" t="s">
        <v>54</v>
      </c>
      <c r="E3029" t="s">
        <v>55</v>
      </c>
      <c r="F3029" t="s">
        <v>600</v>
      </c>
      <c r="G3029">
        <v>1</v>
      </c>
      <c r="H3029" t="s">
        <v>56</v>
      </c>
      <c r="I3029" t="s">
        <v>57</v>
      </c>
      <c r="K3029" t="s">
        <v>141</v>
      </c>
      <c r="L3029" t="s">
        <v>3834</v>
      </c>
      <c r="M3029" t="s">
        <v>60</v>
      </c>
      <c r="O3029" t="s">
        <v>87</v>
      </c>
      <c r="P3029" t="s">
        <v>182</v>
      </c>
      <c r="R3029" t="s">
        <v>183</v>
      </c>
      <c r="S3029" t="s">
        <v>64</v>
      </c>
      <c r="T3029">
        <v>242</v>
      </c>
      <c r="U3029">
        <v>237</v>
      </c>
      <c r="V3029">
        <f t="shared" si="94"/>
        <v>239.5</v>
      </c>
      <c r="W3029">
        <f t="shared" si="95"/>
        <v>5</v>
      </c>
      <c r="X3029">
        <v>-53.368609999999997</v>
      </c>
      <c r="Y3029">
        <v>-29.627222</v>
      </c>
      <c r="Z3029" t="s">
        <v>734</v>
      </c>
      <c r="AA3029" t="s">
        <v>783</v>
      </c>
      <c r="AB3029" t="s">
        <v>784</v>
      </c>
      <c r="AD3029" t="s">
        <v>943</v>
      </c>
      <c r="AE3029" t="s">
        <v>786</v>
      </c>
      <c r="AF3029" t="s">
        <v>944</v>
      </c>
      <c r="AG3029" t="s">
        <v>949</v>
      </c>
      <c r="AH3029" t="s">
        <v>72</v>
      </c>
      <c r="AI3029" t="s">
        <v>3835</v>
      </c>
      <c r="AJ3029">
        <v>2011</v>
      </c>
      <c r="AK3029" t="s">
        <v>3836</v>
      </c>
      <c r="AM3029" t="s">
        <v>3837</v>
      </c>
      <c r="AN3029" t="s">
        <v>76</v>
      </c>
      <c r="AO3029" t="s">
        <v>77</v>
      </c>
      <c r="AP3029" t="s">
        <v>115</v>
      </c>
      <c r="AQ3029" t="s">
        <v>3838</v>
      </c>
      <c r="AR3029" t="s">
        <v>80</v>
      </c>
      <c r="AS3029">
        <v>201</v>
      </c>
      <c r="AT3029" t="s">
        <v>81</v>
      </c>
      <c r="AU3029">
        <v>-12.26</v>
      </c>
      <c r="AV3029">
        <v>-35.15</v>
      </c>
      <c r="AW3029" t="s">
        <v>82</v>
      </c>
      <c r="AX3029">
        <v>202</v>
      </c>
      <c r="AY3029" t="s">
        <v>81</v>
      </c>
      <c r="AZ3029">
        <v>-18.170000000000002</v>
      </c>
      <c r="BA3029">
        <v>-51.71</v>
      </c>
      <c r="BB3029" t="s">
        <v>83</v>
      </c>
    </row>
    <row r="3030" spans="1:54" x14ac:dyDescent="0.4">
      <c r="A3030">
        <v>933819</v>
      </c>
      <c r="D3030" t="s">
        <v>54</v>
      </c>
      <c r="E3030" t="s">
        <v>55</v>
      </c>
      <c r="F3030" t="s">
        <v>600</v>
      </c>
      <c r="G3030">
        <v>1</v>
      </c>
      <c r="H3030" t="s">
        <v>56</v>
      </c>
      <c r="I3030" t="s">
        <v>57</v>
      </c>
      <c r="K3030" t="s">
        <v>141</v>
      </c>
      <c r="L3030" t="s">
        <v>3834</v>
      </c>
      <c r="M3030" t="s">
        <v>60</v>
      </c>
      <c r="O3030" t="s">
        <v>87</v>
      </c>
      <c r="P3030" t="s">
        <v>182</v>
      </c>
      <c r="R3030" t="s">
        <v>183</v>
      </c>
      <c r="S3030" t="s">
        <v>64</v>
      </c>
      <c r="T3030">
        <v>242</v>
      </c>
      <c r="U3030">
        <v>237</v>
      </c>
      <c r="V3030">
        <f t="shared" si="94"/>
        <v>239.5</v>
      </c>
      <c r="W3030">
        <f t="shared" si="95"/>
        <v>5</v>
      </c>
      <c r="X3030">
        <v>-53.368609999999997</v>
      </c>
      <c r="Y3030">
        <v>-29.627222</v>
      </c>
      <c r="Z3030" t="s">
        <v>734</v>
      </c>
      <c r="AA3030" t="s">
        <v>783</v>
      </c>
      <c r="AB3030" t="s">
        <v>784</v>
      </c>
      <c r="AD3030" t="s">
        <v>943</v>
      </c>
      <c r="AE3030" t="s">
        <v>786</v>
      </c>
      <c r="AF3030" t="s">
        <v>944</v>
      </c>
      <c r="AG3030" t="s">
        <v>949</v>
      </c>
      <c r="AH3030" t="s">
        <v>72</v>
      </c>
      <c r="AI3030" t="s">
        <v>3835</v>
      </c>
      <c r="AJ3030">
        <v>2011</v>
      </c>
      <c r="AK3030" t="s">
        <v>3836</v>
      </c>
      <c r="AM3030" t="s">
        <v>3837</v>
      </c>
      <c r="AN3030" t="s">
        <v>76</v>
      </c>
      <c r="AO3030" t="s">
        <v>77</v>
      </c>
      <c r="AP3030" t="s">
        <v>115</v>
      </c>
      <c r="AQ3030" t="s">
        <v>3838</v>
      </c>
      <c r="AR3030" t="s">
        <v>80</v>
      </c>
      <c r="AS3030">
        <v>201</v>
      </c>
      <c r="AT3030" t="s">
        <v>81</v>
      </c>
      <c r="AU3030">
        <v>-12.26</v>
      </c>
      <c r="AV3030">
        <v>-35.15</v>
      </c>
      <c r="AW3030" t="s">
        <v>82</v>
      </c>
      <c r="AX3030">
        <v>202</v>
      </c>
      <c r="AY3030" t="s">
        <v>81</v>
      </c>
      <c r="AZ3030">
        <v>-18.170000000000002</v>
      </c>
      <c r="BA3030">
        <v>-51.71</v>
      </c>
      <c r="BB3030" t="s">
        <v>83</v>
      </c>
    </row>
    <row r="3031" spans="1:54" x14ac:dyDescent="0.4">
      <c r="A3031">
        <v>933819</v>
      </c>
      <c r="D3031" t="s">
        <v>54</v>
      </c>
      <c r="E3031" t="s">
        <v>55</v>
      </c>
      <c r="F3031" t="s">
        <v>600</v>
      </c>
      <c r="G3031">
        <v>1</v>
      </c>
      <c r="H3031" t="s">
        <v>56</v>
      </c>
      <c r="I3031" t="s">
        <v>57</v>
      </c>
      <c r="K3031" t="s">
        <v>141</v>
      </c>
      <c r="L3031" t="s">
        <v>3834</v>
      </c>
      <c r="M3031" t="s">
        <v>60</v>
      </c>
      <c r="O3031" t="s">
        <v>87</v>
      </c>
      <c r="P3031" t="s">
        <v>182</v>
      </c>
      <c r="R3031" t="s">
        <v>183</v>
      </c>
      <c r="S3031" t="s">
        <v>64</v>
      </c>
      <c r="T3031">
        <v>242</v>
      </c>
      <c r="U3031">
        <v>237</v>
      </c>
      <c r="V3031">
        <f t="shared" si="94"/>
        <v>239.5</v>
      </c>
      <c r="W3031">
        <f t="shared" si="95"/>
        <v>5</v>
      </c>
      <c r="X3031">
        <v>-53.368609999999997</v>
      </c>
      <c r="Y3031">
        <v>-29.627222</v>
      </c>
      <c r="Z3031" t="s">
        <v>734</v>
      </c>
      <c r="AA3031" t="s">
        <v>783</v>
      </c>
      <c r="AB3031" t="s">
        <v>784</v>
      </c>
      <c r="AD3031" t="s">
        <v>943</v>
      </c>
      <c r="AE3031" t="s">
        <v>786</v>
      </c>
      <c r="AF3031" t="s">
        <v>944</v>
      </c>
      <c r="AG3031" t="s">
        <v>949</v>
      </c>
      <c r="AH3031" t="s">
        <v>72</v>
      </c>
      <c r="AI3031" t="s">
        <v>3835</v>
      </c>
      <c r="AJ3031">
        <v>2011</v>
      </c>
      <c r="AK3031" t="s">
        <v>3836</v>
      </c>
      <c r="AM3031" t="s">
        <v>3837</v>
      </c>
      <c r="AN3031" t="s">
        <v>76</v>
      </c>
      <c r="AO3031" t="s">
        <v>77</v>
      </c>
      <c r="AP3031" t="s">
        <v>115</v>
      </c>
      <c r="AQ3031" t="s">
        <v>3838</v>
      </c>
      <c r="AR3031" t="s">
        <v>80</v>
      </c>
      <c r="AS3031">
        <v>201</v>
      </c>
      <c r="AT3031" t="s">
        <v>81</v>
      </c>
      <c r="AU3031">
        <v>-12.26</v>
      </c>
      <c r="AV3031">
        <v>-35.15</v>
      </c>
      <c r="AW3031" t="s">
        <v>82</v>
      </c>
      <c r="AX3031">
        <v>202</v>
      </c>
      <c r="AY3031" t="s">
        <v>81</v>
      </c>
      <c r="AZ3031">
        <v>-18.170000000000002</v>
      </c>
      <c r="BA3031">
        <v>-51.71</v>
      </c>
      <c r="BB3031" t="s">
        <v>83</v>
      </c>
    </row>
    <row r="3032" spans="1:54" x14ac:dyDescent="0.4">
      <c r="A3032">
        <v>933819</v>
      </c>
      <c r="D3032" t="s">
        <v>54</v>
      </c>
      <c r="E3032" t="s">
        <v>55</v>
      </c>
      <c r="F3032" t="s">
        <v>600</v>
      </c>
      <c r="G3032">
        <v>1</v>
      </c>
      <c r="H3032" t="s">
        <v>56</v>
      </c>
      <c r="I3032" t="s">
        <v>57</v>
      </c>
      <c r="K3032" t="s">
        <v>141</v>
      </c>
      <c r="L3032" t="s">
        <v>3834</v>
      </c>
      <c r="M3032" t="s">
        <v>60</v>
      </c>
      <c r="O3032" t="s">
        <v>87</v>
      </c>
      <c r="P3032" t="s">
        <v>182</v>
      </c>
      <c r="R3032" t="s">
        <v>183</v>
      </c>
      <c r="S3032" t="s">
        <v>64</v>
      </c>
      <c r="T3032">
        <v>242</v>
      </c>
      <c r="U3032">
        <v>237</v>
      </c>
      <c r="V3032">
        <f t="shared" si="94"/>
        <v>239.5</v>
      </c>
      <c r="W3032">
        <f t="shared" si="95"/>
        <v>5</v>
      </c>
      <c r="X3032">
        <v>-53.368609999999997</v>
      </c>
      <c r="Y3032">
        <v>-29.627222</v>
      </c>
      <c r="Z3032" t="s">
        <v>734</v>
      </c>
      <c r="AA3032" t="s">
        <v>783</v>
      </c>
      <c r="AB3032" t="s">
        <v>784</v>
      </c>
      <c r="AD3032" t="s">
        <v>943</v>
      </c>
      <c r="AE3032" t="s">
        <v>786</v>
      </c>
      <c r="AF3032" t="s">
        <v>944</v>
      </c>
      <c r="AG3032" t="s">
        <v>949</v>
      </c>
      <c r="AH3032" t="s">
        <v>72</v>
      </c>
      <c r="AI3032" t="s">
        <v>3835</v>
      </c>
      <c r="AJ3032">
        <v>2011</v>
      </c>
      <c r="AK3032" t="s">
        <v>3836</v>
      </c>
      <c r="AM3032" t="s">
        <v>3837</v>
      </c>
      <c r="AN3032" t="s">
        <v>76</v>
      </c>
      <c r="AO3032" t="s">
        <v>77</v>
      </c>
      <c r="AP3032" t="s">
        <v>115</v>
      </c>
      <c r="AQ3032" t="s">
        <v>3838</v>
      </c>
      <c r="AR3032" t="s">
        <v>80</v>
      </c>
      <c r="AS3032">
        <v>201</v>
      </c>
      <c r="AT3032" t="s">
        <v>81</v>
      </c>
      <c r="AU3032">
        <v>-12.26</v>
      </c>
      <c r="AV3032">
        <v>-35.15</v>
      </c>
      <c r="AW3032" t="s">
        <v>82</v>
      </c>
      <c r="AX3032">
        <v>202</v>
      </c>
      <c r="AY3032" t="s">
        <v>81</v>
      </c>
      <c r="AZ3032">
        <v>-18.170000000000002</v>
      </c>
      <c r="BA3032">
        <v>-51.71</v>
      </c>
      <c r="BB3032" t="s">
        <v>83</v>
      </c>
    </row>
    <row r="3033" spans="1:54" x14ac:dyDescent="0.4">
      <c r="A3033">
        <v>933819</v>
      </c>
      <c r="D3033" t="s">
        <v>54</v>
      </c>
      <c r="E3033" t="s">
        <v>55</v>
      </c>
      <c r="F3033" t="s">
        <v>600</v>
      </c>
      <c r="G3033">
        <v>1</v>
      </c>
      <c r="H3033" t="s">
        <v>56</v>
      </c>
      <c r="I3033" t="s">
        <v>57</v>
      </c>
      <c r="K3033" t="s">
        <v>141</v>
      </c>
      <c r="L3033" t="s">
        <v>3834</v>
      </c>
      <c r="M3033" t="s">
        <v>60</v>
      </c>
      <c r="O3033" t="s">
        <v>87</v>
      </c>
      <c r="P3033" t="s">
        <v>182</v>
      </c>
      <c r="R3033" t="s">
        <v>183</v>
      </c>
      <c r="S3033" t="s">
        <v>64</v>
      </c>
      <c r="T3033">
        <v>242</v>
      </c>
      <c r="U3033">
        <v>237</v>
      </c>
      <c r="V3033">
        <f t="shared" si="94"/>
        <v>239.5</v>
      </c>
      <c r="W3033">
        <f t="shared" si="95"/>
        <v>5</v>
      </c>
      <c r="X3033">
        <v>-53.368609999999997</v>
      </c>
      <c r="Y3033">
        <v>-29.627222</v>
      </c>
      <c r="Z3033" t="s">
        <v>734</v>
      </c>
      <c r="AA3033" t="s">
        <v>783</v>
      </c>
      <c r="AB3033" t="s">
        <v>784</v>
      </c>
      <c r="AD3033" t="s">
        <v>943</v>
      </c>
      <c r="AE3033" t="s">
        <v>786</v>
      </c>
      <c r="AF3033" t="s">
        <v>944</v>
      </c>
      <c r="AG3033" t="s">
        <v>949</v>
      </c>
      <c r="AH3033" t="s">
        <v>72</v>
      </c>
      <c r="AI3033" t="s">
        <v>3835</v>
      </c>
      <c r="AJ3033">
        <v>2011</v>
      </c>
      <c r="AK3033" t="s">
        <v>3836</v>
      </c>
      <c r="AM3033" t="s">
        <v>3837</v>
      </c>
      <c r="AN3033" t="s">
        <v>76</v>
      </c>
      <c r="AO3033" t="s">
        <v>77</v>
      </c>
      <c r="AP3033" t="s">
        <v>115</v>
      </c>
      <c r="AQ3033" t="s">
        <v>3838</v>
      </c>
      <c r="AR3033" t="s">
        <v>80</v>
      </c>
      <c r="AS3033">
        <v>201</v>
      </c>
      <c r="AT3033" t="s">
        <v>81</v>
      </c>
      <c r="AU3033">
        <v>-12.26</v>
      </c>
      <c r="AV3033">
        <v>-35.15</v>
      </c>
      <c r="AW3033" t="s">
        <v>82</v>
      </c>
      <c r="AX3033">
        <v>202</v>
      </c>
      <c r="AY3033" t="s">
        <v>81</v>
      </c>
      <c r="AZ3033">
        <v>-18.170000000000002</v>
      </c>
      <c r="BA3033">
        <v>-51.71</v>
      </c>
      <c r="BB3033" t="s">
        <v>83</v>
      </c>
    </row>
    <row r="3034" spans="1:54" x14ac:dyDescent="0.4">
      <c r="A3034">
        <v>933819</v>
      </c>
      <c r="D3034" t="s">
        <v>54</v>
      </c>
      <c r="E3034" t="s">
        <v>55</v>
      </c>
      <c r="F3034" t="s">
        <v>600</v>
      </c>
      <c r="G3034">
        <v>1</v>
      </c>
      <c r="H3034" t="s">
        <v>56</v>
      </c>
      <c r="I3034" t="s">
        <v>57</v>
      </c>
      <c r="K3034" t="s">
        <v>141</v>
      </c>
      <c r="L3034" t="s">
        <v>3834</v>
      </c>
      <c r="M3034" t="s">
        <v>60</v>
      </c>
      <c r="O3034" t="s">
        <v>87</v>
      </c>
      <c r="P3034" t="s">
        <v>182</v>
      </c>
      <c r="R3034" t="s">
        <v>183</v>
      </c>
      <c r="S3034" t="s">
        <v>64</v>
      </c>
      <c r="T3034">
        <v>242</v>
      </c>
      <c r="U3034">
        <v>237</v>
      </c>
      <c r="V3034">
        <f t="shared" si="94"/>
        <v>239.5</v>
      </c>
      <c r="W3034">
        <f t="shared" si="95"/>
        <v>5</v>
      </c>
      <c r="X3034">
        <v>-53.368609999999997</v>
      </c>
      <c r="Y3034">
        <v>-29.627222</v>
      </c>
      <c r="Z3034" t="s">
        <v>734</v>
      </c>
      <c r="AA3034" t="s">
        <v>783</v>
      </c>
      <c r="AB3034" t="s">
        <v>784</v>
      </c>
      <c r="AD3034" t="s">
        <v>943</v>
      </c>
      <c r="AE3034" t="s">
        <v>786</v>
      </c>
      <c r="AF3034" t="s">
        <v>944</v>
      </c>
      <c r="AG3034" t="s">
        <v>949</v>
      </c>
      <c r="AH3034" t="s">
        <v>72</v>
      </c>
      <c r="AI3034" t="s">
        <v>3835</v>
      </c>
      <c r="AJ3034">
        <v>2011</v>
      </c>
      <c r="AK3034" t="s">
        <v>3836</v>
      </c>
      <c r="AM3034" t="s">
        <v>3837</v>
      </c>
      <c r="AN3034" t="s">
        <v>76</v>
      </c>
      <c r="AO3034" t="s">
        <v>77</v>
      </c>
      <c r="AP3034" t="s">
        <v>115</v>
      </c>
      <c r="AQ3034" t="s">
        <v>3838</v>
      </c>
      <c r="AR3034" t="s">
        <v>80</v>
      </c>
      <c r="AS3034">
        <v>201</v>
      </c>
      <c r="AT3034" t="s">
        <v>81</v>
      </c>
      <c r="AU3034">
        <v>-12.26</v>
      </c>
      <c r="AV3034">
        <v>-35.15</v>
      </c>
      <c r="AW3034" t="s">
        <v>82</v>
      </c>
      <c r="AX3034">
        <v>202</v>
      </c>
      <c r="AY3034" t="s">
        <v>81</v>
      </c>
      <c r="AZ3034">
        <v>-18.170000000000002</v>
      </c>
      <c r="BA3034">
        <v>-51.71</v>
      </c>
      <c r="BB3034" t="s">
        <v>83</v>
      </c>
    </row>
    <row r="3035" spans="1:54" x14ac:dyDescent="0.4">
      <c r="A3035">
        <v>933819</v>
      </c>
      <c r="D3035" t="s">
        <v>54</v>
      </c>
      <c r="E3035" t="s">
        <v>55</v>
      </c>
      <c r="F3035" t="s">
        <v>600</v>
      </c>
      <c r="G3035">
        <v>1</v>
      </c>
      <c r="H3035" t="s">
        <v>56</v>
      </c>
      <c r="I3035" t="s">
        <v>57</v>
      </c>
      <c r="K3035" t="s">
        <v>141</v>
      </c>
      <c r="L3035" t="s">
        <v>3834</v>
      </c>
      <c r="M3035" t="s">
        <v>60</v>
      </c>
      <c r="O3035" t="s">
        <v>87</v>
      </c>
      <c r="P3035" t="s">
        <v>182</v>
      </c>
      <c r="R3035" t="s">
        <v>183</v>
      </c>
      <c r="S3035" t="s">
        <v>64</v>
      </c>
      <c r="T3035">
        <v>242</v>
      </c>
      <c r="U3035">
        <v>237</v>
      </c>
      <c r="V3035">
        <f t="shared" si="94"/>
        <v>239.5</v>
      </c>
      <c r="W3035">
        <f t="shared" si="95"/>
        <v>5</v>
      </c>
      <c r="X3035">
        <v>-53.368609999999997</v>
      </c>
      <c r="Y3035">
        <v>-29.627222</v>
      </c>
      <c r="Z3035" t="s">
        <v>734</v>
      </c>
      <c r="AA3035" t="s">
        <v>783</v>
      </c>
      <c r="AB3035" t="s">
        <v>784</v>
      </c>
      <c r="AD3035" t="s">
        <v>943</v>
      </c>
      <c r="AE3035" t="s">
        <v>786</v>
      </c>
      <c r="AF3035" t="s">
        <v>944</v>
      </c>
      <c r="AG3035" t="s">
        <v>949</v>
      </c>
      <c r="AH3035" t="s">
        <v>72</v>
      </c>
      <c r="AI3035" t="s">
        <v>3835</v>
      </c>
      <c r="AJ3035">
        <v>2011</v>
      </c>
      <c r="AK3035" t="s">
        <v>3836</v>
      </c>
      <c r="AM3035" t="s">
        <v>3837</v>
      </c>
      <c r="AN3035" t="s">
        <v>76</v>
      </c>
      <c r="AO3035" t="s">
        <v>77</v>
      </c>
      <c r="AP3035" t="s">
        <v>115</v>
      </c>
      <c r="AQ3035" t="s">
        <v>3838</v>
      </c>
      <c r="AR3035" t="s">
        <v>80</v>
      </c>
      <c r="AS3035">
        <v>201</v>
      </c>
      <c r="AT3035" t="s">
        <v>81</v>
      </c>
      <c r="AU3035">
        <v>-12.26</v>
      </c>
      <c r="AV3035">
        <v>-35.15</v>
      </c>
      <c r="AW3035" t="s">
        <v>82</v>
      </c>
      <c r="AX3035">
        <v>202</v>
      </c>
      <c r="AY3035" t="s">
        <v>81</v>
      </c>
      <c r="AZ3035">
        <v>-18.170000000000002</v>
      </c>
      <c r="BA3035">
        <v>-51.71</v>
      </c>
      <c r="BB3035" t="s">
        <v>83</v>
      </c>
    </row>
    <row r="3036" spans="1:54" x14ac:dyDescent="0.4">
      <c r="A3036">
        <v>933819</v>
      </c>
      <c r="D3036" t="s">
        <v>54</v>
      </c>
      <c r="E3036" t="s">
        <v>55</v>
      </c>
      <c r="F3036" t="s">
        <v>600</v>
      </c>
      <c r="G3036">
        <v>1</v>
      </c>
      <c r="H3036" t="s">
        <v>56</v>
      </c>
      <c r="I3036" t="s">
        <v>57</v>
      </c>
      <c r="K3036" t="s">
        <v>141</v>
      </c>
      <c r="L3036" t="s">
        <v>3834</v>
      </c>
      <c r="M3036" t="s">
        <v>60</v>
      </c>
      <c r="O3036" t="s">
        <v>87</v>
      </c>
      <c r="P3036" t="s">
        <v>182</v>
      </c>
      <c r="R3036" t="s">
        <v>183</v>
      </c>
      <c r="S3036" t="s">
        <v>64</v>
      </c>
      <c r="T3036">
        <v>242</v>
      </c>
      <c r="U3036">
        <v>237</v>
      </c>
      <c r="V3036">
        <f t="shared" si="94"/>
        <v>239.5</v>
      </c>
      <c r="W3036">
        <f t="shared" si="95"/>
        <v>5</v>
      </c>
      <c r="X3036">
        <v>-53.368609999999997</v>
      </c>
      <c r="Y3036">
        <v>-29.627222</v>
      </c>
      <c r="Z3036" t="s">
        <v>734</v>
      </c>
      <c r="AA3036" t="s">
        <v>783</v>
      </c>
      <c r="AB3036" t="s">
        <v>784</v>
      </c>
      <c r="AD3036" t="s">
        <v>943</v>
      </c>
      <c r="AE3036" t="s">
        <v>786</v>
      </c>
      <c r="AF3036" t="s">
        <v>944</v>
      </c>
      <c r="AG3036" t="s">
        <v>949</v>
      </c>
      <c r="AH3036" t="s">
        <v>72</v>
      </c>
      <c r="AI3036" t="s">
        <v>3835</v>
      </c>
      <c r="AJ3036">
        <v>2011</v>
      </c>
      <c r="AK3036" t="s">
        <v>3836</v>
      </c>
      <c r="AM3036" t="s">
        <v>3837</v>
      </c>
      <c r="AN3036" t="s">
        <v>76</v>
      </c>
      <c r="AO3036" t="s">
        <v>77</v>
      </c>
      <c r="AP3036" t="s">
        <v>115</v>
      </c>
      <c r="AQ3036" t="s">
        <v>3838</v>
      </c>
      <c r="AR3036" t="s">
        <v>80</v>
      </c>
      <c r="AS3036">
        <v>201</v>
      </c>
      <c r="AT3036" t="s">
        <v>81</v>
      </c>
      <c r="AU3036">
        <v>-12.26</v>
      </c>
      <c r="AV3036">
        <v>-35.15</v>
      </c>
      <c r="AW3036" t="s">
        <v>82</v>
      </c>
      <c r="AX3036">
        <v>202</v>
      </c>
      <c r="AY3036" t="s">
        <v>81</v>
      </c>
      <c r="AZ3036">
        <v>-18.170000000000002</v>
      </c>
      <c r="BA3036">
        <v>-51.71</v>
      </c>
      <c r="BB3036" t="s">
        <v>83</v>
      </c>
    </row>
    <row r="3037" spans="1:54" x14ac:dyDescent="0.4">
      <c r="A3037">
        <v>933820</v>
      </c>
      <c r="D3037" t="s">
        <v>54</v>
      </c>
      <c r="G3037">
        <v>1</v>
      </c>
      <c r="H3037" t="s">
        <v>56</v>
      </c>
      <c r="I3037" t="s">
        <v>57</v>
      </c>
      <c r="K3037" t="s">
        <v>141</v>
      </c>
      <c r="L3037" t="s">
        <v>3834</v>
      </c>
      <c r="M3037" t="s">
        <v>60</v>
      </c>
      <c r="O3037" t="s">
        <v>87</v>
      </c>
      <c r="P3037" t="s">
        <v>182</v>
      </c>
      <c r="R3037" t="s">
        <v>183</v>
      </c>
      <c r="S3037" t="s">
        <v>64</v>
      </c>
      <c r="T3037">
        <v>242</v>
      </c>
      <c r="U3037">
        <v>237</v>
      </c>
      <c r="V3037">
        <f t="shared" si="94"/>
        <v>239.5</v>
      </c>
      <c r="W3037">
        <f t="shared" si="95"/>
        <v>5</v>
      </c>
      <c r="X3037">
        <v>-53.367221999999998</v>
      </c>
      <c r="Y3037">
        <v>-29.626667000000001</v>
      </c>
      <c r="Z3037" t="s">
        <v>734</v>
      </c>
      <c r="AA3037" t="s">
        <v>783</v>
      </c>
      <c r="AB3037" t="s">
        <v>784</v>
      </c>
      <c r="AD3037" t="s">
        <v>943</v>
      </c>
      <c r="AE3037" t="s">
        <v>786</v>
      </c>
      <c r="AF3037" t="s">
        <v>944</v>
      </c>
      <c r="AG3037" t="s">
        <v>949</v>
      </c>
      <c r="AH3037" t="s">
        <v>72</v>
      </c>
      <c r="AI3037" t="s">
        <v>3835</v>
      </c>
      <c r="AJ3037">
        <v>2011</v>
      </c>
      <c r="AK3037" t="s">
        <v>3839</v>
      </c>
      <c r="AM3037" t="s">
        <v>3837</v>
      </c>
      <c r="AN3037" t="s">
        <v>76</v>
      </c>
      <c r="AO3037" t="s">
        <v>77</v>
      </c>
      <c r="AP3037" t="s">
        <v>78</v>
      </c>
      <c r="AQ3037" t="s">
        <v>3840</v>
      </c>
      <c r="AR3037" t="s">
        <v>80</v>
      </c>
      <c r="AS3037">
        <v>201</v>
      </c>
      <c r="AT3037" t="s">
        <v>81</v>
      </c>
      <c r="AU3037">
        <v>-12.26</v>
      </c>
      <c r="AV3037">
        <v>-35.15</v>
      </c>
      <c r="AW3037" t="s">
        <v>82</v>
      </c>
      <c r="AX3037">
        <v>202</v>
      </c>
      <c r="AY3037" t="s">
        <v>81</v>
      </c>
      <c r="AZ3037">
        <v>-18.170000000000002</v>
      </c>
      <c r="BA3037">
        <v>-51.71</v>
      </c>
      <c r="BB3037" t="s">
        <v>83</v>
      </c>
    </row>
    <row r="3038" spans="1:54" x14ac:dyDescent="0.4">
      <c r="A3038">
        <v>944327</v>
      </c>
      <c r="D3038" t="s">
        <v>54</v>
      </c>
      <c r="E3038" t="s">
        <v>152</v>
      </c>
      <c r="G3038">
        <v>1</v>
      </c>
      <c r="H3038" t="s">
        <v>84</v>
      </c>
      <c r="I3038" t="s">
        <v>57</v>
      </c>
      <c r="K3038" t="s">
        <v>802</v>
      </c>
      <c r="L3038" t="s">
        <v>803</v>
      </c>
      <c r="M3038" t="s">
        <v>223</v>
      </c>
      <c r="N3038" t="s">
        <v>234</v>
      </c>
      <c r="O3038" t="s">
        <v>87</v>
      </c>
      <c r="P3038" t="s">
        <v>182</v>
      </c>
      <c r="R3038" t="s">
        <v>183</v>
      </c>
      <c r="S3038" t="s">
        <v>64</v>
      </c>
      <c r="T3038">
        <v>242</v>
      </c>
      <c r="U3038">
        <v>237</v>
      </c>
      <c r="V3038">
        <f t="shared" si="94"/>
        <v>239.5</v>
      </c>
      <c r="W3038">
        <f t="shared" si="95"/>
        <v>5</v>
      </c>
      <c r="X3038">
        <v>11.725</v>
      </c>
      <c r="Y3038">
        <v>46.601391</v>
      </c>
      <c r="Z3038" t="s">
        <v>520</v>
      </c>
      <c r="AA3038" t="s">
        <v>593</v>
      </c>
      <c r="AB3038" t="s">
        <v>3875</v>
      </c>
      <c r="AD3038" t="s">
        <v>3876</v>
      </c>
      <c r="AH3038" t="s">
        <v>11</v>
      </c>
      <c r="AI3038" t="s">
        <v>3558</v>
      </c>
      <c r="AJ3038">
        <v>1989</v>
      </c>
      <c r="AK3038" t="s">
        <v>3877</v>
      </c>
      <c r="AN3038" t="s">
        <v>114</v>
      </c>
      <c r="AO3038" t="s">
        <v>77</v>
      </c>
      <c r="AP3038" t="s">
        <v>78</v>
      </c>
      <c r="AQ3038" t="s">
        <v>3878</v>
      </c>
      <c r="AR3038" t="s">
        <v>80</v>
      </c>
      <c r="AS3038">
        <v>307</v>
      </c>
      <c r="AT3038" t="s">
        <v>81</v>
      </c>
      <c r="AU3038">
        <v>35.200000000000003</v>
      </c>
      <c r="AV3038">
        <v>16.63</v>
      </c>
      <c r="AW3038" t="s">
        <v>82</v>
      </c>
      <c r="AX3038">
        <v>307</v>
      </c>
      <c r="AY3038" t="s">
        <v>81</v>
      </c>
      <c r="AZ3038">
        <v>22.58</v>
      </c>
      <c r="BA3038">
        <v>7.39</v>
      </c>
      <c r="BB3038" t="s">
        <v>83</v>
      </c>
    </row>
    <row r="3039" spans="1:54" x14ac:dyDescent="0.4">
      <c r="A3039">
        <v>949902</v>
      </c>
      <c r="D3039" t="s">
        <v>54</v>
      </c>
      <c r="E3039" t="s">
        <v>310</v>
      </c>
      <c r="G3039">
        <v>1</v>
      </c>
      <c r="H3039" t="s">
        <v>56</v>
      </c>
      <c r="I3039" t="s">
        <v>57</v>
      </c>
      <c r="K3039" t="s">
        <v>771</v>
      </c>
      <c r="L3039" t="s">
        <v>3368</v>
      </c>
      <c r="M3039" t="s">
        <v>223</v>
      </c>
      <c r="P3039" t="s">
        <v>182</v>
      </c>
      <c r="R3039" t="s">
        <v>183</v>
      </c>
      <c r="S3039" t="s">
        <v>64</v>
      </c>
      <c r="T3039">
        <v>242</v>
      </c>
      <c r="U3039">
        <v>237</v>
      </c>
      <c r="V3039">
        <f t="shared" si="94"/>
        <v>239.5</v>
      </c>
      <c r="W3039">
        <f t="shared" si="95"/>
        <v>5</v>
      </c>
      <c r="X3039">
        <v>0.23472199999999999</v>
      </c>
      <c r="Y3039">
        <v>42.072223999999999</v>
      </c>
      <c r="Z3039" t="s">
        <v>602</v>
      </c>
      <c r="AA3039" t="s">
        <v>3881</v>
      </c>
      <c r="AB3039" t="s">
        <v>3894</v>
      </c>
      <c r="AC3039" t="s">
        <v>3895</v>
      </c>
      <c r="AD3039" t="s">
        <v>1378</v>
      </c>
      <c r="AH3039" t="s">
        <v>72</v>
      </c>
      <c r="AI3039" t="s">
        <v>3896</v>
      </c>
      <c r="AJ3039">
        <v>1976</v>
      </c>
      <c r="AK3039" t="s">
        <v>3897</v>
      </c>
      <c r="AN3039" t="s">
        <v>114</v>
      </c>
      <c r="AO3039" t="s">
        <v>77</v>
      </c>
      <c r="AP3039" t="s">
        <v>359</v>
      </c>
      <c r="AR3039" t="s">
        <v>80</v>
      </c>
      <c r="AS3039">
        <v>304</v>
      </c>
      <c r="AT3039" t="s">
        <v>81</v>
      </c>
      <c r="AU3039">
        <v>22.73</v>
      </c>
      <c r="AV3039">
        <v>20.13</v>
      </c>
      <c r="AW3039" t="s">
        <v>82</v>
      </c>
      <c r="AX3039">
        <v>304</v>
      </c>
      <c r="AY3039" t="s">
        <v>81</v>
      </c>
      <c r="AZ3039">
        <v>14.46</v>
      </c>
      <c r="BA3039">
        <v>5.99</v>
      </c>
      <c r="BB3039" t="s">
        <v>83</v>
      </c>
    </row>
    <row r="3040" spans="1:54" x14ac:dyDescent="0.4">
      <c r="A3040">
        <v>950450</v>
      </c>
      <c r="D3040" t="s">
        <v>167</v>
      </c>
      <c r="E3040" t="s">
        <v>310</v>
      </c>
      <c r="G3040">
        <v>1</v>
      </c>
      <c r="H3040" t="s">
        <v>56</v>
      </c>
      <c r="I3040" t="s">
        <v>57</v>
      </c>
      <c r="K3040" t="s">
        <v>771</v>
      </c>
      <c r="L3040" t="s">
        <v>3899</v>
      </c>
      <c r="M3040" t="s">
        <v>223</v>
      </c>
      <c r="P3040" t="s">
        <v>182</v>
      </c>
      <c r="R3040" t="s">
        <v>183</v>
      </c>
      <c r="S3040" t="s">
        <v>64</v>
      </c>
      <c r="T3040">
        <v>242</v>
      </c>
      <c r="U3040">
        <v>237</v>
      </c>
      <c r="V3040">
        <f t="shared" si="94"/>
        <v>239.5</v>
      </c>
      <c r="W3040">
        <f t="shared" si="95"/>
        <v>5</v>
      </c>
      <c r="X3040">
        <v>8.9388889999999996</v>
      </c>
      <c r="Y3040">
        <v>45.891666000000001</v>
      </c>
      <c r="Z3040" t="s">
        <v>1596</v>
      </c>
      <c r="AA3040" t="s">
        <v>226</v>
      </c>
      <c r="AB3040" t="s">
        <v>2079</v>
      </c>
      <c r="AC3040" t="s">
        <v>2080</v>
      </c>
      <c r="AD3040" t="s">
        <v>3799</v>
      </c>
      <c r="AF3040" t="s">
        <v>3900</v>
      </c>
      <c r="AH3040" t="s">
        <v>72</v>
      </c>
      <c r="AI3040" t="s">
        <v>3898</v>
      </c>
      <c r="AJ3040">
        <v>1979</v>
      </c>
      <c r="AK3040" t="s">
        <v>3799</v>
      </c>
      <c r="AM3040" t="s">
        <v>3901</v>
      </c>
      <c r="AN3040" t="s">
        <v>114</v>
      </c>
      <c r="AO3040" t="s">
        <v>77</v>
      </c>
      <c r="AP3040" t="s">
        <v>78</v>
      </c>
      <c r="AQ3040" t="s">
        <v>3902</v>
      </c>
      <c r="AR3040" t="s">
        <v>80</v>
      </c>
      <c r="AS3040">
        <v>307</v>
      </c>
      <c r="AT3040" t="s">
        <v>81</v>
      </c>
      <c r="AU3040">
        <v>33.61</v>
      </c>
      <c r="AV3040">
        <v>18.02</v>
      </c>
      <c r="AW3040" t="s">
        <v>82</v>
      </c>
      <c r="AX3040">
        <v>307</v>
      </c>
      <c r="AY3040" t="s">
        <v>81</v>
      </c>
      <c r="AZ3040">
        <v>20.59</v>
      </c>
      <c r="BA3040">
        <v>7.94</v>
      </c>
      <c r="BB3040" t="s">
        <v>83</v>
      </c>
    </row>
    <row r="3041" spans="1:54" x14ac:dyDescent="0.4">
      <c r="A3041">
        <v>950451</v>
      </c>
      <c r="D3041" t="s">
        <v>167</v>
      </c>
      <c r="E3041" t="s">
        <v>310</v>
      </c>
      <c r="G3041">
        <v>1</v>
      </c>
      <c r="H3041" t="s">
        <v>56</v>
      </c>
      <c r="I3041" t="s">
        <v>57</v>
      </c>
      <c r="K3041" t="s">
        <v>221</v>
      </c>
      <c r="L3041" t="s">
        <v>3745</v>
      </c>
      <c r="M3041" t="s">
        <v>223</v>
      </c>
      <c r="P3041" t="s">
        <v>182</v>
      </c>
      <c r="R3041" t="s">
        <v>183</v>
      </c>
      <c r="S3041" t="s">
        <v>64</v>
      </c>
      <c r="T3041">
        <v>242</v>
      </c>
      <c r="U3041">
        <v>237</v>
      </c>
      <c r="V3041">
        <f t="shared" si="94"/>
        <v>239.5</v>
      </c>
      <c r="W3041">
        <f t="shared" si="95"/>
        <v>5</v>
      </c>
      <c r="X3041">
        <v>8.9388889999999996</v>
      </c>
      <c r="Y3041">
        <v>45.891666000000001</v>
      </c>
      <c r="Z3041" t="s">
        <v>1596</v>
      </c>
      <c r="AA3041" t="s">
        <v>226</v>
      </c>
      <c r="AB3041" t="s">
        <v>2079</v>
      </c>
      <c r="AC3041" t="s">
        <v>2080</v>
      </c>
      <c r="AD3041" t="s">
        <v>3799</v>
      </c>
      <c r="AF3041" t="s">
        <v>3900</v>
      </c>
      <c r="AH3041" t="s">
        <v>11</v>
      </c>
      <c r="AI3041" t="s">
        <v>3898</v>
      </c>
      <c r="AJ3041">
        <v>1979</v>
      </c>
      <c r="AK3041" t="s">
        <v>3799</v>
      </c>
      <c r="AM3041" t="s">
        <v>3901</v>
      </c>
      <c r="AN3041" t="s">
        <v>114</v>
      </c>
      <c r="AO3041" t="s">
        <v>77</v>
      </c>
      <c r="AP3041" t="s">
        <v>78</v>
      </c>
      <c r="AQ3041" t="s">
        <v>3902</v>
      </c>
      <c r="AR3041" t="s">
        <v>80</v>
      </c>
      <c r="AS3041">
        <v>307</v>
      </c>
      <c r="AT3041" t="s">
        <v>81</v>
      </c>
      <c r="AU3041">
        <v>33.61</v>
      </c>
      <c r="AV3041">
        <v>18.02</v>
      </c>
      <c r="AW3041" t="s">
        <v>82</v>
      </c>
      <c r="AX3041">
        <v>307</v>
      </c>
      <c r="AY3041" t="s">
        <v>81</v>
      </c>
      <c r="AZ3041">
        <v>20.59</v>
      </c>
      <c r="BA3041">
        <v>7.94</v>
      </c>
      <c r="BB3041" t="s">
        <v>83</v>
      </c>
    </row>
    <row r="3042" spans="1:54" x14ac:dyDescent="0.4">
      <c r="A3042">
        <v>950451</v>
      </c>
      <c r="D3042" t="s">
        <v>167</v>
      </c>
      <c r="E3042" t="s">
        <v>310</v>
      </c>
      <c r="G3042">
        <v>1</v>
      </c>
      <c r="H3042" t="s">
        <v>56</v>
      </c>
      <c r="I3042" t="s">
        <v>57</v>
      </c>
      <c r="K3042" t="s">
        <v>221</v>
      </c>
      <c r="L3042" t="s">
        <v>3745</v>
      </c>
      <c r="M3042" t="s">
        <v>223</v>
      </c>
      <c r="P3042" t="s">
        <v>182</v>
      </c>
      <c r="R3042" t="s">
        <v>183</v>
      </c>
      <c r="S3042" t="s">
        <v>64</v>
      </c>
      <c r="T3042">
        <v>242</v>
      </c>
      <c r="U3042">
        <v>237</v>
      </c>
      <c r="V3042">
        <f t="shared" si="94"/>
        <v>239.5</v>
      </c>
      <c r="W3042">
        <f t="shared" si="95"/>
        <v>5</v>
      </c>
      <c r="X3042">
        <v>8.9388889999999996</v>
      </c>
      <c r="Y3042">
        <v>45.891666000000001</v>
      </c>
      <c r="Z3042" t="s">
        <v>1596</v>
      </c>
      <c r="AA3042" t="s">
        <v>226</v>
      </c>
      <c r="AB3042" t="s">
        <v>2079</v>
      </c>
      <c r="AC3042" t="s">
        <v>2080</v>
      </c>
      <c r="AD3042" t="s">
        <v>3799</v>
      </c>
      <c r="AF3042" t="s">
        <v>3900</v>
      </c>
      <c r="AH3042" t="s">
        <v>11</v>
      </c>
      <c r="AI3042" t="s">
        <v>3898</v>
      </c>
      <c r="AJ3042">
        <v>1979</v>
      </c>
      <c r="AK3042" t="s">
        <v>3799</v>
      </c>
      <c r="AM3042" t="s">
        <v>3901</v>
      </c>
      <c r="AN3042" t="s">
        <v>114</v>
      </c>
      <c r="AO3042" t="s">
        <v>77</v>
      </c>
      <c r="AP3042" t="s">
        <v>78</v>
      </c>
      <c r="AQ3042" t="s">
        <v>3902</v>
      </c>
      <c r="AR3042" t="s">
        <v>80</v>
      </c>
      <c r="AS3042">
        <v>307</v>
      </c>
      <c r="AT3042" t="s">
        <v>81</v>
      </c>
      <c r="AU3042">
        <v>33.61</v>
      </c>
      <c r="AV3042">
        <v>18.02</v>
      </c>
      <c r="AW3042" t="s">
        <v>82</v>
      </c>
      <c r="AX3042">
        <v>307</v>
      </c>
      <c r="AY3042" t="s">
        <v>81</v>
      </c>
      <c r="AZ3042">
        <v>20.59</v>
      </c>
      <c r="BA3042">
        <v>7.94</v>
      </c>
      <c r="BB3042" t="s">
        <v>83</v>
      </c>
    </row>
    <row r="3043" spans="1:54" x14ac:dyDescent="0.4">
      <c r="A3043">
        <v>950451</v>
      </c>
      <c r="D3043" t="s">
        <v>167</v>
      </c>
      <c r="E3043" t="s">
        <v>310</v>
      </c>
      <c r="G3043">
        <v>1</v>
      </c>
      <c r="H3043" t="s">
        <v>56</v>
      </c>
      <c r="I3043" t="s">
        <v>57</v>
      </c>
      <c r="K3043" t="s">
        <v>221</v>
      </c>
      <c r="L3043" t="s">
        <v>3745</v>
      </c>
      <c r="M3043" t="s">
        <v>223</v>
      </c>
      <c r="P3043" t="s">
        <v>182</v>
      </c>
      <c r="R3043" t="s">
        <v>183</v>
      </c>
      <c r="S3043" t="s">
        <v>64</v>
      </c>
      <c r="T3043">
        <v>242</v>
      </c>
      <c r="U3043">
        <v>237</v>
      </c>
      <c r="V3043">
        <f t="shared" si="94"/>
        <v>239.5</v>
      </c>
      <c r="W3043">
        <f t="shared" si="95"/>
        <v>5</v>
      </c>
      <c r="X3043">
        <v>8.9388889999999996</v>
      </c>
      <c r="Y3043">
        <v>45.891666000000001</v>
      </c>
      <c r="Z3043" t="s">
        <v>1596</v>
      </c>
      <c r="AA3043" t="s">
        <v>226</v>
      </c>
      <c r="AB3043" t="s">
        <v>2079</v>
      </c>
      <c r="AC3043" t="s">
        <v>2080</v>
      </c>
      <c r="AD3043" t="s">
        <v>3799</v>
      </c>
      <c r="AF3043" t="s">
        <v>3900</v>
      </c>
      <c r="AH3043" t="s">
        <v>11</v>
      </c>
      <c r="AI3043" t="s">
        <v>3898</v>
      </c>
      <c r="AJ3043">
        <v>1979</v>
      </c>
      <c r="AK3043" t="s">
        <v>3799</v>
      </c>
      <c r="AM3043" t="s">
        <v>3901</v>
      </c>
      <c r="AN3043" t="s">
        <v>114</v>
      </c>
      <c r="AO3043" t="s">
        <v>77</v>
      </c>
      <c r="AP3043" t="s">
        <v>78</v>
      </c>
      <c r="AQ3043" t="s">
        <v>3902</v>
      </c>
      <c r="AR3043" t="s">
        <v>80</v>
      </c>
      <c r="AS3043">
        <v>307</v>
      </c>
      <c r="AT3043" t="s">
        <v>81</v>
      </c>
      <c r="AU3043">
        <v>33.61</v>
      </c>
      <c r="AV3043">
        <v>18.02</v>
      </c>
      <c r="AW3043" t="s">
        <v>82</v>
      </c>
      <c r="AX3043">
        <v>307</v>
      </c>
      <c r="AY3043" t="s">
        <v>81</v>
      </c>
      <c r="AZ3043">
        <v>20.59</v>
      </c>
      <c r="BA3043">
        <v>7.94</v>
      </c>
      <c r="BB3043" t="s">
        <v>83</v>
      </c>
    </row>
    <row r="3044" spans="1:54" x14ac:dyDescent="0.4">
      <c r="A3044">
        <v>950451</v>
      </c>
      <c r="D3044" t="s">
        <v>167</v>
      </c>
      <c r="E3044" t="s">
        <v>310</v>
      </c>
      <c r="G3044">
        <v>1</v>
      </c>
      <c r="H3044" t="s">
        <v>56</v>
      </c>
      <c r="I3044" t="s">
        <v>57</v>
      </c>
      <c r="K3044" t="s">
        <v>221</v>
      </c>
      <c r="L3044" t="s">
        <v>3745</v>
      </c>
      <c r="M3044" t="s">
        <v>223</v>
      </c>
      <c r="P3044" t="s">
        <v>182</v>
      </c>
      <c r="R3044" t="s">
        <v>183</v>
      </c>
      <c r="S3044" t="s">
        <v>64</v>
      </c>
      <c r="T3044">
        <v>242</v>
      </c>
      <c r="U3044">
        <v>237</v>
      </c>
      <c r="V3044">
        <f t="shared" si="94"/>
        <v>239.5</v>
      </c>
      <c r="W3044">
        <f t="shared" si="95"/>
        <v>5</v>
      </c>
      <c r="X3044">
        <v>8.9388889999999996</v>
      </c>
      <c r="Y3044">
        <v>45.891666000000001</v>
      </c>
      <c r="Z3044" t="s">
        <v>1596</v>
      </c>
      <c r="AA3044" t="s">
        <v>226</v>
      </c>
      <c r="AB3044" t="s">
        <v>2079</v>
      </c>
      <c r="AC3044" t="s">
        <v>2080</v>
      </c>
      <c r="AD3044" t="s">
        <v>3799</v>
      </c>
      <c r="AF3044" t="s">
        <v>3900</v>
      </c>
      <c r="AH3044" t="s">
        <v>11</v>
      </c>
      <c r="AI3044" t="s">
        <v>3898</v>
      </c>
      <c r="AJ3044">
        <v>1979</v>
      </c>
      <c r="AK3044" t="s">
        <v>3799</v>
      </c>
      <c r="AM3044" t="s">
        <v>3901</v>
      </c>
      <c r="AN3044" t="s">
        <v>114</v>
      </c>
      <c r="AO3044" t="s">
        <v>77</v>
      </c>
      <c r="AP3044" t="s">
        <v>78</v>
      </c>
      <c r="AQ3044" t="s">
        <v>3902</v>
      </c>
      <c r="AR3044" t="s">
        <v>80</v>
      </c>
      <c r="AS3044">
        <v>307</v>
      </c>
      <c r="AT3044" t="s">
        <v>81</v>
      </c>
      <c r="AU3044">
        <v>33.61</v>
      </c>
      <c r="AV3044">
        <v>18.02</v>
      </c>
      <c r="AW3044" t="s">
        <v>82</v>
      </c>
      <c r="AX3044">
        <v>307</v>
      </c>
      <c r="AY3044" t="s">
        <v>81</v>
      </c>
      <c r="AZ3044">
        <v>20.59</v>
      </c>
      <c r="BA3044">
        <v>7.94</v>
      </c>
      <c r="BB3044" t="s">
        <v>83</v>
      </c>
    </row>
    <row r="3045" spans="1:54" x14ac:dyDescent="0.4">
      <c r="A3045">
        <v>950452</v>
      </c>
      <c r="D3045" t="s">
        <v>167</v>
      </c>
      <c r="E3045" t="s">
        <v>310</v>
      </c>
      <c r="G3045">
        <v>1</v>
      </c>
      <c r="H3045" t="s">
        <v>56</v>
      </c>
      <c r="I3045" t="s">
        <v>57</v>
      </c>
      <c r="K3045" t="s">
        <v>771</v>
      </c>
      <c r="L3045" t="s">
        <v>3368</v>
      </c>
      <c r="M3045" t="s">
        <v>223</v>
      </c>
      <c r="P3045" t="s">
        <v>182</v>
      </c>
      <c r="R3045" t="s">
        <v>183</v>
      </c>
      <c r="S3045" t="s">
        <v>64</v>
      </c>
      <c r="T3045">
        <v>242</v>
      </c>
      <c r="U3045">
        <v>237</v>
      </c>
      <c r="V3045">
        <f t="shared" si="94"/>
        <v>239.5</v>
      </c>
      <c r="W3045">
        <f t="shared" si="95"/>
        <v>5</v>
      </c>
      <c r="X3045">
        <v>8.9388889999999996</v>
      </c>
      <c r="Y3045">
        <v>45.891666000000001</v>
      </c>
      <c r="Z3045" t="s">
        <v>1596</v>
      </c>
      <c r="AA3045" t="s">
        <v>226</v>
      </c>
      <c r="AB3045" t="s">
        <v>2079</v>
      </c>
      <c r="AC3045" t="s">
        <v>2080</v>
      </c>
      <c r="AD3045" t="s">
        <v>3799</v>
      </c>
      <c r="AF3045" t="s">
        <v>3903</v>
      </c>
      <c r="AH3045" t="s">
        <v>72</v>
      </c>
      <c r="AI3045" t="s">
        <v>3898</v>
      </c>
      <c r="AJ3045">
        <v>1979</v>
      </c>
      <c r="AK3045" t="s">
        <v>3799</v>
      </c>
      <c r="AM3045" t="s">
        <v>3904</v>
      </c>
      <c r="AN3045" t="s">
        <v>114</v>
      </c>
      <c r="AO3045" t="s">
        <v>77</v>
      </c>
      <c r="AP3045" t="s">
        <v>78</v>
      </c>
      <c r="AQ3045" t="s">
        <v>3902</v>
      </c>
      <c r="AR3045" t="s">
        <v>80</v>
      </c>
      <c r="AS3045">
        <v>307</v>
      </c>
      <c r="AT3045" t="s">
        <v>81</v>
      </c>
      <c r="AU3045">
        <v>33.61</v>
      </c>
      <c r="AV3045">
        <v>18.02</v>
      </c>
      <c r="AW3045" t="s">
        <v>82</v>
      </c>
      <c r="AX3045">
        <v>307</v>
      </c>
      <c r="AY3045" t="s">
        <v>81</v>
      </c>
      <c r="AZ3045">
        <v>20.59</v>
      </c>
      <c r="BA3045">
        <v>7.94</v>
      </c>
      <c r="BB3045" t="s">
        <v>83</v>
      </c>
    </row>
    <row r="3046" spans="1:54" x14ac:dyDescent="0.4">
      <c r="A3046">
        <v>1058263</v>
      </c>
      <c r="D3046" t="s">
        <v>54</v>
      </c>
      <c r="G3046">
        <v>1</v>
      </c>
      <c r="H3046" t="s">
        <v>84</v>
      </c>
      <c r="I3046" t="s">
        <v>57</v>
      </c>
      <c r="K3046" t="s">
        <v>141</v>
      </c>
      <c r="L3046" t="s">
        <v>4006</v>
      </c>
      <c r="M3046" t="s">
        <v>223</v>
      </c>
      <c r="P3046" t="s">
        <v>182</v>
      </c>
      <c r="R3046" t="s">
        <v>183</v>
      </c>
      <c r="S3046" t="s">
        <v>64</v>
      </c>
      <c r="T3046">
        <v>242</v>
      </c>
      <c r="U3046">
        <v>237</v>
      </c>
      <c r="V3046">
        <f t="shared" si="94"/>
        <v>239.5</v>
      </c>
      <c r="W3046">
        <f t="shared" si="95"/>
        <v>5</v>
      </c>
      <c r="X3046">
        <v>104.82416499999999</v>
      </c>
      <c r="Y3046">
        <v>25.155556000000001</v>
      </c>
      <c r="Z3046" t="s">
        <v>520</v>
      </c>
      <c r="AA3046" t="s">
        <v>379</v>
      </c>
      <c r="AB3046" t="s">
        <v>682</v>
      </c>
      <c r="AD3046" t="s">
        <v>3260</v>
      </c>
      <c r="AH3046" t="s">
        <v>72</v>
      </c>
      <c r="AI3046" t="s">
        <v>3565</v>
      </c>
      <c r="AJ3046">
        <v>2006</v>
      </c>
      <c r="AK3046" t="s">
        <v>4007</v>
      </c>
      <c r="AN3046" t="s">
        <v>192</v>
      </c>
      <c r="AO3046" t="s">
        <v>77</v>
      </c>
      <c r="AP3046" t="s">
        <v>115</v>
      </c>
      <c r="AQ3046" t="s">
        <v>4008</v>
      </c>
      <c r="AR3046" t="s">
        <v>80</v>
      </c>
      <c r="AS3046">
        <v>611</v>
      </c>
      <c r="AT3046" t="s">
        <v>81</v>
      </c>
      <c r="AU3046">
        <v>108.3</v>
      </c>
      <c r="AV3046">
        <v>-7.93</v>
      </c>
      <c r="AW3046" t="s">
        <v>82</v>
      </c>
      <c r="AX3046">
        <v>611</v>
      </c>
      <c r="AY3046" t="s">
        <v>81</v>
      </c>
      <c r="AZ3046">
        <v>94.09</v>
      </c>
      <c r="BA3046">
        <v>16.29</v>
      </c>
      <c r="BB3046" t="s">
        <v>83</v>
      </c>
    </row>
    <row r="3047" spans="1:54" x14ac:dyDescent="0.4">
      <c r="A3047">
        <v>1058570</v>
      </c>
      <c r="D3047" t="s">
        <v>54</v>
      </c>
      <c r="G3047">
        <v>1</v>
      </c>
      <c r="H3047" t="s">
        <v>84</v>
      </c>
      <c r="I3047" t="s">
        <v>57</v>
      </c>
      <c r="K3047" t="s">
        <v>141</v>
      </c>
      <c r="L3047" t="s">
        <v>4006</v>
      </c>
      <c r="M3047" t="s">
        <v>223</v>
      </c>
      <c r="P3047" t="s">
        <v>182</v>
      </c>
      <c r="R3047" t="s">
        <v>183</v>
      </c>
      <c r="S3047" t="s">
        <v>64</v>
      </c>
      <c r="T3047">
        <v>242</v>
      </c>
      <c r="U3047">
        <v>237</v>
      </c>
      <c r="V3047">
        <f t="shared" si="94"/>
        <v>239.5</v>
      </c>
      <c r="W3047">
        <f t="shared" si="95"/>
        <v>5</v>
      </c>
      <c r="X3047">
        <v>104.254997</v>
      </c>
      <c r="Y3047">
        <v>25.674168000000002</v>
      </c>
      <c r="Z3047" t="s">
        <v>1596</v>
      </c>
      <c r="AA3047" t="s">
        <v>379</v>
      </c>
      <c r="AB3047" t="s">
        <v>828</v>
      </c>
      <c r="AC3047" t="s">
        <v>3796</v>
      </c>
      <c r="AD3047" t="s">
        <v>3251</v>
      </c>
      <c r="AF3047" t="s">
        <v>3260</v>
      </c>
      <c r="AH3047" t="s">
        <v>72</v>
      </c>
      <c r="AI3047" t="s">
        <v>4009</v>
      </c>
      <c r="AJ3047">
        <v>2013</v>
      </c>
      <c r="AK3047" t="s">
        <v>4010</v>
      </c>
      <c r="AN3047" t="s">
        <v>341</v>
      </c>
      <c r="AO3047" t="s">
        <v>77</v>
      </c>
      <c r="AP3047" t="s">
        <v>115</v>
      </c>
      <c r="AQ3047" t="s">
        <v>4011</v>
      </c>
      <c r="AR3047" t="s">
        <v>80</v>
      </c>
      <c r="AS3047">
        <v>611</v>
      </c>
      <c r="AT3047" t="s">
        <v>81</v>
      </c>
      <c r="AU3047">
        <v>107.79</v>
      </c>
      <c r="AV3047">
        <v>-7.4</v>
      </c>
      <c r="AW3047" t="s">
        <v>82</v>
      </c>
      <c r="AX3047">
        <v>611</v>
      </c>
      <c r="AY3047" t="s">
        <v>81</v>
      </c>
      <c r="AZ3047">
        <v>93.36</v>
      </c>
      <c r="BA3047">
        <v>16.48</v>
      </c>
      <c r="BB3047" t="s">
        <v>83</v>
      </c>
    </row>
    <row r="3048" spans="1:54" x14ac:dyDescent="0.4">
      <c r="A3048">
        <v>1071217</v>
      </c>
      <c r="D3048" t="s">
        <v>54</v>
      </c>
      <c r="G3048">
        <v>1</v>
      </c>
      <c r="H3048" t="s">
        <v>84</v>
      </c>
      <c r="I3048" t="s">
        <v>57</v>
      </c>
      <c r="K3048" t="s">
        <v>141</v>
      </c>
      <c r="L3048" t="s">
        <v>4031</v>
      </c>
      <c r="M3048" t="s">
        <v>60</v>
      </c>
      <c r="O3048" t="s">
        <v>87</v>
      </c>
      <c r="P3048" t="s">
        <v>182</v>
      </c>
      <c r="R3048" t="s">
        <v>183</v>
      </c>
      <c r="S3048" t="s">
        <v>64</v>
      </c>
      <c r="T3048">
        <v>242</v>
      </c>
      <c r="U3048">
        <v>237</v>
      </c>
      <c r="V3048">
        <f t="shared" si="94"/>
        <v>239.5</v>
      </c>
      <c r="W3048">
        <f t="shared" si="95"/>
        <v>5</v>
      </c>
      <c r="X3048">
        <v>104.254997</v>
      </c>
      <c r="Y3048">
        <v>25.674168000000002</v>
      </c>
      <c r="Z3048" t="s">
        <v>1596</v>
      </c>
      <c r="AA3048" t="s">
        <v>379</v>
      </c>
      <c r="AB3048" t="s">
        <v>828</v>
      </c>
      <c r="AC3048" t="s">
        <v>3796</v>
      </c>
      <c r="AD3048" t="s">
        <v>3251</v>
      </c>
      <c r="AF3048" t="s">
        <v>3260</v>
      </c>
      <c r="AH3048" t="s">
        <v>72</v>
      </c>
      <c r="AI3048" t="s">
        <v>1810</v>
      </c>
      <c r="AJ3048">
        <v>2012</v>
      </c>
      <c r="AK3048" t="s">
        <v>4010</v>
      </c>
      <c r="AN3048" t="s">
        <v>341</v>
      </c>
      <c r="AO3048" t="s">
        <v>77</v>
      </c>
      <c r="AP3048" t="s">
        <v>115</v>
      </c>
      <c r="AQ3048" t="s">
        <v>4011</v>
      </c>
      <c r="AR3048" t="s">
        <v>80</v>
      </c>
      <c r="AS3048">
        <v>611</v>
      </c>
      <c r="AT3048" t="s">
        <v>81</v>
      </c>
      <c r="AU3048">
        <v>107.79</v>
      </c>
      <c r="AV3048">
        <v>-7.4</v>
      </c>
      <c r="AW3048" t="s">
        <v>82</v>
      </c>
      <c r="AX3048">
        <v>611</v>
      </c>
      <c r="AY3048" t="s">
        <v>81</v>
      </c>
      <c r="AZ3048">
        <v>93.36</v>
      </c>
      <c r="BA3048">
        <v>16.48</v>
      </c>
      <c r="BB3048" t="s">
        <v>83</v>
      </c>
    </row>
    <row r="3049" spans="1:54" x14ac:dyDescent="0.4">
      <c r="A3049">
        <v>1081119</v>
      </c>
      <c r="D3049" t="s">
        <v>54</v>
      </c>
      <c r="G3049">
        <v>1</v>
      </c>
      <c r="H3049" t="s">
        <v>84</v>
      </c>
      <c r="I3049" t="s">
        <v>57</v>
      </c>
      <c r="K3049" t="s">
        <v>141</v>
      </c>
      <c r="L3049" t="s">
        <v>4060</v>
      </c>
      <c r="M3049" t="s">
        <v>223</v>
      </c>
      <c r="P3049" t="s">
        <v>182</v>
      </c>
      <c r="R3049" t="s">
        <v>183</v>
      </c>
      <c r="S3049" t="s">
        <v>64</v>
      </c>
      <c r="T3049">
        <v>242</v>
      </c>
      <c r="U3049">
        <v>237</v>
      </c>
      <c r="V3049">
        <f t="shared" si="94"/>
        <v>239.5</v>
      </c>
      <c r="W3049">
        <f t="shared" si="95"/>
        <v>5</v>
      </c>
      <c r="X3049">
        <v>104.82416499999999</v>
      </c>
      <c r="Y3049">
        <v>25.155556000000001</v>
      </c>
      <c r="Z3049" t="s">
        <v>520</v>
      </c>
      <c r="AA3049" t="s">
        <v>379</v>
      </c>
      <c r="AB3049" t="s">
        <v>682</v>
      </c>
      <c r="AD3049" t="s">
        <v>3251</v>
      </c>
      <c r="AF3049" t="s">
        <v>3260</v>
      </c>
      <c r="AH3049" t="s">
        <v>72</v>
      </c>
      <c r="AI3049" t="s">
        <v>3565</v>
      </c>
      <c r="AJ3049">
        <v>2012</v>
      </c>
      <c r="AK3049" t="s">
        <v>4061</v>
      </c>
      <c r="AN3049" t="s">
        <v>192</v>
      </c>
      <c r="AO3049" t="s">
        <v>77</v>
      </c>
      <c r="AP3049" t="s">
        <v>115</v>
      </c>
      <c r="AQ3049" t="s">
        <v>4062</v>
      </c>
      <c r="AR3049" t="s">
        <v>80</v>
      </c>
      <c r="AS3049">
        <v>611</v>
      </c>
      <c r="AT3049" t="s">
        <v>81</v>
      </c>
      <c r="AU3049">
        <v>108.3</v>
      </c>
      <c r="AV3049">
        <v>-7.93</v>
      </c>
      <c r="AW3049" t="s">
        <v>82</v>
      </c>
      <c r="AX3049">
        <v>611</v>
      </c>
      <c r="AY3049" t="s">
        <v>81</v>
      </c>
      <c r="AZ3049">
        <v>94.09</v>
      </c>
      <c r="BA3049">
        <v>16.29</v>
      </c>
      <c r="BB3049" t="s">
        <v>83</v>
      </c>
    </row>
    <row r="3050" spans="1:54" x14ac:dyDescent="0.4">
      <c r="A3050">
        <v>1094779</v>
      </c>
      <c r="D3050" t="s">
        <v>54</v>
      </c>
      <c r="G3050">
        <v>1</v>
      </c>
      <c r="H3050" t="s">
        <v>84</v>
      </c>
      <c r="I3050" t="s">
        <v>57</v>
      </c>
      <c r="K3050" t="s">
        <v>2470</v>
      </c>
      <c r="L3050" t="s">
        <v>2471</v>
      </c>
      <c r="M3050" t="s">
        <v>223</v>
      </c>
      <c r="P3050" t="s">
        <v>182</v>
      </c>
      <c r="R3050" t="s">
        <v>183</v>
      </c>
      <c r="S3050" t="s">
        <v>64</v>
      </c>
      <c r="T3050">
        <v>242</v>
      </c>
      <c r="U3050">
        <v>237</v>
      </c>
      <c r="V3050">
        <f t="shared" si="94"/>
        <v>239.5</v>
      </c>
      <c r="W3050">
        <f t="shared" si="95"/>
        <v>5</v>
      </c>
      <c r="X3050">
        <v>8.0477779999999992</v>
      </c>
      <c r="Y3050">
        <v>49.387779000000002</v>
      </c>
      <c r="Z3050" t="s">
        <v>520</v>
      </c>
      <c r="AA3050" t="s">
        <v>211</v>
      </c>
      <c r="AB3050" t="s">
        <v>4121</v>
      </c>
      <c r="AE3050" t="s">
        <v>1378</v>
      </c>
      <c r="AH3050" t="s">
        <v>72</v>
      </c>
      <c r="AI3050" t="s">
        <v>2013</v>
      </c>
      <c r="AJ3050">
        <v>1994</v>
      </c>
      <c r="AK3050" t="s">
        <v>4122</v>
      </c>
      <c r="AN3050" t="s">
        <v>192</v>
      </c>
      <c r="AO3050" t="s">
        <v>77</v>
      </c>
      <c r="AP3050" t="s">
        <v>115</v>
      </c>
      <c r="AR3050" t="s">
        <v>80</v>
      </c>
      <c r="AS3050">
        <v>305</v>
      </c>
      <c r="AT3050" t="s">
        <v>81</v>
      </c>
      <c r="AU3050">
        <v>26.78</v>
      </c>
      <c r="AV3050">
        <v>28.77</v>
      </c>
      <c r="AW3050" t="s">
        <v>82</v>
      </c>
      <c r="AX3050">
        <v>305</v>
      </c>
      <c r="AY3050" t="s">
        <v>81</v>
      </c>
      <c r="AZ3050">
        <v>16.61</v>
      </c>
      <c r="BA3050">
        <v>15.13</v>
      </c>
      <c r="BB3050" t="s">
        <v>83</v>
      </c>
    </row>
    <row r="3051" spans="1:54" x14ac:dyDescent="0.4">
      <c r="A3051">
        <v>1094780</v>
      </c>
      <c r="D3051" t="s">
        <v>54</v>
      </c>
      <c r="G3051">
        <v>1</v>
      </c>
      <c r="H3051" t="s">
        <v>56</v>
      </c>
      <c r="I3051" t="s">
        <v>57</v>
      </c>
      <c r="K3051" t="s">
        <v>2470</v>
      </c>
      <c r="L3051" t="s">
        <v>2471</v>
      </c>
      <c r="M3051" t="s">
        <v>223</v>
      </c>
      <c r="P3051" t="s">
        <v>182</v>
      </c>
      <c r="R3051" t="s">
        <v>183</v>
      </c>
      <c r="S3051" t="s">
        <v>64</v>
      </c>
      <c r="T3051">
        <v>242</v>
      </c>
      <c r="U3051">
        <v>237</v>
      </c>
      <c r="V3051">
        <f t="shared" si="94"/>
        <v>239.5</v>
      </c>
      <c r="W3051">
        <f t="shared" si="95"/>
        <v>5</v>
      </c>
      <c r="X3051">
        <v>9.6524999999999999</v>
      </c>
      <c r="Y3051">
        <v>48.088054999999997</v>
      </c>
      <c r="Z3051" t="s">
        <v>520</v>
      </c>
      <c r="AA3051" t="s">
        <v>211</v>
      </c>
      <c r="AB3051" t="s">
        <v>212</v>
      </c>
      <c r="AE3051" t="s">
        <v>4123</v>
      </c>
      <c r="AH3051" t="s">
        <v>72</v>
      </c>
      <c r="AI3051" t="s">
        <v>2013</v>
      </c>
      <c r="AJ3051">
        <v>1994</v>
      </c>
      <c r="AK3051" t="s">
        <v>4124</v>
      </c>
      <c r="AN3051" t="s">
        <v>192</v>
      </c>
      <c r="AO3051" t="s">
        <v>77</v>
      </c>
      <c r="AP3051" t="s">
        <v>115</v>
      </c>
      <c r="AR3051" t="s">
        <v>80</v>
      </c>
      <c r="AS3051">
        <v>305</v>
      </c>
      <c r="AT3051" t="s">
        <v>81</v>
      </c>
      <c r="AU3051">
        <v>28.31</v>
      </c>
      <c r="AV3051">
        <v>27.77</v>
      </c>
      <c r="AW3051" t="s">
        <v>82</v>
      </c>
      <c r="AX3051">
        <v>305</v>
      </c>
      <c r="AY3051" t="s">
        <v>81</v>
      </c>
      <c r="AZ3051">
        <v>18.18</v>
      </c>
      <c r="BA3051">
        <v>14.41</v>
      </c>
      <c r="BB3051" t="s">
        <v>83</v>
      </c>
    </row>
    <row r="3052" spans="1:54" x14ac:dyDescent="0.4">
      <c r="A3052">
        <v>1094780</v>
      </c>
      <c r="D3052" t="s">
        <v>54</v>
      </c>
      <c r="G3052">
        <v>1</v>
      </c>
      <c r="H3052" t="s">
        <v>56</v>
      </c>
      <c r="I3052" t="s">
        <v>57</v>
      </c>
      <c r="K3052" t="s">
        <v>2470</v>
      </c>
      <c r="L3052" t="s">
        <v>2471</v>
      </c>
      <c r="M3052" t="s">
        <v>223</v>
      </c>
      <c r="P3052" t="s">
        <v>182</v>
      </c>
      <c r="R3052" t="s">
        <v>183</v>
      </c>
      <c r="S3052" t="s">
        <v>64</v>
      </c>
      <c r="T3052">
        <v>242</v>
      </c>
      <c r="U3052">
        <v>237</v>
      </c>
      <c r="V3052">
        <f t="shared" si="94"/>
        <v>239.5</v>
      </c>
      <c r="W3052">
        <f t="shared" si="95"/>
        <v>5</v>
      </c>
      <c r="X3052">
        <v>9.6524999999999999</v>
      </c>
      <c r="Y3052">
        <v>48.088054999999997</v>
      </c>
      <c r="Z3052" t="s">
        <v>520</v>
      </c>
      <c r="AA3052" t="s">
        <v>211</v>
      </c>
      <c r="AB3052" t="s">
        <v>212</v>
      </c>
      <c r="AE3052" t="s">
        <v>4123</v>
      </c>
      <c r="AH3052" t="s">
        <v>72</v>
      </c>
      <c r="AI3052" t="s">
        <v>2013</v>
      </c>
      <c r="AJ3052">
        <v>1994</v>
      </c>
      <c r="AK3052" t="s">
        <v>4124</v>
      </c>
      <c r="AN3052" t="s">
        <v>192</v>
      </c>
      <c r="AO3052" t="s">
        <v>77</v>
      </c>
      <c r="AP3052" t="s">
        <v>115</v>
      </c>
      <c r="AR3052" t="s">
        <v>80</v>
      </c>
      <c r="AS3052">
        <v>305</v>
      </c>
      <c r="AT3052" t="s">
        <v>81</v>
      </c>
      <c r="AU3052">
        <v>28.31</v>
      </c>
      <c r="AV3052">
        <v>27.77</v>
      </c>
      <c r="AW3052" t="s">
        <v>82</v>
      </c>
      <c r="AX3052">
        <v>305</v>
      </c>
      <c r="AY3052" t="s">
        <v>81</v>
      </c>
      <c r="AZ3052">
        <v>18.18</v>
      </c>
      <c r="BA3052">
        <v>14.41</v>
      </c>
      <c r="BB3052" t="s">
        <v>83</v>
      </c>
    </row>
    <row r="3053" spans="1:54" x14ac:dyDescent="0.4">
      <c r="A3053">
        <v>1094781</v>
      </c>
      <c r="D3053" t="s">
        <v>54</v>
      </c>
      <c r="G3053">
        <v>1</v>
      </c>
      <c r="H3053" t="s">
        <v>84</v>
      </c>
      <c r="I3053" t="s">
        <v>57</v>
      </c>
      <c r="K3053" t="s">
        <v>2470</v>
      </c>
      <c r="L3053" t="s">
        <v>2471</v>
      </c>
      <c r="M3053" t="s">
        <v>223</v>
      </c>
      <c r="P3053" t="s">
        <v>182</v>
      </c>
      <c r="R3053" t="s">
        <v>183</v>
      </c>
      <c r="S3053" t="s">
        <v>64</v>
      </c>
      <c r="T3053">
        <v>242</v>
      </c>
      <c r="U3053">
        <v>237</v>
      </c>
      <c r="V3053">
        <f t="shared" si="94"/>
        <v>239.5</v>
      </c>
      <c r="W3053">
        <f t="shared" si="95"/>
        <v>5</v>
      </c>
      <c r="X3053">
        <v>10.024167</v>
      </c>
      <c r="Y3053">
        <v>49.323611999999997</v>
      </c>
      <c r="Z3053" t="s">
        <v>520</v>
      </c>
      <c r="AA3053" t="s">
        <v>211</v>
      </c>
      <c r="AB3053" t="s">
        <v>953</v>
      </c>
      <c r="AE3053" t="s">
        <v>1378</v>
      </c>
      <c r="AH3053" t="s">
        <v>72</v>
      </c>
      <c r="AI3053" t="s">
        <v>2013</v>
      </c>
      <c r="AJ3053">
        <v>1994</v>
      </c>
      <c r="AK3053" t="s">
        <v>4125</v>
      </c>
      <c r="AN3053" t="s">
        <v>192</v>
      </c>
      <c r="AO3053" t="s">
        <v>77</v>
      </c>
      <c r="AP3053" t="s">
        <v>115</v>
      </c>
      <c r="AR3053" t="s">
        <v>80</v>
      </c>
      <c r="AS3053">
        <v>305</v>
      </c>
      <c r="AT3053" t="s">
        <v>81</v>
      </c>
      <c r="AU3053">
        <v>28.22</v>
      </c>
      <c r="AV3053">
        <v>29.03</v>
      </c>
      <c r="AW3053" t="s">
        <v>82</v>
      </c>
      <c r="AX3053">
        <v>305</v>
      </c>
      <c r="AY3053" t="s">
        <v>81</v>
      </c>
      <c r="AZ3053">
        <v>17.850000000000001</v>
      </c>
      <c r="BA3053">
        <v>15.63</v>
      </c>
      <c r="BB3053" t="s">
        <v>83</v>
      </c>
    </row>
    <row r="3054" spans="1:54" x14ac:dyDescent="0.4">
      <c r="A3054">
        <v>1094782</v>
      </c>
      <c r="D3054" t="s">
        <v>54</v>
      </c>
      <c r="G3054">
        <v>1</v>
      </c>
      <c r="H3054" t="s">
        <v>84</v>
      </c>
      <c r="I3054" t="s">
        <v>57</v>
      </c>
      <c r="K3054" t="s">
        <v>2470</v>
      </c>
      <c r="L3054" t="s">
        <v>2471</v>
      </c>
      <c r="M3054" t="s">
        <v>223</v>
      </c>
      <c r="P3054" t="s">
        <v>182</v>
      </c>
      <c r="R3054" t="s">
        <v>183</v>
      </c>
      <c r="S3054" t="s">
        <v>64</v>
      </c>
      <c r="T3054">
        <v>242</v>
      </c>
      <c r="U3054">
        <v>237</v>
      </c>
      <c r="V3054">
        <f t="shared" si="94"/>
        <v>239.5</v>
      </c>
      <c r="W3054">
        <f t="shared" si="95"/>
        <v>5</v>
      </c>
      <c r="X3054">
        <v>9.7397220000000004</v>
      </c>
      <c r="Y3054">
        <v>49.235832000000002</v>
      </c>
      <c r="Z3054" t="s">
        <v>520</v>
      </c>
      <c r="AA3054" t="s">
        <v>211</v>
      </c>
      <c r="AB3054" t="s">
        <v>212</v>
      </c>
      <c r="AE3054" t="s">
        <v>1378</v>
      </c>
      <c r="AH3054" t="s">
        <v>72</v>
      </c>
      <c r="AI3054" t="s">
        <v>2013</v>
      </c>
      <c r="AJ3054">
        <v>1994</v>
      </c>
      <c r="AK3054" t="s">
        <v>4126</v>
      </c>
      <c r="AN3054" t="s">
        <v>192</v>
      </c>
      <c r="AO3054" t="s">
        <v>77</v>
      </c>
      <c r="AP3054" t="s">
        <v>115</v>
      </c>
      <c r="AR3054" t="s">
        <v>80</v>
      </c>
      <c r="AS3054">
        <v>305</v>
      </c>
      <c r="AT3054" t="s">
        <v>81</v>
      </c>
      <c r="AU3054">
        <v>28.04</v>
      </c>
      <c r="AV3054">
        <v>28.9</v>
      </c>
      <c r="AW3054" t="s">
        <v>82</v>
      </c>
      <c r="AX3054">
        <v>305</v>
      </c>
      <c r="AY3054" t="s">
        <v>81</v>
      </c>
      <c r="AZ3054">
        <v>17.71</v>
      </c>
      <c r="BA3054">
        <v>15.47</v>
      </c>
      <c r="BB3054" t="s">
        <v>83</v>
      </c>
    </row>
    <row r="3055" spans="1:54" x14ac:dyDescent="0.4">
      <c r="A3055">
        <v>1094783</v>
      </c>
      <c r="D3055" t="s">
        <v>54</v>
      </c>
      <c r="G3055">
        <v>2</v>
      </c>
      <c r="H3055" t="s">
        <v>84</v>
      </c>
      <c r="I3055" t="s">
        <v>57</v>
      </c>
      <c r="K3055" t="s">
        <v>771</v>
      </c>
      <c r="L3055" t="s">
        <v>772</v>
      </c>
      <c r="M3055" t="s">
        <v>223</v>
      </c>
      <c r="P3055" t="s">
        <v>182</v>
      </c>
      <c r="R3055" t="s">
        <v>183</v>
      </c>
      <c r="S3055" t="s">
        <v>64</v>
      </c>
      <c r="T3055">
        <v>242</v>
      </c>
      <c r="U3055">
        <v>237</v>
      </c>
      <c r="V3055">
        <f t="shared" si="94"/>
        <v>239.5</v>
      </c>
      <c r="W3055">
        <f t="shared" si="95"/>
        <v>5</v>
      </c>
      <c r="X3055">
        <v>11.568056</v>
      </c>
      <c r="Y3055">
        <v>50.088332999999999</v>
      </c>
      <c r="Z3055" t="s">
        <v>520</v>
      </c>
      <c r="AA3055" t="s">
        <v>211</v>
      </c>
      <c r="AB3055" t="s">
        <v>2654</v>
      </c>
      <c r="AC3055" t="s">
        <v>4127</v>
      </c>
      <c r="AE3055" t="s">
        <v>1378</v>
      </c>
      <c r="AG3055" t="s">
        <v>4128</v>
      </c>
      <c r="AH3055" t="s">
        <v>11</v>
      </c>
      <c r="AI3055" t="s">
        <v>2013</v>
      </c>
      <c r="AJ3055">
        <v>1994</v>
      </c>
      <c r="AK3055" t="s">
        <v>4129</v>
      </c>
      <c r="AN3055" t="s">
        <v>192</v>
      </c>
      <c r="AO3055" t="s">
        <v>77</v>
      </c>
      <c r="AP3055" t="s">
        <v>115</v>
      </c>
      <c r="AR3055" t="s">
        <v>80</v>
      </c>
      <c r="AS3055">
        <v>305</v>
      </c>
      <c r="AT3055" t="s">
        <v>81</v>
      </c>
      <c r="AU3055">
        <v>29.09</v>
      </c>
      <c r="AV3055">
        <v>30.03</v>
      </c>
      <c r="AW3055" t="s">
        <v>82</v>
      </c>
      <c r="AX3055">
        <v>305</v>
      </c>
      <c r="AY3055" t="s">
        <v>81</v>
      </c>
      <c r="AZ3055">
        <v>18.420000000000002</v>
      </c>
      <c r="BA3055">
        <v>16.760000000000002</v>
      </c>
      <c r="BB3055" t="s">
        <v>83</v>
      </c>
    </row>
    <row r="3056" spans="1:54" x14ac:dyDescent="0.4">
      <c r="A3056">
        <v>1094784</v>
      </c>
      <c r="D3056" t="s">
        <v>54</v>
      </c>
      <c r="I3056" t="s">
        <v>57</v>
      </c>
      <c r="K3056" t="s">
        <v>2470</v>
      </c>
      <c r="L3056" t="s">
        <v>2471</v>
      </c>
      <c r="M3056" t="s">
        <v>223</v>
      </c>
      <c r="P3056" t="s">
        <v>182</v>
      </c>
      <c r="R3056" t="s">
        <v>183</v>
      </c>
      <c r="S3056" t="s">
        <v>64</v>
      </c>
      <c r="T3056">
        <v>242</v>
      </c>
      <c r="U3056">
        <v>237</v>
      </c>
      <c r="V3056">
        <f t="shared" si="94"/>
        <v>239.5</v>
      </c>
      <c r="W3056">
        <f t="shared" si="95"/>
        <v>5</v>
      </c>
      <c r="X3056">
        <v>6.4059879999999998</v>
      </c>
      <c r="Y3056">
        <v>48.555827999999998</v>
      </c>
      <c r="Z3056" t="s">
        <v>520</v>
      </c>
      <c r="AA3056" t="s">
        <v>521</v>
      </c>
      <c r="AB3056" t="s">
        <v>4130</v>
      </c>
      <c r="AC3056" t="s">
        <v>3095</v>
      </c>
      <c r="AE3056" t="s">
        <v>1378</v>
      </c>
      <c r="AH3056" t="s">
        <v>72</v>
      </c>
      <c r="AI3056" t="s">
        <v>2013</v>
      </c>
      <c r="AJ3056">
        <v>1994</v>
      </c>
      <c r="AK3056" t="s">
        <v>4131</v>
      </c>
      <c r="AN3056" t="s">
        <v>192</v>
      </c>
      <c r="AO3056">
        <v>6</v>
      </c>
      <c r="AP3056" t="s">
        <v>115</v>
      </c>
      <c r="AQ3056" t="s">
        <v>4132</v>
      </c>
      <c r="AR3056" t="s">
        <v>80</v>
      </c>
      <c r="AS3056">
        <v>305</v>
      </c>
      <c r="AT3056" t="s">
        <v>81</v>
      </c>
      <c r="AU3056">
        <v>25.81</v>
      </c>
      <c r="AV3056">
        <v>27.7</v>
      </c>
      <c r="AW3056" t="s">
        <v>82</v>
      </c>
      <c r="AX3056">
        <v>305</v>
      </c>
      <c r="AY3056" t="s">
        <v>81</v>
      </c>
      <c r="AZ3056">
        <v>15.95</v>
      </c>
      <c r="BA3056">
        <v>13.93</v>
      </c>
      <c r="BB3056" t="s">
        <v>83</v>
      </c>
    </row>
    <row r="3057" spans="1:54" x14ac:dyDescent="0.4">
      <c r="A3057">
        <v>1094785</v>
      </c>
      <c r="D3057" t="s">
        <v>54</v>
      </c>
      <c r="I3057" t="s">
        <v>57</v>
      </c>
      <c r="K3057" t="s">
        <v>771</v>
      </c>
      <c r="L3057" t="s">
        <v>772</v>
      </c>
      <c r="M3057" t="s">
        <v>223</v>
      </c>
      <c r="P3057" t="s">
        <v>182</v>
      </c>
      <c r="R3057" t="s">
        <v>183</v>
      </c>
      <c r="S3057" t="s">
        <v>64</v>
      </c>
      <c r="T3057">
        <v>242</v>
      </c>
      <c r="U3057">
        <v>237</v>
      </c>
      <c r="V3057">
        <f t="shared" si="94"/>
        <v>239.5</v>
      </c>
      <c r="W3057">
        <f t="shared" si="95"/>
        <v>5</v>
      </c>
      <c r="X3057">
        <v>6.4059879999999998</v>
      </c>
      <c r="Y3057">
        <v>48.555827999999998</v>
      </c>
      <c r="Z3057" t="s">
        <v>520</v>
      </c>
      <c r="AA3057" t="s">
        <v>521</v>
      </c>
      <c r="AB3057" t="s">
        <v>4130</v>
      </c>
      <c r="AC3057" t="s">
        <v>3095</v>
      </c>
      <c r="AE3057" t="s">
        <v>1378</v>
      </c>
      <c r="AH3057" t="s">
        <v>11</v>
      </c>
      <c r="AI3057" t="s">
        <v>2013</v>
      </c>
      <c r="AJ3057">
        <v>1994</v>
      </c>
      <c r="AK3057" t="s">
        <v>4131</v>
      </c>
      <c r="AN3057" t="s">
        <v>192</v>
      </c>
      <c r="AO3057">
        <v>6</v>
      </c>
      <c r="AP3057" t="s">
        <v>115</v>
      </c>
      <c r="AQ3057" t="s">
        <v>4132</v>
      </c>
      <c r="AR3057" t="s">
        <v>80</v>
      </c>
      <c r="AS3057">
        <v>305</v>
      </c>
      <c r="AT3057" t="s">
        <v>81</v>
      </c>
      <c r="AU3057">
        <v>25.81</v>
      </c>
      <c r="AV3057">
        <v>27.7</v>
      </c>
      <c r="AW3057" t="s">
        <v>82</v>
      </c>
      <c r="AX3057">
        <v>305</v>
      </c>
      <c r="AY3057" t="s">
        <v>81</v>
      </c>
      <c r="AZ3057">
        <v>15.95</v>
      </c>
      <c r="BA3057">
        <v>13.93</v>
      </c>
      <c r="BB3057" t="s">
        <v>83</v>
      </c>
    </row>
    <row r="3058" spans="1:54" x14ac:dyDescent="0.4">
      <c r="A3058">
        <v>1094787</v>
      </c>
      <c r="D3058" t="s">
        <v>54</v>
      </c>
      <c r="G3058">
        <v>1</v>
      </c>
      <c r="H3058" t="s">
        <v>84</v>
      </c>
      <c r="I3058" t="s">
        <v>57</v>
      </c>
      <c r="K3058" t="s">
        <v>771</v>
      </c>
      <c r="L3058" t="s">
        <v>772</v>
      </c>
      <c r="M3058" t="s">
        <v>223</v>
      </c>
      <c r="P3058" t="s">
        <v>182</v>
      </c>
      <c r="R3058" t="s">
        <v>183</v>
      </c>
      <c r="S3058" t="s">
        <v>64</v>
      </c>
      <c r="T3058">
        <v>242</v>
      </c>
      <c r="U3058">
        <v>237</v>
      </c>
      <c r="V3058">
        <f t="shared" si="94"/>
        <v>239.5</v>
      </c>
      <c r="W3058">
        <f t="shared" si="95"/>
        <v>5</v>
      </c>
      <c r="X3058">
        <v>9.1688890000000001</v>
      </c>
      <c r="Y3058">
        <v>48.834442000000003</v>
      </c>
      <c r="Z3058" t="s">
        <v>520</v>
      </c>
      <c r="AA3058" t="s">
        <v>211</v>
      </c>
      <c r="AE3058" t="s">
        <v>620</v>
      </c>
      <c r="AH3058" t="s">
        <v>72</v>
      </c>
      <c r="AI3058" t="s">
        <v>865</v>
      </c>
      <c r="AJ3058">
        <v>1855</v>
      </c>
      <c r="AK3058" t="s">
        <v>4133</v>
      </c>
      <c r="AM3058" t="s">
        <v>4134</v>
      </c>
      <c r="AN3058" t="s">
        <v>192</v>
      </c>
      <c r="AO3058" t="s">
        <v>77</v>
      </c>
      <c r="AP3058" t="s">
        <v>115</v>
      </c>
      <c r="AR3058" t="s">
        <v>80</v>
      </c>
      <c r="AS3058">
        <v>305</v>
      </c>
      <c r="AT3058" t="s">
        <v>81</v>
      </c>
      <c r="AU3058">
        <v>27.74</v>
      </c>
      <c r="AV3058">
        <v>28.41</v>
      </c>
      <c r="AW3058" t="s">
        <v>82</v>
      </c>
      <c r="AX3058">
        <v>305</v>
      </c>
      <c r="AY3058" t="s">
        <v>81</v>
      </c>
      <c r="AZ3058">
        <v>17.54</v>
      </c>
      <c r="BA3058">
        <v>14.94</v>
      </c>
      <c r="BB3058" t="s">
        <v>83</v>
      </c>
    </row>
    <row r="3059" spans="1:54" x14ac:dyDescent="0.4">
      <c r="A3059">
        <v>1094790</v>
      </c>
      <c r="D3059" t="s">
        <v>54</v>
      </c>
      <c r="G3059">
        <v>1</v>
      </c>
      <c r="H3059" t="s">
        <v>84</v>
      </c>
      <c r="I3059" t="s">
        <v>57</v>
      </c>
      <c r="K3059" t="s">
        <v>771</v>
      </c>
      <c r="L3059" t="s">
        <v>772</v>
      </c>
      <c r="M3059" t="s">
        <v>223</v>
      </c>
      <c r="P3059" t="s">
        <v>182</v>
      </c>
      <c r="R3059" t="s">
        <v>183</v>
      </c>
      <c r="S3059" t="s">
        <v>64</v>
      </c>
      <c r="T3059">
        <v>242</v>
      </c>
      <c r="U3059">
        <v>237</v>
      </c>
      <c r="V3059">
        <f t="shared" si="94"/>
        <v>239.5</v>
      </c>
      <c r="W3059">
        <f t="shared" si="95"/>
        <v>5</v>
      </c>
      <c r="X3059">
        <v>9.4888890000000004</v>
      </c>
      <c r="Y3059">
        <v>49.325001</v>
      </c>
      <c r="Z3059" t="s">
        <v>520</v>
      </c>
      <c r="AA3059" t="s">
        <v>211</v>
      </c>
      <c r="AB3059" t="s">
        <v>212</v>
      </c>
      <c r="AE3059" t="s">
        <v>1378</v>
      </c>
      <c r="AG3059" t="s">
        <v>4135</v>
      </c>
      <c r="AH3059" t="s">
        <v>72</v>
      </c>
      <c r="AI3059" t="s">
        <v>2013</v>
      </c>
      <c r="AJ3059">
        <v>1994</v>
      </c>
      <c r="AK3059" t="s">
        <v>4136</v>
      </c>
      <c r="AN3059" t="s">
        <v>192</v>
      </c>
      <c r="AO3059" t="s">
        <v>77</v>
      </c>
      <c r="AP3059" t="s">
        <v>115</v>
      </c>
      <c r="AQ3059" t="s">
        <v>4137</v>
      </c>
      <c r="AR3059" t="s">
        <v>80</v>
      </c>
      <c r="AS3059">
        <v>305</v>
      </c>
      <c r="AT3059" t="s">
        <v>81</v>
      </c>
      <c r="AU3059">
        <v>27.83</v>
      </c>
      <c r="AV3059">
        <v>28.94</v>
      </c>
      <c r="AW3059" t="s">
        <v>82</v>
      </c>
      <c r="AX3059">
        <v>305</v>
      </c>
      <c r="AY3059" t="s">
        <v>81</v>
      </c>
      <c r="AZ3059">
        <v>17.52</v>
      </c>
      <c r="BA3059">
        <v>15.48</v>
      </c>
      <c r="BB3059" t="s">
        <v>83</v>
      </c>
    </row>
    <row r="3060" spans="1:54" x14ac:dyDescent="0.4">
      <c r="A3060">
        <v>1094794</v>
      </c>
      <c r="D3060" t="s">
        <v>54</v>
      </c>
      <c r="G3060">
        <v>1</v>
      </c>
      <c r="H3060" t="s">
        <v>84</v>
      </c>
      <c r="I3060" t="s">
        <v>57</v>
      </c>
      <c r="K3060" t="s">
        <v>755</v>
      </c>
      <c r="L3060" t="s">
        <v>756</v>
      </c>
      <c r="M3060" t="s">
        <v>223</v>
      </c>
      <c r="P3060" t="s">
        <v>182</v>
      </c>
      <c r="R3060" t="s">
        <v>183</v>
      </c>
      <c r="S3060" t="s">
        <v>64</v>
      </c>
      <c r="T3060">
        <v>242</v>
      </c>
      <c r="U3060">
        <v>237</v>
      </c>
      <c r="V3060">
        <f t="shared" si="94"/>
        <v>239.5</v>
      </c>
      <c r="W3060">
        <f t="shared" si="95"/>
        <v>5</v>
      </c>
      <c r="X3060">
        <v>11.568056</v>
      </c>
      <c r="Y3060">
        <v>50.088332999999999</v>
      </c>
      <c r="Z3060" t="s">
        <v>520</v>
      </c>
      <c r="AA3060" t="s">
        <v>211</v>
      </c>
      <c r="AB3060" t="s">
        <v>2654</v>
      </c>
      <c r="AC3060" t="s">
        <v>4127</v>
      </c>
      <c r="AE3060" t="s">
        <v>1378</v>
      </c>
      <c r="AG3060" t="s">
        <v>4128</v>
      </c>
      <c r="AH3060" t="s">
        <v>11</v>
      </c>
      <c r="AI3060" t="s">
        <v>2013</v>
      </c>
      <c r="AJ3060">
        <v>1995</v>
      </c>
      <c r="AK3060" t="s">
        <v>4129</v>
      </c>
      <c r="AN3060" t="s">
        <v>192</v>
      </c>
      <c r="AO3060" t="s">
        <v>77</v>
      </c>
      <c r="AP3060" t="s">
        <v>115</v>
      </c>
      <c r="AR3060" t="s">
        <v>80</v>
      </c>
      <c r="AS3060">
        <v>305</v>
      </c>
      <c r="AT3060" t="s">
        <v>81</v>
      </c>
      <c r="AU3060">
        <v>29.09</v>
      </c>
      <c r="AV3060">
        <v>30.03</v>
      </c>
      <c r="AW3060" t="s">
        <v>82</v>
      </c>
      <c r="AX3060">
        <v>305</v>
      </c>
      <c r="AY3060" t="s">
        <v>81</v>
      </c>
      <c r="AZ3060">
        <v>18.420000000000002</v>
      </c>
      <c r="BA3060">
        <v>16.760000000000002</v>
      </c>
      <c r="BB3060" t="s">
        <v>83</v>
      </c>
    </row>
    <row r="3061" spans="1:54" x14ac:dyDescent="0.4">
      <c r="A3061">
        <v>1094795</v>
      </c>
      <c r="D3061" t="s">
        <v>54</v>
      </c>
      <c r="E3061" t="s">
        <v>154</v>
      </c>
      <c r="G3061">
        <v>1</v>
      </c>
      <c r="H3061" t="s">
        <v>84</v>
      </c>
      <c r="I3061" t="s">
        <v>57</v>
      </c>
      <c r="K3061" t="s">
        <v>2470</v>
      </c>
      <c r="L3061" t="s">
        <v>2471</v>
      </c>
      <c r="M3061" t="s">
        <v>223</v>
      </c>
      <c r="P3061" t="s">
        <v>182</v>
      </c>
      <c r="R3061" t="s">
        <v>183</v>
      </c>
      <c r="S3061" t="s">
        <v>64</v>
      </c>
      <c r="T3061">
        <v>242</v>
      </c>
      <c r="U3061">
        <v>237</v>
      </c>
      <c r="V3061">
        <f t="shared" si="94"/>
        <v>239.5</v>
      </c>
      <c r="W3061">
        <f t="shared" si="95"/>
        <v>5</v>
      </c>
      <c r="X3061">
        <v>10.066667000000001</v>
      </c>
      <c r="Y3061">
        <v>49.133330999999998</v>
      </c>
      <c r="Z3061" t="s">
        <v>602</v>
      </c>
      <c r="AA3061" t="s">
        <v>211</v>
      </c>
      <c r="AC3061" t="s">
        <v>212</v>
      </c>
      <c r="AE3061" t="s">
        <v>1378</v>
      </c>
      <c r="AH3061" t="s">
        <v>11</v>
      </c>
      <c r="AI3061" t="s">
        <v>2013</v>
      </c>
      <c r="AJ3061">
        <v>1994</v>
      </c>
      <c r="AK3061" t="s">
        <v>4144</v>
      </c>
      <c r="AN3061" t="s">
        <v>114</v>
      </c>
      <c r="AO3061" t="s">
        <v>160</v>
      </c>
      <c r="AP3061" t="s">
        <v>636</v>
      </c>
      <c r="AQ3061" t="s">
        <v>3527</v>
      </c>
      <c r="AR3061" t="s">
        <v>80</v>
      </c>
      <c r="AS3061">
        <v>305</v>
      </c>
      <c r="AT3061" t="s">
        <v>81</v>
      </c>
      <c r="AU3061">
        <v>28.31</v>
      </c>
      <c r="AV3061">
        <v>28.85</v>
      </c>
      <c r="AW3061" t="s">
        <v>82</v>
      </c>
      <c r="AX3061">
        <v>305</v>
      </c>
      <c r="AY3061" t="s">
        <v>81</v>
      </c>
      <c r="AZ3061">
        <v>17.96</v>
      </c>
      <c r="BA3061">
        <v>15.47</v>
      </c>
      <c r="BB3061" t="s">
        <v>83</v>
      </c>
    </row>
    <row r="3062" spans="1:54" x14ac:dyDescent="0.4">
      <c r="A3062">
        <v>1094797</v>
      </c>
      <c r="D3062" t="s">
        <v>54</v>
      </c>
      <c r="G3062">
        <v>1</v>
      </c>
      <c r="H3062" t="s">
        <v>84</v>
      </c>
      <c r="I3062" t="s">
        <v>57</v>
      </c>
      <c r="K3062" t="s">
        <v>1347</v>
      </c>
      <c r="L3062" t="s">
        <v>1348</v>
      </c>
      <c r="M3062" t="s">
        <v>223</v>
      </c>
      <c r="N3062" t="s">
        <v>485</v>
      </c>
      <c r="O3062" t="s">
        <v>1349</v>
      </c>
      <c r="P3062" t="s">
        <v>182</v>
      </c>
      <c r="R3062" t="s">
        <v>183</v>
      </c>
      <c r="S3062" t="s">
        <v>64</v>
      </c>
      <c r="T3062">
        <v>242</v>
      </c>
      <c r="U3062">
        <v>237</v>
      </c>
      <c r="V3062">
        <f t="shared" si="94"/>
        <v>239.5</v>
      </c>
      <c r="W3062">
        <f t="shared" si="95"/>
        <v>5</v>
      </c>
      <c r="X3062">
        <v>11.568056</v>
      </c>
      <c r="Y3062">
        <v>50.088332999999999</v>
      </c>
      <c r="Z3062" t="s">
        <v>520</v>
      </c>
      <c r="AA3062" t="s">
        <v>211</v>
      </c>
      <c r="AB3062" t="s">
        <v>2654</v>
      </c>
      <c r="AC3062" t="s">
        <v>4127</v>
      </c>
      <c r="AE3062" t="s">
        <v>1378</v>
      </c>
      <c r="AG3062" t="s">
        <v>4128</v>
      </c>
      <c r="AH3062" t="s">
        <v>11</v>
      </c>
      <c r="AI3062" t="s">
        <v>2013</v>
      </c>
      <c r="AJ3062">
        <v>1994</v>
      </c>
      <c r="AK3062" t="s">
        <v>4129</v>
      </c>
      <c r="AN3062" t="s">
        <v>192</v>
      </c>
      <c r="AO3062" t="s">
        <v>77</v>
      </c>
      <c r="AP3062" t="s">
        <v>115</v>
      </c>
      <c r="AR3062" t="s">
        <v>80</v>
      </c>
      <c r="AS3062">
        <v>305</v>
      </c>
      <c r="AT3062" t="s">
        <v>81</v>
      </c>
      <c r="AU3062">
        <v>29.09</v>
      </c>
      <c r="AV3062">
        <v>30.03</v>
      </c>
      <c r="AW3062" t="s">
        <v>82</v>
      </c>
      <c r="AX3062">
        <v>305</v>
      </c>
      <c r="AY3062" t="s">
        <v>81</v>
      </c>
      <c r="AZ3062">
        <v>18.420000000000002</v>
      </c>
      <c r="BA3062">
        <v>16.760000000000002</v>
      </c>
      <c r="BB3062" t="s">
        <v>83</v>
      </c>
    </row>
    <row r="3063" spans="1:54" x14ac:dyDescent="0.4">
      <c r="A3063">
        <v>1094801</v>
      </c>
      <c r="D3063" t="s">
        <v>54</v>
      </c>
      <c r="I3063" t="s">
        <v>57</v>
      </c>
      <c r="K3063" t="s">
        <v>771</v>
      </c>
      <c r="L3063" t="s">
        <v>772</v>
      </c>
      <c r="M3063" t="s">
        <v>223</v>
      </c>
      <c r="P3063" t="s">
        <v>182</v>
      </c>
      <c r="R3063" t="s">
        <v>183</v>
      </c>
      <c r="S3063" t="s">
        <v>64</v>
      </c>
      <c r="T3063">
        <v>242</v>
      </c>
      <c r="U3063">
        <v>237</v>
      </c>
      <c r="V3063">
        <f t="shared" si="94"/>
        <v>239.5</v>
      </c>
      <c r="W3063">
        <f t="shared" si="95"/>
        <v>5</v>
      </c>
      <c r="X3063">
        <v>9.8402779999999996</v>
      </c>
      <c r="Y3063">
        <v>49.615276000000001</v>
      </c>
      <c r="Z3063" t="s">
        <v>520</v>
      </c>
      <c r="AA3063" t="s">
        <v>211</v>
      </c>
      <c r="AE3063" t="s">
        <v>1378</v>
      </c>
      <c r="AF3063" t="s">
        <v>4145</v>
      </c>
      <c r="AH3063" t="s">
        <v>11</v>
      </c>
      <c r="AI3063" t="s">
        <v>2013</v>
      </c>
      <c r="AJ3063">
        <v>1994</v>
      </c>
      <c r="AK3063" t="s">
        <v>4146</v>
      </c>
      <c r="AN3063" t="s">
        <v>192</v>
      </c>
      <c r="AO3063" t="s">
        <v>77</v>
      </c>
      <c r="AP3063" t="s">
        <v>115</v>
      </c>
      <c r="AR3063" t="s">
        <v>80</v>
      </c>
      <c r="AS3063">
        <v>305</v>
      </c>
      <c r="AT3063" t="s">
        <v>81</v>
      </c>
      <c r="AU3063">
        <v>28</v>
      </c>
      <c r="AV3063">
        <v>29.28</v>
      </c>
      <c r="AW3063" t="s">
        <v>82</v>
      </c>
      <c r="AX3063">
        <v>305</v>
      </c>
      <c r="AY3063" t="s">
        <v>81</v>
      </c>
      <c r="AZ3063">
        <v>17.600000000000001</v>
      </c>
      <c r="BA3063">
        <v>15.84</v>
      </c>
      <c r="BB3063" t="s">
        <v>83</v>
      </c>
    </row>
    <row r="3064" spans="1:54" x14ac:dyDescent="0.4">
      <c r="A3064">
        <v>1094803</v>
      </c>
      <c r="D3064" t="s">
        <v>54</v>
      </c>
      <c r="G3064">
        <v>3</v>
      </c>
      <c r="H3064" t="s">
        <v>84</v>
      </c>
      <c r="I3064" t="s">
        <v>57</v>
      </c>
      <c r="K3064" t="s">
        <v>771</v>
      </c>
      <c r="L3064" t="s">
        <v>772</v>
      </c>
      <c r="M3064" t="s">
        <v>223</v>
      </c>
      <c r="P3064" t="s">
        <v>182</v>
      </c>
      <c r="R3064" t="s">
        <v>183</v>
      </c>
      <c r="S3064" t="s">
        <v>64</v>
      </c>
      <c r="T3064">
        <v>242</v>
      </c>
      <c r="U3064">
        <v>237</v>
      </c>
      <c r="V3064">
        <f t="shared" si="94"/>
        <v>239.5</v>
      </c>
      <c r="W3064">
        <f t="shared" si="95"/>
        <v>5</v>
      </c>
      <c r="X3064">
        <v>11.641389</v>
      </c>
      <c r="Y3064">
        <v>49.963611999999998</v>
      </c>
      <c r="Z3064" t="s">
        <v>520</v>
      </c>
      <c r="AA3064" t="s">
        <v>211</v>
      </c>
      <c r="AE3064" t="s">
        <v>1378</v>
      </c>
      <c r="AH3064" t="s">
        <v>72</v>
      </c>
      <c r="AI3064" t="s">
        <v>4147</v>
      </c>
      <c r="AJ3064">
        <v>1996</v>
      </c>
      <c r="AK3064" t="s">
        <v>4148</v>
      </c>
      <c r="AM3064" t="s">
        <v>4149</v>
      </c>
      <c r="AN3064" t="s">
        <v>192</v>
      </c>
      <c r="AO3064" t="s">
        <v>77</v>
      </c>
      <c r="AP3064" t="s">
        <v>115</v>
      </c>
      <c r="AQ3064" t="s">
        <v>4150</v>
      </c>
      <c r="AR3064" t="s">
        <v>80</v>
      </c>
      <c r="AS3064">
        <v>305</v>
      </c>
      <c r="AT3064" t="s">
        <v>81</v>
      </c>
      <c r="AU3064">
        <v>29.18</v>
      </c>
      <c r="AV3064">
        <v>29.92</v>
      </c>
      <c r="AW3064" t="s">
        <v>82</v>
      </c>
      <c r="AX3064">
        <v>305</v>
      </c>
      <c r="AY3064" t="s">
        <v>81</v>
      </c>
      <c r="AZ3064">
        <v>18.52</v>
      </c>
      <c r="BA3064">
        <v>16.670000000000002</v>
      </c>
      <c r="BB3064" t="s">
        <v>83</v>
      </c>
    </row>
    <row r="3065" spans="1:54" x14ac:dyDescent="0.4">
      <c r="A3065">
        <v>1094804</v>
      </c>
      <c r="D3065" t="s">
        <v>54</v>
      </c>
      <c r="I3065" t="s">
        <v>57</v>
      </c>
      <c r="K3065" t="s">
        <v>771</v>
      </c>
      <c r="L3065" t="s">
        <v>772</v>
      </c>
      <c r="M3065" t="s">
        <v>223</v>
      </c>
      <c r="P3065" t="s">
        <v>182</v>
      </c>
      <c r="R3065" t="s">
        <v>183</v>
      </c>
      <c r="S3065" t="s">
        <v>64</v>
      </c>
      <c r="T3065">
        <v>242</v>
      </c>
      <c r="U3065">
        <v>237</v>
      </c>
      <c r="V3065">
        <f t="shared" si="94"/>
        <v>239.5</v>
      </c>
      <c r="W3065">
        <f t="shared" si="95"/>
        <v>5</v>
      </c>
      <c r="X3065">
        <v>6.4059879999999998</v>
      </c>
      <c r="Y3065">
        <v>48.555827999999998</v>
      </c>
      <c r="Z3065" t="s">
        <v>520</v>
      </c>
      <c r="AA3065" t="s">
        <v>521</v>
      </c>
      <c r="AB3065" t="s">
        <v>4130</v>
      </c>
      <c r="AC3065" t="s">
        <v>3095</v>
      </c>
      <c r="AE3065" t="s">
        <v>1378</v>
      </c>
      <c r="AH3065" t="s">
        <v>72</v>
      </c>
      <c r="AI3065" t="s">
        <v>2456</v>
      </c>
      <c r="AJ3065">
        <v>1852</v>
      </c>
      <c r="AK3065" t="s">
        <v>4131</v>
      </c>
      <c r="AN3065" t="s">
        <v>192</v>
      </c>
      <c r="AO3065">
        <v>6</v>
      </c>
      <c r="AP3065" t="s">
        <v>115</v>
      </c>
      <c r="AQ3065" t="s">
        <v>4132</v>
      </c>
      <c r="AR3065" t="s">
        <v>80</v>
      </c>
      <c r="AS3065">
        <v>305</v>
      </c>
      <c r="AT3065" t="s">
        <v>81</v>
      </c>
      <c r="AU3065">
        <v>25.81</v>
      </c>
      <c r="AV3065">
        <v>27.7</v>
      </c>
      <c r="AW3065" t="s">
        <v>82</v>
      </c>
      <c r="AX3065">
        <v>305</v>
      </c>
      <c r="AY3065" t="s">
        <v>81</v>
      </c>
      <c r="AZ3065">
        <v>15.95</v>
      </c>
      <c r="BA3065">
        <v>13.93</v>
      </c>
      <c r="BB3065" t="s">
        <v>83</v>
      </c>
    </row>
    <row r="3066" spans="1:54" x14ac:dyDescent="0.4">
      <c r="A3066">
        <v>1094805</v>
      </c>
      <c r="D3066" t="s">
        <v>54</v>
      </c>
      <c r="E3066" t="s">
        <v>154</v>
      </c>
      <c r="G3066">
        <v>1</v>
      </c>
      <c r="H3066" t="s">
        <v>56</v>
      </c>
      <c r="I3066" t="s">
        <v>57</v>
      </c>
      <c r="K3066" t="s">
        <v>771</v>
      </c>
      <c r="L3066" t="s">
        <v>772</v>
      </c>
      <c r="M3066" t="s">
        <v>223</v>
      </c>
      <c r="P3066" t="s">
        <v>182</v>
      </c>
      <c r="R3066" t="s">
        <v>183</v>
      </c>
      <c r="S3066" t="s">
        <v>64</v>
      </c>
      <c r="T3066">
        <v>242</v>
      </c>
      <c r="U3066">
        <v>237</v>
      </c>
      <c r="V3066">
        <f t="shared" si="94"/>
        <v>239.5</v>
      </c>
      <c r="W3066">
        <f t="shared" si="95"/>
        <v>5</v>
      </c>
      <c r="X3066">
        <v>10.066667000000001</v>
      </c>
      <c r="Y3066">
        <v>49.133330999999998</v>
      </c>
      <c r="Z3066" t="s">
        <v>602</v>
      </c>
      <c r="AA3066" t="s">
        <v>211</v>
      </c>
      <c r="AC3066" t="s">
        <v>212</v>
      </c>
      <c r="AE3066" t="s">
        <v>1378</v>
      </c>
      <c r="AH3066" t="s">
        <v>72</v>
      </c>
      <c r="AI3066" t="s">
        <v>4147</v>
      </c>
      <c r="AJ3066">
        <v>1996</v>
      </c>
      <c r="AK3066" t="s">
        <v>4144</v>
      </c>
      <c r="AN3066" t="s">
        <v>114</v>
      </c>
      <c r="AO3066" t="s">
        <v>160</v>
      </c>
      <c r="AP3066" t="s">
        <v>636</v>
      </c>
      <c r="AQ3066" t="s">
        <v>3527</v>
      </c>
      <c r="AR3066" t="s">
        <v>80</v>
      </c>
      <c r="AS3066">
        <v>305</v>
      </c>
      <c r="AT3066" t="s">
        <v>81</v>
      </c>
      <c r="AU3066">
        <v>28.31</v>
      </c>
      <c r="AV3066">
        <v>28.85</v>
      </c>
      <c r="AW3066" t="s">
        <v>82</v>
      </c>
      <c r="AX3066">
        <v>305</v>
      </c>
      <c r="AY3066" t="s">
        <v>81</v>
      </c>
      <c r="AZ3066">
        <v>17.96</v>
      </c>
      <c r="BA3066">
        <v>15.47</v>
      </c>
      <c r="BB3066" t="s">
        <v>83</v>
      </c>
    </row>
    <row r="3067" spans="1:54" x14ac:dyDescent="0.4">
      <c r="A3067">
        <v>1094805</v>
      </c>
      <c r="D3067" t="s">
        <v>54</v>
      </c>
      <c r="E3067" t="s">
        <v>154</v>
      </c>
      <c r="G3067">
        <v>1</v>
      </c>
      <c r="H3067" t="s">
        <v>56</v>
      </c>
      <c r="I3067" t="s">
        <v>57</v>
      </c>
      <c r="K3067" t="s">
        <v>771</v>
      </c>
      <c r="L3067" t="s">
        <v>772</v>
      </c>
      <c r="M3067" t="s">
        <v>223</v>
      </c>
      <c r="P3067" t="s">
        <v>182</v>
      </c>
      <c r="R3067" t="s">
        <v>183</v>
      </c>
      <c r="S3067" t="s">
        <v>64</v>
      </c>
      <c r="T3067">
        <v>242</v>
      </c>
      <c r="U3067">
        <v>237</v>
      </c>
      <c r="V3067">
        <f t="shared" si="94"/>
        <v>239.5</v>
      </c>
      <c r="W3067">
        <f t="shared" si="95"/>
        <v>5</v>
      </c>
      <c r="X3067">
        <v>10.066667000000001</v>
      </c>
      <c r="Y3067">
        <v>49.133330999999998</v>
      </c>
      <c r="Z3067" t="s">
        <v>602</v>
      </c>
      <c r="AA3067" t="s">
        <v>211</v>
      </c>
      <c r="AC3067" t="s">
        <v>212</v>
      </c>
      <c r="AE3067" t="s">
        <v>1378</v>
      </c>
      <c r="AH3067" t="s">
        <v>72</v>
      </c>
      <c r="AI3067" t="s">
        <v>4147</v>
      </c>
      <c r="AJ3067">
        <v>1996</v>
      </c>
      <c r="AK3067" t="s">
        <v>4144</v>
      </c>
      <c r="AN3067" t="s">
        <v>114</v>
      </c>
      <c r="AO3067" t="s">
        <v>160</v>
      </c>
      <c r="AP3067" t="s">
        <v>636</v>
      </c>
      <c r="AQ3067" t="s">
        <v>3527</v>
      </c>
      <c r="AR3067" t="s">
        <v>80</v>
      </c>
      <c r="AS3067">
        <v>305</v>
      </c>
      <c r="AT3067" t="s">
        <v>81</v>
      </c>
      <c r="AU3067">
        <v>28.31</v>
      </c>
      <c r="AV3067">
        <v>28.85</v>
      </c>
      <c r="AW3067" t="s">
        <v>82</v>
      </c>
      <c r="AX3067">
        <v>305</v>
      </c>
      <c r="AY3067" t="s">
        <v>81</v>
      </c>
      <c r="AZ3067">
        <v>17.96</v>
      </c>
      <c r="BA3067">
        <v>15.47</v>
      </c>
      <c r="BB3067" t="s">
        <v>83</v>
      </c>
    </row>
    <row r="3068" spans="1:54" x14ac:dyDescent="0.4">
      <c r="A3068">
        <v>1094805</v>
      </c>
      <c r="D3068" t="s">
        <v>54</v>
      </c>
      <c r="E3068" t="s">
        <v>154</v>
      </c>
      <c r="G3068">
        <v>1</v>
      </c>
      <c r="H3068" t="s">
        <v>56</v>
      </c>
      <c r="I3068" t="s">
        <v>57</v>
      </c>
      <c r="K3068" t="s">
        <v>771</v>
      </c>
      <c r="L3068" t="s">
        <v>772</v>
      </c>
      <c r="M3068" t="s">
        <v>223</v>
      </c>
      <c r="P3068" t="s">
        <v>182</v>
      </c>
      <c r="R3068" t="s">
        <v>183</v>
      </c>
      <c r="S3068" t="s">
        <v>64</v>
      </c>
      <c r="T3068">
        <v>242</v>
      </c>
      <c r="U3068">
        <v>237</v>
      </c>
      <c r="V3068">
        <f t="shared" si="94"/>
        <v>239.5</v>
      </c>
      <c r="W3068">
        <f t="shared" si="95"/>
        <v>5</v>
      </c>
      <c r="X3068">
        <v>10.066667000000001</v>
      </c>
      <c r="Y3068">
        <v>49.133330999999998</v>
      </c>
      <c r="Z3068" t="s">
        <v>602</v>
      </c>
      <c r="AA3068" t="s">
        <v>211</v>
      </c>
      <c r="AC3068" t="s">
        <v>212</v>
      </c>
      <c r="AE3068" t="s">
        <v>1378</v>
      </c>
      <c r="AH3068" t="s">
        <v>72</v>
      </c>
      <c r="AI3068" t="s">
        <v>4147</v>
      </c>
      <c r="AJ3068">
        <v>1996</v>
      </c>
      <c r="AK3068" t="s">
        <v>4144</v>
      </c>
      <c r="AN3068" t="s">
        <v>114</v>
      </c>
      <c r="AO3068" t="s">
        <v>160</v>
      </c>
      <c r="AP3068" t="s">
        <v>636</v>
      </c>
      <c r="AQ3068" t="s">
        <v>3527</v>
      </c>
      <c r="AR3068" t="s">
        <v>80</v>
      </c>
      <c r="AS3068">
        <v>305</v>
      </c>
      <c r="AT3068" t="s">
        <v>81</v>
      </c>
      <c r="AU3068">
        <v>28.31</v>
      </c>
      <c r="AV3068">
        <v>28.85</v>
      </c>
      <c r="AW3068" t="s">
        <v>82</v>
      </c>
      <c r="AX3068">
        <v>305</v>
      </c>
      <c r="AY3068" t="s">
        <v>81</v>
      </c>
      <c r="AZ3068">
        <v>17.96</v>
      </c>
      <c r="BA3068">
        <v>15.47</v>
      </c>
      <c r="BB3068" t="s">
        <v>83</v>
      </c>
    </row>
    <row r="3069" spans="1:54" x14ac:dyDescent="0.4">
      <c r="A3069">
        <v>1094806</v>
      </c>
      <c r="D3069" t="s">
        <v>54</v>
      </c>
      <c r="E3069" t="s">
        <v>154</v>
      </c>
      <c r="G3069">
        <v>4</v>
      </c>
      <c r="H3069" t="s">
        <v>84</v>
      </c>
      <c r="I3069" t="s">
        <v>57</v>
      </c>
      <c r="K3069" t="s">
        <v>771</v>
      </c>
      <c r="L3069" t="s">
        <v>772</v>
      </c>
      <c r="M3069" t="s">
        <v>223</v>
      </c>
      <c r="P3069" t="s">
        <v>182</v>
      </c>
      <c r="R3069" t="s">
        <v>183</v>
      </c>
      <c r="S3069" t="s">
        <v>64</v>
      </c>
      <c r="T3069">
        <v>242</v>
      </c>
      <c r="U3069">
        <v>237</v>
      </c>
      <c r="V3069">
        <f t="shared" si="94"/>
        <v>239.5</v>
      </c>
      <c r="W3069">
        <f t="shared" si="95"/>
        <v>5</v>
      </c>
      <c r="X3069">
        <v>10.066667000000001</v>
      </c>
      <c r="Y3069">
        <v>49.133330999999998</v>
      </c>
      <c r="Z3069" t="s">
        <v>602</v>
      </c>
      <c r="AA3069" t="s">
        <v>211</v>
      </c>
      <c r="AC3069" t="s">
        <v>212</v>
      </c>
      <c r="AE3069" t="s">
        <v>1378</v>
      </c>
      <c r="AH3069" t="s">
        <v>72</v>
      </c>
      <c r="AI3069" t="s">
        <v>4147</v>
      </c>
      <c r="AJ3069">
        <v>1996</v>
      </c>
      <c r="AK3069" t="s">
        <v>4144</v>
      </c>
      <c r="AN3069" t="s">
        <v>114</v>
      </c>
      <c r="AO3069" t="s">
        <v>160</v>
      </c>
      <c r="AP3069" t="s">
        <v>636</v>
      </c>
      <c r="AQ3069" t="s">
        <v>3527</v>
      </c>
      <c r="AR3069" t="s">
        <v>80</v>
      </c>
      <c r="AS3069">
        <v>305</v>
      </c>
      <c r="AT3069" t="s">
        <v>81</v>
      </c>
      <c r="AU3069">
        <v>28.31</v>
      </c>
      <c r="AV3069">
        <v>28.85</v>
      </c>
      <c r="AW3069" t="s">
        <v>82</v>
      </c>
      <c r="AX3069">
        <v>305</v>
      </c>
      <c r="AY3069" t="s">
        <v>81</v>
      </c>
      <c r="AZ3069">
        <v>17.96</v>
      </c>
      <c r="BA3069">
        <v>15.47</v>
      </c>
      <c r="BB3069" t="s">
        <v>83</v>
      </c>
    </row>
    <row r="3070" spans="1:54" x14ac:dyDescent="0.4">
      <c r="A3070">
        <v>1094807</v>
      </c>
      <c r="D3070" t="s">
        <v>54</v>
      </c>
      <c r="G3070">
        <v>1</v>
      </c>
      <c r="H3070" t="s">
        <v>56</v>
      </c>
      <c r="I3070" t="s">
        <v>57</v>
      </c>
      <c r="K3070" t="s">
        <v>771</v>
      </c>
      <c r="L3070" t="s">
        <v>772</v>
      </c>
      <c r="M3070" t="s">
        <v>223</v>
      </c>
      <c r="P3070" t="s">
        <v>182</v>
      </c>
      <c r="R3070" t="s">
        <v>183</v>
      </c>
      <c r="S3070" t="s">
        <v>64</v>
      </c>
      <c r="T3070">
        <v>242</v>
      </c>
      <c r="U3070">
        <v>237</v>
      </c>
      <c r="V3070">
        <f t="shared" si="94"/>
        <v>239.5</v>
      </c>
      <c r="W3070">
        <f t="shared" si="95"/>
        <v>5</v>
      </c>
      <c r="X3070">
        <v>9.6524999999999999</v>
      </c>
      <c r="Y3070">
        <v>48.088054999999997</v>
      </c>
      <c r="Z3070" t="s">
        <v>520</v>
      </c>
      <c r="AA3070" t="s">
        <v>211</v>
      </c>
      <c r="AB3070" t="s">
        <v>212</v>
      </c>
      <c r="AE3070" t="s">
        <v>4123</v>
      </c>
      <c r="AH3070" t="s">
        <v>72</v>
      </c>
      <c r="AI3070" t="s">
        <v>4147</v>
      </c>
      <c r="AJ3070">
        <v>1996</v>
      </c>
      <c r="AK3070" t="s">
        <v>4124</v>
      </c>
      <c r="AN3070" t="s">
        <v>192</v>
      </c>
      <c r="AO3070" t="s">
        <v>77</v>
      </c>
      <c r="AP3070" t="s">
        <v>115</v>
      </c>
      <c r="AR3070" t="s">
        <v>80</v>
      </c>
      <c r="AS3070">
        <v>305</v>
      </c>
      <c r="AT3070" t="s">
        <v>81</v>
      </c>
      <c r="AU3070">
        <v>28.31</v>
      </c>
      <c r="AV3070">
        <v>27.77</v>
      </c>
      <c r="AW3070" t="s">
        <v>82</v>
      </c>
      <c r="AX3070">
        <v>305</v>
      </c>
      <c r="AY3070" t="s">
        <v>81</v>
      </c>
      <c r="AZ3070">
        <v>18.18</v>
      </c>
      <c r="BA3070">
        <v>14.41</v>
      </c>
      <c r="BB3070" t="s">
        <v>83</v>
      </c>
    </row>
    <row r="3071" spans="1:54" x14ac:dyDescent="0.4">
      <c r="A3071">
        <v>1094807</v>
      </c>
      <c r="D3071" t="s">
        <v>54</v>
      </c>
      <c r="G3071">
        <v>1</v>
      </c>
      <c r="H3071" t="s">
        <v>56</v>
      </c>
      <c r="I3071" t="s">
        <v>57</v>
      </c>
      <c r="K3071" t="s">
        <v>771</v>
      </c>
      <c r="L3071" t="s">
        <v>772</v>
      </c>
      <c r="M3071" t="s">
        <v>223</v>
      </c>
      <c r="P3071" t="s">
        <v>182</v>
      </c>
      <c r="R3071" t="s">
        <v>183</v>
      </c>
      <c r="S3071" t="s">
        <v>64</v>
      </c>
      <c r="T3071">
        <v>242</v>
      </c>
      <c r="U3071">
        <v>237</v>
      </c>
      <c r="V3071">
        <f t="shared" si="94"/>
        <v>239.5</v>
      </c>
      <c r="W3071">
        <f t="shared" si="95"/>
        <v>5</v>
      </c>
      <c r="X3071">
        <v>9.6524999999999999</v>
      </c>
      <c r="Y3071">
        <v>48.088054999999997</v>
      </c>
      <c r="Z3071" t="s">
        <v>520</v>
      </c>
      <c r="AA3071" t="s">
        <v>211</v>
      </c>
      <c r="AB3071" t="s">
        <v>212</v>
      </c>
      <c r="AE3071" t="s">
        <v>4123</v>
      </c>
      <c r="AH3071" t="s">
        <v>72</v>
      </c>
      <c r="AI3071" t="s">
        <v>4147</v>
      </c>
      <c r="AJ3071">
        <v>1996</v>
      </c>
      <c r="AK3071" t="s">
        <v>4124</v>
      </c>
      <c r="AN3071" t="s">
        <v>192</v>
      </c>
      <c r="AO3071" t="s">
        <v>77</v>
      </c>
      <c r="AP3071" t="s">
        <v>115</v>
      </c>
      <c r="AR3071" t="s">
        <v>80</v>
      </c>
      <c r="AS3071">
        <v>305</v>
      </c>
      <c r="AT3071" t="s">
        <v>81</v>
      </c>
      <c r="AU3071">
        <v>28.31</v>
      </c>
      <c r="AV3071">
        <v>27.77</v>
      </c>
      <c r="AW3071" t="s">
        <v>82</v>
      </c>
      <c r="AX3071">
        <v>305</v>
      </c>
      <c r="AY3071" t="s">
        <v>81</v>
      </c>
      <c r="AZ3071">
        <v>18.18</v>
      </c>
      <c r="BA3071">
        <v>14.41</v>
      </c>
      <c r="BB3071" t="s">
        <v>83</v>
      </c>
    </row>
    <row r="3072" spans="1:54" x14ac:dyDescent="0.4">
      <c r="A3072">
        <v>1094807</v>
      </c>
      <c r="D3072" t="s">
        <v>54</v>
      </c>
      <c r="G3072">
        <v>1</v>
      </c>
      <c r="H3072" t="s">
        <v>56</v>
      </c>
      <c r="I3072" t="s">
        <v>57</v>
      </c>
      <c r="K3072" t="s">
        <v>771</v>
      </c>
      <c r="L3072" t="s">
        <v>772</v>
      </c>
      <c r="M3072" t="s">
        <v>223</v>
      </c>
      <c r="P3072" t="s">
        <v>182</v>
      </c>
      <c r="R3072" t="s">
        <v>183</v>
      </c>
      <c r="S3072" t="s">
        <v>64</v>
      </c>
      <c r="T3072">
        <v>242</v>
      </c>
      <c r="U3072">
        <v>237</v>
      </c>
      <c r="V3072">
        <f t="shared" si="94"/>
        <v>239.5</v>
      </c>
      <c r="W3072">
        <f t="shared" si="95"/>
        <v>5</v>
      </c>
      <c r="X3072">
        <v>9.6524999999999999</v>
      </c>
      <c r="Y3072">
        <v>48.088054999999997</v>
      </c>
      <c r="Z3072" t="s">
        <v>520</v>
      </c>
      <c r="AA3072" t="s">
        <v>211</v>
      </c>
      <c r="AB3072" t="s">
        <v>212</v>
      </c>
      <c r="AE3072" t="s">
        <v>4123</v>
      </c>
      <c r="AH3072" t="s">
        <v>72</v>
      </c>
      <c r="AI3072" t="s">
        <v>4147</v>
      </c>
      <c r="AJ3072">
        <v>1996</v>
      </c>
      <c r="AK3072" t="s">
        <v>4124</v>
      </c>
      <c r="AN3072" t="s">
        <v>192</v>
      </c>
      <c r="AO3072" t="s">
        <v>77</v>
      </c>
      <c r="AP3072" t="s">
        <v>115</v>
      </c>
      <c r="AR3072" t="s">
        <v>80</v>
      </c>
      <c r="AS3072">
        <v>305</v>
      </c>
      <c r="AT3072" t="s">
        <v>81</v>
      </c>
      <c r="AU3072">
        <v>28.31</v>
      </c>
      <c r="AV3072">
        <v>27.77</v>
      </c>
      <c r="AW3072" t="s">
        <v>82</v>
      </c>
      <c r="AX3072">
        <v>305</v>
      </c>
      <c r="AY3072" t="s">
        <v>81</v>
      </c>
      <c r="AZ3072">
        <v>18.18</v>
      </c>
      <c r="BA3072">
        <v>14.41</v>
      </c>
      <c r="BB3072" t="s">
        <v>83</v>
      </c>
    </row>
    <row r="3073" spans="1:54" x14ac:dyDescent="0.4">
      <c r="A3073">
        <v>1094808</v>
      </c>
      <c r="D3073" t="s">
        <v>54</v>
      </c>
      <c r="G3073">
        <v>6</v>
      </c>
      <c r="H3073" t="s">
        <v>84</v>
      </c>
      <c r="I3073" t="s">
        <v>57</v>
      </c>
      <c r="K3073" t="s">
        <v>771</v>
      </c>
      <c r="L3073" t="s">
        <v>772</v>
      </c>
      <c r="M3073" t="s">
        <v>223</v>
      </c>
      <c r="P3073" t="s">
        <v>182</v>
      </c>
      <c r="R3073" t="s">
        <v>183</v>
      </c>
      <c r="S3073" t="s">
        <v>64</v>
      </c>
      <c r="T3073">
        <v>242</v>
      </c>
      <c r="U3073">
        <v>237</v>
      </c>
      <c r="V3073">
        <f t="shared" si="94"/>
        <v>239.5</v>
      </c>
      <c r="W3073">
        <f t="shared" si="95"/>
        <v>5</v>
      </c>
      <c r="X3073">
        <v>10.067500000000001</v>
      </c>
      <c r="Y3073">
        <v>49.152222000000002</v>
      </c>
      <c r="Z3073" t="s">
        <v>520</v>
      </c>
      <c r="AA3073" t="s">
        <v>211</v>
      </c>
      <c r="AE3073" t="s">
        <v>1378</v>
      </c>
      <c r="AH3073" t="s">
        <v>72</v>
      </c>
      <c r="AI3073" t="s">
        <v>4147</v>
      </c>
      <c r="AJ3073">
        <v>1996</v>
      </c>
      <c r="AK3073" t="s">
        <v>4151</v>
      </c>
      <c r="AM3073" t="s">
        <v>4152</v>
      </c>
      <c r="AN3073" t="s">
        <v>192</v>
      </c>
      <c r="AO3073" t="s">
        <v>77</v>
      </c>
      <c r="AP3073" t="s">
        <v>115</v>
      </c>
      <c r="AR3073" t="s">
        <v>80</v>
      </c>
      <c r="AS3073">
        <v>305</v>
      </c>
      <c r="AT3073" t="s">
        <v>81</v>
      </c>
      <c r="AU3073">
        <v>28.3</v>
      </c>
      <c r="AV3073">
        <v>28.87</v>
      </c>
      <c r="AW3073" t="s">
        <v>82</v>
      </c>
      <c r="AX3073">
        <v>305</v>
      </c>
      <c r="AY3073" t="s">
        <v>81</v>
      </c>
      <c r="AZ3073">
        <v>17.95</v>
      </c>
      <c r="BA3073">
        <v>15.49</v>
      </c>
      <c r="BB3073" t="s">
        <v>83</v>
      </c>
    </row>
    <row r="3074" spans="1:54" x14ac:dyDescent="0.4">
      <c r="A3074">
        <v>1094809</v>
      </c>
      <c r="D3074" t="s">
        <v>54</v>
      </c>
      <c r="G3074">
        <v>1</v>
      </c>
      <c r="H3074" t="s">
        <v>84</v>
      </c>
      <c r="I3074" t="s">
        <v>57</v>
      </c>
      <c r="K3074" t="s">
        <v>771</v>
      </c>
      <c r="L3074" t="s">
        <v>772</v>
      </c>
      <c r="M3074" t="s">
        <v>223</v>
      </c>
      <c r="P3074" t="s">
        <v>182</v>
      </c>
      <c r="R3074" t="s">
        <v>183</v>
      </c>
      <c r="S3074" t="s">
        <v>64</v>
      </c>
      <c r="T3074">
        <v>242</v>
      </c>
      <c r="U3074">
        <v>237</v>
      </c>
      <c r="V3074">
        <f t="shared" si="94"/>
        <v>239.5</v>
      </c>
      <c r="W3074">
        <f t="shared" si="95"/>
        <v>5</v>
      </c>
      <c r="X3074">
        <v>9.1622219999999999</v>
      </c>
      <c r="Y3074">
        <v>49.281666000000001</v>
      </c>
      <c r="Z3074" t="s">
        <v>4153</v>
      </c>
      <c r="AA3074" t="s">
        <v>211</v>
      </c>
      <c r="AH3074" t="s">
        <v>72</v>
      </c>
      <c r="AI3074" t="s">
        <v>4147</v>
      </c>
      <c r="AJ3074">
        <v>1996</v>
      </c>
      <c r="AK3074" t="s">
        <v>4154</v>
      </c>
      <c r="AN3074" t="s">
        <v>192</v>
      </c>
      <c r="AO3074" t="s">
        <v>77</v>
      </c>
      <c r="AP3074" t="s">
        <v>115</v>
      </c>
      <c r="AR3074" t="s">
        <v>80</v>
      </c>
      <c r="AS3074">
        <v>305</v>
      </c>
      <c r="AT3074" t="s">
        <v>81</v>
      </c>
      <c r="AU3074">
        <v>27.61</v>
      </c>
      <c r="AV3074">
        <v>28.85</v>
      </c>
      <c r="AW3074" t="s">
        <v>82</v>
      </c>
      <c r="AX3074">
        <v>305</v>
      </c>
      <c r="AY3074" t="s">
        <v>81</v>
      </c>
      <c r="AZ3074">
        <v>17.34</v>
      </c>
      <c r="BA3074">
        <v>15.35</v>
      </c>
      <c r="BB3074" t="s">
        <v>83</v>
      </c>
    </row>
    <row r="3075" spans="1:54" x14ac:dyDescent="0.4">
      <c r="A3075">
        <v>1094810</v>
      </c>
      <c r="D3075" t="s">
        <v>54</v>
      </c>
      <c r="G3075">
        <v>1</v>
      </c>
      <c r="H3075" t="s">
        <v>84</v>
      </c>
      <c r="I3075" t="s">
        <v>57</v>
      </c>
      <c r="K3075" t="s">
        <v>771</v>
      </c>
      <c r="L3075" t="s">
        <v>772</v>
      </c>
      <c r="M3075" t="s">
        <v>223</v>
      </c>
      <c r="P3075" t="s">
        <v>182</v>
      </c>
      <c r="R3075" t="s">
        <v>183</v>
      </c>
      <c r="S3075" t="s">
        <v>64</v>
      </c>
      <c r="T3075">
        <v>242</v>
      </c>
      <c r="U3075">
        <v>237</v>
      </c>
      <c r="V3075">
        <f t="shared" ref="V3075:V3138" si="96">(T3075+U3075)/2</f>
        <v>239.5</v>
      </c>
      <c r="W3075">
        <f t="shared" ref="W3075:W3138" si="97">T3075-U3075</f>
        <v>5</v>
      </c>
      <c r="X3075">
        <v>8.6425000000000001</v>
      </c>
      <c r="Y3075">
        <v>49.085278000000002</v>
      </c>
      <c r="Z3075" t="s">
        <v>520</v>
      </c>
      <c r="AA3075" t="s">
        <v>211</v>
      </c>
      <c r="AE3075" t="s">
        <v>1378</v>
      </c>
      <c r="AH3075" t="s">
        <v>72</v>
      </c>
      <c r="AI3075" t="s">
        <v>4147</v>
      </c>
      <c r="AJ3075">
        <v>1996</v>
      </c>
      <c r="AK3075" t="s">
        <v>4155</v>
      </c>
      <c r="AN3075" t="s">
        <v>192</v>
      </c>
      <c r="AO3075" t="s">
        <v>77</v>
      </c>
      <c r="AP3075" t="s">
        <v>115</v>
      </c>
      <c r="AR3075" t="s">
        <v>80</v>
      </c>
      <c r="AS3075">
        <v>305</v>
      </c>
      <c r="AT3075" t="s">
        <v>81</v>
      </c>
      <c r="AU3075">
        <v>27.29</v>
      </c>
      <c r="AV3075">
        <v>28.57</v>
      </c>
      <c r="AW3075" t="s">
        <v>82</v>
      </c>
      <c r="AX3075">
        <v>305</v>
      </c>
      <c r="AY3075" t="s">
        <v>81</v>
      </c>
      <c r="AZ3075">
        <v>17.11</v>
      </c>
      <c r="BA3075">
        <v>15.02</v>
      </c>
      <c r="BB3075" t="s">
        <v>83</v>
      </c>
    </row>
    <row r="3076" spans="1:54" x14ac:dyDescent="0.4">
      <c r="A3076">
        <v>1094828</v>
      </c>
      <c r="D3076" t="s">
        <v>54</v>
      </c>
      <c r="G3076">
        <v>1</v>
      </c>
      <c r="H3076" t="s">
        <v>84</v>
      </c>
      <c r="I3076" t="s">
        <v>57</v>
      </c>
      <c r="K3076" t="s">
        <v>771</v>
      </c>
      <c r="L3076" t="s">
        <v>772</v>
      </c>
      <c r="M3076" t="s">
        <v>223</v>
      </c>
      <c r="P3076" t="s">
        <v>182</v>
      </c>
      <c r="R3076" t="s">
        <v>183</v>
      </c>
      <c r="S3076" t="s">
        <v>64</v>
      </c>
      <c r="T3076">
        <v>242</v>
      </c>
      <c r="U3076">
        <v>237</v>
      </c>
      <c r="V3076">
        <f t="shared" si="96"/>
        <v>239.5</v>
      </c>
      <c r="W3076">
        <f t="shared" si="97"/>
        <v>5</v>
      </c>
      <c r="X3076">
        <v>10.490833</v>
      </c>
      <c r="Y3076">
        <v>51.035277999999998</v>
      </c>
      <c r="Z3076" t="s">
        <v>520</v>
      </c>
      <c r="AA3076" t="s">
        <v>211</v>
      </c>
      <c r="AE3076" t="s">
        <v>1378</v>
      </c>
      <c r="AH3076" t="s">
        <v>72</v>
      </c>
      <c r="AI3076" t="s">
        <v>4147</v>
      </c>
      <c r="AJ3076">
        <v>1996</v>
      </c>
      <c r="AK3076" t="s">
        <v>4156</v>
      </c>
      <c r="AM3076" t="s">
        <v>4157</v>
      </c>
      <c r="AN3076" t="s">
        <v>192</v>
      </c>
      <c r="AO3076" t="s">
        <v>77</v>
      </c>
      <c r="AP3076" t="s">
        <v>115</v>
      </c>
      <c r="AR3076" t="s">
        <v>80</v>
      </c>
      <c r="AS3076">
        <v>305</v>
      </c>
      <c r="AT3076" t="s">
        <v>81</v>
      </c>
      <c r="AU3076">
        <v>28.03</v>
      </c>
      <c r="AV3076">
        <v>30.76</v>
      </c>
      <c r="AW3076" t="s">
        <v>82</v>
      </c>
      <c r="AX3076">
        <v>305</v>
      </c>
      <c r="AY3076" t="s">
        <v>81</v>
      </c>
      <c r="AZ3076">
        <v>17.329999999999998</v>
      </c>
      <c r="BA3076">
        <v>17.3</v>
      </c>
      <c r="BB3076" t="s">
        <v>83</v>
      </c>
    </row>
    <row r="3077" spans="1:54" x14ac:dyDescent="0.4">
      <c r="A3077">
        <v>1094829</v>
      </c>
      <c r="D3077" t="s">
        <v>54</v>
      </c>
      <c r="G3077">
        <v>4</v>
      </c>
      <c r="H3077" t="s">
        <v>84</v>
      </c>
      <c r="I3077" t="s">
        <v>57</v>
      </c>
      <c r="K3077" t="s">
        <v>771</v>
      </c>
      <c r="L3077" t="s">
        <v>772</v>
      </c>
      <c r="M3077" t="s">
        <v>223</v>
      </c>
      <c r="P3077" t="s">
        <v>182</v>
      </c>
      <c r="R3077" t="s">
        <v>183</v>
      </c>
      <c r="S3077" t="s">
        <v>64</v>
      </c>
      <c r="T3077">
        <v>242</v>
      </c>
      <c r="U3077">
        <v>237</v>
      </c>
      <c r="V3077">
        <f t="shared" si="96"/>
        <v>239.5</v>
      </c>
      <c r="W3077">
        <f t="shared" si="97"/>
        <v>5</v>
      </c>
      <c r="X3077">
        <v>11.628610999999999</v>
      </c>
      <c r="Y3077">
        <v>51.088054999999997</v>
      </c>
      <c r="Z3077" t="s">
        <v>520</v>
      </c>
      <c r="AA3077" t="s">
        <v>211</v>
      </c>
      <c r="AB3077" t="s">
        <v>977</v>
      </c>
      <c r="AD3077" t="s">
        <v>3617</v>
      </c>
      <c r="AE3077" t="s">
        <v>1378</v>
      </c>
      <c r="AH3077" t="s">
        <v>72</v>
      </c>
      <c r="AI3077" t="s">
        <v>4147</v>
      </c>
      <c r="AJ3077">
        <v>1996</v>
      </c>
      <c r="AK3077" t="s">
        <v>4158</v>
      </c>
      <c r="AN3077" t="s">
        <v>192</v>
      </c>
      <c r="AO3077" t="s">
        <v>77</v>
      </c>
      <c r="AP3077" t="s">
        <v>115</v>
      </c>
      <c r="AQ3077" t="s">
        <v>4159</v>
      </c>
      <c r="AR3077" t="s">
        <v>80</v>
      </c>
      <c r="AS3077">
        <v>305</v>
      </c>
      <c r="AT3077" t="s">
        <v>81</v>
      </c>
      <c r="AU3077">
        <v>28.82</v>
      </c>
      <c r="AV3077">
        <v>31</v>
      </c>
      <c r="AW3077" t="s">
        <v>82</v>
      </c>
      <c r="AX3077">
        <v>305</v>
      </c>
      <c r="AY3077" t="s">
        <v>81</v>
      </c>
      <c r="AZ3077">
        <v>17.98</v>
      </c>
      <c r="BA3077">
        <v>17.670000000000002</v>
      </c>
      <c r="BB3077" t="s">
        <v>83</v>
      </c>
    </row>
    <row r="3078" spans="1:54" x14ac:dyDescent="0.4">
      <c r="A3078">
        <v>1094830</v>
      </c>
      <c r="D3078" t="s">
        <v>54</v>
      </c>
      <c r="G3078">
        <v>1</v>
      </c>
      <c r="H3078" t="s">
        <v>84</v>
      </c>
      <c r="I3078" t="s">
        <v>57</v>
      </c>
      <c r="K3078" t="s">
        <v>771</v>
      </c>
      <c r="L3078" t="s">
        <v>772</v>
      </c>
      <c r="M3078" t="s">
        <v>223</v>
      </c>
      <c r="P3078" t="s">
        <v>182</v>
      </c>
      <c r="R3078" t="s">
        <v>183</v>
      </c>
      <c r="S3078" t="s">
        <v>64</v>
      </c>
      <c r="T3078">
        <v>242</v>
      </c>
      <c r="U3078">
        <v>237</v>
      </c>
      <c r="V3078">
        <f t="shared" si="96"/>
        <v>239.5</v>
      </c>
      <c r="W3078">
        <f t="shared" si="97"/>
        <v>5</v>
      </c>
      <c r="X3078">
        <v>11.3225</v>
      </c>
      <c r="Y3078">
        <v>50.984721999999998</v>
      </c>
      <c r="Z3078" t="s">
        <v>520</v>
      </c>
      <c r="AA3078" t="s">
        <v>211</v>
      </c>
      <c r="AE3078" t="s">
        <v>1378</v>
      </c>
      <c r="AH3078" t="s">
        <v>72</v>
      </c>
      <c r="AI3078" t="s">
        <v>4147</v>
      </c>
      <c r="AJ3078">
        <v>1996</v>
      </c>
      <c r="AK3078" t="s">
        <v>4160</v>
      </c>
      <c r="AN3078" t="s">
        <v>114</v>
      </c>
      <c r="AO3078" t="s">
        <v>77</v>
      </c>
      <c r="AP3078" t="s">
        <v>115</v>
      </c>
      <c r="AR3078" t="s">
        <v>80</v>
      </c>
      <c r="AS3078">
        <v>305</v>
      </c>
      <c r="AT3078" t="s">
        <v>81</v>
      </c>
      <c r="AU3078">
        <v>28.64</v>
      </c>
      <c r="AV3078">
        <v>30.85</v>
      </c>
      <c r="AW3078" t="s">
        <v>82</v>
      </c>
      <c r="AX3078">
        <v>305</v>
      </c>
      <c r="AY3078" t="s">
        <v>81</v>
      </c>
      <c r="AZ3078">
        <v>17.850000000000001</v>
      </c>
      <c r="BA3078">
        <v>17.489999999999998</v>
      </c>
      <c r="BB3078" t="s">
        <v>83</v>
      </c>
    </row>
    <row r="3079" spans="1:54" x14ac:dyDescent="0.4">
      <c r="A3079">
        <v>1094831</v>
      </c>
      <c r="D3079" t="s">
        <v>54</v>
      </c>
      <c r="G3079">
        <v>1</v>
      </c>
      <c r="H3079" t="s">
        <v>84</v>
      </c>
      <c r="I3079" t="s">
        <v>57</v>
      </c>
      <c r="K3079" t="s">
        <v>771</v>
      </c>
      <c r="L3079" t="s">
        <v>772</v>
      </c>
      <c r="M3079" t="s">
        <v>223</v>
      </c>
      <c r="P3079" t="s">
        <v>182</v>
      </c>
      <c r="R3079" t="s">
        <v>183</v>
      </c>
      <c r="S3079" t="s">
        <v>64</v>
      </c>
      <c r="T3079">
        <v>242</v>
      </c>
      <c r="U3079">
        <v>237</v>
      </c>
      <c r="V3079">
        <f t="shared" si="96"/>
        <v>239.5</v>
      </c>
      <c r="W3079">
        <f t="shared" si="97"/>
        <v>5</v>
      </c>
      <c r="X3079">
        <v>8.0477779999999992</v>
      </c>
      <c r="Y3079">
        <v>49.387779000000002</v>
      </c>
      <c r="Z3079" t="s">
        <v>520</v>
      </c>
      <c r="AA3079" t="s">
        <v>211</v>
      </c>
      <c r="AB3079" t="s">
        <v>4121</v>
      </c>
      <c r="AE3079" t="s">
        <v>1378</v>
      </c>
      <c r="AH3079" t="s">
        <v>72</v>
      </c>
      <c r="AI3079" t="s">
        <v>4147</v>
      </c>
      <c r="AJ3079">
        <v>1996</v>
      </c>
      <c r="AK3079" t="s">
        <v>4122</v>
      </c>
      <c r="AN3079" t="s">
        <v>192</v>
      </c>
      <c r="AO3079" t="s">
        <v>77</v>
      </c>
      <c r="AP3079" t="s">
        <v>115</v>
      </c>
      <c r="AR3079" t="s">
        <v>80</v>
      </c>
      <c r="AS3079">
        <v>305</v>
      </c>
      <c r="AT3079" t="s">
        <v>81</v>
      </c>
      <c r="AU3079">
        <v>26.78</v>
      </c>
      <c r="AV3079">
        <v>28.77</v>
      </c>
      <c r="AW3079" t="s">
        <v>82</v>
      </c>
      <c r="AX3079">
        <v>305</v>
      </c>
      <c r="AY3079" t="s">
        <v>81</v>
      </c>
      <c r="AZ3079">
        <v>16.61</v>
      </c>
      <c r="BA3079">
        <v>15.13</v>
      </c>
      <c r="BB3079" t="s">
        <v>83</v>
      </c>
    </row>
    <row r="3080" spans="1:54" x14ac:dyDescent="0.4">
      <c r="A3080">
        <v>1094832</v>
      </c>
      <c r="D3080" t="s">
        <v>54</v>
      </c>
      <c r="G3080">
        <v>1</v>
      </c>
      <c r="H3080" t="s">
        <v>84</v>
      </c>
      <c r="I3080" t="s">
        <v>57</v>
      </c>
      <c r="K3080" t="s">
        <v>771</v>
      </c>
      <c r="L3080" t="s">
        <v>772</v>
      </c>
      <c r="M3080" t="s">
        <v>223</v>
      </c>
      <c r="P3080" t="s">
        <v>182</v>
      </c>
      <c r="R3080" t="s">
        <v>183</v>
      </c>
      <c r="S3080" t="s">
        <v>64</v>
      </c>
      <c r="T3080">
        <v>242</v>
      </c>
      <c r="U3080">
        <v>237</v>
      </c>
      <c r="V3080">
        <f t="shared" si="96"/>
        <v>239.5</v>
      </c>
      <c r="W3080">
        <f t="shared" si="97"/>
        <v>5</v>
      </c>
      <c r="X3080">
        <v>10.128056000000001</v>
      </c>
      <c r="Y3080">
        <v>49.340556999999997</v>
      </c>
      <c r="Z3080" t="s">
        <v>520</v>
      </c>
      <c r="AA3080" t="s">
        <v>211</v>
      </c>
      <c r="AE3080" t="s">
        <v>1378</v>
      </c>
      <c r="AH3080" t="s">
        <v>72</v>
      </c>
      <c r="AI3080" t="s">
        <v>4147</v>
      </c>
      <c r="AJ3080">
        <v>1996</v>
      </c>
      <c r="AK3080" t="s">
        <v>4161</v>
      </c>
      <c r="AN3080" t="s">
        <v>192</v>
      </c>
      <c r="AO3080" t="s">
        <v>77</v>
      </c>
      <c r="AP3080" t="s">
        <v>115</v>
      </c>
      <c r="AR3080" t="s">
        <v>80</v>
      </c>
      <c r="AS3080">
        <v>305</v>
      </c>
      <c r="AT3080" t="s">
        <v>81</v>
      </c>
      <c r="AU3080">
        <v>28.29</v>
      </c>
      <c r="AV3080">
        <v>29.06</v>
      </c>
      <c r="AW3080" t="s">
        <v>82</v>
      </c>
      <c r="AX3080">
        <v>305</v>
      </c>
      <c r="AY3080" t="s">
        <v>81</v>
      </c>
      <c r="AZ3080">
        <v>17.899999999999999</v>
      </c>
      <c r="BA3080">
        <v>15.67</v>
      </c>
      <c r="BB3080" t="s">
        <v>83</v>
      </c>
    </row>
    <row r="3081" spans="1:54" x14ac:dyDescent="0.4">
      <c r="A3081">
        <v>1094833</v>
      </c>
      <c r="D3081" t="s">
        <v>54</v>
      </c>
      <c r="G3081">
        <v>1</v>
      </c>
      <c r="H3081" t="s">
        <v>84</v>
      </c>
      <c r="I3081" t="s">
        <v>57</v>
      </c>
      <c r="K3081" t="s">
        <v>771</v>
      </c>
      <c r="L3081" t="s">
        <v>772</v>
      </c>
      <c r="M3081" t="s">
        <v>223</v>
      </c>
      <c r="P3081" t="s">
        <v>182</v>
      </c>
      <c r="R3081" t="s">
        <v>183</v>
      </c>
      <c r="S3081" t="s">
        <v>64</v>
      </c>
      <c r="T3081">
        <v>242</v>
      </c>
      <c r="U3081">
        <v>237</v>
      </c>
      <c r="V3081">
        <f t="shared" si="96"/>
        <v>239.5</v>
      </c>
      <c r="W3081">
        <f t="shared" si="97"/>
        <v>5</v>
      </c>
      <c r="X3081">
        <v>9.8866669999999992</v>
      </c>
      <c r="Y3081">
        <v>49.077499000000003</v>
      </c>
      <c r="Z3081" t="s">
        <v>520</v>
      </c>
      <c r="AA3081" t="s">
        <v>211</v>
      </c>
      <c r="AB3081" t="s">
        <v>212</v>
      </c>
      <c r="AC3081" t="s">
        <v>3522</v>
      </c>
      <c r="AE3081" t="s">
        <v>1378</v>
      </c>
      <c r="AH3081" t="s">
        <v>72</v>
      </c>
      <c r="AI3081" t="s">
        <v>4147</v>
      </c>
      <c r="AJ3081">
        <v>1996</v>
      </c>
      <c r="AK3081" t="s">
        <v>4162</v>
      </c>
      <c r="AN3081" t="s">
        <v>192</v>
      </c>
      <c r="AO3081" t="s">
        <v>77</v>
      </c>
      <c r="AP3081" t="s">
        <v>115</v>
      </c>
      <c r="AR3081" t="s">
        <v>80</v>
      </c>
      <c r="AS3081">
        <v>305</v>
      </c>
      <c r="AT3081" t="s">
        <v>81</v>
      </c>
      <c r="AU3081">
        <v>28.19</v>
      </c>
      <c r="AV3081">
        <v>28.77</v>
      </c>
      <c r="AW3081" t="s">
        <v>82</v>
      </c>
      <c r="AX3081">
        <v>305</v>
      </c>
      <c r="AY3081" t="s">
        <v>81</v>
      </c>
      <c r="AZ3081">
        <v>17.87</v>
      </c>
      <c r="BA3081">
        <v>15.37</v>
      </c>
      <c r="BB3081" t="s">
        <v>83</v>
      </c>
    </row>
    <row r="3082" spans="1:54" x14ac:dyDescent="0.4">
      <c r="A3082">
        <v>1094834</v>
      </c>
      <c r="D3082" t="s">
        <v>54</v>
      </c>
      <c r="G3082">
        <v>2</v>
      </c>
      <c r="H3082" t="s">
        <v>84</v>
      </c>
      <c r="I3082" t="s">
        <v>57</v>
      </c>
      <c r="K3082" t="s">
        <v>771</v>
      </c>
      <c r="L3082" t="s">
        <v>772</v>
      </c>
      <c r="M3082" t="s">
        <v>223</v>
      </c>
      <c r="P3082" t="s">
        <v>182</v>
      </c>
      <c r="R3082" t="s">
        <v>183</v>
      </c>
      <c r="S3082" t="s">
        <v>64</v>
      </c>
      <c r="T3082">
        <v>242</v>
      </c>
      <c r="U3082">
        <v>237</v>
      </c>
      <c r="V3082">
        <f t="shared" si="96"/>
        <v>239.5</v>
      </c>
      <c r="W3082">
        <f t="shared" si="97"/>
        <v>5</v>
      </c>
      <c r="X3082">
        <v>10.024167</v>
      </c>
      <c r="Y3082">
        <v>49.323611999999997</v>
      </c>
      <c r="Z3082" t="s">
        <v>520</v>
      </c>
      <c r="AA3082" t="s">
        <v>211</v>
      </c>
      <c r="AB3082" t="s">
        <v>953</v>
      </c>
      <c r="AE3082" t="s">
        <v>1378</v>
      </c>
      <c r="AH3082" t="s">
        <v>72</v>
      </c>
      <c r="AI3082" t="s">
        <v>4147</v>
      </c>
      <c r="AJ3082">
        <v>1996</v>
      </c>
      <c r="AK3082" t="s">
        <v>4125</v>
      </c>
      <c r="AN3082" t="s">
        <v>192</v>
      </c>
      <c r="AO3082" t="s">
        <v>77</v>
      </c>
      <c r="AP3082" t="s">
        <v>115</v>
      </c>
      <c r="AR3082" t="s">
        <v>80</v>
      </c>
      <c r="AS3082">
        <v>305</v>
      </c>
      <c r="AT3082" t="s">
        <v>81</v>
      </c>
      <c r="AU3082">
        <v>28.22</v>
      </c>
      <c r="AV3082">
        <v>29.03</v>
      </c>
      <c r="AW3082" t="s">
        <v>82</v>
      </c>
      <c r="AX3082">
        <v>305</v>
      </c>
      <c r="AY3082" t="s">
        <v>81</v>
      </c>
      <c r="AZ3082">
        <v>17.850000000000001</v>
      </c>
      <c r="BA3082">
        <v>15.63</v>
      </c>
      <c r="BB3082" t="s">
        <v>83</v>
      </c>
    </row>
    <row r="3083" spans="1:54" x14ac:dyDescent="0.4">
      <c r="A3083">
        <v>1094835</v>
      </c>
      <c r="D3083" t="s">
        <v>54</v>
      </c>
      <c r="G3083">
        <v>1</v>
      </c>
      <c r="H3083" t="s">
        <v>84</v>
      </c>
      <c r="I3083" t="s">
        <v>57</v>
      </c>
      <c r="K3083" t="s">
        <v>771</v>
      </c>
      <c r="L3083" t="s">
        <v>772</v>
      </c>
      <c r="M3083" t="s">
        <v>223</v>
      </c>
      <c r="P3083" t="s">
        <v>182</v>
      </c>
      <c r="R3083" t="s">
        <v>183</v>
      </c>
      <c r="S3083" t="s">
        <v>64</v>
      </c>
      <c r="T3083">
        <v>242</v>
      </c>
      <c r="U3083">
        <v>237</v>
      </c>
      <c r="V3083">
        <f t="shared" si="96"/>
        <v>239.5</v>
      </c>
      <c r="W3083">
        <f t="shared" si="97"/>
        <v>5</v>
      </c>
      <c r="X3083">
        <v>9.4888890000000004</v>
      </c>
      <c r="Y3083">
        <v>49.325001</v>
      </c>
      <c r="Z3083" t="s">
        <v>520</v>
      </c>
      <c r="AA3083" t="s">
        <v>211</v>
      </c>
      <c r="AB3083" t="s">
        <v>212</v>
      </c>
      <c r="AE3083" t="s">
        <v>1378</v>
      </c>
      <c r="AG3083" t="s">
        <v>4135</v>
      </c>
      <c r="AH3083" t="s">
        <v>72</v>
      </c>
      <c r="AI3083" t="s">
        <v>4147</v>
      </c>
      <c r="AJ3083">
        <v>1996</v>
      </c>
      <c r="AK3083" t="s">
        <v>4136</v>
      </c>
      <c r="AN3083" t="s">
        <v>192</v>
      </c>
      <c r="AO3083" t="s">
        <v>77</v>
      </c>
      <c r="AP3083" t="s">
        <v>115</v>
      </c>
      <c r="AQ3083" t="s">
        <v>4137</v>
      </c>
      <c r="AR3083" t="s">
        <v>80</v>
      </c>
      <c r="AS3083">
        <v>305</v>
      </c>
      <c r="AT3083" t="s">
        <v>81</v>
      </c>
      <c r="AU3083">
        <v>27.83</v>
      </c>
      <c r="AV3083">
        <v>28.94</v>
      </c>
      <c r="AW3083" t="s">
        <v>82</v>
      </c>
      <c r="AX3083">
        <v>305</v>
      </c>
      <c r="AY3083" t="s">
        <v>81</v>
      </c>
      <c r="AZ3083">
        <v>17.52</v>
      </c>
      <c r="BA3083">
        <v>15.48</v>
      </c>
      <c r="BB3083" t="s">
        <v>83</v>
      </c>
    </row>
    <row r="3084" spans="1:54" x14ac:dyDescent="0.4">
      <c r="A3084">
        <v>1094836</v>
      </c>
      <c r="D3084" t="s">
        <v>54</v>
      </c>
      <c r="I3084" t="s">
        <v>57</v>
      </c>
      <c r="K3084" t="s">
        <v>771</v>
      </c>
      <c r="L3084" t="s">
        <v>772</v>
      </c>
      <c r="M3084" t="s">
        <v>223</v>
      </c>
      <c r="P3084" t="s">
        <v>182</v>
      </c>
      <c r="R3084" t="s">
        <v>183</v>
      </c>
      <c r="S3084" t="s">
        <v>64</v>
      </c>
      <c r="T3084">
        <v>242</v>
      </c>
      <c r="U3084">
        <v>237</v>
      </c>
      <c r="V3084">
        <f t="shared" si="96"/>
        <v>239.5</v>
      </c>
      <c r="W3084">
        <f t="shared" si="97"/>
        <v>5</v>
      </c>
      <c r="X3084">
        <v>11.568056</v>
      </c>
      <c r="Y3084">
        <v>50.088332999999999</v>
      </c>
      <c r="Z3084" t="s">
        <v>520</v>
      </c>
      <c r="AA3084" t="s">
        <v>211</v>
      </c>
      <c r="AB3084" t="s">
        <v>2654</v>
      </c>
      <c r="AC3084" t="s">
        <v>4127</v>
      </c>
      <c r="AE3084" t="s">
        <v>1378</v>
      </c>
      <c r="AG3084" t="s">
        <v>4128</v>
      </c>
      <c r="AH3084" t="s">
        <v>72</v>
      </c>
      <c r="AI3084" t="s">
        <v>4147</v>
      </c>
      <c r="AJ3084">
        <v>1996</v>
      </c>
      <c r="AK3084" t="s">
        <v>4129</v>
      </c>
      <c r="AN3084" t="s">
        <v>192</v>
      </c>
      <c r="AO3084" t="s">
        <v>77</v>
      </c>
      <c r="AP3084" t="s">
        <v>115</v>
      </c>
      <c r="AR3084" t="s">
        <v>80</v>
      </c>
      <c r="AS3084">
        <v>305</v>
      </c>
      <c r="AT3084" t="s">
        <v>81</v>
      </c>
      <c r="AU3084">
        <v>29.09</v>
      </c>
      <c r="AV3084">
        <v>30.03</v>
      </c>
      <c r="AW3084" t="s">
        <v>82</v>
      </c>
      <c r="AX3084">
        <v>305</v>
      </c>
      <c r="AY3084" t="s">
        <v>81</v>
      </c>
      <c r="AZ3084">
        <v>18.420000000000002</v>
      </c>
      <c r="BA3084">
        <v>16.760000000000002</v>
      </c>
      <c r="BB3084" t="s">
        <v>83</v>
      </c>
    </row>
    <row r="3085" spans="1:54" x14ac:dyDescent="0.4">
      <c r="A3085">
        <v>1094837</v>
      </c>
      <c r="D3085" t="s">
        <v>54</v>
      </c>
      <c r="G3085">
        <v>4</v>
      </c>
      <c r="H3085" t="s">
        <v>84</v>
      </c>
      <c r="I3085" t="s">
        <v>57</v>
      </c>
      <c r="K3085" t="s">
        <v>771</v>
      </c>
      <c r="L3085" t="s">
        <v>772</v>
      </c>
      <c r="M3085" t="s">
        <v>223</v>
      </c>
      <c r="P3085" t="s">
        <v>182</v>
      </c>
      <c r="R3085" t="s">
        <v>183</v>
      </c>
      <c r="S3085" t="s">
        <v>64</v>
      </c>
      <c r="T3085">
        <v>242</v>
      </c>
      <c r="U3085">
        <v>237</v>
      </c>
      <c r="V3085">
        <f t="shared" si="96"/>
        <v>239.5</v>
      </c>
      <c r="W3085">
        <f t="shared" si="97"/>
        <v>5</v>
      </c>
      <c r="X3085">
        <v>11.568056</v>
      </c>
      <c r="Y3085">
        <v>50.088332999999999</v>
      </c>
      <c r="Z3085" t="s">
        <v>520</v>
      </c>
      <c r="AA3085" t="s">
        <v>211</v>
      </c>
      <c r="AB3085" t="s">
        <v>2654</v>
      </c>
      <c r="AC3085" t="s">
        <v>4127</v>
      </c>
      <c r="AE3085" t="s">
        <v>1378</v>
      </c>
      <c r="AG3085" t="s">
        <v>4135</v>
      </c>
      <c r="AH3085" t="s">
        <v>72</v>
      </c>
      <c r="AI3085" t="s">
        <v>4147</v>
      </c>
      <c r="AJ3085">
        <v>1996</v>
      </c>
      <c r="AK3085" t="s">
        <v>4163</v>
      </c>
      <c r="AN3085" t="s">
        <v>192</v>
      </c>
      <c r="AO3085" t="s">
        <v>77</v>
      </c>
      <c r="AP3085" t="s">
        <v>115</v>
      </c>
      <c r="AR3085" t="s">
        <v>80</v>
      </c>
      <c r="AS3085">
        <v>305</v>
      </c>
      <c r="AT3085" t="s">
        <v>81</v>
      </c>
      <c r="AU3085">
        <v>29.09</v>
      </c>
      <c r="AV3085">
        <v>30.03</v>
      </c>
      <c r="AW3085" t="s">
        <v>82</v>
      </c>
      <c r="AX3085">
        <v>305</v>
      </c>
      <c r="AY3085" t="s">
        <v>81</v>
      </c>
      <c r="AZ3085">
        <v>18.420000000000002</v>
      </c>
      <c r="BA3085">
        <v>16.760000000000002</v>
      </c>
      <c r="BB3085" t="s">
        <v>83</v>
      </c>
    </row>
    <row r="3086" spans="1:54" x14ac:dyDescent="0.4">
      <c r="A3086">
        <v>1094838</v>
      </c>
      <c r="D3086" t="s">
        <v>54</v>
      </c>
      <c r="G3086">
        <v>8</v>
      </c>
      <c r="H3086" t="s">
        <v>84</v>
      </c>
      <c r="I3086" t="s">
        <v>57</v>
      </c>
      <c r="K3086" t="s">
        <v>771</v>
      </c>
      <c r="L3086" t="s">
        <v>772</v>
      </c>
      <c r="M3086" t="s">
        <v>223</v>
      </c>
      <c r="P3086" t="s">
        <v>182</v>
      </c>
      <c r="R3086" t="s">
        <v>183</v>
      </c>
      <c r="S3086" t="s">
        <v>64</v>
      </c>
      <c r="T3086">
        <v>242</v>
      </c>
      <c r="U3086">
        <v>237</v>
      </c>
      <c r="V3086">
        <f t="shared" si="96"/>
        <v>239.5</v>
      </c>
      <c r="W3086">
        <f t="shared" si="97"/>
        <v>5</v>
      </c>
      <c r="X3086">
        <v>11.568056</v>
      </c>
      <c r="Y3086">
        <v>50.088332999999999</v>
      </c>
      <c r="Z3086" t="s">
        <v>520</v>
      </c>
      <c r="AA3086" t="s">
        <v>211</v>
      </c>
      <c r="AB3086" t="s">
        <v>2654</v>
      </c>
      <c r="AC3086" t="s">
        <v>4127</v>
      </c>
      <c r="AE3086" t="s">
        <v>1378</v>
      </c>
      <c r="AG3086" t="s">
        <v>4164</v>
      </c>
      <c r="AH3086" t="s">
        <v>72</v>
      </c>
      <c r="AI3086" t="s">
        <v>4147</v>
      </c>
      <c r="AJ3086">
        <v>1996</v>
      </c>
      <c r="AK3086" t="s">
        <v>4165</v>
      </c>
      <c r="AN3086" t="s">
        <v>192</v>
      </c>
      <c r="AO3086" t="s">
        <v>77</v>
      </c>
      <c r="AP3086" t="s">
        <v>115</v>
      </c>
      <c r="AR3086" t="s">
        <v>80</v>
      </c>
      <c r="AS3086">
        <v>305</v>
      </c>
      <c r="AT3086" t="s">
        <v>81</v>
      </c>
      <c r="AU3086">
        <v>29.09</v>
      </c>
      <c r="AV3086">
        <v>30.03</v>
      </c>
      <c r="AW3086" t="s">
        <v>82</v>
      </c>
      <c r="AX3086">
        <v>305</v>
      </c>
      <c r="AY3086" t="s">
        <v>81</v>
      </c>
      <c r="AZ3086">
        <v>18.420000000000002</v>
      </c>
      <c r="BA3086">
        <v>16.760000000000002</v>
      </c>
      <c r="BB3086" t="s">
        <v>83</v>
      </c>
    </row>
    <row r="3087" spans="1:54" x14ac:dyDescent="0.4">
      <c r="A3087">
        <v>1094839</v>
      </c>
      <c r="D3087" t="s">
        <v>54</v>
      </c>
      <c r="G3087">
        <v>3</v>
      </c>
      <c r="H3087" t="s">
        <v>84</v>
      </c>
      <c r="I3087" t="s">
        <v>57</v>
      </c>
      <c r="K3087" t="s">
        <v>771</v>
      </c>
      <c r="L3087" t="s">
        <v>772</v>
      </c>
      <c r="M3087" t="s">
        <v>223</v>
      </c>
      <c r="P3087" t="s">
        <v>182</v>
      </c>
      <c r="R3087" t="s">
        <v>183</v>
      </c>
      <c r="S3087" t="s">
        <v>64</v>
      </c>
      <c r="T3087">
        <v>242</v>
      </c>
      <c r="U3087">
        <v>237</v>
      </c>
      <c r="V3087">
        <f t="shared" si="96"/>
        <v>239.5</v>
      </c>
      <c r="W3087">
        <f t="shared" si="97"/>
        <v>5</v>
      </c>
      <c r="X3087">
        <v>11.568056</v>
      </c>
      <c r="Y3087">
        <v>50.088332999999999</v>
      </c>
      <c r="Z3087" t="s">
        <v>520</v>
      </c>
      <c r="AA3087" t="s">
        <v>211</v>
      </c>
      <c r="AB3087" t="s">
        <v>2654</v>
      </c>
      <c r="AC3087" t="s">
        <v>4127</v>
      </c>
      <c r="AE3087" t="s">
        <v>1378</v>
      </c>
      <c r="AG3087" t="s">
        <v>4166</v>
      </c>
      <c r="AH3087" t="s">
        <v>72</v>
      </c>
      <c r="AI3087" t="s">
        <v>4147</v>
      </c>
      <c r="AJ3087">
        <v>1996</v>
      </c>
      <c r="AK3087" t="s">
        <v>4167</v>
      </c>
      <c r="AN3087" t="s">
        <v>192</v>
      </c>
      <c r="AO3087" t="s">
        <v>77</v>
      </c>
      <c r="AP3087" t="s">
        <v>115</v>
      </c>
      <c r="AR3087" t="s">
        <v>80</v>
      </c>
      <c r="AS3087">
        <v>305</v>
      </c>
      <c r="AT3087" t="s">
        <v>81</v>
      </c>
      <c r="AU3087">
        <v>29.09</v>
      </c>
      <c r="AV3087">
        <v>30.03</v>
      </c>
      <c r="AW3087" t="s">
        <v>82</v>
      </c>
      <c r="AX3087">
        <v>305</v>
      </c>
      <c r="AY3087" t="s">
        <v>81</v>
      </c>
      <c r="AZ3087">
        <v>18.420000000000002</v>
      </c>
      <c r="BA3087">
        <v>16.760000000000002</v>
      </c>
      <c r="BB3087" t="s">
        <v>83</v>
      </c>
    </row>
    <row r="3088" spans="1:54" x14ac:dyDescent="0.4">
      <c r="A3088">
        <v>1094840</v>
      </c>
      <c r="D3088" t="s">
        <v>54</v>
      </c>
      <c r="G3088">
        <v>1</v>
      </c>
      <c r="H3088" t="s">
        <v>84</v>
      </c>
      <c r="I3088" t="s">
        <v>57</v>
      </c>
      <c r="K3088" t="s">
        <v>771</v>
      </c>
      <c r="L3088" t="s">
        <v>772</v>
      </c>
      <c r="M3088" t="s">
        <v>223</v>
      </c>
      <c r="P3088" t="s">
        <v>182</v>
      </c>
      <c r="R3088" t="s">
        <v>183</v>
      </c>
      <c r="S3088" t="s">
        <v>64</v>
      </c>
      <c r="T3088">
        <v>242</v>
      </c>
      <c r="U3088">
        <v>237</v>
      </c>
      <c r="V3088">
        <f t="shared" si="96"/>
        <v>239.5</v>
      </c>
      <c r="W3088">
        <f t="shared" si="97"/>
        <v>5</v>
      </c>
      <c r="X3088">
        <v>11.568056</v>
      </c>
      <c r="Y3088">
        <v>50.088332999999999</v>
      </c>
      <c r="Z3088" t="s">
        <v>520</v>
      </c>
      <c r="AA3088" t="s">
        <v>211</v>
      </c>
      <c r="AB3088" t="s">
        <v>2654</v>
      </c>
      <c r="AC3088" t="s">
        <v>4127</v>
      </c>
      <c r="AE3088" t="s">
        <v>1378</v>
      </c>
      <c r="AG3088" t="s">
        <v>4168</v>
      </c>
      <c r="AH3088" t="s">
        <v>72</v>
      </c>
      <c r="AI3088" t="s">
        <v>4147</v>
      </c>
      <c r="AJ3088">
        <v>1996</v>
      </c>
      <c r="AK3088" t="s">
        <v>4169</v>
      </c>
      <c r="AN3088" t="s">
        <v>192</v>
      </c>
      <c r="AO3088" t="s">
        <v>77</v>
      </c>
      <c r="AP3088" t="s">
        <v>115</v>
      </c>
      <c r="AR3088" t="s">
        <v>80</v>
      </c>
      <c r="AS3088">
        <v>305</v>
      </c>
      <c r="AT3088" t="s">
        <v>81</v>
      </c>
      <c r="AU3088">
        <v>29.09</v>
      </c>
      <c r="AV3088">
        <v>30.03</v>
      </c>
      <c r="AW3088" t="s">
        <v>82</v>
      </c>
      <c r="AX3088">
        <v>305</v>
      </c>
      <c r="AY3088" t="s">
        <v>81</v>
      </c>
      <c r="AZ3088">
        <v>18.420000000000002</v>
      </c>
      <c r="BA3088">
        <v>16.760000000000002</v>
      </c>
      <c r="BB3088" t="s">
        <v>83</v>
      </c>
    </row>
    <row r="3089" spans="1:54" x14ac:dyDescent="0.4">
      <c r="A3089">
        <v>1094841</v>
      </c>
      <c r="D3089" t="s">
        <v>54</v>
      </c>
      <c r="G3089">
        <v>1</v>
      </c>
      <c r="H3089" t="s">
        <v>84</v>
      </c>
      <c r="I3089" t="s">
        <v>57</v>
      </c>
      <c r="K3089" t="s">
        <v>771</v>
      </c>
      <c r="L3089" t="s">
        <v>772</v>
      </c>
      <c r="M3089" t="s">
        <v>223</v>
      </c>
      <c r="P3089" t="s">
        <v>182</v>
      </c>
      <c r="R3089" t="s">
        <v>183</v>
      </c>
      <c r="S3089" t="s">
        <v>64</v>
      </c>
      <c r="T3089">
        <v>242</v>
      </c>
      <c r="U3089">
        <v>237</v>
      </c>
      <c r="V3089">
        <f t="shared" si="96"/>
        <v>239.5</v>
      </c>
      <c r="W3089">
        <f t="shared" si="97"/>
        <v>5</v>
      </c>
      <c r="X3089">
        <v>11.462222000000001</v>
      </c>
      <c r="Y3089">
        <v>50.201110999999997</v>
      </c>
      <c r="Z3089" t="s">
        <v>520</v>
      </c>
      <c r="AA3089" t="s">
        <v>211</v>
      </c>
      <c r="AE3089" t="s">
        <v>1378</v>
      </c>
      <c r="AG3089" t="s">
        <v>4164</v>
      </c>
      <c r="AH3089" t="s">
        <v>72</v>
      </c>
      <c r="AI3089" t="s">
        <v>4147</v>
      </c>
      <c r="AJ3089">
        <v>1996</v>
      </c>
      <c r="AK3089" t="s">
        <v>4170</v>
      </c>
      <c r="AN3089" t="s">
        <v>192</v>
      </c>
      <c r="AO3089" t="s">
        <v>77</v>
      </c>
      <c r="AP3089" t="s">
        <v>115</v>
      </c>
      <c r="AR3089" t="s">
        <v>80</v>
      </c>
      <c r="AS3089">
        <v>305</v>
      </c>
      <c r="AT3089" t="s">
        <v>81</v>
      </c>
      <c r="AU3089">
        <v>28.98</v>
      </c>
      <c r="AV3089">
        <v>30.12</v>
      </c>
      <c r="AW3089" t="s">
        <v>82</v>
      </c>
      <c r="AX3089">
        <v>305</v>
      </c>
      <c r="AY3089" t="s">
        <v>81</v>
      </c>
      <c r="AZ3089">
        <v>18.3</v>
      </c>
      <c r="BA3089">
        <v>16.829999999999998</v>
      </c>
      <c r="BB3089" t="s">
        <v>83</v>
      </c>
    </row>
    <row r="3090" spans="1:54" x14ac:dyDescent="0.4">
      <c r="A3090">
        <v>1094842</v>
      </c>
      <c r="D3090" t="s">
        <v>54</v>
      </c>
      <c r="G3090">
        <v>1</v>
      </c>
      <c r="H3090" t="s">
        <v>84</v>
      </c>
      <c r="I3090" t="s">
        <v>57</v>
      </c>
      <c r="K3090" t="s">
        <v>771</v>
      </c>
      <c r="L3090" t="s">
        <v>772</v>
      </c>
      <c r="M3090" t="s">
        <v>223</v>
      </c>
      <c r="P3090" t="s">
        <v>182</v>
      </c>
      <c r="R3090" t="s">
        <v>183</v>
      </c>
      <c r="S3090" t="s">
        <v>64</v>
      </c>
      <c r="T3090">
        <v>242</v>
      </c>
      <c r="U3090">
        <v>237</v>
      </c>
      <c r="V3090">
        <f t="shared" si="96"/>
        <v>239.5</v>
      </c>
      <c r="W3090">
        <f t="shared" si="97"/>
        <v>5</v>
      </c>
      <c r="X3090">
        <v>11.465555999999999</v>
      </c>
      <c r="Y3090">
        <v>50.076388999999999</v>
      </c>
      <c r="Z3090" t="s">
        <v>520</v>
      </c>
      <c r="AA3090" t="s">
        <v>211</v>
      </c>
      <c r="AE3090" t="s">
        <v>1378</v>
      </c>
      <c r="AG3090" t="s">
        <v>4164</v>
      </c>
      <c r="AH3090" t="s">
        <v>72</v>
      </c>
      <c r="AI3090" t="s">
        <v>4147</v>
      </c>
      <c r="AJ3090">
        <v>1996</v>
      </c>
      <c r="AK3090" t="s">
        <v>4171</v>
      </c>
      <c r="AN3090" t="s">
        <v>192</v>
      </c>
      <c r="AO3090" t="s">
        <v>77</v>
      </c>
      <c r="AP3090" t="s">
        <v>115</v>
      </c>
      <c r="AR3090" t="s">
        <v>80</v>
      </c>
      <c r="AS3090">
        <v>305</v>
      </c>
      <c r="AT3090" t="s">
        <v>81</v>
      </c>
      <c r="AU3090">
        <v>29.02</v>
      </c>
      <c r="AV3090">
        <v>30</v>
      </c>
      <c r="AW3090" t="s">
        <v>82</v>
      </c>
      <c r="AX3090">
        <v>305</v>
      </c>
      <c r="AY3090" t="s">
        <v>81</v>
      </c>
      <c r="AZ3090">
        <v>18.36</v>
      </c>
      <c r="BA3090">
        <v>16.72</v>
      </c>
      <c r="BB3090" t="s">
        <v>83</v>
      </c>
    </row>
    <row r="3091" spans="1:54" x14ac:dyDescent="0.4">
      <c r="A3091">
        <v>1094843</v>
      </c>
      <c r="D3091" t="s">
        <v>54</v>
      </c>
      <c r="G3091">
        <v>1</v>
      </c>
      <c r="H3091" t="s">
        <v>84</v>
      </c>
      <c r="I3091" t="s">
        <v>57</v>
      </c>
      <c r="K3091" t="s">
        <v>771</v>
      </c>
      <c r="L3091" t="s">
        <v>772</v>
      </c>
      <c r="M3091" t="s">
        <v>223</v>
      </c>
      <c r="P3091" t="s">
        <v>182</v>
      </c>
      <c r="R3091" t="s">
        <v>183</v>
      </c>
      <c r="S3091" t="s">
        <v>64</v>
      </c>
      <c r="T3091">
        <v>242</v>
      </c>
      <c r="U3091">
        <v>237</v>
      </c>
      <c r="V3091">
        <f t="shared" si="96"/>
        <v>239.5</v>
      </c>
      <c r="W3091">
        <f t="shared" si="97"/>
        <v>5</v>
      </c>
      <c r="X3091">
        <v>9.0252780000000001</v>
      </c>
      <c r="Y3091">
        <v>48.814999</v>
      </c>
      <c r="Z3091" t="s">
        <v>520</v>
      </c>
      <c r="AA3091" t="s">
        <v>211</v>
      </c>
      <c r="AE3091" t="s">
        <v>1378</v>
      </c>
      <c r="AH3091" t="s">
        <v>72</v>
      </c>
      <c r="AI3091" t="s">
        <v>4147</v>
      </c>
      <c r="AJ3091">
        <v>1996</v>
      </c>
      <c r="AK3091" t="s">
        <v>4172</v>
      </c>
      <c r="AM3091" t="s">
        <v>4173</v>
      </c>
      <c r="AN3091" t="s">
        <v>192</v>
      </c>
      <c r="AO3091" t="s">
        <v>77</v>
      </c>
      <c r="AP3091" t="s">
        <v>115</v>
      </c>
      <c r="AR3091" t="s">
        <v>80</v>
      </c>
      <c r="AS3091">
        <v>305</v>
      </c>
      <c r="AT3091" t="s">
        <v>81</v>
      </c>
      <c r="AU3091">
        <v>27.64</v>
      </c>
      <c r="AV3091">
        <v>28.37</v>
      </c>
      <c r="AW3091" t="s">
        <v>82</v>
      </c>
      <c r="AX3091">
        <v>305</v>
      </c>
      <c r="AY3091" t="s">
        <v>81</v>
      </c>
      <c r="AZ3091">
        <v>17.46</v>
      </c>
      <c r="BA3091">
        <v>14.89</v>
      </c>
      <c r="BB3091" t="s">
        <v>83</v>
      </c>
    </row>
    <row r="3092" spans="1:54" x14ac:dyDescent="0.4">
      <c r="A3092">
        <v>1094844</v>
      </c>
      <c r="D3092" t="s">
        <v>54</v>
      </c>
      <c r="G3092">
        <v>1</v>
      </c>
      <c r="H3092" t="s">
        <v>84</v>
      </c>
      <c r="I3092" t="s">
        <v>57</v>
      </c>
      <c r="K3092" t="s">
        <v>771</v>
      </c>
      <c r="L3092" t="s">
        <v>772</v>
      </c>
      <c r="M3092" t="s">
        <v>223</v>
      </c>
      <c r="P3092" t="s">
        <v>182</v>
      </c>
      <c r="R3092" t="s">
        <v>183</v>
      </c>
      <c r="S3092" t="s">
        <v>64</v>
      </c>
      <c r="T3092">
        <v>242</v>
      </c>
      <c r="U3092">
        <v>237</v>
      </c>
      <c r="V3092">
        <f t="shared" si="96"/>
        <v>239.5</v>
      </c>
      <c r="W3092">
        <f t="shared" si="97"/>
        <v>5</v>
      </c>
      <c r="X3092">
        <v>9.1688890000000001</v>
      </c>
      <c r="Y3092">
        <v>48.834442000000003</v>
      </c>
      <c r="Z3092" t="s">
        <v>520</v>
      </c>
      <c r="AA3092" t="s">
        <v>211</v>
      </c>
      <c r="AE3092" t="s">
        <v>620</v>
      </c>
      <c r="AH3092" t="s">
        <v>72</v>
      </c>
      <c r="AI3092" t="s">
        <v>4147</v>
      </c>
      <c r="AJ3092">
        <v>1996</v>
      </c>
      <c r="AK3092" t="s">
        <v>4133</v>
      </c>
      <c r="AM3092" t="s">
        <v>4134</v>
      </c>
      <c r="AN3092" t="s">
        <v>192</v>
      </c>
      <c r="AO3092" t="s">
        <v>77</v>
      </c>
      <c r="AP3092" t="s">
        <v>115</v>
      </c>
      <c r="AR3092" t="s">
        <v>80</v>
      </c>
      <c r="AS3092">
        <v>305</v>
      </c>
      <c r="AT3092" t="s">
        <v>81</v>
      </c>
      <c r="AU3092">
        <v>27.74</v>
      </c>
      <c r="AV3092">
        <v>28.41</v>
      </c>
      <c r="AW3092" t="s">
        <v>82</v>
      </c>
      <c r="AX3092">
        <v>305</v>
      </c>
      <c r="AY3092" t="s">
        <v>81</v>
      </c>
      <c r="AZ3092">
        <v>17.54</v>
      </c>
      <c r="BA3092">
        <v>14.94</v>
      </c>
      <c r="BB3092" t="s">
        <v>83</v>
      </c>
    </row>
    <row r="3093" spans="1:54" x14ac:dyDescent="0.4">
      <c r="A3093">
        <v>1094845</v>
      </c>
      <c r="D3093" t="s">
        <v>54</v>
      </c>
      <c r="G3093">
        <v>1</v>
      </c>
      <c r="H3093" t="s">
        <v>84</v>
      </c>
      <c r="I3093" t="s">
        <v>57</v>
      </c>
      <c r="K3093" t="s">
        <v>771</v>
      </c>
      <c r="L3093" t="s">
        <v>772</v>
      </c>
      <c r="M3093" t="s">
        <v>223</v>
      </c>
      <c r="P3093" t="s">
        <v>182</v>
      </c>
      <c r="R3093" t="s">
        <v>183</v>
      </c>
      <c r="S3093" t="s">
        <v>64</v>
      </c>
      <c r="T3093">
        <v>242</v>
      </c>
      <c r="U3093">
        <v>237</v>
      </c>
      <c r="V3093">
        <f t="shared" si="96"/>
        <v>239.5</v>
      </c>
      <c r="W3093">
        <f t="shared" si="97"/>
        <v>5</v>
      </c>
      <c r="X3093">
        <v>10.073888999999999</v>
      </c>
      <c r="Y3093">
        <v>49.174441999999999</v>
      </c>
      <c r="Z3093" t="s">
        <v>520</v>
      </c>
      <c r="AA3093" t="s">
        <v>211</v>
      </c>
      <c r="AE3093" t="s">
        <v>1378</v>
      </c>
      <c r="AH3093" t="s">
        <v>72</v>
      </c>
      <c r="AI3093" t="s">
        <v>4147</v>
      </c>
      <c r="AJ3093">
        <v>1996</v>
      </c>
      <c r="AK3093" t="s">
        <v>4174</v>
      </c>
      <c r="AN3093" t="s">
        <v>192</v>
      </c>
      <c r="AO3093" t="s">
        <v>77</v>
      </c>
      <c r="AP3093" t="s">
        <v>115</v>
      </c>
      <c r="AR3093" t="s">
        <v>80</v>
      </c>
      <c r="AS3093">
        <v>305</v>
      </c>
      <c r="AT3093" t="s">
        <v>81</v>
      </c>
      <c r="AU3093">
        <v>28.3</v>
      </c>
      <c r="AV3093">
        <v>28.89</v>
      </c>
      <c r="AW3093" t="s">
        <v>82</v>
      </c>
      <c r="AX3093">
        <v>305</v>
      </c>
      <c r="AY3093" t="s">
        <v>81</v>
      </c>
      <c r="AZ3093">
        <v>17.940000000000001</v>
      </c>
      <c r="BA3093">
        <v>15.51</v>
      </c>
      <c r="BB3093" t="s">
        <v>83</v>
      </c>
    </row>
    <row r="3094" spans="1:54" x14ac:dyDescent="0.4">
      <c r="A3094">
        <v>1094848</v>
      </c>
      <c r="D3094" t="s">
        <v>54</v>
      </c>
      <c r="E3094" t="s">
        <v>154</v>
      </c>
      <c r="G3094">
        <v>1</v>
      </c>
      <c r="H3094" t="s">
        <v>56</v>
      </c>
      <c r="I3094" t="s">
        <v>57</v>
      </c>
      <c r="K3094" t="s">
        <v>771</v>
      </c>
      <c r="L3094" t="s">
        <v>772</v>
      </c>
      <c r="M3094" t="s">
        <v>223</v>
      </c>
      <c r="P3094" t="s">
        <v>182</v>
      </c>
      <c r="R3094" t="s">
        <v>183</v>
      </c>
      <c r="S3094" t="s">
        <v>64</v>
      </c>
      <c r="T3094">
        <v>242</v>
      </c>
      <c r="U3094">
        <v>237</v>
      </c>
      <c r="V3094">
        <f t="shared" si="96"/>
        <v>239.5</v>
      </c>
      <c r="W3094">
        <f t="shared" si="97"/>
        <v>5</v>
      </c>
      <c r="X3094">
        <v>10.066667000000001</v>
      </c>
      <c r="Y3094">
        <v>49.133330999999998</v>
      </c>
      <c r="Z3094" t="s">
        <v>602</v>
      </c>
      <c r="AA3094" t="s">
        <v>211</v>
      </c>
      <c r="AC3094" t="s">
        <v>212</v>
      </c>
      <c r="AE3094" t="s">
        <v>1378</v>
      </c>
      <c r="AH3094" t="s">
        <v>72</v>
      </c>
      <c r="AI3094" t="s">
        <v>4147</v>
      </c>
      <c r="AJ3094">
        <v>1996</v>
      </c>
      <c r="AK3094" t="s">
        <v>4144</v>
      </c>
      <c r="AN3094" t="s">
        <v>114</v>
      </c>
      <c r="AO3094" t="s">
        <v>160</v>
      </c>
      <c r="AP3094" t="s">
        <v>636</v>
      </c>
      <c r="AQ3094" t="s">
        <v>3527</v>
      </c>
      <c r="AR3094" t="s">
        <v>80</v>
      </c>
      <c r="AS3094">
        <v>305</v>
      </c>
      <c r="AT3094" t="s">
        <v>81</v>
      </c>
      <c r="AU3094">
        <v>28.31</v>
      </c>
      <c r="AV3094">
        <v>28.85</v>
      </c>
      <c r="AW3094" t="s">
        <v>82</v>
      </c>
      <c r="AX3094">
        <v>305</v>
      </c>
      <c r="AY3094" t="s">
        <v>81</v>
      </c>
      <c r="AZ3094">
        <v>17.96</v>
      </c>
      <c r="BA3094">
        <v>15.47</v>
      </c>
      <c r="BB3094" t="s">
        <v>83</v>
      </c>
    </row>
    <row r="3095" spans="1:54" x14ac:dyDescent="0.4">
      <c r="A3095">
        <v>1094848</v>
      </c>
      <c r="D3095" t="s">
        <v>54</v>
      </c>
      <c r="E3095" t="s">
        <v>154</v>
      </c>
      <c r="G3095">
        <v>1</v>
      </c>
      <c r="H3095" t="s">
        <v>56</v>
      </c>
      <c r="I3095" t="s">
        <v>57</v>
      </c>
      <c r="K3095" t="s">
        <v>771</v>
      </c>
      <c r="L3095" t="s">
        <v>772</v>
      </c>
      <c r="M3095" t="s">
        <v>223</v>
      </c>
      <c r="P3095" t="s">
        <v>182</v>
      </c>
      <c r="R3095" t="s">
        <v>183</v>
      </c>
      <c r="S3095" t="s">
        <v>64</v>
      </c>
      <c r="T3095">
        <v>242</v>
      </c>
      <c r="U3095">
        <v>237</v>
      </c>
      <c r="V3095">
        <f t="shared" si="96"/>
        <v>239.5</v>
      </c>
      <c r="W3095">
        <f t="shared" si="97"/>
        <v>5</v>
      </c>
      <c r="X3095">
        <v>10.066667000000001</v>
      </c>
      <c r="Y3095">
        <v>49.133330999999998</v>
      </c>
      <c r="Z3095" t="s">
        <v>602</v>
      </c>
      <c r="AA3095" t="s">
        <v>211</v>
      </c>
      <c r="AC3095" t="s">
        <v>212</v>
      </c>
      <c r="AE3095" t="s">
        <v>1378</v>
      </c>
      <c r="AH3095" t="s">
        <v>72</v>
      </c>
      <c r="AI3095" t="s">
        <v>4147</v>
      </c>
      <c r="AJ3095">
        <v>1996</v>
      </c>
      <c r="AK3095" t="s">
        <v>4144</v>
      </c>
      <c r="AN3095" t="s">
        <v>114</v>
      </c>
      <c r="AO3095" t="s">
        <v>160</v>
      </c>
      <c r="AP3095" t="s">
        <v>636</v>
      </c>
      <c r="AQ3095" t="s">
        <v>3527</v>
      </c>
      <c r="AR3095" t="s">
        <v>80</v>
      </c>
      <c r="AS3095">
        <v>305</v>
      </c>
      <c r="AT3095" t="s">
        <v>81</v>
      </c>
      <c r="AU3095">
        <v>28.31</v>
      </c>
      <c r="AV3095">
        <v>28.85</v>
      </c>
      <c r="AW3095" t="s">
        <v>82</v>
      </c>
      <c r="AX3095">
        <v>305</v>
      </c>
      <c r="AY3095" t="s">
        <v>81</v>
      </c>
      <c r="AZ3095">
        <v>17.96</v>
      </c>
      <c r="BA3095">
        <v>15.47</v>
      </c>
      <c r="BB3095" t="s">
        <v>83</v>
      </c>
    </row>
    <row r="3096" spans="1:54" x14ac:dyDescent="0.4">
      <c r="A3096">
        <v>1094861</v>
      </c>
      <c r="D3096" t="s">
        <v>54</v>
      </c>
      <c r="G3096">
        <v>13</v>
      </c>
      <c r="H3096" t="s">
        <v>84</v>
      </c>
      <c r="I3096" t="s">
        <v>57</v>
      </c>
      <c r="K3096" t="s">
        <v>771</v>
      </c>
      <c r="L3096" t="s">
        <v>772</v>
      </c>
      <c r="M3096" t="s">
        <v>223</v>
      </c>
      <c r="P3096" t="s">
        <v>182</v>
      </c>
      <c r="R3096" t="s">
        <v>183</v>
      </c>
      <c r="S3096" t="s">
        <v>64</v>
      </c>
      <c r="T3096">
        <v>242</v>
      </c>
      <c r="U3096">
        <v>237</v>
      </c>
      <c r="V3096">
        <f t="shared" si="96"/>
        <v>239.5</v>
      </c>
      <c r="W3096">
        <f t="shared" si="97"/>
        <v>5</v>
      </c>
      <c r="X3096">
        <v>11.628610999999999</v>
      </c>
      <c r="Y3096">
        <v>51.088054999999997</v>
      </c>
      <c r="Z3096" t="s">
        <v>520</v>
      </c>
      <c r="AA3096" t="s">
        <v>211</v>
      </c>
      <c r="AB3096" t="s">
        <v>977</v>
      </c>
      <c r="AD3096" t="s">
        <v>3617</v>
      </c>
      <c r="AE3096" t="s">
        <v>1378</v>
      </c>
      <c r="AH3096" t="s">
        <v>72</v>
      </c>
      <c r="AI3096" t="s">
        <v>4147</v>
      </c>
      <c r="AJ3096">
        <v>1996</v>
      </c>
      <c r="AK3096" t="s">
        <v>4158</v>
      </c>
      <c r="AN3096" t="s">
        <v>192</v>
      </c>
      <c r="AO3096" t="s">
        <v>77</v>
      </c>
      <c r="AP3096" t="s">
        <v>115</v>
      </c>
      <c r="AQ3096" t="s">
        <v>4159</v>
      </c>
      <c r="AR3096" t="s">
        <v>80</v>
      </c>
      <c r="AS3096">
        <v>305</v>
      </c>
      <c r="AT3096" t="s">
        <v>81</v>
      </c>
      <c r="AU3096">
        <v>28.82</v>
      </c>
      <c r="AV3096">
        <v>31</v>
      </c>
      <c r="AW3096" t="s">
        <v>82</v>
      </c>
      <c r="AX3096">
        <v>305</v>
      </c>
      <c r="AY3096" t="s">
        <v>81</v>
      </c>
      <c r="AZ3096">
        <v>17.98</v>
      </c>
      <c r="BA3096">
        <v>17.670000000000002</v>
      </c>
      <c r="BB3096" t="s">
        <v>83</v>
      </c>
    </row>
    <row r="3097" spans="1:54" x14ac:dyDescent="0.4">
      <c r="A3097">
        <v>1094863</v>
      </c>
      <c r="D3097" t="s">
        <v>54</v>
      </c>
      <c r="G3097">
        <v>1</v>
      </c>
      <c r="H3097" t="s">
        <v>84</v>
      </c>
      <c r="I3097" t="s">
        <v>57</v>
      </c>
      <c r="K3097" t="s">
        <v>771</v>
      </c>
      <c r="L3097" t="s">
        <v>772</v>
      </c>
      <c r="M3097" t="s">
        <v>223</v>
      </c>
      <c r="P3097" t="s">
        <v>182</v>
      </c>
      <c r="R3097" t="s">
        <v>183</v>
      </c>
      <c r="S3097" t="s">
        <v>64</v>
      </c>
      <c r="T3097">
        <v>242</v>
      </c>
      <c r="U3097">
        <v>237</v>
      </c>
      <c r="V3097">
        <f t="shared" si="96"/>
        <v>239.5</v>
      </c>
      <c r="W3097">
        <f t="shared" si="97"/>
        <v>5</v>
      </c>
      <c r="X3097">
        <v>11.074722</v>
      </c>
      <c r="Y3097">
        <v>50.947223999999999</v>
      </c>
      <c r="Z3097" t="s">
        <v>520</v>
      </c>
      <c r="AA3097" t="s">
        <v>211</v>
      </c>
      <c r="AE3097" t="s">
        <v>1378</v>
      </c>
      <c r="AH3097" t="s">
        <v>72</v>
      </c>
      <c r="AI3097" t="s">
        <v>4147</v>
      </c>
      <c r="AJ3097">
        <v>1996</v>
      </c>
      <c r="AK3097" t="s">
        <v>4185</v>
      </c>
      <c r="AM3097" t="s">
        <v>4186</v>
      </c>
      <c r="AN3097" t="s">
        <v>76</v>
      </c>
      <c r="AO3097" t="s">
        <v>77</v>
      </c>
      <c r="AP3097" t="s">
        <v>115</v>
      </c>
      <c r="AR3097" t="s">
        <v>80</v>
      </c>
      <c r="AS3097">
        <v>305</v>
      </c>
      <c r="AT3097" t="s">
        <v>81</v>
      </c>
      <c r="AU3097">
        <v>28.47</v>
      </c>
      <c r="AV3097">
        <v>30.77</v>
      </c>
      <c r="AW3097" t="s">
        <v>82</v>
      </c>
      <c r="AX3097">
        <v>305</v>
      </c>
      <c r="AY3097" t="s">
        <v>81</v>
      </c>
      <c r="AZ3097">
        <v>17.72</v>
      </c>
      <c r="BA3097">
        <v>17.38</v>
      </c>
      <c r="BB3097" t="s">
        <v>83</v>
      </c>
    </row>
    <row r="3098" spans="1:54" x14ac:dyDescent="0.4">
      <c r="A3098">
        <v>1094864</v>
      </c>
      <c r="D3098" t="s">
        <v>54</v>
      </c>
      <c r="G3098">
        <v>1</v>
      </c>
      <c r="H3098" t="s">
        <v>84</v>
      </c>
      <c r="I3098" t="s">
        <v>57</v>
      </c>
      <c r="K3098" t="s">
        <v>771</v>
      </c>
      <c r="L3098" t="s">
        <v>772</v>
      </c>
      <c r="M3098" t="s">
        <v>223</v>
      </c>
      <c r="P3098" t="s">
        <v>182</v>
      </c>
      <c r="R3098" t="s">
        <v>183</v>
      </c>
      <c r="S3098" t="s">
        <v>64</v>
      </c>
      <c r="T3098">
        <v>242</v>
      </c>
      <c r="U3098">
        <v>237</v>
      </c>
      <c r="V3098">
        <f t="shared" si="96"/>
        <v>239.5</v>
      </c>
      <c r="W3098">
        <f t="shared" si="97"/>
        <v>5</v>
      </c>
      <c r="X3098">
        <v>10.947778</v>
      </c>
      <c r="Y3098">
        <v>51.023055999999997</v>
      </c>
      <c r="Z3098" t="s">
        <v>520</v>
      </c>
      <c r="AA3098" t="s">
        <v>211</v>
      </c>
      <c r="AE3098" t="s">
        <v>1378</v>
      </c>
      <c r="AH3098" t="s">
        <v>72</v>
      </c>
      <c r="AI3098" t="s">
        <v>4147</v>
      </c>
      <c r="AJ3098">
        <v>1996</v>
      </c>
      <c r="AK3098" t="s">
        <v>4187</v>
      </c>
      <c r="AN3098" t="s">
        <v>192</v>
      </c>
      <c r="AO3098" t="s">
        <v>77</v>
      </c>
      <c r="AP3098" t="s">
        <v>115</v>
      </c>
      <c r="AR3098" t="s">
        <v>80</v>
      </c>
      <c r="AS3098">
        <v>305</v>
      </c>
      <c r="AT3098" t="s">
        <v>81</v>
      </c>
      <c r="AU3098">
        <v>28.36</v>
      </c>
      <c r="AV3098">
        <v>30.83</v>
      </c>
      <c r="AW3098" t="s">
        <v>82</v>
      </c>
      <c r="AX3098">
        <v>305</v>
      </c>
      <c r="AY3098" t="s">
        <v>81</v>
      </c>
      <c r="AZ3098">
        <v>17.61</v>
      </c>
      <c r="BA3098">
        <v>17.41</v>
      </c>
      <c r="BB3098" t="s">
        <v>83</v>
      </c>
    </row>
    <row r="3099" spans="1:54" x14ac:dyDescent="0.4">
      <c r="A3099">
        <v>1094874</v>
      </c>
      <c r="D3099" t="s">
        <v>54</v>
      </c>
      <c r="I3099" t="s">
        <v>57</v>
      </c>
      <c r="K3099" t="s">
        <v>771</v>
      </c>
      <c r="L3099" t="s">
        <v>772</v>
      </c>
      <c r="M3099" t="s">
        <v>223</v>
      </c>
      <c r="P3099" t="s">
        <v>182</v>
      </c>
      <c r="R3099" t="s">
        <v>183</v>
      </c>
      <c r="S3099" t="s">
        <v>64</v>
      </c>
      <c r="T3099">
        <v>242</v>
      </c>
      <c r="U3099">
        <v>237</v>
      </c>
      <c r="V3099">
        <f t="shared" si="96"/>
        <v>239.5</v>
      </c>
      <c r="W3099">
        <f t="shared" si="97"/>
        <v>5</v>
      </c>
      <c r="X3099">
        <v>11.641389</v>
      </c>
      <c r="Y3099">
        <v>49.963611999999998</v>
      </c>
      <c r="Z3099" t="s">
        <v>520</v>
      </c>
      <c r="AA3099" t="s">
        <v>211</v>
      </c>
      <c r="AE3099" t="s">
        <v>1378</v>
      </c>
      <c r="AH3099" t="s">
        <v>72</v>
      </c>
      <c r="AI3099" t="s">
        <v>4147</v>
      </c>
      <c r="AJ3099">
        <v>1996</v>
      </c>
      <c r="AK3099" t="s">
        <v>4148</v>
      </c>
      <c r="AM3099" t="s">
        <v>4149</v>
      </c>
      <c r="AN3099" t="s">
        <v>192</v>
      </c>
      <c r="AO3099" t="s">
        <v>77</v>
      </c>
      <c r="AP3099" t="s">
        <v>115</v>
      </c>
      <c r="AQ3099" t="s">
        <v>4150</v>
      </c>
      <c r="AR3099" t="s">
        <v>80</v>
      </c>
      <c r="AS3099">
        <v>305</v>
      </c>
      <c r="AT3099" t="s">
        <v>81</v>
      </c>
      <c r="AU3099">
        <v>29.18</v>
      </c>
      <c r="AV3099">
        <v>29.92</v>
      </c>
      <c r="AW3099" t="s">
        <v>82</v>
      </c>
      <c r="AX3099">
        <v>305</v>
      </c>
      <c r="AY3099" t="s">
        <v>81</v>
      </c>
      <c r="AZ3099">
        <v>18.52</v>
      </c>
      <c r="BA3099">
        <v>16.670000000000002</v>
      </c>
      <c r="BB3099" t="s">
        <v>83</v>
      </c>
    </row>
    <row r="3100" spans="1:54" x14ac:dyDescent="0.4">
      <c r="A3100">
        <v>1094877</v>
      </c>
      <c r="D3100" t="s">
        <v>54</v>
      </c>
      <c r="E3100" t="s">
        <v>154</v>
      </c>
      <c r="G3100">
        <v>2</v>
      </c>
      <c r="H3100" t="s">
        <v>84</v>
      </c>
      <c r="I3100" t="s">
        <v>57</v>
      </c>
      <c r="K3100" t="s">
        <v>771</v>
      </c>
      <c r="L3100" t="s">
        <v>772</v>
      </c>
      <c r="M3100" t="s">
        <v>223</v>
      </c>
      <c r="P3100" t="s">
        <v>182</v>
      </c>
      <c r="R3100" t="s">
        <v>183</v>
      </c>
      <c r="S3100" t="s">
        <v>64</v>
      </c>
      <c r="T3100">
        <v>242</v>
      </c>
      <c r="U3100">
        <v>237</v>
      </c>
      <c r="V3100">
        <f t="shared" si="96"/>
        <v>239.5</v>
      </c>
      <c r="W3100">
        <f t="shared" si="97"/>
        <v>5</v>
      </c>
      <c r="X3100">
        <v>10.066667000000001</v>
      </c>
      <c r="Y3100">
        <v>49.133330999999998</v>
      </c>
      <c r="Z3100" t="s">
        <v>602</v>
      </c>
      <c r="AA3100" t="s">
        <v>211</v>
      </c>
      <c r="AC3100" t="s">
        <v>212</v>
      </c>
      <c r="AE3100" t="s">
        <v>1378</v>
      </c>
      <c r="AH3100" t="s">
        <v>72</v>
      </c>
      <c r="AI3100" t="s">
        <v>4147</v>
      </c>
      <c r="AJ3100">
        <v>1996</v>
      </c>
      <c r="AK3100" t="s">
        <v>4144</v>
      </c>
      <c r="AN3100" t="s">
        <v>114</v>
      </c>
      <c r="AO3100" t="s">
        <v>160</v>
      </c>
      <c r="AP3100" t="s">
        <v>636</v>
      </c>
      <c r="AQ3100" t="s">
        <v>3527</v>
      </c>
      <c r="AR3100" t="s">
        <v>80</v>
      </c>
      <c r="AS3100">
        <v>305</v>
      </c>
      <c r="AT3100" t="s">
        <v>81</v>
      </c>
      <c r="AU3100">
        <v>28.31</v>
      </c>
      <c r="AV3100">
        <v>28.85</v>
      </c>
      <c r="AW3100" t="s">
        <v>82</v>
      </c>
      <c r="AX3100">
        <v>305</v>
      </c>
      <c r="AY3100" t="s">
        <v>81</v>
      </c>
      <c r="AZ3100">
        <v>17.96</v>
      </c>
      <c r="BA3100">
        <v>15.47</v>
      </c>
      <c r="BB3100" t="s">
        <v>83</v>
      </c>
    </row>
    <row r="3101" spans="1:54" x14ac:dyDescent="0.4">
      <c r="A3101">
        <v>1094878</v>
      </c>
      <c r="D3101" t="s">
        <v>54</v>
      </c>
      <c r="G3101">
        <v>1</v>
      </c>
      <c r="H3101" t="s">
        <v>84</v>
      </c>
      <c r="I3101" t="s">
        <v>57</v>
      </c>
      <c r="K3101" t="s">
        <v>771</v>
      </c>
      <c r="L3101" t="s">
        <v>772</v>
      </c>
      <c r="M3101" t="s">
        <v>223</v>
      </c>
      <c r="P3101" t="s">
        <v>182</v>
      </c>
      <c r="R3101" t="s">
        <v>183</v>
      </c>
      <c r="S3101" t="s">
        <v>64</v>
      </c>
      <c r="T3101">
        <v>242</v>
      </c>
      <c r="U3101">
        <v>237</v>
      </c>
      <c r="V3101">
        <f t="shared" si="96"/>
        <v>239.5</v>
      </c>
      <c r="W3101">
        <f t="shared" si="97"/>
        <v>5</v>
      </c>
      <c r="X3101">
        <v>9.4766670000000008</v>
      </c>
      <c r="Y3101">
        <v>48.929169000000002</v>
      </c>
      <c r="Z3101" t="s">
        <v>520</v>
      </c>
      <c r="AA3101" t="s">
        <v>211</v>
      </c>
      <c r="AE3101" t="s">
        <v>1378</v>
      </c>
      <c r="AG3101" t="s">
        <v>4164</v>
      </c>
      <c r="AH3101" t="s">
        <v>72</v>
      </c>
      <c r="AI3101" t="s">
        <v>4147</v>
      </c>
      <c r="AJ3101">
        <v>1996</v>
      </c>
      <c r="AK3101" t="s">
        <v>4194</v>
      </c>
      <c r="AN3101" t="s">
        <v>192</v>
      </c>
      <c r="AO3101" t="s">
        <v>77</v>
      </c>
      <c r="AP3101" t="s">
        <v>115</v>
      </c>
      <c r="AR3101" t="s">
        <v>80</v>
      </c>
      <c r="AS3101">
        <v>305</v>
      </c>
      <c r="AT3101" t="s">
        <v>81</v>
      </c>
      <c r="AU3101">
        <v>27.94</v>
      </c>
      <c r="AV3101">
        <v>28.56</v>
      </c>
      <c r="AW3101" t="s">
        <v>82</v>
      </c>
      <c r="AX3101">
        <v>305</v>
      </c>
      <c r="AY3101" t="s">
        <v>81</v>
      </c>
      <c r="AZ3101">
        <v>17.690000000000001</v>
      </c>
      <c r="BA3101">
        <v>15.12</v>
      </c>
      <c r="BB3101" t="s">
        <v>83</v>
      </c>
    </row>
    <row r="3102" spans="1:54" x14ac:dyDescent="0.4">
      <c r="A3102">
        <v>1094879</v>
      </c>
      <c r="D3102" t="s">
        <v>54</v>
      </c>
      <c r="G3102">
        <v>1</v>
      </c>
      <c r="H3102" t="s">
        <v>84</v>
      </c>
      <c r="I3102" t="s">
        <v>57</v>
      </c>
      <c r="K3102" t="s">
        <v>771</v>
      </c>
      <c r="L3102" t="s">
        <v>772</v>
      </c>
      <c r="M3102" t="s">
        <v>223</v>
      </c>
      <c r="P3102" t="s">
        <v>182</v>
      </c>
      <c r="R3102" t="s">
        <v>183</v>
      </c>
      <c r="S3102" t="s">
        <v>64</v>
      </c>
      <c r="T3102">
        <v>242</v>
      </c>
      <c r="U3102">
        <v>237</v>
      </c>
      <c r="V3102">
        <f t="shared" si="96"/>
        <v>239.5</v>
      </c>
      <c r="W3102">
        <f t="shared" si="97"/>
        <v>5</v>
      </c>
      <c r="X3102">
        <v>10.067500000000001</v>
      </c>
      <c r="Y3102">
        <v>49.152222000000002</v>
      </c>
      <c r="Z3102" t="s">
        <v>520</v>
      </c>
      <c r="AA3102" t="s">
        <v>211</v>
      </c>
      <c r="AE3102" t="s">
        <v>1378</v>
      </c>
      <c r="AH3102" t="s">
        <v>72</v>
      </c>
      <c r="AI3102" t="s">
        <v>4147</v>
      </c>
      <c r="AJ3102">
        <v>1996</v>
      </c>
      <c r="AK3102" t="s">
        <v>4151</v>
      </c>
      <c r="AM3102" t="s">
        <v>4152</v>
      </c>
      <c r="AN3102" t="s">
        <v>192</v>
      </c>
      <c r="AO3102" t="s">
        <v>77</v>
      </c>
      <c r="AP3102" t="s">
        <v>115</v>
      </c>
      <c r="AR3102" t="s">
        <v>80</v>
      </c>
      <c r="AS3102">
        <v>305</v>
      </c>
      <c r="AT3102" t="s">
        <v>81</v>
      </c>
      <c r="AU3102">
        <v>28.3</v>
      </c>
      <c r="AV3102">
        <v>28.87</v>
      </c>
      <c r="AW3102" t="s">
        <v>82</v>
      </c>
      <c r="AX3102">
        <v>305</v>
      </c>
      <c r="AY3102" t="s">
        <v>81</v>
      </c>
      <c r="AZ3102">
        <v>17.95</v>
      </c>
      <c r="BA3102">
        <v>15.49</v>
      </c>
      <c r="BB3102" t="s">
        <v>83</v>
      </c>
    </row>
    <row r="3103" spans="1:54" x14ac:dyDescent="0.4">
      <c r="A3103">
        <v>1094880</v>
      </c>
      <c r="D3103" t="s">
        <v>54</v>
      </c>
      <c r="G3103">
        <v>1</v>
      </c>
      <c r="H3103" t="s">
        <v>84</v>
      </c>
      <c r="I3103" t="s">
        <v>57</v>
      </c>
      <c r="K3103" t="s">
        <v>771</v>
      </c>
      <c r="L3103" t="s">
        <v>772</v>
      </c>
      <c r="M3103" t="s">
        <v>223</v>
      </c>
      <c r="P3103" t="s">
        <v>182</v>
      </c>
      <c r="R3103" t="s">
        <v>183</v>
      </c>
      <c r="S3103" t="s">
        <v>64</v>
      </c>
      <c r="T3103">
        <v>242</v>
      </c>
      <c r="U3103">
        <v>237</v>
      </c>
      <c r="V3103">
        <f t="shared" si="96"/>
        <v>239.5</v>
      </c>
      <c r="W3103">
        <f t="shared" si="97"/>
        <v>5</v>
      </c>
      <c r="X3103">
        <v>11.568056</v>
      </c>
      <c r="Y3103">
        <v>50.088332999999999</v>
      </c>
      <c r="Z3103" t="s">
        <v>520</v>
      </c>
      <c r="AA3103" t="s">
        <v>211</v>
      </c>
      <c r="AB3103" t="s">
        <v>2654</v>
      </c>
      <c r="AC3103" t="s">
        <v>4127</v>
      </c>
      <c r="AE3103" t="s">
        <v>1378</v>
      </c>
      <c r="AG3103" t="s">
        <v>4164</v>
      </c>
      <c r="AH3103" t="s">
        <v>72</v>
      </c>
      <c r="AI3103" t="s">
        <v>4147</v>
      </c>
      <c r="AJ3103">
        <v>1996</v>
      </c>
      <c r="AK3103" t="s">
        <v>4165</v>
      </c>
      <c r="AN3103" t="s">
        <v>192</v>
      </c>
      <c r="AO3103" t="s">
        <v>77</v>
      </c>
      <c r="AP3103" t="s">
        <v>115</v>
      </c>
      <c r="AR3103" t="s">
        <v>80</v>
      </c>
      <c r="AS3103">
        <v>305</v>
      </c>
      <c r="AT3103" t="s">
        <v>81</v>
      </c>
      <c r="AU3103">
        <v>29.09</v>
      </c>
      <c r="AV3103">
        <v>30.03</v>
      </c>
      <c r="AW3103" t="s">
        <v>82</v>
      </c>
      <c r="AX3103">
        <v>305</v>
      </c>
      <c r="AY3103" t="s">
        <v>81</v>
      </c>
      <c r="AZ3103">
        <v>18.420000000000002</v>
      </c>
      <c r="BA3103">
        <v>16.760000000000002</v>
      </c>
      <c r="BB3103" t="s">
        <v>83</v>
      </c>
    </row>
    <row r="3104" spans="1:54" x14ac:dyDescent="0.4">
      <c r="A3104">
        <v>1094881</v>
      </c>
      <c r="D3104" t="s">
        <v>54</v>
      </c>
      <c r="G3104">
        <v>2</v>
      </c>
      <c r="H3104" t="s">
        <v>84</v>
      </c>
      <c r="I3104" t="s">
        <v>57</v>
      </c>
      <c r="K3104" t="s">
        <v>771</v>
      </c>
      <c r="L3104" t="s">
        <v>772</v>
      </c>
      <c r="M3104" t="s">
        <v>223</v>
      </c>
      <c r="P3104" t="s">
        <v>182</v>
      </c>
      <c r="R3104" t="s">
        <v>183</v>
      </c>
      <c r="S3104" t="s">
        <v>64</v>
      </c>
      <c r="T3104">
        <v>242</v>
      </c>
      <c r="U3104">
        <v>237</v>
      </c>
      <c r="V3104">
        <f t="shared" si="96"/>
        <v>239.5</v>
      </c>
      <c r="W3104">
        <f t="shared" si="97"/>
        <v>5</v>
      </c>
      <c r="X3104">
        <v>11.568056</v>
      </c>
      <c r="Y3104">
        <v>50.088332999999999</v>
      </c>
      <c r="Z3104" t="s">
        <v>520</v>
      </c>
      <c r="AA3104" t="s">
        <v>211</v>
      </c>
      <c r="AB3104" t="s">
        <v>2654</v>
      </c>
      <c r="AC3104" t="s">
        <v>4127</v>
      </c>
      <c r="AE3104" t="s">
        <v>1378</v>
      </c>
      <c r="AG3104" t="s">
        <v>4128</v>
      </c>
      <c r="AH3104" t="s">
        <v>72</v>
      </c>
      <c r="AI3104" t="s">
        <v>4147</v>
      </c>
      <c r="AJ3104">
        <v>1996</v>
      </c>
      <c r="AK3104" t="s">
        <v>4129</v>
      </c>
      <c r="AN3104" t="s">
        <v>192</v>
      </c>
      <c r="AO3104" t="s">
        <v>77</v>
      </c>
      <c r="AP3104" t="s">
        <v>115</v>
      </c>
      <c r="AR3104" t="s">
        <v>80</v>
      </c>
      <c r="AS3104">
        <v>305</v>
      </c>
      <c r="AT3104" t="s">
        <v>81</v>
      </c>
      <c r="AU3104">
        <v>29.09</v>
      </c>
      <c r="AV3104">
        <v>30.03</v>
      </c>
      <c r="AW3104" t="s">
        <v>82</v>
      </c>
      <c r="AX3104">
        <v>305</v>
      </c>
      <c r="AY3104" t="s">
        <v>81</v>
      </c>
      <c r="AZ3104">
        <v>18.420000000000002</v>
      </c>
      <c r="BA3104">
        <v>16.760000000000002</v>
      </c>
      <c r="BB3104" t="s">
        <v>83</v>
      </c>
    </row>
    <row r="3105" spans="1:54" x14ac:dyDescent="0.4">
      <c r="A3105">
        <v>1094882</v>
      </c>
      <c r="D3105" t="s">
        <v>54</v>
      </c>
      <c r="G3105">
        <v>1</v>
      </c>
      <c r="H3105" t="s">
        <v>84</v>
      </c>
      <c r="I3105" t="s">
        <v>57</v>
      </c>
      <c r="K3105" t="s">
        <v>771</v>
      </c>
      <c r="L3105" t="s">
        <v>772</v>
      </c>
      <c r="M3105" t="s">
        <v>223</v>
      </c>
      <c r="P3105" t="s">
        <v>182</v>
      </c>
      <c r="R3105" t="s">
        <v>183</v>
      </c>
      <c r="S3105" t="s">
        <v>64</v>
      </c>
      <c r="T3105">
        <v>242</v>
      </c>
      <c r="U3105">
        <v>237</v>
      </c>
      <c r="V3105">
        <f t="shared" si="96"/>
        <v>239.5</v>
      </c>
      <c r="W3105">
        <f t="shared" si="97"/>
        <v>5</v>
      </c>
      <c r="X3105">
        <v>9.4888890000000004</v>
      </c>
      <c r="Y3105">
        <v>49.325001</v>
      </c>
      <c r="Z3105" t="s">
        <v>520</v>
      </c>
      <c r="AA3105" t="s">
        <v>211</v>
      </c>
      <c r="AB3105" t="s">
        <v>212</v>
      </c>
      <c r="AE3105" t="s">
        <v>1378</v>
      </c>
      <c r="AG3105" t="s">
        <v>4135</v>
      </c>
      <c r="AH3105" t="s">
        <v>72</v>
      </c>
      <c r="AI3105" t="s">
        <v>4147</v>
      </c>
      <c r="AJ3105">
        <v>1996</v>
      </c>
      <c r="AK3105" t="s">
        <v>4136</v>
      </c>
      <c r="AN3105" t="s">
        <v>192</v>
      </c>
      <c r="AO3105" t="s">
        <v>77</v>
      </c>
      <c r="AP3105" t="s">
        <v>115</v>
      </c>
      <c r="AQ3105" t="s">
        <v>4137</v>
      </c>
      <c r="AR3105" t="s">
        <v>80</v>
      </c>
      <c r="AS3105">
        <v>305</v>
      </c>
      <c r="AT3105" t="s">
        <v>81</v>
      </c>
      <c r="AU3105">
        <v>27.83</v>
      </c>
      <c r="AV3105">
        <v>28.94</v>
      </c>
      <c r="AW3105" t="s">
        <v>82</v>
      </c>
      <c r="AX3105">
        <v>305</v>
      </c>
      <c r="AY3105" t="s">
        <v>81</v>
      </c>
      <c r="AZ3105">
        <v>17.52</v>
      </c>
      <c r="BA3105">
        <v>15.48</v>
      </c>
      <c r="BB3105" t="s">
        <v>83</v>
      </c>
    </row>
    <row r="3106" spans="1:54" x14ac:dyDescent="0.4">
      <c r="A3106">
        <v>1094883</v>
      </c>
      <c r="D3106" t="s">
        <v>54</v>
      </c>
      <c r="G3106">
        <v>1</v>
      </c>
      <c r="H3106" t="s">
        <v>84</v>
      </c>
      <c r="I3106" t="s">
        <v>57</v>
      </c>
      <c r="K3106" t="s">
        <v>771</v>
      </c>
      <c r="L3106" t="s">
        <v>772</v>
      </c>
      <c r="M3106" t="s">
        <v>223</v>
      </c>
      <c r="P3106" t="s">
        <v>182</v>
      </c>
      <c r="R3106" t="s">
        <v>183</v>
      </c>
      <c r="S3106" t="s">
        <v>64</v>
      </c>
      <c r="T3106">
        <v>242</v>
      </c>
      <c r="U3106">
        <v>237</v>
      </c>
      <c r="V3106">
        <f t="shared" si="96"/>
        <v>239.5</v>
      </c>
      <c r="W3106">
        <f t="shared" si="97"/>
        <v>5</v>
      </c>
      <c r="X3106">
        <v>10.853611000000001</v>
      </c>
      <c r="Y3106">
        <v>52.220280000000002</v>
      </c>
      <c r="Z3106" t="s">
        <v>520</v>
      </c>
      <c r="AA3106" t="s">
        <v>211</v>
      </c>
      <c r="AE3106" t="s">
        <v>1378</v>
      </c>
      <c r="AH3106" t="s">
        <v>11</v>
      </c>
      <c r="AI3106" t="s">
        <v>4147</v>
      </c>
      <c r="AJ3106">
        <v>1996</v>
      </c>
      <c r="AK3106" t="s">
        <v>4195</v>
      </c>
      <c r="AN3106" t="s">
        <v>192</v>
      </c>
      <c r="AO3106" t="s">
        <v>77</v>
      </c>
      <c r="AP3106" t="s">
        <v>115</v>
      </c>
      <c r="AR3106" t="s">
        <v>80</v>
      </c>
      <c r="AS3106">
        <v>315</v>
      </c>
      <c r="AT3106" t="s">
        <v>81</v>
      </c>
      <c r="AU3106">
        <v>27.92</v>
      </c>
      <c r="AV3106">
        <v>31.96</v>
      </c>
      <c r="AW3106" t="s">
        <v>82</v>
      </c>
      <c r="AX3106">
        <v>315</v>
      </c>
      <c r="AY3106" t="s">
        <v>81</v>
      </c>
      <c r="AZ3106">
        <v>16.98</v>
      </c>
      <c r="BA3106">
        <v>18.45</v>
      </c>
      <c r="BB3106" t="s">
        <v>83</v>
      </c>
    </row>
    <row r="3107" spans="1:54" x14ac:dyDescent="0.4">
      <c r="A3107">
        <v>1094887</v>
      </c>
      <c r="D3107" t="s">
        <v>54</v>
      </c>
      <c r="G3107">
        <v>1</v>
      </c>
      <c r="H3107" t="s">
        <v>84</v>
      </c>
      <c r="I3107" t="s">
        <v>57</v>
      </c>
      <c r="K3107" t="s">
        <v>771</v>
      </c>
      <c r="L3107" t="s">
        <v>3368</v>
      </c>
      <c r="M3107" t="s">
        <v>223</v>
      </c>
      <c r="P3107" t="s">
        <v>182</v>
      </c>
      <c r="R3107" t="s">
        <v>183</v>
      </c>
      <c r="S3107" t="s">
        <v>64</v>
      </c>
      <c r="T3107">
        <v>242</v>
      </c>
      <c r="U3107">
        <v>237</v>
      </c>
      <c r="V3107">
        <f t="shared" si="96"/>
        <v>239.5</v>
      </c>
      <c r="W3107">
        <f t="shared" si="97"/>
        <v>5</v>
      </c>
      <c r="X3107">
        <v>9.3000000000000007</v>
      </c>
      <c r="Y3107">
        <v>46.02</v>
      </c>
      <c r="Z3107" t="s">
        <v>520</v>
      </c>
      <c r="AA3107" t="s">
        <v>593</v>
      </c>
      <c r="AD3107" t="s">
        <v>4196</v>
      </c>
      <c r="AE3107" t="s">
        <v>4197</v>
      </c>
      <c r="AF3107" t="s">
        <v>4140</v>
      </c>
      <c r="AH3107" t="s">
        <v>72</v>
      </c>
      <c r="AI3107" t="s">
        <v>2013</v>
      </c>
      <c r="AJ3107">
        <v>1998</v>
      </c>
      <c r="AK3107" t="s">
        <v>4198</v>
      </c>
      <c r="AN3107" t="s">
        <v>114</v>
      </c>
      <c r="AO3107">
        <v>2</v>
      </c>
      <c r="AP3107" t="s">
        <v>359</v>
      </c>
      <c r="AQ3107" t="s">
        <v>4198</v>
      </c>
      <c r="AR3107" t="s">
        <v>80</v>
      </c>
      <c r="AS3107">
        <v>307</v>
      </c>
      <c r="AT3107" t="s">
        <v>81</v>
      </c>
      <c r="AU3107">
        <v>33.85</v>
      </c>
      <c r="AV3107">
        <v>17.850000000000001</v>
      </c>
      <c r="AW3107" t="s">
        <v>82</v>
      </c>
      <c r="AX3107">
        <v>307</v>
      </c>
      <c r="AY3107" t="s">
        <v>81</v>
      </c>
      <c r="AZ3107">
        <v>20.87</v>
      </c>
      <c r="BA3107">
        <v>7.9</v>
      </c>
      <c r="BB3107" t="s">
        <v>83</v>
      </c>
    </row>
    <row r="3108" spans="1:54" x14ac:dyDescent="0.4">
      <c r="A3108">
        <v>1094888</v>
      </c>
      <c r="D3108" t="s">
        <v>54</v>
      </c>
      <c r="G3108">
        <v>2</v>
      </c>
      <c r="H3108" t="s">
        <v>84</v>
      </c>
      <c r="I3108" t="s">
        <v>57</v>
      </c>
      <c r="K3108" t="s">
        <v>771</v>
      </c>
      <c r="L3108" t="s">
        <v>3368</v>
      </c>
      <c r="M3108" t="s">
        <v>223</v>
      </c>
      <c r="P3108" t="s">
        <v>182</v>
      </c>
      <c r="R3108" t="s">
        <v>183</v>
      </c>
      <c r="S3108" t="s">
        <v>64</v>
      </c>
      <c r="T3108">
        <v>242</v>
      </c>
      <c r="U3108">
        <v>237</v>
      </c>
      <c r="V3108">
        <f t="shared" si="96"/>
        <v>239.5</v>
      </c>
      <c r="W3108">
        <f t="shared" si="97"/>
        <v>5</v>
      </c>
      <c r="X3108">
        <v>9.3977780000000006</v>
      </c>
      <c r="Y3108">
        <v>45.856667000000002</v>
      </c>
      <c r="Z3108" t="s">
        <v>520</v>
      </c>
      <c r="AA3108" t="s">
        <v>593</v>
      </c>
      <c r="AD3108" t="s">
        <v>4196</v>
      </c>
      <c r="AE3108" t="s">
        <v>4197</v>
      </c>
      <c r="AF3108" t="s">
        <v>4140</v>
      </c>
      <c r="AH3108" t="s">
        <v>72</v>
      </c>
      <c r="AI3108" t="s">
        <v>2013</v>
      </c>
      <c r="AJ3108">
        <v>1998</v>
      </c>
      <c r="AK3108" t="s">
        <v>4199</v>
      </c>
      <c r="AN3108" t="s">
        <v>192</v>
      </c>
      <c r="AO3108" t="s">
        <v>77</v>
      </c>
      <c r="AP3108" t="s">
        <v>359</v>
      </c>
      <c r="AR3108" t="s">
        <v>80</v>
      </c>
      <c r="AS3108">
        <v>307</v>
      </c>
      <c r="AT3108" t="s">
        <v>81</v>
      </c>
      <c r="AU3108">
        <v>33.729999999999997</v>
      </c>
      <c r="AV3108">
        <v>17.72</v>
      </c>
      <c r="AW3108" t="s">
        <v>82</v>
      </c>
      <c r="AX3108">
        <v>307</v>
      </c>
      <c r="AY3108" t="s">
        <v>81</v>
      </c>
      <c r="AZ3108">
        <v>20.83</v>
      </c>
      <c r="BA3108">
        <v>7.73</v>
      </c>
      <c r="BB3108" t="s">
        <v>83</v>
      </c>
    </row>
    <row r="3109" spans="1:54" x14ac:dyDescent="0.4">
      <c r="A3109">
        <v>1094892</v>
      </c>
      <c r="D3109" t="s">
        <v>54</v>
      </c>
      <c r="G3109">
        <v>1</v>
      </c>
      <c r="H3109" t="s">
        <v>84</v>
      </c>
      <c r="I3109" t="s">
        <v>57</v>
      </c>
      <c r="K3109" t="s">
        <v>771</v>
      </c>
      <c r="L3109" t="s">
        <v>3368</v>
      </c>
      <c r="M3109" t="s">
        <v>223</v>
      </c>
      <c r="P3109" t="s">
        <v>182</v>
      </c>
      <c r="R3109" t="s">
        <v>183</v>
      </c>
      <c r="S3109" t="s">
        <v>64</v>
      </c>
      <c r="T3109">
        <v>242</v>
      </c>
      <c r="U3109">
        <v>237</v>
      </c>
      <c r="V3109">
        <f t="shared" si="96"/>
        <v>239.5</v>
      </c>
      <c r="W3109">
        <f t="shared" si="97"/>
        <v>5</v>
      </c>
      <c r="X3109">
        <v>2.6697220000000002</v>
      </c>
      <c r="Y3109">
        <v>42.472777999999998</v>
      </c>
      <c r="Z3109" t="s">
        <v>520</v>
      </c>
      <c r="AA3109" t="s">
        <v>521</v>
      </c>
      <c r="AH3109" t="s">
        <v>72</v>
      </c>
      <c r="AI3109" t="s">
        <v>2013</v>
      </c>
      <c r="AJ3109">
        <v>1998</v>
      </c>
      <c r="AK3109" t="s">
        <v>4202</v>
      </c>
      <c r="AN3109" t="s">
        <v>192</v>
      </c>
      <c r="AO3109" t="s">
        <v>77</v>
      </c>
      <c r="AP3109" t="s">
        <v>115</v>
      </c>
      <c r="AR3109" t="s">
        <v>80</v>
      </c>
      <c r="AS3109">
        <v>304</v>
      </c>
      <c r="AT3109" t="s">
        <v>81</v>
      </c>
      <c r="AU3109">
        <v>24.64</v>
      </c>
      <c r="AV3109">
        <v>19.739999999999998</v>
      </c>
      <c r="AW3109" t="s">
        <v>82</v>
      </c>
      <c r="AX3109">
        <v>304</v>
      </c>
      <c r="AY3109" t="s">
        <v>81</v>
      </c>
      <c r="AZ3109">
        <v>16.309999999999999</v>
      </c>
      <c r="BA3109">
        <v>5.9</v>
      </c>
      <c r="BB3109" t="s">
        <v>83</v>
      </c>
    </row>
    <row r="3110" spans="1:54" x14ac:dyDescent="0.4">
      <c r="A3110">
        <v>1094893</v>
      </c>
      <c r="D3110" t="s">
        <v>54</v>
      </c>
      <c r="G3110">
        <v>1</v>
      </c>
      <c r="H3110" t="s">
        <v>84</v>
      </c>
      <c r="I3110" t="s">
        <v>57</v>
      </c>
      <c r="K3110" t="s">
        <v>771</v>
      </c>
      <c r="L3110" t="s">
        <v>3899</v>
      </c>
      <c r="M3110" t="s">
        <v>223</v>
      </c>
      <c r="P3110" t="s">
        <v>182</v>
      </c>
      <c r="R3110" t="s">
        <v>183</v>
      </c>
      <c r="S3110" t="s">
        <v>64</v>
      </c>
      <c r="T3110">
        <v>242</v>
      </c>
      <c r="U3110">
        <v>237</v>
      </c>
      <c r="V3110">
        <f t="shared" si="96"/>
        <v>239.5</v>
      </c>
      <c r="W3110">
        <f t="shared" si="97"/>
        <v>5</v>
      </c>
      <c r="X3110">
        <v>8.9291669999999996</v>
      </c>
      <c r="Y3110">
        <v>45.912224000000002</v>
      </c>
      <c r="Z3110" t="s">
        <v>520</v>
      </c>
      <c r="AA3110" t="s">
        <v>226</v>
      </c>
      <c r="AH3110" t="s">
        <v>72</v>
      </c>
      <c r="AI3110" t="s">
        <v>2013</v>
      </c>
      <c r="AJ3110">
        <v>1998</v>
      </c>
      <c r="AK3110" t="s">
        <v>4203</v>
      </c>
      <c r="AN3110" t="s">
        <v>114</v>
      </c>
      <c r="AO3110" t="s">
        <v>77</v>
      </c>
      <c r="AP3110" t="s">
        <v>115</v>
      </c>
      <c r="AR3110" t="s">
        <v>80</v>
      </c>
      <c r="AS3110">
        <v>307</v>
      </c>
      <c r="AT3110" t="s">
        <v>81</v>
      </c>
      <c r="AU3110">
        <v>33.630000000000003</v>
      </c>
      <c r="AV3110">
        <v>18.04</v>
      </c>
      <c r="AW3110" t="s">
        <v>82</v>
      </c>
      <c r="AX3110">
        <v>307</v>
      </c>
      <c r="AY3110" t="s">
        <v>81</v>
      </c>
      <c r="AZ3110">
        <v>20.6</v>
      </c>
      <c r="BA3110">
        <v>7.97</v>
      </c>
      <c r="BB3110" t="s">
        <v>83</v>
      </c>
    </row>
    <row r="3111" spans="1:54" x14ac:dyDescent="0.4">
      <c r="A3111">
        <v>1094894</v>
      </c>
      <c r="D3111" t="s">
        <v>54</v>
      </c>
      <c r="G3111">
        <v>1</v>
      </c>
      <c r="H3111" t="s">
        <v>84</v>
      </c>
      <c r="I3111" t="s">
        <v>57</v>
      </c>
      <c r="K3111" t="s">
        <v>755</v>
      </c>
      <c r="L3111" t="s">
        <v>756</v>
      </c>
      <c r="M3111" t="s">
        <v>223</v>
      </c>
      <c r="P3111" t="s">
        <v>182</v>
      </c>
      <c r="R3111" t="s">
        <v>183</v>
      </c>
      <c r="S3111" t="s">
        <v>64</v>
      </c>
      <c r="T3111">
        <v>242</v>
      </c>
      <c r="U3111">
        <v>237</v>
      </c>
      <c r="V3111">
        <f t="shared" si="96"/>
        <v>239.5</v>
      </c>
      <c r="W3111">
        <f t="shared" si="97"/>
        <v>5</v>
      </c>
      <c r="X3111">
        <v>9.6524999999999999</v>
      </c>
      <c r="Y3111">
        <v>48.088054999999997</v>
      </c>
      <c r="Z3111" t="s">
        <v>520</v>
      </c>
      <c r="AA3111" t="s">
        <v>211</v>
      </c>
      <c r="AB3111" t="s">
        <v>212</v>
      </c>
      <c r="AE3111" t="s">
        <v>4123</v>
      </c>
      <c r="AH3111" t="s">
        <v>11</v>
      </c>
      <c r="AI3111" t="s">
        <v>2013</v>
      </c>
      <c r="AJ3111">
        <v>1995</v>
      </c>
      <c r="AK3111" t="s">
        <v>4124</v>
      </c>
      <c r="AN3111" t="s">
        <v>192</v>
      </c>
      <c r="AO3111" t="s">
        <v>77</v>
      </c>
      <c r="AP3111" t="s">
        <v>115</v>
      </c>
      <c r="AR3111" t="s">
        <v>80</v>
      </c>
      <c r="AS3111">
        <v>305</v>
      </c>
      <c r="AT3111" t="s">
        <v>81</v>
      </c>
      <c r="AU3111">
        <v>28.31</v>
      </c>
      <c r="AV3111">
        <v>27.77</v>
      </c>
      <c r="AW3111" t="s">
        <v>82</v>
      </c>
      <c r="AX3111">
        <v>305</v>
      </c>
      <c r="AY3111" t="s">
        <v>81</v>
      </c>
      <c r="AZ3111">
        <v>18.18</v>
      </c>
      <c r="BA3111">
        <v>14.41</v>
      </c>
      <c r="BB3111" t="s">
        <v>83</v>
      </c>
    </row>
    <row r="3112" spans="1:54" x14ac:dyDescent="0.4">
      <c r="A3112">
        <v>1094895</v>
      </c>
      <c r="D3112" t="s">
        <v>54</v>
      </c>
      <c r="G3112">
        <v>1</v>
      </c>
      <c r="H3112" t="s">
        <v>84</v>
      </c>
      <c r="I3112" t="s">
        <v>57</v>
      </c>
      <c r="K3112" t="s">
        <v>1347</v>
      </c>
      <c r="L3112" t="s">
        <v>1348</v>
      </c>
      <c r="M3112" t="s">
        <v>223</v>
      </c>
      <c r="N3112" t="s">
        <v>485</v>
      </c>
      <c r="O3112" t="s">
        <v>1349</v>
      </c>
      <c r="P3112" t="s">
        <v>182</v>
      </c>
      <c r="R3112" t="s">
        <v>183</v>
      </c>
      <c r="S3112" t="s">
        <v>64</v>
      </c>
      <c r="T3112">
        <v>242</v>
      </c>
      <c r="U3112">
        <v>237</v>
      </c>
      <c r="V3112">
        <f t="shared" si="96"/>
        <v>239.5</v>
      </c>
      <c r="W3112">
        <f t="shared" si="97"/>
        <v>5</v>
      </c>
      <c r="X3112">
        <v>9.6524999999999999</v>
      </c>
      <c r="Y3112">
        <v>48.088054999999997</v>
      </c>
      <c r="Z3112" t="s">
        <v>520</v>
      </c>
      <c r="AA3112" t="s">
        <v>211</v>
      </c>
      <c r="AB3112" t="s">
        <v>212</v>
      </c>
      <c r="AE3112" t="s">
        <v>4123</v>
      </c>
      <c r="AH3112" t="s">
        <v>72</v>
      </c>
      <c r="AI3112" t="s">
        <v>2013</v>
      </c>
      <c r="AJ3112">
        <v>1995</v>
      </c>
      <c r="AK3112" t="s">
        <v>4124</v>
      </c>
      <c r="AN3112" t="s">
        <v>192</v>
      </c>
      <c r="AO3112" t="s">
        <v>77</v>
      </c>
      <c r="AP3112" t="s">
        <v>115</v>
      </c>
      <c r="AR3112" t="s">
        <v>80</v>
      </c>
      <c r="AS3112">
        <v>305</v>
      </c>
      <c r="AT3112" t="s">
        <v>81</v>
      </c>
      <c r="AU3112">
        <v>28.31</v>
      </c>
      <c r="AV3112">
        <v>27.77</v>
      </c>
      <c r="AW3112" t="s">
        <v>82</v>
      </c>
      <c r="AX3112">
        <v>305</v>
      </c>
      <c r="AY3112" t="s">
        <v>81</v>
      </c>
      <c r="AZ3112">
        <v>18.18</v>
      </c>
      <c r="BA3112">
        <v>14.41</v>
      </c>
      <c r="BB3112" t="s">
        <v>83</v>
      </c>
    </row>
    <row r="3113" spans="1:54" x14ac:dyDescent="0.4">
      <c r="A3113">
        <v>1094896</v>
      </c>
      <c r="D3113" t="s">
        <v>54</v>
      </c>
      <c r="G3113">
        <v>5</v>
      </c>
      <c r="H3113" t="s">
        <v>84</v>
      </c>
      <c r="I3113" t="s">
        <v>57</v>
      </c>
      <c r="K3113" t="s">
        <v>1347</v>
      </c>
      <c r="L3113" t="s">
        <v>1348</v>
      </c>
      <c r="M3113" t="s">
        <v>223</v>
      </c>
      <c r="N3113" t="s">
        <v>485</v>
      </c>
      <c r="O3113" t="s">
        <v>1349</v>
      </c>
      <c r="P3113" t="s">
        <v>182</v>
      </c>
      <c r="R3113" t="s">
        <v>183</v>
      </c>
      <c r="S3113" t="s">
        <v>64</v>
      </c>
      <c r="T3113">
        <v>242</v>
      </c>
      <c r="U3113">
        <v>237</v>
      </c>
      <c r="V3113">
        <f t="shared" si="96"/>
        <v>239.5</v>
      </c>
      <c r="W3113">
        <f t="shared" si="97"/>
        <v>5</v>
      </c>
      <c r="X3113">
        <v>11.568056</v>
      </c>
      <c r="Y3113">
        <v>50.088332999999999</v>
      </c>
      <c r="Z3113" t="s">
        <v>520</v>
      </c>
      <c r="AA3113" t="s">
        <v>211</v>
      </c>
      <c r="AB3113" t="s">
        <v>2654</v>
      </c>
      <c r="AC3113" t="s">
        <v>4127</v>
      </c>
      <c r="AE3113" t="s">
        <v>1378</v>
      </c>
      <c r="AG3113" t="s">
        <v>4128</v>
      </c>
      <c r="AH3113" t="s">
        <v>72</v>
      </c>
      <c r="AI3113" t="s">
        <v>2013</v>
      </c>
      <c r="AJ3113">
        <v>1995</v>
      </c>
      <c r="AK3113" t="s">
        <v>4129</v>
      </c>
      <c r="AN3113" t="s">
        <v>192</v>
      </c>
      <c r="AO3113" t="s">
        <v>77</v>
      </c>
      <c r="AP3113" t="s">
        <v>115</v>
      </c>
      <c r="AR3113" t="s">
        <v>80</v>
      </c>
      <c r="AS3113">
        <v>305</v>
      </c>
      <c r="AT3113" t="s">
        <v>81</v>
      </c>
      <c r="AU3113">
        <v>29.09</v>
      </c>
      <c r="AV3113">
        <v>30.03</v>
      </c>
      <c r="AW3113" t="s">
        <v>82</v>
      </c>
      <c r="AX3113">
        <v>305</v>
      </c>
      <c r="AY3113" t="s">
        <v>81</v>
      </c>
      <c r="AZ3113">
        <v>18.420000000000002</v>
      </c>
      <c r="BA3113">
        <v>16.760000000000002</v>
      </c>
      <c r="BB3113" t="s">
        <v>83</v>
      </c>
    </row>
    <row r="3114" spans="1:54" x14ac:dyDescent="0.4">
      <c r="A3114">
        <v>1094897</v>
      </c>
      <c r="D3114" t="s">
        <v>54</v>
      </c>
      <c r="G3114">
        <v>3</v>
      </c>
      <c r="H3114" t="s">
        <v>84</v>
      </c>
      <c r="I3114" t="s">
        <v>57</v>
      </c>
      <c r="K3114" t="s">
        <v>755</v>
      </c>
      <c r="L3114" t="s">
        <v>756</v>
      </c>
      <c r="M3114" t="s">
        <v>223</v>
      </c>
      <c r="P3114" t="s">
        <v>182</v>
      </c>
      <c r="R3114" t="s">
        <v>183</v>
      </c>
      <c r="S3114" t="s">
        <v>64</v>
      </c>
      <c r="T3114">
        <v>242</v>
      </c>
      <c r="U3114">
        <v>237</v>
      </c>
      <c r="V3114">
        <f t="shared" si="96"/>
        <v>239.5</v>
      </c>
      <c r="W3114">
        <f t="shared" si="97"/>
        <v>5</v>
      </c>
      <c r="X3114">
        <v>10.067500000000001</v>
      </c>
      <c r="Y3114">
        <v>49.152222000000002</v>
      </c>
      <c r="Z3114" t="s">
        <v>520</v>
      </c>
      <c r="AA3114" t="s">
        <v>211</v>
      </c>
      <c r="AE3114" t="s">
        <v>1378</v>
      </c>
      <c r="AH3114" t="s">
        <v>11</v>
      </c>
      <c r="AI3114" t="s">
        <v>2013</v>
      </c>
      <c r="AJ3114">
        <v>1995</v>
      </c>
      <c r="AK3114" t="s">
        <v>4151</v>
      </c>
      <c r="AM3114" t="s">
        <v>4152</v>
      </c>
      <c r="AN3114" t="s">
        <v>192</v>
      </c>
      <c r="AO3114" t="s">
        <v>77</v>
      </c>
      <c r="AP3114" t="s">
        <v>115</v>
      </c>
      <c r="AR3114" t="s">
        <v>80</v>
      </c>
      <c r="AS3114">
        <v>305</v>
      </c>
      <c r="AT3114" t="s">
        <v>81</v>
      </c>
      <c r="AU3114">
        <v>28.3</v>
      </c>
      <c r="AV3114">
        <v>28.87</v>
      </c>
      <c r="AW3114" t="s">
        <v>82</v>
      </c>
      <c r="AX3114">
        <v>305</v>
      </c>
      <c r="AY3114" t="s">
        <v>81</v>
      </c>
      <c r="AZ3114">
        <v>17.95</v>
      </c>
      <c r="BA3114">
        <v>15.49</v>
      </c>
      <c r="BB3114" t="s">
        <v>83</v>
      </c>
    </row>
    <row r="3115" spans="1:54" x14ac:dyDescent="0.4">
      <c r="A3115">
        <v>1094898</v>
      </c>
      <c r="D3115" t="s">
        <v>54</v>
      </c>
      <c r="E3115" t="s">
        <v>55</v>
      </c>
      <c r="G3115">
        <v>1</v>
      </c>
      <c r="H3115" t="s">
        <v>84</v>
      </c>
      <c r="I3115" t="s">
        <v>57</v>
      </c>
      <c r="K3115" t="s">
        <v>755</v>
      </c>
      <c r="L3115" t="s">
        <v>756</v>
      </c>
      <c r="M3115" t="s">
        <v>223</v>
      </c>
      <c r="P3115" t="s">
        <v>182</v>
      </c>
      <c r="R3115" t="s">
        <v>183</v>
      </c>
      <c r="S3115" t="s">
        <v>64</v>
      </c>
      <c r="T3115">
        <v>242</v>
      </c>
      <c r="U3115">
        <v>237</v>
      </c>
      <c r="V3115">
        <f t="shared" si="96"/>
        <v>239.5</v>
      </c>
      <c r="W3115">
        <f t="shared" si="97"/>
        <v>5</v>
      </c>
      <c r="X3115">
        <v>11.383333</v>
      </c>
      <c r="Y3115">
        <v>50.25</v>
      </c>
      <c r="Z3115" t="s">
        <v>602</v>
      </c>
      <c r="AA3115" t="s">
        <v>211</v>
      </c>
      <c r="AB3115" t="s">
        <v>953</v>
      </c>
      <c r="AE3115" t="s">
        <v>1378</v>
      </c>
      <c r="AH3115" t="s">
        <v>11</v>
      </c>
      <c r="AI3115" t="s">
        <v>2013</v>
      </c>
      <c r="AJ3115">
        <v>1995</v>
      </c>
      <c r="AK3115" t="s">
        <v>4204</v>
      </c>
      <c r="AN3115" t="s">
        <v>114</v>
      </c>
      <c r="AO3115" t="s">
        <v>160</v>
      </c>
      <c r="AP3115" t="s">
        <v>636</v>
      </c>
      <c r="AQ3115" t="s">
        <v>4205</v>
      </c>
      <c r="AR3115" t="s">
        <v>80</v>
      </c>
      <c r="AS3115">
        <v>305</v>
      </c>
      <c r="AT3115" t="s">
        <v>81</v>
      </c>
      <c r="AU3115">
        <v>28.91</v>
      </c>
      <c r="AV3115">
        <v>30.16</v>
      </c>
      <c r="AW3115" t="s">
        <v>82</v>
      </c>
      <c r="AX3115">
        <v>305</v>
      </c>
      <c r="AY3115" t="s">
        <v>81</v>
      </c>
      <c r="AZ3115">
        <v>18.23</v>
      </c>
      <c r="BA3115">
        <v>16.850000000000001</v>
      </c>
      <c r="BB3115" t="s">
        <v>83</v>
      </c>
    </row>
    <row r="3116" spans="1:54" x14ac:dyDescent="0.4">
      <c r="A3116">
        <v>1094899</v>
      </c>
      <c r="D3116" t="s">
        <v>54</v>
      </c>
      <c r="G3116">
        <v>1</v>
      </c>
      <c r="H3116" t="s">
        <v>84</v>
      </c>
      <c r="I3116" t="s">
        <v>57</v>
      </c>
      <c r="K3116" t="s">
        <v>755</v>
      </c>
      <c r="L3116" t="s">
        <v>756</v>
      </c>
      <c r="M3116" t="s">
        <v>223</v>
      </c>
      <c r="P3116" t="s">
        <v>182</v>
      </c>
      <c r="R3116" t="s">
        <v>183</v>
      </c>
      <c r="S3116" t="s">
        <v>64</v>
      </c>
      <c r="T3116">
        <v>242</v>
      </c>
      <c r="U3116">
        <v>237</v>
      </c>
      <c r="V3116">
        <f t="shared" si="96"/>
        <v>239.5</v>
      </c>
      <c r="W3116">
        <f t="shared" si="97"/>
        <v>5</v>
      </c>
      <c r="X3116">
        <v>9.1688890000000001</v>
      </c>
      <c r="Y3116">
        <v>48.834442000000003</v>
      </c>
      <c r="Z3116" t="s">
        <v>520</v>
      </c>
      <c r="AA3116" t="s">
        <v>211</v>
      </c>
      <c r="AE3116" t="s">
        <v>620</v>
      </c>
      <c r="AH3116" t="s">
        <v>11</v>
      </c>
      <c r="AI3116" t="s">
        <v>2013</v>
      </c>
      <c r="AJ3116">
        <v>1995</v>
      </c>
      <c r="AK3116" t="s">
        <v>4133</v>
      </c>
      <c r="AM3116" t="s">
        <v>4134</v>
      </c>
      <c r="AN3116" t="s">
        <v>192</v>
      </c>
      <c r="AO3116" t="s">
        <v>77</v>
      </c>
      <c r="AP3116" t="s">
        <v>115</v>
      </c>
      <c r="AR3116" t="s">
        <v>80</v>
      </c>
      <c r="AS3116">
        <v>305</v>
      </c>
      <c r="AT3116" t="s">
        <v>81</v>
      </c>
      <c r="AU3116">
        <v>27.74</v>
      </c>
      <c r="AV3116">
        <v>28.41</v>
      </c>
      <c r="AW3116" t="s">
        <v>82</v>
      </c>
      <c r="AX3116">
        <v>305</v>
      </c>
      <c r="AY3116" t="s">
        <v>81</v>
      </c>
      <c r="AZ3116">
        <v>17.54</v>
      </c>
      <c r="BA3116">
        <v>14.94</v>
      </c>
      <c r="BB3116" t="s">
        <v>83</v>
      </c>
    </row>
    <row r="3117" spans="1:54" x14ac:dyDescent="0.4">
      <c r="A3117">
        <v>1094900</v>
      </c>
      <c r="D3117" t="s">
        <v>54</v>
      </c>
      <c r="G3117">
        <v>1</v>
      </c>
      <c r="H3117" t="s">
        <v>56</v>
      </c>
      <c r="I3117" t="s">
        <v>57</v>
      </c>
      <c r="K3117" t="s">
        <v>1347</v>
      </c>
      <c r="L3117" t="s">
        <v>1348</v>
      </c>
      <c r="M3117" t="s">
        <v>223</v>
      </c>
      <c r="N3117" t="s">
        <v>485</v>
      </c>
      <c r="O3117" t="s">
        <v>1349</v>
      </c>
      <c r="P3117" t="s">
        <v>182</v>
      </c>
      <c r="R3117" t="s">
        <v>183</v>
      </c>
      <c r="S3117" t="s">
        <v>64</v>
      </c>
      <c r="T3117">
        <v>242</v>
      </c>
      <c r="U3117">
        <v>237</v>
      </c>
      <c r="V3117">
        <f t="shared" si="96"/>
        <v>239.5</v>
      </c>
      <c r="W3117">
        <f t="shared" si="97"/>
        <v>5</v>
      </c>
      <c r="X3117">
        <v>8.9086110000000005</v>
      </c>
      <c r="Y3117">
        <v>49.238888000000003</v>
      </c>
      <c r="Z3117" t="s">
        <v>520</v>
      </c>
      <c r="AA3117" t="s">
        <v>211</v>
      </c>
      <c r="AE3117" t="s">
        <v>1378</v>
      </c>
      <c r="AH3117" t="s">
        <v>72</v>
      </c>
      <c r="AI3117" t="s">
        <v>2013</v>
      </c>
      <c r="AJ3117">
        <v>1995</v>
      </c>
      <c r="AK3117" t="s">
        <v>4206</v>
      </c>
      <c r="AN3117" t="s">
        <v>192</v>
      </c>
      <c r="AO3117" t="s">
        <v>77</v>
      </c>
      <c r="AP3117" t="s">
        <v>115</v>
      </c>
      <c r="AR3117" t="s">
        <v>80</v>
      </c>
      <c r="AS3117">
        <v>305</v>
      </c>
      <c r="AT3117" t="s">
        <v>81</v>
      </c>
      <c r="AU3117">
        <v>27.44</v>
      </c>
      <c r="AV3117">
        <v>28.76</v>
      </c>
      <c r="AW3117" t="s">
        <v>82</v>
      </c>
      <c r="AX3117">
        <v>305</v>
      </c>
      <c r="AY3117" t="s">
        <v>81</v>
      </c>
      <c r="AZ3117">
        <v>17.2</v>
      </c>
      <c r="BA3117">
        <v>15.24</v>
      </c>
      <c r="BB3117" t="s">
        <v>83</v>
      </c>
    </row>
    <row r="3118" spans="1:54" x14ac:dyDescent="0.4">
      <c r="A3118">
        <v>1094903</v>
      </c>
      <c r="D3118" t="s">
        <v>54</v>
      </c>
      <c r="G3118">
        <v>3</v>
      </c>
      <c r="H3118" t="s">
        <v>84</v>
      </c>
      <c r="I3118" t="s">
        <v>57</v>
      </c>
      <c r="K3118" t="s">
        <v>1347</v>
      </c>
      <c r="L3118" t="s">
        <v>1348</v>
      </c>
      <c r="M3118" t="s">
        <v>223</v>
      </c>
      <c r="N3118" t="s">
        <v>485</v>
      </c>
      <c r="O3118" t="s">
        <v>1349</v>
      </c>
      <c r="P3118" t="s">
        <v>182</v>
      </c>
      <c r="R3118" t="s">
        <v>183</v>
      </c>
      <c r="S3118" t="s">
        <v>64</v>
      </c>
      <c r="T3118">
        <v>242</v>
      </c>
      <c r="U3118">
        <v>237</v>
      </c>
      <c r="V3118">
        <f t="shared" si="96"/>
        <v>239.5</v>
      </c>
      <c r="W3118">
        <f t="shared" si="97"/>
        <v>5</v>
      </c>
      <c r="X3118">
        <v>11.628610999999999</v>
      </c>
      <c r="Y3118">
        <v>51.088054999999997</v>
      </c>
      <c r="Z3118" t="s">
        <v>520</v>
      </c>
      <c r="AA3118" t="s">
        <v>211</v>
      </c>
      <c r="AB3118" t="s">
        <v>977</v>
      </c>
      <c r="AD3118" t="s">
        <v>3617</v>
      </c>
      <c r="AE3118" t="s">
        <v>1378</v>
      </c>
      <c r="AH3118" t="s">
        <v>72</v>
      </c>
      <c r="AI3118" t="s">
        <v>2013</v>
      </c>
      <c r="AJ3118">
        <v>1995</v>
      </c>
      <c r="AK3118" t="s">
        <v>4158</v>
      </c>
      <c r="AN3118" t="s">
        <v>192</v>
      </c>
      <c r="AO3118" t="s">
        <v>77</v>
      </c>
      <c r="AP3118" t="s">
        <v>115</v>
      </c>
      <c r="AQ3118" t="s">
        <v>4159</v>
      </c>
      <c r="AR3118" t="s">
        <v>80</v>
      </c>
      <c r="AS3118">
        <v>305</v>
      </c>
      <c r="AT3118" t="s">
        <v>81</v>
      </c>
      <c r="AU3118">
        <v>28.82</v>
      </c>
      <c r="AV3118">
        <v>31</v>
      </c>
      <c r="AW3118" t="s">
        <v>82</v>
      </c>
      <c r="AX3118">
        <v>305</v>
      </c>
      <c r="AY3118" t="s">
        <v>81</v>
      </c>
      <c r="AZ3118">
        <v>17.98</v>
      </c>
      <c r="BA3118">
        <v>17.670000000000002</v>
      </c>
      <c r="BB3118" t="s">
        <v>83</v>
      </c>
    </row>
    <row r="3119" spans="1:54" x14ac:dyDescent="0.4">
      <c r="A3119">
        <v>1094905</v>
      </c>
      <c r="D3119" t="s">
        <v>54</v>
      </c>
      <c r="G3119">
        <v>1</v>
      </c>
      <c r="H3119" t="s">
        <v>84</v>
      </c>
      <c r="I3119" t="s">
        <v>57</v>
      </c>
      <c r="K3119" t="s">
        <v>1347</v>
      </c>
      <c r="L3119" t="s">
        <v>1348</v>
      </c>
      <c r="M3119" t="s">
        <v>223</v>
      </c>
      <c r="N3119" t="s">
        <v>485</v>
      </c>
      <c r="O3119" t="s">
        <v>1349</v>
      </c>
      <c r="P3119" t="s">
        <v>182</v>
      </c>
      <c r="R3119" t="s">
        <v>183</v>
      </c>
      <c r="S3119" t="s">
        <v>64</v>
      </c>
      <c r="T3119">
        <v>242</v>
      </c>
      <c r="U3119">
        <v>237</v>
      </c>
      <c r="V3119">
        <f t="shared" si="96"/>
        <v>239.5</v>
      </c>
      <c r="W3119">
        <f t="shared" si="97"/>
        <v>5</v>
      </c>
      <c r="X3119">
        <v>7.6255559999999996</v>
      </c>
      <c r="Y3119">
        <v>51.951388999999999</v>
      </c>
      <c r="Z3119" t="s">
        <v>520</v>
      </c>
      <c r="AA3119" t="s">
        <v>211</v>
      </c>
      <c r="AE3119" t="s">
        <v>1378</v>
      </c>
      <c r="AH3119" t="s">
        <v>72</v>
      </c>
      <c r="AI3119" t="s">
        <v>2013</v>
      </c>
      <c r="AJ3119">
        <v>1995</v>
      </c>
      <c r="AK3119" t="s">
        <v>4208</v>
      </c>
      <c r="AN3119" t="s">
        <v>114</v>
      </c>
      <c r="AO3119" t="s">
        <v>77</v>
      </c>
      <c r="AP3119" t="s">
        <v>115</v>
      </c>
      <c r="AR3119" t="s">
        <v>80</v>
      </c>
      <c r="AS3119">
        <v>315</v>
      </c>
      <c r="AT3119" t="s">
        <v>81</v>
      </c>
      <c r="AU3119">
        <v>25.75</v>
      </c>
      <c r="AV3119">
        <v>31.19</v>
      </c>
      <c r="AW3119" t="s">
        <v>82</v>
      </c>
      <c r="AX3119">
        <v>315</v>
      </c>
      <c r="AY3119" t="s">
        <v>81</v>
      </c>
      <c r="AZ3119">
        <v>15.23</v>
      </c>
      <c r="BA3119">
        <v>17.34</v>
      </c>
      <c r="BB3119" t="s">
        <v>83</v>
      </c>
    </row>
    <row r="3120" spans="1:54" x14ac:dyDescent="0.4">
      <c r="A3120">
        <v>1094906</v>
      </c>
      <c r="D3120" t="s">
        <v>54</v>
      </c>
      <c r="E3120" t="s">
        <v>154</v>
      </c>
      <c r="G3120">
        <v>1</v>
      </c>
      <c r="H3120" t="s">
        <v>84</v>
      </c>
      <c r="I3120" t="s">
        <v>57</v>
      </c>
      <c r="K3120" t="s">
        <v>1347</v>
      </c>
      <c r="L3120" t="s">
        <v>1348</v>
      </c>
      <c r="M3120" t="s">
        <v>223</v>
      </c>
      <c r="N3120" t="s">
        <v>485</v>
      </c>
      <c r="O3120" t="s">
        <v>1349</v>
      </c>
      <c r="P3120" t="s">
        <v>182</v>
      </c>
      <c r="R3120" t="s">
        <v>183</v>
      </c>
      <c r="S3120" t="s">
        <v>64</v>
      </c>
      <c r="T3120">
        <v>242</v>
      </c>
      <c r="U3120">
        <v>237</v>
      </c>
      <c r="V3120">
        <f t="shared" si="96"/>
        <v>239.5</v>
      </c>
      <c r="W3120">
        <f t="shared" si="97"/>
        <v>5</v>
      </c>
      <c r="X3120">
        <v>10.066667000000001</v>
      </c>
      <c r="Y3120">
        <v>49.133330999999998</v>
      </c>
      <c r="Z3120" t="s">
        <v>602</v>
      </c>
      <c r="AA3120" t="s">
        <v>211</v>
      </c>
      <c r="AC3120" t="s">
        <v>212</v>
      </c>
      <c r="AE3120" t="s">
        <v>1378</v>
      </c>
      <c r="AH3120" t="s">
        <v>72</v>
      </c>
      <c r="AI3120" t="s">
        <v>2013</v>
      </c>
      <c r="AJ3120">
        <v>1995</v>
      </c>
      <c r="AK3120" t="s">
        <v>4144</v>
      </c>
      <c r="AN3120" t="s">
        <v>114</v>
      </c>
      <c r="AO3120" t="s">
        <v>160</v>
      </c>
      <c r="AP3120" t="s">
        <v>636</v>
      </c>
      <c r="AQ3120" t="s">
        <v>3527</v>
      </c>
      <c r="AR3120" t="s">
        <v>80</v>
      </c>
      <c r="AS3120">
        <v>305</v>
      </c>
      <c r="AT3120" t="s">
        <v>81</v>
      </c>
      <c r="AU3120">
        <v>28.31</v>
      </c>
      <c r="AV3120">
        <v>28.85</v>
      </c>
      <c r="AW3120" t="s">
        <v>82</v>
      </c>
      <c r="AX3120">
        <v>305</v>
      </c>
      <c r="AY3120" t="s">
        <v>81</v>
      </c>
      <c r="AZ3120">
        <v>17.96</v>
      </c>
      <c r="BA3120">
        <v>15.47</v>
      </c>
      <c r="BB3120" t="s">
        <v>83</v>
      </c>
    </row>
    <row r="3121" spans="1:54" x14ac:dyDescent="0.4">
      <c r="A3121">
        <v>1094908</v>
      </c>
      <c r="D3121" t="s">
        <v>54</v>
      </c>
      <c r="G3121">
        <v>1</v>
      </c>
      <c r="H3121" t="s">
        <v>84</v>
      </c>
      <c r="I3121" t="s">
        <v>57</v>
      </c>
      <c r="K3121" t="s">
        <v>1347</v>
      </c>
      <c r="L3121" t="s">
        <v>1348</v>
      </c>
      <c r="M3121" t="s">
        <v>223</v>
      </c>
      <c r="N3121" t="s">
        <v>485</v>
      </c>
      <c r="O3121" t="s">
        <v>1349</v>
      </c>
      <c r="P3121" t="s">
        <v>182</v>
      </c>
      <c r="R3121" t="s">
        <v>183</v>
      </c>
      <c r="S3121" t="s">
        <v>64</v>
      </c>
      <c r="T3121">
        <v>242</v>
      </c>
      <c r="U3121">
        <v>237</v>
      </c>
      <c r="V3121">
        <f t="shared" si="96"/>
        <v>239.5</v>
      </c>
      <c r="W3121">
        <f t="shared" si="97"/>
        <v>5</v>
      </c>
      <c r="X3121">
        <v>8.3127779999999998</v>
      </c>
      <c r="Y3121">
        <v>47.629443999999999</v>
      </c>
      <c r="Z3121" t="s">
        <v>124</v>
      </c>
      <c r="AA3121" t="s">
        <v>211</v>
      </c>
      <c r="AE3121" t="s">
        <v>1378</v>
      </c>
      <c r="AH3121" t="s">
        <v>72</v>
      </c>
      <c r="AI3121" t="s">
        <v>2013</v>
      </c>
      <c r="AJ3121">
        <v>1995</v>
      </c>
      <c r="AK3121" t="s">
        <v>4210</v>
      </c>
      <c r="AN3121" t="s">
        <v>192</v>
      </c>
      <c r="AO3121" t="s">
        <v>77</v>
      </c>
      <c r="AP3121" t="s">
        <v>115</v>
      </c>
      <c r="AR3121" t="s">
        <v>80</v>
      </c>
      <c r="AS3121">
        <v>305</v>
      </c>
      <c r="AT3121" t="s">
        <v>81</v>
      </c>
      <c r="AU3121">
        <v>27.45</v>
      </c>
      <c r="AV3121">
        <v>27.11</v>
      </c>
      <c r="AW3121" t="s">
        <v>82</v>
      </c>
      <c r="AX3121">
        <v>305</v>
      </c>
      <c r="AY3121" t="s">
        <v>81</v>
      </c>
      <c r="AZ3121">
        <v>17.54</v>
      </c>
      <c r="BA3121">
        <v>13.61</v>
      </c>
      <c r="BB3121" t="s">
        <v>83</v>
      </c>
    </row>
    <row r="3122" spans="1:54" x14ac:dyDescent="0.4">
      <c r="A3122">
        <v>1094915</v>
      </c>
      <c r="D3122" t="s">
        <v>54</v>
      </c>
      <c r="G3122">
        <v>1</v>
      </c>
      <c r="H3122" t="s">
        <v>84</v>
      </c>
      <c r="I3122" t="s">
        <v>57</v>
      </c>
      <c r="K3122" t="s">
        <v>1347</v>
      </c>
      <c r="L3122" t="s">
        <v>1348</v>
      </c>
      <c r="M3122" t="s">
        <v>223</v>
      </c>
      <c r="N3122" t="s">
        <v>485</v>
      </c>
      <c r="O3122" t="s">
        <v>1349</v>
      </c>
      <c r="P3122" t="s">
        <v>182</v>
      </c>
      <c r="R3122" t="s">
        <v>183</v>
      </c>
      <c r="S3122" t="s">
        <v>64</v>
      </c>
      <c r="T3122">
        <v>242</v>
      </c>
      <c r="U3122">
        <v>237</v>
      </c>
      <c r="V3122">
        <f t="shared" si="96"/>
        <v>239.5</v>
      </c>
      <c r="W3122">
        <f t="shared" si="97"/>
        <v>5</v>
      </c>
      <c r="X3122">
        <v>18.847778000000002</v>
      </c>
      <c r="Y3122">
        <v>50.440834000000002</v>
      </c>
      <c r="Z3122" t="s">
        <v>520</v>
      </c>
      <c r="AA3122" t="s">
        <v>697</v>
      </c>
      <c r="AE3122" t="s">
        <v>1378</v>
      </c>
      <c r="AH3122" t="s">
        <v>72</v>
      </c>
      <c r="AI3122" t="s">
        <v>2013</v>
      </c>
      <c r="AJ3122">
        <v>1995</v>
      </c>
      <c r="AK3122" t="s">
        <v>4213</v>
      </c>
      <c r="AM3122" t="s">
        <v>4214</v>
      </c>
      <c r="AN3122" t="s">
        <v>192</v>
      </c>
      <c r="AO3122" t="s">
        <v>77</v>
      </c>
      <c r="AP3122" t="s">
        <v>115</v>
      </c>
      <c r="AR3122" t="s">
        <v>80</v>
      </c>
      <c r="AS3122">
        <v>305</v>
      </c>
      <c r="AT3122" t="s">
        <v>81</v>
      </c>
      <c r="AU3122">
        <v>34.15</v>
      </c>
      <c r="AV3122">
        <v>31.74</v>
      </c>
      <c r="AW3122" t="s">
        <v>82</v>
      </c>
      <c r="AX3122">
        <v>305</v>
      </c>
      <c r="AY3122" t="s">
        <v>81</v>
      </c>
      <c r="AZ3122">
        <v>22.51</v>
      </c>
      <c r="BA3122">
        <v>19.34</v>
      </c>
      <c r="BB3122" t="s">
        <v>83</v>
      </c>
    </row>
    <row r="3123" spans="1:54" x14ac:dyDescent="0.4">
      <c r="A3123">
        <v>1094916</v>
      </c>
      <c r="D3123" t="s">
        <v>54</v>
      </c>
      <c r="G3123">
        <v>1</v>
      </c>
      <c r="H3123" t="s">
        <v>84</v>
      </c>
      <c r="I3123" t="s">
        <v>57</v>
      </c>
      <c r="K3123" t="s">
        <v>1347</v>
      </c>
      <c r="L3123" t="s">
        <v>1348</v>
      </c>
      <c r="M3123" t="s">
        <v>223</v>
      </c>
      <c r="N3123" t="s">
        <v>485</v>
      </c>
      <c r="O3123" t="s">
        <v>1349</v>
      </c>
      <c r="P3123" t="s">
        <v>182</v>
      </c>
      <c r="R3123" t="s">
        <v>183</v>
      </c>
      <c r="S3123" t="s">
        <v>64</v>
      </c>
      <c r="T3123">
        <v>242</v>
      </c>
      <c r="U3123">
        <v>237</v>
      </c>
      <c r="V3123">
        <f t="shared" si="96"/>
        <v>239.5</v>
      </c>
      <c r="W3123">
        <f t="shared" si="97"/>
        <v>5</v>
      </c>
      <c r="X3123">
        <v>19.116388000000001</v>
      </c>
      <c r="Y3123">
        <v>54.281666000000001</v>
      </c>
      <c r="Z3123" t="s">
        <v>520</v>
      </c>
      <c r="AA3123" t="s">
        <v>697</v>
      </c>
      <c r="AE3123" t="s">
        <v>1378</v>
      </c>
      <c r="AH3123" t="s">
        <v>72</v>
      </c>
      <c r="AI3123" t="s">
        <v>2013</v>
      </c>
      <c r="AJ3123">
        <v>1995</v>
      </c>
      <c r="AK3123" t="s">
        <v>4215</v>
      </c>
      <c r="AN3123" t="s">
        <v>192</v>
      </c>
      <c r="AO3123" t="s">
        <v>77</v>
      </c>
      <c r="AP3123" t="s">
        <v>115</v>
      </c>
      <c r="AR3123" t="s">
        <v>80</v>
      </c>
      <c r="AS3123">
        <v>302</v>
      </c>
      <c r="AT3123" t="s">
        <v>81</v>
      </c>
      <c r="AU3123">
        <v>32.82</v>
      </c>
      <c r="AV3123">
        <v>35.43</v>
      </c>
      <c r="AW3123" t="s">
        <v>82</v>
      </c>
      <c r="AX3123">
        <v>301</v>
      </c>
      <c r="AY3123" t="s">
        <v>81</v>
      </c>
      <c r="AZ3123">
        <v>20.48</v>
      </c>
      <c r="BA3123">
        <v>22.69</v>
      </c>
      <c r="BB3123" t="s">
        <v>83</v>
      </c>
    </row>
    <row r="3124" spans="1:54" x14ac:dyDescent="0.4">
      <c r="A3124">
        <v>1094917</v>
      </c>
      <c r="D3124" t="s">
        <v>54</v>
      </c>
      <c r="G3124">
        <v>2</v>
      </c>
      <c r="H3124" t="s">
        <v>84</v>
      </c>
      <c r="I3124" t="s">
        <v>57</v>
      </c>
      <c r="K3124" t="s">
        <v>1347</v>
      </c>
      <c r="L3124" t="s">
        <v>1348</v>
      </c>
      <c r="M3124" t="s">
        <v>223</v>
      </c>
      <c r="N3124" t="s">
        <v>485</v>
      </c>
      <c r="O3124" t="s">
        <v>1349</v>
      </c>
      <c r="P3124" t="s">
        <v>182</v>
      </c>
      <c r="R3124" t="s">
        <v>183</v>
      </c>
      <c r="S3124" t="s">
        <v>64</v>
      </c>
      <c r="T3124">
        <v>242</v>
      </c>
      <c r="U3124">
        <v>237</v>
      </c>
      <c r="V3124">
        <f t="shared" si="96"/>
        <v>239.5</v>
      </c>
      <c r="W3124">
        <f t="shared" si="97"/>
        <v>5</v>
      </c>
      <c r="X3124">
        <v>13.783333000000001</v>
      </c>
      <c r="Y3124">
        <v>52.466667000000001</v>
      </c>
      <c r="Z3124" t="s">
        <v>520</v>
      </c>
      <c r="AA3124" t="s">
        <v>211</v>
      </c>
      <c r="AE3124" t="s">
        <v>1378</v>
      </c>
      <c r="AH3124" t="s">
        <v>72</v>
      </c>
      <c r="AI3124" t="s">
        <v>2013</v>
      </c>
      <c r="AJ3124">
        <v>1995</v>
      </c>
      <c r="AK3124" t="s">
        <v>4143</v>
      </c>
      <c r="AM3124" t="s">
        <v>4114</v>
      </c>
      <c r="AN3124" t="s">
        <v>192</v>
      </c>
      <c r="AO3124" t="s">
        <v>77</v>
      </c>
      <c r="AP3124" t="s">
        <v>115</v>
      </c>
      <c r="AR3124" t="s">
        <v>80</v>
      </c>
      <c r="AS3124">
        <v>315</v>
      </c>
      <c r="AT3124" t="s">
        <v>81</v>
      </c>
      <c r="AU3124">
        <v>29.87</v>
      </c>
      <c r="AV3124">
        <v>32.700000000000003</v>
      </c>
      <c r="AW3124" t="s">
        <v>82</v>
      </c>
      <c r="AX3124">
        <v>315</v>
      </c>
      <c r="AY3124" t="s">
        <v>81</v>
      </c>
      <c r="AZ3124">
        <v>18.54</v>
      </c>
      <c r="BA3124">
        <v>19.510000000000002</v>
      </c>
      <c r="BB3124" t="s">
        <v>83</v>
      </c>
    </row>
    <row r="3125" spans="1:54" x14ac:dyDescent="0.4">
      <c r="A3125">
        <v>1094919</v>
      </c>
      <c r="D3125" t="s">
        <v>54</v>
      </c>
      <c r="G3125">
        <v>2</v>
      </c>
      <c r="H3125" t="s">
        <v>84</v>
      </c>
      <c r="I3125" t="s">
        <v>57</v>
      </c>
      <c r="K3125" t="s">
        <v>1347</v>
      </c>
      <c r="L3125" t="s">
        <v>1348</v>
      </c>
      <c r="M3125" t="s">
        <v>223</v>
      </c>
      <c r="N3125" t="s">
        <v>485</v>
      </c>
      <c r="O3125" t="s">
        <v>1349</v>
      </c>
      <c r="P3125" t="s">
        <v>182</v>
      </c>
      <c r="R3125" t="s">
        <v>183</v>
      </c>
      <c r="S3125" t="s">
        <v>64</v>
      </c>
      <c r="T3125">
        <v>242</v>
      </c>
      <c r="U3125">
        <v>237</v>
      </c>
      <c r="V3125">
        <f t="shared" si="96"/>
        <v>239.5</v>
      </c>
      <c r="W3125">
        <f t="shared" si="97"/>
        <v>5</v>
      </c>
      <c r="X3125">
        <v>11.589167</v>
      </c>
      <c r="Y3125">
        <v>50.926945000000003</v>
      </c>
      <c r="Z3125" t="s">
        <v>520</v>
      </c>
      <c r="AA3125" t="s">
        <v>211</v>
      </c>
      <c r="AE3125" t="s">
        <v>1378</v>
      </c>
      <c r="AH3125" t="s">
        <v>72</v>
      </c>
      <c r="AI3125" t="s">
        <v>2013</v>
      </c>
      <c r="AJ3125">
        <v>1995</v>
      </c>
      <c r="AK3125" t="s">
        <v>3622</v>
      </c>
      <c r="AN3125" t="s">
        <v>192</v>
      </c>
      <c r="AO3125" t="s">
        <v>77</v>
      </c>
      <c r="AP3125" t="s">
        <v>115</v>
      </c>
      <c r="AR3125" t="s">
        <v>80</v>
      </c>
      <c r="AS3125">
        <v>305</v>
      </c>
      <c r="AT3125" t="s">
        <v>81</v>
      </c>
      <c r="AU3125">
        <v>28.84</v>
      </c>
      <c r="AV3125">
        <v>30.84</v>
      </c>
      <c r="AW3125" t="s">
        <v>82</v>
      </c>
      <c r="AX3125">
        <v>305</v>
      </c>
      <c r="AY3125" t="s">
        <v>81</v>
      </c>
      <c r="AZ3125">
        <v>18.03</v>
      </c>
      <c r="BA3125">
        <v>17.510000000000002</v>
      </c>
      <c r="BB3125" t="s">
        <v>83</v>
      </c>
    </row>
    <row r="3126" spans="1:54" x14ac:dyDescent="0.4">
      <c r="A3126">
        <v>1095298</v>
      </c>
      <c r="D3126" t="s">
        <v>54</v>
      </c>
      <c r="G3126">
        <v>1</v>
      </c>
      <c r="H3126" t="s">
        <v>84</v>
      </c>
      <c r="I3126" t="s">
        <v>57</v>
      </c>
      <c r="K3126" t="s">
        <v>755</v>
      </c>
      <c r="L3126" t="s">
        <v>756</v>
      </c>
      <c r="M3126" t="s">
        <v>223</v>
      </c>
      <c r="P3126" t="s">
        <v>182</v>
      </c>
      <c r="R3126" t="s">
        <v>183</v>
      </c>
      <c r="S3126" t="s">
        <v>64</v>
      </c>
      <c r="T3126">
        <v>242</v>
      </c>
      <c r="U3126">
        <v>237</v>
      </c>
      <c r="V3126">
        <f t="shared" si="96"/>
        <v>239.5</v>
      </c>
      <c r="W3126">
        <f t="shared" si="97"/>
        <v>5</v>
      </c>
      <c r="X3126">
        <v>18.847778000000002</v>
      </c>
      <c r="Y3126">
        <v>50.440834000000002</v>
      </c>
      <c r="Z3126" t="s">
        <v>520</v>
      </c>
      <c r="AA3126" t="s">
        <v>697</v>
      </c>
      <c r="AE3126" t="s">
        <v>1378</v>
      </c>
      <c r="AH3126" t="s">
        <v>72</v>
      </c>
      <c r="AI3126" t="s">
        <v>2288</v>
      </c>
      <c r="AJ3126">
        <v>1884</v>
      </c>
      <c r="AK3126" t="s">
        <v>4213</v>
      </c>
      <c r="AM3126" t="s">
        <v>4214</v>
      </c>
      <c r="AN3126" t="s">
        <v>192</v>
      </c>
      <c r="AO3126" t="s">
        <v>77</v>
      </c>
      <c r="AP3126" t="s">
        <v>115</v>
      </c>
      <c r="AR3126" t="s">
        <v>80</v>
      </c>
      <c r="AS3126">
        <v>305</v>
      </c>
      <c r="AT3126" t="s">
        <v>81</v>
      </c>
      <c r="AU3126">
        <v>34.15</v>
      </c>
      <c r="AV3126">
        <v>31.74</v>
      </c>
      <c r="AW3126" t="s">
        <v>82</v>
      </c>
      <c r="AX3126">
        <v>305</v>
      </c>
      <c r="AY3126" t="s">
        <v>81</v>
      </c>
      <c r="AZ3126">
        <v>22.51</v>
      </c>
      <c r="BA3126">
        <v>19.34</v>
      </c>
      <c r="BB3126" t="s">
        <v>83</v>
      </c>
    </row>
    <row r="3127" spans="1:54" x14ac:dyDescent="0.4">
      <c r="A3127">
        <v>1095299</v>
      </c>
      <c r="D3127" t="s">
        <v>54</v>
      </c>
      <c r="I3127" t="s">
        <v>57</v>
      </c>
      <c r="K3127" t="s">
        <v>755</v>
      </c>
      <c r="L3127" t="s">
        <v>756</v>
      </c>
      <c r="M3127" t="s">
        <v>223</v>
      </c>
      <c r="P3127" t="s">
        <v>182</v>
      </c>
      <c r="R3127" t="s">
        <v>183</v>
      </c>
      <c r="S3127" t="s">
        <v>64</v>
      </c>
      <c r="T3127">
        <v>242</v>
      </c>
      <c r="U3127">
        <v>237</v>
      </c>
      <c r="V3127">
        <f t="shared" si="96"/>
        <v>239.5</v>
      </c>
      <c r="W3127">
        <f t="shared" si="97"/>
        <v>5</v>
      </c>
      <c r="X3127">
        <v>6.4059879999999998</v>
      </c>
      <c r="Y3127">
        <v>48.555827999999998</v>
      </c>
      <c r="Z3127" t="s">
        <v>520</v>
      </c>
      <c r="AA3127" t="s">
        <v>521</v>
      </c>
      <c r="AB3127" t="s">
        <v>4130</v>
      </c>
      <c r="AC3127" t="s">
        <v>3095</v>
      </c>
      <c r="AE3127" t="s">
        <v>1378</v>
      </c>
      <c r="AH3127" t="s">
        <v>11</v>
      </c>
      <c r="AI3127" t="s">
        <v>3592</v>
      </c>
      <c r="AJ3127">
        <v>1999</v>
      </c>
      <c r="AK3127" t="s">
        <v>4131</v>
      </c>
      <c r="AN3127" t="s">
        <v>192</v>
      </c>
      <c r="AO3127">
        <v>6</v>
      </c>
      <c r="AP3127" t="s">
        <v>115</v>
      </c>
      <c r="AQ3127" t="s">
        <v>4132</v>
      </c>
      <c r="AR3127" t="s">
        <v>80</v>
      </c>
      <c r="AS3127">
        <v>305</v>
      </c>
      <c r="AT3127" t="s">
        <v>81</v>
      </c>
      <c r="AU3127">
        <v>25.81</v>
      </c>
      <c r="AV3127">
        <v>27.7</v>
      </c>
      <c r="AW3127" t="s">
        <v>82</v>
      </c>
      <c r="AX3127">
        <v>305</v>
      </c>
      <c r="AY3127" t="s">
        <v>81</v>
      </c>
      <c r="AZ3127">
        <v>15.95</v>
      </c>
      <c r="BA3127">
        <v>13.93</v>
      </c>
      <c r="BB3127" t="s">
        <v>83</v>
      </c>
    </row>
    <row r="3128" spans="1:54" x14ac:dyDescent="0.4">
      <c r="A3128">
        <v>1095302</v>
      </c>
      <c r="D3128" t="s">
        <v>54</v>
      </c>
      <c r="E3128" t="s">
        <v>154</v>
      </c>
      <c r="G3128">
        <v>5</v>
      </c>
      <c r="H3128" t="s">
        <v>84</v>
      </c>
      <c r="I3128" t="s">
        <v>57</v>
      </c>
      <c r="K3128" t="s">
        <v>755</v>
      </c>
      <c r="L3128" t="s">
        <v>756</v>
      </c>
      <c r="M3128" t="s">
        <v>223</v>
      </c>
      <c r="P3128" t="s">
        <v>182</v>
      </c>
      <c r="R3128" t="s">
        <v>183</v>
      </c>
      <c r="S3128" t="s">
        <v>64</v>
      </c>
      <c r="T3128">
        <v>242</v>
      </c>
      <c r="U3128">
        <v>237</v>
      </c>
      <c r="V3128">
        <f t="shared" si="96"/>
        <v>239.5</v>
      </c>
      <c r="W3128">
        <f t="shared" si="97"/>
        <v>5</v>
      </c>
      <c r="X3128">
        <v>10.066667000000001</v>
      </c>
      <c r="Y3128">
        <v>49.133330999999998</v>
      </c>
      <c r="Z3128" t="s">
        <v>602</v>
      </c>
      <c r="AA3128" t="s">
        <v>211</v>
      </c>
      <c r="AC3128" t="s">
        <v>212</v>
      </c>
      <c r="AE3128" t="s">
        <v>1378</v>
      </c>
      <c r="AH3128" t="s">
        <v>72</v>
      </c>
      <c r="AI3128" t="s">
        <v>2013</v>
      </c>
      <c r="AJ3128">
        <v>2001</v>
      </c>
      <c r="AK3128" t="s">
        <v>4144</v>
      </c>
      <c r="AN3128" t="s">
        <v>114</v>
      </c>
      <c r="AO3128" t="s">
        <v>160</v>
      </c>
      <c r="AP3128" t="s">
        <v>636</v>
      </c>
      <c r="AQ3128" t="s">
        <v>3527</v>
      </c>
      <c r="AR3128" t="s">
        <v>80</v>
      </c>
      <c r="AS3128">
        <v>305</v>
      </c>
      <c r="AT3128" t="s">
        <v>81</v>
      </c>
      <c r="AU3128">
        <v>28.31</v>
      </c>
      <c r="AV3128">
        <v>28.85</v>
      </c>
      <c r="AW3128" t="s">
        <v>82</v>
      </c>
      <c r="AX3128">
        <v>305</v>
      </c>
      <c r="AY3128" t="s">
        <v>81</v>
      </c>
      <c r="AZ3128">
        <v>17.96</v>
      </c>
      <c r="BA3128">
        <v>15.47</v>
      </c>
      <c r="BB3128" t="s">
        <v>83</v>
      </c>
    </row>
    <row r="3129" spans="1:54" x14ac:dyDescent="0.4">
      <c r="A3129">
        <v>1106820</v>
      </c>
      <c r="D3129" t="s">
        <v>54</v>
      </c>
      <c r="I3129" t="s">
        <v>57</v>
      </c>
      <c r="K3129" t="s">
        <v>141</v>
      </c>
      <c r="L3129" t="s">
        <v>1043</v>
      </c>
      <c r="M3129" t="s">
        <v>60</v>
      </c>
      <c r="P3129" t="s">
        <v>182</v>
      </c>
      <c r="R3129" t="s">
        <v>183</v>
      </c>
      <c r="S3129" t="s">
        <v>64</v>
      </c>
      <c r="T3129">
        <v>242</v>
      </c>
      <c r="U3129">
        <v>237</v>
      </c>
      <c r="V3129">
        <f t="shared" si="96"/>
        <v>239.5</v>
      </c>
      <c r="W3129">
        <f t="shared" si="97"/>
        <v>5</v>
      </c>
      <c r="X3129">
        <v>6.4059879999999998</v>
      </c>
      <c r="Y3129">
        <v>48.555827999999998</v>
      </c>
      <c r="Z3129" t="s">
        <v>520</v>
      </c>
      <c r="AA3129" t="s">
        <v>521</v>
      </c>
      <c r="AB3129" t="s">
        <v>4130</v>
      </c>
      <c r="AC3129" t="s">
        <v>3095</v>
      </c>
      <c r="AE3129" t="s">
        <v>1378</v>
      </c>
      <c r="AH3129" t="s">
        <v>11</v>
      </c>
      <c r="AI3129" t="s">
        <v>693</v>
      </c>
      <c r="AJ3129">
        <v>1905</v>
      </c>
      <c r="AK3129" t="s">
        <v>4131</v>
      </c>
      <c r="AN3129" t="s">
        <v>192</v>
      </c>
      <c r="AO3129">
        <v>6</v>
      </c>
      <c r="AP3129" t="s">
        <v>115</v>
      </c>
      <c r="AQ3129" t="s">
        <v>4132</v>
      </c>
      <c r="AR3129" t="s">
        <v>80</v>
      </c>
      <c r="AS3129">
        <v>305</v>
      </c>
      <c r="AT3129" t="s">
        <v>81</v>
      </c>
      <c r="AU3129">
        <v>25.81</v>
      </c>
      <c r="AV3129">
        <v>27.7</v>
      </c>
      <c r="AW3129" t="s">
        <v>82</v>
      </c>
      <c r="AX3129">
        <v>305</v>
      </c>
      <c r="AY3129" t="s">
        <v>81</v>
      </c>
      <c r="AZ3129">
        <v>15.95</v>
      </c>
      <c r="BA3129">
        <v>13.93</v>
      </c>
      <c r="BB3129" t="s">
        <v>83</v>
      </c>
    </row>
    <row r="3130" spans="1:54" x14ac:dyDescent="0.4">
      <c r="A3130">
        <v>1127579</v>
      </c>
      <c r="D3130" t="s">
        <v>54</v>
      </c>
      <c r="G3130">
        <v>1</v>
      </c>
      <c r="H3130" t="s">
        <v>421</v>
      </c>
      <c r="I3130" t="s">
        <v>57</v>
      </c>
      <c r="K3130" t="s">
        <v>1957</v>
      </c>
      <c r="L3130" t="s">
        <v>3224</v>
      </c>
      <c r="M3130" t="s">
        <v>60</v>
      </c>
      <c r="P3130" t="s">
        <v>182</v>
      </c>
      <c r="R3130" t="s">
        <v>183</v>
      </c>
      <c r="S3130" t="s">
        <v>64</v>
      </c>
      <c r="T3130">
        <v>242</v>
      </c>
      <c r="U3130">
        <v>237</v>
      </c>
      <c r="V3130">
        <f t="shared" si="96"/>
        <v>239.5</v>
      </c>
      <c r="W3130">
        <f t="shared" si="97"/>
        <v>5</v>
      </c>
      <c r="X3130">
        <v>58.616669000000002</v>
      </c>
      <c r="Y3130">
        <v>65.116669000000002</v>
      </c>
      <c r="Z3130" t="s">
        <v>124</v>
      </c>
      <c r="AA3130" t="s">
        <v>239</v>
      </c>
      <c r="AB3130" t="s">
        <v>630</v>
      </c>
      <c r="AC3130" t="s">
        <v>4347</v>
      </c>
      <c r="AD3130" t="s">
        <v>4348</v>
      </c>
      <c r="AH3130" t="s">
        <v>72</v>
      </c>
      <c r="AI3130" t="s">
        <v>612</v>
      </c>
      <c r="AJ3130">
        <v>2005</v>
      </c>
      <c r="AK3130" t="s">
        <v>4349</v>
      </c>
      <c r="AN3130" t="s">
        <v>114</v>
      </c>
      <c r="AO3130" t="s">
        <v>160</v>
      </c>
      <c r="AP3130" t="s">
        <v>115</v>
      </c>
      <c r="AR3130" t="s">
        <v>80</v>
      </c>
      <c r="AS3130">
        <v>302</v>
      </c>
      <c r="AT3130" t="s">
        <v>81</v>
      </c>
      <c r="AU3130">
        <v>49.09</v>
      </c>
      <c r="AV3130">
        <v>54.52</v>
      </c>
      <c r="AW3130" t="s">
        <v>82</v>
      </c>
      <c r="AX3130">
        <v>301</v>
      </c>
      <c r="AY3130" t="s">
        <v>81</v>
      </c>
      <c r="AZ3130">
        <v>27.17</v>
      </c>
      <c r="BA3130">
        <v>44.16</v>
      </c>
      <c r="BB3130" t="s">
        <v>83</v>
      </c>
    </row>
    <row r="3131" spans="1:54" x14ac:dyDescent="0.4">
      <c r="A3131">
        <v>1163463</v>
      </c>
      <c r="D3131" t="s">
        <v>54</v>
      </c>
      <c r="I3131" t="s">
        <v>57</v>
      </c>
      <c r="K3131" t="s">
        <v>2470</v>
      </c>
      <c r="L3131" t="s">
        <v>2471</v>
      </c>
      <c r="M3131" t="s">
        <v>223</v>
      </c>
      <c r="P3131" t="s">
        <v>182</v>
      </c>
      <c r="R3131" t="s">
        <v>183</v>
      </c>
      <c r="S3131" t="s">
        <v>64</v>
      </c>
      <c r="T3131">
        <v>242</v>
      </c>
      <c r="U3131">
        <v>237</v>
      </c>
      <c r="V3131">
        <f t="shared" si="96"/>
        <v>239.5</v>
      </c>
      <c r="W3131">
        <f t="shared" si="97"/>
        <v>5</v>
      </c>
      <c r="X3131">
        <v>44.244999</v>
      </c>
      <c r="Y3131">
        <v>26.389999</v>
      </c>
      <c r="Z3131" t="s">
        <v>1251</v>
      </c>
      <c r="AA3131" t="s">
        <v>4445</v>
      </c>
      <c r="AD3131" t="s">
        <v>4446</v>
      </c>
      <c r="AH3131" t="s">
        <v>11</v>
      </c>
      <c r="AI3131" t="s">
        <v>4447</v>
      </c>
      <c r="AJ3131">
        <v>1999</v>
      </c>
      <c r="AK3131" t="s">
        <v>4448</v>
      </c>
      <c r="AO3131">
        <v>2</v>
      </c>
      <c r="AQ3131" t="s">
        <v>4449</v>
      </c>
      <c r="AR3131" t="s">
        <v>80</v>
      </c>
      <c r="AS3131">
        <v>503</v>
      </c>
      <c r="AT3131" t="s">
        <v>81</v>
      </c>
      <c r="AU3131">
        <v>43.43</v>
      </c>
      <c r="AV3131">
        <v>-10.54</v>
      </c>
      <c r="AW3131" t="s">
        <v>82</v>
      </c>
      <c r="AX3131">
        <v>503</v>
      </c>
      <c r="AY3131" t="s">
        <v>81</v>
      </c>
      <c r="AZ3131">
        <v>41.19</v>
      </c>
      <c r="BA3131">
        <v>-19.79</v>
      </c>
      <c r="BB3131" t="s">
        <v>83</v>
      </c>
    </row>
    <row r="3132" spans="1:54" x14ac:dyDescent="0.4">
      <c r="A3132">
        <v>1163464</v>
      </c>
      <c r="D3132" t="s">
        <v>54</v>
      </c>
      <c r="I3132" t="s">
        <v>57</v>
      </c>
      <c r="K3132" t="s">
        <v>771</v>
      </c>
      <c r="L3132" t="s">
        <v>772</v>
      </c>
      <c r="M3132" t="s">
        <v>223</v>
      </c>
      <c r="P3132" t="s">
        <v>182</v>
      </c>
      <c r="R3132" t="s">
        <v>183</v>
      </c>
      <c r="S3132" t="s">
        <v>64</v>
      </c>
      <c r="T3132">
        <v>242</v>
      </c>
      <c r="U3132">
        <v>237</v>
      </c>
      <c r="V3132">
        <f t="shared" si="96"/>
        <v>239.5</v>
      </c>
      <c r="W3132">
        <f t="shared" si="97"/>
        <v>5</v>
      </c>
      <c r="X3132">
        <v>44.244999</v>
      </c>
      <c r="Y3132">
        <v>26.389999</v>
      </c>
      <c r="Z3132" t="s">
        <v>1251</v>
      </c>
      <c r="AA3132" t="s">
        <v>4445</v>
      </c>
      <c r="AD3132" t="s">
        <v>4446</v>
      </c>
      <c r="AH3132" t="s">
        <v>11</v>
      </c>
      <c r="AI3132" t="s">
        <v>4447</v>
      </c>
      <c r="AJ3132">
        <v>1999</v>
      </c>
      <c r="AK3132" t="s">
        <v>4448</v>
      </c>
      <c r="AO3132">
        <v>2</v>
      </c>
      <c r="AQ3132" t="s">
        <v>4449</v>
      </c>
      <c r="AR3132" t="s">
        <v>80</v>
      </c>
      <c r="AS3132">
        <v>503</v>
      </c>
      <c r="AT3132" t="s">
        <v>81</v>
      </c>
      <c r="AU3132">
        <v>43.43</v>
      </c>
      <c r="AV3132">
        <v>-10.54</v>
      </c>
      <c r="AW3132" t="s">
        <v>82</v>
      </c>
      <c r="AX3132">
        <v>503</v>
      </c>
      <c r="AY3132" t="s">
        <v>81</v>
      </c>
      <c r="AZ3132">
        <v>41.19</v>
      </c>
      <c r="BA3132">
        <v>-19.79</v>
      </c>
      <c r="BB3132" t="s">
        <v>83</v>
      </c>
    </row>
    <row r="3133" spans="1:54" x14ac:dyDescent="0.4">
      <c r="A3133">
        <v>1163468</v>
      </c>
      <c r="D3133" t="s">
        <v>54</v>
      </c>
      <c r="I3133" t="s">
        <v>57</v>
      </c>
      <c r="K3133" t="s">
        <v>141</v>
      </c>
      <c r="L3133" t="s">
        <v>1355</v>
      </c>
      <c r="M3133" t="s">
        <v>223</v>
      </c>
      <c r="P3133" t="s">
        <v>182</v>
      </c>
      <c r="R3133" t="s">
        <v>183</v>
      </c>
      <c r="S3133" t="s">
        <v>64</v>
      </c>
      <c r="T3133">
        <v>242</v>
      </c>
      <c r="U3133">
        <v>237</v>
      </c>
      <c r="V3133">
        <f t="shared" si="96"/>
        <v>239.5</v>
      </c>
      <c r="W3133">
        <f t="shared" si="97"/>
        <v>5</v>
      </c>
      <c r="X3133">
        <v>44.234164999999997</v>
      </c>
      <c r="Y3133">
        <v>26.388888999999999</v>
      </c>
      <c r="Z3133" t="s">
        <v>1923</v>
      </c>
      <c r="AA3133" t="s">
        <v>4445</v>
      </c>
      <c r="AD3133" t="s">
        <v>4446</v>
      </c>
      <c r="AH3133" t="s">
        <v>11</v>
      </c>
      <c r="AI3133" t="s">
        <v>4450</v>
      </c>
      <c r="AJ3133">
        <v>2010</v>
      </c>
      <c r="AK3133" t="s">
        <v>4451</v>
      </c>
      <c r="AN3133" t="s">
        <v>76</v>
      </c>
      <c r="AO3133" t="s">
        <v>77</v>
      </c>
      <c r="AP3133" t="s">
        <v>78</v>
      </c>
      <c r="AQ3133" t="s">
        <v>4452</v>
      </c>
      <c r="AR3133" t="s">
        <v>80</v>
      </c>
      <c r="AS3133">
        <v>503</v>
      </c>
      <c r="AT3133" t="s">
        <v>81</v>
      </c>
      <c r="AU3133">
        <v>43.42</v>
      </c>
      <c r="AV3133">
        <v>-10.54</v>
      </c>
      <c r="AW3133" t="s">
        <v>82</v>
      </c>
      <c r="AX3133">
        <v>503</v>
      </c>
      <c r="AY3133" t="s">
        <v>81</v>
      </c>
      <c r="AZ3133">
        <v>41.18</v>
      </c>
      <c r="BA3133">
        <v>-19.79</v>
      </c>
      <c r="BB3133" t="s">
        <v>83</v>
      </c>
    </row>
    <row r="3134" spans="1:54" x14ac:dyDescent="0.4">
      <c r="A3134">
        <v>1163470</v>
      </c>
      <c r="D3134" t="s">
        <v>54</v>
      </c>
      <c r="I3134" t="s">
        <v>57</v>
      </c>
      <c r="K3134" t="s">
        <v>771</v>
      </c>
      <c r="L3134" t="s">
        <v>772</v>
      </c>
      <c r="M3134" t="s">
        <v>223</v>
      </c>
      <c r="P3134" t="s">
        <v>182</v>
      </c>
      <c r="R3134" t="s">
        <v>183</v>
      </c>
      <c r="S3134" t="s">
        <v>64</v>
      </c>
      <c r="T3134">
        <v>242</v>
      </c>
      <c r="U3134">
        <v>237</v>
      </c>
      <c r="V3134">
        <f t="shared" si="96"/>
        <v>239.5</v>
      </c>
      <c r="W3134">
        <f t="shared" si="97"/>
        <v>5</v>
      </c>
      <c r="X3134">
        <v>44.234164999999997</v>
      </c>
      <c r="Y3134">
        <v>26.388888999999999</v>
      </c>
      <c r="Z3134" t="s">
        <v>1923</v>
      </c>
      <c r="AA3134" t="s">
        <v>4445</v>
      </c>
      <c r="AD3134" t="s">
        <v>4446</v>
      </c>
      <c r="AH3134" t="s">
        <v>72</v>
      </c>
      <c r="AI3134" t="s">
        <v>4450</v>
      </c>
      <c r="AJ3134">
        <v>2010</v>
      </c>
      <c r="AK3134" t="s">
        <v>4451</v>
      </c>
      <c r="AN3134" t="s">
        <v>76</v>
      </c>
      <c r="AO3134" t="s">
        <v>77</v>
      </c>
      <c r="AP3134" t="s">
        <v>78</v>
      </c>
      <c r="AQ3134" t="s">
        <v>4452</v>
      </c>
      <c r="AR3134" t="s">
        <v>80</v>
      </c>
      <c r="AS3134">
        <v>503</v>
      </c>
      <c r="AT3134" t="s">
        <v>81</v>
      </c>
      <c r="AU3134">
        <v>43.42</v>
      </c>
      <c r="AV3134">
        <v>-10.54</v>
      </c>
      <c r="AW3134" t="s">
        <v>82</v>
      </c>
      <c r="AX3134">
        <v>503</v>
      </c>
      <c r="AY3134" t="s">
        <v>81</v>
      </c>
      <c r="AZ3134">
        <v>41.18</v>
      </c>
      <c r="BA3134">
        <v>-19.79</v>
      </c>
      <c r="BB3134" t="s">
        <v>83</v>
      </c>
    </row>
    <row r="3135" spans="1:54" x14ac:dyDescent="0.4">
      <c r="A3135">
        <v>1163473</v>
      </c>
      <c r="D3135" t="s">
        <v>54</v>
      </c>
      <c r="I3135" t="s">
        <v>57</v>
      </c>
      <c r="K3135" t="s">
        <v>2470</v>
      </c>
      <c r="L3135" t="s">
        <v>2471</v>
      </c>
      <c r="M3135" t="s">
        <v>223</v>
      </c>
      <c r="P3135" t="s">
        <v>182</v>
      </c>
      <c r="R3135" t="s">
        <v>183</v>
      </c>
      <c r="S3135" t="s">
        <v>64</v>
      </c>
      <c r="T3135">
        <v>242</v>
      </c>
      <c r="U3135">
        <v>237</v>
      </c>
      <c r="V3135">
        <f t="shared" si="96"/>
        <v>239.5</v>
      </c>
      <c r="W3135">
        <f t="shared" si="97"/>
        <v>5</v>
      </c>
      <c r="X3135">
        <v>45.628613000000001</v>
      </c>
      <c r="Y3135">
        <v>24.245000999999998</v>
      </c>
      <c r="Z3135" t="s">
        <v>1923</v>
      </c>
      <c r="AA3135" t="s">
        <v>4445</v>
      </c>
      <c r="AD3135" t="s">
        <v>4446</v>
      </c>
      <c r="AH3135" t="s">
        <v>11</v>
      </c>
      <c r="AI3135" t="s">
        <v>4450</v>
      </c>
      <c r="AJ3135">
        <v>2010</v>
      </c>
      <c r="AK3135" t="s">
        <v>4453</v>
      </c>
      <c r="AN3135" t="s">
        <v>76</v>
      </c>
      <c r="AO3135" t="s">
        <v>77</v>
      </c>
      <c r="AP3135" t="s">
        <v>78</v>
      </c>
      <c r="AQ3135" t="s">
        <v>4454</v>
      </c>
      <c r="AR3135" t="s">
        <v>80</v>
      </c>
      <c r="AS3135">
        <v>503</v>
      </c>
      <c r="AT3135" t="s">
        <v>81</v>
      </c>
      <c r="AU3135">
        <v>43.68</v>
      </c>
      <c r="AV3135">
        <v>-13.01</v>
      </c>
      <c r="AW3135" t="s">
        <v>82</v>
      </c>
      <c r="AX3135">
        <v>503</v>
      </c>
      <c r="AY3135" t="s">
        <v>81</v>
      </c>
      <c r="AZ3135">
        <v>42.12</v>
      </c>
      <c r="BA3135">
        <v>-22.12</v>
      </c>
      <c r="BB3135" t="s">
        <v>83</v>
      </c>
    </row>
    <row r="3136" spans="1:54" x14ac:dyDescent="0.4">
      <c r="A3136">
        <v>1190487</v>
      </c>
      <c r="D3136" t="s">
        <v>2001</v>
      </c>
      <c r="G3136">
        <v>1</v>
      </c>
      <c r="H3136" t="s">
        <v>56</v>
      </c>
      <c r="I3136" t="s">
        <v>57</v>
      </c>
      <c r="K3136" t="s">
        <v>141</v>
      </c>
      <c r="L3136" t="s">
        <v>4006</v>
      </c>
      <c r="M3136" t="s">
        <v>223</v>
      </c>
      <c r="P3136" t="s">
        <v>182</v>
      </c>
      <c r="R3136" t="s">
        <v>183</v>
      </c>
      <c r="S3136" t="s">
        <v>64</v>
      </c>
      <c r="T3136">
        <v>242</v>
      </c>
      <c r="U3136">
        <v>237</v>
      </c>
      <c r="V3136">
        <f t="shared" si="96"/>
        <v>239.5</v>
      </c>
      <c r="W3136">
        <f t="shared" si="97"/>
        <v>5</v>
      </c>
      <c r="X3136">
        <v>104.25</v>
      </c>
      <c r="Y3136">
        <v>25.67</v>
      </c>
      <c r="Z3136" t="s">
        <v>520</v>
      </c>
      <c r="AA3136" t="s">
        <v>379</v>
      </c>
      <c r="AB3136" t="s">
        <v>828</v>
      </c>
      <c r="AD3136" t="s">
        <v>3251</v>
      </c>
      <c r="AF3136" t="s">
        <v>3260</v>
      </c>
      <c r="AH3136" t="s">
        <v>72</v>
      </c>
      <c r="AI3136" t="s">
        <v>4009</v>
      </c>
      <c r="AJ3136">
        <v>2014</v>
      </c>
      <c r="AK3136" t="s">
        <v>3796</v>
      </c>
      <c r="AN3136" t="s">
        <v>114</v>
      </c>
      <c r="AO3136">
        <v>2</v>
      </c>
      <c r="AP3136" t="s">
        <v>115</v>
      </c>
      <c r="AR3136" t="s">
        <v>80</v>
      </c>
      <c r="AS3136">
        <v>611</v>
      </c>
      <c r="AT3136" t="s">
        <v>81</v>
      </c>
      <c r="AU3136">
        <v>107.79</v>
      </c>
      <c r="AV3136">
        <v>-7.4</v>
      </c>
      <c r="AW3136" t="s">
        <v>82</v>
      </c>
      <c r="AX3136">
        <v>611</v>
      </c>
      <c r="AY3136" t="s">
        <v>81</v>
      </c>
      <c r="AZ3136">
        <v>93.35</v>
      </c>
      <c r="BA3136">
        <v>16.48</v>
      </c>
      <c r="BB3136" t="s">
        <v>83</v>
      </c>
    </row>
    <row r="3137" spans="1:54" x14ac:dyDescent="0.4">
      <c r="A3137">
        <v>1205247</v>
      </c>
      <c r="D3137" t="s">
        <v>54</v>
      </c>
      <c r="G3137">
        <v>1</v>
      </c>
      <c r="H3137" t="s">
        <v>84</v>
      </c>
      <c r="I3137" t="s">
        <v>57</v>
      </c>
      <c r="K3137" t="s">
        <v>771</v>
      </c>
      <c r="L3137" t="s">
        <v>772</v>
      </c>
      <c r="M3137" t="s">
        <v>223</v>
      </c>
      <c r="P3137" t="s">
        <v>182</v>
      </c>
      <c r="R3137" t="s">
        <v>183</v>
      </c>
      <c r="S3137" t="s">
        <v>64</v>
      </c>
      <c r="T3137">
        <v>242</v>
      </c>
      <c r="U3137">
        <v>237</v>
      </c>
      <c r="V3137">
        <f t="shared" si="96"/>
        <v>239.5</v>
      </c>
      <c r="W3137">
        <f t="shared" si="97"/>
        <v>5</v>
      </c>
      <c r="X3137">
        <v>18.446199</v>
      </c>
      <c r="Y3137">
        <v>45.875</v>
      </c>
      <c r="Z3137" t="s">
        <v>1415</v>
      </c>
      <c r="AA3137" t="s">
        <v>4228</v>
      </c>
      <c r="AD3137" t="s">
        <v>4507</v>
      </c>
      <c r="AH3137" t="s">
        <v>11</v>
      </c>
      <c r="AI3137" t="s">
        <v>4508</v>
      </c>
      <c r="AJ3137">
        <v>2013</v>
      </c>
      <c r="AK3137" t="s">
        <v>4509</v>
      </c>
      <c r="AN3137" t="s">
        <v>192</v>
      </c>
      <c r="AO3137">
        <v>3</v>
      </c>
      <c r="AP3137" t="s">
        <v>78</v>
      </c>
      <c r="AQ3137" t="s">
        <v>4510</v>
      </c>
      <c r="AR3137" t="s">
        <v>80</v>
      </c>
      <c r="AS3137">
        <v>308</v>
      </c>
      <c r="AT3137" t="s">
        <v>81</v>
      </c>
      <c r="AU3137">
        <v>36.97</v>
      </c>
      <c r="AV3137">
        <v>12.25</v>
      </c>
      <c r="AW3137" t="s">
        <v>82</v>
      </c>
      <c r="AX3137" t="s">
        <v>528</v>
      </c>
      <c r="AY3137" t="s">
        <v>81</v>
      </c>
      <c r="BB3137" t="s">
        <v>83</v>
      </c>
    </row>
    <row r="3138" spans="1:54" x14ac:dyDescent="0.4">
      <c r="A3138">
        <v>1205251</v>
      </c>
      <c r="D3138" t="s">
        <v>54</v>
      </c>
      <c r="G3138">
        <v>1</v>
      </c>
      <c r="H3138" t="s">
        <v>84</v>
      </c>
      <c r="I3138" t="s">
        <v>57</v>
      </c>
      <c r="K3138" t="s">
        <v>755</v>
      </c>
      <c r="L3138" t="s">
        <v>756</v>
      </c>
      <c r="M3138" t="s">
        <v>223</v>
      </c>
      <c r="P3138" t="s">
        <v>182</v>
      </c>
      <c r="R3138" t="s">
        <v>183</v>
      </c>
      <c r="S3138" t="s">
        <v>64</v>
      </c>
      <c r="T3138">
        <v>242</v>
      </c>
      <c r="U3138">
        <v>237</v>
      </c>
      <c r="V3138">
        <f t="shared" si="96"/>
        <v>239.5</v>
      </c>
      <c r="W3138">
        <f t="shared" si="97"/>
        <v>5</v>
      </c>
      <c r="X3138">
        <v>18.446199</v>
      </c>
      <c r="Y3138">
        <v>45.875</v>
      </c>
      <c r="Z3138" t="s">
        <v>1415</v>
      </c>
      <c r="AA3138" t="s">
        <v>4228</v>
      </c>
      <c r="AD3138" t="s">
        <v>4507</v>
      </c>
      <c r="AH3138" t="s">
        <v>11</v>
      </c>
      <c r="AI3138" t="s">
        <v>4508</v>
      </c>
      <c r="AJ3138">
        <v>2013</v>
      </c>
      <c r="AK3138" t="s">
        <v>4509</v>
      </c>
      <c r="AN3138" t="s">
        <v>192</v>
      </c>
      <c r="AO3138">
        <v>3</v>
      </c>
      <c r="AP3138" t="s">
        <v>78</v>
      </c>
      <c r="AQ3138" t="s">
        <v>4510</v>
      </c>
      <c r="AR3138" t="s">
        <v>80</v>
      </c>
      <c r="AS3138">
        <v>308</v>
      </c>
      <c r="AT3138" t="s">
        <v>81</v>
      </c>
      <c r="AU3138">
        <v>36.97</v>
      </c>
      <c r="AV3138">
        <v>12.25</v>
      </c>
      <c r="AW3138" t="s">
        <v>82</v>
      </c>
      <c r="AX3138" t="s">
        <v>528</v>
      </c>
      <c r="AY3138" t="s">
        <v>81</v>
      </c>
      <c r="BB3138" t="s">
        <v>83</v>
      </c>
    </row>
    <row r="3139" spans="1:54" x14ac:dyDescent="0.4">
      <c r="A3139">
        <v>1290839</v>
      </c>
      <c r="D3139" t="s">
        <v>853</v>
      </c>
      <c r="E3139" t="s">
        <v>310</v>
      </c>
      <c r="G3139">
        <v>1</v>
      </c>
      <c r="H3139" t="s">
        <v>56</v>
      </c>
      <c r="I3139" t="s">
        <v>57</v>
      </c>
      <c r="K3139" t="s">
        <v>141</v>
      </c>
      <c r="L3139" t="s">
        <v>4590</v>
      </c>
      <c r="M3139" t="s">
        <v>60</v>
      </c>
      <c r="N3139" t="s">
        <v>119</v>
      </c>
      <c r="O3139" t="s">
        <v>87</v>
      </c>
      <c r="P3139" t="s">
        <v>182</v>
      </c>
      <c r="R3139" t="s">
        <v>183</v>
      </c>
      <c r="S3139" t="s">
        <v>64</v>
      </c>
      <c r="T3139">
        <v>242</v>
      </c>
      <c r="U3139">
        <v>237</v>
      </c>
      <c r="V3139">
        <f t="shared" ref="V3139:V3202" si="98">(T3139+U3139)/2</f>
        <v>239.5</v>
      </c>
      <c r="W3139">
        <f t="shared" ref="W3139:W3202" si="99">T3139-U3139</f>
        <v>5</v>
      </c>
      <c r="X3139">
        <v>104.666664</v>
      </c>
      <c r="Y3139">
        <v>25.083331999999999</v>
      </c>
      <c r="Z3139" t="s">
        <v>225</v>
      </c>
      <c r="AA3139" t="s">
        <v>379</v>
      </c>
      <c r="AB3139" t="s">
        <v>828</v>
      </c>
      <c r="AC3139" t="s">
        <v>3796</v>
      </c>
      <c r="AD3139" t="s">
        <v>3251</v>
      </c>
      <c r="AF3139" t="s">
        <v>3260</v>
      </c>
      <c r="AH3139" t="s">
        <v>72</v>
      </c>
      <c r="AI3139" t="s">
        <v>308</v>
      </c>
      <c r="AJ3139">
        <v>2013</v>
      </c>
      <c r="AK3139" t="s">
        <v>3797</v>
      </c>
      <c r="AM3139" t="s">
        <v>3796</v>
      </c>
      <c r="AN3139" t="s">
        <v>114</v>
      </c>
      <c r="AO3139" t="s">
        <v>160</v>
      </c>
      <c r="AP3139" t="s">
        <v>78</v>
      </c>
      <c r="AQ3139" t="s">
        <v>3798</v>
      </c>
      <c r="AR3139" t="s">
        <v>80</v>
      </c>
      <c r="AS3139">
        <v>611</v>
      </c>
      <c r="AT3139" t="s">
        <v>81</v>
      </c>
      <c r="AU3139">
        <v>108.16</v>
      </c>
      <c r="AV3139">
        <v>-8</v>
      </c>
      <c r="AW3139" t="s">
        <v>82</v>
      </c>
      <c r="AX3139">
        <v>611</v>
      </c>
      <c r="AY3139" t="s">
        <v>81</v>
      </c>
      <c r="AZ3139">
        <v>94</v>
      </c>
      <c r="BA3139">
        <v>16.149999999999999</v>
      </c>
      <c r="BB3139" t="s">
        <v>83</v>
      </c>
    </row>
    <row r="3140" spans="1:54" x14ac:dyDescent="0.4">
      <c r="A3140">
        <v>1310774</v>
      </c>
      <c r="D3140" t="s">
        <v>54</v>
      </c>
      <c r="I3140" t="s">
        <v>57</v>
      </c>
      <c r="K3140" t="s">
        <v>4385</v>
      </c>
      <c r="L3140" t="s">
        <v>4386</v>
      </c>
      <c r="M3140" t="s">
        <v>223</v>
      </c>
      <c r="N3140" t="s">
        <v>234</v>
      </c>
      <c r="O3140" t="s">
        <v>87</v>
      </c>
      <c r="P3140" t="s">
        <v>182</v>
      </c>
      <c r="R3140" t="s">
        <v>183</v>
      </c>
      <c r="S3140" t="s">
        <v>64</v>
      </c>
      <c r="T3140">
        <v>242</v>
      </c>
      <c r="U3140">
        <v>237</v>
      </c>
      <c r="V3140">
        <f t="shared" si="98"/>
        <v>239.5</v>
      </c>
      <c r="W3140">
        <f t="shared" si="99"/>
        <v>5</v>
      </c>
      <c r="X3140">
        <v>14.856667</v>
      </c>
      <c r="Y3140">
        <v>77.651390000000006</v>
      </c>
      <c r="Z3140" t="s">
        <v>406</v>
      </c>
      <c r="AA3140" t="s">
        <v>4636</v>
      </c>
      <c r="AD3140" t="s">
        <v>4637</v>
      </c>
      <c r="AH3140" t="s">
        <v>72</v>
      </c>
      <c r="AI3140" t="s">
        <v>3132</v>
      </c>
      <c r="AJ3140">
        <v>2000</v>
      </c>
      <c r="AK3140" t="s">
        <v>4638</v>
      </c>
      <c r="AN3140" t="s">
        <v>192</v>
      </c>
      <c r="AO3140" t="s">
        <v>77</v>
      </c>
      <c r="AP3140" t="s">
        <v>78</v>
      </c>
      <c r="AR3140" t="s">
        <v>80</v>
      </c>
      <c r="AS3140">
        <v>309</v>
      </c>
      <c r="AT3140" t="s">
        <v>81</v>
      </c>
      <c r="AU3140">
        <v>17.29</v>
      </c>
      <c r="AV3140">
        <v>56.34</v>
      </c>
      <c r="AW3140" t="s">
        <v>82</v>
      </c>
      <c r="AX3140">
        <v>309</v>
      </c>
      <c r="AY3140" t="s">
        <v>81</v>
      </c>
      <c r="AZ3140">
        <v>3.06</v>
      </c>
      <c r="BA3140">
        <v>40.96</v>
      </c>
      <c r="BB3140" t="s">
        <v>83</v>
      </c>
    </row>
    <row r="3141" spans="1:54" x14ac:dyDescent="0.4">
      <c r="A3141">
        <v>1347723</v>
      </c>
      <c r="D3141" t="s">
        <v>853</v>
      </c>
      <c r="E3141" t="s">
        <v>310</v>
      </c>
      <c r="G3141">
        <v>1</v>
      </c>
      <c r="H3141" t="s">
        <v>56</v>
      </c>
      <c r="I3141" t="s">
        <v>57</v>
      </c>
      <c r="K3141" t="s">
        <v>141</v>
      </c>
      <c r="L3141" t="s">
        <v>4764</v>
      </c>
      <c r="M3141" t="s">
        <v>60</v>
      </c>
      <c r="P3141" t="s">
        <v>182</v>
      </c>
      <c r="R3141" t="s">
        <v>183</v>
      </c>
      <c r="S3141" t="s">
        <v>64</v>
      </c>
      <c r="T3141">
        <v>242</v>
      </c>
      <c r="U3141">
        <v>237</v>
      </c>
      <c r="V3141">
        <f t="shared" si="98"/>
        <v>239.5</v>
      </c>
      <c r="W3141">
        <f t="shared" si="99"/>
        <v>5</v>
      </c>
      <c r="X3141">
        <v>104.666664</v>
      </c>
      <c r="Y3141">
        <v>25.083331999999999</v>
      </c>
      <c r="Z3141" t="s">
        <v>225</v>
      </c>
      <c r="AA3141" t="s">
        <v>379</v>
      </c>
      <c r="AB3141" t="s">
        <v>828</v>
      </c>
      <c r="AC3141" t="s">
        <v>3796</v>
      </c>
      <c r="AD3141" t="s">
        <v>3251</v>
      </c>
      <c r="AF3141" t="s">
        <v>3260</v>
      </c>
      <c r="AH3141" t="s">
        <v>72</v>
      </c>
      <c r="AI3141" t="s">
        <v>1810</v>
      </c>
      <c r="AJ3141">
        <v>2016</v>
      </c>
      <c r="AK3141" t="s">
        <v>3797</v>
      </c>
      <c r="AM3141" t="s">
        <v>3796</v>
      </c>
      <c r="AN3141" t="s">
        <v>114</v>
      </c>
      <c r="AO3141" t="s">
        <v>160</v>
      </c>
      <c r="AP3141" t="s">
        <v>78</v>
      </c>
      <c r="AQ3141" t="s">
        <v>3798</v>
      </c>
      <c r="AR3141" t="s">
        <v>80</v>
      </c>
      <c r="AS3141">
        <v>611</v>
      </c>
      <c r="AT3141" t="s">
        <v>81</v>
      </c>
      <c r="AU3141">
        <v>108.16</v>
      </c>
      <c r="AV3141">
        <v>-8</v>
      </c>
      <c r="AW3141" t="s">
        <v>82</v>
      </c>
      <c r="AX3141">
        <v>611</v>
      </c>
      <c r="AY3141" t="s">
        <v>81</v>
      </c>
      <c r="AZ3141">
        <v>94</v>
      </c>
      <c r="BA3141">
        <v>16.149999999999999</v>
      </c>
      <c r="BB3141" t="s">
        <v>83</v>
      </c>
    </row>
    <row r="3142" spans="1:54" x14ac:dyDescent="0.4">
      <c r="A3142">
        <v>1389767</v>
      </c>
      <c r="D3142" t="s">
        <v>54</v>
      </c>
      <c r="I3142" t="s">
        <v>57</v>
      </c>
      <c r="K3142" t="s">
        <v>2470</v>
      </c>
      <c r="L3142" t="s">
        <v>2471</v>
      </c>
      <c r="M3142" t="s">
        <v>223</v>
      </c>
      <c r="P3142" t="s">
        <v>182</v>
      </c>
      <c r="R3142" t="s">
        <v>183</v>
      </c>
      <c r="S3142" t="s">
        <v>64</v>
      </c>
      <c r="T3142">
        <v>242</v>
      </c>
      <c r="U3142">
        <v>237</v>
      </c>
      <c r="V3142">
        <f t="shared" si="98"/>
        <v>239.5</v>
      </c>
      <c r="W3142">
        <f t="shared" si="99"/>
        <v>5</v>
      </c>
      <c r="X3142">
        <v>6.4059879999999998</v>
      </c>
      <c r="Y3142">
        <v>48.555827999999998</v>
      </c>
      <c r="Z3142" t="s">
        <v>520</v>
      </c>
      <c r="AA3142" t="s">
        <v>521</v>
      </c>
      <c r="AB3142" t="s">
        <v>4130</v>
      </c>
      <c r="AC3142" t="s">
        <v>3095</v>
      </c>
      <c r="AE3142" t="s">
        <v>1378</v>
      </c>
      <c r="AH3142" t="s">
        <v>72</v>
      </c>
      <c r="AI3142" t="s">
        <v>2456</v>
      </c>
      <c r="AJ3142">
        <v>1852</v>
      </c>
      <c r="AK3142" t="s">
        <v>4131</v>
      </c>
      <c r="AN3142" t="s">
        <v>192</v>
      </c>
      <c r="AO3142">
        <v>6</v>
      </c>
      <c r="AP3142" t="s">
        <v>115</v>
      </c>
      <c r="AQ3142" t="s">
        <v>4132</v>
      </c>
      <c r="AR3142" t="s">
        <v>80</v>
      </c>
      <c r="AS3142">
        <v>305</v>
      </c>
      <c r="AT3142" t="s">
        <v>81</v>
      </c>
      <c r="AU3142">
        <v>25.81</v>
      </c>
      <c r="AV3142">
        <v>27.7</v>
      </c>
      <c r="AW3142" t="s">
        <v>82</v>
      </c>
      <c r="AX3142">
        <v>305</v>
      </c>
      <c r="AY3142" t="s">
        <v>81</v>
      </c>
      <c r="AZ3142">
        <v>15.95</v>
      </c>
      <c r="BA3142">
        <v>13.93</v>
      </c>
      <c r="BB3142" t="s">
        <v>83</v>
      </c>
    </row>
    <row r="3143" spans="1:54" x14ac:dyDescent="0.4">
      <c r="A3143">
        <v>1409643</v>
      </c>
      <c r="D3143" t="s">
        <v>54</v>
      </c>
      <c r="G3143">
        <v>1</v>
      </c>
      <c r="H3143" t="s">
        <v>84</v>
      </c>
      <c r="I3143" t="s">
        <v>57</v>
      </c>
      <c r="K3143" t="s">
        <v>771</v>
      </c>
      <c r="L3143" t="s">
        <v>772</v>
      </c>
      <c r="M3143" t="s">
        <v>223</v>
      </c>
      <c r="P3143" t="s">
        <v>182</v>
      </c>
      <c r="R3143" t="s">
        <v>183</v>
      </c>
      <c r="S3143" t="s">
        <v>64</v>
      </c>
      <c r="T3143">
        <v>242</v>
      </c>
      <c r="U3143">
        <v>237</v>
      </c>
      <c r="V3143">
        <f t="shared" si="98"/>
        <v>239.5</v>
      </c>
      <c r="W3143">
        <f t="shared" si="99"/>
        <v>5</v>
      </c>
      <c r="X3143">
        <v>9.4877780000000005</v>
      </c>
      <c r="Y3143">
        <v>49.323054999999997</v>
      </c>
      <c r="Z3143" t="s">
        <v>520</v>
      </c>
      <c r="AA3143" t="s">
        <v>211</v>
      </c>
      <c r="AB3143" t="s">
        <v>4989</v>
      </c>
      <c r="AD3143" t="s">
        <v>4990</v>
      </c>
      <c r="AE3143" t="s">
        <v>1378</v>
      </c>
      <c r="AF3143" t="s">
        <v>4989</v>
      </c>
      <c r="AG3143" t="s">
        <v>4991</v>
      </c>
      <c r="AH3143" t="s">
        <v>72</v>
      </c>
      <c r="AI3143" t="s">
        <v>2013</v>
      </c>
      <c r="AJ3143">
        <v>2001</v>
      </c>
      <c r="AK3143" t="s">
        <v>4992</v>
      </c>
      <c r="AM3143" t="s">
        <v>4993</v>
      </c>
      <c r="AN3143" t="s">
        <v>192</v>
      </c>
      <c r="AO3143" t="s">
        <v>77</v>
      </c>
      <c r="AP3143" t="s">
        <v>115</v>
      </c>
      <c r="AR3143" t="s">
        <v>80</v>
      </c>
      <c r="AS3143">
        <v>305</v>
      </c>
      <c r="AT3143" t="s">
        <v>81</v>
      </c>
      <c r="AU3143">
        <v>27.83</v>
      </c>
      <c r="AV3143">
        <v>28.94</v>
      </c>
      <c r="AW3143" t="s">
        <v>82</v>
      </c>
      <c r="AX3143">
        <v>305</v>
      </c>
      <c r="AY3143" t="s">
        <v>81</v>
      </c>
      <c r="AZ3143">
        <v>17.52</v>
      </c>
      <c r="BA3143">
        <v>15.48</v>
      </c>
      <c r="BB3143" t="s">
        <v>83</v>
      </c>
    </row>
    <row r="3144" spans="1:54" x14ac:dyDescent="0.4">
      <c r="A3144">
        <v>1409649</v>
      </c>
      <c r="D3144" t="s">
        <v>853</v>
      </c>
      <c r="G3144">
        <v>105</v>
      </c>
      <c r="H3144" t="s">
        <v>84</v>
      </c>
      <c r="I3144" t="s">
        <v>57</v>
      </c>
      <c r="K3144" t="s">
        <v>221</v>
      </c>
      <c r="L3144" t="s">
        <v>222</v>
      </c>
      <c r="M3144" t="s">
        <v>223</v>
      </c>
      <c r="P3144" t="s">
        <v>182</v>
      </c>
      <c r="R3144" t="s">
        <v>183</v>
      </c>
      <c r="S3144" t="s">
        <v>64</v>
      </c>
      <c r="T3144">
        <v>242</v>
      </c>
      <c r="U3144">
        <v>237</v>
      </c>
      <c r="V3144">
        <f t="shared" si="98"/>
        <v>239.5</v>
      </c>
      <c r="W3144">
        <f t="shared" si="99"/>
        <v>5</v>
      </c>
      <c r="X3144">
        <v>8.9320000000000004</v>
      </c>
      <c r="Y3144">
        <v>45.904998999999997</v>
      </c>
      <c r="Z3144" t="s">
        <v>1596</v>
      </c>
      <c r="AA3144" t="s">
        <v>226</v>
      </c>
      <c r="AB3144" t="s">
        <v>5002</v>
      </c>
      <c r="AD3144" t="s">
        <v>5003</v>
      </c>
      <c r="AH3144" t="s">
        <v>72</v>
      </c>
      <c r="AI3144" t="s">
        <v>228</v>
      </c>
      <c r="AJ3144">
        <v>1989</v>
      </c>
      <c r="AK3144" t="s">
        <v>5004</v>
      </c>
      <c r="AM3144" t="s">
        <v>5005</v>
      </c>
      <c r="AN3144" t="s">
        <v>192</v>
      </c>
      <c r="AO3144">
        <v>3</v>
      </c>
      <c r="AP3144" t="s">
        <v>78</v>
      </c>
      <c r="AR3144" t="s">
        <v>80</v>
      </c>
      <c r="AS3144">
        <v>307</v>
      </c>
      <c r="AT3144" t="s">
        <v>81</v>
      </c>
      <c r="AU3144">
        <v>33.619999999999997</v>
      </c>
      <c r="AV3144">
        <v>18.03</v>
      </c>
      <c r="AW3144" t="s">
        <v>82</v>
      </c>
      <c r="AX3144">
        <v>307</v>
      </c>
      <c r="AY3144" t="s">
        <v>81</v>
      </c>
      <c r="AZ3144">
        <v>20.59</v>
      </c>
      <c r="BA3144">
        <v>7.96</v>
      </c>
      <c r="BB3144" t="s">
        <v>83</v>
      </c>
    </row>
    <row r="3145" spans="1:54" x14ac:dyDescent="0.4">
      <c r="A3145">
        <v>1415681</v>
      </c>
      <c r="D3145" t="s">
        <v>54</v>
      </c>
      <c r="I3145" t="s">
        <v>57</v>
      </c>
      <c r="K3145" t="s">
        <v>141</v>
      </c>
      <c r="L3145" t="s">
        <v>5053</v>
      </c>
      <c r="M3145" t="s">
        <v>223</v>
      </c>
      <c r="P3145" t="s">
        <v>182</v>
      </c>
      <c r="R3145" t="s">
        <v>183</v>
      </c>
      <c r="S3145" t="s">
        <v>64</v>
      </c>
      <c r="T3145">
        <v>242</v>
      </c>
      <c r="U3145">
        <v>237</v>
      </c>
      <c r="V3145">
        <f t="shared" si="98"/>
        <v>239.5</v>
      </c>
      <c r="W3145">
        <f t="shared" si="99"/>
        <v>5</v>
      </c>
      <c r="X3145">
        <v>-1.572222</v>
      </c>
      <c r="Y3145">
        <v>39.748610999999997</v>
      </c>
      <c r="Z3145" t="s">
        <v>1596</v>
      </c>
      <c r="AA3145" t="s">
        <v>3881</v>
      </c>
      <c r="AB3145" t="s">
        <v>5054</v>
      </c>
      <c r="AD3145" t="s">
        <v>5055</v>
      </c>
      <c r="AE3145" t="s">
        <v>1378</v>
      </c>
      <c r="AH3145" t="s">
        <v>72</v>
      </c>
      <c r="AI3145" t="s">
        <v>5056</v>
      </c>
      <c r="AJ3145">
        <v>2017</v>
      </c>
      <c r="AK3145" t="s">
        <v>5057</v>
      </c>
      <c r="AM3145" t="s">
        <v>5058</v>
      </c>
      <c r="AN3145" t="s">
        <v>192</v>
      </c>
      <c r="AO3145" t="s">
        <v>77</v>
      </c>
      <c r="AQ3145" t="s">
        <v>5059</v>
      </c>
      <c r="AR3145" t="s">
        <v>80</v>
      </c>
      <c r="AS3145">
        <v>304</v>
      </c>
      <c r="AT3145" t="s">
        <v>81</v>
      </c>
      <c r="AU3145">
        <v>20.36</v>
      </c>
      <c r="AV3145">
        <v>18.63</v>
      </c>
      <c r="AW3145" t="s">
        <v>82</v>
      </c>
      <c r="AX3145">
        <v>304</v>
      </c>
      <c r="AY3145" t="s">
        <v>81</v>
      </c>
      <c r="AZ3145">
        <v>12.48</v>
      </c>
      <c r="BA3145">
        <v>4.1500000000000004</v>
      </c>
      <c r="BB3145" t="s">
        <v>83</v>
      </c>
    </row>
    <row r="3146" spans="1:54" x14ac:dyDescent="0.4">
      <c r="A3146">
        <v>1418532</v>
      </c>
      <c r="D3146" t="s">
        <v>54</v>
      </c>
      <c r="I3146" t="s">
        <v>57</v>
      </c>
      <c r="K3146" t="s">
        <v>771</v>
      </c>
      <c r="L3146" t="s">
        <v>3368</v>
      </c>
      <c r="M3146" t="s">
        <v>223</v>
      </c>
      <c r="P3146" t="s">
        <v>182</v>
      </c>
      <c r="R3146" t="s">
        <v>183</v>
      </c>
      <c r="S3146" t="s">
        <v>64</v>
      </c>
      <c r="T3146">
        <v>242</v>
      </c>
      <c r="U3146">
        <v>237</v>
      </c>
      <c r="V3146">
        <f t="shared" si="98"/>
        <v>239.5</v>
      </c>
      <c r="W3146">
        <f t="shared" si="99"/>
        <v>5</v>
      </c>
      <c r="X3146">
        <v>11.628610999999999</v>
      </c>
      <c r="Y3146">
        <v>51.088054999999997</v>
      </c>
      <c r="Z3146" t="s">
        <v>520</v>
      </c>
      <c r="AA3146" t="s">
        <v>211</v>
      </c>
      <c r="AB3146" t="s">
        <v>977</v>
      </c>
      <c r="AD3146" t="s">
        <v>3617</v>
      </c>
      <c r="AE3146" t="s">
        <v>1378</v>
      </c>
      <c r="AH3146" t="s">
        <v>72</v>
      </c>
      <c r="AI3146" t="s">
        <v>5147</v>
      </c>
      <c r="AJ3146">
        <v>2014</v>
      </c>
      <c r="AK3146" t="s">
        <v>4158</v>
      </c>
      <c r="AN3146" t="s">
        <v>192</v>
      </c>
      <c r="AO3146" t="s">
        <v>77</v>
      </c>
      <c r="AP3146" t="s">
        <v>115</v>
      </c>
      <c r="AQ3146" t="s">
        <v>4159</v>
      </c>
      <c r="AR3146" t="s">
        <v>80</v>
      </c>
      <c r="AS3146">
        <v>305</v>
      </c>
      <c r="AT3146" t="s">
        <v>81</v>
      </c>
      <c r="AU3146">
        <v>28.82</v>
      </c>
      <c r="AV3146">
        <v>31</v>
      </c>
      <c r="AW3146" t="s">
        <v>82</v>
      </c>
      <c r="AX3146">
        <v>305</v>
      </c>
      <c r="AY3146" t="s">
        <v>81</v>
      </c>
      <c r="AZ3146">
        <v>17.98</v>
      </c>
      <c r="BA3146">
        <v>17.670000000000002</v>
      </c>
      <c r="BB3146" t="s">
        <v>83</v>
      </c>
    </row>
    <row r="3147" spans="1:54" x14ac:dyDescent="0.4">
      <c r="A3147">
        <v>1418911</v>
      </c>
      <c r="D3147" t="s">
        <v>54</v>
      </c>
      <c r="E3147" t="s">
        <v>310</v>
      </c>
      <c r="F3147" t="s">
        <v>2523</v>
      </c>
      <c r="I3147" t="s">
        <v>57</v>
      </c>
      <c r="K3147" t="s">
        <v>771</v>
      </c>
      <c r="L3147" t="s">
        <v>3368</v>
      </c>
      <c r="M3147" t="s">
        <v>223</v>
      </c>
      <c r="P3147" t="s">
        <v>182</v>
      </c>
      <c r="R3147" t="s">
        <v>183</v>
      </c>
      <c r="S3147" t="s">
        <v>64</v>
      </c>
      <c r="T3147">
        <v>242</v>
      </c>
      <c r="U3147">
        <v>237</v>
      </c>
      <c r="V3147">
        <f t="shared" si="98"/>
        <v>239.5</v>
      </c>
      <c r="W3147">
        <f t="shared" si="99"/>
        <v>5</v>
      </c>
      <c r="X3147">
        <v>104.883331</v>
      </c>
      <c r="Y3147">
        <v>25.083331999999999</v>
      </c>
      <c r="Z3147" t="s">
        <v>520</v>
      </c>
      <c r="AA3147" t="s">
        <v>379</v>
      </c>
      <c r="AB3147" t="s">
        <v>682</v>
      </c>
      <c r="AD3147" t="s">
        <v>3251</v>
      </c>
      <c r="AF3147" t="s">
        <v>3260</v>
      </c>
      <c r="AH3147" t="s">
        <v>72</v>
      </c>
      <c r="AI3147" t="s">
        <v>5170</v>
      </c>
      <c r="AJ3147">
        <v>2018</v>
      </c>
      <c r="AK3147" t="s">
        <v>3369</v>
      </c>
      <c r="AN3147" t="s">
        <v>341</v>
      </c>
      <c r="AO3147" t="s">
        <v>160</v>
      </c>
      <c r="AP3147" t="s">
        <v>115</v>
      </c>
      <c r="AR3147" t="s">
        <v>80</v>
      </c>
      <c r="AS3147">
        <v>611</v>
      </c>
      <c r="AT3147" t="s">
        <v>81</v>
      </c>
      <c r="AU3147">
        <v>108.36</v>
      </c>
      <c r="AV3147">
        <v>-8</v>
      </c>
      <c r="AW3147" t="s">
        <v>82</v>
      </c>
      <c r="AX3147">
        <v>611</v>
      </c>
      <c r="AY3147" t="s">
        <v>81</v>
      </c>
      <c r="AZ3147">
        <v>94.18</v>
      </c>
      <c r="BA3147">
        <v>16.25</v>
      </c>
      <c r="BB3147" t="s">
        <v>83</v>
      </c>
    </row>
    <row r="3148" spans="1:54" x14ac:dyDescent="0.4">
      <c r="A3148">
        <v>1419047</v>
      </c>
      <c r="D3148" t="s">
        <v>853</v>
      </c>
      <c r="E3148" t="s">
        <v>310</v>
      </c>
      <c r="I3148" t="s">
        <v>57</v>
      </c>
      <c r="K3148" t="s">
        <v>221</v>
      </c>
      <c r="L3148" t="s">
        <v>3745</v>
      </c>
      <c r="M3148" t="s">
        <v>223</v>
      </c>
      <c r="P3148" t="s">
        <v>182</v>
      </c>
      <c r="R3148" t="s">
        <v>183</v>
      </c>
      <c r="S3148" t="s">
        <v>64</v>
      </c>
      <c r="T3148">
        <v>242</v>
      </c>
      <c r="U3148">
        <v>237</v>
      </c>
      <c r="V3148">
        <f t="shared" si="98"/>
        <v>239.5</v>
      </c>
      <c r="W3148">
        <f t="shared" si="99"/>
        <v>5</v>
      </c>
      <c r="X3148">
        <v>8.9463889999999999</v>
      </c>
      <c r="Y3148">
        <v>45.906944000000003</v>
      </c>
      <c r="Z3148" t="s">
        <v>1415</v>
      </c>
      <c r="AA3148" t="s">
        <v>226</v>
      </c>
      <c r="AB3148" t="s">
        <v>2079</v>
      </c>
      <c r="AC3148" t="s">
        <v>2080</v>
      </c>
      <c r="AD3148" t="s">
        <v>2106</v>
      </c>
      <c r="AF3148" t="s">
        <v>2107</v>
      </c>
      <c r="AH3148" t="s">
        <v>72</v>
      </c>
      <c r="AI3148" t="s">
        <v>5228</v>
      </c>
      <c r="AJ3148">
        <v>1985</v>
      </c>
      <c r="AK3148" t="s">
        <v>2107</v>
      </c>
      <c r="AM3148" t="s">
        <v>2108</v>
      </c>
      <c r="AN3148" t="s">
        <v>192</v>
      </c>
      <c r="AO3148" t="s">
        <v>77</v>
      </c>
      <c r="AP3148" t="s">
        <v>115</v>
      </c>
      <c r="AQ3148" t="s">
        <v>2109</v>
      </c>
      <c r="AR3148" t="s">
        <v>80</v>
      </c>
      <c r="AS3148">
        <v>307</v>
      </c>
      <c r="AT3148" t="s">
        <v>81</v>
      </c>
      <c r="AU3148">
        <v>33.630000000000003</v>
      </c>
      <c r="AV3148">
        <v>18.02</v>
      </c>
      <c r="AW3148" t="s">
        <v>82</v>
      </c>
      <c r="AX3148">
        <v>307</v>
      </c>
      <c r="AY3148" t="s">
        <v>81</v>
      </c>
      <c r="AZ3148">
        <v>20.6</v>
      </c>
      <c r="BA3148">
        <v>7.95</v>
      </c>
      <c r="BB3148" t="s">
        <v>83</v>
      </c>
    </row>
    <row r="3149" spans="1:54" x14ac:dyDescent="0.4">
      <c r="A3149">
        <v>1419102</v>
      </c>
      <c r="D3149" t="s">
        <v>2001</v>
      </c>
      <c r="I3149" t="s">
        <v>57</v>
      </c>
      <c r="K3149" t="s">
        <v>1359</v>
      </c>
      <c r="L3149" t="s">
        <v>5239</v>
      </c>
      <c r="M3149" t="s">
        <v>223</v>
      </c>
      <c r="P3149" t="s">
        <v>182</v>
      </c>
      <c r="R3149" t="s">
        <v>183</v>
      </c>
      <c r="S3149" t="s">
        <v>64</v>
      </c>
      <c r="T3149">
        <v>242</v>
      </c>
      <c r="U3149">
        <v>237</v>
      </c>
      <c r="V3149">
        <f t="shared" si="98"/>
        <v>239.5</v>
      </c>
      <c r="W3149">
        <f t="shared" si="99"/>
        <v>5</v>
      </c>
      <c r="X3149">
        <v>104.25</v>
      </c>
      <c r="Y3149">
        <v>25.67</v>
      </c>
      <c r="Z3149" t="s">
        <v>520</v>
      </c>
      <c r="AA3149" t="s">
        <v>379</v>
      </c>
      <c r="AB3149" t="s">
        <v>828</v>
      </c>
      <c r="AD3149" t="s">
        <v>3251</v>
      </c>
      <c r="AF3149" t="s">
        <v>3260</v>
      </c>
      <c r="AH3149" t="s">
        <v>72</v>
      </c>
      <c r="AI3149" t="s">
        <v>3353</v>
      </c>
      <c r="AJ3149">
        <v>2008</v>
      </c>
      <c r="AK3149" t="s">
        <v>3796</v>
      </c>
      <c r="AN3149" t="s">
        <v>114</v>
      </c>
      <c r="AO3149">
        <v>2</v>
      </c>
      <c r="AP3149" t="s">
        <v>115</v>
      </c>
      <c r="AR3149" t="s">
        <v>80</v>
      </c>
      <c r="AS3149">
        <v>611</v>
      </c>
      <c r="AT3149" t="s">
        <v>81</v>
      </c>
      <c r="AU3149">
        <v>107.79</v>
      </c>
      <c r="AV3149">
        <v>-7.4</v>
      </c>
      <c r="AW3149" t="s">
        <v>82</v>
      </c>
      <c r="AX3149">
        <v>611</v>
      </c>
      <c r="AY3149" t="s">
        <v>81</v>
      </c>
      <c r="AZ3149">
        <v>93.35</v>
      </c>
      <c r="BA3149">
        <v>16.48</v>
      </c>
      <c r="BB3149" t="s">
        <v>83</v>
      </c>
    </row>
    <row r="3150" spans="1:54" x14ac:dyDescent="0.4">
      <c r="A3150">
        <v>1419162</v>
      </c>
      <c r="D3150" t="s">
        <v>54</v>
      </c>
      <c r="I3150" t="s">
        <v>57</v>
      </c>
      <c r="K3150" t="s">
        <v>141</v>
      </c>
      <c r="L3150" t="s">
        <v>3400</v>
      </c>
      <c r="M3150" t="s">
        <v>223</v>
      </c>
      <c r="P3150" t="s">
        <v>182</v>
      </c>
      <c r="R3150" t="s">
        <v>183</v>
      </c>
      <c r="S3150" t="s">
        <v>64</v>
      </c>
      <c r="T3150">
        <v>242</v>
      </c>
      <c r="U3150">
        <v>237</v>
      </c>
      <c r="V3150">
        <f t="shared" si="98"/>
        <v>239.5</v>
      </c>
      <c r="W3150">
        <f t="shared" si="99"/>
        <v>5</v>
      </c>
      <c r="X3150">
        <v>11.628610999999999</v>
      </c>
      <c r="Y3150">
        <v>51.088054999999997</v>
      </c>
      <c r="Z3150" t="s">
        <v>520</v>
      </c>
      <c r="AA3150" t="s">
        <v>211</v>
      </c>
      <c r="AB3150" t="s">
        <v>977</v>
      </c>
      <c r="AD3150" t="s">
        <v>3617</v>
      </c>
      <c r="AE3150" t="s">
        <v>1378</v>
      </c>
      <c r="AH3150" t="s">
        <v>72</v>
      </c>
      <c r="AI3150" t="s">
        <v>5245</v>
      </c>
      <c r="AJ3150">
        <v>2017</v>
      </c>
      <c r="AK3150" t="s">
        <v>4158</v>
      </c>
      <c r="AN3150" t="s">
        <v>192</v>
      </c>
      <c r="AO3150" t="s">
        <v>77</v>
      </c>
      <c r="AP3150" t="s">
        <v>115</v>
      </c>
      <c r="AQ3150" t="s">
        <v>4159</v>
      </c>
      <c r="AR3150" t="s">
        <v>80</v>
      </c>
      <c r="AS3150">
        <v>305</v>
      </c>
      <c r="AT3150" t="s">
        <v>81</v>
      </c>
      <c r="AU3150">
        <v>28.82</v>
      </c>
      <c r="AV3150">
        <v>31</v>
      </c>
      <c r="AW3150" t="s">
        <v>82</v>
      </c>
      <c r="AX3150">
        <v>305</v>
      </c>
      <c r="AY3150" t="s">
        <v>81</v>
      </c>
      <c r="AZ3150">
        <v>17.98</v>
      </c>
      <c r="BA3150">
        <v>17.670000000000002</v>
      </c>
      <c r="BB3150" t="s">
        <v>83</v>
      </c>
    </row>
    <row r="3151" spans="1:54" x14ac:dyDescent="0.4">
      <c r="A3151">
        <v>1419164</v>
      </c>
      <c r="D3151" t="s">
        <v>54</v>
      </c>
      <c r="I3151" t="s">
        <v>57</v>
      </c>
      <c r="K3151" t="s">
        <v>141</v>
      </c>
      <c r="L3151" t="s">
        <v>3400</v>
      </c>
      <c r="M3151" t="s">
        <v>223</v>
      </c>
      <c r="P3151" t="s">
        <v>182</v>
      </c>
      <c r="R3151" t="s">
        <v>183</v>
      </c>
      <c r="S3151" t="s">
        <v>64</v>
      </c>
      <c r="T3151">
        <v>242</v>
      </c>
      <c r="U3151">
        <v>237</v>
      </c>
      <c r="V3151">
        <f t="shared" si="98"/>
        <v>239.5</v>
      </c>
      <c r="W3151">
        <f t="shared" si="99"/>
        <v>5</v>
      </c>
      <c r="X3151">
        <v>18.847778000000002</v>
      </c>
      <c r="Y3151">
        <v>50.440834000000002</v>
      </c>
      <c r="Z3151" t="s">
        <v>520</v>
      </c>
      <c r="AA3151" t="s">
        <v>697</v>
      </c>
      <c r="AE3151" t="s">
        <v>1378</v>
      </c>
      <c r="AH3151" t="s">
        <v>72</v>
      </c>
      <c r="AI3151" t="s">
        <v>5245</v>
      </c>
      <c r="AJ3151">
        <v>2017</v>
      </c>
      <c r="AK3151" t="s">
        <v>4213</v>
      </c>
      <c r="AM3151" t="s">
        <v>4214</v>
      </c>
      <c r="AN3151" t="s">
        <v>192</v>
      </c>
      <c r="AO3151" t="s">
        <v>77</v>
      </c>
      <c r="AP3151" t="s">
        <v>115</v>
      </c>
      <c r="AR3151" t="s">
        <v>80</v>
      </c>
      <c r="AS3151">
        <v>305</v>
      </c>
      <c r="AT3151" t="s">
        <v>81</v>
      </c>
      <c r="AU3151">
        <v>34.15</v>
      </c>
      <c r="AV3151">
        <v>31.74</v>
      </c>
      <c r="AW3151" t="s">
        <v>82</v>
      </c>
      <c r="AX3151">
        <v>305</v>
      </c>
      <c r="AY3151" t="s">
        <v>81</v>
      </c>
      <c r="AZ3151">
        <v>22.51</v>
      </c>
      <c r="BA3151">
        <v>19.34</v>
      </c>
      <c r="BB3151" t="s">
        <v>83</v>
      </c>
    </row>
    <row r="3152" spans="1:54" x14ac:dyDescent="0.4">
      <c r="A3152">
        <v>1419215</v>
      </c>
      <c r="D3152" t="s">
        <v>54</v>
      </c>
      <c r="I3152" t="s">
        <v>57</v>
      </c>
      <c r="K3152" t="s">
        <v>141</v>
      </c>
      <c r="L3152" t="s">
        <v>5264</v>
      </c>
      <c r="M3152" t="s">
        <v>60</v>
      </c>
      <c r="P3152" t="s">
        <v>182</v>
      </c>
      <c r="R3152" t="s">
        <v>183</v>
      </c>
      <c r="S3152" t="s">
        <v>64</v>
      </c>
      <c r="T3152">
        <v>242</v>
      </c>
      <c r="U3152">
        <v>237</v>
      </c>
      <c r="V3152">
        <f t="shared" si="98"/>
        <v>239.5</v>
      </c>
      <c r="W3152">
        <f t="shared" si="99"/>
        <v>5</v>
      </c>
      <c r="X3152">
        <v>9.6524999999999999</v>
      </c>
      <c r="Y3152">
        <v>48.088054999999997</v>
      </c>
      <c r="Z3152" t="s">
        <v>520</v>
      </c>
      <c r="AA3152" t="s">
        <v>211</v>
      </c>
      <c r="AB3152" t="s">
        <v>212</v>
      </c>
      <c r="AE3152" t="s">
        <v>4123</v>
      </c>
      <c r="AH3152" t="s">
        <v>72</v>
      </c>
      <c r="AI3152" t="s">
        <v>5265</v>
      </c>
      <c r="AJ3152">
        <v>2014</v>
      </c>
      <c r="AK3152" t="s">
        <v>4124</v>
      </c>
      <c r="AN3152" t="s">
        <v>192</v>
      </c>
      <c r="AO3152" t="s">
        <v>77</v>
      </c>
      <c r="AP3152" t="s">
        <v>115</v>
      </c>
      <c r="AR3152" t="s">
        <v>80</v>
      </c>
      <c r="AS3152">
        <v>305</v>
      </c>
      <c r="AT3152" t="s">
        <v>81</v>
      </c>
      <c r="AU3152">
        <v>28.31</v>
      </c>
      <c r="AV3152">
        <v>27.77</v>
      </c>
      <c r="AW3152" t="s">
        <v>82</v>
      </c>
      <c r="AX3152">
        <v>305</v>
      </c>
      <c r="AY3152" t="s">
        <v>81</v>
      </c>
      <c r="AZ3152">
        <v>18.18</v>
      </c>
      <c r="BA3152">
        <v>14.41</v>
      </c>
      <c r="BB3152" t="s">
        <v>83</v>
      </c>
    </row>
    <row r="3153" spans="1:54" x14ac:dyDescent="0.4">
      <c r="A3153">
        <v>1419794</v>
      </c>
      <c r="D3153" t="s">
        <v>853</v>
      </c>
      <c r="E3153" t="s">
        <v>310</v>
      </c>
      <c r="I3153" t="s">
        <v>57</v>
      </c>
      <c r="K3153" t="s">
        <v>771</v>
      </c>
      <c r="L3153" t="s">
        <v>3899</v>
      </c>
      <c r="M3153" t="s">
        <v>223</v>
      </c>
      <c r="P3153" t="s">
        <v>182</v>
      </c>
      <c r="R3153" t="s">
        <v>183</v>
      </c>
      <c r="S3153" t="s">
        <v>64</v>
      </c>
      <c r="T3153">
        <v>242</v>
      </c>
      <c r="U3153">
        <v>237</v>
      </c>
      <c r="V3153">
        <f t="shared" si="98"/>
        <v>239.5</v>
      </c>
      <c r="W3153">
        <f t="shared" si="99"/>
        <v>5</v>
      </c>
      <c r="X3153">
        <v>8.9463889999999999</v>
      </c>
      <c r="Y3153">
        <v>45.906944000000003</v>
      </c>
      <c r="Z3153" t="s">
        <v>1415</v>
      </c>
      <c r="AA3153" t="s">
        <v>226</v>
      </c>
      <c r="AB3153" t="s">
        <v>2079</v>
      </c>
      <c r="AC3153" t="s">
        <v>2080</v>
      </c>
      <c r="AD3153" t="s">
        <v>2106</v>
      </c>
      <c r="AF3153" t="s">
        <v>2107</v>
      </c>
      <c r="AH3153" t="s">
        <v>72</v>
      </c>
      <c r="AI3153" t="s">
        <v>5302</v>
      </c>
      <c r="AJ3153">
        <v>2009</v>
      </c>
      <c r="AK3153" t="s">
        <v>2107</v>
      </c>
      <c r="AM3153" t="s">
        <v>2108</v>
      </c>
      <c r="AN3153" t="s">
        <v>192</v>
      </c>
      <c r="AO3153" t="s">
        <v>77</v>
      </c>
      <c r="AP3153" t="s">
        <v>115</v>
      </c>
      <c r="AQ3153" t="s">
        <v>2109</v>
      </c>
      <c r="AR3153" t="s">
        <v>80</v>
      </c>
      <c r="AS3153">
        <v>307</v>
      </c>
      <c r="AT3153" t="s">
        <v>81</v>
      </c>
      <c r="AU3153">
        <v>33.630000000000003</v>
      </c>
      <c r="AV3153">
        <v>18.02</v>
      </c>
      <c r="AW3153" t="s">
        <v>82</v>
      </c>
      <c r="AX3153">
        <v>307</v>
      </c>
      <c r="AY3153" t="s">
        <v>81</v>
      </c>
      <c r="AZ3153">
        <v>20.6</v>
      </c>
      <c r="BA3153">
        <v>7.95</v>
      </c>
      <c r="BB3153" t="s">
        <v>83</v>
      </c>
    </row>
    <row r="3154" spans="1:54" x14ac:dyDescent="0.4">
      <c r="A3154">
        <v>1419795</v>
      </c>
      <c r="D3154" t="s">
        <v>853</v>
      </c>
      <c r="E3154" t="s">
        <v>310</v>
      </c>
      <c r="I3154" t="s">
        <v>57</v>
      </c>
      <c r="K3154" t="s">
        <v>746</v>
      </c>
      <c r="L3154" t="s">
        <v>1357</v>
      </c>
      <c r="M3154" t="s">
        <v>60</v>
      </c>
      <c r="N3154" t="s">
        <v>119</v>
      </c>
      <c r="O3154" t="s">
        <v>345</v>
      </c>
      <c r="P3154" t="s">
        <v>182</v>
      </c>
      <c r="R3154" t="s">
        <v>183</v>
      </c>
      <c r="S3154" t="s">
        <v>64</v>
      </c>
      <c r="T3154">
        <v>242</v>
      </c>
      <c r="U3154">
        <v>237</v>
      </c>
      <c r="V3154">
        <f t="shared" si="98"/>
        <v>239.5</v>
      </c>
      <c r="W3154">
        <f t="shared" si="99"/>
        <v>5</v>
      </c>
      <c r="X3154">
        <v>8.9463889999999999</v>
      </c>
      <c r="Y3154">
        <v>45.906944000000003</v>
      </c>
      <c r="Z3154" t="s">
        <v>1415</v>
      </c>
      <c r="AA3154" t="s">
        <v>226</v>
      </c>
      <c r="AB3154" t="s">
        <v>2079</v>
      </c>
      <c r="AC3154" t="s">
        <v>2080</v>
      </c>
      <c r="AD3154" t="s">
        <v>2106</v>
      </c>
      <c r="AF3154" t="s">
        <v>2107</v>
      </c>
      <c r="AH3154" t="s">
        <v>72</v>
      </c>
      <c r="AI3154" t="s">
        <v>5302</v>
      </c>
      <c r="AJ3154">
        <v>2009</v>
      </c>
      <c r="AK3154" t="s">
        <v>2107</v>
      </c>
      <c r="AM3154" t="s">
        <v>2108</v>
      </c>
      <c r="AN3154" t="s">
        <v>192</v>
      </c>
      <c r="AO3154" t="s">
        <v>77</v>
      </c>
      <c r="AP3154" t="s">
        <v>115</v>
      </c>
      <c r="AQ3154" t="s">
        <v>2109</v>
      </c>
      <c r="AR3154" t="s">
        <v>80</v>
      </c>
      <c r="AS3154">
        <v>307</v>
      </c>
      <c r="AT3154" t="s">
        <v>81</v>
      </c>
      <c r="AU3154">
        <v>33.630000000000003</v>
      </c>
      <c r="AV3154">
        <v>18.02</v>
      </c>
      <c r="AW3154" t="s">
        <v>82</v>
      </c>
      <c r="AX3154">
        <v>307</v>
      </c>
      <c r="AY3154" t="s">
        <v>81</v>
      </c>
      <c r="AZ3154">
        <v>20.6</v>
      </c>
      <c r="BA3154">
        <v>7.95</v>
      </c>
      <c r="BB3154" t="s">
        <v>83</v>
      </c>
    </row>
    <row r="3155" spans="1:54" x14ac:dyDescent="0.4">
      <c r="A3155">
        <v>1432005</v>
      </c>
      <c r="D3155" t="s">
        <v>54</v>
      </c>
      <c r="G3155">
        <v>1</v>
      </c>
      <c r="H3155" t="s">
        <v>84</v>
      </c>
      <c r="I3155" t="s">
        <v>57</v>
      </c>
      <c r="K3155" t="s">
        <v>141</v>
      </c>
      <c r="L3155" t="s">
        <v>5374</v>
      </c>
      <c r="M3155" t="s">
        <v>223</v>
      </c>
      <c r="P3155" t="s">
        <v>182</v>
      </c>
      <c r="R3155" t="s">
        <v>183</v>
      </c>
      <c r="S3155" t="s">
        <v>64</v>
      </c>
      <c r="T3155">
        <v>242</v>
      </c>
      <c r="U3155">
        <v>237</v>
      </c>
      <c r="V3155">
        <f t="shared" si="98"/>
        <v>239.5</v>
      </c>
      <c r="W3155">
        <f t="shared" si="99"/>
        <v>5</v>
      </c>
      <c r="X3155">
        <v>9.9138889999999993</v>
      </c>
      <c r="Y3155">
        <v>47.146388999999999</v>
      </c>
      <c r="Z3155" t="s">
        <v>520</v>
      </c>
      <c r="AA3155" t="s">
        <v>712</v>
      </c>
      <c r="AB3155" t="s">
        <v>5375</v>
      </c>
      <c r="AC3155" t="s">
        <v>5376</v>
      </c>
      <c r="AD3155" t="s">
        <v>5036</v>
      </c>
      <c r="AH3155" t="s">
        <v>72</v>
      </c>
      <c r="AI3155" t="s">
        <v>2013</v>
      </c>
      <c r="AJ3155">
        <v>1996</v>
      </c>
      <c r="AK3155" t="s">
        <v>5377</v>
      </c>
      <c r="AN3155" t="s">
        <v>114</v>
      </c>
      <c r="AO3155" t="s">
        <v>77</v>
      </c>
      <c r="AP3155" t="s">
        <v>115</v>
      </c>
      <c r="AQ3155" t="s">
        <v>5378</v>
      </c>
      <c r="AR3155" t="s">
        <v>80</v>
      </c>
      <c r="AS3155">
        <v>307</v>
      </c>
      <c r="AT3155" t="s">
        <v>81</v>
      </c>
      <c r="AU3155">
        <v>35.11</v>
      </c>
      <c r="AV3155">
        <v>17.98</v>
      </c>
      <c r="AW3155" t="s">
        <v>82</v>
      </c>
      <c r="AX3155">
        <v>307</v>
      </c>
      <c r="AY3155" t="s">
        <v>81</v>
      </c>
      <c r="AZ3155">
        <v>21.89</v>
      </c>
      <c r="BA3155">
        <v>8.5500000000000007</v>
      </c>
      <c r="BB3155" t="s">
        <v>83</v>
      </c>
    </row>
    <row r="3156" spans="1:54" x14ac:dyDescent="0.4">
      <c r="A3156">
        <v>1432348</v>
      </c>
      <c r="D3156" t="s">
        <v>54</v>
      </c>
      <c r="I3156" t="s">
        <v>57</v>
      </c>
      <c r="K3156" t="s">
        <v>1347</v>
      </c>
      <c r="L3156" t="s">
        <v>1348</v>
      </c>
      <c r="M3156" t="s">
        <v>223</v>
      </c>
      <c r="N3156" t="s">
        <v>485</v>
      </c>
      <c r="O3156" t="s">
        <v>1349</v>
      </c>
      <c r="P3156" t="s">
        <v>182</v>
      </c>
      <c r="R3156" t="s">
        <v>183</v>
      </c>
      <c r="S3156" t="s">
        <v>64</v>
      </c>
      <c r="T3156">
        <v>242</v>
      </c>
      <c r="U3156">
        <v>237</v>
      </c>
      <c r="V3156">
        <f t="shared" si="98"/>
        <v>239.5</v>
      </c>
      <c r="W3156">
        <f t="shared" si="99"/>
        <v>5</v>
      </c>
      <c r="X3156">
        <v>11.641389</v>
      </c>
      <c r="Y3156">
        <v>49.963611999999998</v>
      </c>
      <c r="Z3156" t="s">
        <v>520</v>
      </c>
      <c r="AA3156" t="s">
        <v>211</v>
      </c>
      <c r="AE3156" t="s">
        <v>1378</v>
      </c>
      <c r="AH3156" t="s">
        <v>72</v>
      </c>
      <c r="AI3156" t="s">
        <v>2013</v>
      </c>
      <c r="AJ3156">
        <v>1995</v>
      </c>
      <c r="AK3156" t="s">
        <v>4148</v>
      </c>
      <c r="AM3156" t="s">
        <v>4149</v>
      </c>
      <c r="AN3156" t="s">
        <v>192</v>
      </c>
      <c r="AO3156" t="s">
        <v>77</v>
      </c>
      <c r="AP3156" t="s">
        <v>115</v>
      </c>
      <c r="AQ3156" t="s">
        <v>4150</v>
      </c>
      <c r="AR3156" t="s">
        <v>80</v>
      </c>
      <c r="AS3156">
        <v>305</v>
      </c>
      <c r="AT3156" t="s">
        <v>81</v>
      </c>
      <c r="AU3156">
        <v>29.18</v>
      </c>
      <c r="AV3156">
        <v>29.92</v>
      </c>
      <c r="AW3156" t="s">
        <v>82</v>
      </c>
      <c r="AX3156">
        <v>305</v>
      </c>
      <c r="AY3156" t="s">
        <v>81</v>
      </c>
      <c r="AZ3156">
        <v>18.52</v>
      </c>
      <c r="BA3156">
        <v>16.670000000000002</v>
      </c>
      <c r="BB3156" t="s">
        <v>83</v>
      </c>
    </row>
    <row r="3157" spans="1:54" x14ac:dyDescent="0.4">
      <c r="A3157">
        <v>1456893</v>
      </c>
      <c r="D3157" t="s">
        <v>54</v>
      </c>
      <c r="G3157">
        <v>1</v>
      </c>
      <c r="H3157" t="s">
        <v>84</v>
      </c>
      <c r="I3157" t="s">
        <v>57</v>
      </c>
      <c r="K3157" t="s">
        <v>771</v>
      </c>
      <c r="L3157" t="s">
        <v>772</v>
      </c>
      <c r="M3157" t="s">
        <v>223</v>
      </c>
      <c r="P3157" t="s">
        <v>182</v>
      </c>
      <c r="R3157" t="s">
        <v>183</v>
      </c>
      <c r="S3157" t="s">
        <v>64</v>
      </c>
      <c r="T3157">
        <v>242</v>
      </c>
      <c r="U3157">
        <v>237</v>
      </c>
      <c r="V3157">
        <f t="shared" si="98"/>
        <v>239.5</v>
      </c>
      <c r="W3157">
        <f t="shared" si="99"/>
        <v>5</v>
      </c>
      <c r="X3157">
        <v>9.9041669999999993</v>
      </c>
      <c r="Y3157">
        <v>49.073891000000003</v>
      </c>
      <c r="Z3157" t="s">
        <v>520</v>
      </c>
      <c r="AA3157" t="s">
        <v>211</v>
      </c>
      <c r="AB3157" t="s">
        <v>212</v>
      </c>
      <c r="AD3157" t="s">
        <v>960</v>
      </c>
      <c r="AE3157" t="s">
        <v>215</v>
      </c>
      <c r="AF3157" t="s">
        <v>5427</v>
      </c>
      <c r="AH3157" t="s">
        <v>72</v>
      </c>
      <c r="AI3157" t="s">
        <v>5428</v>
      </c>
      <c r="AJ3157">
        <v>2019</v>
      </c>
      <c r="AK3157" t="s">
        <v>5429</v>
      </c>
      <c r="AM3157" t="s">
        <v>5430</v>
      </c>
      <c r="AN3157" t="s">
        <v>76</v>
      </c>
      <c r="AO3157" t="s">
        <v>77</v>
      </c>
      <c r="AR3157" t="s">
        <v>80</v>
      </c>
      <c r="AS3157">
        <v>305</v>
      </c>
      <c r="AT3157" t="s">
        <v>81</v>
      </c>
      <c r="AU3157">
        <v>28.21</v>
      </c>
      <c r="AV3157">
        <v>28.77</v>
      </c>
      <c r="AW3157" t="s">
        <v>82</v>
      </c>
      <c r="AX3157">
        <v>305</v>
      </c>
      <c r="AY3157" t="s">
        <v>81</v>
      </c>
      <c r="AZ3157">
        <v>17.89</v>
      </c>
      <c r="BA3157">
        <v>15.37</v>
      </c>
      <c r="BB3157" t="s">
        <v>83</v>
      </c>
    </row>
    <row r="3158" spans="1:54" x14ac:dyDescent="0.4">
      <c r="A3158">
        <v>1523739</v>
      </c>
      <c r="D3158" t="s">
        <v>54</v>
      </c>
      <c r="E3158" t="s">
        <v>310</v>
      </c>
      <c r="I3158" t="s">
        <v>57</v>
      </c>
      <c r="K3158" t="s">
        <v>141</v>
      </c>
      <c r="L3158" t="s">
        <v>1824</v>
      </c>
      <c r="M3158" t="s">
        <v>223</v>
      </c>
      <c r="P3158" t="s">
        <v>182</v>
      </c>
      <c r="R3158" t="s">
        <v>183</v>
      </c>
      <c r="S3158" t="s">
        <v>64</v>
      </c>
      <c r="T3158">
        <v>242</v>
      </c>
      <c r="U3158">
        <v>237</v>
      </c>
      <c r="V3158">
        <f t="shared" si="98"/>
        <v>239.5</v>
      </c>
      <c r="W3158">
        <f t="shared" si="99"/>
        <v>5</v>
      </c>
      <c r="X3158">
        <v>104.788498</v>
      </c>
      <c r="Y3158">
        <v>25.1646</v>
      </c>
      <c r="Z3158" t="s">
        <v>520</v>
      </c>
      <c r="AA3158" t="s">
        <v>379</v>
      </c>
      <c r="AB3158" t="s">
        <v>682</v>
      </c>
      <c r="AD3158" t="s">
        <v>3251</v>
      </c>
      <c r="AF3158" t="s">
        <v>3260</v>
      </c>
      <c r="AH3158" t="s">
        <v>72</v>
      </c>
      <c r="AI3158" t="s">
        <v>3571</v>
      </c>
      <c r="AJ3158">
        <v>2020</v>
      </c>
      <c r="AK3158" t="s">
        <v>5488</v>
      </c>
      <c r="AN3158" t="s">
        <v>114</v>
      </c>
      <c r="AO3158">
        <v>4</v>
      </c>
      <c r="AP3158" t="s">
        <v>115</v>
      </c>
      <c r="AQ3158" t="s">
        <v>5489</v>
      </c>
      <c r="AR3158" t="s">
        <v>80</v>
      </c>
      <c r="AS3158">
        <v>611</v>
      </c>
      <c r="AT3158" t="s">
        <v>81</v>
      </c>
      <c r="AU3158">
        <v>108.27</v>
      </c>
      <c r="AV3158">
        <v>-7.92</v>
      </c>
      <c r="AW3158" t="s">
        <v>82</v>
      </c>
      <c r="AX3158">
        <v>611</v>
      </c>
      <c r="AY3158" t="s">
        <v>81</v>
      </c>
      <c r="AZ3158">
        <v>94.06</v>
      </c>
      <c r="BA3158">
        <v>16.28</v>
      </c>
      <c r="BB3158" t="s">
        <v>83</v>
      </c>
    </row>
    <row r="3159" spans="1:54" x14ac:dyDescent="0.4">
      <c r="A3159">
        <v>1523740</v>
      </c>
      <c r="D3159" t="s">
        <v>54</v>
      </c>
      <c r="E3159" t="s">
        <v>310</v>
      </c>
      <c r="I3159" t="s">
        <v>57</v>
      </c>
      <c r="K3159" t="s">
        <v>1816</v>
      </c>
      <c r="L3159" t="s">
        <v>1817</v>
      </c>
      <c r="M3159" t="s">
        <v>223</v>
      </c>
      <c r="N3159" t="s">
        <v>234</v>
      </c>
      <c r="O3159" t="s">
        <v>345</v>
      </c>
      <c r="P3159" t="s">
        <v>182</v>
      </c>
      <c r="R3159" t="s">
        <v>183</v>
      </c>
      <c r="S3159" t="s">
        <v>64</v>
      </c>
      <c r="T3159">
        <v>242</v>
      </c>
      <c r="U3159">
        <v>237</v>
      </c>
      <c r="V3159">
        <f t="shared" si="98"/>
        <v>239.5</v>
      </c>
      <c r="W3159">
        <f t="shared" si="99"/>
        <v>5</v>
      </c>
      <c r="X3159">
        <v>104.788498</v>
      </c>
      <c r="Y3159">
        <v>25.1646</v>
      </c>
      <c r="Z3159" t="s">
        <v>520</v>
      </c>
      <c r="AA3159" t="s">
        <v>379</v>
      </c>
      <c r="AB3159" t="s">
        <v>682</v>
      </c>
      <c r="AD3159" t="s">
        <v>3251</v>
      </c>
      <c r="AF3159" t="s">
        <v>3260</v>
      </c>
      <c r="AH3159" t="s">
        <v>11</v>
      </c>
      <c r="AI3159" t="s">
        <v>3571</v>
      </c>
      <c r="AJ3159">
        <v>2020</v>
      </c>
      <c r="AK3159" t="s">
        <v>5488</v>
      </c>
      <c r="AN3159" t="s">
        <v>114</v>
      </c>
      <c r="AO3159">
        <v>4</v>
      </c>
      <c r="AP3159" t="s">
        <v>115</v>
      </c>
      <c r="AQ3159" t="s">
        <v>5489</v>
      </c>
      <c r="AR3159" t="s">
        <v>80</v>
      </c>
      <c r="AS3159">
        <v>611</v>
      </c>
      <c r="AT3159" t="s">
        <v>81</v>
      </c>
      <c r="AU3159">
        <v>108.27</v>
      </c>
      <c r="AV3159">
        <v>-7.92</v>
      </c>
      <c r="AW3159" t="s">
        <v>82</v>
      </c>
      <c r="AX3159">
        <v>611</v>
      </c>
      <c r="AY3159" t="s">
        <v>81</v>
      </c>
      <c r="AZ3159">
        <v>94.06</v>
      </c>
      <c r="BA3159">
        <v>16.28</v>
      </c>
      <c r="BB3159" t="s">
        <v>83</v>
      </c>
    </row>
    <row r="3160" spans="1:54" x14ac:dyDescent="0.4">
      <c r="A3160">
        <v>1565299</v>
      </c>
      <c r="D3160" t="s">
        <v>179</v>
      </c>
      <c r="E3160" t="s">
        <v>152</v>
      </c>
      <c r="G3160">
        <v>1</v>
      </c>
      <c r="H3160" t="s">
        <v>84</v>
      </c>
      <c r="I3160" t="s">
        <v>57</v>
      </c>
      <c r="K3160" t="s">
        <v>316</v>
      </c>
      <c r="L3160" t="s">
        <v>317</v>
      </c>
      <c r="M3160" t="s">
        <v>60</v>
      </c>
      <c r="P3160" t="s">
        <v>182</v>
      </c>
      <c r="R3160" t="s">
        <v>183</v>
      </c>
      <c r="S3160" t="s">
        <v>64</v>
      </c>
      <c r="T3160">
        <v>242</v>
      </c>
      <c r="U3160">
        <v>237</v>
      </c>
      <c r="V3160">
        <f t="shared" si="98"/>
        <v>239.5</v>
      </c>
      <c r="W3160">
        <f t="shared" si="99"/>
        <v>5</v>
      </c>
      <c r="X3160">
        <v>-67.820556999999994</v>
      </c>
      <c r="Y3160">
        <v>-29.823055</v>
      </c>
      <c r="Z3160" t="s">
        <v>184</v>
      </c>
      <c r="AA3160" t="s">
        <v>185</v>
      </c>
      <c r="AB3160" t="s">
        <v>186</v>
      </c>
      <c r="AD3160" t="s">
        <v>187</v>
      </c>
      <c r="AE3160" t="s">
        <v>188</v>
      </c>
      <c r="AH3160" t="s">
        <v>11</v>
      </c>
      <c r="AI3160" t="s">
        <v>5567</v>
      </c>
      <c r="AJ3160">
        <v>2014</v>
      </c>
      <c r="AK3160" t="s">
        <v>190</v>
      </c>
      <c r="AL3160">
        <v>26092</v>
      </c>
      <c r="AM3160" t="s">
        <v>191</v>
      </c>
      <c r="AN3160" t="s">
        <v>192</v>
      </c>
      <c r="AO3160" t="s">
        <v>77</v>
      </c>
      <c r="AP3160" t="s">
        <v>115</v>
      </c>
      <c r="AQ3160" t="s">
        <v>193</v>
      </c>
      <c r="AR3160" t="s">
        <v>80</v>
      </c>
      <c r="AS3160">
        <v>291</v>
      </c>
      <c r="AT3160" t="s">
        <v>81</v>
      </c>
      <c r="AU3160">
        <v>-27.03</v>
      </c>
      <c r="AV3160">
        <v>-33.78</v>
      </c>
      <c r="AW3160" t="s">
        <v>82</v>
      </c>
      <c r="AX3160">
        <v>291</v>
      </c>
      <c r="AY3160" t="s">
        <v>81</v>
      </c>
      <c r="AZ3160">
        <v>-37.770000000000003</v>
      </c>
      <c r="BA3160">
        <v>-49.88</v>
      </c>
      <c r="BB3160" t="s">
        <v>83</v>
      </c>
    </row>
    <row r="3161" spans="1:54" x14ac:dyDescent="0.4">
      <c r="A3161">
        <v>1615939</v>
      </c>
      <c r="D3161" t="s">
        <v>54</v>
      </c>
      <c r="G3161">
        <v>1</v>
      </c>
      <c r="H3161" t="s">
        <v>84</v>
      </c>
      <c r="I3161" t="s">
        <v>57</v>
      </c>
      <c r="K3161" t="s">
        <v>180</v>
      </c>
      <c r="L3161" t="s">
        <v>5643</v>
      </c>
      <c r="M3161" t="s">
        <v>60</v>
      </c>
      <c r="N3161" t="s">
        <v>119</v>
      </c>
      <c r="P3161" t="s">
        <v>182</v>
      </c>
      <c r="R3161" t="s">
        <v>183</v>
      </c>
      <c r="S3161" t="s">
        <v>64</v>
      </c>
      <c r="T3161">
        <v>242</v>
      </c>
      <c r="U3161">
        <v>237</v>
      </c>
      <c r="V3161">
        <f t="shared" si="98"/>
        <v>239.5</v>
      </c>
      <c r="W3161">
        <f t="shared" si="99"/>
        <v>5</v>
      </c>
      <c r="X3161">
        <v>-54.099997999999999</v>
      </c>
      <c r="Y3161">
        <v>-29.776942999999999</v>
      </c>
      <c r="Z3161" t="s">
        <v>105</v>
      </c>
      <c r="AA3161" t="s">
        <v>783</v>
      </c>
      <c r="AB3161" t="s">
        <v>784</v>
      </c>
      <c r="AC3161" t="s">
        <v>5644</v>
      </c>
      <c r="AD3161" t="s">
        <v>943</v>
      </c>
      <c r="AG3161" t="s">
        <v>5645</v>
      </c>
      <c r="AH3161" t="s">
        <v>72</v>
      </c>
      <c r="AI3161" t="s">
        <v>5646</v>
      </c>
      <c r="AJ3161">
        <v>2022</v>
      </c>
      <c r="AK3161" t="s">
        <v>5647</v>
      </c>
      <c r="AN3161" t="s">
        <v>76</v>
      </c>
      <c r="AO3161" t="s">
        <v>77</v>
      </c>
      <c r="AP3161" t="s">
        <v>78</v>
      </c>
      <c r="AQ3161" t="s">
        <v>5648</v>
      </c>
      <c r="AR3161" t="s">
        <v>80</v>
      </c>
      <c r="AS3161">
        <v>201</v>
      </c>
      <c r="AT3161" t="s">
        <v>81</v>
      </c>
      <c r="AU3161">
        <v>-13.04</v>
      </c>
      <c r="AV3161">
        <v>-35.29</v>
      </c>
      <c r="AW3161" t="s">
        <v>82</v>
      </c>
      <c r="AX3161">
        <v>202</v>
      </c>
      <c r="AY3161" t="s">
        <v>81</v>
      </c>
      <c r="AZ3161">
        <v>-19.2</v>
      </c>
      <c r="BA3161">
        <v>-51.86</v>
      </c>
      <c r="BB3161" t="s">
        <v>83</v>
      </c>
    </row>
    <row r="3162" spans="1:54" x14ac:dyDescent="0.4">
      <c r="A3162" s="2" t="s">
        <v>5921</v>
      </c>
      <c r="B3162" s="2"/>
      <c r="C3162" s="2"/>
      <c r="D3162" s="2" t="s">
        <v>54</v>
      </c>
      <c r="E3162" s="2"/>
      <c r="F3162" s="2" t="s">
        <v>5922</v>
      </c>
      <c r="G3162" s="2">
        <v>1</v>
      </c>
      <c r="H3162" s="2" t="s">
        <v>5718</v>
      </c>
      <c r="I3162" s="3" t="s">
        <v>57</v>
      </c>
      <c r="J3162" s="3" t="s">
        <v>5719</v>
      </c>
      <c r="K3162" s="3" t="s">
        <v>840</v>
      </c>
      <c r="L3162" s="4" t="s">
        <v>3660</v>
      </c>
      <c r="M3162" s="3" t="s">
        <v>60</v>
      </c>
      <c r="N3162" s="4"/>
      <c r="O3162" s="4"/>
      <c r="P3162" s="3" t="s">
        <v>182</v>
      </c>
      <c r="Q3162" s="3"/>
      <c r="R3162" s="3" t="s">
        <v>183</v>
      </c>
      <c r="S3162" s="3" t="s">
        <v>64</v>
      </c>
      <c r="T3162">
        <v>242</v>
      </c>
      <c r="U3162">
        <v>237</v>
      </c>
      <c r="V3162">
        <f t="shared" si="98"/>
        <v>239.5</v>
      </c>
      <c r="W3162">
        <f t="shared" si="99"/>
        <v>5</v>
      </c>
      <c r="X3162" s="5">
        <v>-51.94</v>
      </c>
      <c r="Y3162" s="5">
        <v>-29.69</v>
      </c>
      <c r="Z3162" s="3"/>
      <c r="AA3162" s="3" t="s">
        <v>783</v>
      </c>
      <c r="AB3162" s="3" t="s">
        <v>5828</v>
      </c>
      <c r="AC3162" s="3" t="s">
        <v>5923</v>
      </c>
      <c r="AD3162" s="3" t="s">
        <v>943</v>
      </c>
      <c r="AE3162" s="3" t="s">
        <v>5830</v>
      </c>
      <c r="AF3162" s="3" t="s">
        <v>944</v>
      </c>
      <c r="AG3162" s="4" t="s">
        <v>949</v>
      </c>
      <c r="AH3162" s="4"/>
      <c r="AI3162" s="3" t="s">
        <v>5924</v>
      </c>
      <c r="AJ3162" s="3">
        <v>2016</v>
      </c>
      <c r="AK3162" s="10" t="s">
        <v>5832</v>
      </c>
      <c r="AL3162" s="11" t="s">
        <v>5925</v>
      </c>
      <c r="AM3162" s="5"/>
      <c r="AN3162" s="5"/>
      <c r="AO3162" s="3"/>
      <c r="AP3162" s="3"/>
      <c r="AQ3162" s="3"/>
      <c r="AR3162" s="3"/>
      <c r="AS3162" s="3"/>
      <c r="AT3162" s="3"/>
      <c r="AU3162" s="3"/>
      <c r="AV3162" s="3"/>
      <c r="AW3162" s="3"/>
      <c r="AX3162" s="3"/>
      <c r="AY3162" s="3"/>
      <c r="AZ3162" s="3"/>
      <c r="BA3162" s="3"/>
      <c r="BB3162" s="3"/>
    </row>
    <row r="3163" spans="1:54" x14ac:dyDescent="0.4">
      <c r="A3163" s="2" t="s">
        <v>5926</v>
      </c>
      <c r="B3163" s="2"/>
      <c r="C3163" s="2"/>
      <c r="D3163" s="2" t="s">
        <v>54</v>
      </c>
      <c r="E3163" s="2"/>
      <c r="F3163" s="2" t="s">
        <v>5927</v>
      </c>
      <c r="G3163" s="2">
        <v>1</v>
      </c>
      <c r="H3163" s="2" t="s">
        <v>5718</v>
      </c>
      <c r="I3163" s="3" t="s">
        <v>57</v>
      </c>
      <c r="J3163" s="3" t="s">
        <v>5836</v>
      </c>
      <c r="K3163" s="3" t="s">
        <v>1600</v>
      </c>
      <c r="L3163" s="4" t="s">
        <v>2620</v>
      </c>
      <c r="M3163" s="3" t="s">
        <v>60</v>
      </c>
      <c r="N3163" s="4"/>
      <c r="O3163" s="4"/>
      <c r="P3163" s="3" t="s">
        <v>182</v>
      </c>
      <c r="Q3163" s="3"/>
      <c r="R3163" s="3" t="s">
        <v>183</v>
      </c>
      <c r="S3163" s="3" t="s">
        <v>64</v>
      </c>
      <c r="T3163">
        <v>242</v>
      </c>
      <c r="U3163">
        <v>237</v>
      </c>
      <c r="V3163">
        <f t="shared" si="98"/>
        <v>239.5</v>
      </c>
      <c r="W3163">
        <f t="shared" si="99"/>
        <v>5</v>
      </c>
      <c r="X3163" s="5">
        <v>-53.37</v>
      </c>
      <c r="Y3163" s="5">
        <v>-29.63</v>
      </c>
      <c r="Z3163" s="3"/>
      <c r="AA3163" s="3" t="s">
        <v>783</v>
      </c>
      <c r="AB3163" s="3" t="s">
        <v>5828</v>
      </c>
      <c r="AC3163" s="3" t="s">
        <v>5720</v>
      </c>
      <c r="AD3163" s="3" t="s">
        <v>943</v>
      </c>
      <c r="AE3163" s="3" t="s">
        <v>5830</v>
      </c>
      <c r="AF3163" s="3" t="s">
        <v>944</v>
      </c>
      <c r="AG3163" s="4" t="s">
        <v>949</v>
      </c>
      <c r="AH3163" s="4"/>
      <c r="AI3163" s="3" t="s">
        <v>5928</v>
      </c>
      <c r="AJ3163" s="3">
        <v>2021</v>
      </c>
      <c r="AK3163" s="10" t="s">
        <v>5849</v>
      </c>
      <c r="AL3163" s="11" t="s">
        <v>5929</v>
      </c>
      <c r="AM3163" s="5"/>
      <c r="AN3163" s="5"/>
      <c r="AO3163" s="3"/>
      <c r="AP3163" s="3"/>
      <c r="AQ3163" s="3"/>
      <c r="AR3163" s="3"/>
      <c r="AS3163" s="3"/>
      <c r="AT3163" s="3"/>
      <c r="AU3163" s="3"/>
      <c r="AV3163" s="3"/>
      <c r="AW3163" s="3"/>
      <c r="AX3163" s="3"/>
      <c r="AY3163" s="3"/>
      <c r="AZ3163" s="3"/>
      <c r="BA3163" s="3"/>
      <c r="BB3163" s="3"/>
    </row>
    <row r="3164" spans="1:54" x14ac:dyDescent="0.4">
      <c r="A3164" s="2" t="s">
        <v>5930</v>
      </c>
      <c r="B3164" s="2"/>
      <c r="C3164" s="2"/>
      <c r="D3164" s="2" t="s">
        <v>54</v>
      </c>
      <c r="E3164" s="2"/>
      <c r="F3164" s="2" t="s">
        <v>5931</v>
      </c>
      <c r="G3164" s="2">
        <v>1</v>
      </c>
      <c r="H3164" s="2" t="s">
        <v>5718</v>
      </c>
      <c r="I3164" s="3" t="s">
        <v>57</v>
      </c>
      <c r="J3164" s="3" t="s">
        <v>5719</v>
      </c>
      <c r="K3164" s="3" t="s">
        <v>180</v>
      </c>
      <c r="L3164" s="4" t="s">
        <v>5643</v>
      </c>
      <c r="M3164" s="3" t="s">
        <v>60</v>
      </c>
      <c r="N3164" s="4"/>
      <c r="O3164" s="4"/>
      <c r="P3164" s="3" t="s">
        <v>182</v>
      </c>
      <c r="Q3164" s="3"/>
      <c r="R3164" s="3" t="s">
        <v>183</v>
      </c>
      <c r="S3164" s="3" t="s">
        <v>64</v>
      </c>
      <c r="T3164">
        <v>242</v>
      </c>
      <c r="U3164">
        <v>237</v>
      </c>
      <c r="V3164">
        <f t="shared" si="98"/>
        <v>239.5</v>
      </c>
      <c r="W3164">
        <f t="shared" si="99"/>
        <v>5</v>
      </c>
      <c r="X3164" s="5">
        <v>-54.1</v>
      </c>
      <c r="Y3164" s="5">
        <v>-29.78</v>
      </c>
      <c r="Z3164" s="3"/>
      <c r="AA3164" s="3" t="s">
        <v>783</v>
      </c>
      <c r="AB3164" s="3" t="s">
        <v>5828</v>
      </c>
      <c r="AC3164" s="3" t="s">
        <v>5932</v>
      </c>
      <c r="AD3164" s="3" t="s">
        <v>943</v>
      </c>
      <c r="AE3164" s="3" t="s">
        <v>5830</v>
      </c>
      <c r="AF3164" s="3" t="s">
        <v>944</v>
      </c>
      <c r="AG3164" s="4" t="s">
        <v>949</v>
      </c>
      <c r="AH3164" s="4"/>
      <c r="AI3164" s="3" t="s">
        <v>5933</v>
      </c>
      <c r="AJ3164" s="3">
        <v>2022</v>
      </c>
      <c r="AK3164" s="10" t="s">
        <v>5841</v>
      </c>
      <c r="AL3164" s="11" t="s">
        <v>5934</v>
      </c>
      <c r="AM3164" s="5"/>
      <c r="AN3164" s="5"/>
      <c r="AO3164" s="3"/>
      <c r="AP3164" s="3"/>
      <c r="AQ3164" s="3"/>
      <c r="AR3164" s="3"/>
      <c r="AS3164" s="3"/>
      <c r="AT3164" s="3"/>
      <c r="AU3164" s="3"/>
      <c r="AV3164" s="3"/>
      <c r="AW3164" s="3"/>
      <c r="AX3164" s="3"/>
      <c r="AY3164" s="3"/>
      <c r="AZ3164" s="3"/>
      <c r="BA3164" s="3"/>
      <c r="BB3164" s="3"/>
    </row>
    <row r="3165" spans="1:54" x14ac:dyDescent="0.4">
      <c r="A3165" s="2" t="s">
        <v>5935</v>
      </c>
      <c r="B3165" s="2"/>
      <c r="C3165" s="2"/>
      <c r="D3165" s="2" t="s">
        <v>54</v>
      </c>
      <c r="E3165" s="2"/>
      <c r="F3165" s="2" t="s">
        <v>5936</v>
      </c>
      <c r="G3165" s="2">
        <v>1</v>
      </c>
      <c r="H3165" s="2" t="s">
        <v>5718</v>
      </c>
      <c r="I3165" s="3" t="s">
        <v>57</v>
      </c>
      <c r="J3165" s="3" t="s">
        <v>5719</v>
      </c>
      <c r="K3165" s="3" t="s">
        <v>319</v>
      </c>
      <c r="L3165" s="4" t="s">
        <v>5937</v>
      </c>
      <c r="M3165" s="3" t="s">
        <v>60</v>
      </c>
      <c r="N3165" s="4"/>
      <c r="O3165" s="4"/>
      <c r="P3165" s="3" t="s">
        <v>182</v>
      </c>
      <c r="Q3165" s="3"/>
      <c r="R3165" s="3" t="s">
        <v>183</v>
      </c>
      <c r="S3165" s="3" t="s">
        <v>64</v>
      </c>
      <c r="T3165">
        <v>242</v>
      </c>
      <c r="U3165">
        <v>237</v>
      </c>
      <c r="V3165">
        <f t="shared" si="98"/>
        <v>239.5</v>
      </c>
      <c r="W3165">
        <f t="shared" si="99"/>
        <v>5</v>
      </c>
      <c r="X3165" s="5">
        <v>-53.18</v>
      </c>
      <c r="Y3165" s="5">
        <v>-29.73</v>
      </c>
      <c r="Z3165" s="3"/>
      <c r="AA3165" s="3" t="s">
        <v>783</v>
      </c>
      <c r="AB3165" s="3" t="s">
        <v>5828</v>
      </c>
      <c r="AC3165" s="3" t="s">
        <v>5720</v>
      </c>
      <c r="AD3165" s="3" t="s">
        <v>943</v>
      </c>
      <c r="AE3165" s="3" t="s">
        <v>5830</v>
      </c>
      <c r="AF3165" s="3" t="s">
        <v>944</v>
      </c>
      <c r="AG3165" s="4" t="s">
        <v>949</v>
      </c>
      <c r="AH3165" s="4"/>
      <c r="AI3165" s="3" t="s">
        <v>5938</v>
      </c>
      <c r="AJ3165" s="3">
        <v>2024</v>
      </c>
      <c r="AK3165" s="10" t="s">
        <v>5849</v>
      </c>
      <c r="AL3165" s="6" t="s">
        <v>5939</v>
      </c>
      <c r="AM3165" s="5"/>
      <c r="AN3165" s="5"/>
      <c r="AO3165" s="3"/>
      <c r="AP3165" s="3"/>
      <c r="AQ3165" s="3"/>
      <c r="AR3165" s="3"/>
      <c r="AS3165" s="3"/>
      <c r="AT3165" s="3"/>
      <c r="AU3165" s="3"/>
      <c r="AV3165" s="3"/>
      <c r="AW3165" s="3"/>
      <c r="AX3165" s="3"/>
      <c r="AY3165" s="3"/>
      <c r="AZ3165" s="3"/>
      <c r="BA3165" s="3"/>
      <c r="BB3165" s="3"/>
    </row>
    <row r="3166" spans="1:54" x14ac:dyDescent="0.4">
      <c r="A3166" s="2" t="s">
        <v>5940</v>
      </c>
      <c r="B3166" s="2"/>
      <c r="C3166" s="2"/>
      <c r="D3166" s="2" t="s">
        <v>54</v>
      </c>
      <c r="E3166" s="2"/>
      <c r="F3166" s="2" t="s">
        <v>5720</v>
      </c>
      <c r="G3166" s="2">
        <v>1</v>
      </c>
      <c r="H3166" s="2" t="s">
        <v>5718</v>
      </c>
      <c r="I3166" s="3" t="s">
        <v>57</v>
      </c>
      <c r="J3166" s="3" t="s">
        <v>5719</v>
      </c>
      <c r="K3166" s="3" t="s">
        <v>5941</v>
      </c>
      <c r="L3166" s="4" t="s">
        <v>1442</v>
      </c>
      <c r="M3166" s="3" t="s">
        <v>60</v>
      </c>
      <c r="N3166" s="4"/>
      <c r="O3166" s="4"/>
      <c r="P3166" s="3" t="s">
        <v>182</v>
      </c>
      <c r="Q3166" s="3"/>
      <c r="R3166" s="3" t="s">
        <v>183</v>
      </c>
      <c r="S3166" s="3" t="s">
        <v>64</v>
      </c>
      <c r="T3166">
        <v>242</v>
      </c>
      <c r="U3166">
        <v>237</v>
      </c>
      <c r="V3166">
        <f t="shared" si="98"/>
        <v>239.5</v>
      </c>
      <c r="W3166">
        <f t="shared" si="99"/>
        <v>5</v>
      </c>
      <c r="X3166" s="5">
        <v>-53.37</v>
      </c>
      <c r="Y3166" s="5">
        <v>-29.61</v>
      </c>
      <c r="Z3166" s="3"/>
      <c r="AA3166" s="3" t="s">
        <v>783</v>
      </c>
      <c r="AB3166" s="3" t="s">
        <v>5828</v>
      </c>
      <c r="AC3166" s="3" t="s">
        <v>5720</v>
      </c>
      <c r="AD3166" s="3" t="s">
        <v>943</v>
      </c>
      <c r="AE3166" s="3" t="s">
        <v>5830</v>
      </c>
      <c r="AF3166" s="3" t="s">
        <v>944</v>
      </c>
      <c r="AG3166" s="4" t="s">
        <v>949</v>
      </c>
      <c r="AH3166" s="4"/>
      <c r="AI3166" s="3" t="s">
        <v>5942</v>
      </c>
      <c r="AJ3166" s="3">
        <v>2013</v>
      </c>
      <c r="AK3166" s="10" t="s">
        <v>5832</v>
      </c>
      <c r="AL3166" s="14" t="s">
        <v>5943</v>
      </c>
      <c r="AM3166" s="5"/>
      <c r="AN3166" s="5"/>
      <c r="AO3166" s="3"/>
      <c r="AP3166" s="3"/>
      <c r="AQ3166" s="3"/>
      <c r="AR3166" s="3"/>
      <c r="AS3166" s="3"/>
      <c r="AT3166" s="3"/>
      <c r="AU3166" s="3"/>
      <c r="AV3166" s="3"/>
      <c r="AW3166" s="3"/>
      <c r="AX3166" s="3"/>
      <c r="AY3166" s="3"/>
      <c r="AZ3166" s="3"/>
      <c r="BA3166" s="3"/>
      <c r="BB3166" s="3"/>
    </row>
    <row r="3167" spans="1:54" x14ac:dyDescent="0.4">
      <c r="A3167" s="2" t="s">
        <v>5944</v>
      </c>
      <c r="B3167" s="2"/>
      <c r="C3167" s="2"/>
      <c r="D3167" s="2" t="s">
        <v>54</v>
      </c>
      <c r="E3167" s="2"/>
      <c r="F3167" s="15" t="s">
        <v>5945</v>
      </c>
      <c r="G3167" s="2">
        <v>1</v>
      </c>
      <c r="H3167" s="2" t="s">
        <v>5718</v>
      </c>
      <c r="I3167" s="3" t="s">
        <v>57</v>
      </c>
      <c r="J3167" s="3" t="s">
        <v>5719</v>
      </c>
      <c r="K3167" s="3" t="s">
        <v>5941</v>
      </c>
      <c r="L3167" s="4" t="s">
        <v>1442</v>
      </c>
      <c r="M3167" s="3" t="s">
        <v>60</v>
      </c>
      <c r="N3167" s="4"/>
      <c r="O3167" s="4"/>
      <c r="P3167" s="3" t="s">
        <v>182</v>
      </c>
      <c r="Q3167" s="3"/>
      <c r="R3167" s="3" t="s">
        <v>183</v>
      </c>
      <c r="S3167" s="3" t="s">
        <v>64</v>
      </c>
      <c r="T3167">
        <v>242</v>
      </c>
      <c r="U3167">
        <v>237</v>
      </c>
      <c r="V3167">
        <f t="shared" si="98"/>
        <v>239.5</v>
      </c>
      <c r="W3167">
        <f t="shared" si="99"/>
        <v>5</v>
      </c>
      <c r="X3167" s="5">
        <v>-52.75</v>
      </c>
      <c r="Y3167" s="5">
        <v>-29.77</v>
      </c>
      <c r="Z3167" s="3"/>
      <c r="AA3167" s="3" t="s">
        <v>783</v>
      </c>
      <c r="AB3167" s="3" t="s">
        <v>5828</v>
      </c>
      <c r="AC3167" s="16" t="s">
        <v>5946</v>
      </c>
      <c r="AD3167" s="3" t="s">
        <v>943</v>
      </c>
      <c r="AE3167" s="3" t="s">
        <v>5830</v>
      </c>
      <c r="AF3167" s="3" t="s">
        <v>944</v>
      </c>
      <c r="AG3167" s="4" t="s">
        <v>949</v>
      </c>
      <c r="AH3167" s="4"/>
      <c r="AI3167" s="3" t="s">
        <v>5720</v>
      </c>
      <c r="AJ3167" s="3">
        <v>2022</v>
      </c>
      <c r="AK3167" s="17" t="s">
        <v>5947</v>
      </c>
      <c r="AL3167" s="18" t="s">
        <v>5948</v>
      </c>
      <c r="AM3167" s="5"/>
      <c r="AN3167" s="5"/>
      <c r="AO3167" s="3"/>
      <c r="AP3167" s="3"/>
      <c r="AQ3167" s="3"/>
      <c r="AR3167" s="3"/>
      <c r="AS3167" s="3"/>
      <c r="AT3167" s="3"/>
      <c r="AU3167" s="3"/>
      <c r="AV3167" s="3"/>
      <c r="AW3167" s="3"/>
      <c r="AX3167" s="3"/>
      <c r="AY3167" s="3"/>
      <c r="AZ3167" s="3"/>
      <c r="BA3167" s="3"/>
      <c r="BB3167" s="3"/>
    </row>
    <row r="3168" spans="1:54" x14ac:dyDescent="0.4">
      <c r="A3168" s="2" t="s">
        <v>5949</v>
      </c>
      <c r="B3168" s="2"/>
      <c r="C3168" s="2"/>
      <c r="D3168" s="2" t="s">
        <v>54</v>
      </c>
      <c r="E3168" s="2"/>
      <c r="F3168" s="2" t="s">
        <v>5950</v>
      </c>
      <c r="G3168" s="2">
        <v>1</v>
      </c>
      <c r="H3168" s="2" t="s">
        <v>5718</v>
      </c>
      <c r="I3168" s="3" t="s">
        <v>57</v>
      </c>
      <c r="J3168" s="3" t="s">
        <v>5719</v>
      </c>
      <c r="K3168" s="3" t="s">
        <v>5941</v>
      </c>
      <c r="L3168" s="3" t="s">
        <v>1442</v>
      </c>
      <c r="M3168" s="3" t="s">
        <v>60</v>
      </c>
      <c r="N3168" s="3"/>
      <c r="O3168" s="3"/>
      <c r="P3168" s="3" t="s">
        <v>182</v>
      </c>
      <c r="Q3168" s="3"/>
      <c r="R3168" s="3" t="s">
        <v>183</v>
      </c>
      <c r="S3168" s="3" t="s">
        <v>64</v>
      </c>
      <c r="T3168">
        <v>242</v>
      </c>
      <c r="U3168">
        <v>237</v>
      </c>
      <c r="V3168">
        <f t="shared" si="98"/>
        <v>239.5</v>
      </c>
      <c r="W3168">
        <f t="shared" si="99"/>
        <v>5</v>
      </c>
      <c r="X3168" s="5">
        <v>-52.75</v>
      </c>
      <c r="Y3168" s="5">
        <v>-29.77</v>
      </c>
      <c r="Z3168" s="3"/>
      <c r="AA3168" s="3" t="s">
        <v>783</v>
      </c>
      <c r="AB3168" s="3" t="s">
        <v>5828</v>
      </c>
      <c r="AC3168" s="3" t="s">
        <v>5720</v>
      </c>
      <c r="AD3168" s="3" t="s">
        <v>5720</v>
      </c>
      <c r="AE3168" s="3" t="s">
        <v>5720</v>
      </c>
      <c r="AF3168" s="3" t="s">
        <v>5720</v>
      </c>
      <c r="AG3168" s="4" t="s">
        <v>949</v>
      </c>
      <c r="AH3168" s="4"/>
      <c r="AI3168" s="3" t="s">
        <v>5720</v>
      </c>
      <c r="AJ3168" s="3" t="s">
        <v>5720</v>
      </c>
      <c r="AK3168" s="10" t="s">
        <v>5951</v>
      </c>
      <c r="AL3168" s="11" t="s">
        <v>5952</v>
      </c>
      <c r="AM3168" s="5"/>
      <c r="AN3168" s="5"/>
      <c r="AO3168" s="3"/>
      <c r="AP3168" s="3"/>
      <c r="AQ3168" s="3"/>
      <c r="AR3168" s="3"/>
      <c r="AS3168" s="3"/>
      <c r="AT3168" s="3"/>
      <c r="AU3168" s="3"/>
      <c r="AV3168" s="3"/>
      <c r="AW3168" s="3"/>
      <c r="AX3168" s="3"/>
      <c r="AY3168" s="3"/>
      <c r="AZ3168" s="3"/>
      <c r="BA3168" s="3"/>
      <c r="BB3168" s="3"/>
    </row>
    <row r="3169" spans="1:54" x14ac:dyDescent="0.4">
      <c r="A3169" s="2" t="s">
        <v>5953</v>
      </c>
      <c r="B3169" s="2"/>
      <c r="C3169" s="2"/>
      <c r="D3169" s="2" t="s">
        <v>54</v>
      </c>
      <c r="E3169" s="2"/>
      <c r="F3169" s="2" t="s">
        <v>5954</v>
      </c>
      <c r="G3169" s="2">
        <v>1</v>
      </c>
      <c r="H3169" s="2" t="s">
        <v>5718</v>
      </c>
      <c r="I3169" s="3" t="s">
        <v>57</v>
      </c>
      <c r="J3169" s="3" t="s">
        <v>5719</v>
      </c>
      <c r="K3169" s="3" t="s">
        <v>5941</v>
      </c>
      <c r="L3169" s="4" t="s">
        <v>1442</v>
      </c>
      <c r="M3169" s="3" t="s">
        <v>60</v>
      </c>
      <c r="N3169" s="4"/>
      <c r="O3169" s="4"/>
      <c r="P3169" s="3" t="s">
        <v>182</v>
      </c>
      <c r="Q3169" s="3"/>
      <c r="R3169" s="3" t="s">
        <v>183</v>
      </c>
      <c r="S3169" s="3" t="s">
        <v>64</v>
      </c>
      <c r="T3169">
        <v>242</v>
      </c>
      <c r="U3169">
        <v>237</v>
      </c>
      <c r="V3169">
        <f t="shared" si="98"/>
        <v>239.5</v>
      </c>
      <c r="W3169">
        <f t="shared" si="99"/>
        <v>5</v>
      </c>
      <c r="X3169" s="5">
        <v>-53.36</v>
      </c>
      <c r="Y3169" s="5" t="s">
        <v>5955</v>
      </c>
      <c r="Z3169" s="3"/>
      <c r="AA3169" s="3" t="s">
        <v>783</v>
      </c>
      <c r="AB3169" s="3" t="s">
        <v>5828</v>
      </c>
      <c r="AC3169" s="3" t="s">
        <v>5720</v>
      </c>
      <c r="AD3169" s="3" t="s">
        <v>943</v>
      </c>
      <c r="AE3169" s="3" t="s">
        <v>5830</v>
      </c>
      <c r="AF3169" s="3" t="s">
        <v>944</v>
      </c>
      <c r="AG3169" s="4" t="s">
        <v>949</v>
      </c>
      <c r="AH3169" s="4"/>
      <c r="AI3169" s="3" t="s">
        <v>5720</v>
      </c>
      <c r="AJ3169" s="3" t="s">
        <v>5720</v>
      </c>
      <c r="AK3169" s="10" t="s">
        <v>5956</v>
      </c>
      <c r="AL3169" s="11" t="s">
        <v>5957</v>
      </c>
      <c r="AM3169" s="5"/>
      <c r="AN3169" s="5"/>
      <c r="AO3169" s="3"/>
      <c r="AP3169" s="3"/>
      <c r="AQ3169" s="3"/>
      <c r="AR3169" s="3"/>
      <c r="AS3169" s="3"/>
      <c r="AT3169" s="3"/>
      <c r="AU3169" s="3"/>
      <c r="AV3169" s="3"/>
      <c r="AW3169" s="3"/>
      <c r="AX3169" s="3"/>
      <c r="AY3169" s="3"/>
      <c r="AZ3169" s="3"/>
      <c r="BA3169" s="3"/>
      <c r="BB3169" s="3"/>
    </row>
    <row r="3170" spans="1:54" x14ac:dyDescent="0.4">
      <c r="A3170" s="2" t="s">
        <v>5958</v>
      </c>
      <c r="B3170" s="2"/>
      <c r="C3170" s="2"/>
      <c r="D3170" s="2" t="s">
        <v>54</v>
      </c>
      <c r="E3170" s="2"/>
      <c r="F3170" s="19" t="s">
        <v>5959</v>
      </c>
      <c r="G3170" s="2">
        <v>1</v>
      </c>
      <c r="H3170" s="2" t="s">
        <v>5718</v>
      </c>
      <c r="I3170" s="3" t="s">
        <v>57</v>
      </c>
      <c r="J3170" s="3" t="s">
        <v>5719</v>
      </c>
      <c r="K3170" s="3" t="s">
        <v>316</v>
      </c>
      <c r="L3170" s="7" t="s">
        <v>5960</v>
      </c>
      <c r="M3170" s="3" t="s">
        <v>60</v>
      </c>
      <c r="N3170" s="7"/>
      <c r="O3170" s="7"/>
      <c r="P3170" s="3" t="s">
        <v>182</v>
      </c>
      <c r="Q3170" s="3"/>
      <c r="R3170" s="3" t="s">
        <v>183</v>
      </c>
      <c r="S3170" s="3" t="s">
        <v>64</v>
      </c>
      <c r="T3170">
        <v>242</v>
      </c>
      <c r="U3170">
        <v>237</v>
      </c>
      <c r="V3170">
        <f t="shared" si="98"/>
        <v>239.5</v>
      </c>
      <c r="W3170">
        <f t="shared" si="99"/>
        <v>5</v>
      </c>
      <c r="X3170" s="5">
        <v>-53.15</v>
      </c>
      <c r="Y3170" s="5">
        <v>-29.73</v>
      </c>
      <c r="Z3170" s="3"/>
      <c r="AA3170" s="3" t="s">
        <v>783</v>
      </c>
      <c r="AB3170" s="3" t="s">
        <v>5828</v>
      </c>
      <c r="AC3170" s="3" t="s">
        <v>5961</v>
      </c>
      <c r="AD3170" s="3" t="s">
        <v>943</v>
      </c>
      <c r="AE3170" s="3" t="s">
        <v>5830</v>
      </c>
      <c r="AF3170" s="3" t="s">
        <v>944</v>
      </c>
      <c r="AG3170" s="3" t="s">
        <v>949</v>
      </c>
      <c r="AH3170" s="3"/>
      <c r="AI3170" s="3" t="s">
        <v>5962</v>
      </c>
      <c r="AJ3170" s="3">
        <v>2025</v>
      </c>
      <c r="AK3170" s="3" t="s">
        <v>5849</v>
      </c>
      <c r="AL3170" s="6" t="s">
        <v>5963</v>
      </c>
      <c r="AM3170" s="3"/>
      <c r="AN3170" s="3"/>
      <c r="AO3170" s="3"/>
      <c r="AP3170" s="3"/>
      <c r="AQ3170" s="3"/>
      <c r="AR3170" s="3"/>
      <c r="AS3170" s="3"/>
      <c r="AT3170" s="3"/>
      <c r="AU3170" s="3"/>
      <c r="AV3170" s="3"/>
      <c r="AW3170" s="3"/>
      <c r="AX3170" s="3"/>
      <c r="AY3170" s="3"/>
      <c r="AZ3170" s="3"/>
      <c r="BA3170" s="3"/>
      <c r="BB3170" s="3"/>
    </row>
    <row r="3171" spans="1:54" x14ac:dyDescent="0.4">
      <c r="A3171" s="2" t="s">
        <v>5964</v>
      </c>
      <c r="B3171" s="2"/>
      <c r="C3171" s="2"/>
      <c r="D3171" s="2" t="s">
        <v>54</v>
      </c>
      <c r="E3171" s="2"/>
      <c r="F3171" s="19" t="s">
        <v>5965</v>
      </c>
      <c r="G3171" s="2">
        <v>1</v>
      </c>
      <c r="H3171" s="2" t="s">
        <v>5718</v>
      </c>
      <c r="I3171" s="3" t="s">
        <v>57</v>
      </c>
      <c r="J3171" s="3" t="s">
        <v>5719</v>
      </c>
      <c r="K3171" s="3" t="s">
        <v>5941</v>
      </c>
      <c r="L3171" s="7" t="s">
        <v>5966</v>
      </c>
      <c r="M3171" s="3" t="s">
        <v>60</v>
      </c>
      <c r="N3171" s="7"/>
      <c r="O3171" s="7"/>
      <c r="P3171" s="3" t="s">
        <v>182</v>
      </c>
      <c r="Q3171" s="3"/>
      <c r="R3171" s="3" t="s">
        <v>183</v>
      </c>
      <c r="S3171" s="3" t="s">
        <v>64</v>
      </c>
      <c r="T3171">
        <v>242</v>
      </c>
      <c r="U3171">
        <v>237</v>
      </c>
      <c r="V3171">
        <f t="shared" si="98"/>
        <v>239.5</v>
      </c>
      <c r="W3171">
        <f t="shared" si="99"/>
        <v>5</v>
      </c>
      <c r="X3171" s="5">
        <v>-54.37</v>
      </c>
      <c r="Y3171" s="5">
        <v>-29.67</v>
      </c>
      <c r="Z3171" s="3"/>
      <c r="AA3171" s="3" t="s">
        <v>783</v>
      </c>
      <c r="AB3171" s="3" t="s">
        <v>5828</v>
      </c>
      <c r="AC3171" s="8" t="s">
        <v>5967</v>
      </c>
      <c r="AD3171" s="3" t="s">
        <v>943</v>
      </c>
      <c r="AE3171" s="3" t="s">
        <v>5830</v>
      </c>
      <c r="AF3171" s="3" t="s">
        <v>944</v>
      </c>
      <c r="AG3171" s="3" t="s">
        <v>949</v>
      </c>
      <c r="AH3171" s="3"/>
      <c r="AI3171" s="3" t="s">
        <v>5968</v>
      </c>
      <c r="AJ3171" s="3">
        <v>2024</v>
      </c>
      <c r="AK3171" s="3" t="s">
        <v>5969</v>
      </c>
      <c r="AL3171" s="3" t="s">
        <v>5970</v>
      </c>
      <c r="AM3171" s="3"/>
      <c r="AN3171" s="3"/>
      <c r="AO3171" s="3"/>
      <c r="AP3171" s="3"/>
      <c r="AQ3171" s="3"/>
      <c r="AR3171" s="3"/>
      <c r="AS3171" s="3"/>
      <c r="AT3171" s="3"/>
      <c r="AU3171" s="3"/>
      <c r="AV3171" s="3"/>
      <c r="AW3171" s="3"/>
      <c r="AX3171" s="3"/>
      <c r="AY3171" s="3"/>
      <c r="AZ3171" s="3"/>
      <c r="BA3171" s="3"/>
      <c r="BB3171" s="3"/>
    </row>
    <row r="3172" spans="1:54" x14ac:dyDescent="0.4">
      <c r="A3172" s="2" t="s">
        <v>5971</v>
      </c>
      <c r="B3172" s="2"/>
      <c r="C3172" s="2"/>
      <c r="D3172" s="2" t="s">
        <v>54</v>
      </c>
      <c r="E3172" s="2"/>
      <c r="F3172" s="20" t="s">
        <v>5972</v>
      </c>
      <c r="G3172" s="2">
        <v>1</v>
      </c>
      <c r="H3172" s="2" t="s">
        <v>5718</v>
      </c>
      <c r="I3172" s="3" t="s">
        <v>57</v>
      </c>
      <c r="J3172" s="3" t="s">
        <v>5719</v>
      </c>
      <c r="K3172" s="3" t="s">
        <v>316</v>
      </c>
      <c r="L3172" s="4" t="s">
        <v>5973</v>
      </c>
      <c r="M3172" s="3" t="s">
        <v>60</v>
      </c>
      <c r="N3172" s="4"/>
      <c r="O3172" s="4"/>
      <c r="P3172" s="3" t="s">
        <v>182</v>
      </c>
      <c r="Q3172" s="3"/>
      <c r="R3172" s="3" t="s">
        <v>183</v>
      </c>
      <c r="S3172" s="3" t="s">
        <v>64</v>
      </c>
      <c r="T3172">
        <v>242</v>
      </c>
      <c r="U3172">
        <v>237</v>
      </c>
      <c r="V3172">
        <f t="shared" si="98"/>
        <v>239.5</v>
      </c>
      <c r="W3172">
        <f t="shared" si="99"/>
        <v>5</v>
      </c>
      <c r="X3172" s="5">
        <v>-52.75</v>
      </c>
      <c r="Y3172" s="5">
        <v>-29.78</v>
      </c>
      <c r="Z3172" s="3"/>
      <c r="AA3172" s="3" t="s">
        <v>783</v>
      </c>
      <c r="AB3172" s="3" t="s">
        <v>5828</v>
      </c>
      <c r="AC3172" s="3" t="s">
        <v>5946</v>
      </c>
      <c r="AD3172" s="3" t="s">
        <v>943</v>
      </c>
      <c r="AE3172" s="3" t="s">
        <v>5830</v>
      </c>
      <c r="AF3172" s="3" t="s">
        <v>944</v>
      </c>
      <c r="AG3172" s="4" t="s">
        <v>949</v>
      </c>
      <c r="AH3172" s="4"/>
      <c r="AI3172" s="3" t="s">
        <v>5974</v>
      </c>
      <c r="AJ3172" s="5">
        <v>2023</v>
      </c>
      <c r="AK3172" s="8" t="s">
        <v>5832</v>
      </c>
      <c r="AL3172" s="6" t="s">
        <v>5975</v>
      </c>
      <c r="AM3172" s="3"/>
      <c r="AN3172" s="3"/>
      <c r="AO3172" s="3"/>
      <c r="AP3172" s="3"/>
      <c r="AQ3172" s="3"/>
      <c r="AR3172" s="3"/>
      <c r="AS3172" s="3"/>
      <c r="AT3172" s="3"/>
      <c r="AU3172" s="3"/>
      <c r="AV3172" s="3"/>
      <c r="AW3172" s="3"/>
      <c r="AX3172" s="3"/>
      <c r="AY3172" s="3"/>
      <c r="AZ3172" s="3"/>
      <c r="BA3172" s="3"/>
      <c r="BB3172" s="3"/>
    </row>
    <row r="3173" spans="1:54" x14ac:dyDescent="0.4">
      <c r="A3173" s="2" t="s">
        <v>5976</v>
      </c>
      <c r="B3173" s="2"/>
      <c r="C3173" s="2"/>
      <c r="D3173" s="2" t="s">
        <v>54</v>
      </c>
      <c r="E3173" s="2"/>
      <c r="F3173" s="12" t="s">
        <v>5977</v>
      </c>
      <c r="G3173" s="2">
        <v>1</v>
      </c>
      <c r="H3173" s="2" t="s">
        <v>5718</v>
      </c>
      <c r="I3173" s="3" t="s">
        <v>57</v>
      </c>
      <c r="J3173" s="3" t="s">
        <v>5719</v>
      </c>
      <c r="K3173" s="3" t="s">
        <v>180</v>
      </c>
      <c r="L3173" s="4" t="s">
        <v>5978</v>
      </c>
      <c r="M3173" s="3" t="s">
        <v>60</v>
      </c>
      <c r="N3173" s="4"/>
      <c r="O3173" s="4"/>
      <c r="P3173" s="3" t="s">
        <v>182</v>
      </c>
      <c r="Q3173" s="3"/>
      <c r="R3173" s="3" t="s">
        <v>183</v>
      </c>
      <c r="S3173" s="3" t="s">
        <v>64</v>
      </c>
      <c r="T3173">
        <v>242</v>
      </c>
      <c r="U3173">
        <v>237</v>
      </c>
      <c r="V3173">
        <f t="shared" si="98"/>
        <v>239.5</v>
      </c>
      <c r="W3173">
        <f t="shared" si="99"/>
        <v>5</v>
      </c>
      <c r="X3173" s="5">
        <v>-53.15</v>
      </c>
      <c r="Y3173" s="5">
        <v>-29.73</v>
      </c>
      <c r="Z3173" s="3"/>
      <c r="AA3173" s="3" t="s">
        <v>783</v>
      </c>
      <c r="AB3173" s="3" t="s">
        <v>5828</v>
      </c>
      <c r="AC3173" s="3" t="s">
        <v>5961</v>
      </c>
      <c r="AD3173" s="3" t="s">
        <v>943</v>
      </c>
      <c r="AE3173" s="3" t="s">
        <v>5830</v>
      </c>
      <c r="AF3173" s="3" t="s">
        <v>944</v>
      </c>
      <c r="AG3173" s="4" t="s">
        <v>949</v>
      </c>
      <c r="AH3173" s="4"/>
      <c r="AI3173" s="3" t="s">
        <v>5979</v>
      </c>
      <c r="AJ3173" s="5">
        <v>2024</v>
      </c>
      <c r="AK3173" s="8" t="s">
        <v>5849</v>
      </c>
      <c r="AL3173" s="6" t="s">
        <v>5980</v>
      </c>
      <c r="AM3173" s="3"/>
      <c r="AN3173" s="3"/>
      <c r="AO3173" s="3"/>
      <c r="AP3173" s="3"/>
      <c r="AQ3173" s="3"/>
      <c r="AR3173" s="3"/>
      <c r="AS3173" s="3"/>
      <c r="AT3173" s="3"/>
      <c r="AU3173" s="3"/>
      <c r="AV3173" s="3"/>
      <c r="AW3173" s="3"/>
      <c r="AX3173" s="3"/>
      <c r="AY3173" s="3"/>
      <c r="AZ3173" s="3"/>
      <c r="BA3173" s="3"/>
      <c r="BB3173" s="3"/>
    </row>
    <row r="3174" spans="1:54" x14ac:dyDescent="0.4">
      <c r="A3174" s="2" t="s">
        <v>5981</v>
      </c>
      <c r="B3174" s="2"/>
      <c r="C3174" s="2"/>
      <c r="D3174" s="2" t="s">
        <v>54</v>
      </c>
      <c r="E3174" s="2"/>
      <c r="F3174" s="2" t="s">
        <v>5982</v>
      </c>
      <c r="G3174" s="2">
        <v>1</v>
      </c>
      <c r="H3174" s="2" t="s">
        <v>5718</v>
      </c>
      <c r="I3174" s="3" t="s">
        <v>57</v>
      </c>
      <c r="J3174" s="3" t="s">
        <v>5719</v>
      </c>
      <c r="K3174" s="3" t="s">
        <v>840</v>
      </c>
      <c r="L3174" s="4" t="s">
        <v>5983</v>
      </c>
      <c r="M3174" s="3" t="s">
        <v>60</v>
      </c>
      <c r="N3174" s="4"/>
      <c r="O3174" s="4"/>
      <c r="P3174" s="3" t="s">
        <v>182</v>
      </c>
      <c r="Q3174" s="3"/>
      <c r="R3174" s="3" t="s">
        <v>183</v>
      </c>
      <c r="S3174" s="3" t="s">
        <v>64</v>
      </c>
      <c r="T3174">
        <v>242</v>
      </c>
      <c r="U3174">
        <v>237</v>
      </c>
      <c r="V3174">
        <f t="shared" si="98"/>
        <v>239.5</v>
      </c>
      <c r="W3174">
        <f t="shared" si="99"/>
        <v>5</v>
      </c>
      <c r="X3174" s="5">
        <v>-67.753100000000003</v>
      </c>
      <c r="Y3174" s="5">
        <v>-29.817399999999999</v>
      </c>
      <c r="Z3174" s="5"/>
      <c r="AA3174" s="3" t="s">
        <v>185</v>
      </c>
      <c r="AB3174" s="3" t="s">
        <v>5984</v>
      </c>
      <c r="AC3174" s="3" t="s">
        <v>5985</v>
      </c>
      <c r="AD3174" s="4" t="s">
        <v>5986</v>
      </c>
      <c r="AE3174" s="3" t="s">
        <v>5987</v>
      </c>
      <c r="AF3174" s="3" t="s">
        <v>5720</v>
      </c>
      <c r="AG3174" s="3" t="s">
        <v>324</v>
      </c>
      <c r="AH3174" s="3"/>
      <c r="AI3174" s="3" t="s">
        <v>5988</v>
      </c>
      <c r="AJ3174" s="3">
        <v>2020</v>
      </c>
      <c r="AK3174" s="5" t="s">
        <v>5989</v>
      </c>
      <c r="AL3174" s="9" t="s">
        <v>5990</v>
      </c>
      <c r="AM3174" s="3"/>
      <c r="AN3174" s="3"/>
      <c r="AO3174" s="3"/>
      <c r="AP3174" s="3"/>
      <c r="AQ3174" s="3"/>
      <c r="AR3174" s="3"/>
      <c r="AS3174" s="3"/>
      <c r="AT3174" s="3"/>
      <c r="AU3174" s="3"/>
      <c r="AV3174" s="3"/>
      <c r="AW3174" s="3"/>
      <c r="AX3174" s="3"/>
      <c r="AY3174" s="3"/>
      <c r="AZ3174" s="3"/>
      <c r="BA3174" s="3"/>
      <c r="BB3174" s="3"/>
    </row>
    <row r="3175" spans="1:54" x14ac:dyDescent="0.4">
      <c r="A3175" s="2" t="s">
        <v>5991</v>
      </c>
      <c r="B3175" s="2"/>
      <c r="C3175" s="2"/>
      <c r="D3175" s="2" t="s">
        <v>54</v>
      </c>
      <c r="E3175" s="2"/>
      <c r="F3175" s="2" t="s">
        <v>5992</v>
      </c>
      <c r="G3175" s="2">
        <v>1</v>
      </c>
      <c r="H3175" s="2" t="s">
        <v>5718</v>
      </c>
      <c r="I3175" s="3" t="s">
        <v>57</v>
      </c>
      <c r="J3175" s="3" t="s">
        <v>5719</v>
      </c>
      <c r="K3175" s="3" t="s">
        <v>5720</v>
      </c>
      <c r="L3175" s="4" t="s">
        <v>5993</v>
      </c>
      <c r="M3175" s="3" t="s">
        <v>60</v>
      </c>
      <c r="N3175" s="4"/>
      <c r="O3175" s="4"/>
      <c r="P3175" s="3" t="s">
        <v>182</v>
      </c>
      <c r="Q3175" s="3"/>
      <c r="R3175" s="3" t="s">
        <v>183</v>
      </c>
      <c r="S3175" s="3" t="s">
        <v>64</v>
      </c>
      <c r="T3175">
        <v>242</v>
      </c>
      <c r="U3175">
        <v>237</v>
      </c>
      <c r="V3175">
        <f t="shared" si="98"/>
        <v>239.5</v>
      </c>
      <c r="W3175">
        <f t="shared" si="99"/>
        <v>5</v>
      </c>
      <c r="X3175" s="13">
        <v>-68.5</v>
      </c>
      <c r="Y3175" s="13">
        <v>-34.909999999999997</v>
      </c>
      <c r="Z3175" s="8"/>
      <c r="AA3175" s="3" t="s">
        <v>185</v>
      </c>
      <c r="AB3175" s="3" t="s">
        <v>5994</v>
      </c>
      <c r="AC3175" s="3" t="s">
        <v>5995</v>
      </c>
      <c r="AD3175" s="3" t="s">
        <v>5996</v>
      </c>
      <c r="AE3175" s="3" t="s">
        <v>5720</v>
      </c>
      <c r="AF3175" s="3" t="s">
        <v>5720</v>
      </c>
      <c r="AG3175" s="4" t="s">
        <v>5720</v>
      </c>
      <c r="AH3175" s="4"/>
      <c r="AI3175" s="3" t="s">
        <v>5997</v>
      </c>
      <c r="AJ3175" s="3">
        <v>2010</v>
      </c>
      <c r="AK3175" s="5" t="s">
        <v>5998</v>
      </c>
      <c r="AL3175" s="9" t="s">
        <v>5999</v>
      </c>
      <c r="AM3175" s="3"/>
      <c r="AN3175" s="3"/>
      <c r="AO3175" s="3"/>
      <c r="AP3175" s="3"/>
      <c r="AQ3175" s="3"/>
      <c r="AR3175" s="3"/>
      <c r="AS3175" s="3"/>
      <c r="AT3175" s="3"/>
      <c r="AU3175" s="3"/>
      <c r="AV3175" s="3"/>
      <c r="AW3175" s="3"/>
      <c r="AX3175" s="3"/>
      <c r="AY3175" s="3"/>
      <c r="AZ3175" s="3"/>
      <c r="BA3175" s="3"/>
      <c r="BB3175" s="3"/>
    </row>
    <row r="3176" spans="1:54" x14ac:dyDescent="0.4">
      <c r="A3176">
        <v>279623</v>
      </c>
      <c r="D3176" t="s">
        <v>54</v>
      </c>
      <c r="G3176">
        <v>1</v>
      </c>
      <c r="H3176" t="s">
        <v>56</v>
      </c>
      <c r="I3176" t="s">
        <v>57</v>
      </c>
      <c r="K3176" t="s">
        <v>141</v>
      </c>
      <c r="L3176" t="s">
        <v>332</v>
      </c>
      <c r="M3176" t="s">
        <v>60</v>
      </c>
      <c r="O3176" t="s">
        <v>170</v>
      </c>
      <c r="P3176" t="s">
        <v>333</v>
      </c>
      <c r="R3176" t="s">
        <v>238</v>
      </c>
      <c r="S3176" t="s">
        <v>123</v>
      </c>
      <c r="T3176">
        <v>264.27999999999997</v>
      </c>
      <c r="U3176">
        <v>259.51</v>
      </c>
      <c r="V3176">
        <f t="shared" si="98"/>
        <v>261.89499999999998</v>
      </c>
      <c r="W3176">
        <f t="shared" si="99"/>
        <v>4.7699999999999818</v>
      </c>
      <c r="X3176">
        <v>21.795279000000001</v>
      </c>
      <c r="Y3176">
        <v>-32.328609</v>
      </c>
      <c r="Z3176" t="s">
        <v>198</v>
      </c>
      <c r="AA3176" t="s">
        <v>106</v>
      </c>
      <c r="AB3176" t="s">
        <v>334</v>
      </c>
      <c r="AC3176" t="s">
        <v>335</v>
      </c>
      <c r="AD3176" t="s">
        <v>336</v>
      </c>
      <c r="AE3176" t="s">
        <v>110</v>
      </c>
      <c r="AG3176" t="s">
        <v>337</v>
      </c>
      <c r="AH3176" t="s">
        <v>72</v>
      </c>
      <c r="AI3176" t="s">
        <v>338</v>
      </c>
      <c r="AJ3176">
        <v>1929</v>
      </c>
      <c r="AK3176" t="s">
        <v>339</v>
      </c>
      <c r="AM3176" t="s">
        <v>340</v>
      </c>
      <c r="AN3176" t="s">
        <v>341</v>
      </c>
      <c r="AO3176" t="s">
        <v>77</v>
      </c>
      <c r="AP3176" t="s">
        <v>115</v>
      </c>
      <c r="AQ3176" t="s">
        <v>342</v>
      </c>
      <c r="AR3176" t="s">
        <v>80</v>
      </c>
      <c r="AS3176">
        <v>701</v>
      </c>
      <c r="AT3176" t="s">
        <v>81</v>
      </c>
      <c r="AU3176">
        <v>-27.73</v>
      </c>
      <c r="AV3176">
        <v>-52.68</v>
      </c>
      <c r="AW3176" t="s">
        <v>82</v>
      </c>
      <c r="AX3176">
        <v>701</v>
      </c>
      <c r="AY3176" t="s">
        <v>81</v>
      </c>
      <c r="AZ3176">
        <v>-34.36</v>
      </c>
      <c r="BA3176">
        <v>-58.88</v>
      </c>
      <c r="BB3176" t="s">
        <v>83</v>
      </c>
    </row>
    <row r="3177" spans="1:54" x14ac:dyDescent="0.4">
      <c r="A3177">
        <v>299715</v>
      </c>
      <c r="D3177" t="s">
        <v>498</v>
      </c>
      <c r="G3177">
        <v>1</v>
      </c>
      <c r="H3177" t="s">
        <v>56</v>
      </c>
      <c r="I3177" t="s">
        <v>57</v>
      </c>
      <c r="K3177" t="s">
        <v>499</v>
      </c>
      <c r="L3177" t="s">
        <v>500</v>
      </c>
      <c r="M3177" t="s">
        <v>60</v>
      </c>
      <c r="O3177" t="s">
        <v>170</v>
      </c>
      <c r="P3177" t="s">
        <v>333</v>
      </c>
      <c r="R3177" t="s">
        <v>238</v>
      </c>
      <c r="S3177" t="s">
        <v>123</v>
      </c>
      <c r="T3177">
        <v>264.27999999999997</v>
      </c>
      <c r="U3177">
        <v>259.51</v>
      </c>
      <c r="V3177">
        <f t="shared" si="98"/>
        <v>261.89499999999998</v>
      </c>
      <c r="W3177">
        <f t="shared" si="99"/>
        <v>4.7699999999999818</v>
      </c>
      <c r="X3177">
        <v>48.351664999999997</v>
      </c>
      <c r="Y3177">
        <v>58.150002000000001</v>
      </c>
      <c r="Z3177" t="s">
        <v>124</v>
      </c>
      <c r="AA3177" t="s">
        <v>239</v>
      </c>
      <c r="AB3177" t="s">
        <v>501</v>
      </c>
      <c r="AC3177" t="s">
        <v>502</v>
      </c>
      <c r="AD3177" t="s">
        <v>503</v>
      </c>
      <c r="AE3177" t="s">
        <v>502</v>
      </c>
      <c r="AF3177" t="s">
        <v>504</v>
      </c>
      <c r="AG3177" t="s">
        <v>505</v>
      </c>
      <c r="AH3177" t="s">
        <v>72</v>
      </c>
      <c r="AI3177" t="s">
        <v>506</v>
      </c>
      <c r="AJ3177">
        <v>1937</v>
      </c>
      <c r="AK3177" t="s">
        <v>507</v>
      </c>
      <c r="AM3177" t="s">
        <v>508</v>
      </c>
      <c r="AN3177" t="s">
        <v>192</v>
      </c>
      <c r="AO3177" t="s">
        <v>160</v>
      </c>
      <c r="AP3177" t="s">
        <v>78</v>
      </c>
      <c r="AQ3177" t="s">
        <v>509</v>
      </c>
      <c r="AR3177" t="s">
        <v>80</v>
      </c>
      <c r="AS3177">
        <v>302</v>
      </c>
      <c r="AT3177" t="s">
        <v>81</v>
      </c>
      <c r="AU3177">
        <v>49.9</v>
      </c>
      <c r="AV3177">
        <v>37.54</v>
      </c>
      <c r="AW3177" t="s">
        <v>82</v>
      </c>
      <c r="AX3177">
        <v>301</v>
      </c>
      <c r="AY3177" t="s">
        <v>81</v>
      </c>
      <c r="AZ3177">
        <v>40.799999999999997</v>
      </c>
      <c r="BA3177">
        <v>31.74</v>
      </c>
      <c r="BB3177" t="s">
        <v>83</v>
      </c>
    </row>
    <row r="3178" spans="1:54" x14ac:dyDescent="0.4">
      <c r="A3178">
        <v>790206</v>
      </c>
      <c r="D3178" t="s">
        <v>498</v>
      </c>
      <c r="G3178">
        <v>1</v>
      </c>
      <c r="H3178" t="s">
        <v>56</v>
      </c>
      <c r="I3178" t="s">
        <v>57</v>
      </c>
      <c r="K3178" t="s">
        <v>235</v>
      </c>
      <c r="L3178" t="s">
        <v>1934</v>
      </c>
      <c r="M3178" t="s">
        <v>60</v>
      </c>
      <c r="P3178" t="s">
        <v>333</v>
      </c>
      <c r="R3178" t="s">
        <v>238</v>
      </c>
      <c r="S3178" t="s">
        <v>123</v>
      </c>
      <c r="T3178">
        <v>264.27999999999997</v>
      </c>
      <c r="U3178">
        <v>259.51</v>
      </c>
      <c r="V3178">
        <f t="shared" si="98"/>
        <v>261.89499999999998</v>
      </c>
      <c r="W3178">
        <f t="shared" si="99"/>
        <v>4.7699999999999818</v>
      </c>
      <c r="X3178">
        <v>48.351664999999997</v>
      </c>
      <c r="Y3178">
        <v>58.150002000000001</v>
      </c>
      <c r="Z3178" t="s">
        <v>124</v>
      </c>
      <c r="AA3178" t="s">
        <v>239</v>
      </c>
      <c r="AB3178" t="s">
        <v>501</v>
      </c>
      <c r="AC3178" t="s">
        <v>502</v>
      </c>
      <c r="AD3178" t="s">
        <v>503</v>
      </c>
      <c r="AE3178" t="s">
        <v>502</v>
      </c>
      <c r="AF3178" t="s">
        <v>504</v>
      </c>
      <c r="AG3178" t="s">
        <v>505</v>
      </c>
      <c r="AH3178" t="s">
        <v>72</v>
      </c>
      <c r="AI3178" t="s">
        <v>400</v>
      </c>
      <c r="AJ3178">
        <v>1997</v>
      </c>
      <c r="AK3178" t="s">
        <v>507</v>
      </c>
      <c r="AM3178" t="s">
        <v>508</v>
      </c>
      <c r="AN3178" t="s">
        <v>192</v>
      </c>
      <c r="AO3178" t="s">
        <v>160</v>
      </c>
      <c r="AP3178" t="s">
        <v>78</v>
      </c>
      <c r="AQ3178" t="s">
        <v>509</v>
      </c>
      <c r="AR3178" t="s">
        <v>80</v>
      </c>
      <c r="AS3178">
        <v>302</v>
      </c>
      <c r="AT3178" t="s">
        <v>81</v>
      </c>
      <c r="AU3178">
        <v>49.9</v>
      </c>
      <c r="AV3178">
        <v>37.54</v>
      </c>
      <c r="AW3178" t="s">
        <v>82</v>
      </c>
      <c r="AX3178">
        <v>301</v>
      </c>
      <c r="AY3178" t="s">
        <v>81</v>
      </c>
      <c r="AZ3178">
        <v>40.799999999999997</v>
      </c>
      <c r="BA3178">
        <v>31.74</v>
      </c>
      <c r="BB3178" t="s">
        <v>83</v>
      </c>
    </row>
    <row r="3179" spans="1:54" x14ac:dyDescent="0.4">
      <c r="A3179">
        <v>790206</v>
      </c>
      <c r="D3179" t="s">
        <v>498</v>
      </c>
      <c r="G3179">
        <v>1</v>
      </c>
      <c r="H3179" t="s">
        <v>56</v>
      </c>
      <c r="I3179" t="s">
        <v>57</v>
      </c>
      <c r="K3179" t="s">
        <v>235</v>
      </c>
      <c r="L3179" t="s">
        <v>1934</v>
      </c>
      <c r="M3179" t="s">
        <v>60</v>
      </c>
      <c r="P3179" t="s">
        <v>333</v>
      </c>
      <c r="R3179" t="s">
        <v>238</v>
      </c>
      <c r="S3179" t="s">
        <v>123</v>
      </c>
      <c r="T3179">
        <v>264.27999999999997</v>
      </c>
      <c r="U3179">
        <v>259.51</v>
      </c>
      <c r="V3179">
        <f t="shared" si="98"/>
        <v>261.89499999999998</v>
      </c>
      <c r="W3179">
        <f t="shared" si="99"/>
        <v>4.7699999999999818</v>
      </c>
      <c r="X3179">
        <v>48.351664999999997</v>
      </c>
      <c r="Y3179">
        <v>58.150002000000001</v>
      </c>
      <c r="Z3179" t="s">
        <v>124</v>
      </c>
      <c r="AA3179" t="s">
        <v>239</v>
      </c>
      <c r="AB3179" t="s">
        <v>501</v>
      </c>
      <c r="AC3179" t="s">
        <v>502</v>
      </c>
      <c r="AD3179" t="s">
        <v>503</v>
      </c>
      <c r="AE3179" t="s">
        <v>502</v>
      </c>
      <c r="AF3179" t="s">
        <v>504</v>
      </c>
      <c r="AG3179" t="s">
        <v>505</v>
      </c>
      <c r="AH3179" t="s">
        <v>72</v>
      </c>
      <c r="AI3179" t="s">
        <v>400</v>
      </c>
      <c r="AJ3179">
        <v>1997</v>
      </c>
      <c r="AK3179" t="s">
        <v>507</v>
      </c>
      <c r="AM3179" t="s">
        <v>508</v>
      </c>
      <c r="AN3179" t="s">
        <v>192</v>
      </c>
      <c r="AO3179" t="s">
        <v>160</v>
      </c>
      <c r="AP3179" t="s">
        <v>78</v>
      </c>
      <c r="AQ3179" t="s">
        <v>509</v>
      </c>
      <c r="AR3179" t="s">
        <v>80</v>
      </c>
      <c r="AS3179">
        <v>302</v>
      </c>
      <c r="AT3179" t="s">
        <v>81</v>
      </c>
      <c r="AU3179">
        <v>49.9</v>
      </c>
      <c r="AV3179">
        <v>37.54</v>
      </c>
      <c r="AW3179" t="s">
        <v>82</v>
      </c>
      <c r="AX3179">
        <v>301</v>
      </c>
      <c r="AY3179" t="s">
        <v>81</v>
      </c>
      <c r="AZ3179">
        <v>40.799999999999997</v>
      </c>
      <c r="BA3179">
        <v>31.74</v>
      </c>
      <c r="BB3179" t="s">
        <v>83</v>
      </c>
    </row>
    <row r="3180" spans="1:54" x14ac:dyDescent="0.4">
      <c r="A3180">
        <v>790206</v>
      </c>
      <c r="D3180" t="s">
        <v>498</v>
      </c>
      <c r="G3180">
        <v>1</v>
      </c>
      <c r="H3180" t="s">
        <v>56</v>
      </c>
      <c r="I3180" t="s">
        <v>57</v>
      </c>
      <c r="K3180" t="s">
        <v>235</v>
      </c>
      <c r="L3180" t="s">
        <v>1934</v>
      </c>
      <c r="M3180" t="s">
        <v>60</v>
      </c>
      <c r="P3180" t="s">
        <v>333</v>
      </c>
      <c r="R3180" t="s">
        <v>238</v>
      </c>
      <c r="S3180" t="s">
        <v>123</v>
      </c>
      <c r="T3180">
        <v>264.27999999999997</v>
      </c>
      <c r="U3180">
        <v>259.51</v>
      </c>
      <c r="V3180">
        <f t="shared" si="98"/>
        <v>261.89499999999998</v>
      </c>
      <c r="W3180">
        <f t="shared" si="99"/>
        <v>4.7699999999999818</v>
      </c>
      <c r="X3180">
        <v>48.351664999999997</v>
      </c>
      <c r="Y3180">
        <v>58.150002000000001</v>
      </c>
      <c r="Z3180" t="s">
        <v>124</v>
      </c>
      <c r="AA3180" t="s">
        <v>239</v>
      </c>
      <c r="AB3180" t="s">
        <v>501</v>
      </c>
      <c r="AC3180" t="s">
        <v>502</v>
      </c>
      <c r="AD3180" t="s">
        <v>503</v>
      </c>
      <c r="AE3180" t="s">
        <v>502</v>
      </c>
      <c r="AF3180" t="s">
        <v>504</v>
      </c>
      <c r="AG3180" t="s">
        <v>505</v>
      </c>
      <c r="AH3180" t="s">
        <v>72</v>
      </c>
      <c r="AI3180" t="s">
        <v>400</v>
      </c>
      <c r="AJ3180">
        <v>1997</v>
      </c>
      <c r="AK3180" t="s">
        <v>507</v>
      </c>
      <c r="AM3180" t="s">
        <v>508</v>
      </c>
      <c r="AN3180" t="s">
        <v>192</v>
      </c>
      <c r="AO3180" t="s">
        <v>160</v>
      </c>
      <c r="AP3180" t="s">
        <v>78</v>
      </c>
      <c r="AQ3180" t="s">
        <v>509</v>
      </c>
      <c r="AR3180" t="s">
        <v>80</v>
      </c>
      <c r="AS3180">
        <v>302</v>
      </c>
      <c r="AT3180" t="s">
        <v>81</v>
      </c>
      <c r="AU3180">
        <v>49.9</v>
      </c>
      <c r="AV3180">
        <v>37.54</v>
      </c>
      <c r="AW3180" t="s">
        <v>82</v>
      </c>
      <c r="AX3180">
        <v>301</v>
      </c>
      <c r="AY3180" t="s">
        <v>81</v>
      </c>
      <c r="AZ3180">
        <v>40.799999999999997</v>
      </c>
      <c r="BA3180">
        <v>31.74</v>
      </c>
      <c r="BB3180" t="s">
        <v>83</v>
      </c>
    </row>
    <row r="3181" spans="1:54" x14ac:dyDescent="0.4">
      <c r="A3181">
        <v>790206</v>
      </c>
      <c r="D3181" t="s">
        <v>498</v>
      </c>
      <c r="G3181">
        <v>1</v>
      </c>
      <c r="H3181" t="s">
        <v>56</v>
      </c>
      <c r="I3181" t="s">
        <v>57</v>
      </c>
      <c r="K3181" t="s">
        <v>235</v>
      </c>
      <c r="L3181" t="s">
        <v>1934</v>
      </c>
      <c r="M3181" t="s">
        <v>60</v>
      </c>
      <c r="P3181" t="s">
        <v>333</v>
      </c>
      <c r="R3181" t="s">
        <v>238</v>
      </c>
      <c r="S3181" t="s">
        <v>123</v>
      </c>
      <c r="T3181">
        <v>264.27999999999997</v>
      </c>
      <c r="U3181">
        <v>259.51</v>
      </c>
      <c r="V3181">
        <f t="shared" si="98"/>
        <v>261.89499999999998</v>
      </c>
      <c r="W3181">
        <f t="shared" si="99"/>
        <v>4.7699999999999818</v>
      </c>
      <c r="X3181">
        <v>48.351664999999997</v>
      </c>
      <c r="Y3181">
        <v>58.150002000000001</v>
      </c>
      <c r="Z3181" t="s">
        <v>124</v>
      </c>
      <c r="AA3181" t="s">
        <v>239</v>
      </c>
      <c r="AB3181" t="s">
        <v>501</v>
      </c>
      <c r="AC3181" t="s">
        <v>502</v>
      </c>
      <c r="AD3181" t="s">
        <v>503</v>
      </c>
      <c r="AE3181" t="s">
        <v>502</v>
      </c>
      <c r="AF3181" t="s">
        <v>504</v>
      </c>
      <c r="AG3181" t="s">
        <v>505</v>
      </c>
      <c r="AH3181" t="s">
        <v>72</v>
      </c>
      <c r="AI3181" t="s">
        <v>400</v>
      </c>
      <c r="AJ3181">
        <v>1997</v>
      </c>
      <c r="AK3181" t="s">
        <v>507</v>
      </c>
      <c r="AM3181" t="s">
        <v>508</v>
      </c>
      <c r="AN3181" t="s">
        <v>192</v>
      </c>
      <c r="AO3181" t="s">
        <v>160</v>
      </c>
      <c r="AP3181" t="s">
        <v>78</v>
      </c>
      <c r="AQ3181" t="s">
        <v>509</v>
      </c>
      <c r="AR3181" t="s">
        <v>80</v>
      </c>
      <c r="AS3181">
        <v>302</v>
      </c>
      <c r="AT3181" t="s">
        <v>81</v>
      </c>
      <c r="AU3181">
        <v>49.9</v>
      </c>
      <c r="AV3181">
        <v>37.54</v>
      </c>
      <c r="AW3181" t="s">
        <v>82</v>
      </c>
      <c r="AX3181">
        <v>301</v>
      </c>
      <c r="AY3181" t="s">
        <v>81</v>
      </c>
      <c r="AZ3181">
        <v>40.799999999999997</v>
      </c>
      <c r="BA3181">
        <v>31.74</v>
      </c>
      <c r="BB3181" t="s">
        <v>83</v>
      </c>
    </row>
    <row r="3182" spans="1:54" x14ac:dyDescent="0.4">
      <c r="A3182">
        <v>790206</v>
      </c>
      <c r="D3182" t="s">
        <v>498</v>
      </c>
      <c r="G3182">
        <v>1</v>
      </c>
      <c r="H3182" t="s">
        <v>56</v>
      </c>
      <c r="I3182" t="s">
        <v>57</v>
      </c>
      <c r="K3182" t="s">
        <v>235</v>
      </c>
      <c r="L3182" t="s">
        <v>1934</v>
      </c>
      <c r="M3182" t="s">
        <v>60</v>
      </c>
      <c r="P3182" t="s">
        <v>333</v>
      </c>
      <c r="R3182" t="s">
        <v>238</v>
      </c>
      <c r="S3182" t="s">
        <v>123</v>
      </c>
      <c r="T3182">
        <v>264.27999999999997</v>
      </c>
      <c r="U3182">
        <v>259.51</v>
      </c>
      <c r="V3182">
        <f t="shared" si="98"/>
        <v>261.89499999999998</v>
      </c>
      <c r="W3182">
        <f t="shared" si="99"/>
        <v>4.7699999999999818</v>
      </c>
      <c r="X3182">
        <v>48.351664999999997</v>
      </c>
      <c r="Y3182">
        <v>58.150002000000001</v>
      </c>
      <c r="Z3182" t="s">
        <v>124</v>
      </c>
      <c r="AA3182" t="s">
        <v>239</v>
      </c>
      <c r="AB3182" t="s">
        <v>501</v>
      </c>
      <c r="AC3182" t="s">
        <v>502</v>
      </c>
      <c r="AD3182" t="s">
        <v>503</v>
      </c>
      <c r="AE3182" t="s">
        <v>502</v>
      </c>
      <c r="AF3182" t="s">
        <v>504</v>
      </c>
      <c r="AG3182" t="s">
        <v>505</v>
      </c>
      <c r="AH3182" t="s">
        <v>72</v>
      </c>
      <c r="AI3182" t="s">
        <v>400</v>
      </c>
      <c r="AJ3182">
        <v>1997</v>
      </c>
      <c r="AK3182" t="s">
        <v>507</v>
      </c>
      <c r="AM3182" t="s">
        <v>508</v>
      </c>
      <c r="AN3182" t="s">
        <v>192</v>
      </c>
      <c r="AO3182" t="s">
        <v>160</v>
      </c>
      <c r="AP3182" t="s">
        <v>78</v>
      </c>
      <c r="AQ3182" t="s">
        <v>509</v>
      </c>
      <c r="AR3182" t="s">
        <v>80</v>
      </c>
      <c r="AS3182">
        <v>302</v>
      </c>
      <c r="AT3182" t="s">
        <v>81</v>
      </c>
      <c r="AU3182">
        <v>49.9</v>
      </c>
      <c r="AV3182">
        <v>37.54</v>
      </c>
      <c r="AW3182" t="s">
        <v>82</v>
      </c>
      <c r="AX3182">
        <v>301</v>
      </c>
      <c r="AY3182" t="s">
        <v>81</v>
      </c>
      <c r="AZ3182">
        <v>40.799999999999997</v>
      </c>
      <c r="BA3182">
        <v>31.74</v>
      </c>
      <c r="BB3182" t="s">
        <v>83</v>
      </c>
    </row>
    <row r="3183" spans="1:54" x14ac:dyDescent="0.4">
      <c r="A3183">
        <v>790206</v>
      </c>
      <c r="D3183" t="s">
        <v>498</v>
      </c>
      <c r="G3183">
        <v>1</v>
      </c>
      <c r="H3183" t="s">
        <v>56</v>
      </c>
      <c r="I3183" t="s">
        <v>57</v>
      </c>
      <c r="K3183" t="s">
        <v>235</v>
      </c>
      <c r="L3183" t="s">
        <v>1934</v>
      </c>
      <c r="M3183" t="s">
        <v>60</v>
      </c>
      <c r="P3183" t="s">
        <v>333</v>
      </c>
      <c r="R3183" t="s">
        <v>238</v>
      </c>
      <c r="S3183" t="s">
        <v>123</v>
      </c>
      <c r="T3183">
        <v>264.27999999999997</v>
      </c>
      <c r="U3183">
        <v>259.51</v>
      </c>
      <c r="V3183">
        <f t="shared" si="98"/>
        <v>261.89499999999998</v>
      </c>
      <c r="W3183">
        <f t="shared" si="99"/>
        <v>4.7699999999999818</v>
      </c>
      <c r="X3183">
        <v>48.351664999999997</v>
      </c>
      <c r="Y3183">
        <v>58.150002000000001</v>
      </c>
      <c r="Z3183" t="s">
        <v>124</v>
      </c>
      <c r="AA3183" t="s">
        <v>239</v>
      </c>
      <c r="AB3183" t="s">
        <v>501</v>
      </c>
      <c r="AC3183" t="s">
        <v>502</v>
      </c>
      <c r="AD3183" t="s">
        <v>503</v>
      </c>
      <c r="AE3183" t="s">
        <v>502</v>
      </c>
      <c r="AF3183" t="s">
        <v>504</v>
      </c>
      <c r="AG3183" t="s">
        <v>505</v>
      </c>
      <c r="AH3183" t="s">
        <v>72</v>
      </c>
      <c r="AI3183" t="s">
        <v>400</v>
      </c>
      <c r="AJ3183">
        <v>1997</v>
      </c>
      <c r="AK3183" t="s">
        <v>507</v>
      </c>
      <c r="AM3183" t="s">
        <v>508</v>
      </c>
      <c r="AN3183" t="s">
        <v>192</v>
      </c>
      <c r="AO3183" t="s">
        <v>160</v>
      </c>
      <c r="AP3183" t="s">
        <v>78</v>
      </c>
      <c r="AQ3183" t="s">
        <v>509</v>
      </c>
      <c r="AR3183" t="s">
        <v>80</v>
      </c>
      <c r="AS3183">
        <v>302</v>
      </c>
      <c r="AT3183" t="s">
        <v>81</v>
      </c>
      <c r="AU3183">
        <v>49.9</v>
      </c>
      <c r="AV3183">
        <v>37.54</v>
      </c>
      <c r="AW3183" t="s">
        <v>82</v>
      </c>
      <c r="AX3183">
        <v>301</v>
      </c>
      <c r="AY3183" t="s">
        <v>81</v>
      </c>
      <c r="AZ3183">
        <v>40.799999999999997</v>
      </c>
      <c r="BA3183">
        <v>31.74</v>
      </c>
      <c r="BB3183" t="s">
        <v>83</v>
      </c>
    </row>
    <row r="3184" spans="1:54" x14ac:dyDescent="0.4">
      <c r="A3184">
        <v>790206</v>
      </c>
      <c r="D3184" t="s">
        <v>498</v>
      </c>
      <c r="G3184">
        <v>1</v>
      </c>
      <c r="H3184" t="s">
        <v>56</v>
      </c>
      <c r="I3184" t="s">
        <v>57</v>
      </c>
      <c r="K3184" t="s">
        <v>235</v>
      </c>
      <c r="L3184" t="s">
        <v>1934</v>
      </c>
      <c r="M3184" t="s">
        <v>60</v>
      </c>
      <c r="P3184" t="s">
        <v>333</v>
      </c>
      <c r="R3184" t="s">
        <v>238</v>
      </c>
      <c r="S3184" t="s">
        <v>123</v>
      </c>
      <c r="T3184">
        <v>264.27999999999997</v>
      </c>
      <c r="U3184">
        <v>259.51</v>
      </c>
      <c r="V3184">
        <f t="shared" si="98"/>
        <v>261.89499999999998</v>
      </c>
      <c r="W3184">
        <f t="shared" si="99"/>
        <v>4.7699999999999818</v>
      </c>
      <c r="X3184">
        <v>48.351664999999997</v>
      </c>
      <c r="Y3184">
        <v>58.150002000000001</v>
      </c>
      <c r="Z3184" t="s">
        <v>124</v>
      </c>
      <c r="AA3184" t="s">
        <v>239</v>
      </c>
      <c r="AB3184" t="s">
        <v>501</v>
      </c>
      <c r="AC3184" t="s">
        <v>502</v>
      </c>
      <c r="AD3184" t="s">
        <v>503</v>
      </c>
      <c r="AE3184" t="s">
        <v>502</v>
      </c>
      <c r="AF3184" t="s">
        <v>504</v>
      </c>
      <c r="AG3184" t="s">
        <v>505</v>
      </c>
      <c r="AH3184" t="s">
        <v>72</v>
      </c>
      <c r="AI3184" t="s">
        <v>400</v>
      </c>
      <c r="AJ3184">
        <v>1997</v>
      </c>
      <c r="AK3184" t="s">
        <v>507</v>
      </c>
      <c r="AM3184" t="s">
        <v>508</v>
      </c>
      <c r="AN3184" t="s">
        <v>192</v>
      </c>
      <c r="AO3184" t="s">
        <v>160</v>
      </c>
      <c r="AP3184" t="s">
        <v>78</v>
      </c>
      <c r="AQ3184" t="s">
        <v>509</v>
      </c>
      <c r="AR3184" t="s">
        <v>80</v>
      </c>
      <c r="AS3184">
        <v>302</v>
      </c>
      <c r="AT3184" t="s">
        <v>81</v>
      </c>
      <c r="AU3184">
        <v>49.9</v>
      </c>
      <c r="AV3184">
        <v>37.54</v>
      </c>
      <c r="AW3184" t="s">
        <v>82</v>
      </c>
      <c r="AX3184">
        <v>301</v>
      </c>
      <c r="AY3184" t="s">
        <v>81</v>
      </c>
      <c r="AZ3184">
        <v>40.799999999999997</v>
      </c>
      <c r="BA3184">
        <v>31.74</v>
      </c>
      <c r="BB3184" t="s">
        <v>83</v>
      </c>
    </row>
    <row r="3185" spans="1:54" x14ac:dyDescent="0.4">
      <c r="A3185">
        <v>808649</v>
      </c>
      <c r="D3185" t="s">
        <v>54</v>
      </c>
      <c r="E3185" t="s">
        <v>55</v>
      </c>
      <c r="G3185">
        <v>1</v>
      </c>
      <c r="H3185" t="s">
        <v>56</v>
      </c>
      <c r="I3185" t="s">
        <v>57</v>
      </c>
      <c r="K3185" t="s">
        <v>141</v>
      </c>
      <c r="L3185" t="s">
        <v>2191</v>
      </c>
      <c r="M3185" t="s">
        <v>60</v>
      </c>
      <c r="P3185" t="s">
        <v>333</v>
      </c>
      <c r="R3185" t="s">
        <v>238</v>
      </c>
      <c r="S3185" t="s">
        <v>123</v>
      </c>
      <c r="T3185">
        <v>264.27999999999997</v>
      </c>
      <c r="U3185">
        <v>259.51</v>
      </c>
      <c r="V3185">
        <f t="shared" si="98"/>
        <v>261.89499999999998</v>
      </c>
      <c r="W3185">
        <f t="shared" si="99"/>
        <v>4.7699999999999818</v>
      </c>
      <c r="X3185">
        <v>22.378332</v>
      </c>
      <c r="Y3185">
        <v>-31.135000000000002</v>
      </c>
      <c r="Z3185" t="s">
        <v>198</v>
      </c>
      <c r="AA3185" t="s">
        <v>106</v>
      </c>
      <c r="AB3185" t="s">
        <v>575</v>
      </c>
      <c r="AC3185" t="s">
        <v>2192</v>
      </c>
      <c r="AD3185" t="s">
        <v>336</v>
      </c>
      <c r="AE3185" t="s">
        <v>110</v>
      </c>
      <c r="AG3185" t="s">
        <v>2193</v>
      </c>
      <c r="AH3185" t="s">
        <v>72</v>
      </c>
      <c r="AI3185" t="s">
        <v>2194</v>
      </c>
      <c r="AJ3185">
        <v>1999</v>
      </c>
      <c r="AK3185" t="s">
        <v>2195</v>
      </c>
      <c r="AN3185" t="s">
        <v>76</v>
      </c>
      <c r="AO3185" t="s">
        <v>77</v>
      </c>
      <c r="AP3185" t="s">
        <v>115</v>
      </c>
      <c r="AQ3185" t="s">
        <v>2196</v>
      </c>
      <c r="AR3185" t="s">
        <v>80</v>
      </c>
      <c r="AS3185">
        <v>701</v>
      </c>
      <c r="AT3185" t="s">
        <v>81</v>
      </c>
      <c r="AU3185">
        <v>-25.6</v>
      </c>
      <c r="AV3185">
        <v>-52.67</v>
      </c>
      <c r="AW3185" t="s">
        <v>82</v>
      </c>
      <c r="AX3185">
        <v>701</v>
      </c>
      <c r="AY3185" t="s">
        <v>81</v>
      </c>
      <c r="AZ3185">
        <v>-31.86</v>
      </c>
      <c r="BA3185">
        <v>-58.96</v>
      </c>
      <c r="BB3185" t="s">
        <v>83</v>
      </c>
    </row>
    <row r="3186" spans="1:54" x14ac:dyDescent="0.4">
      <c r="A3186">
        <v>808649</v>
      </c>
      <c r="D3186" t="s">
        <v>54</v>
      </c>
      <c r="E3186" t="s">
        <v>55</v>
      </c>
      <c r="G3186">
        <v>1</v>
      </c>
      <c r="H3186" t="s">
        <v>56</v>
      </c>
      <c r="I3186" t="s">
        <v>57</v>
      </c>
      <c r="K3186" t="s">
        <v>141</v>
      </c>
      <c r="L3186" t="s">
        <v>2191</v>
      </c>
      <c r="M3186" t="s">
        <v>60</v>
      </c>
      <c r="P3186" t="s">
        <v>333</v>
      </c>
      <c r="R3186" t="s">
        <v>238</v>
      </c>
      <c r="S3186" t="s">
        <v>123</v>
      </c>
      <c r="T3186">
        <v>264.27999999999997</v>
      </c>
      <c r="U3186">
        <v>259.51</v>
      </c>
      <c r="V3186">
        <f t="shared" si="98"/>
        <v>261.89499999999998</v>
      </c>
      <c r="W3186">
        <f t="shared" si="99"/>
        <v>4.7699999999999818</v>
      </c>
      <c r="X3186">
        <v>22.378332</v>
      </c>
      <c r="Y3186">
        <v>-31.135000000000002</v>
      </c>
      <c r="Z3186" t="s">
        <v>198</v>
      </c>
      <c r="AA3186" t="s">
        <v>106</v>
      </c>
      <c r="AB3186" t="s">
        <v>575</v>
      </c>
      <c r="AC3186" t="s">
        <v>2192</v>
      </c>
      <c r="AD3186" t="s">
        <v>336</v>
      </c>
      <c r="AE3186" t="s">
        <v>110</v>
      </c>
      <c r="AG3186" t="s">
        <v>2193</v>
      </c>
      <c r="AH3186" t="s">
        <v>72</v>
      </c>
      <c r="AI3186" t="s">
        <v>2194</v>
      </c>
      <c r="AJ3186">
        <v>1999</v>
      </c>
      <c r="AK3186" t="s">
        <v>2195</v>
      </c>
      <c r="AN3186" t="s">
        <v>76</v>
      </c>
      <c r="AO3186" t="s">
        <v>77</v>
      </c>
      <c r="AP3186" t="s">
        <v>115</v>
      </c>
      <c r="AQ3186" t="s">
        <v>2196</v>
      </c>
      <c r="AR3186" t="s">
        <v>80</v>
      </c>
      <c r="AS3186">
        <v>701</v>
      </c>
      <c r="AT3186" t="s">
        <v>81</v>
      </c>
      <c r="AU3186">
        <v>-25.6</v>
      </c>
      <c r="AV3186">
        <v>-52.67</v>
      </c>
      <c r="AW3186" t="s">
        <v>82</v>
      </c>
      <c r="AX3186">
        <v>701</v>
      </c>
      <c r="AY3186" t="s">
        <v>81</v>
      </c>
      <c r="AZ3186">
        <v>-31.86</v>
      </c>
      <c r="BA3186">
        <v>-58.96</v>
      </c>
      <c r="BB3186" t="s">
        <v>83</v>
      </c>
    </row>
    <row r="3187" spans="1:54" x14ac:dyDescent="0.4">
      <c r="A3187">
        <v>814159</v>
      </c>
      <c r="D3187" t="s">
        <v>54</v>
      </c>
      <c r="E3187" t="s">
        <v>154</v>
      </c>
      <c r="G3187">
        <v>1</v>
      </c>
      <c r="H3187" t="s">
        <v>56</v>
      </c>
      <c r="I3187" t="s">
        <v>57</v>
      </c>
      <c r="K3187" t="s">
        <v>141</v>
      </c>
      <c r="L3187" t="s">
        <v>2279</v>
      </c>
      <c r="M3187" t="s">
        <v>60</v>
      </c>
      <c r="P3187" t="s">
        <v>333</v>
      </c>
      <c r="R3187" t="s">
        <v>238</v>
      </c>
      <c r="S3187" t="s">
        <v>123</v>
      </c>
      <c r="T3187">
        <v>264.27999999999997</v>
      </c>
      <c r="U3187">
        <v>259.51</v>
      </c>
      <c r="V3187">
        <f t="shared" si="98"/>
        <v>261.89499999999998</v>
      </c>
      <c r="W3187">
        <f t="shared" si="99"/>
        <v>4.7699999999999818</v>
      </c>
      <c r="X3187">
        <v>21.225000000000001</v>
      </c>
      <c r="Y3187">
        <v>-32.108333999999999</v>
      </c>
      <c r="Z3187" t="s">
        <v>198</v>
      </c>
      <c r="AA3187" t="s">
        <v>106</v>
      </c>
      <c r="AB3187" t="s">
        <v>575</v>
      </c>
      <c r="AC3187" t="s">
        <v>2280</v>
      </c>
      <c r="AD3187" t="s">
        <v>336</v>
      </c>
      <c r="AE3187" t="s">
        <v>110</v>
      </c>
      <c r="AG3187" t="s">
        <v>2281</v>
      </c>
      <c r="AH3187" t="s">
        <v>72</v>
      </c>
      <c r="AI3187" t="s">
        <v>1532</v>
      </c>
      <c r="AJ3187">
        <v>2009</v>
      </c>
      <c r="AK3187" t="s">
        <v>2282</v>
      </c>
      <c r="AM3187" t="s">
        <v>2283</v>
      </c>
      <c r="AN3187" t="s">
        <v>114</v>
      </c>
      <c r="AO3187" t="s">
        <v>77</v>
      </c>
      <c r="AP3187" t="s">
        <v>78</v>
      </c>
      <c r="AQ3187" t="s">
        <v>2284</v>
      </c>
      <c r="AR3187" t="s">
        <v>80</v>
      </c>
      <c r="AS3187">
        <v>701</v>
      </c>
      <c r="AT3187" t="s">
        <v>81</v>
      </c>
      <c r="AU3187">
        <v>-27.7</v>
      </c>
      <c r="AV3187">
        <v>-52.15</v>
      </c>
      <c r="AW3187" t="s">
        <v>82</v>
      </c>
      <c r="AX3187">
        <v>701</v>
      </c>
      <c r="AY3187" t="s">
        <v>81</v>
      </c>
      <c r="AZ3187">
        <v>-34.25</v>
      </c>
      <c r="BA3187">
        <v>-58.35</v>
      </c>
      <c r="BB3187" t="s">
        <v>83</v>
      </c>
    </row>
    <row r="3188" spans="1:54" x14ac:dyDescent="0.4">
      <c r="A3188">
        <v>814161</v>
      </c>
      <c r="D3188" t="s">
        <v>498</v>
      </c>
      <c r="G3188">
        <v>1</v>
      </c>
      <c r="H3188" t="s">
        <v>56</v>
      </c>
      <c r="I3188" t="s">
        <v>57</v>
      </c>
      <c r="K3188" t="s">
        <v>499</v>
      </c>
      <c r="L3188" t="s">
        <v>500</v>
      </c>
      <c r="M3188" t="s">
        <v>60</v>
      </c>
      <c r="O3188" t="s">
        <v>170</v>
      </c>
      <c r="P3188" t="s">
        <v>333</v>
      </c>
      <c r="R3188" t="s">
        <v>238</v>
      </c>
      <c r="S3188" t="s">
        <v>123</v>
      </c>
      <c r="T3188">
        <v>264.27999999999997</v>
      </c>
      <c r="U3188">
        <v>259.51</v>
      </c>
      <c r="V3188">
        <f t="shared" si="98"/>
        <v>261.89499999999998</v>
      </c>
      <c r="W3188">
        <f t="shared" si="99"/>
        <v>4.7699999999999818</v>
      </c>
      <c r="X3188">
        <v>48.351664999999997</v>
      </c>
      <c r="Y3188">
        <v>58.150002000000001</v>
      </c>
      <c r="Z3188" t="s">
        <v>124</v>
      </c>
      <c r="AA3188" t="s">
        <v>239</v>
      </c>
      <c r="AB3188" t="s">
        <v>501</v>
      </c>
      <c r="AC3188" t="s">
        <v>502</v>
      </c>
      <c r="AD3188" t="s">
        <v>503</v>
      </c>
      <c r="AE3188" t="s">
        <v>502</v>
      </c>
      <c r="AF3188" t="s">
        <v>504</v>
      </c>
      <c r="AG3188" t="s">
        <v>505</v>
      </c>
      <c r="AH3188" t="s">
        <v>72</v>
      </c>
      <c r="AI3188" t="s">
        <v>506</v>
      </c>
      <c r="AJ3188">
        <v>1937</v>
      </c>
      <c r="AK3188" t="s">
        <v>507</v>
      </c>
      <c r="AM3188" t="s">
        <v>508</v>
      </c>
      <c r="AN3188" t="s">
        <v>192</v>
      </c>
      <c r="AO3188" t="s">
        <v>160</v>
      </c>
      <c r="AP3188" t="s">
        <v>78</v>
      </c>
      <c r="AQ3188" t="s">
        <v>509</v>
      </c>
      <c r="AR3188" t="s">
        <v>80</v>
      </c>
      <c r="AS3188">
        <v>302</v>
      </c>
      <c r="AT3188" t="s">
        <v>81</v>
      </c>
      <c r="AU3188">
        <v>49.9</v>
      </c>
      <c r="AV3188">
        <v>37.54</v>
      </c>
      <c r="AW3188" t="s">
        <v>82</v>
      </c>
      <c r="AX3188">
        <v>301</v>
      </c>
      <c r="AY3188" t="s">
        <v>81</v>
      </c>
      <c r="AZ3188">
        <v>40.799999999999997</v>
      </c>
      <c r="BA3188">
        <v>31.74</v>
      </c>
      <c r="BB3188" t="s">
        <v>83</v>
      </c>
    </row>
    <row r="3189" spans="1:54" x14ac:dyDescent="0.4">
      <c r="A3189">
        <v>814161</v>
      </c>
      <c r="D3189" t="s">
        <v>498</v>
      </c>
      <c r="G3189">
        <v>1</v>
      </c>
      <c r="H3189" t="s">
        <v>56</v>
      </c>
      <c r="I3189" t="s">
        <v>57</v>
      </c>
      <c r="K3189" t="s">
        <v>499</v>
      </c>
      <c r="L3189" t="s">
        <v>500</v>
      </c>
      <c r="M3189" t="s">
        <v>60</v>
      </c>
      <c r="O3189" t="s">
        <v>170</v>
      </c>
      <c r="P3189" t="s">
        <v>333</v>
      </c>
      <c r="R3189" t="s">
        <v>238</v>
      </c>
      <c r="S3189" t="s">
        <v>123</v>
      </c>
      <c r="T3189">
        <v>264.27999999999997</v>
      </c>
      <c r="U3189">
        <v>259.51</v>
      </c>
      <c r="V3189">
        <f t="shared" si="98"/>
        <v>261.89499999999998</v>
      </c>
      <c r="W3189">
        <f t="shared" si="99"/>
        <v>4.7699999999999818</v>
      </c>
      <c r="X3189">
        <v>48.351664999999997</v>
      </c>
      <c r="Y3189">
        <v>58.150002000000001</v>
      </c>
      <c r="Z3189" t="s">
        <v>124</v>
      </c>
      <c r="AA3189" t="s">
        <v>239</v>
      </c>
      <c r="AB3189" t="s">
        <v>501</v>
      </c>
      <c r="AC3189" t="s">
        <v>502</v>
      </c>
      <c r="AD3189" t="s">
        <v>503</v>
      </c>
      <c r="AE3189" t="s">
        <v>502</v>
      </c>
      <c r="AF3189" t="s">
        <v>504</v>
      </c>
      <c r="AG3189" t="s">
        <v>505</v>
      </c>
      <c r="AH3189" t="s">
        <v>72</v>
      </c>
      <c r="AI3189" t="s">
        <v>506</v>
      </c>
      <c r="AJ3189">
        <v>1937</v>
      </c>
      <c r="AK3189" t="s">
        <v>507</v>
      </c>
      <c r="AM3189" t="s">
        <v>508</v>
      </c>
      <c r="AN3189" t="s">
        <v>192</v>
      </c>
      <c r="AO3189" t="s">
        <v>160</v>
      </c>
      <c r="AP3189" t="s">
        <v>78</v>
      </c>
      <c r="AQ3189" t="s">
        <v>509</v>
      </c>
      <c r="AR3189" t="s">
        <v>80</v>
      </c>
      <c r="AS3189">
        <v>302</v>
      </c>
      <c r="AT3189" t="s">
        <v>81</v>
      </c>
      <c r="AU3189">
        <v>49.9</v>
      </c>
      <c r="AV3189">
        <v>37.54</v>
      </c>
      <c r="AW3189" t="s">
        <v>82</v>
      </c>
      <c r="AX3189">
        <v>301</v>
      </c>
      <c r="AY3189" t="s">
        <v>81</v>
      </c>
      <c r="AZ3189">
        <v>40.799999999999997</v>
      </c>
      <c r="BA3189">
        <v>31.74</v>
      </c>
      <c r="BB3189" t="s">
        <v>83</v>
      </c>
    </row>
    <row r="3190" spans="1:54" x14ac:dyDescent="0.4">
      <c r="A3190">
        <v>814161</v>
      </c>
      <c r="D3190" t="s">
        <v>498</v>
      </c>
      <c r="G3190">
        <v>1</v>
      </c>
      <c r="H3190" t="s">
        <v>56</v>
      </c>
      <c r="I3190" t="s">
        <v>57</v>
      </c>
      <c r="K3190" t="s">
        <v>499</v>
      </c>
      <c r="L3190" t="s">
        <v>500</v>
      </c>
      <c r="M3190" t="s">
        <v>60</v>
      </c>
      <c r="O3190" t="s">
        <v>170</v>
      </c>
      <c r="P3190" t="s">
        <v>333</v>
      </c>
      <c r="R3190" t="s">
        <v>238</v>
      </c>
      <c r="S3190" t="s">
        <v>123</v>
      </c>
      <c r="T3190">
        <v>264.27999999999997</v>
      </c>
      <c r="U3190">
        <v>259.51</v>
      </c>
      <c r="V3190">
        <f t="shared" si="98"/>
        <v>261.89499999999998</v>
      </c>
      <c r="W3190">
        <f t="shared" si="99"/>
        <v>4.7699999999999818</v>
      </c>
      <c r="X3190">
        <v>48.351664999999997</v>
      </c>
      <c r="Y3190">
        <v>58.150002000000001</v>
      </c>
      <c r="Z3190" t="s">
        <v>124</v>
      </c>
      <c r="AA3190" t="s">
        <v>239</v>
      </c>
      <c r="AB3190" t="s">
        <v>501</v>
      </c>
      <c r="AC3190" t="s">
        <v>502</v>
      </c>
      <c r="AD3190" t="s">
        <v>503</v>
      </c>
      <c r="AE3190" t="s">
        <v>502</v>
      </c>
      <c r="AF3190" t="s">
        <v>504</v>
      </c>
      <c r="AG3190" t="s">
        <v>505</v>
      </c>
      <c r="AH3190" t="s">
        <v>72</v>
      </c>
      <c r="AI3190" t="s">
        <v>506</v>
      </c>
      <c r="AJ3190">
        <v>1937</v>
      </c>
      <c r="AK3190" t="s">
        <v>507</v>
      </c>
      <c r="AM3190" t="s">
        <v>508</v>
      </c>
      <c r="AN3190" t="s">
        <v>192</v>
      </c>
      <c r="AO3190" t="s">
        <v>160</v>
      </c>
      <c r="AP3190" t="s">
        <v>78</v>
      </c>
      <c r="AQ3190" t="s">
        <v>509</v>
      </c>
      <c r="AR3190" t="s">
        <v>80</v>
      </c>
      <c r="AS3190">
        <v>302</v>
      </c>
      <c r="AT3190" t="s">
        <v>81</v>
      </c>
      <c r="AU3190">
        <v>49.9</v>
      </c>
      <c r="AV3190">
        <v>37.54</v>
      </c>
      <c r="AW3190" t="s">
        <v>82</v>
      </c>
      <c r="AX3190">
        <v>301</v>
      </c>
      <c r="AY3190" t="s">
        <v>81</v>
      </c>
      <c r="AZ3190">
        <v>40.799999999999997</v>
      </c>
      <c r="BA3190">
        <v>31.74</v>
      </c>
      <c r="BB3190" t="s">
        <v>83</v>
      </c>
    </row>
    <row r="3191" spans="1:54" x14ac:dyDescent="0.4">
      <c r="A3191">
        <v>814161</v>
      </c>
      <c r="D3191" t="s">
        <v>498</v>
      </c>
      <c r="G3191">
        <v>1</v>
      </c>
      <c r="H3191" t="s">
        <v>56</v>
      </c>
      <c r="I3191" t="s">
        <v>57</v>
      </c>
      <c r="K3191" t="s">
        <v>499</v>
      </c>
      <c r="L3191" t="s">
        <v>500</v>
      </c>
      <c r="M3191" t="s">
        <v>60</v>
      </c>
      <c r="O3191" t="s">
        <v>170</v>
      </c>
      <c r="P3191" t="s">
        <v>333</v>
      </c>
      <c r="R3191" t="s">
        <v>238</v>
      </c>
      <c r="S3191" t="s">
        <v>123</v>
      </c>
      <c r="T3191">
        <v>264.27999999999997</v>
      </c>
      <c r="U3191">
        <v>259.51</v>
      </c>
      <c r="V3191">
        <f t="shared" si="98"/>
        <v>261.89499999999998</v>
      </c>
      <c r="W3191">
        <f t="shared" si="99"/>
        <v>4.7699999999999818</v>
      </c>
      <c r="X3191">
        <v>48.351664999999997</v>
      </c>
      <c r="Y3191">
        <v>58.150002000000001</v>
      </c>
      <c r="Z3191" t="s">
        <v>124</v>
      </c>
      <c r="AA3191" t="s">
        <v>239</v>
      </c>
      <c r="AB3191" t="s">
        <v>501</v>
      </c>
      <c r="AC3191" t="s">
        <v>502</v>
      </c>
      <c r="AD3191" t="s">
        <v>503</v>
      </c>
      <c r="AE3191" t="s">
        <v>502</v>
      </c>
      <c r="AF3191" t="s">
        <v>504</v>
      </c>
      <c r="AG3191" t="s">
        <v>505</v>
      </c>
      <c r="AH3191" t="s">
        <v>72</v>
      </c>
      <c r="AI3191" t="s">
        <v>506</v>
      </c>
      <c r="AJ3191">
        <v>1937</v>
      </c>
      <c r="AK3191" t="s">
        <v>507</v>
      </c>
      <c r="AM3191" t="s">
        <v>508</v>
      </c>
      <c r="AN3191" t="s">
        <v>192</v>
      </c>
      <c r="AO3191" t="s">
        <v>160</v>
      </c>
      <c r="AP3191" t="s">
        <v>78</v>
      </c>
      <c r="AQ3191" t="s">
        <v>509</v>
      </c>
      <c r="AR3191" t="s">
        <v>80</v>
      </c>
      <c r="AS3191">
        <v>302</v>
      </c>
      <c r="AT3191" t="s">
        <v>81</v>
      </c>
      <c r="AU3191">
        <v>49.9</v>
      </c>
      <c r="AV3191">
        <v>37.54</v>
      </c>
      <c r="AW3191" t="s">
        <v>82</v>
      </c>
      <c r="AX3191">
        <v>301</v>
      </c>
      <c r="AY3191" t="s">
        <v>81</v>
      </c>
      <c r="AZ3191">
        <v>40.799999999999997</v>
      </c>
      <c r="BA3191">
        <v>31.74</v>
      </c>
      <c r="BB3191" t="s">
        <v>83</v>
      </c>
    </row>
    <row r="3192" spans="1:54" x14ac:dyDescent="0.4">
      <c r="A3192">
        <v>814161</v>
      </c>
      <c r="D3192" t="s">
        <v>498</v>
      </c>
      <c r="G3192">
        <v>1</v>
      </c>
      <c r="H3192" t="s">
        <v>56</v>
      </c>
      <c r="I3192" t="s">
        <v>57</v>
      </c>
      <c r="K3192" t="s">
        <v>499</v>
      </c>
      <c r="L3192" t="s">
        <v>500</v>
      </c>
      <c r="M3192" t="s">
        <v>60</v>
      </c>
      <c r="O3192" t="s">
        <v>170</v>
      </c>
      <c r="P3192" t="s">
        <v>333</v>
      </c>
      <c r="R3192" t="s">
        <v>238</v>
      </c>
      <c r="S3192" t="s">
        <v>123</v>
      </c>
      <c r="T3192">
        <v>264.27999999999997</v>
      </c>
      <c r="U3192">
        <v>259.51</v>
      </c>
      <c r="V3192">
        <f t="shared" si="98"/>
        <v>261.89499999999998</v>
      </c>
      <c r="W3192">
        <f t="shared" si="99"/>
        <v>4.7699999999999818</v>
      </c>
      <c r="X3192">
        <v>48.351664999999997</v>
      </c>
      <c r="Y3192">
        <v>58.150002000000001</v>
      </c>
      <c r="Z3192" t="s">
        <v>124</v>
      </c>
      <c r="AA3192" t="s">
        <v>239</v>
      </c>
      <c r="AB3192" t="s">
        <v>501</v>
      </c>
      <c r="AC3192" t="s">
        <v>502</v>
      </c>
      <c r="AD3192" t="s">
        <v>503</v>
      </c>
      <c r="AE3192" t="s">
        <v>502</v>
      </c>
      <c r="AF3192" t="s">
        <v>504</v>
      </c>
      <c r="AG3192" t="s">
        <v>505</v>
      </c>
      <c r="AH3192" t="s">
        <v>72</v>
      </c>
      <c r="AI3192" t="s">
        <v>506</v>
      </c>
      <c r="AJ3192">
        <v>1937</v>
      </c>
      <c r="AK3192" t="s">
        <v>507</v>
      </c>
      <c r="AM3192" t="s">
        <v>508</v>
      </c>
      <c r="AN3192" t="s">
        <v>192</v>
      </c>
      <c r="AO3192" t="s">
        <v>160</v>
      </c>
      <c r="AP3192" t="s">
        <v>78</v>
      </c>
      <c r="AQ3192" t="s">
        <v>509</v>
      </c>
      <c r="AR3192" t="s">
        <v>80</v>
      </c>
      <c r="AS3192">
        <v>302</v>
      </c>
      <c r="AT3192" t="s">
        <v>81</v>
      </c>
      <c r="AU3192">
        <v>49.9</v>
      </c>
      <c r="AV3192">
        <v>37.54</v>
      </c>
      <c r="AW3192" t="s">
        <v>82</v>
      </c>
      <c r="AX3192">
        <v>301</v>
      </c>
      <c r="AY3192" t="s">
        <v>81</v>
      </c>
      <c r="AZ3192">
        <v>40.799999999999997</v>
      </c>
      <c r="BA3192">
        <v>31.74</v>
      </c>
      <c r="BB3192" t="s">
        <v>83</v>
      </c>
    </row>
    <row r="3193" spans="1:54" x14ac:dyDescent="0.4">
      <c r="A3193">
        <v>814161</v>
      </c>
      <c r="D3193" t="s">
        <v>498</v>
      </c>
      <c r="G3193">
        <v>1</v>
      </c>
      <c r="H3193" t="s">
        <v>56</v>
      </c>
      <c r="I3193" t="s">
        <v>57</v>
      </c>
      <c r="K3193" t="s">
        <v>499</v>
      </c>
      <c r="L3193" t="s">
        <v>500</v>
      </c>
      <c r="M3193" t="s">
        <v>60</v>
      </c>
      <c r="O3193" t="s">
        <v>170</v>
      </c>
      <c r="P3193" t="s">
        <v>333</v>
      </c>
      <c r="R3193" t="s">
        <v>238</v>
      </c>
      <c r="S3193" t="s">
        <v>123</v>
      </c>
      <c r="T3193">
        <v>264.27999999999997</v>
      </c>
      <c r="U3193">
        <v>259.51</v>
      </c>
      <c r="V3193">
        <f t="shared" si="98"/>
        <v>261.89499999999998</v>
      </c>
      <c r="W3193">
        <f t="shared" si="99"/>
        <v>4.7699999999999818</v>
      </c>
      <c r="X3193">
        <v>48.351664999999997</v>
      </c>
      <c r="Y3193">
        <v>58.150002000000001</v>
      </c>
      <c r="Z3193" t="s">
        <v>124</v>
      </c>
      <c r="AA3193" t="s">
        <v>239</v>
      </c>
      <c r="AB3193" t="s">
        <v>501</v>
      </c>
      <c r="AC3193" t="s">
        <v>502</v>
      </c>
      <c r="AD3193" t="s">
        <v>503</v>
      </c>
      <c r="AE3193" t="s">
        <v>502</v>
      </c>
      <c r="AF3193" t="s">
        <v>504</v>
      </c>
      <c r="AG3193" t="s">
        <v>505</v>
      </c>
      <c r="AH3193" t="s">
        <v>72</v>
      </c>
      <c r="AI3193" t="s">
        <v>506</v>
      </c>
      <c r="AJ3193">
        <v>1937</v>
      </c>
      <c r="AK3193" t="s">
        <v>507</v>
      </c>
      <c r="AM3193" t="s">
        <v>508</v>
      </c>
      <c r="AN3193" t="s">
        <v>192</v>
      </c>
      <c r="AO3193" t="s">
        <v>160</v>
      </c>
      <c r="AP3193" t="s">
        <v>78</v>
      </c>
      <c r="AQ3193" t="s">
        <v>509</v>
      </c>
      <c r="AR3193" t="s">
        <v>80</v>
      </c>
      <c r="AS3193">
        <v>302</v>
      </c>
      <c r="AT3193" t="s">
        <v>81</v>
      </c>
      <c r="AU3193">
        <v>49.9</v>
      </c>
      <c r="AV3193">
        <v>37.54</v>
      </c>
      <c r="AW3193" t="s">
        <v>82</v>
      </c>
      <c r="AX3193">
        <v>301</v>
      </c>
      <c r="AY3193" t="s">
        <v>81</v>
      </c>
      <c r="AZ3193">
        <v>40.799999999999997</v>
      </c>
      <c r="BA3193">
        <v>31.74</v>
      </c>
      <c r="BB3193" t="s">
        <v>83</v>
      </c>
    </row>
    <row r="3194" spans="1:54" x14ac:dyDescent="0.4">
      <c r="A3194">
        <v>814161</v>
      </c>
      <c r="D3194" t="s">
        <v>498</v>
      </c>
      <c r="G3194">
        <v>1</v>
      </c>
      <c r="H3194" t="s">
        <v>56</v>
      </c>
      <c r="I3194" t="s">
        <v>57</v>
      </c>
      <c r="K3194" t="s">
        <v>499</v>
      </c>
      <c r="L3194" t="s">
        <v>500</v>
      </c>
      <c r="M3194" t="s">
        <v>60</v>
      </c>
      <c r="O3194" t="s">
        <v>170</v>
      </c>
      <c r="P3194" t="s">
        <v>333</v>
      </c>
      <c r="R3194" t="s">
        <v>238</v>
      </c>
      <c r="S3194" t="s">
        <v>123</v>
      </c>
      <c r="T3194">
        <v>264.27999999999997</v>
      </c>
      <c r="U3194">
        <v>259.51</v>
      </c>
      <c r="V3194">
        <f t="shared" si="98"/>
        <v>261.89499999999998</v>
      </c>
      <c r="W3194">
        <f t="shared" si="99"/>
        <v>4.7699999999999818</v>
      </c>
      <c r="X3194">
        <v>48.351664999999997</v>
      </c>
      <c r="Y3194">
        <v>58.150002000000001</v>
      </c>
      <c r="Z3194" t="s">
        <v>124</v>
      </c>
      <c r="AA3194" t="s">
        <v>239</v>
      </c>
      <c r="AB3194" t="s">
        <v>501</v>
      </c>
      <c r="AC3194" t="s">
        <v>502</v>
      </c>
      <c r="AD3194" t="s">
        <v>503</v>
      </c>
      <c r="AE3194" t="s">
        <v>502</v>
      </c>
      <c r="AF3194" t="s">
        <v>504</v>
      </c>
      <c r="AG3194" t="s">
        <v>505</v>
      </c>
      <c r="AH3194" t="s">
        <v>72</v>
      </c>
      <c r="AI3194" t="s">
        <v>506</v>
      </c>
      <c r="AJ3194">
        <v>1937</v>
      </c>
      <c r="AK3194" t="s">
        <v>507</v>
      </c>
      <c r="AM3194" t="s">
        <v>508</v>
      </c>
      <c r="AN3194" t="s">
        <v>192</v>
      </c>
      <c r="AO3194" t="s">
        <v>160</v>
      </c>
      <c r="AP3194" t="s">
        <v>78</v>
      </c>
      <c r="AQ3194" t="s">
        <v>509</v>
      </c>
      <c r="AR3194" t="s">
        <v>80</v>
      </c>
      <c r="AS3194">
        <v>302</v>
      </c>
      <c r="AT3194" t="s">
        <v>81</v>
      </c>
      <c r="AU3194">
        <v>49.9</v>
      </c>
      <c r="AV3194">
        <v>37.54</v>
      </c>
      <c r="AW3194" t="s">
        <v>82</v>
      </c>
      <c r="AX3194">
        <v>301</v>
      </c>
      <c r="AY3194" t="s">
        <v>81</v>
      </c>
      <c r="AZ3194">
        <v>40.799999999999997</v>
      </c>
      <c r="BA3194">
        <v>31.74</v>
      </c>
      <c r="BB3194" t="s">
        <v>83</v>
      </c>
    </row>
    <row r="3195" spans="1:54" x14ac:dyDescent="0.4">
      <c r="A3195">
        <v>814161</v>
      </c>
      <c r="D3195" t="s">
        <v>498</v>
      </c>
      <c r="G3195">
        <v>1</v>
      </c>
      <c r="H3195" t="s">
        <v>56</v>
      </c>
      <c r="I3195" t="s">
        <v>57</v>
      </c>
      <c r="K3195" t="s">
        <v>499</v>
      </c>
      <c r="L3195" t="s">
        <v>500</v>
      </c>
      <c r="M3195" t="s">
        <v>60</v>
      </c>
      <c r="O3195" t="s">
        <v>170</v>
      </c>
      <c r="P3195" t="s">
        <v>333</v>
      </c>
      <c r="R3195" t="s">
        <v>238</v>
      </c>
      <c r="S3195" t="s">
        <v>123</v>
      </c>
      <c r="T3195">
        <v>264.27999999999997</v>
      </c>
      <c r="U3195">
        <v>259.51</v>
      </c>
      <c r="V3195">
        <f t="shared" si="98"/>
        <v>261.89499999999998</v>
      </c>
      <c r="W3195">
        <f t="shared" si="99"/>
        <v>4.7699999999999818</v>
      </c>
      <c r="X3195">
        <v>48.351664999999997</v>
      </c>
      <c r="Y3195">
        <v>58.150002000000001</v>
      </c>
      <c r="Z3195" t="s">
        <v>124</v>
      </c>
      <c r="AA3195" t="s">
        <v>239</v>
      </c>
      <c r="AB3195" t="s">
        <v>501</v>
      </c>
      <c r="AC3195" t="s">
        <v>502</v>
      </c>
      <c r="AD3195" t="s">
        <v>503</v>
      </c>
      <c r="AE3195" t="s">
        <v>502</v>
      </c>
      <c r="AF3195" t="s">
        <v>504</v>
      </c>
      <c r="AG3195" t="s">
        <v>505</v>
      </c>
      <c r="AH3195" t="s">
        <v>72</v>
      </c>
      <c r="AI3195" t="s">
        <v>506</v>
      </c>
      <c r="AJ3195">
        <v>1937</v>
      </c>
      <c r="AK3195" t="s">
        <v>507</v>
      </c>
      <c r="AM3195" t="s">
        <v>508</v>
      </c>
      <c r="AN3195" t="s">
        <v>192</v>
      </c>
      <c r="AO3195" t="s">
        <v>160</v>
      </c>
      <c r="AP3195" t="s">
        <v>78</v>
      </c>
      <c r="AQ3195" t="s">
        <v>509</v>
      </c>
      <c r="AR3195" t="s">
        <v>80</v>
      </c>
      <c r="AS3195">
        <v>302</v>
      </c>
      <c r="AT3195" t="s">
        <v>81</v>
      </c>
      <c r="AU3195">
        <v>49.9</v>
      </c>
      <c r="AV3195">
        <v>37.54</v>
      </c>
      <c r="AW3195" t="s">
        <v>82</v>
      </c>
      <c r="AX3195">
        <v>301</v>
      </c>
      <c r="AY3195" t="s">
        <v>81</v>
      </c>
      <c r="AZ3195">
        <v>40.799999999999997</v>
      </c>
      <c r="BA3195">
        <v>31.74</v>
      </c>
      <c r="BB3195" t="s">
        <v>83</v>
      </c>
    </row>
    <row r="3196" spans="1:54" x14ac:dyDescent="0.4">
      <c r="A3196">
        <v>814161</v>
      </c>
      <c r="D3196" t="s">
        <v>498</v>
      </c>
      <c r="G3196">
        <v>1</v>
      </c>
      <c r="H3196" t="s">
        <v>56</v>
      </c>
      <c r="I3196" t="s">
        <v>57</v>
      </c>
      <c r="K3196" t="s">
        <v>499</v>
      </c>
      <c r="L3196" t="s">
        <v>500</v>
      </c>
      <c r="M3196" t="s">
        <v>60</v>
      </c>
      <c r="O3196" t="s">
        <v>170</v>
      </c>
      <c r="P3196" t="s">
        <v>333</v>
      </c>
      <c r="R3196" t="s">
        <v>238</v>
      </c>
      <c r="S3196" t="s">
        <v>123</v>
      </c>
      <c r="T3196">
        <v>264.27999999999997</v>
      </c>
      <c r="U3196">
        <v>259.51</v>
      </c>
      <c r="V3196">
        <f t="shared" si="98"/>
        <v>261.89499999999998</v>
      </c>
      <c r="W3196">
        <f t="shared" si="99"/>
        <v>4.7699999999999818</v>
      </c>
      <c r="X3196">
        <v>48.351664999999997</v>
      </c>
      <c r="Y3196">
        <v>58.150002000000001</v>
      </c>
      <c r="Z3196" t="s">
        <v>124</v>
      </c>
      <c r="AA3196" t="s">
        <v>239</v>
      </c>
      <c r="AB3196" t="s">
        <v>501</v>
      </c>
      <c r="AC3196" t="s">
        <v>502</v>
      </c>
      <c r="AD3196" t="s">
        <v>503</v>
      </c>
      <c r="AE3196" t="s">
        <v>502</v>
      </c>
      <c r="AF3196" t="s">
        <v>504</v>
      </c>
      <c r="AG3196" t="s">
        <v>505</v>
      </c>
      <c r="AH3196" t="s">
        <v>72</v>
      </c>
      <c r="AI3196" t="s">
        <v>506</v>
      </c>
      <c r="AJ3196">
        <v>1937</v>
      </c>
      <c r="AK3196" t="s">
        <v>507</v>
      </c>
      <c r="AM3196" t="s">
        <v>508</v>
      </c>
      <c r="AN3196" t="s">
        <v>192</v>
      </c>
      <c r="AO3196" t="s">
        <v>160</v>
      </c>
      <c r="AP3196" t="s">
        <v>78</v>
      </c>
      <c r="AQ3196" t="s">
        <v>509</v>
      </c>
      <c r="AR3196" t="s">
        <v>80</v>
      </c>
      <c r="AS3196">
        <v>302</v>
      </c>
      <c r="AT3196" t="s">
        <v>81</v>
      </c>
      <c r="AU3196">
        <v>49.9</v>
      </c>
      <c r="AV3196">
        <v>37.54</v>
      </c>
      <c r="AW3196" t="s">
        <v>82</v>
      </c>
      <c r="AX3196">
        <v>301</v>
      </c>
      <c r="AY3196" t="s">
        <v>81</v>
      </c>
      <c r="AZ3196">
        <v>40.799999999999997</v>
      </c>
      <c r="BA3196">
        <v>31.74</v>
      </c>
      <c r="BB3196" t="s">
        <v>83</v>
      </c>
    </row>
    <row r="3197" spans="1:54" x14ac:dyDescent="0.4">
      <c r="A3197">
        <v>815480</v>
      </c>
      <c r="D3197" t="s">
        <v>2001</v>
      </c>
      <c r="E3197" t="s">
        <v>154</v>
      </c>
      <c r="G3197">
        <v>1</v>
      </c>
      <c r="H3197" t="s">
        <v>56</v>
      </c>
      <c r="I3197" t="s">
        <v>57</v>
      </c>
      <c r="K3197" t="s">
        <v>1630</v>
      </c>
      <c r="L3197" t="s">
        <v>2303</v>
      </c>
      <c r="M3197" t="s">
        <v>60</v>
      </c>
      <c r="P3197" t="s">
        <v>333</v>
      </c>
      <c r="R3197" t="s">
        <v>238</v>
      </c>
      <c r="S3197" t="s">
        <v>123</v>
      </c>
      <c r="T3197">
        <v>264.27999999999997</v>
      </c>
      <c r="U3197">
        <v>259.51</v>
      </c>
      <c r="V3197">
        <f t="shared" si="98"/>
        <v>261.89499999999998</v>
      </c>
      <c r="W3197">
        <f t="shared" si="99"/>
        <v>4.7699999999999818</v>
      </c>
      <c r="X3197">
        <v>26.394444</v>
      </c>
      <c r="Y3197">
        <v>-33.063332000000003</v>
      </c>
      <c r="Z3197" t="s">
        <v>969</v>
      </c>
      <c r="AA3197" t="s">
        <v>106</v>
      </c>
      <c r="AB3197" t="s">
        <v>107</v>
      </c>
      <c r="AC3197" t="s">
        <v>2304</v>
      </c>
      <c r="AD3197" t="s">
        <v>2305</v>
      </c>
      <c r="AE3197" t="s">
        <v>110</v>
      </c>
      <c r="AG3197" t="s">
        <v>2306</v>
      </c>
      <c r="AH3197" t="s">
        <v>72</v>
      </c>
      <c r="AI3197" t="s">
        <v>2307</v>
      </c>
      <c r="AJ3197">
        <v>2008</v>
      </c>
      <c r="AK3197" t="s">
        <v>2308</v>
      </c>
      <c r="AN3197" t="s">
        <v>192</v>
      </c>
      <c r="AO3197" t="s">
        <v>77</v>
      </c>
      <c r="AP3197" t="s">
        <v>636</v>
      </c>
      <c r="AQ3197" t="s">
        <v>2309</v>
      </c>
      <c r="AR3197" t="s">
        <v>80</v>
      </c>
      <c r="AS3197">
        <v>701</v>
      </c>
      <c r="AT3197" t="s">
        <v>81</v>
      </c>
      <c r="AU3197">
        <v>-26.46</v>
      </c>
      <c r="AV3197">
        <v>-56.55</v>
      </c>
      <c r="AW3197" t="s">
        <v>82</v>
      </c>
      <c r="AX3197">
        <v>701</v>
      </c>
      <c r="AY3197" t="s">
        <v>81</v>
      </c>
      <c r="AZ3197">
        <v>-33.46</v>
      </c>
      <c r="BA3197">
        <v>-62.79</v>
      </c>
      <c r="BB3197" t="s">
        <v>83</v>
      </c>
    </row>
    <row r="3198" spans="1:54" x14ac:dyDescent="0.4">
      <c r="A3198">
        <v>815481</v>
      </c>
      <c r="D3198" t="s">
        <v>2001</v>
      </c>
      <c r="E3198" t="s">
        <v>154</v>
      </c>
      <c r="G3198">
        <v>1</v>
      </c>
      <c r="H3198" t="s">
        <v>84</v>
      </c>
      <c r="I3198" t="s">
        <v>57</v>
      </c>
      <c r="K3198" t="s">
        <v>1630</v>
      </c>
      <c r="L3198" t="s">
        <v>2303</v>
      </c>
      <c r="M3198" t="s">
        <v>60</v>
      </c>
      <c r="P3198" t="s">
        <v>333</v>
      </c>
      <c r="R3198" t="s">
        <v>238</v>
      </c>
      <c r="S3198" t="s">
        <v>123</v>
      </c>
      <c r="T3198">
        <v>264.27999999999997</v>
      </c>
      <c r="U3198">
        <v>259.51</v>
      </c>
      <c r="V3198">
        <f t="shared" si="98"/>
        <v>261.89499999999998</v>
      </c>
      <c r="W3198">
        <f t="shared" si="99"/>
        <v>4.7699999999999818</v>
      </c>
      <c r="X3198">
        <v>22</v>
      </c>
      <c r="Y3198">
        <v>-32.366669000000002</v>
      </c>
      <c r="Z3198" t="s">
        <v>198</v>
      </c>
      <c r="AA3198" t="s">
        <v>106</v>
      </c>
      <c r="AB3198" t="s">
        <v>334</v>
      </c>
      <c r="AC3198" t="s">
        <v>335</v>
      </c>
      <c r="AD3198" t="s">
        <v>336</v>
      </c>
      <c r="AE3198" t="s">
        <v>110</v>
      </c>
      <c r="AG3198" t="s">
        <v>2306</v>
      </c>
      <c r="AH3198" t="s">
        <v>72</v>
      </c>
      <c r="AI3198" t="s">
        <v>2307</v>
      </c>
      <c r="AJ3198">
        <v>2008</v>
      </c>
      <c r="AK3198" t="s">
        <v>2310</v>
      </c>
      <c r="AM3198" t="s">
        <v>2311</v>
      </c>
      <c r="AN3198" t="s">
        <v>114</v>
      </c>
      <c r="AO3198" t="s">
        <v>160</v>
      </c>
      <c r="AP3198" t="s">
        <v>78</v>
      </c>
      <c r="AQ3198" t="s">
        <v>2312</v>
      </c>
      <c r="AR3198" t="s">
        <v>80</v>
      </c>
      <c r="AS3198">
        <v>701</v>
      </c>
      <c r="AT3198" t="s">
        <v>81</v>
      </c>
      <c r="AU3198">
        <v>-27.68</v>
      </c>
      <c r="AV3198">
        <v>-52.85</v>
      </c>
      <c r="AW3198" t="s">
        <v>82</v>
      </c>
      <c r="AX3198">
        <v>701</v>
      </c>
      <c r="AY3198" t="s">
        <v>81</v>
      </c>
      <c r="AZ3198">
        <v>-34.33</v>
      </c>
      <c r="BA3198">
        <v>-59.05</v>
      </c>
      <c r="BB3198" t="s">
        <v>83</v>
      </c>
    </row>
    <row r="3199" spans="1:54" x14ac:dyDescent="0.4">
      <c r="A3199">
        <v>820640</v>
      </c>
      <c r="D3199" t="s">
        <v>2001</v>
      </c>
      <c r="E3199" t="s">
        <v>55</v>
      </c>
      <c r="G3199">
        <v>1</v>
      </c>
      <c r="H3199" t="s">
        <v>56</v>
      </c>
      <c r="I3199" t="s">
        <v>57</v>
      </c>
      <c r="K3199" t="s">
        <v>141</v>
      </c>
      <c r="L3199" t="s">
        <v>2191</v>
      </c>
      <c r="M3199" t="s">
        <v>60</v>
      </c>
      <c r="P3199" t="s">
        <v>333</v>
      </c>
      <c r="R3199" t="s">
        <v>238</v>
      </c>
      <c r="S3199" t="s">
        <v>123</v>
      </c>
      <c r="T3199">
        <v>264.27999999999997</v>
      </c>
      <c r="U3199">
        <v>259.51</v>
      </c>
      <c r="V3199">
        <f t="shared" si="98"/>
        <v>261.89499999999998</v>
      </c>
      <c r="W3199">
        <f t="shared" si="99"/>
        <v>4.7699999999999818</v>
      </c>
      <c r="X3199">
        <v>21.736111000000001</v>
      </c>
      <c r="Y3199">
        <v>-32.920833999999999</v>
      </c>
      <c r="Z3199" t="s">
        <v>836</v>
      </c>
      <c r="AA3199" t="s">
        <v>106</v>
      </c>
      <c r="AB3199" t="s">
        <v>334</v>
      </c>
      <c r="AC3199" t="s">
        <v>2369</v>
      </c>
      <c r="AD3199" t="s">
        <v>336</v>
      </c>
      <c r="AE3199" t="s">
        <v>110</v>
      </c>
      <c r="AG3199" t="s">
        <v>337</v>
      </c>
      <c r="AH3199" t="s">
        <v>72</v>
      </c>
      <c r="AI3199" t="s">
        <v>2370</v>
      </c>
      <c r="AJ3199">
        <v>1892</v>
      </c>
      <c r="AK3199" t="s">
        <v>2371</v>
      </c>
      <c r="AM3199" t="s">
        <v>2372</v>
      </c>
      <c r="AN3199" t="s">
        <v>341</v>
      </c>
      <c r="AO3199" t="s">
        <v>77</v>
      </c>
      <c r="AP3199" t="s">
        <v>115</v>
      </c>
      <c r="AQ3199" t="s">
        <v>2373</v>
      </c>
      <c r="AR3199" t="s">
        <v>80</v>
      </c>
      <c r="AS3199">
        <v>701</v>
      </c>
      <c r="AT3199" t="s">
        <v>81</v>
      </c>
      <c r="AU3199">
        <v>-28.67</v>
      </c>
      <c r="AV3199">
        <v>-52.85</v>
      </c>
      <c r="AW3199" t="s">
        <v>82</v>
      </c>
      <c r="AX3199">
        <v>701</v>
      </c>
      <c r="AY3199" t="s">
        <v>81</v>
      </c>
      <c r="AZ3199">
        <v>-35.479999999999997</v>
      </c>
      <c r="BA3199">
        <v>-59.01</v>
      </c>
      <c r="BB3199" t="s">
        <v>83</v>
      </c>
    </row>
    <row r="3200" spans="1:54" x14ac:dyDescent="0.4">
      <c r="A3200">
        <v>820640</v>
      </c>
      <c r="D3200" t="s">
        <v>2001</v>
      </c>
      <c r="E3200" t="s">
        <v>55</v>
      </c>
      <c r="G3200">
        <v>1</v>
      </c>
      <c r="H3200" t="s">
        <v>56</v>
      </c>
      <c r="I3200" t="s">
        <v>57</v>
      </c>
      <c r="K3200" t="s">
        <v>141</v>
      </c>
      <c r="L3200" t="s">
        <v>2191</v>
      </c>
      <c r="M3200" t="s">
        <v>60</v>
      </c>
      <c r="P3200" t="s">
        <v>333</v>
      </c>
      <c r="R3200" t="s">
        <v>238</v>
      </c>
      <c r="S3200" t="s">
        <v>123</v>
      </c>
      <c r="T3200">
        <v>264.27999999999997</v>
      </c>
      <c r="U3200">
        <v>259.51</v>
      </c>
      <c r="V3200">
        <f t="shared" si="98"/>
        <v>261.89499999999998</v>
      </c>
      <c r="W3200">
        <f t="shared" si="99"/>
        <v>4.7699999999999818</v>
      </c>
      <c r="X3200">
        <v>21.736111000000001</v>
      </c>
      <c r="Y3200">
        <v>-32.920833999999999</v>
      </c>
      <c r="Z3200" t="s">
        <v>836</v>
      </c>
      <c r="AA3200" t="s">
        <v>106</v>
      </c>
      <c r="AB3200" t="s">
        <v>334</v>
      </c>
      <c r="AC3200" t="s">
        <v>2369</v>
      </c>
      <c r="AD3200" t="s">
        <v>336</v>
      </c>
      <c r="AE3200" t="s">
        <v>110</v>
      </c>
      <c r="AG3200" t="s">
        <v>337</v>
      </c>
      <c r="AH3200" t="s">
        <v>72</v>
      </c>
      <c r="AI3200" t="s">
        <v>2370</v>
      </c>
      <c r="AJ3200">
        <v>1892</v>
      </c>
      <c r="AK3200" t="s">
        <v>2371</v>
      </c>
      <c r="AM3200" t="s">
        <v>2372</v>
      </c>
      <c r="AN3200" t="s">
        <v>341</v>
      </c>
      <c r="AO3200" t="s">
        <v>77</v>
      </c>
      <c r="AP3200" t="s">
        <v>115</v>
      </c>
      <c r="AQ3200" t="s">
        <v>2373</v>
      </c>
      <c r="AR3200" t="s">
        <v>80</v>
      </c>
      <c r="AS3200">
        <v>701</v>
      </c>
      <c r="AT3200" t="s">
        <v>81</v>
      </c>
      <c r="AU3200">
        <v>-28.67</v>
      </c>
      <c r="AV3200">
        <v>-52.85</v>
      </c>
      <c r="AW3200" t="s">
        <v>82</v>
      </c>
      <c r="AX3200">
        <v>701</v>
      </c>
      <c r="AY3200" t="s">
        <v>81</v>
      </c>
      <c r="AZ3200">
        <v>-35.479999999999997</v>
      </c>
      <c r="BA3200">
        <v>-59.01</v>
      </c>
      <c r="BB3200" t="s">
        <v>83</v>
      </c>
    </row>
    <row r="3201" spans="1:54" x14ac:dyDescent="0.4">
      <c r="A3201">
        <v>833055</v>
      </c>
      <c r="D3201" t="s">
        <v>2001</v>
      </c>
      <c r="E3201" t="s">
        <v>55</v>
      </c>
      <c r="G3201">
        <v>1</v>
      </c>
      <c r="H3201" t="s">
        <v>56</v>
      </c>
      <c r="I3201" t="s">
        <v>57</v>
      </c>
      <c r="K3201" t="s">
        <v>141</v>
      </c>
      <c r="L3201" t="s">
        <v>2191</v>
      </c>
      <c r="M3201" t="s">
        <v>60</v>
      </c>
      <c r="P3201" t="s">
        <v>333</v>
      </c>
      <c r="R3201" t="s">
        <v>238</v>
      </c>
      <c r="S3201" t="s">
        <v>123</v>
      </c>
      <c r="T3201">
        <v>264.27999999999997</v>
      </c>
      <c r="U3201">
        <v>259.51</v>
      </c>
      <c r="V3201">
        <f t="shared" si="98"/>
        <v>261.89499999999998</v>
      </c>
      <c r="W3201">
        <f t="shared" si="99"/>
        <v>4.7699999999999818</v>
      </c>
      <c r="X3201">
        <v>26.727777</v>
      </c>
      <c r="Y3201">
        <v>-33.070830999999998</v>
      </c>
      <c r="Z3201" t="s">
        <v>1365</v>
      </c>
      <c r="AA3201" t="s">
        <v>106</v>
      </c>
      <c r="AB3201" t="s">
        <v>107</v>
      </c>
      <c r="AC3201" t="s">
        <v>2304</v>
      </c>
      <c r="AE3201" t="s">
        <v>110</v>
      </c>
      <c r="AG3201" t="s">
        <v>337</v>
      </c>
      <c r="AH3201" t="s">
        <v>72</v>
      </c>
      <c r="AI3201" t="s">
        <v>2577</v>
      </c>
      <c r="AJ3201">
        <v>1997</v>
      </c>
      <c r="AK3201" t="s">
        <v>2578</v>
      </c>
      <c r="AM3201" t="s">
        <v>2579</v>
      </c>
      <c r="AN3201" t="s">
        <v>76</v>
      </c>
      <c r="AO3201" t="s">
        <v>77</v>
      </c>
      <c r="AP3201" t="s">
        <v>636</v>
      </c>
      <c r="AQ3201" t="s">
        <v>2580</v>
      </c>
      <c r="AR3201" t="s">
        <v>80</v>
      </c>
      <c r="AS3201">
        <v>701</v>
      </c>
      <c r="AT3201" t="s">
        <v>81</v>
      </c>
      <c r="AU3201">
        <v>-26.3</v>
      </c>
      <c r="AV3201">
        <v>-56.81</v>
      </c>
      <c r="AW3201" t="s">
        <v>82</v>
      </c>
      <c r="AX3201">
        <v>701</v>
      </c>
      <c r="AY3201" t="s">
        <v>81</v>
      </c>
      <c r="AZ3201">
        <v>-33.299999999999997</v>
      </c>
      <c r="BA3201">
        <v>-63.06</v>
      </c>
      <c r="BB3201" t="s">
        <v>83</v>
      </c>
    </row>
    <row r="3202" spans="1:54" x14ac:dyDescent="0.4">
      <c r="A3202">
        <v>833854</v>
      </c>
      <c r="D3202" t="s">
        <v>54</v>
      </c>
      <c r="E3202" t="s">
        <v>55</v>
      </c>
      <c r="G3202">
        <v>1</v>
      </c>
      <c r="H3202" t="s">
        <v>56</v>
      </c>
      <c r="I3202" t="s">
        <v>57</v>
      </c>
      <c r="K3202" t="s">
        <v>141</v>
      </c>
      <c r="L3202" t="s">
        <v>2191</v>
      </c>
      <c r="M3202" t="s">
        <v>60</v>
      </c>
      <c r="P3202" t="s">
        <v>333</v>
      </c>
      <c r="R3202" t="s">
        <v>238</v>
      </c>
      <c r="S3202" t="s">
        <v>123</v>
      </c>
      <c r="T3202">
        <v>264.27999999999997</v>
      </c>
      <c r="U3202">
        <v>259.51</v>
      </c>
      <c r="V3202">
        <f t="shared" si="98"/>
        <v>261.89499999999998</v>
      </c>
      <c r="W3202">
        <f t="shared" si="99"/>
        <v>4.7699999999999818</v>
      </c>
      <c r="X3202">
        <v>21.868054999999998</v>
      </c>
      <c r="Y3202">
        <v>-32.887501</v>
      </c>
      <c r="Z3202" t="s">
        <v>836</v>
      </c>
      <c r="AA3202" t="s">
        <v>106</v>
      </c>
      <c r="AB3202" t="s">
        <v>334</v>
      </c>
      <c r="AC3202" t="s">
        <v>2369</v>
      </c>
      <c r="AD3202" t="s">
        <v>336</v>
      </c>
      <c r="AE3202" t="s">
        <v>110</v>
      </c>
      <c r="AG3202" t="s">
        <v>2306</v>
      </c>
      <c r="AH3202" t="s">
        <v>72</v>
      </c>
      <c r="AI3202" t="s">
        <v>2610</v>
      </c>
      <c r="AJ3202">
        <v>1969</v>
      </c>
      <c r="AK3202" t="s">
        <v>2611</v>
      </c>
      <c r="AN3202" t="s">
        <v>114</v>
      </c>
      <c r="AO3202" t="s">
        <v>77</v>
      </c>
      <c r="AP3202" t="s">
        <v>359</v>
      </c>
      <c r="AQ3202" t="s">
        <v>2612</v>
      </c>
      <c r="AR3202" t="s">
        <v>80</v>
      </c>
      <c r="AS3202">
        <v>701</v>
      </c>
      <c r="AT3202" t="s">
        <v>81</v>
      </c>
      <c r="AU3202">
        <v>-28.55</v>
      </c>
      <c r="AV3202">
        <v>-52.95</v>
      </c>
      <c r="AW3202" t="s">
        <v>82</v>
      </c>
      <c r="AX3202">
        <v>701</v>
      </c>
      <c r="AY3202" t="s">
        <v>81</v>
      </c>
      <c r="AZ3202">
        <v>-35.36</v>
      </c>
      <c r="BA3202">
        <v>-59.11</v>
      </c>
      <c r="BB3202" t="s">
        <v>83</v>
      </c>
    </row>
    <row r="3203" spans="1:54" x14ac:dyDescent="0.4">
      <c r="A3203">
        <v>833855</v>
      </c>
      <c r="D3203" t="s">
        <v>54</v>
      </c>
      <c r="E3203" t="s">
        <v>55</v>
      </c>
      <c r="G3203">
        <v>1</v>
      </c>
      <c r="H3203" t="s">
        <v>56</v>
      </c>
      <c r="I3203" t="s">
        <v>57</v>
      </c>
      <c r="K3203" t="s">
        <v>141</v>
      </c>
      <c r="L3203" t="s">
        <v>2191</v>
      </c>
      <c r="M3203" t="s">
        <v>60</v>
      </c>
      <c r="P3203" t="s">
        <v>333</v>
      </c>
      <c r="R3203" t="s">
        <v>238</v>
      </c>
      <c r="S3203" t="s">
        <v>123</v>
      </c>
      <c r="T3203">
        <v>264.27999999999997</v>
      </c>
      <c r="U3203">
        <v>259.51</v>
      </c>
      <c r="V3203">
        <f t="shared" ref="V3203:V3266" si="100">(T3203+U3203)/2</f>
        <v>261.89499999999998</v>
      </c>
      <c r="W3203">
        <f t="shared" ref="W3203:W3266" si="101">T3203-U3203</f>
        <v>4.7699999999999818</v>
      </c>
      <c r="X3203">
        <v>22.295833999999999</v>
      </c>
      <c r="Y3203">
        <v>-32.504165999999998</v>
      </c>
      <c r="Z3203" t="s">
        <v>836</v>
      </c>
      <c r="AA3203" t="s">
        <v>106</v>
      </c>
      <c r="AB3203" t="s">
        <v>334</v>
      </c>
      <c r="AC3203" t="s">
        <v>335</v>
      </c>
      <c r="AD3203" t="s">
        <v>336</v>
      </c>
      <c r="AE3203" t="s">
        <v>110</v>
      </c>
      <c r="AG3203" t="s">
        <v>337</v>
      </c>
      <c r="AH3203" t="s">
        <v>72</v>
      </c>
      <c r="AI3203" t="s">
        <v>2610</v>
      </c>
      <c r="AJ3203">
        <v>1969</v>
      </c>
      <c r="AK3203" t="s">
        <v>2613</v>
      </c>
      <c r="AM3203" t="s">
        <v>2614</v>
      </c>
      <c r="AN3203" t="s">
        <v>341</v>
      </c>
      <c r="AO3203" t="s">
        <v>77</v>
      </c>
      <c r="AP3203" t="s">
        <v>636</v>
      </c>
      <c r="AQ3203" t="s">
        <v>2615</v>
      </c>
      <c r="AR3203" t="s">
        <v>80</v>
      </c>
      <c r="AS3203">
        <v>701</v>
      </c>
      <c r="AT3203" t="s">
        <v>81</v>
      </c>
      <c r="AU3203">
        <v>-27.74</v>
      </c>
      <c r="AV3203">
        <v>-53.14</v>
      </c>
      <c r="AW3203" t="s">
        <v>82</v>
      </c>
      <c r="AX3203">
        <v>701</v>
      </c>
      <c r="AY3203" t="s">
        <v>81</v>
      </c>
      <c r="AZ3203">
        <v>-34.43</v>
      </c>
      <c r="BA3203">
        <v>-59.33</v>
      </c>
      <c r="BB3203" t="s">
        <v>83</v>
      </c>
    </row>
    <row r="3204" spans="1:54" x14ac:dyDescent="0.4">
      <c r="A3204">
        <v>833864</v>
      </c>
      <c r="D3204" t="s">
        <v>2001</v>
      </c>
      <c r="E3204" t="s">
        <v>55</v>
      </c>
      <c r="G3204">
        <v>3</v>
      </c>
      <c r="H3204" t="s">
        <v>84</v>
      </c>
      <c r="I3204" t="s">
        <v>57</v>
      </c>
      <c r="K3204" t="s">
        <v>141</v>
      </c>
      <c r="L3204" t="s">
        <v>2191</v>
      </c>
      <c r="M3204" t="s">
        <v>60</v>
      </c>
      <c r="P3204" t="s">
        <v>333</v>
      </c>
      <c r="R3204" t="s">
        <v>238</v>
      </c>
      <c r="S3204" t="s">
        <v>123</v>
      </c>
      <c r="T3204">
        <v>264.27999999999997</v>
      </c>
      <c r="U3204">
        <v>259.51</v>
      </c>
      <c r="V3204">
        <f t="shared" si="100"/>
        <v>261.89499999999998</v>
      </c>
      <c r="W3204">
        <f t="shared" si="101"/>
        <v>4.7699999999999818</v>
      </c>
      <c r="X3204">
        <v>21.773610999999999</v>
      </c>
      <c r="Y3204">
        <v>-32.466667000000001</v>
      </c>
      <c r="Z3204" t="s">
        <v>836</v>
      </c>
      <c r="AA3204" t="s">
        <v>106</v>
      </c>
      <c r="AB3204" t="s">
        <v>334</v>
      </c>
      <c r="AC3204" t="s">
        <v>335</v>
      </c>
      <c r="AD3204" t="s">
        <v>336</v>
      </c>
      <c r="AE3204" t="s">
        <v>110</v>
      </c>
      <c r="AG3204" t="s">
        <v>2306</v>
      </c>
      <c r="AH3204" t="s">
        <v>72</v>
      </c>
      <c r="AI3204" t="s">
        <v>2610</v>
      </c>
      <c r="AJ3204">
        <v>1969</v>
      </c>
      <c r="AK3204" t="s">
        <v>2616</v>
      </c>
      <c r="AM3204" t="s">
        <v>2617</v>
      </c>
      <c r="AN3204" t="s">
        <v>114</v>
      </c>
      <c r="AO3204" t="s">
        <v>160</v>
      </c>
      <c r="AP3204" t="s">
        <v>78</v>
      </c>
      <c r="AQ3204" t="s">
        <v>2618</v>
      </c>
      <c r="AR3204" t="s">
        <v>80</v>
      </c>
      <c r="AS3204">
        <v>701</v>
      </c>
      <c r="AT3204" t="s">
        <v>81</v>
      </c>
      <c r="AU3204">
        <v>-27.95</v>
      </c>
      <c r="AV3204">
        <v>-52.72</v>
      </c>
      <c r="AW3204" t="s">
        <v>82</v>
      </c>
      <c r="AX3204">
        <v>701</v>
      </c>
      <c r="AY3204" t="s">
        <v>81</v>
      </c>
      <c r="AZ3204">
        <v>-34.630000000000003</v>
      </c>
      <c r="BA3204">
        <v>-58.9</v>
      </c>
      <c r="BB3204" t="s">
        <v>83</v>
      </c>
    </row>
    <row r="3205" spans="1:54" x14ac:dyDescent="0.4">
      <c r="A3205">
        <v>837578</v>
      </c>
      <c r="D3205" t="s">
        <v>54</v>
      </c>
      <c r="G3205">
        <v>1</v>
      </c>
      <c r="H3205" t="s">
        <v>56</v>
      </c>
      <c r="I3205" t="s">
        <v>57</v>
      </c>
      <c r="K3205" t="s">
        <v>499</v>
      </c>
      <c r="L3205" t="s">
        <v>510</v>
      </c>
      <c r="M3205" t="s">
        <v>60</v>
      </c>
      <c r="O3205" t="s">
        <v>170</v>
      </c>
      <c r="P3205" t="s">
        <v>333</v>
      </c>
      <c r="R3205" t="s">
        <v>238</v>
      </c>
      <c r="S3205" t="s">
        <v>123</v>
      </c>
      <c r="T3205">
        <v>264.27999999999997</v>
      </c>
      <c r="U3205">
        <v>259.51</v>
      </c>
      <c r="V3205">
        <f t="shared" si="100"/>
        <v>261.89499999999998</v>
      </c>
      <c r="W3205">
        <f t="shared" si="101"/>
        <v>4.7699999999999818</v>
      </c>
      <c r="X3205">
        <v>48.828609</v>
      </c>
      <c r="Y3205">
        <v>55.017223000000001</v>
      </c>
      <c r="Z3205" t="s">
        <v>124</v>
      </c>
      <c r="AA3205" t="s">
        <v>239</v>
      </c>
      <c r="AB3205" t="s">
        <v>513</v>
      </c>
      <c r="AC3205" t="s">
        <v>514</v>
      </c>
      <c r="AG3205" t="s">
        <v>2671</v>
      </c>
      <c r="AH3205" t="s">
        <v>72</v>
      </c>
      <c r="AI3205" t="s">
        <v>506</v>
      </c>
      <c r="AJ3205">
        <v>1937</v>
      </c>
      <c r="AK3205" t="s">
        <v>2672</v>
      </c>
      <c r="AM3205" t="s">
        <v>2673</v>
      </c>
      <c r="AN3205" t="s">
        <v>114</v>
      </c>
      <c r="AO3205" t="s">
        <v>77</v>
      </c>
      <c r="AP3205" t="s">
        <v>115</v>
      </c>
      <c r="AQ3205" t="s">
        <v>2674</v>
      </c>
      <c r="AR3205" t="s">
        <v>80</v>
      </c>
      <c r="AS3205">
        <v>302</v>
      </c>
      <c r="AT3205" t="s">
        <v>81</v>
      </c>
      <c r="AU3205">
        <v>51.93</v>
      </c>
      <c r="AV3205">
        <v>34.33</v>
      </c>
      <c r="AW3205" t="s">
        <v>82</v>
      </c>
      <c r="AX3205">
        <v>301</v>
      </c>
      <c r="AY3205" t="s">
        <v>81</v>
      </c>
      <c r="AZ3205">
        <v>43.53</v>
      </c>
      <c r="BA3205">
        <v>29.28</v>
      </c>
      <c r="BB3205" t="s">
        <v>83</v>
      </c>
    </row>
    <row r="3206" spans="1:54" x14ac:dyDescent="0.4">
      <c r="A3206">
        <v>837578</v>
      </c>
      <c r="D3206" t="s">
        <v>54</v>
      </c>
      <c r="G3206">
        <v>1</v>
      </c>
      <c r="H3206" t="s">
        <v>56</v>
      </c>
      <c r="I3206" t="s">
        <v>57</v>
      </c>
      <c r="K3206" t="s">
        <v>499</v>
      </c>
      <c r="L3206" t="s">
        <v>510</v>
      </c>
      <c r="M3206" t="s">
        <v>60</v>
      </c>
      <c r="O3206" t="s">
        <v>170</v>
      </c>
      <c r="P3206" t="s">
        <v>333</v>
      </c>
      <c r="R3206" t="s">
        <v>238</v>
      </c>
      <c r="S3206" t="s">
        <v>123</v>
      </c>
      <c r="T3206">
        <v>264.27999999999997</v>
      </c>
      <c r="U3206">
        <v>259.51</v>
      </c>
      <c r="V3206">
        <f t="shared" si="100"/>
        <v>261.89499999999998</v>
      </c>
      <c r="W3206">
        <f t="shared" si="101"/>
        <v>4.7699999999999818</v>
      </c>
      <c r="X3206">
        <v>48.828609</v>
      </c>
      <c r="Y3206">
        <v>55.017223000000001</v>
      </c>
      <c r="Z3206" t="s">
        <v>124</v>
      </c>
      <c r="AA3206" t="s">
        <v>239</v>
      </c>
      <c r="AB3206" t="s">
        <v>513</v>
      </c>
      <c r="AC3206" t="s">
        <v>514</v>
      </c>
      <c r="AG3206" t="s">
        <v>2671</v>
      </c>
      <c r="AH3206" t="s">
        <v>72</v>
      </c>
      <c r="AI3206" t="s">
        <v>506</v>
      </c>
      <c r="AJ3206">
        <v>1937</v>
      </c>
      <c r="AK3206" t="s">
        <v>2672</v>
      </c>
      <c r="AM3206" t="s">
        <v>2673</v>
      </c>
      <c r="AN3206" t="s">
        <v>114</v>
      </c>
      <c r="AO3206" t="s">
        <v>77</v>
      </c>
      <c r="AP3206" t="s">
        <v>115</v>
      </c>
      <c r="AQ3206" t="s">
        <v>2674</v>
      </c>
      <c r="AR3206" t="s">
        <v>80</v>
      </c>
      <c r="AS3206">
        <v>302</v>
      </c>
      <c r="AT3206" t="s">
        <v>81</v>
      </c>
      <c r="AU3206">
        <v>51.93</v>
      </c>
      <c r="AV3206">
        <v>34.33</v>
      </c>
      <c r="AW3206" t="s">
        <v>82</v>
      </c>
      <c r="AX3206">
        <v>301</v>
      </c>
      <c r="AY3206" t="s">
        <v>81</v>
      </c>
      <c r="AZ3206">
        <v>43.53</v>
      </c>
      <c r="BA3206">
        <v>29.28</v>
      </c>
      <c r="BB3206" t="s">
        <v>83</v>
      </c>
    </row>
    <row r="3207" spans="1:54" x14ac:dyDescent="0.4">
      <c r="A3207">
        <v>837578</v>
      </c>
      <c r="D3207" t="s">
        <v>54</v>
      </c>
      <c r="G3207">
        <v>1</v>
      </c>
      <c r="H3207" t="s">
        <v>56</v>
      </c>
      <c r="I3207" t="s">
        <v>57</v>
      </c>
      <c r="K3207" t="s">
        <v>499</v>
      </c>
      <c r="L3207" t="s">
        <v>510</v>
      </c>
      <c r="M3207" t="s">
        <v>60</v>
      </c>
      <c r="O3207" t="s">
        <v>170</v>
      </c>
      <c r="P3207" t="s">
        <v>333</v>
      </c>
      <c r="R3207" t="s">
        <v>238</v>
      </c>
      <c r="S3207" t="s">
        <v>123</v>
      </c>
      <c r="T3207">
        <v>264.27999999999997</v>
      </c>
      <c r="U3207">
        <v>259.51</v>
      </c>
      <c r="V3207">
        <f t="shared" si="100"/>
        <v>261.89499999999998</v>
      </c>
      <c r="W3207">
        <f t="shared" si="101"/>
        <v>4.7699999999999818</v>
      </c>
      <c r="X3207">
        <v>48.828609</v>
      </c>
      <c r="Y3207">
        <v>55.017223000000001</v>
      </c>
      <c r="Z3207" t="s">
        <v>124</v>
      </c>
      <c r="AA3207" t="s">
        <v>239</v>
      </c>
      <c r="AB3207" t="s">
        <v>513</v>
      </c>
      <c r="AC3207" t="s">
        <v>514</v>
      </c>
      <c r="AG3207" t="s">
        <v>2671</v>
      </c>
      <c r="AH3207" t="s">
        <v>72</v>
      </c>
      <c r="AI3207" t="s">
        <v>506</v>
      </c>
      <c r="AJ3207">
        <v>1937</v>
      </c>
      <c r="AK3207" t="s">
        <v>2672</v>
      </c>
      <c r="AM3207" t="s">
        <v>2673</v>
      </c>
      <c r="AN3207" t="s">
        <v>114</v>
      </c>
      <c r="AO3207" t="s">
        <v>77</v>
      </c>
      <c r="AP3207" t="s">
        <v>115</v>
      </c>
      <c r="AQ3207" t="s">
        <v>2674</v>
      </c>
      <c r="AR3207" t="s">
        <v>80</v>
      </c>
      <c r="AS3207">
        <v>302</v>
      </c>
      <c r="AT3207" t="s">
        <v>81</v>
      </c>
      <c r="AU3207">
        <v>51.93</v>
      </c>
      <c r="AV3207">
        <v>34.33</v>
      </c>
      <c r="AW3207" t="s">
        <v>82</v>
      </c>
      <c r="AX3207">
        <v>301</v>
      </c>
      <c r="AY3207" t="s">
        <v>81</v>
      </c>
      <c r="AZ3207">
        <v>43.53</v>
      </c>
      <c r="BA3207">
        <v>29.28</v>
      </c>
      <c r="BB3207" t="s">
        <v>83</v>
      </c>
    </row>
    <row r="3208" spans="1:54" x14ac:dyDescent="0.4">
      <c r="A3208">
        <v>838586</v>
      </c>
      <c r="D3208" t="s">
        <v>2001</v>
      </c>
      <c r="E3208" t="s">
        <v>55</v>
      </c>
      <c r="G3208">
        <v>1</v>
      </c>
      <c r="H3208" t="s">
        <v>56</v>
      </c>
      <c r="I3208" t="s">
        <v>57</v>
      </c>
      <c r="K3208" t="s">
        <v>141</v>
      </c>
      <c r="L3208" t="s">
        <v>332</v>
      </c>
      <c r="M3208" t="s">
        <v>60</v>
      </c>
      <c r="O3208" t="s">
        <v>170</v>
      </c>
      <c r="P3208" t="s">
        <v>333</v>
      </c>
      <c r="R3208" t="s">
        <v>238</v>
      </c>
      <c r="S3208" t="s">
        <v>123</v>
      </c>
      <c r="T3208">
        <v>264.27999999999997</v>
      </c>
      <c r="U3208">
        <v>259.51</v>
      </c>
      <c r="V3208">
        <f t="shared" si="100"/>
        <v>261.89499999999998</v>
      </c>
      <c r="W3208">
        <f t="shared" si="101"/>
        <v>4.7699999999999818</v>
      </c>
      <c r="X3208">
        <v>21.773610999999999</v>
      </c>
      <c r="Y3208">
        <v>-32.466667000000001</v>
      </c>
      <c r="Z3208" t="s">
        <v>836</v>
      </c>
      <c r="AA3208" t="s">
        <v>106</v>
      </c>
      <c r="AB3208" t="s">
        <v>334</v>
      </c>
      <c r="AC3208" t="s">
        <v>335</v>
      </c>
      <c r="AD3208" t="s">
        <v>336</v>
      </c>
      <c r="AE3208" t="s">
        <v>110</v>
      </c>
      <c r="AG3208" t="s">
        <v>2306</v>
      </c>
      <c r="AH3208" t="s">
        <v>72</v>
      </c>
      <c r="AI3208" t="s">
        <v>2370</v>
      </c>
      <c r="AJ3208">
        <v>1892</v>
      </c>
      <c r="AK3208" t="s">
        <v>2616</v>
      </c>
      <c r="AM3208" t="s">
        <v>2617</v>
      </c>
      <c r="AN3208" t="s">
        <v>114</v>
      </c>
      <c r="AO3208" t="s">
        <v>160</v>
      </c>
      <c r="AP3208" t="s">
        <v>78</v>
      </c>
      <c r="AQ3208" t="s">
        <v>2618</v>
      </c>
      <c r="AR3208" t="s">
        <v>80</v>
      </c>
      <c r="AS3208">
        <v>701</v>
      </c>
      <c r="AT3208" t="s">
        <v>81</v>
      </c>
      <c r="AU3208">
        <v>-27.95</v>
      </c>
      <c r="AV3208">
        <v>-52.72</v>
      </c>
      <c r="AW3208" t="s">
        <v>82</v>
      </c>
      <c r="AX3208">
        <v>701</v>
      </c>
      <c r="AY3208" t="s">
        <v>81</v>
      </c>
      <c r="AZ3208">
        <v>-34.630000000000003</v>
      </c>
      <c r="BA3208">
        <v>-58.9</v>
      </c>
      <c r="BB3208" t="s">
        <v>83</v>
      </c>
    </row>
    <row r="3209" spans="1:54" x14ac:dyDescent="0.4">
      <c r="A3209">
        <v>838605</v>
      </c>
      <c r="D3209" t="s">
        <v>54</v>
      </c>
      <c r="G3209">
        <v>1</v>
      </c>
      <c r="H3209" t="s">
        <v>56</v>
      </c>
      <c r="I3209" t="s">
        <v>57</v>
      </c>
      <c r="K3209" t="s">
        <v>141</v>
      </c>
      <c r="L3209" t="s">
        <v>332</v>
      </c>
      <c r="M3209" t="s">
        <v>60</v>
      </c>
      <c r="O3209" t="s">
        <v>170</v>
      </c>
      <c r="P3209" t="s">
        <v>333</v>
      </c>
      <c r="R3209" t="s">
        <v>238</v>
      </c>
      <c r="S3209" t="s">
        <v>123</v>
      </c>
      <c r="T3209">
        <v>264.27999999999997</v>
      </c>
      <c r="U3209">
        <v>259.51</v>
      </c>
      <c r="V3209">
        <f t="shared" si="100"/>
        <v>261.89499999999998</v>
      </c>
      <c r="W3209">
        <f t="shared" si="101"/>
        <v>4.7699999999999818</v>
      </c>
      <c r="X3209">
        <v>21.864445</v>
      </c>
      <c r="Y3209">
        <v>-32.462502000000001</v>
      </c>
      <c r="Z3209" t="s">
        <v>198</v>
      </c>
      <c r="AA3209" t="s">
        <v>106</v>
      </c>
      <c r="AB3209" t="s">
        <v>334</v>
      </c>
      <c r="AC3209" t="s">
        <v>335</v>
      </c>
      <c r="AD3209" t="s">
        <v>336</v>
      </c>
      <c r="AE3209" t="s">
        <v>110</v>
      </c>
      <c r="AG3209" t="s">
        <v>2306</v>
      </c>
      <c r="AH3209" t="s">
        <v>72</v>
      </c>
      <c r="AI3209" t="s">
        <v>2670</v>
      </c>
      <c r="AJ3209">
        <v>1997</v>
      </c>
      <c r="AK3209" t="s">
        <v>2732</v>
      </c>
      <c r="AM3209" t="s">
        <v>2733</v>
      </c>
      <c r="AN3209" t="s">
        <v>341</v>
      </c>
      <c r="AO3209" t="s">
        <v>77</v>
      </c>
      <c r="AP3209" t="s">
        <v>115</v>
      </c>
      <c r="AQ3209" t="s">
        <v>2734</v>
      </c>
      <c r="AR3209" t="s">
        <v>80</v>
      </c>
      <c r="AS3209">
        <v>701</v>
      </c>
      <c r="AT3209" t="s">
        <v>81</v>
      </c>
      <c r="AU3209">
        <v>-27.9</v>
      </c>
      <c r="AV3209">
        <v>-52.78</v>
      </c>
      <c r="AW3209" t="s">
        <v>82</v>
      </c>
      <c r="AX3209">
        <v>701</v>
      </c>
      <c r="AY3209" t="s">
        <v>81</v>
      </c>
      <c r="AZ3209">
        <v>-34.57</v>
      </c>
      <c r="BA3209">
        <v>-58.97</v>
      </c>
      <c r="BB3209" t="s">
        <v>83</v>
      </c>
    </row>
    <row r="3210" spans="1:54" x14ac:dyDescent="0.4">
      <c r="A3210">
        <v>838606</v>
      </c>
      <c r="D3210" t="s">
        <v>54</v>
      </c>
      <c r="G3210">
        <v>1</v>
      </c>
      <c r="H3210" t="s">
        <v>56</v>
      </c>
      <c r="I3210" t="s">
        <v>57</v>
      </c>
      <c r="K3210" t="s">
        <v>141</v>
      </c>
      <c r="L3210" t="s">
        <v>332</v>
      </c>
      <c r="M3210" t="s">
        <v>60</v>
      </c>
      <c r="O3210" t="s">
        <v>170</v>
      </c>
      <c r="P3210" t="s">
        <v>333</v>
      </c>
      <c r="R3210" t="s">
        <v>238</v>
      </c>
      <c r="S3210" t="s">
        <v>123</v>
      </c>
      <c r="T3210">
        <v>264.27999999999997</v>
      </c>
      <c r="U3210">
        <v>259.51</v>
      </c>
      <c r="V3210">
        <f t="shared" si="100"/>
        <v>261.89499999999998</v>
      </c>
      <c r="W3210">
        <f t="shared" si="101"/>
        <v>4.7699999999999818</v>
      </c>
      <c r="X3210">
        <v>21.967500999999999</v>
      </c>
      <c r="Y3210">
        <v>-32.816113000000001</v>
      </c>
      <c r="Z3210" t="s">
        <v>198</v>
      </c>
      <c r="AA3210" t="s">
        <v>106</v>
      </c>
      <c r="AB3210" t="s">
        <v>334</v>
      </c>
      <c r="AC3210" t="s">
        <v>2369</v>
      </c>
      <c r="AD3210" t="s">
        <v>336</v>
      </c>
      <c r="AE3210" t="s">
        <v>110</v>
      </c>
      <c r="AG3210" t="s">
        <v>2306</v>
      </c>
      <c r="AH3210" t="s">
        <v>72</v>
      </c>
      <c r="AI3210" t="s">
        <v>338</v>
      </c>
      <c r="AJ3210">
        <v>1929</v>
      </c>
      <c r="AK3210" t="s">
        <v>2735</v>
      </c>
      <c r="AM3210" t="s">
        <v>2736</v>
      </c>
      <c r="AN3210" t="s">
        <v>114</v>
      </c>
      <c r="AO3210" t="s">
        <v>77</v>
      </c>
      <c r="AP3210" t="s">
        <v>115</v>
      </c>
      <c r="AQ3210" t="s">
        <v>2737</v>
      </c>
      <c r="AR3210" t="s">
        <v>80</v>
      </c>
      <c r="AS3210">
        <v>701</v>
      </c>
      <c r="AT3210" t="s">
        <v>81</v>
      </c>
      <c r="AU3210">
        <v>-28.39</v>
      </c>
      <c r="AV3210">
        <v>-53</v>
      </c>
      <c r="AW3210" t="s">
        <v>82</v>
      </c>
      <c r="AX3210">
        <v>701</v>
      </c>
      <c r="AY3210" t="s">
        <v>81</v>
      </c>
      <c r="AZ3210">
        <v>-35.18</v>
      </c>
      <c r="BA3210">
        <v>-59.16</v>
      </c>
      <c r="BB3210" t="s">
        <v>83</v>
      </c>
    </row>
    <row r="3211" spans="1:54" x14ac:dyDescent="0.4">
      <c r="A3211">
        <v>838608</v>
      </c>
      <c r="D3211" t="s">
        <v>54</v>
      </c>
      <c r="G3211">
        <v>1</v>
      </c>
      <c r="H3211" t="s">
        <v>56</v>
      </c>
      <c r="I3211" t="s">
        <v>57</v>
      </c>
      <c r="K3211" t="s">
        <v>141</v>
      </c>
      <c r="L3211" t="s">
        <v>332</v>
      </c>
      <c r="M3211" t="s">
        <v>60</v>
      </c>
      <c r="O3211" t="s">
        <v>170</v>
      </c>
      <c r="P3211" t="s">
        <v>333</v>
      </c>
      <c r="R3211" t="s">
        <v>238</v>
      </c>
      <c r="S3211" t="s">
        <v>123</v>
      </c>
      <c r="T3211">
        <v>264.27999999999997</v>
      </c>
      <c r="U3211">
        <v>259.51</v>
      </c>
      <c r="V3211">
        <f t="shared" si="100"/>
        <v>261.89499999999998</v>
      </c>
      <c r="W3211">
        <f t="shared" si="101"/>
        <v>4.7699999999999818</v>
      </c>
      <c r="X3211">
        <v>22.033332999999999</v>
      </c>
      <c r="Y3211">
        <v>-32.905555999999997</v>
      </c>
      <c r="Z3211" t="s">
        <v>198</v>
      </c>
      <c r="AA3211" t="s">
        <v>106</v>
      </c>
      <c r="AB3211" t="s">
        <v>334</v>
      </c>
      <c r="AC3211" t="s">
        <v>2369</v>
      </c>
      <c r="AD3211" t="s">
        <v>336</v>
      </c>
      <c r="AE3211" t="s">
        <v>110</v>
      </c>
      <c r="AG3211" t="s">
        <v>2306</v>
      </c>
      <c r="AH3211" t="s">
        <v>72</v>
      </c>
      <c r="AI3211" t="s">
        <v>338</v>
      </c>
      <c r="AJ3211">
        <v>1929</v>
      </c>
      <c r="AK3211" t="s">
        <v>2738</v>
      </c>
      <c r="AM3211" t="s">
        <v>2739</v>
      </c>
      <c r="AN3211" t="s">
        <v>341</v>
      </c>
      <c r="AO3211" t="s">
        <v>77</v>
      </c>
      <c r="AP3211" t="s">
        <v>78</v>
      </c>
      <c r="AQ3211" t="s">
        <v>2740</v>
      </c>
      <c r="AR3211" t="s">
        <v>80</v>
      </c>
      <c r="AS3211">
        <v>701</v>
      </c>
      <c r="AT3211" t="s">
        <v>81</v>
      </c>
      <c r="AU3211">
        <v>-28.49</v>
      </c>
      <c r="AV3211">
        <v>-53.08</v>
      </c>
      <c r="AW3211" t="s">
        <v>82</v>
      </c>
      <c r="AX3211">
        <v>701</v>
      </c>
      <c r="AY3211" t="s">
        <v>81</v>
      </c>
      <c r="AZ3211">
        <v>-35.31</v>
      </c>
      <c r="BA3211">
        <v>-59.24</v>
      </c>
      <c r="BB3211" t="s">
        <v>83</v>
      </c>
    </row>
    <row r="3212" spans="1:54" x14ac:dyDescent="0.4">
      <c r="A3212">
        <v>838614</v>
      </c>
      <c r="D3212" t="s">
        <v>54</v>
      </c>
      <c r="E3212" t="s">
        <v>55</v>
      </c>
      <c r="G3212">
        <v>1</v>
      </c>
      <c r="H3212" t="s">
        <v>56</v>
      </c>
      <c r="I3212" t="s">
        <v>57</v>
      </c>
      <c r="K3212" t="s">
        <v>141</v>
      </c>
      <c r="L3212" t="s">
        <v>332</v>
      </c>
      <c r="M3212" t="s">
        <v>60</v>
      </c>
      <c r="O3212" t="s">
        <v>170</v>
      </c>
      <c r="P3212" t="s">
        <v>333</v>
      </c>
      <c r="R3212" t="s">
        <v>238</v>
      </c>
      <c r="S3212" t="s">
        <v>123</v>
      </c>
      <c r="T3212">
        <v>264.27999999999997</v>
      </c>
      <c r="U3212">
        <v>259.51</v>
      </c>
      <c r="V3212">
        <f t="shared" si="100"/>
        <v>261.89499999999998</v>
      </c>
      <c r="W3212">
        <f t="shared" si="101"/>
        <v>4.7699999999999818</v>
      </c>
      <c r="X3212">
        <v>21.819721000000001</v>
      </c>
      <c r="Y3212">
        <v>-32.904719999999998</v>
      </c>
      <c r="Z3212" t="s">
        <v>198</v>
      </c>
      <c r="AA3212" t="s">
        <v>106</v>
      </c>
      <c r="AB3212" t="s">
        <v>334</v>
      </c>
      <c r="AC3212" t="s">
        <v>2369</v>
      </c>
      <c r="AD3212" t="s">
        <v>336</v>
      </c>
      <c r="AE3212" t="s">
        <v>110</v>
      </c>
      <c r="AG3212" t="s">
        <v>337</v>
      </c>
      <c r="AH3212" t="s">
        <v>72</v>
      </c>
      <c r="AI3212" t="s">
        <v>338</v>
      </c>
      <c r="AJ3212">
        <v>1929</v>
      </c>
      <c r="AK3212" t="s">
        <v>2741</v>
      </c>
      <c r="AL3212">
        <v>92645</v>
      </c>
      <c r="AN3212" t="s">
        <v>114</v>
      </c>
      <c r="AO3212" t="s">
        <v>77</v>
      </c>
      <c r="AP3212" t="s">
        <v>115</v>
      </c>
      <c r="AQ3212" t="s">
        <v>2742</v>
      </c>
      <c r="AR3212" t="s">
        <v>80</v>
      </c>
      <c r="AS3212">
        <v>701</v>
      </c>
      <c r="AT3212" t="s">
        <v>81</v>
      </c>
      <c r="AU3212">
        <v>-28.6</v>
      </c>
      <c r="AV3212">
        <v>-52.91</v>
      </c>
      <c r="AW3212" t="s">
        <v>82</v>
      </c>
      <c r="AX3212">
        <v>701</v>
      </c>
      <c r="AY3212" t="s">
        <v>81</v>
      </c>
      <c r="AZ3212">
        <v>-35.409999999999997</v>
      </c>
      <c r="BA3212">
        <v>-59.07</v>
      </c>
      <c r="BB3212" t="s">
        <v>83</v>
      </c>
    </row>
    <row r="3213" spans="1:54" x14ac:dyDescent="0.4">
      <c r="A3213">
        <v>838651</v>
      </c>
      <c r="D3213" t="s">
        <v>54</v>
      </c>
      <c r="G3213">
        <v>1</v>
      </c>
      <c r="H3213" t="s">
        <v>56</v>
      </c>
      <c r="I3213" t="s">
        <v>57</v>
      </c>
      <c r="K3213" t="s">
        <v>141</v>
      </c>
      <c r="L3213" t="s">
        <v>332</v>
      </c>
      <c r="M3213" t="s">
        <v>60</v>
      </c>
      <c r="O3213" t="s">
        <v>170</v>
      </c>
      <c r="P3213" t="s">
        <v>333</v>
      </c>
      <c r="R3213" t="s">
        <v>238</v>
      </c>
      <c r="S3213" t="s">
        <v>123</v>
      </c>
      <c r="T3213">
        <v>264.27999999999997</v>
      </c>
      <c r="U3213">
        <v>259.51</v>
      </c>
      <c r="V3213">
        <f t="shared" si="100"/>
        <v>261.89499999999998</v>
      </c>
      <c r="W3213">
        <f t="shared" si="101"/>
        <v>4.7699999999999818</v>
      </c>
      <c r="X3213">
        <v>22.170500000000001</v>
      </c>
      <c r="Y3213">
        <v>-32.486198000000002</v>
      </c>
      <c r="Z3213" t="s">
        <v>198</v>
      </c>
      <c r="AA3213" t="s">
        <v>106</v>
      </c>
      <c r="AB3213" t="s">
        <v>334</v>
      </c>
      <c r="AC3213" t="s">
        <v>335</v>
      </c>
      <c r="AD3213" t="s">
        <v>336</v>
      </c>
      <c r="AE3213" t="s">
        <v>110</v>
      </c>
      <c r="AG3213" t="s">
        <v>2193</v>
      </c>
      <c r="AH3213" t="s">
        <v>72</v>
      </c>
      <c r="AI3213" t="s">
        <v>338</v>
      </c>
      <c r="AJ3213">
        <v>1929</v>
      </c>
      <c r="AK3213" t="s">
        <v>2743</v>
      </c>
      <c r="AM3213" t="s">
        <v>2744</v>
      </c>
      <c r="AN3213" t="s">
        <v>114</v>
      </c>
      <c r="AO3213">
        <v>8</v>
      </c>
      <c r="AP3213" t="s">
        <v>78</v>
      </c>
      <c r="AQ3213" t="s">
        <v>2745</v>
      </c>
      <c r="AR3213" t="s">
        <v>80</v>
      </c>
      <c r="AS3213">
        <v>701</v>
      </c>
      <c r="AT3213" t="s">
        <v>81</v>
      </c>
      <c r="AU3213">
        <v>-27.77</v>
      </c>
      <c r="AV3213">
        <v>-53.03</v>
      </c>
      <c r="AW3213" t="s">
        <v>82</v>
      </c>
      <c r="AX3213">
        <v>701</v>
      </c>
      <c r="AY3213" t="s">
        <v>81</v>
      </c>
      <c r="AZ3213">
        <v>-34.46</v>
      </c>
      <c r="BA3213">
        <v>-59.23</v>
      </c>
      <c r="BB3213" t="s">
        <v>83</v>
      </c>
    </row>
    <row r="3214" spans="1:54" x14ac:dyDescent="0.4">
      <c r="A3214">
        <v>838652</v>
      </c>
      <c r="D3214" t="s">
        <v>54</v>
      </c>
      <c r="G3214">
        <v>1</v>
      </c>
      <c r="H3214" t="s">
        <v>56</v>
      </c>
      <c r="I3214" t="s">
        <v>57</v>
      </c>
      <c r="K3214" t="s">
        <v>141</v>
      </c>
      <c r="L3214" t="s">
        <v>332</v>
      </c>
      <c r="M3214" t="s">
        <v>60</v>
      </c>
      <c r="O3214" t="s">
        <v>170</v>
      </c>
      <c r="P3214" t="s">
        <v>333</v>
      </c>
      <c r="R3214" t="s">
        <v>238</v>
      </c>
      <c r="S3214" t="s">
        <v>123</v>
      </c>
      <c r="T3214">
        <v>264.27999999999997</v>
      </c>
      <c r="U3214">
        <v>259.51</v>
      </c>
      <c r="V3214">
        <f t="shared" si="100"/>
        <v>261.89499999999998</v>
      </c>
      <c r="W3214">
        <f t="shared" si="101"/>
        <v>4.7699999999999818</v>
      </c>
      <c r="X3214">
        <v>21.75</v>
      </c>
      <c r="Y3214">
        <v>-32.695830999999998</v>
      </c>
      <c r="Z3214" t="s">
        <v>198</v>
      </c>
      <c r="AA3214" t="s">
        <v>106</v>
      </c>
      <c r="AB3214" t="s">
        <v>334</v>
      </c>
      <c r="AC3214" t="s">
        <v>2369</v>
      </c>
      <c r="AD3214" t="s">
        <v>336</v>
      </c>
      <c r="AE3214" t="s">
        <v>110</v>
      </c>
      <c r="AG3214" t="s">
        <v>2306</v>
      </c>
      <c r="AH3214" t="s">
        <v>72</v>
      </c>
      <c r="AI3214" t="s">
        <v>338</v>
      </c>
      <c r="AJ3214">
        <v>1929</v>
      </c>
      <c r="AK3214" t="s">
        <v>2746</v>
      </c>
      <c r="AM3214" t="s">
        <v>2747</v>
      </c>
      <c r="AN3214" t="s">
        <v>114</v>
      </c>
      <c r="AO3214" t="s">
        <v>77</v>
      </c>
      <c r="AP3214" t="s">
        <v>115</v>
      </c>
      <c r="AQ3214" t="s">
        <v>2748</v>
      </c>
      <c r="AR3214" t="s">
        <v>80</v>
      </c>
      <c r="AS3214">
        <v>701</v>
      </c>
      <c r="AT3214" t="s">
        <v>81</v>
      </c>
      <c r="AU3214">
        <v>-28.32</v>
      </c>
      <c r="AV3214">
        <v>-52.78</v>
      </c>
      <c r="AW3214" t="s">
        <v>82</v>
      </c>
      <c r="AX3214">
        <v>701</v>
      </c>
      <c r="AY3214" t="s">
        <v>81</v>
      </c>
      <c r="AZ3214">
        <v>-35.06</v>
      </c>
      <c r="BA3214">
        <v>-58.95</v>
      </c>
      <c r="BB3214" t="s">
        <v>83</v>
      </c>
    </row>
    <row r="3215" spans="1:54" x14ac:dyDescent="0.4">
      <c r="A3215">
        <v>838666</v>
      </c>
      <c r="D3215" t="s">
        <v>54</v>
      </c>
      <c r="G3215">
        <v>1</v>
      </c>
      <c r="H3215" t="s">
        <v>56</v>
      </c>
      <c r="I3215" t="s">
        <v>57</v>
      </c>
      <c r="K3215" t="s">
        <v>141</v>
      </c>
      <c r="L3215" t="s">
        <v>332</v>
      </c>
      <c r="M3215" t="s">
        <v>60</v>
      </c>
      <c r="O3215" t="s">
        <v>170</v>
      </c>
      <c r="P3215" t="s">
        <v>333</v>
      </c>
      <c r="R3215" t="s">
        <v>238</v>
      </c>
      <c r="S3215" t="s">
        <v>123</v>
      </c>
      <c r="T3215">
        <v>264.27999999999997</v>
      </c>
      <c r="U3215">
        <v>259.51</v>
      </c>
      <c r="V3215">
        <f t="shared" si="100"/>
        <v>261.89499999999998</v>
      </c>
      <c r="W3215">
        <f t="shared" si="101"/>
        <v>4.7699999999999818</v>
      </c>
      <c r="X3215">
        <v>22.191299000000001</v>
      </c>
      <c r="Y3215">
        <v>-32.442901999999997</v>
      </c>
      <c r="Z3215" t="s">
        <v>198</v>
      </c>
      <c r="AA3215" t="s">
        <v>106</v>
      </c>
      <c r="AB3215" t="s">
        <v>334</v>
      </c>
      <c r="AC3215" t="s">
        <v>335</v>
      </c>
      <c r="AD3215" t="s">
        <v>336</v>
      </c>
      <c r="AE3215" t="s">
        <v>110</v>
      </c>
      <c r="AG3215" t="s">
        <v>2306</v>
      </c>
      <c r="AH3215" t="s">
        <v>72</v>
      </c>
      <c r="AI3215" t="s">
        <v>338</v>
      </c>
      <c r="AJ3215">
        <v>1929</v>
      </c>
      <c r="AK3215" t="s">
        <v>2749</v>
      </c>
      <c r="AM3215" t="s">
        <v>2750</v>
      </c>
      <c r="AN3215" t="s">
        <v>114</v>
      </c>
      <c r="AO3215">
        <v>8</v>
      </c>
      <c r="AP3215" t="s">
        <v>78</v>
      </c>
      <c r="AQ3215" t="s">
        <v>2751</v>
      </c>
      <c r="AR3215" t="s">
        <v>80</v>
      </c>
      <c r="AS3215">
        <v>701</v>
      </c>
      <c r="AT3215" t="s">
        <v>81</v>
      </c>
      <c r="AU3215">
        <v>-27.7</v>
      </c>
      <c r="AV3215">
        <v>-53.03</v>
      </c>
      <c r="AW3215" t="s">
        <v>82</v>
      </c>
      <c r="AX3215">
        <v>701</v>
      </c>
      <c r="AY3215" t="s">
        <v>81</v>
      </c>
      <c r="AZ3215">
        <v>-34.369999999999997</v>
      </c>
      <c r="BA3215">
        <v>-59.23</v>
      </c>
      <c r="BB3215" t="s">
        <v>83</v>
      </c>
    </row>
    <row r="3216" spans="1:54" x14ac:dyDescent="0.4">
      <c r="A3216">
        <v>838668</v>
      </c>
      <c r="D3216" t="s">
        <v>2001</v>
      </c>
      <c r="E3216" t="s">
        <v>154</v>
      </c>
      <c r="G3216">
        <v>1</v>
      </c>
      <c r="H3216" t="s">
        <v>84</v>
      </c>
      <c r="I3216" t="s">
        <v>57</v>
      </c>
      <c r="K3216" t="s">
        <v>141</v>
      </c>
      <c r="L3216" t="s">
        <v>332</v>
      </c>
      <c r="M3216" t="s">
        <v>60</v>
      </c>
      <c r="O3216" t="s">
        <v>170</v>
      </c>
      <c r="P3216" t="s">
        <v>333</v>
      </c>
      <c r="R3216" t="s">
        <v>238</v>
      </c>
      <c r="S3216" t="s">
        <v>123</v>
      </c>
      <c r="T3216">
        <v>264.27999999999997</v>
      </c>
      <c r="U3216">
        <v>259.51</v>
      </c>
      <c r="V3216">
        <f t="shared" si="100"/>
        <v>261.89499999999998</v>
      </c>
      <c r="W3216">
        <f t="shared" si="101"/>
        <v>4.7699999999999818</v>
      </c>
      <c r="X3216">
        <v>22</v>
      </c>
      <c r="Y3216">
        <v>-32.366669000000002</v>
      </c>
      <c r="Z3216" t="s">
        <v>198</v>
      </c>
      <c r="AA3216" t="s">
        <v>106</v>
      </c>
      <c r="AB3216" t="s">
        <v>334</v>
      </c>
      <c r="AC3216" t="s">
        <v>335</v>
      </c>
      <c r="AD3216" t="s">
        <v>336</v>
      </c>
      <c r="AE3216" t="s">
        <v>110</v>
      </c>
      <c r="AG3216" t="s">
        <v>2306</v>
      </c>
      <c r="AH3216" t="s">
        <v>72</v>
      </c>
      <c r="AI3216" t="s">
        <v>338</v>
      </c>
      <c r="AJ3216">
        <v>1929</v>
      </c>
      <c r="AK3216" t="s">
        <v>2310</v>
      </c>
      <c r="AM3216" t="s">
        <v>2311</v>
      </c>
      <c r="AN3216" t="s">
        <v>114</v>
      </c>
      <c r="AO3216" t="s">
        <v>160</v>
      </c>
      <c r="AP3216" t="s">
        <v>78</v>
      </c>
      <c r="AQ3216" t="s">
        <v>2312</v>
      </c>
      <c r="AR3216" t="s">
        <v>80</v>
      </c>
      <c r="AS3216">
        <v>701</v>
      </c>
      <c r="AT3216" t="s">
        <v>81</v>
      </c>
      <c r="AU3216">
        <v>-27.68</v>
      </c>
      <c r="AV3216">
        <v>-52.85</v>
      </c>
      <c r="AW3216" t="s">
        <v>82</v>
      </c>
      <c r="AX3216">
        <v>701</v>
      </c>
      <c r="AY3216" t="s">
        <v>81</v>
      </c>
      <c r="AZ3216">
        <v>-34.33</v>
      </c>
      <c r="BA3216">
        <v>-59.05</v>
      </c>
      <c r="BB3216" t="s">
        <v>83</v>
      </c>
    </row>
    <row r="3217" spans="1:54" x14ac:dyDescent="0.4">
      <c r="A3217">
        <v>838670</v>
      </c>
      <c r="D3217" t="s">
        <v>54</v>
      </c>
      <c r="G3217">
        <v>1</v>
      </c>
      <c r="H3217" t="s">
        <v>56</v>
      </c>
      <c r="I3217" t="s">
        <v>57</v>
      </c>
      <c r="K3217" t="s">
        <v>141</v>
      </c>
      <c r="L3217" t="s">
        <v>332</v>
      </c>
      <c r="M3217" t="s">
        <v>60</v>
      </c>
      <c r="O3217" t="s">
        <v>170</v>
      </c>
      <c r="P3217" t="s">
        <v>333</v>
      </c>
      <c r="R3217" t="s">
        <v>238</v>
      </c>
      <c r="S3217" t="s">
        <v>123</v>
      </c>
      <c r="T3217">
        <v>264.27999999999997</v>
      </c>
      <c r="U3217">
        <v>259.51</v>
      </c>
      <c r="V3217">
        <f t="shared" si="100"/>
        <v>261.89499999999998</v>
      </c>
      <c r="W3217">
        <f t="shared" si="101"/>
        <v>4.7699999999999818</v>
      </c>
      <c r="X3217">
        <v>22.033332999999999</v>
      </c>
      <c r="Y3217">
        <v>-32.905555999999997</v>
      </c>
      <c r="Z3217" t="s">
        <v>198</v>
      </c>
      <c r="AA3217" t="s">
        <v>106</v>
      </c>
      <c r="AB3217" t="s">
        <v>334</v>
      </c>
      <c r="AC3217" t="s">
        <v>2369</v>
      </c>
      <c r="AD3217" t="s">
        <v>336</v>
      </c>
      <c r="AE3217" t="s">
        <v>110</v>
      </c>
      <c r="AG3217" t="s">
        <v>2306</v>
      </c>
      <c r="AH3217" t="s">
        <v>72</v>
      </c>
      <c r="AI3217" t="s">
        <v>338</v>
      </c>
      <c r="AJ3217">
        <v>1929</v>
      </c>
      <c r="AK3217" t="s">
        <v>2738</v>
      </c>
      <c r="AM3217" t="s">
        <v>2739</v>
      </c>
      <c r="AN3217" t="s">
        <v>341</v>
      </c>
      <c r="AO3217" t="s">
        <v>77</v>
      </c>
      <c r="AP3217" t="s">
        <v>78</v>
      </c>
      <c r="AQ3217" t="s">
        <v>2740</v>
      </c>
      <c r="AR3217" t="s">
        <v>80</v>
      </c>
      <c r="AS3217">
        <v>701</v>
      </c>
      <c r="AT3217" t="s">
        <v>81</v>
      </c>
      <c r="AU3217">
        <v>-28.49</v>
      </c>
      <c r="AV3217">
        <v>-53.08</v>
      </c>
      <c r="AW3217" t="s">
        <v>82</v>
      </c>
      <c r="AX3217">
        <v>701</v>
      </c>
      <c r="AY3217" t="s">
        <v>81</v>
      </c>
      <c r="AZ3217">
        <v>-35.31</v>
      </c>
      <c r="BA3217">
        <v>-59.24</v>
      </c>
      <c r="BB3217" t="s">
        <v>83</v>
      </c>
    </row>
    <row r="3218" spans="1:54" x14ac:dyDescent="0.4">
      <c r="A3218">
        <v>838670</v>
      </c>
      <c r="D3218" t="s">
        <v>54</v>
      </c>
      <c r="G3218">
        <v>1</v>
      </c>
      <c r="H3218" t="s">
        <v>56</v>
      </c>
      <c r="I3218" t="s">
        <v>57</v>
      </c>
      <c r="K3218" t="s">
        <v>141</v>
      </c>
      <c r="L3218" t="s">
        <v>332</v>
      </c>
      <c r="M3218" t="s">
        <v>60</v>
      </c>
      <c r="O3218" t="s">
        <v>170</v>
      </c>
      <c r="P3218" t="s">
        <v>333</v>
      </c>
      <c r="R3218" t="s">
        <v>238</v>
      </c>
      <c r="S3218" t="s">
        <v>123</v>
      </c>
      <c r="T3218">
        <v>264.27999999999997</v>
      </c>
      <c r="U3218">
        <v>259.51</v>
      </c>
      <c r="V3218">
        <f t="shared" si="100"/>
        <v>261.89499999999998</v>
      </c>
      <c r="W3218">
        <f t="shared" si="101"/>
        <v>4.7699999999999818</v>
      </c>
      <c r="X3218">
        <v>22.033332999999999</v>
      </c>
      <c r="Y3218">
        <v>-32.905555999999997</v>
      </c>
      <c r="Z3218" t="s">
        <v>198</v>
      </c>
      <c r="AA3218" t="s">
        <v>106</v>
      </c>
      <c r="AB3218" t="s">
        <v>334</v>
      </c>
      <c r="AC3218" t="s">
        <v>2369</v>
      </c>
      <c r="AD3218" t="s">
        <v>336</v>
      </c>
      <c r="AE3218" t="s">
        <v>110</v>
      </c>
      <c r="AG3218" t="s">
        <v>2306</v>
      </c>
      <c r="AH3218" t="s">
        <v>72</v>
      </c>
      <c r="AI3218" t="s">
        <v>338</v>
      </c>
      <c r="AJ3218">
        <v>1929</v>
      </c>
      <c r="AK3218" t="s">
        <v>2738</v>
      </c>
      <c r="AM3218" t="s">
        <v>2739</v>
      </c>
      <c r="AN3218" t="s">
        <v>341</v>
      </c>
      <c r="AO3218" t="s">
        <v>77</v>
      </c>
      <c r="AP3218" t="s">
        <v>78</v>
      </c>
      <c r="AQ3218" t="s">
        <v>2740</v>
      </c>
      <c r="AR3218" t="s">
        <v>80</v>
      </c>
      <c r="AS3218">
        <v>701</v>
      </c>
      <c r="AT3218" t="s">
        <v>81</v>
      </c>
      <c r="AU3218">
        <v>-28.49</v>
      </c>
      <c r="AV3218">
        <v>-53.08</v>
      </c>
      <c r="AW3218" t="s">
        <v>82</v>
      </c>
      <c r="AX3218">
        <v>701</v>
      </c>
      <c r="AY3218" t="s">
        <v>81</v>
      </c>
      <c r="AZ3218">
        <v>-35.31</v>
      </c>
      <c r="BA3218">
        <v>-59.24</v>
      </c>
      <c r="BB3218" t="s">
        <v>83</v>
      </c>
    </row>
    <row r="3219" spans="1:54" x14ac:dyDescent="0.4">
      <c r="A3219">
        <v>838692</v>
      </c>
      <c r="D3219" t="s">
        <v>54</v>
      </c>
      <c r="G3219">
        <v>1</v>
      </c>
      <c r="H3219" t="s">
        <v>56</v>
      </c>
      <c r="I3219" t="s">
        <v>57</v>
      </c>
      <c r="K3219" t="s">
        <v>141</v>
      </c>
      <c r="L3219" t="s">
        <v>332</v>
      </c>
      <c r="M3219" t="s">
        <v>60</v>
      </c>
      <c r="O3219" t="s">
        <v>170</v>
      </c>
      <c r="P3219" t="s">
        <v>333</v>
      </c>
      <c r="R3219" t="s">
        <v>238</v>
      </c>
      <c r="S3219" t="s">
        <v>123</v>
      </c>
      <c r="T3219">
        <v>264.27999999999997</v>
      </c>
      <c r="U3219">
        <v>259.51</v>
      </c>
      <c r="V3219">
        <f t="shared" si="100"/>
        <v>261.89499999999998</v>
      </c>
      <c r="W3219">
        <f t="shared" si="101"/>
        <v>4.7699999999999818</v>
      </c>
      <c r="X3219">
        <v>21.967500999999999</v>
      </c>
      <c r="Y3219">
        <v>-32.816113000000001</v>
      </c>
      <c r="Z3219" t="s">
        <v>198</v>
      </c>
      <c r="AA3219" t="s">
        <v>106</v>
      </c>
      <c r="AB3219" t="s">
        <v>334</v>
      </c>
      <c r="AC3219" t="s">
        <v>2369</v>
      </c>
      <c r="AD3219" t="s">
        <v>336</v>
      </c>
      <c r="AE3219" t="s">
        <v>110</v>
      </c>
      <c r="AG3219" t="s">
        <v>2306</v>
      </c>
      <c r="AH3219" t="s">
        <v>72</v>
      </c>
      <c r="AI3219" t="s">
        <v>338</v>
      </c>
      <c r="AJ3219">
        <v>1929</v>
      </c>
      <c r="AK3219" t="s">
        <v>2735</v>
      </c>
      <c r="AM3219" t="s">
        <v>2736</v>
      </c>
      <c r="AN3219" t="s">
        <v>114</v>
      </c>
      <c r="AO3219" t="s">
        <v>77</v>
      </c>
      <c r="AP3219" t="s">
        <v>115</v>
      </c>
      <c r="AQ3219" t="s">
        <v>2737</v>
      </c>
      <c r="AR3219" t="s">
        <v>80</v>
      </c>
      <c r="AS3219">
        <v>701</v>
      </c>
      <c r="AT3219" t="s">
        <v>81</v>
      </c>
      <c r="AU3219">
        <v>-28.39</v>
      </c>
      <c r="AV3219">
        <v>-53</v>
      </c>
      <c r="AW3219" t="s">
        <v>82</v>
      </c>
      <c r="AX3219">
        <v>701</v>
      </c>
      <c r="AY3219" t="s">
        <v>81</v>
      </c>
      <c r="AZ3219">
        <v>-35.18</v>
      </c>
      <c r="BA3219">
        <v>-59.16</v>
      </c>
      <c r="BB3219" t="s">
        <v>83</v>
      </c>
    </row>
    <row r="3220" spans="1:54" x14ac:dyDescent="0.4">
      <c r="A3220">
        <v>1163740</v>
      </c>
      <c r="D3220" t="s">
        <v>54</v>
      </c>
      <c r="G3220">
        <v>1</v>
      </c>
      <c r="H3220" t="s">
        <v>56</v>
      </c>
      <c r="I3220" t="s">
        <v>57</v>
      </c>
      <c r="K3220" t="s">
        <v>141</v>
      </c>
      <c r="L3220" t="s">
        <v>4461</v>
      </c>
      <c r="M3220" t="s">
        <v>60</v>
      </c>
      <c r="P3220" t="s">
        <v>333</v>
      </c>
      <c r="R3220" t="s">
        <v>238</v>
      </c>
      <c r="S3220" t="s">
        <v>123</v>
      </c>
      <c r="T3220">
        <v>264.27999999999997</v>
      </c>
      <c r="U3220">
        <v>259.51</v>
      </c>
      <c r="V3220">
        <f t="shared" si="100"/>
        <v>261.89499999999998</v>
      </c>
      <c r="W3220">
        <f t="shared" si="101"/>
        <v>4.7699999999999818</v>
      </c>
      <c r="X3220">
        <v>48.828609</v>
      </c>
      <c r="Y3220">
        <v>55.017223000000001</v>
      </c>
      <c r="Z3220" t="s">
        <v>124</v>
      </c>
      <c r="AA3220" t="s">
        <v>239</v>
      </c>
      <c r="AB3220" t="s">
        <v>513</v>
      </c>
      <c r="AC3220" t="s">
        <v>514</v>
      </c>
      <c r="AG3220" t="s">
        <v>2671</v>
      </c>
      <c r="AH3220" t="s">
        <v>72</v>
      </c>
      <c r="AI3220" t="s">
        <v>612</v>
      </c>
      <c r="AJ3220">
        <v>1997</v>
      </c>
      <c r="AK3220" t="s">
        <v>2672</v>
      </c>
      <c r="AM3220" t="s">
        <v>2673</v>
      </c>
      <c r="AN3220" t="s">
        <v>114</v>
      </c>
      <c r="AO3220" t="s">
        <v>77</v>
      </c>
      <c r="AP3220" t="s">
        <v>115</v>
      </c>
      <c r="AQ3220" t="s">
        <v>2674</v>
      </c>
      <c r="AR3220" t="s">
        <v>80</v>
      </c>
      <c r="AS3220">
        <v>302</v>
      </c>
      <c r="AT3220" t="s">
        <v>81</v>
      </c>
      <c r="AU3220">
        <v>51.93</v>
      </c>
      <c r="AV3220">
        <v>34.33</v>
      </c>
      <c r="AW3220" t="s">
        <v>82</v>
      </c>
      <c r="AX3220">
        <v>301</v>
      </c>
      <c r="AY3220" t="s">
        <v>81</v>
      </c>
      <c r="AZ3220">
        <v>43.53</v>
      </c>
      <c r="BA3220">
        <v>29.28</v>
      </c>
      <c r="BB3220" t="s">
        <v>83</v>
      </c>
    </row>
    <row r="3221" spans="1:54" x14ac:dyDescent="0.4">
      <c r="A3221">
        <v>1313329</v>
      </c>
      <c r="D3221" t="s">
        <v>54</v>
      </c>
      <c r="I3221" t="s">
        <v>57</v>
      </c>
      <c r="K3221" t="s">
        <v>141</v>
      </c>
      <c r="L3221" t="s">
        <v>4542</v>
      </c>
      <c r="M3221" t="s">
        <v>60</v>
      </c>
      <c r="O3221" t="s">
        <v>170</v>
      </c>
      <c r="P3221" t="s">
        <v>333</v>
      </c>
      <c r="R3221" t="s">
        <v>238</v>
      </c>
      <c r="S3221" t="s">
        <v>123</v>
      </c>
      <c r="T3221">
        <v>264.27999999999997</v>
      </c>
      <c r="U3221">
        <v>259.51</v>
      </c>
      <c r="V3221">
        <f t="shared" si="100"/>
        <v>261.89499999999998</v>
      </c>
      <c r="W3221">
        <f t="shared" si="101"/>
        <v>4.7699999999999818</v>
      </c>
      <c r="X3221">
        <v>22.105556</v>
      </c>
      <c r="Y3221">
        <v>-32.075001</v>
      </c>
      <c r="Z3221" t="s">
        <v>105</v>
      </c>
      <c r="AA3221" t="s">
        <v>106</v>
      </c>
      <c r="AB3221" t="s">
        <v>575</v>
      </c>
      <c r="AC3221" t="s">
        <v>4649</v>
      </c>
      <c r="AD3221" t="s">
        <v>1654</v>
      </c>
      <c r="AE3221" t="s">
        <v>110</v>
      </c>
      <c r="AF3221" t="s">
        <v>4650</v>
      </c>
      <c r="AG3221" t="s">
        <v>4651</v>
      </c>
      <c r="AH3221" t="s">
        <v>11</v>
      </c>
      <c r="AI3221" t="s">
        <v>4652</v>
      </c>
      <c r="AJ3221">
        <v>2015</v>
      </c>
      <c r="AK3221" t="s">
        <v>4653</v>
      </c>
      <c r="AM3221" t="s">
        <v>4654</v>
      </c>
      <c r="AN3221" t="s">
        <v>192</v>
      </c>
      <c r="AO3221" t="s">
        <v>77</v>
      </c>
      <c r="AP3221" t="s">
        <v>359</v>
      </c>
      <c r="AR3221" t="s">
        <v>80</v>
      </c>
      <c r="AS3221">
        <v>701</v>
      </c>
      <c r="AT3221" t="s">
        <v>81</v>
      </c>
      <c r="AU3221">
        <v>-27.18</v>
      </c>
      <c r="AV3221">
        <v>-52.83</v>
      </c>
      <c r="AW3221" t="s">
        <v>82</v>
      </c>
      <c r="AX3221">
        <v>701</v>
      </c>
      <c r="AY3221" t="s">
        <v>81</v>
      </c>
      <c r="AZ3221">
        <v>-33.729999999999997</v>
      </c>
      <c r="BA3221">
        <v>-59.05</v>
      </c>
      <c r="BB3221" t="s">
        <v>83</v>
      </c>
    </row>
    <row r="3222" spans="1:54" x14ac:dyDescent="0.4">
      <c r="A3222">
        <v>1313330</v>
      </c>
      <c r="D3222" t="s">
        <v>54</v>
      </c>
      <c r="I3222" t="s">
        <v>57</v>
      </c>
      <c r="K3222" t="s">
        <v>141</v>
      </c>
      <c r="L3222" t="s">
        <v>574</v>
      </c>
      <c r="M3222" t="s">
        <v>60</v>
      </c>
      <c r="O3222" t="s">
        <v>170</v>
      </c>
      <c r="P3222" t="s">
        <v>333</v>
      </c>
      <c r="R3222" t="s">
        <v>238</v>
      </c>
      <c r="S3222" t="s">
        <v>123</v>
      </c>
      <c r="T3222">
        <v>264.27999999999997</v>
      </c>
      <c r="U3222">
        <v>259.51</v>
      </c>
      <c r="V3222">
        <f t="shared" si="100"/>
        <v>261.89499999999998</v>
      </c>
      <c r="W3222">
        <f t="shared" si="101"/>
        <v>4.7699999999999818</v>
      </c>
      <c r="X3222">
        <v>22.105556</v>
      </c>
      <c r="Y3222">
        <v>-32.075001</v>
      </c>
      <c r="Z3222" t="s">
        <v>105</v>
      </c>
      <c r="AA3222" t="s">
        <v>106</v>
      </c>
      <c r="AB3222" t="s">
        <v>575</v>
      </c>
      <c r="AC3222" t="s">
        <v>4649</v>
      </c>
      <c r="AD3222" t="s">
        <v>1654</v>
      </c>
      <c r="AE3222" t="s">
        <v>110</v>
      </c>
      <c r="AF3222" t="s">
        <v>4650</v>
      </c>
      <c r="AG3222" t="s">
        <v>4651</v>
      </c>
      <c r="AH3222" t="s">
        <v>11</v>
      </c>
      <c r="AI3222" t="s">
        <v>4652</v>
      </c>
      <c r="AJ3222">
        <v>2015</v>
      </c>
      <c r="AK3222" t="s">
        <v>4653</v>
      </c>
      <c r="AM3222" t="s">
        <v>4654</v>
      </c>
      <c r="AN3222" t="s">
        <v>192</v>
      </c>
      <c r="AO3222" t="s">
        <v>77</v>
      </c>
      <c r="AP3222" t="s">
        <v>359</v>
      </c>
      <c r="AR3222" t="s">
        <v>80</v>
      </c>
      <c r="AS3222">
        <v>701</v>
      </c>
      <c r="AT3222" t="s">
        <v>81</v>
      </c>
      <c r="AU3222">
        <v>-27.18</v>
      </c>
      <c r="AV3222">
        <v>-52.83</v>
      </c>
      <c r="AW3222" t="s">
        <v>82</v>
      </c>
      <c r="AX3222">
        <v>701</v>
      </c>
      <c r="AY3222" t="s">
        <v>81</v>
      </c>
      <c r="AZ3222">
        <v>-33.729999999999997</v>
      </c>
      <c r="BA3222">
        <v>-59.05</v>
      </c>
      <c r="BB3222" t="s">
        <v>83</v>
      </c>
    </row>
    <row r="3223" spans="1:54" x14ac:dyDescent="0.4">
      <c r="A3223">
        <v>1317363</v>
      </c>
      <c r="D3223" t="s">
        <v>54</v>
      </c>
      <c r="I3223" t="s">
        <v>57</v>
      </c>
      <c r="K3223" t="s">
        <v>141</v>
      </c>
      <c r="L3223" t="s">
        <v>332</v>
      </c>
      <c r="M3223" t="s">
        <v>60</v>
      </c>
      <c r="O3223" t="s">
        <v>170</v>
      </c>
      <c r="P3223" t="s">
        <v>333</v>
      </c>
      <c r="R3223" t="s">
        <v>238</v>
      </c>
      <c r="S3223" t="s">
        <v>123</v>
      </c>
      <c r="T3223">
        <v>264.27999999999997</v>
      </c>
      <c r="U3223">
        <v>259.51</v>
      </c>
      <c r="V3223">
        <f t="shared" si="100"/>
        <v>261.89499999999998</v>
      </c>
      <c r="W3223">
        <f t="shared" si="101"/>
        <v>4.7699999999999818</v>
      </c>
      <c r="X3223">
        <v>22.016666000000001</v>
      </c>
      <c r="Y3223">
        <v>-32.966667000000001</v>
      </c>
      <c r="Z3223" t="s">
        <v>124</v>
      </c>
      <c r="AA3223" t="s">
        <v>106</v>
      </c>
      <c r="AB3223" t="s">
        <v>334</v>
      </c>
      <c r="AC3223" t="s">
        <v>2369</v>
      </c>
      <c r="AD3223" t="s">
        <v>336</v>
      </c>
      <c r="AE3223" t="s">
        <v>110</v>
      </c>
      <c r="AG3223" t="s">
        <v>337</v>
      </c>
      <c r="AH3223" t="s">
        <v>11</v>
      </c>
      <c r="AI3223" t="s">
        <v>3650</v>
      </c>
      <c r="AJ3223">
        <v>1977</v>
      </c>
      <c r="AK3223" t="s">
        <v>4675</v>
      </c>
      <c r="AM3223" t="s">
        <v>4676</v>
      </c>
      <c r="AN3223" t="s">
        <v>341</v>
      </c>
      <c r="AO3223" t="s">
        <v>160</v>
      </c>
      <c r="AP3223" t="s">
        <v>115</v>
      </c>
      <c r="AQ3223" t="s">
        <v>4677</v>
      </c>
      <c r="AR3223" t="s">
        <v>80</v>
      </c>
      <c r="AS3223">
        <v>701</v>
      </c>
      <c r="AT3223" t="s">
        <v>81</v>
      </c>
      <c r="AU3223">
        <v>-28.6</v>
      </c>
      <c r="AV3223">
        <v>-53.09</v>
      </c>
      <c r="AW3223" t="s">
        <v>82</v>
      </c>
      <c r="AX3223">
        <v>701</v>
      </c>
      <c r="AY3223" t="s">
        <v>81</v>
      </c>
      <c r="AZ3223">
        <v>-35.44</v>
      </c>
      <c r="BA3223">
        <v>-59.25</v>
      </c>
      <c r="BB3223" t="s">
        <v>83</v>
      </c>
    </row>
    <row r="3224" spans="1:54" x14ac:dyDescent="0.4">
      <c r="A3224">
        <v>1325014</v>
      </c>
      <c r="D3224" t="s">
        <v>54</v>
      </c>
      <c r="I3224" t="s">
        <v>57</v>
      </c>
      <c r="K3224" t="s">
        <v>141</v>
      </c>
      <c r="L3224" t="s">
        <v>332</v>
      </c>
      <c r="M3224" t="s">
        <v>60</v>
      </c>
      <c r="O3224" t="s">
        <v>170</v>
      </c>
      <c r="P3224" t="s">
        <v>333</v>
      </c>
      <c r="R3224" t="s">
        <v>238</v>
      </c>
      <c r="S3224" t="s">
        <v>123</v>
      </c>
      <c r="T3224">
        <v>264.27999999999997</v>
      </c>
      <c r="U3224">
        <v>259.51</v>
      </c>
      <c r="V3224">
        <f t="shared" si="100"/>
        <v>261.89499999999998</v>
      </c>
      <c r="W3224">
        <f t="shared" si="101"/>
        <v>4.7699999999999818</v>
      </c>
      <c r="X3224">
        <v>22.323889000000001</v>
      </c>
      <c r="Y3224">
        <v>-32.979999999999997</v>
      </c>
      <c r="Z3224" t="s">
        <v>124</v>
      </c>
      <c r="AA3224" t="s">
        <v>106</v>
      </c>
      <c r="AB3224" t="s">
        <v>334</v>
      </c>
      <c r="AC3224" t="s">
        <v>2369</v>
      </c>
      <c r="AE3224" t="s">
        <v>110</v>
      </c>
      <c r="AG3224" t="s">
        <v>2281</v>
      </c>
      <c r="AH3224" t="s">
        <v>72</v>
      </c>
      <c r="AI3224" t="s">
        <v>3650</v>
      </c>
      <c r="AJ3224">
        <v>1977</v>
      </c>
      <c r="AK3224" t="s">
        <v>4690</v>
      </c>
      <c r="AM3224" t="s">
        <v>4691</v>
      </c>
      <c r="AN3224" t="s">
        <v>114</v>
      </c>
      <c r="AO3224" t="s">
        <v>77</v>
      </c>
      <c r="AQ3224" t="s">
        <v>4692</v>
      </c>
      <c r="AR3224" t="s">
        <v>80</v>
      </c>
      <c r="AS3224">
        <v>701</v>
      </c>
      <c r="AT3224" t="s">
        <v>81</v>
      </c>
      <c r="AU3224">
        <v>-28.46</v>
      </c>
      <c r="AV3224">
        <v>-53.34</v>
      </c>
      <c r="AW3224" t="s">
        <v>82</v>
      </c>
      <c r="AX3224">
        <v>701</v>
      </c>
      <c r="AY3224" t="s">
        <v>81</v>
      </c>
      <c r="AZ3224">
        <v>-35.31</v>
      </c>
      <c r="BA3224">
        <v>-59.5</v>
      </c>
      <c r="BB3224" t="s">
        <v>83</v>
      </c>
    </row>
    <row r="3225" spans="1:54" x14ac:dyDescent="0.4">
      <c r="A3225">
        <v>1328819</v>
      </c>
      <c r="D3225" t="s">
        <v>54</v>
      </c>
      <c r="I3225" t="s">
        <v>57</v>
      </c>
      <c r="K3225" t="s">
        <v>141</v>
      </c>
      <c r="L3225" t="s">
        <v>4542</v>
      </c>
      <c r="M3225" t="s">
        <v>60</v>
      </c>
      <c r="O3225" t="s">
        <v>170</v>
      </c>
      <c r="P3225" t="s">
        <v>333</v>
      </c>
      <c r="R3225" t="s">
        <v>238</v>
      </c>
      <c r="S3225" t="s">
        <v>123</v>
      </c>
      <c r="T3225">
        <v>264.27999999999997</v>
      </c>
      <c r="U3225">
        <v>259.51</v>
      </c>
      <c r="V3225">
        <f t="shared" si="100"/>
        <v>261.89499999999998</v>
      </c>
      <c r="W3225">
        <f t="shared" si="101"/>
        <v>4.7699999999999818</v>
      </c>
      <c r="X3225">
        <v>22.030000999999999</v>
      </c>
      <c r="Y3225">
        <v>-33.225276999999998</v>
      </c>
      <c r="Z3225" t="s">
        <v>124</v>
      </c>
      <c r="AA3225" t="s">
        <v>106</v>
      </c>
      <c r="AB3225" t="s">
        <v>334</v>
      </c>
      <c r="AC3225" t="s">
        <v>2369</v>
      </c>
      <c r="AG3225" t="s">
        <v>2306</v>
      </c>
      <c r="AH3225" t="s">
        <v>72</v>
      </c>
      <c r="AI3225" t="s">
        <v>3650</v>
      </c>
      <c r="AJ3225">
        <v>1977</v>
      </c>
      <c r="AK3225" t="s">
        <v>4703</v>
      </c>
      <c r="AM3225" t="s">
        <v>4704</v>
      </c>
      <c r="AN3225" t="s">
        <v>114</v>
      </c>
      <c r="AO3225" t="s">
        <v>77</v>
      </c>
      <c r="AP3225" t="s">
        <v>359</v>
      </c>
      <c r="AQ3225" t="s">
        <v>4705</v>
      </c>
      <c r="AR3225" t="s">
        <v>80</v>
      </c>
      <c r="AS3225">
        <v>701</v>
      </c>
      <c r="AT3225" t="s">
        <v>81</v>
      </c>
      <c r="AU3225">
        <v>-28.99</v>
      </c>
      <c r="AV3225">
        <v>-53.19</v>
      </c>
      <c r="AW3225" t="s">
        <v>82</v>
      </c>
      <c r="AX3225">
        <v>701</v>
      </c>
      <c r="AY3225" t="s">
        <v>81</v>
      </c>
      <c r="AZ3225">
        <v>-35.909999999999997</v>
      </c>
      <c r="BA3225">
        <v>-59.33</v>
      </c>
      <c r="BB3225" t="s">
        <v>83</v>
      </c>
    </row>
    <row r="3226" spans="1:54" x14ac:dyDescent="0.4">
      <c r="A3226">
        <v>1340461</v>
      </c>
      <c r="D3226" t="s">
        <v>54</v>
      </c>
      <c r="I3226" t="s">
        <v>57</v>
      </c>
      <c r="K3226" t="s">
        <v>141</v>
      </c>
      <c r="L3226" t="s">
        <v>332</v>
      </c>
      <c r="M3226" t="s">
        <v>60</v>
      </c>
      <c r="O3226" t="s">
        <v>170</v>
      </c>
      <c r="P3226" t="s">
        <v>333</v>
      </c>
      <c r="R3226" t="s">
        <v>238</v>
      </c>
      <c r="S3226" t="s">
        <v>123</v>
      </c>
      <c r="T3226">
        <v>264.27999999999997</v>
      </c>
      <c r="U3226">
        <v>259.51</v>
      </c>
      <c r="V3226">
        <f t="shared" si="100"/>
        <v>261.89499999999998</v>
      </c>
      <c r="W3226">
        <f t="shared" si="101"/>
        <v>4.7699999999999818</v>
      </c>
      <c r="X3226">
        <v>22.033332999999999</v>
      </c>
      <c r="Y3226">
        <v>-32.905555999999997</v>
      </c>
      <c r="Z3226" t="s">
        <v>198</v>
      </c>
      <c r="AA3226" t="s">
        <v>106</v>
      </c>
      <c r="AB3226" t="s">
        <v>334</v>
      </c>
      <c r="AC3226" t="s">
        <v>2369</v>
      </c>
      <c r="AD3226" t="s">
        <v>336</v>
      </c>
      <c r="AE3226" t="s">
        <v>110</v>
      </c>
      <c r="AG3226" t="s">
        <v>2306</v>
      </c>
      <c r="AH3226" t="s">
        <v>11</v>
      </c>
      <c r="AI3226" t="s">
        <v>3650</v>
      </c>
      <c r="AJ3226">
        <v>1977</v>
      </c>
      <c r="AK3226" t="s">
        <v>2738</v>
      </c>
      <c r="AM3226" t="s">
        <v>2739</v>
      </c>
      <c r="AN3226" t="s">
        <v>341</v>
      </c>
      <c r="AO3226" t="s">
        <v>77</v>
      </c>
      <c r="AP3226" t="s">
        <v>78</v>
      </c>
      <c r="AQ3226" t="s">
        <v>2740</v>
      </c>
      <c r="AR3226" t="s">
        <v>80</v>
      </c>
      <c r="AS3226">
        <v>701</v>
      </c>
      <c r="AT3226" t="s">
        <v>81</v>
      </c>
      <c r="AU3226">
        <v>-28.49</v>
      </c>
      <c r="AV3226">
        <v>-53.08</v>
      </c>
      <c r="AW3226" t="s">
        <v>82</v>
      </c>
      <c r="AX3226">
        <v>701</v>
      </c>
      <c r="AY3226" t="s">
        <v>81</v>
      </c>
      <c r="AZ3226">
        <v>-35.31</v>
      </c>
      <c r="BA3226">
        <v>-59.24</v>
      </c>
      <c r="BB3226" t="s">
        <v>83</v>
      </c>
    </row>
    <row r="3227" spans="1:54" x14ac:dyDescent="0.4">
      <c r="A3227">
        <v>1340462</v>
      </c>
      <c r="D3227" t="s">
        <v>54</v>
      </c>
      <c r="I3227" t="s">
        <v>57</v>
      </c>
      <c r="K3227" t="s">
        <v>141</v>
      </c>
      <c r="L3227" t="s">
        <v>332</v>
      </c>
      <c r="M3227" t="s">
        <v>60</v>
      </c>
      <c r="O3227" t="s">
        <v>170</v>
      </c>
      <c r="P3227" t="s">
        <v>333</v>
      </c>
      <c r="R3227" t="s">
        <v>238</v>
      </c>
      <c r="S3227" t="s">
        <v>123</v>
      </c>
      <c r="T3227">
        <v>264.27999999999997</v>
      </c>
      <c r="U3227">
        <v>259.51</v>
      </c>
      <c r="V3227">
        <f t="shared" si="100"/>
        <v>261.89499999999998</v>
      </c>
      <c r="W3227">
        <f t="shared" si="101"/>
        <v>4.7699999999999818</v>
      </c>
      <c r="X3227">
        <v>22.033332999999999</v>
      </c>
      <c r="Y3227">
        <v>-32.905555999999997</v>
      </c>
      <c r="Z3227" t="s">
        <v>198</v>
      </c>
      <c r="AA3227" t="s">
        <v>106</v>
      </c>
      <c r="AB3227" t="s">
        <v>334</v>
      </c>
      <c r="AC3227" t="s">
        <v>2369</v>
      </c>
      <c r="AD3227" t="s">
        <v>336</v>
      </c>
      <c r="AE3227" t="s">
        <v>110</v>
      </c>
      <c r="AG3227" t="s">
        <v>2306</v>
      </c>
      <c r="AH3227" t="s">
        <v>11</v>
      </c>
      <c r="AI3227" t="s">
        <v>3650</v>
      </c>
      <c r="AJ3227">
        <v>1977</v>
      </c>
      <c r="AK3227" t="s">
        <v>2738</v>
      </c>
      <c r="AM3227" t="s">
        <v>2739</v>
      </c>
      <c r="AN3227" t="s">
        <v>341</v>
      </c>
      <c r="AO3227" t="s">
        <v>77</v>
      </c>
      <c r="AP3227" t="s">
        <v>78</v>
      </c>
      <c r="AQ3227" t="s">
        <v>2740</v>
      </c>
      <c r="AR3227" t="s">
        <v>80</v>
      </c>
      <c r="AS3227">
        <v>701</v>
      </c>
      <c r="AT3227" t="s">
        <v>81</v>
      </c>
      <c r="AU3227">
        <v>-28.49</v>
      </c>
      <c r="AV3227">
        <v>-53.08</v>
      </c>
      <c r="AW3227" t="s">
        <v>82</v>
      </c>
      <c r="AX3227">
        <v>701</v>
      </c>
      <c r="AY3227" t="s">
        <v>81</v>
      </c>
      <c r="AZ3227">
        <v>-35.31</v>
      </c>
      <c r="BA3227">
        <v>-59.24</v>
      </c>
      <c r="BB3227" t="s">
        <v>83</v>
      </c>
    </row>
    <row r="3228" spans="1:54" x14ac:dyDescent="0.4">
      <c r="A3228">
        <v>1340493</v>
      </c>
      <c r="D3228" t="s">
        <v>54</v>
      </c>
      <c r="I3228" t="s">
        <v>57</v>
      </c>
      <c r="K3228" t="s">
        <v>141</v>
      </c>
      <c r="L3228" t="s">
        <v>332</v>
      </c>
      <c r="M3228" t="s">
        <v>60</v>
      </c>
      <c r="O3228" t="s">
        <v>170</v>
      </c>
      <c r="P3228" t="s">
        <v>333</v>
      </c>
      <c r="R3228" t="s">
        <v>238</v>
      </c>
      <c r="S3228" t="s">
        <v>123</v>
      </c>
      <c r="T3228">
        <v>264.27999999999997</v>
      </c>
      <c r="U3228">
        <v>259.51</v>
      </c>
      <c r="V3228">
        <f t="shared" si="100"/>
        <v>261.89499999999998</v>
      </c>
      <c r="W3228">
        <f t="shared" si="101"/>
        <v>4.7699999999999818</v>
      </c>
      <c r="X3228">
        <v>20.668887999999999</v>
      </c>
      <c r="Y3228">
        <v>-32.419998</v>
      </c>
      <c r="Z3228" t="s">
        <v>124</v>
      </c>
      <c r="AA3228" t="s">
        <v>106</v>
      </c>
      <c r="AB3228" t="s">
        <v>575</v>
      </c>
      <c r="AC3228" t="s">
        <v>4747</v>
      </c>
      <c r="AE3228" t="s">
        <v>110</v>
      </c>
      <c r="AG3228" t="s">
        <v>2281</v>
      </c>
      <c r="AH3228" t="s">
        <v>11</v>
      </c>
      <c r="AI3228" t="s">
        <v>3650</v>
      </c>
      <c r="AJ3228">
        <v>1977</v>
      </c>
      <c r="AK3228" t="s">
        <v>4748</v>
      </c>
      <c r="AN3228" t="s">
        <v>114</v>
      </c>
      <c r="AO3228" t="s">
        <v>77</v>
      </c>
      <c r="AQ3228" t="s">
        <v>4749</v>
      </c>
      <c r="AR3228" t="s">
        <v>80</v>
      </c>
      <c r="AS3228">
        <v>701</v>
      </c>
      <c r="AT3228" t="s">
        <v>81</v>
      </c>
      <c r="AU3228">
        <v>-28.46</v>
      </c>
      <c r="AV3228">
        <v>-51.83</v>
      </c>
      <c r="AW3228" t="s">
        <v>82</v>
      </c>
      <c r="AX3228">
        <v>701</v>
      </c>
      <c r="AY3228" t="s">
        <v>81</v>
      </c>
      <c r="AZ3228">
        <v>-35.090000000000003</v>
      </c>
      <c r="BA3228">
        <v>-58</v>
      </c>
      <c r="BB3228" t="s">
        <v>83</v>
      </c>
    </row>
    <row r="3229" spans="1:54" x14ac:dyDescent="0.4">
      <c r="A3229">
        <v>1382830</v>
      </c>
      <c r="D3229" t="s">
        <v>498</v>
      </c>
      <c r="I3229" t="s">
        <v>57</v>
      </c>
      <c r="K3229" t="s">
        <v>499</v>
      </c>
      <c r="L3229" t="s">
        <v>500</v>
      </c>
      <c r="M3229" t="s">
        <v>60</v>
      </c>
      <c r="O3229" t="s">
        <v>170</v>
      </c>
      <c r="P3229" t="s">
        <v>333</v>
      </c>
      <c r="R3229" t="s">
        <v>238</v>
      </c>
      <c r="S3229" t="s">
        <v>123</v>
      </c>
      <c r="T3229">
        <v>264.27999999999997</v>
      </c>
      <c r="U3229">
        <v>259.51</v>
      </c>
      <c r="V3229">
        <f t="shared" si="100"/>
        <v>261.89499999999998</v>
      </c>
      <c r="W3229">
        <f t="shared" si="101"/>
        <v>4.7699999999999818</v>
      </c>
      <c r="X3229">
        <v>48.351664999999997</v>
      </c>
      <c r="Y3229">
        <v>58.150002000000001</v>
      </c>
      <c r="Z3229" t="s">
        <v>124</v>
      </c>
      <c r="AA3229" t="s">
        <v>239</v>
      </c>
      <c r="AB3229" t="s">
        <v>501</v>
      </c>
      <c r="AC3229" t="s">
        <v>502</v>
      </c>
      <c r="AD3229" t="s">
        <v>503</v>
      </c>
      <c r="AE3229" t="s">
        <v>502</v>
      </c>
      <c r="AF3229" t="s">
        <v>504</v>
      </c>
      <c r="AG3229" t="s">
        <v>505</v>
      </c>
      <c r="AH3229" t="s">
        <v>72</v>
      </c>
      <c r="AI3229" t="s">
        <v>516</v>
      </c>
      <c r="AJ3229">
        <v>1940</v>
      </c>
      <c r="AK3229" t="s">
        <v>507</v>
      </c>
      <c r="AM3229" t="s">
        <v>508</v>
      </c>
      <c r="AN3229" t="s">
        <v>192</v>
      </c>
      <c r="AO3229" t="s">
        <v>160</v>
      </c>
      <c r="AP3229" t="s">
        <v>78</v>
      </c>
      <c r="AQ3229" t="s">
        <v>509</v>
      </c>
      <c r="AR3229" t="s">
        <v>80</v>
      </c>
      <c r="AS3229">
        <v>302</v>
      </c>
      <c r="AT3229" t="s">
        <v>81</v>
      </c>
      <c r="AU3229">
        <v>49.9</v>
      </c>
      <c r="AV3229">
        <v>37.54</v>
      </c>
      <c r="AW3229" t="s">
        <v>82</v>
      </c>
      <c r="AX3229">
        <v>301</v>
      </c>
      <c r="AY3229" t="s">
        <v>81</v>
      </c>
      <c r="AZ3229">
        <v>40.799999999999997</v>
      </c>
      <c r="BA3229">
        <v>31.74</v>
      </c>
      <c r="BB3229" t="s">
        <v>83</v>
      </c>
    </row>
    <row r="3230" spans="1:54" x14ac:dyDescent="0.4">
      <c r="A3230">
        <v>1382867</v>
      </c>
      <c r="D3230" t="s">
        <v>54</v>
      </c>
      <c r="I3230" t="s">
        <v>57</v>
      </c>
      <c r="K3230" t="s">
        <v>499</v>
      </c>
      <c r="L3230" t="s">
        <v>510</v>
      </c>
      <c r="M3230" t="s">
        <v>60</v>
      </c>
      <c r="O3230" t="s">
        <v>170</v>
      </c>
      <c r="P3230" t="s">
        <v>333</v>
      </c>
      <c r="R3230" t="s">
        <v>238</v>
      </c>
      <c r="S3230" t="s">
        <v>123</v>
      </c>
      <c r="T3230">
        <v>264.27999999999997</v>
      </c>
      <c r="U3230">
        <v>259.51</v>
      </c>
      <c r="V3230">
        <f t="shared" si="100"/>
        <v>261.89499999999998</v>
      </c>
      <c r="W3230">
        <f t="shared" si="101"/>
        <v>4.7699999999999818</v>
      </c>
      <c r="X3230">
        <v>52.135554999999997</v>
      </c>
      <c r="Y3230">
        <v>53.473888000000002</v>
      </c>
      <c r="Z3230" t="s">
        <v>432</v>
      </c>
      <c r="AA3230" t="s">
        <v>239</v>
      </c>
      <c r="AB3230" t="s">
        <v>638</v>
      </c>
      <c r="AC3230" t="s">
        <v>4875</v>
      </c>
      <c r="AD3230" t="s">
        <v>4876</v>
      </c>
      <c r="AG3230" t="s">
        <v>2671</v>
      </c>
      <c r="AH3230" t="s">
        <v>72</v>
      </c>
      <c r="AI3230" t="s">
        <v>1937</v>
      </c>
      <c r="AJ3230">
        <v>2005</v>
      </c>
      <c r="AK3230" t="s">
        <v>4877</v>
      </c>
      <c r="AN3230" t="s">
        <v>192</v>
      </c>
      <c r="AO3230" t="s">
        <v>77</v>
      </c>
      <c r="AP3230" t="s">
        <v>78</v>
      </c>
      <c r="AQ3230" t="s">
        <v>4878</v>
      </c>
      <c r="AR3230" t="s">
        <v>80</v>
      </c>
      <c r="AS3230">
        <v>302</v>
      </c>
      <c r="AT3230" t="s">
        <v>81</v>
      </c>
      <c r="AU3230">
        <v>54.9</v>
      </c>
      <c r="AV3230">
        <v>34.020000000000003</v>
      </c>
      <c r="AW3230" t="s">
        <v>82</v>
      </c>
      <c r="AX3230">
        <v>301</v>
      </c>
      <c r="AY3230" t="s">
        <v>81</v>
      </c>
      <c r="AZ3230">
        <v>46.36</v>
      </c>
      <c r="BA3230">
        <v>29.35</v>
      </c>
      <c r="BB3230" t="s">
        <v>83</v>
      </c>
    </row>
    <row r="3231" spans="1:54" x14ac:dyDescent="0.4">
      <c r="A3231">
        <v>1417381</v>
      </c>
      <c r="D3231" t="s">
        <v>54</v>
      </c>
      <c r="I3231" t="s">
        <v>57</v>
      </c>
      <c r="K3231" t="s">
        <v>499</v>
      </c>
      <c r="L3231" t="s">
        <v>510</v>
      </c>
      <c r="M3231" t="s">
        <v>60</v>
      </c>
      <c r="O3231" t="s">
        <v>170</v>
      </c>
      <c r="P3231" t="s">
        <v>333</v>
      </c>
      <c r="R3231" t="s">
        <v>238</v>
      </c>
      <c r="S3231" t="s">
        <v>123</v>
      </c>
      <c r="T3231">
        <v>264.27999999999997</v>
      </c>
      <c r="U3231">
        <v>259.51</v>
      </c>
      <c r="V3231">
        <f t="shared" si="100"/>
        <v>261.89499999999998</v>
      </c>
      <c r="W3231">
        <f t="shared" si="101"/>
        <v>4.7699999999999818</v>
      </c>
      <c r="X3231">
        <v>52.825558000000001</v>
      </c>
      <c r="Y3231">
        <v>53.211666000000001</v>
      </c>
      <c r="Z3231" t="s">
        <v>124</v>
      </c>
      <c r="AA3231" t="s">
        <v>239</v>
      </c>
      <c r="AB3231" t="s">
        <v>638</v>
      </c>
      <c r="AC3231" t="s">
        <v>2067</v>
      </c>
      <c r="AG3231" t="s">
        <v>2671</v>
      </c>
      <c r="AH3231" t="s">
        <v>72</v>
      </c>
      <c r="AI3231" t="s">
        <v>1937</v>
      </c>
      <c r="AJ3231">
        <v>2005</v>
      </c>
      <c r="AK3231" t="s">
        <v>5138</v>
      </c>
      <c r="AM3231" t="s">
        <v>5139</v>
      </c>
      <c r="AN3231" t="s">
        <v>114</v>
      </c>
      <c r="AO3231" t="s">
        <v>77</v>
      </c>
      <c r="AP3231" t="s">
        <v>78</v>
      </c>
      <c r="AQ3231" t="s">
        <v>5140</v>
      </c>
      <c r="AR3231" t="s">
        <v>80</v>
      </c>
      <c r="AS3231">
        <v>302</v>
      </c>
      <c r="AT3231" t="s">
        <v>81</v>
      </c>
      <c r="AU3231">
        <v>55.49</v>
      </c>
      <c r="AV3231">
        <v>34.020000000000003</v>
      </c>
      <c r="AW3231" t="s">
        <v>82</v>
      </c>
      <c r="AX3231">
        <v>301</v>
      </c>
      <c r="AY3231" t="s">
        <v>81</v>
      </c>
      <c r="AZ3231">
        <v>46.92</v>
      </c>
      <c r="BA3231">
        <v>29.42</v>
      </c>
      <c r="BB3231" t="s">
        <v>83</v>
      </c>
    </row>
    <row r="3232" spans="1:54" x14ac:dyDescent="0.4">
      <c r="A3232">
        <v>1417834</v>
      </c>
      <c r="D3232" t="s">
        <v>54</v>
      </c>
      <c r="I3232" t="s">
        <v>57</v>
      </c>
      <c r="K3232" t="s">
        <v>141</v>
      </c>
      <c r="L3232" t="s">
        <v>2191</v>
      </c>
      <c r="M3232" t="s">
        <v>60</v>
      </c>
      <c r="P3232" t="s">
        <v>333</v>
      </c>
      <c r="R3232" t="s">
        <v>238</v>
      </c>
      <c r="S3232" t="s">
        <v>123</v>
      </c>
      <c r="T3232">
        <v>264.27999999999997</v>
      </c>
      <c r="U3232">
        <v>259.51</v>
      </c>
      <c r="V3232">
        <f t="shared" si="100"/>
        <v>261.89499999999998</v>
      </c>
      <c r="W3232">
        <f t="shared" si="101"/>
        <v>4.7699999999999818</v>
      </c>
      <c r="X3232">
        <v>24.990556999999999</v>
      </c>
      <c r="Y3232">
        <v>-30.089721999999998</v>
      </c>
      <c r="Z3232" t="s">
        <v>124</v>
      </c>
      <c r="AA3232" t="s">
        <v>106</v>
      </c>
      <c r="AB3232" t="s">
        <v>5161</v>
      </c>
      <c r="AG3232" t="s">
        <v>4651</v>
      </c>
      <c r="AH3232" t="s">
        <v>11</v>
      </c>
      <c r="AI3232" t="s">
        <v>5162</v>
      </c>
      <c r="AJ3232">
        <v>2013</v>
      </c>
      <c r="AK3232" t="s">
        <v>5163</v>
      </c>
      <c r="AN3232" t="s">
        <v>114</v>
      </c>
      <c r="AO3232" t="s">
        <v>77</v>
      </c>
      <c r="AP3232" t="s">
        <v>359</v>
      </c>
      <c r="AQ3232" t="s">
        <v>5164</v>
      </c>
      <c r="AR3232" t="s">
        <v>80</v>
      </c>
      <c r="AS3232">
        <v>701</v>
      </c>
      <c r="AT3232" t="s">
        <v>81</v>
      </c>
      <c r="AU3232">
        <v>-22.45</v>
      </c>
      <c r="AV3232">
        <v>-54.3</v>
      </c>
      <c r="AW3232" t="s">
        <v>82</v>
      </c>
      <c r="AX3232">
        <v>701</v>
      </c>
      <c r="AY3232" t="s">
        <v>81</v>
      </c>
      <c r="AZ3232">
        <v>-28.34</v>
      </c>
      <c r="BA3232">
        <v>-60.7</v>
      </c>
      <c r="BB3232" t="s">
        <v>83</v>
      </c>
    </row>
    <row r="3233" spans="1:54" x14ac:dyDescent="0.4">
      <c r="A3233">
        <v>1425418</v>
      </c>
      <c r="D3233" t="s">
        <v>54</v>
      </c>
      <c r="I3233" t="s">
        <v>57</v>
      </c>
      <c r="K3233" t="s">
        <v>141</v>
      </c>
      <c r="L3233" t="s">
        <v>5334</v>
      </c>
      <c r="M3233" t="s">
        <v>60</v>
      </c>
      <c r="O3233" t="s">
        <v>170</v>
      </c>
      <c r="P3233" t="s">
        <v>333</v>
      </c>
      <c r="R3233" t="s">
        <v>238</v>
      </c>
      <c r="S3233" t="s">
        <v>123</v>
      </c>
      <c r="T3233">
        <v>264.27999999999997</v>
      </c>
      <c r="U3233">
        <v>259.51</v>
      </c>
      <c r="V3233">
        <f t="shared" si="100"/>
        <v>261.89499999999998</v>
      </c>
      <c r="W3233">
        <f t="shared" si="101"/>
        <v>4.7699999999999818</v>
      </c>
      <c r="X3233">
        <v>22.736388999999999</v>
      </c>
      <c r="Y3233">
        <v>-31.958611000000001</v>
      </c>
      <c r="Z3233" t="s">
        <v>124</v>
      </c>
      <c r="AA3233" t="s">
        <v>106</v>
      </c>
      <c r="AB3233" t="s">
        <v>334</v>
      </c>
      <c r="AG3233" t="s">
        <v>2193</v>
      </c>
      <c r="AH3233" t="s">
        <v>72</v>
      </c>
      <c r="AI3233" t="s">
        <v>2670</v>
      </c>
      <c r="AJ3233">
        <v>1997</v>
      </c>
      <c r="AK3233" t="s">
        <v>5335</v>
      </c>
      <c r="AN3233" t="s">
        <v>114</v>
      </c>
      <c r="AO3233" t="s">
        <v>77</v>
      </c>
      <c r="AP3233" t="s">
        <v>115</v>
      </c>
      <c r="AR3233" t="s">
        <v>80</v>
      </c>
      <c r="AS3233">
        <v>701</v>
      </c>
      <c r="AT3233" t="s">
        <v>81</v>
      </c>
      <c r="AU3233">
        <v>-26.66</v>
      </c>
      <c r="AV3233">
        <v>-53.28</v>
      </c>
      <c r="AW3233" t="s">
        <v>82</v>
      </c>
      <c r="AX3233">
        <v>701</v>
      </c>
      <c r="AY3233" t="s">
        <v>81</v>
      </c>
      <c r="AZ3233">
        <v>-33.19</v>
      </c>
      <c r="BA3233">
        <v>-59.52</v>
      </c>
      <c r="BB3233" t="s">
        <v>83</v>
      </c>
    </row>
    <row r="3234" spans="1:54" x14ac:dyDescent="0.4">
      <c r="A3234">
        <v>1425560</v>
      </c>
      <c r="D3234" t="s">
        <v>54</v>
      </c>
      <c r="I3234" t="s">
        <v>57</v>
      </c>
      <c r="K3234" t="s">
        <v>141</v>
      </c>
      <c r="L3234" t="s">
        <v>5336</v>
      </c>
      <c r="M3234" t="s">
        <v>60</v>
      </c>
      <c r="O3234" t="s">
        <v>170</v>
      </c>
      <c r="P3234" t="s">
        <v>333</v>
      </c>
      <c r="R3234" t="s">
        <v>238</v>
      </c>
      <c r="S3234" t="s">
        <v>123</v>
      </c>
      <c r="T3234">
        <v>264.27999999999997</v>
      </c>
      <c r="U3234">
        <v>259.51</v>
      </c>
      <c r="V3234">
        <f t="shared" si="100"/>
        <v>261.89499999999998</v>
      </c>
      <c r="W3234">
        <f t="shared" si="101"/>
        <v>4.7699999999999818</v>
      </c>
      <c r="X3234">
        <v>21.762501</v>
      </c>
      <c r="Y3234">
        <v>-33.169167000000002</v>
      </c>
      <c r="Z3234" t="s">
        <v>124</v>
      </c>
      <c r="AA3234" t="s">
        <v>106</v>
      </c>
      <c r="AB3234" t="s">
        <v>334</v>
      </c>
      <c r="AG3234" t="s">
        <v>2193</v>
      </c>
      <c r="AH3234" t="s">
        <v>72</v>
      </c>
      <c r="AI3234" t="s">
        <v>2670</v>
      </c>
      <c r="AJ3234">
        <v>1997</v>
      </c>
      <c r="AK3234" t="s">
        <v>5337</v>
      </c>
      <c r="AM3234" t="s">
        <v>5338</v>
      </c>
      <c r="AN3234" t="s">
        <v>114</v>
      </c>
      <c r="AO3234" t="s">
        <v>77</v>
      </c>
      <c r="AP3234" t="s">
        <v>115</v>
      </c>
      <c r="AQ3234" t="s">
        <v>5339</v>
      </c>
      <c r="AR3234" t="s">
        <v>80</v>
      </c>
      <c r="AS3234">
        <v>701</v>
      </c>
      <c r="AT3234" t="s">
        <v>81</v>
      </c>
      <c r="AU3234">
        <v>-29.04</v>
      </c>
      <c r="AV3234">
        <v>-52.97</v>
      </c>
      <c r="AW3234" t="s">
        <v>82</v>
      </c>
      <c r="AX3234">
        <v>701</v>
      </c>
      <c r="AY3234" t="s">
        <v>81</v>
      </c>
      <c r="AZ3234">
        <v>-35.93</v>
      </c>
      <c r="BA3234">
        <v>-59.1</v>
      </c>
      <c r="BB3234" t="s">
        <v>83</v>
      </c>
    </row>
    <row r="3235" spans="1:54" x14ac:dyDescent="0.4">
      <c r="A3235">
        <v>1428084</v>
      </c>
      <c r="D3235" t="s">
        <v>54</v>
      </c>
      <c r="E3235" t="s">
        <v>55</v>
      </c>
      <c r="G3235">
        <v>1</v>
      </c>
      <c r="H3235" t="s">
        <v>84</v>
      </c>
      <c r="I3235" t="s">
        <v>57</v>
      </c>
      <c r="K3235" t="s">
        <v>5343</v>
      </c>
      <c r="L3235" t="s">
        <v>5344</v>
      </c>
      <c r="M3235" t="s">
        <v>60</v>
      </c>
      <c r="P3235" t="s">
        <v>333</v>
      </c>
      <c r="R3235" t="s">
        <v>238</v>
      </c>
      <c r="S3235" t="s">
        <v>123</v>
      </c>
      <c r="T3235">
        <v>264.27999999999997</v>
      </c>
      <c r="U3235">
        <v>259.51</v>
      </c>
      <c r="V3235">
        <f t="shared" si="100"/>
        <v>261.89499999999998</v>
      </c>
      <c r="W3235">
        <f t="shared" si="101"/>
        <v>4.7699999999999818</v>
      </c>
      <c r="X3235">
        <v>22.295833999999999</v>
      </c>
      <c r="Y3235">
        <v>-32.504165999999998</v>
      </c>
      <c r="Z3235" t="s">
        <v>836</v>
      </c>
      <c r="AA3235" t="s">
        <v>106</v>
      </c>
      <c r="AB3235" t="s">
        <v>334</v>
      </c>
      <c r="AC3235" t="s">
        <v>335</v>
      </c>
      <c r="AD3235" t="s">
        <v>336</v>
      </c>
      <c r="AE3235" t="s">
        <v>110</v>
      </c>
      <c r="AG3235" t="s">
        <v>337</v>
      </c>
      <c r="AH3235" t="s">
        <v>72</v>
      </c>
      <c r="AI3235" t="s">
        <v>5345</v>
      </c>
      <c r="AJ3235">
        <v>1997</v>
      </c>
      <c r="AK3235" t="s">
        <v>2613</v>
      </c>
      <c r="AM3235" t="s">
        <v>2614</v>
      </c>
      <c r="AN3235" t="s">
        <v>341</v>
      </c>
      <c r="AO3235" t="s">
        <v>77</v>
      </c>
      <c r="AP3235" t="s">
        <v>636</v>
      </c>
      <c r="AQ3235" t="s">
        <v>2615</v>
      </c>
      <c r="AR3235" t="s">
        <v>80</v>
      </c>
      <c r="AS3235">
        <v>701</v>
      </c>
      <c r="AT3235" t="s">
        <v>81</v>
      </c>
      <c r="AU3235">
        <v>-27.74</v>
      </c>
      <c r="AV3235">
        <v>-53.14</v>
      </c>
      <c r="AW3235" t="s">
        <v>82</v>
      </c>
      <c r="AX3235">
        <v>701</v>
      </c>
      <c r="AY3235" t="s">
        <v>81</v>
      </c>
      <c r="AZ3235">
        <v>-34.43</v>
      </c>
      <c r="BA3235">
        <v>-59.33</v>
      </c>
      <c r="BB3235" t="s">
        <v>83</v>
      </c>
    </row>
    <row r="3236" spans="1:54" x14ac:dyDescent="0.4">
      <c r="A3236">
        <v>1428085</v>
      </c>
      <c r="D3236" t="s">
        <v>54</v>
      </c>
      <c r="G3236">
        <v>1</v>
      </c>
      <c r="H3236" t="s">
        <v>84</v>
      </c>
      <c r="I3236" t="s">
        <v>57</v>
      </c>
      <c r="K3236" t="s">
        <v>5343</v>
      </c>
      <c r="L3236" t="s">
        <v>5344</v>
      </c>
      <c r="M3236" t="s">
        <v>60</v>
      </c>
      <c r="P3236" t="s">
        <v>333</v>
      </c>
      <c r="R3236" t="s">
        <v>238</v>
      </c>
      <c r="S3236" t="s">
        <v>123</v>
      </c>
      <c r="T3236">
        <v>264.27999999999997</v>
      </c>
      <c r="U3236">
        <v>259.51</v>
      </c>
      <c r="V3236">
        <f t="shared" si="100"/>
        <v>261.89499999999998</v>
      </c>
      <c r="W3236">
        <f t="shared" si="101"/>
        <v>4.7699999999999818</v>
      </c>
      <c r="X3236">
        <v>22.033332999999999</v>
      </c>
      <c r="Y3236">
        <v>-32.905555999999997</v>
      </c>
      <c r="Z3236" t="s">
        <v>198</v>
      </c>
      <c r="AA3236" t="s">
        <v>106</v>
      </c>
      <c r="AB3236" t="s">
        <v>334</v>
      </c>
      <c r="AC3236" t="s">
        <v>2369</v>
      </c>
      <c r="AD3236" t="s">
        <v>336</v>
      </c>
      <c r="AE3236" t="s">
        <v>110</v>
      </c>
      <c r="AG3236" t="s">
        <v>2306</v>
      </c>
      <c r="AH3236" t="s">
        <v>72</v>
      </c>
      <c r="AI3236" t="s">
        <v>5345</v>
      </c>
      <c r="AJ3236">
        <v>1997</v>
      </c>
      <c r="AK3236" t="s">
        <v>2738</v>
      </c>
      <c r="AM3236" t="s">
        <v>2739</v>
      </c>
      <c r="AN3236" t="s">
        <v>341</v>
      </c>
      <c r="AO3236" t="s">
        <v>77</v>
      </c>
      <c r="AP3236" t="s">
        <v>78</v>
      </c>
      <c r="AQ3236" t="s">
        <v>2740</v>
      </c>
      <c r="AR3236" t="s">
        <v>80</v>
      </c>
      <c r="AS3236">
        <v>701</v>
      </c>
      <c r="AT3236" t="s">
        <v>81</v>
      </c>
      <c r="AU3236">
        <v>-28.49</v>
      </c>
      <c r="AV3236">
        <v>-53.08</v>
      </c>
      <c r="AW3236" t="s">
        <v>82</v>
      </c>
      <c r="AX3236">
        <v>701</v>
      </c>
      <c r="AY3236" t="s">
        <v>81</v>
      </c>
      <c r="AZ3236">
        <v>-35.31</v>
      </c>
      <c r="BA3236">
        <v>-59.24</v>
      </c>
      <c r="BB3236" t="s">
        <v>83</v>
      </c>
    </row>
    <row r="3237" spans="1:54" x14ac:dyDescent="0.4">
      <c r="A3237">
        <v>1428086</v>
      </c>
      <c r="D3237" t="s">
        <v>54</v>
      </c>
      <c r="E3237" t="s">
        <v>55</v>
      </c>
      <c r="G3237">
        <v>2</v>
      </c>
      <c r="H3237" t="s">
        <v>84</v>
      </c>
      <c r="I3237" t="s">
        <v>57</v>
      </c>
      <c r="K3237" t="s">
        <v>5343</v>
      </c>
      <c r="L3237" t="s">
        <v>5344</v>
      </c>
      <c r="M3237" t="s">
        <v>60</v>
      </c>
      <c r="P3237" t="s">
        <v>333</v>
      </c>
      <c r="R3237" t="s">
        <v>238</v>
      </c>
      <c r="S3237" t="s">
        <v>123</v>
      </c>
      <c r="T3237">
        <v>264.27999999999997</v>
      </c>
      <c r="U3237">
        <v>259.51</v>
      </c>
      <c r="V3237">
        <f t="shared" si="100"/>
        <v>261.89499999999998</v>
      </c>
      <c r="W3237">
        <f t="shared" si="101"/>
        <v>4.7699999999999818</v>
      </c>
      <c r="X3237">
        <v>21.868054999999998</v>
      </c>
      <c r="Y3237">
        <v>-32.887501</v>
      </c>
      <c r="Z3237" t="s">
        <v>836</v>
      </c>
      <c r="AA3237" t="s">
        <v>106</v>
      </c>
      <c r="AB3237" t="s">
        <v>334</v>
      </c>
      <c r="AC3237" t="s">
        <v>2369</v>
      </c>
      <c r="AD3237" t="s">
        <v>336</v>
      </c>
      <c r="AE3237" t="s">
        <v>110</v>
      </c>
      <c r="AG3237" t="s">
        <v>2306</v>
      </c>
      <c r="AH3237" t="s">
        <v>72</v>
      </c>
      <c r="AI3237" t="s">
        <v>5345</v>
      </c>
      <c r="AJ3237">
        <v>1997</v>
      </c>
      <c r="AK3237" t="s">
        <v>2611</v>
      </c>
      <c r="AN3237" t="s">
        <v>114</v>
      </c>
      <c r="AO3237" t="s">
        <v>77</v>
      </c>
      <c r="AP3237" t="s">
        <v>359</v>
      </c>
      <c r="AQ3237" t="s">
        <v>2612</v>
      </c>
      <c r="AR3237" t="s">
        <v>80</v>
      </c>
      <c r="AS3237">
        <v>701</v>
      </c>
      <c r="AT3237" t="s">
        <v>81</v>
      </c>
      <c r="AU3237">
        <v>-28.55</v>
      </c>
      <c r="AV3237">
        <v>-52.95</v>
      </c>
      <c r="AW3237" t="s">
        <v>82</v>
      </c>
      <c r="AX3237">
        <v>701</v>
      </c>
      <c r="AY3237" t="s">
        <v>81</v>
      </c>
      <c r="AZ3237">
        <v>-35.36</v>
      </c>
      <c r="BA3237">
        <v>-59.11</v>
      </c>
      <c r="BB3237" t="s">
        <v>83</v>
      </c>
    </row>
    <row r="3238" spans="1:54" x14ac:dyDescent="0.4">
      <c r="A3238">
        <v>1428389</v>
      </c>
      <c r="D3238" t="s">
        <v>54</v>
      </c>
      <c r="I3238" t="s">
        <v>57</v>
      </c>
      <c r="K3238" t="s">
        <v>141</v>
      </c>
      <c r="L3238" t="s">
        <v>332</v>
      </c>
      <c r="M3238" t="s">
        <v>60</v>
      </c>
      <c r="O3238" t="s">
        <v>170</v>
      </c>
      <c r="P3238" t="s">
        <v>333</v>
      </c>
      <c r="R3238" t="s">
        <v>238</v>
      </c>
      <c r="S3238" t="s">
        <v>123</v>
      </c>
      <c r="T3238">
        <v>264.27999999999997</v>
      </c>
      <c r="U3238">
        <v>259.51</v>
      </c>
      <c r="V3238">
        <f t="shared" si="100"/>
        <v>261.89499999999998</v>
      </c>
      <c r="W3238">
        <f t="shared" si="101"/>
        <v>4.7699999999999818</v>
      </c>
      <c r="X3238">
        <v>20.812221999999998</v>
      </c>
      <c r="Y3238">
        <v>-32.493057</v>
      </c>
      <c r="Z3238" t="s">
        <v>124</v>
      </c>
      <c r="AA3238" t="s">
        <v>106</v>
      </c>
      <c r="AB3238" t="s">
        <v>575</v>
      </c>
      <c r="AG3238" t="s">
        <v>2193</v>
      </c>
      <c r="AH3238" t="s">
        <v>11</v>
      </c>
      <c r="AI3238" t="s">
        <v>4813</v>
      </c>
      <c r="AJ3238">
        <v>1969</v>
      </c>
      <c r="AK3238" t="s">
        <v>5346</v>
      </c>
      <c r="AN3238" t="s">
        <v>114</v>
      </c>
      <c r="AO3238" t="s">
        <v>77</v>
      </c>
      <c r="AP3238" t="s">
        <v>115</v>
      </c>
      <c r="AR3238" t="s">
        <v>80</v>
      </c>
      <c r="AS3238">
        <v>701</v>
      </c>
      <c r="AT3238" t="s">
        <v>81</v>
      </c>
      <c r="AU3238">
        <v>-28.49</v>
      </c>
      <c r="AV3238">
        <v>-51.97</v>
      </c>
      <c r="AW3238" t="s">
        <v>82</v>
      </c>
      <c r="AX3238">
        <v>701</v>
      </c>
      <c r="AY3238" t="s">
        <v>81</v>
      </c>
      <c r="AZ3238">
        <v>-35.15</v>
      </c>
      <c r="BA3238">
        <v>-58.14</v>
      </c>
      <c r="BB3238" t="s">
        <v>83</v>
      </c>
    </row>
    <row r="3239" spans="1:54" x14ac:dyDescent="0.4">
      <c r="A3239">
        <v>1428394</v>
      </c>
      <c r="D3239" t="s">
        <v>54</v>
      </c>
      <c r="G3239">
        <v>2</v>
      </c>
      <c r="H3239" t="s">
        <v>84</v>
      </c>
      <c r="I3239" t="s">
        <v>57</v>
      </c>
      <c r="K3239" t="s">
        <v>141</v>
      </c>
      <c r="L3239" t="s">
        <v>332</v>
      </c>
      <c r="M3239" t="s">
        <v>60</v>
      </c>
      <c r="O3239" t="s">
        <v>170</v>
      </c>
      <c r="P3239" t="s">
        <v>333</v>
      </c>
      <c r="R3239" t="s">
        <v>238</v>
      </c>
      <c r="S3239" t="s">
        <v>123</v>
      </c>
      <c r="T3239">
        <v>264.27999999999997</v>
      </c>
      <c r="U3239">
        <v>259.51</v>
      </c>
      <c r="V3239">
        <f t="shared" si="100"/>
        <v>261.89499999999998</v>
      </c>
      <c r="W3239">
        <f t="shared" si="101"/>
        <v>4.7699999999999818</v>
      </c>
      <c r="X3239">
        <v>22.108333999999999</v>
      </c>
      <c r="Y3239">
        <v>-32.861111000000001</v>
      </c>
      <c r="Z3239" t="s">
        <v>198</v>
      </c>
      <c r="AA3239" t="s">
        <v>106</v>
      </c>
      <c r="AB3239" t="s">
        <v>334</v>
      </c>
      <c r="AC3239" t="s">
        <v>2369</v>
      </c>
      <c r="AD3239" t="s">
        <v>336</v>
      </c>
      <c r="AE3239" t="s">
        <v>110</v>
      </c>
      <c r="AG3239" t="s">
        <v>337</v>
      </c>
      <c r="AH3239" t="s">
        <v>72</v>
      </c>
      <c r="AI3239" t="s">
        <v>4813</v>
      </c>
      <c r="AJ3239">
        <v>1969</v>
      </c>
      <c r="AK3239" t="s">
        <v>5347</v>
      </c>
      <c r="AM3239" t="s">
        <v>5348</v>
      </c>
      <c r="AN3239" t="s">
        <v>192</v>
      </c>
      <c r="AO3239" t="s">
        <v>77</v>
      </c>
      <c r="AP3239" t="s">
        <v>115</v>
      </c>
      <c r="AQ3239" t="s">
        <v>5349</v>
      </c>
      <c r="AR3239" t="s">
        <v>80</v>
      </c>
      <c r="AS3239">
        <v>701</v>
      </c>
      <c r="AT3239" t="s">
        <v>81</v>
      </c>
      <c r="AU3239">
        <v>-28.39</v>
      </c>
      <c r="AV3239">
        <v>-53.12</v>
      </c>
      <c r="AW3239" t="s">
        <v>82</v>
      </c>
      <c r="AX3239">
        <v>701</v>
      </c>
      <c r="AY3239" t="s">
        <v>81</v>
      </c>
      <c r="AZ3239">
        <v>-35.19</v>
      </c>
      <c r="BA3239">
        <v>-59.29</v>
      </c>
      <c r="BB3239" t="s">
        <v>83</v>
      </c>
    </row>
    <row r="3240" spans="1:54" x14ac:dyDescent="0.4">
      <c r="A3240">
        <v>1428401</v>
      </c>
      <c r="D3240" t="s">
        <v>2001</v>
      </c>
      <c r="E3240" t="s">
        <v>154</v>
      </c>
      <c r="G3240">
        <v>1</v>
      </c>
      <c r="H3240" t="s">
        <v>84</v>
      </c>
      <c r="I3240" t="s">
        <v>57</v>
      </c>
      <c r="K3240" t="s">
        <v>141</v>
      </c>
      <c r="L3240" t="s">
        <v>5334</v>
      </c>
      <c r="M3240" t="s">
        <v>60</v>
      </c>
      <c r="O3240" t="s">
        <v>170</v>
      </c>
      <c r="P3240" t="s">
        <v>333</v>
      </c>
      <c r="R3240" t="s">
        <v>238</v>
      </c>
      <c r="S3240" t="s">
        <v>123</v>
      </c>
      <c r="T3240">
        <v>264.27999999999997</v>
      </c>
      <c r="U3240">
        <v>259.51</v>
      </c>
      <c r="V3240">
        <f t="shared" si="100"/>
        <v>261.89499999999998</v>
      </c>
      <c r="W3240">
        <f t="shared" si="101"/>
        <v>4.7699999999999818</v>
      </c>
      <c r="X3240">
        <v>22</v>
      </c>
      <c r="Y3240">
        <v>-32.366669000000002</v>
      </c>
      <c r="Z3240" t="s">
        <v>198</v>
      </c>
      <c r="AA3240" t="s">
        <v>106</v>
      </c>
      <c r="AB3240" t="s">
        <v>334</v>
      </c>
      <c r="AC3240" t="s">
        <v>335</v>
      </c>
      <c r="AD3240" t="s">
        <v>336</v>
      </c>
      <c r="AE3240" t="s">
        <v>110</v>
      </c>
      <c r="AG3240" t="s">
        <v>2306</v>
      </c>
      <c r="AH3240" t="s">
        <v>72</v>
      </c>
      <c r="AI3240" t="s">
        <v>4813</v>
      </c>
      <c r="AJ3240">
        <v>1969</v>
      </c>
      <c r="AK3240" t="s">
        <v>2310</v>
      </c>
      <c r="AM3240" t="s">
        <v>2311</v>
      </c>
      <c r="AN3240" t="s">
        <v>114</v>
      </c>
      <c r="AO3240" t="s">
        <v>160</v>
      </c>
      <c r="AP3240" t="s">
        <v>78</v>
      </c>
      <c r="AQ3240" t="s">
        <v>2312</v>
      </c>
      <c r="AR3240" t="s">
        <v>80</v>
      </c>
      <c r="AS3240">
        <v>701</v>
      </c>
      <c r="AT3240" t="s">
        <v>81</v>
      </c>
      <c r="AU3240">
        <v>-27.68</v>
      </c>
      <c r="AV3240">
        <v>-52.85</v>
      </c>
      <c r="AW3240" t="s">
        <v>82</v>
      </c>
      <c r="AX3240">
        <v>701</v>
      </c>
      <c r="AY3240" t="s">
        <v>81</v>
      </c>
      <c r="AZ3240">
        <v>-34.33</v>
      </c>
      <c r="BA3240">
        <v>-59.05</v>
      </c>
      <c r="BB3240" t="s">
        <v>83</v>
      </c>
    </row>
    <row r="3241" spans="1:54" x14ac:dyDescent="0.4">
      <c r="A3241">
        <v>1428412</v>
      </c>
      <c r="D3241" t="s">
        <v>54</v>
      </c>
      <c r="I3241" t="s">
        <v>57</v>
      </c>
      <c r="K3241" t="s">
        <v>141</v>
      </c>
      <c r="L3241" t="s">
        <v>5334</v>
      </c>
      <c r="M3241" t="s">
        <v>60</v>
      </c>
      <c r="O3241" t="s">
        <v>170</v>
      </c>
      <c r="P3241" t="s">
        <v>333</v>
      </c>
      <c r="R3241" t="s">
        <v>238</v>
      </c>
      <c r="S3241" t="s">
        <v>123</v>
      </c>
      <c r="T3241">
        <v>264.27999999999997</v>
      </c>
      <c r="U3241">
        <v>259.51</v>
      </c>
      <c r="V3241">
        <f t="shared" si="100"/>
        <v>261.89499999999998</v>
      </c>
      <c r="W3241">
        <f t="shared" si="101"/>
        <v>4.7699999999999818</v>
      </c>
      <c r="X3241">
        <v>22.736388999999999</v>
      </c>
      <c r="Y3241">
        <v>-31.958611000000001</v>
      </c>
      <c r="Z3241" t="s">
        <v>124</v>
      </c>
      <c r="AA3241" t="s">
        <v>106</v>
      </c>
      <c r="AB3241" t="s">
        <v>334</v>
      </c>
      <c r="AG3241" t="s">
        <v>2193</v>
      </c>
      <c r="AH3241" t="s">
        <v>72</v>
      </c>
      <c r="AI3241" t="s">
        <v>4813</v>
      </c>
      <c r="AJ3241">
        <v>1969</v>
      </c>
      <c r="AK3241" t="s">
        <v>5335</v>
      </c>
      <c r="AN3241" t="s">
        <v>114</v>
      </c>
      <c r="AO3241" t="s">
        <v>77</v>
      </c>
      <c r="AP3241" t="s">
        <v>115</v>
      </c>
      <c r="AR3241" t="s">
        <v>80</v>
      </c>
      <c r="AS3241">
        <v>701</v>
      </c>
      <c r="AT3241" t="s">
        <v>81</v>
      </c>
      <c r="AU3241">
        <v>-26.66</v>
      </c>
      <c r="AV3241">
        <v>-53.28</v>
      </c>
      <c r="AW3241" t="s">
        <v>82</v>
      </c>
      <c r="AX3241">
        <v>701</v>
      </c>
      <c r="AY3241" t="s">
        <v>81</v>
      </c>
      <c r="AZ3241">
        <v>-33.19</v>
      </c>
      <c r="BA3241">
        <v>-59.52</v>
      </c>
      <c r="BB3241" t="s">
        <v>83</v>
      </c>
    </row>
    <row r="3242" spans="1:54" x14ac:dyDescent="0.4">
      <c r="A3242">
        <v>1428413</v>
      </c>
      <c r="D3242" t="s">
        <v>54</v>
      </c>
      <c r="I3242" t="s">
        <v>57</v>
      </c>
      <c r="K3242" t="s">
        <v>141</v>
      </c>
      <c r="L3242" t="s">
        <v>5334</v>
      </c>
      <c r="M3242" t="s">
        <v>60</v>
      </c>
      <c r="O3242" t="s">
        <v>170</v>
      </c>
      <c r="P3242" t="s">
        <v>333</v>
      </c>
      <c r="R3242" t="s">
        <v>238</v>
      </c>
      <c r="S3242" t="s">
        <v>123</v>
      </c>
      <c r="T3242">
        <v>264.27999999999997</v>
      </c>
      <c r="U3242">
        <v>259.51</v>
      </c>
      <c r="V3242">
        <f t="shared" si="100"/>
        <v>261.89499999999998</v>
      </c>
      <c r="W3242">
        <f t="shared" si="101"/>
        <v>4.7699999999999818</v>
      </c>
      <c r="X3242">
        <v>22.033332999999999</v>
      </c>
      <c r="Y3242">
        <v>-32.905555999999997</v>
      </c>
      <c r="Z3242" t="s">
        <v>198</v>
      </c>
      <c r="AA3242" t="s">
        <v>106</v>
      </c>
      <c r="AB3242" t="s">
        <v>334</v>
      </c>
      <c r="AC3242" t="s">
        <v>2369</v>
      </c>
      <c r="AD3242" t="s">
        <v>336</v>
      </c>
      <c r="AE3242" t="s">
        <v>110</v>
      </c>
      <c r="AG3242" t="s">
        <v>2306</v>
      </c>
      <c r="AH3242" t="s">
        <v>72</v>
      </c>
      <c r="AI3242" t="s">
        <v>4813</v>
      </c>
      <c r="AJ3242">
        <v>1969</v>
      </c>
      <c r="AK3242" t="s">
        <v>2738</v>
      </c>
      <c r="AM3242" t="s">
        <v>2739</v>
      </c>
      <c r="AN3242" t="s">
        <v>341</v>
      </c>
      <c r="AO3242" t="s">
        <v>77</v>
      </c>
      <c r="AP3242" t="s">
        <v>78</v>
      </c>
      <c r="AQ3242" t="s">
        <v>2740</v>
      </c>
      <c r="AR3242" t="s">
        <v>80</v>
      </c>
      <c r="AS3242">
        <v>701</v>
      </c>
      <c r="AT3242" t="s">
        <v>81</v>
      </c>
      <c r="AU3242">
        <v>-28.49</v>
      </c>
      <c r="AV3242">
        <v>-53.08</v>
      </c>
      <c r="AW3242" t="s">
        <v>82</v>
      </c>
      <c r="AX3242">
        <v>701</v>
      </c>
      <c r="AY3242" t="s">
        <v>81</v>
      </c>
      <c r="AZ3242">
        <v>-35.31</v>
      </c>
      <c r="BA3242">
        <v>-59.24</v>
      </c>
      <c r="BB3242" t="s">
        <v>83</v>
      </c>
    </row>
    <row r="3243" spans="1:54" x14ac:dyDescent="0.4">
      <c r="A3243">
        <v>1428414</v>
      </c>
      <c r="D3243" t="s">
        <v>54</v>
      </c>
      <c r="E3243" t="s">
        <v>55</v>
      </c>
      <c r="I3243" t="s">
        <v>57</v>
      </c>
      <c r="K3243" t="s">
        <v>141</v>
      </c>
      <c r="L3243" t="s">
        <v>5336</v>
      </c>
      <c r="M3243" t="s">
        <v>60</v>
      </c>
      <c r="O3243" t="s">
        <v>170</v>
      </c>
      <c r="P3243" t="s">
        <v>333</v>
      </c>
      <c r="R3243" t="s">
        <v>238</v>
      </c>
      <c r="S3243" t="s">
        <v>123</v>
      </c>
      <c r="T3243">
        <v>264.27999999999997</v>
      </c>
      <c r="U3243">
        <v>259.51</v>
      </c>
      <c r="V3243">
        <f t="shared" si="100"/>
        <v>261.89499999999998</v>
      </c>
      <c r="W3243">
        <f t="shared" si="101"/>
        <v>4.7699999999999818</v>
      </c>
      <c r="X3243">
        <v>21.819721000000001</v>
      </c>
      <c r="Y3243">
        <v>-32.904719999999998</v>
      </c>
      <c r="Z3243" t="s">
        <v>198</v>
      </c>
      <c r="AA3243" t="s">
        <v>106</v>
      </c>
      <c r="AB3243" t="s">
        <v>334</v>
      </c>
      <c r="AC3243" t="s">
        <v>2369</v>
      </c>
      <c r="AD3243" t="s">
        <v>336</v>
      </c>
      <c r="AE3243" t="s">
        <v>110</v>
      </c>
      <c r="AG3243" t="s">
        <v>337</v>
      </c>
      <c r="AH3243" t="s">
        <v>72</v>
      </c>
      <c r="AI3243" t="s">
        <v>4813</v>
      </c>
      <c r="AJ3243">
        <v>1969</v>
      </c>
      <c r="AK3243" t="s">
        <v>2741</v>
      </c>
      <c r="AL3243">
        <v>92645</v>
      </c>
      <c r="AN3243" t="s">
        <v>114</v>
      </c>
      <c r="AO3243" t="s">
        <v>77</v>
      </c>
      <c r="AP3243" t="s">
        <v>115</v>
      </c>
      <c r="AQ3243" t="s">
        <v>2742</v>
      </c>
      <c r="AR3243" t="s">
        <v>80</v>
      </c>
      <c r="AS3243">
        <v>701</v>
      </c>
      <c r="AT3243" t="s">
        <v>81</v>
      </c>
      <c r="AU3243">
        <v>-28.6</v>
      </c>
      <c r="AV3243">
        <v>-52.91</v>
      </c>
      <c r="AW3243" t="s">
        <v>82</v>
      </c>
      <c r="AX3243">
        <v>701</v>
      </c>
      <c r="AY3243" t="s">
        <v>81</v>
      </c>
      <c r="AZ3243">
        <v>-35.409999999999997</v>
      </c>
      <c r="BA3243">
        <v>-59.07</v>
      </c>
      <c r="BB3243" t="s">
        <v>83</v>
      </c>
    </row>
    <row r="3244" spans="1:54" x14ac:dyDescent="0.4">
      <c r="A3244">
        <v>1428415</v>
      </c>
      <c r="D3244" t="s">
        <v>54</v>
      </c>
      <c r="I3244" t="s">
        <v>57</v>
      </c>
      <c r="K3244" t="s">
        <v>141</v>
      </c>
      <c r="L3244" t="s">
        <v>5334</v>
      </c>
      <c r="M3244" t="s">
        <v>60</v>
      </c>
      <c r="O3244" t="s">
        <v>170</v>
      </c>
      <c r="P3244" t="s">
        <v>333</v>
      </c>
      <c r="R3244" t="s">
        <v>238</v>
      </c>
      <c r="S3244" t="s">
        <v>123</v>
      </c>
      <c r="T3244">
        <v>264.27999999999997</v>
      </c>
      <c r="U3244">
        <v>259.51</v>
      </c>
      <c r="V3244">
        <f t="shared" si="100"/>
        <v>261.89499999999998</v>
      </c>
      <c r="W3244">
        <f t="shared" si="101"/>
        <v>4.7699999999999818</v>
      </c>
      <c r="X3244">
        <v>22.033332999999999</v>
      </c>
      <c r="Y3244">
        <v>-32.905555999999997</v>
      </c>
      <c r="Z3244" t="s">
        <v>198</v>
      </c>
      <c r="AA3244" t="s">
        <v>106</v>
      </c>
      <c r="AB3244" t="s">
        <v>334</v>
      </c>
      <c r="AC3244" t="s">
        <v>2369</v>
      </c>
      <c r="AD3244" t="s">
        <v>336</v>
      </c>
      <c r="AE3244" t="s">
        <v>110</v>
      </c>
      <c r="AG3244" t="s">
        <v>2306</v>
      </c>
      <c r="AH3244" t="s">
        <v>72</v>
      </c>
      <c r="AI3244" t="s">
        <v>4813</v>
      </c>
      <c r="AJ3244">
        <v>1969</v>
      </c>
      <c r="AK3244" t="s">
        <v>2738</v>
      </c>
      <c r="AM3244" t="s">
        <v>2739</v>
      </c>
      <c r="AN3244" t="s">
        <v>341</v>
      </c>
      <c r="AO3244" t="s">
        <v>77</v>
      </c>
      <c r="AP3244" t="s">
        <v>78</v>
      </c>
      <c r="AQ3244" t="s">
        <v>2740</v>
      </c>
      <c r="AR3244" t="s">
        <v>80</v>
      </c>
      <c r="AS3244">
        <v>701</v>
      </c>
      <c r="AT3244" t="s">
        <v>81</v>
      </c>
      <c r="AU3244">
        <v>-28.49</v>
      </c>
      <c r="AV3244">
        <v>-53.08</v>
      </c>
      <c r="AW3244" t="s">
        <v>82</v>
      </c>
      <c r="AX3244">
        <v>701</v>
      </c>
      <c r="AY3244" t="s">
        <v>81</v>
      </c>
      <c r="AZ3244">
        <v>-35.31</v>
      </c>
      <c r="BA3244">
        <v>-59.24</v>
      </c>
      <c r="BB3244" t="s">
        <v>83</v>
      </c>
    </row>
    <row r="3245" spans="1:54" x14ac:dyDescent="0.4">
      <c r="A3245">
        <v>1428484</v>
      </c>
      <c r="D3245" t="s">
        <v>54</v>
      </c>
      <c r="G3245">
        <v>3</v>
      </c>
      <c r="H3245" t="s">
        <v>84</v>
      </c>
      <c r="I3245" t="s">
        <v>57</v>
      </c>
      <c r="K3245" t="s">
        <v>141</v>
      </c>
      <c r="L3245" t="s">
        <v>332</v>
      </c>
      <c r="M3245" t="s">
        <v>60</v>
      </c>
      <c r="O3245" t="s">
        <v>170</v>
      </c>
      <c r="P3245" t="s">
        <v>333</v>
      </c>
      <c r="R3245" t="s">
        <v>238</v>
      </c>
      <c r="S3245" t="s">
        <v>123</v>
      </c>
      <c r="T3245">
        <v>264.27999999999997</v>
      </c>
      <c r="U3245">
        <v>259.51</v>
      </c>
      <c r="V3245">
        <f t="shared" si="100"/>
        <v>261.89499999999998</v>
      </c>
      <c r="W3245">
        <f t="shared" si="101"/>
        <v>4.7699999999999818</v>
      </c>
      <c r="X3245">
        <v>21.75</v>
      </c>
      <c r="Y3245">
        <v>-32.695830999999998</v>
      </c>
      <c r="Z3245" t="s">
        <v>198</v>
      </c>
      <c r="AA3245" t="s">
        <v>106</v>
      </c>
      <c r="AB3245" t="s">
        <v>334</v>
      </c>
      <c r="AC3245" t="s">
        <v>2369</v>
      </c>
      <c r="AD3245" t="s">
        <v>336</v>
      </c>
      <c r="AE3245" t="s">
        <v>110</v>
      </c>
      <c r="AG3245" t="s">
        <v>2306</v>
      </c>
      <c r="AH3245" t="s">
        <v>72</v>
      </c>
      <c r="AI3245" t="s">
        <v>4813</v>
      </c>
      <c r="AJ3245">
        <v>1969</v>
      </c>
      <c r="AK3245" t="s">
        <v>2746</v>
      </c>
      <c r="AM3245" t="s">
        <v>2747</v>
      </c>
      <c r="AN3245" t="s">
        <v>114</v>
      </c>
      <c r="AO3245" t="s">
        <v>77</v>
      </c>
      <c r="AP3245" t="s">
        <v>115</v>
      </c>
      <c r="AQ3245" t="s">
        <v>2748</v>
      </c>
      <c r="AR3245" t="s">
        <v>80</v>
      </c>
      <c r="AS3245">
        <v>701</v>
      </c>
      <c r="AT3245" t="s">
        <v>81</v>
      </c>
      <c r="AU3245">
        <v>-28.32</v>
      </c>
      <c r="AV3245">
        <v>-52.78</v>
      </c>
      <c r="AW3245" t="s">
        <v>82</v>
      </c>
      <c r="AX3245">
        <v>701</v>
      </c>
      <c r="AY3245" t="s">
        <v>81</v>
      </c>
      <c r="AZ3245">
        <v>-35.06</v>
      </c>
      <c r="BA3245">
        <v>-58.95</v>
      </c>
      <c r="BB3245" t="s">
        <v>83</v>
      </c>
    </row>
    <row r="3246" spans="1:54" x14ac:dyDescent="0.4">
      <c r="A3246">
        <v>1428485</v>
      </c>
      <c r="D3246" t="s">
        <v>54</v>
      </c>
      <c r="G3246">
        <v>1</v>
      </c>
      <c r="H3246" t="s">
        <v>84</v>
      </c>
      <c r="I3246" t="s">
        <v>57</v>
      </c>
      <c r="K3246" t="s">
        <v>141</v>
      </c>
      <c r="L3246" t="s">
        <v>332</v>
      </c>
      <c r="M3246" t="s">
        <v>60</v>
      </c>
      <c r="O3246" t="s">
        <v>170</v>
      </c>
      <c r="P3246" t="s">
        <v>333</v>
      </c>
      <c r="R3246" t="s">
        <v>238</v>
      </c>
      <c r="S3246" t="s">
        <v>123</v>
      </c>
      <c r="T3246">
        <v>264.27999999999997</v>
      </c>
      <c r="U3246">
        <v>259.51</v>
      </c>
      <c r="V3246">
        <f t="shared" si="100"/>
        <v>261.89499999999998</v>
      </c>
      <c r="W3246">
        <f t="shared" si="101"/>
        <v>4.7699999999999818</v>
      </c>
      <c r="X3246">
        <v>21.75</v>
      </c>
      <c r="Y3246">
        <v>-32.695830999999998</v>
      </c>
      <c r="Z3246" t="s">
        <v>198</v>
      </c>
      <c r="AA3246" t="s">
        <v>106</v>
      </c>
      <c r="AB3246" t="s">
        <v>334</v>
      </c>
      <c r="AC3246" t="s">
        <v>2369</v>
      </c>
      <c r="AD3246" t="s">
        <v>336</v>
      </c>
      <c r="AE3246" t="s">
        <v>110</v>
      </c>
      <c r="AG3246" t="s">
        <v>2306</v>
      </c>
      <c r="AH3246" t="s">
        <v>72</v>
      </c>
      <c r="AI3246" t="s">
        <v>4813</v>
      </c>
      <c r="AJ3246">
        <v>1969</v>
      </c>
      <c r="AK3246" t="s">
        <v>2746</v>
      </c>
      <c r="AM3246" t="s">
        <v>2747</v>
      </c>
      <c r="AN3246" t="s">
        <v>114</v>
      </c>
      <c r="AO3246" t="s">
        <v>77</v>
      </c>
      <c r="AP3246" t="s">
        <v>115</v>
      </c>
      <c r="AQ3246" t="s">
        <v>2748</v>
      </c>
      <c r="AR3246" t="s">
        <v>80</v>
      </c>
      <c r="AS3246">
        <v>701</v>
      </c>
      <c r="AT3246" t="s">
        <v>81</v>
      </c>
      <c r="AU3246">
        <v>-28.32</v>
      </c>
      <c r="AV3246">
        <v>-52.78</v>
      </c>
      <c r="AW3246" t="s">
        <v>82</v>
      </c>
      <c r="AX3246">
        <v>701</v>
      </c>
      <c r="AY3246" t="s">
        <v>81</v>
      </c>
      <c r="AZ3246">
        <v>-35.06</v>
      </c>
      <c r="BA3246">
        <v>-58.95</v>
      </c>
      <c r="BB3246" t="s">
        <v>83</v>
      </c>
    </row>
    <row r="3247" spans="1:54" x14ac:dyDescent="0.4">
      <c r="A3247">
        <v>1428486</v>
      </c>
      <c r="D3247" t="s">
        <v>54</v>
      </c>
      <c r="G3247">
        <v>2</v>
      </c>
      <c r="H3247" t="s">
        <v>84</v>
      </c>
      <c r="I3247" t="s">
        <v>57</v>
      </c>
      <c r="K3247" t="s">
        <v>141</v>
      </c>
      <c r="L3247" t="s">
        <v>5336</v>
      </c>
      <c r="M3247" t="s">
        <v>60</v>
      </c>
      <c r="O3247" t="s">
        <v>170</v>
      </c>
      <c r="P3247" t="s">
        <v>333</v>
      </c>
      <c r="R3247" t="s">
        <v>238</v>
      </c>
      <c r="S3247" t="s">
        <v>123</v>
      </c>
      <c r="T3247">
        <v>264.27999999999997</v>
      </c>
      <c r="U3247">
        <v>259.51</v>
      </c>
      <c r="V3247">
        <f t="shared" si="100"/>
        <v>261.89499999999998</v>
      </c>
      <c r="W3247">
        <f t="shared" si="101"/>
        <v>4.7699999999999818</v>
      </c>
      <c r="X3247">
        <v>21.75</v>
      </c>
      <c r="Y3247">
        <v>-32.695830999999998</v>
      </c>
      <c r="Z3247" t="s">
        <v>198</v>
      </c>
      <c r="AA3247" t="s">
        <v>106</v>
      </c>
      <c r="AB3247" t="s">
        <v>334</v>
      </c>
      <c r="AC3247" t="s">
        <v>2369</v>
      </c>
      <c r="AD3247" t="s">
        <v>336</v>
      </c>
      <c r="AE3247" t="s">
        <v>110</v>
      </c>
      <c r="AG3247" t="s">
        <v>2306</v>
      </c>
      <c r="AH3247" t="s">
        <v>11</v>
      </c>
      <c r="AI3247" t="s">
        <v>4813</v>
      </c>
      <c r="AJ3247">
        <v>1969</v>
      </c>
      <c r="AK3247" t="s">
        <v>2746</v>
      </c>
      <c r="AM3247" t="s">
        <v>2747</v>
      </c>
      <c r="AN3247" t="s">
        <v>114</v>
      </c>
      <c r="AO3247" t="s">
        <v>77</v>
      </c>
      <c r="AP3247" t="s">
        <v>115</v>
      </c>
      <c r="AQ3247" t="s">
        <v>2748</v>
      </c>
      <c r="AR3247" t="s">
        <v>80</v>
      </c>
      <c r="AS3247">
        <v>701</v>
      </c>
      <c r="AT3247" t="s">
        <v>81</v>
      </c>
      <c r="AU3247">
        <v>-28.32</v>
      </c>
      <c r="AV3247">
        <v>-52.78</v>
      </c>
      <c r="AW3247" t="s">
        <v>82</v>
      </c>
      <c r="AX3247">
        <v>701</v>
      </c>
      <c r="AY3247" t="s">
        <v>81</v>
      </c>
      <c r="AZ3247">
        <v>-35.06</v>
      </c>
      <c r="BA3247">
        <v>-58.95</v>
      </c>
      <c r="BB3247" t="s">
        <v>83</v>
      </c>
    </row>
    <row r="3248" spans="1:54" x14ac:dyDescent="0.4">
      <c r="A3248">
        <v>1428524</v>
      </c>
      <c r="D3248" t="s">
        <v>54</v>
      </c>
      <c r="I3248" t="s">
        <v>57</v>
      </c>
      <c r="K3248" t="s">
        <v>141</v>
      </c>
      <c r="L3248" t="s">
        <v>332</v>
      </c>
      <c r="M3248" t="s">
        <v>60</v>
      </c>
      <c r="O3248" t="s">
        <v>170</v>
      </c>
      <c r="P3248" t="s">
        <v>333</v>
      </c>
      <c r="R3248" t="s">
        <v>238</v>
      </c>
      <c r="S3248" t="s">
        <v>123</v>
      </c>
      <c r="T3248">
        <v>264.27999999999997</v>
      </c>
      <c r="U3248">
        <v>259.51</v>
      </c>
      <c r="V3248">
        <f t="shared" si="100"/>
        <v>261.89499999999998</v>
      </c>
      <c r="W3248">
        <f t="shared" si="101"/>
        <v>4.7699999999999818</v>
      </c>
      <c r="X3248">
        <v>21.516666000000001</v>
      </c>
      <c r="Y3248">
        <v>-32.668610000000001</v>
      </c>
      <c r="Z3248" t="s">
        <v>124</v>
      </c>
      <c r="AA3248" t="s">
        <v>106</v>
      </c>
      <c r="AB3248" t="s">
        <v>334</v>
      </c>
      <c r="AG3248" t="s">
        <v>2193</v>
      </c>
      <c r="AH3248" t="s">
        <v>72</v>
      </c>
      <c r="AI3248" t="s">
        <v>4813</v>
      </c>
      <c r="AJ3248">
        <v>1969</v>
      </c>
      <c r="AK3248" t="s">
        <v>5350</v>
      </c>
      <c r="AN3248" t="s">
        <v>114</v>
      </c>
      <c r="AO3248" t="s">
        <v>77</v>
      </c>
      <c r="AP3248" t="s">
        <v>115</v>
      </c>
      <c r="AQ3248" t="s">
        <v>5351</v>
      </c>
      <c r="AR3248" t="s">
        <v>80</v>
      </c>
      <c r="AS3248">
        <v>701</v>
      </c>
      <c r="AT3248" t="s">
        <v>81</v>
      </c>
      <c r="AU3248">
        <v>-28.39</v>
      </c>
      <c r="AV3248">
        <v>-52.59</v>
      </c>
      <c r="AW3248" t="s">
        <v>82</v>
      </c>
      <c r="AX3248">
        <v>701</v>
      </c>
      <c r="AY3248" t="s">
        <v>81</v>
      </c>
      <c r="AZ3248">
        <v>-35.119999999999997</v>
      </c>
      <c r="BA3248">
        <v>-58.76</v>
      </c>
      <c r="BB3248" t="s">
        <v>83</v>
      </c>
    </row>
    <row r="3249" spans="1:54" x14ac:dyDescent="0.4">
      <c r="A3249">
        <v>1428526</v>
      </c>
      <c r="D3249" t="s">
        <v>54</v>
      </c>
      <c r="G3249">
        <v>1</v>
      </c>
      <c r="H3249" t="s">
        <v>84</v>
      </c>
      <c r="I3249" t="s">
        <v>57</v>
      </c>
      <c r="K3249" t="s">
        <v>141</v>
      </c>
      <c r="L3249" t="s">
        <v>332</v>
      </c>
      <c r="M3249" t="s">
        <v>60</v>
      </c>
      <c r="O3249" t="s">
        <v>170</v>
      </c>
      <c r="P3249" t="s">
        <v>333</v>
      </c>
      <c r="R3249" t="s">
        <v>238</v>
      </c>
      <c r="S3249" t="s">
        <v>123</v>
      </c>
      <c r="T3249">
        <v>264.27999999999997</v>
      </c>
      <c r="U3249">
        <v>259.51</v>
      </c>
      <c r="V3249">
        <f t="shared" si="100"/>
        <v>261.89499999999998</v>
      </c>
      <c r="W3249">
        <f t="shared" si="101"/>
        <v>4.7699999999999818</v>
      </c>
      <c r="X3249">
        <v>21</v>
      </c>
      <c r="Y3249">
        <v>-33.075831999999998</v>
      </c>
      <c r="Z3249" t="s">
        <v>124</v>
      </c>
      <c r="AA3249" t="s">
        <v>106</v>
      </c>
      <c r="AB3249" t="s">
        <v>334</v>
      </c>
      <c r="AG3249" t="s">
        <v>2193</v>
      </c>
      <c r="AH3249" t="s">
        <v>72</v>
      </c>
      <c r="AI3249" t="s">
        <v>4813</v>
      </c>
      <c r="AJ3249">
        <v>1969</v>
      </c>
      <c r="AK3249" t="s">
        <v>5352</v>
      </c>
      <c r="AN3249" t="s">
        <v>114</v>
      </c>
      <c r="AO3249" t="s">
        <v>77</v>
      </c>
      <c r="AP3249" t="s">
        <v>115</v>
      </c>
      <c r="AR3249" t="s">
        <v>80</v>
      </c>
      <c r="AS3249">
        <v>701</v>
      </c>
      <c r="AT3249" t="s">
        <v>81</v>
      </c>
      <c r="AU3249">
        <v>-29.28</v>
      </c>
      <c r="AV3249">
        <v>-52.34</v>
      </c>
      <c r="AW3249" t="s">
        <v>82</v>
      </c>
      <c r="AX3249">
        <v>701</v>
      </c>
      <c r="AY3249" t="s">
        <v>81</v>
      </c>
      <c r="AZ3249">
        <v>-36.119999999999997</v>
      </c>
      <c r="BA3249">
        <v>-58.46</v>
      </c>
      <c r="BB3249" t="s">
        <v>83</v>
      </c>
    </row>
    <row r="3250" spans="1:54" x14ac:dyDescent="0.4">
      <c r="A3250">
        <v>1428527</v>
      </c>
      <c r="D3250" t="s">
        <v>54</v>
      </c>
      <c r="I3250" t="s">
        <v>57</v>
      </c>
      <c r="K3250" t="s">
        <v>141</v>
      </c>
      <c r="L3250" t="s">
        <v>332</v>
      </c>
      <c r="M3250" t="s">
        <v>60</v>
      </c>
      <c r="O3250" t="s">
        <v>170</v>
      </c>
      <c r="P3250" t="s">
        <v>333</v>
      </c>
      <c r="R3250" t="s">
        <v>238</v>
      </c>
      <c r="S3250" t="s">
        <v>123</v>
      </c>
      <c r="T3250">
        <v>264.27999999999997</v>
      </c>
      <c r="U3250">
        <v>259.51</v>
      </c>
      <c r="V3250">
        <f t="shared" si="100"/>
        <v>261.89499999999998</v>
      </c>
      <c r="W3250">
        <f t="shared" si="101"/>
        <v>4.7699999999999818</v>
      </c>
      <c r="X3250">
        <v>21</v>
      </c>
      <c r="Y3250">
        <v>-33.075831999999998</v>
      </c>
      <c r="Z3250" t="s">
        <v>124</v>
      </c>
      <c r="AA3250" t="s">
        <v>106</v>
      </c>
      <c r="AB3250" t="s">
        <v>334</v>
      </c>
      <c r="AG3250" t="s">
        <v>2193</v>
      </c>
      <c r="AH3250" t="s">
        <v>72</v>
      </c>
      <c r="AI3250" t="s">
        <v>4813</v>
      </c>
      <c r="AJ3250">
        <v>1969</v>
      </c>
      <c r="AK3250" t="s">
        <v>5352</v>
      </c>
      <c r="AN3250" t="s">
        <v>114</v>
      </c>
      <c r="AO3250" t="s">
        <v>77</v>
      </c>
      <c r="AP3250" t="s">
        <v>115</v>
      </c>
      <c r="AR3250" t="s">
        <v>80</v>
      </c>
      <c r="AS3250">
        <v>701</v>
      </c>
      <c r="AT3250" t="s">
        <v>81</v>
      </c>
      <c r="AU3250">
        <v>-29.28</v>
      </c>
      <c r="AV3250">
        <v>-52.34</v>
      </c>
      <c r="AW3250" t="s">
        <v>82</v>
      </c>
      <c r="AX3250">
        <v>701</v>
      </c>
      <c r="AY3250" t="s">
        <v>81</v>
      </c>
      <c r="AZ3250">
        <v>-36.119999999999997</v>
      </c>
      <c r="BA3250">
        <v>-58.46</v>
      </c>
      <c r="BB3250" t="s">
        <v>83</v>
      </c>
    </row>
    <row r="3251" spans="1:54" x14ac:dyDescent="0.4">
      <c r="A3251">
        <v>1428528</v>
      </c>
      <c r="D3251" t="s">
        <v>54</v>
      </c>
      <c r="I3251" t="s">
        <v>57</v>
      </c>
      <c r="K3251" t="s">
        <v>141</v>
      </c>
      <c r="L3251" t="s">
        <v>4542</v>
      </c>
      <c r="M3251" t="s">
        <v>60</v>
      </c>
      <c r="O3251" t="s">
        <v>170</v>
      </c>
      <c r="P3251" t="s">
        <v>333</v>
      </c>
      <c r="R3251" t="s">
        <v>238</v>
      </c>
      <c r="S3251" t="s">
        <v>123</v>
      </c>
      <c r="T3251">
        <v>264.27999999999997</v>
      </c>
      <c r="U3251">
        <v>259.51</v>
      </c>
      <c r="V3251">
        <f t="shared" si="100"/>
        <v>261.89499999999998</v>
      </c>
      <c r="W3251">
        <f t="shared" si="101"/>
        <v>4.7699999999999818</v>
      </c>
      <c r="X3251">
        <v>21</v>
      </c>
      <c r="Y3251">
        <v>-33.075831999999998</v>
      </c>
      <c r="Z3251" t="s">
        <v>124</v>
      </c>
      <c r="AA3251" t="s">
        <v>106</v>
      </c>
      <c r="AB3251" t="s">
        <v>334</v>
      </c>
      <c r="AG3251" t="s">
        <v>2193</v>
      </c>
      <c r="AH3251" t="s">
        <v>72</v>
      </c>
      <c r="AI3251" t="s">
        <v>4813</v>
      </c>
      <c r="AJ3251">
        <v>1969</v>
      </c>
      <c r="AK3251" t="s">
        <v>5352</v>
      </c>
      <c r="AN3251" t="s">
        <v>114</v>
      </c>
      <c r="AO3251" t="s">
        <v>77</v>
      </c>
      <c r="AP3251" t="s">
        <v>115</v>
      </c>
      <c r="AR3251" t="s">
        <v>80</v>
      </c>
      <c r="AS3251">
        <v>701</v>
      </c>
      <c r="AT3251" t="s">
        <v>81</v>
      </c>
      <c r="AU3251">
        <v>-29.28</v>
      </c>
      <c r="AV3251">
        <v>-52.34</v>
      </c>
      <c r="AW3251" t="s">
        <v>82</v>
      </c>
      <c r="AX3251">
        <v>701</v>
      </c>
      <c r="AY3251" t="s">
        <v>81</v>
      </c>
      <c r="AZ3251">
        <v>-36.119999999999997</v>
      </c>
      <c r="BA3251">
        <v>-58.46</v>
      </c>
      <c r="BB3251" t="s">
        <v>83</v>
      </c>
    </row>
    <row r="3252" spans="1:54" x14ac:dyDescent="0.4">
      <c r="A3252">
        <v>1428531</v>
      </c>
      <c r="D3252" t="s">
        <v>54</v>
      </c>
      <c r="G3252">
        <v>4</v>
      </c>
      <c r="H3252" t="s">
        <v>84</v>
      </c>
      <c r="I3252" t="s">
        <v>57</v>
      </c>
      <c r="K3252" t="s">
        <v>141</v>
      </c>
      <c r="L3252" t="s">
        <v>332</v>
      </c>
      <c r="M3252" t="s">
        <v>60</v>
      </c>
      <c r="O3252" t="s">
        <v>170</v>
      </c>
      <c r="P3252" t="s">
        <v>333</v>
      </c>
      <c r="R3252" t="s">
        <v>238</v>
      </c>
      <c r="S3252" t="s">
        <v>123</v>
      </c>
      <c r="T3252">
        <v>264.27999999999997</v>
      </c>
      <c r="U3252">
        <v>259.51</v>
      </c>
      <c r="V3252">
        <f t="shared" si="100"/>
        <v>261.89499999999998</v>
      </c>
      <c r="W3252">
        <f t="shared" si="101"/>
        <v>4.7699999999999818</v>
      </c>
      <c r="X3252">
        <v>22.073889000000001</v>
      </c>
      <c r="Y3252">
        <v>-32.284999999999997</v>
      </c>
      <c r="Z3252" t="s">
        <v>124</v>
      </c>
      <c r="AA3252" t="s">
        <v>106</v>
      </c>
      <c r="AB3252" t="s">
        <v>334</v>
      </c>
      <c r="AG3252" t="s">
        <v>2193</v>
      </c>
      <c r="AH3252" t="s">
        <v>72</v>
      </c>
      <c r="AI3252" t="s">
        <v>4813</v>
      </c>
      <c r="AJ3252">
        <v>1969</v>
      </c>
      <c r="AK3252" t="s">
        <v>5353</v>
      </c>
      <c r="AN3252" t="s">
        <v>114</v>
      </c>
      <c r="AO3252" t="s">
        <v>77</v>
      </c>
      <c r="AP3252" t="s">
        <v>115</v>
      </c>
      <c r="AR3252" t="s">
        <v>80</v>
      </c>
      <c r="AS3252">
        <v>701</v>
      </c>
      <c r="AT3252" t="s">
        <v>81</v>
      </c>
      <c r="AU3252">
        <v>-27.52</v>
      </c>
      <c r="AV3252">
        <v>-52.88</v>
      </c>
      <c r="AW3252" t="s">
        <v>82</v>
      </c>
      <c r="AX3252">
        <v>701</v>
      </c>
      <c r="AY3252" t="s">
        <v>81</v>
      </c>
      <c r="AZ3252">
        <v>-34.14</v>
      </c>
      <c r="BA3252">
        <v>-59.09</v>
      </c>
      <c r="BB3252" t="s">
        <v>83</v>
      </c>
    </row>
    <row r="3253" spans="1:54" x14ac:dyDescent="0.4">
      <c r="A3253">
        <v>1428847</v>
      </c>
      <c r="D3253" t="s">
        <v>54</v>
      </c>
      <c r="I3253" t="s">
        <v>57</v>
      </c>
      <c r="K3253" t="s">
        <v>141</v>
      </c>
      <c r="L3253" t="s">
        <v>332</v>
      </c>
      <c r="M3253" t="s">
        <v>60</v>
      </c>
      <c r="O3253" t="s">
        <v>170</v>
      </c>
      <c r="P3253" t="s">
        <v>333</v>
      </c>
      <c r="R3253" t="s">
        <v>238</v>
      </c>
      <c r="S3253" t="s">
        <v>123</v>
      </c>
      <c r="T3253">
        <v>264.27999999999997</v>
      </c>
      <c r="U3253">
        <v>259.51</v>
      </c>
      <c r="V3253">
        <f t="shared" si="100"/>
        <v>261.89499999999998</v>
      </c>
      <c r="W3253">
        <f t="shared" si="101"/>
        <v>4.7699999999999818</v>
      </c>
      <c r="X3253">
        <v>22.170500000000001</v>
      </c>
      <c r="Y3253">
        <v>-32.486198000000002</v>
      </c>
      <c r="Z3253" t="s">
        <v>198</v>
      </c>
      <c r="AA3253" t="s">
        <v>106</v>
      </c>
      <c r="AB3253" t="s">
        <v>334</v>
      </c>
      <c r="AC3253" t="s">
        <v>335</v>
      </c>
      <c r="AD3253" t="s">
        <v>336</v>
      </c>
      <c r="AE3253" t="s">
        <v>110</v>
      </c>
      <c r="AG3253" t="s">
        <v>2193</v>
      </c>
      <c r="AH3253" t="s">
        <v>72</v>
      </c>
      <c r="AI3253" t="s">
        <v>4813</v>
      </c>
      <c r="AJ3253">
        <v>1969</v>
      </c>
      <c r="AK3253" t="s">
        <v>2743</v>
      </c>
      <c r="AM3253" t="s">
        <v>2744</v>
      </c>
      <c r="AN3253" t="s">
        <v>114</v>
      </c>
      <c r="AO3253">
        <v>8</v>
      </c>
      <c r="AP3253" t="s">
        <v>78</v>
      </c>
      <c r="AQ3253" t="s">
        <v>2745</v>
      </c>
      <c r="AR3253" t="s">
        <v>80</v>
      </c>
      <c r="AS3253">
        <v>701</v>
      </c>
      <c r="AT3253" t="s">
        <v>81</v>
      </c>
      <c r="AU3253">
        <v>-27.77</v>
      </c>
      <c r="AV3253">
        <v>-53.03</v>
      </c>
      <c r="AW3253" t="s">
        <v>82</v>
      </c>
      <c r="AX3253">
        <v>701</v>
      </c>
      <c r="AY3253" t="s">
        <v>81</v>
      </c>
      <c r="AZ3253">
        <v>-34.46</v>
      </c>
      <c r="BA3253">
        <v>-59.23</v>
      </c>
      <c r="BB3253" t="s">
        <v>83</v>
      </c>
    </row>
    <row r="3254" spans="1:54" x14ac:dyDescent="0.4">
      <c r="A3254">
        <v>1428987</v>
      </c>
      <c r="D3254" t="s">
        <v>54</v>
      </c>
      <c r="I3254" t="s">
        <v>57</v>
      </c>
      <c r="K3254" t="s">
        <v>141</v>
      </c>
      <c r="L3254" t="s">
        <v>332</v>
      </c>
      <c r="M3254" t="s">
        <v>60</v>
      </c>
      <c r="O3254" t="s">
        <v>170</v>
      </c>
      <c r="P3254" t="s">
        <v>333</v>
      </c>
      <c r="R3254" t="s">
        <v>238</v>
      </c>
      <c r="S3254" t="s">
        <v>123</v>
      </c>
      <c r="T3254">
        <v>264.27999999999997</v>
      </c>
      <c r="U3254">
        <v>259.51</v>
      </c>
      <c r="V3254">
        <f t="shared" si="100"/>
        <v>261.89499999999998</v>
      </c>
      <c r="W3254">
        <f t="shared" si="101"/>
        <v>4.7699999999999818</v>
      </c>
      <c r="X3254">
        <v>21.971665999999999</v>
      </c>
      <c r="Y3254">
        <v>-32.788333999999999</v>
      </c>
      <c r="Z3254" t="s">
        <v>124</v>
      </c>
      <c r="AA3254" t="s">
        <v>106</v>
      </c>
      <c r="AB3254" t="s">
        <v>334</v>
      </c>
      <c r="AG3254" t="s">
        <v>2193</v>
      </c>
      <c r="AH3254" t="s">
        <v>72</v>
      </c>
      <c r="AI3254" t="s">
        <v>4813</v>
      </c>
      <c r="AJ3254">
        <v>1969</v>
      </c>
      <c r="AK3254" t="s">
        <v>5354</v>
      </c>
      <c r="AN3254" t="s">
        <v>114</v>
      </c>
      <c r="AO3254" t="s">
        <v>77</v>
      </c>
      <c r="AP3254" t="s">
        <v>115</v>
      </c>
      <c r="AR3254" t="s">
        <v>80</v>
      </c>
      <c r="AS3254">
        <v>701</v>
      </c>
      <c r="AT3254" t="s">
        <v>81</v>
      </c>
      <c r="AU3254">
        <v>-28.34</v>
      </c>
      <c r="AV3254">
        <v>-52.99</v>
      </c>
      <c r="AW3254" t="s">
        <v>82</v>
      </c>
      <c r="AX3254">
        <v>701</v>
      </c>
      <c r="AY3254" t="s">
        <v>81</v>
      </c>
      <c r="AZ3254">
        <v>-35.119999999999997</v>
      </c>
      <c r="BA3254">
        <v>-59.16</v>
      </c>
      <c r="BB3254" t="s">
        <v>83</v>
      </c>
    </row>
    <row r="3255" spans="1:54" x14ac:dyDescent="0.4">
      <c r="A3255">
        <v>1428988</v>
      </c>
      <c r="D3255" t="s">
        <v>54</v>
      </c>
      <c r="I3255" t="s">
        <v>57</v>
      </c>
      <c r="K3255" t="s">
        <v>141</v>
      </c>
      <c r="L3255" t="s">
        <v>5336</v>
      </c>
      <c r="M3255" t="s">
        <v>60</v>
      </c>
      <c r="O3255" t="s">
        <v>170</v>
      </c>
      <c r="P3255" t="s">
        <v>333</v>
      </c>
      <c r="R3255" t="s">
        <v>238</v>
      </c>
      <c r="S3255" t="s">
        <v>123</v>
      </c>
      <c r="T3255">
        <v>264.27999999999997</v>
      </c>
      <c r="U3255">
        <v>259.51</v>
      </c>
      <c r="V3255">
        <f t="shared" si="100"/>
        <v>261.89499999999998</v>
      </c>
      <c r="W3255">
        <f t="shared" si="101"/>
        <v>4.7699999999999818</v>
      </c>
      <c r="X3255">
        <v>21.971665999999999</v>
      </c>
      <c r="Y3255">
        <v>-32.788333999999999</v>
      </c>
      <c r="Z3255" t="s">
        <v>124</v>
      </c>
      <c r="AA3255" t="s">
        <v>106</v>
      </c>
      <c r="AB3255" t="s">
        <v>334</v>
      </c>
      <c r="AG3255" t="s">
        <v>2193</v>
      </c>
      <c r="AH3255" t="s">
        <v>11</v>
      </c>
      <c r="AI3255" t="s">
        <v>4813</v>
      </c>
      <c r="AJ3255">
        <v>1969</v>
      </c>
      <c r="AK3255" t="s">
        <v>5354</v>
      </c>
      <c r="AN3255" t="s">
        <v>114</v>
      </c>
      <c r="AO3255" t="s">
        <v>77</v>
      </c>
      <c r="AP3255" t="s">
        <v>115</v>
      </c>
      <c r="AR3255" t="s">
        <v>80</v>
      </c>
      <c r="AS3255">
        <v>701</v>
      </c>
      <c r="AT3255" t="s">
        <v>81</v>
      </c>
      <c r="AU3255">
        <v>-28.34</v>
      </c>
      <c r="AV3255">
        <v>-52.99</v>
      </c>
      <c r="AW3255" t="s">
        <v>82</v>
      </c>
      <c r="AX3255">
        <v>701</v>
      </c>
      <c r="AY3255" t="s">
        <v>81</v>
      </c>
      <c r="AZ3255">
        <v>-35.119999999999997</v>
      </c>
      <c r="BA3255">
        <v>-59.16</v>
      </c>
      <c r="BB3255" t="s">
        <v>83</v>
      </c>
    </row>
    <row r="3256" spans="1:54" x14ac:dyDescent="0.4">
      <c r="A3256">
        <v>1428995</v>
      </c>
      <c r="D3256" t="s">
        <v>54</v>
      </c>
      <c r="I3256" t="s">
        <v>57</v>
      </c>
      <c r="K3256" t="s">
        <v>141</v>
      </c>
      <c r="L3256" t="s">
        <v>5334</v>
      </c>
      <c r="M3256" t="s">
        <v>60</v>
      </c>
      <c r="O3256" t="s">
        <v>170</v>
      </c>
      <c r="P3256" t="s">
        <v>333</v>
      </c>
      <c r="R3256" t="s">
        <v>238</v>
      </c>
      <c r="S3256" t="s">
        <v>123</v>
      </c>
      <c r="T3256">
        <v>264.27999999999997</v>
      </c>
      <c r="U3256">
        <v>259.51</v>
      </c>
      <c r="V3256">
        <f t="shared" si="100"/>
        <v>261.89499999999998</v>
      </c>
      <c r="W3256">
        <f t="shared" si="101"/>
        <v>4.7699999999999818</v>
      </c>
      <c r="X3256">
        <v>22.033611000000001</v>
      </c>
      <c r="Y3256">
        <v>-33.224724000000002</v>
      </c>
      <c r="Z3256" t="s">
        <v>124</v>
      </c>
      <c r="AA3256" t="s">
        <v>106</v>
      </c>
      <c r="AB3256" t="s">
        <v>334</v>
      </c>
      <c r="AG3256" t="s">
        <v>2193</v>
      </c>
      <c r="AH3256" t="s">
        <v>72</v>
      </c>
      <c r="AI3256" t="s">
        <v>4813</v>
      </c>
      <c r="AJ3256">
        <v>1969</v>
      </c>
      <c r="AK3256" t="s">
        <v>5355</v>
      </c>
      <c r="AN3256" t="s">
        <v>114</v>
      </c>
      <c r="AO3256" t="s">
        <v>77</v>
      </c>
      <c r="AP3256" t="s">
        <v>115</v>
      </c>
      <c r="AQ3256" t="s">
        <v>5356</v>
      </c>
      <c r="AR3256" t="s">
        <v>80</v>
      </c>
      <c r="AS3256">
        <v>701</v>
      </c>
      <c r="AT3256" t="s">
        <v>81</v>
      </c>
      <c r="AU3256">
        <v>-28.99</v>
      </c>
      <c r="AV3256">
        <v>-53.2</v>
      </c>
      <c r="AW3256" t="s">
        <v>82</v>
      </c>
      <c r="AX3256">
        <v>701</v>
      </c>
      <c r="AY3256" t="s">
        <v>81</v>
      </c>
      <c r="AZ3256">
        <v>-35.909999999999997</v>
      </c>
      <c r="BA3256">
        <v>-59.34</v>
      </c>
      <c r="BB3256" t="s">
        <v>83</v>
      </c>
    </row>
    <row r="3257" spans="1:54" x14ac:dyDescent="0.4">
      <c r="A3257">
        <v>1429005</v>
      </c>
      <c r="D3257" t="s">
        <v>54</v>
      </c>
      <c r="I3257" t="s">
        <v>57</v>
      </c>
      <c r="K3257" t="s">
        <v>141</v>
      </c>
      <c r="L3257" t="s">
        <v>332</v>
      </c>
      <c r="M3257" t="s">
        <v>60</v>
      </c>
      <c r="O3257" t="s">
        <v>170</v>
      </c>
      <c r="P3257" t="s">
        <v>333</v>
      </c>
      <c r="R3257" t="s">
        <v>238</v>
      </c>
      <c r="S3257" t="s">
        <v>123</v>
      </c>
      <c r="T3257">
        <v>264.27999999999997</v>
      </c>
      <c r="U3257">
        <v>259.51</v>
      </c>
      <c r="V3257">
        <f t="shared" si="100"/>
        <v>261.89499999999998</v>
      </c>
      <c r="W3257">
        <f t="shared" si="101"/>
        <v>4.7699999999999818</v>
      </c>
      <c r="X3257">
        <v>20.863056</v>
      </c>
      <c r="Y3257">
        <v>-33.191665999999998</v>
      </c>
      <c r="Z3257" t="s">
        <v>124</v>
      </c>
      <c r="AA3257" t="s">
        <v>106</v>
      </c>
      <c r="AB3257" t="s">
        <v>334</v>
      </c>
      <c r="AG3257" t="s">
        <v>2193</v>
      </c>
      <c r="AH3257" t="s">
        <v>11</v>
      </c>
      <c r="AI3257" t="s">
        <v>4813</v>
      </c>
      <c r="AJ3257">
        <v>1969</v>
      </c>
      <c r="AK3257" t="s">
        <v>5357</v>
      </c>
      <c r="AN3257" t="s">
        <v>114</v>
      </c>
      <c r="AO3257" t="s">
        <v>77</v>
      </c>
      <c r="AP3257" t="s">
        <v>115</v>
      </c>
      <c r="AQ3257" t="s">
        <v>5358</v>
      </c>
      <c r="AR3257" t="s">
        <v>80</v>
      </c>
      <c r="AS3257">
        <v>701</v>
      </c>
      <c r="AT3257" t="s">
        <v>81</v>
      </c>
      <c r="AU3257">
        <v>-29.52</v>
      </c>
      <c r="AV3257">
        <v>-52.27</v>
      </c>
      <c r="AW3257" t="s">
        <v>82</v>
      </c>
      <c r="AX3257">
        <v>701</v>
      </c>
      <c r="AY3257" t="s">
        <v>81</v>
      </c>
      <c r="AZ3257">
        <v>-36.39</v>
      </c>
      <c r="BA3257">
        <v>-58.39</v>
      </c>
      <c r="BB3257" t="s">
        <v>83</v>
      </c>
    </row>
    <row r="3258" spans="1:54" x14ac:dyDescent="0.4">
      <c r="A3258">
        <v>1640373</v>
      </c>
      <c r="D3258" t="s">
        <v>54</v>
      </c>
      <c r="I3258" t="s">
        <v>57</v>
      </c>
      <c r="K3258" t="s">
        <v>235</v>
      </c>
      <c r="L3258" t="s">
        <v>236</v>
      </c>
      <c r="M3258" t="s">
        <v>60</v>
      </c>
      <c r="P3258" t="s">
        <v>333</v>
      </c>
      <c r="R3258" t="s">
        <v>238</v>
      </c>
      <c r="S3258" t="s">
        <v>123</v>
      </c>
      <c r="T3258">
        <v>264.27999999999997</v>
      </c>
      <c r="U3258">
        <v>259.51</v>
      </c>
      <c r="V3258">
        <f t="shared" si="100"/>
        <v>261.89499999999998</v>
      </c>
      <c r="W3258">
        <f t="shared" si="101"/>
        <v>4.7699999999999818</v>
      </c>
      <c r="X3258">
        <v>48.648578999999998</v>
      </c>
      <c r="Y3258">
        <v>57.873493000000003</v>
      </c>
      <c r="Z3258" t="s">
        <v>356</v>
      </c>
      <c r="AA3258" t="s">
        <v>239</v>
      </c>
      <c r="AB3258" t="s">
        <v>5666</v>
      </c>
      <c r="AD3258" t="s">
        <v>502</v>
      </c>
      <c r="AF3258" t="s">
        <v>5667</v>
      </c>
      <c r="AH3258" t="s">
        <v>11</v>
      </c>
      <c r="AI3258" t="s">
        <v>5668</v>
      </c>
      <c r="AJ3258">
        <v>2018</v>
      </c>
      <c r="AK3258" t="s">
        <v>5669</v>
      </c>
      <c r="AN3258" t="s">
        <v>192</v>
      </c>
      <c r="AO3258">
        <v>6</v>
      </c>
      <c r="AR3258" t="s">
        <v>80</v>
      </c>
      <c r="AS3258">
        <v>302</v>
      </c>
      <c r="AT3258" t="s">
        <v>81</v>
      </c>
      <c r="AU3258">
        <v>50.25</v>
      </c>
      <c r="AV3258">
        <v>37.380000000000003</v>
      </c>
      <c r="AW3258" t="s">
        <v>82</v>
      </c>
      <c r="AX3258">
        <v>301</v>
      </c>
      <c r="AY3258" t="s">
        <v>81</v>
      </c>
      <c r="AZ3258">
        <v>41.15</v>
      </c>
      <c r="BA3258">
        <v>31.63</v>
      </c>
      <c r="BB3258" t="s">
        <v>83</v>
      </c>
    </row>
    <row r="3259" spans="1:54" x14ac:dyDescent="0.4">
      <c r="A3259">
        <v>1646159</v>
      </c>
      <c r="D3259" t="s">
        <v>54</v>
      </c>
      <c r="I3259" t="s">
        <v>57</v>
      </c>
      <c r="K3259" t="s">
        <v>499</v>
      </c>
      <c r="L3259" t="s">
        <v>510</v>
      </c>
      <c r="M3259" t="s">
        <v>60</v>
      </c>
      <c r="O3259" t="s">
        <v>170</v>
      </c>
      <c r="P3259" t="s">
        <v>333</v>
      </c>
      <c r="R3259" t="s">
        <v>238</v>
      </c>
      <c r="S3259" t="s">
        <v>123</v>
      </c>
      <c r="T3259">
        <v>264.27999999999997</v>
      </c>
      <c r="U3259">
        <v>259.51</v>
      </c>
      <c r="V3259">
        <f t="shared" si="100"/>
        <v>261.89499999999998</v>
      </c>
      <c r="W3259">
        <f t="shared" si="101"/>
        <v>4.7699999999999818</v>
      </c>
      <c r="X3259">
        <v>45.43092</v>
      </c>
      <c r="Y3259">
        <v>60.583851000000003</v>
      </c>
      <c r="Z3259" t="s">
        <v>734</v>
      </c>
      <c r="AA3259" t="s">
        <v>239</v>
      </c>
      <c r="AB3259" t="s">
        <v>2702</v>
      </c>
      <c r="AD3259" t="s">
        <v>5679</v>
      </c>
      <c r="AF3259" t="s">
        <v>5680</v>
      </c>
      <c r="AH3259" t="s">
        <v>11</v>
      </c>
      <c r="AI3259" t="s">
        <v>5681</v>
      </c>
      <c r="AJ3259">
        <v>2015</v>
      </c>
      <c r="AK3259" t="s">
        <v>5682</v>
      </c>
      <c r="AN3259" t="s">
        <v>76</v>
      </c>
      <c r="AO3259">
        <v>5</v>
      </c>
      <c r="AR3259" t="s">
        <v>80</v>
      </c>
      <c r="AS3259">
        <v>302</v>
      </c>
      <c r="AT3259" t="s">
        <v>81</v>
      </c>
      <c r="AU3259">
        <v>46.44</v>
      </c>
      <c r="AV3259">
        <v>38.159999999999997</v>
      </c>
      <c r="AW3259" t="s">
        <v>82</v>
      </c>
      <c r="AX3259">
        <v>301</v>
      </c>
      <c r="AY3259" t="s">
        <v>81</v>
      </c>
      <c r="AZ3259">
        <v>37.78</v>
      </c>
      <c r="BA3259">
        <v>32.44</v>
      </c>
      <c r="BB3259" t="s">
        <v>83</v>
      </c>
    </row>
    <row r="3260" spans="1:54" x14ac:dyDescent="0.4">
      <c r="A3260">
        <v>147521</v>
      </c>
      <c r="D3260" t="s">
        <v>54</v>
      </c>
      <c r="G3260">
        <v>10</v>
      </c>
      <c r="H3260" t="s">
        <v>84</v>
      </c>
      <c r="I3260" t="s">
        <v>57</v>
      </c>
      <c r="K3260" t="s">
        <v>100</v>
      </c>
      <c r="L3260" t="s">
        <v>101</v>
      </c>
      <c r="M3260" t="s">
        <v>60</v>
      </c>
      <c r="P3260" t="s">
        <v>102</v>
      </c>
      <c r="Q3260" t="s">
        <v>103</v>
      </c>
      <c r="R3260" t="s">
        <v>104</v>
      </c>
      <c r="S3260" t="s">
        <v>64</v>
      </c>
      <c r="T3260">
        <v>251.90199999999999</v>
      </c>
      <c r="U3260">
        <v>246.7</v>
      </c>
      <c r="V3260">
        <f t="shared" si="100"/>
        <v>249.30099999999999</v>
      </c>
      <c r="W3260">
        <f t="shared" si="101"/>
        <v>5.2019999999999982</v>
      </c>
      <c r="X3260">
        <v>26.509722</v>
      </c>
      <c r="Y3260">
        <v>-32.106110000000001</v>
      </c>
      <c r="Z3260" t="s">
        <v>105</v>
      </c>
      <c r="AA3260" t="s">
        <v>106</v>
      </c>
      <c r="AB3260" t="s">
        <v>107</v>
      </c>
      <c r="AC3260" t="s">
        <v>108</v>
      </c>
      <c r="AD3260" t="s">
        <v>109</v>
      </c>
      <c r="AE3260" t="s">
        <v>110</v>
      </c>
      <c r="AH3260" t="s">
        <v>72</v>
      </c>
      <c r="AI3260" t="s">
        <v>111</v>
      </c>
      <c r="AJ3260">
        <v>1905</v>
      </c>
      <c r="AK3260" t="s">
        <v>112</v>
      </c>
      <c r="AM3260" t="s">
        <v>113</v>
      </c>
      <c r="AN3260" t="s">
        <v>114</v>
      </c>
      <c r="AO3260" t="s">
        <v>77</v>
      </c>
      <c r="AP3260" t="s">
        <v>115</v>
      </c>
      <c r="AQ3260" t="s">
        <v>116</v>
      </c>
      <c r="AR3260" t="s">
        <v>80</v>
      </c>
      <c r="AS3260">
        <v>701</v>
      </c>
      <c r="AT3260" t="s">
        <v>81</v>
      </c>
      <c r="AU3260">
        <v>-11.67</v>
      </c>
      <c r="AV3260">
        <v>-51.38</v>
      </c>
      <c r="AW3260" t="s">
        <v>82</v>
      </c>
      <c r="AX3260">
        <v>701</v>
      </c>
      <c r="AY3260" t="s">
        <v>81</v>
      </c>
      <c r="AZ3260">
        <v>-21.79</v>
      </c>
      <c r="BA3260">
        <v>-65.5</v>
      </c>
      <c r="BB3260" t="s">
        <v>83</v>
      </c>
    </row>
    <row r="3261" spans="1:54" x14ac:dyDescent="0.4">
      <c r="A3261">
        <v>285753</v>
      </c>
      <c r="D3261" t="s">
        <v>54</v>
      </c>
      <c r="G3261">
        <v>1</v>
      </c>
      <c r="H3261" t="s">
        <v>56</v>
      </c>
      <c r="I3261" t="s">
        <v>57</v>
      </c>
      <c r="K3261" t="s">
        <v>100</v>
      </c>
      <c r="L3261" t="s">
        <v>392</v>
      </c>
      <c r="M3261" t="s">
        <v>60</v>
      </c>
      <c r="P3261" t="s">
        <v>102</v>
      </c>
      <c r="Q3261" t="s">
        <v>103</v>
      </c>
      <c r="R3261" t="s">
        <v>104</v>
      </c>
      <c r="S3261" t="s">
        <v>64</v>
      </c>
      <c r="T3261">
        <v>251.90199999999999</v>
      </c>
      <c r="U3261">
        <v>246.7</v>
      </c>
      <c r="V3261">
        <f t="shared" si="100"/>
        <v>249.30099999999999</v>
      </c>
      <c r="W3261">
        <f t="shared" si="101"/>
        <v>5.2019999999999982</v>
      </c>
      <c r="X3261">
        <v>110</v>
      </c>
      <c r="Y3261">
        <v>39.8125</v>
      </c>
      <c r="Z3261" t="s">
        <v>124</v>
      </c>
      <c r="AA3261" t="s">
        <v>379</v>
      </c>
      <c r="AB3261" t="s">
        <v>380</v>
      </c>
      <c r="AD3261" t="s">
        <v>393</v>
      </c>
      <c r="AH3261" t="s">
        <v>72</v>
      </c>
      <c r="AI3261" t="s">
        <v>383</v>
      </c>
      <c r="AJ3261">
        <v>1983</v>
      </c>
      <c r="AK3261" t="s">
        <v>394</v>
      </c>
      <c r="AM3261" t="s">
        <v>395</v>
      </c>
      <c r="AN3261" t="s">
        <v>114</v>
      </c>
      <c r="AO3261" t="s">
        <v>77</v>
      </c>
      <c r="AQ3261" t="s">
        <v>396</v>
      </c>
      <c r="AR3261" t="s">
        <v>80</v>
      </c>
      <c r="AS3261">
        <v>604</v>
      </c>
      <c r="AT3261" t="s">
        <v>81</v>
      </c>
      <c r="AU3261">
        <v>117.4</v>
      </c>
      <c r="AV3261">
        <v>15.81</v>
      </c>
      <c r="AW3261" t="s">
        <v>82</v>
      </c>
      <c r="AX3261">
        <v>604</v>
      </c>
      <c r="AY3261" t="s">
        <v>81</v>
      </c>
      <c r="AZ3261">
        <v>90.38</v>
      </c>
      <c r="BA3261">
        <v>36.17</v>
      </c>
      <c r="BB3261" t="s">
        <v>83</v>
      </c>
    </row>
    <row r="3262" spans="1:54" x14ac:dyDescent="0.4">
      <c r="A3262">
        <v>387517</v>
      </c>
      <c r="D3262" t="s">
        <v>54</v>
      </c>
      <c r="G3262">
        <v>1</v>
      </c>
      <c r="H3262" t="s">
        <v>84</v>
      </c>
      <c r="I3262" t="s">
        <v>57</v>
      </c>
      <c r="K3262" t="s">
        <v>141</v>
      </c>
      <c r="L3262" t="s">
        <v>629</v>
      </c>
      <c r="M3262" t="s">
        <v>60</v>
      </c>
      <c r="P3262" t="s">
        <v>102</v>
      </c>
      <c r="Q3262" t="s">
        <v>103</v>
      </c>
      <c r="R3262" t="s">
        <v>104</v>
      </c>
      <c r="S3262" t="s">
        <v>64</v>
      </c>
      <c r="T3262">
        <v>251.90199999999999</v>
      </c>
      <c r="U3262">
        <v>246.7</v>
      </c>
      <c r="V3262">
        <f t="shared" si="100"/>
        <v>249.30099999999999</v>
      </c>
      <c r="W3262">
        <f t="shared" si="101"/>
        <v>5.2019999999999982</v>
      </c>
      <c r="X3262">
        <v>53.266666000000001</v>
      </c>
      <c r="Y3262">
        <v>53.716667000000001</v>
      </c>
      <c r="Z3262" t="s">
        <v>124</v>
      </c>
      <c r="AA3262" t="s">
        <v>239</v>
      </c>
      <c r="AB3262" t="s">
        <v>638</v>
      </c>
      <c r="AC3262" t="s">
        <v>639</v>
      </c>
      <c r="AH3262" t="s">
        <v>11</v>
      </c>
      <c r="AI3262" t="s">
        <v>633</v>
      </c>
      <c r="AJ3262">
        <v>1978</v>
      </c>
      <c r="AK3262" t="s">
        <v>644</v>
      </c>
      <c r="AM3262" t="s">
        <v>645</v>
      </c>
      <c r="AN3262" t="s">
        <v>114</v>
      </c>
      <c r="AO3262" t="s">
        <v>160</v>
      </c>
      <c r="AP3262" t="s">
        <v>78</v>
      </c>
      <c r="AQ3262" t="s">
        <v>646</v>
      </c>
      <c r="AR3262" t="s">
        <v>80</v>
      </c>
      <c r="AS3262">
        <v>302</v>
      </c>
      <c r="AT3262" t="s">
        <v>81</v>
      </c>
      <c r="AU3262">
        <v>58.11</v>
      </c>
      <c r="AV3262">
        <v>40.75</v>
      </c>
      <c r="AW3262" t="s">
        <v>82</v>
      </c>
      <c r="AX3262">
        <v>301</v>
      </c>
      <c r="AY3262" t="s">
        <v>81</v>
      </c>
      <c r="AZ3262">
        <v>43.4</v>
      </c>
      <c r="BA3262">
        <v>32.79</v>
      </c>
      <c r="BB3262" t="s">
        <v>83</v>
      </c>
    </row>
    <row r="3263" spans="1:54" x14ac:dyDescent="0.4">
      <c r="A3263">
        <v>387518</v>
      </c>
      <c r="D3263" t="s">
        <v>54</v>
      </c>
      <c r="I3263" t="s">
        <v>57</v>
      </c>
      <c r="K3263" t="s">
        <v>141</v>
      </c>
      <c r="L3263" t="s">
        <v>629</v>
      </c>
      <c r="M3263" t="s">
        <v>60</v>
      </c>
      <c r="P3263" t="s">
        <v>102</v>
      </c>
      <c r="Q3263" t="s">
        <v>103</v>
      </c>
      <c r="R3263" t="s">
        <v>104</v>
      </c>
      <c r="S3263" t="s">
        <v>64</v>
      </c>
      <c r="T3263">
        <v>251.90199999999999</v>
      </c>
      <c r="U3263">
        <v>246.7</v>
      </c>
      <c r="V3263">
        <f t="shared" si="100"/>
        <v>249.30099999999999</v>
      </c>
      <c r="W3263">
        <f t="shared" si="101"/>
        <v>5.2019999999999982</v>
      </c>
      <c r="X3263">
        <v>52.041668000000001</v>
      </c>
      <c r="Y3263">
        <v>52.291668000000001</v>
      </c>
      <c r="Z3263" t="s">
        <v>124</v>
      </c>
      <c r="AA3263" t="s">
        <v>239</v>
      </c>
      <c r="AB3263" t="s">
        <v>638</v>
      </c>
      <c r="AC3263" t="s">
        <v>647</v>
      </c>
      <c r="AH3263" t="s">
        <v>11</v>
      </c>
      <c r="AI3263" t="s">
        <v>633</v>
      </c>
      <c r="AJ3263">
        <v>1978</v>
      </c>
      <c r="AK3263" t="s">
        <v>648</v>
      </c>
      <c r="AM3263" t="s">
        <v>649</v>
      </c>
      <c r="AN3263" t="s">
        <v>114</v>
      </c>
      <c r="AO3263" t="s">
        <v>77</v>
      </c>
      <c r="AP3263" t="s">
        <v>78</v>
      </c>
      <c r="AQ3263" t="s">
        <v>650</v>
      </c>
      <c r="AR3263" t="s">
        <v>80</v>
      </c>
      <c r="AS3263">
        <v>302</v>
      </c>
      <c r="AT3263" t="s">
        <v>81</v>
      </c>
      <c r="AU3263">
        <v>58.2</v>
      </c>
      <c r="AV3263">
        <v>39.15</v>
      </c>
      <c r="AW3263" t="s">
        <v>82</v>
      </c>
      <c r="AX3263">
        <v>301</v>
      </c>
      <c r="AY3263" t="s">
        <v>81</v>
      </c>
      <c r="AZ3263">
        <v>43.97</v>
      </c>
      <c r="BA3263">
        <v>31.26</v>
      </c>
      <c r="BB3263" t="s">
        <v>83</v>
      </c>
    </row>
    <row r="3264" spans="1:54" x14ac:dyDescent="0.4">
      <c r="A3264">
        <v>792593</v>
      </c>
      <c r="D3264" t="s">
        <v>54</v>
      </c>
      <c r="E3264" t="s">
        <v>55</v>
      </c>
      <c r="G3264">
        <v>1</v>
      </c>
      <c r="H3264" t="s">
        <v>56</v>
      </c>
      <c r="I3264" t="s">
        <v>57</v>
      </c>
      <c r="K3264" t="s">
        <v>100</v>
      </c>
      <c r="L3264" t="s">
        <v>2031</v>
      </c>
      <c r="M3264" t="s">
        <v>60</v>
      </c>
      <c r="P3264" t="s">
        <v>102</v>
      </c>
      <c r="Q3264" t="s">
        <v>103</v>
      </c>
      <c r="R3264" t="s">
        <v>104</v>
      </c>
      <c r="S3264" t="s">
        <v>64</v>
      </c>
      <c r="T3264">
        <v>251.90199999999999</v>
      </c>
      <c r="U3264">
        <v>246.7</v>
      </c>
      <c r="V3264">
        <f t="shared" si="100"/>
        <v>249.30099999999999</v>
      </c>
      <c r="W3264">
        <f t="shared" si="101"/>
        <v>5.2019999999999982</v>
      </c>
      <c r="X3264">
        <v>24.983333999999999</v>
      </c>
      <c r="Y3264">
        <v>-31.716667000000001</v>
      </c>
      <c r="Z3264" t="s">
        <v>124</v>
      </c>
      <c r="AA3264" t="s">
        <v>106</v>
      </c>
      <c r="AB3264" t="s">
        <v>107</v>
      </c>
      <c r="AC3264" t="s">
        <v>1530</v>
      </c>
      <c r="AD3264" t="s">
        <v>1603</v>
      </c>
      <c r="AE3264" t="s">
        <v>110</v>
      </c>
      <c r="AF3264" t="s">
        <v>1604</v>
      </c>
      <c r="AG3264" t="s">
        <v>1531</v>
      </c>
      <c r="AH3264" t="s">
        <v>72</v>
      </c>
      <c r="AI3264" t="s">
        <v>1532</v>
      </c>
      <c r="AJ3264">
        <v>2001</v>
      </c>
      <c r="AK3264" t="s">
        <v>2032</v>
      </c>
      <c r="AN3264" t="s">
        <v>341</v>
      </c>
      <c r="AO3264" t="s">
        <v>160</v>
      </c>
      <c r="AP3264" t="s">
        <v>359</v>
      </c>
      <c r="AQ3264" t="s">
        <v>2033</v>
      </c>
      <c r="AR3264" t="s">
        <v>80</v>
      </c>
      <c r="AS3264">
        <v>701</v>
      </c>
      <c r="AT3264" t="s">
        <v>81</v>
      </c>
      <c r="AU3264">
        <v>-12.37</v>
      </c>
      <c r="AV3264">
        <v>-50.1</v>
      </c>
      <c r="AW3264" t="s">
        <v>82</v>
      </c>
      <c r="AX3264">
        <v>701</v>
      </c>
      <c r="AY3264" t="s">
        <v>81</v>
      </c>
      <c r="AZ3264">
        <v>-22.56</v>
      </c>
      <c r="BA3264">
        <v>-64.19</v>
      </c>
      <c r="BB3264" t="s">
        <v>83</v>
      </c>
    </row>
    <row r="3265" spans="1:54" x14ac:dyDescent="0.4">
      <c r="A3265">
        <v>792593</v>
      </c>
      <c r="D3265" t="s">
        <v>54</v>
      </c>
      <c r="E3265" t="s">
        <v>55</v>
      </c>
      <c r="G3265">
        <v>1</v>
      </c>
      <c r="H3265" t="s">
        <v>56</v>
      </c>
      <c r="I3265" t="s">
        <v>57</v>
      </c>
      <c r="K3265" t="s">
        <v>100</v>
      </c>
      <c r="L3265" t="s">
        <v>2031</v>
      </c>
      <c r="M3265" t="s">
        <v>60</v>
      </c>
      <c r="P3265" t="s">
        <v>102</v>
      </c>
      <c r="Q3265" t="s">
        <v>103</v>
      </c>
      <c r="R3265" t="s">
        <v>104</v>
      </c>
      <c r="S3265" t="s">
        <v>64</v>
      </c>
      <c r="T3265">
        <v>251.90199999999999</v>
      </c>
      <c r="U3265">
        <v>246.7</v>
      </c>
      <c r="V3265">
        <f t="shared" si="100"/>
        <v>249.30099999999999</v>
      </c>
      <c r="W3265">
        <f t="shared" si="101"/>
        <v>5.2019999999999982</v>
      </c>
      <c r="X3265">
        <v>24.983333999999999</v>
      </c>
      <c r="Y3265">
        <v>-31.716667000000001</v>
      </c>
      <c r="Z3265" t="s">
        <v>124</v>
      </c>
      <c r="AA3265" t="s">
        <v>106</v>
      </c>
      <c r="AB3265" t="s">
        <v>107</v>
      </c>
      <c r="AC3265" t="s">
        <v>1530</v>
      </c>
      <c r="AD3265" t="s">
        <v>1603</v>
      </c>
      <c r="AE3265" t="s">
        <v>110</v>
      </c>
      <c r="AF3265" t="s">
        <v>1604</v>
      </c>
      <c r="AG3265" t="s">
        <v>1531</v>
      </c>
      <c r="AH3265" t="s">
        <v>72</v>
      </c>
      <c r="AI3265" t="s">
        <v>1532</v>
      </c>
      <c r="AJ3265">
        <v>2001</v>
      </c>
      <c r="AK3265" t="s">
        <v>2032</v>
      </c>
      <c r="AN3265" t="s">
        <v>341</v>
      </c>
      <c r="AO3265" t="s">
        <v>160</v>
      </c>
      <c r="AP3265" t="s">
        <v>359</v>
      </c>
      <c r="AQ3265" t="s">
        <v>2033</v>
      </c>
      <c r="AR3265" t="s">
        <v>80</v>
      </c>
      <c r="AS3265">
        <v>701</v>
      </c>
      <c r="AT3265" t="s">
        <v>81</v>
      </c>
      <c r="AU3265">
        <v>-12.37</v>
      </c>
      <c r="AV3265">
        <v>-50.1</v>
      </c>
      <c r="AW3265" t="s">
        <v>82</v>
      </c>
      <c r="AX3265">
        <v>701</v>
      </c>
      <c r="AY3265" t="s">
        <v>81</v>
      </c>
      <c r="AZ3265">
        <v>-22.56</v>
      </c>
      <c r="BA3265">
        <v>-64.19</v>
      </c>
      <c r="BB3265" t="s">
        <v>83</v>
      </c>
    </row>
    <row r="3266" spans="1:54" x14ac:dyDescent="0.4">
      <c r="A3266">
        <v>801922</v>
      </c>
      <c r="D3266" t="s">
        <v>2134</v>
      </c>
      <c r="E3266" t="s">
        <v>55</v>
      </c>
      <c r="G3266">
        <v>1</v>
      </c>
      <c r="H3266" t="s">
        <v>56</v>
      </c>
      <c r="I3266" t="s">
        <v>57</v>
      </c>
      <c r="K3266" t="s">
        <v>2135</v>
      </c>
      <c r="L3266" t="s">
        <v>2136</v>
      </c>
      <c r="M3266" t="s">
        <v>60</v>
      </c>
      <c r="P3266" t="s">
        <v>102</v>
      </c>
      <c r="Q3266" t="s">
        <v>103</v>
      </c>
      <c r="R3266" t="s">
        <v>104</v>
      </c>
      <c r="S3266" t="s">
        <v>64</v>
      </c>
      <c r="T3266">
        <v>251.90199999999999</v>
      </c>
      <c r="U3266">
        <v>246.7</v>
      </c>
      <c r="V3266">
        <f t="shared" si="100"/>
        <v>249.30099999999999</v>
      </c>
      <c r="W3266">
        <f t="shared" si="101"/>
        <v>5.2019999999999982</v>
      </c>
      <c r="X3266">
        <v>39.474997999999999</v>
      </c>
      <c r="Y3266">
        <v>-3.858333</v>
      </c>
      <c r="Z3266" t="s">
        <v>1251</v>
      </c>
      <c r="AA3266" t="s">
        <v>2137</v>
      </c>
      <c r="AB3266" t="s">
        <v>2138</v>
      </c>
      <c r="AC3266" t="s">
        <v>2139</v>
      </c>
      <c r="AD3266" t="s">
        <v>2140</v>
      </c>
      <c r="AE3266" t="s">
        <v>2141</v>
      </c>
      <c r="AH3266" t="s">
        <v>72</v>
      </c>
      <c r="AI3266" t="s">
        <v>2142</v>
      </c>
      <c r="AJ3266">
        <v>1977</v>
      </c>
      <c r="AK3266" t="s">
        <v>2143</v>
      </c>
      <c r="AN3266" t="s">
        <v>192</v>
      </c>
      <c r="AO3266" t="s">
        <v>77</v>
      </c>
      <c r="AP3266" t="s">
        <v>115</v>
      </c>
      <c r="AQ3266" t="s">
        <v>2144</v>
      </c>
      <c r="AR3266" t="s">
        <v>80</v>
      </c>
      <c r="AS3266">
        <v>709</v>
      </c>
      <c r="AT3266" t="s">
        <v>81</v>
      </c>
      <c r="AU3266">
        <v>26.18</v>
      </c>
      <c r="AV3266">
        <v>-37.200000000000003</v>
      </c>
      <c r="AW3266" t="s">
        <v>82</v>
      </c>
      <c r="AX3266">
        <v>709</v>
      </c>
      <c r="AY3266" t="s">
        <v>81</v>
      </c>
      <c r="AZ3266">
        <v>28.83</v>
      </c>
      <c r="BA3266">
        <v>-49.32</v>
      </c>
      <c r="BB3266" t="s">
        <v>83</v>
      </c>
    </row>
    <row r="3267" spans="1:54" x14ac:dyDescent="0.4">
      <c r="A3267">
        <v>803135</v>
      </c>
      <c r="D3267" t="s">
        <v>2001</v>
      </c>
      <c r="E3267" t="s">
        <v>154</v>
      </c>
      <c r="G3267">
        <v>7</v>
      </c>
      <c r="H3267" t="s">
        <v>84</v>
      </c>
      <c r="I3267" t="s">
        <v>57</v>
      </c>
      <c r="K3267" t="s">
        <v>100</v>
      </c>
      <c r="L3267" t="s">
        <v>101</v>
      </c>
      <c r="M3267" t="s">
        <v>60</v>
      </c>
      <c r="P3267" t="s">
        <v>102</v>
      </c>
      <c r="Q3267" t="s">
        <v>103</v>
      </c>
      <c r="R3267" t="s">
        <v>104</v>
      </c>
      <c r="S3267" t="s">
        <v>64</v>
      </c>
      <c r="T3267">
        <v>251.90199999999999</v>
      </c>
      <c r="U3267">
        <v>246.7</v>
      </c>
      <c r="V3267">
        <f t="shared" ref="V3267:V3330" si="102">(T3267+U3267)/2</f>
        <v>249.30099999999999</v>
      </c>
      <c r="W3267">
        <f t="shared" ref="W3267:W3330" si="103">T3267-U3267</f>
        <v>5.2019999999999982</v>
      </c>
      <c r="X3267">
        <v>-177</v>
      </c>
      <c r="Y3267">
        <v>-85.216667000000001</v>
      </c>
      <c r="Z3267" t="s">
        <v>105</v>
      </c>
      <c r="AA3267" t="s">
        <v>2145</v>
      </c>
      <c r="AD3267" t="s">
        <v>2146</v>
      </c>
      <c r="AE3267" t="s">
        <v>2147</v>
      </c>
      <c r="AF3267" t="s">
        <v>620</v>
      </c>
      <c r="AH3267" t="s">
        <v>72</v>
      </c>
      <c r="AI3267" t="s">
        <v>2148</v>
      </c>
      <c r="AJ3267">
        <v>1975</v>
      </c>
      <c r="AK3267" t="s">
        <v>2149</v>
      </c>
      <c r="AM3267" t="s">
        <v>2150</v>
      </c>
      <c r="AN3267" t="s">
        <v>76</v>
      </c>
      <c r="AO3267" t="s">
        <v>77</v>
      </c>
      <c r="AP3267" t="s">
        <v>78</v>
      </c>
      <c r="AQ3267" t="s">
        <v>2151</v>
      </c>
      <c r="AR3267" t="s">
        <v>80</v>
      </c>
      <c r="AS3267">
        <v>802</v>
      </c>
      <c r="AT3267" t="s">
        <v>81</v>
      </c>
      <c r="AU3267">
        <v>20.67</v>
      </c>
      <c r="AV3267">
        <v>-72.34</v>
      </c>
      <c r="AW3267" t="s">
        <v>82</v>
      </c>
      <c r="AX3267">
        <v>802</v>
      </c>
      <c r="AY3267" t="s">
        <v>81</v>
      </c>
      <c r="AZ3267">
        <v>73</v>
      </c>
      <c r="BA3267">
        <v>-81.89</v>
      </c>
      <c r="BB3267" t="s">
        <v>83</v>
      </c>
    </row>
    <row r="3268" spans="1:54" x14ac:dyDescent="0.4">
      <c r="A3268">
        <v>803158</v>
      </c>
      <c r="D3268" t="s">
        <v>54</v>
      </c>
      <c r="E3268" t="s">
        <v>154</v>
      </c>
      <c r="G3268">
        <v>1</v>
      </c>
      <c r="H3268" t="s">
        <v>56</v>
      </c>
      <c r="I3268" t="s">
        <v>57</v>
      </c>
      <c r="K3268" t="s">
        <v>100</v>
      </c>
      <c r="L3268" t="s">
        <v>101</v>
      </c>
      <c r="M3268" t="s">
        <v>60</v>
      </c>
      <c r="P3268" t="s">
        <v>102</v>
      </c>
      <c r="Q3268" t="s">
        <v>103</v>
      </c>
      <c r="R3268" t="s">
        <v>104</v>
      </c>
      <c r="S3268" t="s">
        <v>64</v>
      </c>
      <c r="T3268">
        <v>251.90199999999999</v>
      </c>
      <c r="U3268">
        <v>246.7</v>
      </c>
      <c r="V3268">
        <f t="shared" si="102"/>
        <v>249.30099999999999</v>
      </c>
      <c r="W3268">
        <f t="shared" si="103"/>
        <v>5.2019999999999982</v>
      </c>
      <c r="X3268">
        <v>-175.5</v>
      </c>
      <c r="Y3268">
        <v>-85.216667000000001</v>
      </c>
      <c r="Z3268" t="s">
        <v>105</v>
      </c>
      <c r="AA3268" t="s">
        <v>2145</v>
      </c>
      <c r="AD3268" t="s">
        <v>2146</v>
      </c>
      <c r="AE3268" t="s">
        <v>2147</v>
      </c>
      <c r="AH3268" t="s">
        <v>72</v>
      </c>
      <c r="AI3268" t="s">
        <v>2148</v>
      </c>
      <c r="AJ3268">
        <v>1975</v>
      </c>
      <c r="AK3268" t="s">
        <v>2152</v>
      </c>
      <c r="AM3268" t="s">
        <v>2153</v>
      </c>
      <c r="AN3268" t="s">
        <v>192</v>
      </c>
      <c r="AO3268" t="s">
        <v>77</v>
      </c>
      <c r="AP3268" t="s">
        <v>115</v>
      </c>
      <c r="AQ3268" t="s">
        <v>2154</v>
      </c>
      <c r="AR3268" t="s">
        <v>80</v>
      </c>
      <c r="AS3268">
        <v>802</v>
      </c>
      <c r="AT3268" t="s">
        <v>81</v>
      </c>
      <c r="AU3268">
        <v>20.29</v>
      </c>
      <c r="AV3268">
        <v>-72.39</v>
      </c>
      <c r="AW3268" t="s">
        <v>82</v>
      </c>
      <c r="AX3268">
        <v>802</v>
      </c>
      <c r="AY3268" t="s">
        <v>81</v>
      </c>
      <c r="AZ3268">
        <v>72.87</v>
      </c>
      <c r="BA3268">
        <v>-82.02</v>
      </c>
      <c r="BB3268" t="s">
        <v>83</v>
      </c>
    </row>
    <row r="3269" spans="1:54" x14ac:dyDescent="0.4">
      <c r="A3269">
        <v>803158</v>
      </c>
      <c r="D3269" t="s">
        <v>54</v>
      </c>
      <c r="E3269" t="s">
        <v>154</v>
      </c>
      <c r="G3269">
        <v>1</v>
      </c>
      <c r="H3269" t="s">
        <v>56</v>
      </c>
      <c r="I3269" t="s">
        <v>57</v>
      </c>
      <c r="K3269" t="s">
        <v>100</v>
      </c>
      <c r="L3269" t="s">
        <v>101</v>
      </c>
      <c r="M3269" t="s">
        <v>60</v>
      </c>
      <c r="P3269" t="s">
        <v>102</v>
      </c>
      <c r="Q3269" t="s">
        <v>103</v>
      </c>
      <c r="R3269" t="s">
        <v>104</v>
      </c>
      <c r="S3269" t="s">
        <v>64</v>
      </c>
      <c r="T3269">
        <v>251.90199999999999</v>
      </c>
      <c r="U3269">
        <v>246.7</v>
      </c>
      <c r="V3269">
        <f t="shared" si="102"/>
        <v>249.30099999999999</v>
      </c>
      <c r="W3269">
        <f t="shared" si="103"/>
        <v>5.2019999999999982</v>
      </c>
      <c r="X3269">
        <v>-175.5</v>
      </c>
      <c r="Y3269">
        <v>-85.216667000000001</v>
      </c>
      <c r="Z3269" t="s">
        <v>105</v>
      </c>
      <c r="AA3269" t="s">
        <v>2145</v>
      </c>
      <c r="AD3269" t="s">
        <v>2146</v>
      </c>
      <c r="AE3269" t="s">
        <v>2147</v>
      </c>
      <c r="AH3269" t="s">
        <v>72</v>
      </c>
      <c r="AI3269" t="s">
        <v>2148</v>
      </c>
      <c r="AJ3269">
        <v>1975</v>
      </c>
      <c r="AK3269" t="s">
        <v>2152</v>
      </c>
      <c r="AM3269" t="s">
        <v>2153</v>
      </c>
      <c r="AN3269" t="s">
        <v>192</v>
      </c>
      <c r="AO3269" t="s">
        <v>77</v>
      </c>
      <c r="AP3269" t="s">
        <v>115</v>
      </c>
      <c r="AQ3269" t="s">
        <v>2154</v>
      </c>
      <c r="AR3269" t="s">
        <v>80</v>
      </c>
      <c r="AS3269">
        <v>802</v>
      </c>
      <c r="AT3269" t="s">
        <v>81</v>
      </c>
      <c r="AU3269">
        <v>20.29</v>
      </c>
      <c r="AV3269">
        <v>-72.39</v>
      </c>
      <c r="AW3269" t="s">
        <v>82</v>
      </c>
      <c r="AX3269">
        <v>802</v>
      </c>
      <c r="AY3269" t="s">
        <v>81</v>
      </c>
      <c r="AZ3269">
        <v>72.87</v>
      </c>
      <c r="BA3269">
        <v>-82.02</v>
      </c>
      <c r="BB3269" t="s">
        <v>83</v>
      </c>
    </row>
    <row r="3270" spans="1:54" x14ac:dyDescent="0.4">
      <c r="A3270">
        <v>803158</v>
      </c>
      <c r="D3270" t="s">
        <v>54</v>
      </c>
      <c r="E3270" t="s">
        <v>154</v>
      </c>
      <c r="G3270">
        <v>1</v>
      </c>
      <c r="H3270" t="s">
        <v>56</v>
      </c>
      <c r="I3270" t="s">
        <v>57</v>
      </c>
      <c r="K3270" t="s">
        <v>100</v>
      </c>
      <c r="L3270" t="s">
        <v>101</v>
      </c>
      <c r="M3270" t="s">
        <v>60</v>
      </c>
      <c r="P3270" t="s">
        <v>102</v>
      </c>
      <c r="Q3270" t="s">
        <v>103</v>
      </c>
      <c r="R3270" t="s">
        <v>104</v>
      </c>
      <c r="S3270" t="s">
        <v>64</v>
      </c>
      <c r="T3270">
        <v>251.90199999999999</v>
      </c>
      <c r="U3270">
        <v>246.7</v>
      </c>
      <c r="V3270">
        <f t="shared" si="102"/>
        <v>249.30099999999999</v>
      </c>
      <c r="W3270">
        <f t="shared" si="103"/>
        <v>5.2019999999999982</v>
      </c>
      <c r="X3270">
        <v>-175.5</v>
      </c>
      <c r="Y3270">
        <v>-85.216667000000001</v>
      </c>
      <c r="Z3270" t="s">
        <v>105</v>
      </c>
      <c r="AA3270" t="s">
        <v>2145</v>
      </c>
      <c r="AD3270" t="s">
        <v>2146</v>
      </c>
      <c r="AE3270" t="s">
        <v>2147</v>
      </c>
      <c r="AH3270" t="s">
        <v>72</v>
      </c>
      <c r="AI3270" t="s">
        <v>2148</v>
      </c>
      <c r="AJ3270">
        <v>1975</v>
      </c>
      <c r="AK3270" t="s">
        <v>2152</v>
      </c>
      <c r="AM3270" t="s">
        <v>2153</v>
      </c>
      <c r="AN3270" t="s">
        <v>192</v>
      </c>
      <c r="AO3270" t="s">
        <v>77</v>
      </c>
      <c r="AP3270" t="s">
        <v>115</v>
      </c>
      <c r="AQ3270" t="s">
        <v>2154</v>
      </c>
      <c r="AR3270" t="s">
        <v>80</v>
      </c>
      <c r="AS3270">
        <v>802</v>
      </c>
      <c r="AT3270" t="s">
        <v>81</v>
      </c>
      <c r="AU3270">
        <v>20.29</v>
      </c>
      <c r="AV3270">
        <v>-72.39</v>
      </c>
      <c r="AW3270" t="s">
        <v>82</v>
      </c>
      <c r="AX3270">
        <v>802</v>
      </c>
      <c r="AY3270" t="s">
        <v>81</v>
      </c>
      <c r="AZ3270">
        <v>72.87</v>
      </c>
      <c r="BA3270">
        <v>-82.02</v>
      </c>
      <c r="BB3270" t="s">
        <v>83</v>
      </c>
    </row>
    <row r="3271" spans="1:54" x14ac:dyDescent="0.4">
      <c r="A3271">
        <v>806914</v>
      </c>
      <c r="D3271" t="s">
        <v>54</v>
      </c>
      <c r="G3271">
        <v>1</v>
      </c>
      <c r="H3271" t="s">
        <v>56</v>
      </c>
      <c r="I3271" t="s">
        <v>57</v>
      </c>
      <c r="K3271" t="s">
        <v>100</v>
      </c>
      <c r="L3271" t="s">
        <v>101</v>
      </c>
      <c r="M3271" t="s">
        <v>60</v>
      </c>
      <c r="P3271" t="s">
        <v>102</v>
      </c>
      <c r="Q3271" t="s">
        <v>103</v>
      </c>
      <c r="R3271" t="s">
        <v>104</v>
      </c>
      <c r="S3271" t="s">
        <v>64</v>
      </c>
      <c r="T3271">
        <v>251.90199999999999</v>
      </c>
      <c r="U3271">
        <v>246.7</v>
      </c>
      <c r="V3271">
        <f t="shared" si="102"/>
        <v>249.30099999999999</v>
      </c>
      <c r="W3271">
        <f t="shared" si="103"/>
        <v>5.2019999999999982</v>
      </c>
      <c r="X3271">
        <v>26.509722</v>
      </c>
      <c r="Y3271">
        <v>-32.106110000000001</v>
      </c>
      <c r="Z3271" t="s">
        <v>105</v>
      </c>
      <c r="AA3271" t="s">
        <v>106</v>
      </c>
      <c r="AB3271" t="s">
        <v>107</v>
      </c>
      <c r="AC3271" t="s">
        <v>108</v>
      </c>
      <c r="AD3271" t="s">
        <v>109</v>
      </c>
      <c r="AE3271" t="s">
        <v>110</v>
      </c>
      <c r="AH3271" t="s">
        <v>72</v>
      </c>
      <c r="AI3271" t="s">
        <v>2173</v>
      </c>
      <c r="AJ3271">
        <v>1985</v>
      </c>
      <c r="AK3271" t="s">
        <v>112</v>
      </c>
      <c r="AM3271" t="s">
        <v>113</v>
      </c>
      <c r="AN3271" t="s">
        <v>114</v>
      </c>
      <c r="AO3271" t="s">
        <v>77</v>
      </c>
      <c r="AP3271" t="s">
        <v>115</v>
      </c>
      <c r="AQ3271" t="s">
        <v>116</v>
      </c>
      <c r="AR3271" t="s">
        <v>80</v>
      </c>
      <c r="AS3271">
        <v>701</v>
      </c>
      <c r="AT3271" t="s">
        <v>81</v>
      </c>
      <c r="AU3271">
        <v>-11.67</v>
      </c>
      <c r="AV3271">
        <v>-51.38</v>
      </c>
      <c r="AW3271" t="s">
        <v>82</v>
      </c>
      <c r="AX3271">
        <v>701</v>
      </c>
      <c r="AY3271" t="s">
        <v>81</v>
      </c>
      <c r="AZ3271">
        <v>-21.79</v>
      </c>
      <c r="BA3271">
        <v>-65.5</v>
      </c>
      <c r="BB3271" t="s">
        <v>83</v>
      </c>
    </row>
    <row r="3272" spans="1:54" x14ac:dyDescent="0.4">
      <c r="A3272">
        <v>807183</v>
      </c>
      <c r="D3272" t="s">
        <v>54</v>
      </c>
      <c r="G3272">
        <v>1</v>
      </c>
      <c r="H3272" t="s">
        <v>56</v>
      </c>
      <c r="I3272" t="s">
        <v>57</v>
      </c>
      <c r="K3272" t="s">
        <v>141</v>
      </c>
      <c r="L3272" t="s">
        <v>2174</v>
      </c>
      <c r="M3272" t="s">
        <v>60</v>
      </c>
      <c r="P3272" t="s">
        <v>102</v>
      </c>
      <c r="Q3272" t="s">
        <v>103</v>
      </c>
      <c r="R3272" t="s">
        <v>104</v>
      </c>
      <c r="S3272" t="s">
        <v>64</v>
      </c>
      <c r="T3272">
        <v>251.90199999999999</v>
      </c>
      <c r="U3272">
        <v>246.7</v>
      </c>
      <c r="V3272">
        <f t="shared" si="102"/>
        <v>249.30099999999999</v>
      </c>
      <c r="W3272">
        <f t="shared" si="103"/>
        <v>5.2019999999999982</v>
      </c>
      <c r="X3272">
        <v>26.509722</v>
      </c>
      <c r="Y3272">
        <v>-32.106110000000001</v>
      </c>
      <c r="Z3272" t="s">
        <v>105</v>
      </c>
      <c r="AA3272" t="s">
        <v>106</v>
      </c>
      <c r="AB3272" t="s">
        <v>107</v>
      </c>
      <c r="AC3272" t="s">
        <v>108</v>
      </c>
      <c r="AD3272" t="s">
        <v>109</v>
      </c>
      <c r="AE3272" t="s">
        <v>110</v>
      </c>
      <c r="AH3272" t="s">
        <v>72</v>
      </c>
      <c r="AI3272" t="s">
        <v>111</v>
      </c>
      <c r="AJ3272">
        <v>1903</v>
      </c>
      <c r="AK3272" t="s">
        <v>112</v>
      </c>
      <c r="AM3272" t="s">
        <v>113</v>
      </c>
      <c r="AN3272" t="s">
        <v>114</v>
      </c>
      <c r="AO3272" t="s">
        <v>77</v>
      </c>
      <c r="AP3272" t="s">
        <v>115</v>
      </c>
      <c r="AQ3272" t="s">
        <v>116</v>
      </c>
      <c r="AR3272" t="s">
        <v>80</v>
      </c>
      <c r="AS3272">
        <v>701</v>
      </c>
      <c r="AT3272" t="s">
        <v>81</v>
      </c>
      <c r="AU3272">
        <v>-11.67</v>
      </c>
      <c r="AV3272">
        <v>-51.38</v>
      </c>
      <c r="AW3272" t="s">
        <v>82</v>
      </c>
      <c r="AX3272">
        <v>701</v>
      </c>
      <c r="AY3272" t="s">
        <v>81</v>
      </c>
      <c r="AZ3272">
        <v>-21.79</v>
      </c>
      <c r="BA3272">
        <v>-65.5</v>
      </c>
      <c r="BB3272" t="s">
        <v>83</v>
      </c>
    </row>
    <row r="3273" spans="1:54" x14ac:dyDescent="0.4">
      <c r="A3273">
        <v>807184</v>
      </c>
      <c r="D3273" t="s">
        <v>2001</v>
      </c>
      <c r="E3273" t="s">
        <v>152</v>
      </c>
      <c r="G3273">
        <v>1</v>
      </c>
      <c r="H3273" t="s">
        <v>56</v>
      </c>
      <c r="I3273" t="s">
        <v>57</v>
      </c>
      <c r="K3273" t="s">
        <v>100</v>
      </c>
      <c r="L3273" t="s">
        <v>101</v>
      </c>
      <c r="M3273" t="s">
        <v>60</v>
      </c>
      <c r="P3273" t="s">
        <v>102</v>
      </c>
      <c r="Q3273" t="s">
        <v>103</v>
      </c>
      <c r="R3273" t="s">
        <v>104</v>
      </c>
      <c r="S3273" t="s">
        <v>64</v>
      </c>
      <c r="T3273">
        <v>251.90199999999999</v>
      </c>
      <c r="U3273">
        <v>246.7</v>
      </c>
      <c r="V3273">
        <f t="shared" si="102"/>
        <v>249.30099999999999</v>
      </c>
      <c r="W3273">
        <f t="shared" si="103"/>
        <v>5.2019999999999982</v>
      </c>
      <c r="X3273">
        <v>-174.83332799999999</v>
      </c>
      <c r="Y3273">
        <v>-85.133330999999998</v>
      </c>
      <c r="Z3273" t="s">
        <v>105</v>
      </c>
      <c r="AA3273" t="s">
        <v>2145</v>
      </c>
      <c r="AD3273" t="s">
        <v>2146</v>
      </c>
      <c r="AE3273" t="s">
        <v>2147</v>
      </c>
      <c r="AG3273" t="s">
        <v>2175</v>
      </c>
      <c r="AH3273" t="s">
        <v>72</v>
      </c>
      <c r="AI3273" t="s">
        <v>2148</v>
      </c>
      <c r="AJ3273">
        <v>1975</v>
      </c>
      <c r="AK3273" t="s">
        <v>2176</v>
      </c>
      <c r="AM3273" t="s">
        <v>2177</v>
      </c>
      <c r="AN3273" t="s">
        <v>76</v>
      </c>
      <c r="AO3273" t="s">
        <v>160</v>
      </c>
      <c r="AP3273" t="s">
        <v>359</v>
      </c>
      <c r="AQ3273" t="s">
        <v>2178</v>
      </c>
      <c r="AR3273" t="s">
        <v>80</v>
      </c>
      <c r="AS3273">
        <v>802</v>
      </c>
      <c r="AT3273" t="s">
        <v>81</v>
      </c>
      <c r="AU3273">
        <v>20.22</v>
      </c>
      <c r="AV3273">
        <v>-72.48</v>
      </c>
      <c r="AW3273" t="s">
        <v>82</v>
      </c>
      <c r="AX3273">
        <v>802</v>
      </c>
      <c r="AY3273" t="s">
        <v>81</v>
      </c>
      <c r="AZ3273">
        <v>73.41</v>
      </c>
      <c r="BA3273">
        <v>-82.09</v>
      </c>
      <c r="BB3273" t="s">
        <v>83</v>
      </c>
    </row>
    <row r="3274" spans="1:54" x14ac:dyDescent="0.4">
      <c r="A3274">
        <v>843491</v>
      </c>
      <c r="D3274" t="s">
        <v>54</v>
      </c>
      <c r="F3274" t="s">
        <v>3056</v>
      </c>
      <c r="G3274">
        <v>1</v>
      </c>
      <c r="H3274" t="s">
        <v>56</v>
      </c>
      <c r="I3274" t="s">
        <v>57</v>
      </c>
      <c r="K3274" t="s">
        <v>100</v>
      </c>
      <c r="L3274" t="s">
        <v>101</v>
      </c>
      <c r="M3274" t="s">
        <v>60</v>
      </c>
      <c r="P3274" t="s">
        <v>102</v>
      </c>
      <c r="Q3274" t="s">
        <v>103</v>
      </c>
      <c r="R3274" t="s">
        <v>104</v>
      </c>
      <c r="S3274" t="s">
        <v>64</v>
      </c>
      <c r="T3274">
        <v>251.90199999999999</v>
      </c>
      <c r="U3274">
        <v>246.7</v>
      </c>
      <c r="V3274">
        <f t="shared" si="102"/>
        <v>249.30099999999999</v>
      </c>
      <c r="W3274">
        <f t="shared" si="103"/>
        <v>5.2019999999999982</v>
      </c>
      <c r="X3274">
        <v>-54.390278000000002</v>
      </c>
      <c r="Y3274">
        <v>-29.623611</v>
      </c>
      <c r="Z3274" t="s">
        <v>105</v>
      </c>
      <c r="AA3274" t="s">
        <v>783</v>
      </c>
      <c r="AB3274" t="s">
        <v>784</v>
      </c>
      <c r="AC3274" t="s">
        <v>3057</v>
      </c>
      <c r="AD3274" t="s">
        <v>3058</v>
      </c>
      <c r="AE3274" t="s">
        <v>786</v>
      </c>
      <c r="AH3274" t="s">
        <v>72</v>
      </c>
      <c r="AI3274" t="s">
        <v>2269</v>
      </c>
      <c r="AJ3274">
        <v>2002</v>
      </c>
      <c r="AK3274" t="s">
        <v>3059</v>
      </c>
      <c r="AM3274" t="s">
        <v>3060</v>
      </c>
      <c r="AN3274" t="s">
        <v>192</v>
      </c>
      <c r="AO3274" t="s">
        <v>77</v>
      </c>
      <c r="AP3274" t="s">
        <v>115</v>
      </c>
      <c r="AQ3274" t="s">
        <v>3061</v>
      </c>
      <c r="AR3274" t="s">
        <v>80</v>
      </c>
      <c r="AS3274">
        <v>201</v>
      </c>
      <c r="AT3274" t="s">
        <v>81</v>
      </c>
      <c r="AU3274">
        <v>-15.9</v>
      </c>
      <c r="AV3274">
        <v>-34.479999999999997</v>
      </c>
      <c r="AW3274" t="s">
        <v>82</v>
      </c>
      <c r="AX3274">
        <v>202</v>
      </c>
      <c r="AY3274" t="s">
        <v>81</v>
      </c>
      <c r="AZ3274">
        <v>-24.33</v>
      </c>
      <c r="BA3274">
        <v>-48.16</v>
      </c>
      <c r="BB3274" t="s">
        <v>83</v>
      </c>
    </row>
    <row r="3275" spans="1:54" x14ac:dyDescent="0.4">
      <c r="A3275">
        <v>843492</v>
      </c>
      <c r="D3275" t="s">
        <v>54</v>
      </c>
      <c r="F3275" t="s">
        <v>3056</v>
      </c>
      <c r="G3275">
        <v>4</v>
      </c>
      <c r="H3275" t="s">
        <v>84</v>
      </c>
      <c r="I3275" t="s">
        <v>57</v>
      </c>
      <c r="K3275" t="s">
        <v>100</v>
      </c>
      <c r="L3275" t="s">
        <v>101</v>
      </c>
      <c r="M3275" t="s">
        <v>60</v>
      </c>
      <c r="P3275" t="s">
        <v>102</v>
      </c>
      <c r="Q3275" t="s">
        <v>103</v>
      </c>
      <c r="R3275" t="s">
        <v>104</v>
      </c>
      <c r="S3275" t="s">
        <v>64</v>
      </c>
      <c r="T3275">
        <v>251.90199999999999</v>
      </c>
      <c r="U3275">
        <v>246.7</v>
      </c>
      <c r="V3275">
        <f t="shared" si="102"/>
        <v>249.30099999999999</v>
      </c>
      <c r="W3275">
        <f t="shared" si="103"/>
        <v>5.2019999999999982</v>
      </c>
      <c r="X3275">
        <v>-54.390278000000002</v>
      </c>
      <c r="Y3275">
        <v>-29.623611</v>
      </c>
      <c r="Z3275" t="s">
        <v>105</v>
      </c>
      <c r="AA3275" t="s">
        <v>783</v>
      </c>
      <c r="AB3275" t="s">
        <v>784</v>
      </c>
      <c r="AC3275" t="s">
        <v>3057</v>
      </c>
      <c r="AD3275" t="s">
        <v>3058</v>
      </c>
      <c r="AE3275" t="s">
        <v>786</v>
      </c>
      <c r="AH3275" t="s">
        <v>11</v>
      </c>
      <c r="AI3275" t="s">
        <v>3062</v>
      </c>
      <c r="AJ3275">
        <v>2006</v>
      </c>
      <c r="AK3275" t="s">
        <v>3059</v>
      </c>
      <c r="AM3275" t="s">
        <v>3060</v>
      </c>
      <c r="AN3275" t="s">
        <v>192</v>
      </c>
      <c r="AO3275" t="s">
        <v>77</v>
      </c>
      <c r="AP3275" t="s">
        <v>115</v>
      </c>
      <c r="AQ3275" t="s">
        <v>3061</v>
      </c>
      <c r="AR3275" t="s">
        <v>80</v>
      </c>
      <c r="AS3275">
        <v>201</v>
      </c>
      <c r="AT3275" t="s">
        <v>81</v>
      </c>
      <c r="AU3275">
        <v>-15.9</v>
      </c>
      <c r="AV3275">
        <v>-34.479999999999997</v>
      </c>
      <c r="AW3275" t="s">
        <v>82</v>
      </c>
      <c r="AX3275">
        <v>202</v>
      </c>
      <c r="AY3275" t="s">
        <v>81</v>
      </c>
      <c r="AZ3275">
        <v>-24.33</v>
      </c>
      <c r="BA3275">
        <v>-48.16</v>
      </c>
      <c r="BB3275" t="s">
        <v>83</v>
      </c>
    </row>
    <row r="3276" spans="1:54" x14ac:dyDescent="0.4">
      <c r="A3276">
        <v>843780</v>
      </c>
      <c r="D3276" t="s">
        <v>54</v>
      </c>
      <c r="G3276">
        <v>1</v>
      </c>
      <c r="H3276" t="s">
        <v>56</v>
      </c>
      <c r="I3276" t="s">
        <v>57</v>
      </c>
      <c r="K3276" t="s">
        <v>100</v>
      </c>
      <c r="L3276" t="s">
        <v>101</v>
      </c>
      <c r="M3276" t="s">
        <v>60</v>
      </c>
      <c r="P3276" t="s">
        <v>102</v>
      </c>
      <c r="Q3276" t="s">
        <v>103</v>
      </c>
      <c r="R3276" t="s">
        <v>104</v>
      </c>
      <c r="S3276" t="s">
        <v>64</v>
      </c>
      <c r="T3276">
        <v>251.90199999999999</v>
      </c>
      <c r="U3276">
        <v>246.7</v>
      </c>
      <c r="V3276">
        <f t="shared" si="102"/>
        <v>249.30099999999999</v>
      </c>
      <c r="W3276">
        <f t="shared" si="103"/>
        <v>5.2019999999999982</v>
      </c>
      <c r="X3276">
        <v>26.509722</v>
      </c>
      <c r="Y3276">
        <v>-32.106110000000001</v>
      </c>
      <c r="Z3276" t="s">
        <v>105</v>
      </c>
      <c r="AA3276" t="s">
        <v>106</v>
      </c>
      <c r="AB3276" t="s">
        <v>107</v>
      </c>
      <c r="AC3276" t="s">
        <v>108</v>
      </c>
      <c r="AD3276" t="s">
        <v>109</v>
      </c>
      <c r="AE3276" t="s">
        <v>110</v>
      </c>
      <c r="AH3276" t="s">
        <v>72</v>
      </c>
      <c r="AI3276" t="s">
        <v>2370</v>
      </c>
      <c r="AJ3276">
        <v>1878</v>
      </c>
      <c r="AK3276" t="s">
        <v>112</v>
      </c>
      <c r="AM3276" t="s">
        <v>113</v>
      </c>
      <c r="AN3276" t="s">
        <v>114</v>
      </c>
      <c r="AO3276" t="s">
        <v>77</v>
      </c>
      <c r="AP3276" t="s">
        <v>115</v>
      </c>
      <c r="AQ3276" t="s">
        <v>116</v>
      </c>
      <c r="AR3276" t="s">
        <v>80</v>
      </c>
      <c r="AS3276">
        <v>701</v>
      </c>
      <c r="AT3276" t="s">
        <v>81</v>
      </c>
      <c r="AU3276">
        <v>-11.67</v>
      </c>
      <c r="AV3276">
        <v>-51.38</v>
      </c>
      <c r="AW3276" t="s">
        <v>82</v>
      </c>
      <c r="AX3276">
        <v>701</v>
      </c>
      <c r="AY3276" t="s">
        <v>81</v>
      </c>
      <c r="AZ3276">
        <v>-21.79</v>
      </c>
      <c r="BA3276">
        <v>-65.5</v>
      </c>
      <c r="BB3276" t="s">
        <v>83</v>
      </c>
    </row>
    <row r="3277" spans="1:54" x14ac:dyDescent="0.4">
      <c r="A3277">
        <v>843781</v>
      </c>
      <c r="D3277" t="s">
        <v>54</v>
      </c>
      <c r="G3277">
        <v>1</v>
      </c>
      <c r="H3277" t="s">
        <v>56</v>
      </c>
      <c r="I3277" t="s">
        <v>57</v>
      </c>
      <c r="K3277" t="s">
        <v>100</v>
      </c>
      <c r="L3277" t="s">
        <v>101</v>
      </c>
      <c r="M3277" t="s">
        <v>60</v>
      </c>
      <c r="P3277" t="s">
        <v>102</v>
      </c>
      <c r="Q3277" t="s">
        <v>103</v>
      </c>
      <c r="R3277" t="s">
        <v>104</v>
      </c>
      <c r="S3277" t="s">
        <v>64</v>
      </c>
      <c r="T3277">
        <v>251.90199999999999</v>
      </c>
      <c r="U3277">
        <v>246.7</v>
      </c>
      <c r="V3277">
        <f t="shared" si="102"/>
        <v>249.30099999999999</v>
      </c>
      <c r="W3277">
        <f t="shared" si="103"/>
        <v>5.2019999999999982</v>
      </c>
      <c r="X3277">
        <v>26.509722</v>
      </c>
      <c r="Y3277">
        <v>-32.106110000000001</v>
      </c>
      <c r="Z3277" t="s">
        <v>105</v>
      </c>
      <c r="AA3277" t="s">
        <v>106</v>
      </c>
      <c r="AB3277" t="s">
        <v>107</v>
      </c>
      <c r="AC3277" t="s">
        <v>108</v>
      </c>
      <c r="AD3277" t="s">
        <v>109</v>
      </c>
      <c r="AE3277" t="s">
        <v>110</v>
      </c>
      <c r="AH3277" t="s">
        <v>72</v>
      </c>
      <c r="AI3277" t="s">
        <v>2370</v>
      </c>
      <c r="AJ3277">
        <v>1878</v>
      </c>
      <c r="AK3277" t="s">
        <v>112</v>
      </c>
      <c r="AM3277" t="s">
        <v>113</v>
      </c>
      <c r="AN3277" t="s">
        <v>114</v>
      </c>
      <c r="AO3277" t="s">
        <v>77</v>
      </c>
      <c r="AP3277" t="s">
        <v>115</v>
      </c>
      <c r="AQ3277" t="s">
        <v>116</v>
      </c>
      <c r="AR3277" t="s">
        <v>80</v>
      </c>
      <c r="AS3277">
        <v>701</v>
      </c>
      <c r="AT3277" t="s">
        <v>81</v>
      </c>
      <c r="AU3277">
        <v>-11.67</v>
      </c>
      <c r="AV3277">
        <v>-51.38</v>
      </c>
      <c r="AW3277" t="s">
        <v>82</v>
      </c>
      <c r="AX3277">
        <v>701</v>
      </c>
      <c r="AY3277" t="s">
        <v>81</v>
      </c>
      <c r="AZ3277">
        <v>-21.79</v>
      </c>
      <c r="BA3277">
        <v>-65.5</v>
      </c>
      <c r="BB3277" t="s">
        <v>83</v>
      </c>
    </row>
    <row r="3278" spans="1:54" x14ac:dyDescent="0.4">
      <c r="A3278">
        <v>843782</v>
      </c>
      <c r="D3278" t="s">
        <v>54</v>
      </c>
      <c r="G3278">
        <v>1</v>
      </c>
      <c r="H3278" t="s">
        <v>56</v>
      </c>
      <c r="I3278" t="s">
        <v>57</v>
      </c>
      <c r="K3278" t="s">
        <v>100</v>
      </c>
      <c r="L3278" t="s">
        <v>101</v>
      </c>
      <c r="M3278" t="s">
        <v>60</v>
      </c>
      <c r="P3278" t="s">
        <v>102</v>
      </c>
      <c r="Q3278" t="s">
        <v>103</v>
      </c>
      <c r="R3278" t="s">
        <v>104</v>
      </c>
      <c r="S3278" t="s">
        <v>64</v>
      </c>
      <c r="T3278">
        <v>251.90199999999999</v>
      </c>
      <c r="U3278">
        <v>246.7</v>
      </c>
      <c r="V3278">
        <f t="shared" si="102"/>
        <v>249.30099999999999</v>
      </c>
      <c r="W3278">
        <f t="shared" si="103"/>
        <v>5.2019999999999982</v>
      </c>
      <c r="X3278">
        <v>26.509722</v>
      </c>
      <c r="Y3278">
        <v>-32.106110000000001</v>
      </c>
      <c r="Z3278" t="s">
        <v>105</v>
      </c>
      <c r="AA3278" t="s">
        <v>106</v>
      </c>
      <c r="AB3278" t="s">
        <v>107</v>
      </c>
      <c r="AC3278" t="s">
        <v>108</v>
      </c>
      <c r="AD3278" t="s">
        <v>109</v>
      </c>
      <c r="AE3278" t="s">
        <v>110</v>
      </c>
      <c r="AH3278" t="s">
        <v>72</v>
      </c>
      <c r="AI3278" t="s">
        <v>2370</v>
      </c>
      <c r="AJ3278">
        <v>1878</v>
      </c>
      <c r="AK3278" t="s">
        <v>112</v>
      </c>
      <c r="AM3278" t="s">
        <v>113</v>
      </c>
      <c r="AN3278" t="s">
        <v>114</v>
      </c>
      <c r="AO3278" t="s">
        <v>77</v>
      </c>
      <c r="AP3278" t="s">
        <v>115</v>
      </c>
      <c r="AQ3278" t="s">
        <v>116</v>
      </c>
      <c r="AR3278" t="s">
        <v>80</v>
      </c>
      <c r="AS3278">
        <v>701</v>
      </c>
      <c r="AT3278" t="s">
        <v>81</v>
      </c>
      <c r="AU3278">
        <v>-11.67</v>
      </c>
      <c r="AV3278">
        <v>-51.38</v>
      </c>
      <c r="AW3278" t="s">
        <v>82</v>
      </c>
      <c r="AX3278">
        <v>701</v>
      </c>
      <c r="AY3278" t="s">
        <v>81</v>
      </c>
      <c r="AZ3278">
        <v>-21.79</v>
      </c>
      <c r="BA3278">
        <v>-65.5</v>
      </c>
      <c r="BB3278" t="s">
        <v>83</v>
      </c>
    </row>
    <row r="3279" spans="1:54" x14ac:dyDescent="0.4">
      <c r="A3279">
        <v>843782</v>
      </c>
      <c r="D3279" t="s">
        <v>54</v>
      </c>
      <c r="G3279">
        <v>1</v>
      </c>
      <c r="H3279" t="s">
        <v>56</v>
      </c>
      <c r="I3279" t="s">
        <v>57</v>
      </c>
      <c r="K3279" t="s">
        <v>100</v>
      </c>
      <c r="L3279" t="s">
        <v>101</v>
      </c>
      <c r="M3279" t="s">
        <v>60</v>
      </c>
      <c r="P3279" t="s">
        <v>102</v>
      </c>
      <c r="Q3279" t="s">
        <v>103</v>
      </c>
      <c r="R3279" t="s">
        <v>104</v>
      </c>
      <c r="S3279" t="s">
        <v>64</v>
      </c>
      <c r="T3279">
        <v>251.90199999999999</v>
      </c>
      <c r="U3279">
        <v>246.7</v>
      </c>
      <c r="V3279">
        <f t="shared" si="102"/>
        <v>249.30099999999999</v>
      </c>
      <c r="W3279">
        <f t="shared" si="103"/>
        <v>5.2019999999999982</v>
      </c>
      <c r="X3279">
        <v>26.509722</v>
      </c>
      <c r="Y3279">
        <v>-32.106110000000001</v>
      </c>
      <c r="Z3279" t="s">
        <v>105</v>
      </c>
      <c r="AA3279" t="s">
        <v>106</v>
      </c>
      <c r="AB3279" t="s">
        <v>107</v>
      </c>
      <c r="AC3279" t="s">
        <v>108</v>
      </c>
      <c r="AD3279" t="s">
        <v>109</v>
      </c>
      <c r="AE3279" t="s">
        <v>110</v>
      </c>
      <c r="AH3279" t="s">
        <v>72</v>
      </c>
      <c r="AI3279" t="s">
        <v>2370</v>
      </c>
      <c r="AJ3279">
        <v>1878</v>
      </c>
      <c r="AK3279" t="s">
        <v>112</v>
      </c>
      <c r="AM3279" t="s">
        <v>113</v>
      </c>
      <c r="AN3279" t="s">
        <v>114</v>
      </c>
      <c r="AO3279" t="s">
        <v>77</v>
      </c>
      <c r="AP3279" t="s">
        <v>115</v>
      </c>
      <c r="AQ3279" t="s">
        <v>116</v>
      </c>
      <c r="AR3279" t="s">
        <v>80</v>
      </c>
      <c r="AS3279">
        <v>701</v>
      </c>
      <c r="AT3279" t="s">
        <v>81</v>
      </c>
      <c r="AU3279">
        <v>-11.67</v>
      </c>
      <c r="AV3279">
        <v>-51.38</v>
      </c>
      <c r="AW3279" t="s">
        <v>82</v>
      </c>
      <c r="AX3279">
        <v>701</v>
      </c>
      <c r="AY3279" t="s">
        <v>81</v>
      </c>
      <c r="AZ3279">
        <v>-21.79</v>
      </c>
      <c r="BA3279">
        <v>-65.5</v>
      </c>
      <c r="BB3279" t="s">
        <v>83</v>
      </c>
    </row>
    <row r="3280" spans="1:54" x14ac:dyDescent="0.4">
      <c r="A3280">
        <v>845945</v>
      </c>
      <c r="D3280" t="s">
        <v>1645</v>
      </c>
      <c r="E3280" t="s">
        <v>154</v>
      </c>
      <c r="G3280">
        <v>4</v>
      </c>
      <c r="H3280" t="s">
        <v>84</v>
      </c>
      <c r="I3280" t="s">
        <v>57</v>
      </c>
      <c r="K3280" t="s">
        <v>100</v>
      </c>
      <c r="L3280" t="s">
        <v>101</v>
      </c>
      <c r="M3280" t="s">
        <v>60</v>
      </c>
      <c r="P3280" t="s">
        <v>102</v>
      </c>
      <c r="Q3280" t="s">
        <v>103</v>
      </c>
      <c r="R3280" t="s">
        <v>104</v>
      </c>
      <c r="S3280" t="s">
        <v>64</v>
      </c>
      <c r="T3280">
        <v>251.90199999999999</v>
      </c>
      <c r="U3280">
        <v>246.7</v>
      </c>
      <c r="V3280">
        <f t="shared" si="102"/>
        <v>249.30099999999999</v>
      </c>
      <c r="W3280">
        <f t="shared" si="103"/>
        <v>5.2019999999999982</v>
      </c>
      <c r="X3280">
        <v>-54.231945000000003</v>
      </c>
      <c r="Y3280">
        <v>-29.826944000000001</v>
      </c>
      <c r="Z3280" t="s">
        <v>105</v>
      </c>
      <c r="AA3280" t="s">
        <v>783</v>
      </c>
      <c r="AB3280" t="s">
        <v>784</v>
      </c>
      <c r="AC3280" t="s">
        <v>943</v>
      </c>
      <c r="AD3280" t="s">
        <v>3058</v>
      </c>
      <c r="AE3280" t="s">
        <v>786</v>
      </c>
      <c r="AH3280" t="s">
        <v>72</v>
      </c>
      <c r="AI3280" t="s">
        <v>3073</v>
      </c>
      <c r="AJ3280">
        <v>1983</v>
      </c>
      <c r="AK3280" t="s">
        <v>3074</v>
      </c>
      <c r="AM3280" t="s">
        <v>3075</v>
      </c>
      <c r="AN3280" t="s">
        <v>76</v>
      </c>
      <c r="AO3280" t="s">
        <v>77</v>
      </c>
      <c r="AP3280" t="s">
        <v>359</v>
      </c>
      <c r="AQ3280" t="s">
        <v>3076</v>
      </c>
      <c r="AR3280" t="s">
        <v>80</v>
      </c>
      <c r="AS3280">
        <v>201</v>
      </c>
      <c r="AT3280" t="s">
        <v>81</v>
      </c>
      <c r="AU3280">
        <v>-15.76</v>
      </c>
      <c r="AV3280">
        <v>-34.700000000000003</v>
      </c>
      <c r="AW3280" t="s">
        <v>82</v>
      </c>
      <c r="AX3280">
        <v>202</v>
      </c>
      <c r="AY3280" t="s">
        <v>81</v>
      </c>
      <c r="AZ3280">
        <v>-24.17</v>
      </c>
      <c r="BA3280">
        <v>-48.38</v>
      </c>
      <c r="BB3280" t="s">
        <v>83</v>
      </c>
    </row>
    <row r="3281" spans="1:54" x14ac:dyDescent="0.4">
      <c r="A3281">
        <v>847947</v>
      </c>
      <c r="D3281" t="s">
        <v>3114</v>
      </c>
      <c r="E3281" t="s">
        <v>154</v>
      </c>
      <c r="F3281" t="s">
        <v>3115</v>
      </c>
      <c r="G3281">
        <v>63</v>
      </c>
      <c r="H3281" t="s">
        <v>84</v>
      </c>
      <c r="I3281" t="s">
        <v>57</v>
      </c>
      <c r="K3281" t="s">
        <v>100</v>
      </c>
      <c r="L3281" t="s">
        <v>101</v>
      </c>
      <c r="M3281" t="s">
        <v>60</v>
      </c>
      <c r="P3281" t="s">
        <v>102</v>
      </c>
      <c r="Q3281" t="s">
        <v>103</v>
      </c>
      <c r="R3281" t="s">
        <v>104</v>
      </c>
      <c r="S3281" t="s">
        <v>64</v>
      </c>
      <c r="T3281">
        <v>251.90199999999999</v>
      </c>
      <c r="U3281">
        <v>246.7</v>
      </c>
      <c r="V3281">
        <f t="shared" si="102"/>
        <v>249.30099999999999</v>
      </c>
      <c r="W3281">
        <f t="shared" si="103"/>
        <v>5.2019999999999982</v>
      </c>
      <c r="X3281">
        <v>25.447222</v>
      </c>
      <c r="Y3281">
        <v>-31.598611999999999</v>
      </c>
      <c r="Z3281" t="s">
        <v>105</v>
      </c>
      <c r="AA3281" t="s">
        <v>106</v>
      </c>
      <c r="AB3281" t="s">
        <v>107</v>
      </c>
      <c r="AC3281" t="s">
        <v>1530</v>
      </c>
      <c r="AD3281" t="s">
        <v>109</v>
      </c>
      <c r="AE3281" t="s">
        <v>110</v>
      </c>
      <c r="AG3281" t="s">
        <v>1531</v>
      </c>
      <c r="AH3281" t="s">
        <v>72</v>
      </c>
      <c r="AI3281" t="s">
        <v>111</v>
      </c>
      <c r="AJ3281">
        <v>1903</v>
      </c>
      <c r="AK3281" t="s">
        <v>3116</v>
      </c>
      <c r="AM3281" t="s">
        <v>3117</v>
      </c>
      <c r="AN3281" t="s">
        <v>341</v>
      </c>
      <c r="AO3281" t="s">
        <v>77</v>
      </c>
      <c r="AP3281" t="s">
        <v>115</v>
      </c>
      <c r="AQ3281" t="s">
        <v>3118</v>
      </c>
      <c r="AR3281" t="s">
        <v>80</v>
      </c>
      <c r="AS3281">
        <v>701</v>
      </c>
      <c r="AT3281" t="s">
        <v>81</v>
      </c>
      <c r="AU3281">
        <v>-11.85</v>
      </c>
      <c r="AV3281">
        <v>-50.35</v>
      </c>
      <c r="AW3281" t="s">
        <v>82</v>
      </c>
      <c r="AX3281">
        <v>701</v>
      </c>
      <c r="AY3281" t="s">
        <v>81</v>
      </c>
      <c r="AZ3281">
        <v>-21.86</v>
      </c>
      <c r="BA3281">
        <v>-64.459999999999994</v>
      </c>
      <c r="BB3281" t="s">
        <v>83</v>
      </c>
    </row>
    <row r="3282" spans="1:54" x14ac:dyDescent="0.4">
      <c r="A3282">
        <v>847948</v>
      </c>
      <c r="D3282" t="s">
        <v>3114</v>
      </c>
      <c r="E3282" t="s">
        <v>154</v>
      </c>
      <c r="F3282" t="s">
        <v>3115</v>
      </c>
      <c r="G3282">
        <v>3</v>
      </c>
      <c r="H3282" t="s">
        <v>84</v>
      </c>
      <c r="I3282" t="s">
        <v>57</v>
      </c>
      <c r="K3282" t="s">
        <v>100</v>
      </c>
      <c r="L3282" t="s">
        <v>101</v>
      </c>
      <c r="M3282" t="s">
        <v>60</v>
      </c>
      <c r="P3282" t="s">
        <v>102</v>
      </c>
      <c r="Q3282" t="s">
        <v>103</v>
      </c>
      <c r="R3282" t="s">
        <v>104</v>
      </c>
      <c r="S3282" t="s">
        <v>64</v>
      </c>
      <c r="T3282">
        <v>251.90199999999999</v>
      </c>
      <c r="U3282">
        <v>246.7</v>
      </c>
      <c r="V3282">
        <f t="shared" si="102"/>
        <v>249.30099999999999</v>
      </c>
      <c r="W3282">
        <f t="shared" si="103"/>
        <v>5.2019999999999982</v>
      </c>
      <c r="X3282">
        <v>25.447222</v>
      </c>
      <c r="Y3282">
        <v>-31.598611999999999</v>
      </c>
      <c r="Z3282" t="s">
        <v>105</v>
      </c>
      <c r="AA3282" t="s">
        <v>106</v>
      </c>
      <c r="AB3282" t="s">
        <v>107</v>
      </c>
      <c r="AC3282" t="s">
        <v>1530</v>
      </c>
      <c r="AD3282" t="s">
        <v>109</v>
      </c>
      <c r="AE3282" t="s">
        <v>110</v>
      </c>
      <c r="AG3282" t="s">
        <v>1531</v>
      </c>
      <c r="AH3282" t="s">
        <v>72</v>
      </c>
      <c r="AI3282" t="s">
        <v>2370</v>
      </c>
      <c r="AJ3282">
        <v>1905</v>
      </c>
      <c r="AK3282" t="s">
        <v>3116</v>
      </c>
      <c r="AM3282" t="s">
        <v>3117</v>
      </c>
      <c r="AN3282" t="s">
        <v>341</v>
      </c>
      <c r="AO3282" t="s">
        <v>77</v>
      </c>
      <c r="AP3282" t="s">
        <v>115</v>
      </c>
      <c r="AQ3282" t="s">
        <v>3118</v>
      </c>
      <c r="AR3282" t="s">
        <v>80</v>
      </c>
      <c r="AS3282">
        <v>701</v>
      </c>
      <c r="AT3282" t="s">
        <v>81</v>
      </c>
      <c r="AU3282">
        <v>-11.85</v>
      </c>
      <c r="AV3282">
        <v>-50.35</v>
      </c>
      <c r="AW3282" t="s">
        <v>82</v>
      </c>
      <c r="AX3282">
        <v>701</v>
      </c>
      <c r="AY3282" t="s">
        <v>81</v>
      </c>
      <c r="AZ3282">
        <v>-21.86</v>
      </c>
      <c r="BA3282">
        <v>-64.459999999999994</v>
      </c>
      <c r="BB3282" t="s">
        <v>83</v>
      </c>
    </row>
    <row r="3283" spans="1:54" x14ac:dyDescent="0.4">
      <c r="A3283">
        <v>847949</v>
      </c>
      <c r="D3283" t="s">
        <v>3114</v>
      </c>
      <c r="E3283" t="s">
        <v>154</v>
      </c>
      <c r="F3283" t="s">
        <v>3115</v>
      </c>
      <c r="G3283">
        <v>1</v>
      </c>
      <c r="H3283" t="s">
        <v>84</v>
      </c>
      <c r="I3283" t="s">
        <v>57</v>
      </c>
      <c r="K3283" t="s">
        <v>100</v>
      </c>
      <c r="L3283" t="s">
        <v>101</v>
      </c>
      <c r="M3283" t="s">
        <v>60</v>
      </c>
      <c r="P3283" t="s">
        <v>102</v>
      </c>
      <c r="Q3283" t="s">
        <v>103</v>
      </c>
      <c r="R3283" t="s">
        <v>104</v>
      </c>
      <c r="S3283" t="s">
        <v>64</v>
      </c>
      <c r="T3283">
        <v>251.90199999999999</v>
      </c>
      <c r="U3283">
        <v>246.7</v>
      </c>
      <c r="V3283">
        <f t="shared" si="102"/>
        <v>249.30099999999999</v>
      </c>
      <c r="W3283">
        <f t="shared" si="103"/>
        <v>5.2019999999999982</v>
      </c>
      <c r="X3283">
        <v>25.447222</v>
      </c>
      <c r="Y3283">
        <v>-31.598611999999999</v>
      </c>
      <c r="Z3283" t="s">
        <v>105</v>
      </c>
      <c r="AA3283" t="s">
        <v>106</v>
      </c>
      <c r="AB3283" t="s">
        <v>107</v>
      </c>
      <c r="AC3283" t="s">
        <v>1530</v>
      </c>
      <c r="AD3283" t="s">
        <v>109</v>
      </c>
      <c r="AE3283" t="s">
        <v>110</v>
      </c>
      <c r="AG3283" t="s">
        <v>1531</v>
      </c>
      <c r="AH3283" t="s">
        <v>72</v>
      </c>
      <c r="AI3283" t="s">
        <v>2370</v>
      </c>
      <c r="AJ3283">
        <v>1905</v>
      </c>
      <c r="AK3283" t="s">
        <v>3116</v>
      </c>
      <c r="AM3283" t="s">
        <v>3117</v>
      </c>
      <c r="AN3283" t="s">
        <v>341</v>
      </c>
      <c r="AO3283" t="s">
        <v>77</v>
      </c>
      <c r="AP3283" t="s">
        <v>115</v>
      </c>
      <c r="AQ3283" t="s">
        <v>3118</v>
      </c>
      <c r="AR3283" t="s">
        <v>80</v>
      </c>
      <c r="AS3283">
        <v>701</v>
      </c>
      <c r="AT3283" t="s">
        <v>81</v>
      </c>
      <c r="AU3283">
        <v>-11.85</v>
      </c>
      <c r="AV3283">
        <v>-50.35</v>
      </c>
      <c r="AW3283" t="s">
        <v>82</v>
      </c>
      <c r="AX3283">
        <v>701</v>
      </c>
      <c r="AY3283" t="s">
        <v>81</v>
      </c>
      <c r="AZ3283">
        <v>-21.86</v>
      </c>
      <c r="BA3283">
        <v>-64.459999999999994</v>
      </c>
      <c r="BB3283" t="s">
        <v>83</v>
      </c>
    </row>
    <row r="3284" spans="1:54" x14ac:dyDescent="0.4">
      <c r="A3284">
        <v>848381</v>
      </c>
      <c r="D3284" t="s">
        <v>54</v>
      </c>
      <c r="G3284">
        <v>1</v>
      </c>
      <c r="H3284" t="s">
        <v>421</v>
      </c>
      <c r="I3284" t="s">
        <v>57</v>
      </c>
      <c r="K3284" t="s">
        <v>100</v>
      </c>
      <c r="L3284" t="s">
        <v>101</v>
      </c>
      <c r="M3284" t="s">
        <v>60</v>
      </c>
      <c r="P3284" t="s">
        <v>102</v>
      </c>
      <c r="Q3284" t="s">
        <v>103</v>
      </c>
      <c r="R3284" t="s">
        <v>104</v>
      </c>
      <c r="S3284" t="s">
        <v>64</v>
      </c>
      <c r="T3284">
        <v>251.90199999999999</v>
      </c>
      <c r="U3284">
        <v>246.7</v>
      </c>
      <c r="V3284">
        <f t="shared" si="102"/>
        <v>249.30099999999999</v>
      </c>
      <c r="W3284">
        <f t="shared" si="103"/>
        <v>5.2019999999999982</v>
      </c>
      <c r="X3284">
        <v>25.85</v>
      </c>
      <c r="Y3284">
        <v>-30.304167</v>
      </c>
      <c r="Z3284" t="s">
        <v>124</v>
      </c>
      <c r="AA3284" t="s">
        <v>106</v>
      </c>
      <c r="AB3284" t="s">
        <v>1625</v>
      </c>
      <c r="AC3284" t="s">
        <v>1626</v>
      </c>
      <c r="AE3284" t="s">
        <v>110</v>
      </c>
      <c r="AG3284" t="s">
        <v>1531</v>
      </c>
      <c r="AH3284" t="s">
        <v>72</v>
      </c>
      <c r="AI3284" t="s">
        <v>2173</v>
      </c>
      <c r="AJ3284">
        <v>1985</v>
      </c>
      <c r="AK3284" t="s">
        <v>3119</v>
      </c>
      <c r="AN3284" t="s">
        <v>341</v>
      </c>
      <c r="AO3284" t="s">
        <v>77</v>
      </c>
      <c r="AP3284" t="s">
        <v>636</v>
      </c>
      <c r="AQ3284" t="s">
        <v>3120</v>
      </c>
      <c r="AR3284" t="s">
        <v>80</v>
      </c>
      <c r="AS3284">
        <v>701</v>
      </c>
      <c r="AT3284" t="s">
        <v>81</v>
      </c>
      <c r="AU3284">
        <v>-9.92</v>
      </c>
      <c r="AV3284">
        <v>-49.85</v>
      </c>
      <c r="AW3284" t="s">
        <v>82</v>
      </c>
      <c r="AX3284">
        <v>701</v>
      </c>
      <c r="AY3284" t="s">
        <v>81</v>
      </c>
      <c r="AZ3284">
        <v>-18.91</v>
      </c>
      <c r="BA3284">
        <v>-64.06</v>
      </c>
      <c r="BB3284" t="s">
        <v>83</v>
      </c>
    </row>
    <row r="3285" spans="1:54" x14ac:dyDescent="0.4">
      <c r="A3285">
        <v>853631</v>
      </c>
      <c r="D3285" t="s">
        <v>2001</v>
      </c>
      <c r="E3285" t="s">
        <v>154</v>
      </c>
      <c r="G3285">
        <v>1</v>
      </c>
      <c r="H3285" t="s">
        <v>84</v>
      </c>
      <c r="I3285" t="s">
        <v>57</v>
      </c>
      <c r="K3285" t="s">
        <v>141</v>
      </c>
      <c r="L3285" t="s">
        <v>3157</v>
      </c>
      <c r="M3285" t="s">
        <v>60</v>
      </c>
      <c r="P3285" t="s">
        <v>102</v>
      </c>
      <c r="Q3285" t="s">
        <v>103</v>
      </c>
      <c r="R3285" t="s">
        <v>104</v>
      </c>
      <c r="S3285" t="s">
        <v>64</v>
      </c>
      <c r="T3285">
        <v>251.90199999999999</v>
      </c>
      <c r="U3285">
        <v>246.7</v>
      </c>
      <c r="V3285">
        <f t="shared" si="102"/>
        <v>249.30099999999999</v>
      </c>
      <c r="W3285">
        <f t="shared" si="103"/>
        <v>5.2019999999999982</v>
      </c>
      <c r="X3285">
        <v>-177</v>
      </c>
      <c r="Y3285">
        <v>-85.216667000000001</v>
      </c>
      <c r="Z3285" t="s">
        <v>105</v>
      </c>
      <c r="AA3285" t="s">
        <v>2145</v>
      </c>
      <c r="AD3285" t="s">
        <v>2146</v>
      </c>
      <c r="AE3285" t="s">
        <v>2147</v>
      </c>
      <c r="AF3285" t="s">
        <v>620</v>
      </c>
      <c r="AH3285" t="s">
        <v>72</v>
      </c>
      <c r="AI3285" t="s">
        <v>1633</v>
      </c>
      <c r="AJ3285">
        <v>1992</v>
      </c>
      <c r="AK3285" t="s">
        <v>2149</v>
      </c>
      <c r="AM3285" t="s">
        <v>2150</v>
      </c>
      <c r="AN3285" t="s">
        <v>76</v>
      </c>
      <c r="AO3285" t="s">
        <v>77</v>
      </c>
      <c r="AP3285" t="s">
        <v>78</v>
      </c>
      <c r="AQ3285" t="s">
        <v>2151</v>
      </c>
      <c r="AR3285" t="s">
        <v>80</v>
      </c>
      <c r="AS3285">
        <v>802</v>
      </c>
      <c r="AT3285" t="s">
        <v>81</v>
      </c>
      <c r="AU3285">
        <v>20.67</v>
      </c>
      <c r="AV3285">
        <v>-72.34</v>
      </c>
      <c r="AW3285" t="s">
        <v>82</v>
      </c>
      <c r="AX3285">
        <v>802</v>
      </c>
      <c r="AY3285" t="s">
        <v>81</v>
      </c>
      <c r="AZ3285">
        <v>73</v>
      </c>
      <c r="BA3285">
        <v>-81.89</v>
      </c>
      <c r="BB3285" t="s">
        <v>83</v>
      </c>
    </row>
    <row r="3286" spans="1:54" x14ac:dyDescent="0.4">
      <c r="A3286">
        <v>895255</v>
      </c>
      <c r="D3286" t="s">
        <v>54</v>
      </c>
      <c r="E3286" t="s">
        <v>152</v>
      </c>
      <c r="I3286" t="s">
        <v>57</v>
      </c>
      <c r="K3286" t="s">
        <v>100</v>
      </c>
      <c r="L3286" t="s">
        <v>101</v>
      </c>
      <c r="M3286" t="s">
        <v>60</v>
      </c>
      <c r="P3286" t="s">
        <v>102</v>
      </c>
      <c r="Q3286" t="s">
        <v>103</v>
      </c>
      <c r="R3286" t="s">
        <v>104</v>
      </c>
      <c r="S3286" t="s">
        <v>64</v>
      </c>
      <c r="T3286">
        <v>251.90199999999999</v>
      </c>
      <c r="U3286">
        <v>246.7</v>
      </c>
      <c r="V3286">
        <f t="shared" si="102"/>
        <v>249.30099999999999</v>
      </c>
      <c r="W3286">
        <f t="shared" si="103"/>
        <v>5.2019999999999982</v>
      </c>
      <c r="X3286">
        <v>-55.052776000000001</v>
      </c>
      <c r="Y3286">
        <v>-29.615556999999999</v>
      </c>
      <c r="Z3286" t="s">
        <v>124</v>
      </c>
      <c r="AA3286" t="s">
        <v>783</v>
      </c>
      <c r="AB3286" t="s">
        <v>784</v>
      </c>
      <c r="AD3286" t="s">
        <v>3058</v>
      </c>
      <c r="AE3286" t="s">
        <v>786</v>
      </c>
      <c r="AH3286" t="s">
        <v>72</v>
      </c>
      <c r="AI3286" t="s">
        <v>3382</v>
      </c>
      <c r="AJ3286">
        <v>2009</v>
      </c>
      <c r="AK3286" t="s">
        <v>3383</v>
      </c>
      <c r="AN3286" t="s">
        <v>76</v>
      </c>
      <c r="AO3286" t="s">
        <v>77</v>
      </c>
      <c r="AP3286" t="s">
        <v>78</v>
      </c>
      <c r="AQ3286" t="s">
        <v>3384</v>
      </c>
      <c r="AR3286" t="s">
        <v>80</v>
      </c>
      <c r="AS3286">
        <v>201</v>
      </c>
      <c r="AT3286" t="s">
        <v>81</v>
      </c>
      <c r="AU3286">
        <v>-16.59</v>
      </c>
      <c r="AV3286">
        <v>-34.409999999999997</v>
      </c>
      <c r="AW3286" t="s">
        <v>82</v>
      </c>
      <c r="AX3286">
        <v>202</v>
      </c>
      <c r="AY3286" t="s">
        <v>81</v>
      </c>
      <c r="AZ3286">
        <v>-25.18</v>
      </c>
      <c r="BA3286">
        <v>-48.06</v>
      </c>
      <c r="BB3286" t="s">
        <v>83</v>
      </c>
    </row>
    <row r="3287" spans="1:54" x14ac:dyDescent="0.4">
      <c r="A3287">
        <v>895260</v>
      </c>
      <c r="D3287" t="s">
        <v>54</v>
      </c>
      <c r="E3287" t="s">
        <v>152</v>
      </c>
      <c r="I3287" t="s">
        <v>57</v>
      </c>
      <c r="K3287" t="s">
        <v>100</v>
      </c>
      <c r="L3287" t="s">
        <v>101</v>
      </c>
      <c r="M3287" t="s">
        <v>60</v>
      </c>
      <c r="P3287" t="s">
        <v>102</v>
      </c>
      <c r="Q3287" t="s">
        <v>103</v>
      </c>
      <c r="R3287" t="s">
        <v>104</v>
      </c>
      <c r="S3287" t="s">
        <v>64</v>
      </c>
      <c r="T3287">
        <v>251.90199999999999</v>
      </c>
      <c r="U3287">
        <v>246.7</v>
      </c>
      <c r="V3287">
        <f t="shared" si="102"/>
        <v>249.30099999999999</v>
      </c>
      <c r="W3287">
        <f t="shared" si="103"/>
        <v>5.2019999999999982</v>
      </c>
      <c r="X3287">
        <v>-55.052776000000001</v>
      </c>
      <c r="Y3287">
        <v>-29.615556999999999</v>
      </c>
      <c r="Z3287" t="s">
        <v>124</v>
      </c>
      <c r="AA3287" t="s">
        <v>783</v>
      </c>
      <c r="AB3287" t="s">
        <v>784</v>
      </c>
      <c r="AD3287" t="s">
        <v>3058</v>
      </c>
      <c r="AE3287" t="s">
        <v>786</v>
      </c>
      <c r="AH3287" t="s">
        <v>72</v>
      </c>
      <c r="AI3287" t="s">
        <v>3382</v>
      </c>
      <c r="AJ3287">
        <v>2009</v>
      </c>
      <c r="AK3287" t="s">
        <v>3385</v>
      </c>
      <c r="AN3287" t="s">
        <v>76</v>
      </c>
      <c r="AO3287" t="s">
        <v>77</v>
      </c>
      <c r="AP3287" t="s">
        <v>78</v>
      </c>
      <c r="AQ3287" t="s">
        <v>3384</v>
      </c>
      <c r="AR3287" t="s">
        <v>80</v>
      </c>
      <c r="AS3287">
        <v>201</v>
      </c>
      <c r="AT3287" t="s">
        <v>81</v>
      </c>
      <c r="AU3287">
        <v>-16.59</v>
      </c>
      <c r="AV3287">
        <v>-34.409999999999997</v>
      </c>
      <c r="AW3287" t="s">
        <v>82</v>
      </c>
      <c r="AX3287">
        <v>202</v>
      </c>
      <c r="AY3287" t="s">
        <v>81</v>
      </c>
      <c r="AZ3287">
        <v>-25.18</v>
      </c>
      <c r="BA3287">
        <v>-48.06</v>
      </c>
      <c r="BB3287" t="s">
        <v>83</v>
      </c>
    </row>
    <row r="3288" spans="1:54" x14ac:dyDescent="0.4">
      <c r="A3288">
        <v>895264</v>
      </c>
      <c r="D3288" t="s">
        <v>54</v>
      </c>
      <c r="E3288" t="s">
        <v>152</v>
      </c>
      <c r="I3288" t="s">
        <v>57</v>
      </c>
      <c r="K3288" t="s">
        <v>100</v>
      </c>
      <c r="L3288" t="s">
        <v>101</v>
      </c>
      <c r="M3288" t="s">
        <v>60</v>
      </c>
      <c r="P3288" t="s">
        <v>102</v>
      </c>
      <c r="Q3288" t="s">
        <v>103</v>
      </c>
      <c r="R3288" t="s">
        <v>104</v>
      </c>
      <c r="S3288" t="s">
        <v>64</v>
      </c>
      <c r="T3288">
        <v>251.90199999999999</v>
      </c>
      <c r="U3288">
        <v>246.7</v>
      </c>
      <c r="V3288">
        <f t="shared" si="102"/>
        <v>249.30099999999999</v>
      </c>
      <c r="W3288">
        <f t="shared" si="103"/>
        <v>5.2019999999999982</v>
      </c>
      <c r="X3288">
        <v>-55.052776000000001</v>
      </c>
      <c r="Y3288">
        <v>-29.615556999999999</v>
      </c>
      <c r="Z3288" t="s">
        <v>124</v>
      </c>
      <c r="AA3288" t="s">
        <v>783</v>
      </c>
      <c r="AB3288" t="s">
        <v>784</v>
      </c>
      <c r="AD3288" t="s">
        <v>3058</v>
      </c>
      <c r="AE3288" t="s">
        <v>786</v>
      </c>
      <c r="AH3288" t="s">
        <v>72</v>
      </c>
      <c r="AI3288" t="s">
        <v>3382</v>
      </c>
      <c r="AJ3288">
        <v>2009</v>
      </c>
      <c r="AK3288" t="s">
        <v>3386</v>
      </c>
      <c r="AN3288" t="s">
        <v>76</v>
      </c>
      <c r="AO3288" t="s">
        <v>77</v>
      </c>
      <c r="AP3288" t="s">
        <v>78</v>
      </c>
      <c r="AQ3288" t="s">
        <v>3384</v>
      </c>
      <c r="AR3288" t="s">
        <v>80</v>
      </c>
      <c r="AS3288">
        <v>201</v>
      </c>
      <c r="AT3288" t="s">
        <v>81</v>
      </c>
      <c r="AU3288">
        <v>-16.59</v>
      </c>
      <c r="AV3288">
        <v>-34.409999999999997</v>
      </c>
      <c r="AW3288" t="s">
        <v>82</v>
      </c>
      <c r="AX3288">
        <v>202</v>
      </c>
      <c r="AY3288" t="s">
        <v>81</v>
      </c>
      <c r="AZ3288">
        <v>-25.18</v>
      </c>
      <c r="BA3288">
        <v>-48.06</v>
      </c>
      <c r="BB3288" t="s">
        <v>83</v>
      </c>
    </row>
    <row r="3289" spans="1:54" x14ac:dyDescent="0.4">
      <c r="A3289">
        <v>922663</v>
      </c>
      <c r="D3289" t="s">
        <v>54</v>
      </c>
      <c r="F3289" t="s">
        <v>3645</v>
      </c>
      <c r="I3289" t="s">
        <v>57</v>
      </c>
      <c r="K3289" t="s">
        <v>100</v>
      </c>
      <c r="L3289" t="s">
        <v>101</v>
      </c>
      <c r="M3289" t="s">
        <v>60</v>
      </c>
      <c r="P3289" t="s">
        <v>102</v>
      </c>
      <c r="Q3289" t="s">
        <v>103</v>
      </c>
      <c r="R3289" t="s">
        <v>104</v>
      </c>
      <c r="S3289" t="s">
        <v>64</v>
      </c>
      <c r="T3289">
        <v>251.90199999999999</v>
      </c>
      <c r="U3289">
        <v>246.7</v>
      </c>
      <c r="V3289">
        <f t="shared" si="102"/>
        <v>249.30099999999999</v>
      </c>
      <c r="W3289">
        <f t="shared" si="103"/>
        <v>5.2019999999999982</v>
      </c>
      <c r="X3289">
        <v>29.125</v>
      </c>
      <c r="Y3289">
        <v>-28.274999999999999</v>
      </c>
      <c r="Z3289" t="s">
        <v>124</v>
      </c>
      <c r="AA3289" t="s">
        <v>106</v>
      </c>
      <c r="AB3289" t="s">
        <v>1625</v>
      </c>
      <c r="AC3289" t="s">
        <v>3646</v>
      </c>
      <c r="AD3289" t="s">
        <v>3647</v>
      </c>
      <c r="AE3289" t="s">
        <v>110</v>
      </c>
      <c r="AF3289" t="s">
        <v>3648</v>
      </c>
      <c r="AG3289" t="s">
        <v>3649</v>
      </c>
      <c r="AH3289" t="s">
        <v>72</v>
      </c>
      <c r="AI3289" t="s">
        <v>3650</v>
      </c>
      <c r="AJ3289">
        <v>1977</v>
      </c>
      <c r="AK3289" t="s">
        <v>3651</v>
      </c>
      <c r="AM3289" t="s">
        <v>3652</v>
      </c>
      <c r="AN3289" t="s">
        <v>114</v>
      </c>
      <c r="AO3289" t="s">
        <v>77</v>
      </c>
      <c r="AP3289" t="s">
        <v>359</v>
      </c>
      <c r="AQ3289" t="s">
        <v>3653</v>
      </c>
      <c r="AR3289" t="s">
        <v>80</v>
      </c>
      <c r="AS3289">
        <v>701</v>
      </c>
      <c r="AT3289" t="s">
        <v>81</v>
      </c>
      <c r="AU3289">
        <v>-4.6399999999999997</v>
      </c>
      <c r="AV3289">
        <v>-50.81</v>
      </c>
      <c r="AW3289" t="s">
        <v>82</v>
      </c>
      <c r="AX3289">
        <v>701</v>
      </c>
      <c r="AY3289" t="s">
        <v>81</v>
      </c>
      <c r="AZ3289">
        <v>-11.15</v>
      </c>
      <c r="BA3289">
        <v>-65.17</v>
      </c>
      <c r="BB3289" t="s">
        <v>83</v>
      </c>
    </row>
    <row r="3290" spans="1:54" x14ac:dyDescent="0.4">
      <c r="A3290">
        <v>922664</v>
      </c>
      <c r="D3290" t="s">
        <v>54</v>
      </c>
      <c r="F3290" t="s">
        <v>3645</v>
      </c>
      <c r="G3290">
        <v>1</v>
      </c>
      <c r="H3290" t="s">
        <v>56</v>
      </c>
      <c r="I3290" t="s">
        <v>57</v>
      </c>
      <c r="K3290" t="s">
        <v>1957</v>
      </c>
      <c r="L3290" t="s">
        <v>3654</v>
      </c>
      <c r="M3290" t="s">
        <v>60</v>
      </c>
      <c r="P3290" t="s">
        <v>102</v>
      </c>
      <c r="Q3290" t="s">
        <v>103</v>
      </c>
      <c r="R3290" t="s">
        <v>104</v>
      </c>
      <c r="S3290" t="s">
        <v>64</v>
      </c>
      <c r="T3290">
        <v>251.90199999999999</v>
      </c>
      <c r="U3290">
        <v>246.7</v>
      </c>
      <c r="V3290">
        <f t="shared" si="102"/>
        <v>249.30099999999999</v>
      </c>
      <c r="W3290">
        <f t="shared" si="103"/>
        <v>5.2019999999999982</v>
      </c>
      <c r="X3290">
        <v>29.125</v>
      </c>
      <c r="Y3290">
        <v>-28.274999999999999</v>
      </c>
      <c r="Z3290" t="s">
        <v>124</v>
      </c>
      <c r="AA3290" t="s">
        <v>106</v>
      </c>
      <c r="AB3290" t="s">
        <v>1625</v>
      </c>
      <c r="AC3290" t="s">
        <v>3646</v>
      </c>
      <c r="AD3290" t="s">
        <v>3647</v>
      </c>
      <c r="AE3290" t="s">
        <v>110</v>
      </c>
      <c r="AF3290" t="s">
        <v>3648</v>
      </c>
      <c r="AG3290" t="s">
        <v>3649</v>
      </c>
      <c r="AH3290" t="s">
        <v>72</v>
      </c>
      <c r="AI3290" t="s">
        <v>3655</v>
      </c>
      <c r="AJ3290">
        <v>2004</v>
      </c>
      <c r="AK3290" t="s">
        <v>3651</v>
      </c>
      <c r="AM3290" t="s">
        <v>3652</v>
      </c>
      <c r="AN3290" t="s">
        <v>114</v>
      </c>
      <c r="AO3290" t="s">
        <v>77</v>
      </c>
      <c r="AP3290" t="s">
        <v>359</v>
      </c>
      <c r="AQ3290" t="s">
        <v>3653</v>
      </c>
      <c r="AR3290" t="s">
        <v>80</v>
      </c>
      <c r="AS3290">
        <v>701</v>
      </c>
      <c r="AT3290" t="s">
        <v>81</v>
      </c>
      <c r="AU3290">
        <v>-4.6399999999999997</v>
      </c>
      <c r="AV3290">
        <v>-50.81</v>
      </c>
      <c r="AW3290" t="s">
        <v>82</v>
      </c>
      <c r="AX3290">
        <v>701</v>
      </c>
      <c r="AY3290" t="s">
        <v>81</v>
      </c>
      <c r="AZ3290">
        <v>-11.15</v>
      </c>
      <c r="BA3290">
        <v>-65.17</v>
      </c>
      <c r="BB3290" t="s">
        <v>83</v>
      </c>
    </row>
    <row r="3291" spans="1:54" x14ac:dyDescent="0.4">
      <c r="A3291">
        <v>922664</v>
      </c>
      <c r="D3291" t="s">
        <v>54</v>
      </c>
      <c r="F3291" t="s">
        <v>3645</v>
      </c>
      <c r="G3291">
        <v>1</v>
      </c>
      <c r="H3291" t="s">
        <v>56</v>
      </c>
      <c r="I3291" t="s">
        <v>57</v>
      </c>
      <c r="K3291" t="s">
        <v>1957</v>
      </c>
      <c r="L3291" t="s">
        <v>3654</v>
      </c>
      <c r="M3291" t="s">
        <v>60</v>
      </c>
      <c r="P3291" t="s">
        <v>102</v>
      </c>
      <c r="Q3291" t="s">
        <v>103</v>
      </c>
      <c r="R3291" t="s">
        <v>104</v>
      </c>
      <c r="S3291" t="s">
        <v>64</v>
      </c>
      <c r="T3291">
        <v>251.90199999999999</v>
      </c>
      <c r="U3291">
        <v>246.7</v>
      </c>
      <c r="V3291">
        <f t="shared" si="102"/>
        <v>249.30099999999999</v>
      </c>
      <c r="W3291">
        <f t="shared" si="103"/>
        <v>5.2019999999999982</v>
      </c>
      <c r="X3291">
        <v>29.125</v>
      </c>
      <c r="Y3291">
        <v>-28.274999999999999</v>
      </c>
      <c r="Z3291" t="s">
        <v>124</v>
      </c>
      <c r="AA3291" t="s">
        <v>106</v>
      </c>
      <c r="AB3291" t="s">
        <v>1625</v>
      </c>
      <c r="AC3291" t="s">
        <v>3646</v>
      </c>
      <c r="AD3291" t="s">
        <v>3647</v>
      </c>
      <c r="AE3291" t="s">
        <v>110</v>
      </c>
      <c r="AF3291" t="s">
        <v>3648</v>
      </c>
      <c r="AG3291" t="s">
        <v>3649</v>
      </c>
      <c r="AH3291" t="s">
        <v>72</v>
      </c>
      <c r="AI3291" t="s">
        <v>3655</v>
      </c>
      <c r="AJ3291">
        <v>2004</v>
      </c>
      <c r="AK3291" t="s">
        <v>3651</v>
      </c>
      <c r="AM3291" t="s">
        <v>3652</v>
      </c>
      <c r="AN3291" t="s">
        <v>114</v>
      </c>
      <c r="AO3291" t="s">
        <v>77</v>
      </c>
      <c r="AP3291" t="s">
        <v>359</v>
      </c>
      <c r="AQ3291" t="s">
        <v>3653</v>
      </c>
      <c r="AR3291" t="s">
        <v>80</v>
      </c>
      <c r="AS3291">
        <v>701</v>
      </c>
      <c r="AT3291" t="s">
        <v>81</v>
      </c>
      <c r="AU3291">
        <v>-4.6399999999999997</v>
      </c>
      <c r="AV3291">
        <v>-50.81</v>
      </c>
      <c r="AW3291" t="s">
        <v>82</v>
      </c>
      <c r="AX3291">
        <v>701</v>
      </c>
      <c r="AY3291" t="s">
        <v>81</v>
      </c>
      <c r="AZ3291">
        <v>-11.15</v>
      </c>
      <c r="BA3291">
        <v>-65.17</v>
      </c>
      <c r="BB3291" t="s">
        <v>83</v>
      </c>
    </row>
    <row r="3292" spans="1:54" x14ac:dyDescent="0.4">
      <c r="A3292">
        <v>922665</v>
      </c>
      <c r="D3292" t="s">
        <v>54</v>
      </c>
      <c r="F3292" t="s">
        <v>3645</v>
      </c>
      <c r="G3292">
        <v>1</v>
      </c>
      <c r="H3292" t="s">
        <v>56</v>
      </c>
      <c r="I3292" t="s">
        <v>57</v>
      </c>
      <c r="K3292" t="s">
        <v>2052</v>
      </c>
      <c r="L3292" t="s">
        <v>3656</v>
      </c>
      <c r="M3292" t="s">
        <v>60</v>
      </c>
      <c r="O3292" t="s">
        <v>87</v>
      </c>
      <c r="P3292" t="s">
        <v>102</v>
      </c>
      <c r="Q3292" t="s">
        <v>103</v>
      </c>
      <c r="R3292" t="s">
        <v>104</v>
      </c>
      <c r="S3292" t="s">
        <v>64</v>
      </c>
      <c r="T3292">
        <v>251.90199999999999</v>
      </c>
      <c r="U3292">
        <v>246.7</v>
      </c>
      <c r="V3292">
        <f t="shared" si="102"/>
        <v>249.30099999999999</v>
      </c>
      <c r="W3292">
        <f t="shared" si="103"/>
        <v>5.2019999999999982</v>
      </c>
      <c r="X3292">
        <v>29.125</v>
      </c>
      <c r="Y3292">
        <v>-28.274999999999999</v>
      </c>
      <c r="Z3292" t="s">
        <v>124</v>
      </c>
      <c r="AA3292" t="s">
        <v>106</v>
      </c>
      <c r="AB3292" t="s">
        <v>1625</v>
      </c>
      <c r="AC3292" t="s">
        <v>3646</v>
      </c>
      <c r="AD3292" t="s">
        <v>3647</v>
      </c>
      <c r="AE3292" t="s">
        <v>110</v>
      </c>
      <c r="AF3292" t="s">
        <v>3648</v>
      </c>
      <c r="AG3292" t="s">
        <v>3649</v>
      </c>
      <c r="AH3292" t="s">
        <v>72</v>
      </c>
      <c r="AI3292" t="s">
        <v>621</v>
      </c>
      <c r="AJ3292">
        <v>1924</v>
      </c>
      <c r="AK3292" t="s">
        <v>3651</v>
      </c>
      <c r="AM3292" t="s">
        <v>3652</v>
      </c>
      <c r="AN3292" t="s">
        <v>114</v>
      </c>
      <c r="AO3292" t="s">
        <v>77</v>
      </c>
      <c r="AP3292" t="s">
        <v>359</v>
      </c>
      <c r="AQ3292" t="s">
        <v>3653</v>
      </c>
      <c r="AR3292" t="s">
        <v>80</v>
      </c>
      <c r="AS3292">
        <v>701</v>
      </c>
      <c r="AT3292" t="s">
        <v>81</v>
      </c>
      <c r="AU3292">
        <v>-4.6399999999999997</v>
      </c>
      <c r="AV3292">
        <v>-50.81</v>
      </c>
      <c r="AW3292" t="s">
        <v>82</v>
      </c>
      <c r="AX3292">
        <v>701</v>
      </c>
      <c r="AY3292" t="s">
        <v>81</v>
      </c>
      <c r="AZ3292">
        <v>-11.15</v>
      </c>
      <c r="BA3292">
        <v>-65.17</v>
      </c>
      <c r="BB3292" t="s">
        <v>83</v>
      </c>
    </row>
    <row r="3293" spans="1:54" x14ac:dyDescent="0.4">
      <c r="A3293">
        <v>922666</v>
      </c>
      <c r="D3293" t="s">
        <v>54</v>
      </c>
      <c r="F3293" t="s">
        <v>3645</v>
      </c>
      <c r="I3293" t="s">
        <v>57</v>
      </c>
      <c r="K3293" t="s">
        <v>141</v>
      </c>
      <c r="L3293" t="s">
        <v>3657</v>
      </c>
      <c r="M3293" t="s">
        <v>60</v>
      </c>
      <c r="P3293" t="s">
        <v>102</v>
      </c>
      <c r="Q3293" t="s">
        <v>103</v>
      </c>
      <c r="R3293" t="s">
        <v>104</v>
      </c>
      <c r="S3293" t="s">
        <v>64</v>
      </c>
      <c r="T3293">
        <v>251.90199999999999</v>
      </c>
      <c r="U3293">
        <v>246.7</v>
      </c>
      <c r="V3293">
        <f t="shared" si="102"/>
        <v>249.30099999999999</v>
      </c>
      <c r="W3293">
        <f t="shared" si="103"/>
        <v>5.2019999999999982</v>
      </c>
      <c r="X3293">
        <v>29.125</v>
      </c>
      <c r="Y3293">
        <v>-28.274999999999999</v>
      </c>
      <c r="Z3293" t="s">
        <v>124</v>
      </c>
      <c r="AA3293" t="s">
        <v>106</v>
      </c>
      <c r="AB3293" t="s">
        <v>1625</v>
      </c>
      <c r="AC3293" t="s">
        <v>3646</v>
      </c>
      <c r="AD3293" t="s">
        <v>3647</v>
      </c>
      <c r="AE3293" t="s">
        <v>110</v>
      </c>
      <c r="AF3293" t="s">
        <v>3648</v>
      </c>
      <c r="AG3293" t="s">
        <v>3649</v>
      </c>
      <c r="AH3293" t="s">
        <v>72</v>
      </c>
      <c r="AI3293" t="s">
        <v>3650</v>
      </c>
      <c r="AJ3293">
        <v>1977</v>
      </c>
      <c r="AK3293" t="s">
        <v>3651</v>
      </c>
      <c r="AM3293" t="s">
        <v>3652</v>
      </c>
      <c r="AN3293" t="s">
        <v>114</v>
      </c>
      <c r="AO3293" t="s">
        <v>77</v>
      </c>
      <c r="AP3293" t="s">
        <v>359</v>
      </c>
      <c r="AQ3293" t="s">
        <v>3653</v>
      </c>
      <c r="AR3293" t="s">
        <v>80</v>
      </c>
      <c r="AS3293">
        <v>701</v>
      </c>
      <c r="AT3293" t="s">
        <v>81</v>
      </c>
      <c r="AU3293">
        <v>-4.6399999999999997</v>
      </c>
      <c r="AV3293">
        <v>-50.81</v>
      </c>
      <c r="AW3293" t="s">
        <v>82</v>
      </c>
      <c r="AX3293">
        <v>701</v>
      </c>
      <c r="AY3293" t="s">
        <v>81</v>
      </c>
      <c r="AZ3293">
        <v>-11.15</v>
      </c>
      <c r="BA3293">
        <v>-65.17</v>
      </c>
      <c r="BB3293" t="s">
        <v>83</v>
      </c>
    </row>
    <row r="3294" spans="1:54" x14ac:dyDescent="0.4">
      <c r="A3294">
        <v>922675</v>
      </c>
      <c r="D3294" t="s">
        <v>54</v>
      </c>
      <c r="F3294" t="s">
        <v>3645</v>
      </c>
      <c r="I3294" t="s">
        <v>57</v>
      </c>
      <c r="K3294" t="s">
        <v>100</v>
      </c>
      <c r="L3294" t="s">
        <v>101</v>
      </c>
      <c r="M3294" t="s">
        <v>60</v>
      </c>
      <c r="P3294" t="s">
        <v>102</v>
      </c>
      <c r="Q3294" t="s">
        <v>103</v>
      </c>
      <c r="R3294" t="s">
        <v>104</v>
      </c>
      <c r="S3294" t="s">
        <v>64</v>
      </c>
      <c r="T3294">
        <v>251.90199999999999</v>
      </c>
      <c r="U3294">
        <v>246.7</v>
      </c>
      <c r="V3294">
        <f t="shared" si="102"/>
        <v>249.30099999999999</v>
      </c>
      <c r="W3294">
        <f t="shared" si="103"/>
        <v>5.2019999999999982</v>
      </c>
      <c r="X3294">
        <v>25.966667000000001</v>
      </c>
      <c r="Y3294">
        <v>-30.5</v>
      </c>
      <c r="Z3294" t="s">
        <v>124</v>
      </c>
      <c r="AA3294" t="s">
        <v>106</v>
      </c>
      <c r="AB3294" t="s">
        <v>1625</v>
      </c>
      <c r="AD3294" t="s">
        <v>109</v>
      </c>
      <c r="AE3294" t="s">
        <v>110</v>
      </c>
      <c r="AG3294" t="s">
        <v>3649</v>
      </c>
      <c r="AH3294" t="s">
        <v>72</v>
      </c>
      <c r="AI3294" t="s">
        <v>3650</v>
      </c>
      <c r="AJ3294">
        <v>1977</v>
      </c>
      <c r="AK3294" t="s">
        <v>3658</v>
      </c>
      <c r="AN3294" t="s">
        <v>114</v>
      </c>
      <c r="AO3294" t="s">
        <v>160</v>
      </c>
      <c r="AP3294" t="s">
        <v>359</v>
      </c>
      <c r="AQ3294" t="s">
        <v>3659</v>
      </c>
      <c r="AR3294" t="s">
        <v>80</v>
      </c>
      <c r="AS3294">
        <v>701</v>
      </c>
      <c r="AT3294" t="s">
        <v>81</v>
      </c>
      <c r="AU3294">
        <v>-10.06</v>
      </c>
      <c r="AV3294">
        <v>-50.05</v>
      </c>
      <c r="AW3294" t="s">
        <v>82</v>
      </c>
      <c r="AX3294">
        <v>701</v>
      </c>
      <c r="AY3294" t="s">
        <v>81</v>
      </c>
      <c r="AZ3294">
        <v>-19.16</v>
      </c>
      <c r="BA3294">
        <v>-64.260000000000005</v>
      </c>
      <c r="BB3294" t="s">
        <v>83</v>
      </c>
    </row>
    <row r="3295" spans="1:54" x14ac:dyDescent="0.4">
      <c r="A3295">
        <v>922676</v>
      </c>
      <c r="D3295" t="s">
        <v>54</v>
      </c>
      <c r="F3295" t="s">
        <v>3645</v>
      </c>
      <c r="G3295">
        <v>1</v>
      </c>
      <c r="H3295" t="s">
        <v>56</v>
      </c>
      <c r="I3295" t="s">
        <v>57</v>
      </c>
      <c r="K3295" t="s">
        <v>1957</v>
      </c>
      <c r="L3295" t="s">
        <v>3654</v>
      </c>
      <c r="M3295" t="s">
        <v>60</v>
      </c>
      <c r="P3295" t="s">
        <v>102</v>
      </c>
      <c r="Q3295" t="s">
        <v>103</v>
      </c>
      <c r="R3295" t="s">
        <v>104</v>
      </c>
      <c r="S3295" t="s">
        <v>64</v>
      </c>
      <c r="T3295">
        <v>251.90199999999999</v>
      </c>
      <c r="U3295">
        <v>246.7</v>
      </c>
      <c r="V3295">
        <f t="shared" si="102"/>
        <v>249.30099999999999</v>
      </c>
      <c r="W3295">
        <f t="shared" si="103"/>
        <v>5.2019999999999982</v>
      </c>
      <c r="X3295">
        <v>25.966667000000001</v>
      </c>
      <c r="Y3295">
        <v>-30.5</v>
      </c>
      <c r="Z3295" t="s">
        <v>124</v>
      </c>
      <c r="AA3295" t="s">
        <v>106</v>
      </c>
      <c r="AB3295" t="s">
        <v>1625</v>
      </c>
      <c r="AD3295" t="s">
        <v>109</v>
      </c>
      <c r="AE3295" t="s">
        <v>110</v>
      </c>
      <c r="AG3295" t="s">
        <v>3649</v>
      </c>
      <c r="AH3295" t="s">
        <v>72</v>
      </c>
      <c r="AI3295" t="s">
        <v>3655</v>
      </c>
      <c r="AJ3295">
        <v>2004</v>
      </c>
      <c r="AK3295" t="s">
        <v>3658</v>
      </c>
      <c r="AN3295" t="s">
        <v>114</v>
      </c>
      <c r="AO3295" t="s">
        <v>160</v>
      </c>
      <c r="AP3295" t="s">
        <v>359</v>
      </c>
      <c r="AQ3295" t="s">
        <v>3659</v>
      </c>
      <c r="AR3295" t="s">
        <v>80</v>
      </c>
      <c r="AS3295">
        <v>701</v>
      </c>
      <c r="AT3295" t="s">
        <v>81</v>
      </c>
      <c r="AU3295">
        <v>-10.06</v>
      </c>
      <c r="AV3295">
        <v>-50.05</v>
      </c>
      <c r="AW3295" t="s">
        <v>82</v>
      </c>
      <c r="AX3295">
        <v>701</v>
      </c>
      <c r="AY3295" t="s">
        <v>81</v>
      </c>
      <c r="AZ3295">
        <v>-19.16</v>
      </c>
      <c r="BA3295">
        <v>-64.260000000000005</v>
      </c>
      <c r="BB3295" t="s">
        <v>83</v>
      </c>
    </row>
    <row r="3296" spans="1:54" x14ac:dyDescent="0.4">
      <c r="A3296">
        <v>922693</v>
      </c>
      <c r="D3296" t="s">
        <v>2001</v>
      </c>
      <c r="E3296" t="s">
        <v>152</v>
      </c>
      <c r="G3296">
        <v>3</v>
      </c>
      <c r="H3296" t="s">
        <v>84</v>
      </c>
      <c r="I3296" t="s">
        <v>57</v>
      </c>
      <c r="K3296" t="s">
        <v>1957</v>
      </c>
      <c r="L3296" t="s">
        <v>3654</v>
      </c>
      <c r="M3296" t="s">
        <v>60</v>
      </c>
      <c r="P3296" t="s">
        <v>102</v>
      </c>
      <c r="Q3296" t="s">
        <v>103</v>
      </c>
      <c r="R3296" t="s">
        <v>104</v>
      </c>
      <c r="S3296" t="s">
        <v>64</v>
      </c>
      <c r="T3296">
        <v>251.90199999999999</v>
      </c>
      <c r="U3296">
        <v>246.7</v>
      </c>
      <c r="V3296">
        <f t="shared" si="102"/>
        <v>249.30099999999999</v>
      </c>
      <c r="W3296">
        <f t="shared" si="103"/>
        <v>5.2019999999999982</v>
      </c>
      <c r="X3296">
        <v>-174.83332799999999</v>
      </c>
      <c r="Y3296">
        <v>-85.133330999999998</v>
      </c>
      <c r="Z3296" t="s">
        <v>105</v>
      </c>
      <c r="AA3296" t="s">
        <v>2145</v>
      </c>
      <c r="AD3296" t="s">
        <v>2146</v>
      </c>
      <c r="AE3296" t="s">
        <v>2147</v>
      </c>
      <c r="AG3296" t="s">
        <v>2175</v>
      </c>
      <c r="AH3296" t="s">
        <v>72</v>
      </c>
      <c r="AI3296" t="s">
        <v>73</v>
      </c>
      <c r="AJ3296">
        <v>1987</v>
      </c>
      <c r="AK3296" t="s">
        <v>2176</v>
      </c>
      <c r="AM3296" t="s">
        <v>2177</v>
      </c>
      <c r="AN3296" t="s">
        <v>76</v>
      </c>
      <c r="AO3296" t="s">
        <v>160</v>
      </c>
      <c r="AP3296" t="s">
        <v>359</v>
      </c>
      <c r="AQ3296" t="s">
        <v>2178</v>
      </c>
      <c r="AR3296" t="s">
        <v>80</v>
      </c>
      <c r="AS3296">
        <v>802</v>
      </c>
      <c r="AT3296" t="s">
        <v>81</v>
      </c>
      <c r="AU3296">
        <v>20.22</v>
      </c>
      <c r="AV3296">
        <v>-72.48</v>
      </c>
      <c r="AW3296" t="s">
        <v>82</v>
      </c>
      <c r="AX3296">
        <v>802</v>
      </c>
      <c r="AY3296" t="s">
        <v>81</v>
      </c>
      <c r="AZ3296">
        <v>73.41</v>
      </c>
      <c r="BA3296">
        <v>-82.09</v>
      </c>
      <c r="BB3296" t="s">
        <v>83</v>
      </c>
    </row>
    <row r="3297" spans="1:54" x14ac:dyDescent="0.4">
      <c r="A3297">
        <v>922694</v>
      </c>
      <c r="D3297" t="s">
        <v>54</v>
      </c>
      <c r="E3297" t="s">
        <v>154</v>
      </c>
      <c r="G3297">
        <v>1</v>
      </c>
      <c r="H3297" t="s">
        <v>56</v>
      </c>
      <c r="I3297" t="s">
        <v>57</v>
      </c>
      <c r="K3297" t="s">
        <v>1957</v>
      </c>
      <c r="L3297" t="s">
        <v>3654</v>
      </c>
      <c r="M3297" t="s">
        <v>60</v>
      </c>
      <c r="P3297" t="s">
        <v>102</v>
      </c>
      <c r="Q3297" t="s">
        <v>103</v>
      </c>
      <c r="R3297" t="s">
        <v>104</v>
      </c>
      <c r="S3297" t="s">
        <v>64</v>
      </c>
      <c r="T3297">
        <v>251.90199999999999</v>
      </c>
      <c r="U3297">
        <v>246.7</v>
      </c>
      <c r="V3297">
        <f t="shared" si="102"/>
        <v>249.30099999999999</v>
      </c>
      <c r="W3297">
        <f t="shared" si="103"/>
        <v>5.2019999999999982</v>
      </c>
      <c r="X3297">
        <v>172.5</v>
      </c>
      <c r="Y3297">
        <v>-85.050003000000004</v>
      </c>
      <c r="Z3297" t="s">
        <v>105</v>
      </c>
      <c r="AA3297" t="s">
        <v>2145</v>
      </c>
      <c r="AD3297" t="s">
        <v>2146</v>
      </c>
      <c r="AE3297" t="s">
        <v>2147</v>
      </c>
      <c r="AH3297" t="s">
        <v>72</v>
      </c>
      <c r="AI3297" t="s">
        <v>73</v>
      </c>
      <c r="AJ3297">
        <v>1987</v>
      </c>
      <c r="AK3297" t="s">
        <v>3664</v>
      </c>
      <c r="AN3297" t="s">
        <v>192</v>
      </c>
      <c r="AO3297" t="s">
        <v>77</v>
      </c>
      <c r="AP3297" t="s">
        <v>115</v>
      </c>
      <c r="AQ3297" t="s">
        <v>3665</v>
      </c>
      <c r="AR3297" t="s">
        <v>80</v>
      </c>
      <c r="AS3297">
        <v>802</v>
      </c>
      <c r="AT3297" t="s">
        <v>81</v>
      </c>
      <c r="AU3297">
        <v>23.46</v>
      </c>
      <c r="AV3297">
        <v>-72.040000000000006</v>
      </c>
      <c r="AW3297" t="s">
        <v>82</v>
      </c>
      <c r="AX3297">
        <v>802</v>
      </c>
      <c r="AY3297" t="s">
        <v>81</v>
      </c>
      <c r="AZ3297">
        <v>74.23</v>
      </c>
      <c r="BA3297">
        <v>-81.010000000000005</v>
      </c>
      <c r="BB3297" t="s">
        <v>83</v>
      </c>
    </row>
    <row r="3298" spans="1:54" x14ac:dyDescent="0.4">
      <c r="A3298">
        <v>922695</v>
      </c>
      <c r="D3298" t="s">
        <v>54</v>
      </c>
      <c r="E3298" t="s">
        <v>154</v>
      </c>
      <c r="G3298">
        <v>6</v>
      </c>
      <c r="H3298" t="s">
        <v>84</v>
      </c>
      <c r="I3298" t="s">
        <v>57</v>
      </c>
      <c r="K3298" t="s">
        <v>1957</v>
      </c>
      <c r="L3298" t="s">
        <v>3654</v>
      </c>
      <c r="M3298" t="s">
        <v>60</v>
      </c>
      <c r="P3298" t="s">
        <v>102</v>
      </c>
      <c r="Q3298" t="s">
        <v>103</v>
      </c>
      <c r="R3298" t="s">
        <v>104</v>
      </c>
      <c r="S3298" t="s">
        <v>64</v>
      </c>
      <c r="T3298">
        <v>251.90199999999999</v>
      </c>
      <c r="U3298">
        <v>246.7</v>
      </c>
      <c r="V3298">
        <f t="shared" si="102"/>
        <v>249.30099999999999</v>
      </c>
      <c r="W3298">
        <f t="shared" si="103"/>
        <v>5.2019999999999982</v>
      </c>
      <c r="X3298">
        <v>-175.5</v>
      </c>
      <c r="Y3298">
        <v>-85.216667000000001</v>
      </c>
      <c r="Z3298" t="s">
        <v>105</v>
      </c>
      <c r="AA3298" t="s">
        <v>2145</v>
      </c>
      <c r="AD3298" t="s">
        <v>2146</v>
      </c>
      <c r="AE3298" t="s">
        <v>2147</v>
      </c>
      <c r="AH3298" t="s">
        <v>72</v>
      </c>
      <c r="AI3298" t="s">
        <v>73</v>
      </c>
      <c r="AJ3298">
        <v>1987</v>
      </c>
      <c r="AK3298" t="s">
        <v>2152</v>
      </c>
      <c r="AM3298" t="s">
        <v>2153</v>
      </c>
      <c r="AN3298" t="s">
        <v>192</v>
      </c>
      <c r="AO3298" t="s">
        <v>77</v>
      </c>
      <c r="AP3298" t="s">
        <v>115</v>
      </c>
      <c r="AQ3298" t="s">
        <v>2154</v>
      </c>
      <c r="AR3298" t="s">
        <v>80</v>
      </c>
      <c r="AS3298">
        <v>802</v>
      </c>
      <c r="AT3298" t="s">
        <v>81</v>
      </c>
      <c r="AU3298">
        <v>20.29</v>
      </c>
      <c r="AV3298">
        <v>-72.39</v>
      </c>
      <c r="AW3298" t="s">
        <v>82</v>
      </c>
      <c r="AX3298">
        <v>802</v>
      </c>
      <c r="AY3298" t="s">
        <v>81</v>
      </c>
      <c r="AZ3298">
        <v>72.87</v>
      </c>
      <c r="BA3298">
        <v>-82.02</v>
      </c>
      <c r="BB3298" t="s">
        <v>83</v>
      </c>
    </row>
    <row r="3299" spans="1:54" x14ac:dyDescent="0.4">
      <c r="A3299">
        <v>922696</v>
      </c>
      <c r="D3299" t="s">
        <v>2001</v>
      </c>
      <c r="E3299" t="s">
        <v>154</v>
      </c>
      <c r="G3299">
        <v>6</v>
      </c>
      <c r="H3299" t="s">
        <v>84</v>
      </c>
      <c r="I3299" t="s">
        <v>57</v>
      </c>
      <c r="K3299" t="s">
        <v>1957</v>
      </c>
      <c r="L3299" t="s">
        <v>3654</v>
      </c>
      <c r="M3299" t="s">
        <v>60</v>
      </c>
      <c r="P3299" t="s">
        <v>102</v>
      </c>
      <c r="Q3299" t="s">
        <v>103</v>
      </c>
      <c r="R3299" t="s">
        <v>104</v>
      </c>
      <c r="S3299" t="s">
        <v>64</v>
      </c>
      <c r="T3299">
        <v>251.90199999999999</v>
      </c>
      <c r="U3299">
        <v>246.7</v>
      </c>
      <c r="V3299">
        <f t="shared" si="102"/>
        <v>249.30099999999999</v>
      </c>
      <c r="W3299">
        <f t="shared" si="103"/>
        <v>5.2019999999999982</v>
      </c>
      <c r="X3299">
        <v>-177</v>
      </c>
      <c r="Y3299">
        <v>-85.216667000000001</v>
      </c>
      <c r="Z3299" t="s">
        <v>105</v>
      </c>
      <c r="AA3299" t="s">
        <v>2145</v>
      </c>
      <c r="AD3299" t="s">
        <v>2146</v>
      </c>
      <c r="AE3299" t="s">
        <v>2147</v>
      </c>
      <c r="AF3299" t="s">
        <v>620</v>
      </c>
      <c r="AH3299" t="s">
        <v>72</v>
      </c>
      <c r="AI3299" t="s">
        <v>73</v>
      </c>
      <c r="AJ3299">
        <v>1987</v>
      </c>
      <c r="AK3299" t="s">
        <v>2149</v>
      </c>
      <c r="AM3299" t="s">
        <v>2150</v>
      </c>
      <c r="AN3299" t="s">
        <v>76</v>
      </c>
      <c r="AO3299" t="s">
        <v>77</v>
      </c>
      <c r="AP3299" t="s">
        <v>78</v>
      </c>
      <c r="AQ3299" t="s">
        <v>2151</v>
      </c>
      <c r="AR3299" t="s">
        <v>80</v>
      </c>
      <c r="AS3299">
        <v>802</v>
      </c>
      <c r="AT3299" t="s">
        <v>81</v>
      </c>
      <c r="AU3299">
        <v>20.67</v>
      </c>
      <c r="AV3299">
        <v>-72.34</v>
      </c>
      <c r="AW3299" t="s">
        <v>82</v>
      </c>
      <c r="AX3299">
        <v>802</v>
      </c>
      <c r="AY3299" t="s">
        <v>81</v>
      </c>
      <c r="AZ3299">
        <v>73</v>
      </c>
      <c r="BA3299">
        <v>-81.89</v>
      </c>
      <c r="BB3299" t="s">
        <v>83</v>
      </c>
    </row>
    <row r="3300" spans="1:54" x14ac:dyDescent="0.4">
      <c r="A3300">
        <v>922697</v>
      </c>
      <c r="D3300" t="s">
        <v>54</v>
      </c>
      <c r="G3300">
        <v>1</v>
      </c>
      <c r="H3300" t="s">
        <v>56</v>
      </c>
      <c r="I3300" t="s">
        <v>57</v>
      </c>
      <c r="K3300" t="s">
        <v>1957</v>
      </c>
      <c r="L3300" t="s">
        <v>3654</v>
      </c>
      <c r="M3300" t="s">
        <v>60</v>
      </c>
      <c r="P3300" t="s">
        <v>102</v>
      </c>
      <c r="Q3300" t="s">
        <v>103</v>
      </c>
      <c r="R3300" t="s">
        <v>104</v>
      </c>
      <c r="S3300" t="s">
        <v>64</v>
      </c>
      <c r="T3300">
        <v>251.90199999999999</v>
      </c>
      <c r="U3300">
        <v>246.7</v>
      </c>
      <c r="V3300">
        <f t="shared" si="102"/>
        <v>249.30099999999999</v>
      </c>
      <c r="W3300">
        <f t="shared" si="103"/>
        <v>5.2019999999999982</v>
      </c>
      <c r="X3300">
        <v>26.316668</v>
      </c>
      <c r="Y3300">
        <v>-31</v>
      </c>
      <c r="Z3300" t="s">
        <v>124</v>
      </c>
      <c r="AA3300" t="s">
        <v>106</v>
      </c>
      <c r="AB3300" t="s">
        <v>107</v>
      </c>
      <c r="AC3300" t="s">
        <v>3666</v>
      </c>
      <c r="AE3300" t="s">
        <v>110</v>
      </c>
      <c r="AG3300" t="s">
        <v>2175</v>
      </c>
      <c r="AH3300" t="s">
        <v>72</v>
      </c>
      <c r="AI3300" t="s">
        <v>3667</v>
      </c>
      <c r="AJ3300">
        <v>1948</v>
      </c>
      <c r="AK3300" t="s">
        <v>3668</v>
      </c>
      <c r="AM3300" t="s">
        <v>3669</v>
      </c>
      <c r="AN3300" t="s">
        <v>114</v>
      </c>
      <c r="AO3300" t="s">
        <v>657</v>
      </c>
      <c r="AP3300" t="s">
        <v>78</v>
      </c>
      <c r="AQ3300" t="s">
        <v>3670</v>
      </c>
      <c r="AR3300" t="s">
        <v>80</v>
      </c>
      <c r="AS3300">
        <v>701</v>
      </c>
      <c r="AT3300" t="s">
        <v>81</v>
      </c>
      <c r="AU3300">
        <v>-10.4</v>
      </c>
      <c r="AV3300">
        <v>-50.59</v>
      </c>
      <c r="AW3300" t="s">
        <v>82</v>
      </c>
      <c r="AX3300">
        <v>701</v>
      </c>
      <c r="AY3300" t="s">
        <v>81</v>
      </c>
      <c r="AZ3300">
        <v>-19.760000000000002</v>
      </c>
      <c r="BA3300">
        <v>-64.78</v>
      </c>
      <c r="BB3300" t="s">
        <v>83</v>
      </c>
    </row>
    <row r="3301" spans="1:54" x14ac:dyDescent="0.4">
      <c r="A3301">
        <v>922701</v>
      </c>
      <c r="D3301" t="s">
        <v>54</v>
      </c>
      <c r="G3301">
        <v>1</v>
      </c>
      <c r="H3301" t="s">
        <v>56</v>
      </c>
      <c r="I3301" t="s">
        <v>57</v>
      </c>
      <c r="K3301" t="s">
        <v>1957</v>
      </c>
      <c r="L3301" t="s">
        <v>3654</v>
      </c>
      <c r="M3301" t="s">
        <v>60</v>
      </c>
      <c r="P3301" t="s">
        <v>102</v>
      </c>
      <c r="Q3301" t="s">
        <v>103</v>
      </c>
      <c r="R3301" t="s">
        <v>104</v>
      </c>
      <c r="S3301" t="s">
        <v>64</v>
      </c>
      <c r="T3301">
        <v>251.90199999999999</v>
      </c>
      <c r="U3301">
        <v>246.7</v>
      </c>
      <c r="V3301">
        <f t="shared" si="102"/>
        <v>249.30099999999999</v>
      </c>
      <c r="W3301">
        <f t="shared" si="103"/>
        <v>5.2019999999999982</v>
      </c>
      <c r="X3301">
        <v>29.133333</v>
      </c>
      <c r="Y3301">
        <v>-28.283332999999999</v>
      </c>
      <c r="Z3301" t="s">
        <v>124</v>
      </c>
      <c r="AA3301" t="s">
        <v>106</v>
      </c>
      <c r="AB3301" t="s">
        <v>1625</v>
      </c>
      <c r="AE3301" t="s">
        <v>110</v>
      </c>
      <c r="AG3301" t="s">
        <v>3649</v>
      </c>
      <c r="AH3301" t="s">
        <v>72</v>
      </c>
      <c r="AI3301" t="s">
        <v>3655</v>
      </c>
      <c r="AJ3301">
        <v>2004</v>
      </c>
      <c r="AK3301" t="s">
        <v>3671</v>
      </c>
      <c r="AM3301" t="s">
        <v>3672</v>
      </c>
      <c r="AN3301" t="s">
        <v>114</v>
      </c>
      <c r="AO3301" t="s">
        <v>160</v>
      </c>
      <c r="AP3301" t="s">
        <v>78</v>
      </c>
      <c r="AQ3301" t="s">
        <v>3673</v>
      </c>
      <c r="AR3301" t="s">
        <v>80</v>
      </c>
      <c r="AS3301">
        <v>701</v>
      </c>
      <c r="AT3301" t="s">
        <v>81</v>
      </c>
      <c r="AU3301">
        <v>-4.6399999999999997</v>
      </c>
      <c r="AV3301">
        <v>-50.82</v>
      </c>
      <c r="AW3301" t="s">
        <v>82</v>
      </c>
      <c r="AX3301">
        <v>701</v>
      </c>
      <c r="AY3301" t="s">
        <v>81</v>
      </c>
      <c r="AZ3301">
        <v>-11.16</v>
      </c>
      <c r="BA3301">
        <v>-65.180000000000007</v>
      </c>
      <c r="BB3301" t="s">
        <v>83</v>
      </c>
    </row>
    <row r="3302" spans="1:54" x14ac:dyDescent="0.4">
      <c r="A3302">
        <v>922706</v>
      </c>
      <c r="D3302" t="s">
        <v>54</v>
      </c>
      <c r="G3302">
        <v>1</v>
      </c>
      <c r="H3302" t="s">
        <v>56</v>
      </c>
      <c r="I3302" t="s">
        <v>57</v>
      </c>
      <c r="K3302" t="s">
        <v>1957</v>
      </c>
      <c r="L3302" t="s">
        <v>3654</v>
      </c>
      <c r="M3302" t="s">
        <v>60</v>
      </c>
      <c r="P3302" t="s">
        <v>102</v>
      </c>
      <c r="Q3302" t="s">
        <v>103</v>
      </c>
      <c r="R3302" t="s">
        <v>104</v>
      </c>
      <c r="S3302" t="s">
        <v>64</v>
      </c>
      <c r="T3302">
        <v>251.90199999999999</v>
      </c>
      <c r="U3302">
        <v>246.7</v>
      </c>
      <c r="V3302">
        <f t="shared" si="102"/>
        <v>249.30099999999999</v>
      </c>
      <c r="W3302">
        <f t="shared" si="103"/>
        <v>5.2019999999999982</v>
      </c>
      <c r="X3302">
        <v>26.666668000000001</v>
      </c>
      <c r="Y3302">
        <v>-29.583331999999999</v>
      </c>
      <c r="Z3302" t="s">
        <v>124</v>
      </c>
      <c r="AA3302" t="s">
        <v>106</v>
      </c>
      <c r="AB3302" t="s">
        <v>1625</v>
      </c>
      <c r="AE3302" t="s">
        <v>110</v>
      </c>
      <c r="AG3302" t="s">
        <v>2175</v>
      </c>
      <c r="AH3302" t="s">
        <v>72</v>
      </c>
      <c r="AI3302" t="s">
        <v>3655</v>
      </c>
      <c r="AJ3302">
        <v>2004</v>
      </c>
      <c r="AK3302" t="s">
        <v>3677</v>
      </c>
      <c r="AM3302" t="s">
        <v>3678</v>
      </c>
      <c r="AN3302" t="s">
        <v>114</v>
      </c>
      <c r="AO3302" t="s">
        <v>160</v>
      </c>
      <c r="AP3302" t="s">
        <v>115</v>
      </c>
      <c r="AQ3302" t="s">
        <v>3679</v>
      </c>
      <c r="AR3302" t="s">
        <v>80</v>
      </c>
      <c r="AS3302">
        <v>701</v>
      </c>
      <c r="AT3302" t="s">
        <v>81</v>
      </c>
      <c r="AU3302">
        <v>-8.36</v>
      </c>
      <c r="AV3302">
        <v>-49.97</v>
      </c>
      <c r="AW3302" t="s">
        <v>82</v>
      </c>
      <c r="AX3302">
        <v>701</v>
      </c>
      <c r="AY3302" t="s">
        <v>81</v>
      </c>
      <c r="AZ3302">
        <v>-16.63</v>
      </c>
      <c r="BA3302">
        <v>-64.239999999999995</v>
      </c>
      <c r="BB3302" t="s">
        <v>83</v>
      </c>
    </row>
    <row r="3303" spans="1:54" x14ac:dyDescent="0.4">
      <c r="A3303">
        <v>922716</v>
      </c>
      <c r="D3303" t="s">
        <v>54</v>
      </c>
      <c r="E3303" t="s">
        <v>55</v>
      </c>
      <c r="G3303">
        <v>1</v>
      </c>
      <c r="H3303" t="s">
        <v>56</v>
      </c>
      <c r="I3303" t="s">
        <v>57</v>
      </c>
      <c r="K3303" t="s">
        <v>2052</v>
      </c>
      <c r="L3303" t="s">
        <v>3656</v>
      </c>
      <c r="M3303" t="s">
        <v>60</v>
      </c>
      <c r="O3303" t="s">
        <v>87</v>
      </c>
      <c r="P3303" t="s">
        <v>102</v>
      </c>
      <c r="Q3303" t="s">
        <v>103</v>
      </c>
      <c r="R3303" t="s">
        <v>104</v>
      </c>
      <c r="S3303" t="s">
        <v>64</v>
      </c>
      <c r="T3303">
        <v>251.90199999999999</v>
      </c>
      <c r="U3303">
        <v>246.7</v>
      </c>
      <c r="V3303">
        <f t="shared" si="102"/>
        <v>249.30099999999999</v>
      </c>
      <c r="W3303">
        <f t="shared" si="103"/>
        <v>5.2019999999999982</v>
      </c>
      <c r="X3303">
        <v>24.983333999999999</v>
      </c>
      <c r="Y3303">
        <v>-31.716667000000001</v>
      </c>
      <c r="Z3303" t="s">
        <v>124</v>
      </c>
      <c r="AA3303" t="s">
        <v>106</v>
      </c>
      <c r="AB3303" t="s">
        <v>107</v>
      </c>
      <c r="AC3303" t="s">
        <v>1530</v>
      </c>
      <c r="AD3303" t="s">
        <v>1603</v>
      </c>
      <c r="AE3303" t="s">
        <v>110</v>
      </c>
      <c r="AF3303" t="s">
        <v>1604</v>
      </c>
      <c r="AG3303" t="s">
        <v>1531</v>
      </c>
      <c r="AH3303" t="s">
        <v>72</v>
      </c>
      <c r="AI3303" t="s">
        <v>111</v>
      </c>
      <c r="AJ3303">
        <v>1946</v>
      </c>
      <c r="AK3303" t="s">
        <v>2032</v>
      </c>
      <c r="AN3303" t="s">
        <v>341</v>
      </c>
      <c r="AO3303" t="s">
        <v>160</v>
      </c>
      <c r="AP3303" t="s">
        <v>359</v>
      </c>
      <c r="AQ3303" t="s">
        <v>2033</v>
      </c>
      <c r="AR3303" t="s">
        <v>80</v>
      </c>
      <c r="AS3303">
        <v>701</v>
      </c>
      <c r="AT3303" t="s">
        <v>81</v>
      </c>
      <c r="AU3303">
        <v>-12.37</v>
      </c>
      <c r="AV3303">
        <v>-50.1</v>
      </c>
      <c r="AW3303" t="s">
        <v>82</v>
      </c>
      <c r="AX3303">
        <v>701</v>
      </c>
      <c r="AY3303" t="s">
        <v>81</v>
      </c>
      <c r="AZ3303">
        <v>-22.56</v>
      </c>
      <c r="BA3303">
        <v>-64.19</v>
      </c>
      <c r="BB3303" t="s">
        <v>83</v>
      </c>
    </row>
    <row r="3304" spans="1:54" x14ac:dyDescent="0.4">
      <c r="A3304">
        <v>922721</v>
      </c>
      <c r="D3304" t="s">
        <v>54</v>
      </c>
      <c r="G3304">
        <v>1</v>
      </c>
      <c r="H3304" t="s">
        <v>56</v>
      </c>
      <c r="I3304" t="s">
        <v>57</v>
      </c>
      <c r="K3304" t="s">
        <v>2052</v>
      </c>
      <c r="L3304" t="s">
        <v>3656</v>
      </c>
      <c r="M3304" t="s">
        <v>60</v>
      </c>
      <c r="O3304" t="s">
        <v>87</v>
      </c>
      <c r="P3304" t="s">
        <v>102</v>
      </c>
      <c r="Q3304" t="s">
        <v>103</v>
      </c>
      <c r="R3304" t="s">
        <v>104</v>
      </c>
      <c r="S3304" t="s">
        <v>64</v>
      </c>
      <c r="T3304">
        <v>251.90199999999999</v>
      </c>
      <c r="U3304">
        <v>246.7</v>
      </c>
      <c r="V3304">
        <f t="shared" si="102"/>
        <v>249.30099999999999</v>
      </c>
      <c r="W3304">
        <f t="shared" si="103"/>
        <v>5.2019999999999982</v>
      </c>
      <c r="X3304">
        <v>25.783332999999999</v>
      </c>
      <c r="Y3304">
        <v>-30.766666000000001</v>
      </c>
      <c r="Z3304" t="s">
        <v>124</v>
      </c>
      <c r="AA3304" t="s">
        <v>106</v>
      </c>
      <c r="AB3304" t="s">
        <v>107</v>
      </c>
      <c r="AE3304" t="s">
        <v>110</v>
      </c>
      <c r="AG3304" t="s">
        <v>2175</v>
      </c>
      <c r="AH3304" t="s">
        <v>72</v>
      </c>
      <c r="AI3304" t="s">
        <v>3680</v>
      </c>
      <c r="AJ3304">
        <v>1965</v>
      </c>
      <c r="AK3304" t="s">
        <v>3681</v>
      </c>
      <c r="AN3304" t="s">
        <v>114</v>
      </c>
      <c r="AO3304" t="s">
        <v>160</v>
      </c>
      <c r="AP3304" t="s">
        <v>359</v>
      </c>
      <c r="AQ3304" t="s">
        <v>3682</v>
      </c>
      <c r="AR3304" t="s">
        <v>80</v>
      </c>
      <c r="AS3304">
        <v>701</v>
      </c>
      <c r="AT3304" t="s">
        <v>81</v>
      </c>
      <c r="AU3304">
        <v>-10.54</v>
      </c>
      <c r="AV3304">
        <v>-50.08</v>
      </c>
      <c r="AW3304" t="s">
        <v>82</v>
      </c>
      <c r="AX3304">
        <v>701</v>
      </c>
      <c r="AY3304" t="s">
        <v>81</v>
      </c>
      <c r="AZ3304">
        <v>-19.87</v>
      </c>
      <c r="BA3304">
        <v>-64.27</v>
      </c>
      <c r="BB3304" t="s">
        <v>83</v>
      </c>
    </row>
    <row r="3305" spans="1:54" x14ac:dyDescent="0.4">
      <c r="A3305">
        <v>980035</v>
      </c>
      <c r="D3305" t="s">
        <v>54</v>
      </c>
      <c r="E3305" t="s">
        <v>297</v>
      </c>
      <c r="G3305">
        <v>1</v>
      </c>
      <c r="H3305" t="s">
        <v>56</v>
      </c>
      <c r="I3305" t="s">
        <v>57</v>
      </c>
      <c r="K3305" t="s">
        <v>2052</v>
      </c>
      <c r="L3305" t="s">
        <v>3656</v>
      </c>
      <c r="M3305" t="s">
        <v>60</v>
      </c>
      <c r="O3305" t="s">
        <v>87</v>
      </c>
      <c r="P3305" t="s">
        <v>102</v>
      </c>
      <c r="Q3305" t="s">
        <v>103</v>
      </c>
      <c r="R3305" t="s">
        <v>104</v>
      </c>
      <c r="S3305" t="s">
        <v>64</v>
      </c>
      <c r="T3305">
        <v>251.90199999999999</v>
      </c>
      <c r="U3305">
        <v>246.7</v>
      </c>
      <c r="V3305">
        <f t="shared" si="102"/>
        <v>249.30099999999999</v>
      </c>
      <c r="W3305">
        <f t="shared" si="103"/>
        <v>5.2019999999999982</v>
      </c>
      <c r="X3305">
        <v>26.258333</v>
      </c>
      <c r="Y3305">
        <v>-32</v>
      </c>
      <c r="Z3305" t="s">
        <v>124</v>
      </c>
      <c r="AA3305" t="s">
        <v>106</v>
      </c>
      <c r="AB3305" t="s">
        <v>107</v>
      </c>
      <c r="AC3305" t="s">
        <v>619</v>
      </c>
      <c r="AD3305" t="s">
        <v>109</v>
      </c>
      <c r="AE3305" t="s">
        <v>110</v>
      </c>
      <c r="AG3305" t="s">
        <v>2175</v>
      </c>
      <c r="AH3305" t="s">
        <v>72</v>
      </c>
      <c r="AI3305" t="s">
        <v>111</v>
      </c>
      <c r="AJ3305">
        <v>1903</v>
      </c>
      <c r="AK3305" t="s">
        <v>3941</v>
      </c>
      <c r="AM3305" t="s">
        <v>3942</v>
      </c>
      <c r="AN3305" t="s">
        <v>114</v>
      </c>
      <c r="AO3305" t="s">
        <v>657</v>
      </c>
      <c r="AP3305" t="s">
        <v>359</v>
      </c>
      <c r="AQ3305" t="s">
        <v>3943</v>
      </c>
      <c r="AR3305" t="s">
        <v>80</v>
      </c>
      <c r="AS3305">
        <v>701</v>
      </c>
      <c r="AT3305" t="s">
        <v>81</v>
      </c>
      <c r="AU3305">
        <v>-11.73</v>
      </c>
      <c r="AV3305">
        <v>-51.14</v>
      </c>
      <c r="AW3305" t="s">
        <v>82</v>
      </c>
      <c r="AX3305">
        <v>701</v>
      </c>
      <c r="AY3305" t="s">
        <v>81</v>
      </c>
      <c r="AZ3305">
        <v>-21.84</v>
      </c>
      <c r="BA3305">
        <v>-65.260000000000005</v>
      </c>
      <c r="BB3305" t="s">
        <v>83</v>
      </c>
    </row>
    <row r="3306" spans="1:54" x14ac:dyDescent="0.4">
      <c r="A3306">
        <v>980036</v>
      </c>
      <c r="D3306" t="s">
        <v>54</v>
      </c>
      <c r="E3306" t="s">
        <v>297</v>
      </c>
      <c r="I3306" t="s">
        <v>57</v>
      </c>
      <c r="K3306" t="s">
        <v>100</v>
      </c>
      <c r="L3306" t="s">
        <v>101</v>
      </c>
      <c r="M3306" t="s">
        <v>60</v>
      </c>
      <c r="P3306" t="s">
        <v>102</v>
      </c>
      <c r="Q3306" t="s">
        <v>103</v>
      </c>
      <c r="R3306" t="s">
        <v>104</v>
      </c>
      <c r="S3306" t="s">
        <v>64</v>
      </c>
      <c r="T3306">
        <v>251.90199999999999</v>
      </c>
      <c r="U3306">
        <v>246.7</v>
      </c>
      <c r="V3306">
        <f t="shared" si="102"/>
        <v>249.30099999999999</v>
      </c>
      <c r="W3306">
        <f t="shared" si="103"/>
        <v>5.2019999999999982</v>
      </c>
      <c r="X3306">
        <v>26.258333</v>
      </c>
      <c r="Y3306">
        <v>-32</v>
      </c>
      <c r="Z3306" t="s">
        <v>124</v>
      </c>
      <c r="AA3306" t="s">
        <v>106</v>
      </c>
      <c r="AB3306" t="s">
        <v>107</v>
      </c>
      <c r="AC3306" t="s">
        <v>619</v>
      </c>
      <c r="AD3306" t="s">
        <v>109</v>
      </c>
      <c r="AE3306" t="s">
        <v>110</v>
      </c>
      <c r="AG3306" t="s">
        <v>2175</v>
      </c>
      <c r="AH3306" t="s">
        <v>11</v>
      </c>
      <c r="AI3306" t="s">
        <v>3650</v>
      </c>
      <c r="AJ3306">
        <v>1977</v>
      </c>
      <c r="AK3306" t="s">
        <v>3941</v>
      </c>
      <c r="AM3306" t="s">
        <v>3942</v>
      </c>
      <c r="AN3306" t="s">
        <v>114</v>
      </c>
      <c r="AO3306" t="s">
        <v>657</v>
      </c>
      <c r="AP3306" t="s">
        <v>359</v>
      </c>
      <c r="AQ3306" t="s">
        <v>3943</v>
      </c>
      <c r="AR3306" t="s">
        <v>80</v>
      </c>
      <c r="AS3306">
        <v>701</v>
      </c>
      <c r="AT3306" t="s">
        <v>81</v>
      </c>
      <c r="AU3306">
        <v>-11.73</v>
      </c>
      <c r="AV3306">
        <v>-51.14</v>
      </c>
      <c r="AW3306" t="s">
        <v>82</v>
      </c>
      <c r="AX3306">
        <v>701</v>
      </c>
      <c r="AY3306" t="s">
        <v>81</v>
      </c>
      <c r="AZ3306">
        <v>-21.84</v>
      </c>
      <c r="BA3306">
        <v>-65.260000000000005</v>
      </c>
      <c r="BB3306" t="s">
        <v>83</v>
      </c>
    </row>
    <row r="3307" spans="1:54" x14ac:dyDescent="0.4">
      <c r="A3307">
        <v>980047</v>
      </c>
      <c r="D3307" t="s">
        <v>54</v>
      </c>
      <c r="G3307">
        <v>1</v>
      </c>
      <c r="H3307" t="s">
        <v>56</v>
      </c>
      <c r="I3307" t="s">
        <v>57</v>
      </c>
      <c r="K3307" t="s">
        <v>2052</v>
      </c>
      <c r="L3307" t="s">
        <v>3656</v>
      </c>
      <c r="M3307" t="s">
        <v>60</v>
      </c>
      <c r="O3307" t="s">
        <v>87</v>
      </c>
      <c r="P3307" t="s">
        <v>102</v>
      </c>
      <c r="Q3307" t="s">
        <v>103</v>
      </c>
      <c r="R3307" t="s">
        <v>104</v>
      </c>
      <c r="S3307" t="s">
        <v>64</v>
      </c>
      <c r="T3307">
        <v>251.90199999999999</v>
      </c>
      <c r="U3307">
        <v>246.7</v>
      </c>
      <c r="V3307">
        <f t="shared" si="102"/>
        <v>249.30099999999999</v>
      </c>
      <c r="W3307">
        <f t="shared" si="103"/>
        <v>5.2019999999999982</v>
      </c>
      <c r="X3307">
        <v>27.016666000000001</v>
      </c>
      <c r="Y3307">
        <v>-28.516666000000001</v>
      </c>
      <c r="Z3307" t="s">
        <v>124</v>
      </c>
      <c r="AA3307" t="s">
        <v>106</v>
      </c>
      <c r="AB3307" t="s">
        <v>1625</v>
      </c>
      <c r="AC3307" t="s">
        <v>3944</v>
      </c>
      <c r="AD3307" t="s">
        <v>109</v>
      </c>
      <c r="AE3307" t="s">
        <v>110</v>
      </c>
      <c r="AG3307" t="s">
        <v>2175</v>
      </c>
      <c r="AH3307" t="s">
        <v>72</v>
      </c>
      <c r="AI3307" t="s">
        <v>3945</v>
      </c>
      <c r="AJ3307">
        <v>2015</v>
      </c>
      <c r="AK3307" t="s">
        <v>3946</v>
      </c>
      <c r="AN3307" t="s">
        <v>114</v>
      </c>
      <c r="AO3307" t="s">
        <v>160</v>
      </c>
      <c r="AP3307" t="s">
        <v>115</v>
      </c>
      <c r="AQ3307" t="s">
        <v>3947</v>
      </c>
      <c r="AR3307" t="s">
        <v>80</v>
      </c>
      <c r="AS3307">
        <v>701</v>
      </c>
      <c r="AT3307" t="s">
        <v>81</v>
      </c>
      <c r="AU3307">
        <v>-6.77</v>
      </c>
      <c r="AV3307">
        <v>-49.54</v>
      </c>
      <c r="AW3307" t="s">
        <v>82</v>
      </c>
      <c r="AX3307">
        <v>701</v>
      </c>
      <c r="AY3307" t="s">
        <v>81</v>
      </c>
      <c r="AZ3307">
        <v>-14.25</v>
      </c>
      <c r="BA3307">
        <v>-63.86</v>
      </c>
      <c r="BB3307" t="s">
        <v>83</v>
      </c>
    </row>
    <row r="3308" spans="1:54" x14ac:dyDescent="0.4">
      <c r="A3308">
        <v>980048</v>
      </c>
      <c r="D3308" t="s">
        <v>54</v>
      </c>
      <c r="E3308" t="s">
        <v>55</v>
      </c>
      <c r="G3308">
        <v>1</v>
      </c>
      <c r="H3308" t="s">
        <v>56</v>
      </c>
      <c r="I3308" t="s">
        <v>57</v>
      </c>
      <c r="K3308" t="s">
        <v>2052</v>
      </c>
      <c r="L3308" t="s">
        <v>3656</v>
      </c>
      <c r="M3308" t="s">
        <v>60</v>
      </c>
      <c r="O3308" t="s">
        <v>87</v>
      </c>
      <c r="P3308" t="s">
        <v>102</v>
      </c>
      <c r="Q3308" t="s">
        <v>103</v>
      </c>
      <c r="R3308" t="s">
        <v>104</v>
      </c>
      <c r="S3308" t="s">
        <v>64</v>
      </c>
      <c r="T3308">
        <v>251.90199999999999</v>
      </c>
      <c r="U3308">
        <v>246.7</v>
      </c>
      <c r="V3308">
        <f t="shared" si="102"/>
        <v>249.30099999999999</v>
      </c>
      <c r="W3308">
        <f t="shared" si="103"/>
        <v>5.2019999999999982</v>
      </c>
      <c r="X3308">
        <v>26.333331999999999</v>
      </c>
      <c r="Y3308">
        <v>-30.583331999999999</v>
      </c>
      <c r="Z3308" t="s">
        <v>124</v>
      </c>
      <c r="AA3308" t="s">
        <v>106</v>
      </c>
      <c r="AB3308" t="s">
        <v>1625</v>
      </c>
      <c r="AD3308" t="s">
        <v>109</v>
      </c>
      <c r="AE3308" t="s">
        <v>110</v>
      </c>
      <c r="AG3308" t="s">
        <v>2175</v>
      </c>
      <c r="AH3308" t="s">
        <v>72</v>
      </c>
      <c r="AI3308" t="s">
        <v>3948</v>
      </c>
      <c r="AJ3308">
        <v>1934</v>
      </c>
      <c r="AK3308" t="s">
        <v>3949</v>
      </c>
      <c r="AN3308" t="s">
        <v>192</v>
      </c>
      <c r="AO3308" t="s">
        <v>160</v>
      </c>
      <c r="AP3308" t="s">
        <v>115</v>
      </c>
      <c r="AQ3308" t="s">
        <v>3950</v>
      </c>
      <c r="AR3308" t="s">
        <v>80</v>
      </c>
      <c r="AS3308">
        <v>701</v>
      </c>
      <c r="AT3308" t="s">
        <v>81</v>
      </c>
      <c r="AU3308">
        <v>-9.8699999999999992</v>
      </c>
      <c r="AV3308">
        <v>-50.35</v>
      </c>
      <c r="AW3308" t="s">
        <v>82</v>
      </c>
      <c r="AX3308">
        <v>701</v>
      </c>
      <c r="AY3308" t="s">
        <v>81</v>
      </c>
      <c r="AZ3308">
        <v>-18.920000000000002</v>
      </c>
      <c r="BA3308">
        <v>-64.569999999999993</v>
      </c>
      <c r="BB3308" t="s">
        <v>83</v>
      </c>
    </row>
    <row r="3309" spans="1:54" x14ac:dyDescent="0.4">
      <c r="A3309">
        <v>980055</v>
      </c>
      <c r="D3309" t="s">
        <v>54</v>
      </c>
      <c r="G3309">
        <v>1</v>
      </c>
      <c r="H3309" t="s">
        <v>56</v>
      </c>
      <c r="I3309" t="s">
        <v>57</v>
      </c>
      <c r="K3309" t="s">
        <v>2052</v>
      </c>
      <c r="L3309" t="s">
        <v>3656</v>
      </c>
      <c r="M3309" t="s">
        <v>60</v>
      </c>
      <c r="O3309" t="s">
        <v>87</v>
      </c>
      <c r="P3309" t="s">
        <v>102</v>
      </c>
      <c r="Q3309" t="s">
        <v>103</v>
      </c>
      <c r="R3309" t="s">
        <v>104</v>
      </c>
      <c r="S3309" t="s">
        <v>64</v>
      </c>
      <c r="T3309">
        <v>251.90199999999999</v>
      </c>
      <c r="U3309">
        <v>246.7</v>
      </c>
      <c r="V3309">
        <f t="shared" si="102"/>
        <v>249.30099999999999</v>
      </c>
      <c r="W3309">
        <f t="shared" si="103"/>
        <v>5.2019999999999982</v>
      </c>
      <c r="X3309">
        <v>26</v>
      </c>
      <c r="Y3309">
        <v>-30.5</v>
      </c>
      <c r="Z3309" t="s">
        <v>124</v>
      </c>
      <c r="AA3309" t="s">
        <v>106</v>
      </c>
      <c r="AB3309" t="s">
        <v>1625</v>
      </c>
      <c r="AD3309" t="s">
        <v>109</v>
      </c>
      <c r="AE3309" t="s">
        <v>110</v>
      </c>
      <c r="AG3309" t="s">
        <v>2175</v>
      </c>
      <c r="AH3309" t="s">
        <v>72</v>
      </c>
      <c r="AI3309" t="s">
        <v>3951</v>
      </c>
      <c r="AJ3309">
        <v>1972</v>
      </c>
      <c r="AK3309" t="s">
        <v>3952</v>
      </c>
      <c r="AN3309" t="s">
        <v>114</v>
      </c>
      <c r="AO3309" t="s">
        <v>160</v>
      </c>
      <c r="AP3309" t="s">
        <v>359</v>
      </c>
      <c r="AQ3309" t="s">
        <v>3953</v>
      </c>
      <c r="AR3309" t="s">
        <v>80</v>
      </c>
      <c r="AS3309">
        <v>701</v>
      </c>
      <c r="AT3309" t="s">
        <v>81</v>
      </c>
      <c r="AU3309">
        <v>-10.039999999999999</v>
      </c>
      <c r="AV3309">
        <v>-50.07</v>
      </c>
      <c r="AW3309" t="s">
        <v>82</v>
      </c>
      <c r="AX3309">
        <v>701</v>
      </c>
      <c r="AY3309" t="s">
        <v>81</v>
      </c>
      <c r="AZ3309">
        <v>-19.12</v>
      </c>
      <c r="BA3309">
        <v>-64.28</v>
      </c>
      <c r="BB3309" t="s">
        <v>83</v>
      </c>
    </row>
    <row r="3310" spans="1:54" x14ac:dyDescent="0.4">
      <c r="A3310">
        <v>980055</v>
      </c>
      <c r="D3310" t="s">
        <v>54</v>
      </c>
      <c r="G3310">
        <v>1</v>
      </c>
      <c r="H3310" t="s">
        <v>56</v>
      </c>
      <c r="I3310" t="s">
        <v>57</v>
      </c>
      <c r="K3310" t="s">
        <v>2052</v>
      </c>
      <c r="L3310" t="s">
        <v>3656</v>
      </c>
      <c r="M3310" t="s">
        <v>60</v>
      </c>
      <c r="O3310" t="s">
        <v>87</v>
      </c>
      <c r="P3310" t="s">
        <v>102</v>
      </c>
      <c r="Q3310" t="s">
        <v>103</v>
      </c>
      <c r="R3310" t="s">
        <v>104</v>
      </c>
      <c r="S3310" t="s">
        <v>64</v>
      </c>
      <c r="T3310">
        <v>251.90199999999999</v>
      </c>
      <c r="U3310">
        <v>246.7</v>
      </c>
      <c r="V3310">
        <f t="shared" si="102"/>
        <v>249.30099999999999</v>
      </c>
      <c r="W3310">
        <f t="shared" si="103"/>
        <v>5.2019999999999982</v>
      </c>
      <c r="X3310">
        <v>26</v>
      </c>
      <c r="Y3310">
        <v>-30.5</v>
      </c>
      <c r="Z3310" t="s">
        <v>124</v>
      </c>
      <c r="AA3310" t="s">
        <v>106</v>
      </c>
      <c r="AB3310" t="s">
        <v>1625</v>
      </c>
      <c r="AD3310" t="s">
        <v>109</v>
      </c>
      <c r="AE3310" t="s">
        <v>110</v>
      </c>
      <c r="AG3310" t="s">
        <v>2175</v>
      </c>
      <c r="AH3310" t="s">
        <v>72</v>
      </c>
      <c r="AI3310" t="s">
        <v>3951</v>
      </c>
      <c r="AJ3310">
        <v>1972</v>
      </c>
      <c r="AK3310" t="s">
        <v>3952</v>
      </c>
      <c r="AN3310" t="s">
        <v>114</v>
      </c>
      <c r="AO3310" t="s">
        <v>160</v>
      </c>
      <c r="AP3310" t="s">
        <v>359</v>
      </c>
      <c r="AQ3310" t="s">
        <v>3953</v>
      </c>
      <c r="AR3310" t="s">
        <v>80</v>
      </c>
      <c r="AS3310">
        <v>701</v>
      </c>
      <c r="AT3310" t="s">
        <v>81</v>
      </c>
      <c r="AU3310">
        <v>-10.039999999999999</v>
      </c>
      <c r="AV3310">
        <v>-50.07</v>
      </c>
      <c r="AW3310" t="s">
        <v>82</v>
      </c>
      <c r="AX3310">
        <v>701</v>
      </c>
      <c r="AY3310" t="s">
        <v>81</v>
      </c>
      <c r="AZ3310">
        <v>-19.12</v>
      </c>
      <c r="BA3310">
        <v>-64.28</v>
      </c>
      <c r="BB3310" t="s">
        <v>83</v>
      </c>
    </row>
    <row r="3311" spans="1:54" x14ac:dyDescent="0.4">
      <c r="A3311">
        <v>980061</v>
      </c>
      <c r="D3311" t="s">
        <v>54</v>
      </c>
      <c r="G3311">
        <v>1</v>
      </c>
      <c r="H3311" t="s">
        <v>56</v>
      </c>
      <c r="I3311" t="s">
        <v>57</v>
      </c>
      <c r="K3311" t="s">
        <v>2052</v>
      </c>
      <c r="L3311" t="s">
        <v>3656</v>
      </c>
      <c r="M3311" t="s">
        <v>60</v>
      </c>
      <c r="O3311" t="s">
        <v>87</v>
      </c>
      <c r="P3311" t="s">
        <v>102</v>
      </c>
      <c r="Q3311" t="s">
        <v>103</v>
      </c>
      <c r="R3311" t="s">
        <v>104</v>
      </c>
      <c r="S3311" t="s">
        <v>64</v>
      </c>
      <c r="T3311">
        <v>251.90199999999999</v>
      </c>
      <c r="U3311">
        <v>246.7</v>
      </c>
      <c r="V3311">
        <f t="shared" si="102"/>
        <v>249.30099999999999</v>
      </c>
      <c r="W3311">
        <f t="shared" si="103"/>
        <v>5.2019999999999982</v>
      </c>
      <c r="X3311">
        <v>25.299999</v>
      </c>
      <c r="Y3311">
        <v>-31.733333999999999</v>
      </c>
      <c r="Z3311" t="s">
        <v>124</v>
      </c>
      <c r="AA3311" t="s">
        <v>106</v>
      </c>
      <c r="AB3311" t="s">
        <v>107</v>
      </c>
      <c r="AD3311" t="s">
        <v>109</v>
      </c>
      <c r="AE3311" t="s">
        <v>110</v>
      </c>
      <c r="AG3311" t="s">
        <v>2175</v>
      </c>
      <c r="AH3311" t="s">
        <v>72</v>
      </c>
      <c r="AI3311" t="s">
        <v>3954</v>
      </c>
      <c r="AJ3311">
        <v>1998</v>
      </c>
      <c r="AK3311" t="s">
        <v>3955</v>
      </c>
      <c r="AN3311" t="s">
        <v>114</v>
      </c>
      <c r="AO3311" t="s">
        <v>160</v>
      </c>
      <c r="AP3311" t="s">
        <v>359</v>
      </c>
      <c r="AQ3311" t="s">
        <v>3956</v>
      </c>
      <c r="AR3311" t="s">
        <v>80</v>
      </c>
      <c r="AS3311">
        <v>701</v>
      </c>
      <c r="AT3311" t="s">
        <v>81</v>
      </c>
      <c r="AU3311">
        <v>-12.14</v>
      </c>
      <c r="AV3311">
        <v>-50.33</v>
      </c>
      <c r="AW3311" t="s">
        <v>82</v>
      </c>
      <c r="AX3311">
        <v>701</v>
      </c>
      <c r="AY3311" t="s">
        <v>81</v>
      </c>
      <c r="AZ3311">
        <v>-22.27</v>
      </c>
      <c r="BA3311">
        <v>-64.430000000000007</v>
      </c>
      <c r="BB3311" t="s">
        <v>83</v>
      </c>
    </row>
    <row r="3312" spans="1:54" x14ac:dyDescent="0.4">
      <c r="A3312">
        <v>980064</v>
      </c>
      <c r="D3312" t="s">
        <v>54</v>
      </c>
      <c r="G3312">
        <v>1</v>
      </c>
      <c r="H3312" t="s">
        <v>56</v>
      </c>
      <c r="I3312" t="s">
        <v>57</v>
      </c>
      <c r="K3312" t="s">
        <v>2052</v>
      </c>
      <c r="L3312" t="s">
        <v>3656</v>
      </c>
      <c r="M3312" t="s">
        <v>60</v>
      </c>
      <c r="O3312" t="s">
        <v>87</v>
      </c>
      <c r="P3312" t="s">
        <v>102</v>
      </c>
      <c r="Q3312" t="s">
        <v>103</v>
      </c>
      <c r="R3312" t="s">
        <v>104</v>
      </c>
      <c r="S3312" t="s">
        <v>64</v>
      </c>
      <c r="T3312">
        <v>251.90199999999999</v>
      </c>
      <c r="U3312">
        <v>246.7</v>
      </c>
      <c r="V3312">
        <f t="shared" si="102"/>
        <v>249.30099999999999</v>
      </c>
      <c r="W3312">
        <f t="shared" si="103"/>
        <v>5.2019999999999982</v>
      </c>
      <c r="X3312">
        <v>25</v>
      </c>
      <c r="Y3312">
        <v>-31.5</v>
      </c>
      <c r="Z3312" t="s">
        <v>124</v>
      </c>
      <c r="AA3312" t="s">
        <v>106</v>
      </c>
      <c r="AB3312" t="s">
        <v>107</v>
      </c>
      <c r="AD3312" t="s">
        <v>109</v>
      </c>
      <c r="AE3312" t="s">
        <v>110</v>
      </c>
      <c r="AG3312" t="s">
        <v>2175</v>
      </c>
      <c r="AH3312" t="s">
        <v>72</v>
      </c>
      <c r="AI3312" t="s">
        <v>3954</v>
      </c>
      <c r="AJ3312">
        <v>1998</v>
      </c>
      <c r="AK3312" t="s">
        <v>3957</v>
      </c>
      <c r="AN3312" t="s">
        <v>114</v>
      </c>
      <c r="AO3312" t="s">
        <v>160</v>
      </c>
      <c r="AP3312" t="s">
        <v>115</v>
      </c>
      <c r="AR3312" t="s">
        <v>80</v>
      </c>
      <c r="AS3312">
        <v>701</v>
      </c>
      <c r="AT3312" t="s">
        <v>81</v>
      </c>
      <c r="AU3312">
        <v>-12.08</v>
      </c>
      <c r="AV3312">
        <v>-49.98</v>
      </c>
      <c r="AW3312" t="s">
        <v>82</v>
      </c>
      <c r="AX3312">
        <v>701</v>
      </c>
      <c r="AY3312" t="s">
        <v>81</v>
      </c>
      <c r="AZ3312">
        <v>-22.12</v>
      </c>
      <c r="BA3312">
        <v>-64.09</v>
      </c>
      <c r="BB3312" t="s">
        <v>83</v>
      </c>
    </row>
    <row r="3313" spans="1:54" x14ac:dyDescent="0.4">
      <c r="A3313">
        <v>1286068</v>
      </c>
      <c r="D3313" t="s">
        <v>54</v>
      </c>
      <c r="G3313">
        <v>1</v>
      </c>
      <c r="H3313" t="s">
        <v>56</v>
      </c>
      <c r="I3313" t="s">
        <v>57</v>
      </c>
      <c r="K3313" t="s">
        <v>100</v>
      </c>
      <c r="L3313" t="s">
        <v>2031</v>
      </c>
      <c r="M3313" t="s">
        <v>60</v>
      </c>
      <c r="P3313" t="s">
        <v>102</v>
      </c>
      <c r="Q3313" t="s">
        <v>103</v>
      </c>
      <c r="R3313" t="s">
        <v>104</v>
      </c>
      <c r="S3313" t="s">
        <v>64</v>
      </c>
      <c r="T3313">
        <v>251.90199999999999</v>
      </c>
      <c r="U3313">
        <v>246.7</v>
      </c>
      <c r="V3313">
        <f t="shared" si="102"/>
        <v>249.30099999999999</v>
      </c>
      <c r="W3313">
        <f t="shared" si="103"/>
        <v>5.2019999999999982</v>
      </c>
      <c r="X3313">
        <v>25</v>
      </c>
      <c r="Y3313">
        <v>-31.503889000000001</v>
      </c>
      <c r="Z3313" t="s">
        <v>105</v>
      </c>
      <c r="AA3313" t="s">
        <v>106</v>
      </c>
      <c r="AB3313" t="s">
        <v>107</v>
      </c>
      <c r="AC3313" t="s">
        <v>1602</v>
      </c>
      <c r="AD3313" t="s">
        <v>109</v>
      </c>
      <c r="AE3313" t="s">
        <v>110</v>
      </c>
      <c r="AG3313" t="s">
        <v>2175</v>
      </c>
      <c r="AH3313" t="s">
        <v>72</v>
      </c>
      <c r="AI3313" t="s">
        <v>4559</v>
      </c>
      <c r="AJ3313">
        <v>2007</v>
      </c>
      <c r="AK3313" t="s">
        <v>4560</v>
      </c>
      <c r="AN3313" t="s">
        <v>114</v>
      </c>
      <c r="AO3313" t="s">
        <v>77</v>
      </c>
      <c r="AP3313" t="s">
        <v>78</v>
      </c>
      <c r="AQ3313" t="s">
        <v>4561</v>
      </c>
      <c r="AR3313" t="s">
        <v>80</v>
      </c>
      <c r="AS3313">
        <v>701</v>
      </c>
      <c r="AT3313" t="s">
        <v>81</v>
      </c>
      <c r="AU3313">
        <v>-12.09</v>
      </c>
      <c r="AV3313">
        <v>-49.98</v>
      </c>
      <c r="AW3313" t="s">
        <v>82</v>
      </c>
      <c r="AX3313">
        <v>701</v>
      </c>
      <c r="AY3313" t="s">
        <v>81</v>
      </c>
      <c r="AZ3313">
        <v>-22.12</v>
      </c>
      <c r="BA3313">
        <v>-64.09</v>
      </c>
      <c r="BB3313" t="s">
        <v>83</v>
      </c>
    </row>
    <row r="3314" spans="1:54" x14ac:dyDescent="0.4">
      <c r="A3314">
        <v>1286068</v>
      </c>
      <c r="D3314" t="s">
        <v>54</v>
      </c>
      <c r="G3314">
        <v>1</v>
      </c>
      <c r="H3314" t="s">
        <v>56</v>
      </c>
      <c r="I3314" t="s">
        <v>57</v>
      </c>
      <c r="K3314" t="s">
        <v>100</v>
      </c>
      <c r="L3314" t="s">
        <v>2031</v>
      </c>
      <c r="M3314" t="s">
        <v>60</v>
      </c>
      <c r="P3314" t="s">
        <v>102</v>
      </c>
      <c r="Q3314" t="s">
        <v>103</v>
      </c>
      <c r="R3314" t="s">
        <v>104</v>
      </c>
      <c r="S3314" t="s">
        <v>64</v>
      </c>
      <c r="T3314">
        <v>251.90199999999999</v>
      </c>
      <c r="U3314">
        <v>246.7</v>
      </c>
      <c r="V3314">
        <f t="shared" si="102"/>
        <v>249.30099999999999</v>
      </c>
      <c r="W3314">
        <f t="shared" si="103"/>
        <v>5.2019999999999982</v>
      </c>
      <c r="X3314">
        <v>25</v>
      </c>
      <c r="Y3314">
        <v>-31.503889000000001</v>
      </c>
      <c r="Z3314" t="s">
        <v>105</v>
      </c>
      <c r="AA3314" t="s">
        <v>106</v>
      </c>
      <c r="AB3314" t="s">
        <v>107</v>
      </c>
      <c r="AC3314" t="s">
        <v>1602</v>
      </c>
      <c r="AD3314" t="s">
        <v>109</v>
      </c>
      <c r="AE3314" t="s">
        <v>110</v>
      </c>
      <c r="AG3314" t="s">
        <v>2175</v>
      </c>
      <c r="AH3314" t="s">
        <v>72</v>
      </c>
      <c r="AI3314" t="s">
        <v>4559</v>
      </c>
      <c r="AJ3314">
        <v>2007</v>
      </c>
      <c r="AK3314" t="s">
        <v>4560</v>
      </c>
      <c r="AN3314" t="s">
        <v>114</v>
      </c>
      <c r="AO3314" t="s">
        <v>77</v>
      </c>
      <c r="AP3314" t="s">
        <v>78</v>
      </c>
      <c r="AQ3314" t="s">
        <v>4561</v>
      </c>
      <c r="AR3314" t="s">
        <v>80</v>
      </c>
      <c r="AS3314">
        <v>701</v>
      </c>
      <c r="AT3314" t="s">
        <v>81</v>
      </c>
      <c r="AU3314">
        <v>-12.09</v>
      </c>
      <c r="AV3314">
        <v>-49.98</v>
      </c>
      <c r="AW3314" t="s">
        <v>82</v>
      </c>
      <c r="AX3314">
        <v>701</v>
      </c>
      <c r="AY3314" t="s">
        <v>81</v>
      </c>
      <c r="AZ3314">
        <v>-22.12</v>
      </c>
      <c r="BA3314">
        <v>-64.09</v>
      </c>
      <c r="BB3314" t="s">
        <v>83</v>
      </c>
    </row>
    <row r="3315" spans="1:54" x14ac:dyDescent="0.4">
      <c r="A3315">
        <v>1286068</v>
      </c>
      <c r="D3315" t="s">
        <v>54</v>
      </c>
      <c r="G3315">
        <v>1</v>
      </c>
      <c r="H3315" t="s">
        <v>56</v>
      </c>
      <c r="I3315" t="s">
        <v>57</v>
      </c>
      <c r="K3315" t="s">
        <v>100</v>
      </c>
      <c r="L3315" t="s">
        <v>2031</v>
      </c>
      <c r="M3315" t="s">
        <v>60</v>
      </c>
      <c r="P3315" t="s">
        <v>102</v>
      </c>
      <c r="Q3315" t="s">
        <v>103</v>
      </c>
      <c r="R3315" t="s">
        <v>104</v>
      </c>
      <c r="S3315" t="s">
        <v>64</v>
      </c>
      <c r="T3315">
        <v>251.90199999999999</v>
      </c>
      <c r="U3315">
        <v>246.7</v>
      </c>
      <c r="V3315">
        <f t="shared" si="102"/>
        <v>249.30099999999999</v>
      </c>
      <c r="W3315">
        <f t="shared" si="103"/>
        <v>5.2019999999999982</v>
      </c>
      <c r="X3315">
        <v>25</v>
      </c>
      <c r="Y3315">
        <v>-31.503889000000001</v>
      </c>
      <c r="Z3315" t="s">
        <v>105</v>
      </c>
      <c r="AA3315" t="s">
        <v>106</v>
      </c>
      <c r="AB3315" t="s">
        <v>107</v>
      </c>
      <c r="AC3315" t="s">
        <v>1602</v>
      </c>
      <c r="AD3315" t="s">
        <v>109</v>
      </c>
      <c r="AE3315" t="s">
        <v>110</v>
      </c>
      <c r="AG3315" t="s">
        <v>2175</v>
      </c>
      <c r="AH3315" t="s">
        <v>72</v>
      </c>
      <c r="AI3315" t="s">
        <v>4559</v>
      </c>
      <c r="AJ3315">
        <v>2007</v>
      </c>
      <c r="AK3315" t="s">
        <v>4560</v>
      </c>
      <c r="AN3315" t="s">
        <v>114</v>
      </c>
      <c r="AO3315" t="s">
        <v>77</v>
      </c>
      <c r="AP3315" t="s">
        <v>78</v>
      </c>
      <c r="AQ3315" t="s">
        <v>4561</v>
      </c>
      <c r="AR3315" t="s">
        <v>80</v>
      </c>
      <c r="AS3315">
        <v>701</v>
      </c>
      <c r="AT3315" t="s">
        <v>81</v>
      </c>
      <c r="AU3315">
        <v>-12.09</v>
      </c>
      <c r="AV3315">
        <v>-49.98</v>
      </c>
      <c r="AW3315" t="s">
        <v>82</v>
      </c>
      <c r="AX3315">
        <v>701</v>
      </c>
      <c r="AY3315" t="s">
        <v>81</v>
      </c>
      <c r="AZ3315">
        <v>-22.12</v>
      </c>
      <c r="BA3315">
        <v>-64.09</v>
      </c>
      <c r="BB3315" t="s">
        <v>83</v>
      </c>
    </row>
    <row r="3316" spans="1:54" x14ac:dyDescent="0.4">
      <c r="A3316">
        <v>1320336</v>
      </c>
      <c r="D3316" t="s">
        <v>54</v>
      </c>
      <c r="G3316">
        <v>1</v>
      </c>
      <c r="H3316" t="s">
        <v>56</v>
      </c>
      <c r="I3316" t="s">
        <v>57</v>
      </c>
      <c r="K3316" t="s">
        <v>2052</v>
      </c>
      <c r="L3316" t="s">
        <v>3656</v>
      </c>
      <c r="M3316" t="s">
        <v>60</v>
      </c>
      <c r="O3316" t="s">
        <v>87</v>
      </c>
      <c r="P3316" t="s">
        <v>102</v>
      </c>
      <c r="Q3316" t="s">
        <v>103</v>
      </c>
      <c r="R3316" t="s">
        <v>104</v>
      </c>
      <c r="S3316" t="s">
        <v>64</v>
      </c>
      <c r="T3316">
        <v>251.90199999999999</v>
      </c>
      <c r="U3316">
        <v>246.7</v>
      </c>
      <c r="V3316">
        <f t="shared" si="102"/>
        <v>249.30099999999999</v>
      </c>
      <c r="W3316">
        <f t="shared" si="103"/>
        <v>5.2019999999999982</v>
      </c>
      <c r="X3316">
        <v>25.997778</v>
      </c>
      <c r="Y3316">
        <v>-30.508057000000001</v>
      </c>
      <c r="Z3316" t="s">
        <v>124</v>
      </c>
      <c r="AA3316" t="s">
        <v>106</v>
      </c>
      <c r="AB3316" t="s">
        <v>1625</v>
      </c>
      <c r="AC3316" t="s">
        <v>2545</v>
      </c>
      <c r="AD3316" t="s">
        <v>109</v>
      </c>
      <c r="AE3316" t="s">
        <v>110</v>
      </c>
      <c r="AG3316" t="s">
        <v>3649</v>
      </c>
      <c r="AH3316" t="s">
        <v>72</v>
      </c>
      <c r="AI3316" t="s">
        <v>3650</v>
      </c>
      <c r="AJ3316">
        <v>1977</v>
      </c>
      <c r="AK3316" t="s">
        <v>4683</v>
      </c>
      <c r="AN3316" t="s">
        <v>114</v>
      </c>
      <c r="AO3316" t="s">
        <v>77</v>
      </c>
      <c r="AP3316" t="s">
        <v>115</v>
      </c>
      <c r="AQ3316" t="s">
        <v>4684</v>
      </c>
      <c r="AR3316" t="s">
        <v>80</v>
      </c>
      <c r="AS3316">
        <v>701</v>
      </c>
      <c r="AT3316" t="s">
        <v>81</v>
      </c>
      <c r="AU3316">
        <v>-10.050000000000001</v>
      </c>
      <c r="AV3316">
        <v>-50.07</v>
      </c>
      <c r="AW3316" t="s">
        <v>82</v>
      </c>
      <c r="AX3316">
        <v>701</v>
      </c>
      <c r="AY3316" t="s">
        <v>81</v>
      </c>
      <c r="AZ3316">
        <v>-19.14</v>
      </c>
      <c r="BA3316">
        <v>-64.28</v>
      </c>
      <c r="BB3316" t="s">
        <v>83</v>
      </c>
    </row>
    <row r="3317" spans="1:54" x14ac:dyDescent="0.4">
      <c r="A3317">
        <v>1343000</v>
      </c>
      <c r="D3317" t="s">
        <v>54</v>
      </c>
      <c r="I3317" t="s">
        <v>57</v>
      </c>
      <c r="K3317" t="s">
        <v>1600</v>
      </c>
      <c r="L3317" t="s">
        <v>2609</v>
      </c>
      <c r="M3317" t="s">
        <v>60</v>
      </c>
      <c r="P3317" t="s">
        <v>102</v>
      </c>
      <c r="Q3317" t="s">
        <v>103</v>
      </c>
      <c r="R3317" t="s">
        <v>104</v>
      </c>
      <c r="S3317" t="s">
        <v>64</v>
      </c>
      <c r="T3317">
        <v>251.90199999999999</v>
      </c>
      <c r="U3317">
        <v>246.7</v>
      </c>
      <c r="V3317">
        <f t="shared" si="102"/>
        <v>249.30099999999999</v>
      </c>
      <c r="W3317">
        <f t="shared" si="103"/>
        <v>5.2019999999999982</v>
      </c>
      <c r="X3317">
        <v>25.950001</v>
      </c>
      <c r="Y3317">
        <v>-31.016666000000001</v>
      </c>
      <c r="Z3317" t="s">
        <v>124</v>
      </c>
      <c r="AA3317" t="s">
        <v>106</v>
      </c>
      <c r="AB3317" t="s">
        <v>107</v>
      </c>
      <c r="AE3317" t="s">
        <v>110</v>
      </c>
      <c r="AG3317" t="s">
        <v>3649</v>
      </c>
      <c r="AH3317" t="s">
        <v>11</v>
      </c>
      <c r="AI3317" t="s">
        <v>3650</v>
      </c>
      <c r="AJ3317">
        <v>1977</v>
      </c>
      <c r="AK3317" t="s">
        <v>4750</v>
      </c>
      <c r="AM3317" t="s">
        <v>4751</v>
      </c>
      <c r="AN3317" t="s">
        <v>114</v>
      </c>
      <c r="AO3317">
        <v>6</v>
      </c>
      <c r="AP3317" t="s">
        <v>78</v>
      </c>
      <c r="AR3317" t="s">
        <v>80</v>
      </c>
      <c r="AS3317">
        <v>701</v>
      </c>
      <c r="AT3317" t="s">
        <v>81</v>
      </c>
      <c r="AU3317">
        <v>-10.72</v>
      </c>
      <c r="AV3317">
        <v>-50.35</v>
      </c>
      <c r="AW3317" t="s">
        <v>82</v>
      </c>
      <c r="AX3317">
        <v>701</v>
      </c>
      <c r="AY3317" t="s">
        <v>81</v>
      </c>
      <c r="AZ3317">
        <v>-20.18</v>
      </c>
      <c r="BA3317">
        <v>-64.52</v>
      </c>
      <c r="BB3317" t="s">
        <v>83</v>
      </c>
    </row>
    <row r="3318" spans="1:54" x14ac:dyDescent="0.4">
      <c r="A3318">
        <v>1343001</v>
      </c>
      <c r="D3318" t="s">
        <v>54</v>
      </c>
      <c r="I3318" t="s">
        <v>57</v>
      </c>
      <c r="K3318" t="s">
        <v>1957</v>
      </c>
      <c r="L3318" t="s">
        <v>3654</v>
      </c>
      <c r="M3318" t="s">
        <v>60</v>
      </c>
      <c r="P3318" t="s">
        <v>102</v>
      </c>
      <c r="Q3318" t="s">
        <v>103</v>
      </c>
      <c r="R3318" t="s">
        <v>104</v>
      </c>
      <c r="S3318" t="s">
        <v>64</v>
      </c>
      <c r="T3318">
        <v>251.90199999999999</v>
      </c>
      <c r="U3318">
        <v>246.7</v>
      </c>
      <c r="V3318">
        <f t="shared" si="102"/>
        <v>249.30099999999999</v>
      </c>
      <c r="W3318">
        <f t="shared" si="103"/>
        <v>5.2019999999999982</v>
      </c>
      <c r="X3318">
        <v>25.950001</v>
      </c>
      <c r="Y3318">
        <v>-31.016666000000001</v>
      </c>
      <c r="Z3318" t="s">
        <v>124</v>
      </c>
      <c r="AA3318" t="s">
        <v>106</v>
      </c>
      <c r="AB3318" t="s">
        <v>107</v>
      </c>
      <c r="AE3318" t="s">
        <v>110</v>
      </c>
      <c r="AG3318" t="s">
        <v>3649</v>
      </c>
      <c r="AH3318" t="s">
        <v>11</v>
      </c>
      <c r="AI3318" t="s">
        <v>3650</v>
      </c>
      <c r="AJ3318">
        <v>1977</v>
      </c>
      <c r="AK3318" t="s">
        <v>4750</v>
      </c>
      <c r="AM3318" t="s">
        <v>4751</v>
      </c>
      <c r="AN3318" t="s">
        <v>114</v>
      </c>
      <c r="AO3318">
        <v>6</v>
      </c>
      <c r="AP3318" t="s">
        <v>78</v>
      </c>
      <c r="AR3318" t="s">
        <v>80</v>
      </c>
      <c r="AS3318">
        <v>701</v>
      </c>
      <c r="AT3318" t="s">
        <v>81</v>
      </c>
      <c r="AU3318">
        <v>-10.72</v>
      </c>
      <c r="AV3318">
        <v>-50.35</v>
      </c>
      <c r="AW3318" t="s">
        <v>82</v>
      </c>
      <c r="AX3318">
        <v>701</v>
      </c>
      <c r="AY3318" t="s">
        <v>81</v>
      </c>
      <c r="AZ3318">
        <v>-20.18</v>
      </c>
      <c r="BA3318">
        <v>-64.52</v>
      </c>
      <c r="BB3318" t="s">
        <v>83</v>
      </c>
    </row>
    <row r="3319" spans="1:54" x14ac:dyDescent="0.4">
      <c r="A3319">
        <v>1347612</v>
      </c>
      <c r="D3319" t="s">
        <v>54</v>
      </c>
      <c r="E3319" t="s">
        <v>152</v>
      </c>
      <c r="G3319">
        <v>1</v>
      </c>
      <c r="H3319" t="s">
        <v>56</v>
      </c>
      <c r="I3319" t="s">
        <v>57</v>
      </c>
      <c r="K3319" t="s">
        <v>141</v>
      </c>
      <c r="L3319" t="s">
        <v>4757</v>
      </c>
      <c r="M3319" t="s">
        <v>60</v>
      </c>
      <c r="P3319" t="s">
        <v>102</v>
      </c>
      <c r="Q3319" t="s">
        <v>103</v>
      </c>
      <c r="R3319" t="s">
        <v>104</v>
      </c>
      <c r="S3319" t="s">
        <v>64</v>
      </c>
      <c r="T3319">
        <v>251.90199999999999</v>
      </c>
      <c r="U3319">
        <v>246.7</v>
      </c>
      <c r="V3319">
        <f t="shared" si="102"/>
        <v>249.30099999999999</v>
      </c>
      <c r="W3319">
        <f t="shared" si="103"/>
        <v>5.2019999999999982</v>
      </c>
      <c r="X3319">
        <v>-55.052776000000001</v>
      </c>
      <c r="Y3319">
        <v>-29.615556999999999</v>
      </c>
      <c r="Z3319" t="s">
        <v>124</v>
      </c>
      <c r="AA3319" t="s">
        <v>783</v>
      </c>
      <c r="AB3319" t="s">
        <v>784</v>
      </c>
      <c r="AD3319" t="s">
        <v>3058</v>
      </c>
      <c r="AE3319" t="s">
        <v>786</v>
      </c>
      <c r="AH3319" t="s">
        <v>72</v>
      </c>
      <c r="AI3319" t="s">
        <v>4758</v>
      </c>
      <c r="AJ3319">
        <v>2016</v>
      </c>
      <c r="AK3319" t="s">
        <v>3386</v>
      </c>
      <c r="AN3319" t="s">
        <v>76</v>
      </c>
      <c r="AO3319" t="s">
        <v>77</v>
      </c>
      <c r="AP3319" t="s">
        <v>78</v>
      </c>
      <c r="AQ3319" t="s">
        <v>3384</v>
      </c>
      <c r="AR3319" t="s">
        <v>80</v>
      </c>
      <c r="AS3319">
        <v>201</v>
      </c>
      <c r="AT3319" t="s">
        <v>81</v>
      </c>
      <c r="AU3319">
        <v>-16.59</v>
      </c>
      <c r="AV3319">
        <v>-34.409999999999997</v>
      </c>
      <c r="AW3319" t="s">
        <v>82</v>
      </c>
      <c r="AX3319">
        <v>202</v>
      </c>
      <c r="AY3319" t="s">
        <v>81</v>
      </c>
      <c r="AZ3319">
        <v>-25.18</v>
      </c>
      <c r="BA3319">
        <v>-48.06</v>
      </c>
      <c r="BB3319" t="s">
        <v>83</v>
      </c>
    </row>
    <row r="3320" spans="1:54" x14ac:dyDescent="0.4">
      <c r="A3320">
        <v>1347615</v>
      </c>
      <c r="D3320" t="s">
        <v>54</v>
      </c>
      <c r="G3320">
        <v>1</v>
      </c>
      <c r="H3320" t="s">
        <v>56</v>
      </c>
      <c r="I3320" t="s">
        <v>57</v>
      </c>
      <c r="K3320" t="s">
        <v>2052</v>
      </c>
      <c r="L3320" t="s">
        <v>3656</v>
      </c>
      <c r="M3320" t="s">
        <v>60</v>
      </c>
      <c r="O3320" t="s">
        <v>87</v>
      </c>
      <c r="P3320" t="s">
        <v>102</v>
      </c>
      <c r="Q3320" t="s">
        <v>103</v>
      </c>
      <c r="R3320" t="s">
        <v>104</v>
      </c>
      <c r="S3320" t="s">
        <v>64</v>
      </c>
      <c r="T3320">
        <v>251.90199999999999</v>
      </c>
      <c r="U3320">
        <v>246.7</v>
      </c>
      <c r="V3320">
        <f t="shared" si="102"/>
        <v>249.30099999999999</v>
      </c>
      <c r="W3320">
        <f t="shared" si="103"/>
        <v>5.2019999999999982</v>
      </c>
      <c r="X3320">
        <v>26.127776999999998</v>
      </c>
      <c r="Y3320">
        <v>-32.200279000000002</v>
      </c>
      <c r="Z3320" t="s">
        <v>124</v>
      </c>
      <c r="AA3320" t="s">
        <v>106</v>
      </c>
      <c r="AB3320" t="s">
        <v>107</v>
      </c>
      <c r="AC3320" t="s">
        <v>1530</v>
      </c>
      <c r="AD3320" t="s">
        <v>109</v>
      </c>
      <c r="AE3320" t="s">
        <v>110</v>
      </c>
      <c r="AG3320" t="s">
        <v>1531</v>
      </c>
      <c r="AH3320" t="s">
        <v>72</v>
      </c>
      <c r="AI3320" t="s">
        <v>3945</v>
      </c>
      <c r="AJ3320">
        <v>2015</v>
      </c>
      <c r="AK3320" t="s">
        <v>4759</v>
      </c>
      <c r="AN3320" t="s">
        <v>76</v>
      </c>
      <c r="AO3320" t="s">
        <v>77</v>
      </c>
      <c r="AP3320" t="s">
        <v>78</v>
      </c>
      <c r="AR3320" t="s">
        <v>80</v>
      </c>
      <c r="AS3320">
        <v>701</v>
      </c>
      <c r="AT3320" t="s">
        <v>81</v>
      </c>
      <c r="AU3320">
        <v>-12.09</v>
      </c>
      <c r="AV3320">
        <v>-51.17</v>
      </c>
      <c r="AW3320" t="s">
        <v>82</v>
      </c>
      <c r="AX3320">
        <v>701</v>
      </c>
      <c r="AY3320" t="s">
        <v>81</v>
      </c>
      <c r="AZ3320">
        <v>-22.38</v>
      </c>
      <c r="BA3320">
        <v>-65.27</v>
      </c>
      <c r="BB3320" t="s">
        <v>83</v>
      </c>
    </row>
    <row r="3321" spans="1:54" x14ac:dyDescent="0.4">
      <c r="A3321">
        <v>1347617</v>
      </c>
      <c r="D3321" t="s">
        <v>54</v>
      </c>
      <c r="E3321" t="s">
        <v>55</v>
      </c>
      <c r="G3321">
        <v>1</v>
      </c>
      <c r="H3321" t="s">
        <v>56</v>
      </c>
      <c r="I3321" t="s">
        <v>57</v>
      </c>
      <c r="K3321" t="s">
        <v>2052</v>
      </c>
      <c r="L3321" t="s">
        <v>3656</v>
      </c>
      <c r="M3321" t="s">
        <v>60</v>
      </c>
      <c r="O3321" t="s">
        <v>87</v>
      </c>
      <c r="P3321" t="s">
        <v>102</v>
      </c>
      <c r="Q3321" t="s">
        <v>103</v>
      </c>
      <c r="R3321" t="s">
        <v>104</v>
      </c>
      <c r="S3321" t="s">
        <v>64</v>
      </c>
      <c r="T3321">
        <v>251.90199999999999</v>
      </c>
      <c r="U3321">
        <v>246.7</v>
      </c>
      <c r="V3321">
        <f t="shared" si="102"/>
        <v>249.30099999999999</v>
      </c>
      <c r="W3321">
        <f t="shared" si="103"/>
        <v>5.2019999999999982</v>
      </c>
      <c r="X3321">
        <v>24.983333999999999</v>
      </c>
      <c r="Y3321">
        <v>-31.716667000000001</v>
      </c>
      <c r="Z3321" t="s">
        <v>124</v>
      </c>
      <c r="AA3321" t="s">
        <v>106</v>
      </c>
      <c r="AB3321" t="s">
        <v>107</v>
      </c>
      <c r="AC3321" t="s">
        <v>1530</v>
      </c>
      <c r="AD3321" t="s">
        <v>1603</v>
      </c>
      <c r="AE3321" t="s">
        <v>110</v>
      </c>
      <c r="AF3321" t="s">
        <v>1604</v>
      </c>
      <c r="AG3321" t="s">
        <v>1531</v>
      </c>
      <c r="AH3321" t="s">
        <v>72</v>
      </c>
      <c r="AI3321" t="s">
        <v>3945</v>
      </c>
      <c r="AJ3321">
        <v>2015</v>
      </c>
      <c r="AK3321" t="s">
        <v>2032</v>
      </c>
      <c r="AN3321" t="s">
        <v>341</v>
      </c>
      <c r="AO3321" t="s">
        <v>160</v>
      </c>
      <c r="AP3321" t="s">
        <v>359</v>
      </c>
      <c r="AQ3321" t="s">
        <v>2033</v>
      </c>
      <c r="AR3321" t="s">
        <v>80</v>
      </c>
      <c r="AS3321">
        <v>701</v>
      </c>
      <c r="AT3321" t="s">
        <v>81</v>
      </c>
      <c r="AU3321">
        <v>-12.37</v>
      </c>
      <c r="AV3321">
        <v>-50.1</v>
      </c>
      <c r="AW3321" t="s">
        <v>82</v>
      </c>
      <c r="AX3321">
        <v>701</v>
      </c>
      <c r="AY3321" t="s">
        <v>81</v>
      </c>
      <c r="AZ3321">
        <v>-22.56</v>
      </c>
      <c r="BA3321">
        <v>-64.19</v>
      </c>
      <c r="BB3321" t="s">
        <v>83</v>
      </c>
    </row>
    <row r="3322" spans="1:54" x14ac:dyDescent="0.4">
      <c r="A3322">
        <v>1347619</v>
      </c>
      <c r="D3322" t="s">
        <v>54</v>
      </c>
      <c r="G3322">
        <v>1</v>
      </c>
      <c r="H3322" t="s">
        <v>56</v>
      </c>
      <c r="I3322" t="s">
        <v>57</v>
      </c>
      <c r="K3322" t="s">
        <v>2052</v>
      </c>
      <c r="L3322" t="s">
        <v>3656</v>
      </c>
      <c r="M3322" t="s">
        <v>60</v>
      </c>
      <c r="O3322" t="s">
        <v>87</v>
      </c>
      <c r="P3322" t="s">
        <v>102</v>
      </c>
      <c r="Q3322" t="s">
        <v>103</v>
      </c>
      <c r="R3322" t="s">
        <v>104</v>
      </c>
      <c r="S3322" t="s">
        <v>64</v>
      </c>
      <c r="T3322">
        <v>251.90199999999999</v>
      </c>
      <c r="U3322">
        <v>246.7</v>
      </c>
      <c r="V3322">
        <f t="shared" si="102"/>
        <v>249.30099999999999</v>
      </c>
      <c r="W3322">
        <f t="shared" si="103"/>
        <v>5.2019999999999982</v>
      </c>
      <c r="X3322">
        <v>25.029722</v>
      </c>
      <c r="Y3322">
        <v>-31.762222000000001</v>
      </c>
      <c r="Z3322" t="s">
        <v>124</v>
      </c>
      <c r="AA3322" t="s">
        <v>106</v>
      </c>
      <c r="AB3322" t="s">
        <v>107</v>
      </c>
      <c r="AC3322" t="s">
        <v>108</v>
      </c>
      <c r="AE3322" t="s">
        <v>110</v>
      </c>
      <c r="AG3322" t="s">
        <v>3649</v>
      </c>
      <c r="AH3322" t="s">
        <v>72</v>
      </c>
      <c r="AI3322" t="s">
        <v>3945</v>
      </c>
      <c r="AJ3322">
        <v>2015</v>
      </c>
      <c r="AK3322" t="s">
        <v>4760</v>
      </c>
      <c r="AN3322" t="s">
        <v>76</v>
      </c>
      <c r="AO3322" t="s">
        <v>77</v>
      </c>
      <c r="AP3322" t="s">
        <v>78</v>
      </c>
      <c r="AR3322" t="s">
        <v>80</v>
      </c>
      <c r="AS3322">
        <v>701</v>
      </c>
      <c r="AT3322" t="s">
        <v>81</v>
      </c>
      <c r="AU3322">
        <v>-12.39</v>
      </c>
      <c r="AV3322">
        <v>-50.16</v>
      </c>
      <c r="AW3322" t="s">
        <v>82</v>
      </c>
      <c r="AX3322">
        <v>701</v>
      </c>
      <c r="AY3322" t="s">
        <v>81</v>
      </c>
      <c r="AZ3322">
        <v>-22.6</v>
      </c>
      <c r="BA3322">
        <v>-64.239999999999995</v>
      </c>
      <c r="BB3322" t="s">
        <v>83</v>
      </c>
    </row>
    <row r="3323" spans="1:54" x14ac:dyDescent="0.4">
      <c r="A3323">
        <v>1347620</v>
      </c>
      <c r="D3323" t="s">
        <v>54</v>
      </c>
      <c r="G3323">
        <v>1</v>
      </c>
      <c r="H3323" t="s">
        <v>56</v>
      </c>
      <c r="I3323" t="s">
        <v>57</v>
      </c>
      <c r="K3323" t="s">
        <v>2052</v>
      </c>
      <c r="L3323" t="s">
        <v>3656</v>
      </c>
      <c r="M3323" t="s">
        <v>60</v>
      </c>
      <c r="O3323" t="s">
        <v>87</v>
      </c>
      <c r="P3323" t="s">
        <v>102</v>
      </c>
      <c r="Q3323" t="s">
        <v>103</v>
      </c>
      <c r="R3323" t="s">
        <v>104</v>
      </c>
      <c r="S3323" t="s">
        <v>64</v>
      </c>
      <c r="T3323">
        <v>251.90199999999999</v>
      </c>
      <c r="U3323">
        <v>246.7</v>
      </c>
      <c r="V3323">
        <f t="shared" si="102"/>
        <v>249.30099999999999</v>
      </c>
      <c r="W3323">
        <f t="shared" si="103"/>
        <v>5.2019999999999982</v>
      </c>
      <c r="X3323">
        <v>26.531389000000001</v>
      </c>
      <c r="Y3323">
        <v>-30.212499999999999</v>
      </c>
      <c r="Z3323" t="s">
        <v>124</v>
      </c>
      <c r="AA3323" t="s">
        <v>106</v>
      </c>
      <c r="AB3323" t="s">
        <v>1625</v>
      </c>
      <c r="AC3323" t="s">
        <v>2545</v>
      </c>
      <c r="AE3323" t="s">
        <v>110</v>
      </c>
      <c r="AG3323" t="s">
        <v>3649</v>
      </c>
      <c r="AH3323" t="s">
        <v>72</v>
      </c>
      <c r="AI3323" t="s">
        <v>3945</v>
      </c>
      <c r="AJ3323">
        <v>2015</v>
      </c>
      <c r="AK3323" t="s">
        <v>4761</v>
      </c>
      <c r="AN3323" t="s">
        <v>114</v>
      </c>
      <c r="AO3323" t="s">
        <v>77</v>
      </c>
      <c r="AP3323" t="s">
        <v>78</v>
      </c>
      <c r="AR3323" t="s">
        <v>80</v>
      </c>
      <c r="AS3323">
        <v>701</v>
      </c>
      <c r="AT3323" t="s">
        <v>81</v>
      </c>
      <c r="AU3323">
        <v>-9.24</v>
      </c>
      <c r="AV3323">
        <v>-50.26</v>
      </c>
      <c r="AW3323" t="s">
        <v>82</v>
      </c>
      <c r="AX3323">
        <v>701</v>
      </c>
      <c r="AY3323" t="s">
        <v>81</v>
      </c>
      <c r="AZ3323">
        <v>-17.98</v>
      </c>
      <c r="BA3323">
        <v>-64.5</v>
      </c>
      <c r="BB3323" t="s">
        <v>83</v>
      </c>
    </row>
    <row r="3324" spans="1:54" x14ac:dyDescent="0.4">
      <c r="A3324">
        <v>1380554</v>
      </c>
      <c r="D3324" t="s">
        <v>54</v>
      </c>
      <c r="F3324" t="s">
        <v>719</v>
      </c>
      <c r="I3324" t="s">
        <v>57</v>
      </c>
      <c r="K3324" t="s">
        <v>2052</v>
      </c>
      <c r="L3324" t="s">
        <v>3656</v>
      </c>
      <c r="M3324" t="s">
        <v>60</v>
      </c>
      <c r="O3324" t="s">
        <v>87</v>
      </c>
      <c r="P3324" t="s">
        <v>102</v>
      </c>
      <c r="Q3324" t="s">
        <v>103</v>
      </c>
      <c r="R3324" t="s">
        <v>104</v>
      </c>
      <c r="S3324" t="s">
        <v>64</v>
      </c>
      <c r="T3324">
        <v>251.90199999999999</v>
      </c>
      <c r="U3324">
        <v>246.7</v>
      </c>
      <c r="V3324">
        <f t="shared" si="102"/>
        <v>249.30099999999999</v>
      </c>
      <c r="W3324">
        <f t="shared" si="103"/>
        <v>5.2019999999999982</v>
      </c>
      <c r="X3324">
        <v>20.449656999999998</v>
      </c>
      <c r="Y3324">
        <v>-32.999755999999998</v>
      </c>
      <c r="Z3324" t="s">
        <v>198</v>
      </c>
      <c r="AA3324" t="s">
        <v>106</v>
      </c>
      <c r="AB3324" t="s">
        <v>4850</v>
      </c>
      <c r="AC3324" t="s">
        <v>1602</v>
      </c>
      <c r="AD3324" t="s">
        <v>1603</v>
      </c>
      <c r="AF3324" t="s">
        <v>1604</v>
      </c>
      <c r="AH3324" t="s">
        <v>72</v>
      </c>
      <c r="AI3324" t="s">
        <v>4418</v>
      </c>
      <c r="AJ3324">
        <v>2003</v>
      </c>
      <c r="AK3324" t="s">
        <v>4851</v>
      </c>
      <c r="AO3324">
        <v>6</v>
      </c>
      <c r="AR3324" t="s">
        <v>80</v>
      </c>
      <c r="AS3324">
        <v>701</v>
      </c>
      <c r="AT3324" t="s">
        <v>81</v>
      </c>
      <c r="AU3324">
        <v>-17.329999999999998</v>
      </c>
      <c r="AV3324">
        <v>-47.71</v>
      </c>
      <c r="AW3324" t="s">
        <v>82</v>
      </c>
      <c r="AX3324">
        <v>701</v>
      </c>
      <c r="AY3324" t="s">
        <v>81</v>
      </c>
      <c r="AZ3324">
        <v>-29.08</v>
      </c>
      <c r="BA3324">
        <v>-61.45</v>
      </c>
      <c r="BB3324" t="s">
        <v>83</v>
      </c>
    </row>
    <row r="3325" spans="1:54" x14ac:dyDescent="0.4">
      <c r="A3325">
        <v>1380555</v>
      </c>
      <c r="D3325" t="s">
        <v>54</v>
      </c>
      <c r="F3325" t="s">
        <v>719</v>
      </c>
      <c r="I3325" t="s">
        <v>57</v>
      </c>
      <c r="K3325" t="s">
        <v>1957</v>
      </c>
      <c r="L3325" t="s">
        <v>3654</v>
      </c>
      <c r="M3325" t="s">
        <v>60</v>
      </c>
      <c r="P3325" t="s">
        <v>102</v>
      </c>
      <c r="Q3325" t="s">
        <v>103</v>
      </c>
      <c r="R3325" t="s">
        <v>104</v>
      </c>
      <c r="S3325" t="s">
        <v>64</v>
      </c>
      <c r="T3325">
        <v>251.90199999999999</v>
      </c>
      <c r="U3325">
        <v>246.7</v>
      </c>
      <c r="V3325">
        <f t="shared" si="102"/>
        <v>249.30099999999999</v>
      </c>
      <c r="W3325">
        <f t="shared" si="103"/>
        <v>5.2019999999999982</v>
      </c>
      <c r="X3325">
        <v>20.449656999999998</v>
      </c>
      <c r="Y3325">
        <v>-32.999755999999998</v>
      </c>
      <c r="Z3325" t="s">
        <v>198</v>
      </c>
      <c r="AA3325" t="s">
        <v>106</v>
      </c>
      <c r="AB3325" t="s">
        <v>4850</v>
      </c>
      <c r="AC3325" t="s">
        <v>1602</v>
      </c>
      <c r="AD3325" t="s">
        <v>1603</v>
      </c>
      <c r="AF3325" t="s">
        <v>1604</v>
      </c>
      <c r="AH3325" t="s">
        <v>72</v>
      </c>
      <c r="AI3325" t="s">
        <v>4418</v>
      </c>
      <c r="AJ3325">
        <v>2003</v>
      </c>
      <c r="AK3325" t="s">
        <v>4851</v>
      </c>
      <c r="AO3325">
        <v>6</v>
      </c>
      <c r="AR3325" t="s">
        <v>80</v>
      </c>
      <c r="AS3325">
        <v>701</v>
      </c>
      <c r="AT3325" t="s">
        <v>81</v>
      </c>
      <c r="AU3325">
        <v>-17.329999999999998</v>
      </c>
      <c r="AV3325">
        <v>-47.71</v>
      </c>
      <c r="AW3325" t="s">
        <v>82</v>
      </c>
      <c r="AX3325">
        <v>701</v>
      </c>
      <c r="AY3325" t="s">
        <v>81</v>
      </c>
      <c r="AZ3325">
        <v>-29.08</v>
      </c>
      <c r="BA3325">
        <v>-61.45</v>
      </c>
      <c r="BB3325" t="s">
        <v>83</v>
      </c>
    </row>
    <row r="3326" spans="1:54" x14ac:dyDescent="0.4">
      <c r="A3326">
        <v>1380556</v>
      </c>
      <c r="D3326" t="s">
        <v>54</v>
      </c>
      <c r="F3326" t="s">
        <v>719</v>
      </c>
      <c r="I3326" t="s">
        <v>57</v>
      </c>
      <c r="K3326" t="s">
        <v>100</v>
      </c>
      <c r="L3326" t="s">
        <v>2031</v>
      </c>
      <c r="M3326" t="s">
        <v>60</v>
      </c>
      <c r="P3326" t="s">
        <v>102</v>
      </c>
      <c r="Q3326" t="s">
        <v>103</v>
      </c>
      <c r="R3326" t="s">
        <v>104</v>
      </c>
      <c r="S3326" t="s">
        <v>64</v>
      </c>
      <c r="T3326">
        <v>251.90199999999999</v>
      </c>
      <c r="U3326">
        <v>246.7</v>
      </c>
      <c r="V3326">
        <f t="shared" si="102"/>
        <v>249.30099999999999</v>
      </c>
      <c r="W3326">
        <f t="shared" si="103"/>
        <v>5.2019999999999982</v>
      </c>
      <c r="X3326">
        <v>20.449656999999998</v>
      </c>
      <c r="Y3326">
        <v>-32.999755999999998</v>
      </c>
      <c r="Z3326" t="s">
        <v>198</v>
      </c>
      <c r="AA3326" t="s">
        <v>106</v>
      </c>
      <c r="AB3326" t="s">
        <v>4850</v>
      </c>
      <c r="AC3326" t="s">
        <v>1602</v>
      </c>
      <c r="AD3326" t="s">
        <v>1603</v>
      </c>
      <c r="AF3326" t="s">
        <v>1604</v>
      </c>
      <c r="AH3326" t="s">
        <v>72</v>
      </c>
      <c r="AI3326" t="s">
        <v>4418</v>
      </c>
      <c r="AJ3326">
        <v>2003</v>
      </c>
      <c r="AK3326" t="s">
        <v>4851</v>
      </c>
      <c r="AO3326">
        <v>6</v>
      </c>
      <c r="AR3326" t="s">
        <v>80</v>
      </c>
      <c r="AS3326">
        <v>701</v>
      </c>
      <c r="AT3326" t="s">
        <v>81</v>
      </c>
      <c r="AU3326">
        <v>-17.329999999999998</v>
      </c>
      <c r="AV3326">
        <v>-47.71</v>
      </c>
      <c r="AW3326" t="s">
        <v>82</v>
      </c>
      <c r="AX3326">
        <v>701</v>
      </c>
      <c r="AY3326" t="s">
        <v>81</v>
      </c>
      <c r="AZ3326">
        <v>-29.08</v>
      </c>
      <c r="BA3326">
        <v>-61.45</v>
      </c>
      <c r="BB3326" t="s">
        <v>83</v>
      </c>
    </row>
    <row r="3327" spans="1:54" x14ac:dyDescent="0.4">
      <c r="A3327">
        <v>1380557</v>
      </c>
      <c r="D3327" t="s">
        <v>54</v>
      </c>
      <c r="F3327" t="s">
        <v>719</v>
      </c>
      <c r="I3327" t="s">
        <v>57</v>
      </c>
      <c r="K3327" t="s">
        <v>1600</v>
      </c>
      <c r="L3327" t="s">
        <v>1601</v>
      </c>
      <c r="M3327" t="s">
        <v>60</v>
      </c>
      <c r="P3327" t="s">
        <v>102</v>
      </c>
      <c r="Q3327" t="s">
        <v>103</v>
      </c>
      <c r="R3327" t="s">
        <v>104</v>
      </c>
      <c r="S3327" t="s">
        <v>64</v>
      </c>
      <c r="T3327">
        <v>251.90199999999999</v>
      </c>
      <c r="U3327">
        <v>246.7</v>
      </c>
      <c r="V3327">
        <f t="shared" si="102"/>
        <v>249.30099999999999</v>
      </c>
      <c r="W3327">
        <f t="shared" si="103"/>
        <v>5.2019999999999982</v>
      </c>
      <c r="X3327">
        <v>20.449656999999998</v>
      </c>
      <c r="Y3327">
        <v>-32.999755999999998</v>
      </c>
      <c r="Z3327" t="s">
        <v>198</v>
      </c>
      <c r="AA3327" t="s">
        <v>106</v>
      </c>
      <c r="AB3327" t="s">
        <v>4850</v>
      </c>
      <c r="AC3327" t="s">
        <v>1602</v>
      </c>
      <c r="AD3327" t="s">
        <v>1603</v>
      </c>
      <c r="AF3327" t="s">
        <v>1604</v>
      </c>
      <c r="AH3327" t="s">
        <v>72</v>
      </c>
      <c r="AI3327" t="s">
        <v>4418</v>
      </c>
      <c r="AJ3327">
        <v>2003</v>
      </c>
      <c r="AK3327" t="s">
        <v>4851</v>
      </c>
      <c r="AO3327">
        <v>6</v>
      </c>
      <c r="AR3327" t="s">
        <v>80</v>
      </c>
      <c r="AS3327">
        <v>701</v>
      </c>
      <c r="AT3327" t="s">
        <v>81</v>
      </c>
      <c r="AU3327">
        <v>-17.329999999999998</v>
      </c>
      <c r="AV3327">
        <v>-47.71</v>
      </c>
      <c r="AW3327" t="s">
        <v>82</v>
      </c>
      <c r="AX3327">
        <v>701</v>
      </c>
      <c r="AY3327" t="s">
        <v>81</v>
      </c>
      <c r="AZ3327">
        <v>-29.08</v>
      </c>
      <c r="BA3327">
        <v>-61.45</v>
      </c>
      <c r="BB3327" t="s">
        <v>83</v>
      </c>
    </row>
    <row r="3328" spans="1:54" x14ac:dyDescent="0.4">
      <c r="A3328">
        <v>1431220</v>
      </c>
      <c r="D3328" t="s">
        <v>54</v>
      </c>
      <c r="E3328" t="s">
        <v>154</v>
      </c>
      <c r="G3328">
        <v>1</v>
      </c>
      <c r="H3328" t="s">
        <v>84</v>
      </c>
      <c r="I3328" t="s">
        <v>57</v>
      </c>
      <c r="K3328" t="s">
        <v>141</v>
      </c>
      <c r="L3328" t="s">
        <v>5372</v>
      </c>
      <c r="M3328" t="s">
        <v>60</v>
      </c>
      <c r="P3328" t="s">
        <v>102</v>
      </c>
      <c r="Q3328" t="s">
        <v>103</v>
      </c>
      <c r="R3328" t="s">
        <v>104</v>
      </c>
      <c r="S3328" t="s">
        <v>64</v>
      </c>
      <c r="T3328">
        <v>251.90199999999999</v>
      </c>
      <c r="U3328">
        <v>246.7</v>
      </c>
      <c r="V3328">
        <f t="shared" si="102"/>
        <v>249.30099999999999</v>
      </c>
      <c r="W3328">
        <f t="shared" si="103"/>
        <v>5.2019999999999982</v>
      </c>
      <c r="X3328">
        <v>172.5</v>
      </c>
      <c r="Y3328">
        <v>-85.050003000000004</v>
      </c>
      <c r="Z3328" t="s">
        <v>105</v>
      </c>
      <c r="AA3328" t="s">
        <v>2145</v>
      </c>
      <c r="AD3328" t="s">
        <v>2146</v>
      </c>
      <c r="AE3328" t="s">
        <v>2147</v>
      </c>
      <c r="AH3328" t="s">
        <v>72</v>
      </c>
      <c r="AI3328" t="s">
        <v>5373</v>
      </c>
      <c r="AJ3328">
        <v>2019</v>
      </c>
      <c r="AK3328" t="s">
        <v>3664</v>
      </c>
      <c r="AN3328" t="s">
        <v>192</v>
      </c>
      <c r="AO3328" t="s">
        <v>77</v>
      </c>
      <c r="AP3328" t="s">
        <v>115</v>
      </c>
      <c r="AQ3328" t="s">
        <v>3665</v>
      </c>
      <c r="AR3328" t="s">
        <v>80</v>
      </c>
      <c r="AS3328">
        <v>802</v>
      </c>
      <c r="AT3328" t="s">
        <v>81</v>
      </c>
      <c r="AU3328">
        <v>23.46</v>
      </c>
      <c r="AV3328">
        <v>-72.040000000000006</v>
      </c>
      <c r="AW3328" t="s">
        <v>82</v>
      </c>
      <c r="AX3328">
        <v>802</v>
      </c>
      <c r="AY3328" t="s">
        <v>81</v>
      </c>
      <c r="AZ3328">
        <v>74.23</v>
      </c>
      <c r="BA3328">
        <v>-81.010000000000005</v>
      </c>
      <c r="BB3328" t="s">
        <v>83</v>
      </c>
    </row>
    <row r="3329" spans="1:54" x14ac:dyDescent="0.4">
      <c r="A3329">
        <v>1500171</v>
      </c>
      <c r="D3329" t="s">
        <v>54</v>
      </c>
      <c r="E3329" t="s">
        <v>152</v>
      </c>
      <c r="G3329">
        <v>1</v>
      </c>
      <c r="H3329" t="s">
        <v>84</v>
      </c>
      <c r="I3329" t="s">
        <v>57</v>
      </c>
      <c r="K3329" t="s">
        <v>141</v>
      </c>
      <c r="L3329" t="s">
        <v>5474</v>
      </c>
      <c r="M3329" t="s">
        <v>60</v>
      </c>
      <c r="P3329" t="s">
        <v>102</v>
      </c>
      <c r="Q3329" t="s">
        <v>103</v>
      </c>
      <c r="R3329" t="s">
        <v>104</v>
      </c>
      <c r="S3329" t="s">
        <v>64</v>
      </c>
      <c r="T3329">
        <v>251.90199999999999</v>
      </c>
      <c r="U3329">
        <v>246.7</v>
      </c>
      <c r="V3329">
        <f t="shared" si="102"/>
        <v>249.30099999999999</v>
      </c>
      <c r="W3329">
        <f t="shared" si="103"/>
        <v>5.2019999999999982</v>
      </c>
      <c r="X3329">
        <v>-55.052776000000001</v>
      </c>
      <c r="Y3329">
        <v>-29.615556999999999</v>
      </c>
      <c r="Z3329" t="s">
        <v>124</v>
      </c>
      <c r="AA3329" t="s">
        <v>783</v>
      </c>
      <c r="AB3329" t="s">
        <v>784</v>
      </c>
      <c r="AD3329" t="s">
        <v>3058</v>
      </c>
      <c r="AE3329" t="s">
        <v>786</v>
      </c>
      <c r="AH3329" t="s">
        <v>72</v>
      </c>
      <c r="AI3329" t="s">
        <v>5475</v>
      </c>
      <c r="AJ3329">
        <v>2020</v>
      </c>
      <c r="AK3329" t="s">
        <v>3386</v>
      </c>
      <c r="AN3329" t="s">
        <v>76</v>
      </c>
      <c r="AO3329" t="s">
        <v>77</v>
      </c>
      <c r="AP3329" t="s">
        <v>78</v>
      </c>
      <c r="AQ3329" t="s">
        <v>3384</v>
      </c>
      <c r="AR3329" t="s">
        <v>80</v>
      </c>
      <c r="AS3329">
        <v>201</v>
      </c>
      <c r="AT3329" t="s">
        <v>81</v>
      </c>
      <c r="AU3329">
        <v>-16.59</v>
      </c>
      <c r="AV3329">
        <v>-34.409999999999997</v>
      </c>
      <c r="AW3329" t="s">
        <v>82</v>
      </c>
      <c r="AX3329">
        <v>202</v>
      </c>
      <c r="AY3329" t="s">
        <v>81</v>
      </c>
      <c r="AZ3329">
        <v>-25.18</v>
      </c>
      <c r="BA3329">
        <v>-48.06</v>
      </c>
      <c r="BB3329" t="s">
        <v>83</v>
      </c>
    </row>
    <row r="3330" spans="1:54" x14ac:dyDescent="0.4">
      <c r="A3330">
        <v>1549175</v>
      </c>
      <c r="D3330" t="s">
        <v>54</v>
      </c>
      <c r="E3330" t="s">
        <v>152</v>
      </c>
      <c r="I3330" t="s">
        <v>57</v>
      </c>
      <c r="K3330" t="s">
        <v>100</v>
      </c>
      <c r="L3330" t="s">
        <v>5536</v>
      </c>
      <c r="M3330" t="s">
        <v>60</v>
      </c>
      <c r="P3330" t="s">
        <v>102</v>
      </c>
      <c r="Q3330" t="s">
        <v>103</v>
      </c>
      <c r="R3330" t="s">
        <v>104</v>
      </c>
      <c r="S3330" t="s">
        <v>64</v>
      </c>
      <c r="T3330">
        <v>251.90199999999999</v>
      </c>
      <c r="U3330">
        <v>246.7</v>
      </c>
      <c r="V3330">
        <f t="shared" si="102"/>
        <v>249.30099999999999</v>
      </c>
      <c r="W3330">
        <f t="shared" si="103"/>
        <v>5.2019999999999982</v>
      </c>
      <c r="X3330">
        <v>-55.052776000000001</v>
      </c>
      <c r="Y3330">
        <v>-29.615556999999999</v>
      </c>
      <c r="Z3330" t="s">
        <v>124</v>
      </c>
      <c r="AA3330" t="s">
        <v>783</v>
      </c>
      <c r="AB3330" t="s">
        <v>784</v>
      </c>
      <c r="AD3330" t="s">
        <v>3058</v>
      </c>
      <c r="AE3330" t="s">
        <v>786</v>
      </c>
      <c r="AH3330" t="s">
        <v>72</v>
      </c>
      <c r="AI3330" t="s">
        <v>4758</v>
      </c>
      <c r="AJ3330">
        <v>2021</v>
      </c>
      <c r="AK3330" t="s">
        <v>3386</v>
      </c>
      <c r="AN3330" t="s">
        <v>76</v>
      </c>
      <c r="AO3330" t="s">
        <v>77</v>
      </c>
      <c r="AP3330" t="s">
        <v>78</v>
      </c>
      <c r="AQ3330" t="s">
        <v>3384</v>
      </c>
      <c r="AR3330" t="s">
        <v>80</v>
      </c>
      <c r="AS3330">
        <v>201</v>
      </c>
      <c r="AT3330" t="s">
        <v>81</v>
      </c>
      <c r="AU3330">
        <v>-16.59</v>
      </c>
      <c r="AV3330">
        <v>-34.409999999999997</v>
      </c>
      <c r="AW3330" t="s">
        <v>82</v>
      </c>
      <c r="AX3330">
        <v>202</v>
      </c>
      <c r="AY3330" t="s">
        <v>81</v>
      </c>
      <c r="AZ3330">
        <v>-25.18</v>
      </c>
      <c r="BA3330">
        <v>-48.06</v>
      </c>
      <c r="BB3330" t="s">
        <v>83</v>
      </c>
    </row>
    <row r="3331" spans="1:54" x14ac:dyDescent="0.4">
      <c r="A3331">
        <v>1549176</v>
      </c>
      <c r="D3331" t="s">
        <v>54</v>
      </c>
      <c r="E3331" t="s">
        <v>152</v>
      </c>
      <c r="I3331" t="s">
        <v>57</v>
      </c>
      <c r="K3331" t="s">
        <v>100</v>
      </c>
      <c r="L3331" t="s">
        <v>5536</v>
      </c>
      <c r="M3331" t="s">
        <v>60</v>
      </c>
      <c r="P3331" t="s">
        <v>102</v>
      </c>
      <c r="Q3331" t="s">
        <v>103</v>
      </c>
      <c r="R3331" t="s">
        <v>104</v>
      </c>
      <c r="S3331" t="s">
        <v>64</v>
      </c>
      <c r="T3331">
        <v>251.90199999999999</v>
      </c>
      <c r="U3331">
        <v>246.7</v>
      </c>
      <c r="V3331">
        <f t="shared" ref="V3331:V3394" si="104">(T3331+U3331)/2</f>
        <v>249.30099999999999</v>
      </c>
      <c r="W3331">
        <f t="shared" ref="W3331:W3394" si="105">T3331-U3331</f>
        <v>5.2019999999999982</v>
      </c>
      <c r="X3331">
        <v>-55.052776000000001</v>
      </c>
      <c r="Y3331">
        <v>-29.615556999999999</v>
      </c>
      <c r="Z3331" t="s">
        <v>124</v>
      </c>
      <c r="AA3331" t="s">
        <v>783</v>
      </c>
      <c r="AB3331" t="s">
        <v>784</v>
      </c>
      <c r="AD3331" t="s">
        <v>3058</v>
      </c>
      <c r="AE3331" t="s">
        <v>786</v>
      </c>
      <c r="AH3331" t="s">
        <v>72</v>
      </c>
      <c r="AI3331" t="s">
        <v>4758</v>
      </c>
      <c r="AJ3331">
        <v>2021</v>
      </c>
      <c r="AK3331" t="s">
        <v>3386</v>
      </c>
      <c r="AN3331" t="s">
        <v>76</v>
      </c>
      <c r="AO3331" t="s">
        <v>77</v>
      </c>
      <c r="AP3331" t="s">
        <v>78</v>
      </c>
      <c r="AQ3331" t="s">
        <v>3384</v>
      </c>
      <c r="AR3331" t="s">
        <v>80</v>
      </c>
      <c r="AS3331">
        <v>201</v>
      </c>
      <c r="AT3331" t="s">
        <v>81</v>
      </c>
      <c r="AU3331">
        <v>-16.59</v>
      </c>
      <c r="AV3331">
        <v>-34.409999999999997</v>
      </c>
      <c r="AW3331" t="s">
        <v>82</v>
      </c>
      <c r="AX3331">
        <v>202</v>
      </c>
      <c r="AY3331" t="s">
        <v>81</v>
      </c>
      <c r="AZ3331">
        <v>-25.18</v>
      </c>
      <c r="BA3331">
        <v>-48.06</v>
      </c>
      <c r="BB3331" t="s">
        <v>83</v>
      </c>
    </row>
    <row r="3332" spans="1:54" x14ac:dyDescent="0.4">
      <c r="A3332">
        <v>1587698</v>
      </c>
      <c r="D3332" t="s">
        <v>54</v>
      </c>
      <c r="E3332" t="s">
        <v>154</v>
      </c>
      <c r="G3332">
        <v>1</v>
      </c>
      <c r="H3332" t="s">
        <v>84</v>
      </c>
      <c r="I3332" t="s">
        <v>57</v>
      </c>
      <c r="K3332" t="s">
        <v>100</v>
      </c>
      <c r="L3332" t="s">
        <v>101</v>
      </c>
      <c r="M3332" t="s">
        <v>60</v>
      </c>
      <c r="P3332" t="s">
        <v>102</v>
      </c>
      <c r="Q3332" t="s">
        <v>103</v>
      </c>
      <c r="R3332" t="s">
        <v>104</v>
      </c>
      <c r="S3332" t="s">
        <v>64</v>
      </c>
      <c r="T3332">
        <v>251.90199999999999</v>
      </c>
      <c r="U3332">
        <v>246.7</v>
      </c>
      <c r="V3332">
        <f t="shared" si="104"/>
        <v>249.30099999999999</v>
      </c>
      <c r="W3332">
        <f t="shared" si="105"/>
        <v>5.2019999999999982</v>
      </c>
      <c r="X3332">
        <v>172.5</v>
      </c>
      <c r="Y3332">
        <v>-85.050003000000004</v>
      </c>
      <c r="Z3332" t="s">
        <v>105</v>
      </c>
      <c r="AA3332" t="s">
        <v>2145</v>
      </c>
      <c r="AD3332" t="s">
        <v>2146</v>
      </c>
      <c r="AE3332" t="s">
        <v>2147</v>
      </c>
      <c r="AH3332" t="s">
        <v>11</v>
      </c>
      <c r="AI3332" t="s">
        <v>5373</v>
      </c>
      <c r="AJ3332">
        <v>2019</v>
      </c>
      <c r="AK3332" t="s">
        <v>3664</v>
      </c>
      <c r="AN3332" t="s">
        <v>192</v>
      </c>
      <c r="AO3332" t="s">
        <v>77</v>
      </c>
      <c r="AP3332" t="s">
        <v>115</v>
      </c>
      <c r="AQ3332" t="s">
        <v>3665</v>
      </c>
      <c r="AR3332" t="s">
        <v>80</v>
      </c>
      <c r="AS3332">
        <v>802</v>
      </c>
      <c r="AT3332" t="s">
        <v>81</v>
      </c>
      <c r="AU3332">
        <v>23.46</v>
      </c>
      <c r="AV3332">
        <v>-72.040000000000006</v>
      </c>
      <c r="AW3332" t="s">
        <v>82</v>
      </c>
      <c r="AX3332">
        <v>802</v>
      </c>
      <c r="AY3332" t="s">
        <v>81</v>
      </c>
      <c r="AZ3332">
        <v>74.23</v>
      </c>
      <c r="BA3332">
        <v>-81.010000000000005</v>
      </c>
      <c r="BB3332" t="s">
        <v>83</v>
      </c>
    </row>
    <row r="3333" spans="1:54" x14ac:dyDescent="0.4">
      <c r="A3333">
        <v>1589167</v>
      </c>
      <c r="D3333" t="s">
        <v>54</v>
      </c>
      <c r="F3333" t="s">
        <v>719</v>
      </c>
      <c r="I3333" t="s">
        <v>57</v>
      </c>
      <c r="K3333" t="s">
        <v>141</v>
      </c>
      <c r="L3333" t="s">
        <v>5603</v>
      </c>
      <c r="M3333" t="s">
        <v>60</v>
      </c>
      <c r="P3333" t="s">
        <v>102</v>
      </c>
      <c r="Q3333" t="s">
        <v>103</v>
      </c>
      <c r="R3333" t="s">
        <v>104</v>
      </c>
      <c r="S3333" t="s">
        <v>64</v>
      </c>
      <c r="T3333">
        <v>251.90199999999999</v>
      </c>
      <c r="U3333">
        <v>246.7</v>
      </c>
      <c r="V3333">
        <f t="shared" si="104"/>
        <v>249.30099999999999</v>
      </c>
      <c r="W3333">
        <f t="shared" si="105"/>
        <v>5.2019999999999982</v>
      </c>
      <c r="X3333">
        <v>20.449656999999998</v>
      </c>
      <c r="Y3333">
        <v>-32.999755999999998</v>
      </c>
      <c r="Z3333" t="s">
        <v>198</v>
      </c>
      <c r="AA3333" t="s">
        <v>106</v>
      </c>
      <c r="AB3333" t="s">
        <v>4850</v>
      </c>
      <c r="AC3333" t="s">
        <v>1602</v>
      </c>
      <c r="AD3333" t="s">
        <v>1603</v>
      </c>
      <c r="AF3333" t="s">
        <v>1604</v>
      </c>
      <c r="AH3333" t="s">
        <v>72</v>
      </c>
      <c r="AI3333" t="s">
        <v>5604</v>
      </c>
      <c r="AJ3333">
        <v>2019</v>
      </c>
      <c r="AK3333" t="s">
        <v>4851</v>
      </c>
      <c r="AO3333">
        <v>6</v>
      </c>
      <c r="AR3333" t="s">
        <v>80</v>
      </c>
      <c r="AS3333">
        <v>701</v>
      </c>
      <c r="AT3333" t="s">
        <v>81</v>
      </c>
      <c r="AU3333">
        <v>-17.329999999999998</v>
      </c>
      <c r="AV3333">
        <v>-47.71</v>
      </c>
      <c r="AW3333" t="s">
        <v>82</v>
      </c>
      <c r="AX3333">
        <v>701</v>
      </c>
      <c r="AY3333" t="s">
        <v>81</v>
      </c>
      <c r="AZ3333">
        <v>-29.08</v>
      </c>
      <c r="BA3333">
        <v>-61.45</v>
      </c>
      <c r="BB3333" t="s">
        <v>83</v>
      </c>
    </row>
    <row r="3334" spans="1:54" x14ac:dyDescent="0.4">
      <c r="A3334">
        <v>479551</v>
      </c>
      <c r="D3334" t="s">
        <v>54</v>
      </c>
      <c r="E3334" t="s">
        <v>152</v>
      </c>
      <c r="G3334">
        <v>1</v>
      </c>
      <c r="H3334" t="s">
        <v>56</v>
      </c>
      <c r="I3334" t="s">
        <v>57</v>
      </c>
      <c r="K3334" t="s">
        <v>141</v>
      </c>
      <c r="L3334" t="s">
        <v>871</v>
      </c>
      <c r="M3334" t="s">
        <v>60</v>
      </c>
      <c r="N3334" t="s">
        <v>119</v>
      </c>
      <c r="O3334" t="s">
        <v>170</v>
      </c>
      <c r="P3334" t="s">
        <v>62</v>
      </c>
      <c r="R3334" t="s">
        <v>63</v>
      </c>
      <c r="S3334" t="s">
        <v>64</v>
      </c>
      <c r="T3334">
        <v>213.2</v>
      </c>
      <c r="U3334">
        <v>208.5</v>
      </c>
      <c r="V3334">
        <f t="shared" si="104"/>
        <v>210.85</v>
      </c>
      <c r="W3334">
        <f t="shared" si="105"/>
        <v>4.6999999999999886</v>
      </c>
      <c r="X3334">
        <v>7.7332999999999998</v>
      </c>
      <c r="Y3334">
        <v>47.466701999999998</v>
      </c>
      <c r="Z3334" t="s">
        <v>124</v>
      </c>
      <c r="AA3334" t="s">
        <v>226</v>
      </c>
      <c r="AB3334" t="s">
        <v>872</v>
      </c>
      <c r="AC3334" t="s">
        <v>873</v>
      </c>
      <c r="AD3334" t="s">
        <v>268</v>
      </c>
      <c r="AE3334" t="s">
        <v>215</v>
      </c>
      <c r="AH3334" t="s">
        <v>72</v>
      </c>
      <c r="AI3334" t="s">
        <v>874</v>
      </c>
      <c r="AJ3334">
        <v>1856</v>
      </c>
      <c r="AK3334" t="s">
        <v>875</v>
      </c>
      <c r="AN3334" t="s">
        <v>114</v>
      </c>
      <c r="AO3334">
        <v>4</v>
      </c>
      <c r="AP3334" t="s">
        <v>78</v>
      </c>
      <c r="AQ3334" t="s">
        <v>876</v>
      </c>
      <c r="AR3334" t="s">
        <v>80</v>
      </c>
      <c r="AS3334">
        <v>305</v>
      </c>
      <c r="AT3334" t="s">
        <v>81</v>
      </c>
      <c r="AU3334">
        <v>19.07</v>
      </c>
      <c r="AV3334">
        <v>31.82</v>
      </c>
      <c r="AW3334" t="s">
        <v>82</v>
      </c>
      <c r="AX3334">
        <v>305</v>
      </c>
      <c r="AY3334" t="s">
        <v>81</v>
      </c>
      <c r="AZ3334">
        <v>8.6300000000000008</v>
      </c>
      <c r="BA3334">
        <v>34.35</v>
      </c>
      <c r="BB3334" t="s">
        <v>83</v>
      </c>
    </row>
    <row r="3335" spans="1:54" x14ac:dyDescent="0.4">
      <c r="A3335">
        <v>479551</v>
      </c>
      <c r="D3335" t="s">
        <v>54</v>
      </c>
      <c r="E3335" t="s">
        <v>152</v>
      </c>
      <c r="G3335">
        <v>1</v>
      </c>
      <c r="H3335" t="s">
        <v>56</v>
      </c>
      <c r="I3335" t="s">
        <v>57</v>
      </c>
      <c r="K3335" t="s">
        <v>141</v>
      </c>
      <c r="L3335" t="s">
        <v>871</v>
      </c>
      <c r="M3335" t="s">
        <v>60</v>
      </c>
      <c r="N3335" t="s">
        <v>119</v>
      </c>
      <c r="O3335" t="s">
        <v>170</v>
      </c>
      <c r="P3335" t="s">
        <v>62</v>
      </c>
      <c r="R3335" t="s">
        <v>63</v>
      </c>
      <c r="S3335" t="s">
        <v>64</v>
      </c>
      <c r="T3335">
        <v>213.2</v>
      </c>
      <c r="U3335">
        <v>208.5</v>
      </c>
      <c r="V3335">
        <f t="shared" si="104"/>
        <v>210.85</v>
      </c>
      <c r="W3335">
        <f t="shared" si="105"/>
        <v>4.6999999999999886</v>
      </c>
      <c r="X3335">
        <v>7.7332999999999998</v>
      </c>
      <c r="Y3335">
        <v>47.466701999999998</v>
      </c>
      <c r="Z3335" t="s">
        <v>124</v>
      </c>
      <c r="AA3335" t="s">
        <v>226</v>
      </c>
      <c r="AB3335" t="s">
        <v>872</v>
      </c>
      <c r="AC3335" t="s">
        <v>873</v>
      </c>
      <c r="AD3335" t="s">
        <v>268</v>
      </c>
      <c r="AE3335" t="s">
        <v>215</v>
      </c>
      <c r="AH3335" t="s">
        <v>72</v>
      </c>
      <c r="AI3335" t="s">
        <v>874</v>
      </c>
      <c r="AJ3335">
        <v>1856</v>
      </c>
      <c r="AK3335" t="s">
        <v>875</v>
      </c>
      <c r="AN3335" t="s">
        <v>114</v>
      </c>
      <c r="AO3335">
        <v>4</v>
      </c>
      <c r="AP3335" t="s">
        <v>78</v>
      </c>
      <c r="AQ3335" t="s">
        <v>876</v>
      </c>
      <c r="AR3335" t="s">
        <v>80</v>
      </c>
      <c r="AS3335">
        <v>305</v>
      </c>
      <c r="AT3335" t="s">
        <v>81</v>
      </c>
      <c r="AU3335">
        <v>19.07</v>
      </c>
      <c r="AV3335">
        <v>31.82</v>
      </c>
      <c r="AW3335" t="s">
        <v>82</v>
      </c>
      <c r="AX3335">
        <v>305</v>
      </c>
      <c r="AY3335" t="s">
        <v>81</v>
      </c>
      <c r="AZ3335">
        <v>8.6300000000000008</v>
      </c>
      <c r="BA3335">
        <v>34.35</v>
      </c>
      <c r="BB3335" t="s">
        <v>83</v>
      </c>
    </row>
    <row r="3336" spans="1:54" x14ac:dyDescent="0.4">
      <c r="A3336">
        <v>635142</v>
      </c>
      <c r="D3336" t="s">
        <v>853</v>
      </c>
      <c r="I3336" t="s">
        <v>57</v>
      </c>
      <c r="K3336" t="s">
        <v>141</v>
      </c>
      <c r="L3336" t="s">
        <v>1414</v>
      </c>
      <c r="M3336" t="s">
        <v>223</v>
      </c>
      <c r="N3336" t="s">
        <v>61</v>
      </c>
      <c r="O3336" t="s">
        <v>345</v>
      </c>
      <c r="P3336" t="s">
        <v>62</v>
      </c>
      <c r="R3336" t="s">
        <v>63</v>
      </c>
      <c r="S3336" t="s">
        <v>64</v>
      </c>
      <c r="T3336">
        <v>213.2</v>
      </c>
      <c r="U3336">
        <v>208.5</v>
      </c>
      <c r="V3336">
        <f t="shared" si="104"/>
        <v>210.85</v>
      </c>
      <c r="W3336">
        <f t="shared" si="105"/>
        <v>4.6999999999999886</v>
      </c>
      <c r="X3336">
        <v>11.183332999999999</v>
      </c>
      <c r="Y3336">
        <v>47.333331999999999</v>
      </c>
      <c r="Z3336" t="s">
        <v>1415</v>
      </c>
      <c r="AA3336" t="s">
        <v>712</v>
      </c>
      <c r="AB3336" t="s">
        <v>1416</v>
      </c>
      <c r="AD3336" t="s">
        <v>1417</v>
      </c>
      <c r="AH3336" t="s">
        <v>72</v>
      </c>
      <c r="AI3336" t="s">
        <v>1418</v>
      </c>
      <c r="AJ3336">
        <v>2002</v>
      </c>
      <c r="AK3336" t="s">
        <v>1419</v>
      </c>
      <c r="AM3336" t="s">
        <v>1420</v>
      </c>
      <c r="AN3336" t="s">
        <v>114</v>
      </c>
      <c r="AO3336" t="s">
        <v>160</v>
      </c>
      <c r="AP3336" t="s">
        <v>115</v>
      </c>
      <c r="AQ3336" t="s">
        <v>1421</v>
      </c>
      <c r="AR3336" t="s">
        <v>80</v>
      </c>
      <c r="AS3336">
        <v>307</v>
      </c>
      <c r="AT3336" t="s">
        <v>81</v>
      </c>
      <c r="AU3336">
        <v>29.44</v>
      </c>
      <c r="AV3336">
        <v>25.47</v>
      </c>
      <c r="AW3336" t="s">
        <v>82</v>
      </c>
      <c r="AX3336">
        <v>307</v>
      </c>
      <c r="AY3336" t="s">
        <v>81</v>
      </c>
      <c r="AZ3336">
        <v>14.42</v>
      </c>
      <c r="BA3336">
        <v>30.92</v>
      </c>
      <c r="BB3336" t="s">
        <v>83</v>
      </c>
    </row>
    <row r="3337" spans="1:54" x14ac:dyDescent="0.4">
      <c r="A3337">
        <v>777000</v>
      </c>
      <c r="D3337" t="s">
        <v>54</v>
      </c>
      <c r="E3337" t="s">
        <v>55</v>
      </c>
      <c r="G3337">
        <v>1</v>
      </c>
      <c r="H3337" t="s">
        <v>56</v>
      </c>
      <c r="I3337" t="s">
        <v>57</v>
      </c>
      <c r="K3337" t="s">
        <v>141</v>
      </c>
      <c r="L3337" t="s">
        <v>1676</v>
      </c>
      <c r="M3337" t="s">
        <v>223</v>
      </c>
      <c r="N3337" t="s">
        <v>61</v>
      </c>
      <c r="O3337" t="s">
        <v>345</v>
      </c>
      <c r="P3337" t="s">
        <v>62</v>
      </c>
      <c r="R3337" t="s">
        <v>63</v>
      </c>
      <c r="S3337" t="s">
        <v>64</v>
      </c>
      <c r="T3337">
        <v>213.2</v>
      </c>
      <c r="U3337">
        <v>208.5</v>
      </c>
      <c r="V3337">
        <f t="shared" si="104"/>
        <v>210.85</v>
      </c>
      <c r="W3337">
        <f t="shared" si="105"/>
        <v>4.6999999999999886</v>
      </c>
      <c r="X3337">
        <v>11.220556</v>
      </c>
      <c r="Y3337">
        <v>47.317501</v>
      </c>
      <c r="Z3337" t="s">
        <v>1596</v>
      </c>
      <c r="AA3337" t="s">
        <v>712</v>
      </c>
      <c r="AB3337" t="s">
        <v>1677</v>
      </c>
      <c r="AD3337" t="s">
        <v>1417</v>
      </c>
      <c r="AH3337" t="s">
        <v>72</v>
      </c>
      <c r="AI3337" t="s">
        <v>1678</v>
      </c>
      <c r="AJ3337">
        <v>2015</v>
      </c>
      <c r="AK3337" t="s">
        <v>1679</v>
      </c>
      <c r="AN3337" t="s">
        <v>192</v>
      </c>
      <c r="AO3337" t="s">
        <v>77</v>
      </c>
      <c r="AP3337" t="s">
        <v>115</v>
      </c>
      <c r="AQ3337" t="s">
        <v>1680</v>
      </c>
      <c r="AR3337" t="s">
        <v>80</v>
      </c>
      <c r="AS3337">
        <v>307</v>
      </c>
      <c r="AT3337" t="s">
        <v>81</v>
      </c>
      <c r="AU3337">
        <v>29.45</v>
      </c>
      <c r="AV3337">
        <v>25.44</v>
      </c>
      <c r="AW3337" t="s">
        <v>82</v>
      </c>
      <c r="AX3337">
        <v>307</v>
      </c>
      <c r="AY3337" t="s">
        <v>81</v>
      </c>
      <c r="AZ3337">
        <v>14.44</v>
      </c>
      <c r="BA3337">
        <v>30.89</v>
      </c>
      <c r="BB3337" t="s">
        <v>83</v>
      </c>
    </row>
    <row r="3338" spans="1:54" x14ac:dyDescent="0.4">
      <c r="A3338">
        <v>846844</v>
      </c>
      <c r="D3338" t="s">
        <v>599</v>
      </c>
      <c r="E3338" t="s">
        <v>310</v>
      </c>
      <c r="G3338">
        <v>1</v>
      </c>
      <c r="H3338" t="s">
        <v>56</v>
      </c>
      <c r="I3338" t="s">
        <v>57</v>
      </c>
      <c r="K3338" t="s">
        <v>1029</v>
      </c>
      <c r="L3338" t="s">
        <v>1030</v>
      </c>
      <c r="M3338" t="s">
        <v>60</v>
      </c>
      <c r="N3338" t="s">
        <v>61</v>
      </c>
      <c r="O3338" t="s">
        <v>345</v>
      </c>
      <c r="P3338" t="s">
        <v>62</v>
      </c>
      <c r="R3338" t="s">
        <v>63</v>
      </c>
      <c r="S3338" t="s">
        <v>64</v>
      </c>
      <c r="T3338">
        <v>213.2</v>
      </c>
      <c r="U3338">
        <v>208.5</v>
      </c>
      <c r="V3338">
        <f t="shared" si="104"/>
        <v>210.85</v>
      </c>
      <c r="W3338">
        <f t="shared" si="105"/>
        <v>4.6999999999999886</v>
      </c>
      <c r="X3338">
        <v>9.5583329999999993</v>
      </c>
      <c r="Y3338">
        <v>45.797221999999998</v>
      </c>
      <c r="Z3338" t="s">
        <v>1415</v>
      </c>
      <c r="AA3338" t="s">
        <v>593</v>
      </c>
      <c r="AB3338" t="s">
        <v>603</v>
      </c>
      <c r="AC3338" t="s">
        <v>3086</v>
      </c>
      <c r="AD3338" t="s">
        <v>3087</v>
      </c>
      <c r="AH3338" t="s">
        <v>72</v>
      </c>
      <c r="AI3338" t="s">
        <v>1693</v>
      </c>
      <c r="AJ3338">
        <v>1994</v>
      </c>
      <c r="AK3338" t="s">
        <v>3088</v>
      </c>
      <c r="AN3338" t="s">
        <v>114</v>
      </c>
      <c r="AO3338" t="s">
        <v>77</v>
      </c>
      <c r="AP3338" t="s">
        <v>115</v>
      </c>
      <c r="AQ3338" t="s">
        <v>3089</v>
      </c>
      <c r="AR3338" t="s">
        <v>80</v>
      </c>
      <c r="AS3338">
        <v>307</v>
      </c>
      <c r="AT3338" t="s">
        <v>81</v>
      </c>
      <c r="AU3338">
        <v>27.34</v>
      </c>
      <c r="AV3338">
        <v>25.32</v>
      </c>
      <c r="AW3338" t="s">
        <v>82</v>
      </c>
      <c r="AX3338">
        <v>307</v>
      </c>
      <c r="AY3338" t="s">
        <v>81</v>
      </c>
      <c r="AZ3338">
        <v>12.35</v>
      </c>
      <c r="BA3338">
        <v>30.28</v>
      </c>
      <c r="BB3338" t="s">
        <v>83</v>
      </c>
    </row>
    <row r="3339" spans="1:54" x14ac:dyDescent="0.4">
      <c r="A3339">
        <v>930879</v>
      </c>
      <c r="D3339" t="s">
        <v>853</v>
      </c>
      <c r="E3339" t="s">
        <v>55</v>
      </c>
      <c r="G3339">
        <v>1</v>
      </c>
      <c r="H3339" t="s">
        <v>56</v>
      </c>
      <c r="I3339" t="s">
        <v>57</v>
      </c>
      <c r="K3339" t="s">
        <v>85</v>
      </c>
      <c r="L3339" t="s">
        <v>1517</v>
      </c>
      <c r="M3339" t="s">
        <v>60</v>
      </c>
      <c r="O3339" t="s">
        <v>87</v>
      </c>
      <c r="P3339" t="s">
        <v>62</v>
      </c>
      <c r="R3339" t="s">
        <v>63</v>
      </c>
      <c r="S3339" t="s">
        <v>64</v>
      </c>
      <c r="T3339">
        <v>213.2</v>
      </c>
      <c r="U3339">
        <v>208.5</v>
      </c>
      <c r="V3339">
        <f t="shared" si="104"/>
        <v>210.85</v>
      </c>
      <c r="W3339">
        <f t="shared" si="105"/>
        <v>4.6999999999999886</v>
      </c>
      <c r="X3339">
        <v>9.5583329999999993</v>
      </c>
      <c r="Y3339">
        <v>45.797221999999998</v>
      </c>
      <c r="Z3339" t="s">
        <v>1890</v>
      </c>
      <c r="AA3339" t="s">
        <v>593</v>
      </c>
      <c r="AB3339" t="s">
        <v>603</v>
      </c>
      <c r="AC3339" t="s">
        <v>3086</v>
      </c>
      <c r="AD3339" t="s">
        <v>3087</v>
      </c>
      <c r="AH3339" t="s">
        <v>11</v>
      </c>
      <c r="AI3339" t="s">
        <v>3094</v>
      </c>
      <c r="AJ3339">
        <v>2008</v>
      </c>
      <c r="AK3339" t="s">
        <v>3776</v>
      </c>
      <c r="AN3339" t="s">
        <v>114</v>
      </c>
      <c r="AO3339" t="s">
        <v>77</v>
      </c>
      <c r="AP3339" t="s">
        <v>115</v>
      </c>
      <c r="AQ3339" t="s">
        <v>3777</v>
      </c>
      <c r="AR3339" t="s">
        <v>80</v>
      </c>
      <c r="AS3339">
        <v>307</v>
      </c>
      <c r="AT3339" t="s">
        <v>81</v>
      </c>
      <c r="AU3339">
        <v>27.34</v>
      </c>
      <c r="AV3339">
        <v>25.32</v>
      </c>
      <c r="AW3339" t="s">
        <v>82</v>
      </c>
      <c r="AX3339">
        <v>307</v>
      </c>
      <c r="AY3339" t="s">
        <v>81</v>
      </c>
      <c r="AZ3339">
        <v>12.35</v>
      </c>
      <c r="BA3339">
        <v>30.28</v>
      </c>
      <c r="BB3339" t="s">
        <v>83</v>
      </c>
    </row>
    <row r="3340" spans="1:54" x14ac:dyDescent="0.4">
      <c r="A3340">
        <v>1418498</v>
      </c>
      <c r="D3340" t="s">
        <v>54</v>
      </c>
      <c r="E3340" t="s">
        <v>55</v>
      </c>
      <c r="I3340" t="s">
        <v>57</v>
      </c>
      <c r="K3340" t="s">
        <v>746</v>
      </c>
      <c r="L3340" t="s">
        <v>1703</v>
      </c>
      <c r="M3340" t="s">
        <v>60</v>
      </c>
      <c r="P3340" t="s">
        <v>62</v>
      </c>
      <c r="R3340" t="s">
        <v>63</v>
      </c>
      <c r="S3340" t="s">
        <v>64</v>
      </c>
      <c r="T3340">
        <v>213.2</v>
      </c>
      <c r="U3340">
        <v>208.5</v>
      </c>
      <c r="V3340">
        <f t="shared" si="104"/>
        <v>210.85</v>
      </c>
      <c r="W3340">
        <f t="shared" si="105"/>
        <v>4.6999999999999886</v>
      </c>
      <c r="X3340">
        <v>11.220556</v>
      </c>
      <c r="Y3340">
        <v>47.317501</v>
      </c>
      <c r="Z3340" t="s">
        <v>1596</v>
      </c>
      <c r="AA3340" t="s">
        <v>712</v>
      </c>
      <c r="AB3340" t="s">
        <v>1677</v>
      </c>
      <c r="AD3340" t="s">
        <v>1417</v>
      </c>
      <c r="AH3340" t="s">
        <v>72</v>
      </c>
      <c r="AI3340" t="s">
        <v>5185</v>
      </c>
      <c r="AJ3340">
        <v>2013</v>
      </c>
      <c r="AK3340" t="s">
        <v>1679</v>
      </c>
      <c r="AN3340" t="s">
        <v>192</v>
      </c>
      <c r="AO3340" t="s">
        <v>77</v>
      </c>
      <c r="AP3340" t="s">
        <v>115</v>
      </c>
      <c r="AQ3340" t="s">
        <v>1680</v>
      </c>
      <c r="AR3340" t="s">
        <v>80</v>
      </c>
      <c r="AS3340">
        <v>307</v>
      </c>
      <c r="AT3340" t="s">
        <v>81</v>
      </c>
      <c r="AU3340">
        <v>29.45</v>
      </c>
      <c r="AV3340">
        <v>25.44</v>
      </c>
      <c r="AW3340" t="s">
        <v>82</v>
      </c>
      <c r="AX3340">
        <v>307</v>
      </c>
      <c r="AY3340" t="s">
        <v>81</v>
      </c>
      <c r="AZ3340">
        <v>14.44</v>
      </c>
      <c r="BA3340">
        <v>30.89</v>
      </c>
      <c r="BB3340" t="s">
        <v>83</v>
      </c>
    </row>
    <row r="3341" spans="1:54" x14ac:dyDescent="0.4">
      <c r="A3341">
        <v>1409642</v>
      </c>
      <c r="D3341" t="s">
        <v>54</v>
      </c>
      <c r="G3341">
        <v>1</v>
      </c>
      <c r="H3341" t="s">
        <v>84</v>
      </c>
      <c r="I3341" t="s">
        <v>57</v>
      </c>
      <c r="K3341" t="s">
        <v>771</v>
      </c>
      <c r="L3341" t="s">
        <v>772</v>
      </c>
      <c r="M3341" t="s">
        <v>223</v>
      </c>
      <c r="P3341" t="s">
        <v>224</v>
      </c>
      <c r="Q3341" t="s">
        <v>182</v>
      </c>
      <c r="R3341" t="s">
        <v>183</v>
      </c>
      <c r="S3341" t="s">
        <v>64</v>
      </c>
      <c r="T3341">
        <v>246.7</v>
      </c>
      <c r="U3341">
        <v>239.7</v>
      </c>
      <c r="V3341">
        <f t="shared" si="104"/>
        <v>243.2</v>
      </c>
      <c r="W3341">
        <f t="shared" si="105"/>
        <v>7</v>
      </c>
      <c r="X3341">
        <v>34.873610999999997</v>
      </c>
      <c r="Y3341">
        <v>30.716944000000002</v>
      </c>
      <c r="Z3341" t="s">
        <v>520</v>
      </c>
      <c r="AA3341" t="s">
        <v>1351</v>
      </c>
      <c r="AB3341" t="s">
        <v>4985</v>
      </c>
      <c r="AD3341" t="s">
        <v>4986</v>
      </c>
      <c r="AF3341" t="s">
        <v>620</v>
      </c>
      <c r="AH3341" t="s">
        <v>72</v>
      </c>
      <c r="AI3341" t="s">
        <v>3261</v>
      </c>
      <c r="AJ3341">
        <v>1997</v>
      </c>
      <c r="AK3341" t="s">
        <v>4987</v>
      </c>
      <c r="AM3341" t="s">
        <v>4988</v>
      </c>
      <c r="AN3341" t="s">
        <v>192</v>
      </c>
      <c r="AO3341" t="s">
        <v>77</v>
      </c>
      <c r="AR3341" t="s">
        <v>80</v>
      </c>
      <c r="AS3341">
        <v>508</v>
      </c>
      <c r="AT3341" t="s">
        <v>81</v>
      </c>
      <c r="AU3341">
        <v>39.090000000000003</v>
      </c>
      <c r="AV3341">
        <v>-2.11</v>
      </c>
      <c r="AW3341" t="s">
        <v>82</v>
      </c>
      <c r="AX3341">
        <v>508</v>
      </c>
      <c r="AY3341" t="s">
        <v>81</v>
      </c>
      <c r="AZ3341">
        <v>34.700000000000003</v>
      </c>
      <c r="BA3341">
        <v>-12.66</v>
      </c>
      <c r="BB3341" t="s">
        <v>83</v>
      </c>
    </row>
    <row r="3342" spans="1:54" x14ac:dyDescent="0.4">
      <c r="A3342">
        <v>1419163</v>
      </c>
      <c r="D3342" t="s">
        <v>54</v>
      </c>
      <c r="I3342" t="s">
        <v>57</v>
      </c>
      <c r="K3342" t="s">
        <v>141</v>
      </c>
      <c r="L3342" t="s">
        <v>3400</v>
      </c>
      <c r="M3342" t="s">
        <v>223</v>
      </c>
      <c r="P3342" t="s">
        <v>224</v>
      </c>
      <c r="Q3342" t="s">
        <v>182</v>
      </c>
      <c r="R3342" t="s">
        <v>183</v>
      </c>
      <c r="S3342" t="s">
        <v>64</v>
      </c>
      <c r="T3342">
        <v>246.7</v>
      </c>
      <c r="U3342">
        <v>239.7</v>
      </c>
      <c r="V3342">
        <f t="shared" si="104"/>
        <v>243.2</v>
      </c>
      <c r="W3342">
        <f t="shared" si="105"/>
        <v>7</v>
      </c>
      <c r="X3342">
        <v>18.796666999999999</v>
      </c>
      <c r="Y3342">
        <v>50.468612999999998</v>
      </c>
      <c r="Z3342" t="s">
        <v>520</v>
      </c>
      <c r="AA3342" t="s">
        <v>697</v>
      </c>
      <c r="AB3342" t="s">
        <v>5043</v>
      </c>
      <c r="AC3342" t="s">
        <v>4214</v>
      </c>
      <c r="AD3342" t="s">
        <v>5246</v>
      </c>
      <c r="AH3342" t="s">
        <v>72</v>
      </c>
      <c r="AI3342" t="s">
        <v>5245</v>
      </c>
      <c r="AJ3342">
        <v>2017</v>
      </c>
      <c r="AK3342" t="s">
        <v>5247</v>
      </c>
      <c r="AN3342" t="s">
        <v>114</v>
      </c>
      <c r="AO3342" t="s">
        <v>77</v>
      </c>
      <c r="AP3342" t="s">
        <v>359</v>
      </c>
      <c r="AR3342" t="s">
        <v>80</v>
      </c>
      <c r="AS3342">
        <v>305</v>
      </c>
      <c r="AT3342" t="s">
        <v>81</v>
      </c>
      <c r="AU3342">
        <v>34.299999999999997</v>
      </c>
      <c r="AV3342">
        <v>31.54</v>
      </c>
      <c r="AW3342" t="s">
        <v>82</v>
      </c>
      <c r="AX3342">
        <v>305</v>
      </c>
      <c r="AY3342" t="s">
        <v>81</v>
      </c>
      <c r="AZ3342">
        <v>22.87</v>
      </c>
      <c r="BA3342">
        <v>19.23</v>
      </c>
      <c r="BB3342" t="s">
        <v>83</v>
      </c>
    </row>
    <row r="3343" spans="1:54" x14ac:dyDescent="0.4">
      <c r="A3343">
        <v>1419209</v>
      </c>
      <c r="D3343" t="s">
        <v>54</v>
      </c>
      <c r="I3343" t="s">
        <v>57</v>
      </c>
      <c r="K3343" t="s">
        <v>141</v>
      </c>
      <c r="L3343" t="s">
        <v>601</v>
      </c>
      <c r="M3343" t="s">
        <v>223</v>
      </c>
      <c r="P3343" t="s">
        <v>224</v>
      </c>
      <c r="Q3343" t="s">
        <v>182</v>
      </c>
      <c r="R3343" t="s">
        <v>183</v>
      </c>
      <c r="S3343" t="s">
        <v>64</v>
      </c>
      <c r="T3343">
        <v>246.7</v>
      </c>
      <c r="U3343">
        <v>239.7</v>
      </c>
      <c r="V3343">
        <f t="shared" si="104"/>
        <v>243.2</v>
      </c>
      <c r="W3343">
        <f t="shared" si="105"/>
        <v>7</v>
      </c>
      <c r="X3343">
        <v>34.816665999999998</v>
      </c>
      <c r="Y3343">
        <v>30.6</v>
      </c>
      <c r="Z3343" t="s">
        <v>520</v>
      </c>
      <c r="AA3343" t="s">
        <v>1351</v>
      </c>
      <c r="AB3343" t="s">
        <v>5257</v>
      </c>
      <c r="AD3343" t="s">
        <v>4986</v>
      </c>
      <c r="AH3343" t="s">
        <v>72</v>
      </c>
      <c r="AI3343" t="s">
        <v>2013</v>
      </c>
      <c r="AJ3343">
        <v>2002</v>
      </c>
      <c r="AK3343" t="s">
        <v>5258</v>
      </c>
      <c r="AN3343" t="s">
        <v>114</v>
      </c>
      <c r="AO3343" t="s">
        <v>160</v>
      </c>
      <c r="AP3343" t="s">
        <v>78</v>
      </c>
      <c r="AR3343" t="s">
        <v>80</v>
      </c>
      <c r="AS3343">
        <v>508</v>
      </c>
      <c r="AT3343" t="s">
        <v>81</v>
      </c>
      <c r="AU3343">
        <v>39</v>
      </c>
      <c r="AV3343">
        <v>-2.19</v>
      </c>
      <c r="AW3343" t="s">
        <v>82</v>
      </c>
      <c r="AX3343">
        <v>508</v>
      </c>
      <c r="AY3343" t="s">
        <v>81</v>
      </c>
      <c r="AZ3343">
        <v>34.619999999999997</v>
      </c>
      <c r="BA3343">
        <v>-12.76</v>
      </c>
      <c r="BB3343" t="s">
        <v>83</v>
      </c>
    </row>
    <row r="3344" spans="1:54" x14ac:dyDescent="0.4">
      <c r="A3344">
        <v>1600123</v>
      </c>
      <c r="D3344" t="s">
        <v>853</v>
      </c>
      <c r="G3344">
        <v>5</v>
      </c>
      <c r="H3344" t="s">
        <v>84</v>
      </c>
      <c r="I3344" t="s">
        <v>57</v>
      </c>
      <c r="K3344" t="s">
        <v>221</v>
      </c>
      <c r="L3344" t="s">
        <v>2086</v>
      </c>
      <c r="M3344" t="s">
        <v>223</v>
      </c>
      <c r="P3344" t="s">
        <v>224</v>
      </c>
      <c r="Q3344" t="s">
        <v>182</v>
      </c>
      <c r="R3344" t="s">
        <v>183</v>
      </c>
      <c r="S3344" t="s">
        <v>64</v>
      </c>
      <c r="T3344">
        <v>246.7</v>
      </c>
      <c r="U3344">
        <v>239.7</v>
      </c>
      <c r="V3344">
        <f t="shared" si="104"/>
        <v>243.2</v>
      </c>
      <c r="W3344">
        <f t="shared" si="105"/>
        <v>7</v>
      </c>
      <c r="X3344">
        <v>8.9450000000000003</v>
      </c>
      <c r="Y3344">
        <v>45.914000999999999</v>
      </c>
      <c r="Z3344" t="s">
        <v>1415</v>
      </c>
      <c r="AA3344" t="s">
        <v>226</v>
      </c>
      <c r="AD3344" t="s">
        <v>2075</v>
      </c>
      <c r="AF3344" t="s">
        <v>3350</v>
      </c>
      <c r="AH3344" t="s">
        <v>72</v>
      </c>
      <c r="AI3344" t="s">
        <v>2013</v>
      </c>
      <c r="AJ3344">
        <v>1989</v>
      </c>
      <c r="AK3344" t="s">
        <v>5611</v>
      </c>
      <c r="AM3344" t="s">
        <v>5612</v>
      </c>
      <c r="AN3344" t="s">
        <v>192</v>
      </c>
      <c r="AO3344">
        <v>3</v>
      </c>
      <c r="AP3344" t="s">
        <v>78</v>
      </c>
      <c r="AQ3344" t="s">
        <v>5613</v>
      </c>
      <c r="AR3344" t="s">
        <v>80</v>
      </c>
      <c r="AS3344">
        <v>307</v>
      </c>
      <c r="AT3344" t="s">
        <v>81</v>
      </c>
      <c r="AU3344">
        <v>33.770000000000003</v>
      </c>
      <c r="AV3344">
        <v>17.760000000000002</v>
      </c>
      <c r="AW3344" t="s">
        <v>82</v>
      </c>
      <c r="AX3344">
        <v>307</v>
      </c>
      <c r="AY3344" t="s">
        <v>81</v>
      </c>
      <c r="AZ3344">
        <v>20.9</v>
      </c>
      <c r="BA3344">
        <v>7.81</v>
      </c>
      <c r="BB3344" t="s">
        <v>83</v>
      </c>
    </row>
    <row r="3345" spans="1:54" x14ac:dyDescent="0.4">
      <c r="A3345">
        <v>1600124</v>
      </c>
      <c r="D3345" t="s">
        <v>853</v>
      </c>
      <c r="I3345" t="s">
        <v>57</v>
      </c>
      <c r="K3345" t="s">
        <v>746</v>
      </c>
      <c r="L3345" t="s">
        <v>2072</v>
      </c>
      <c r="M3345" t="s">
        <v>60</v>
      </c>
      <c r="P3345" t="s">
        <v>224</v>
      </c>
      <c r="Q3345" t="s">
        <v>182</v>
      </c>
      <c r="R3345" t="s">
        <v>183</v>
      </c>
      <c r="S3345" t="s">
        <v>64</v>
      </c>
      <c r="T3345">
        <v>246.7</v>
      </c>
      <c r="U3345">
        <v>239.7</v>
      </c>
      <c r="V3345">
        <f t="shared" si="104"/>
        <v>243.2</v>
      </c>
      <c r="W3345">
        <f t="shared" si="105"/>
        <v>7</v>
      </c>
      <c r="X3345">
        <v>8.9450000000000003</v>
      </c>
      <c r="Y3345">
        <v>45.914000999999999</v>
      </c>
      <c r="Z3345" t="s">
        <v>1415</v>
      </c>
      <c r="AA3345" t="s">
        <v>226</v>
      </c>
      <c r="AD3345" t="s">
        <v>2075</v>
      </c>
      <c r="AF3345" t="s">
        <v>3350</v>
      </c>
      <c r="AH3345" t="s">
        <v>72</v>
      </c>
      <c r="AI3345" t="s">
        <v>2013</v>
      </c>
      <c r="AJ3345">
        <v>1989</v>
      </c>
      <c r="AK3345" t="s">
        <v>5611</v>
      </c>
      <c r="AM3345" t="s">
        <v>5612</v>
      </c>
      <c r="AN3345" t="s">
        <v>192</v>
      </c>
      <c r="AO3345">
        <v>3</v>
      </c>
      <c r="AP3345" t="s">
        <v>78</v>
      </c>
      <c r="AQ3345" t="s">
        <v>5613</v>
      </c>
      <c r="AR3345" t="s">
        <v>80</v>
      </c>
      <c r="AS3345">
        <v>307</v>
      </c>
      <c r="AT3345" t="s">
        <v>81</v>
      </c>
      <c r="AU3345">
        <v>33.770000000000003</v>
      </c>
      <c r="AV3345">
        <v>17.760000000000002</v>
      </c>
      <c r="AW3345" t="s">
        <v>82</v>
      </c>
      <c r="AX3345">
        <v>307</v>
      </c>
      <c r="AY3345" t="s">
        <v>81</v>
      </c>
      <c r="AZ3345">
        <v>20.9</v>
      </c>
      <c r="BA3345">
        <v>7.81</v>
      </c>
      <c r="BB3345" t="s">
        <v>83</v>
      </c>
    </row>
    <row r="3346" spans="1:54" x14ac:dyDescent="0.4">
      <c r="A3346">
        <v>1600125</v>
      </c>
      <c r="D3346" t="s">
        <v>853</v>
      </c>
      <c r="I3346" t="s">
        <v>57</v>
      </c>
      <c r="K3346" t="s">
        <v>746</v>
      </c>
      <c r="L3346" t="s">
        <v>2072</v>
      </c>
      <c r="M3346" t="s">
        <v>60</v>
      </c>
      <c r="P3346" t="s">
        <v>224</v>
      </c>
      <c r="Q3346" t="s">
        <v>182</v>
      </c>
      <c r="R3346" t="s">
        <v>183</v>
      </c>
      <c r="S3346" t="s">
        <v>64</v>
      </c>
      <c r="T3346">
        <v>246.7</v>
      </c>
      <c r="U3346">
        <v>239.7</v>
      </c>
      <c r="V3346">
        <f t="shared" si="104"/>
        <v>243.2</v>
      </c>
      <c r="W3346">
        <f t="shared" si="105"/>
        <v>7</v>
      </c>
      <c r="X3346">
        <v>8.9450000000000003</v>
      </c>
      <c r="Y3346">
        <v>45.914000999999999</v>
      </c>
      <c r="Z3346" t="s">
        <v>1415</v>
      </c>
      <c r="AA3346" t="s">
        <v>226</v>
      </c>
      <c r="AD3346" t="s">
        <v>2075</v>
      </c>
      <c r="AF3346" t="s">
        <v>3350</v>
      </c>
      <c r="AH3346" t="s">
        <v>72</v>
      </c>
      <c r="AI3346" t="s">
        <v>5614</v>
      </c>
      <c r="AJ3346">
        <v>2017</v>
      </c>
      <c r="AK3346" t="s">
        <v>5611</v>
      </c>
      <c r="AM3346" t="s">
        <v>5612</v>
      </c>
      <c r="AN3346" t="s">
        <v>192</v>
      </c>
      <c r="AO3346">
        <v>3</v>
      </c>
      <c r="AP3346" t="s">
        <v>78</v>
      </c>
      <c r="AQ3346" t="s">
        <v>5613</v>
      </c>
      <c r="AR3346" t="s">
        <v>80</v>
      </c>
      <c r="AS3346">
        <v>307</v>
      </c>
      <c r="AT3346" t="s">
        <v>81</v>
      </c>
      <c r="AU3346">
        <v>33.770000000000003</v>
      </c>
      <c r="AV3346">
        <v>17.760000000000002</v>
      </c>
      <c r="AW3346" t="s">
        <v>82</v>
      </c>
      <c r="AX3346">
        <v>307</v>
      </c>
      <c r="AY3346" t="s">
        <v>81</v>
      </c>
      <c r="AZ3346">
        <v>20.9</v>
      </c>
      <c r="BA3346">
        <v>7.81</v>
      </c>
      <c r="BB3346" t="s">
        <v>83</v>
      </c>
    </row>
    <row r="3347" spans="1:54" x14ac:dyDescent="0.4">
      <c r="A3347">
        <v>1600126</v>
      </c>
      <c r="D3347" t="s">
        <v>853</v>
      </c>
      <c r="G3347">
        <v>1</v>
      </c>
      <c r="H3347" t="s">
        <v>84</v>
      </c>
      <c r="I3347" t="s">
        <v>57</v>
      </c>
      <c r="K3347" t="s">
        <v>771</v>
      </c>
      <c r="L3347" t="s">
        <v>3368</v>
      </c>
      <c r="M3347" t="s">
        <v>223</v>
      </c>
      <c r="P3347" t="s">
        <v>224</v>
      </c>
      <c r="Q3347" t="s">
        <v>182</v>
      </c>
      <c r="R3347" t="s">
        <v>183</v>
      </c>
      <c r="S3347" t="s">
        <v>64</v>
      </c>
      <c r="T3347">
        <v>246.7</v>
      </c>
      <c r="U3347">
        <v>239.7</v>
      </c>
      <c r="V3347">
        <f t="shared" si="104"/>
        <v>243.2</v>
      </c>
      <c r="W3347">
        <f t="shared" si="105"/>
        <v>7</v>
      </c>
      <c r="X3347">
        <v>8.9450000000000003</v>
      </c>
      <c r="Y3347">
        <v>45.914000999999999</v>
      </c>
      <c r="Z3347" t="s">
        <v>1415</v>
      </c>
      <c r="AA3347" t="s">
        <v>226</v>
      </c>
      <c r="AD3347" t="s">
        <v>2075</v>
      </c>
      <c r="AF3347" t="s">
        <v>3350</v>
      </c>
      <c r="AH3347" t="s">
        <v>72</v>
      </c>
      <c r="AI3347" t="s">
        <v>2013</v>
      </c>
      <c r="AJ3347">
        <v>1998</v>
      </c>
      <c r="AK3347" t="s">
        <v>5611</v>
      </c>
      <c r="AM3347" t="s">
        <v>5612</v>
      </c>
      <c r="AN3347" t="s">
        <v>192</v>
      </c>
      <c r="AO3347">
        <v>3</v>
      </c>
      <c r="AP3347" t="s">
        <v>78</v>
      </c>
      <c r="AQ3347" t="s">
        <v>5613</v>
      </c>
      <c r="AR3347" t="s">
        <v>80</v>
      </c>
      <c r="AS3347">
        <v>307</v>
      </c>
      <c r="AT3347" t="s">
        <v>81</v>
      </c>
      <c r="AU3347">
        <v>33.770000000000003</v>
      </c>
      <c r="AV3347">
        <v>17.760000000000002</v>
      </c>
      <c r="AW3347" t="s">
        <v>82</v>
      </c>
      <c r="AX3347">
        <v>307</v>
      </c>
      <c r="AY3347" t="s">
        <v>81</v>
      </c>
      <c r="AZ3347">
        <v>20.9</v>
      </c>
      <c r="BA3347">
        <v>7.81</v>
      </c>
      <c r="BB3347" t="s">
        <v>83</v>
      </c>
    </row>
    <row r="3348" spans="1:54" x14ac:dyDescent="0.4">
      <c r="A3348">
        <v>1600127</v>
      </c>
      <c r="D3348" t="s">
        <v>853</v>
      </c>
      <c r="G3348">
        <v>5</v>
      </c>
      <c r="H3348" t="s">
        <v>84</v>
      </c>
      <c r="I3348" t="s">
        <v>57</v>
      </c>
      <c r="K3348" t="s">
        <v>1822</v>
      </c>
      <c r="L3348" t="s">
        <v>4620</v>
      </c>
      <c r="M3348" t="s">
        <v>223</v>
      </c>
      <c r="N3348" t="s">
        <v>1126</v>
      </c>
      <c r="O3348" t="s">
        <v>345</v>
      </c>
      <c r="P3348" t="s">
        <v>224</v>
      </c>
      <c r="Q3348" t="s">
        <v>182</v>
      </c>
      <c r="R3348" t="s">
        <v>183</v>
      </c>
      <c r="S3348" t="s">
        <v>64</v>
      </c>
      <c r="T3348">
        <v>246.7</v>
      </c>
      <c r="U3348">
        <v>239.7</v>
      </c>
      <c r="V3348">
        <f t="shared" si="104"/>
        <v>243.2</v>
      </c>
      <c r="W3348">
        <f t="shared" si="105"/>
        <v>7</v>
      </c>
      <c r="X3348">
        <v>8.9450000000000003</v>
      </c>
      <c r="Y3348">
        <v>45.914000999999999</v>
      </c>
      <c r="Z3348" t="s">
        <v>1415</v>
      </c>
      <c r="AA3348" t="s">
        <v>226</v>
      </c>
      <c r="AD3348" t="s">
        <v>2075</v>
      </c>
      <c r="AF3348" t="s">
        <v>3350</v>
      </c>
      <c r="AH3348" t="s">
        <v>72</v>
      </c>
      <c r="AI3348" t="s">
        <v>4621</v>
      </c>
      <c r="AJ3348">
        <v>2005</v>
      </c>
      <c r="AK3348" t="s">
        <v>5611</v>
      </c>
      <c r="AM3348" t="s">
        <v>5612</v>
      </c>
      <c r="AN3348" t="s">
        <v>192</v>
      </c>
      <c r="AO3348">
        <v>3</v>
      </c>
      <c r="AP3348" t="s">
        <v>78</v>
      </c>
      <c r="AQ3348" t="s">
        <v>5613</v>
      </c>
      <c r="AR3348" t="s">
        <v>80</v>
      </c>
      <c r="AS3348">
        <v>307</v>
      </c>
      <c r="AT3348" t="s">
        <v>81</v>
      </c>
      <c r="AU3348">
        <v>33.770000000000003</v>
      </c>
      <c r="AV3348">
        <v>17.760000000000002</v>
      </c>
      <c r="AW3348" t="s">
        <v>82</v>
      </c>
      <c r="AX3348">
        <v>307</v>
      </c>
      <c r="AY3348" t="s">
        <v>81</v>
      </c>
      <c r="AZ3348">
        <v>20.9</v>
      </c>
      <c r="BA3348">
        <v>7.81</v>
      </c>
      <c r="BB3348" t="s">
        <v>83</v>
      </c>
    </row>
    <row r="3349" spans="1:54" x14ac:dyDescent="0.4">
      <c r="A3349">
        <v>1600128</v>
      </c>
      <c r="D3349" t="s">
        <v>853</v>
      </c>
      <c r="G3349">
        <v>3</v>
      </c>
      <c r="H3349" t="s">
        <v>84</v>
      </c>
      <c r="I3349" t="s">
        <v>57</v>
      </c>
      <c r="K3349" t="s">
        <v>3200</v>
      </c>
      <c r="L3349" t="s">
        <v>5406</v>
      </c>
      <c r="M3349" t="s">
        <v>60</v>
      </c>
      <c r="P3349" t="s">
        <v>224</v>
      </c>
      <c r="Q3349" t="s">
        <v>182</v>
      </c>
      <c r="R3349" t="s">
        <v>183</v>
      </c>
      <c r="S3349" t="s">
        <v>64</v>
      </c>
      <c r="T3349">
        <v>246.7</v>
      </c>
      <c r="U3349">
        <v>239.7</v>
      </c>
      <c r="V3349">
        <f t="shared" si="104"/>
        <v>243.2</v>
      </c>
      <c r="W3349">
        <f t="shared" si="105"/>
        <v>7</v>
      </c>
      <c r="X3349">
        <v>8.9450000000000003</v>
      </c>
      <c r="Y3349">
        <v>45.914000999999999</v>
      </c>
      <c r="Z3349" t="s">
        <v>1415</v>
      </c>
      <c r="AA3349" t="s">
        <v>226</v>
      </c>
      <c r="AD3349" t="s">
        <v>2075</v>
      </c>
      <c r="AF3349" t="s">
        <v>3350</v>
      </c>
      <c r="AH3349" t="s">
        <v>72</v>
      </c>
      <c r="AI3349" t="s">
        <v>2013</v>
      </c>
      <c r="AJ3349">
        <v>1989</v>
      </c>
      <c r="AK3349" t="s">
        <v>5611</v>
      </c>
      <c r="AM3349" t="s">
        <v>5612</v>
      </c>
      <c r="AN3349" t="s">
        <v>192</v>
      </c>
      <c r="AO3349">
        <v>3</v>
      </c>
      <c r="AP3349" t="s">
        <v>78</v>
      </c>
      <c r="AQ3349" t="s">
        <v>5613</v>
      </c>
      <c r="AR3349" t="s">
        <v>80</v>
      </c>
      <c r="AS3349">
        <v>307</v>
      </c>
      <c r="AT3349" t="s">
        <v>81</v>
      </c>
      <c r="AU3349">
        <v>33.770000000000003</v>
      </c>
      <c r="AV3349">
        <v>17.760000000000002</v>
      </c>
      <c r="AW3349" t="s">
        <v>82</v>
      </c>
      <c r="AX3349">
        <v>307</v>
      </c>
      <c r="AY3349" t="s">
        <v>81</v>
      </c>
      <c r="AZ3349">
        <v>20.9</v>
      </c>
      <c r="BA3349">
        <v>7.81</v>
      </c>
      <c r="BB3349" t="s">
        <v>83</v>
      </c>
    </row>
    <row r="3350" spans="1:54" x14ac:dyDescent="0.4">
      <c r="A3350">
        <v>363117</v>
      </c>
      <c r="D3350" t="s">
        <v>54</v>
      </c>
      <c r="G3350">
        <v>1</v>
      </c>
      <c r="H3350" t="s">
        <v>84</v>
      </c>
      <c r="I3350" t="s">
        <v>57</v>
      </c>
      <c r="K3350" t="s">
        <v>565</v>
      </c>
      <c r="L3350" t="s">
        <v>566</v>
      </c>
      <c r="M3350" t="s">
        <v>223</v>
      </c>
      <c r="N3350" t="s">
        <v>234</v>
      </c>
      <c r="O3350" t="s">
        <v>87</v>
      </c>
      <c r="P3350" t="s">
        <v>103</v>
      </c>
      <c r="R3350" t="s">
        <v>104</v>
      </c>
      <c r="S3350" t="s">
        <v>64</v>
      </c>
      <c r="T3350">
        <v>251.2</v>
      </c>
      <c r="U3350">
        <v>246.7</v>
      </c>
      <c r="V3350">
        <f t="shared" si="104"/>
        <v>248.95</v>
      </c>
      <c r="W3350">
        <f t="shared" si="105"/>
        <v>4.5</v>
      </c>
      <c r="X3350">
        <v>20</v>
      </c>
      <c r="Y3350">
        <v>78</v>
      </c>
      <c r="Z3350" t="s">
        <v>520</v>
      </c>
      <c r="AA3350" t="s">
        <v>567</v>
      </c>
      <c r="AB3350" t="s">
        <v>568</v>
      </c>
      <c r="AD3350" t="s">
        <v>569</v>
      </c>
      <c r="AF3350" t="s">
        <v>570</v>
      </c>
      <c r="AH3350" t="s">
        <v>72</v>
      </c>
      <c r="AI3350" t="s">
        <v>571</v>
      </c>
      <c r="AJ3350">
        <v>1929</v>
      </c>
      <c r="AK3350" t="s">
        <v>572</v>
      </c>
      <c r="AN3350" t="s">
        <v>114</v>
      </c>
      <c r="AO3350" t="s">
        <v>160</v>
      </c>
      <c r="AQ3350" t="s">
        <v>573</v>
      </c>
      <c r="AR3350" t="s">
        <v>80</v>
      </c>
      <c r="AS3350">
        <v>311</v>
      </c>
      <c r="AT3350" t="s">
        <v>81</v>
      </c>
      <c r="AU3350">
        <v>23.14</v>
      </c>
      <c r="AV3350">
        <v>55.76</v>
      </c>
      <c r="AW3350" t="s">
        <v>82</v>
      </c>
      <c r="AX3350">
        <v>310</v>
      </c>
      <c r="AY3350" t="s">
        <v>81</v>
      </c>
      <c r="AZ3350">
        <v>10.6</v>
      </c>
      <c r="BA3350">
        <v>42.35</v>
      </c>
      <c r="BB3350" t="s">
        <v>83</v>
      </c>
    </row>
    <row r="3351" spans="1:54" x14ac:dyDescent="0.4">
      <c r="A3351">
        <v>387512</v>
      </c>
      <c r="D3351" t="s">
        <v>54</v>
      </c>
      <c r="G3351">
        <v>1</v>
      </c>
      <c r="H3351" t="s">
        <v>421</v>
      </c>
      <c r="I3351" t="s">
        <v>57</v>
      </c>
      <c r="K3351" t="s">
        <v>141</v>
      </c>
      <c r="L3351" t="s">
        <v>629</v>
      </c>
      <c r="M3351" t="s">
        <v>60</v>
      </c>
      <c r="P3351" t="s">
        <v>103</v>
      </c>
      <c r="R3351" t="s">
        <v>104</v>
      </c>
      <c r="S3351" t="s">
        <v>64</v>
      </c>
      <c r="T3351">
        <v>251.2</v>
      </c>
      <c r="U3351">
        <v>246.7</v>
      </c>
      <c r="V3351">
        <f t="shared" si="104"/>
        <v>248.95</v>
      </c>
      <c r="W3351">
        <f t="shared" si="105"/>
        <v>4.5</v>
      </c>
      <c r="X3351">
        <v>48.575001</v>
      </c>
      <c r="Y3351">
        <v>60.416668000000001</v>
      </c>
      <c r="Z3351" t="s">
        <v>124</v>
      </c>
      <c r="AA3351" t="s">
        <v>239</v>
      </c>
      <c r="AB3351" t="s">
        <v>630</v>
      </c>
      <c r="AC3351" t="s">
        <v>631</v>
      </c>
      <c r="AD3351" t="s">
        <v>632</v>
      </c>
      <c r="AH3351" t="s">
        <v>11</v>
      </c>
      <c r="AI3351" t="s">
        <v>633</v>
      </c>
      <c r="AJ3351">
        <v>1978</v>
      </c>
      <c r="AK3351" t="s">
        <v>634</v>
      </c>
      <c r="AM3351" t="s">
        <v>635</v>
      </c>
      <c r="AN3351" t="s">
        <v>114</v>
      </c>
      <c r="AO3351" t="s">
        <v>160</v>
      </c>
      <c r="AP3351" t="s">
        <v>636</v>
      </c>
      <c r="AQ3351" t="s">
        <v>637</v>
      </c>
      <c r="AR3351" t="s">
        <v>80</v>
      </c>
      <c r="AS3351">
        <v>302</v>
      </c>
      <c r="AT3351" t="s">
        <v>81</v>
      </c>
      <c r="AU3351">
        <v>50.18</v>
      </c>
      <c r="AV3351">
        <v>45.47</v>
      </c>
      <c r="AW3351" t="s">
        <v>82</v>
      </c>
      <c r="AX3351">
        <v>301</v>
      </c>
      <c r="AY3351" t="s">
        <v>81</v>
      </c>
      <c r="AZ3351">
        <v>34.86</v>
      </c>
      <c r="BA3351">
        <v>35.9</v>
      </c>
      <c r="BB3351" t="s">
        <v>83</v>
      </c>
    </row>
    <row r="3352" spans="1:54" x14ac:dyDescent="0.4">
      <c r="A3352">
        <v>401595</v>
      </c>
      <c r="D3352" t="s">
        <v>54</v>
      </c>
      <c r="E3352" t="s">
        <v>310</v>
      </c>
      <c r="I3352" t="s">
        <v>57</v>
      </c>
      <c r="K3352" t="s">
        <v>141</v>
      </c>
      <c r="L3352" t="s">
        <v>696</v>
      </c>
      <c r="M3352" t="s">
        <v>60</v>
      </c>
      <c r="P3352" t="s">
        <v>103</v>
      </c>
      <c r="R3352" t="s">
        <v>104</v>
      </c>
      <c r="S3352" t="s">
        <v>64</v>
      </c>
      <c r="T3352">
        <v>251.2</v>
      </c>
      <c r="U3352">
        <v>246.7</v>
      </c>
      <c r="V3352">
        <f t="shared" si="104"/>
        <v>248.95</v>
      </c>
      <c r="W3352">
        <f t="shared" si="105"/>
        <v>4.5</v>
      </c>
      <c r="X3352">
        <v>19.633333</v>
      </c>
      <c r="Y3352">
        <v>50.133330999999998</v>
      </c>
      <c r="Z3352" t="s">
        <v>90</v>
      </c>
      <c r="AA3352" t="s">
        <v>697</v>
      </c>
      <c r="AB3352" t="s">
        <v>698</v>
      </c>
      <c r="AC3352" t="s">
        <v>699</v>
      </c>
      <c r="AH3352" t="s">
        <v>72</v>
      </c>
      <c r="AI3352" t="s">
        <v>700</v>
      </c>
      <c r="AJ3352">
        <v>2009</v>
      </c>
      <c r="AK3352" t="s">
        <v>701</v>
      </c>
      <c r="AN3352" t="s">
        <v>114</v>
      </c>
      <c r="AO3352" t="s">
        <v>160</v>
      </c>
      <c r="AP3352" t="s">
        <v>78</v>
      </c>
      <c r="AQ3352" t="s">
        <v>702</v>
      </c>
      <c r="AR3352" t="s">
        <v>80</v>
      </c>
      <c r="AS3352">
        <v>305</v>
      </c>
      <c r="AT3352" t="s">
        <v>81</v>
      </c>
      <c r="AU3352">
        <v>36.5</v>
      </c>
      <c r="AV3352">
        <v>29.56</v>
      </c>
      <c r="AW3352" t="s">
        <v>82</v>
      </c>
      <c r="AX3352">
        <v>305</v>
      </c>
      <c r="AY3352" t="s">
        <v>81</v>
      </c>
      <c r="AZ3352">
        <v>26.73</v>
      </c>
      <c r="BA3352">
        <v>18.100000000000001</v>
      </c>
      <c r="BB3352" t="s">
        <v>83</v>
      </c>
    </row>
    <row r="3353" spans="1:54" x14ac:dyDescent="0.4">
      <c r="A3353">
        <v>401596</v>
      </c>
      <c r="D3353" t="s">
        <v>54</v>
      </c>
      <c r="E3353" t="s">
        <v>310</v>
      </c>
      <c r="G3353">
        <v>84</v>
      </c>
      <c r="H3353" t="s">
        <v>421</v>
      </c>
      <c r="I3353" t="s">
        <v>57</v>
      </c>
      <c r="K3353" t="s">
        <v>141</v>
      </c>
      <c r="L3353" t="s">
        <v>703</v>
      </c>
      <c r="M3353" t="s">
        <v>60</v>
      </c>
      <c r="P3353" t="s">
        <v>103</v>
      </c>
      <c r="R3353" t="s">
        <v>104</v>
      </c>
      <c r="S3353" t="s">
        <v>64</v>
      </c>
      <c r="T3353">
        <v>251.2</v>
      </c>
      <c r="U3353">
        <v>246.7</v>
      </c>
      <c r="V3353">
        <f t="shared" si="104"/>
        <v>248.95</v>
      </c>
      <c r="W3353">
        <f t="shared" si="105"/>
        <v>4.5</v>
      </c>
      <c r="X3353">
        <v>19.633333</v>
      </c>
      <c r="Y3353">
        <v>50.133330999999998</v>
      </c>
      <c r="Z3353" t="s">
        <v>90</v>
      </c>
      <c r="AA3353" t="s">
        <v>697</v>
      </c>
      <c r="AB3353" t="s">
        <v>698</v>
      </c>
      <c r="AC3353" t="s">
        <v>699</v>
      </c>
      <c r="AH3353" t="s">
        <v>72</v>
      </c>
      <c r="AI3353" t="s">
        <v>704</v>
      </c>
      <c r="AJ3353">
        <v>2009</v>
      </c>
      <c r="AK3353" t="s">
        <v>701</v>
      </c>
      <c r="AN3353" t="s">
        <v>114</v>
      </c>
      <c r="AO3353" t="s">
        <v>160</v>
      </c>
      <c r="AP3353" t="s">
        <v>78</v>
      </c>
      <c r="AQ3353" t="s">
        <v>702</v>
      </c>
      <c r="AR3353" t="s">
        <v>80</v>
      </c>
      <c r="AS3353">
        <v>305</v>
      </c>
      <c r="AT3353" t="s">
        <v>81</v>
      </c>
      <c r="AU3353">
        <v>36.5</v>
      </c>
      <c r="AV3353">
        <v>29.56</v>
      </c>
      <c r="AW3353" t="s">
        <v>82</v>
      </c>
      <c r="AX3353">
        <v>305</v>
      </c>
      <c r="AY3353" t="s">
        <v>81</v>
      </c>
      <c r="AZ3353">
        <v>26.73</v>
      </c>
      <c r="BA3353">
        <v>18.100000000000001</v>
      </c>
      <c r="BB3353" t="s">
        <v>83</v>
      </c>
    </row>
    <row r="3354" spans="1:54" x14ac:dyDescent="0.4">
      <c r="A3354">
        <v>401597</v>
      </c>
      <c r="D3354" t="s">
        <v>54</v>
      </c>
      <c r="E3354" t="s">
        <v>310</v>
      </c>
      <c r="G3354">
        <v>260</v>
      </c>
      <c r="H3354" t="s">
        <v>84</v>
      </c>
      <c r="I3354" t="s">
        <v>57</v>
      </c>
      <c r="K3354" t="s">
        <v>705</v>
      </c>
      <c r="L3354" t="s">
        <v>706</v>
      </c>
      <c r="M3354" t="s">
        <v>60</v>
      </c>
      <c r="P3354" t="s">
        <v>103</v>
      </c>
      <c r="R3354" t="s">
        <v>104</v>
      </c>
      <c r="S3354" t="s">
        <v>64</v>
      </c>
      <c r="T3354">
        <v>251.2</v>
      </c>
      <c r="U3354">
        <v>246.7</v>
      </c>
      <c r="V3354">
        <f t="shared" si="104"/>
        <v>248.95</v>
      </c>
      <c r="W3354">
        <f t="shared" si="105"/>
        <v>4.5</v>
      </c>
      <c r="X3354">
        <v>19.633333</v>
      </c>
      <c r="Y3354">
        <v>50.133330999999998</v>
      </c>
      <c r="Z3354" t="s">
        <v>90</v>
      </c>
      <c r="AA3354" t="s">
        <v>697</v>
      </c>
      <c r="AB3354" t="s">
        <v>698</v>
      </c>
      <c r="AC3354" t="s">
        <v>699</v>
      </c>
      <c r="AH3354" t="s">
        <v>72</v>
      </c>
      <c r="AI3354" t="s">
        <v>707</v>
      </c>
      <c r="AJ3354">
        <v>2003</v>
      </c>
      <c r="AK3354" t="s">
        <v>701</v>
      </c>
      <c r="AN3354" t="s">
        <v>114</v>
      </c>
      <c r="AO3354" t="s">
        <v>160</v>
      </c>
      <c r="AP3354" t="s">
        <v>78</v>
      </c>
      <c r="AQ3354" t="s">
        <v>702</v>
      </c>
      <c r="AR3354" t="s">
        <v>80</v>
      </c>
      <c r="AS3354">
        <v>305</v>
      </c>
      <c r="AT3354" t="s">
        <v>81</v>
      </c>
      <c r="AU3354">
        <v>36.5</v>
      </c>
      <c r="AV3354">
        <v>29.56</v>
      </c>
      <c r="AW3354" t="s">
        <v>82</v>
      </c>
      <c r="AX3354">
        <v>305</v>
      </c>
      <c r="AY3354" t="s">
        <v>81</v>
      </c>
      <c r="AZ3354">
        <v>26.73</v>
      </c>
      <c r="BA3354">
        <v>18.100000000000001</v>
      </c>
      <c r="BB3354" t="s">
        <v>83</v>
      </c>
    </row>
    <row r="3355" spans="1:54" x14ac:dyDescent="0.4">
      <c r="A3355">
        <v>401599</v>
      </c>
      <c r="D3355" t="s">
        <v>54</v>
      </c>
      <c r="E3355" t="s">
        <v>310</v>
      </c>
      <c r="G3355">
        <v>114</v>
      </c>
      <c r="H3355" t="s">
        <v>421</v>
      </c>
      <c r="I3355" t="s">
        <v>57</v>
      </c>
      <c r="K3355" t="s">
        <v>58</v>
      </c>
      <c r="L3355" t="s">
        <v>708</v>
      </c>
      <c r="M3355" t="s">
        <v>60</v>
      </c>
      <c r="P3355" t="s">
        <v>103</v>
      </c>
      <c r="R3355" t="s">
        <v>104</v>
      </c>
      <c r="S3355" t="s">
        <v>64</v>
      </c>
      <c r="T3355">
        <v>251.2</v>
      </c>
      <c r="U3355">
        <v>246.7</v>
      </c>
      <c r="V3355">
        <f t="shared" si="104"/>
        <v>248.95</v>
      </c>
      <c r="W3355">
        <f t="shared" si="105"/>
        <v>4.5</v>
      </c>
      <c r="X3355">
        <v>19.633333</v>
      </c>
      <c r="Y3355">
        <v>50.133330999999998</v>
      </c>
      <c r="Z3355" t="s">
        <v>90</v>
      </c>
      <c r="AA3355" t="s">
        <v>697</v>
      </c>
      <c r="AB3355" t="s">
        <v>698</v>
      </c>
      <c r="AC3355" t="s">
        <v>699</v>
      </c>
      <c r="AH3355" t="s">
        <v>72</v>
      </c>
      <c r="AI3355" t="s">
        <v>709</v>
      </c>
      <c r="AJ3355">
        <v>2009</v>
      </c>
      <c r="AK3355" t="s">
        <v>701</v>
      </c>
      <c r="AN3355" t="s">
        <v>114</v>
      </c>
      <c r="AO3355" t="s">
        <v>160</v>
      </c>
      <c r="AP3355" t="s">
        <v>78</v>
      </c>
      <c r="AQ3355" t="s">
        <v>702</v>
      </c>
      <c r="AR3355" t="s">
        <v>80</v>
      </c>
      <c r="AS3355">
        <v>305</v>
      </c>
      <c r="AT3355" t="s">
        <v>81</v>
      </c>
      <c r="AU3355">
        <v>36.5</v>
      </c>
      <c r="AV3355">
        <v>29.56</v>
      </c>
      <c r="AW3355" t="s">
        <v>82</v>
      </c>
      <c r="AX3355">
        <v>305</v>
      </c>
      <c r="AY3355" t="s">
        <v>81</v>
      </c>
      <c r="AZ3355">
        <v>26.73</v>
      </c>
      <c r="BA3355">
        <v>18.100000000000001</v>
      </c>
      <c r="BB3355" t="s">
        <v>83</v>
      </c>
    </row>
    <row r="3356" spans="1:54" x14ac:dyDescent="0.4">
      <c r="A3356">
        <v>401600</v>
      </c>
      <c r="D3356" t="s">
        <v>54</v>
      </c>
      <c r="E3356" t="s">
        <v>310</v>
      </c>
      <c r="I3356" t="s">
        <v>57</v>
      </c>
      <c r="K3356" t="s">
        <v>100</v>
      </c>
      <c r="L3356" t="s">
        <v>710</v>
      </c>
      <c r="M3356" t="s">
        <v>60</v>
      </c>
      <c r="P3356" t="s">
        <v>103</v>
      </c>
      <c r="R3356" t="s">
        <v>104</v>
      </c>
      <c r="S3356" t="s">
        <v>64</v>
      </c>
      <c r="T3356">
        <v>251.2</v>
      </c>
      <c r="U3356">
        <v>246.7</v>
      </c>
      <c r="V3356">
        <f t="shared" si="104"/>
        <v>248.95</v>
      </c>
      <c r="W3356">
        <f t="shared" si="105"/>
        <v>4.5</v>
      </c>
      <c r="X3356">
        <v>19.633333</v>
      </c>
      <c r="Y3356">
        <v>50.133330999999998</v>
      </c>
      <c r="Z3356" t="s">
        <v>90</v>
      </c>
      <c r="AA3356" t="s">
        <v>697</v>
      </c>
      <c r="AB3356" t="s">
        <v>698</v>
      </c>
      <c r="AC3356" t="s">
        <v>699</v>
      </c>
      <c r="AH3356" t="s">
        <v>72</v>
      </c>
      <c r="AI3356" t="s">
        <v>711</v>
      </c>
      <c r="AJ3356">
        <v>2009</v>
      </c>
      <c r="AK3356" t="s">
        <v>701</v>
      </c>
      <c r="AN3356" t="s">
        <v>114</v>
      </c>
      <c r="AO3356" t="s">
        <v>160</v>
      </c>
      <c r="AP3356" t="s">
        <v>78</v>
      </c>
      <c r="AQ3356" t="s">
        <v>702</v>
      </c>
      <c r="AR3356" t="s">
        <v>80</v>
      </c>
      <c r="AS3356">
        <v>305</v>
      </c>
      <c r="AT3356" t="s">
        <v>81</v>
      </c>
      <c r="AU3356">
        <v>36.5</v>
      </c>
      <c r="AV3356">
        <v>29.56</v>
      </c>
      <c r="AW3356" t="s">
        <v>82</v>
      </c>
      <c r="AX3356">
        <v>305</v>
      </c>
      <c r="AY3356" t="s">
        <v>81</v>
      </c>
      <c r="AZ3356">
        <v>26.73</v>
      </c>
      <c r="BA3356">
        <v>18.100000000000001</v>
      </c>
      <c r="BB3356" t="s">
        <v>83</v>
      </c>
    </row>
    <row r="3357" spans="1:54" x14ac:dyDescent="0.4">
      <c r="A3357">
        <v>411697</v>
      </c>
      <c r="D3357" t="s">
        <v>54</v>
      </c>
      <c r="G3357">
        <v>3</v>
      </c>
      <c r="H3357" t="s">
        <v>84</v>
      </c>
      <c r="I3357" t="s">
        <v>57</v>
      </c>
      <c r="K3357" t="s">
        <v>100</v>
      </c>
      <c r="L3357" t="s">
        <v>760</v>
      </c>
      <c r="M3357" t="s">
        <v>60</v>
      </c>
      <c r="P3357" t="s">
        <v>103</v>
      </c>
      <c r="R3357" t="s">
        <v>104</v>
      </c>
      <c r="S3357" t="s">
        <v>64</v>
      </c>
      <c r="T3357">
        <v>251.2</v>
      </c>
      <c r="U3357">
        <v>246.7</v>
      </c>
      <c r="V3357">
        <f t="shared" si="104"/>
        <v>248.95</v>
      </c>
      <c r="W3357">
        <f t="shared" si="105"/>
        <v>4.5</v>
      </c>
      <c r="X3357">
        <v>52.113888000000003</v>
      </c>
      <c r="Y3357">
        <v>65.448334000000003</v>
      </c>
      <c r="Z3357" t="s">
        <v>124</v>
      </c>
      <c r="AA3357" t="s">
        <v>239</v>
      </c>
      <c r="AB3357" t="s">
        <v>630</v>
      </c>
      <c r="AD3357" t="s">
        <v>761</v>
      </c>
      <c r="AH3357" t="s">
        <v>72</v>
      </c>
      <c r="AI3357" t="s">
        <v>762</v>
      </c>
      <c r="AJ3357">
        <v>1990</v>
      </c>
      <c r="AK3357" t="s">
        <v>763</v>
      </c>
      <c r="AM3357" t="s">
        <v>764</v>
      </c>
      <c r="AN3357" t="s">
        <v>114</v>
      </c>
      <c r="AO3357" t="s">
        <v>77</v>
      </c>
      <c r="AP3357" t="s">
        <v>359</v>
      </c>
      <c r="AQ3357" t="s">
        <v>765</v>
      </c>
      <c r="AR3357" t="s">
        <v>80</v>
      </c>
      <c r="AS3357">
        <v>302</v>
      </c>
      <c r="AT3357" t="s">
        <v>81</v>
      </c>
      <c r="AU3357">
        <v>47.93</v>
      </c>
      <c r="AV3357">
        <v>50.53</v>
      </c>
      <c r="AW3357" t="s">
        <v>82</v>
      </c>
      <c r="AX3357">
        <v>301</v>
      </c>
      <c r="AY3357" t="s">
        <v>81</v>
      </c>
      <c r="AZ3357">
        <v>31.36</v>
      </c>
      <c r="BA3357">
        <v>40.4</v>
      </c>
      <c r="BB3357" t="s">
        <v>83</v>
      </c>
    </row>
    <row r="3358" spans="1:54" x14ac:dyDescent="0.4">
      <c r="A3358">
        <v>733515</v>
      </c>
      <c r="D3358" t="s">
        <v>54</v>
      </c>
      <c r="G3358">
        <v>1</v>
      </c>
      <c r="H3358" t="s">
        <v>56</v>
      </c>
      <c r="I3358" t="s">
        <v>57</v>
      </c>
      <c r="K3358" t="s">
        <v>100</v>
      </c>
      <c r="L3358" t="s">
        <v>1529</v>
      </c>
      <c r="M3358" t="s">
        <v>60</v>
      </c>
      <c r="P3358" t="s">
        <v>103</v>
      </c>
      <c r="R3358" t="s">
        <v>104</v>
      </c>
      <c r="S3358" t="s">
        <v>64</v>
      </c>
      <c r="T3358">
        <v>251.2</v>
      </c>
      <c r="U3358">
        <v>246.7</v>
      </c>
      <c r="V3358">
        <f t="shared" si="104"/>
        <v>248.95</v>
      </c>
      <c r="W3358">
        <f t="shared" si="105"/>
        <v>4.5</v>
      </c>
      <c r="X3358">
        <v>26.115278</v>
      </c>
      <c r="Y3358">
        <v>-32.198891000000003</v>
      </c>
      <c r="Z3358" t="s">
        <v>124</v>
      </c>
      <c r="AA3358" t="s">
        <v>106</v>
      </c>
      <c r="AB3358" t="s">
        <v>107</v>
      </c>
      <c r="AC3358" t="s">
        <v>1530</v>
      </c>
      <c r="AD3358" t="s">
        <v>109</v>
      </c>
      <c r="AE3358" t="s">
        <v>110</v>
      </c>
      <c r="AG3358" t="s">
        <v>1531</v>
      </c>
      <c r="AH3358" t="s">
        <v>72</v>
      </c>
      <c r="AI3358" t="s">
        <v>1532</v>
      </c>
      <c r="AJ3358">
        <v>2002</v>
      </c>
      <c r="AK3358" t="s">
        <v>1533</v>
      </c>
      <c r="AN3358" t="s">
        <v>341</v>
      </c>
      <c r="AO3358" t="s">
        <v>77</v>
      </c>
      <c r="AP3358" t="s">
        <v>636</v>
      </c>
      <c r="AQ3358" t="s">
        <v>1534</v>
      </c>
      <c r="AR3358" t="s">
        <v>80</v>
      </c>
      <c r="AS3358">
        <v>701</v>
      </c>
      <c r="AT3358" t="s">
        <v>81</v>
      </c>
      <c r="AU3358">
        <v>-11.61</v>
      </c>
      <c r="AV3358">
        <v>-51.2</v>
      </c>
      <c r="AW3358" t="s">
        <v>82</v>
      </c>
      <c r="AX3358">
        <v>701</v>
      </c>
      <c r="AY3358" t="s">
        <v>81</v>
      </c>
      <c r="AZ3358">
        <v>-21.34</v>
      </c>
      <c r="BA3358">
        <v>-65.61</v>
      </c>
      <c r="BB3358" t="s">
        <v>83</v>
      </c>
    </row>
    <row r="3359" spans="1:54" x14ac:dyDescent="0.4">
      <c r="A3359">
        <v>745262</v>
      </c>
      <c r="D3359" t="s">
        <v>54</v>
      </c>
      <c r="G3359">
        <v>1</v>
      </c>
      <c r="H3359" t="s">
        <v>56</v>
      </c>
      <c r="I3359" t="s">
        <v>57</v>
      </c>
      <c r="K3359" t="s">
        <v>100</v>
      </c>
      <c r="L3359" t="s">
        <v>1576</v>
      </c>
      <c r="M3359" t="s">
        <v>60</v>
      </c>
      <c r="P3359" t="s">
        <v>103</v>
      </c>
      <c r="R3359" t="s">
        <v>104</v>
      </c>
      <c r="S3359" t="s">
        <v>64</v>
      </c>
      <c r="T3359">
        <v>251.2</v>
      </c>
      <c r="U3359">
        <v>246.7</v>
      </c>
      <c r="V3359">
        <f t="shared" si="104"/>
        <v>248.95</v>
      </c>
      <c r="W3359">
        <f t="shared" si="105"/>
        <v>4.5</v>
      </c>
      <c r="X3359">
        <v>55.640835000000003</v>
      </c>
      <c r="Y3359">
        <v>52.027779000000002</v>
      </c>
      <c r="Z3359" t="s">
        <v>432</v>
      </c>
      <c r="AA3359" t="s">
        <v>239</v>
      </c>
      <c r="AB3359" t="s">
        <v>638</v>
      </c>
      <c r="AD3359" t="s">
        <v>1577</v>
      </c>
      <c r="AF3359" t="s">
        <v>1578</v>
      </c>
      <c r="AH3359" t="s">
        <v>72</v>
      </c>
      <c r="AI3359" t="s">
        <v>1579</v>
      </c>
      <c r="AJ3359">
        <v>2004</v>
      </c>
      <c r="AK3359" t="s">
        <v>1580</v>
      </c>
      <c r="AN3359" t="s">
        <v>192</v>
      </c>
      <c r="AO3359" t="s">
        <v>77</v>
      </c>
      <c r="AP3359" t="s">
        <v>359</v>
      </c>
      <c r="AQ3359" t="s">
        <v>1581</v>
      </c>
      <c r="AR3359" t="s">
        <v>80</v>
      </c>
      <c r="AS3359">
        <v>302</v>
      </c>
      <c r="AT3359" t="s">
        <v>81</v>
      </c>
      <c r="AU3359">
        <v>60.71</v>
      </c>
      <c r="AV3359">
        <v>40.33</v>
      </c>
      <c r="AW3359" t="s">
        <v>82</v>
      </c>
      <c r="AX3359">
        <v>301</v>
      </c>
      <c r="AY3359" t="s">
        <v>81</v>
      </c>
      <c r="AZ3359">
        <v>45.5</v>
      </c>
      <c r="BA3359">
        <v>32.97</v>
      </c>
      <c r="BB3359" t="s">
        <v>83</v>
      </c>
    </row>
    <row r="3360" spans="1:54" x14ac:dyDescent="0.4">
      <c r="A3360">
        <v>789764</v>
      </c>
      <c r="D3360" t="s">
        <v>54</v>
      </c>
      <c r="G3360">
        <v>1</v>
      </c>
      <c r="H3360" t="s">
        <v>56</v>
      </c>
      <c r="I3360" t="s">
        <v>57</v>
      </c>
      <c r="K3360" t="s">
        <v>100</v>
      </c>
      <c r="L3360" t="s">
        <v>1576</v>
      </c>
      <c r="M3360" t="s">
        <v>60</v>
      </c>
      <c r="P3360" t="s">
        <v>103</v>
      </c>
      <c r="R3360" t="s">
        <v>104</v>
      </c>
      <c r="S3360" t="s">
        <v>64</v>
      </c>
      <c r="T3360">
        <v>251.2</v>
      </c>
      <c r="U3360">
        <v>246.7</v>
      </c>
      <c r="V3360">
        <f t="shared" si="104"/>
        <v>248.95</v>
      </c>
      <c r="W3360">
        <f t="shared" si="105"/>
        <v>4.5</v>
      </c>
      <c r="X3360">
        <v>55.640835000000003</v>
      </c>
      <c r="Y3360">
        <v>52.027779000000002</v>
      </c>
      <c r="Z3360" t="s">
        <v>432</v>
      </c>
      <c r="AA3360" t="s">
        <v>239</v>
      </c>
      <c r="AB3360" t="s">
        <v>638</v>
      </c>
      <c r="AD3360" t="s">
        <v>1577</v>
      </c>
      <c r="AF3360" t="s">
        <v>1578</v>
      </c>
      <c r="AH3360" t="s">
        <v>72</v>
      </c>
      <c r="AI3360" t="s">
        <v>1864</v>
      </c>
      <c r="AJ3360">
        <v>1991</v>
      </c>
      <c r="AK3360" t="s">
        <v>1580</v>
      </c>
      <c r="AN3360" t="s">
        <v>192</v>
      </c>
      <c r="AO3360" t="s">
        <v>77</v>
      </c>
      <c r="AP3360" t="s">
        <v>359</v>
      </c>
      <c r="AQ3360" t="s">
        <v>1581</v>
      </c>
      <c r="AR3360" t="s">
        <v>80</v>
      </c>
      <c r="AS3360">
        <v>302</v>
      </c>
      <c r="AT3360" t="s">
        <v>81</v>
      </c>
      <c r="AU3360">
        <v>60.71</v>
      </c>
      <c r="AV3360">
        <v>40.33</v>
      </c>
      <c r="AW3360" t="s">
        <v>82</v>
      </c>
      <c r="AX3360">
        <v>301</v>
      </c>
      <c r="AY3360" t="s">
        <v>81</v>
      </c>
      <c r="AZ3360">
        <v>45.5</v>
      </c>
      <c r="BA3360">
        <v>32.97</v>
      </c>
      <c r="BB3360" t="s">
        <v>83</v>
      </c>
    </row>
    <row r="3361" spans="1:54" x14ac:dyDescent="0.4">
      <c r="A3361">
        <v>789766</v>
      </c>
      <c r="D3361" t="s">
        <v>54</v>
      </c>
      <c r="G3361">
        <v>14</v>
      </c>
      <c r="H3361" t="s">
        <v>84</v>
      </c>
      <c r="I3361" t="s">
        <v>57</v>
      </c>
      <c r="K3361" t="s">
        <v>100</v>
      </c>
      <c r="L3361" t="s">
        <v>1576</v>
      </c>
      <c r="M3361" t="s">
        <v>60</v>
      </c>
      <c r="P3361" t="s">
        <v>103</v>
      </c>
      <c r="R3361" t="s">
        <v>104</v>
      </c>
      <c r="S3361" t="s">
        <v>64</v>
      </c>
      <c r="T3361">
        <v>251.2</v>
      </c>
      <c r="U3361">
        <v>246.7</v>
      </c>
      <c r="V3361">
        <f t="shared" si="104"/>
        <v>248.95</v>
      </c>
      <c r="W3361">
        <f t="shared" si="105"/>
        <v>4.5</v>
      </c>
      <c r="X3361">
        <v>49.558334000000002</v>
      </c>
      <c r="Y3361">
        <v>62.058334000000002</v>
      </c>
      <c r="Z3361" t="s">
        <v>124</v>
      </c>
      <c r="AA3361" t="s">
        <v>239</v>
      </c>
      <c r="AB3361" t="s">
        <v>630</v>
      </c>
      <c r="AC3361" t="s">
        <v>1865</v>
      </c>
      <c r="AD3361" t="s">
        <v>1866</v>
      </c>
      <c r="AE3361" t="s">
        <v>1867</v>
      </c>
      <c r="AH3361" t="s">
        <v>72</v>
      </c>
      <c r="AI3361" t="s">
        <v>1868</v>
      </c>
      <c r="AJ3361">
        <v>2002</v>
      </c>
      <c r="AK3361" t="s">
        <v>1869</v>
      </c>
      <c r="AM3361" t="s">
        <v>1870</v>
      </c>
      <c r="AN3361" t="s">
        <v>114</v>
      </c>
      <c r="AO3361" t="s">
        <v>77</v>
      </c>
      <c r="AP3361" t="s">
        <v>115</v>
      </c>
      <c r="AQ3361" t="s">
        <v>1871</v>
      </c>
      <c r="AR3361" t="s">
        <v>80</v>
      </c>
      <c r="AS3361">
        <v>302</v>
      </c>
      <c r="AT3361" t="s">
        <v>81</v>
      </c>
      <c r="AU3361">
        <v>49.48</v>
      </c>
      <c r="AV3361">
        <v>47.11</v>
      </c>
      <c r="AW3361" t="s">
        <v>82</v>
      </c>
      <c r="AX3361">
        <v>301</v>
      </c>
      <c r="AY3361" t="s">
        <v>81</v>
      </c>
      <c r="AZ3361">
        <v>33.75</v>
      </c>
      <c r="BA3361">
        <v>37.36</v>
      </c>
      <c r="BB3361" t="s">
        <v>83</v>
      </c>
    </row>
    <row r="3362" spans="1:54" x14ac:dyDescent="0.4">
      <c r="A3362">
        <v>800599</v>
      </c>
      <c r="D3362" t="s">
        <v>54</v>
      </c>
      <c r="I3362" t="s">
        <v>57</v>
      </c>
      <c r="K3362" t="s">
        <v>2124</v>
      </c>
      <c r="L3362" t="s">
        <v>2125</v>
      </c>
      <c r="M3362" t="s">
        <v>223</v>
      </c>
      <c r="N3362" t="s">
        <v>234</v>
      </c>
      <c r="O3362" t="s">
        <v>87</v>
      </c>
      <c r="P3362" t="s">
        <v>103</v>
      </c>
      <c r="R3362" t="s">
        <v>104</v>
      </c>
      <c r="S3362" t="s">
        <v>64</v>
      </c>
      <c r="T3362">
        <v>251.2</v>
      </c>
      <c r="U3362">
        <v>246.7</v>
      </c>
      <c r="V3362">
        <f t="shared" si="104"/>
        <v>248.95</v>
      </c>
      <c r="W3362">
        <f t="shared" si="105"/>
        <v>4.5</v>
      </c>
      <c r="X3362">
        <v>141.55694600000001</v>
      </c>
      <c r="Y3362">
        <v>38.713611999999998</v>
      </c>
      <c r="Z3362" t="s">
        <v>520</v>
      </c>
      <c r="AA3362" t="s">
        <v>2126</v>
      </c>
      <c r="AB3362" t="s">
        <v>2127</v>
      </c>
      <c r="AC3362" t="s">
        <v>2128</v>
      </c>
      <c r="AD3362" t="s">
        <v>2129</v>
      </c>
      <c r="AE3362" t="s">
        <v>2130</v>
      </c>
      <c r="AH3362" t="s">
        <v>72</v>
      </c>
      <c r="AI3362" t="s">
        <v>2131</v>
      </c>
      <c r="AJ3362">
        <v>1978</v>
      </c>
      <c r="AK3362" t="s">
        <v>2132</v>
      </c>
      <c r="AN3362" t="s">
        <v>192</v>
      </c>
      <c r="AO3362" t="s">
        <v>77</v>
      </c>
      <c r="AQ3362" t="s">
        <v>2133</v>
      </c>
      <c r="AR3362" t="s">
        <v>80</v>
      </c>
      <c r="AS3362">
        <v>610</v>
      </c>
      <c r="AT3362" t="s">
        <v>81</v>
      </c>
      <c r="AU3362">
        <v>138.78</v>
      </c>
      <c r="AV3362">
        <v>4.8</v>
      </c>
      <c r="AW3362" t="s">
        <v>82</v>
      </c>
      <c r="AX3362" t="s">
        <v>528</v>
      </c>
      <c r="AY3362" t="s">
        <v>81</v>
      </c>
      <c r="BB3362" t="s">
        <v>83</v>
      </c>
    </row>
    <row r="3363" spans="1:54" x14ac:dyDescent="0.4">
      <c r="A3363">
        <v>821002</v>
      </c>
      <c r="D3363" t="s">
        <v>54</v>
      </c>
      <c r="I3363" t="s">
        <v>57</v>
      </c>
      <c r="K3363" t="s">
        <v>802</v>
      </c>
      <c r="L3363" t="s">
        <v>803</v>
      </c>
      <c r="M3363" t="s">
        <v>223</v>
      </c>
      <c r="N3363" t="s">
        <v>234</v>
      </c>
      <c r="O3363" t="s">
        <v>87</v>
      </c>
      <c r="P3363" t="s">
        <v>103</v>
      </c>
      <c r="R3363" t="s">
        <v>104</v>
      </c>
      <c r="S3363" t="s">
        <v>64</v>
      </c>
      <c r="T3363">
        <v>251.2</v>
      </c>
      <c r="U3363">
        <v>246.7</v>
      </c>
      <c r="V3363">
        <f t="shared" si="104"/>
        <v>248.95</v>
      </c>
      <c r="W3363">
        <f t="shared" si="105"/>
        <v>4.5</v>
      </c>
      <c r="X3363">
        <v>-111.416664</v>
      </c>
      <c r="Y3363">
        <v>42.483333999999999</v>
      </c>
      <c r="Z3363" t="s">
        <v>124</v>
      </c>
      <c r="AA3363" t="s">
        <v>66</v>
      </c>
      <c r="AB3363" t="s">
        <v>2404</v>
      </c>
      <c r="AC3363" t="s">
        <v>2405</v>
      </c>
      <c r="AD3363" t="s">
        <v>2406</v>
      </c>
      <c r="AH3363" t="s">
        <v>11</v>
      </c>
      <c r="AI3363" t="s">
        <v>2407</v>
      </c>
      <c r="AJ3363">
        <v>1994</v>
      </c>
      <c r="AK3363" t="s">
        <v>2408</v>
      </c>
      <c r="AM3363" t="s">
        <v>2409</v>
      </c>
      <c r="AN3363" t="s">
        <v>76</v>
      </c>
      <c r="AO3363" t="s">
        <v>160</v>
      </c>
      <c r="AP3363" t="s">
        <v>115</v>
      </c>
      <c r="AQ3363" t="s">
        <v>2410</v>
      </c>
      <c r="AR3363" t="s">
        <v>80</v>
      </c>
      <c r="AS3363">
        <v>101</v>
      </c>
      <c r="AT3363" t="s">
        <v>81</v>
      </c>
      <c r="AU3363">
        <v>-31.58</v>
      </c>
      <c r="AV3363">
        <v>25.76</v>
      </c>
      <c r="AW3363" t="s">
        <v>82</v>
      </c>
      <c r="AX3363">
        <v>132</v>
      </c>
      <c r="AY3363" t="s">
        <v>81</v>
      </c>
      <c r="AZ3363">
        <v>-38.08</v>
      </c>
      <c r="BA3363">
        <v>13.3</v>
      </c>
      <c r="BB3363" t="s">
        <v>83</v>
      </c>
    </row>
    <row r="3364" spans="1:54" x14ac:dyDescent="0.4">
      <c r="A3364">
        <v>832665</v>
      </c>
      <c r="D3364" t="s">
        <v>2001</v>
      </c>
      <c r="G3364">
        <v>1</v>
      </c>
      <c r="H3364" t="s">
        <v>56</v>
      </c>
      <c r="I3364" t="s">
        <v>57</v>
      </c>
      <c r="K3364" t="s">
        <v>100</v>
      </c>
      <c r="L3364" t="s">
        <v>2537</v>
      </c>
      <c r="M3364" t="s">
        <v>60</v>
      </c>
      <c r="P3364" t="s">
        <v>103</v>
      </c>
      <c r="R3364" t="s">
        <v>104</v>
      </c>
      <c r="S3364" t="s">
        <v>64</v>
      </c>
      <c r="T3364">
        <v>251.2</v>
      </c>
      <c r="U3364">
        <v>246.7</v>
      </c>
      <c r="V3364">
        <f t="shared" si="104"/>
        <v>248.95</v>
      </c>
      <c r="W3364">
        <f t="shared" si="105"/>
        <v>4.5</v>
      </c>
      <c r="X3364">
        <v>27.1</v>
      </c>
      <c r="Y3364">
        <v>-32.291668000000001</v>
      </c>
      <c r="Z3364" t="s">
        <v>105</v>
      </c>
      <c r="AA3364" t="s">
        <v>106</v>
      </c>
      <c r="AB3364" t="s">
        <v>107</v>
      </c>
      <c r="AC3364" t="s">
        <v>2538</v>
      </c>
      <c r="AD3364" t="s">
        <v>109</v>
      </c>
      <c r="AE3364" t="s">
        <v>110</v>
      </c>
      <c r="AG3364" t="s">
        <v>2539</v>
      </c>
      <c r="AH3364" t="s">
        <v>72</v>
      </c>
      <c r="AI3364" t="s">
        <v>2540</v>
      </c>
      <c r="AJ3364">
        <v>2008</v>
      </c>
      <c r="AK3364" t="s">
        <v>2541</v>
      </c>
      <c r="AM3364" t="s">
        <v>2542</v>
      </c>
      <c r="AN3364" t="s">
        <v>192</v>
      </c>
      <c r="AO3364" t="s">
        <v>77</v>
      </c>
      <c r="AP3364" t="s">
        <v>115</v>
      </c>
      <c r="AQ3364" t="s">
        <v>2543</v>
      </c>
      <c r="AR3364" t="s">
        <v>80</v>
      </c>
      <c r="AS3364">
        <v>701</v>
      </c>
      <c r="AT3364" t="s">
        <v>81</v>
      </c>
      <c r="AU3364">
        <v>-10.94</v>
      </c>
      <c r="AV3364">
        <v>-51.93</v>
      </c>
      <c r="AW3364" t="s">
        <v>82</v>
      </c>
      <c r="AX3364">
        <v>701</v>
      </c>
      <c r="AY3364" t="s">
        <v>81</v>
      </c>
      <c r="AZ3364">
        <v>-20.46</v>
      </c>
      <c r="BA3364">
        <v>-66.37</v>
      </c>
      <c r="BB3364" t="s">
        <v>83</v>
      </c>
    </row>
    <row r="3365" spans="1:54" x14ac:dyDescent="0.4">
      <c r="A3365">
        <v>832666</v>
      </c>
      <c r="D3365" t="s">
        <v>2001</v>
      </c>
      <c r="I3365" t="s">
        <v>57</v>
      </c>
      <c r="K3365" t="s">
        <v>100</v>
      </c>
      <c r="L3365" t="s">
        <v>101</v>
      </c>
      <c r="M3365" t="s">
        <v>60</v>
      </c>
      <c r="P3365" t="s">
        <v>103</v>
      </c>
      <c r="R3365" t="s">
        <v>104</v>
      </c>
      <c r="S3365" t="s">
        <v>64</v>
      </c>
      <c r="T3365">
        <v>251.2</v>
      </c>
      <c r="U3365">
        <v>246.7</v>
      </c>
      <c r="V3365">
        <f t="shared" si="104"/>
        <v>248.95</v>
      </c>
      <c r="W3365">
        <f t="shared" si="105"/>
        <v>4.5</v>
      </c>
      <c r="X3365">
        <v>27.1</v>
      </c>
      <c r="Y3365">
        <v>-32.291668000000001</v>
      </c>
      <c r="Z3365" t="s">
        <v>105</v>
      </c>
      <c r="AA3365" t="s">
        <v>106</v>
      </c>
      <c r="AB3365" t="s">
        <v>107</v>
      </c>
      <c r="AC3365" t="s">
        <v>2538</v>
      </c>
      <c r="AD3365" t="s">
        <v>109</v>
      </c>
      <c r="AE3365" t="s">
        <v>110</v>
      </c>
      <c r="AG3365" t="s">
        <v>2539</v>
      </c>
      <c r="AH3365" t="s">
        <v>72</v>
      </c>
      <c r="AI3365" t="s">
        <v>2540</v>
      </c>
      <c r="AJ3365">
        <v>2008</v>
      </c>
      <c r="AK3365" t="s">
        <v>2541</v>
      </c>
      <c r="AM3365" t="s">
        <v>2542</v>
      </c>
      <c r="AN3365" t="s">
        <v>192</v>
      </c>
      <c r="AO3365" t="s">
        <v>77</v>
      </c>
      <c r="AP3365" t="s">
        <v>115</v>
      </c>
      <c r="AQ3365" t="s">
        <v>2543</v>
      </c>
      <c r="AR3365" t="s">
        <v>80</v>
      </c>
      <c r="AS3365">
        <v>701</v>
      </c>
      <c r="AT3365" t="s">
        <v>81</v>
      </c>
      <c r="AU3365">
        <v>-10.94</v>
      </c>
      <c r="AV3365">
        <v>-51.93</v>
      </c>
      <c r="AW3365" t="s">
        <v>82</v>
      </c>
      <c r="AX3365">
        <v>701</v>
      </c>
      <c r="AY3365" t="s">
        <v>81</v>
      </c>
      <c r="AZ3365">
        <v>-20.46</v>
      </c>
      <c r="BA3365">
        <v>-66.37</v>
      </c>
      <c r="BB3365" t="s">
        <v>83</v>
      </c>
    </row>
    <row r="3366" spans="1:54" x14ac:dyDescent="0.4">
      <c r="A3366">
        <v>838751</v>
      </c>
      <c r="D3366" t="s">
        <v>54</v>
      </c>
      <c r="G3366">
        <v>1</v>
      </c>
      <c r="H3366" t="s">
        <v>56</v>
      </c>
      <c r="I3366" t="s">
        <v>57</v>
      </c>
      <c r="K3366" t="s">
        <v>100</v>
      </c>
      <c r="L3366" t="s">
        <v>2752</v>
      </c>
      <c r="M3366" t="s">
        <v>60</v>
      </c>
      <c r="P3366" t="s">
        <v>103</v>
      </c>
      <c r="R3366" t="s">
        <v>104</v>
      </c>
      <c r="S3366" t="s">
        <v>64</v>
      </c>
      <c r="T3366">
        <v>251.2</v>
      </c>
      <c r="U3366">
        <v>246.7</v>
      </c>
      <c r="V3366">
        <f t="shared" si="104"/>
        <v>248.95</v>
      </c>
      <c r="W3366">
        <f t="shared" si="105"/>
        <v>4.5</v>
      </c>
      <c r="X3366">
        <v>50.176388000000003</v>
      </c>
      <c r="Y3366">
        <v>59.496113000000001</v>
      </c>
      <c r="Z3366" t="s">
        <v>124</v>
      </c>
      <c r="AA3366" t="s">
        <v>239</v>
      </c>
      <c r="AB3366" t="s">
        <v>501</v>
      </c>
      <c r="AC3366" t="s">
        <v>2753</v>
      </c>
      <c r="AH3366" t="s">
        <v>72</v>
      </c>
      <c r="AI3366" t="s">
        <v>2754</v>
      </c>
      <c r="AJ3366">
        <v>1956</v>
      </c>
      <c r="AK3366" t="s">
        <v>2755</v>
      </c>
      <c r="AM3366" t="s">
        <v>2756</v>
      </c>
      <c r="AN3366" t="s">
        <v>114</v>
      </c>
      <c r="AO3366" t="s">
        <v>77</v>
      </c>
      <c r="AP3366" t="s">
        <v>115</v>
      </c>
      <c r="AQ3366" t="s">
        <v>2757</v>
      </c>
      <c r="AR3366" t="s">
        <v>80</v>
      </c>
      <c r="AS3366">
        <v>302</v>
      </c>
      <c r="AT3366" t="s">
        <v>81</v>
      </c>
      <c r="AU3366">
        <v>51.84</v>
      </c>
      <c r="AV3366">
        <v>45.11</v>
      </c>
      <c r="AW3366" t="s">
        <v>82</v>
      </c>
      <c r="AX3366">
        <v>301</v>
      </c>
      <c r="AY3366" t="s">
        <v>81</v>
      </c>
      <c r="AZ3366">
        <v>36.36</v>
      </c>
      <c r="BA3366">
        <v>35.85</v>
      </c>
      <c r="BB3366" t="s">
        <v>83</v>
      </c>
    </row>
    <row r="3367" spans="1:54" x14ac:dyDescent="0.4">
      <c r="A3367">
        <v>838751</v>
      </c>
      <c r="D3367" t="s">
        <v>54</v>
      </c>
      <c r="G3367">
        <v>1</v>
      </c>
      <c r="H3367" t="s">
        <v>56</v>
      </c>
      <c r="I3367" t="s">
        <v>57</v>
      </c>
      <c r="K3367" t="s">
        <v>100</v>
      </c>
      <c r="L3367" t="s">
        <v>2752</v>
      </c>
      <c r="M3367" t="s">
        <v>60</v>
      </c>
      <c r="P3367" t="s">
        <v>103</v>
      </c>
      <c r="R3367" t="s">
        <v>104</v>
      </c>
      <c r="S3367" t="s">
        <v>64</v>
      </c>
      <c r="T3367">
        <v>251.2</v>
      </c>
      <c r="U3367">
        <v>246.7</v>
      </c>
      <c r="V3367">
        <f t="shared" si="104"/>
        <v>248.95</v>
      </c>
      <c r="W3367">
        <f t="shared" si="105"/>
        <v>4.5</v>
      </c>
      <c r="X3367">
        <v>50.176388000000003</v>
      </c>
      <c r="Y3367">
        <v>59.496113000000001</v>
      </c>
      <c r="Z3367" t="s">
        <v>124</v>
      </c>
      <c r="AA3367" t="s">
        <v>239</v>
      </c>
      <c r="AB3367" t="s">
        <v>501</v>
      </c>
      <c r="AC3367" t="s">
        <v>2753</v>
      </c>
      <c r="AH3367" t="s">
        <v>72</v>
      </c>
      <c r="AI3367" t="s">
        <v>2754</v>
      </c>
      <c r="AJ3367">
        <v>1956</v>
      </c>
      <c r="AK3367" t="s">
        <v>2755</v>
      </c>
      <c r="AM3367" t="s">
        <v>2756</v>
      </c>
      <c r="AN3367" t="s">
        <v>114</v>
      </c>
      <c r="AO3367" t="s">
        <v>77</v>
      </c>
      <c r="AP3367" t="s">
        <v>115</v>
      </c>
      <c r="AQ3367" t="s">
        <v>2757</v>
      </c>
      <c r="AR3367" t="s">
        <v>80</v>
      </c>
      <c r="AS3367">
        <v>302</v>
      </c>
      <c r="AT3367" t="s">
        <v>81</v>
      </c>
      <c r="AU3367">
        <v>51.84</v>
      </c>
      <c r="AV3367">
        <v>45.11</v>
      </c>
      <c r="AW3367" t="s">
        <v>82</v>
      </c>
      <c r="AX3367">
        <v>301</v>
      </c>
      <c r="AY3367" t="s">
        <v>81</v>
      </c>
      <c r="AZ3367">
        <v>36.36</v>
      </c>
      <c r="BA3367">
        <v>35.85</v>
      </c>
      <c r="BB3367" t="s">
        <v>83</v>
      </c>
    </row>
    <row r="3368" spans="1:54" x14ac:dyDescent="0.4">
      <c r="A3368">
        <v>838751</v>
      </c>
      <c r="D3368" t="s">
        <v>54</v>
      </c>
      <c r="G3368">
        <v>1</v>
      </c>
      <c r="H3368" t="s">
        <v>56</v>
      </c>
      <c r="I3368" t="s">
        <v>57</v>
      </c>
      <c r="K3368" t="s">
        <v>100</v>
      </c>
      <c r="L3368" t="s">
        <v>2752</v>
      </c>
      <c r="M3368" t="s">
        <v>60</v>
      </c>
      <c r="P3368" t="s">
        <v>103</v>
      </c>
      <c r="R3368" t="s">
        <v>104</v>
      </c>
      <c r="S3368" t="s">
        <v>64</v>
      </c>
      <c r="T3368">
        <v>251.2</v>
      </c>
      <c r="U3368">
        <v>246.7</v>
      </c>
      <c r="V3368">
        <f t="shared" si="104"/>
        <v>248.95</v>
      </c>
      <c r="W3368">
        <f t="shared" si="105"/>
        <v>4.5</v>
      </c>
      <c r="X3368">
        <v>50.176388000000003</v>
      </c>
      <c r="Y3368">
        <v>59.496113000000001</v>
      </c>
      <c r="Z3368" t="s">
        <v>124</v>
      </c>
      <c r="AA3368" t="s">
        <v>239</v>
      </c>
      <c r="AB3368" t="s">
        <v>501</v>
      </c>
      <c r="AC3368" t="s">
        <v>2753</v>
      </c>
      <c r="AH3368" t="s">
        <v>72</v>
      </c>
      <c r="AI3368" t="s">
        <v>2754</v>
      </c>
      <c r="AJ3368">
        <v>1956</v>
      </c>
      <c r="AK3368" t="s">
        <v>2755</v>
      </c>
      <c r="AM3368" t="s">
        <v>2756</v>
      </c>
      <c r="AN3368" t="s">
        <v>114</v>
      </c>
      <c r="AO3368" t="s">
        <v>77</v>
      </c>
      <c r="AP3368" t="s">
        <v>115</v>
      </c>
      <c r="AQ3368" t="s">
        <v>2757</v>
      </c>
      <c r="AR3368" t="s">
        <v>80</v>
      </c>
      <c r="AS3368">
        <v>302</v>
      </c>
      <c r="AT3368" t="s">
        <v>81</v>
      </c>
      <c r="AU3368">
        <v>51.84</v>
      </c>
      <c r="AV3368">
        <v>45.11</v>
      </c>
      <c r="AW3368" t="s">
        <v>82</v>
      </c>
      <c r="AX3368">
        <v>301</v>
      </c>
      <c r="AY3368" t="s">
        <v>81</v>
      </c>
      <c r="AZ3368">
        <v>36.36</v>
      </c>
      <c r="BA3368">
        <v>35.85</v>
      </c>
      <c r="BB3368" t="s">
        <v>83</v>
      </c>
    </row>
    <row r="3369" spans="1:54" x14ac:dyDescent="0.4">
      <c r="A3369">
        <v>838751</v>
      </c>
      <c r="D3369" t="s">
        <v>54</v>
      </c>
      <c r="G3369">
        <v>1</v>
      </c>
      <c r="H3369" t="s">
        <v>56</v>
      </c>
      <c r="I3369" t="s">
        <v>57</v>
      </c>
      <c r="K3369" t="s">
        <v>100</v>
      </c>
      <c r="L3369" t="s">
        <v>2752</v>
      </c>
      <c r="M3369" t="s">
        <v>60</v>
      </c>
      <c r="P3369" t="s">
        <v>103</v>
      </c>
      <c r="R3369" t="s">
        <v>104</v>
      </c>
      <c r="S3369" t="s">
        <v>64</v>
      </c>
      <c r="T3369">
        <v>251.2</v>
      </c>
      <c r="U3369">
        <v>246.7</v>
      </c>
      <c r="V3369">
        <f t="shared" si="104"/>
        <v>248.95</v>
      </c>
      <c r="W3369">
        <f t="shared" si="105"/>
        <v>4.5</v>
      </c>
      <c r="X3369">
        <v>50.176388000000003</v>
      </c>
      <c r="Y3369">
        <v>59.496113000000001</v>
      </c>
      <c r="Z3369" t="s">
        <v>124</v>
      </c>
      <c r="AA3369" t="s">
        <v>239</v>
      </c>
      <c r="AB3369" t="s">
        <v>501</v>
      </c>
      <c r="AC3369" t="s">
        <v>2753</v>
      </c>
      <c r="AH3369" t="s">
        <v>72</v>
      </c>
      <c r="AI3369" t="s">
        <v>2754</v>
      </c>
      <c r="AJ3369">
        <v>1956</v>
      </c>
      <c r="AK3369" t="s">
        <v>2755</v>
      </c>
      <c r="AM3369" t="s">
        <v>2756</v>
      </c>
      <c r="AN3369" t="s">
        <v>114</v>
      </c>
      <c r="AO3369" t="s">
        <v>77</v>
      </c>
      <c r="AP3369" t="s">
        <v>115</v>
      </c>
      <c r="AQ3369" t="s">
        <v>2757</v>
      </c>
      <c r="AR3369" t="s">
        <v>80</v>
      </c>
      <c r="AS3369">
        <v>302</v>
      </c>
      <c r="AT3369" t="s">
        <v>81</v>
      </c>
      <c r="AU3369">
        <v>51.84</v>
      </c>
      <c r="AV3369">
        <v>45.11</v>
      </c>
      <c r="AW3369" t="s">
        <v>82</v>
      </c>
      <c r="AX3369">
        <v>301</v>
      </c>
      <c r="AY3369" t="s">
        <v>81</v>
      </c>
      <c r="AZ3369">
        <v>36.36</v>
      </c>
      <c r="BA3369">
        <v>35.85</v>
      </c>
      <c r="BB3369" t="s">
        <v>83</v>
      </c>
    </row>
    <row r="3370" spans="1:54" x14ac:dyDescent="0.4">
      <c r="A3370">
        <v>840200</v>
      </c>
      <c r="D3370" t="s">
        <v>54</v>
      </c>
      <c r="G3370">
        <v>1</v>
      </c>
      <c r="H3370" t="s">
        <v>84</v>
      </c>
      <c r="I3370" t="s">
        <v>57</v>
      </c>
      <c r="K3370" t="s">
        <v>100</v>
      </c>
      <c r="L3370" t="s">
        <v>1576</v>
      </c>
      <c r="M3370" t="s">
        <v>60</v>
      </c>
      <c r="P3370" t="s">
        <v>103</v>
      </c>
      <c r="R3370" t="s">
        <v>104</v>
      </c>
      <c r="S3370" t="s">
        <v>64</v>
      </c>
      <c r="T3370">
        <v>251.2</v>
      </c>
      <c r="U3370">
        <v>246.7</v>
      </c>
      <c r="V3370">
        <f t="shared" si="104"/>
        <v>248.95</v>
      </c>
      <c r="W3370">
        <f t="shared" si="105"/>
        <v>4.5</v>
      </c>
      <c r="X3370">
        <v>49.558334000000002</v>
      </c>
      <c r="Y3370">
        <v>62.058334000000002</v>
      </c>
      <c r="Z3370" t="s">
        <v>124</v>
      </c>
      <c r="AA3370" t="s">
        <v>239</v>
      </c>
      <c r="AB3370" t="s">
        <v>630</v>
      </c>
      <c r="AC3370" t="s">
        <v>1865</v>
      </c>
      <c r="AD3370" t="s">
        <v>1866</v>
      </c>
      <c r="AE3370" t="s">
        <v>1867</v>
      </c>
      <c r="AH3370" t="s">
        <v>72</v>
      </c>
      <c r="AI3370" t="s">
        <v>400</v>
      </c>
      <c r="AJ3370">
        <v>1975</v>
      </c>
      <c r="AK3370" t="s">
        <v>1869</v>
      </c>
      <c r="AM3370" t="s">
        <v>1870</v>
      </c>
      <c r="AN3370" t="s">
        <v>114</v>
      </c>
      <c r="AO3370" t="s">
        <v>77</v>
      </c>
      <c r="AP3370" t="s">
        <v>115</v>
      </c>
      <c r="AQ3370" t="s">
        <v>1871</v>
      </c>
      <c r="AR3370" t="s">
        <v>80</v>
      </c>
      <c r="AS3370">
        <v>302</v>
      </c>
      <c r="AT3370" t="s">
        <v>81</v>
      </c>
      <c r="AU3370">
        <v>49.48</v>
      </c>
      <c r="AV3370">
        <v>47.11</v>
      </c>
      <c r="AW3370" t="s">
        <v>82</v>
      </c>
      <c r="AX3370">
        <v>301</v>
      </c>
      <c r="AY3370" t="s">
        <v>81</v>
      </c>
      <c r="AZ3370">
        <v>33.75</v>
      </c>
      <c r="BA3370">
        <v>37.36</v>
      </c>
      <c r="BB3370" t="s">
        <v>83</v>
      </c>
    </row>
    <row r="3371" spans="1:54" x14ac:dyDescent="0.4">
      <c r="A3371">
        <v>840267</v>
      </c>
      <c r="D3371" t="s">
        <v>54</v>
      </c>
      <c r="F3371" t="s">
        <v>2796</v>
      </c>
      <c r="G3371">
        <v>8</v>
      </c>
      <c r="H3371" t="s">
        <v>84</v>
      </c>
      <c r="I3371" t="s">
        <v>57</v>
      </c>
      <c r="K3371" t="s">
        <v>141</v>
      </c>
      <c r="L3371" t="s">
        <v>629</v>
      </c>
      <c r="M3371" t="s">
        <v>60</v>
      </c>
      <c r="P3371" t="s">
        <v>103</v>
      </c>
      <c r="R3371" t="s">
        <v>104</v>
      </c>
      <c r="S3371" t="s">
        <v>64</v>
      </c>
      <c r="T3371">
        <v>251.2</v>
      </c>
      <c r="U3371">
        <v>246.7</v>
      </c>
      <c r="V3371">
        <f t="shared" si="104"/>
        <v>248.95</v>
      </c>
      <c r="W3371">
        <f t="shared" si="105"/>
        <v>4.5</v>
      </c>
      <c r="X3371">
        <v>45.174999</v>
      </c>
      <c r="Y3371">
        <v>59.783332999999999</v>
      </c>
      <c r="Z3371" t="s">
        <v>105</v>
      </c>
      <c r="AA3371" t="s">
        <v>239</v>
      </c>
      <c r="AB3371" t="s">
        <v>2702</v>
      </c>
      <c r="AC3371" t="s">
        <v>2797</v>
      </c>
      <c r="AH3371" t="s">
        <v>72</v>
      </c>
      <c r="AI3371" t="s">
        <v>693</v>
      </c>
      <c r="AJ3371">
        <v>1940</v>
      </c>
      <c r="AK3371" t="s">
        <v>2798</v>
      </c>
      <c r="AM3371" t="s">
        <v>2799</v>
      </c>
      <c r="AN3371" t="s">
        <v>114</v>
      </c>
      <c r="AO3371" t="s">
        <v>160</v>
      </c>
      <c r="AP3371" t="s">
        <v>78</v>
      </c>
      <c r="AQ3371" t="s">
        <v>2800</v>
      </c>
      <c r="AR3371" t="s">
        <v>80</v>
      </c>
      <c r="AS3371">
        <v>302</v>
      </c>
      <c r="AT3371" t="s">
        <v>81</v>
      </c>
      <c r="AU3371">
        <v>48.59</v>
      </c>
      <c r="AV3371">
        <v>44.05</v>
      </c>
      <c r="AW3371" t="s">
        <v>82</v>
      </c>
      <c r="AX3371">
        <v>301</v>
      </c>
      <c r="AY3371" t="s">
        <v>81</v>
      </c>
      <c r="AZ3371">
        <v>33.950000000000003</v>
      </c>
      <c r="BA3371">
        <v>34.25</v>
      </c>
      <c r="BB3371" t="s">
        <v>83</v>
      </c>
    </row>
    <row r="3372" spans="1:54" x14ac:dyDescent="0.4">
      <c r="A3372">
        <v>840268</v>
      </c>
      <c r="D3372" t="s">
        <v>54</v>
      </c>
      <c r="F3372" t="s">
        <v>2796</v>
      </c>
      <c r="G3372">
        <v>1</v>
      </c>
      <c r="H3372" t="s">
        <v>56</v>
      </c>
      <c r="I3372" t="s">
        <v>57</v>
      </c>
      <c r="K3372" t="s">
        <v>2801</v>
      </c>
      <c r="L3372" t="s">
        <v>2802</v>
      </c>
      <c r="M3372" t="s">
        <v>60</v>
      </c>
      <c r="N3372" t="s">
        <v>119</v>
      </c>
      <c r="O3372" t="s">
        <v>87</v>
      </c>
      <c r="P3372" t="s">
        <v>103</v>
      </c>
      <c r="R3372" t="s">
        <v>104</v>
      </c>
      <c r="S3372" t="s">
        <v>64</v>
      </c>
      <c r="T3372">
        <v>251.2</v>
      </c>
      <c r="U3372">
        <v>246.7</v>
      </c>
      <c r="V3372">
        <f t="shared" si="104"/>
        <v>248.95</v>
      </c>
      <c r="W3372">
        <f t="shared" si="105"/>
        <v>4.5</v>
      </c>
      <c r="X3372">
        <v>45.174999</v>
      </c>
      <c r="Y3372">
        <v>59.783332999999999</v>
      </c>
      <c r="Z3372" t="s">
        <v>105</v>
      </c>
      <c r="AA3372" t="s">
        <v>239</v>
      </c>
      <c r="AB3372" t="s">
        <v>2702</v>
      </c>
      <c r="AC3372" t="s">
        <v>2797</v>
      </c>
      <c r="AH3372" t="s">
        <v>72</v>
      </c>
      <c r="AI3372" t="s">
        <v>693</v>
      </c>
      <c r="AJ3372">
        <v>1940</v>
      </c>
      <c r="AK3372" t="s">
        <v>2798</v>
      </c>
      <c r="AM3372" t="s">
        <v>2799</v>
      </c>
      <c r="AN3372" t="s">
        <v>114</v>
      </c>
      <c r="AO3372" t="s">
        <v>160</v>
      </c>
      <c r="AP3372" t="s">
        <v>78</v>
      </c>
      <c r="AQ3372" t="s">
        <v>2800</v>
      </c>
      <c r="AR3372" t="s">
        <v>80</v>
      </c>
      <c r="AS3372">
        <v>302</v>
      </c>
      <c r="AT3372" t="s">
        <v>81</v>
      </c>
      <c r="AU3372">
        <v>48.59</v>
      </c>
      <c r="AV3372">
        <v>44.05</v>
      </c>
      <c r="AW3372" t="s">
        <v>82</v>
      </c>
      <c r="AX3372">
        <v>301</v>
      </c>
      <c r="AY3372" t="s">
        <v>81</v>
      </c>
      <c r="AZ3372">
        <v>33.950000000000003</v>
      </c>
      <c r="BA3372">
        <v>34.25</v>
      </c>
      <c r="BB3372" t="s">
        <v>83</v>
      </c>
    </row>
    <row r="3373" spans="1:54" x14ac:dyDescent="0.4">
      <c r="A3373">
        <v>840350</v>
      </c>
      <c r="D3373" t="s">
        <v>54</v>
      </c>
      <c r="G3373">
        <v>1</v>
      </c>
      <c r="H3373" t="s">
        <v>421</v>
      </c>
      <c r="I3373" t="s">
        <v>57</v>
      </c>
      <c r="K3373" t="s">
        <v>141</v>
      </c>
      <c r="L3373" t="s">
        <v>629</v>
      </c>
      <c r="M3373" t="s">
        <v>60</v>
      </c>
      <c r="P3373" t="s">
        <v>103</v>
      </c>
      <c r="R3373" t="s">
        <v>104</v>
      </c>
      <c r="S3373" t="s">
        <v>64</v>
      </c>
      <c r="T3373">
        <v>251.2</v>
      </c>
      <c r="U3373">
        <v>246.7</v>
      </c>
      <c r="V3373">
        <f t="shared" si="104"/>
        <v>248.95</v>
      </c>
      <c r="W3373">
        <f t="shared" si="105"/>
        <v>4.5</v>
      </c>
      <c r="X3373">
        <v>52.656387000000002</v>
      </c>
      <c r="Y3373">
        <v>52.34639</v>
      </c>
      <c r="Z3373" t="s">
        <v>1365</v>
      </c>
      <c r="AA3373" t="s">
        <v>239</v>
      </c>
      <c r="AB3373" t="s">
        <v>638</v>
      </c>
      <c r="AC3373" t="s">
        <v>2803</v>
      </c>
      <c r="AD3373" t="s">
        <v>2804</v>
      </c>
      <c r="AH3373" t="s">
        <v>11</v>
      </c>
      <c r="AI3373" t="s">
        <v>1937</v>
      </c>
      <c r="AJ3373">
        <v>2003</v>
      </c>
      <c r="AK3373" t="s">
        <v>2805</v>
      </c>
      <c r="AM3373" t="s">
        <v>2806</v>
      </c>
      <c r="AN3373" t="s">
        <v>192</v>
      </c>
      <c r="AO3373" t="s">
        <v>77</v>
      </c>
      <c r="AP3373" t="s">
        <v>115</v>
      </c>
      <c r="AQ3373" t="s">
        <v>2807</v>
      </c>
      <c r="AR3373" t="s">
        <v>80</v>
      </c>
      <c r="AS3373">
        <v>302</v>
      </c>
      <c r="AT3373" t="s">
        <v>81</v>
      </c>
      <c r="AU3373">
        <v>58.43</v>
      </c>
      <c r="AV3373">
        <v>39.69</v>
      </c>
      <c r="AW3373" t="s">
        <v>82</v>
      </c>
      <c r="AX3373">
        <v>301</v>
      </c>
      <c r="AY3373" t="s">
        <v>81</v>
      </c>
      <c r="AZ3373">
        <v>43.72</v>
      </c>
      <c r="BA3373">
        <v>31.88</v>
      </c>
      <c r="BB3373" t="s">
        <v>83</v>
      </c>
    </row>
    <row r="3374" spans="1:54" x14ac:dyDescent="0.4">
      <c r="A3374">
        <v>840353</v>
      </c>
      <c r="D3374" t="s">
        <v>54</v>
      </c>
      <c r="G3374">
        <v>1</v>
      </c>
      <c r="H3374" t="s">
        <v>56</v>
      </c>
      <c r="I3374" t="s">
        <v>57</v>
      </c>
      <c r="K3374" t="s">
        <v>100</v>
      </c>
      <c r="L3374" t="s">
        <v>2808</v>
      </c>
      <c r="M3374" t="s">
        <v>60</v>
      </c>
      <c r="P3374" t="s">
        <v>103</v>
      </c>
      <c r="R3374" t="s">
        <v>104</v>
      </c>
      <c r="S3374" t="s">
        <v>64</v>
      </c>
      <c r="T3374">
        <v>251.2</v>
      </c>
      <c r="U3374">
        <v>246.7</v>
      </c>
      <c r="V3374">
        <f t="shared" si="104"/>
        <v>248.95</v>
      </c>
      <c r="W3374">
        <f t="shared" si="105"/>
        <v>4.5</v>
      </c>
      <c r="X3374">
        <v>52.656387000000002</v>
      </c>
      <c r="Y3374">
        <v>52.34639</v>
      </c>
      <c r="Z3374" t="s">
        <v>1365</v>
      </c>
      <c r="AA3374" t="s">
        <v>239</v>
      </c>
      <c r="AB3374" t="s">
        <v>638</v>
      </c>
      <c r="AC3374" t="s">
        <v>2803</v>
      </c>
      <c r="AD3374" t="s">
        <v>2804</v>
      </c>
      <c r="AH3374" t="s">
        <v>72</v>
      </c>
      <c r="AI3374" t="s">
        <v>1937</v>
      </c>
      <c r="AJ3374">
        <v>2003</v>
      </c>
      <c r="AK3374" t="s">
        <v>2809</v>
      </c>
      <c r="AM3374" t="s">
        <v>2806</v>
      </c>
      <c r="AN3374" t="s">
        <v>192</v>
      </c>
      <c r="AO3374" t="s">
        <v>77</v>
      </c>
      <c r="AP3374" t="s">
        <v>115</v>
      </c>
      <c r="AQ3374" t="s">
        <v>2810</v>
      </c>
      <c r="AR3374" t="s">
        <v>80</v>
      </c>
      <c r="AS3374">
        <v>302</v>
      </c>
      <c r="AT3374" t="s">
        <v>81</v>
      </c>
      <c r="AU3374">
        <v>58.43</v>
      </c>
      <c r="AV3374">
        <v>39.69</v>
      </c>
      <c r="AW3374" t="s">
        <v>82</v>
      </c>
      <c r="AX3374">
        <v>301</v>
      </c>
      <c r="AY3374" t="s">
        <v>81</v>
      </c>
      <c r="AZ3374">
        <v>43.72</v>
      </c>
      <c r="BA3374">
        <v>31.88</v>
      </c>
      <c r="BB3374" t="s">
        <v>83</v>
      </c>
    </row>
    <row r="3375" spans="1:54" x14ac:dyDescent="0.4">
      <c r="A3375">
        <v>840364</v>
      </c>
      <c r="D3375" t="s">
        <v>54</v>
      </c>
      <c r="G3375">
        <v>2</v>
      </c>
      <c r="H3375" t="s">
        <v>435</v>
      </c>
      <c r="I3375" t="s">
        <v>57</v>
      </c>
      <c r="K3375" t="s">
        <v>100</v>
      </c>
      <c r="L3375" t="s">
        <v>2752</v>
      </c>
      <c r="M3375" t="s">
        <v>60</v>
      </c>
      <c r="P3375" t="s">
        <v>103</v>
      </c>
      <c r="R3375" t="s">
        <v>104</v>
      </c>
      <c r="S3375" t="s">
        <v>64</v>
      </c>
      <c r="T3375">
        <v>251.2</v>
      </c>
      <c r="U3375">
        <v>246.7</v>
      </c>
      <c r="V3375">
        <f t="shared" si="104"/>
        <v>248.95</v>
      </c>
      <c r="W3375">
        <f t="shared" si="105"/>
        <v>4.5</v>
      </c>
      <c r="X3375">
        <v>55.244446000000003</v>
      </c>
      <c r="Y3375">
        <v>50.808334000000002</v>
      </c>
      <c r="Z3375" t="s">
        <v>1365</v>
      </c>
      <c r="AA3375" t="s">
        <v>239</v>
      </c>
      <c r="AB3375" t="s">
        <v>638</v>
      </c>
      <c r="AC3375" t="s">
        <v>639</v>
      </c>
      <c r="AD3375" t="s">
        <v>1577</v>
      </c>
      <c r="AH3375" t="s">
        <v>72</v>
      </c>
      <c r="AI3375" t="s">
        <v>2811</v>
      </c>
      <c r="AJ3375">
        <v>1958</v>
      </c>
      <c r="AK3375" t="s">
        <v>2812</v>
      </c>
      <c r="AM3375" t="s">
        <v>2813</v>
      </c>
      <c r="AN3375" t="s">
        <v>114</v>
      </c>
      <c r="AO3375" t="s">
        <v>77</v>
      </c>
      <c r="AP3375" t="s">
        <v>78</v>
      </c>
      <c r="AQ3375" t="s">
        <v>2814</v>
      </c>
      <c r="AR3375" t="s">
        <v>80</v>
      </c>
      <c r="AS3375">
        <v>302</v>
      </c>
      <c r="AT3375" t="s">
        <v>81</v>
      </c>
      <c r="AU3375">
        <v>61.23</v>
      </c>
      <c r="AV3375">
        <v>39.159999999999997</v>
      </c>
      <c r="AW3375" t="s">
        <v>82</v>
      </c>
      <c r="AX3375">
        <v>301</v>
      </c>
      <c r="AY3375" t="s">
        <v>81</v>
      </c>
      <c r="AZ3375">
        <v>46.34</v>
      </c>
      <c r="BA3375">
        <v>31.94</v>
      </c>
      <c r="BB3375" t="s">
        <v>83</v>
      </c>
    </row>
    <row r="3376" spans="1:54" x14ac:dyDescent="0.4">
      <c r="A3376">
        <v>840372</v>
      </c>
      <c r="D3376" t="s">
        <v>54</v>
      </c>
      <c r="I3376" t="s">
        <v>57</v>
      </c>
      <c r="K3376" t="s">
        <v>1873</v>
      </c>
      <c r="L3376" t="s">
        <v>2815</v>
      </c>
      <c r="M3376" t="s">
        <v>60</v>
      </c>
      <c r="P3376" t="s">
        <v>103</v>
      </c>
      <c r="R3376" t="s">
        <v>104</v>
      </c>
      <c r="S3376" t="s">
        <v>64</v>
      </c>
      <c r="T3376">
        <v>251.2</v>
      </c>
      <c r="U3376">
        <v>246.7</v>
      </c>
      <c r="V3376">
        <f t="shared" si="104"/>
        <v>248.95</v>
      </c>
      <c r="W3376">
        <f t="shared" si="105"/>
        <v>4.5</v>
      </c>
      <c r="X3376">
        <v>55.244446000000003</v>
      </c>
      <c r="Y3376">
        <v>50.808334000000002</v>
      </c>
      <c r="Z3376" t="s">
        <v>1365</v>
      </c>
      <c r="AA3376" t="s">
        <v>239</v>
      </c>
      <c r="AB3376" t="s">
        <v>638</v>
      </c>
      <c r="AC3376" t="s">
        <v>639</v>
      </c>
      <c r="AD3376" t="s">
        <v>1577</v>
      </c>
      <c r="AH3376" t="s">
        <v>72</v>
      </c>
      <c r="AI3376" t="s">
        <v>1937</v>
      </c>
      <c r="AJ3376">
        <v>2003</v>
      </c>
      <c r="AK3376" t="s">
        <v>2812</v>
      </c>
      <c r="AM3376" t="s">
        <v>2813</v>
      </c>
      <c r="AN3376" t="s">
        <v>114</v>
      </c>
      <c r="AO3376" t="s">
        <v>77</v>
      </c>
      <c r="AP3376" t="s">
        <v>78</v>
      </c>
      <c r="AQ3376" t="s">
        <v>2814</v>
      </c>
      <c r="AR3376" t="s">
        <v>80</v>
      </c>
      <c r="AS3376">
        <v>302</v>
      </c>
      <c r="AT3376" t="s">
        <v>81</v>
      </c>
      <c r="AU3376">
        <v>61.23</v>
      </c>
      <c r="AV3376">
        <v>39.159999999999997</v>
      </c>
      <c r="AW3376" t="s">
        <v>82</v>
      </c>
      <c r="AX3376">
        <v>301</v>
      </c>
      <c r="AY3376" t="s">
        <v>81</v>
      </c>
      <c r="AZ3376">
        <v>46.34</v>
      </c>
      <c r="BA3376">
        <v>31.94</v>
      </c>
      <c r="BB3376" t="s">
        <v>83</v>
      </c>
    </row>
    <row r="3377" spans="1:54" x14ac:dyDescent="0.4">
      <c r="A3377">
        <v>840381</v>
      </c>
      <c r="D3377" t="s">
        <v>54</v>
      </c>
      <c r="G3377">
        <v>1</v>
      </c>
      <c r="H3377" t="s">
        <v>421</v>
      </c>
      <c r="I3377" t="s">
        <v>57</v>
      </c>
      <c r="K3377" t="s">
        <v>100</v>
      </c>
      <c r="L3377" t="s">
        <v>2808</v>
      </c>
      <c r="M3377" t="s">
        <v>60</v>
      </c>
      <c r="P3377" t="s">
        <v>103</v>
      </c>
      <c r="R3377" t="s">
        <v>104</v>
      </c>
      <c r="S3377" t="s">
        <v>64</v>
      </c>
      <c r="T3377">
        <v>251.2</v>
      </c>
      <c r="U3377">
        <v>246.7</v>
      </c>
      <c r="V3377">
        <f t="shared" si="104"/>
        <v>248.95</v>
      </c>
      <c r="W3377">
        <f t="shared" si="105"/>
        <v>4.5</v>
      </c>
      <c r="X3377">
        <v>43.673057999999997</v>
      </c>
      <c r="Y3377">
        <v>49.260834000000003</v>
      </c>
      <c r="Z3377" t="s">
        <v>124</v>
      </c>
      <c r="AA3377" t="s">
        <v>239</v>
      </c>
      <c r="AB3377" t="s">
        <v>2816</v>
      </c>
      <c r="AC3377" t="s">
        <v>2817</v>
      </c>
      <c r="AD3377" t="s">
        <v>2818</v>
      </c>
      <c r="AH3377" t="s">
        <v>72</v>
      </c>
      <c r="AI3377" t="s">
        <v>2754</v>
      </c>
      <c r="AJ3377">
        <v>1956</v>
      </c>
      <c r="AK3377" t="s">
        <v>2819</v>
      </c>
      <c r="AM3377" t="s">
        <v>2820</v>
      </c>
      <c r="AN3377" t="s">
        <v>114</v>
      </c>
      <c r="AO3377" t="s">
        <v>77</v>
      </c>
      <c r="AP3377" t="s">
        <v>78</v>
      </c>
      <c r="AQ3377" t="s">
        <v>2821</v>
      </c>
      <c r="AR3377" t="s">
        <v>80</v>
      </c>
      <c r="AS3377">
        <v>302</v>
      </c>
      <c r="AT3377" t="s">
        <v>81</v>
      </c>
      <c r="AU3377">
        <v>53.92</v>
      </c>
      <c r="AV3377">
        <v>34.33</v>
      </c>
      <c r="AW3377" t="s">
        <v>82</v>
      </c>
      <c r="AX3377">
        <v>301</v>
      </c>
      <c r="AY3377" t="s">
        <v>81</v>
      </c>
      <c r="AZ3377">
        <v>41.27</v>
      </c>
      <c r="BA3377">
        <v>25.79</v>
      </c>
      <c r="BB3377" t="s">
        <v>83</v>
      </c>
    </row>
    <row r="3378" spans="1:54" x14ac:dyDescent="0.4">
      <c r="A3378">
        <v>841368</v>
      </c>
      <c r="D3378" t="s">
        <v>54</v>
      </c>
      <c r="G3378">
        <v>1</v>
      </c>
      <c r="H3378" t="s">
        <v>56</v>
      </c>
      <c r="I3378" t="s">
        <v>57</v>
      </c>
      <c r="K3378" t="s">
        <v>100</v>
      </c>
      <c r="L3378" t="s">
        <v>2808</v>
      </c>
      <c r="M3378" t="s">
        <v>60</v>
      </c>
      <c r="P3378" t="s">
        <v>103</v>
      </c>
      <c r="R3378" t="s">
        <v>104</v>
      </c>
      <c r="S3378" t="s">
        <v>64</v>
      </c>
      <c r="T3378">
        <v>251.2</v>
      </c>
      <c r="U3378">
        <v>246.7</v>
      </c>
      <c r="V3378">
        <f t="shared" si="104"/>
        <v>248.95</v>
      </c>
      <c r="W3378">
        <f t="shared" si="105"/>
        <v>4.5</v>
      </c>
      <c r="X3378">
        <v>56.013331999999998</v>
      </c>
      <c r="Y3378">
        <v>75.176108999999997</v>
      </c>
      <c r="Z3378" t="s">
        <v>124</v>
      </c>
      <c r="AA3378" t="s">
        <v>239</v>
      </c>
      <c r="AB3378" t="s">
        <v>1586</v>
      </c>
      <c r="AC3378" t="s">
        <v>2832</v>
      </c>
      <c r="AD3378" t="s">
        <v>2833</v>
      </c>
      <c r="AH3378" t="s">
        <v>72</v>
      </c>
      <c r="AI3378" t="s">
        <v>400</v>
      </c>
      <c r="AJ3378">
        <v>1983</v>
      </c>
      <c r="AK3378" t="s">
        <v>2834</v>
      </c>
      <c r="AM3378" t="s">
        <v>2835</v>
      </c>
      <c r="AN3378" t="s">
        <v>192</v>
      </c>
      <c r="AO3378" t="s">
        <v>77</v>
      </c>
      <c r="AP3378" t="s">
        <v>636</v>
      </c>
      <c r="AQ3378" t="s">
        <v>2836</v>
      </c>
      <c r="AR3378" t="s">
        <v>80</v>
      </c>
      <c r="AS3378">
        <v>302</v>
      </c>
      <c r="AT3378" t="s">
        <v>81</v>
      </c>
      <c r="AU3378">
        <v>38.26</v>
      </c>
      <c r="AV3378">
        <v>58.61</v>
      </c>
      <c r="AW3378" t="s">
        <v>82</v>
      </c>
      <c r="AX3378">
        <v>301</v>
      </c>
      <c r="AY3378" t="s">
        <v>81</v>
      </c>
      <c r="AZ3378">
        <v>21.04</v>
      </c>
      <c r="BA3378">
        <v>46.79</v>
      </c>
      <c r="BB3378" t="s">
        <v>83</v>
      </c>
    </row>
    <row r="3379" spans="1:54" x14ac:dyDescent="0.4">
      <c r="A3379">
        <v>841368</v>
      </c>
      <c r="D3379" t="s">
        <v>54</v>
      </c>
      <c r="G3379">
        <v>1</v>
      </c>
      <c r="H3379" t="s">
        <v>56</v>
      </c>
      <c r="I3379" t="s">
        <v>57</v>
      </c>
      <c r="K3379" t="s">
        <v>100</v>
      </c>
      <c r="L3379" t="s">
        <v>2808</v>
      </c>
      <c r="M3379" t="s">
        <v>60</v>
      </c>
      <c r="P3379" t="s">
        <v>103</v>
      </c>
      <c r="R3379" t="s">
        <v>104</v>
      </c>
      <c r="S3379" t="s">
        <v>64</v>
      </c>
      <c r="T3379">
        <v>251.2</v>
      </c>
      <c r="U3379">
        <v>246.7</v>
      </c>
      <c r="V3379">
        <f t="shared" si="104"/>
        <v>248.95</v>
      </c>
      <c r="W3379">
        <f t="shared" si="105"/>
        <v>4.5</v>
      </c>
      <c r="X3379">
        <v>56.013331999999998</v>
      </c>
      <c r="Y3379">
        <v>75.176108999999997</v>
      </c>
      <c r="Z3379" t="s">
        <v>124</v>
      </c>
      <c r="AA3379" t="s">
        <v>239</v>
      </c>
      <c r="AB3379" t="s">
        <v>1586</v>
      </c>
      <c r="AC3379" t="s">
        <v>2832</v>
      </c>
      <c r="AD3379" t="s">
        <v>2833</v>
      </c>
      <c r="AH3379" t="s">
        <v>72</v>
      </c>
      <c r="AI3379" t="s">
        <v>400</v>
      </c>
      <c r="AJ3379">
        <v>1983</v>
      </c>
      <c r="AK3379" t="s">
        <v>2834</v>
      </c>
      <c r="AM3379" t="s">
        <v>2835</v>
      </c>
      <c r="AN3379" t="s">
        <v>192</v>
      </c>
      <c r="AO3379" t="s">
        <v>77</v>
      </c>
      <c r="AP3379" t="s">
        <v>636</v>
      </c>
      <c r="AQ3379" t="s">
        <v>2836</v>
      </c>
      <c r="AR3379" t="s">
        <v>80</v>
      </c>
      <c r="AS3379">
        <v>302</v>
      </c>
      <c r="AT3379" t="s">
        <v>81</v>
      </c>
      <c r="AU3379">
        <v>38.26</v>
      </c>
      <c r="AV3379">
        <v>58.61</v>
      </c>
      <c r="AW3379" t="s">
        <v>82</v>
      </c>
      <c r="AX3379">
        <v>301</v>
      </c>
      <c r="AY3379" t="s">
        <v>81</v>
      </c>
      <c r="AZ3379">
        <v>21.04</v>
      </c>
      <c r="BA3379">
        <v>46.79</v>
      </c>
      <c r="BB3379" t="s">
        <v>83</v>
      </c>
    </row>
    <row r="3380" spans="1:54" x14ac:dyDescent="0.4">
      <c r="A3380">
        <v>841373</v>
      </c>
      <c r="D3380" t="s">
        <v>54</v>
      </c>
      <c r="G3380">
        <v>1</v>
      </c>
      <c r="H3380" t="s">
        <v>421</v>
      </c>
      <c r="I3380" t="s">
        <v>57</v>
      </c>
      <c r="K3380" t="s">
        <v>100</v>
      </c>
      <c r="L3380" t="s">
        <v>2808</v>
      </c>
      <c r="M3380" t="s">
        <v>60</v>
      </c>
      <c r="P3380" t="s">
        <v>103</v>
      </c>
      <c r="R3380" t="s">
        <v>104</v>
      </c>
      <c r="S3380" t="s">
        <v>64</v>
      </c>
      <c r="T3380">
        <v>251.2</v>
      </c>
      <c r="U3380">
        <v>246.7</v>
      </c>
      <c r="V3380">
        <f t="shared" si="104"/>
        <v>248.95</v>
      </c>
      <c r="W3380">
        <f t="shared" si="105"/>
        <v>4.5</v>
      </c>
      <c r="X3380">
        <v>62.720554</v>
      </c>
      <c r="Y3380">
        <v>68.615829000000005</v>
      </c>
      <c r="Z3380" t="s">
        <v>124</v>
      </c>
      <c r="AA3380" t="s">
        <v>239</v>
      </c>
      <c r="AB3380" t="s">
        <v>1586</v>
      </c>
      <c r="AC3380" t="s">
        <v>2837</v>
      </c>
      <c r="AD3380" t="s">
        <v>2838</v>
      </c>
      <c r="AH3380" t="s">
        <v>72</v>
      </c>
      <c r="AI3380" t="s">
        <v>1864</v>
      </c>
      <c r="AJ3380">
        <v>1991</v>
      </c>
      <c r="AK3380" t="s">
        <v>2839</v>
      </c>
      <c r="AM3380" t="s">
        <v>2840</v>
      </c>
      <c r="AN3380" t="s">
        <v>192</v>
      </c>
      <c r="AO3380" t="s">
        <v>77</v>
      </c>
      <c r="AP3380" t="s">
        <v>115</v>
      </c>
      <c r="AQ3380" t="s">
        <v>2841</v>
      </c>
      <c r="AR3380" t="s">
        <v>80</v>
      </c>
      <c r="AS3380">
        <v>302</v>
      </c>
      <c r="AT3380" t="s">
        <v>81</v>
      </c>
      <c r="AU3380">
        <v>49.68</v>
      </c>
      <c r="AV3380">
        <v>55.62</v>
      </c>
      <c r="AW3380" t="s">
        <v>82</v>
      </c>
      <c r="AX3380">
        <v>301</v>
      </c>
      <c r="AY3380" t="s">
        <v>81</v>
      </c>
      <c r="AZ3380">
        <v>30.83</v>
      </c>
      <c r="BA3380">
        <v>45.59</v>
      </c>
      <c r="BB3380" t="s">
        <v>83</v>
      </c>
    </row>
    <row r="3381" spans="1:54" x14ac:dyDescent="0.4">
      <c r="A3381">
        <v>841374</v>
      </c>
      <c r="D3381" t="s">
        <v>54</v>
      </c>
      <c r="G3381">
        <v>1</v>
      </c>
      <c r="H3381" t="s">
        <v>421</v>
      </c>
      <c r="I3381" t="s">
        <v>57</v>
      </c>
      <c r="K3381" t="s">
        <v>100</v>
      </c>
      <c r="L3381" t="s">
        <v>2808</v>
      </c>
      <c r="M3381" t="s">
        <v>60</v>
      </c>
      <c r="P3381" t="s">
        <v>103</v>
      </c>
      <c r="R3381" t="s">
        <v>104</v>
      </c>
      <c r="S3381" t="s">
        <v>64</v>
      </c>
      <c r="T3381">
        <v>251.2</v>
      </c>
      <c r="U3381">
        <v>246.7</v>
      </c>
      <c r="V3381">
        <f t="shared" si="104"/>
        <v>248.95</v>
      </c>
      <c r="W3381">
        <f t="shared" si="105"/>
        <v>4.5</v>
      </c>
      <c r="X3381">
        <v>62.720554</v>
      </c>
      <c r="Y3381">
        <v>68.615829000000005</v>
      </c>
      <c r="Z3381" t="s">
        <v>124</v>
      </c>
      <c r="AA3381" t="s">
        <v>239</v>
      </c>
      <c r="AB3381" t="s">
        <v>1586</v>
      </c>
      <c r="AC3381" t="s">
        <v>2837</v>
      </c>
      <c r="AD3381" t="s">
        <v>2838</v>
      </c>
      <c r="AH3381" t="s">
        <v>72</v>
      </c>
      <c r="AI3381" t="s">
        <v>1864</v>
      </c>
      <c r="AJ3381">
        <v>1991</v>
      </c>
      <c r="AK3381" t="s">
        <v>2839</v>
      </c>
      <c r="AM3381" t="s">
        <v>2840</v>
      </c>
      <c r="AN3381" t="s">
        <v>192</v>
      </c>
      <c r="AO3381" t="s">
        <v>77</v>
      </c>
      <c r="AP3381" t="s">
        <v>115</v>
      </c>
      <c r="AQ3381" t="s">
        <v>2841</v>
      </c>
      <c r="AR3381" t="s">
        <v>80</v>
      </c>
      <c r="AS3381">
        <v>302</v>
      </c>
      <c r="AT3381" t="s">
        <v>81</v>
      </c>
      <c r="AU3381">
        <v>49.68</v>
      </c>
      <c r="AV3381">
        <v>55.62</v>
      </c>
      <c r="AW3381" t="s">
        <v>82</v>
      </c>
      <c r="AX3381">
        <v>301</v>
      </c>
      <c r="AY3381" t="s">
        <v>81</v>
      </c>
      <c r="AZ3381">
        <v>30.83</v>
      </c>
      <c r="BA3381">
        <v>45.59</v>
      </c>
      <c r="BB3381" t="s">
        <v>83</v>
      </c>
    </row>
    <row r="3382" spans="1:54" x14ac:dyDescent="0.4">
      <c r="A3382">
        <v>841667</v>
      </c>
      <c r="D3382" t="s">
        <v>54</v>
      </c>
      <c r="I3382" t="s">
        <v>57</v>
      </c>
      <c r="K3382" t="s">
        <v>100</v>
      </c>
      <c r="L3382" t="s">
        <v>1576</v>
      </c>
      <c r="M3382" t="s">
        <v>60</v>
      </c>
      <c r="P3382" t="s">
        <v>103</v>
      </c>
      <c r="R3382" t="s">
        <v>104</v>
      </c>
      <c r="S3382" t="s">
        <v>64</v>
      </c>
      <c r="T3382">
        <v>251.2</v>
      </c>
      <c r="U3382">
        <v>246.7</v>
      </c>
      <c r="V3382">
        <f t="shared" si="104"/>
        <v>248.95</v>
      </c>
      <c r="W3382">
        <f t="shared" si="105"/>
        <v>4.5</v>
      </c>
      <c r="X3382">
        <v>55.640835000000003</v>
      </c>
      <c r="Y3382">
        <v>52.027779000000002</v>
      </c>
      <c r="Z3382" t="s">
        <v>432</v>
      </c>
      <c r="AA3382" t="s">
        <v>239</v>
      </c>
      <c r="AB3382" t="s">
        <v>638</v>
      </c>
      <c r="AD3382" t="s">
        <v>1577</v>
      </c>
      <c r="AF3382" t="s">
        <v>1578</v>
      </c>
      <c r="AH3382" t="s">
        <v>72</v>
      </c>
      <c r="AI3382" t="s">
        <v>1937</v>
      </c>
      <c r="AJ3382">
        <v>2003</v>
      </c>
      <c r="AK3382" t="s">
        <v>1580</v>
      </c>
      <c r="AN3382" t="s">
        <v>192</v>
      </c>
      <c r="AO3382" t="s">
        <v>77</v>
      </c>
      <c r="AP3382" t="s">
        <v>359</v>
      </c>
      <c r="AQ3382" t="s">
        <v>1581</v>
      </c>
      <c r="AR3382" t="s">
        <v>80</v>
      </c>
      <c r="AS3382">
        <v>302</v>
      </c>
      <c r="AT3382" t="s">
        <v>81</v>
      </c>
      <c r="AU3382">
        <v>60.71</v>
      </c>
      <c r="AV3382">
        <v>40.33</v>
      </c>
      <c r="AW3382" t="s">
        <v>82</v>
      </c>
      <c r="AX3382">
        <v>301</v>
      </c>
      <c r="AY3382" t="s">
        <v>81</v>
      </c>
      <c r="AZ3382">
        <v>45.5</v>
      </c>
      <c r="BA3382">
        <v>32.97</v>
      </c>
      <c r="BB3382" t="s">
        <v>83</v>
      </c>
    </row>
    <row r="3383" spans="1:54" x14ac:dyDescent="0.4">
      <c r="A3383">
        <v>842017</v>
      </c>
      <c r="D3383" t="s">
        <v>54</v>
      </c>
      <c r="G3383">
        <v>11</v>
      </c>
      <c r="H3383" t="s">
        <v>84</v>
      </c>
      <c r="I3383" t="s">
        <v>57</v>
      </c>
      <c r="K3383" t="s">
        <v>100</v>
      </c>
      <c r="L3383" t="s">
        <v>760</v>
      </c>
      <c r="M3383" t="s">
        <v>60</v>
      </c>
      <c r="P3383" t="s">
        <v>103</v>
      </c>
      <c r="R3383" t="s">
        <v>104</v>
      </c>
      <c r="S3383" t="s">
        <v>64</v>
      </c>
      <c r="T3383">
        <v>251.2</v>
      </c>
      <c r="U3383">
        <v>246.7</v>
      </c>
      <c r="V3383">
        <f t="shared" si="104"/>
        <v>248.95</v>
      </c>
      <c r="W3383">
        <f t="shared" si="105"/>
        <v>4.5</v>
      </c>
      <c r="X3383">
        <v>48.775002000000001</v>
      </c>
      <c r="Y3383">
        <v>64.555556999999993</v>
      </c>
      <c r="Z3383" t="s">
        <v>124</v>
      </c>
      <c r="AA3383" t="s">
        <v>239</v>
      </c>
      <c r="AB3383" t="s">
        <v>1586</v>
      </c>
      <c r="AC3383" t="s">
        <v>2677</v>
      </c>
      <c r="AD3383" t="s">
        <v>2863</v>
      </c>
      <c r="AH3383" t="s">
        <v>72</v>
      </c>
      <c r="AI3383" t="s">
        <v>1864</v>
      </c>
      <c r="AJ3383">
        <v>1991</v>
      </c>
      <c r="AK3383" t="s">
        <v>2864</v>
      </c>
      <c r="AM3383" t="s">
        <v>2865</v>
      </c>
      <c r="AN3383" t="s">
        <v>114</v>
      </c>
      <c r="AO3383" t="s">
        <v>77</v>
      </c>
      <c r="AP3383" t="s">
        <v>359</v>
      </c>
      <c r="AQ3383" t="s">
        <v>2866</v>
      </c>
      <c r="AR3383" t="s">
        <v>80</v>
      </c>
      <c r="AS3383">
        <v>302</v>
      </c>
      <c r="AT3383" t="s">
        <v>81</v>
      </c>
      <c r="AU3383">
        <v>46.96</v>
      </c>
      <c r="AV3383">
        <v>48.98</v>
      </c>
      <c r="AW3383" t="s">
        <v>82</v>
      </c>
      <c r="AX3383">
        <v>301</v>
      </c>
      <c r="AY3383" t="s">
        <v>81</v>
      </c>
      <c r="AZ3383">
        <v>31.08</v>
      </c>
      <c r="BA3383">
        <v>38.75</v>
      </c>
      <c r="BB3383" t="s">
        <v>83</v>
      </c>
    </row>
    <row r="3384" spans="1:54" x14ac:dyDescent="0.4">
      <c r="A3384">
        <v>842020</v>
      </c>
      <c r="D3384" t="s">
        <v>54</v>
      </c>
      <c r="G3384">
        <v>3</v>
      </c>
      <c r="H3384" t="s">
        <v>84</v>
      </c>
      <c r="I3384" t="s">
        <v>57</v>
      </c>
      <c r="K3384" t="s">
        <v>100</v>
      </c>
      <c r="L3384" t="s">
        <v>760</v>
      </c>
      <c r="M3384" t="s">
        <v>60</v>
      </c>
      <c r="P3384" t="s">
        <v>103</v>
      </c>
      <c r="R3384" t="s">
        <v>104</v>
      </c>
      <c r="S3384" t="s">
        <v>64</v>
      </c>
      <c r="T3384">
        <v>251.2</v>
      </c>
      <c r="U3384">
        <v>246.7</v>
      </c>
      <c r="V3384">
        <f t="shared" si="104"/>
        <v>248.95</v>
      </c>
      <c r="W3384">
        <f t="shared" si="105"/>
        <v>4.5</v>
      </c>
      <c r="X3384">
        <v>48.047221999999998</v>
      </c>
      <c r="Y3384">
        <v>64.558334000000002</v>
      </c>
      <c r="Z3384" t="s">
        <v>124</v>
      </c>
      <c r="AA3384" t="s">
        <v>239</v>
      </c>
      <c r="AB3384" t="s">
        <v>1586</v>
      </c>
      <c r="AC3384" t="s">
        <v>2677</v>
      </c>
      <c r="AD3384" t="s">
        <v>2863</v>
      </c>
      <c r="AH3384" t="s">
        <v>72</v>
      </c>
      <c r="AI3384" t="s">
        <v>1864</v>
      </c>
      <c r="AJ3384">
        <v>1991</v>
      </c>
      <c r="AK3384" t="s">
        <v>2867</v>
      </c>
      <c r="AM3384" t="s">
        <v>2868</v>
      </c>
      <c r="AN3384" t="s">
        <v>114</v>
      </c>
      <c r="AO3384" t="s">
        <v>77</v>
      </c>
      <c r="AP3384" t="s">
        <v>115</v>
      </c>
      <c r="AQ3384" t="s">
        <v>2869</v>
      </c>
      <c r="AR3384" t="s">
        <v>80</v>
      </c>
      <c r="AS3384">
        <v>302</v>
      </c>
      <c r="AT3384" t="s">
        <v>81</v>
      </c>
      <c r="AU3384">
        <v>46.56</v>
      </c>
      <c r="AV3384">
        <v>48.81</v>
      </c>
      <c r="AW3384" t="s">
        <v>82</v>
      </c>
      <c r="AX3384">
        <v>301</v>
      </c>
      <c r="AY3384" t="s">
        <v>81</v>
      </c>
      <c r="AZ3384">
        <v>30.82</v>
      </c>
      <c r="BA3384">
        <v>38.51</v>
      </c>
      <c r="BB3384" t="s">
        <v>83</v>
      </c>
    </row>
    <row r="3385" spans="1:54" x14ac:dyDescent="0.4">
      <c r="A3385">
        <v>843124</v>
      </c>
      <c r="D3385" t="s">
        <v>54</v>
      </c>
      <c r="G3385">
        <v>2</v>
      </c>
      <c r="H3385" t="s">
        <v>84</v>
      </c>
      <c r="I3385" t="s">
        <v>57</v>
      </c>
      <c r="K3385" t="s">
        <v>141</v>
      </c>
      <c r="L3385" t="s">
        <v>3040</v>
      </c>
      <c r="M3385" t="s">
        <v>60</v>
      </c>
      <c r="P3385" t="s">
        <v>103</v>
      </c>
      <c r="R3385" t="s">
        <v>104</v>
      </c>
      <c r="S3385" t="s">
        <v>64</v>
      </c>
      <c r="T3385">
        <v>251.2</v>
      </c>
      <c r="U3385">
        <v>246.7</v>
      </c>
      <c r="V3385">
        <f t="shared" si="104"/>
        <v>248.95</v>
      </c>
      <c r="W3385">
        <f t="shared" si="105"/>
        <v>4.5</v>
      </c>
      <c r="X3385">
        <v>43.673057999999997</v>
      </c>
      <c r="Y3385">
        <v>49.260834000000003</v>
      </c>
      <c r="Z3385" t="s">
        <v>124</v>
      </c>
      <c r="AA3385" t="s">
        <v>239</v>
      </c>
      <c r="AB3385" t="s">
        <v>2816</v>
      </c>
      <c r="AC3385" t="s">
        <v>2817</v>
      </c>
      <c r="AD3385" t="s">
        <v>2818</v>
      </c>
      <c r="AH3385" t="s">
        <v>72</v>
      </c>
      <c r="AI3385" t="s">
        <v>3041</v>
      </c>
      <c r="AJ3385">
        <v>2008</v>
      </c>
      <c r="AK3385" t="s">
        <v>2819</v>
      </c>
      <c r="AM3385" t="s">
        <v>2820</v>
      </c>
      <c r="AN3385" t="s">
        <v>114</v>
      </c>
      <c r="AO3385" t="s">
        <v>77</v>
      </c>
      <c r="AP3385" t="s">
        <v>78</v>
      </c>
      <c r="AQ3385" t="s">
        <v>2821</v>
      </c>
      <c r="AR3385" t="s">
        <v>80</v>
      </c>
      <c r="AS3385">
        <v>302</v>
      </c>
      <c r="AT3385" t="s">
        <v>81</v>
      </c>
      <c r="AU3385">
        <v>53.92</v>
      </c>
      <c r="AV3385">
        <v>34.33</v>
      </c>
      <c r="AW3385" t="s">
        <v>82</v>
      </c>
      <c r="AX3385">
        <v>301</v>
      </c>
      <c r="AY3385" t="s">
        <v>81</v>
      </c>
      <c r="AZ3385">
        <v>41.27</v>
      </c>
      <c r="BA3385">
        <v>25.79</v>
      </c>
      <c r="BB3385" t="s">
        <v>83</v>
      </c>
    </row>
    <row r="3386" spans="1:54" x14ac:dyDescent="0.4">
      <c r="A3386">
        <v>843125</v>
      </c>
      <c r="D3386" t="s">
        <v>54</v>
      </c>
      <c r="G3386">
        <v>2</v>
      </c>
      <c r="H3386" t="s">
        <v>84</v>
      </c>
      <c r="I3386" t="s">
        <v>57</v>
      </c>
      <c r="K3386" t="s">
        <v>141</v>
      </c>
      <c r="L3386" t="s">
        <v>3040</v>
      </c>
      <c r="M3386" t="s">
        <v>60</v>
      </c>
      <c r="P3386" t="s">
        <v>103</v>
      </c>
      <c r="R3386" t="s">
        <v>104</v>
      </c>
      <c r="S3386" t="s">
        <v>64</v>
      </c>
      <c r="T3386">
        <v>251.2</v>
      </c>
      <c r="U3386">
        <v>246.7</v>
      </c>
      <c r="V3386">
        <f t="shared" si="104"/>
        <v>248.95</v>
      </c>
      <c r="W3386">
        <f t="shared" si="105"/>
        <v>4.5</v>
      </c>
      <c r="X3386">
        <v>43.673057999999997</v>
      </c>
      <c r="Y3386">
        <v>49.260834000000003</v>
      </c>
      <c r="Z3386" t="s">
        <v>124</v>
      </c>
      <c r="AA3386" t="s">
        <v>239</v>
      </c>
      <c r="AB3386" t="s">
        <v>2816</v>
      </c>
      <c r="AC3386" t="s">
        <v>2817</v>
      </c>
      <c r="AD3386" t="s">
        <v>2818</v>
      </c>
      <c r="AH3386" t="s">
        <v>72</v>
      </c>
      <c r="AI3386" t="s">
        <v>3041</v>
      </c>
      <c r="AJ3386">
        <v>2008</v>
      </c>
      <c r="AK3386" t="s">
        <v>2819</v>
      </c>
      <c r="AM3386" t="s">
        <v>2820</v>
      </c>
      <c r="AN3386" t="s">
        <v>114</v>
      </c>
      <c r="AO3386" t="s">
        <v>77</v>
      </c>
      <c r="AP3386" t="s">
        <v>78</v>
      </c>
      <c r="AQ3386" t="s">
        <v>2821</v>
      </c>
      <c r="AR3386" t="s">
        <v>80</v>
      </c>
      <c r="AS3386">
        <v>302</v>
      </c>
      <c r="AT3386" t="s">
        <v>81</v>
      </c>
      <c r="AU3386">
        <v>53.92</v>
      </c>
      <c r="AV3386">
        <v>34.33</v>
      </c>
      <c r="AW3386" t="s">
        <v>82</v>
      </c>
      <c r="AX3386">
        <v>301</v>
      </c>
      <c r="AY3386" t="s">
        <v>81</v>
      </c>
      <c r="AZ3386">
        <v>41.27</v>
      </c>
      <c r="BA3386">
        <v>25.79</v>
      </c>
      <c r="BB3386" t="s">
        <v>83</v>
      </c>
    </row>
    <row r="3387" spans="1:54" x14ac:dyDescent="0.4">
      <c r="A3387">
        <v>843727</v>
      </c>
      <c r="D3387" t="s">
        <v>54</v>
      </c>
      <c r="F3387" t="s">
        <v>2796</v>
      </c>
      <c r="G3387">
        <v>38</v>
      </c>
      <c r="H3387" t="s">
        <v>421</v>
      </c>
      <c r="I3387" t="s">
        <v>57</v>
      </c>
      <c r="K3387" t="s">
        <v>2801</v>
      </c>
      <c r="L3387" t="s">
        <v>2802</v>
      </c>
      <c r="M3387" t="s">
        <v>60</v>
      </c>
      <c r="N3387" t="s">
        <v>119</v>
      </c>
      <c r="O3387" t="s">
        <v>87</v>
      </c>
      <c r="P3387" t="s">
        <v>103</v>
      </c>
      <c r="R3387" t="s">
        <v>104</v>
      </c>
      <c r="S3387" t="s">
        <v>64</v>
      </c>
      <c r="T3387">
        <v>251.2</v>
      </c>
      <c r="U3387">
        <v>246.7</v>
      </c>
      <c r="V3387">
        <f t="shared" si="104"/>
        <v>248.95</v>
      </c>
      <c r="W3387">
        <f t="shared" si="105"/>
        <v>4.5</v>
      </c>
      <c r="X3387">
        <v>45.174999</v>
      </c>
      <c r="Y3387">
        <v>59.783332999999999</v>
      </c>
      <c r="Z3387" t="s">
        <v>105</v>
      </c>
      <c r="AA3387" t="s">
        <v>239</v>
      </c>
      <c r="AB3387" t="s">
        <v>2702</v>
      </c>
      <c r="AC3387" t="s">
        <v>2797</v>
      </c>
      <c r="AH3387" t="s">
        <v>72</v>
      </c>
      <c r="AI3387" t="s">
        <v>693</v>
      </c>
      <c r="AJ3387">
        <v>1940</v>
      </c>
      <c r="AK3387" t="s">
        <v>2798</v>
      </c>
      <c r="AM3387" t="s">
        <v>2799</v>
      </c>
      <c r="AN3387" t="s">
        <v>114</v>
      </c>
      <c r="AO3387" t="s">
        <v>160</v>
      </c>
      <c r="AP3387" t="s">
        <v>78</v>
      </c>
      <c r="AQ3387" t="s">
        <v>2800</v>
      </c>
      <c r="AR3387" t="s">
        <v>80</v>
      </c>
      <c r="AS3387">
        <v>302</v>
      </c>
      <c r="AT3387" t="s">
        <v>81</v>
      </c>
      <c r="AU3387">
        <v>48.59</v>
      </c>
      <c r="AV3387">
        <v>44.05</v>
      </c>
      <c r="AW3387" t="s">
        <v>82</v>
      </c>
      <c r="AX3387">
        <v>301</v>
      </c>
      <c r="AY3387" t="s">
        <v>81</v>
      </c>
      <c r="AZ3387">
        <v>33.950000000000003</v>
      </c>
      <c r="BA3387">
        <v>34.25</v>
      </c>
      <c r="BB3387" t="s">
        <v>83</v>
      </c>
    </row>
    <row r="3388" spans="1:54" x14ac:dyDescent="0.4">
      <c r="A3388">
        <v>843728</v>
      </c>
      <c r="D3388" t="s">
        <v>54</v>
      </c>
      <c r="F3388" t="s">
        <v>3063</v>
      </c>
      <c r="G3388">
        <v>1</v>
      </c>
      <c r="H3388" t="s">
        <v>421</v>
      </c>
      <c r="I3388" t="s">
        <v>57</v>
      </c>
      <c r="K3388" t="s">
        <v>2801</v>
      </c>
      <c r="L3388" t="s">
        <v>2802</v>
      </c>
      <c r="M3388" t="s">
        <v>60</v>
      </c>
      <c r="N3388" t="s">
        <v>119</v>
      </c>
      <c r="O3388" t="s">
        <v>87</v>
      </c>
      <c r="P3388" t="s">
        <v>103</v>
      </c>
      <c r="R3388" t="s">
        <v>104</v>
      </c>
      <c r="S3388" t="s">
        <v>64</v>
      </c>
      <c r="T3388">
        <v>251.2</v>
      </c>
      <c r="U3388">
        <v>246.7</v>
      </c>
      <c r="V3388">
        <f t="shared" si="104"/>
        <v>248.95</v>
      </c>
      <c r="W3388">
        <f t="shared" si="105"/>
        <v>4.5</v>
      </c>
      <c r="X3388">
        <v>45.5</v>
      </c>
      <c r="Y3388">
        <v>59.716667000000001</v>
      </c>
      <c r="Z3388" t="s">
        <v>124</v>
      </c>
      <c r="AA3388" t="s">
        <v>239</v>
      </c>
      <c r="AB3388" t="s">
        <v>2702</v>
      </c>
      <c r="AC3388" t="s">
        <v>2797</v>
      </c>
      <c r="AH3388" t="s">
        <v>72</v>
      </c>
      <c r="AI3388" t="s">
        <v>612</v>
      </c>
      <c r="AJ3388">
        <v>2008</v>
      </c>
      <c r="AK3388" t="s">
        <v>3064</v>
      </c>
      <c r="AM3388" t="s">
        <v>3065</v>
      </c>
      <c r="AN3388" t="s">
        <v>114</v>
      </c>
      <c r="AO3388" t="s">
        <v>160</v>
      </c>
      <c r="AP3388" t="s">
        <v>115</v>
      </c>
      <c r="AQ3388" t="s">
        <v>3066</v>
      </c>
      <c r="AR3388" t="s">
        <v>80</v>
      </c>
      <c r="AS3388">
        <v>302</v>
      </c>
      <c r="AT3388" t="s">
        <v>81</v>
      </c>
      <c r="AU3388">
        <v>48.84</v>
      </c>
      <c r="AV3388">
        <v>44.08</v>
      </c>
      <c r="AW3388" t="s">
        <v>82</v>
      </c>
      <c r="AX3388">
        <v>301</v>
      </c>
      <c r="AY3388" t="s">
        <v>81</v>
      </c>
      <c r="AZ3388">
        <v>34.15</v>
      </c>
      <c r="BA3388">
        <v>34.31</v>
      </c>
      <c r="BB3388" t="s">
        <v>83</v>
      </c>
    </row>
    <row r="3389" spans="1:54" x14ac:dyDescent="0.4">
      <c r="A3389">
        <v>843729</v>
      </c>
      <c r="D3389" t="s">
        <v>54</v>
      </c>
      <c r="F3389" t="s">
        <v>3063</v>
      </c>
      <c r="G3389">
        <v>1</v>
      </c>
      <c r="H3389" t="s">
        <v>435</v>
      </c>
      <c r="I3389" t="s">
        <v>57</v>
      </c>
      <c r="K3389" t="s">
        <v>141</v>
      </c>
      <c r="L3389" t="s">
        <v>629</v>
      </c>
      <c r="M3389" t="s">
        <v>60</v>
      </c>
      <c r="P3389" t="s">
        <v>103</v>
      </c>
      <c r="R3389" t="s">
        <v>104</v>
      </c>
      <c r="S3389" t="s">
        <v>64</v>
      </c>
      <c r="T3389">
        <v>251.2</v>
      </c>
      <c r="U3389">
        <v>246.7</v>
      </c>
      <c r="V3389">
        <f t="shared" si="104"/>
        <v>248.95</v>
      </c>
      <c r="W3389">
        <f t="shared" si="105"/>
        <v>4.5</v>
      </c>
      <c r="X3389">
        <v>45.5</v>
      </c>
      <c r="Y3389">
        <v>59.716667000000001</v>
      </c>
      <c r="Z3389" t="s">
        <v>124</v>
      </c>
      <c r="AA3389" t="s">
        <v>239</v>
      </c>
      <c r="AB3389" t="s">
        <v>2702</v>
      </c>
      <c r="AC3389" t="s">
        <v>2797</v>
      </c>
      <c r="AH3389" t="s">
        <v>72</v>
      </c>
      <c r="AI3389" t="s">
        <v>612</v>
      </c>
      <c r="AJ3389">
        <v>2008</v>
      </c>
      <c r="AK3389" t="s">
        <v>3064</v>
      </c>
      <c r="AM3389" t="s">
        <v>3065</v>
      </c>
      <c r="AN3389" t="s">
        <v>114</v>
      </c>
      <c r="AO3389" t="s">
        <v>160</v>
      </c>
      <c r="AP3389" t="s">
        <v>115</v>
      </c>
      <c r="AQ3389" t="s">
        <v>3066</v>
      </c>
      <c r="AR3389" t="s">
        <v>80</v>
      </c>
      <c r="AS3389">
        <v>302</v>
      </c>
      <c r="AT3389" t="s">
        <v>81</v>
      </c>
      <c r="AU3389">
        <v>48.84</v>
      </c>
      <c r="AV3389">
        <v>44.08</v>
      </c>
      <c r="AW3389" t="s">
        <v>82</v>
      </c>
      <c r="AX3389">
        <v>301</v>
      </c>
      <c r="AY3389" t="s">
        <v>81</v>
      </c>
      <c r="AZ3389">
        <v>34.15</v>
      </c>
      <c r="BA3389">
        <v>34.31</v>
      </c>
      <c r="BB3389" t="s">
        <v>83</v>
      </c>
    </row>
    <row r="3390" spans="1:54" x14ac:dyDescent="0.4">
      <c r="A3390">
        <v>847011</v>
      </c>
      <c r="D3390" t="s">
        <v>54</v>
      </c>
      <c r="G3390">
        <v>2</v>
      </c>
      <c r="H3390" t="s">
        <v>84</v>
      </c>
      <c r="I3390" t="s">
        <v>57</v>
      </c>
      <c r="K3390" t="s">
        <v>100</v>
      </c>
      <c r="L3390" t="s">
        <v>2808</v>
      </c>
      <c r="M3390" t="s">
        <v>60</v>
      </c>
      <c r="P3390" t="s">
        <v>103</v>
      </c>
      <c r="R3390" t="s">
        <v>104</v>
      </c>
      <c r="S3390" t="s">
        <v>64</v>
      </c>
      <c r="T3390">
        <v>251.2</v>
      </c>
      <c r="U3390">
        <v>246.7</v>
      </c>
      <c r="V3390">
        <f t="shared" si="104"/>
        <v>248.95</v>
      </c>
      <c r="W3390">
        <f t="shared" si="105"/>
        <v>4.5</v>
      </c>
      <c r="X3390">
        <v>49.933334000000002</v>
      </c>
      <c r="Y3390">
        <v>69.283332999999999</v>
      </c>
      <c r="Z3390" t="s">
        <v>124</v>
      </c>
      <c r="AA3390" t="s">
        <v>239</v>
      </c>
      <c r="AB3390" t="s">
        <v>1586</v>
      </c>
      <c r="AC3390" t="s">
        <v>2837</v>
      </c>
      <c r="AD3390" t="s">
        <v>761</v>
      </c>
      <c r="AH3390" t="s">
        <v>72</v>
      </c>
      <c r="AI3390" t="s">
        <v>3098</v>
      </c>
      <c r="AJ3390">
        <v>1992</v>
      </c>
      <c r="AK3390" t="s">
        <v>3099</v>
      </c>
      <c r="AM3390" t="s">
        <v>3100</v>
      </c>
      <c r="AN3390" t="s">
        <v>192</v>
      </c>
      <c r="AO3390" t="s">
        <v>160</v>
      </c>
      <c r="AP3390" t="s">
        <v>115</v>
      </c>
      <c r="AQ3390" t="s">
        <v>3101</v>
      </c>
      <c r="AR3390" t="s">
        <v>80</v>
      </c>
      <c r="AS3390">
        <v>302</v>
      </c>
      <c r="AT3390" t="s">
        <v>81</v>
      </c>
      <c r="AU3390">
        <v>43.07</v>
      </c>
      <c r="AV3390">
        <v>53.06</v>
      </c>
      <c r="AW3390" t="s">
        <v>82</v>
      </c>
      <c r="AX3390">
        <v>301</v>
      </c>
      <c r="AY3390" t="s">
        <v>81</v>
      </c>
      <c r="AZ3390">
        <v>26.63</v>
      </c>
      <c r="BA3390">
        <v>42.08</v>
      </c>
      <c r="BB3390" t="s">
        <v>83</v>
      </c>
    </row>
    <row r="3391" spans="1:54" x14ac:dyDescent="0.4">
      <c r="A3391">
        <v>847020</v>
      </c>
      <c r="D3391" t="s">
        <v>54</v>
      </c>
      <c r="G3391">
        <v>1</v>
      </c>
      <c r="H3391" t="s">
        <v>421</v>
      </c>
      <c r="I3391" t="s">
        <v>57</v>
      </c>
      <c r="K3391" t="s">
        <v>141</v>
      </c>
      <c r="L3391" t="s">
        <v>3102</v>
      </c>
      <c r="M3391" t="s">
        <v>60</v>
      </c>
      <c r="P3391" t="s">
        <v>103</v>
      </c>
      <c r="R3391" t="s">
        <v>104</v>
      </c>
      <c r="S3391" t="s">
        <v>64</v>
      </c>
      <c r="T3391">
        <v>251.2</v>
      </c>
      <c r="U3391">
        <v>246.7</v>
      </c>
      <c r="V3391">
        <f t="shared" si="104"/>
        <v>248.95</v>
      </c>
      <c r="W3391">
        <f t="shared" si="105"/>
        <v>4.5</v>
      </c>
      <c r="X3391">
        <v>49.933334000000002</v>
      </c>
      <c r="Y3391">
        <v>69.283332999999999</v>
      </c>
      <c r="Z3391" t="s">
        <v>124</v>
      </c>
      <c r="AA3391" t="s">
        <v>239</v>
      </c>
      <c r="AB3391" t="s">
        <v>1586</v>
      </c>
      <c r="AC3391" t="s">
        <v>2837</v>
      </c>
      <c r="AD3391" t="s">
        <v>761</v>
      </c>
      <c r="AH3391" t="s">
        <v>11</v>
      </c>
      <c r="AI3391" t="s">
        <v>3098</v>
      </c>
      <c r="AJ3391">
        <v>1992</v>
      </c>
      <c r="AK3391" t="s">
        <v>3103</v>
      </c>
      <c r="AM3391" t="s">
        <v>3104</v>
      </c>
      <c r="AN3391" t="s">
        <v>192</v>
      </c>
      <c r="AO3391" t="s">
        <v>160</v>
      </c>
      <c r="AP3391" t="s">
        <v>115</v>
      </c>
      <c r="AQ3391" t="s">
        <v>3105</v>
      </c>
      <c r="AR3391" t="s">
        <v>80</v>
      </c>
      <c r="AS3391">
        <v>302</v>
      </c>
      <c r="AT3391" t="s">
        <v>81</v>
      </c>
      <c r="AU3391">
        <v>43.07</v>
      </c>
      <c r="AV3391">
        <v>53.06</v>
      </c>
      <c r="AW3391" t="s">
        <v>82</v>
      </c>
      <c r="AX3391">
        <v>301</v>
      </c>
      <c r="AY3391" t="s">
        <v>81</v>
      </c>
      <c r="AZ3391">
        <v>26.63</v>
      </c>
      <c r="BA3391">
        <v>42.08</v>
      </c>
      <c r="BB3391" t="s">
        <v>83</v>
      </c>
    </row>
    <row r="3392" spans="1:54" x14ac:dyDescent="0.4">
      <c r="A3392">
        <v>847023</v>
      </c>
      <c r="D3392" t="s">
        <v>54</v>
      </c>
      <c r="G3392">
        <v>1</v>
      </c>
      <c r="H3392" t="s">
        <v>421</v>
      </c>
      <c r="I3392" t="s">
        <v>57</v>
      </c>
      <c r="K3392" t="s">
        <v>100</v>
      </c>
      <c r="L3392" t="s">
        <v>2808</v>
      </c>
      <c r="M3392" t="s">
        <v>60</v>
      </c>
      <c r="P3392" t="s">
        <v>103</v>
      </c>
      <c r="R3392" t="s">
        <v>104</v>
      </c>
      <c r="S3392" t="s">
        <v>64</v>
      </c>
      <c r="T3392">
        <v>251.2</v>
      </c>
      <c r="U3392">
        <v>246.7</v>
      </c>
      <c r="V3392">
        <f t="shared" si="104"/>
        <v>248.95</v>
      </c>
      <c r="W3392">
        <f t="shared" si="105"/>
        <v>4.5</v>
      </c>
      <c r="X3392">
        <v>49.933334000000002</v>
      </c>
      <c r="Y3392">
        <v>69.283332999999999</v>
      </c>
      <c r="Z3392" t="s">
        <v>124</v>
      </c>
      <c r="AA3392" t="s">
        <v>239</v>
      </c>
      <c r="AB3392" t="s">
        <v>1586</v>
      </c>
      <c r="AC3392" t="s">
        <v>2837</v>
      </c>
      <c r="AD3392" t="s">
        <v>761</v>
      </c>
      <c r="AH3392" t="s">
        <v>11</v>
      </c>
      <c r="AI3392" t="s">
        <v>3098</v>
      </c>
      <c r="AJ3392">
        <v>1992</v>
      </c>
      <c r="AK3392" t="s">
        <v>3103</v>
      </c>
      <c r="AM3392" t="s">
        <v>3104</v>
      </c>
      <c r="AN3392" t="s">
        <v>192</v>
      </c>
      <c r="AO3392" t="s">
        <v>160</v>
      </c>
      <c r="AP3392" t="s">
        <v>115</v>
      </c>
      <c r="AQ3392" t="s">
        <v>3105</v>
      </c>
      <c r="AR3392" t="s">
        <v>80</v>
      </c>
      <c r="AS3392">
        <v>302</v>
      </c>
      <c r="AT3392" t="s">
        <v>81</v>
      </c>
      <c r="AU3392">
        <v>43.07</v>
      </c>
      <c r="AV3392">
        <v>53.06</v>
      </c>
      <c r="AW3392" t="s">
        <v>82</v>
      </c>
      <c r="AX3392">
        <v>301</v>
      </c>
      <c r="AY3392" t="s">
        <v>81</v>
      </c>
      <c r="AZ3392">
        <v>26.63</v>
      </c>
      <c r="BA3392">
        <v>42.08</v>
      </c>
      <c r="BB3392" t="s">
        <v>83</v>
      </c>
    </row>
    <row r="3393" spans="1:54" x14ac:dyDescent="0.4">
      <c r="A3393">
        <v>847025</v>
      </c>
      <c r="D3393" t="s">
        <v>54</v>
      </c>
      <c r="G3393">
        <v>1</v>
      </c>
      <c r="H3393" t="s">
        <v>56</v>
      </c>
      <c r="I3393" t="s">
        <v>57</v>
      </c>
      <c r="K3393" t="s">
        <v>141</v>
      </c>
      <c r="L3393" t="s">
        <v>3102</v>
      </c>
      <c r="M3393" t="s">
        <v>60</v>
      </c>
      <c r="P3393" t="s">
        <v>103</v>
      </c>
      <c r="R3393" t="s">
        <v>104</v>
      </c>
      <c r="S3393" t="s">
        <v>64</v>
      </c>
      <c r="T3393">
        <v>251.2</v>
      </c>
      <c r="U3393">
        <v>246.7</v>
      </c>
      <c r="V3393">
        <f t="shared" si="104"/>
        <v>248.95</v>
      </c>
      <c r="W3393">
        <f t="shared" si="105"/>
        <v>4.5</v>
      </c>
      <c r="X3393">
        <v>49.933334000000002</v>
      </c>
      <c r="Y3393">
        <v>69.283332999999999</v>
      </c>
      <c r="Z3393" t="s">
        <v>124</v>
      </c>
      <c r="AA3393" t="s">
        <v>239</v>
      </c>
      <c r="AB3393" t="s">
        <v>1586</v>
      </c>
      <c r="AC3393" t="s">
        <v>2837</v>
      </c>
      <c r="AD3393" t="s">
        <v>761</v>
      </c>
      <c r="AH3393" t="s">
        <v>72</v>
      </c>
      <c r="AI3393" t="s">
        <v>3106</v>
      </c>
      <c r="AJ3393">
        <v>1978</v>
      </c>
      <c r="AK3393" t="s">
        <v>3107</v>
      </c>
      <c r="AM3393" t="s">
        <v>3108</v>
      </c>
      <c r="AN3393" t="s">
        <v>192</v>
      </c>
      <c r="AO3393" t="s">
        <v>160</v>
      </c>
      <c r="AP3393" t="s">
        <v>115</v>
      </c>
      <c r="AQ3393" t="s">
        <v>3105</v>
      </c>
      <c r="AR3393" t="s">
        <v>80</v>
      </c>
      <c r="AS3393">
        <v>302</v>
      </c>
      <c r="AT3393" t="s">
        <v>81</v>
      </c>
      <c r="AU3393">
        <v>43.07</v>
      </c>
      <c r="AV3393">
        <v>53.06</v>
      </c>
      <c r="AW3393" t="s">
        <v>82</v>
      </c>
      <c r="AX3393">
        <v>301</v>
      </c>
      <c r="AY3393" t="s">
        <v>81</v>
      </c>
      <c r="AZ3393">
        <v>26.63</v>
      </c>
      <c r="BA3393">
        <v>42.08</v>
      </c>
      <c r="BB3393" t="s">
        <v>83</v>
      </c>
    </row>
    <row r="3394" spans="1:54" x14ac:dyDescent="0.4">
      <c r="A3394">
        <v>848404</v>
      </c>
      <c r="D3394" t="s">
        <v>54</v>
      </c>
      <c r="G3394">
        <v>1</v>
      </c>
      <c r="H3394" t="s">
        <v>421</v>
      </c>
      <c r="I3394" t="s">
        <v>57</v>
      </c>
      <c r="K3394" t="s">
        <v>100</v>
      </c>
      <c r="L3394" t="s">
        <v>2752</v>
      </c>
      <c r="M3394" t="s">
        <v>60</v>
      </c>
      <c r="P3394" t="s">
        <v>103</v>
      </c>
      <c r="R3394" t="s">
        <v>104</v>
      </c>
      <c r="S3394" t="s">
        <v>64</v>
      </c>
      <c r="T3394">
        <v>251.2</v>
      </c>
      <c r="U3394">
        <v>246.7</v>
      </c>
      <c r="V3394">
        <f t="shared" si="104"/>
        <v>248.95</v>
      </c>
      <c r="W3394">
        <f t="shared" si="105"/>
        <v>4.5</v>
      </c>
      <c r="X3394">
        <v>55.275002000000001</v>
      </c>
      <c r="Y3394">
        <v>51.387501</v>
      </c>
      <c r="Z3394" t="s">
        <v>432</v>
      </c>
      <c r="AA3394" t="s">
        <v>239</v>
      </c>
      <c r="AB3394" t="s">
        <v>638</v>
      </c>
      <c r="AC3394" t="s">
        <v>2791</v>
      </c>
      <c r="AD3394" t="s">
        <v>1577</v>
      </c>
      <c r="AH3394" t="s">
        <v>72</v>
      </c>
      <c r="AI3394" t="s">
        <v>1864</v>
      </c>
      <c r="AJ3394">
        <v>1991</v>
      </c>
      <c r="AK3394" t="s">
        <v>3121</v>
      </c>
      <c r="AM3394" t="s">
        <v>3122</v>
      </c>
      <c r="AN3394" t="s">
        <v>114</v>
      </c>
      <c r="AO3394" t="s">
        <v>77</v>
      </c>
      <c r="AP3394" t="s">
        <v>115</v>
      </c>
      <c r="AQ3394" t="s">
        <v>3123</v>
      </c>
      <c r="AR3394" t="s">
        <v>80</v>
      </c>
      <c r="AS3394">
        <v>302</v>
      </c>
      <c r="AT3394" t="s">
        <v>81</v>
      </c>
      <c r="AU3394">
        <v>60.87</v>
      </c>
      <c r="AV3394">
        <v>39.67</v>
      </c>
      <c r="AW3394" t="s">
        <v>82</v>
      </c>
      <c r="AX3394">
        <v>301</v>
      </c>
      <c r="AY3394" t="s">
        <v>81</v>
      </c>
      <c r="AZ3394">
        <v>45.87</v>
      </c>
      <c r="BA3394">
        <v>32.36</v>
      </c>
      <c r="BB3394" t="s">
        <v>83</v>
      </c>
    </row>
    <row r="3395" spans="1:54" x14ac:dyDescent="0.4">
      <c r="A3395">
        <v>883958</v>
      </c>
      <c r="D3395" t="s">
        <v>54</v>
      </c>
      <c r="G3395">
        <v>1</v>
      </c>
      <c r="H3395" t="s">
        <v>56</v>
      </c>
      <c r="I3395" t="s">
        <v>57</v>
      </c>
      <c r="K3395" t="s">
        <v>141</v>
      </c>
      <c r="L3395" t="s">
        <v>3332</v>
      </c>
      <c r="M3395" t="s">
        <v>223</v>
      </c>
      <c r="P3395" t="s">
        <v>103</v>
      </c>
      <c r="R3395" t="s">
        <v>104</v>
      </c>
      <c r="S3395" t="s">
        <v>64</v>
      </c>
      <c r="T3395">
        <v>251.2</v>
      </c>
      <c r="U3395">
        <v>246.7</v>
      </c>
      <c r="V3395">
        <f t="shared" ref="V3395:V3458" si="106">(T3395+U3395)/2</f>
        <v>248.95</v>
      </c>
      <c r="W3395">
        <f t="shared" ref="W3395:W3458" si="107">T3395-U3395</f>
        <v>4.5</v>
      </c>
      <c r="X3395">
        <v>108.26667</v>
      </c>
      <c r="Y3395">
        <v>23.166668000000001</v>
      </c>
      <c r="Z3395" t="s">
        <v>520</v>
      </c>
      <c r="AA3395" t="s">
        <v>379</v>
      </c>
      <c r="AB3395" t="s">
        <v>3333</v>
      </c>
      <c r="AD3395" t="s">
        <v>3334</v>
      </c>
      <c r="AH3395" t="s">
        <v>72</v>
      </c>
      <c r="AI3395" t="s">
        <v>2013</v>
      </c>
      <c r="AJ3395">
        <v>1999</v>
      </c>
      <c r="AK3395" t="s">
        <v>3335</v>
      </c>
      <c r="AN3395" t="s">
        <v>192</v>
      </c>
      <c r="AO3395" t="s">
        <v>160</v>
      </c>
      <c r="AP3395" t="s">
        <v>359</v>
      </c>
      <c r="AQ3395" t="s">
        <v>3336</v>
      </c>
      <c r="AR3395" t="s">
        <v>80</v>
      </c>
      <c r="AS3395">
        <v>611</v>
      </c>
      <c r="AT3395" t="s">
        <v>81</v>
      </c>
      <c r="AU3395">
        <v>109.9</v>
      </c>
      <c r="AV3395">
        <v>-14.88</v>
      </c>
      <c r="AW3395" t="s">
        <v>82</v>
      </c>
      <c r="AX3395">
        <v>611</v>
      </c>
      <c r="AY3395" t="s">
        <v>81</v>
      </c>
      <c r="AZ3395">
        <v>100.16</v>
      </c>
      <c r="BA3395">
        <v>7.44</v>
      </c>
      <c r="BB3395" t="s">
        <v>83</v>
      </c>
    </row>
    <row r="3396" spans="1:54" x14ac:dyDescent="0.4">
      <c r="A3396">
        <v>883958</v>
      </c>
      <c r="D3396" t="s">
        <v>54</v>
      </c>
      <c r="G3396">
        <v>1</v>
      </c>
      <c r="H3396" t="s">
        <v>56</v>
      </c>
      <c r="I3396" t="s">
        <v>57</v>
      </c>
      <c r="K3396" t="s">
        <v>141</v>
      </c>
      <c r="L3396" t="s">
        <v>3332</v>
      </c>
      <c r="M3396" t="s">
        <v>223</v>
      </c>
      <c r="P3396" t="s">
        <v>103</v>
      </c>
      <c r="R3396" t="s">
        <v>104</v>
      </c>
      <c r="S3396" t="s">
        <v>64</v>
      </c>
      <c r="T3396">
        <v>251.2</v>
      </c>
      <c r="U3396">
        <v>246.7</v>
      </c>
      <c r="V3396">
        <f t="shared" si="106"/>
        <v>248.95</v>
      </c>
      <c r="W3396">
        <f t="shared" si="107"/>
        <v>4.5</v>
      </c>
      <c r="X3396">
        <v>108.26667</v>
      </c>
      <c r="Y3396">
        <v>23.166668000000001</v>
      </c>
      <c r="Z3396" t="s">
        <v>520</v>
      </c>
      <c r="AA3396" t="s">
        <v>379</v>
      </c>
      <c r="AB3396" t="s">
        <v>3333</v>
      </c>
      <c r="AD3396" t="s">
        <v>3334</v>
      </c>
      <c r="AH3396" t="s">
        <v>72</v>
      </c>
      <c r="AI3396" t="s">
        <v>2013</v>
      </c>
      <c r="AJ3396">
        <v>1999</v>
      </c>
      <c r="AK3396" t="s">
        <v>3335</v>
      </c>
      <c r="AN3396" t="s">
        <v>192</v>
      </c>
      <c r="AO3396" t="s">
        <v>160</v>
      </c>
      <c r="AP3396" t="s">
        <v>359</v>
      </c>
      <c r="AQ3396" t="s">
        <v>3336</v>
      </c>
      <c r="AR3396" t="s">
        <v>80</v>
      </c>
      <c r="AS3396">
        <v>611</v>
      </c>
      <c r="AT3396" t="s">
        <v>81</v>
      </c>
      <c r="AU3396">
        <v>109.9</v>
      </c>
      <c r="AV3396">
        <v>-14.88</v>
      </c>
      <c r="AW3396" t="s">
        <v>82</v>
      </c>
      <c r="AX3396">
        <v>611</v>
      </c>
      <c r="AY3396" t="s">
        <v>81</v>
      </c>
      <c r="AZ3396">
        <v>100.16</v>
      </c>
      <c r="BA3396">
        <v>7.44</v>
      </c>
      <c r="BB3396" t="s">
        <v>83</v>
      </c>
    </row>
    <row r="3397" spans="1:54" x14ac:dyDescent="0.4">
      <c r="A3397">
        <v>884084</v>
      </c>
      <c r="D3397" t="s">
        <v>54</v>
      </c>
      <c r="F3397" t="s">
        <v>600</v>
      </c>
      <c r="G3397">
        <v>1</v>
      </c>
      <c r="H3397" t="s">
        <v>56</v>
      </c>
      <c r="I3397" t="s">
        <v>57</v>
      </c>
      <c r="K3397" t="s">
        <v>221</v>
      </c>
      <c r="L3397" t="s">
        <v>3337</v>
      </c>
      <c r="M3397" t="s">
        <v>223</v>
      </c>
      <c r="P3397" t="s">
        <v>103</v>
      </c>
      <c r="R3397" t="s">
        <v>104</v>
      </c>
      <c r="S3397" t="s">
        <v>64</v>
      </c>
      <c r="T3397">
        <v>251.2</v>
      </c>
      <c r="U3397">
        <v>246.7</v>
      </c>
      <c r="V3397">
        <f t="shared" si="106"/>
        <v>248.95</v>
      </c>
      <c r="W3397">
        <f t="shared" si="107"/>
        <v>4.5</v>
      </c>
      <c r="X3397">
        <v>115.849998</v>
      </c>
      <c r="Y3397">
        <v>28.683332</v>
      </c>
      <c r="Z3397" t="s">
        <v>520</v>
      </c>
      <c r="AA3397" t="s">
        <v>379</v>
      </c>
      <c r="AB3397" t="s">
        <v>3338</v>
      </c>
      <c r="AD3397" t="s">
        <v>3339</v>
      </c>
      <c r="AH3397" t="s">
        <v>72</v>
      </c>
      <c r="AI3397" t="s">
        <v>2013</v>
      </c>
      <c r="AJ3397">
        <v>1998</v>
      </c>
      <c r="AK3397" t="s">
        <v>3340</v>
      </c>
      <c r="AM3397" t="s">
        <v>3341</v>
      </c>
      <c r="AN3397" t="s">
        <v>192</v>
      </c>
      <c r="AO3397" t="s">
        <v>160</v>
      </c>
      <c r="AP3397" t="s">
        <v>359</v>
      </c>
      <c r="AQ3397" t="s">
        <v>3342</v>
      </c>
      <c r="AR3397" t="s">
        <v>80</v>
      </c>
      <c r="AS3397">
        <v>611</v>
      </c>
      <c r="AT3397" t="s">
        <v>81</v>
      </c>
      <c r="AU3397">
        <v>115.86</v>
      </c>
      <c r="AV3397">
        <v>-8.34</v>
      </c>
      <c r="AW3397" t="s">
        <v>82</v>
      </c>
      <c r="AX3397">
        <v>611</v>
      </c>
      <c r="AY3397" t="s">
        <v>81</v>
      </c>
      <c r="AZ3397">
        <v>102.46</v>
      </c>
      <c r="BA3397">
        <v>15.92</v>
      </c>
      <c r="BB3397" t="s">
        <v>83</v>
      </c>
    </row>
    <row r="3398" spans="1:54" x14ac:dyDescent="0.4">
      <c r="A3398">
        <v>890991</v>
      </c>
      <c r="D3398" t="s">
        <v>54</v>
      </c>
      <c r="F3398" t="s">
        <v>600</v>
      </c>
      <c r="I3398" t="s">
        <v>57</v>
      </c>
      <c r="K3398" t="s">
        <v>1873</v>
      </c>
      <c r="L3398" t="s">
        <v>2815</v>
      </c>
      <c r="M3398" t="s">
        <v>60</v>
      </c>
      <c r="P3398" t="s">
        <v>103</v>
      </c>
      <c r="R3398" t="s">
        <v>104</v>
      </c>
      <c r="S3398" t="s">
        <v>64</v>
      </c>
      <c r="T3398">
        <v>251.2</v>
      </c>
      <c r="U3398">
        <v>246.7</v>
      </c>
      <c r="V3398">
        <f t="shared" si="106"/>
        <v>248.95</v>
      </c>
      <c r="W3398">
        <f t="shared" si="107"/>
        <v>4.5</v>
      </c>
      <c r="X3398">
        <v>55.083331999999999</v>
      </c>
      <c r="Y3398">
        <v>51.75</v>
      </c>
      <c r="Z3398" t="s">
        <v>124</v>
      </c>
      <c r="AA3398" t="s">
        <v>239</v>
      </c>
      <c r="AB3398" t="s">
        <v>638</v>
      </c>
      <c r="AC3398" t="s">
        <v>3358</v>
      </c>
      <c r="AD3398" t="s">
        <v>1577</v>
      </c>
      <c r="AH3398" t="s">
        <v>72</v>
      </c>
      <c r="AI3398" t="s">
        <v>693</v>
      </c>
      <c r="AJ3398">
        <v>1960</v>
      </c>
      <c r="AK3398" t="s">
        <v>3359</v>
      </c>
      <c r="AM3398" t="s">
        <v>3360</v>
      </c>
      <c r="AN3398" t="s">
        <v>114</v>
      </c>
      <c r="AO3398" t="s">
        <v>160</v>
      </c>
      <c r="AP3398" t="s">
        <v>115</v>
      </c>
      <c r="AQ3398" t="s">
        <v>3361</v>
      </c>
      <c r="AR3398" t="s">
        <v>80</v>
      </c>
      <c r="AS3398">
        <v>302</v>
      </c>
      <c r="AT3398" t="s">
        <v>81</v>
      </c>
      <c r="AU3398">
        <v>60.5</v>
      </c>
      <c r="AV3398">
        <v>39.92</v>
      </c>
      <c r="AW3398" t="s">
        <v>82</v>
      </c>
      <c r="AX3398">
        <v>301</v>
      </c>
      <c r="AY3398" t="s">
        <v>81</v>
      </c>
      <c r="AZ3398">
        <v>45.46</v>
      </c>
      <c r="BA3398">
        <v>32.53</v>
      </c>
      <c r="BB3398" t="s">
        <v>83</v>
      </c>
    </row>
    <row r="3399" spans="1:54" x14ac:dyDescent="0.4">
      <c r="A3399">
        <v>899636</v>
      </c>
      <c r="D3399" t="s">
        <v>2001</v>
      </c>
      <c r="E3399" t="s">
        <v>152</v>
      </c>
      <c r="G3399">
        <v>1</v>
      </c>
      <c r="H3399" t="s">
        <v>56</v>
      </c>
      <c r="I3399" t="s">
        <v>57</v>
      </c>
      <c r="K3399" t="s">
        <v>3362</v>
      </c>
      <c r="L3399" t="s">
        <v>3363</v>
      </c>
      <c r="M3399" t="s">
        <v>223</v>
      </c>
      <c r="P3399" t="s">
        <v>103</v>
      </c>
      <c r="R3399" t="s">
        <v>104</v>
      </c>
      <c r="S3399" t="s">
        <v>64</v>
      </c>
      <c r="T3399">
        <v>251.2</v>
      </c>
      <c r="U3399">
        <v>246.7</v>
      </c>
      <c r="V3399">
        <f t="shared" si="106"/>
        <v>248.95</v>
      </c>
      <c r="W3399">
        <f t="shared" si="107"/>
        <v>4.5</v>
      </c>
      <c r="X3399">
        <v>111.633331</v>
      </c>
      <c r="Y3399">
        <v>31.049999</v>
      </c>
      <c r="Z3399" t="s">
        <v>1596</v>
      </c>
      <c r="AA3399" t="s">
        <v>379</v>
      </c>
      <c r="AB3399" t="s">
        <v>3239</v>
      </c>
      <c r="AC3399" t="s">
        <v>3432</v>
      </c>
      <c r="AD3399" t="s">
        <v>3339</v>
      </c>
      <c r="AF3399" t="s">
        <v>3433</v>
      </c>
      <c r="AH3399" t="s">
        <v>72</v>
      </c>
      <c r="AI3399" t="s">
        <v>683</v>
      </c>
      <c r="AJ3399">
        <v>1965</v>
      </c>
      <c r="AK3399" t="s">
        <v>3434</v>
      </c>
      <c r="AM3399" t="s">
        <v>3435</v>
      </c>
      <c r="AN3399" t="s">
        <v>192</v>
      </c>
      <c r="AO3399" t="s">
        <v>160</v>
      </c>
      <c r="AP3399" t="s">
        <v>115</v>
      </c>
      <c r="AR3399" t="s">
        <v>80</v>
      </c>
      <c r="AS3399">
        <v>611</v>
      </c>
      <c r="AT3399" t="s">
        <v>81</v>
      </c>
      <c r="AU3399">
        <v>113.7</v>
      </c>
      <c r="AV3399">
        <v>-3.05</v>
      </c>
      <c r="AW3399" t="s">
        <v>82</v>
      </c>
      <c r="AX3399">
        <v>611</v>
      </c>
      <c r="AY3399" t="s">
        <v>81</v>
      </c>
      <c r="AZ3399">
        <v>96.74</v>
      </c>
      <c r="BA3399">
        <v>22.44</v>
      </c>
      <c r="BB3399" t="s">
        <v>83</v>
      </c>
    </row>
    <row r="3400" spans="1:54" x14ac:dyDescent="0.4">
      <c r="A3400">
        <v>929821</v>
      </c>
      <c r="D3400" t="s">
        <v>54</v>
      </c>
      <c r="G3400">
        <v>60</v>
      </c>
      <c r="H3400" t="s">
        <v>421</v>
      </c>
      <c r="I3400" t="s">
        <v>57</v>
      </c>
      <c r="K3400" t="s">
        <v>746</v>
      </c>
      <c r="L3400" t="s">
        <v>3755</v>
      </c>
      <c r="M3400" t="s">
        <v>60</v>
      </c>
      <c r="P3400" t="s">
        <v>103</v>
      </c>
      <c r="R3400" t="s">
        <v>104</v>
      </c>
      <c r="S3400" t="s">
        <v>64</v>
      </c>
      <c r="T3400">
        <v>251.2</v>
      </c>
      <c r="U3400">
        <v>246.7</v>
      </c>
      <c r="V3400">
        <f t="shared" si="106"/>
        <v>248.95</v>
      </c>
      <c r="W3400">
        <f t="shared" si="107"/>
        <v>4.5</v>
      </c>
      <c r="X3400">
        <v>43.673057999999997</v>
      </c>
      <c r="Y3400">
        <v>49.260834000000003</v>
      </c>
      <c r="Z3400" t="s">
        <v>124</v>
      </c>
      <c r="AA3400" t="s">
        <v>239</v>
      </c>
      <c r="AB3400" t="s">
        <v>2816</v>
      </c>
      <c r="AC3400" t="s">
        <v>2817</v>
      </c>
      <c r="AD3400" t="s">
        <v>2818</v>
      </c>
      <c r="AH3400" t="s">
        <v>72</v>
      </c>
      <c r="AI3400" t="s">
        <v>612</v>
      </c>
      <c r="AJ3400">
        <v>2011</v>
      </c>
      <c r="AK3400" t="s">
        <v>2819</v>
      </c>
      <c r="AM3400" t="s">
        <v>2820</v>
      </c>
      <c r="AN3400" t="s">
        <v>114</v>
      </c>
      <c r="AO3400" t="s">
        <v>77</v>
      </c>
      <c r="AP3400" t="s">
        <v>78</v>
      </c>
      <c r="AQ3400" t="s">
        <v>2821</v>
      </c>
      <c r="AR3400" t="s">
        <v>80</v>
      </c>
      <c r="AS3400">
        <v>302</v>
      </c>
      <c r="AT3400" t="s">
        <v>81</v>
      </c>
      <c r="AU3400">
        <v>53.92</v>
      </c>
      <c r="AV3400">
        <v>34.33</v>
      </c>
      <c r="AW3400" t="s">
        <v>82</v>
      </c>
      <c r="AX3400">
        <v>301</v>
      </c>
      <c r="AY3400" t="s">
        <v>81</v>
      </c>
      <c r="AZ3400">
        <v>41.27</v>
      </c>
      <c r="BA3400">
        <v>25.79</v>
      </c>
      <c r="BB3400" t="s">
        <v>83</v>
      </c>
    </row>
    <row r="3401" spans="1:54" x14ac:dyDescent="0.4">
      <c r="A3401">
        <v>929822</v>
      </c>
      <c r="D3401" t="s">
        <v>54</v>
      </c>
      <c r="G3401">
        <v>1</v>
      </c>
      <c r="H3401" t="s">
        <v>421</v>
      </c>
      <c r="I3401" t="s">
        <v>57</v>
      </c>
      <c r="K3401" t="s">
        <v>746</v>
      </c>
      <c r="L3401" t="s">
        <v>3755</v>
      </c>
      <c r="M3401" t="s">
        <v>60</v>
      </c>
      <c r="P3401" t="s">
        <v>103</v>
      </c>
      <c r="R3401" t="s">
        <v>104</v>
      </c>
      <c r="S3401" t="s">
        <v>64</v>
      </c>
      <c r="T3401">
        <v>251.2</v>
      </c>
      <c r="U3401">
        <v>246.7</v>
      </c>
      <c r="V3401">
        <f t="shared" si="106"/>
        <v>248.95</v>
      </c>
      <c r="W3401">
        <f t="shared" si="107"/>
        <v>4.5</v>
      </c>
      <c r="X3401">
        <v>62.720554</v>
      </c>
      <c r="Y3401">
        <v>68.615829000000005</v>
      </c>
      <c r="Z3401" t="s">
        <v>124</v>
      </c>
      <c r="AA3401" t="s">
        <v>239</v>
      </c>
      <c r="AB3401" t="s">
        <v>1586</v>
      </c>
      <c r="AC3401" t="s">
        <v>2837</v>
      </c>
      <c r="AD3401" t="s">
        <v>2838</v>
      </c>
      <c r="AH3401" t="s">
        <v>72</v>
      </c>
      <c r="AI3401" t="s">
        <v>612</v>
      </c>
      <c r="AJ3401">
        <v>2011</v>
      </c>
      <c r="AK3401" t="s">
        <v>2839</v>
      </c>
      <c r="AM3401" t="s">
        <v>2840</v>
      </c>
      <c r="AN3401" t="s">
        <v>192</v>
      </c>
      <c r="AO3401" t="s">
        <v>77</v>
      </c>
      <c r="AP3401" t="s">
        <v>115</v>
      </c>
      <c r="AQ3401" t="s">
        <v>2841</v>
      </c>
      <c r="AR3401" t="s">
        <v>80</v>
      </c>
      <c r="AS3401">
        <v>302</v>
      </c>
      <c r="AT3401" t="s">
        <v>81</v>
      </c>
      <c r="AU3401">
        <v>49.68</v>
      </c>
      <c r="AV3401">
        <v>55.62</v>
      </c>
      <c r="AW3401" t="s">
        <v>82</v>
      </c>
      <c r="AX3401">
        <v>301</v>
      </c>
      <c r="AY3401" t="s">
        <v>81</v>
      </c>
      <c r="AZ3401">
        <v>30.83</v>
      </c>
      <c r="BA3401">
        <v>45.59</v>
      </c>
      <c r="BB3401" t="s">
        <v>83</v>
      </c>
    </row>
    <row r="3402" spans="1:54" x14ac:dyDescent="0.4">
      <c r="A3402">
        <v>958043</v>
      </c>
      <c r="D3402" t="s">
        <v>54</v>
      </c>
      <c r="I3402" t="s">
        <v>57</v>
      </c>
      <c r="K3402" t="s">
        <v>141</v>
      </c>
      <c r="L3402" t="s">
        <v>3905</v>
      </c>
      <c r="M3402" t="s">
        <v>60</v>
      </c>
      <c r="O3402" t="s">
        <v>87</v>
      </c>
      <c r="P3402" t="s">
        <v>103</v>
      </c>
      <c r="R3402" t="s">
        <v>104</v>
      </c>
      <c r="S3402" t="s">
        <v>64</v>
      </c>
      <c r="T3402">
        <v>251.2</v>
      </c>
      <c r="U3402">
        <v>246.7</v>
      </c>
      <c r="V3402">
        <f t="shared" si="106"/>
        <v>248.95</v>
      </c>
      <c r="W3402">
        <f t="shared" si="107"/>
        <v>4.5</v>
      </c>
      <c r="X3402">
        <v>49.558334000000002</v>
      </c>
      <c r="Y3402">
        <v>62.058334000000002</v>
      </c>
      <c r="Z3402" t="s">
        <v>124</v>
      </c>
      <c r="AA3402" t="s">
        <v>239</v>
      </c>
      <c r="AB3402" t="s">
        <v>630</v>
      </c>
      <c r="AC3402" t="s">
        <v>1865</v>
      </c>
      <c r="AD3402" t="s">
        <v>1866</v>
      </c>
      <c r="AE3402" t="s">
        <v>1867</v>
      </c>
      <c r="AH3402" t="s">
        <v>72</v>
      </c>
      <c r="AI3402" t="s">
        <v>1877</v>
      </c>
      <c r="AJ3402">
        <v>2000</v>
      </c>
      <c r="AK3402" t="s">
        <v>1869</v>
      </c>
      <c r="AM3402" t="s">
        <v>1870</v>
      </c>
      <c r="AN3402" t="s">
        <v>114</v>
      </c>
      <c r="AO3402" t="s">
        <v>77</v>
      </c>
      <c r="AP3402" t="s">
        <v>115</v>
      </c>
      <c r="AQ3402" t="s">
        <v>1871</v>
      </c>
      <c r="AR3402" t="s">
        <v>80</v>
      </c>
      <c r="AS3402">
        <v>302</v>
      </c>
      <c r="AT3402" t="s">
        <v>81</v>
      </c>
      <c r="AU3402">
        <v>49.48</v>
      </c>
      <c r="AV3402">
        <v>47.11</v>
      </c>
      <c r="AW3402" t="s">
        <v>82</v>
      </c>
      <c r="AX3402">
        <v>301</v>
      </c>
      <c r="AY3402" t="s">
        <v>81</v>
      </c>
      <c r="AZ3402">
        <v>33.75</v>
      </c>
      <c r="BA3402">
        <v>37.36</v>
      </c>
      <c r="BB3402" t="s">
        <v>83</v>
      </c>
    </row>
    <row r="3403" spans="1:54" x14ac:dyDescent="0.4">
      <c r="A3403">
        <v>984557</v>
      </c>
      <c r="D3403" t="s">
        <v>54</v>
      </c>
      <c r="E3403" t="s">
        <v>310</v>
      </c>
      <c r="G3403">
        <v>20</v>
      </c>
      <c r="H3403" t="s">
        <v>421</v>
      </c>
      <c r="I3403" t="s">
        <v>57</v>
      </c>
      <c r="K3403" t="s">
        <v>141</v>
      </c>
      <c r="L3403" t="s">
        <v>3966</v>
      </c>
      <c r="M3403" t="s">
        <v>60</v>
      </c>
      <c r="P3403" t="s">
        <v>103</v>
      </c>
      <c r="R3403" t="s">
        <v>104</v>
      </c>
      <c r="S3403" t="s">
        <v>64</v>
      </c>
      <c r="T3403">
        <v>251.2</v>
      </c>
      <c r="U3403">
        <v>246.7</v>
      </c>
      <c r="V3403">
        <f t="shared" si="106"/>
        <v>248.95</v>
      </c>
      <c r="W3403">
        <f t="shared" si="107"/>
        <v>4.5</v>
      </c>
      <c r="X3403">
        <v>19.633333</v>
      </c>
      <c r="Y3403">
        <v>50.133330999999998</v>
      </c>
      <c r="Z3403" t="s">
        <v>90</v>
      </c>
      <c r="AA3403" t="s">
        <v>697</v>
      </c>
      <c r="AB3403" t="s">
        <v>698</v>
      </c>
      <c r="AC3403" t="s">
        <v>699</v>
      </c>
      <c r="AH3403" t="s">
        <v>72</v>
      </c>
      <c r="AI3403" t="s">
        <v>3967</v>
      </c>
      <c r="AJ3403">
        <v>2009</v>
      </c>
      <c r="AK3403" t="s">
        <v>701</v>
      </c>
      <c r="AN3403" t="s">
        <v>114</v>
      </c>
      <c r="AO3403" t="s">
        <v>160</v>
      </c>
      <c r="AP3403" t="s">
        <v>78</v>
      </c>
      <c r="AQ3403" t="s">
        <v>702</v>
      </c>
      <c r="AR3403" t="s">
        <v>80</v>
      </c>
      <c r="AS3403">
        <v>305</v>
      </c>
      <c r="AT3403" t="s">
        <v>81</v>
      </c>
      <c r="AU3403">
        <v>36.5</v>
      </c>
      <c r="AV3403">
        <v>29.56</v>
      </c>
      <c r="AW3403" t="s">
        <v>82</v>
      </c>
      <c r="AX3403">
        <v>305</v>
      </c>
      <c r="AY3403" t="s">
        <v>81</v>
      </c>
      <c r="AZ3403">
        <v>26.73</v>
      </c>
      <c r="BA3403">
        <v>18.100000000000001</v>
      </c>
      <c r="BB3403" t="s">
        <v>83</v>
      </c>
    </row>
    <row r="3404" spans="1:54" x14ac:dyDescent="0.4">
      <c r="A3404">
        <v>1113776</v>
      </c>
      <c r="D3404" t="s">
        <v>54</v>
      </c>
      <c r="G3404">
        <v>7</v>
      </c>
      <c r="H3404" t="s">
        <v>421</v>
      </c>
      <c r="I3404" t="s">
        <v>57</v>
      </c>
      <c r="K3404" t="s">
        <v>580</v>
      </c>
      <c r="L3404" t="s">
        <v>4332</v>
      </c>
      <c r="M3404" t="s">
        <v>60</v>
      </c>
      <c r="O3404" t="s">
        <v>87</v>
      </c>
      <c r="P3404" t="s">
        <v>103</v>
      </c>
      <c r="R3404" t="s">
        <v>104</v>
      </c>
      <c r="S3404" t="s">
        <v>64</v>
      </c>
      <c r="T3404">
        <v>251.2</v>
      </c>
      <c r="U3404">
        <v>246.7</v>
      </c>
      <c r="V3404">
        <f t="shared" si="106"/>
        <v>248.95</v>
      </c>
      <c r="W3404">
        <f t="shared" si="107"/>
        <v>4.5</v>
      </c>
      <c r="X3404">
        <v>43.673057999999997</v>
      </c>
      <c r="Y3404">
        <v>49.260834000000003</v>
      </c>
      <c r="Z3404" t="s">
        <v>124</v>
      </c>
      <c r="AA3404" t="s">
        <v>239</v>
      </c>
      <c r="AB3404" t="s">
        <v>2816</v>
      </c>
      <c r="AC3404" t="s">
        <v>2817</v>
      </c>
      <c r="AD3404" t="s">
        <v>2818</v>
      </c>
      <c r="AH3404" t="s">
        <v>72</v>
      </c>
      <c r="AI3404" t="s">
        <v>612</v>
      </c>
      <c r="AJ3404">
        <v>2012</v>
      </c>
      <c r="AK3404" t="s">
        <v>2819</v>
      </c>
      <c r="AM3404" t="s">
        <v>2820</v>
      </c>
      <c r="AN3404" t="s">
        <v>114</v>
      </c>
      <c r="AO3404" t="s">
        <v>77</v>
      </c>
      <c r="AP3404" t="s">
        <v>78</v>
      </c>
      <c r="AQ3404" t="s">
        <v>2821</v>
      </c>
      <c r="AR3404" t="s">
        <v>80</v>
      </c>
      <c r="AS3404">
        <v>302</v>
      </c>
      <c r="AT3404" t="s">
        <v>81</v>
      </c>
      <c r="AU3404">
        <v>53.92</v>
      </c>
      <c r="AV3404">
        <v>34.33</v>
      </c>
      <c r="AW3404" t="s">
        <v>82</v>
      </c>
      <c r="AX3404">
        <v>301</v>
      </c>
      <c r="AY3404" t="s">
        <v>81</v>
      </c>
      <c r="AZ3404">
        <v>41.27</v>
      </c>
      <c r="BA3404">
        <v>25.79</v>
      </c>
      <c r="BB3404" t="s">
        <v>83</v>
      </c>
    </row>
    <row r="3405" spans="1:54" x14ac:dyDescent="0.4">
      <c r="A3405">
        <v>1127411</v>
      </c>
      <c r="D3405" t="s">
        <v>54</v>
      </c>
      <c r="G3405">
        <v>114</v>
      </c>
      <c r="H3405" t="s">
        <v>421</v>
      </c>
      <c r="I3405" t="s">
        <v>57</v>
      </c>
      <c r="K3405" t="s">
        <v>196</v>
      </c>
      <c r="L3405" t="s">
        <v>4343</v>
      </c>
      <c r="M3405" t="s">
        <v>60</v>
      </c>
      <c r="O3405" t="s">
        <v>87</v>
      </c>
      <c r="P3405" t="s">
        <v>103</v>
      </c>
      <c r="R3405" t="s">
        <v>104</v>
      </c>
      <c r="S3405" t="s">
        <v>64</v>
      </c>
      <c r="T3405">
        <v>251.2</v>
      </c>
      <c r="U3405">
        <v>246.7</v>
      </c>
      <c r="V3405">
        <f t="shared" si="106"/>
        <v>248.95</v>
      </c>
      <c r="W3405">
        <f t="shared" si="107"/>
        <v>4.5</v>
      </c>
      <c r="X3405">
        <v>43.673057999999997</v>
      </c>
      <c r="Y3405">
        <v>49.260834000000003</v>
      </c>
      <c r="Z3405" t="s">
        <v>124</v>
      </c>
      <c r="AA3405" t="s">
        <v>239</v>
      </c>
      <c r="AB3405" t="s">
        <v>2816</v>
      </c>
      <c r="AC3405" t="s">
        <v>2817</v>
      </c>
      <c r="AD3405" t="s">
        <v>2818</v>
      </c>
      <c r="AH3405" t="s">
        <v>72</v>
      </c>
      <c r="AI3405" t="s">
        <v>612</v>
      </c>
      <c r="AJ3405">
        <v>1999</v>
      </c>
      <c r="AK3405" t="s">
        <v>2819</v>
      </c>
      <c r="AM3405" t="s">
        <v>2820</v>
      </c>
      <c r="AN3405" t="s">
        <v>114</v>
      </c>
      <c r="AO3405" t="s">
        <v>77</v>
      </c>
      <c r="AP3405" t="s">
        <v>78</v>
      </c>
      <c r="AQ3405" t="s">
        <v>2821</v>
      </c>
      <c r="AR3405" t="s">
        <v>80</v>
      </c>
      <c r="AS3405">
        <v>302</v>
      </c>
      <c r="AT3405" t="s">
        <v>81</v>
      </c>
      <c r="AU3405">
        <v>53.92</v>
      </c>
      <c r="AV3405">
        <v>34.33</v>
      </c>
      <c r="AW3405" t="s">
        <v>82</v>
      </c>
      <c r="AX3405">
        <v>301</v>
      </c>
      <c r="AY3405" t="s">
        <v>81</v>
      </c>
      <c r="AZ3405">
        <v>41.27</v>
      </c>
      <c r="BA3405">
        <v>25.79</v>
      </c>
      <c r="BB3405" t="s">
        <v>83</v>
      </c>
    </row>
    <row r="3406" spans="1:54" x14ac:dyDescent="0.4">
      <c r="A3406">
        <v>1127417</v>
      </c>
      <c r="D3406" t="s">
        <v>54</v>
      </c>
      <c r="G3406">
        <v>10</v>
      </c>
      <c r="H3406" t="s">
        <v>421</v>
      </c>
      <c r="I3406" t="s">
        <v>57</v>
      </c>
      <c r="K3406" t="s">
        <v>4344</v>
      </c>
      <c r="L3406" t="s">
        <v>4345</v>
      </c>
      <c r="M3406" t="s">
        <v>223</v>
      </c>
      <c r="P3406" t="s">
        <v>103</v>
      </c>
      <c r="R3406" t="s">
        <v>104</v>
      </c>
      <c r="S3406" t="s">
        <v>64</v>
      </c>
      <c r="T3406">
        <v>251.2</v>
      </c>
      <c r="U3406">
        <v>246.7</v>
      </c>
      <c r="V3406">
        <f t="shared" si="106"/>
        <v>248.95</v>
      </c>
      <c r="W3406">
        <f t="shared" si="107"/>
        <v>4.5</v>
      </c>
      <c r="X3406">
        <v>43.673057999999997</v>
      </c>
      <c r="Y3406">
        <v>49.260834000000003</v>
      </c>
      <c r="Z3406" t="s">
        <v>124</v>
      </c>
      <c r="AA3406" t="s">
        <v>239</v>
      </c>
      <c r="AB3406" t="s">
        <v>2816</v>
      </c>
      <c r="AC3406" t="s">
        <v>2817</v>
      </c>
      <c r="AD3406" t="s">
        <v>2818</v>
      </c>
      <c r="AH3406" t="s">
        <v>72</v>
      </c>
      <c r="AI3406" t="s">
        <v>612</v>
      </c>
      <c r="AJ3406">
        <v>2001</v>
      </c>
      <c r="AK3406" t="s">
        <v>2819</v>
      </c>
      <c r="AM3406" t="s">
        <v>2820</v>
      </c>
      <c r="AN3406" t="s">
        <v>114</v>
      </c>
      <c r="AO3406" t="s">
        <v>77</v>
      </c>
      <c r="AP3406" t="s">
        <v>78</v>
      </c>
      <c r="AQ3406" t="s">
        <v>2821</v>
      </c>
      <c r="AR3406" t="s">
        <v>80</v>
      </c>
      <c r="AS3406">
        <v>302</v>
      </c>
      <c r="AT3406" t="s">
        <v>81</v>
      </c>
      <c r="AU3406">
        <v>53.92</v>
      </c>
      <c r="AV3406">
        <v>34.33</v>
      </c>
      <c r="AW3406" t="s">
        <v>82</v>
      </c>
      <c r="AX3406">
        <v>301</v>
      </c>
      <c r="AY3406" t="s">
        <v>81</v>
      </c>
      <c r="AZ3406">
        <v>41.27</v>
      </c>
      <c r="BA3406">
        <v>25.79</v>
      </c>
      <c r="BB3406" t="s">
        <v>83</v>
      </c>
    </row>
    <row r="3407" spans="1:54" x14ac:dyDescent="0.4">
      <c r="A3407">
        <v>1127431</v>
      </c>
      <c r="D3407" t="s">
        <v>54</v>
      </c>
      <c r="I3407" t="s">
        <v>57</v>
      </c>
      <c r="K3407" t="s">
        <v>100</v>
      </c>
      <c r="L3407" t="s">
        <v>1576</v>
      </c>
      <c r="M3407" t="s">
        <v>60</v>
      </c>
      <c r="P3407" t="s">
        <v>103</v>
      </c>
      <c r="R3407" t="s">
        <v>104</v>
      </c>
      <c r="S3407" t="s">
        <v>64</v>
      </c>
      <c r="T3407">
        <v>251.2</v>
      </c>
      <c r="U3407">
        <v>246.7</v>
      </c>
      <c r="V3407">
        <f t="shared" si="106"/>
        <v>248.95</v>
      </c>
      <c r="W3407">
        <f t="shared" si="107"/>
        <v>4.5</v>
      </c>
      <c r="X3407">
        <v>43.673057999999997</v>
      </c>
      <c r="Y3407">
        <v>49.260834000000003</v>
      </c>
      <c r="Z3407" t="s">
        <v>124</v>
      </c>
      <c r="AA3407" t="s">
        <v>239</v>
      </c>
      <c r="AB3407" t="s">
        <v>2816</v>
      </c>
      <c r="AC3407" t="s">
        <v>2817</v>
      </c>
      <c r="AD3407" t="s">
        <v>2818</v>
      </c>
      <c r="AH3407" t="s">
        <v>11</v>
      </c>
      <c r="AI3407" t="s">
        <v>1864</v>
      </c>
      <c r="AJ3407">
        <v>2010</v>
      </c>
      <c r="AK3407" t="s">
        <v>2819</v>
      </c>
      <c r="AM3407" t="s">
        <v>2820</v>
      </c>
      <c r="AN3407" t="s">
        <v>114</v>
      </c>
      <c r="AO3407" t="s">
        <v>77</v>
      </c>
      <c r="AP3407" t="s">
        <v>78</v>
      </c>
      <c r="AQ3407" t="s">
        <v>2821</v>
      </c>
      <c r="AR3407" t="s">
        <v>80</v>
      </c>
      <c r="AS3407">
        <v>302</v>
      </c>
      <c r="AT3407" t="s">
        <v>81</v>
      </c>
      <c r="AU3407">
        <v>53.92</v>
      </c>
      <c r="AV3407">
        <v>34.33</v>
      </c>
      <c r="AW3407" t="s">
        <v>82</v>
      </c>
      <c r="AX3407">
        <v>301</v>
      </c>
      <c r="AY3407" t="s">
        <v>81</v>
      </c>
      <c r="AZ3407">
        <v>41.27</v>
      </c>
      <c r="BA3407">
        <v>25.79</v>
      </c>
      <c r="BB3407" t="s">
        <v>83</v>
      </c>
    </row>
    <row r="3408" spans="1:54" x14ac:dyDescent="0.4">
      <c r="A3408">
        <v>1127575</v>
      </c>
      <c r="D3408" t="s">
        <v>54</v>
      </c>
      <c r="F3408" t="s">
        <v>600</v>
      </c>
      <c r="G3408">
        <v>5</v>
      </c>
      <c r="H3408" t="s">
        <v>421</v>
      </c>
      <c r="I3408" t="s">
        <v>57</v>
      </c>
      <c r="K3408" t="s">
        <v>1957</v>
      </c>
      <c r="L3408" t="s">
        <v>4346</v>
      </c>
      <c r="M3408" t="s">
        <v>60</v>
      </c>
      <c r="P3408" t="s">
        <v>103</v>
      </c>
      <c r="R3408" t="s">
        <v>104</v>
      </c>
      <c r="S3408" t="s">
        <v>64</v>
      </c>
      <c r="T3408">
        <v>251.2</v>
      </c>
      <c r="U3408">
        <v>246.7</v>
      </c>
      <c r="V3408">
        <f t="shared" si="106"/>
        <v>248.95</v>
      </c>
      <c r="W3408">
        <f t="shared" si="107"/>
        <v>4.5</v>
      </c>
      <c r="X3408">
        <v>55.083331999999999</v>
      </c>
      <c r="Y3408">
        <v>51.75</v>
      </c>
      <c r="Z3408" t="s">
        <v>124</v>
      </c>
      <c r="AA3408" t="s">
        <v>239</v>
      </c>
      <c r="AB3408" t="s">
        <v>638</v>
      </c>
      <c r="AC3408" t="s">
        <v>3358</v>
      </c>
      <c r="AD3408" t="s">
        <v>1577</v>
      </c>
      <c r="AH3408" t="s">
        <v>72</v>
      </c>
      <c r="AI3408" t="s">
        <v>612</v>
      </c>
      <c r="AJ3408">
        <v>2005</v>
      </c>
      <c r="AK3408" t="s">
        <v>3359</v>
      </c>
      <c r="AM3408" t="s">
        <v>3360</v>
      </c>
      <c r="AN3408" t="s">
        <v>114</v>
      </c>
      <c r="AO3408" t="s">
        <v>160</v>
      </c>
      <c r="AP3408" t="s">
        <v>115</v>
      </c>
      <c r="AQ3408" t="s">
        <v>3361</v>
      </c>
      <c r="AR3408" t="s">
        <v>80</v>
      </c>
      <c r="AS3408">
        <v>302</v>
      </c>
      <c r="AT3408" t="s">
        <v>81</v>
      </c>
      <c r="AU3408">
        <v>60.5</v>
      </c>
      <c r="AV3408">
        <v>39.92</v>
      </c>
      <c r="AW3408" t="s">
        <v>82</v>
      </c>
      <c r="AX3408">
        <v>301</v>
      </c>
      <c r="AY3408" t="s">
        <v>81</v>
      </c>
      <c r="AZ3408">
        <v>45.46</v>
      </c>
      <c r="BA3408">
        <v>32.53</v>
      </c>
      <c r="BB3408" t="s">
        <v>83</v>
      </c>
    </row>
    <row r="3409" spans="1:54" x14ac:dyDescent="0.4">
      <c r="A3409">
        <v>1127583</v>
      </c>
      <c r="D3409" t="s">
        <v>54</v>
      </c>
      <c r="G3409">
        <v>3</v>
      </c>
      <c r="H3409" t="s">
        <v>421</v>
      </c>
      <c r="I3409" t="s">
        <v>57</v>
      </c>
      <c r="K3409" t="s">
        <v>141</v>
      </c>
      <c r="L3409" t="s">
        <v>629</v>
      </c>
      <c r="M3409" t="s">
        <v>60</v>
      </c>
      <c r="P3409" t="s">
        <v>103</v>
      </c>
      <c r="R3409" t="s">
        <v>104</v>
      </c>
      <c r="S3409" t="s">
        <v>64</v>
      </c>
      <c r="T3409">
        <v>251.2</v>
      </c>
      <c r="U3409">
        <v>246.7</v>
      </c>
      <c r="V3409">
        <f t="shared" si="106"/>
        <v>248.95</v>
      </c>
      <c r="W3409">
        <f t="shared" si="107"/>
        <v>4.5</v>
      </c>
      <c r="X3409">
        <v>51.769168999999998</v>
      </c>
      <c r="Y3409">
        <v>52.805</v>
      </c>
      <c r="Z3409" t="s">
        <v>432</v>
      </c>
      <c r="AA3409" t="s">
        <v>239</v>
      </c>
      <c r="AB3409" t="s">
        <v>638</v>
      </c>
      <c r="AD3409" t="s">
        <v>4350</v>
      </c>
      <c r="AH3409" t="s">
        <v>72</v>
      </c>
      <c r="AI3409" t="s">
        <v>612</v>
      </c>
      <c r="AJ3409">
        <v>1990</v>
      </c>
      <c r="AK3409" t="s">
        <v>4351</v>
      </c>
      <c r="AM3409" t="s">
        <v>4352</v>
      </c>
      <c r="AN3409" t="s">
        <v>192</v>
      </c>
      <c r="AO3409" t="s">
        <v>77</v>
      </c>
      <c r="AP3409" t="s">
        <v>78</v>
      </c>
      <c r="AQ3409" t="s">
        <v>4353</v>
      </c>
      <c r="AR3409" t="s">
        <v>80</v>
      </c>
      <c r="AS3409">
        <v>302</v>
      </c>
      <c r="AT3409" t="s">
        <v>81</v>
      </c>
      <c r="AU3409">
        <v>57.53</v>
      </c>
      <c r="AV3409">
        <v>39.82</v>
      </c>
      <c r="AW3409" t="s">
        <v>82</v>
      </c>
      <c r="AX3409">
        <v>301</v>
      </c>
      <c r="AY3409" t="s">
        <v>81</v>
      </c>
      <c r="AZ3409">
        <v>42.89</v>
      </c>
      <c r="BA3409">
        <v>31.82</v>
      </c>
      <c r="BB3409" t="s">
        <v>83</v>
      </c>
    </row>
    <row r="3410" spans="1:54" x14ac:dyDescent="0.4">
      <c r="A3410">
        <v>1142139</v>
      </c>
      <c r="D3410" t="s">
        <v>54</v>
      </c>
      <c r="E3410" t="s">
        <v>152</v>
      </c>
      <c r="I3410" t="s">
        <v>57</v>
      </c>
      <c r="K3410" t="s">
        <v>100</v>
      </c>
      <c r="L3410" t="s">
        <v>101</v>
      </c>
      <c r="M3410" t="s">
        <v>60</v>
      </c>
      <c r="P3410" t="s">
        <v>103</v>
      </c>
      <c r="R3410" t="s">
        <v>104</v>
      </c>
      <c r="S3410" t="s">
        <v>64</v>
      </c>
      <c r="T3410">
        <v>251.2</v>
      </c>
      <c r="U3410">
        <v>246.7</v>
      </c>
      <c r="V3410">
        <f t="shared" si="106"/>
        <v>248.95</v>
      </c>
      <c r="W3410">
        <f t="shared" si="107"/>
        <v>4.5</v>
      </c>
      <c r="X3410">
        <v>26.366667</v>
      </c>
      <c r="Y3410">
        <v>-30.594443999999999</v>
      </c>
      <c r="Z3410" t="s">
        <v>124</v>
      </c>
      <c r="AA3410" t="s">
        <v>106</v>
      </c>
      <c r="AB3410" t="s">
        <v>107</v>
      </c>
      <c r="AD3410" t="s">
        <v>109</v>
      </c>
      <c r="AE3410" t="s">
        <v>110</v>
      </c>
      <c r="AG3410" t="s">
        <v>3649</v>
      </c>
      <c r="AH3410" t="s">
        <v>11</v>
      </c>
      <c r="AI3410" t="s">
        <v>4418</v>
      </c>
      <c r="AJ3410">
        <v>2000</v>
      </c>
      <c r="AK3410" t="s">
        <v>4419</v>
      </c>
      <c r="AN3410" t="s">
        <v>114</v>
      </c>
      <c r="AO3410" t="s">
        <v>77</v>
      </c>
      <c r="AP3410" t="s">
        <v>78</v>
      </c>
      <c r="AQ3410" t="s">
        <v>4420</v>
      </c>
      <c r="AR3410" t="s">
        <v>80</v>
      </c>
      <c r="AS3410">
        <v>701</v>
      </c>
      <c r="AT3410" t="s">
        <v>81</v>
      </c>
      <c r="AU3410">
        <v>-9.3800000000000008</v>
      </c>
      <c r="AV3410">
        <v>-50.41</v>
      </c>
      <c r="AW3410" t="s">
        <v>82</v>
      </c>
      <c r="AX3410">
        <v>701</v>
      </c>
      <c r="AY3410" t="s">
        <v>81</v>
      </c>
      <c r="AZ3410">
        <v>-17.850000000000001</v>
      </c>
      <c r="BA3410">
        <v>-64.91</v>
      </c>
      <c r="BB3410" t="s">
        <v>83</v>
      </c>
    </row>
    <row r="3411" spans="1:54" x14ac:dyDescent="0.4">
      <c r="A3411">
        <v>1142841</v>
      </c>
      <c r="D3411" t="s">
        <v>54</v>
      </c>
      <c r="G3411">
        <v>1</v>
      </c>
      <c r="H3411" t="s">
        <v>84</v>
      </c>
      <c r="I3411" t="s">
        <v>57</v>
      </c>
      <c r="K3411" t="s">
        <v>141</v>
      </c>
      <c r="L3411" t="s">
        <v>3157</v>
      </c>
      <c r="M3411" t="s">
        <v>60</v>
      </c>
      <c r="P3411" t="s">
        <v>103</v>
      </c>
      <c r="R3411" t="s">
        <v>104</v>
      </c>
      <c r="S3411" t="s">
        <v>64</v>
      </c>
      <c r="T3411">
        <v>251.2</v>
      </c>
      <c r="U3411">
        <v>246.7</v>
      </c>
      <c r="V3411">
        <f t="shared" si="106"/>
        <v>248.95</v>
      </c>
      <c r="W3411">
        <f t="shared" si="107"/>
        <v>4.5</v>
      </c>
      <c r="X3411">
        <v>27.959999</v>
      </c>
      <c r="Y3411">
        <v>-28.181944000000001</v>
      </c>
      <c r="Z3411" t="s">
        <v>105</v>
      </c>
      <c r="AA3411" t="s">
        <v>106</v>
      </c>
      <c r="AB3411" t="s">
        <v>1625</v>
      </c>
      <c r="AC3411" t="s">
        <v>4421</v>
      </c>
      <c r="AD3411" t="s">
        <v>2023</v>
      </c>
      <c r="AE3411" t="s">
        <v>110</v>
      </c>
      <c r="AG3411" t="s">
        <v>4078</v>
      </c>
      <c r="AH3411" t="s">
        <v>72</v>
      </c>
      <c r="AI3411" t="s">
        <v>1633</v>
      </c>
      <c r="AJ3411">
        <v>1999</v>
      </c>
      <c r="AK3411" t="s">
        <v>4422</v>
      </c>
      <c r="AN3411" t="s">
        <v>192</v>
      </c>
      <c r="AO3411" t="s">
        <v>77</v>
      </c>
      <c r="AP3411" t="s">
        <v>78</v>
      </c>
      <c r="AQ3411" t="s">
        <v>4423</v>
      </c>
      <c r="AR3411" t="s">
        <v>80</v>
      </c>
      <c r="AS3411">
        <v>701</v>
      </c>
      <c r="AT3411" t="s">
        <v>81</v>
      </c>
      <c r="AU3411">
        <v>-5.09</v>
      </c>
      <c r="AV3411">
        <v>-49.96</v>
      </c>
      <c r="AW3411" t="s">
        <v>82</v>
      </c>
      <c r="AX3411">
        <v>701</v>
      </c>
      <c r="AY3411" t="s">
        <v>81</v>
      </c>
      <c r="AZ3411">
        <v>-11.38</v>
      </c>
      <c r="BA3411">
        <v>-64.56</v>
      </c>
      <c r="BB3411" t="s">
        <v>83</v>
      </c>
    </row>
    <row r="3412" spans="1:54" x14ac:dyDescent="0.4">
      <c r="A3412">
        <v>1347708</v>
      </c>
      <c r="D3412" t="s">
        <v>54</v>
      </c>
      <c r="F3412" t="s">
        <v>600</v>
      </c>
      <c r="G3412">
        <v>1</v>
      </c>
      <c r="H3412" t="s">
        <v>84</v>
      </c>
      <c r="I3412" t="s">
        <v>57</v>
      </c>
      <c r="K3412" t="s">
        <v>141</v>
      </c>
      <c r="L3412" t="s">
        <v>629</v>
      </c>
      <c r="M3412" t="s">
        <v>60</v>
      </c>
      <c r="P3412" t="s">
        <v>103</v>
      </c>
      <c r="R3412" t="s">
        <v>104</v>
      </c>
      <c r="S3412" t="s">
        <v>64</v>
      </c>
      <c r="T3412">
        <v>251.2</v>
      </c>
      <c r="U3412">
        <v>246.7</v>
      </c>
      <c r="V3412">
        <f t="shared" si="106"/>
        <v>248.95</v>
      </c>
      <c r="W3412">
        <f t="shared" si="107"/>
        <v>4.5</v>
      </c>
      <c r="X3412">
        <v>55.083331999999999</v>
      </c>
      <c r="Y3412">
        <v>51.75</v>
      </c>
      <c r="Z3412" t="s">
        <v>124</v>
      </c>
      <c r="AA3412" t="s">
        <v>239</v>
      </c>
      <c r="AB3412" t="s">
        <v>638</v>
      </c>
      <c r="AC3412" t="s">
        <v>3358</v>
      </c>
      <c r="AD3412" t="s">
        <v>1577</v>
      </c>
      <c r="AH3412" t="s">
        <v>72</v>
      </c>
      <c r="AI3412" t="s">
        <v>2811</v>
      </c>
      <c r="AJ3412">
        <v>1979</v>
      </c>
      <c r="AK3412" t="s">
        <v>3359</v>
      </c>
      <c r="AM3412" t="s">
        <v>3360</v>
      </c>
      <c r="AN3412" t="s">
        <v>114</v>
      </c>
      <c r="AO3412" t="s">
        <v>160</v>
      </c>
      <c r="AP3412" t="s">
        <v>115</v>
      </c>
      <c r="AQ3412" t="s">
        <v>3361</v>
      </c>
      <c r="AR3412" t="s">
        <v>80</v>
      </c>
      <c r="AS3412">
        <v>302</v>
      </c>
      <c r="AT3412" t="s">
        <v>81</v>
      </c>
      <c r="AU3412">
        <v>60.5</v>
      </c>
      <c r="AV3412">
        <v>39.92</v>
      </c>
      <c r="AW3412" t="s">
        <v>82</v>
      </c>
      <c r="AX3412">
        <v>301</v>
      </c>
      <c r="AY3412" t="s">
        <v>81</v>
      </c>
      <c r="AZ3412">
        <v>45.46</v>
      </c>
      <c r="BA3412">
        <v>32.53</v>
      </c>
      <c r="BB3412" t="s">
        <v>83</v>
      </c>
    </row>
    <row r="3413" spans="1:54" x14ac:dyDescent="0.4">
      <c r="A3413">
        <v>1347709</v>
      </c>
      <c r="D3413" t="s">
        <v>54</v>
      </c>
      <c r="G3413">
        <v>6</v>
      </c>
      <c r="H3413" t="s">
        <v>84</v>
      </c>
      <c r="I3413" t="s">
        <v>57</v>
      </c>
      <c r="K3413" t="s">
        <v>141</v>
      </c>
      <c r="L3413" t="s">
        <v>629</v>
      </c>
      <c r="M3413" t="s">
        <v>60</v>
      </c>
      <c r="P3413" t="s">
        <v>103</v>
      </c>
      <c r="R3413" t="s">
        <v>104</v>
      </c>
      <c r="S3413" t="s">
        <v>64</v>
      </c>
      <c r="T3413">
        <v>251.2</v>
      </c>
      <c r="U3413">
        <v>246.7</v>
      </c>
      <c r="V3413">
        <f t="shared" si="106"/>
        <v>248.95</v>
      </c>
      <c r="W3413">
        <f t="shared" si="107"/>
        <v>4.5</v>
      </c>
      <c r="X3413">
        <v>49.558334000000002</v>
      </c>
      <c r="Y3413">
        <v>62.058334000000002</v>
      </c>
      <c r="Z3413" t="s">
        <v>124</v>
      </c>
      <c r="AA3413" t="s">
        <v>239</v>
      </c>
      <c r="AB3413" t="s">
        <v>630</v>
      </c>
      <c r="AC3413" t="s">
        <v>1865</v>
      </c>
      <c r="AD3413" t="s">
        <v>1866</v>
      </c>
      <c r="AE3413" t="s">
        <v>1867</v>
      </c>
      <c r="AH3413" t="s">
        <v>72</v>
      </c>
      <c r="AI3413" t="s">
        <v>2811</v>
      </c>
      <c r="AJ3413">
        <v>1979</v>
      </c>
      <c r="AK3413" t="s">
        <v>1869</v>
      </c>
      <c r="AM3413" t="s">
        <v>1870</v>
      </c>
      <c r="AN3413" t="s">
        <v>114</v>
      </c>
      <c r="AO3413" t="s">
        <v>77</v>
      </c>
      <c r="AP3413" t="s">
        <v>115</v>
      </c>
      <c r="AQ3413" t="s">
        <v>1871</v>
      </c>
      <c r="AR3413" t="s">
        <v>80</v>
      </c>
      <c r="AS3413">
        <v>302</v>
      </c>
      <c r="AT3413" t="s">
        <v>81</v>
      </c>
      <c r="AU3413">
        <v>49.48</v>
      </c>
      <c r="AV3413">
        <v>47.11</v>
      </c>
      <c r="AW3413" t="s">
        <v>82</v>
      </c>
      <c r="AX3413">
        <v>301</v>
      </c>
      <c r="AY3413" t="s">
        <v>81</v>
      </c>
      <c r="AZ3413">
        <v>33.75</v>
      </c>
      <c r="BA3413">
        <v>37.36</v>
      </c>
      <c r="BB3413" t="s">
        <v>83</v>
      </c>
    </row>
    <row r="3414" spans="1:54" x14ac:dyDescent="0.4">
      <c r="A3414">
        <v>1349935</v>
      </c>
      <c r="D3414" t="s">
        <v>54</v>
      </c>
      <c r="I3414" t="s">
        <v>57</v>
      </c>
      <c r="K3414" t="s">
        <v>1873</v>
      </c>
      <c r="L3414" t="s">
        <v>2815</v>
      </c>
      <c r="M3414" t="s">
        <v>60</v>
      </c>
      <c r="P3414" t="s">
        <v>103</v>
      </c>
      <c r="R3414" t="s">
        <v>104</v>
      </c>
      <c r="S3414" t="s">
        <v>64</v>
      </c>
      <c r="T3414">
        <v>251.2</v>
      </c>
      <c r="U3414">
        <v>246.7</v>
      </c>
      <c r="V3414">
        <f t="shared" si="106"/>
        <v>248.95</v>
      </c>
      <c r="W3414">
        <f t="shared" si="107"/>
        <v>4.5</v>
      </c>
      <c r="X3414">
        <v>27.959999</v>
      </c>
      <c r="Y3414">
        <v>-28.181944000000001</v>
      </c>
      <c r="Z3414" t="s">
        <v>105</v>
      </c>
      <c r="AA3414" t="s">
        <v>106</v>
      </c>
      <c r="AB3414" t="s">
        <v>1625</v>
      </c>
      <c r="AC3414" t="s">
        <v>4421</v>
      </c>
      <c r="AD3414" t="s">
        <v>2023</v>
      </c>
      <c r="AE3414" t="s">
        <v>110</v>
      </c>
      <c r="AG3414" t="s">
        <v>4078</v>
      </c>
      <c r="AH3414" t="s">
        <v>72</v>
      </c>
      <c r="AI3414" t="s">
        <v>4791</v>
      </c>
      <c r="AJ3414">
        <v>2014</v>
      </c>
      <c r="AK3414" t="s">
        <v>4422</v>
      </c>
      <c r="AN3414" t="s">
        <v>192</v>
      </c>
      <c r="AO3414" t="s">
        <v>77</v>
      </c>
      <c r="AP3414" t="s">
        <v>78</v>
      </c>
      <c r="AQ3414" t="s">
        <v>4423</v>
      </c>
      <c r="AR3414" t="s">
        <v>80</v>
      </c>
      <c r="AS3414">
        <v>701</v>
      </c>
      <c r="AT3414" t="s">
        <v>81</v>
      </c>
      <c r="AU3414">
        <v>-5.09</v>
      </c>
      <c r="AV3414">
        <v>-49.96</v>
      </c>
      <c r="AW3414" t="s">
        <v>82</v>
      </c>
      <c r="AX3414">
        <v>701</v>
      </c>
      <c r="AY3414" t="s">
        <v>81</v>
      </c>
      <c r="AZ3414">
        <v>-11.38</v>
      </c>
      <c r="BA3414">
        <v>-64.56</v>
      </c>
      <c r="BB3414" t="s">
        <v>83</v>
      </c>
    </row>
    <row r="3415" spans="1:54" x14ac:dyDescent="0.4">
      <c r="A3415">
        <v>1349936</v>
      </c>
      <c r="D3415" t="s">
        <v>54</v>
      </c>
      <c r="G3415">
        <v>4</v>
      </c>
      <c r="H3415" t="s">
        <v>84</v>
      </c>
      <c r="I3415" t="s">
        <v>57</v>
      </c>
      <c r="K3415" t="s">
        <v>1873</v>
      </c>
      <c r="L3415" t="s">
        <v>2815</v>
      </c>
      <c r="M3415" t="s">
        <v>60</v>
      </c>
      <c r="P3415" t="s">
        <v>103</v>
      </c>
      <c r="R3415" t="s">
        <v>104</v>
      </c>
      <c r="S3415" t="s">
        <v>64</v>
      </c>
      <c r="T3415">
        <v>251.2</v>
      </c>
      <c r="U3415">
        <v>246.7</v>
      </c>
      <c r="V3415">
        <f t="shared" si="106"/>
        <v>248.95</v>
      </c>
      <c r="W3415">
        <f t="shared" si="107"/>
        <v>4.5</v>
      </c>
      <c r="X3415">
        <v>27.696387999999999</v>
      </c>
      <c r="Y3415">
        <v>-28.297222000000001</v>
      </c>
      <c r="Z3415" t="s">
        <v>105</v>
      </c>
      <c r="AA3415" t="s">
        <v>106</v>
      </c>
      <c r="AB3415" t="s">
        <v>1625</v>
      </c>
      <c r="AC3415" t="s">
        <v>4421</v>
      </c>
      <c r="AD3415" t="s">
        <v>2023</v>
      </c>
      <c r="AE3415" t="s">
        <v>110</v>
      </c>
      <c r="AG3415" t="s">
        <v>4078</v>
      </c>
      <c r="AH3415" t="s">
        <v>72</v>
      </c>
      <c r="AI3415" t="s">
        <v>4791</v>
      </c>
      <c r="AJ3415">
        <v>2014</v>
      </c>
      <c r="AK3415" t="s">
        <v>4792</v>
      </c>
      <c r="AM3415" t="s">
        <v>4793</v>
      </c>
      <c r="AN3415" t="s">
        <v>192</v>
      </c>
      <c r="AO3415" t="s">
        <v>77</v>
      </c>
      <c r="AP3415" t="s">
        <v>78</v>
      </c>
      <c r="AQ3415" t="s">
        <v>4794</v>
      </c>
      <c r="AR3415" t="s">
        <v>80</v>
      </c>
      <c r="AS3415">
        <v>701</v>
      </c>
      <c r="AT3415" t="s">
        <v>81</v>
      </c>
      <c r="AU3415">
        <v>-5.46</v>
      </c>
      <c r="AV3415">
        <v>-49.86</v>
      </c>
      <c r="AW3415" t="s">
        <v>82</v>
      </c>
      <c r="AX3415">
        <v>701</v>
      </c>
      <c r="AY3415" t="s">
        <v>81</v>
      </c>
      <c r="AZ3415">
        <v>-11.93</v>
      </c>
      <c r="BA3415">
        <v>-64.459999999999994</v>
      </c>
      <c r="BB3415" t="s">
        <v>83</v>
      </c>
    </row>
    <row r="3416" spans="1:54" x14ac:dyDescent="0.4">
      <c r="A3416">
        <v>1349937</v>
      </c>
      <c r="D3416" t="s">
        <v>54</v>
      </c>
      <c r="G3416">
        <v>1</v>
      </c>
      <c r="H3416" t="s">
        <v>84</v>
      </c>
      <c r="I3416" t="s">
        <v>57</v>
      </c>
      <c r="K3416" t="s">
        <v>1873</v>
      </c>
      <c r="L3416" t="s">
        <v>2815</v>
      </c>
      <c r="M3416" t="s">
        <v>60</v>
      </c>
      <c r="P3416" t="s">
        <v>103</v>
      </c>
      <c r="R3416" t="s">
        <v>104</v>
      </c>
      <c r="S3416" t="s">
        <v>64</v>
      </c>
      <c r="T3416">
        <v>251.2</v>
      </c>
      <c r="U3416">
        <v>246.7</v>
      </c>
      <c r="V3416">
        <f t="shared" si="106"/>
        <v>248.95</v>
      </c>
      <c r="W3416">
        <f t="shared" si="107"/>
        <v>4.5</v>
      </c>
      <c r="X3416">
        <v>27.819721000000001</v>
      </c>
      <c r="Y3416">
        <v>-28.457778999999999</v>
      </c>
      <c r="Z3416" t="s">
        <v>105</v>
      </c>
      <c r="AA3416" t="s">
        <v>106</v>
      </c>
      <c r="AB3416" t="s">
        <v>1625</v>
      </c>
      <c r="AC3416" t="s">
        <v>4421</v>
      </c>
      <c r="AD3416" t="s">
        <v>2023</v>
      </c>
      <c r="AE3416" t="s">
        <v>110</v>
      </c>
      <c r="AG3416" t="s">
        <v>4078</v>
      </c>
      <c r="AH3416" t="s">
        <v>72</v>
      </c>
      <c r="AI3416" t="s">
        <v>4791</v>
      </c>
      <c r="AJ3416">
        <v>2014</v>
      </c>
      <c r="AK3416" t="s">
        <v>4795</v>
      </c>
      <c r="AN3416" t="s">
        <v>192</v>
      </c>
      <c r="AO3416" t="s">
        <v>77</v>
      </c>
      <c r="AP3416" t="s">
        <v>78</v>
      </c>
      <c r="AR3416" t="s">
        <v>80</v>
      </c>
      <c r="AS3416">
        <v>701</v>
      </c>
      <c r="AT3416" t="s">
        <v>81</v>
      </c>
      <c r="AU3416">
        <v>-5.54</v>
      </c>
      <c r="AV3416">
        <v>-50.05</v>
      </c>
      <c r="AW3416" t="s">
        <v>82</v>
      </c>
      <c r="AX3416">
        <v>701</v>
      </c>
      <c r="AY3416" t="s">
        <v>81</v>
      </c>
      <c r="AZ3416">
        <v>-12.06</v>
      </c>
      <c r="BA3416">
        <v>-64.64</v>
      </c>
      <c r="BB3416" t="s">
        <v>83</v>
      </c>
    </row>
    <row r="3417" spans="1:54" x14ac:dyDescent="0.4">
      <c r="A3417">
        <v>1349938</v>
      </c>
      <c r="D3417" t="s">
        <v>54</v>
      </c>
      <c r="G3417">
        <v>1</v>
      </c>
      <c r="H3417" t="s">
        <v>84</v>
      </c>
      <c r="I3417" t="s">
        <v>57</v>
      </c>
      <c r="K3417" t="s">
        <v>1873</v>
      </c>
      <c r="L3417" t="s">
        <v>2815</v>
      </c>
      <c r="M3417" t="s">
        <v>60</v>
      </c>
      <c r="P3417" t="s">
        <v>103</v>
      </c>
      <c r="R3417" t="s">
        <v>104</v>
      </c>
      <c r="S3417" t="s">
        <v>64</v>
      </c>
      <c r="T3417">
        <v>251.2</v>
      </c>
      <c r="U3417">
        <v>246.7</v>
      </c>
      <c r="V3417">
        <f t="shared" si="106"/>
        <v>248.95</v>
      </c>
      <c r="W3417">
        <f t="shared" si="107"/>
        <v>4.5</v>
      </c>
      <c r="X3417">
        <v>27.819721000000001</v>
      </c>
      <c r="Y3417">
        <v>-28.457778999999999</v>
      </c>
      <c r="Z3417" t="s">
        <v>105</v>
      </c>
      <c r="AA3417" t="s">
        <v>106</v>
      </c>
      <c r="AB3417" t="s">
        <v>1625</v>
      </c>
      <c r="AC3417" t="s">
        <v>4421</v>
      </c>
      <c r="AD3417" t="s">
        <v>2023</v>
      </c>
      <c r="AE3417" t="s">
        <v>110</v>
      </c>
      <c r="AG3417" t="s">
        <v>4078</v>
      </c>
      <c r="AH3417" t="s">
        <v>72</v>
      </c>
      <c r="AI3417" t="s">
        <v>4791</v>
      </c>
      <c r="AJ3417">
        <v>2014</v>
      </c>
      <c r="AK3417" t="s">
        <v>4796</v>
      </c>
      <c r="AN3417" t="s">
        <v>192</v>
      </c>
      <c r="AO3417" t="s">
        <v>77</v>
      </c>
      <c r="AP3417" t="s">
        <v>78</v>
      </c>
      <c r="AR3417" t="s">
        <v>80</v>
      </c>
      <c r="AS3417">
        <v>701</v>
      </c>
      <c r="AT3417" t="s">
        <v>81</v>
      </c>
      <c r="AU3417">
        <v>-5.54</v>
      </c>
      <c r="AV3417">
        <v>-50.05</v>
      </c>
      <c r="AW3417" t="s">
        <v>82</v>
      </c>
      <c r="AX3417">
        <v>701</v>
      </c>
      <c r="AY3417" t="s">
        <v>81</v>
      </c>
      <c r="AZ3417">
        <v>-12.06</v>
      </c>
      <c r="BA3417">
        <v>-64.64</v>
      </c>
      <c r="BB3417" t="s">
        <v>83</v>
      </c>
    </row>
    <row r="3418" spans="1:54" x14ac:dyDescent="0.4">
      <c r="A3418">
        <v>1349939</v>
      </c>
      <c r="D3418" t="s">
        <v>54</v>
      </c>
      <c r="F3418" t="s">
        <v>719</v>
      </c>
      <c r="G3418">
        <v>1</v>
      </c>
      <c r="H3418" t="s">
        <v>84</v>
      </c>
      <c r="I3418" t="s">
        <v>57</v>
      </c>
      <c r="K3418" t="s">
        <v>1873</v>
      </c>
      <c r="L3418" t="s">
        <v>2815</v>
      </c>
      <c r="M3418" t="s">
        <v>60</v>
      </c>
      <c r="P3418" t="s">
        <v>103</v>
      </c>
      <c r="R3418" t="s">
        <v>104</v>
      </c>
      <c r="S3418" t="s">
        <v>64</v>
      </c>
      <c r="T3418">
        <v>251.2</v>
      </c>
      <c r="U3418">
        <v>246.7</v>
      </c>
      <c r="V3418">
        <f t="shared" si="106"/>
        <v>248.95</v>
      </c>
      <c r="W3418">
        <f t="shared" si="107"/>
        <v>4.5</v>
      </c>
      <c r="X3418">
        <v>27.965834000000001</v>
      </c>
      <c r="Y3418">
        <v>-28.23</v>
      </c>
      <c r="Z3418" t="s">
        <v>124</v>
      </c>
      <c r="AA3418" t="s">
        <v>106</v>
      </c>
      <c r="AB3418" t="s">
        <v>1625</v>
      </c>
      <c r="AC3418" t="s">
        <v>4797</v>
      </c>
      <c r="AD3418" t="s">
        <v>2023</v>
      </c>
      <c r="AE3418" t="s">
        <v>110</v>
      </c>
      <c r="AG3418" t="s">
        <v>4798</v>
      </c>
      <c r="AH3418" t="s">
        <v>72</v>
      </c>
      <c r="AI3418" t="s">
        <v>4791</v>
      </c>
      <c r="AJ3418">
        <v>2014</v>
      </c>
      <c r="AK3418" t="s">
        <v>4799</v>
      </c>
      <c r="AN3418" t="s">
        <v>76</v>
      </c>
      <c r="AO3418" t="s">
        <v>77</v>
      </c>
      <c r="AP3418" t="s">
        <v>359</v>
      </c>
      <c r="AQ3418" t="s">
        <v>4800</v>
      </c>
      <c r="AR3418" t="s">
        <v>80</v>
      </c>
      <c r="AS3418">
        <v>701</v>
      </c>
      <c r="AT3418" t="s">
        <v>81</v>
      </c>
      <c r="AU3418">
        <v>-5.14</v>
      </c>
      <c r="AV3418">
        <v>-50</v>
      </c>
      <c r="AW3418" t="s">
        <v>82</v>
      </c>
      <c r="AX3418">
        <v>701</v>
      </c>
      <c r="AY3418" t="s">
        <v>81</v>
      </c>
      <c r="AZ3418">
        <v>-11.46</v>
      </c>
      <c r="BA3418">
        <v>-64.599999999999994</v>
      </c>
      <c r="BB3418" t="s">
        <v>83</v>
      </c>
    </row>
    <row r="3419" spans="1:54" x14ac:dyDescent="0.4">
      <c r="A3419">
        <v>1349940</v>
      </c>
      <c r="D3419" t="s">
        <v>54</v>
      </c>
      <c r="G3419">
        <v>1</v>
      </c>
      <c r="H3419" t="s">
        <v>84</v>
      </c>
      <c r="I3419" t="s">
        <v>57</v>
      </c>
      <c r="K3419" t="s">
        <v>1873</v>
      </c>
      <c r="L3419" t="s">
        <v>2815</v>
      </c>
      <c r="M3419" t="s">
        <v>60</v>
      </c>
      <c r="P3419" t="s">
        <v>103</v>
      </c>
      <c r="R3419" t="s">
        <v>104</v>
      </c>
      <c r="S3419" t="s">
        <v>64</v>
      </c>
      <c r="T3419">
        <v>251.2</v>
      </c>
      <c r="U3419">
        <v>246.7</v>
      </c>
      <c r="V3419">
        <f t="shared" si="106"/>
        <v>248.95</v>
      </c>
      <c r="W3419">
        <f t="shared" si="107"/>
        <v>4.5</v>
      </c>
      <c r="X3419">
        <v>27.620000999999998</v>
      </c>
      <c r="Y3419">
        <v>-28.32</v>
      </c>
      <c r="Z3419" t="s">
        <v>124</v>
      </c>
      <c r="AA3419" t="s">
        <v>106</v>
      </c>
      <c r="AB3419" t="s">
        <v>1625</v>
      </c>
      <c r="AC3419" t="s">
        <v>4801</v>
      </c>
      <c r="AD3419" t="s">
        <v>2023</v>
      </c>
      <c r="AE3419" t="s">
        <v>110</v>
      </c>
      <c r="AG3419" t="s">
        <v>4798</v>
      </c>
      <c r="AH3419" t="s">
        <v>72</v>
      </c>
      <c r="AI3419" t="s">
        <v>4791</v>
      </c>
      <c r="AJ3419">
        <v>2014</v>
      </c>
      <c r="AK3419" t="s">
        <v>4795</v>
      </c>
      <c r="AN3419" t="s">
        <v>114</v>
      </c>
      <c r="AO3419">
        <v>2</v>
      </c>
      <c r="AP3419" t="s">
        <v>359</v>
      </c>
      <c r="AQ3419" t="s">
        <v>4802</v>
      </c>
      <c r="AR3419" t="s">
        <v>80</v>
      </c>
      <c r="AS3419">
        <v>701</v>
      </c>
      <c r="AT3419" t="s">
        <v>81</v>
      </c>
      <c r="AU3419">
        <v>-5.56</v>
      </c>
      <c r="AV3419">
        <v>-49.82</v>
      </c>
      <c r="AW3419" t="s">
        <v>82</v>
      </c>
      <c r="AX3419">
        <v>701</v>
      </c>
      <c r="AY3419" t="s">
        <v>81</v>
      </c>
      <c r="AZ3419">
        <v>-12.07</v>
      </c>
      <c r="BA3419">
        <v>-64.42</v>
      </c>
      <c r="BB3419" t="s">
        <v>83</v>
      </c>
    </row>
    <row r="3420" spans="1:54" x14ac:dyDescent="0.4">
      <c r="A3420">
        <v>1349941</v>
      </c>
      <c r="D3420" t="s">
        <v>904</v>
      </c>
      <c r="G3420">
        <v>2</v>
      </c>
      <c r="H3420" t="s">
        <v>84</v>
      </c>
      <c r="I3420" t="s">
        <v>57</v>
      </c>
      <c r="K3420" t="s">
        <v>1873</v>
      </c>
      <c r="L3420" t="s">
        <v>2815</v>
      </c>
      <c r="M3420" t="s">
        <v>60</v>
      </c>
      <c r="P3420" t="s">
        <v>103</v>
      </c>
      <c r="R3420" t="s">
        <v>104</v>
      </c>
      <c r="S3420" t="s">
        <v>64</v>
      </c>
      <c r="T3420">
        <v>251.2</v>
      </c>
      <c r="U3420">
        <v>246.7</v>
      </c>
      <c r="V3420">
        <f t="shared" si="106"/>
        <v>248.95</v>
      </c>
      <c r="W3420">
        <f t="shared" si="107"/>
        <v>4.5</v>
      </c>
      <c r="X3420">
        <v>28.700001</v>
      </c>
      <c r="Y3420">
        <v>-28.32</v>
      </c>
      <c r="Z3420" t="s">
        <v>124</v>
      </c>
      <c r="AA3420" t="s">
        <v>106</v>
      </c>
      <c r="AB3420" t="s">
        <v>1625</v>
      </c>
      <c r="AC3420" t="s">
        <v>4803</v>
      </c>
      <c r="AD3420" t="s">
        <v>2023</v>
      </c>
      <c r="AE3420" t="s">
        <v>110</v>
      </c>
      <c r="AG3420" t="s">
        <v>4798</v>
      </c>
      <c r="AH3420" t="s">
        <v>72</v>
      </c>
      <c r="AI3420" t="s">
        <v>4791</v>
      </c>
      <c r="AJ3420">
        <v>2014</v>
      </c>
      <c r="AK3420" t="s">
        <v>4804</v>
      </c>
      <c r="AM3420" t="s">
        <v>4805</v>
      </c>
      <c r="AN3420" t="s">
        <v>114</v>
      </c>
      <c r="AO3420">
        <v>2</v>
      </c>
      <c r="AP3420" t="s">
        <v>359</v>
      </c>
      <c r="AQ3420" t="s">
        <v>4806</v>
      </c>
      <c r="AR3420" t="s">
        <v>80</v>
      </c>
      <c r="AS3420">
        <v>701</v>
      </c>
      <c r="AT3420" t="s">
        <v>81</v>
      </c>
      <c r="AU3420">
        <v>-4.5999999999999996</v>
      </c>
      <c r="AV3420">
        <v>-50.55</v>
      </c>
      <c r="AW3420" t="s">
        <v>82</v>
      </c>
      <c r="AX3420">
        <v>701</v>
      </c>
      <c r="AY3420" t="s">
        <v>81</v>
      </c>
      <c r="AZ3420">
        <v>-10.64</v>
      </c>
      <c r="BA3420">
        <v>-65.150000000000006</v>
      </c>
      <c r="BB3420" t="s">
        <v>83</v>
      </c>
    </row>
    <row r="3421" spans="1:54" x14ac:dyDescent="0.4">
      <c r="A3421">
        <v>1378800</v>
      </c>
      <c r="D3421" t="s">
        <v>4846</v>
      </c>
      <c r="G3421">
        <v>3</v>
      </c>
      <c r="H3421" t="s">
        <v>84</v>
      </c>
      <c r="I3421" t="s">
        <v>57</v>
      </c>
      <c r="K3421" t="s">
        <v>565</v>
      </c>
      <c r="L3421" t="s">
        <v>651</v>
      </c>
      <c r="M3421" t="s">
        <v>223</v>
      </c>
      <c r="N3421" t="s">
        <v>234</v>
      </c>
      <c r="O3421" t="s">
        <v>87</v>
      </c>
      <c r="P3421" t="s">
        <v>103</v>
      </c>
      <c r="R3421" t="s">
        <v>104</v>
      </c>
      <c r="S3421" t="s">
        <v>64</v>
      </c>
      <c r="T3421">
        <v>251.2</v>
      </c>
      <c r="U3421">
        <v>246.7</v>
      </c>
      <c r="V3421">
        <f t="shared" si="106"/>
        <v>248.95</v>
      </c>
      <c r="W3421">
        <f t="shared" si="107"/>
        <v>4.5</v>
      </c>
      <c r="X3421">
        <v>117.822784</v>
      </c>
      <c r="Y3421">
        <v>31.624428000000002</v>
      </c>
      <c r="Z3421" t="s">
        <v>520</v>
      </c>
      <c r="AA3421" t="s">
        <v>379</v>
      </c>
      <c r="AB3421" t="s">
        <v>652</v>
      </c>
      <c r="AD3421" t="s">
        <v>4503</v>
      </c>
      <c r="AH3421" t="s">
        <v>72</v>
      </c>
      <c r="AI3421" t="s">
        <v>4847</v>
      </c>
      <c r="AJ3421">
        <v>2017</v>
      </c>
      <c r="AK3421" t="s">
        <v>4848</v>
      </c>
      <c r="AN3421" t="s">
        <v>192</v>
      </c>
      <c r="AO3421">
        <v>6</v>
      </c>
      <c r="AQ3421" t="s">
        <v>4849</v>
      </c>
      <c r="AR3421" t="s">
        <v>80</v>
      </c>
      <c r="AS3421">
        <v>604</v>
      </c>
      <c r="AT3421" t="s">
        <v>81</v>
      </c>
      <c r="AU3421">
        <v>116.02</v>
      </c>
      <c r="AV3421">
        <v>5.81</v>
      </c>
      <c r="AW3421" t="s">
        <v>82</v>
      </c>
      <c r="AX3421">
        <v>611</v>
      </c>
      <c r="AY3421" t="s">
        <v>81</v>
      </c>
      <c r="AZ3421">
        <v>101.96</v>
      </c>
      <c r="BA3421">
        <v>19.28</v>
      </c>
      <c r="BB3421" t="s">
        <v>83</v>
      </c>
    </row>
    <row r="3422" spans="1:54" x14ac:dyDescent="0.4">
      <c r="A3422">
        <v>1409652</v>
      </c>
      <c r="D3422" t="s">
        <v>853</v>
      </c>
      <c r="G3422">
        <v>1</v>
      </c>
      <c r="H3422" t="s">
        <v>84</v>
      </c>
      <c r="I3422" t="s">
        <v>57</v>
      </c>
      <c r="K3422" t="s">
        <v>141</v>
      </c>
      <c r="L3422" t="s">
        <v>5006</v>
      </c>
      <c r="M3422" t="s">
        <v>223</v>
      </c>
      <c r="P3422" t="s">
        <v>103</v>
      </c>
      <c r="R3422" t="s">
        <v>104</v>
      </c>
      <c r="S3422" t="s">
        <v>64</v>
      </c>
      <c r="T3422">
        <v>251.2</v>
      </c>
      <c r="U3422">
        <v>246.7</v>
      </c>
      <c r="V3422">
        <f t="shared" si="106"/>
        <v>248.95</v>
      </c>
      <c r="W3422">
        <f t="shared" si="107"/>
        <v>4.5</v>
      </c>
      <c r="X3422">
        <v>117.82</v>
      </c>
      <c r="Y3422">
        <v>31.620000999999998</v>
      </c>
      <c r="Z3422" t="s">
        <v>520</v>
      </c>
      <c r="AA3422" t="s">
        <v>379</v>
      </c>
      <c r="AB3422" t="s">
        <v>652</v>
      </c>
      <c r="AD3422" t="s">
        <v>4503</v>
      </c>
      <c r="AF3422" t="s">
        <v>1188</v>
      </c>
      <c r="AG3422" t="s">
        <v>5007</v>
      </c>
      <c r="AH3422" t="s">
        <v>72</v>
      </c>
      <c r="AI3422" t="s">
        <v>3571</v>
      </c>
      <c r="AJ3422">
        <v>2014</v>
      </c>
      <c r="AK3422" t="s">
        <v>5008</v>
      </c>
      <c r="AM3422" t="s">
        <v>5009</v>
      </c>
      <c r="AN3422" t="s">
        <v>192</v>
      </c>
      <c r="AO3422">
        <v>2</v>
      </c>
      <c r="AP3422" t="s">
        <v>78</v>
      </c>
      <c r="AR3422" t="s">
        <v>80</v>
      </c>
      <c r="AS3422">
        <v>604</v>
      </c>
      <c r="AT3422" t="s">
        <v>81</v>
      </c>
      <c r="AU3422">
        <v>116.01</v>
      </c>
      <c r="AV3422">
        <v>5.8</v>
      </c>
      <c r="AW3422" t="s">
        <v>82</v>
      </c>
      <c r="AX3422">
        <v>611</v>
      </c>
      <c r="AY3422" t="s">
        <v>81</v>
      </c>
      <c r="AZ3422">
        <v>101.96</v>
      </c>
      <c r="BA3422">
        <v>19.28</v>
      </c>
      <c r="BB3422" t="s">
        <v>83</v>
      </c>
    </row>
    <row r="3423" spans="1:54" x14ac:dyDescent="0.4">
      <c r="A3423">
        <v>1412684</v>
      </c>
      <c r="D3423" t="s">
        <v>54</v>
      </c>
      <c r="I3423" t="s">
        <v>57</v>
      </c>
      <c r="K3423" t="s">
        <v>3908</v>
      </c>
      <c r="L3423" t="s">
        <v>3909</v>
      </c>
      <c r="M3423" t="s">
        <v>60</v>
      </c>
      <c r="P3423" t="s">
        <v>103</v>
      </c>
      <c r="R3423" t="s">
        <v>104</v>
      </c>
      <c r="S3423" t="s">
        <v>64</v>
      </c>
      <c r="T3423">
        <v>251.2</v>
      </c>
      <c r="U3423">
        <v>246.7</v>
      </c>
      <c r="V3423">
        <f t="shared" si="106"/>
        <v>248.95</v>
      </c>
      <c r="W3423">
        <f t="shared" si="107"/>
        <v>4.5</v>
      </c>
      <c r="X3423">
        <v>111.566109</v>
      </c>
      <c r="Y3423">
        <v>31.164722000000001</v>
      </c>
      <c r="Z3423" t="s">
        <v>520</v>
      </c>
      <c r="AA3423" t="s">
        <v>379</v>
      </c>
      <c r="AB3423" t="s">
        <v>3239</v>
      </c>
      <c r="AC3423" t="s">
        <v>3432</v>
      </c>
      <c r="AD3423" t="s">
        <v>3339</v>
      </c>
      <c r="AH3423" t="s">
        <v>72</v>
      </c>
      <c r="AI3423" t="s">
        <v>3804</v>
      </c>
      <c r="AJ3423">
        <v>2016</v>
      </c>
      <c r="AK3423" t="s">
        <v>5021</v>
      </c>
      <c r="AN3423" t="s">
        <v>114</v>
      </c>
      <c r="AO3423" t="s">
        <v>77</v>
      </c>
      <c r="AR3423" t="s">
        <v>80</v>
      </c>
      <c r="AS3423">
        <v>611</v>
      </c>
      <c r="AT3423" t="s">
        <v>81</v>
      </c>
      <c r="AU3423">
        <v>111.73</v>
      </c>
      <c r="AV3423">
        <v>-6.56</v>
      </c>
      <c r="AW3423" t="s">
        <v>82</v>
      </c>
      <c r="AX3423">
        <v>611</v>
      </c>
      <c r="AY3423" t="s">
        <v>81</v>
      </c>
      <c r="AZ3423">
        <v>97.83</v>
      </c>
      <c r="BA3423">
        <v>15.65</v>
      </c>
      <c r="BB3423" t="s">
        <v>83</v>
      </c>
    </row>
    <row r="3424" spans="1:54" x14ac:dyDescent="0.4">
      <c r="A3424">
        <v>1416148</v>
      </c>
      <c r="D3424" t="s">
        <v>54</v>
      </c>
      <c r="I3424" t="s">
        <v>57</v>
      </c>
      <c r="K3424" t="s">
        <v>2801</v>
      </c>
      <c r="L3424" t="s">
        <v>2802</v>
      </c>
      <c r="M3424" t="s">
        <v>60</v>
      </c>
      <c r="N3424" t="s">
        <v>119</v>
      </c>
      <c r="O3424" t="s">
        <v>87</v>
      </c>
      <c r="P3424" t="s">
        <v>103</v>
      </c>
      <c r="R3424" t="s">
        <v>104</v>
      </c>
      <c r="S3424" t="s">
        <v>64</v>
      </c>
      <c r="T3424">
        <v>251.2</v>
      </c>
      <c r="U3424">
        <v>246.7</v>
      </c>
      <c r="V3424">
        <f t="shared" si="106"/>
        <v>248.95</v>
      </c>
      <c r="W3424">
        <f t="shared" si="107"/>
        <v>4.5</v>
      </c>
      <c r="X3424">
        <v>51.696109999999997</v>
      </c>
      <c r="Y3424">
        <v>52.807499</v>
      </c>
      <c r="Z3424" t="s">
        <v>124</v>
      </c>
      <c r="AA3424" t="s">
        <v>239</v>
      </c>
      <c r="AB3424" t="s">
        <v>5065</v>
      </c>
      <c r="AD3424" t="s">
        <v>5066</v>
      </c>
      <c r="AF3424" t="s">
        <v>5067</v>
      </c>
      <c r="AH3424" t="s">
        <v>11</v>
      </c>
      <c r="AI3424" t="s">
        <v>1864</v>
      </c>
      <c r="AJ3424">
        <v>2012</v>
      </c>
      <c r="AK3424" t="s">
        <v>5068</v>
      </c>
      <c r="AN3424" t="s">
        <v>114</v>
      </c>
      <c r="AO3424" t="s">
        <v>77</v>
      </c>
      <c r="AQ3424" t="s">
        <v>5069</v>
      </c>
      <c r="AR3424" t="s">
        <v>80</v>
      </c>
      <c r="AS3424">
        <v>302</v>
      </c>
      <c r="AT3424" t="s">
        <v>81</v>
      </c>
      <c r="AU3424">
        <v>57.47</v>
      </c>
      <c r="AV3424">
        <v>39.799999999999997</v>
      </c>
      <c r="AW3424" t="s">
        <v>82</v>
      </c>
      <c r="AX3424">
        <v>301</v>
      </c>
      <c r="AY3424" t="s">
        <v>81</v>
      </c>
      <c r="AZ3424">
        <v>42.85</v>
      </c>
      <c r="BA3424">
        <v>31.8</v>
      </c>
      <c r="BB3424" t="s">
        <v>83</v>
      </c>
    </row>
    <row r="3425" spans="1:54" x14ac:dyDescent="0.4">
      <c r="A3425">
        <v>1416149</v>
      </c>
      <c r="D3425" t="s">
        <v>54</v>
      </c>
      <c r="I3425" t="s">
        <v>57</v>
      </c>
      <c r="K3425" t="s">
        <v>141</v>
      </c>
      <c r="L3425" t="s">
        <v>629</v>
      </c>
      <c r="M3425" t="s">
        <v>60</v>
      </c>
      <c r="P3425" t="s">
        <v>103</v>
      </c>
      <c r="R3425" t="s">
        <v>104</v>
      </c>
      <c r="S3425" t="s">
        <v>64</v>
      </c>
      <c r="T3425">
        <v>251.2</v>
      </c>
      <c r="U3425">
        <v>246.7</v>
      </c>
      <c r="V3425">
        <f t="shared" si="106"/>
        <v>248.95</v>
      </c>
      <c r="W3425">
        <f t="shared" si="107"/>
        <v>4.5</v>
      </c>
      <c r="X3425">
        <v>51.696109999999997</v>
      </c>
      <c r="Y3425">
        <v>52.807499</v>
      </c>
      <c r="Z3425" t="s">
        <v>124</v>
      </c>
      <c r="AA3425" t="s">
        <v>239</v>
      </c>
      <c r="AB3425" t="s">
        <v>5065</v>
      </c>
      <c r="AD3425" t="s">
        <v>5066</v>
      </c>
      <c r="AF3425" t="s">
        <v>5067</v>
      </c>
      <c r="AH3425" t="s">
        <v>11</v>
      </c>
      <c r="AI3425" t="s">
        <v>1864</v>
      </c>
      <c r="AJ3425">
        <v>2012</v>
      </c>
      <c r="AK3425" t="s">
        <v>5068</v>
      </c>
      <c r="AN3425" t="s">
        <v>114</v>
      </c>
      <c r="AO3425" t="s">
        <v>77</v>
      </c>
      <c r="AQ3425" t="s">
        <v>5069</v>
      </c>
      <c r="AR3425" t="s">
        <v>80</v>
      </c>
      <c r="AS3425">
        <v>302</v>
      </c>
      <c r="AT3425" t="s">
        <v>81</v>
      </c>
      <c r="AU3425">
        <v>57.47</v>
      </c>
      <c r="AV3425">
        <v>39.799999999999997</v>
      </c>
      <c r="AW3425" t="s">
        <v>82</v>
      </c>
      <c r="AX3425">
        <v>301</v>
      </c>
      <c r="AY3425" t="s">
        <v>81</v>
      </c>
      <c r="AZ3425">
        <v>42.85</v>
      </c>
      <c r="BA3425">
        <v>31.8</v>
      </c>
      <c r="BB3425" t="s">
        <v>83</v>
      </c>
    </row>
    <row r="3426" spans="1:54" x14ac:dyDescent="0.4">
      <c r="A3426">
        <v>1416154</v>
      </c>
      <c r="D3426" t="s">
        <v>54</v>
      </c>
      <c r="I3426" t="s">
        <v>57</v>
      </c>
      <c r="K3426" t="s">
        <v>141</v>
      </c>
      <c r="L3426" t="s">
        <v>629</v>
      </c>
      <c r="M3426" t="s">
        <v>60</v>
      </c>
      <c r="P3426" t="s">
        <v>103</v>
      </c>
      <c r="R3426" t="s">
        <v>104</v>
      </c>
      <c r="S3426" t="s">
        <v>64</v>
      </c>
      <c r="T3426">
        <v>251.2</v>
      </c>
      <c r="U3426">
        <v>246.7</v>
      </c>
      <c r="V3426">
        <f t="shared" si="106"/>
        <v>248.95</v>
      </c>
      <c r="W3426">
        <f t="shared" si="107"/>
        <v>4.5</v>
      </c>
      <c r="X3426">
        <v>51.779167000000001</v>
      </c>
      <c r="Y3426">
        <v>52.797221999999998</v>
      </c>
      <c r="Z3426" t="s">
        <v>432</v>
      </c>
      <c r="AA3426" t="s">
        <v>239</v>
      </c>
      <c r="AB3426" t="s">
        <v>638</v>
      </c>
      <c r="AD3426" t="s">
        <v>5070</v>
      </c>
      <c r="AF3426" t="s">
        <v>5071</v>
      </c>
      <c r="AH3426" t="s">
        <v>11</v>
      </c>
      <c r="AI3426" t="s">
        <v>1864</v>
      </c>
      <c r="AJ3426">
        <v>2012</v>
      </c>
      <c r="AK3426" t="s">
        <v>5072</v>
      </c>
      <c r="AM3426" t="s">
        <v>5073</v>
      </c>
      <c r="AN3426" t="s">
        <v>114</v>
      </c>
      <c r="AO3426" t="s">
        <v>77</v>
      </c>
      <c r="AP3426" t="s">
        <v>115</v>
      </c>
      <c r="AQ3426" t="s">
        <v>5074</v>
      </c>
      <c r="AR3426" t="s">
        <v>80</v>
      </c>
      <c r="AS3426">
        <v>302</v>
      </c>
      <c r="AT3426" t="s">
        <v>81</v>
      </c>
      <c r="AU3426">
        <v>57.54</v>
      </c>
      <c r="AV3426">
        <v>39.82</v>
      </c>
      <c r="AW3426" t="s">
        <v>82</v>
      </c>
      <c r="AX3426">
        <v>301</v>
      </c>
      <c r="AY3426" t="s">
        <v>81</v>
      </c>
      <c r="AZ3426">
        <v>42.9</v>
      </c>
      <c r="BA3426">
        <v>31.82</v>
      </c>
      <c r="BB3426" t="s">
        <v>83</v>
      </c>
    </row>
    <row r="3427" spans="1:54" x14ac:dyDescent="0.4">
      <c r="A3427">
        <v>1416307</v>
      </c>
      <c r="D3427" t="s">
        <v>54</v>
      </c>
      <c r="I3427" t="s">
        <v>57</v>
      </c>
      <c r="K3427" t="s">
        <v>141</v>
      </c>
      <c r="L3427" t="s">
        <v>629</v>
      </c>
      <c r="M3427" t="s">
        <v>60</v>
      </c>
      <c r="P3427" t="s">
        <v>103</v>
      </c>
      <c r="R3427" t="s">
        <v>104</v>
      </c>
      <c r="S3427" t="s">
        <v>64</v>
      </c>
      <c r="T3427">
        <v>251.2</v>
      </c>
      <c r="U3427">
        <v>246.7</v>
      </c>
      <c r="V3427">
        <f t="shared" si="106"/>
        <v>248.95</v>
      </c>
      <c r="W3427">
        <f t="shared" si="107"/>
        <v>4.5</v>
      </c>
      <c r="X3427">
        <v>53.640555999999997</v>
      </c>
      <c r="Y3427">
        <v>51.888888999999999</v>
      </c>
      <c r="Z3427" t="s">
        <v>432</v>
      </c>
      <c r="AA3427" t="s">
        <v>239</v>
      </c>
      <c r="AB3427" t="s">
        <v>638</v>
      </c>
      <c r="AD3427" t="s">
        <v>2804</v>
      </c>
      <c r="AH3427" t="s">
        <v>11</v>
      </c>
      <c r="AI3427" t="s">
        <v>1937</v>
      </c>
      <c r="AJ3427">
        <v>2003</v>
      </c>
      <c r="AK3427" t="s">
        <v>5093</v>
      </c>
      <c r="AN3427" t="s">
        <v>192</v>
      </c>
      <c r="AO3427" t="s">
        <v>77</v>
      </c>
      <c r="AP3427" t="s">
        <v>78</v>
      </c>
      <c r="AQ3427" t="s">
        <v>5094</v>
      </c>
      <c r="AR3427" t="s">
        <v>80</v>
      </c>
      <c r="AS3427">
        <v>302</v>
      </c>
      <c r="AT3427" t="s">
        <v>81</v>
      </c>
      <c r="AU3427">
        <v>59.41</v>
      </c>
      <c r="AV3427">
        <v>39.590000000000003</v>
      </c>
      <c r="AW3427" t="s">
        <v>82</v>
      </c>
      <c r="AX3427">
        <v>301</v>
      </c>
      <c r="AY3427" t="s">
        <v>81</v>
      </c>
      <c r="AZ3427">
        <v>44.6</v>
      </c>
      <c r="BA3427">
        <v>31.99</v>
      </c>
      <c r="BB3427" t="s">
        <v>83</v>
      </c>
    </row>
    <row r="3428" spans="1:54" x14ac:dyDescent="0.4">
      <c r="A3428">
        <v>1416308</v>
      </c>
      <c r="D3428" t="s">
        <v>54</v>
      </c>
      <c r="I3428" t="s">
        <v>57</v>
      </c>
      <c r="K3428" t="s">
        <v>100</v>
      </c>
      <c r="L3428" t="s">
        <v>2752</v>
      </c>
      <c r="M3428" t="s">
        <v>60</v>
      </c>
      <c r="P3428" t="s">
        <v>103</v>
      </c>
      <c r="R3428" t="s">
        <v>104</v>
      </c>
      <c r="S3428" t="s">
        <v>64</v>
      </c>
      <c r="T3428">
        <v>251.2</v>
      </c>
      <c r="U3428">
        <v>246.7</v>
      </c>
      <c r="V3428">
        <f t="shared" si="106"/>
        <v>248.95</v>
      </c>
      <c r="W3428">
        <f t="shared" si="107"/>
        <v>4.5</v>
      </c>
      <c r="X3428">
        <v>53.343055999999997</v>
      </c>
      <c r="Y3428">
        <v>52.22139</v>
      </c>
      <c r="Z3428" t="s">
        <v>432</v>
      </c>
      <c r="AA3428" t="s">
        <v>239</v>
      </c>
      <c r="AB3428" t="s">
        <v>638</v>
      </c>
      <c r="AD3428" t="s">
        <v>2804</v>
      </c>
      <c r="AH3428" t="s">
        <v>11</v>
      </c>
      <c r="AI3428" t="s">
        <v>1937</v>
      </c>
      <c r="AJ3428">
        <v>2003</v>
      </c>
      <c r="AK3428" t="s">
        <v>5095</v>
      </c>
      <c r="AN3428" t="s">
        <v>192</v>
      </c>
      <c r="AO3428" t="s">
        <v>77</v>
      </c>
      <c r="AP3428" t="s">
        <v>78</v>
      </c>
      <c r="AQ3428" t="s">
        <v>5096</v>
      </c>
      <c r="AR3428" t="s">
        <v>80</v>
      </c>
      <c r="AS3428">
        <v>302</v>
      </c>
      <c r="AT3428" t="s">
        <v>81</v>
      </c>
      <c r="AU3428">
        <v>58.99</v>
      </c>
      <c r="AV3428">
        <v>39.79</v>
      </c>
      <c r="AW3428" t="s">
        <v>82</v>
      </c>
      <c r="AX3428">
        <v>301</v>
      </c>
      <c r="AY3428" t="s">
        <v>81</v>
      </c>
      <c r="AZ3428">
        <v>44.17</v>
      </c>
      <c r="BA3428">
        <v>32.090000000000003</v>
      </c>
      <c r="BB3428" t="s">
        <v>83</v>
      </c>
    </row>
    <row r="3429" spans="1:54" x14ac:dyDescent="0.4">
      <c r="A3429">
        <v>1416309</v>
      </c>
      <c r="D3429" t="s">
        <v>54</v>
      </c>
      <c r="I3429" t="s">
        <v>57</v>
      </c>
      <c r="K3429" t="s">
        <v>141</v>
      </c>
      <c r="L3429" t="s">
        <v>629</v>
      </c>
      <c r="M3429" t="s">
        <v>60</v>
      </c>
      <c r="P3429" t="s">
        <v>103</v>
      </c>
      <c r="R3429" t="s">
        <v>104</v>
      </c>
      <c r="S3429" t="s">
        <v>64</v>
      </c>
      <c r="T3429">
        <v>251.2</v>
      </c>
      <c r="U3429">
        <v>246.7</v>
      </c>
      <c r="V3429">
        <f t="shared" si="106"/>
        <v>248.95</v>
      </c>
      <c r="W3429">
        <f t="shared" si="107"/>
        <v>4.5</v>
      </c>
      <c r="X3429">
        <v>53.328887999999999</v>
      </c>
      <c r="Y3429">
        <v>52.223610000000001</v>
      </c>
      <c r="Z3429" t="s">
        <v>432</v>
      </c>
      <c r="AA3429" t="s">
        <v>239</v>
      </c>
      <c r="AB3429" t="s">
        <v>638</v>
      </c>
      <c r="AD3429" t="s">
        <v>2804</v>
      </c>
      <c r="AH3429" t="s">
        <v>11</v>
      </c>
      <c r="AI3429" t="s">
        <v>1937</v>
      </c>
      <c r="AJ3429">
        <v>2003</v>
      </c>
      <c r="AK3429" t="s">
        <v>5097</v>
      </c>
      <c r="AN3429" t="s">
        <v>192</v>
      </c>
      <c r="AO3429" t="s">
        <v>77</v>
      </c>
      <c r="AP3429" t="s">
        <v>78</v>
      </c>
      <c r="AQ3429" t="s">
        <v>5098</v>
      </c>
      <c r="AR3429" t="s">
        <v>80</v>
      </c>
      <c r="AS3429">
        <v>302</v>
      </c>
      <c r="AT3429" t="s">
        <v>81</v>
      </c>
      <c r="AU3429">
        <v>58.97</v>
      </c>
      <c r="AV3429">
        <v>39.79</v>
      </c>
      <c r="AW3429" t="s">
        <v>82</v>
      </c>
      <c r="AX3429">
        <v>301</v>
      </c>
      <c r="AY3429" t="s">
        <v>81</v>
      </c>
      <c r="AZ3429">
        <v>44.17</v>
      </c>
      <c r="BA3429">
        <v>32.090000000000003</v>
      </c>
      <c r="BB3429" t="s">
        <v>83</v>
      </c>
    </row>
    <row r="3430" spans="1:54" x14ac:dyDescent="0.4">
      <c r="A3430">
        <v>1417067</v>
      </c>
      <c r="D3430" t="s">
        <v>54</v>
      </c>
      <c r="I3430" t="s">
        <v>57</v>
      </c>
      <c r="K3430" t="s">
        <v>141</v>
      </c>
      <c r="L3430" t="s">
        <v>629</v>
      </c>
      <c r="M3430" t="s">
        <v>60</v>
      </c>
      <c r="P3430" t="s">
        <v>103</v>
      </c>
      <c r="R3430" t="s">
        <v>104</v>
      </c>
      <c r="S3430" t="s">
        <v>64</v>
      </c>
      <c r="T3430">
        <v>251.2</v>
      </c>
      <c r="U3430">
        <v>246.7</v>
      </c>
      <c r="V3430">
        <f t="shared" si="106"/>
        <v>248.95</v>
      </c>
      <c r="W3430">
        <f t="shared" si="107"/>
        <v>4.5</v>
      </c>
      <c r="X3430">
        <v>51.927222999999998</v>
      </c>
      <c r="Y3430">
        <v>52.497779999999999</v>
      </c>
      <c r="Z3430" t="s">
        <v>432</v>
      </c>
      <c r="AA3430" t="s">
        <v>239</v>
      </c>
      <c r="AB3430" t="s">
        <v>638</v>
      </c>
      <c r="AD3430" t="s">
        <v>2804</v>
      </c>
      <c r="AH3430" t="s">
        <v>11</v>
      </c>
      <c r="AI3430" t="s">
        <v>1937</v>
      </c>
      <c r="AJ3430">
        <v>2003</v>
      </c>
      <c r="AK3430" t="s">
        <v>5115</v>
      </c>
      <c r="AN3430" t="s">
        <v>114</v>
      </c>
      <c r="AO3430" t="s">
        <v>77</v>
      </c>
      <c r="AP3430" t="s">
        <v>115</v>
      </c>
      <c r="AQ3430" t="s">
        <v>5116</v>
      </c>
      <c r="AR3430" t="s">
        <v>80</v>
      </c>
      <c r="AS3430">
        <v>302</v>
      </c>
      <c r="AT3430" t="s">
        <v>81</v>
      </c>
      <c r="AU3430">
        <v>57.83</v>
      </c>
      <c r="AV3430">
        <v>39.6</v>
      </c>
      <c r="AW3430" t="s">
        <v>82</v>
      </c>
      <c r="AX3430">
        <v>301</v>
      </c>
      <c r="AY3430" t="s">
        <v>81</v>
      </c>
      <c r="AZ3430">
        <v>43.22</v>
      </c>
      <c r="BA3430">
        <v>31.67</v>
      </c>
      <c r="BB3430" t="s">
        <v>83</v>
      </c>
    </row>
    <row r="3431" spans="1:54" x14ac:dyDescent="0.4">
      <c r="A3431">
        <v>1417069</v>
      </c>
      <c r="D3431" t="s">
        <v>54</v>
      </c>
      <c r="I3431" t="s">
        <v>57</v>
      </c>
      <c r="K3431" t="s">
        <v>141</v>
      </c>
      <c r="L3431" t="s">
        <v>629</v>
      </c>
      <c r="M3431" t="s">
        <v>60</v>
      </c>
      <c r="P3431" t="s">
        <v>103</v>
      </c>
      <c r="R3431" t="s">
        <v>104</v>
      </c>
      <c r="S3431" t="s">
        <v>64</v>
      </c>
      <c r="T3431">
        <v>251.2</v>
      </c>
      <c r="U3431">
        <v>246.7</v>
      </c>
      <c r="V3431">
        <f t="shared" si="106"/>
        <v>248.95</v>
      </c>
      <c r="W3431">
        <f t="shared" si="107"/>
        <v>4.5</v>
      </c>
      <c r="X3431">
        <v>52.008609999999997</v>
      </c>
      <c r="Y3431">
        <v>52.624167999999997</v>
      </c>
      <c r="Z3431" t="s">
        <v>432</v>
      </c>
      <c r="AA3431" t="s">
        <v>239</v>
      </c>
      <c r="AB3431" t="s">
        <v>638</v>
      </c>
      <c r="AD3431" t="s">
        <v>2804</v>
      </c>
      <c r="AH3431" t="s">
        <v>11</v>
      </c>
      <c r="AI3431" t="s">
        <v>1937</v>
      </c>
      <c r="AJ3431">
        <v>2003</v>
      </c>
      <c r="AK3431" t="s">
        <v>5117</v>
      </c>
      <c r="AN3431" t="s">
        <v>114</v>
      </c>
      <c r="AO3431" t="s">
        <v>77</v>
      </c>
      <c r="AP3431" t="s">
        <v>115</v>
      </c>
      <c r="AQ3431" t="s">
        <v>5118</v>
      </c>
      <c r="AR3431" t="s">
        <v>80</v>
      </c>
      <c r="AS3431">
        <v>302</v>
      </c>
      <c r="AT3431" t="s">
        <v>81</v>
      </c>
      <c r="AU3431">
        <v>57.81</v>
      </c>
      <c r="AV3431">
        <v>39.74</v>
      </c>
      <c r="AW3431" t="s">
        <v>82</v>
      </c>
      <c r="AX3431">
        <v>301</v>
      </c>
      <c r="AY3431" t="s">
        <v>81</v>
      </c>
      <c r="AZ3431">
        <v>43.16</v>
      </c>
      <c r="BA3431">
        <v>31.8</v>
      </c>
      <c r="BB3431" t="s">
        <v>83</v>
      </c>
    </row>
    <row r="3432" spans="1:54" x14ac:dyDescent="0.4">
      <c r="A3432">
        <v>1475021</v>
      </c>
      <c r="D3432" t="s">
        <v>4846</v>
      </c>
      <c r="I3432" t="s">
        <v>57</v>
      </c>
      <c r="K3432" t="s">
        <v>565</v>
      </c>
      <c r="L3432" t="s">
        <v>651</v>
      </c>
      <c r="M3432" t="s">
        <v>223</v>
      </c>
      <c r="N3432" t="s">
        <v>234</v>
      </c>
      <c r="O3432" t="s">
        <v>87</v>
      </c>
      <c r="P3432" t="s">
        <v>103</v>
      </c>
      <c r="R3432" t="s">
        <v>104</v>
      </c>
      <c r="S3432" t="s">
        <v>64</v>
      </c>
      <c r="T3432">
        <v>251.2</v>
      </c>
      <c r="U3432">
        <v>246.7</v>
      </c>
      <c r="V3432">
        <f t="shared" si="106"/>
        <v>248.95</v>
      </c>
      <c r="W3432">
        <f t="shared" si="107"/>
        <v>4.5</v>
      </c>
      <c r="X3432">
        <v>117.822784</v>
      </c>
      <c r="Y3432">
        <v>31.624428000000002</v>
      </c>
      <c r="Z3432" t="s">
        <v>520</v>
      </c>
      <c r="AA3432" t="s">
        <v>379</v>
      </c>
      <c r="AB3432" t="s">
        <v>652</v>
      </c>
      <c r="AD3432" t="s">
        <v>4503</v>
      </c>
      <c r="AH3432" t="s">
        <v>72</v>
      </c>
      <c r="AI3432" t="s">
        <v>5439</v>
      </c>
      <c r="AJ3432">
        <v>2019</v>
      </c>
      <c r="AK3432" t="s">
        <v>4848</v>
      </c>
      <c r="AN3432" t="s">
        <v>192</v>
      </c>
      <c r="AO3432">
        <v>6</v>
      </c>
      <c r="AQ3432" t="s">
        <v>4849</v>
      </c>
      <c r="AR3432" t="s">
        <v>80</v>
      </c>
      <c r="AS3432">
        <v>604</v>
      </c>
      <c r="AT3432" t="s">
        <v>81</v>
      </c>
      <c r="AU3432">
        <v>116.02</v>
      </c>
      <c r="AV3432">
        <v>5.81</v>
      </c>
      <c r="AW3432" t="s">
        <v>82</v>
      </c>
      <c r="AX3432">
        <v>611</v>
      </c>
      <c r="AY3432" t="s">
        <v>81</v>
      </c>
      <c r="AZ3432">
        <v>101.96</v>
      </c>
      <c r="BA3432">
        <v>19.28</v>
      </c>
      <c r="BB3432" t="s">
        <v>83</v>
      </c>
    </row>
    <row r="3433" spans="1:54" x14ac:dyDescent="0.4">
      <c r="A3433">
        <v>1626504</v>
      </c>
      <c r="D3433" t="s">
        <v>54</v>
      </c>
      <c r="I3433" t="s">
        <v>57</v>
      </c>
      <c r="K3433" t="s">
        <v>196</v>
      </c>
      <c r="L3433" t="s">
        <v>5655</v>
      </c>
      <c r="M3433" t="s">
        <v>60</v>
      </c>
      <c r="O3433" t="s">
        <v>87</v>
      </c>
      <c r="P3433" t="s">
        <v>103</v>
      </c>
      <c r="R3433" t="s">
        <v>104</v>
      </c>
      <c r="S3433" t="s">
        <v>64</v>
      </c>
      <c r="T3433">
        <v>251.2</v>
      </c>
      <c r="U3433">
        <v>246.7</v>
      </c>
      <c r="V3433">
        <f t="shared" si="106"/>
        <v>248.95</v>
      </c>
      <c r="W3433">
        <f t="shared" si="107"/>
        <v>4.5</v>
      </c>
      <c r="X3433">
        <v>43.673057999999997</v>
      </c>
      <c r="Y3433">
        <v>49.260834000000003</v>
      </c>
      <c r="Z3433" t="s">
        <v>124</v>
      </c>
      <c r="AA3433" t="s">
        <v>239</v>
      </c>
      <c r="AB3433" t="s">
        <v>2816</v>
      </c>
      <c r="AC3433" t="s">
        <v>2817</v>
      </c>
      <c r="AD3433" t="s">
        <v>2818</v>
      </c>
      <c r="AH3433" t="s">
        <v>72</v>
      </c>
      <c r="AI3433" t="s">
        <v>612</v>
      </c>
      <c r="AJ3433">
        <v>2022</v>
      </c>
      <c r="AK3433" t="s">
        <v>2819</v>
      </c>
      <c r="AM3433" t="s">
        <v>2820</v>
      </c>
      <c r="AN3433" t="s">
        <v>114</v>
      </c>
      <c r="AO3433" t="s">
        <v>77</v>
      </c>
      <c r="AP3433" t="s">
        <v>78</v>
      </c>
      <c r="AQ3433" t="s">
        <v>2821</v>
      </c>
      <c r="AR3433" t="s">
        <v>80</v>
      </c>
      <c r="AS3433">
        <v>302</v>
      </c>
      <c r="AT3433" t="s">
        <v>81</v>
      </c>
      <c r="AU3433">
        <v>53.92</v>
      </c>
      <c r="AV3433">
        <v>34.33</v>
      </c>
      <c r="AW3433" t="s">
        <v>82</v>
      </c>
      <c r="AX3433">
        <v>301</v>
      </c>
      <c r="AY3433" t="s">
        <v>81</v>
      </c>
      <c r="AZ3433">
        <v>41.27</v>
      </c>
      <c r="BA3433">
        <v>25.79</v>
      </c>
      <c r="BB3433" t="s">
        <v>83</v>
      </c>
    </row>
    <row r="3434" spans="1:54" x14ac:dyDescent="0.4">
      <c r="A3434">
        <v>1638028</v>
      </c>
      <c r="D3434" t="s">
        <v>2001</v>
      </c>
      <c r="E3434" t="s">
        <v>152</v>
      </c>
      <c r="G3434">
        <v>1</v>
      </c>
      <c r="H3434" t="s">
        <v>84</v>
      </c>
      <c r="I3434" t="s">
        <v>57</v>
      </c>
      <c r="K3434" t="s">
        <v>771</v>
      </c>
      <c r="L3434" t="s">
        <v>3368</v>
      </c>
      <c r="M3434" t="s">
        <v>223</v>
      </c>
      <c r="P3434" t="s">
        <v>103</v>
      </c>
      <c r="R3434" t="s">
        <v>104</v>
      </c>
      <c r="S3434" t="s">
        <v>64</v>
      </c>
      <c r="T3434">
        <v>251.2</v>
      </c>
      <c r="U3434">
        <v>246.7</v>
      </c>
      <c r="V3434">
        <f t="shared" si="106"/>
        <v>248.95</v>
      </c>
      <c r="W3434">
        <f t="shared" si="107"/>
        <v>4.5</v>
      </c>
      <c r="X3434">
        <v>111.633331</v>
      </c>
      <c r="Y3434">
        <v>31.049999</v>
      </c>
      <c r="Z3434" t="s">
        <v>1596</v>
      </c>
      <c r="AA3434" t="s">
        <v>379</v>
      </c>
      <c r="AB3434" t="s">
        <v>3239</v>
      </c>
      <c r="AC3434" t="s">
        <v>3432</v>
      </c>
      <c r="AD3434" t="s">
        <v>3339</v>
      </c>
      <c r="AF3434" t="s">
        <v>3433</v>
      </c>
      <c r="AH3434" t="s">
        <v>72</v>
      </c>
      <c r="AI3434" t="s">
        <v>4577</v>
      </c>
      <c r="AJ3434">
        <v>2020</v>
      </c>
      <c r="AK3434" t="s">
        <v>3434</v>
      </c>
      <c r="AM3434" t="s">
        <v>3435</v>
      </c>
      <c r="AN3434" t="s">
        <v>192</v>
      </c>
      <c r="AO3434" t="s">
        <v>160</v>
      </c>
      <c r="AP3434" t="s">
        <v>115</v>
      </c>
      <c r="AR3434" t="s">
        <v>80</v>
      </c>
      <c r="AS3434">
        <v>611</v>
      </c>
      <c r="AT3434" t="s">
        <v>81</v>
      </c>
      <c r="AU3434">
        <v>113.7</v>
      </c>
      <c r="AV3434">
        <v>-3.05</v>
      </c>
      <c r="AW3434" t="s">
        <v>82</v>
      </c>
      <c r="AX3434">
        <v>611</v>
      </c>
      <c r="AY3434" t="s">
        <v>81</v>
      </c>
      <c r="AZ3434">
        <v>96.74</v>
      </c>
      <c r="BA3434">
        <v>22.44</v>
      </c>
      <c r="BB3434" t="s">
        <v>83</v>
      </c>
    </row>
    <row r="3435" spans="1:54" x14ac:dyDescent="0.4">
      <c r="A3435">
        <v>1058248</v>
      </c>
      <c r="D3435" t="s">
        <v>54</v>
      </c>
      <c r="G3435">
        <v>2</v>
      </c>
      <c r="H3435" t="s">
        <v>84</v>
      </c>
      <c r="I3435" t="s">
        <v>57</v>
      </c>
      <c r="K3435" t="s">
        <v>141</v>
      </c>
      <c r="L3435" t="s">
        <v>4001</v>
      </c>
      <c r="M3435" t="s">
        <v>223</v>
      </c>
      <c r="P3435" t="s">
        <v>135</v>
      </c>
      <c r="R3435" t="s">
        <v>63</v>
      </c>
      <c r="S3435" t="s">
        <v>64</v>
      </c>
      <c r="T3435">
        <v>237</v>
      </c>
      <c r="U3435">
        <v>233.4</v>
      </c>
      <c r="V3435">
        <f t="shared" si="106"/>
        <v>235.2</v>
      </c>
      <c r="W3435">
        <f t="shared" si="107"/>
        <v>3.5999999999999943</v>
      </c>
      <c r="X3435">
        <v>13.291111000000001</v>
      </c>
      <c r="Y3435">
        <v>46.456944</v>
      </c>
      <c r="Z3435" t="s">
        <v>4002</v>
      </c>
      <c r="AA3435" t="s">
        <v>593</v>
      </c>
      <c r="AB3435" t="s">
        <v>595</v>
      </c>
      <c r="AD3435" t="s">
        <v>4003</v>
      </c>
      <c r="AH3435" t="s">
        <v>72</v>
      </c>
      <c r="AI3435" t="s">
        <v>1683</v>
      </c>
      <c r="AJ3435">
        <v>2006</v>
      </c>
      <c r="AK3435" t="s">
        <v>4004</v>
      </c>
      <c r="AN3435" t="s">
        <v>76</v>
      </c>
      <c r="AO3435" t="s">
        <v>77</v>
      </c>
      <c r="AQ3435" t="s">
        <v>4005</v>
      </c>
      <c r="AR3435" t="s">
        <v>80</v>
      </c>
      <c r="AS3435">
        <v>307</v>
      </c>
      <c r="AT3435" t="s">
        <v>81</v>
      </c>
      <c r="AU3435">
        <v>34.32</v>
      </c>
      <c r="AV3435">
        <v>16.190000000000001</v>
      </c>
      <c r="AW3435" t="s">
        <v>82</v>
      </c>
      <c r="AX3435">
        <v>307</v>
      </c>
      <c r="AY3435" t="s">
        <v>81</v>
      </c>
      <c r="AZ3435">
        <v>21.02</v>
      </c>
      <c r="BA3435">
        <v>12.19</v>
      </c>
      <c r="BB3435" t="s">
        <v>83</v>
      </c>
    </row>
    <row r="3436" spans="1:54" x14ac:dyDescent="0.4">
      <c r="A3436">
        <v>1140294</v>
      </c>
      <c r="D3436" t="s">
        <v>4407</v>
      </c>
      <c r="I3436" t="s">
        <v>57</v>
      </c>
      <c r="K3436" t="s">
        <v>771</v>
      </c>
      <c r="L3436" t="s">
        <v>772</v>
      </c>
      <c r="M3436" t="s">
        <v>223</v>
      </c>
      <c r="P3436" t="s">
        <v>135</v>
      </c>
      <c r="R3436" t="s">
        <v>63</v>
      </c>
      <c r="S3436" t="s">
        <v>64</v>
      </c>
      <c r="T3436">
        <v>237</v>
      </c>
      <c r="U3436">
        <v>233.4</v>
      </c>
      <c r="V3436">
        <f t="shared" si="106"/>
        <v>235.2</v>
      </c>
      <c r="W3436">
        <f t="shared" si="107"/>
        <v>3.5999999999999943</v>
      </c>
      <c r="X3436">
        <v>11.93</v>
      </c>
      <c r="Y3436">
        <v>46.549999</v>
      </c>
      <c r="Z3436" t="s">
        <v>1596</v>
      </c>
      <c r="AA3436" t="s">
        <v>593</v>
      </c>
      <c r="AD3436" t="s">
        <v>4408</v>
      </c>
      <c r="AH3436" t="s">
        <v>11</v>
      </c>
      <c r="AI3436" t="s">
        <v>4409</v>
      </c>
      <c r="AJ3436">
        <v>1841</v>
      </c>
      <c r="AK3436" t="s">
        <v>4410</v>
      </c>
      <c r="AN3436" t="s">
        <v>114</v>
      </c>
      <c r="AO3436">
        <v>2</v>
      </c>
      <c r="AP3436" t="s">
        <v>78</v>
      </c>
      <c r="AQ3436" t="s">
        <v>4411</v>
      </c>
      <c r="AR3436" t="s">
        <v>80</v>
      </c>
      <c r="AS3436">
        <v>307</v>
      </c>
      <c r="AT3436" t="s">
        <v>81</v>
      </c>
      <c r="AU3436">
        <v>33.9</v>
      </c>
      <c r="AV3436">
        <v>17.04</v>
      </c>
      <c r="AW3436" t="s">
        <v>82</v>
      </c>
      <c r="AX3436">
        <v>307</v>
      </c>
      <c r="AY3436" t="s">
        <v>81</v>
      </c>
      <c r="AZ3436">
        <v>20.29</v>
      </c>
      <c r="BA3436">
        <v>12.8</v>
      </c>
      <c r="BB3436" t="s">
        <v>83</v>
      </c>
    </row>
    <row r="3437" spans="1:54" x14ac:dyDescent="0.4">
      <c r="A3437">
        <v>1419511</v>
      </c>
      <c r="D3437" t="s">
        <v>54</v>
      </c>
      <c r="I3437" t="s">
        <v>57</v>
      </c>
      <c r="K3437" t="s">
        <v>2470</v>
      </c>
      <c r="L3437" t="s">
        <v>2471</v>
      </c>
      <c r="M3437" t="s">
        <v>223</v>
      </c>
      <c r="P3437" t="s">
        <v>135</v>
      </c>
      <c r="R3437" t="s">
        <v>63</v>
      </c>
      <c r="S3437" t="s">
        <v>64</v>
      </c>
      <c r="T3437">
        <v>237</v>
      </c>
      <c r="U3437">
        <v>233.4</v>
      </c>
      <c r="V3437">
        <f t="shared" si="106"/>
        <v>235.2</v>
      </c>
      <c r="W3437">
        <f t="shared" si="107"/>
        <v>3.5999999999999943</v>
      </c>
      <c r="X3437">
        <v>13.320833</v>
      </c>
      <c r="Y3437">
        <v>46.457222000000002</v>
      </c>
      <c r="Z3437" t="s">
        <v>602</v>
      </c>
      <c r="AA3437" t="s">
        <v>593</v>
      </c>
      <c r="AB3437" t="s">
        <v>595</v>
      </c>
      <c r="AC3437" t="s">
        <v>5289</v>
      </c>
      <c r="AD3437" t="s">
        <v>4003</v>
      </c>
      <c r="AG3437" t="s">
        <v>5290</v>
      </c>
      <c r="AH3437" t="s">
        <v>72</v>
      </c>
      <c r="AI3437" t="s">
        <v>1683</v>
      </c>
      <c r="AJ3437">
        <v>2008</v>
      </c>
      <c r="AK3437" t="s">
        <v>5291</v>
      </c>
      <c r="AN3437" t="s">
        <v>192</v>
      </c>
      <c r="AO3437" t="s">
        <v>77</v>
      </c>
      <c r="AP3437" t="s">
        <v>78</v>
      </c>
      <c r="AQ3437" t="s">
        <v>5292</v>
      </c>
      <c r="AR3437" t="s">
        <v>80</v>
      </c>
      <c r="AS3437">
        <v>307</v>
      </c>
      <c r="AT3437" t="s">
        <v>81</v>
      </c>
      <c r="AU3437">
        <v>34.33</v>
      </c>
      <c r="AV3437">
        <v>16.170000000000002</v>
      </c>
      <c r="AW3437" t="s">
        <v>82</v>
      </c>
      <c r="AX3437">
        <v>307</v>
      </c>
      <c r="AY3437" t="s">
        <v>81</v>
      </c>
      <c r="AZ3437">
        <v>21.04</v>
      </c>
      <c r="BA3437">
        <v>12.18</v>
      </c>
      <c r="BB3437" t="s">
        <v>83</v>
      </c>
    </row>
    <row r="3438" spans="1:54" x14ac:dyDescent="0.4">
      <c r="A3438">
        <v>1419512</v>
      </c>
      <c r="D3438" t="s">
        <v>54</v>
      </c>
      <c r="I3438" t="s">
        <v>57</v>
      </c>
      <c r="K3438" t="s">
        <v>141</v>
      </c>
      <c r="L3438" t="s">
        <v>5293</v>
      </c>
      <c r="M3438" t="s">
        <v>223</v>
      </c>
      <c r="P3438" t="s">
        <v>135</v>
      </c>
      <c r="R3438" t="s">
        <v>63</v>
      </c>
      <c r="S3438" t="s">
        <v>64</v>
      </c>
      <c r="T3438">
        <v>237</v>
      </c>
      <c r="U3438">
        <v>233.4</v>
      </c>
      <c r="V3438">
        <f t="shared" si="106"/>
        <v>235.2</v>
      </c>
      <c r="W3438">
        <f t="shared" si="107"/>
        <v>3.5999999999999943</v>
      </c>
      <c r="X3438">
        <v>13.311389</v>
      </c>
      <c r="Y3438">
        <v>46.448334000000003</v>
      </c>
      <c r="Z3438" t="s">
        <v>520</v>
      </c>
      <c r="AA3438" t="s">
        <v>593</v>
      </c>
      <c r="AB3438" t="s">
        <v>595</v>
      </c>
      <c r="AC3438" t="s">
        <v>5289</v>
      </c>
      <c r="AD3438" t="s">
        <v>4003</v>
      </c>
      <c r="AH3438" t="s">
        <v>72</v>
      </c>
      <c r="AI3438" t="s">
        <v>1683</v>
      </c>
      <c r="AJ3438">
        <v>2008</v>
      </c>
      <c r="AK3438" t="s">
        <v>5294</v>
      </c>
      <c r="AN3438" t="s">
        <v>114</v>
      </c>
      <c r="AO3438" t="s">
        <v>77</v>
      </c>
      <c r="AP3438" t="s">
        <v>115</v>
      </c>
      <c r="AR3438" t="s">
        <v>80</v>
      </c>
      <c r="AS3438">
        <v>307</v>
      </c>
      <c r="AT3438" t="s">
        <v>81</v>
      </c>
      <c r="AU3438">
        <v>34.32</v>
      </c>
      <c r="AV3438">
        <v>16.170000000000002</v>
      </c>
      <c r="AW3438" t="s">
        <v>82</v>
      </c>
      <c r="AX3438">
        <v>307</v>
      </c>
      <c r="AY3438" t="s">
        <v>81</v>
      </c>
      <c r="AZ3438">
        <v>21.03</v>
      </c>
      <c r="BA3438">
        <v>12.17</v>
      </c>
      <c r="BB3438" t="s">
        <v>83</v>
      </c>
    </row>
    <row r="3439" spans="1:54" x14ac:dyDescent="0.4">
      <c r="A3439">
        <v>283825</v>
      </c>
      <c r="D3439" t="s">
        <v>54</v>
      </c>
      <c r="E3439" t="s">
        <v>297</v>
      </c>
      <c r="G3439">
        <v>1</v>
      </c>
      <c r="H3439" t="s">
        <v>56</v>
      </c>
      <c r="I3439" t="s">
        <v>57</v>
      </c>
      <c r="K3439" t="s">
        <v>141</v>
      </c>
      <c r="L3439" t="s">
        <v>264</v>
      </c>
      <c r="M3439" t="s">
        <v>60</v>
      </c>
      <c r="P3439" t="s">
        <v>62</v>
      </c>
      <c r="R3439" t="s">
        <v>63</v>
      </c>
      <c r="S3439" t="s">
        <v>64</v>
      </c>
      <c r="T3439">
        <v>216.7</v>
      </c>
      <c r="U3439">
        <v>213.2</v>
      </c>
      <c r="V3439">
        <f t="shared" si="106"/>
        <v>214.95</v>
      </c>
      <c r="W3439">
        <f t="shared" si="107"/>
        <v>3.5</v>
      </c>
      <c r="X3439">
        <v>-22.539444</v>
      </c>
      <c r="Y3439">
        <v>71.264442000000003</v>
      </c>
      <c r="Z3439" t="s">
        <v>356</v>
      </c>
      <c r="AA3439" t="s">
        <v>347</v>
      </c>
      <c r="AD3439" t="s">
        <v>349</v>
      </c>
      <c r="AF3439" t="s">
        <v>351</v>
      </c>
      <c r="AH3439" t="s">
        <v>11</v>
      </c>
      <c r="AI3439" t="s">
        <v>352</v>
      </c>
      <c r="AJ3439">
        <v>1994</v>
      </c>
      <c r="AK3439" t="s">
        <v>357</v>
      </c>
      <c r="AM3439" t="s">
        <v>358</v>
      </c>
      <c r="AN3439" t="s">
        <v>76</v>
      </c>
      <c r="AO3439" t="s">
        <v>77</v>
      </c>
      <c r="AP3439" t="s">
        <v>359</v>
      </c>
      <c r="AQ3439" t="s">
        <v>360</v>
      </c>
      <c r="AR3439" t="s">
        <v>80</v>
      </c>
      <c r="AS3439">
        <v>102</v>
      </c>
      <c r="AT3439" t="s">
        <v>81</v>
      </c>
      <c r="AU3439">
        <v>7.82</v>
      </c>
      <c r="AV3439">
        <v>44.5</v>
      </c>
      <c r="AW3439" t="s">
        <v>82</v>
      </c>
      <c r="AX3439">
        <v>102</v>
      </c>
      <c r="AY3439" t="s">
        <v>81</v>
      </c>
      <c r="AZ3439">
        <v>-3.43</v>
      </c>
      <c r="BA3439">
        <v>47.09</v>
      </c>
      <c r="BB3439" t="s">
        <v>83</v>
      </c>
    </row>
    <row r="3440" spans="1:54" x14ac:dyDescent="0.4">
      <c r="A3440">
        <v>382582</v>
      </c>
      <c r="D3440" t="s">
        <v>599</v>
      </c>
      <c r="E3440" t="s">
        <v>310</v>
      </c>
      <c r="F3440" t="s">
        <v>600</v>
      </c>
      <c r="G3440">
        <v>1</v>
      </c>
      <c r="H3440" t="s">
        <v>56</v>
      </c>
      <c r="I3440" t="s">
        <v>57</v>
      </c>
      <c r="K3440" t="s">
        <v>141</v>
      </c>
      <c r="L3440" t="s">
        <v>601</v>
      </c>
      <c r="M3440" t="s">
        <v>223</v>
      </c>
      <c r="P3440" t="s">
        <v>62</v>
      </c>
      <c r="R3440" t="s">
        <v>63</v>
      </c>
      <c r="S3440" t="s">
        <v>64</v>
      </c>
      <c r="T3440">
        <v>216.7</v>
      </c>
      <c r="U3440">
        <v>213.2</v>
      </c>
      <c r="V3440">
        <f t="shared" si="106"/>
        <v>214.95</v>
      </c>
      <c r="W3440">
        <f t="shared" si="107"/>
        <v>3.5</v>
      </c>
      <c r="X3440">
        <v>9.7170000000000005</v>
      </c>
      <c r="Y3440">
        <v>45.682999000000002</v>
      </c>
      <c r="Z3440" t="s">
        <v>602</v>
      </c>
      <c r="AA3440" t="s">
        <v>593</v>
      </c>
      <c r="AB3440" t="s">
        <v>603</v>
      </c>
      <c r="AD3440" t="s">
        <v>604</v>
      </c>
      <c r="AH3440" t="s">
        <v>72</v>
      </c>
      <c r="AI3440" t="s">
        <v>605</v>
      </c>
      <c r="AJ3440">
        <v>1989</v>
      </c>
      <c r="AK3440" t="s">
        <v>606</v>
      </c>
      <c r="AN3440" t="s">
        <v>114</v>
      </c>
      <c r="AO3440">
        <v>3</v>
      </c>
      <c r="AP3440" t="s">
        <v>115</v>
      </c>
      <c r="AQ3440" t="s">
        <v>607</v>
      </c>
      <c r="AR3440" t="s">
        <v>80</v>
      </c>
      <c r="AS3440">
        <v>307</v>
      </c>
      <c r="AT3440" t="s">
        <v>81</v>
      </c>
      <c r="AU3440">
        <v>27.89</v>
      </c>
      <c r="AV3440">
        <v>22.45</v>
      </c>
      <c r="AW3440" t="s">
        <v>82</v>
      </c>
      <c r="AX3440">
        <v>307</v>
      </c>
      <c r="AY3440" t="s">
        <v>81</v>
      </c>
      <c r="AZ3440">
        <v>12.98</v>
      </c>
      <c r="BA3440">
        <v>27.65</v>
      </c>
      <c r="BB3440" t="s">
        <v>83</v>
      </c>
    </row>
    <row r="3441" spans="1:54" x14ac:dyDescent="0.4">
      <c r="A3441">
        <v>382582</v>
      </c>
      <c r="D3441" t="s">
        <v>599</v>
      </c>
      <c r="E3441" t="s">
        <v>310</v>
      </c>
      <c r="F3441" t="s">
        <v>600</v>
      </c>
      <c r="G3441">
        <v>1</v>
      </c>
      <c r="H3441" t="s">
        <v>56</v>
      </c>
      <c r="I3441" t="s">
        <v>57</v>
      </c>
      <c r="K3441" t="s">
        <v>141</v>
      </c>
      <c r="L3441" t="s">
        <v>601</v>
      </c>
      <c r="M3441" t="s">
        <v>223</v>
      </c>
      <c r="P3441" t="s">
        <v>62</v>
      </c>
      <c r="R3441" t="s">
        <v>63</v>
      </c>
      <c r="S3441" t="s">
        <v>64</v>
      </c>
      <c r="T3441">
        <v>216.7</v>
      </c>
      <c r="U3441">
        <v>213.2</v>
      </c>
      <c r="V3441">
        <f t="shared" si="106"/>
        <v>214.95</v>
      </c>
      <c r="W3441">
        <f t="shared" si="107"/>
        <v>3.5</v>
      </c>
      <c r="X3441">
        <v>9.7170000000000005</v>
      </c>
      <c r="Y3441">
        <v>45.682999000000002</v>
      </c>
      <c r="Z3441" t="s">
        <v>602</v>
      </c>
      <c r="AA3441" t="s">
        <v>593</v>
      </c>
      <c r="AB3441" t="s">
        <v>603</v>
      </c>
      <c r="AD3441" t="s">
        <v>604</v>
      </c>
      <c r="AH3441" t="s">
        <v>72</v>
      </c>
      <c r="AI3441" t="s">
        <v>605</v>
      </c>
      <c r="AJ3441">
        <v>1989</v>
      </c>
      <c r="AK3441" t="s">
        <v>606</v>
      </c>
      <c r="AN3441" t="s">
        <v>114</v>
      </c>
      <c r="AO3441">
        <v>3</v>
      </c>
      <c r="AP3441" t="s">
        <v>115</v>
      </c>
      <c r="AQ3441" t="s">
        <v>607</v>
      </c>
      <c r="AR3441" t="s">
        <v>80</v>
      </c>
      <c r="AS3441">
        <v>307</v>
      </c>
      <c r="AT3441" t="s">
        <v>81</v>
      </c>
      <c r="AU3441">
        <v>27.89</v>
      </c>
      <c r="AV3441">
        <v>22.45</v>
      </c>
      <c r="AW3441" t="s">
        <v>82</v>
      </c>
      <c r="AX3441">
        <v>307</v>
      </c>
      <c r="AY3441" t="s">
        <v>81</v>
      </c>
      <c r="AZ3441">
        <v>12.98</v>
      </c>
      <c r="BA3441">
        <v>27.65</v>
      </c>
      <c r="BB3441" t="s">
        <v>83</v>
      </c>
    </row>
    <row r="3442" spans="1:54" x14ac:dyDescent="0.4">
      <c r="A3442">
        <v>382582</v>
      </c>
      <c r="D3442" t="s">
        <v>599</v>
      </c>
      <c r="E3442" t="s">
        <v>310</v>
      </c>
      <c r="F3442" t="s">
        <v>600</v>
      </c>
      <c r="G3442">
        <v>1</v>
      </c>
      <c r="H3442" t="s">
        <v>56</v>
      </c>
      <c r="I3442" t="s">
        <v>57</v>
      </c>
      <c r="K3442" t="s">
        <v>141</v>
      </c>
      <c r="L3442" t="s">
        <v>601</v>
      </c>
      <c r="M3442" t="s">
        <v>223</v>
      </c>
      <c r="P3442" t="s">
        <v>62</v>
      </c>
      <c r="R3442" t="s">
        <v>63</v>
      </c>
      <c r="S3442" t="s">
        <v>64</v>
      </c>
      <c r="T3442">
        <v>216.7</v>
      </c>
      <c r="U3442">
        <v>213.2</v>
      </c>
      <c r="V3442">
        <f t="shared" si="106"/>
        <v>214.95</v>
      </c>
      <c r="W3442">
        <f t="shared" si="107"/>
        <v>3.5</v>
      </c>
      <c r="X3442">
        <v>9.7170000000000005</v>
      </c>
      <c r="Y3442">
        <v>45.682999000000002</v>
      </c>
      <c r="Z3442" t="s">
        <v>602</v>
      </c>
      <c r="AA3442" t="s">
        <v>593</v>
      </c>
      <c r="AB3442" t="s">
        <v>603</v>
      </c>
      <c r="AD3442" t="s">
        <v>604</v>
      </c>
      <c r="AH3442" t="s">
        <v>72</v>
      </c>
      <c r="AI3442" t="s">
        <v>605</v>
      </c>
      <c r="AJ3442">
        <v>1989</v>
      </c>
      <c r="AK3442" t="s">
        <v>606</v>
      </c>
      <c r="AN3442" t="s">
        <v>114</v>
      </c>
      <c r="AO3442">
        <v>3</v>
      </c>
      <c r="AP3442" t="s">
        <v>115</v>
      </c>
      <c r="AQ3442" t="s">
        <v>607</v>
      </c>
      <c r="AR3442" t="s">
        <v>80</v>
      </c>
      <c r="AS3442">
        <v>307</v>
      </c>
      <c r="AT3442" t="s">
        <v>81</v>
      </c>
      <c r="AU3442">
        <v>27.89</v>
      </c>
      <c r="AV3442">
        <v>22.45</v>
      </c>
      <c r="AW3442" t="s">
        <v>82</v>
      </c>
      <c r="AX3442">
        <v>307</v>
      </c>
      <c r="AY3442" t="s">
        <v>81</v>
      </c>
      <c r="AZ3442">
        <v>12.98</v>
      </c>
      <c r="BA3442">
        <v>27.65</v>
      </c>
      <c r="BB3442" t="s">
        <v>83</v>
      </c>
    </row>
    <row r="3443" spans="1:54" x14ac:dyDescent="0.4">
      <c r="A3443">
        <v>479548</v>
      </c>
      <c r="D3443" t="s">
        <v>54</v>
      </c>
      <c r="E3443" t="s">
        <v>310</v>
      </c>
      <c r="G3443">
        <v>2</v>
      </c>
      <c r="H3443" t="s">
        <v>84</v>
      </c>
      <c r="I3443" t="s">
        <v>57</v>
      </c>
      <c r="K3443" t="s">
        <v>141</v>
      </c>
      <c r="L3443" t="s">
        <v>210</v>
      </c>
      <c r="M3443" t="s">
        <v>60</v>
      </c>
      <c r="P3443" t="s">
        <v>62</v>
      </c>
      <c r="R3443" t="s">
        <v>63</v>
      </c>
      <c r="S3443" t="s">
        <v>64</v>
      </c>
      <c r="T3443">
        <v>216.7</v>
      </c>
      <c r="U3443">
        <v>213.2</v>
      </c>
      <c r="V3443">
        <f t="shared" si="106"/>
        <v>214.95</v>
      </c>
      <c r="W3443">
        <f t="shared" si="107"/>
        <v>3.5</v>
      </c>
      <c r="X3443">
        <v>8.9763999999999999</v>
      </c>
      <c r="Y3443">
        <v>49.064399999999999</v>
      </c>
      <c r="Z3443" t="s">
        <v>124</v>
      </c>
      <c r="AA3443" t="s">
        <v>211</v>
      </c>
      <c r="AB3443" t="s">
        <v>212</v>
      </c>
      <c r="AD3443" t="s">
        <v>214</v>
      </c>
      <c r="AH3443" t="s">
        <v>72</v>
      </c>
      <c r="AI3443" t="s">
        <v>260</v>
      </c>
      <c r="AJ3443">
        <v>1912</v>
      </c>
      <c r="AK3443" t="s">
        <v>868</v>
      </c>
      <c r="AM3443" t="s">
        <v>869</v>
      </c>
      <c r="AN3443" t="s">
        <v>114</v>
      </c>
      <c r="AO3443">
        <v>4</v>
      </c>
      <c r="AP3443" t="s">
        <v>78</v>
      </c>
      <c r="AQ3443" t="s">
        <v>870</v>
      </c>
      <c r="AR3443" t="s">
        <v>80</v>
      </c>
      <c r="AS3443">
        <v>305</v>
      </c>
      <c r="AT3443" t="s">
        <v>81</v>
      </c>
      <c r="AU3443">
        <v>19.97</v>
      </c>
      <c r="AV3443">
        <v>31.29</v>
      </c>
      <c r="AW3443" t="s">
        <v>82</v>
      </c>
      <c r="AX3443">
        <v>305</v>
      </c>
      <c r="AY3443" t="s">
        <v>81</v>
      </c>
      <c r="AZ3443">
        <v>9.35</v>
      </c>
      <c r="BA3443">
        <v>33.96</v>
      </c>
      <c r="BB3443" t="s">
        <v>83</v>
      </c>
    </row>
    <row r="3444" spans="1:54" x14ac:dyDescent="0.4">
      <c r="A3444">
        <v>538740</v>
      </c>
      <c r="D3444" t="s">
        <v>54</v>
      </c>
      <c r="F3444" t="s">
        <v>1200</v>
      </c>
      <c r="I3444" t="s">
        <v>57</v>
      </c>
      <c r="K3444" t="s">
        <v>1029</v>
      </c>
      <c r="L3444" t="s">
        <v>1030</v>
      </c>
      <c r="M3444" t="s">
        <v>60</v>
      </c>
      <c r="N3444" t="s">
        <v>61</v>
      </c>
      <c r="O3444" t="s">
        <v>345</v>
      </c>
      <c r="P3444" t="s">
        <v>62</v>
      </c>
      <c r="R3444" t="s">
        <v>63</v>
      </c>
      <c r="S3444" t="s">
        <v>64</v>
      </c>
      <c r="T3444">
        <v>216.7</v>
      </c>
      <c r="U3444">
        <v>213.2</v>
      </c>
      <c r="V3444">
        <f t="shared" si="106"/>
        <v>214.95</v>
      </c>
      <c r="W3444">
        <f t="shared" si="107"/>
        <v>3.5</v>
      </c>
      <c r="X3444">
        <v>6.2110000000000003</v>
      </c>
      <c r="Y3444">
        <v>49.811000999999997</v>
      </c>
      <c r="Z3444" t="s">
        <v>124</v>
      </c>
      <c r="AA3444" t="s">
        <v>1201</v>
      </c>
      <c r="AB3444" t="s">
        <v>1202</v>
      </c>
      <c r="AE3444" t="s">
        <v>1203</v>
      </c>
      <c r="AH3444" t="s">
        <v>11</v>
      </c>
      <c r="AI3444" t="s">
        <v>1204</v>
      </c>
      <c r="AJ3444">
        <v>1999</v>
      </c>
      <c r="AK3444" t="s">
        <v>1205</v>
      </c>
      <c r="AM3444" t="s">
        <v>1206</v>
      </c>
      <c r="AN3444" t="s">
        <v>114</v>
      </c>
      <c r="AO3444">
        <v>3</v>
      </c>
      <c r="AP3444" t="s">
        <v>115</v>
      </c>
      <c r="AQ3444" t="s">
        <v>1207</v>
      </c>
      <c r="AR3444" t="s">
        <v>80</v>
      </c>
      <c r="AS3444">
        <v>315</v>
      </c>
      <c r="AT3444" t="s">
        <v>81</v>
      </c>
      <c r="AU3444">
        <v>17.7</v>
      </c>
      <c r="AV3444">
        <v>31.2</v>
      </c>
      <c r="AW3444" t="s">
        <v>82</v>
      </c>
      <c r="AX3444">
        <v>315</v>
      </c>
      <c r="AY3444" t="s">
        <v>81</v>
      </c>
      <c r="AZ3444">
        <v>7.01</v>
      </c>
      <c r="BA3444">
        <v>33.86</v>
      </c>
      <c r="BB3444" t="s">
        <v>83</v>
      </c>
    </row>
    <row r="3445" spans="1:54" x14ac:dyDescent="0.4">
      <c r="A3445">
        <v>538741</v>
      </c>
      <c r="D3445" t="s">
        <v>54</v>
      </c>
      <c r="F3445" t="s">
        <v>1200</v>
      </c>
      <c r="I3445" t="s">
        <v>57</v>
      </c>
      <c r="K3445" t="s">
        <v>132</v>
      </c>
      <c r="L3445" t="s">
        <v>133</v>
      </c>
      <c r="M3445" t="s">
        <v>60</v>
      </c>
      <c r="N3445" t="s">
        <v>119</v>
      </c>
      <c r="O3445" t="s">
        <v>134</v>
      </c>
      <c r="P3445" t="s">
        <v>62</v>
      </c>
      <c r="R3445" t="s">
        <v>63</v>
      </c>
      <c r="S3445" t="s">
        <v>64</v>
      </c>
      <c r="T3445">
        <v>216.7</v>
      </c>
      <c r="U3445">
        <v>213.2</v>
      </c>
      <c r="V3445">
        <f t="shared" si="106"/>
        <v>214.95</v>
      </c>
      <c r="W3445">
        <f t="shared" si="107"/>
        <v>3.5</v>
      </c>
      <c r="X3445">
        <v>6.2110000000000003</v>
      </c>
      <c r="Y3445">
        <v>49.811000999999997</v>
      </c>
      <c r="Z3445" t="s">
        <v>124</v>
      </c>
      <c r="AA3445" t="s">
        <v>1201</v>
      </c>
      <c r="AB3445" t="s">
        <v>1202</v>
      </c>
      <c r="AE3445" t="s">
        <v>1203</v>
      </c>
      <c r="AH3445" t="s">
        <v>11</v>
      </c>
      <c r="AI3445" t="s">
        <v>1204</v>
      </c>
      <c r="AJ3445">
        <v>1999</v>
      </c>
      <c r="AK3445" t="s">
        <v>1205</v>
      </c>
      <c r="AM3445" t="s">
        <v>1206</v>
      </c>
      <c r="AN3445" t="s">
        <v>114</v>
      </c>
      <c r="AO3445">
        <v>3</v>
      </c>
      <c r="AP3445" t="s">
        <v>115</v>
      </c>
      <c r="AQ3445" t="s">
        <v>1207</v>
      </c>
      <c r="AR3445" t="s">
        <v>80</v>
      </c>
      <c r="AS3445">
        <v>315</v>
      </c>
      <c r="AT3445" t="s">
        <v>81</v>
      </c>
      <c r="AU3445">
        <v>17.7</v>
      </c>
      <c r="AV3445">
        <v>31.2</v>
      </c>
      <c r="AW3445" t="s">
        <v>82</v>
      </c>
      <c r="AX3445">
        <v>315</v>
      </c>
      <c r="AY3445" t="s">
        <v>81</v>
      </c>
      <c r="AZ3445">
        <v>7.01</v>
      </c>
      <c r="BA3445">
        <v>33.86</v>
      </c>
      <c r="BB3445" t="s">
        <v>83</v>
      </c>
    </row>
    <row r="3446" spans="1:54" x14ac:dyDescent="0.4">
      <c r="A3446">
        <v>538742</v>
      </c>
      <c r="D3446" t="s">
        <v>54</v>
      </c>
      <c r="F3446" t="s">
        <v>1200</v>
      </c>
      <c r="I3446" t="s">
        <v>57</v>
      </c>
      <c r="K3446" t="s">
        <v>58</v>
      </c>
      <c r="L3446" t="s">
        <v>97</v>
      </c>
      <c r="M3446" t="s">
        <v>60</v>
      </c>
      <c r="P3446" t="s">
        <v>62</v>
      </c>
      <c r="R3446" t="s">
        <v>63</v>
      </c>
      <c r="S3446" t="s">
        <v>64</v>
      </c>
      <c r="T3446">
        <v>216.7</v>
      </c>
      <c r="U3446">
        <v>213.2</v>
      </c>
      <c r="V3446">
        <f t="shared" si="106"/>
        <v>214.95</v>
      </c>
      <c r="W3446">
        <f t="shared" si="107"/>
        <v>3.5</v>
      </c>
      <c r="X3446">
        <v>6.2110000000000003</v>
      </c>
      <c r="Y3446">
        <v>49.811000999999997</v>
      </c>
      <c r="Z3446" t="s">
        <v>124</v>
      </c>
      <c r="AA3446" t="s">
        <v>1201</v>
      </c>
      <c r="AB3446" t="s">
        <v>1202</v>
      </c>
      <c r="AE3446" t="s">
        <v>1203</v>
      </c>
      <c r="AH3446" t="s">
        <v>11</v>
      </c>
      <c r="AI3446" t="s">
        <v>1204</v>
      </c>
      <c r="AJ3446">
        <v>1999</v>
      </c>
      <c r="AK3446" t="s">
        <v>1205</v>
      </c>
      <c r="AM3446" t="s">
        <v>1206</v>
      </c>
      <c r="AN3446" t="s">
        <v>114</v>
      </c>
      <c r="AO3446">
        <v>3</v>
      </c>
      <c r="AP3446" t="s">
        <v>115</v>
      </c>
      <c r="AQ3446" t="s">
        <v>1207</v>
      </c>
      <c r="AR3446" t="s">
        <v>80</v>
      </c>
      <c r="AS3446">
        <v>315</v>
      </c>
      <c r="AT3446" t="s">
        <v>81</v>
      </c>
      <c r="AU3446">
        <v>17.7</v>
      </c>
      <c r="AV3446">
        <v>31.2</v>
      </c>
      <c r="AW3446" t="s">
        <v>82</v>
      </c>
      <c r="AX3446">
        <v>315</v>
      </c>
      <c r="AY3446" t="s">
        <v>81</v>
      </c>
      <c r="AZ3446">
        <v>7.01</v>
      </c>
      <c r="BA3446">
        <v>33.86</v>
      </c>
      <c r="BB3446" t="s">
        <v>83</v>
      </c>
    </row>
    <row r="3447" spans="1:54" x14ac:dyDescent="0.4">
      <c r="A3447">
        <v>632299</v>
      </c>
      <c r="D3447" t="s">
        <v>54</v>
      </c>
      <c r="E3447" t="s">
        <v>310</v>
      </c>
      <c r="G3447">
        <v>5</v>
      </c>
      <c r="H3447" t="s">
        <v>84</v>
      </c>
      <c r="I3447" t="s">
        <v>57</v>
      </c>
      <c r="K3447" t="s">
        <v>141</v>
      </c>
      <c r="L3447" t="s">
        <v>210</v>
      </c>
      <c r="M3447" t="s">
        <v>60</v>
      </c>
      <c r="P3447" t="s">
        <v>62</v>
      </c>
      <c r="R3447" t="s">
        <v>63</v>
      </c>
      <c r="S3447" t="s">
        <v>64</v>
      </c>
      <c r="T3447">
        <v>216.7</v>
      </c>
      <c r="U3447">
        <v>213.2</v>
      </c>
      <c r="V3447">
        <f t="shared" si="106"/>
        <v>214.95</v>
      </c>
      <c r="W3447">
        <f t="shared" si="107"/>
        <v>3.5</v>
      </c>
      <c r="X3447">
        <v>8.9763999999999999</v>
      </c>
      <c r="Y3447">
        <v>49.064399999999999</v>
      </c>
      <c r="Z3447" t="s">
        <v>124</v>
      </c>
      <c r="AA3447" t="s">
        <v>211</v>
      </c>
      <c r="AB3447" t="s">
        <v>212</v>
      </c>
      <c r="AD3447" t="s">
        <v>214</v>
      </c>
      <c r="AH3447" t="s">
        <v>72</v>
      </c>
      <c r="AI3447" t="s">
        <v>693</v>
      </c>
      <c r="AJ3447">
        <v>1908</v>
      </c>
      <c r="AK3447" t="s">
        <v>868</v>
      </c>
      <c r="AM3447" t="s">
        <v>869</v>
      </c>
      <c r="AN3447" t="s">
        <v>114</v>
      </c>
      <c r="AO3447">
        <v>4</v>
      </c>
      <c r="AP3447" t="s">
        <v>78</v>
      </c>
      <c r="AQ3447" t="s">
        <v>870</v>
      </c>
      <c r="AR3447" t="s">
        <v>80</v>
      </c>
      <c r="AS3447">
        <v>305</v>
      </c>
      <c r="AT3447" t="s">
        <v>81</v>
      </c>
      <c r="AU3447">
        <v>19.97</v>
      </c>
      <c r="AV3447">
        <v>31.29</v>
      </c>
      <c r="AW3447" t="s">
        <v>82</v>
      </c>
      <c r="AX3447">
        <v>305</v>
      </c>
      <c r="AY3447" t="s">
        <v>81</v>
      </c>
      <c r="AZ3447">
        <v>9.35</v>
      </c>
      <c r="BA3447">
        <v>33.96</v>
      </c>
      <c r="BB3447" t="s">
        <v>83</v>
      </c>
    </row>
    <row r="3448" spans="1:54" x14ac:dyDescent="0.4">
      <c r="A3448">
        <v>632300</v>
      </c>
      <c r="D3448" t="s">
        <v>54</v>
      </c>
      <c r="E3448" t="s">
        <v>310</v>
      </c>
      <c r="G3448">
        <v>1</v>
      </c>
      <c r="H3448" t="s">
        <v>84</v>
      </c>
      <c r="I3448" t="s">
        <v>57</v>
      </c>
      <c r="K3448" t="s">
        <v>141</v>
      </c>
      <c r="L3448" t="s">
        <v>210</v>
      </c>
      <c r="M3448" t="s">
        <v>60</v>
      </c>
      <c r="P3448" t="s">
        <v>62</v>
      </c>
      <c r="R3448" t="s">
        <v>63</v>
      </c>
      <c r="S3448" t="s">
        <v>64</v>
      </c>
      <c r="T3448">
        <v>216.7</v>
      </c>
      <c r="U3448">
        <v>213.2</v>
      </c>
      <c r="V3448">
        <f t="shared" si="106"/>
        <v>214.95</v>
      </c>
      <c r="W3448">
        <f t="shared" si="107"/>
        <v>3.5</v>
      </c>
      <c r="X3448">
        <v>8.9763999999999999</v>
      </c>
      <c r="Y3448">
        <v>49.064399999999999</v>
      </c>
      <c r="Z3448" t="s">
        <v>124</v>
      </c>
      <c r="AA3448" t="s">
        <v>211</v>
      </c>
      <c r="AB3448" t="s">
        <v>212</v>
      </c>
      <c r="AD3448" t="s">
        <v>214</v>
      </c>
      <c r="AH3448" t="s">
        <v>72</v>
      </c>
      <c r="AI3448" t="s">
        <v>217</v>
      </c>
      <c r="AJ3448">
        <v>2003</v>
      </c>
      <c r="AK3448" t="s">
        <v>868</v>
      </c>
      <c r="AM3448" t="s">
        <v>869</v>
      </c>
      <c r="AN3448" t="s">
        <v>114</v>
      </c>
      <c r="AO3448">
        <v>4</v>
      </c>
      <c r="AP3448" t="s">
        <v>78</v>
      </c>
      <c r="AQ3448" t="s">
        <v>870</v>
      </c>
      <c r="AR3448" t="s">
        <v>80</v>
      </c>
      <c r="AS3448">
        <v>305</v>
      </c>
      <c r="AT3448" t="s">
        <v>81</v>
      </c>
      <c r="AU3448">
        <v>19.97</v>
      </c>
      <c r="AV3448">
        <v>31.29</v>
      </c>
      <c r="AW3448" t="s">
        <v>82</v>
      </c>
      <c r="AX3448">
        <v>305</v>
      </c>
      <c r="AY3448" t="s">
        <v>81</v>
      </c>
      <c r="AZ3448">
        <v>9.35</v>
      </c>
      <c r="BA3448">
        <v>33.96</v>
      </c>
      <c r="BB3448" t="s">
        <v>83</v>
      </c>
    </row>
    <row r="3449" spans="1:54" x14ac:dyDescent="0.4">
      <c r="A3449">
        <v>632301</v>
      </c>
      <c r="D3449" t="s">
        <v>54</v>
      </c>
      <c r="E3449" t="s">
        <v>310</v>
      </c>
      <c r="G3449">
        <v>4</v>
      </c>
      <c r="H3449" t="s">
        <v>84</v>
      </c>
      <c r="I3449" t="s">
        <v>57</v>
      </c>
      <c r="K3449" t="s">
        <v>141</v>
      </c>
      <c r="L3449" t="s">
        <v>210</v>
      </c>
      <c r="M3449" t="s">
        <v>60</v>
      </c>
      <c r="P3449" t="s">
        <v>62</v>
      </c>
      <c r="R3449" t="s">
        <v>63</v>
      </c>
      <c r="S3449" t="s">
        <v>64</v>
      </c>
      <c r="T3449">
        <v>216.7</v>
      </c>
      <c r="U3449">
        <v>213.2</v>
      </c>
      <c r="V3449">
        <f t="shared" si="106"/>
        <v>214.95</v>
      </c>
      <c r="W3449">
        <f t="shared" si="107"/>
        <v>3.5</v>
      </c>
      <c r="X3449">
        <v>8.9763999999999999</v>
      </c>
      <c r="Y3449">
        <v>49.064399999999999</v>
      </c>
      <c r="Z3449" t="s">
        <v>124</v>
      </c>
      <c r="AA3449" t="s">
        <v>211</v>
      </c>
      <c r="AB3449" t="s">
        <v>212</v>
      </c>
      <c r="AD3449" t="s">
        <v>214</v>
      </c>
      <c r="AH3449" t="s">
        <v>72</v>
      </c>
      <c r="AI3449" t="s">
        <v>217</v>
      </c>
      <c r="AJ3449">
        <v>2003</v>
      </c>
      <c r="AK3449" t="s">
        <v>868</v>
      </c>
      <c r="AM3449" t="s">
        <v>869</v>
      </c>
      <c r="AN3449" t="s">
        <v>114</v>
      </c>
      <c r="AO3449">
        <v>4</v>
      </c>
      <c r="AP3449" t="s">
        <v>78</v>
      </c>
      <c r="AQ3449" t="s">
        <v>870</v>
      </c>
      <c r="AR3449" t="s">
        <v>80</v>
      </c>
      <c r="AS3449">
        <v>305</v>
      </c>
      <c r="AT3449" t="s">
        <v>81</v>
      </c>
      <c r="AU3449">
        <v>19.97</v>
      </c>
      <c r="AV3449">
        <v>31.29</v>
      </c>
      <c r="AW3449" t="s">
        <v>82</v>
      </c>
      <c r="AX3449">
        <v>305</v>
      </c>
      <c r="AY3449" t="s">
        <v>81</v>
      </c>
      <c r="AZ3449">
        <v>9.35</v>
      </c>
      <c r="BA3449">
        <v>33.96</v>
      </c>
      <c r="BB3449" t="s">
        <v>83</v>
      </c>
    </row>
    <row r="3450" spans="1:54" x14ac:dyDescent="0.4">
      <c r="A3450">
        <v>705707</v>
      </c>
      <c r="D3450" t="s">
        <v>54</v>
      </c>
      <c r="E3450" t="s">
        <v>310</v>
      </c>
      <c r="G3450">
        <v>3</v>
      </c>
      <c r="H3450" t="s">
        <v>84</v>
      </c>
      <c r="I3450" t="s">
        <v>57</v>
      </c>
      <c r="K3450" t="s">
        <v>244</v>
      </c>
      <c r="L3450" t="s">
        <v>245</v>
      </c>
      <c r="M3450" t="s">
        <v>60</v>
      </c>
      <c r="O3450" t="s">
        <v>170</v>
      </c>
      <c r="P3450" t="s">
        <v>62</v>
      </c>
      <c r="R3450" t="s">
        <v>63</v>
      </c>
      <c r="S3450" t="s">
        <v>64</v>
      </c>
      <c r="T3450">
        <v>216.7</v>
      </c>
      <c r="U3450">
        <v>213.2</v>
      </c>
      <c r="V3450">
        <f t="shared" si="106"/>
        <v>214.95</v>
      </c>
      <c r="W3450">
        <f t="shared" si="107"/>
        <v>3.5</v>
      </c>
      <c r="X3450">
        <v>8.9763999999999999</v>
      </c>
      <c r="Y3450">
        <v>49.064399999999999</v>
      </c>
      <c r="Z3450" t="s">
        <v>124</v>
      </c>
      <c r="AA3450" t="s">
        <v>211</v>
      </c>
      <c r="AB3450" t="s">
        <v>212</v>
      </c>
      <c r="AD3450" t="s">
        <v>214</v>
      </c>
      <c r="AH3450" t="s">
        <v>72</v>
      </c>
      <c r="AI3450" t="s">
        <v>365</v>
      </c>
      <c r="AJ3450">
        <v>2001</v>
      </c>
      <c r="AK3450" t="s">
        <v>868</v>
      </c>
      <c r="AM3450" t="s">
        <v>869</v>
      </c>
      <c r="AN3450" t="s">
        <v>114</v>
      </c>
      <c r="AO3450">
        <v>4</v>
      </c>
      <c r="AP3450" t="s">
        <v>78</v>
      </c>
      <c r="AQ3450" t="s">
        <v>870</v>
      </c>
      <c r="AR3450" t="s">
        <v>80</v>
      </c>
      <c r="AS3450">
        <v>305</v>
      </c>
      <c r="AT3450" t="s">
        <v>81</v>
      </c>
      <c r="AU3450">
        <v>19.97</v>
      </c>
      <c r="AV3450">
        <v>31.29</v>
      </c>
      <c r="AW3450" t="s">
        <v>82</v>
      </c>
      <c r="AX3450">
        <v>305</v>
      </c>
      <c r="AY3450" t="s">
        <v>81</v>
      </c>
      <c r="AZ3450">
        <v>9.35</v>
      </c>
      <c r="BA3450">
        <v>33.96</v>
      </c>
      <c r="BB3450" t="s">
        <v>83</v>
      </c>
    </row>
    <row r="3451" spans="1:54" x14ac:dyDescent="0.4">
      <c r="A3451">
        <v>728277</v>
      </c>
      <c r="D3451" t="s">
        <v>54</v>
      </c>
      <c r="E3451" t="s">
        <v>310</v>
      </c>
      <c r="G3451">
        <v>1</v>
      </c>
      <c r="H3451" t="s">
        <v>84</v>
      </c>
      <c r="I3451" t="s">
        <v>57</v>
      </c>
      <c r="K3451" t="s">
        <v>206</v>
      </c>
      <c r="L3451" t="s">
        <v>253</v>
      </c>
      <c r="M3451" t="s">
        <v>60</v>
      </c>
      <c r="O3451" t="s">
        <v>170</v>
      </c>
      <c r="P3451" t="s">
        <v>62</v>
      </c>
      <c r="R3451" t="s">
        <v>63</v>
      </c>
      <c r="S3451" t="s">
        <v>64</v>
      </c>
      <c r="T3451">
        <v>216.7</v>
      </c>
      <c r="U3451">
        <v>213.2</v>
      </c>
      <c r="V3451">
        <f t="shared" si="106"/>
        <v>214.95</v>
      </c>
      <c r="W3451">
        <f t="shared" si="107"/>
        <v>3.5</v>
      </c>
      <c r="X3451">
        <v>8.9763999999999999</v>
      </c>
      <c r="Y3451">
        <v>49.064399999999999</v>
      </c>
      <c r="Z3451" t="s">
        <v>124</v>
      </c>
      <c r="AA3451" t="s">
        <v>211</v>
      </c>
      <c r="AB3451" t="s">
        <v>212</v>
      </c>
      <c r="AD3451" t="s">
        <v>214</v>
      </c>
      <c r="AH3451" t="s">
        <v>72</v>
      </c>
      <c r="AI3451" t="s">
        <v>260</v>
      </c>
      <c r="AJ3451">
        <v>1907</v>
      </c>
      <c r="AK3451" t="s">
        <v>868</v>
      </c>
      <c r="AM3451" t="s">
        <v>869</v>
      </c>
      <c r="AN3451" t="s">
        <v>114</v>
      </c>
      <c r="AO3451">
        <v>4</v>
      </c>
      <c r="AP3451" t="s">
        <v>78</v>
      </c>
      <c r="AQ3451" t="s">
        <v>870</v>
      </c>
      <c r="AR3451" t="s">
        <v>80</v>
      </c>
      <c r="AS3451">
        <v>305</v>
      </c>
      <c r="AT3451" t="s">
        <v>81</v>
      </c>
      <c r="AU3451">
        <v>19.97</v>
      </c>
      <c r="AV3451">
        <v>31.29</v>
      </c>
      <c r="AW3451" t="s">
        <v>82</v>
      </c>
      <c r="AX3451">
        <v>305</v>
      </c>
      <c r="AY3451" t="s">
        <v>81</v>
      </c>
      <c r="AZ3451">
        <v>9.35</v>
      </c>
      <c r="BA3451">
        <v>33.96</v>
      </c>
      <c r="BB3451" t="s">
        <v>83</v>
      </c>
    </row>
    <row r="3452" spans="1:54" x14ac:dyDescent="0.4">
      <c r="A3452">
        <v>728364</v>
      </c>
      <c r="D3452" t="s">
        <v>54</v>
      </c>
      <c r="E3452" t="s">
        <v>310</v>
      </c>
      <c r="G3452">
        <v>1</v>
      </c>
      <c r="H3452" t="s">
        <v>84</v>
      </c>
      <c r="I3452" t="s">
        <v>57</v>
      </c>
      <c r="K3452" t="s">
        <v>741</v>
      </c>
      <c r="L3452" t="s">
        <v>1516</v>
      </c>
      <c r="M3452" t="s">
        <v>60</v>
      </c>
      <c r="N3452" t="s">
        <v>256</v>
      </c>
      <c r="O3452" t="s">
        <v>87</v>
      </c>
      <c r="P3452" t="s">
        <v>62</v>
      </c>
      <c r="R3452" t="s">
        <v>63</v>
      </c>
      <c r="S3452" t="s">
        <v>64</v>
      </c>
      <c r="T3452">
        <v>216.7</v>
      </c>
      <c r="U3452">
        <v>213.2</v>
      </c>
      <c r="V3452">
        <f t="shared" si="106"/>
        <v>214.95</v>
      </c>
      <c r="W3452">
        <f t="shared" si="107"/>
        <v>3.5</v>
      </c>
      <c r="X3452">
        <v>8.9763999999999999</v>
      </c>
      <c r="Y3452">
        <v>49.064399999999999</v>
      </c>
      <c r="Z3452" t="s">
        <v>124</v>
      </c>
      <c r="AA3452" t="s">
        <v>211</v>
      </c>
      <c r="AB3452" t="s">
        <v>212</v>
      </c>
      <c r="AD3452" t="s">
        <v>214</v>
      </c>
      <c r="AH3452" t="s">
        <v>72</v>
      </c>
      <c r="AI3452" t="s">
        <v>260</v>
      </c>
      <c r="AJ3452">
        <v>1913</v>
      </c>
      <c r="AK3452" t="s">
        <v>868</v>
      </c>
      <c r="AM3452" t="s">
        <v>869</v>
      </c>
      <c r="AN3452" t="s">
        <v>114</v>
      </c>
      <c r="AO3452">
        <v>4</v>
      </c>
      <c r="AP3452" t="s">
        <v>78</v>
      </c>
      <c r="AQ3452" t="s">
        <v>870</v>
      </c>
      <c r="AR3452" t="s">
        <v>80</v>
      </c>
      <c r="AS3452">
        <v>305</v>
      </c>
      <c r="AT3452" t="s">
        <v>81</v>
      </c>
      <c r="AU3452">
        <v>19.97</v>
      </c>
      <c r="AV3452">
        <v>31.29</v>
      </c>
      <c r="AW3452" t="s">
        <v>82</v>
      </c>
      <c r="AX3452">
        <v>305</v>
      </c>
      <c r="AY3452" t="s">
        <v>81</v>
      </c>
      <c r="AZ3452">
        <v>9.35</v>
      </c>
      <c r="BA3452">
        <v>33.96</v>
      </c>
      <c r="BB3452" t="s">
        <v>83</v>
      </c>
    </row>
    <row r="3453" spans="1:54" x14ac:dyDescent="0.4">
      <c r="A3453">
        <v>728367</v>
      </c>
      <c r="D3453" t="s">
        <v>54</v>
      </c>
      <c r="E3453" t="s">
        <v>310</v>
      </c>
      <c r="G3453">
        <v>2</v>
      </c>
      <c r="H3453" t="s">
        <v>84</v>
      </c>
      <c r="I3453" t="s">
        <v>57</v>
      </c>
      <c r="K3453" t="s">
        <v>85</v>
      </c>
      <c r="L3453" t="s">
        <v>1517</v>
      </c>
      <c r="M3453" t="s">
        <v>60</v>
      </c>
      <c r="O3453" t="s">
        <v>87</v>
      </c>
      <c r="P3453" t="s">
        <v>62</v>
      </c>
      <c r="R3453" t="s">
        <v>63</v>
      </c>
      <c r="S3453" t="s">
        <v>64</v>
      </c>
      <c r="T3453">
        <v>216.7</v>
      </c>
      <c r="U3453">
        <v>213.2</v>
      </c>
      <c r="V3453">
        <f t="shared" si="106"/>
        <v>214.95</v>
      </c>
      <c r="W3453">
        <f t="shared" si="107"/>
        <v>3.5</v>
      </c>
      <c r="X3453">
        <v>8.9763999999999999</v>
      </c>
      <c r="Y3453">
        <v>49.064399999999999</v>
      </c>
      <c r="Z3453" t="s">
        <v>124</v>
      </c>
      <c r="AA3453" t="s">
        <v>211</v>
      </c>
      <c r="AB3453" t="s">
        <v>212</v>
      </c>
      <c r="AD3453" t="s">
        <v>214</v>
      </c>
      <c r="AH3453" t="s">
        <v>11</v>
      </c>
      <c r="AI3453" t="s">
        <v>1518</v>
      </c>
      <c r="AJ3453">
        <v>1992</v>
      </c>
      <c r="AK3453" t="s">
        <v>868</v>
      </c>
      <c r="AM3453" t="s">
        <v>869</v>
      </c>
      <c r="AN3453" t="s">
        <v>114</v>
      </c>
      <c r="AO3453">
        <v>4</v>
      </c>
      <c r="AP3453" t="s">
        <v>78</v>
      </c>
      <c r="AQ3453" t="s">
        <v>870</v>
      </c>
      <c r="AR3453" t="s">
        <v>80</v>
      </c>
      <c r="AS3453">
        <v>305</v>
      </c>
      <c r="AT3453" t="s">
        <v>81</v>
      </c>
      <c r="AU3453">
        <v>19.97</v>
      </c>
      <c r="AV3453">
        <v>31.29</v>
      </c>
      <c r="AW3453" t="s">
        <v>82</v>
      </c>
      <c r="AX3453">
        <v>305</v>
      </c>
      <c r="AY3453" t="s">
        <v>81</v>
      </c>
      <c r="AZ3453">
        <v>9.35</v>
      </c>
      <c r="BA3453">
        <v>33.96</v>
      </c>
      <c r="BB3453" t="s">
        <v>83</v>
      </c>
    </row>
    <row r="3454" spans="1:54" x14ac:dyDescent="0.4">
      <c r="A3454">
        <v>728368</v>
      </c>
      <c r="D3454" t="s">
        <v>54</v>
      </c>
      <c r="E3454" t="s">
        <v>310</v>
      </c>
      <c r="G3454">
        <v>2</v>
      </c>
      <c r="H3454" t="s">
        <v>84</v>
      </c>
      <c r="I3454" t="s">
        <v>57</v>
      </c>
      <c r="K3454" t="s">
        <v>85</v>
      </c>
      <c r="L3454" t="s">
        <v>1519</v>
      </c>
      <c r="M3454" t="s">
        <v>60</v>
      </c>
      <c r="O3454" t="s">
        <v>87</v>
      </c>
      <c r="P3454" t="s">
        <v>62</v>
      </c>
      <c r="R3454" t="s">
        <v>63</v>
      </c>
      <c r="S3454" t="s">
        <v>64</v>
      </c>
      <c r="T3454">
        <v>216.7</v>
      </c>
      <c r="U3454">
        <v>213.2</v>
      </c>
      <c r="V3454">
        <f t="shared" si="106"/>
        <v>214.95</v>
      </c>
      <c r="W3454">
        <f t="shared" si="107"/>
        <v>3.5</v>
      </c>
      <c r="X3454">
        <v>8.9763999999999999</v>
      </c>
      <c r="Y3454">
        <v>49.064399999999999</v>
      </c>
      <c r="Z3454" t="s">
        <v>124</v>
      </c>
      <c r="AA3454" t="s">
        <v>211</v>
      </c>
      <c r="AB3454" t="s">
        <v>212</v>
      </c>
      <c r="AD3454" t="s">
        <v>214</v>
      </c>
      <c r="AH3454" t="s">
        <v>72</v>
      </c>
      <c r="AI3454" t="s">
        <v>1520</v>
      </c>
      <c r="AJ3454">
        <v>2000</v>
      </c>
      <c r="AK3454" t="s">
        <v>868</v>
      </c>
      <c r="AM3454" t="s">
        <v>869</v>
      </c>
      <c r="AN3454" t="s">
        <v>114</v>
      </c>
      <c r="AO3454">
        <v>4</v>
      </c>
      <c r="AP3454" t="s">
        <v>78</v>
      </c>
      <c r="AQ3454" t="s">
        <v>870</v>
      </c>
      <c r="AR3454" t="s">
        <v>80</v>
      </c>
      <c r="AS3454">
        <v>305</v>
      </c>
      <c r="AT3454" t="s">
        <v>81</v>
      </c>
      <c r="AU3454">
        <v>19.97</v>
      </c>
      <c r="AV3454">
        <v>31.29</v>
      </c>
      <c r="AW3454" t="s">
        <v>82</v>
      </c>
      <c r="AX3454">
        <v>305</v>
      </c>
      <c r="AY3454" t="s">
        <v>81</v>
      </c>
      <c r="AZ3454">
        <v>9.35</v>
      </c>
      <c r="BA3454">
        <v>33.96</v>
      </c>
      <c r="BB3454" t="s">
        <v>83</v>
      </c>
    </row>
    <row r="3455" spans="1:54" x14ac:dyDescent="0.4">
      <c r="A3455">
        <v>728369</v>
      </c>
      <c r="D3455" t="s">
        <v>54</v>
      </c>
      <c r="E3455" t="s">
        <v>310</v>
      </c>
      <c r="G3455">
        <v>3</v>
      </c>
      <c r="H3455" t="s">
        <v>84</v>
      </c>
      <c r="I3455" t="s">
        <v>57</v>
      </c>
      <c r="K3455" t="s">
        <v>141</v>
      </c>
      <c r="L3455" t="s">
        <v>254</v>
      </c>
      <c r="M3455" t="s">
        <v>60</v>
      </c>
      <c r="O3455" t="s">
        <v>87</v>
      </c>
      <c r="P3455" t="s">
        <v>62</v>
      </c>
      <c r="R3455" t="s">
        <v>63</v>
      </c>
      <c r="S3455" t="s">
        <v>64</v>
      </c>
      <c r="T3455">
        <v>216.7</v>
      </c>
      <c r="U3455">
        <v>213.2</v>
      </c>
      <c r="V3455">
        <f t="shared" si="106"/>
        <v>214.95</v>
      </c>
      <c r="W3455">
        <f t="shared" si="107"/>
        <v>3.5</v>
      </c>
      <c r="X3455">
        <v>8.9763999999999999</v>
      </c>
      <c r="Y3455">
        <v>49.064399999999999</v>
      </c>
      <c r="Z3455" t="s">
        <v>124</v>
      </c>
      <c r="AA3455" t="s">
        <v>211</v>
      </c>
      <c r="AB3455" t="s">
        <v>212</v>
      </c>
      <c r="AD3455" t="s">
        <v>214</v>
      </c>
      <c r="AH3455" t="s">
        <v>72</v>
      </c>
      <c r="AI3455" t="s">
        <v>1518</v>
      </c>
      <c r="AJ3455">
        <v>1992</v>
      </c>
      <c r="AK3455" t="s">
        <v>868</v>
      </c>
      <c r="AM3455" t="s">
        <v>869</v>
      </c>
      <c r="AN3455" t="s">
        <v>114</v>
      </c>
      <c r="AO3455">
        <v>4</v>
      </c>
      <c r="AP3455" t="s">
        <v>78</v>
      </c>
      <c r="AQ3455" t="s">
        <v>870</v>
      </c>
      <c r="AR3455" t="s">
        <v>80</v>
      </c>
      <c r="AS3455">
        <v>305</v>
      </c>
      <c r="AT3455" t="s">
        <v>81</v>
      </c>
      <c r="AU3455">
        <v>19.97</v>
      </c>
      <c r="AV3455">
        <v>31.29</v>
      </c>
      <c r="AW3455" t="s">
        <v>82</v>
      </c>
      <c r="AX3455">
        <v>305</v>
      </c>
      <c r="AY3455" t="s">
        <v>81</v>
      </c>
      <c r="AZ3455">
        <v>9.35</v>
      </c>
      <c r="BA3455">
        <v>33.96</v>
      </c>
      <c r="BB3455" t="s">
        <v>83</v>
      </c>
    </row>
    <row r="3456" spans="1:54" x14ac:dyDescent="0.4">
      <c r="A3456">
        <v>728398</v>
      </c>
      <c r="D3456" t="s">
        <v>54</v>
      </c>
      <c r="E3456" t="s">
        <v>310</v>
      </c>
      <c r="G3456">
        <v>1</v>
      </c>
      <c r="H3456" t="s">
        <v>84</v>
      </c>
      <c r="I3456" t="s">
        <v>57</v>
      </c>
      <c r="K3456" t="s">
        <v>141</v>
      </c>
      <c r="L3456" t="s">
        <v>254</v>
      </c>
      <c r="M3456" t="s">
        <v>60</v>
      </c>
      <c r="O3456" t="s">
        <v>87</v>
      </c>
      <c r="P3456" t="s">
        <v>62</v>
      </c>
      <c r="R3456" t="s">
        <v>63</v>
      </c>
      <c r="S3456" t="s">
        <v>64</v>
      </c>
      <c r="T3456">
        <v>216.7</v>
      </c>
      <c r="U3456">
        <v>213.2</v>
      </c>
      <c r="V3456">
        <f t="shared" si="106"/>
        <v>214.95</v>
      </c>
      <c r="W3456">
        <f t="shared" si="107"/>
        <v>3.5</v>
      </c>
      <c r="X3456">
        <v>8.9763999999999999</v>
      </c>
      <c r="Y3456">
        <v>49.064399999999999</v>
      </c>
      <c r="Z3456" t="s">
        <v>124</v>
      </c>
      <c r="AA3456" t="s">
        <v>211</v>
      </c>
      <c r="AB3456" t="s">
        <v>212</v>
      </c>
      <c r="AD3456" t="s">
        <v>214</v>
      </c>
      <c r="AH3456" t="s">
        <v>72</v>
      </c>
      <c r="AI3456" t="s">
        <v>1518</v>
      </c>
      <c r="AJ3456">
        <v>1992</v>
      </c>
      <c r="AK3456" t="s">
        <v>868</v>
      </c>
      <c r="AM3456" t="s">
        <v>869</v>
      </c>
      <c r="AN3456" t="s">
        <v>114</v>
      </c>
      <c r="AO3456">
        <v>4</v>
      </c>
      <c r="AP3456" t="s">
        <v>78</v>
      </c>
      <c r="AQ3456" t="s">
        <v>870</v>
      </c>
      <c r="AR3456" t="s">
        <v>80</v>
      </c>
      <c r="AS3456">
        <v>305</v>
      </c>
      <c r="AT3456" t="s">
        <v>81</v>
      </c>
      <c r="AU3456">
        <v>19.97</v>
      </c>
      <c r="AV3456">
        <v>31.29</v>
      </c>
      <c r="AW3456" t="s">
        <v>82</v>
      </c>
      <c r="AX3456">
        <v>305</v>
      </c>
      <c r="AY3456" t="s">
        <v>81</v>
      </c>
      <c r="AZ3456">
        <v>9.35</v>
      </c>
      <c r="BA3456">
        <v>33.96</v>
      </c>
      <c r="BB3456" t="s">
        <v>83</v>
      </c>
    </row>
    <row r="3457" spans="1:54" x14ac:dyDescent="0.4">
      <c r="A3457">
        <v>777078</v>
      </c>
      <c r="D3457" t="s">
        <v>54</v>
      </c>
      <c r="E3457" t="s">
        <v>152</v>
      </c>
      <c r="G3457">
        <v>1</v>
      </c>
      <c r="H3457" t="s">
        <v>56</v>
      </c>
      <c r="I3457" t="s">
        <v>57</v>
      </c>
      <c r="K3457" t="s">
        <v>1029</v>
      </c>
      <c r="L3457" t="s">
        <v>1030</v>
      </c>
      <c r="M3457" t="s">
        <v>60</v>
      </c>
      <c r="N3457" t="s">
        <v>61</v>
      </c>
      <c r="O3457" t="s">
        <v>345</v>
      </c>
      <c r="P3457" t="s">
        <v>62</v>
      </c>
      <c r="R3457" t="s">
        <v>63</v>
      </c>
      <c r="S3457" t="s">
        <v>64</v>
      </c>
      <c r="T3457">
        <v>216.7</v>
      </c>
      <c r="U3457">
        <v>213.2</v>
      </c>
      <c r="V3457">
        <f t="shared" si="106"/>
        <v>214.95</v>
      </c>
      <c r="W3457">
        <f t="shared" si="107"/>
        <v>3.5</v>
      </c>
      <c r="X3457">
        <v>12.624167</v>
      </c>
      <c r="Y3457">
        <v>46.389442000000003</v>
      </c>
      <c r="Z3457" t="s">
        <v>1681</v>
      </c>
      <c r="AA3457" t="s">
        <v>593</v>
      </c>
      <c r="AB3457" t="s">
        <v>594</v>
      </c>
      <c r="AD3457" t="s">
        <v>1682</v>
      </c>
      <c r="AH3457" t="s">
        <v>11</v>
      </c>
      <c r="AI3457" t="s">
        <v>1683</v>
      </c>
      <c r="AJ3457">
        <v>2004</v>
      </c>
      <c r="AK3457" t="s">
        <v>1684</v>
      </c>
      <c r="AN3457" t="s">
        <v>192</v>
      </c>
      <c r="AO3457" t="s">
        <v>77</v>
      </c>
      <c r="AP3457" t="s">
        <v>115</v>
      </c>
      <c r="AR3457" t="s">
        <v>80</v>
      </c>
      <c r="AS3457">
        <v>307</v>
      </c>
      <c r="AT3457" t="s">
        <v>81</v>
      </c>
      <c r="AU3457">
        <v>29.86</v>
      </c>
      <c r="AV3457">
        <v>21.34</v>
      </c>
      <c r="AW3457" t="s">
        <v>82</v>
      </c>
      <c r="AX3457">
        <v>307</v>
      </c>
      <c r="AY3457" t="s">
        <v>81</v>
      </c>
      <c r="AZ3457">
        <v>15.31</v>
      </c>
      <c r="BA3457">
        <v>27.09</v>
      </c>
      <c r="BB3457" t="s">
        <v>83</v>
      </c>
    </row>
    <row r="3458" spans="1:54" x14ac:dyDescent="0.4">
      <c r="A3458">
        <v>777437</v>
      </c>
      <c r="D3458" t="s">
        <v>54</v>
      </c>
      <c r="E3458" t="s">
        <v>55</v>
      </c>
      <c r="G3458">
        <v>1</v>
      </c>
      <c r="H3458" t="s">
        <v>56</v>
      </c>
      <c r="I3458" t="s">
        <v>57</v>
      </c>
      <c r="K3458" t="s">
        <v>1029</v>
      </c>
      <c r="L3458" t="s">
        <v>1030</v>
      </c>
      <c r="M3458" t="s">
        <v>60</v>
      </c>
      <c r="N3458" t="s">
        <v>61</v>
      </c>
      <c r="O3458" t="s">
        <v>345</v>
      </c>
      <c r="P3458" t="s">
        <v>62</v>
      </c>
      <c r="R3458" t="s">
        <v>63</v>
      </c>
      <c r="S3458" t="s">
        <v>64</v>
      </c>
      <c r="T3458">
        <v>216.7</v>
      </c>
      <c r="U3458">
        <v>213.2</v>
      </c>
      <c r="V3458">
        <f t="shared" si="106"/>
        <v>214.95</v>
      </c>
      <c r="W3458">
        <f t="shared" si="107"/>
        <v>3.5</v>
      </c>
      <c r="X3458">
        <v>12.930833</v>
      </c>
      <c r="Y3458">
        <v>46.391387999999999</v>
      </c>
      <c r="Z3458" t="s">
        <v>1681</v>
      </c>
      <c r="AA3458" t="s">
        <v>593</v>
      </c>
      <c r="AB3458" t="s">
        <v>594</v>
      </c>
      <c r="AC3458" t="s">
        <v>595</v>
      </c>
      <c r="AD3458" t="s">
        <v>1682</v>
      </c>
      <c r="AH3458" t="s">
        <v>72</v>
      </c>
      <c r="AI3458" t="s">
        <v>1683</v>
      </c>
      <c r="AJ3458">
        <v>1995</v>
      </c>
      <c r="AK3458" t="s">
        <v>1685</v>
      </c>
      <c r="AM3458" t="s">
        <v>1686</v>
      </c>
      <c r="AN3458" t="s">
        <v>192</v>
      </c>
      <c r="AO3458" t="s">
        <v>77</v>
      </c>
      <c r="AP3458" t="s">
        <v>115</v>
      </c>
      <c r="AQ3458" t="s">
        <v>1687</v>
      </c>
      <c r="AR3458" t="s">
        <v>80</v>
      </c>
      <c r="AS3458">
        <v>307</v>
      </c>
      <c r="AT3458" t="s">
        <v>81</v>
      </c>
      <c r="AU3458">
        <v>30.01</v>
      </c>
      <c r="AV3458">
        <v>21.18</v>
      </c>
      <c r="AW3458" t="s">
        <v>82</v>
      </c>
      <c r="AX3458">
        <v>307</v>
      </c>
      <c r="AY3458" t="s">
        <v>81</v>
      </c>
      <c r="AZ3458">
        <v>15.5</v>
      </c>
      <c r="BA3458">
        <v>26.97</v>
      </c>
      <c r="BB3458" t="s">
        <v>83</v>
      </c>
    </row>
    <row r="3459" spans="1:54" x14ac:dyDescent="0.4">
      <c r="A3459">
        <v>830904</v>
      </c>
      <c r="D3459" t="s">
        <v>2134</v>
      </c>
      <c r="E3459" t="s">
        <v>297</v>
      </c>
      <c r="G3459">
        <v>1</v>
      </c>
      <c r="H3459" t="s">
        <v>84</v>
      </c>
      <c r="I3459" t="s">
        <v>57</v>
      </c>
      <c r="K3459" t="s">
        <v>206</v>
      </c>
      <c r="L3459" t="s">
        <v>2254</v>
      </c>
      <c r="M3459" t="s">
        <v>60</v>
      </c>
      <c r="O3459" t="s">
        <v>170</v>
      </c>
      <c r="P3459" t="s">
        <v>62</v>
      </c>
      <c r="R3459" t="s">
        <v>63</v>
      </c>
      <c r="S3459" t="s">
        <v>64</v>
      </c>
      <c r="T3459">
        <v>216.7</v>
      </c>
      <c r="U3459">
        <v>213.2</v>
      </c>
      <c r="V3459">
        <f t="shared" ref="V3459:V3522" si="108">(T3459+U3459)/2</f>
        <v>214.95</v>
      </c>
      <c r="W3459">
        <f t="shared" ref="W3459:W3522" si="109">T3459-U3459</f>
        <v>3.5</v>
      </c>
      <c r="X3459">
        <v>-72.903923000000006</v>
      </c>
      <c r="Y3459">
        <v>41.316875000000003</v>
      </c>
      <c r="Z3459" t="s">
        <v>124</v>
      </c>
      <c r="AA3459" t="s">
        <v>66</v>
      </c>
      <c r="AB3459" t="s">
        <v>855</v>
      </c>
      <c r="AC3459" t="s">
        <v>856</v>
      </c>
      <c r="AD3459" t="s">
        <v>856</v>
      </c>
      <c r="AE3459" t="s">
        <v>70</v>
      </c>
      <c r="AH3459" t="s">
        <v>72</v>
      </c>
      <c r="AI3459" t="s">
        <v>2513</v>
      </c>
      <c r="AJ3459">
        <v>1915</v>
      </c>
      <c r="AK3459" t="s">
        <v>2514</v>
      </c>
      <c r="AM3459" t="s">
        <v>2515</v>
      </c>
      <c r="AN3459" t="s">
        <v>114</v>
      </c>
      <c r="AO3459">
        <v>6</v>
      </c>
      <c r="AP3459" t="s">
        <v>115</v>
      </c>
      <c r="AQ3459" t="s">
        <v>2516</v>
      </c>
      <c r="AR3459" t="s">
        <v>80</v>
      </c>
      <c r="AS3459">
        <v>101</v>
      </c>
      <c r="AT3459" t="s">
        <v>81</v>
      </c>
      <c r="AU3459">
        <v>-8.35</v>
      </c>
      <c r="AV3459">
        <v>15.09</v>
      </c>
      <c r="AW3459" t="s">
        <v>82</v>
      </c>
      <c r="AX3459">
        <v>101</v>
      </c>
      <c r="AY3459" t="s">
        <v>81</v>
      </c>
      <c r="AZ3459">
        <v>-19.309999999999999</v>
      </c>
      <c r="BA3459">
        <v>17.39</v>
      </c>
      <c r="BB3459" t="s">
        <v>83</v>
      </c>
    </row>
    <row r="3460" spans="1:54" x14ac:dyDescent="0.4">
      <c r="A3460">
        <v>846845</v>
      </c>
      <c r="D3460" t="s">
        <v>853</v>
      </c>
      <c r="E3460" t="s">
        <v>154</v>
      </c>
      <c r="F3460" t="s">
        <v>600</v>
      </c>
      <c r="G3460">
        <v>3</v>
      </c>
      <c r="H3460" t="s">
        <v>84</v>
      </c>
      <c r="I3460" t="s">
        <v>57</v>
      </c>
      <c r="K3460" t="s">
        <v>1029</v>
      </c>
      <c r="L3460" t="s">
        <v>1030</v>
      </c>
      <c r="M3460" t="s">
        <v>60</v>
      </c>
      <c r="N3460" t="s">
        <v>61</v>
      </c>
      <c r="O3460" t="s">
        <v>345</v>
      </c>
      <c r="P3460" t="s">
        <v>62</v>
      </c>
      <c r="R3460" t="s">
        <v>63</v>
      </c>
      <c r="S3460" t="s">
        <v>64</v>
      </c>
      <c r="T3460">
        <v>216.7</v>
      </c>
      <c r="U3460">
        <v>213.2</v>
      </c>
      <c r="V3460">
        <f t="shared" si="108"/>
        <v>214.95</v>
      </c>
      <c r="W3460">
        <f t="shared" si="109"/>
        <v>3.5</v>
      </c>
      <c r="X3460">
        <v>9.8170000000000002</v>
      </c>
      <c r="Y3460">
        <v>45.783000999999999</v>
      </c>
      <c r="Z3460" t="s">
        <v>1681</v>
      </c>
      <c r="AA3460" t="s">
        <v>593</v>
      </c>
      <c r="AB3460" t="s">
        <v>603</v>
      </c>
      <c r="AC3460" t="s">
        <v>3086</v>
      </c>
      <c r="AD3460" t="s">
        <v>604</v>
      </c>
      <c r="AH3460" t="s">
        <v>72</v>
      </c>
      <c r="AI3460" t="s">
        <v>3090</v>
      </c>
      <c r="AJ3460">
        <v>1973</v>
      </c>
      <c r="AK3460" t="s">
        <v>3091</v>
      </c>
      <c r="AN3460" t="s">
        <v>114</v>
      </c>
      <c r="AO3460">
        <v>3</v>
      </c>
      <c r="AP3460" t="s">
        <v>78</v>
      </c>
      <c r="AQ3460" t="s">
        <v>3092</v>
      </c>
      <c r="AR3460" t="s">
        <v>80</v>
      </c>
      <c r="AS3460">
        <v>307</v>
      </c>
      <c r="AT3460" t="s">
        <v>81</v>
      </c>
      <c r="AU3460">
        <v>28.02</v>
      </c>
      <c r="AV3460">
        <v>22.45</v>
      </c>
      <c r="AW3460" t="s">
        <v>82</v>
      </c>
      <c r="AX3460">
        <v>307</v>
      </c>
      <c r="AY3460" t="s">
        <v>81</v>
      </c>
      <c r="AZ3460">
        <v>13.11</v>
      </c>
      <c r="BA3460">
        <v>27.69</v>
      </c>
      <c r="BB3460" t="s">
        <v>83</v>
      </c>
    </row>
    <row r="3461" spans="1:54" x14ac:dyDescent="0.4">
      <c r="A3461">
        <v>846846</v>
      </c>
      <c r="D3461" t="s">
        <v>853</v>
      </c>
      <c r="E3461" t="s">
        <v>154</v>
      </c>
      <c r="F3461" t="s">
        <v>600</v>
      </c>
      <c r="G3461">
        <v>2</v>
      </c>
      <c r="H3461" t="s">
        <v>84</v>
      </c>
      <c r="I3461" t="s">
        <v>57</v>
      </c>
      <c r="K3461" t="s">
        <v>2503</v>
      </c>
      <c r="L3461" t="s">
        <v>3093</v>
      </c>
      <c r="M3461" t="s">
        <v>60</v>
      </c>
      <c r="N3461" t="s">
        <v>61</v>
      </c>
      <c r="O3461" t="s">
        <v>345</v>
      </c>
      <c r="P3461" t="s">
        <v>62</v>
      </c>
      <c r="R3461" t="s">
        <v>63</v>
      </c>
      <c r="S3461" t="s">
        <v>64</v>
      </c>
      <c r="T3461">
        <v>216.7</v>
      </c>
      <c r="U3461">
        <v>213.2</v>
      </c>
      <c r="V3461">
        <f t="shared" si="108"/>
        <v>214.95</v>
      </c>
      <c r="W3461">
        <f t="shared" si="109"/>
        <v>3.5</v>
      </c>
      <c r="X3461">
        <v>9.8170000000000002</v>
      </c>
      <c r="Y3461">
        <v>45.783000999999999</v>
      </c>
      <c r="Z3461" t="s">
        <v>1681</v>
      </c>
      <c r="AA3461" t="s">
        <v>593</v>
      </c>
      <c r="AB3461" t="s">
        <v>603</v>
      </c>
      <c r="AC3461" t="s">
        <v>3086</v>
      </c>
      <c r="AD3461" t="s">
        <v>604</v>
      </c>
      <c r="AH3461" t="s">
        <v>72</v>
      </c>
      <c r="AI3461" t="s">
        <v>1693</v>
      </c>
      <c r="AJ3461">
        <v>1978</v>
      </c>
      <c r="AK3461" t="s">
        <v>3091</v>
      </c>
      <c r="AN3461" t="s">
        <v>114</v>
      </c>
      <c r="AO3461">
        <v>3</v>
      </c>
      <c r="AP3461" t="s">
        <v>78</v>
      </c>
      <c r="AQ3461" t="s">
        <v>3092</v>
      </c>
      <c r="AR3461" t="s">
        <v>80</v>
      </c>
      <c r="AS3461">
        <v>307</v>
      </c>
      <c r="AT3461" t="s">
        <v>81</v>
      </c>
      <c r="AU3461">
        <v>28.02</v>
      </c>
      <c r="AV3461">
        <v>22.45</v>
      </c>
      <c r="AW3461" t="s">
        <v>82</v>
      </c>
      <c r="AX3461">
        <v>307</v>
      </c>
      <c r="AY3461" t="s">
        <v>81</v>
      </c>
      <c r="AZ3461">
        <v>13.11</v>
      </c>
      <c r="BA3461">
        <v>27.69</v>
      </c>
      <c r="BB3461" t="s">
        <v>83</v>
      </c>
    </row>
    <row r="3462" spans="1:54" x14ac:dyDescent="0.4">
      <c r="A3462">
        <v>846847</v>
      </c>
      <c r="D3462" t="s">
        <v>853</v>
      </c>
      <c r="E3462" t="s">
        <v>154</v>
      </c>
      <c r="F3462" t="s">
        <v>600</v>
      </c>
      <c r="G3462">
        <v>1</v>
      </c>
      <c r="H3462" t="s">
        <v>84</v>
      </c>
      <c r="I3462" t="s">
        <v>57</v>
      </c>
      <c r="K3462" t="s">
        <v>206</v>
      </c>
      <c r="L3462" t="s">
        <v>253</v>
      </c>
      <c r="M3462" t="s">
        <v>60</v>
      </c>
      <c r="O3462" t="s">
        <v>170</v>
      </c>
      <c r="P3462" t="s">
        <v>62</v>
      </c>
      <c r="R3462" t="s">
        <v>63</v>
      </c>
      <c r="S3462" t="s">
        <v>64</v>
      </c>
      <c r="T3462">
        <v>216.7</v>
      </c>
      <c r="U3462">
        <v>213.2</v>
      </c>
      <c r="V3462">
        <f t="shared" si="108"/>
        <v>214.95</v>
      </c>
      <c r="W3462">
        <f t="shared" si="109"/>
        <v>3.5</v>
      </c>
      <c r="X3462">
        <v>9.8170000000000002</v>
      </c>
      <c r="Y3462">
        <v>45.783000999999999</v>
      </c>
      <c r="Z3462" t="s">
        <v>1681</v>
      </c>
      <c r="AA3462" t="s">
        <v>593</v>
      </c>
      <c r="AB3462" t="s">
        <v>603</v>
      </c>
      <c r="AC3462" t="s">
        <v>3086</v>
      </c>
      <c r="AD3462" t="s">
        <v>604</v>
      </c>
      <c r="AH3462" t="s">
        <v>72</v>
      </c>
      <c r="AI3462" t="s">
        <v>1693</v>
      </c>
      <c r="AJ3462">
        <v>1989</v>
      </c>
      <c r="AK3462" t="s">
        <v>3091</v>
      </c>
      <c r="AN3462" t="s">
        <v>114</v>
      </c>
      <c r="AO3462">
        <v>3</v>
      </c>
      <c r="AP3462" t="s">
        <v>78</v>
      </c>
      <c r="AQ3462" t="s">
        <v>3092</v>
      </c>
      <c r="AR3462" t="s">
        <v>80</v>
      </c>
      <c r="AS3462">
        <v>307</v>
      </c>
      <c r="AT3462" t="s">
        <v>81</v>
      </c>
      <c r="AU3462">
        <v>28.02</v>
      </c>
      <c r="AV3462">
        <v>22.45</v>
      </c>
      <c r="AW3462" t="s">
        <v>82</v>
      </c>
      <c r="AX3462">
        <v>307</v>
      </c>
      <c r="AY3462" t="s">
        <v>81</v>
      </c>
      <c r="AZ3462">
        <v>13.11</v>
      </c>
      <c r="BA3462">
        <v>27.69</v>
      </c>
      <c r="BB3462" t="s">
        <v>83</v>
      </c>
    </row>
    <row r="3463" spans="1:54" x14ac:dyDescent="0.4">
      <c r="A3463">
        <v>846848</v>
      </c>
      <c r="D3463" t="s">
        <v>853</v>
      </c>
      <c r="E3463" t="s">
        <v>154</v>
      </c>
      <c r="F3463" t="s">
        <v>600</v>
      </c>
      <c r="G3463">
        <v>1</v>
      </c>
      <c r="H3463" t="s">
        <v>84</v>
      </c>
      <c r="I3463" t="s">
        <v>57</v>
      </c>
      <c r="K3463" t="s">
        <v>2503</v>
      </c>
      <c r="L3463" t="s">
        <v>3093</v>
      </c>
      <c r="M3463" t="s">
        <v>60</v>
      </c>
      <c r="N3463" t="s">
        <v>61</v>
      </c>
      <c r="O3463" t="s">
        <v>345</v>
      </c>
      <c r="P3463" t="s">
        <v>62</v>
      </c>
      <c r="R3463" t="s">
        <v>63</v>
      </c>
      <c r="S3463" t="s">
        <v>64</v>
      </c>
      <c r="T3463">
        <v>216.7</v>
      </c>
      <c r="U3463">
        <v>213.2</v>
      </c>
      <c r="V3463">
        <f t="shared" si="108"/>
        <v>214.95</v>
      </c>
      <c r="W3463">
        <f t="shared" si="109"/>
        <v>3.5</v>
      </c>
      <c r="X3463">
        <v>9.8170000000000002</v>
      </c>
      <c r="Y3463">
        <v>45.783000999999999</v>
      </c>
      <c r="Z3463" t="s">
        <v>1681</v>
      </c>
      <c r="AA3463" t="s">
        <v>593</v>
      </c>
      <c r="AB3463" t="s">
        <v>603</v>
      </c>
      <c r="AC3463" t="s">
        <v>3086</v>
      </c>
      <c r="AD3463" t="s">
        <v>604</v>
      </c>
      <c r="AH3463" t="s">
        <v>72</v>
      </c>
      <c r="AI3463" t="s">
        <v>1683</v>
      </c>
      <c r="AJ3463">
        <v>2003</v>
      </c>
      <c r="AK3463" t="s">
        <v>3091</v>
      </c>
      <c r="AN3463" t="s">
        <v>114</v>
      </c>
      <c r="AO3463">
        <v>3</v>
      </c>
      <c r="AP3463" t="s">
        <v>78</v>
      </c>
      <c r="AQ3463" t="s">
        <v>3092</v>
      </c>
      <c r="AR3463" t="s">
        <v>80</v>
      </c>
      <c r="AS3463">
        <v>307</v>
      </c>
      <c r="AT3463" t="s">
        <v>81</v>
      </c>
      <c r="AU3463">
        <v>28.02</v>
      </c>
      <c r="AV3463">
        <v>22.45</v>
      </c>
      <c r="AW3463" t="s">
        <v>82</v>
      </c>
      <c r="AX3463">
        <v>307</v>
      </c>
      <c r="AY3463" t="s">
        <v>81</v>
      </c>
      <c r="AZ3463">
        <v>13.11</v>
      </c>
      <c r="BA3463">
        <v>27.69</v>
      </c>
      <c r="BB3463" t="s">
        <v>83</v>
      </c>
    </row>
    <row r="3464" spans="1:54" x14ac:dyDescent="0.4">
      <c r="A3464">
        <v>846849</v>
      </c>
      <c r="D3464" t="s">
        <v>599</v>
      </c>
      <c r="E3464" t="s">
        <v>310</v>
      </c>
      <c r="F3464" t="s">
        <v>600</v>
      </c>
      <c r="G3464">
        <v>1</v>
      </c>
      <c r="H3464" t="s">
        <v>84</v>
      </c>
      <c r="I3464" t="s">
        <v>57</v>
      </c>
      <c r="K3464" t="s">
        <v>1029</v>
      </c>
      <c r="L3464" t="s">
        <v>1030</v>
      </c>
      <c r="M3464" t="s">
        <v>60</v>
      </c>
      <c r="N3464" t="s">
        <v>61</v>
      </c>
      <c r="O3464" t="s">
        <v>345</v>
      </c>
      <c r="P3464" t="s">
        <v>62</v>
      </c>
      <c r="R3464" t="s">
        <v>63</v>
      </c>
      <c r="S3464" t="s">
        <v>64</v>
      </c>
      <c r="T3464">
        <v>216.7</v>
      </c>
      <c r="U3464">
        <v>213.2</v>
      </c>
      <c r="V3464">
        <f t="shared" si="108"/>
        <v>214.95</v>
      </c>
      <c r="W3464">
        <f t="shared" si="109"/>
        <v>3.5</v>
      </c>
      <c r="X3464">
        <v>9.7170000000000005</v>
      </c>
      <c r="Y3464">
        <v>45.682999000000002</v>
      </c>
      <c r="Z3464" t="s">
        <v>602</v>
      </c>
      <c r="AA3464" t="s">
        <v>593</v>
      </c>
      <c r="AB3464" t="s">
        <v>603</v>
      </c>
      <c r="AD3464" t="s">
        <v>604</v>
      </c>
      <c r="AH3464" t="s">
        <v>72</v>
      </c>
      <c r="AI3464" t="s">
        <v>3094</v>
      </c>
      <c r="AJ3464">
        <v>1993</v>
      </c>
      <c r="AK3464" t="s">
        <v>606</v>
      </c>
      <c r="AN3464" t="s">
        <v>114</v>
      </c>
      <c r="AO3464">
        <v>3</v>
      </c>
      <c r="AP3464" t="s">
        <v>115</v>
      </c>
      <c r="AQ3464" t="s">
        <v>607</v>
      </c>
      <c r="AR3464" t="s">
        <v>80</v>
      </c>
      <c r="AS3464">
        <v>307</v>
      </c>
      <c r="AT3464" t="s">
        <v>81</v>
      </c>
      <c r="AU3464">
        <v>27.89</v>
      </c>
      <c r="AV3464">
        <v>22.45</v>
      </c>
      <c r="AW3464" t="s">
        <v>82</v>
      </c>
      <c r="AX3464">
        <v>307</v>
      </c>
      <c r="AY3464" t="s">
        <v>81</v>
      </c>
      <c r="AZ3464">
        <v>12.98</v>
      </c>
      <c r="BA3464">
        <v>27.65</v>
      </c>
      <c r="BB3464" t="s">
        <v>83</v>
      </c>
    </row>
    <row r="3465" spans="1:54" x14ac:dyDescent="0.4">
      <c r="A3465">
        <v>851317</v>
      </c>
      <c r="D3465" t="s">
        <v>599</v>
      </c>
      <c r="E3465" t="s">
        <v>310</v>
      </c>
      <c r="F3465" t="s">
        <v>600</v>
      </c>
      <c r="G3465">
        <v>1</v>
      </c>
      <c r="H3465" t="s">
        <v>84</v>
      </c>
      <c r="I3465" t="s">
        <v>57</v>
      </c>
      <c r="K3465" t="s">
        <v>1169</v>
      </c>
      <c r="L3465" t="s">
        <v>1170</v>
      </c>
      <c r="M3465" t="s">
        <v>60</v>
      </c>
      <c r="P3465" t="s">
        <v>62</v>
      </c>
      <c r="R3465" t="s">
        <v>63</v>
      </c>
      <c r="S3465" t="s">
        <v>64</v>
      </c>
      <c r="T3465">
        <v>216.7</v>
      </c>
      <c r="U3465">
        <v>213.2</v>
      </c>
      <c r="V3465">
        <f t="shared" si="108"/>
        <v>214.95</v>
      </c>
      <c r="W3465">
        <f t="shared" si="109"/>
        <v>3.5</v>
      </c>
      <c r="X3465">
        <v>9.7170000000000005</v>
      </c>
      <c r="Y3465">
        <v>45.682999000000002</v>
      </c>
      <c r="Z3465" t="s">
        <v>602</v>
      </c>
      <c r="AA3465" t="s">
        <v>593</v>
      </c>
      <c r="AB3465" t="s">
        <v>603</v>
      </c>
      <c r="AD3465" t="s">
        <v>604</v>
      </c>
      <c r="AH3465" t="s">
        <v>72</v>
      </c>
      <c r="AI3465" t="s">
        <v>1171</v>
      </c>
      <c r="AJ3465">
        <v>2010</v>
      </c>
      <c r="AK3465" t="s">
        <v>606</v>
      </c>
      <c r="AN3465" t="s">
        <v>114</v>
      </c>
      <c r="AO3465">
        <v>3</v>
      </c>
      <c r="AP3465" t="s">
        <v>115</v>
      </c>
      <c r="AQ3465" t="s">
        <v>607</v>
      </c>
      <c r="AR3465" t="s">
        <v>80</v>
      </c>
      <c r="AS3465">
        <v>307</v>
      </c>
      <c r="AT3465" t="s">
        <v>81</v>
      </c>
      <c r="AU3465">
        <v>27.89</v>
      </c>
      <c r="AV3465">
        <v>22.45</v>
      </c>
      <c r="AW3465" t="s">
        <v>82</v>
      </c>
      <c r="AX3465">
        <v>307</v>
      </c>
      <c r="AY3465" t="s">
        <v>81</v>
      </c>
      <c r="AZ3465">
        <v>12.98</v>
      </c>
      <c r="BA3465">
        <v>27.65</v>
      </c>
      <c r="BB3465" t="s">
        <v>83</v>
      </c>
    </row>
    <row r="3466" spans="1:54" x14ac:dyDescent="0.4">
      <c r="A3466">
        <v>851324</v>
      </c>
      <c r="D3466" t="s">
        <v>853</v>
      </c>
      <c r="E3466" t="s">
        <v>154</v>
      </c>
      <c r="F3466" t="s">
        <v>600</v>
      </c>
      <c r="G3466">
        <v>1</v>
      </c>
      <c r="H3466" t="s">
        <v>84</v>
      </c>
      <c r="I3466" t="s">
        <v>57</v>
      </c>
      <c r="K3466" t="s">
        <v>141</v>
      </c>
      <c r="L3466" t="s">
        <v>3140</v>
      </c>
      <c r="M3466" t="s">
        <v>60</v>
      </c>
      <c r="P3466" t="s">
        <v>62</v>
      </c>
      <c r="R3466" t="s">
        <v>63</v>
      </c>
      <c r="S3466" t="s">
        <v>64</v>
      </c>
      <c r="T3466">
        <v>216.7</v>
      </c>
      <c r="U3466">
        <v>213.2</v>
      </c>
      <c r="V3466">
        <f t="shared" si="108"/>
        <v>214.95</v>
      </c>
      <c r="W3466">
        <f t="shared" si="109"/>
        <v>3.5</v>
      </c>
      <c r="X3466">
        <v>9.8170000000000002</v>
      </c>
      <c r="Y3466">
        <v>45.783000999999999</v>
      </c>
      <c r="Z3466" t="s">
        <v>1681</v>
      </c>
      <c r="AA3466" t="s">
        <v>593</v>
      </c>
      <c r="AB3466" t="s">
        <v>603</v>
      </c>
      <c r="AC3466" t="s">
        <v>3086</v>
      </c>
      <c r="AD3466" t="s">
        <v>604</v>
      </c>
      <c r="AH3466" t="s">
        <v>72</v>
      </c>
      <c r="AI3466" t="s">
        <v>1171</v>
      </c>
      <c r="AJ3466">
        <v>2010</v>
      </c>
      <c r="AK3466" t="s">
        <v>3091</v>
      </c>
      <c r="AN3466" t="s">
        <v>114</v>
      </c>
      <c r="AO3466">
        <v>3</v>
      </c>
      <c r="AP3466" t="s">
        <v>78</v>
      </c>
      <c r="AQ3466" t="s">
        <v>3092</v>
      </c>
      <c r="AR3466" t="s">
        <v>80</v>
      </c>
      <c r="AS3466">
        <v>307</v>
      </c>
      <c r="AT3466" t="s">
        <v>81</v>
      </c>
      <c r="AU3466">
        <v>28.02</v>
      </c>
      <c r="AV3466">
        <v>22.45</v>
      </c>
      <c r="AW3466" t="s">
        <v>82</v>
      </c>
      <c r="AX3466">
        <v>307</v>
      </c>
      <c r="AY3466" t="s">
        <v>81</v>
      </c>
      <c r="AZ3466">
        <v>13.11</v>
      </c>
      <c r="BA3466">
        <v>27.69</v>
      </c>
      <c r="BB3466" t="s">
        <v>83</v>
      </c>
    </row>
    <row r="3467" spans="1:54" x14ac:dyDescent="0.4">
      <c r="A3467">
        <v>851325</v>
      </c>
      <c r="D3467" t="s">
        <v>853</v>
      </c>
      <c r="E3467" t="s">
        <v>154</v>
      </c>
      <c r="F3467" t="s">
        <v>600</v>
      </c>
      <c r="G3467">
        <v>1</v>
      </c>
      <c r="H3467" t="s">
        <v>84</v>
      </c>
      <c r="I3467" t="s">
        <v>57</v>
      </c>
      <c r="K3467" t="s">
        <v>141</v>
      </c>
      <c r="L3467" t="s">
        <v>3140</v>
      </c>
      <c r="M3467" t="s">
        <v>60</v>
      </c>
      <c r="P3467" t="s">
        <v>62</v>
      </c>
      <c r="R3467" t="s">
        <v>63</v>
      </c>
      <c r="S3467" t="s">
        <v>64</v>
      </c>
      <c r="T3467">
        <v>216.7</v>
      </c>
      <c r="U3467">
        <v>213.2</v>
      </c>
      <c r="V3467">
        <f t="shared" si="108"/>
        <v>214.95</v>
      </c>
      <c r="W3467">
        <f t="shared" si="109"/>
        <v>3.5</v>
      </c>
      <c r="X3467">
        <v>9.8170000000000002</v>
      </c>
      <c r="Y3467">
        <v>45.783000999999999</v>
      </c>
      <c r="Z3467" t="s">
        <v>1681</v>
      </c>
      <c r="AA3467" t="s">
        <v>593</v>
      </c>
      <c r="AB3467" t="s">
        <v>603</v>
      </c>
      <c r="AC3467" t="s">
        <v>3086</v>
      </c>
      <c r="AD3467" t="s">
        <v>604</v>
      </c>
      <c r="AH3467" t="s">
        <v>72</v>
      </c>
      <c r="AI3467" t="s">
        <v>3141</v>
      </c>
      <c r="AJ3467">
        <v>2006</v>
      </c>
      <c r="AK3467" t="s">
        <v>3091</v>
      </c>
      <c r="AN3467" t="s">
        <v>114</v>
      </c>
      <c r="AO3467">
        <v>3</v>
      </c>
      <c r="AP3467" t="s">
        <v>78</v>
      </c>
      <c r="AQ3467" t="s">
        <v>3092</v>
      </c>
      <c r="AR3467" t="s">
        <v>80</v>
      </c>
      <c r="AS3467">
        <v>307</v>
      </c>
      <c r="AT3467" t="s">
        <v>81</v>
      </c>
      <c r="AU3467">
        <v>28.02</v>
      </c>
      <c r="AV3467">
        <v>22.45</v>
      </c>
      <c r="AW3467" t="s">
        <v>82</v>
      </c>
      <c r="AX3467">
        <v>307</v>
      </c>
      <c r="AY3467" t="s">
        <v>81</v>
      </c>
      <c r="AZ3467">
        <v>13.11</v>
      </c>
      <c r="BA3467">
        <v>27.69</v>
      </c>
      <c r="BB3467" t="s">
        <v>83</v>
      </c>
    </row>
    <row r="3468" spans="1:54" x14ac:dyDescent="0.4">
      <c r="A3468">
        <v>851329</v>
      </c>
      <c r="D3468" t="s">
        <v>599</v>
      </c>
      <c r="E3468" t="s">
        <v>310</v>
      </c>
      <c r="F3468" t="s">
        <v>600</v>
      </c>
      <c r="G3468">
        <v>2</v>
      </c>
      <c r="H3468" t="s">
        <v>84</v>
      </c>
      <c r="I3468" t="s">
        <v>57</v>
      </c>
      <c r="K3468" t="s">
        <v>1169</v>
      </c>
      <c r="L3468" t="s">
        <v>1697</v>
      </c>
      <c r="M3468" t="s">
        <v>60</v>
      </c>
      <c r="N3468" t="s">
        <v>1698</v>
      </c>
      <c r="O3468" t="s">
        <v>120</v>
      </c>
      <c r="P3468" t="s">
        <v>62</v>
      </c>
      <c r="R3468" t="s">
        <v>63</v>
      </c>
      <c r="S3468" t="s">
        <v>64</v>
      </c>
      <c r="T3468">
        <v>216.7</v>
      </c>
      <c r="U3468">
        <v>213.2</v>
      </c>
      <c r="V3468">
        <f t="shared" si="108"/>
        <v>214.95</v>
      </c>
      <c r="W3468">
        <f t="shared" si="109"/>
        <v>3.5</v>
      </c>
      <c r="X3468">
        <v>9.7170000000000005</v>
      </c>
      <c r="Y3468">
        <v>45.682999000000002</v>
      </c>
      <c r="Z3468" t="s">
        <v>602</v>
      </c>
      <c r="AA3468" t="s">
        <v>593</v>
      </c>
      <c r="AB3468" t="s">
        <v>603</v>
      </c>
      <c r="AD3468" t="s">
        <v>604</v>
      </c>
      <c r="AH3468" t="s">
        <v>72</v>
      </c>
      <c r="AI3468" t="s">
        <v>1171</v>
      </c>
      <c r="AJ3468">
        <v>2010</v>
      </c>
      <c r="AK3468" t="s">
        <v>606</v>
      </c>
      <c r="AN3468" t="s">
        <v>114</v>
      </c>
      <c r="AO3468">
        <v>3</v>
      </c>
      <c r="AP3468" t="s">
        <v>115</v>
      </c>
      <c r="AQ3468" t="s">
        <v>607</v>
      </c>
      <c r="AR3468" t="s">
        <v>80</v>
      </c>
      <c r="AS3468">
        <v>307</v>
      </c>
      <c r="AT3468" t="s">
        <v>81</v>
      </c>
      <c r="AU3468">
        <v>27.89</v>
      </c>
      <c r="AV3468">
        <v>22.45</v>
      </c>
      <c r="AW3468" t="s">
        <v>82</v>
      </c>
      <c r="AX3468">
        <v>307</v>
      </c>
      <c r="AY3468" t="s">
        <v>81</v>
      </c>
      <c r="AZ3468">
        <v>12.98</v>
      </c>
      <c r="BA3468">
        <v>27.65</v>
      </c>
      <c r="BB3468" t="s">
        <v>83</v>
      </c>
    </row>
    <row r="3469" spans="1:54" x14ac:dyDescent="0.4">
      <c r="A3469">
        <v>851330</v>
      </c>
      <c r="D3469" t="s">
        <v>599</v>
      </c>
      <c r="E3469" t="s">
        <v>310</v>
      </c>
      <c r="F3469" t="s">
        <v>600</v>
      </c>
      <c r="G3469">
        <v>1</v>
      </c>
      <c r="H3469" t="s">
        <v>84</v>
      </c>
      <c r="I3469" t="s">
        <v>57</v>
      </c>
      <c r="K3469" t="s">
        <v>1169</v>
      </c>
      <c r="L3469" t="s">
        <v>1697</v>
      </c>
      <c r="M3469" t="s">
        <v>60</v>
      </c>
      <c r="N3469" t="s">
        <v>1698</v>
      </c>
      <c r="O3469" t="s">
        <v>120</v>
      </c>
      <c r="P3469" t="s">
        <v>62</v>
      </c>
      <c r="R3469" t="s">
        <v>63</v>
      </c>
      <c r="S3469" t="s">
        <v>64</v>
      </c>
      <c r="T3469">
        <v>216.7</v>
      </c>
      <c r="U3469">
        <v>213.2</v>
      </c>
      <c r="V3469">
        <f t="shared" si="108"/>
        <v>214.95</v>
      </c>
      <c r="W3469">
        <f t="shared" si="109"/>
        <v>3.5</v>
      </c>
      <c r="X3469">
        <v>9.7170000000000005</v>
      </c>
      <c r="Y3469">
        <v>45.682999000000002</v>
      </c>
      <c r="Z3469" t="s">
        <v>602</v>
      </c>
      <c r="AA3469" t="s">
        <v>593</v>
      </c>
      <c r="AB3469" t="s">
        <v>603</v>
      </c>
      <c r="AD3469" t="s">
        <v>604</v>
      </c>
      <c r="AH3469" t="s">
        <v>72</v>
      </c>
      <c r="AI3469" t="s">
        <v>3094</v>
      </c>
      <c r="AJ3469">
        <v>2000</v>
      </c>
      <c r="AK3469" t="s">
        <v>606</v>
      </c>
      <c r="AN3469" t="s">
        <v>114</v>
      </c>
      <c r="AO3469">
        <v>3</v>
      </c>
      <c r="AP3469" t="s">
        <v>115</v>
      </c>
      <c r="AQ3469" t="s">
        <v>607</v>
      </c>
      <c r="AR3469" t="s">
        <v>80</v>
      </c>
      <c r="AS3469">
        <v>307</v>
      </c>
      <c r="AT3469" t="s">
        <v>81</v>
      </c>
      <c r="AU3469">
        <v>27.89</v>
      </c>
      <c r="AV3469">
        <v>22.45</v>
      </c>
      <c r="AW3469" t="s">
        <v>82</v>
      </c>
      <c r="AX3469">
        <v>307</v>
      </c>
      <c r="AY3469" t="s">
        <v>81</v>
      </c>
      <c r="AZ3469">
        <v>12.98</v>
      </c>
      <c r="BA3469">
        <v>27.65</v>
      </c>
      <c r="BB3469" t="s">
        <v>83</v>
      </c>
    </row>
    <row r="3470" spans="1:54" x14ac:dyDescent="0.4">
      <c r="A3470">
        <v>876982</v>
      </c>
      <c r="D3470" t="s">
        <v>853</v>
      </c>
      <c r="E3470" t="s">
        <v>154</v>
      </c>
      <c r="F3470" t="s">
        <v>600</v>
      </c>
      <c r="G3470">
        <v>1</v>
      </c>
      <c r="H3470" t="s">
        <v>84</v>
      </c>
      <c r="I3470" t="s">
        <v>57</v>
      </c>
      <c r="K3470" t="s">
        <v>1029</v>
      </c>
      <c r="L3470" t="s">
        <v>3205</v>
      </c>
      <c r="M3470" t="s">
        <v>60</v>
      </c>
      <c r="N3470" t="s">
        <v>61</v>
      </c>
      <c r="O3470" t="s">
        <v>345</v>
      </c>
      <c r="P3470" t="s">
        <v>62</v>
      </c>
      <c r="R3470" t="s">
        <v>63</v>
      </c>
      <c r="S3470" t="s">
        <v>64</v>
      </c>
      <c r="T3470">
        <v>216.7</v>
      </c>
      <c r="U3470">
        <v>213.2</v>
      </c>
      <c r="V3470">
        <f t="shared" si="108"/>
        <v>214.95</v>
      </c>
      <c r="W3470">
        <f t="shared" si="109"/>
        <v>3.5</v>
      </c>
      <c r="X3470">
        <v>9.8170000000000002</v>
      </c>
      <c r="Y3470">
        <v>45.783000999999999</v>
      </c>
      <c r="Z3470" t="s">
        <v>1681</v>
      </c>
      <c r="AA3470" t="s">
        <v>593</v>
      </c>
      <c r="AB3470" t="s">
        <v>603</v>
      </c>
      <c r="AC3470" t="s">
        <v>3086</v>
      </c>
      <c r="AD3470" t="s">
        <v>604</v>
      </c>
      <c r="AH3470" t="s">
        <v>72</v>
      </c>
      <c r="AI3470" t="s">
        <v>1678</v>
      </c>
      <c r="AJ3470">
        <v>2015</v>
      </c>
      <c r="AK3470" t="s">
        <v>3091</v>
      </c>
      <c r="AN3470" t="s">
        <v>114</v>
      </c>
      <c r="AO3470">
        <v>3</v>
      </c>
      <c r="AP3470" t="s">
        <v>78</v>
      </c>
      <c r="AQ3470" t="s">
        <v>3092</v>
      </c>
      <c r="AR3470" t="s">
        <v>80</v>
      </c>
      <c r="AS3470">
        <v>307</v>
      </c>
      <c r="AT3470" t="s">
        <v>81</v>
      </c>
      <c r="AU3470">
        <v>28.02</v>
      </c>
      <c r="AV3470">
        <v>22.45</v>
      </c>
      <c r="AW3470" t="s">
        <v>82</v>
      </c>
      <c r="AX3470">
        <v>307</v>
      </c>
      <c r="AY3470" t="s">
        <v>81</v>
      </c>
      <c r="AZ3470">
        <v>13.11</v>
      </c>
      <c r="BA3470">
        <v>27.69</v>
      </c>
      <c r="BB3470" t="s">
        <v>83</v>
      </c>
    </row>
    <row r="3471" spans="1:54" x14ac:dyDescent="0.4">
      <c r="A3471">
        <v>882304</v>
      </c>
      <c r="D3471" t="s">
        <v>54</v>
      </c>
      <c r="E3471" t="s">
        <v>152</v>
      </c>
      <c r="F3471" t="s">
        <v>600</v>
      </c>
      <c r="I3471" t="s">
        <v>57</v>
      </c>
      <c r="K3471" t="s">
        <v>1816</v>
      </c>
      <c r="L3471" t="s">
        <v>3300</v>
      </c>
      <c r="M3471" t="s">
        <v>223</v>
      </c>
      <c r="N3471" t="s">
        <v>234</v>
      </c>
      <c r="O3471" t="s">
        <v>345</v>
      </c>
      <c r="P3471" t="s">
        <v>62</v>
      </c>
      <c r="R3471" t="s">
        <v>63</v>
      </c>
      <c r="S3471" t="s">
        <v>64</v>
      </c>
      <c r="T3471">
        <v>216.7</v>
      </c>
      <c r="U3471">
        <v>213.2</v>
      </c>
      <c r="V3471">
        <f t="shared" si="108"/>
        <v>214.95</v>
      </c>
      <c r="W3471">
        <f t="shared" si="109"/>
        <v>3.5</v>
      </c>
      <c r="X3471">
        <v>-123.015282</v>
      </c>
      <c r="Y3471">
        <v>57.263610999999997</v>
      </c>
      <c r="Z3471" t="s">
        <v>3301</v>
      </c>
      <c r="AA3471" t="s">
        <v>1456</v>
      </c>
      <c r="AB3471" t="s">
        <v>1858</v>
      </c>
      <c r="AD3471" t="s">
        <v>3302</v>
      </c>
      <c r="AG3471" t="s">
        <v>3303</v>
      </c>
      <c r="AH3471" t="s">
        <v>72</v>
      </c>
      <c r="AI3471" t="s">
        <v>3304</v>
      </c>
      <c r="AJ3471">
        <v>2004</v>
      </c>
      <c r="AK3471" t="s">
        <v>3305</v>
      </c>
      <c r="AN3471" t="s">
        <v>76</v>
      </c>
      <c r="AO3471" t="s">
        <v>77</v>
      </c>
      <c r="AP3471" t="s">
        <v>78</v>
      </c>
      <c r="AQ3471" t="s">
        <v>3306</v>
      </c>
      <c r="AR3471" t="s">
        <v>80</v>
      </c>
      <c r="AS3471">
        <v>101</v>
      </c>
      <c r="AT3471" t="s">
        <v>81</v>
      </c>
      <c r="AU3471">
        <v>-41.75</v>
      </c>
      <c r="AV3471">
        <v>33.5</v>
      </c>
      <c r="AW3471" t="s">
        <v>82</v>
      </c>
      <c r="AX3471">
        <v>101</v>
      </c>
      <c r="AY3471" t="s">
        <v>81</v>
      </c>
      <c r="AZ3471">
        <v>-53.94</v>
      </c>
      <c r="BA3471">
        <v>34.659999999999997</v>
      </c>
      <c r="BB3471" t="s">
        <v>83</v>
      </c>
    </row>
    <row r="3472" spans="1:54" x14ac:dyDescent="0.4">
      <c r="A3472">
        <v>882305</v>
      </c>
      <c r="D3472" t="s">
        <v>54</v>
      </c>
      <c r="E3472" t="s">
        <v>152</v>
      </c>
      <c r="F3472" t="s">
        <v>600</v>
      </c>
      <c r="I3472" t="s">
        <v>57</v>
      </c>
      <c r="K3472" t="s">
        <v>141</v>
      </c>
      <c r="L3472" t="s">
        <v>3307</v>
      </c>
      <c r="M3472" t="s">
        <v>223</v>
      </c>
      <c r="N3472" t="s">
        <v>234</v>
      </c>
      <c r="O3472" t="s">
        <v>87</v>
      </c>
      <c r="P3472" t="s">
        <v>62</v>
      </c>
      <c r="R3472" t="s">
        <v>63</v>
      </c>
      <c r="S3472" t="s">
        <v>64</v>
      </c>
      <c r="T3472">
        <v>216.7</v>
      </c>
      <c r="U3472">
        <v>213.2</v>
      </c>
      <c r="V3472">
        <f t="shared" si="108"/>
        <v>214.95</v>
      </c>
      <c r="W3472">
        <f t="shared" si="109"/>
        <v>3.5</v>
      </c>
      <c r="X3472">
        <v>-123.015282</v>
      </c>
      <c r="Y3472">
        <v>57.263610999999997</v>
      </c>
      <c r="Z3472" t="s">
        <v>3301</v>
      </c>
      <c r="AA3472" t="s">
        <v>1456</v>
      </c>
      <c r="AB3472" t="s">
        <v>1858</v>
      </c>
      <c r="AD3472" t="s">
        <v>3302</v>
      </c>
      <c r="AG3472" t="s">
        <v>3303</v>
      </c>
      <c r="AH3472" t="s">
        <v>11</v>
      </c>
      <c r="AI3472" t="s">
        <v>3304</v>
      </c>
      <c r="AJ3472">
        <v>2004</v>
      </c>
      <c r="AK3472" t="s">
        <v>3305</v>
      </c>
      <c r="AN3472" t="s">
        <v>76</v>
      </c>
      <c r="AO3472" t="s">
        <v>77</v>
      </c>
      <c r="AP3472" t="s">
        <v>78</v>
      </c>
      <c r="AQ3472" t="s">
        <v>3306</v>
      </c>
      <c r="AR3472" t="s">
        <v>80</v>
      </c>
      <c r="AS3472">
        <v>101</v>
      </c>
      <c r="AT3472" t="s">
        <v>81</v>
      </c>
      <c r="AU3472">
        <v>-41.75</v>
      </c>
      <c r="AV3472">
        <v>33.5</v>
      </c>
      <c r="AW3472" t="s">
        <v>82</v>
      </c>
      <c r="AX3472">
        <v>101</v>
      </c>
      <c r="AY3472" t="s">
        <v>81</v>
      </c>
      <c r="AZ3472">
        <v>-53.94</v>
      </c>
      <c r="BA3472">
        <v>34.659999999999997</v>
      </c>
      <c r="BB3472" t="s">
        <v>83</v>
      </c>
    </row>
    <row r="3473" spans="1:54" x14ac:dyDescent="0.4">
      <c r="A3473">
        <v>882306</v>
      </c>
      <c r="D3473" t="s">
        <v>54</v>
      </c>
      <c r="E3473" t="s">
        <v>152</v>
      </c>
      <c r="F3473" t="s">
        <v>600</v>
      </c>
      <c r="I3473" t="s">
        <v>57</v>
      </c>
      <c r="K3473" t="s">
        <v>2398</v>
      </c>
      <c r="L3473" t="s">
        <v>2399</v>
      </c>
      <c r="M3473" t="s">
        <v>223</v>
      </c>
      <c r="N3473" t="s">
        <v>234</v>
      </c>
      <c r="O3473" t="s">
        <v>87</v>
      </c>
      <c r="P3473" t="s">
        <v>62</v>
      </c>
      <c r="R3473" t="s">
        <v>63</v>
      </c>
      <c r="S3473" t="s">
        <v>64</v>
      </c>
      <c r="T3473">
        <v>216.7</v>
      </c>
      <c r="U3473">
        <v>213.2</v>
      </c>
      <c r="V3473">
        <f t="shared" si="108"/>
        <v>214.95</v>
      </c>
      <c r="W3473">
        <f t="shared" si="109"/>
        <v>3.5</v>
      </c>
      <c r="X3473">
        <v>-123.015282</v>
      </c>
      <c r="Y3473">
        <v>57.263610999999997</v>
      </c>
      <c r="Z3473" t="s">
        <v>3301</v>
      </c>
      <c r="AA3473" t="s">
        <v>1456</v>
      </c>
      <c r="AB3473" t="s">
        <v>1858</v>
      </c>
      <c r="AD3473" t="s">
        <v>3302</v>
      </c>
      <c r="AG3473" t="s">
        <v>3303</v>
      </c>
      <c r="AH3473" t="s">
        <v>11</v>
      </c>
      <c r="AI3473" t="s">
        <v>3304</v>
      </c>
      <c r="AJ3473">
        <v>2004</v>
      </c>
      <c r="AK3473" t="s">
        <v>3305</v>
      </c>
      <c r="AN3473" t="s">
        <v>76</v>
      </c>
      <c r="AO3473" t="s">
        <v>77</v>
      </c>
      <c r="AP3473" t="s">
        <v>78</v>
      </c>
      <c r="AQ3473" t="s">
        <v>3306</v>
      </c>
      <c r="AR3473" t="s">
        <v>80</v>
      </c>
      <c r="AS3473">
        <v>101</v>
      </c>
      <c r="AT3473" t="s">
        <v>81</v>
      </c>
      <c r="AU3473">
        <v>-41.75</v>
      </c>
      <c r="AV3473">
        <v>33.5</v>
      </c>
      <c r="AW3473" t="s">
        <v>82</v>
      </c>
      <c r="AX3473">
        <v>101</v>
      </c>
      <c r="AY3473" t="s">
        <v>81</v>
      </c>
      <c r="AZ3473">
        <v>-53.94</v>
      </c>
      <c r="BA3473">
        <v>34.659999999999997</v>
      </c>
      <c r="BB3473" t="s">
        <v>83</v>
      </c>
    </row>
    <row r="3474" spans="1:54" x14ac:dyDescent="0.4">
      <c r="A3474">
        <v>913310</v>
      </c>
      <c r="D3474" t="s">
        <v>54</v>
      </c>
      <c r="E3474" t="s">
        <v>152</v>
      </c>
      <c r="I3474" t="s">
        <v>57</v>
      </c>
      <c r="K3474" t="s">
        <v>141</v>
      </c>
      <c r="L3474" t="s">
        <v>1692</v>
      </c>
      <c r="M3474" t="s">
        <v>223</v>
      </c>
      <c r="N3474" t="s">
        <v>61</v>
      </c>
      <c r="O3474" t="s">
        <v>345</v>
      </c>
      <c r="P3474" t="s">
        <v>62</v>
      </c>
      <c r="R3474" t="s">
        <v>63</v>
      </c>
      <c r="S3474" t="s">
        <v>64</v>
      </c>
      <c r="T3474">
        <v>216.7</v>
      </c>
      <c r="U3474">
        <v>213.2</v>
      </c>
      <c r="V3474">
        <f t="shared" si="108"/>
        <v>214.95</v>
      </c>
      <c r="W3474">
        <f t="shared" si="109"/>
        <v>3.5</v>
      </c>
      <c r="X3474">
        <v>12.864167</v>
      </c>
      <c r="Y3474">
        <v>46.384166999999998</v>
      </c>
      <c r="Z3474" t="s">
        <v>1681</v>
      </c>
      <c r="AA3474" t="s">
        <v>593</v>
      </c>
      <c r="AB3474" t="s">
        <v>594</v>
      </c>
      <c r="AD3474" t="s">
        <v>1682</v>
      </c>
      <c r="AF3474" t="s">
        <v>1704</v>
      </c>
      <c r="AH3474" t="s">
        <v>72</v>
      </c>
      <c r="AI3474" t="s">
        <v>1683</v>
      </c>
      <c r="AJ3474">
        <v>1991</v>
      </c>
      <c r="AK3474" t="s">
        <v>3568</v>
      </c>
      <c r="AN3474" t="s">
        <v>192</v>
      </c>
      <c r="AO3474" t="s">
        <v>77</v>
      </c>
      <c r="AP3474" t="s">
        <v>115</v>
      </c>
      <c r="AQ3474" t="s">
        <v>3569</v>
      </c>
      <c r="AR3474" t="s">
        <v>80</v>
      </c>
      <c r="AS3474">
        <v>307</v>
      </c>
      <c r="AT3474" t="s">
        <v>81</v>
      </c>
      <c r="AU3474">
        <v>29.97</v>
      </c>
      <c r="AV3474">
        <v>21.21</v>
      </c>
      <c r="AW3474" t="s">
        <v>82</v>
      </c>
      <c r="AX3474">
        <v>307</v>
      </c>
      <c r="AY3474" t="s">
        <v>81</v>
      </c>
      <c r="AZ3474">
        <v>15.46</v>
      </c>
      <c r="BA3474">
        <v>26.99</v>
      </c>
      <c r="BB3474" t="s">
        <v>83</v>
      </c>
    </row>
    <row r="3475" spans="1:54" x14ac:dyDescent="0.4">
      <c r="A3475">
        <v>913311</v>
      </c>
      <c r="D3475" t="s">
        <v>54</v>
      </c>
      <c r="E3475" t="s">
        <v>152</v>
      </c>
      <c r="I3475" t="s">
        <v>57</v>
      </c>
      <c r="K3475" t="s">
        <v>1169</v>
      </c>
      <c r="L3475" t="s">
        <v>1170</v>
      </c>
      <c r="M3475" t="s">
        <v>60</v>
      </c>
      <c r="P3475" t="s">
        <v>62</v>
      </c>
      <c r="R3475" t="s">
        <v>63</v>
      </c>
      <c r="S3475" t="s">
        <v>64</v>
      </c>
      <c r="T3475">
        <v>216.7</v>
      </c>
      <c r="U3475">
        <v>213.2</v>
      </c>
      <c r="V3475">
        <f t="shared" si="108"/>
        <v>214.95</v>
      </c>
      <c r="W3475">
        <f t="shared" si="109"/>
        <v>3.5</v>
      </c>
      <c r="X3475">
        <v>12.864167</v>
      </c>
      <c r="Y3475">
        <v>46.384166999999998</v>
      </c>
      <c r="Z3475" t="s">
        <v>1681</v>
      </c>
      <c r="AA3475" t="s">
        <v>593</v>
      </c>
      <c r="AB3475" t="s">
        <v>594</v>
      </c>
      <c r="AD3475" t="s">
        <v>1682</v>
      </c>
      <c r="AF3475" t="s">
        <v>1704</v>
      </c>
      <c r="AH3475" t="s">
        <v>72</v>
      </c>
      <c r="AI3475" t="s">
        <v>1683</v>
      </c>
      <c r="AJ3475">
        <v>1991</v>
      </c>
      <c r="AK3475" t="s">
        <v>3568</v>
      </c>
      <c r="AN3475" t="s">
        <v>192</v>
      </c>
      <c r="AO3475" t="s">
        <v>77</v>
      </c>
      <c r="AP3475" t="s">
        <v>115</v>
      </c>
      <c r="AQ3475" t="s">
        <v>3569</v>
      </c>
      <c r="AR3475" t="s">
        <v>80</v>
      </c>
      <c r="AS3475">
        <v>307</v>
      </c>
      <c r="AT3475" t="s">
        <v>81</v>
      </c>
      <c r="AU3475">
        <v>29.97</v>
      </c>
      <c r="AV3475">
        <v>21.21</v>
      </c>
      <c r="AW3475" t="s">
        <v>82</v>
      </c>
      <c r="AX3475">
        <v>307</v>
      </c>
      <c r="AY3475" t="s">
        <v>81</v>
      </c>
      <c r="AZ3475">
        <v>15.46</v>
      </c>
      <c r="BA3475">
        <v>26.99</v>
      </c>
      <c r="BB3475" t="s">
        <v>83</v>
      </c>
    </row>
    <row r="3476" spans="1:54" x14ac:dyDescent="0.4">
      <c r="A3476">
        <v>915667</v>
      </c>
      <c r="D3476" t="s">
        <v>853</v>
      </c>
      <c r="E3476" t="s">
        <v>154</v>
      </c>
      <c r="F3476" t="s">
        <v>600</v>
      </c>
      <c r="G3476">
        <v>2</v>
      </c>
      <c r="H3476" t="s">
        <v>84</v>
      </c>
      <c r="I3476" t="s">
        <v>57</v>
      </c>
      <c r="K3476" t="s">
        <v>746</v>
      </c>
      <c r="L3476" t="s">
        <v>1703</v>
      </c>
      <c r="M3476" t="s">
        <v>60</v>
      </c>
      <c r="P3476" t="s">
        <v>62</v>
      </c>
      <c r="R3476" t="s">
        <v>63</v>
      </c>
      <c r="S3476" t="s">
        <v>64</v>
      </c>
      <c r="T3476">
        <v>216.7</v>
      </c>
      <c r="U3476">
        <v>213.2</v>
      </c>
      <c r="V3476">
        <f t="shared" si="108"/>
        <v>214.95</v>
      </c>
      <c r="W3476">
        <f t="shared" si="109"/>
        <v>3.5</v>
      </c>
      <c r="X3476">
        <v>9.8170000000000002</v>
      </c>
      <c r="Y3476">
        <v>45.783000999999999</v>
      </c>
      <c r="Z3476" t="s">
        <v>1681</v>
      </c>
      <c r="AA3476" t="s">
        <v>593</v>
      </c>
      <c r="AB3476" t="s">
        <v>603</v>
      </c>
      <c r="AC3476" t="s">
        <v>3086</v>
      </c>
      <c r="AD3476" t="s">
        <v>604</v>
      </c>
      <c r="AH3476" t="s">
        <v>72</v>
      </c>
      <c r="AI3476" t="s">
        <v>3094</v>
      </c>
      <c r="AJ3476">
        <v>1994</v>
      </c>
      <c r="AK3476" t="s">
        <v>3091</v>
      </c>
      <c r="AN3476" t="s">
        <v>114</v>
      </c>
      <c r="AO3476">
        <v>3</v>
      </c>
      <c r="AP3476" t="s">
        <v>78</v>
      </c>
      <c r="AQ3476" t="s">
        <v>3092</v>
      </c>
      <c r="AR3476" t="s">
        <v>80</v>
      </c>
      <c r="AS3476">
        <v>307</v>
      </c>
      <c r="AT3476" t="s">
        <v>81</v>
      </c>
      <c r="AU3476">
        <v>28.02</v>
      </c>
      <c r="AV3476">
        <v>22.45</v>
      </c>
      <c r="AW3476" t="s">
        <v>82</v>
      </c>
      <c r="AX3476">
        <v>307</v>
      </c>
      <c r="AY3476" t="s">
        <v>81</v>
      </c>
      <c r="AZ3476">
        <v>13.11</v>
      </c>
      <c r="BA3476">
        <v>27.69</v>
      </c>
      <c r="BB3476" t="s">
        <v>83</v>
      </c>
    </row>
    <row r="3477" spans="1:54" x14ac:dyDescent="0.4">
      <c r="A3477">
        <v>930888</v>
      </c>
      <c r="D3477" t="s">
        <v>599</v>
      </c>
      <c r="E3477" t="s">
        <v>310</v>
      </c>
      <c r="F3477" t="s">
        <v>600</v>
      </c>
      <c r="G3477">
        <v>1</v>
      </c>
      <c r="H3477" t="s">
        <v>56</v>
      </c>
      <c r="I3477" t="s">
        <v>57</v>
      </c>
      <c r="K3477" t="s">
        <v>85</v>
      </c>
      <c r="L3477" t="s">
        <v>1517</v>
      </c>
      <c r="M3477" t="s">
        <v>60</v>
      </c>
      <c r="O3477" t="s">
        <v>87</v>
      </c>
      <c r="P3477" t="s">
        <v>62</v>
      </c>
      <c r="R3477" t="s">
        <v>63</v>
      </c>
      <c r="S3477" t="s">
        <v>64</v>
      </c>
      <c r="T3477">
        <v>216.7</v>
      </c>
      <c r="U3477">
        <v>213.2</v>
      </c>
      <c r="V3477">
        <f t="shared" si="108"/>
        <v>214.95</v>
      </c>
      <c r="W3477">
        <f t="shared" si="109"/>
        <v>3.5</v>
      </c>
      <c r="X3477">
        <v>9.7170000000000005</v>
      </c>
      <c r="Y3477">
        <v>45.682999000000002</v>
      </c>
      <c r="Z3477" t="s">
        <v>602</v>
      </c>
      <c r="AA3477" t="s">
        <v>593</v>
      </c>
      <c r="AB3477" t="s">
        <v>603</v>
      </c>
      <c r="AD3477" t="s">
        <v>604</v>
      </c>
      <c r="AH3477" t="s">
        <v>72</v>
      </c>
      <c r="AI3477" t="s">
        <v>3778</v>
      </c>
      <c r="AJ3477">
        <v>1998</v>
      </c>
      <c r="AK3477" t="s">
        <v>606</v>
      </c>
      <c r="AN3477" t="s">
        <v>114</v>
      </c>
      <c r="AO3477">
        <v>3</v>
      </c>
      <c r="AP3477" t="s">
        <v>115</v>
      </c>
      <c r="AQ3477" t="s">
        <v>607</v>
      </c>
      <c r="AR3477" t="s">
        <v>80</v>
      </c>
      <c r="AS3477">
        <v>307</v>
      </c>
      <c r="AT3477" t="s">
        <v>81</v>
      </c>
      <c r="AU3477">
        <v>27.89</v>
      </c>
      <c r="AV3477">
        <v>22.45</v>
      </c>
      <c r="AW3477" t="s">
        <v>82</v>
      </c>
      <c r="AX3477">
        <v>307</v>
      </c>
      <c r="AY3477" t="s">
        <v>81</v>
      </c>
      <c r="AZ3477">
        <v>12.98</v>
      </c>
      <c r="BA3477">
        <v>27.65</v>
      </c>
      <c r="BB3477" t="s">
        <v>83</v>
      </c>
    </row>
    <row r="3478" spans="1:54" x14ac:dyDescent="0.4">
      <c r="A3478">
        <v>930889</v>
      </c>
      <c r="D3478" t="s">
        <v>599</v>
      </c>
      <c r="E3478" t="s">
        <v>310</v>
      </c>
      <c r="F3478" t="s">
        <v>600</v>
      </c>
      <c r="G3478">
        <v>1</v>
      </c>
      <c r="H3478" t="s">
        <v>56</v>
      </c>
      <c r="I3478" t="s">
        <v>57</v>
      </c>
      <c r="K3478" t="s">
        <v>85</v>
      </c>
      <c r="L3478" t="s">
        <v>1517</v>
      </c>
      <c r="M3478" t="s">
        <v>60</v>
      </c>
      <c r="O3478" t="s">
        <v>87</v>
      </c>
      <c r="P3478" t="s">
        <v>62</v>
      </c>
      <c r="R3478" t="s">
        <v>63</v>
      </c>
      <c r="S3478" t="s">
        <v>64</v>
      </c>
      <c r="T3478">
        <v>216.7</v>
      </c>
      <c r="U3478">
        <v>213.2</v>
      </c>
      <c r="V3478">
        <f t="shared" si="108"/>
        <v>214.95</v>
      </c>
      <c r="W3478">
        <f t="shared" si="109"/>
        <v>3.5</v>
      </c>
      <c r="X3478">
        <v>9.7170000000000005</v>
      </c>
      <c r="Y3478">
        <v>45.682999000000002</v>
      </c>
      <c r="Z3478" t="s">
        <v>602</v>
      </c>
      <c r="AA3478" t="s">
        <v>593</v>
      </c>
      <c r="AB3478" t="s">
        <v>603</v>
      </c>
      <c r="AD3478" t="s">
        <v>604</v>
      </c>
      <c r="AH3478" t="s">
        <v>11</v>
      </c>
      <c r="AI3478" t="s">
        <v>3779</v>
      </c>
      <c r="AJ3478">
        <v>1999</v>
      </c>
      <c r="AK3478" t="s">
        <v>606</v>
      </c>
      <c r="AN3478" t="s">
        <v>114</v>
      </c>
      <c r="AO3478">
        <v>3</v>
      </c>
      <c r="AP3478" t="s">
        <v>115</v>
      </c>
      <c r="AQ3478" t="s">
        <v>607</v>
      </c>
      <c r="AR3478" t="s">
        <v>80</v>
      </c>
      <c r="AS3478">
        <v>307</v>
      </c>
      <c r="AT3478" t="s">
        <v>81</v>
      </c>
      <c r="AU3478">
        <v>27.89</v>
      </c>
      <c r="AV3478">
        <v>22.45</v>
      </c>
      <c r="AW3478" t="s">
        <v>82</v>
      </c>
      <c r="AX3478">
        <v>307</v>
      </c>
      <c r="AY3478" t="s">
        <v>81</v>
      </c>
      <c r="AZ3478">
        <v>12.98</v>
      </c>
      <c r="BA3478">
        <v>27.65</v>
      </c>
      <c r="BB3478" t="s">
        <v>83</v>
      </c>
    </row>
    <row r="3479" spans="1:54" x14ac:dyDescent="0.4">
      <c r="A3479">
        <v>930895</v>
      </c>
      <c r="D3479" t="s">
        <v>853</v>
      </c>
      <c r="E3479" t="s">
        <v>154</v>
      </c>
      <c r="F3479" t="s">
        <v>600</v>
      </c>
      <c r="G3479">
        <v>1</v>
      </c>
      <c r="H3479" t="s">
        <v>84</v>
      </c>
      <c r="I3479" t="s">
        <v>57</v>
      </c>
      <c r="K3479" t="s">
        <v>141</v>
      </c>
      <c r="L3479" t="s">
        <v>142</v>
      </c>
      <c r="M3479" t="s">
        <v>60</v>
      </c>
      <c r="P3479" t="s">
        <v>62</v>
      </c>
      <c r="R3479" t="s">
        <v>63</v>
      </c>
      <c r="S3479" t="s">
        <v>64</v>
      </c>
      <c r="T3479">
        <v>216.7</v>
      </c>
      <c r="U3479">
        <v>213.2</v>
      </c>
      <c r="V3479">
        <f t="shared" si="108"/>
        <v>214.95</v>
      </c>
      <c r="W3479">
        <f t="shared" si="109"/>
        <v>3.5</v>
      </c>
      <c r="X3479">
        <v>9.8170000000000002</v>
      </c>
      <c r="Y3479">
        <v>45.783000999999999</v>
      </c>
      <c r="Z3479" t="s">
        <v>1681</v>
      </c>
      <c r="AA3479" t="s">
        <v>593</v>
      </c>
      <c r="AB3479" t="s">
        <v>603</v>
      </c>
      <c r="AC3479" t="s">
        <v>3086</v>
      </c>
      <c r="AD3479" t="s">
        <v>604</v>
      </c>
      <c r="AH3479" t="s">
        <v>11</v>
      </c>
      <c r="AI3479" t="s">
        <v>3094</v>
      </c>
      <c r="AJ3479">
        <v>1995</v>
      </c>
      <c r="AK3479" t="s">
        <v>3091</v>
      </c>
      <c r="AN3479" t="s">
        <v>114</v>
      </c>
      <c r="AO3479">
        <v>3</v>
      </c>
      <c r="AP3479" t="s">
        <v>78</v>
      </c>
      <c r="AQ3479" t="s">
        <v>3092</v>
      </c>
      <c r="AR3479" t="s">
        <v>80</v>
      </c>
      <c r="AS3479">
        <v>307</v>
      </c>
      <c r="AT3479" t="s">
        <v>81</v>
      </c>
      <c r="AU3479">
        <v>28.02</v>
      </c>
      <c r="AV3479">
        <v>22.45</v>
      </c>
      <c r="AW3479" t="s">
        <v>82</v>
      </c>
      <c r="AX3479">
        <v>307</v>
      </c>
      <c r="AY3479" t="s">
        <v>81</v>
      </c>
      <c r="AZ3479">
        <v>13.11</v>
      </c>
      <c r="BA3479">
        <v>27.69</v>
      </c>
      <c r="BB3479" t="s">
        <v>83</v>
      </c>
    </row>
    <row r="3480" spans="1:54" x14ac:dyDescent="0.4">
      <c r="A3480">
        <v>1157811</v>
      </c>
      <c r="D3480" t="s">
        <v>54</v>
      </c>
      <c r="I3480" t="s">
        <v>57</v>
      </c>
      <c r="K3480" t="s">
        <v>4424</v>
      </c>
      <c r="L3480" t="s">
        <v>4425</v>
      </c>
      <c r="M3480" t="s">
        <v>223</v>
      </c>
      <c r="N3480" t="s">
        <v>234</v>
      </c>
      <c r="O3480" t="s">
        <v>345</v>
      </c>
      <c r="P3480" t="s">
        <v>62</v>
      </c>
      <c r="R3480" t="s">
        <v>63</v>
      </c>
      <c r="S3480" t="s">
        <v>64</v>
      </c>
      <c r="T3480">
        <v>216.7</v>
      </c>
      <c r="U3480">
        <v>213.2</v>
      </c>
      <c r="V3480">
        <f t="shared" si="108"/>
        <v>214.95</v>
      </c>
      <c r="W3480">
        <f t="shared" si="109"/>
        <v>3.5</v>
      </c>
      <c r="X3480">
        <v>85.980002999999996</v>
      </c>
      <c r="Y3480">
        <v>28.157</v>
      </c>
      <c r="Z3480" t="s">
        <v>520</v>
      </c>
      <c r="AA3480" t="s">
        <v>379</v>
      </c>
      <c r="AB3480" t="s">
        <v>4426</v>
      </c>
      <c r="AD3480" t="s">
        <v>4427</v>
      </c>
      <c r="AH3480" t="s">
        <v>72</v>
      </c>
      <c r="AI3480" t="s">
        <v>4428</v>
      </c>
      <c r="AJ3480">
        <v>1996</v>
      </c>
      <c r="AK3480" t="s">
        <v>4429</v>
      </c>
      <c r="AO3480">
        <v>3</v>
      </c>
      <c r="AR3480" t="s">
        <v>80</v>
      </c>
      <c r="AS3480">
        <v>501</v>
      </c>
      <c r="AT3480" t="s">
        <v>81</v>
      </c>
      <c r="AU3480">
        <v>59.37</v>
      </c>
      <c r="AV3480">
        <v>-33.409999999999997</v>
      </c>
      <c r="AW3480" t="s">
        <v>82</v>
      </c>
      <c r="AX3480">
        <v>501</v>
      </c>
      <c r="AY3480" t="s">
        <v>81</v>
      </c>
      <c r="AZ3480">
        <v>48.51</v>
      </c>
      <c r="BA3480">
        <v>-30.63</v>
      </c>
      <c r="BB3480" t="s">
        <v>83</v>
      </c>
    </row>
    <row r="3481" spans="1:54" x14ac:dyDescent="0.4">
      <c r="A3481">
        <v>1402721</v>
      </c>
      <c r="D3481" t="s">
        <v>599</v>
      </c>
      <c r="E3481" t="s">
        <v>310</v>
      </c>
      <c r="F3481" t="s">
        <v>600</v>
      </c>
      <c r="I3481" t="s">
        <v>57</v>
      </c>
      <c r="K3481" t="s">
        <v>141</v>
      </c>
      <c r="L3481" t="s">
        <v>4922</v>
      </c>
      <c r="M3481" t="s">
        <v>223</v>
      </c>
      <c r="P3481" t="s">
        <v>62</v>
      </c>
      <c r="R3481" t="s">
        <v>63</v>
      </c>
      <c r="S3481" t="s">
        <v>64</v>
      </c>
      <c r="T3481">
        <v>216.7</v>
      </c>
      <c r="U3481">
        <v>213.2</v>
      </c>
      <c r="V3481">
        <f t="shared" si="108"/>
        <v>214.95</v>
      </c>
      <c r="W3481">
        <f t="shared" si="109"/>
        <v>3.5</v>
      </c>
      <c r="X3481">
        <v>9.7170000000000005</v>
      </c>
      <c r="Y3481">
        <v>45.682999000000002</v>
      </c>
      <c r="Z3481" t="s">
        <v>602</v>
      </c>
      <c r="AA3481" t="s">
        <v>593</v>
      </c>
      <c r="AB3481" t="s">
        <v>603</v>
      </c>
      <c r="AD3481" t="s">
        <v>604</v>
      </c>
      <c r="AH3481" t="s">
        <v>72</v>
      </c>
      <c r="AI3481" t="s">
        <v>1840</v>
      </c>
      <c r="AJ3481">
        <v>2005</v>
      </c>
      <c r="AK3481" t="s">
        <v>606</v>
      </c>
      <c r="AN3481" t="s">
        <v>114</v>
      </c>
      <c r="AO3481">
        <v>3</v>
      </c>
      <c r="AP3481" t="s">
        <v>115</v>
      </c>
      <c r="AQ3481" t="s">
        <v>607</v>
      </c>
      <c r="AR3481" t="s">
        <v>80</v>
      </c>
      <c r="AS3481">
        <v>307</v>
      </c>
      <c r="AT3481" t="s">
        <v>81</v>
      </c>
      <c r="AU3481">
        <v>27.89</v>
      </c>
      <c r="AV3481">
        <v>22.45</v>
      </c>
      <c r="AW3481" t="s">
        <v>82</v>
      </c>
      <c r="AX3481">
        <v>307</v>
      </c>
      <c r="AY3481" t="s">
        <v>81</v>
      </c>
      <c r="AZ3481">
        <v>12.98</v>
      </c>
      <c r="BA3481">
        <v>27.65</v>
      </c>
      <c r="BB3481" t="s">
        <v>83</v>
      </c>
    </row>
    <row r="3482" spans="1:54" x14ac:dyDescent="0.4">
      <c r="A3482">
        <v>1430263</v>
      </c>
      <c r="D3482" t="s">
        <v>54</v>
      </c>
      <c r="E3482" t="s">
        <v>310</v>
      </c>
      <c r="G3482">
        <v>1</v>
      </c>
      <c r="H3482" t="s">
        <v>84</v>
      </c>
      <c r="I3482" t="s">
        <v>57</v>
      </c>
      <c r="K3482" t="s">
        <v>141</v>
      </c>
      <c r="L3482" t="s">
        <v>5367</v>
      </c>
      <c r="M3482" t="s">
        <v>60</v>
      </c>
      <c r="O3482" t="s">
        <v>87</v>
      </c>
      <c r="P3482" t="s">
        <v>62</v>
      </c>
      <c r="R3482" t="s">
        <v>63</v>
      </c>
      <c r="S3482" t="s">
        <v>64</v>
      </c>
      <c r="T3482">
        <v>216.7</v>
      </c>
      <c r="U3482">
        <v>213.2</v>
      </c>
      <c r="V3482">
        <f t="shared" si="108"/>
        <v>214.95</v>
      </c>
      <c r="W3482">
        <f t="shared" si="109"/>
        <v>3.5</v>
      </c>
      <c r="X3482">
        <v>8.9763999999999999</v>
      </c>
      <c r="Y3482">
        <v>49.064399999999999</v>
      </c>
      <c r="Z3482" t="s">
        <v>124</v>
      </c>
      <c r="AA3482" t="s">
        <v>211</v>
      </c>
      <c r="AB3482" t="s">
        <v>212</v>
      </c>
      <c r="AD3482" t="s">
        <v>214</v>
      </c>
      <c r="AH3482" t="s">
        <v>72</v>
      </c>
      <c r="AI3482" t="s">
        <v>5368</v>
      </c>
      <c r="AJ3482">
        <v>2013</v>
      </c>
      <c r="AK3482" t="s">
        <v>868</v>
      </c>
      <c r="AM3482" t="s">
        <v>869</v>
      </c>
      <c r="AN3482" t="s">
        <v>114</v>
      </c>
      <c r="AO3482">
        <v>4</v>
      </c>
      <c r="AP3482" t="s">
        <v>78</v>
      </c>
      <c r="AQ3482" t="s">
        <v>870</v>
      </c>
      <c r="AR3482" t="s">
        <v>80</v>
      </c>
      <c r="AS3482">
        <v>305</v>
      </c>
      <c r="AT3482" t="s">
        <v>81</v>
      </c>
      <c r="AU3482">
        <v>19.97</v>
      </c>
      <c r="AV3482">
        <v>31.29</v>
      </c>
      <c r="AW3482" t="s">
        <v>82</v>
      </c>
      <c r="AX3482">
        <v>305</v>
      </c>
      <c r="AY3482" t="s">
        <v>81</v>
      </c>
      <c r="AZ3482">
        <v>9.35</v>
      </c>
      <c r="BA3482">
        <v>33.96</v>
      </c>
      <c r="BB3482" t="s">
        <v>83</v>
      </c>
    </row>
    <row r="3483" spans="1:54" x14ac:dyDescent="0.4">
      <c r="A3483" s="2" t="s">
        <v>6421</v>
      </c>
      <c r="B3483" s="2"/>
      <c r="C3483" s="2"/>
      <c r="D3483" s="2" t="s">
        <v>54</v>
      </c>
      <c r="E3483" s="2"/>
      <c r="F3483" s="2" t="s">
        <v>6181</v>
      </c>
      <c r="G3483" s="2">
        <v>1</v>
      </c>
      <c r="H3483" s="2" t="s">
        <v>5718</v>
      </c>
      <c r="I3483" s="3" t="s">
        <v>57</v>
      </c>
      <c r="J3483" s="3" t="s">
        <v>5836</v>
      </c>
      <c r="K3483" s="3" t="s">
        <v>100</v>
      </c>
      <c r="L3483" s="4" t="s">
        <v>101</v>
      </c>
      <c r="M3483" s="3" t="s">
        <v>60</v>
      </c>
      <c r="N3483" s="4"/>
      <c r="O3483" s="4"/>
      <c r="P3483" s="3" t="s">
        <v>103</v>
      </c>
      <c r="Q3483" s="3"/>
      <c r="R3483" s="3" t="s">
        <v>6422</v>
      </c>
      <c r="S3483" s="3" t="s">
        <v>64</v>
      </c>
      <c r="T3483">
        <v>249.9</v>
      </c>
      <c r="U3483">
        <v>246.7</v>
      </c>
      <c r="V3483">
        <f t="shared" si="108"/>
        <v>248.3</v>
      </c>
      <c r="W3483">
        <f t="shared" si="109"/>
        <v>3.2000000000000171</v>
      </c>
      <c r="X3483" s="5">
        <v>-54.55</v>
      </c>
      <c r="Y3483" s="5">
        <v>-29.56</v>
      </c>
      <c r="Z3483" s="10"/>
      <c r="AA3483" s="3" t="s">
        <v>783</v>
      </c>
      <c r="AB3483" s="3" t="s">
        <v>5828</v>
      </c>
      <c r="AC3483" s="3" t="s">
        <v>6423</v>
      </c>
      <c r="AD3483" s="3" t="s">
        <v>3058</v>
      </c>
      <c r="AE3483" s="3" t="s">
        <v>5830</v>
      </c>
      <c r="AF3483" s="3" t="s">
        <v>5720</v>
      </c>
      <c r="AG3483" s="4" t="s">
        <v>101</v>
      </c>
      <c r="AH3483" s="4"/>
      <c r="AI3483" s="3" t="s">
        <v>5720</v>
      </c>
      <c r="AJ3483" s="3" t="s">
        <v>5720</v>
      </c>
      <c r="AK3483" s="10" t="s">
        <v>6056</v>
      </c>
      <c r="AL3483" s="11" t="s">
        <v>6424</v>
      </c>
      <c r="AM3483" s="5"/>
      <c r="AN3483" s="5"/>
      <c r="AO3483" s="3"/>
      <c r="AP3483" s="3"/>
      <c r="AQ3483" s="3"/>
      <c r="AR3483" s="3"/>
      <c r="AS3483" s="3"/>
      <c r="AT3483" s="3"/>
      <c r="AU3483" s="3"/>
      <c r="AV3483" s="3"/>
      <c r="AW3483" s="3"/>
      <c r="AX3483" s="3"/>
      <c r="AY3483" s="3"/>
      <c r="AZ3483" s="3"/>
      <c r="BA3483" s="3"/>
      <c r="BB3483" s="3"/>
    </row>
    <row r="3484" spans="1:54" x14ac:dyDescent="0.4">
      <c r="A3484" s="2" t="s">
        <v>6425</v>
      </c>
      <c r="B3484" s="2"/>
      <c r="C3484" s="2"/>
      <c r="D3484" s="2" t="s">
        <v>54</v>
      </c>
      <c r="E3484" s="2"/>
      <c r="F3484" s="2" t="s">
        <v>5720</v>
      </c>
      <c r="G3484" s="2">
        <v>1</v>
      </c>
      <c r="H3484" s="2" t="s">
        <v>5718</v>
      </c>
      <c r="I3484" s="3" t="s">
        <v>57</v>
      </c>
      <c r="J3484" s="3" t="s">
        <v>5836</v>
      </c>
      <c r="K3484" s="3" t="s">
        <v>100</v>
      </c>
      <c r="L3484" s="4" t="s">
        <v>101</v>
      </c>
      <c r="M3484" s="3" t="s">
        <v>60</v>
      </c>
      <c r="N3484" s="4"/>
      <c r="O3484" s="4"/>
      <c r="P3484" s="3" t="s">
        <v>103</v>
      </c>
      <c r="Q3484" s="3"/>
      <c r="R3484" s="3" t="s">
        <v>6422</v>
      </c>
      <c r="S3484" s="3" t="s">
        <v>64</v>
      </c>
      <c r="T3484">
        <v>249.9</v>
      </c>
      <c r="U3484">
        <v>246.7</v>
      </c>
      <c r="V3484">
        <f t="shared" si="108"/>
        <v>248.3</v>
      </c>
      <c r="W3484">
        <f t="shared" si="109"/>
        <v>3.2000000000000171</v>
      </c>
      <c r="X3484" s="5">
        <v>-55</v>
      </c>
      <c r="Y3484" s="5">
        <v>-30.17</v>
      </c>
      <c r="Z3484" s="3"/>
      <c r="AA3484" s="3" t="s">
        <v>783</v>
      </c>
      <c r="AB3484" s="3" t="s">
        <v>5828</v>
      </c>
      <c r="AC3484" s="3" t="s">
        <v>5720</v>
      </c>
      <c r="AD3484" s="3" t="s">
        <v>3058</v>
      </c>
      <c r="AE3484" s="3" t="s">
        <v>5830</v>
      </c>
      <c r="AF3484" s="3" t="s">
        <v>5720</v>
      </c>
      <c r="AG3484" s="4" t="s">
        <v>101</v>
      </c>
      <c r="AH3484" s="4"/>
      <c r="AI3484" s="3" t="s">
        <v>6032</v>
      </c>
      <c r="AJ3484" s="3">
        <v>2022</v>
      </c>
      <c r="AK3484" s="10" t="s">
        <v>6426</v>
      </c>
      <c r="AL3484" s="11" t="s">
        <v>6427</v>
      </c>
      <c r="AM3484" s="5"/>
      <c r="AN3484" s="5"/>
      <c r="AO3484" s="3"/>
      <c r="AP3484" s="3"/>
      <c r="AQ3484" s="3"/>
      <c r="AR3484" s="3"/>
      <c r="AS3484" s="3"/>
      <c r="AT3484" s="3"/>
      <c r="AU3484" s="3"/>
      <c r="AV3484" s="3"/>
      <c r="AW3484" s="3"/>
      <c r="AX3484" s="3"/>
      <c r="AY3484" s="3"/>
      <c r="AZ3484" s="3"/>
      <c r="BA3484" s="3"/>
      <c r="BB3484" s="3"/>
    </row>
    <row r="3485" spans="1:54" x14ac:dyDescent="0.4">
      <c r="A3485" s="2" t="s">
        <v>6428</v>
      </c>
      <c r="B3485" s="2"/>
      <c r="C3485" s="2"/>
      <c r="D3485" s="2" t="s">
        <v>54</v>
      </c>
      <c r="E3485" s="2"/>
      <c r="F3485" s="2" t="s">
        <v>6429</v>
      </c>
      <c r="G3485" s="2">
        <v>1</v>
      </c>
      <c r="H3485" s="2" t="s">
        <v>5718</v>
      </c>
      <c r="I3485" s="3" t="s">
        <v>57</v>
      </c>
      <c r="J3485" s="3" t="s">
        <v>5836</v>
      </c>
      <c r="K3485" s="3" t="s">
        <v>100</v>
      </c>
      <c r="L3485" s="4" t="s">
        <v>101</v>
      </c>
      <c r="M3485" s="3" t="s">
        <v>60</v>
      </c>
      <c r="N3485" s="4"/>
      <c r="O3485" s="4"/>
      <c r="P3485" s="3" t="s">
        <v>103</v>
      </c>
      <c r="Q3485" s="3"/>
      <c r="R3485" s="3" t="s">
        <v>6422</v>
      </c>
      <c r="S3485" s="3" t="s">
        <v>64</v>
      </c>
      <c r="T3485">
        <v>249.9</v>
      </c>
      <c r="U3485">
        <v>246.7</v>
      </c>
      <c r="V3485">
        <f t="shared" si="108"/>
        <v>248.3</v>
      </c>
      <c r="W3485">
        <f t="shared" si="109"/>
        <v>3.2000000000000171</v>
      </c>
      <c r="X3485" s="5">
        <v>-54.55</v>
      </c>
      <c r="Y3485" s="5">
        <v>-29.56</v>
      </c>
      <c r="Z3485" s="10"/>
      <c r="AA3485" s="3" t="s">
        <v>783</v>
      </c>
      <c r="AB3485" s="3" t="s">
        <v>5828</v>
      </c>
      <c r="AC3485" s="3" t="s">
        <v>6423</v>
      </c>
      <c r="AD3485" s="3" t="s">
        <v>3058</v>
      </c>
      <c r="AE3485" s="3" t="s">
        <v>5830</v>
      </c>
      <c r="AF3485" s="3" t="s">
        <v>5720</v>
      </c>
      <c r="AG3485" s="4" t="s">
        <v>101</v>
      </c>
      <c r="AH3485" s="4"/>
      <c r="AI3485" s="3" t="s">
        <v>6430</v>
      </c>
      <c r="AJ3485" s="3">
        <v>2017</v>
      </c>
      <c r="AK3485" s="10" t="s">
        <v>5832</v>
      </c>
      <c r="AL3485" s="11" t="s">
        <v>6431</v>
      </c>
      <c r="AM3485" s="5"/>
      <c r="AN3485" s="5"/>
      <c r="AO3485" s="3"/>
      <c r="AP3485" s="3"/>
      <c r="AQ3485" s="3"/>
      <c r="AR3485" s="3"/>
      <c r="AS3485" s="3"/>
      <c r="AT3485" s="3"/>
      <c r="AU3485" s="3"/>
      <c r="AV3485" s="3"/>
      <c r="AW3485" s="3"/>
      <c r="AX3485" s="3"/>
      <c r="AY3485" s="3"/>
      <c r="AZ3485" s="3"/>
      <c r="BA3485" s="3"/>
      <c r="BB3485" s="3"/>
    </row>
    <row r="3486" spans="1:54" x14ac:dyDescent="0.4">
      <c r="A3486" s="2" t="s">
        <v>6432</v>
      </c>
      <c r="B3486" s="2"/>
      <c r="C3486" s="2"/>
      <c r="D3486" s="2" t="s">
        <v>54</v>
      </c>
      <c r="E3486" s="2"/>
      <c r="F3486" s="2" t="s">
        <v>5720</v>
      </c>
      <c r="G3486" s="2">
        <v>1</v>
      </c>
      <c r="H3486" s="2" t="s">
        <v>5718</v>
      </c>
      <c r="I3486" s="3" t="s">
        <v>57</v>
      </c>
      <c r="J3486" s="3" t="s">
        <v>5836</v>
      </c>
      <c r="K3486" s="3" t="s">
        <v>100</v>
      </c>
      <c r="L3486" s="4" t="s">
        <v>101</v>
      </c>
      <c r="M3486" s="3" t="s">
        <v>60</v>
      </c>
      <c r="N3486" s="4"/>
      <c r="O3486" s="4"/>
      <c r="P3486" s="3" t="s">
        <v>103</v>
      </c>
      <c r="Q3486" s="3"/>
      <c r="R3486" s="3" t="s">
        <v>6422</v>
      </c>
      <c r="S3486" s="3" t="s">
        <v>64</v>
      </c>
      <c r="T3486">
        <v>249.9</v>
      </c>
      <c r="U3486">
        <v>246.7</v>
      </c>
      <c r="V3486">
        <f t="shared" si="108"/>
        <v>248.3</v>
      </c>
      <c r="W3486">
        <f t="shared" si="109"/>
        <v>3.2000000000000171</v>
      </c>
      <c r="X3486" s="5">
        <v>-54.55</v>
      </c>
      <c r="Y3486" s="5">
        <v>-29.56</v>
      </c>
      <c r="Z3486" s="10"/>
      <c r="AA3486" s="3" t="s">
        <v>783</v>
      </c>
      <c r="AB3486" s="3" t="s">
        <v>5828</v>
      </c>
      <c r="AC3486" s="3" t="s">
        <v>6423</v>
      </c>
      <c r="AD3486" s="3" t="s">
        <v>3058</v>
      </c>
      <c r="AE3486" s="3" t="s">
        <v>5830</v>
      </c>
      <c r="AF3486" s="3" t="s">
        <v>5720</v>
      </c>
      <c r="AG3486" s="4" t="s">
        <v>101</v>
      </c>
      <c r="AH3486" s="4"/>
      <c r="AI3486" s="3" t="s">
        <v>6430</v>
      </c>
      <c r="AJ3486" s="3">
        <v>2017</v>
      </c>
      <c r="AK3486" s="10" t="s">
        <v>6014</v>
      </c>
      <c r="AL3486" s="11" t="s">
        <v>6433</v>
      </c>
      <c r="AM3486" s="5"/>
      <c r="AN3486" s="5"/>
      <c r="AO3486" s="3"/>
      <c r="AP3486" s="3"/>
      <c r="AQ3486" s="3"/>
      <c r="AR3486" s="3"/>
      <c r="AS3486" s="3"/>
      <c r="AT3486" s="3"/>
      <c r="AU3486" s="3"/>
      <c r="AV3486" s="3"/>
      <c r="AW3486" s="3"/>
      <c r="AX3486" s="3"/>
      <c r="AY3486" s="3"/>
      <c r="AZ3486" s="3"/>
      <c r="BA3486" s="3"/>
      <c r="BB3486" s="3"/>
    </row>
    <row r="3487" spans="1:54" x14ac:dyDescent="0.4">
      <c r="A3487" s="2" t="s">
        <v>6434</v>
      </c>
      <c r="B3487" s="2"/>
      <c r="C3487" s="2"/>
      <c r="D3487" s="2" t="s">
        <v>54</v>
      </c>
      <c r="E3487" s="2"/>
      <c r="F3487" s="2" t="s">
        <v>5720</v>
      </c>
      <c r="G3487" s="2">
        <v>1</v>
      </c>
      <c r="H3487" s="2" t="s">
        <v>5718</v>
      </c>
      <c r="I3487" s="3" t="s">
        <v>57</v>
      </c>
      <c r="J3487" s="3" t="s">
        <v>5836</v>
      </c>
      <c r="K3487" s="3" t="s">
        <v>100</v>
      </c>
      <c r="L3487" s="4" t="s">
        <v>101</v>
      </c>
      <c r="M3487" s="3" t="s">
        <v>60</v>
      </c>
      <c r="N3487" s="4"/>
      <c r="O3487" s="4"/>
      <c r="P3487" s="3" t="s">
        <v>103</v>
      </c>
      <c r="Q3487" s="3"/>
      <c r="R3487" s="3" t="s">
        <v>6422</v>
      </c>
      <c r="S3487" s="3" t="s">
        <v>64</v>
      </c>
      <c r="T3487">
        <v>249.9</v>
      </c>
      <c r="U3487">
        <v>246.7</v>
      </c>
      <c r="V3487">
        <f t="shared" si="108"/>
        <v>248.3</v>
      </c>
      <c r="W3487">
        <f t="shared" si="109"/>
        <v>3.2000000000000171</v>
      </c>
      <c r="X3487" s="5">
        <v>-54.39</v>
      </c>
      <c r="Y3487" s="5">
        <v>-29.62</v>
      </c>
      <c r="Z3487" s="3"/>
      <c r="AA3487" s="3" t="s">
        <v>783</v>
      </c>
      <c r="AB3487" s="3" t="s">
        <v>5828</v>
      </c>
      <c r="AC3487" s="3" t="s">
        <v>5720</v>
      </c>
      <c r="AD3487" s="3" t="s">
        <v>3058</v>
      </c>
      <c r="AE3487" s="3" t="s">
        <v>5830</v>
      </c>
      <c r="AF3487" s="3" t="s">
        <v>5720</v>
      </c>
      <c r="AG3487" s="4" t="s">
        <v>101</v>
      </c>
      <c r="AH3487" s="4"/>
      <c r="AI3487" s="3" t="s">
        <v>6430</v>
      </c>
      <c r="AJ3487" s="3">
        <v>2017</v>
      </c>
      <c r="AK3487" s="10" t="s">
        <v>6426</v>
      </c>
      <c r="AL3487" s="11" t="s">
        <v>6435</v>
      </c>
      <c r="AM3487" s="5"/>
      <c r="AN3487" s="5"/>
      <c r="AO3487" s="3"/>
      <c r="AP3487" s="3"/>
      <c r="AQ3487" s="3"/>
      <c r="AR3487" s="3"/>
      <c r="AS3487" s="3"/>
      <c r="AT3487" s="3"/>
      <c r="AU3487" s="3"/>
      <c r="AV3487" s="3"/>
      <c r="AW3487" s="3"/>
      <c r="AX3487" s="3"/>
      <c r="AY3487" s="3"/>
      <c r="AZ3487" s="3"/>
      <c r="BA3487" s="3"/>
      <c r="BB3487" s="3"/>
    </row>
    <row r="3488" spans="1:54" x14ac:dyDescent="0.4">
      <c r="A3488" s="2" t="s">
        <v>6436</v>
      </c>
      <c r="B3488" s="2"/>
      <c r="C3488" s="2"/>
      <c r="D3488" s="2" t="s">
        <v>54</v>
      </c>
      <c r="E3488" s="2"/>
      <c r="F3488" s="2" t="s">
        <v>5720</v>
      </c>
      <c r="G3488" s="2">
        <v>1</v>
      </c>
      <c r="H3488" s="2" t="s">
        <v>5718</v>
      </c>
      <c r="I3488" s="3" t="s">
        <v>57</v>
      </c>
      <c r="J3488" s="3" t="s">
        <v>5836</v>
      </c>
      <c r="K3488" s="3" t="s">
        <v>100</v>
      </c>
      <c r="L3488" s="4" t="s">
        <v>101</v>
      </c>
      <c r="M3488" s="3" t="s">
        <v>60</v>
      </c>
      <c r="N3488" s="4"/>
      <c r="O3488" s="4"/>
      <c r="P3488" s="3" t="s">
        <v>103</v>
      </c>
      <c r="Q3488" s="3"/>
      <c r="R3488" s="3" t="s">
        <v>6422</v>
      </c>
      <c r="S3488" s="3" t="s">
        <v>64</v>
      </c>
      <c r="T3488">
        <v>249.9</v>
      </c>
      <c r="U3488">
        <v>246.7</v>
      </c>
      <c r="V3488">
        <f t="shared" si="108"/>
        <v>248.3</v>
      </c>
      <c r="W3488">
        <f t="shared" si="109"/>
        <v>3.2000000000000171</v>
      </c>
      <c r="X3488" s="5">
        <v>-54.39</v>
      </c>
      <c r="Y3488" s="5">
        <v>-29.62</v>
      </c>
      <c r="Z3488" s="3"/>
      <c r="AA3488" s="3" t="s">
        <v>783</v>
      </c>
      <c r="AB3488" s="3" t="s">
        <v>5828</v>
      </c>
      <c r="AC3488" s="3" t="s">
        <v>5720</v>
      </c>
      <c r="AD3488" s="3" t="s">
        <v>3058</v>
      </c>
      <c r="AE3488" s="3" t="s">
        <v>5830</v>
      </c>
      <c r="AF3488" s="3" t="s">
        <v>5720</v>
      </c>
      <c r="AG3488" s="4" t="s">
        <v>101</v>
      </c>
      <c r="AH3488" s="4"/>
      <c r="AI3488" s="3" t="s">
        <v>6430</v>
      </c>
      <c r="AJ3488" s="3">
        <v>2017</v>
      </c>
      <c r="AK3488" s="10" t="s">
        <v>6426</v>
      </c>
      <c r="AL3488" s="11" t="s">
        <v>6437</v>
      </c>
      <c r="AM3488" s="5"/>
      <c r="AN3488" s="5"/>
      <c r="AO3488" s="3"/>
      <c r="AP3488" s="3"/>
      <c r="AQ3488" s="3"/>
      <c r="AR3488" s="3"/>
      <c r="AS3488" s="3"/>
      <c r="AT3488" s="3"/>
      <c r="AU3488" s="3"/>
      <c r="AV3488" s="3"/>
      <c r="AW3488" s="3"/>
      <c r="AX3488" s="3"/>
      <c r="AY3488" s="3"/>
      <c r="AZ3488" s="3"/>
      <c r="BA3488" s="3"/>
      <c r="BB3488" s="3"/>
    </row>
    <row r="3489" spans="1:54" x14ac:dyDescent="0.4">
      <c r="A3489" s="2" t="s">
        <v>6438</v>
      </c>
      <c r="B3489" s="2"/>
      <c r="C3489" s="2"/>
      <c r="D3489" s="2" t="s">
        <v>54</v>
      </c>
      <c r="E3489" s="2"/>
      <c r="F3489" s="2" t="s">
        <v>6439</v>
      </c>
      <c r="G3489" s="2">
        <v>1</v>
      </c>
      <c r="H3489" s="2" t="s">
        <v>5718</v>
      </c>
      <c r="I3489" s="3" t="s">
        <v>57</v>
      </c>
      <c r="J3489" s="3" t="s">
        <v>5836</v>
      </c>
      <c r="K3489" s="3" t="s">
        <v>100</v>
      </c>
      <c r="L3489" s="3" t="s">
        <v>101</v>
      </c>
      <c r="M3489" s="3" t="s">
        <v>60</v>
      </c>
      <c r="N3489" s="3"/>
      <c r="O3489" s="3"/>
      <c r="P3489" s="3" t="s">
        <v>103</v>
      </c>
      <c r="Q3489" s="3"/>
      <c r="R3489" s="3" t="s">
        <v>6422</v>
      </c>
      <c r="S3489" s="3" t="s">
        <v>64</v>
      </c>
      <c r="T3489">
        <v>249.9</v>
      </c>
      <c r="U3489">
        <v>246.7</v>
      </c>
      <c r="V3489">
        <f t="shared" si="108"/>
        <v>248.3</v>
      </c>
      <c r="W3489">
        <f t="shared" si="109"/>
        <v>3.2000000000000171</v>
      </c>
      <c r="X3489" s="5">
        <v>-54.23</v>
      </c>
      <c r="Y3489" s="5">
        <v>-29.83</v>
      </c>
      <c r="Z3489" s="3"/>
      <c r="AA3489" s="3" t="s">
        <v>783</v>
      </c>
      <c r="AB3489" s="3" t="s">
        <v>5828</v>
      </c>
      <c r="AC3489" s="3" t="s">
        <v>5720</v>
      </c>
      <c r="AD3489" s="3" t="s">
        <v>3058</v>
      </c>
      <c r="AE3489" s="3" t="s">
        <v>5830</v>
      </c>
      <c r="AF3489" s="3" t="s">
        <v>5720</v>
      </c>
      <c r="AG3489" s="4" t="s">
        <v>101</v>
      </c>
      <c r="AH3489" s="4"/>
      <c r="AI3489" s="3" t="s">
        <v>6032</v>
      </c>
      <c r="AJ3489" s="3">
        <v>2022</v>
      </c>
      <c r="AK3489" s="10" t="s">
        <v>6426</v>
      </c>
      <c r="AL3489" s="11" t="s">
        <v>6440</v>
      </c>
      <c r="AM3489" s="5"/>
      <c r="AN3489" s="5"/>
      <c r="AO3489" s="3"/>
      <c r="AP3489" s="3"/>
      <c r="AQ3489" s="3"/>
      <c r="AR3489" s="3"/>
      <c r="AS3489" s="3"/>
      <c r="AT3489" s="3"/>
      <c r="AU3489" s="3"/>
      <c r="AV3489" s="3"/>
      <c r="AW3489" s="3"/>
      <c r="AX3489" s="3"/>
      <c r="AY3489" s="3"/>
      <c r="AZ3489" s="3"/>
      <c r="BA3489" s="3"/>
      <c r="BB3489" s="3"/>
    </row>
    <row r="3490" spans="1:54" x14ac:dyDescent="0.4">
      <c r="A3490" s="2" t="s">
        <v>6441</v>
      </c>
      <c r="B3490" s="2"/>
      <c r="C3490" s="2"/>
      <c r="D3490" s="2" t="s">
        <v>54</v>
      </c>
      <c r="E3490" s="2"/>
      <c r="F3490" s="2" t="s">
        <v>6442</v>
      </c>
      <c r="G3490" s="2">
        <v>1</v>
      </c>
      <c r="H3490" s="2" t="s">
        <v>5718</v>
      </c>
      <c r="I3490" s="3" t="s">
        <v>57</v>
      </c>
      <c r="J3490" s="3" t="s">
        <v>5836</v>
      </c>
      <c r="K3490" s="3" t="s">
        <v>100</v>
      </c>
      <c r="L3490" s="3" t="s">
        <v>101</v>
      </c>
      <c r="M3490" s="3" t="s">
        <v>60</v>
      </c>
      <c r="N3490" s="3"/>
      <c r="O3490" s="3"/>
      <c r="P3490" s="3" t="s">
        <v>103</v>
      </c>
      <c r="Q3490" s="3"/>
      <c r="R3490" s="3" t="s">
        <v>6422</v>
      </c>
      <c r="S3490" s="3" t="s">
        <v>64</v>
      </c>
      <c r="T3490">
        <v>249.9</v>
      </c>
      <c r="U3490">
        <v>246.7</v>
      </c>
      <c r="V3490">
        <f t="shared" si="108"/>
        <v>248.3</v>
      </c>
      <c r="W3490">
        <f t="shared" si="109"/>
        <v>3.2000000000000171</v>
      </c>
      <c r="X3490" s="5">
        <v>-54.23</v>
      </c>
      <c r="Y3490" s="5">
        <v>-29.83</v>
      </c>
      <c r="Z3490" s="3"/>
      <c r="AA3490" s="3" t="s">
        <v>783</v>
      </c>
      <c r="AB3490" s="3" t="s">
        <v>5828</v>
      </c>
      <c r="AC3490" s="3" t="s">
        <v>5720</v>
      </c>
      <c r="AD3490" s="3" t="s">
        <v>3058</v>
      </c>
      <c r="AE3490" s="3" t="s">
        <v>5830</v>
      </c>
      <c r="AF3490" s="3" t="s">
        <v>5720</v>
      </c>
      <c r="AG3490" s="4" t="s">
        <v>101</v>
      </c>
      <c r="AH3490" s="4"/>
      <c r="AI3490" s="3" t="s">
        <v>6032</v>
      </c>
      <c r="AJ3490" s="3">
        <v>2022</v>
      </c>
      <c r="AK3490" s="10" t="s">
        <v>6426</v>
      </c>
      <c r="AL3490" s="11" t="s">
        <v>6443</v>
      </c>
      <c r="AM3490" s="5"/>
      <c r="AN3490" s="5"/>
      <c r="AO3490" s="3"/>
      <c r="AP3490" s="3"/>
      <c r="AQ3490" s="3"/>
      <c r="AR3490" s="3"/>
      <c r="AS3490" s="3"/>
      <c r="AT3490" s="3"/>
      <c r="AU3490" s="3"/>
      <c r="AV3490" s="3"/>
      <c r="AW3490" s="3"/>
      <c r="AX3490" s="3"/>
      <c r="AY3490" s="3"/>
      <c r="AZ3490" s="3"/>
      <c r="BA3490" s="3"/>
      <c r="BB3490" s="3"/>
    </row>
    <row r="3491" spans="1:54" x14ac:dyDescent="0.4">
      <c r="A3491" s="2" t="s">
        <v>6444</v>
      </c>
      <c r="B3491" s="2"/>
      <c r="C3491" s="2"/>
      <c r="D3491" s="2" t="s">
        <v>54</v>
      </c>
      <c r="E3491" s="2"/>
      <c r="F3491" s="25" t="s">
        <v>6445</v>
      </c>
      <c r="G3491" s="2">
        <v>1</v>
      </c>
      <c r="H3491" s="2" t="s">
        <v>5718</v>
      </c>
      <c r="I3491" s="3" t="s">
        <v>57</v>
      </c>
      <c r="J3491" s="3" t="s">
        <v>5836</v>
      </c>
      <c r="K3491" s="3" t="s">
        <v>100</v>
      </c>
      <c r="L3491" s="3" t="s">
        <v>101</v>
      </c>
      <c r="M3491" s="3" t="s">
        <v>60</v>
      </c>
      <c r="N3491" s="3"/>
      <c r="O3491" s="3"/>
      <c r="P3491" s="3" t="s">
        <v>103</v>
      </c>
      <c r="Q3491" s="3"/>
      <c r="R3491" s="3" t="s">
        <v>6422</v>
      </c>
      <c r="S3491" s="3" t="s">
        <v>64</v>
      </c>
      <c r="T3491">
        <v>249.9</v>
      </c>
      <c r="U3491">
        <v>246.7</v>
      </c>
      <c r="V3491">
        <f t="shared" si="108"/>
        <v>248.3</v>
      </c>
      <c r="W3491">
        <f t="shared" si="109"/>
        <v>3.2000000000000171</v>
      </c>
      <c r="X3491" s="5">
        <v>-55.05</v>
      </c>
      <c r="Y3491" s="5">
        <v>-29.62</v>
      </c>
      <c r="Z3491" s="3"/>
      <c r="AA3491" s="3" t="s">
        <v>783</v>
      </c>
      <c r="AB3491" s="3" t="s">
        <v>5828</v>
      </c>
      <c r="AC3491" s="3" t="s">
        <v>6446</v>
      </c>
      <c r="AD3491" s="3" t="s">
        <v>3058</v>
      </c>
      <c r="AE3491" s="3" t="s">
        <v>5830</v>
      </c>
      <c r="AF3491" s="3" t="s">
        <v>5720</v>
      </c>
      <c r="AG3491" s="4" t="s">
        <v>101</v>
      </c>
      <c r="AH3491" s="4"/>
      <c r="AI3491" s="3" t="s">
        <v>6032</v>
      </c>
      <c r="AJ3491" s="3">
        <v>2022</v>
      </c>
      <c r="AK3491" s="10" t="s">
        <v>6426</v>
      </c>
      <c r="AL3491" s="11" t="s">
        <v>6447</v>
      </c>
      <c r="AM3491" s="5"/>
      <c r="AN3491" s="5"/>
      <c r="AO3491" s="3"/>
      <c r="AP3491" s="3"/>
      <c r="AQ3491" s="3"/>
      <c r="AR3491" s="3"/>
      <c r="AS3491" s="3"/>
      <c r="AT3491" s="3"/>
      <c r="AU3491" s="3"/>
      <c r="AV3491" s="3"/>
      <c r="AW3491" s="3"/>
      <c r="AX3491" s="3"/>
      <c r="AY3491" s="3"/>
      <c r="AZ3491" s="3"/>
      <c r="BA3491" s="3"/>
      <c r="BB3491" s="3"/>
    </row>
    <row r="3492" spans="1:54" x14ac:dyDescent="0.4">
      <c r="A3492" s="2" t="s">
        <v>6448</v>
      </c>
      <c r="B3492" s="2"/>
      <c r="C3492" s="2"/>
      <c r="D3492" s="2" t="s">
        <v>54</v>
      </c>
      <c r="E3492" s="2"/>
      <c r="F3492" s="25" t="s">
        <v>6445</v>
      </c>
      <c r="G3492" s="2">
        <v>1</v>
      </c>
      <c r="H3492" s="2" t="s">
        <v>5718</v>
      </c>
      <c r="I3492" s="3" t="s">
        <v>57</v>
      </c>
      <c r="J3492" s="3" t="s">
        <v>5836</v>
      </c>
      <c r="K3492" s="3" t="s">
        <v>100</v>
      </c>
      <c r="L3492" s="3" t="s">
        <v>101</v>
      </c>
      <c r="M3492" s="3" t="s">
        <v>60</v>
      </c>
      <c r="N3492" s="3"/>
      <c r="O3492" s="3"/>
      <c r="P3492" s="3" t="s">
        <v>103</v>
      </c>
      <c r="Q3492" s="3"/>
      <c r="R3492" s="3" t="s">
        <v>6422</v>
      </c>
      <c r="S3492" s="3" t="s">
        <v>64</v>
      </c>
      <c r="T3492">
        <v>249.9</v>
      </c>
      <c r="U3492">
        <v>246.7</v>
      </c>
      <c r="V3492">
        <f t="shared" si="108"/>
        <v>248.3</v>
      </c>
      <c r="W3492">
        <f t="shared" si="109"/>
        <v>3.2000000000000171</v>
      </c>
      <c r="X3492" s="5">
        <v>-55.05</v>
      </c>
      <c r="Y3492" s="5">
        <v>-29.62</v>
      </c>
      <c r="Z3492" s="3"/>
      <c r="AA3492" s="3" t="s">
        <v>783</v>
      </c>
      <c r="AB3492" s="3" t="s">
        <v>5828</v>
      </c>
      <c r="AC3492" s="3" t="s">
        <v>6446</v>
      </c>
      <c r="AD3492" s="3" t="s">
        <v>3058</v>
      </c>
      <c r="AE3492" s="3" t="s">
        <v>5830</v>
      </c>
      <c r="AF3492" s="3" t="s">
        <v>5720</v>
      </c>
      <c r="AG3492" s="4" t="s">
        <v>101</v>
      </c>
      <c r="AH3492" s="4"/>
      <c r="AI3492" s="3" t="s">
        <v>6032</v>
      </c>
      <c r="AJ3492" s="3">
        <v>2022</v>
      </c>
      <c r="AK3492" s="10" t="s">
        <v>6426</v>
      </c>
      <c r="AL3492" s="11" t="s">
        <v>6449</v>
      </c>
      <c r="AM3492" s="5"/>
      <c r="AN3492" s="5"/>
      <c r="AO3492" s="3"/>
      <c r="AP3492" s="3"/>
      <c r="AQ3492" s="3"/>
      <c r="AR3492" s="3"/>
      <c r="AS3492" s="3"/>
      <c r="AT3492" s="3"/>
      <c r="AU3492" s="3"/>
      <c r="AV3492" s="3"/>
      <c r="AW3492" s="3"/>
      <c r="AX3492" s="3"/>
      <c r="AY3492" s="3"/>
      <c r="AZ3492" s="3"/>
      <c r="BA3492" s="3"/>
      <c r="BB3492" s="3"/>
    </row>
    <row r="3493" spans="1:54" x14ac:dyDescent="0.4">
      <c r="A3493" s="2" t="s">
        <v>6450</v>
      </c>
      <c r="B3493" s="2"/>
      <c r="C3493" s="2"/>
      <c r="D3493" s="2" t="s">
        <v>54</v>
      </c>
      <c r="E3493" s="2"/>
      <c r="F3493" s="25" t="s">
        <v>6445</v>
      </c>
      <c r="G3493" s="2">
        <v>1</v>
      </c>
      <c r="H3493" s="2" t="s">
        <v>5718</v>
      </c>
      <c r="I3493" s="3" t="s">
        <v>57</v>
      </c>
      <c r="J3493" s="3" t="s">
        <v>5836</v>
      </c>
      <c r="K3493" s="3" t="s">
        <v>100</v>
      </c>
      <c r="L3493" s="3" t="s">
        <v>101</v>
      </c>
      <c r="M3493" s="3" t="s">
        <v>60</v>
      </c>
      <c r="N3493" s="3"/>
      <c r="O3493" s="3"/>
      <c r="P3493" s="3" t="s">
        <v>103</v>
      </c>
      <c r="Q3493" s="3"/>
      <c r="R3493" s="3" t="s">
        <v>6422</v>
      </c>
      <c r="S3493" s="3" t="s">
        <v>64</v>
      </c>
      <c r="T3493">
        <v>249.9</v>
      </c>
      <c r="U3493">
        <v>246.7</v>
      </c>
      <c r="V3493">
        <f t="shared" si="108"/>
        <v>248.3</v>
      </c>
      <c r="W3493">
        <f t="shared" si="109"/>
        <v>3.2000000000000171</v>
      </c>
      <c r="X3493" s="5">
        <v>-55.05</v>
      </c>
      <c r="Y3493" s="5">
        <v>-29.62</v>
      </c>
      <c r="Z3493" s="3"/>
      <c r="AA3493" s="3" t="s">
        <v>783</v>
      </c>
      <c r="AB3493" s="3" t="s">
        <v>5828</v>
      </c>
      <c r="AC3493" s="3" t="s">
        <v>6446</v>
      </c>
      <c r="AD3493" s="3" t="s">
        <v>3058</v>
      </c>
      <c r="AE3493" s="3" t="s">
        <v>5830</v>
      </c>
      <c r="AF3493" s="3" t="s">
        <v>5720</v>
      </c>
      <c r="AG3493" s="4" t="s">
        <v>101</v>
      </c>
      <c r="AH3493" s="4"/>
      <c r="AI3493" s="3" t="s">
        <v>6032</v>
      </c>
      <c r="AJ3493" s="3">
        <v>2022</v>
      </c>
      <c r="AK3493" s="10" t="s">
        <v>6426</v>
      </c>
      <c r="AL3493" s="11" t="s">
        <v>6451</v>
      </c>
      <c r="AM3493" s="5"/>
      <c r="AN3493" s="5"/>
      <c r="AO3493" s="3"/>
      <c r="AP3493" s="3"/>
      <c r="AQ3493" s="3"/>
      <c r="AR3493" s="3"/>
      <c r="AS3493" s="3"/>
      <c r="AT3493" s="3"/>
      <c r="AU3493" s="3"/>
      <c r="AV3493" s="3"/>
      <c r="AW3493" s="3"/>
      <c r="AX3493" s="3"/>
      <c r="AY3493" s="3"/>
      <c r="AZ3493" s="3"/>
      <c r="BA3493" s="3"/>
      <c r="BB3493" s="3"/>
    </row>
    <row r="3494" spans="1:54" x14ac:dyDescent="0.4">
      <c r="A3494" s="2" t="s">
        <v>6452</v>
      </c>
      <c r="B3494" s="2"/>
      <c r="C3494" s="2"/>
      <c r="D3494" s="2" t="s">
        <v>54</v>
      </c>
      <c r="E3494" s="2"/>
      <c r="F3494" s="25" t="s">
        <v>6445</v>
      </c>
      <c r="G3494" s="2">
        <v>1</v>
      </c>
      <c r="H3494" s="2" t="s">
        <v>5718</v>
      </c>
      <c r="I3494" s="3" t="s">
        <v>57</v>
      </c>
      <c r="J3494" s="3" t="s">
        <v>5836</v>
      </c>
      <c r="K3494" s="3" t="s">
        <v>100</v>
      </c>
      <c r="L3494" s="3" t="s">
        <v>101</v>
      </c>
      <c r="M3494" s="3" t="s">
        <v>60</v>
      </c>
      <c r="N3494" s="3"/>
      <c r="O3494" s="3"/>
      <c r="P3494" s="3" t="s">
        <v>103</v>
      </c>
      <c r="Q3494" s="3"/>
      <c r="R3494" s="3" t="s">
        <v>6422</v>
      </c>
      <c r="S3494" s="3" t="s">
        <v>64</v>
      </c>
      <c r="T3494">
        <v>249.9</v>
      </c>
      <c r="U3494">
        <v>246.7</v>
      </c>
      <c r="V3494">
        <f t="shared" si="108"/>
        <v>248.3</v>
      </c>
      <c r="W3494">
        <f t="shared" si="109"/>
        <v>3.2000000000000171</v>
      </c>
      <c r="X3494" s="5">
        <v>-55.05</v>
      </c>
      <c r="Y3494" s="5">
        <v>-29.62</v>
      </c>
      <c r="Z3494" s="3"/>
      <c r="AA3494" s="3" t="s">
        <v>783</v>
      </c>
      <c r="AB3494" s="3" t="s">
        <v>5828</v>
      </c>
      <c r="AC3494" s="3" t="s">
        <v>6446</v>
      </c>
      <c r="AD3494" s="3" t="s">
        <v>3058</v>
      </c>
      <c r="AE3494" s="3" t="s">
        <v>5830</v>
      </c>
      <c r="AF3494" s="3" t="s">
        <v>5720</v>
      </c>
      <c r="AG3494" s="4" t="s">
        <v>101</v>
      </c>
      <c r="AH3494" s="4"/>
      <c r="AI3494" s="3" t="s">
        <v>6032</v>
      </c>
      <c r="AJ3494" s="3">
        <v>2022</v>
      </c>
      <c r="AK3494" s="10" t="s">
        <v>6426</v>
      </c>
      <c r="AL3494" s="11" t="s">
        <v>6453</v>
      </c>
      <c r="AM3494" s="5"/>
      <c r="AN3494" s="5"/>
      <c r="AO3494" s="3"/>
      <c r="AP3494" s="3"/>
      <c r="AQ3494" s="3"/>
      <c r="AR3494" s="3"/>
      <c r="AS3494" s="3"/>
      <c r="AT3494" s="3"/>
      <c r="AU3494" s="3"/>
      <c r="AV3494" s="3"/>
      <c r="AW3494" s="3"/>
      <c r="AX3494" s="3"/>
      <c r="AY3494" s="3"/>
      <c r="AZ3494" s="3"/>
      <c r="BA3494" s="3"/>
      <c r="BB3494" s="3"/>
    </row>
    <row r="3495" spans="1:54" x14ac:dyDescent="0.4">
      <c r="A3495" s="2" t="s">
        <v>6454</v>
      </c>
      <c r="B3495" s="2"/>
      <c r="C3495" s="2"/>
      <c r="D3495" s="2" t="s">
        <v>54</v>
      </c>
      <c r="E3495" s="2"/>
      <c r="F3495" s="25" t="s">
        <v>6445</v>
      </c>
      <c r="G3495" s="2">
        <v>1</v>
      </c>
      <c r="H3495" s="2" t="s">
        <v>5718</v>
      </c>
      <c r="I3495" s="3" t="s">
        <v>57</v>
      </c>
      <c r="J3495" s="3" t="s">
        <v>5836</v>
      </c>
      <c r="K3495" s="3" t="s">
        <v>100</v>
      </c>
      <c r="L3495" s="3" t="s">
        <v>101</v>
      </c>
      <c r="M3495" s="3" t="s">
        <v>60</v>
      </c>
      <c r="N3495" s="3"/>
      <c r="O3495" s="3"/>
      <c r="P3495" s="3" t="s">
        <v>103</v>
      </c>
      <c r="Q3495" s="3"/>
      <c r="R3495" s="3" t="s">
        <v>6422</v>
      </c>
      <c r="S3495" s="3" t="s">
        <v>64</v>
      </c>
      <c r="T3495">
        <v>249.9</v>
      </c>
      <c r="U3495">
        <v>246.7</v>
      </c>
      <c r="V3495">
        <f t="shared" si="108"/>
        <v>248.3</v>
      </c>
      <c r="W3495">
        <f t="shared" si="109"/>
        <v>3.2000000000000171</v>
      </c>
      <c r="X3495" s="5">
        <v>-55.05</v>
      </c>
      <c r="Y3495" s="5">
        <v>-29.62</v>
      </c>
      <c r="Z3495" s="3"/>
      <c r="AA3495" s="3" t="s">
        <v>783</v>
      </c>
      <c r="AB3495" s="3" t="s">
        <v>5828</v>
      </c>
      <c r="AC3495" s="3" t="s">
        <v>6446</v>
      </c>
      <c r="AD3495" s="3" t="s">
        <v>3058</v>
      </c>
      <c r="AE3495" s="3" t="s">
        <v>5830</v>
      </c>
      <c r="AF3495" s="3" t="s">
        <v>5720</v>
      </c>
      <c r="AG3495" s="4" t="s">
        <v>101</v>
      </c>
      <c r="AH3495" s="4"/>
      <c r="AI3495" s="3" t="s">
        <v>6032</v>
      </c>
      <c r="AJ3495" s="3">
        <v>2022</v>
      </c>
      <c r="AK3495" s="10" t="s">
        <v>6426</v>
      </c>
      <c r="AL3495" s="11" t="s">
        <v>6455</v>
      </c>
      <c r="AM3495" s="5"/>
      <c r="AN3495" s="5"/>
      <c r="AO3495" s="3"/>
      <c r="AP3495" s="3"/>
      <c r="AQ3495" s="3"/>
      <c r="AR3495" s="3"/>
      <c r="AS3495" s="3"/>
      <c r="AT3495" s="3"/>
      <c r="AU3495" s="3"/>
      <c r="AV3495" s="3"/>
      <c r="AW3495" s="3"/>
      <c r="AX3495" s="3"/>
      <c r="AY3495" s="3"/>
      <c r="AZ3495" s="3"/>
      <c r="BA3495" s="3"/>
      <c r="BB3495" s="3"/>
    </row>
    <row r="3496" spans="1:54" x14ac:dyDescent="0.4">
      <c r="A3496" s="2" t="s">
        <v>6456</v>
      </c>
      <c r="B3496" s="2"/>
      <c r="C3496" s="2"/>
      <c r="D3496" s="2" t="s">
        <v>54</v>
      </c>
      <c r="E3496" s="2"/>
      <c r="F3496" s="25" t="s">
        <v>6445</v>
      </c>
      <c r="G3496" s="2">
        <v>1</v>
      </c>
      <c r="H3496" s="2" t="s">
        <v>5718</v>
      </c>
      <c r="I3496" s="3" t="s">
        <v>57</v>
      </c>
      <c r="J3496" s="3" t="s">
        <v>5836</v>
      </c>
      <c r="K3496" s="3" t="s">
        <v>100</v>
      </c>
      <c r="L3496" s="3" t="s">
        <v>101</v>
      </c>
      <c r="M3496" s="3" t="s">
        <v>60</v>
      </c>
      <c r="N3496" s="3"/>
      <c r="O3496" s="3"/>
      <c r="P3496" s="3" t="s">
        <v>103</v>
      </c>
      <c r="Q3496" s="3"/>
      <c r="R3496" s="3" t="s">
        <v>6422</v>
      </c>
      <c r="S3496" s="3" t="s">
        <v>64</v>
      </c>
      <c r="T3496">
        <v>249.9</v>
      </c>
      <c r="U3496">
        <v>246.7</v>
      </c>
      <c r="V3496">
        <f t="shared" si="108"/>
        <v>248.3</v>
      </c>
      <c r="W3496">
        <f t="shared" si="109"/>
        <v>3.2000000000000171</v>
      </c>
      <c r="X3496" s="5">
        <v>-55.05</v>
      </c>
      <c r="Y3496" s="5">
        <v>-29.62</v>
      </c>
      <c r="Z3496" s="3"/>
      <c r="AA3496" s="3" t="s">
        <v>783</v>
      </c>
      <c r="AB3496" s="3" t="s">
        <v>5828</v>
      </c>
      <c r="AC3496" s="3" t="s">
        <v>6446</v>
      </c>
      <c r="AD3496" s="3" t="s">
        <v>3058</v>
      </c>
      <c r="AE3496" s="3" t="s">
        <v>5830</v>
      </c>
      <c r="AF3496" s="3" t="s">
        <v>5720</v>
      </c>
      <c r="AG3496" s="4" t="s">
        <v>101</v>
      </c>
      <c r="AH3496" s="4"/>
      <c r="AI3496" s="3" t="s">
        <v>6032</v>
      </c>
      <c r="AJ3496" s="3">
        <v>2022</v>
      </c>
      <c r="AK3496" s="10" t="s">
        <v>6426</v>
      </c>
      <c r="AL3496" s="11" t="s">
        <v>6457</v>
      </c>
      <c r="AM3496" s="5"/>
      <c r="AN3496" s="5"/>
      <c r="AO3496" s="3"/>
      <c r="AP3496" s="3"/>
      <c r="AQ3496" s="3"/>
      <c r="AR3496" s="3"/>
      <c r="AS3496" s="3"/>
      <c r="AT3496" s="3"/>
      <c r="AU3496" s="3"/>
      <c r="AV3496" s="3"/>
      <c r="AW3496" s="3"/>
      <c r="AX3496" s="3"/>
      <c r="AY3496" s="3"/>
      <c r="AZ3496" s="3"/>
      <c r="BA3496" s="3"/>
      <c r="BB3496" s="3"/>
    </row>
    <row r="3497" spans="1:54" x14ac:dyDescent="0.4">
      <c r="A3497" s="2" t="s">
        <v>6458</v>
      </c>
      <c r="B3497" s="2"/>
      <c r="C3497" s="2"/>
      <c r="D3497" s="2" t="s">
        <v>54</v>
      </c>
      <c r="E3497" s="2"/>
      <c r="F3497" s="25" t="s">
        <v>6445</v>
      </c>
      <c r="G3497" s="2">
        <v>1</v>
      </c>
      <c r="H3497" s="2" t="s">
        <v>5718</v>
      </c>
      <c r="I3497" s="3" t="s">
        <v>57</v>
      </c>
      <c r="J3497" s="3" t="s">
        <v>5836</v>
      </c>
      <c r="K3497" s="3" t="s">
        <v>100</v>
      </c>
      <c r="L3497" s="3" t="s">
        <v>101</v>
      </c>
      <c r="M3497" s="3" t="s">
        <v>60</v>
      </c>
      <c r="N3497" s="3"/>
      <c r="O3497" s="3"/>
      <c r="P3497" s="3" t="s">
        <v>103</v>
      </c>
      <c r="Q3497" s="3"/>
      <c r="R3497" s="3" t="s">
        <v>6422</v>
      </c>
      <c r="S3497" s="3" t="s">
        <v>64</v>
      </c>
      <c r="T3497">
        <v>249.9</v>
      </c>
      <c r="U3497">
        <v>246.7</v>
      </c>
      <c r="V3497">
        <f t="shared" si="108"/>
        <v>248.3</v>
      </c>
      <c r="W3497">
        <f t="shared" si="109"/>
        <v>3.2000000000000171</v>
      </c>
      <c r="X3497" s="5">
        <v>-55.05</v>
      </c>
      <c r="Y3497" s="5">
        <v>-29.62</v>
      </c>
      <c r="Z3497" s="3"/>
      <c r="AA3497" s="3" t="s">
        <v>783</v>
      </c>
      <c r="AB3497" s="3" t="s">
        <v>5828</v>
      </c>
      <c r="AC3497" s="3" t="s">
        <v>6446</v>
      </c>
      <c r="AD3497" s="3" t="s">
        <v>3058</v>
      </c>
      <c r="AE3497" s="3" t="s">
        <v>5830</v>
      </c>
      <c r="AF3497" s="3" t="s">
        <v>5720</v>
      </c>
      <c r="AG3497" s="4" t="s">
        <v>101</v>
      </c>
      <c r="AH3497" s="4"/>
      <c r="AI3497" s="3" t="s">
        <v>6032</v>
      </c>
      <c r="AJ3497" s="3">
        <v>2022</v>
      </c>
      <c r="AK3497" s="10" t="s">
        <v>6426</v>
      </c>
      <c r="AL3497" s="11" t="s">
        <v>6459</v>
      </c>
      <c r="AM3497" s="5"/>
      <c r="AN3497" s="5"/>
      <c r="AO3497" s="3"/>
      <c r="AP3497" s="3"/>
      <c r="AQ3497" s="3"/>
      <c r="AR3497" s="3"/>
      <c r="AS3497" s="3"/>
      <c r="AT3497" s="3"/>
      <c r="AU3497" s="3"/>
      <c r="AV3497" s="3"/>
      <c r="AW3497" s="3"/>
      <c r="AX3497" s="3"/>
      <c r="AY3497" s="3"/>
      <c r="AZ3497" s="3"/>
      <c r="BA3497" s="3"/>
      <c r="BB3497" s="3"/>
    </row>
    <row r="3498" spans="1:54" x14ac:dyDescent="0.4">
      <c r="A3498" s="2" t="s">
        <v>6460</v>
      </c>
      <c r="B3498" s="2"/>
      <c r="C3498" s="2"/>
      <c r="D3498" s="2" t="s">
        <v>54</v>
      </c>
      <c r="E3498" s="2"/>
      <c r="F3498" s="25" t="s">
        <v>6445</v>
      </c>
      <c r="G3498" s="2">
        <v>1</v>
      </c>
      <c r="H3498" s="2" t="s">
        <v>5718</v>
      </c>
      <c r="I3498" s="3" t="s">
        <v>57</v>
      </c>
      <c r="J3498" s="3" t="s">
        <v>5836</v>
      </c>
      <c r="K3498" s="3" t="s">
        <v>100</v>
      </c>
      <c r="L3498" s="3" t="s">
        <v>101</v>
      </c>
      <c r="M3498" s="3" t="s">
        <v>60</v>
      </c>
      <c r="N3498" s="3"/>
      <c r="O3498" s="3"/>
      <c r="P3498" s="3" t="s">
        <v>103</v>
      </c>
      <c r="Q3498" s="3"/>
      <c r="R3498" s="3" t="s">
        <v>6422</v>
      </c>
      <c r="S3498" s="3" t="s">
        <v>64</v>
      </c>
      <c r="T3498">
        <v>249.9</v>
      </c>
      <c r="U3498">
        <v>246.7</v>
      </c>
      <c r="V3498">
        <f t="shared" si="108"/>
        <v>248.3</v>
      </c>
      <c r="W3498">
        <f t="shared" si="109"/>
        <v>3.2000000000000171</v>
      </c>
      <c r="X3498" s="5">
        <v>-55.05</v>
      </c>
      <c r="Y3498" s="5">
        <v>-29.62</v>
      </c>
      <c r="Z3498" s="3"/>
      <c r="AA3498" s="3" t="s">
        <v>783</v>
      </c>
      <c r="AB3498" s="3" t="s">
        <v>5828</v>
      </c>
      <c r="AC3498" s="3" t="s">
        <v>6446</v>
      </c>
      <c r="AD3498" s="3" t="s">
        <v>3058</v>
      </c>
      <c r="AE3498" s="3" t="s">
        <v>5830</v>
      </c>
      <c r="AF3498" s="3" t="s">
        <v>5720</v>
      </c>
      <c r="AG3498" s="4" t="s">
        <v>101</v>
      </c>
      <c r="AH3498" s="4"/>
      <c r="AI3498" s="3" t="s">
        <v>6032</v>
      </c>
      <c r="AJ3498" s="3">
        <v>2022</v>
      </c>
      <c r="AK3498" s="10" t="s">
        <v>6426</v>
      </c>
      <c r="AL3498" s="11" t="s">
        <v>6461</v>
      </c>
      <c r="AM3498" s="5"/>
      <c r="AN3498" s="5"/>
      <c r="AO3498" s="3"/>
      <c r="AP3498" s="3"/>
      <c r="AQ3498" s="3"/>
      <c r="AR3498" s="3"/>
      <c r="AS3498" s="3"/>
      <c r="AT3498" s="3"/>
      <c r="AU3498" s="3"/>
      <c r="AV3498" s="3"/>
      <c r="AW3498" s="3"/>
      <c r="AX3498" s="3"/>
      <c r="AY3498" s="3"/>
      <c r="AZ3498" s="3"/>
      <c r="BA3498" s="3"/>
      <c r="BB3498" s="3"/>
    </row>
    <row r="3499" spans="1:54" x14ac:dyDescent="0.4">
      <c r="A3499" s="2" t="s">
        <v>6462</v>
      </c>
      <c r="B3499" s="2"/>
      <c r="C3499" s="2"/>
      <c r="D3499" s="2" t="s">
        <v>54</v>
      </c>
      <c r="E3499" s="2"/>
      <c r="F3499" s="25" t="s">
        <v>6445</v>
      </c>
      <c r="G3499" s="2">
        <v>1</v>
      </c>
      <c r="H3499" s="2" t="s">
        <v>5718</v>
      </c>
      <c r="I3499" s="3" t="s">
        <v>57</v>
      </c>
      <c r="J3499" s="3" t="s">
        <v>5836</v>
      </c>
      <c r="K3499" s="3" t="s">
        <v>100</v>
      </c>
      <c r="L3499" s="3" t="s">
        <v>101</v>
      </c>
      <c r="M3499" s="3" t="s">
        <v>60</v>
      </c>
      <c r="N3499" s="3"/>
      <c r="O3499" s="3"/>
      <c r="P3499" s="3" t="s">
        <v>103</v>
      </c>
      <c r="Q3499" s="3"/>
      <c r="R3499" s="3" t="s">
        <v>6422</v>
      </c>
      <c r="S3499" s="3" t="s">
        <v>64</v>
      </c>
      <c r="T3499">
        <v>249.9</v>
      </c>
      <c r="U3499">
        <v>246.7</v>
      </c>
      <c r="V3499">
        <f t="shared" si="108"/>
        <v>248.3</v>
      </c>
      <c r="W3499">
        <f t="shared" si="109"/>
        <v>3.2000000000000171</v>
      </c>
      <c r="X3499" s="5">
        <v>-55.05</v>
      </c>
      <c r="Y3499" s="5">
        <v>-29.62</v>
      </c>
      <c r="Z3499" s="3"/>
      <c r="AA3499" s="3" t="s">
        <v>783</v>
      </c>
      <c r="AB3499" s="3" t="s">
        <v>5828</v>
      </c>
      <c r="AC3499" s="3" t="s">
        <v>6446</v>
      </c>
      <c r="AD3499" s="3" t="s">
        <v>3058</v>
      </c>
      <c r="AE3499" s="3" t="s">
        <v>5830</v>
      </c>
      <c r="AF3499" s="3" t="s">
        <v>5720</v>
      </c>
      <c r="AG3499" s="4" t="s">
        <v>101</v>
      </c>
      <c r="AH3499" s="4"/>
      <c r="AI3499" s="3" t="s">
        <v>6032</v>
      </c>
      <c r="AJ3499" s="3">
        <v>2022</v>
      </c>
      <c r="AK3499" s="10" t="s">
        <v>6426</v>
      </c>
      <c r="AL3499" s="11" t="s">
        <v>6463</v>
      </c>
      <c r="AM3499" s="5"/>
      <c r="AN3499" s="5"/>
      <c r="AO3499" s="3"/>
      <c r="AP3499" s="3"/>
      <c r="AQ3499" s="3"/>
      <c r="AR3499" s="3"/>
      <c r="AS3499" s="3"/>
      <c r="AT3499" s="3"/>
      <c r="AU3499" s="3"/>
      <c r="AV3499" s="3"/>
      <c r="AW3499" s="3"/>
      <c r="AX3499" s="3"/>
      <c r="AY3499" s="3"/>
      <c r="AZ3499" s="3"/>
      <c r="BA3499" s="3"/>
      <c r="BB3499" s="3"/>
    </row>
    <row r="3500" spans="1:54" x14ac:dyDescent="0.4">
      <c r="A3500" s="2" t="s">
        <v>6464</v>
      </c>
      <c r="B3500" s="2"/>
      <c r="C3500" s="2"/>
      <c r="D3500" s="2" t="s">
        <v>54</v>
      </c>
      <c r="E3500" s="2"/>
      <c r="F3500" s="25" t="s">
        <v>6445</v>
      </c>
      <c r="G3500" s="2">
        <v>1</v>
      </c>
      <c r="H3500" s="2" t="s">
        <v>5718</v>
      </c>
      <c r="I3500" s="3" t="s">
        <v>57</v>
      </c>
      <c r="J3500" s="3" t="s">
        <v>5836</v>
      </c>
      <c r="K3500" s="3" t="s">
        <v>100</v>
      </c>
      <c r="L3500" s="3" t="s">
        <v>101</v>
      </c>
      <c r="M3500" s="3" t="s">
        <v>60</v>
      </c>
      <c r="N3500" s="3"/>
      <c r="O3500" s="3"/>
      <c r="P3500" s="3" t="s">
        <v>103</v>
      </c>
      <c r="Q3500" s="3"/>
      <c r="R3500" s="3" t="s">
        <v>6422</v>
      </c>
      <c r="S3500" s="3" t="s">
        <v>64</v>
      </c>
      <c r="T3500">
        <v>249.9</v>
      </c>
      <c r="U3500">
        <v>246.7</v>
      </c>
      <c r="V3500">
        <f t="shared" si="108"/>
        <v>248.3</v>
      </c>
      <c r="W3500">
        <f t="shared" si="109"/>
        <v>3.2000000000000171</v>
      </c>
      <c r="X3500" s="5">
        <v>-55.05</v>
      </c>
      <c r="Y3500" s="5">
        <v>-29.62</v>
      </c>
      <c r="Z3500" s="3"/>
      <c r="AA3500" s="3" t="s">
        <v>783</v>
      </c>
      <c r="AB3500" s="3" t="s">
        <v>5828</v>
      </c>
      <c r="AC3500" s="3" t="s">
        <v>6446</v>
      </c>
      <c r="AD3500" s="3" t="s">
        <v>3058</v>
      </c>
      <c r="AE3500" s="3" t="s">
        <v>5830</v>
      </c>
      <c r="AF3500" s="3" t="s">
        <v>5720</v>
      </c>
      <c r="AG3500" s="4" t="s">
        <v>101</v>
      </c>
      <c r="AH3500" s="4"/>
      <c r="AI3500" s="3" t="s">
        <v>6032</v>
      </c>
      <c r="AJ3500" s="3">
        <v>2022</v>
      </c>
      <c r="AK3500" s="10" t="s">
        <v>6426</v>
      </c>
      <c r="AL3500" s="11" t="s">
        <v>6465</v>
      </c>
      <c r="AM3500" s="5"/>
      <c r="AN3500" s="5"/>
      <c r="AO3500" s="3"/>
      <c r="AP3500" s="3"/>
      <c r="AQ3500" s="3"/>
      <c r="AR3500" s="3"/>
      <c r="AS3500" s="3"/>
      <c r="AT3500" s="3"/>
      <c r="AU3500" s="3"/>
      <c r="AV3500" s="3"/>
      <c r="AW3500" s="3"/>
      <c r="AX3500" s="3"/>
      <c r="AY3500" s="3"/>
      <c r="AZ3500" s="3"/>
      <c r="BA3500" s="3"/>
      <c r="BB3500" s="3"/>
    </row>
    <row r="3501" spans="1:54" x14ac:dyDescent="0.4">
      <c r="A3501">
        <v>833484</v>
      </c>
      <c r="D3501" t="s">
        <v>498</v>
      </c>
      <c r="E3501" t="s">
        <v>55</v>
      </c>
      <c r="G3501">
        <v>4</v>
      </c>
      <c r="H3501" t="s">
        <v>84</v>
      </c>
      <c r="I3501" t="s">
        <v>57</v>
      </c>
      <c r="K3501" t="s">
        <v>1600</v>
      </c>
      <c r="L3501" t="s">
        <v>2594</v>
      </c>
      <c r="M3501" t="s">
        <v>60</v>
      </c>
      <c r="P3501" t="s">
        <v>102</v>
      </c>
      <c r="Q3501" t="s">
        <v>103</v>
      </c>
      <c r="R3501" t="s">
        <v>104</v>
      </c>
      <c r="S3501" t="s">
        <v>64</v>
      </c>
      <c r="T3501">
        <v>251.90199999999999</v>
      </c>
      <c r="U3501">
        <v>246.7</v>
      </c>
      <c r="V3501">
        <f t="shared" si="108"/>
        <v>249.30099999999999</v>
      </c>
      <c r="W3501">
        <f t="shared" si="109"/>
        <v>5.2019999999999982</v>
      </c>
      <c r="X3501">
        <v>49.333331999999999</v>
      </c>
      <c r="Y3501">
        <v>-13</v>
      </c>
      <c r="Z3501" t="s">
        <v>1251</v>
      </c>
      <c r="AA3501" t="s">
        <v>1913</v>
      </c>
      <c r="AB3501" t="s">
        <v>2599</v>
      </c>
      <c r="AC3501" t="s">
        <v>2600</v>
      </c>
      <c r="AD3501" t="s">
        <v>2601</v>
      </c>
      <c r="AE3501" t="s">
        <v>1916</v>
      </c>
      <c r="AF3501" t="s">
        <v>2602</v>
      </c>
      <c r="AH3501" t="s">
        <v>72</v>
      </c>
      <c r="AI3501" t="s">
        <v>2603</v>
      </c>
      <c r="AJ3501">
        <v>2004</v>
      </c>
      <c r="AK3501" t="s">
        <v>2604</v>
      </c>
      <c r="AN3501" t="s">
        <v>192</v>
      </c>
      <c r="AO3501" t="s">
        <v>657</v>
      </c>
      <c r="AP3501" t="s">
        <v>78</v>
      </c>
      <c r="AQ3501" t="s">
        <v>2605</v>
      </c>
      <c r="AR3501" t="s">
        <v>80</v>
      </c>
      <c r="AS3501">
        <v>702</v>
      </c>
      <c r="AT3501" t="s">
        <v>81</v>
      </c>
      <c r="AU3501">
        <v>38.25</v>
      </c>
      <c r="AV3501">
        <v>-34.35</v>
      </c>
      <c r="AW3501" t="s">
        <v>82</v>
      </c>
      <c r="AX3501">
        <v>702</v>
      </c>
      <c r="AY3501" t="s">
        <v>81</v>
      </c>
      <c r="AZ3501">
        <v>41.72</v>
      </c>
      <c r="BA3501">
        <v>-44.19</v>
      </c>
      <c r="BB3501" t="s">
        <v>83</v>
      </c>
    </row>
    <row r="3502" spans="1:54" x14ac:dyDescent="0.4">
      <c r="A3502">
        <v>833489</v>
      </c>
      <c r="D3502" t="s">
        <v>498</v>
      </c>
      <c r="E3502" t="s">
        <v>55</v>
      </c>
      <c r="G3502">
        <v>5</v>
      </c>
      <c r="H3502" t="s">
        <v>84</v>
      </c>
      <c r="I3502" t="s">
        <v>57</v>
      </c>
      <c r="K3502" t="s">
        <v>2135</v>
      </c>
      <c r="L3502" t="s">
        <v>2606</v>
      </c>
      <c r="M3502" t="s">
        <v>60</v>
      </c>
      <c r="P3502" t="s">
        <v>102</v>
      </c>
      <c r="Q3502" t="s">
        <v>103</v>
      </c>
      <c r="R3502" t="s">
        <v>104</v>
      </c>
      <c r="S3502" t="s">
        <v>64</v>
      </c>
      <c r="T3502">
        <v>251.90199999999999</v>
      </c>
      <c r="U3502">
        <v>246.7</v>
      </c>
      <c r="V3502">
        <f t="shared" si="108"/>
        <v>249.30099999999999</v>
      </c>
      <c r="W3502">
        <f t="shared" si="109"/>
        <v>5.2019999999999982</v>
      </c>
      <c r="X3502">
        <v>49.333331999999999</v>
      </c>
      <c r="Y3502">
        <v>-13</v>
      </c>
      <c r="Z3502" t="s">
        <v>1251</v>
      </c>
      <c r="AA3502" t="s">
        <v>1913</v>
      </c>
      <c r="AB3502" t="s">
        <v>2599</v>
      </c>
      <c r="AC3502" t="s">
        <v>2600</v>
      </c>
      <c r="AD3502" t="s">
        <v>2601</v>
      </c>
      <c r="AE3502" t="s">
        <v>1916</v>
      </c>
      <c r="AF3502" t="s">
        <v>2602</v>
      </c>
      <c r="AH3502" t="s">
        <v>72</v>
      </c>
      <c r="AI3502" t="s">
        <v>2603</v>
      </c>
      <c r="AJ3502">
        <v>2004</v>
      </c>
      <c r="AK3502" t="s">
        <v>2604</v>
      </c>
      <c r="AN3502" t="s">
        <v>192</v>
      </c>
      <c r="AO3502" t="s">
        <v>657</v>
      </c>
      <c r="AP3502" t="s">
        <v>78</v>
      </c>
      <c r="AQ3502" t="s">
        <v>2605</v>
      </c>
      <c r="AR3502" t="s">
        <v>80</v>
      </c>
      <c r="AS3502">
        <v>702</v>
      </c>
      <c r="AT3502" t="s">
        <v>81</v>
      </c>
      <c r="AU3502">
        <v>38.25</v>
      </c>
      <c r="AV3502">
        <v>-34.35</v>
      </c>
      <c r="AW3502" t="s">
        <v>82</v>
      </c>
      <c r="AX3502">
        <v>702</v>
      </c>
      <c r="AY3502" t="s">
        <v>81</v>
      </c>
      <c r="AZ3502">
        <v>41.72</v>
      </c>
      <c r="BA3502">
        <v>-44.19</v>
      </c>
      <c r="BB3502" t="s">
        <v>83</v>
      </c>
    </row>
    <row r="3503" spans="1:54" x14ac:dyDescent="0.4">
      <c r="A3503">
        <v>980069</v>
      </c>
      <c r="D3503" t="s">
        <v>54</v>
      </c>
      <c r="E3503" t="s">
        <v>152</v>
      </c>
      <c r="G3503">
        <v>5</v>
      </c>
      <c r="H3503" t="s">
        <v>421</v>
      </c>
      <c r="I3503" t="s">
        <v>57</v>
      </c>
      <c r="K3503" t="s">
        <v>2052</v>
      </c>
      <c r="L3503" t="s">
        <v>3656</v>
      </c>
      <c r="M3503" t="s">
        <v>60</v>
      </c>
      <c r="O3503" t="s">
        <v>87</v>
      </c>
      <c r="P3503" t="s">
        <v>102</v>
      </c>
      <c r="Q3503" t="s">
        <v>103</v>
      </c>
      <c r="R3503" t="s">
        <v>104</v>
      </c>
      <c r="S3503" t="s">
        <v>64</v>
      </c>
      <c r="T3503">
        <v>251.90199999999999</v>
      </c>
      <c r="U3503">
        <v>246.7</v>
      </c>
      <c r="V3503">
        <f t="shared" si="108"/>
        <v>249.30099999999999</v>
      </c>
      <c r="W3503">
        <f t="shared" si="109"/>
        <v>5.2019999999999982</v>
      </c>
      <c r="X3503">
        <v>86.883330999999998</v>
      </c>
      <c r="Y3503">
        <v>23.65</v>
      </c>
      <c r="Z3503" t="s">
        <v>124</v>
      </c>
      <c r="AA3503" t="s">
        <v>1222</v>
      </c>
      <c r="AB3503" t="s">
        <v>3958</v>
      </c>
      <c r="AD3503" t="s">
        <v>3959</v>
      </c>
      <c r="AH3503" t="s">
        <v>11</v>
      </c>
      <c r="AI3503" t="s">
        <v>3960</v>
      </c>
      <c r="AJ3503">
        <v>1964</v>
      </c>
      <c r="AK3503" t="s">
        <v>3961</v>
      </c>
      <c r="AN3503" t="s">
        <v>76</v>
      </c>
      <c r="AO3503" t="s">
        <v>160</v>
      </c>
      <c r="AP3503" t="s">
        <v>115</v>
      </c>
      <c r="AQ3503" t="s">
        <v>3962</v>
      </c>
      <c r="AR3503" t="s">
        <v>80</v>
      </c>
      <c r="AS3503">
        <v>501</v>
      </c>
      <c r="AT3503" t="s">
        <v>81</v>
      </c>
      <c r="AU3503">
        <v>47.8</v>
      </c>
      <c r="AV3503">
        <v>-49.06</v>
      </c>
      <c r="AW3503" t="s">
        <v>82</v>
      </c>
      <c r="AX3503">
        <v>501</v>
      </c>
      <c r="AY3503" t="s">
        <v>81</v>
      </c>
      <c r="AZ3503">
        <v>59.6</v>
      </c>
      <c r="BA3503">
        <v>-55.91</v>
      </c>
      <c r="BB3503" t="s">
        <v>83</v>
      </c>
    </row>
    <row r="3504" spans="1:54" x14ac:dyDescent="0.4">
      <c r="A3504">
        <v>1132153</v>
      </c>
      <c r="D3504" t="s">
        <v>4357</v>
      </c>
      <c r="E3504" t="s">
        <v>55</v>
      </c>
      <c r="G3504">
        <v>1</v>
      </c>
      <c r="H3504" t="s">
        <v>56</v>
      </c>
      <c r="I3504" t="s">
        <v>57</v>
      </c>
      <c r="K3504" t="s">
        <v>100</v>
      </c>
      <c r="L3504" t="s">
        <v>4358</v>
      </c>
      <c r="M3504" t="s">
        <v>60</v>
      </c>
      <c r="P3504" t="s">
        <v>102</v>
      </c>
      <c r="Q3504" t="s">
        <v>103</v>
      </c>
      <c r="R3504" t="s">
        <v>104</v>
      </c>
      <c r="S3504" t="s">
        <v>64</v>
      </c>
      <c r="T3504">
        <v>251.90199999999999</v>
      </c>
      <c r="U3504">
        <v>246.7</v>
      </c>
      <c r="V3504">
        <f t="shared" si="108"/>
        <v>249.30099999999999</v>
      </c>
      <c r="W3504">
        <f t="shared" si="109"/>
        <v>5.2019999999999982</v>
      </c>
      <c r="X3504">
        <v>49.049999</v>
      </c>
      <c r="Y3504">
        <v>-13.316667000000001</v>
      </c>
      <c r="Z3504" t="s">
        <v>406</v>
      </c>
      <c r="AA3504" t="s">
        <v>1913</v>
      </c>
      <c r="AB3504" t="s">
        <v>2599</v>
      </c>
      <c r="AC3504" t="s">
        <v>2600</v>
      </c>
      <c r="AD3504" t="s">
        <v>2601</v>
      </c>
      <c r="AE3504" t="s">
        <v>1916</v>
      </c>
      <c r="AH3504" t="s">
        <v>72</v>
      </c>
      <c r="AI3504" t="s">
        <v>4359</v>
      </c>
      <c r="AJ3504">
        <v>2012</v>
      </c>
      <c r="AK3504" t="s">
        <v>4360</v>
      </c>
      <c r="AM3504" t="s">
        <v>4361</v>
      </c>
      <c r="AN3504" t="s">
        <v>192</v>
      </c>
      <c r="AO3504" t="s">
        <v>160</v>
      </c>
      <c r="AP3504" t="s">
        <v>115</v>
      </c>
      <c r="AQ3504" t="s">
        <v>4362</v>
      </c>
      <c r="AR3504" t="s">
        <v>80</v>
      </c>
      <c r="AS3504">
        <v>702</v>
      </c>
      <c r="AT3504" t="s">
        <v>81</v>
      </c>
      <c r="AU3504">
        <v>37.75</v>
      </c>
      <c r="AV3504">
        <v>-34.42</v>
      </c>
      <c r="AW3504" t="s">
        <v>82</v>
      </c>
      <c r="AX3504">
        <v>702</v>
      </c>
      <c r="AY3504" t="s">
        <v>81</v>
      </c>
      <c r="AZ3504">
        <v>41.18</v>
      </c>
      <c r="BA3504">
        <v>-44.36</v>
      </c>
      <c r="BB3504" t="s">
        <v>83</v>
      </c>
    </row>
    <row r="3505" spans="1:54" x14ac:dyDescent="0.4">
      <c r="A3505">
        <v>1419840</v>
      </c>
      <c r="D3505" t="s">
        <v>54</v>
      </c>
      <c r="E3505" t="s">
        <v>152</v>
      </c>
      <c r="I3505" t="s">
        <v>57</v>
      </c>
      <c r="K3505" t="s">
        <v>196</v>
      </c>
      <c r="L3505" t="s">
        <v>862</v>
      </c>
      <c r="M3505" t="s">
        <v>60</v>
      </c>
      <c r="O3505" t="s">
        <v>87</v>
      </c>
      <c r="P3505" t="s">
        <v>102</v>
      </c>
      <c r="Q3505" t="s">
        <v>103</v>
      </c>
      <c r="R3505" t="s">
        <v>104</v>
      </c>
      <c r="S3505" t="s">
        <v>64</v>
      </c>
      <c r="T3505">
        <v>251.90199999999999</v>
      </c>
      <c r="U3505">
        <v>246.7</v>
      </c>
      <c r="V3505">
        <f t="shared" si="108"/>
        <v>249.30099999999999</v>
      </c>
      <c r="W3505">
        <f t="shared" si="109"/>
        <v>5.2019999999999982</v>
      </c>
      <c r="X3505">
        <v>86.887496999999996</v>
      </c>
      <c r="Y3505">
        <v>23.647223</v>
      </c>
      <c r="Z3505" t="s">
        <v>105</v>
      </c>
      <c r="AA3505" t="s">
        <v>1222</v>
      </c>
      <c r="AB3505" t="s">
        <v>3958</v>
      </c>
      <c r="AD3505" t="s">
        <v>3959</v>
      </c>
      <c r="AH3505" t="s">
        <v>72</v>
      </c>
      <c r="AI3505" t="s">
        <v>5303</v>
      </c>
      <c r="AJ3505">
        <v>1928</v>
      </c>
      <c r="AK3505" t="s">
        <v>5304</v>
      </c>
      <c r="AN3505" t="s">
        <v>76</v>
      </c>
      <c r="AO3505" t="s">
        <v>77</v>
      </c>
      <c r="AP3505" t="s">
        <v>78</v>
      </c>
      <c r="AQ3505" t="s">
        <v>5305</v>
      </c>
      <c r="AR3505" t="s">
        <v>80</v>
      </c>
      <c r="AS3505">
        <v>501</v>
      </c>
      <c r="AT3505" t="s">
        <v>81</v>
      </c>
      <c r="AU3505">
        <v>47.8</v>
      </c>
      <c r="AV3505">
        <v>-49.07</v>
      </c>
      <c r="AW3505" t="s">
        <v>82</v>
      </c>
      <c r="AX3505">
        <v>501</v>
      </c>
      <c r="AY3505" t="s">
        <v>81</v>
      </c>
      <c r="AZ3505">
        <v>59.6</v>
      </c>
      <c r="BA3505">
        <v>-55.91</v>
      </c>
      <c r="BB3505" t="s">
        <v>83</v>
      </c>
    </row>
    <row r="3506" spans="1:54" x14ac:dyDescent="0.4">
      <c r="A3506">
        <v>1420107</v>
      </c>
      <c r="D3506" t="s">
        <v>54</v>
      </c>
      <c r="I3506" t="s">
        <v>57</v>
      </c>
      <c r="K3506" t="s">
        <v>2124</v>
      </c>
      <c r="L3506" t="s">
        <v>2125</v>
      </c>
      <c r="M3506" t="s">
        <v>223</v>
      </c>
      <c r="N3506" t="s">
        <v>234</v>
      </c>
      <c r="O3506" t="s">
        <v>87</v>
      </c>
      <c r="P3506" t="s">
        <v>102</v>
      </c>
      <c r="Q3506" t="s">
        <v>103</v>
      </c>
      <c r="R3506" t="s">
        <v>104</v>
      </c>
      <c r="S3506" t="s">
        <v>64</v>
      </c>
      <c r="T3506">
        <v>251.90199999999999</v>
      </c>
      <c r="U3506">
        <v>246.7</v>
      </c>
      <c r="V3506">
        <f t="shared" si="108"/>
        <v>249.30099999999999</v>
      </c>
      <c r="W3506">
        <f t="shared" si="109"/>
        <v>5.2019999999999982</v>
      </c>
      <c r="X3506">
        <v>-120.675552</v>
      </c>
      <c r="Y3506">
        <v>54.504165999999998</v>
      </c>
      <c r="Z3506" t="s">
        <v>520</v>
      </c>
      <c r="AA3506" t="s">
        <v>1456</v>
      </c>
      <c r="AB3506" t="s">
        <v>1858</v>
      </c>
      <c r="AD3506" t="s">
        <v>1859</v>
      </c>
      <c r="AF3506" t="s">
        <v>3607</v>
      </c>
      <c r="AH3506" t="s">
        <v>11</v>
      </c>
      <c r="AI3506" t="s">
        <v>4477</v>
      </c>
      <c r="AJ3506">
        <v>1993</v>
      </c>
      <c r="AK3506" t="s">
        <v>5312</v>
      </c>
      <c r="AN3506" t="s">
        <v>76</v>
      </c>
      <c r="AO3506" t="s">
        <v>77</v>
      </c>
      <c r="AP3506" t="s">
        <v>115</v>
      </c>
      <c r="AR3506" t="s">
        <v>80</v>
      </c>
      <c r="AS3506">
        <v>101</v>
      </c>
      <c r="AT3506" t="s">
        <v>81</v>
      </c>
      <c r="AU3506">
        <v>-31.79</v>
      </c>
      <c r="AV3506">
        <v>39.369999999999997</v>
      </c>
      <c r="AW3506" t="s">
        <v>82</v>
      </c>
      <c r="AX3506">
        <v>124</v>
      </c>
      <c r="AY3506" t="s">
        <v>81</v>
      </c>
      <c r="AZ3506">
        <v>-36.56</v>
      </c>
      <c r="BA3506">
        <v>27.74</v>
      </c>
      <c r="BB3506" t="s">
        <v>83</v>
      </c>
    </row>
    <row r="3507" spans="1:54" x14ac:dyDescent="0.4">
      <c r="A3507">
        <v>1284962</v>
      </c>
      <c r="D3507" t="s">
        <v>54</v>
      </c>
      <c r="G3507">
        <v>1</v>
      </c>
      <c r="H3507" t="s">
        <v>84</v>
      </c>
      <c r="I3507" t="s">
        <v>57</v>
      </c>
      <c r="K3507" t="s">
        <v>141</v>
      </c>
      <c r="L3507" t="s">
        <v>4534</v>
      </c>
      <c r="M3507" t="s">
        <v>60</v>
      </c>
      <c r="P3507" t="s">
        <v>1536</v>
      </c>
      <c r="Q3507" t="s">
        <v>102</v>
      </c>
      <c r="R3507" t="s">
        <v>512</v>
      </c>
      <c r="S3507" t="s">
        <v>123</v>
      </c>
      <c r="T3507">
        <v>254.14</v>
      </c>
      <c r="U3507">
        <v>251.2</v>
      </c>
      <c r="V3507">
        <f t="shared" si="108"/>
        <v>252.67</v>
      </c>
      <c r="W3507">
        <f t="shared" si="109"/>
        <v>2.9399999999999977</v>
      </c>
      <c r="X3507">
        <v>28.967222</v>
      </c>
      <c r="Y3507">
        <v>-30.939722</v>
      </c>
      <c r="Z3507" t="s">
        <v>124</v>
      </c>
      <c r="AA3507" t="s">
        <v>106</v>
      </c>
      <c r="AB3507" t="s">
        <v>107</v>
      </c>
      <c r="AE3507" t="s">
        <v>110</v>
      </c>
      <c r="AH3507" t="s">
        <v>72</v>
      </c>
      <c r="AI3507" t="s">
        <v>111</v>
      </c>
      <c r="AJ3507">
        <v>1926</v>
      </c>
      <c r="AK3507" t="s">
        <v>4535</v>
      </c>
      <c r="AN3507" t="s">
        <v>114</v>
      </c>
      <c r="AO3507" t="s">
        <v>77</v>
      </c>
      <c r="AP3507" t="s">
        <v>115</v>
      </c>
      <c r="AR3507" t="s">
        <v>80</v>
      </c>
      <c r="AS3507">
        <v>701</v>
      </c>
      <c r="AT3507" t="s">
        <v>81</v>
      </c>
      <c r="AU3507">
        <v>-10.49</v>
      </c>
      <c r="AV3507">
        <v>-53.25</v>
      </c>
      <c r="AW3507" t="s">
        <v>82</v>
      </c>
      <c r="AX3507">
        <v>701</v>
      </c>
      <c r="AY3507" t="s">
        <v>81</v>
      </c>
      <c r="AZ3507">
        <v>-20.02</v>
      </c>
      <c r="BA3507">
        <v>-65.7</v>
      </c>
      <c r="BB3507" t="s">
        <v>83</v>
      </c>
    </row>
    <row r="3508" spans="1:54" x14ac:dyDescent="0.4">
      <c r="A3508">
        <v>795305</v>
      </c>
      <c r="D3508" t="s">
        <v>54</v>
      </c>
      <c r="G3508">
        <v>7</v>
      </c>
      <c r="H3508" t="s">
        <v>84</v>
      </c>
      <c r="I3508" t="s">
        <v>57</v>
      </c>
      <c r="K3508" t="s">
        <v>2052</v>
      </c>
      <c r="L3508" t="s">
        <v>2053</v>
      </c>
      <c r="M3508" t="s">
        <v>60</v>
      </c>
      <c r="P3508" t="s">
        <v>511</v>
      </c>
      <c r="R3508" t="s">
        <v>512</v>
      </c>
      <c r="S3508" t="s">
        <v>123</v>
      </c>
      <c r="T3508">
        <v>259.51</v>
      </c>
      <c r="U3508">
        <v>254.14</v>
      </c>
      <c r="V3508">
        <f t="shared" si="108"/>
        <v>256.82499999999999</v>
      </c>
      <c r="W3508">
        <f t="shared" si="109"/>
        <v>5.3700000000000045</v>
      </c>
      <c r="X3508">
        <v>42.092776999999998</v>
      </c>
      <c r="Y3508">
        <v>56.253056000000001</v>
      </c>
      <c r="Z3508" t="s">
        <v>198</v>
      </c>
      <c r="AA3508" t="s">
        <v>239</v>
      </c>
      <c r="AB3508" t="s">
        <v>2054</v>
      </c>
      <c r="AC3508" t="s">
        <v>2055</v>
      </c>
      <c r="AG3508" t="s">
        <v>2056</v>
      </c>
      <c r="AH3508" t="s">
        <v>72</v>
      </c>
      <c r="AI3508" t="s">
        <v>1877</v>
      </c>
      <c r="AJ3508">
        <v>2000</v>
      </c>
      <c r="AK3508" t="s">
        <v>2057</v>
      </c>
      <c r="AM3508" t="s">
        <v>2058</v>
      </c>
      <c r="AN3508" t="s">
        <v>192</v>
      </c>
      <c r="AO3508" t="s">
        <v>77</v>
      </c>
      <c r="AP3508" t="s">
        <v>359</v>
      </c>
      <c r="AQ3508" t="s">
        <v>2059</v>
      </c>
      <c r="AR3508" t="s">
        <v>80</v>
      </c>
      <c r="AS3508">
        <v>302</v>
      </c>
      <c r="AT3508" t="s">
        <v>81</v>
      </c>
      <c r="AU3508">
        <v>48.12</v>
      </c>
      <c r="AV3508">
        <v>36.24</v>
      </c>
      <c r="AW3508" t="s">
        <v>82</v>
      </c>
      <c r="AX3508">
        <v>301</v>
      </c>
      <c r="AY3508" t="s">
        <v>81</v>
      </c>
      <c r="AZ3508">
        <v>38.6</v>
      </c>
      <c r="BA3508">
        <v>28.78</v>
      </c>
      <c r="BB3508" t="s">
        <v>83</v>
      </c>
    </row>
    <row r="3509" spans="1:54" x14ac:dyDescent="0.4">
      <c r="A3509">
        <v>795309</v>
      </c>
      <c r="D3509" t="s">
        <v>54</v>
      </c>
      <c r="G3509">
        <v>2</v>
      </c>
      <c r="H3509" t="s">
        <v>421</v>
      </c>
      <c r="I3509" t="s">
        <v>57</v>
      </c>
      <c r="K3509" t="s">
        <v>2060</v>
      </c>
      <c r="L3509" t="s">
        <v>2061</v>
      </c>
      <c r="M3509" t="s">
        <v>60</v>
      </c>
      <c r="O3509" t="s">
        <v>170</v>
      </c>
      <c r="P3509" t="s">
        <v>511</v>
      </c>
      <c r="R3509" t="s">
        <v>512</v>
      </c>
      <c r="S3509" t="s">
        <v>123</v>
      </c>
      <c r="T3509">
        <v>259.51</v>
      </c>
      <c r="U3509">
        <v>254.14</v>
      </c>
      <c r="V3509">
        <f t="shared" si="108"/>
        <v>256.82499999999999</v>
      </c>
      <c r="W3509">
        <f t="shared" si="109"/>
        <v>5.3700000000000045</v>
      </c>
      <c r="X3509">
        <v>42.092776999999998</v>
      </c>
      <c r="Y3509">
        <v>56.253056000000001</v>
      </c>
      <c r="Z3509" t="s">
        <v>198</v>
      </c>
      <c r="AA3509" t="s">
        <v>239</v>
      </c>
      <c r="AB3509" t="s">
        <v>2054</v>
      </c>
      <c r="AC3509" t="s">
        <v>2055</v>
      </c>
      <c r="AG3509" t="s">
        <v>2056</v>
      </c>
      <c r="AH3509" t="s">
        <v>11</v>
      </c>
      <c r="AI3509" t="s">
        <v>2062</v>
      </c>
      <c r="AJ3509">
        <v>2005</v>
      </c>
      <c r="AK3509" t="s">
        <v>2057</v>
      </c>
      <c r="AM3509" t="s">
        <v>2058</v>
      </c>
      <c r="AN3509" t="s">
        <v>192</v>
      </c>
      <c r="AO3509" t="s">
        <v>77</v>
      </c>
      <c r="AP3509" t="s">
        <v>359</v>
      </c>
      <c r="AQ3509" t="s">
        <v>2059</v>
      </c>
      <c r="AR3509" t="s">
        <v>80</v>
      </c>
      <c r="AS3509">
        <v>302</v>
      </c>
      <c r="AT3509" t="s">
        <v>81</v>
      </c>
      <c r="AU3509">
        <v>48.12</v>
      </c>
      <c r="AV3509">
        <v>36.24</v>
      </c>
      <c r="AW3509" t="s">
        <v>82</v>
      </c>
      <c r="AX3509">
        <v>301</v>
      </c>
      <c r="AY3509" t="s">
        <v>81</v>
      </c>
      <c r="AZ3509">
        <v>38.6</v>
      </c>
      <c r="BA3509">
        <v>28.78</v>
      </c>
      <c r="BB3509" t="s">
        <v>83</v>
      </c>
    </row>
    <row r="3510" spans="1:54" x14ac:dyDescent="0.4">
      <c r="A3510">
        <v>795351</v>
      </c>
      <c r="D3510" t="s">
        <v>54</v>
      </c>
      <c r="I3510" t="s">
        <v>57</v>
      </c>
      <c r="K3510" t="s">
        <v>2052</v>
      </c>
      <c r="L3510" t="s">
        <v>2053</v>
      </c>
      <c r="M3510" t="s">
        <v>60</v>
      </c>
      <c r="P3510" t="s">
        <v>511</v>
      </c>
      <c r="R3510" t="s">
        <v>512</v>
      </c>
      <c r="S3510" t="s">
        <v>123</v>
      </c>
      <c r="T3510">
        <v>259.51</v>
      </c>
      <c r="U3510">
        <v>254.14</v>
      </c>
      <c r="V3510">
        <f t="shared" si="108"/>
        <v>256.82499999999999</v>
      </c>
      <c r="W3510">
        <f t="shared" si="109"/>
        <v>5.3700000000000045</v>
      </c>
      <c r="X3510">
        <v>42.092776999999998</v>
      </c>
      <c r="Y3510">
        <v>56.253056000000001</v>
      </c>
      <c r="Z3510" t="s">
        <v>198</v>
      </c>
      <c r="AA3510" t="s">
        <v>239</v>
      </c>
      <c r="AB3510" t="s">
        <v>2054</v>
      </c>
      <c r="AC3510" t="s">
        <v>2055</v>
      </c>
      <c r="AG3510" t="s">
        <v>2056</v>
      </c>
      <c r="AH3510" t="s">
        <v>11</v>
      </c>
      <c r="AI3510" t="s">
        <v>1877</v>
      </c>
      <c r="AJ3510">
        <v>2000</v>
      </c>
      <c r="AK3510" t="s">
        <v>2057</v>
      </c>
      <c r="AM3510" t="s">
        <v>2058</v>
      </c>
      <c r="AN3510" t="s">
        <v>192</v>
      </c>
      <c r="AO3510" t="s">
        <v>77</v>
      </c>
      <c r="AP3510" t="s">
        <v>359</v>
      </c>
      <c r="AQ3510" t="s">
        <v>2059</v>
      </c>
      <c r="AR3510" t="s">
        <v>80</v>
      </c>
      <c r="AS3510">
        <v>302</v>
      </c>
      <c r="AT3510" t="s">
        <v>81</v>
      </c>
      <c r="AU3510">
        <v>48.12</v>
      </c>
      <c r="AV3510">
        <v>36.24</v>
      </c>
      <c r="AW3510" t="s">
        <v>82</v>
      </c>
      <c r="AX3510">
        <v>301</v>
      </c>
      <c r="AY3510" t="s">
        <v>81</v>
      </c>
      <c r="AZ3510">
        <v>38.6</v>
      </c>
      <c r="BA3510">
        <v>28.78</v>
      </c>
      <c r="BB3510" t="s">
        <v>83</v>
      </c>
    </row>
    <row r="3511" spans="1:54" x14ac:dyDescent="0.4">
      <c r="A3511">
        <v>795352</v>
      </c>
      <c r="D3511" t="s">
        <v>54</v>
      </c>
      <c r="G3511">
        <v>2</v>
      </c>
      <c r="H3511" t="s">
        <v>421</v>
      </c>
      <c r="I3511" t="s">
        <v>57</v>
      </c>
      <c r="K3511" t="s">
        <v>2052</v>
      </c>
      <c r="L3511" t="s">
        <v>2053</v>
      </c>
      <c r="M3511" t="s">
        <v>60</v>
      </c>
      <c r="P3511" t="s">
        <v>511</v>
      </c>
      <c r="R3511" t="s">
        <v>512</v>
      </c>
      <c r="S3511" t="s">
        <v>123</v>
      </c>
      <c r="T3511">
        <v>259.51</v>
      </c>
      <c r="U3511">
        <v>254.14</v>
      </c>
      <c r="V3511">
        <f t="shared" si="108"/>
        <v>256.82499999999999</v>
      </c>
      <c r="W3511">
        <f t="shared" si="109"/>
        <v>5.3700000000000045</v>
      </c>
      <c r="X3511">
        <v>47.111663999999998</v>
      </c>
      <c r="Y3511">
        <v>57.881973000000002</v>
      </c>
      <c r="Z3511" t="s">
        <v>124</v>
      </c>
      <c r="AA3511" t="s">
        <v>239</v>
      </c>
      <c r="AB3511" t="s">
        <v>2036</v>
      </c>
      <c r="AC3511" t="s">
        <v>2063</v>
      </c>
      <c r="AG3511" t="s">
        <v>2056</v>
      </c>
      <c r="AH3511" t="s">
        <v>11</v>
      </c>
      <c r="AI3511" t="s">
        <v>1877</v>
      </c>
      <c r="AJ3511">
        <v>2000</v>
      </c>
      <c r="AK3511" t="s">
        <v>2064</v>
      </c>
      <c r="AN3511" t="s">
        <v>114</v>
      </c>
      <c r="AO3511">
        <v>6</v>
      </c>
      <c r="AP3511" t="s">
        <v>115</v>
      </c>
      <c r="AQ3511" t="s">
        <v>2065</v>
      </c>
      <c r="AR3511" t="s">
        <v>80</v>
      </c>
      <c r="AS3511">
        <v>302</v>
      </c>
      <c r="AT3511" t="s">
        <v>81</v>
      </c>
      <c r="AU3511">
        <v>50.14</v>
      </c>
      <c r="AV3511">
        <v>38.979999999999997</v>
      </c>
      <c r="AW3511" t="s">
        <v>82</v>
      </c>
      <c r="AX3511">
        <v>301</v>
      </c>
      <c r="AY3511" t="s">
        <v>81</v>
      </c>
      <c r="AZ3511">
        <v>39.9</v>
      </c>
      <c r="BA3511">
        <v>31.75</v>
      </c>
      <c r="BB3511" t="s">
        <v>83</v>
      </c>
    </row>
    <row r="3512" spans="1:54" x14ac:dyDescent="0.4">
      <c r="A3512">
        <v>796148</v>
      </c>
      <c r="D3512" t="s">
        <v>54</v>
      </c>
      <c r="G3512">
        <v>1</v>
      </c>
      <c r="H3512" t="s">
        <v>56</v>
      </c>
      <c r="I3512" t="s">
        <v>57</v>
      </c>
      <c r="K3512" t="s">
        <v>141</v>
      </c>
      <c r="L3512" t="s">
        <v>2066</v>
      </c>
      <c r="M3512" t="s">
        <v>60</v>
      </c>
      <c r="P3512" t="s">
        <v>511</v>
      </c>
      <c r="R3512" t="s">
        <v>512</v>
      </c>
      <c r="S3512" t="s">
        <v>123</v>
      </c>
      <c r="T3512">
        <v>259.51</v>
      </c>
      <c r="U3512">
        <v>254.14</v>
      </c>
      <c r="V3512">
        <f t="shared" si="108"/>
        <v>256.82499999999999</v>
      </c>
      <c r="W3512">
        <f t="shared" si="109"/>
        <v>5.3700000000000045</v>
      </c>
      <c r="X3512">
        <v>53.014999000000003</v>
      </c>
      <c r="Y3512">
        <v>53.294998</v>
      </c>
      <c r="Z3512" t="s">
        <v>1365</v>
      </c>
      <c r="AA3512" t="s">
        <v>239</v>
      </c>
      <c r="AB3512" t="s">
        <v>638</v>
      </c>
      <c r="AC3512" t="s">
        <v>2067</v>
      </c>
      <c r="AD3512" t="s">
        <v>2068</v>
      </c>
      <c r="AH3512" t="s">
        <v>72</v>
      </c>
      <c r="AI3512" t="s">
        <v>2069</v>
      </c>
      <c r="AJ3512">
        <v>2002</v>
      </c>
      <c r="AK3512" t="s">
        <v>2070</v>
      </c>
      <c r="AN3512" t="s">
        <v>192</v>
      </c>
      <c r="AO3512" t="s">
        <v>77</v>
      </c>
      <c r="AP3512" t="s">
        <v>115</v>
      </c>
      <c r="AQ3512" t="s">
        <v>2071</v>
      </c>
      <c r="AR3512" t="s">
        <v>80</v>
      </c>
      <c r="AS3512">
        <v>302</v>
      </c>
      <c r="AT3512" t="s">
        <v>81</v>
      </c>
      <c r="AU3512">
        <v>55.84</v>
      </c>
      <c r="AV3512">
        <v>34.799999999999997</v>
      </c>
      <c r="AW3512" t="s">
        <v>82</v>
      </c>
      <c r="AX3512">
        <v>301</v>
      </c>
      <c r="AY3512" t="s">
        <v>81</v>
      </c>
      <c r="AZ3512">
        <v>46.8</v>
      </c>
      <c r="BA3512">
        <v>29.79</v>
      </c>
      <c r="BB3512" t="s">
        <v>83</v>
      </c>
    </row>
    <row r="3513" spans="1:54" x14ac:dyDescent="0.4">
      <c r="A3513">
        <v>1382107</v>
      </c>
      <c r="D3513" t="s">
        <v>54</v>
      </c>
      <c r="I3513" t="s">
        <v>57</v>
      </c>
      <c r="K3513" t="s">
        <v>2052</v>
      </c>
      <c r="L3513" t="s">
        <v>2053</v>
      </c>
      <c r="M3513" t="s">
        <v>60</v>
      </c>
      <c r="P3513" t="s">
        <v>511</v>
      </c>
      <c r="R3513" t="s">
        <v>512</v>
      </c>
      <c r="S3513" t="s">
        <v>123</v>
      </c>
      <c r="T3513">
        <v>259.51</v>
      </c>
      <c r="U3513">
        <v>256.8</v>
      </c>
      <c r="V3513">
        <f t="shared" si="108"/>
        <v>258.15499999999997</v>
      </c>
      <c r="W3513">
        <f t="shared" si="109"/>
        <v>2.7099999999999795</v>
      </c>
      <c r="X3513">
        <v>42.092776999999998</v>
      </c>
      <c r="Y3513">
        <v>56.253056000000001</v>
      </c>
      <c r="Z3513" t="s">
        <v>124</v>
      </c>
      <c r="AA3513" t="s">
        <v>239</v>
      </c>
      <c r="AB3513" t="s">
        <v>2054</v>
      </c>
      <c r="AC3513" t="s">
        <v>2055</v>
      </c>
      <c r="AH3513" t="s">
        <v>72</v>
      </c>
      <c r="AI3513" t="s">
        <v>400</v>
      </c>
      <c r="AJ3513">
        <v>2011</v>
      </c>
      <c r="AK3513" t="s">
        <v>4865</v>
      </c>
      <c r="AN3513" t="s">
        <v>114</v>
      </c>
      <c r="AO3513" t="s">
        <v>77</v>
      </c>
      <c r="AP3513" t="s">
        <v>78</v>
      </c>
      <c r="AR3513" t="s">
        <v>80</v>
      </c>
      <c r="AS3513">
        <v>302</v>
      </c>
      <c r="AT3513" t="s">
        <v>81</v>
      </c>
      <c r="AU3513">
        <v>48.12</v>
      </c>
      <c r="AV3513">
        <v>36.24</v>
      </c>
      <c r="AW3513" t="s">
        <v>82</v>
      </c>
      <c r="AX3513">
        <v>301</v>
      </c>
      <c r="AY3513" t="s">
        <v>81</v>
      </c>
      <c r="AZ3513">
        <v>38.6</v>
      </c>
      <c r="BA3513">
        <v>28.78</v>
      </c>
      <c r="BB3513" t="s">
        <v>83</v>
      </c>
    </row>
    <row r="3514" spans="1:54" x14ac:dyDescent="0.4">
      <c r="A3514">
        <v>880946</v>
      </c>
      <c r="D3514" t="s">
        <v>54</v>
      </c>
      <c r="E3514" t="s">
        <v>55</v>
      </c>
      <c r="G3514">
        <v>1</v>
      </c>
      <c r="H3514" t="s">
        <v>56</v>
      </c>
      <c r="I3514" t="s">
        <v>57</v>
      </c>
      <c r="K3514" t="s">
        <v>746</v>
      </c>
      <c r="L3514" t="s">
        <v>1357</v>
      </c>
      <c r="M3514" t="s">
        <v>60</v>
      </c>
      <c r="N3514" t="s">
        <v>119</v>
      </c>
      <c r="O3514" t="s">
        <v>345</v>
      </c>
      <c r="P3514" t="s">
        <v>182</v>
      </c>
      <c r="R3514" t="s">
        <v>183</v>
      </c>
      <c r="S3514" t="s">
        <v>64</v>
      </c>
      <c r="T3514">
        <v>239.7</v>
      </c>
      <c r="U3514">
        <v>237</v>
      </c>
      <c r="V3514">
        <f t="shared" si="108"/>
        <v>238.35</v>
      </c>
      <c r="W3514">
        <f t="shared" si="109"/>
        <v>2.6999999999999886</v>
      </c>
      <c r="X3514">
        <v>104.900002</v>
      </c>
      <c r="Y3514">
        <v>25.083331999999999</v>
      </c>
      <c r="Z3514" t="s">
        <v>520</v>
      </c>
      <c r="AA3514" t="s">
        <v>379</v>
      </c>
      <c r="AB3514" t="s">
        <v>682</v>
      </c>
      <c r="AC3514" t="s">
        <v>3259</v>
      </c>
      <c r="AD3514" t="s">
        <v>3251</v>
      </c>
      <c r="AF3514" t="s">
        <v>3260</v>
      </c>
      <c r="AH3514" t="s">
        <v>72</v>
      </c>
      <c r="AI3514" t="s">
        <v>3261</v>
      </c>
      <c r="AJ3514">
        <v>2010</v>
      </c>
      <c r="AK3514" t="s">
        <v>3262</v>
      </c>
      <c r="AN3514" t="s">
        <v>114</v>
      </c>
      <c r="AO3514" t="s">
        <v>160</v>
      </c>
      <c r="AP3514" t="s">
        <v>115</v>
      </c>
      <c r="AQ3514" t="s">
        <v>3263</v>
      </c>
      <c r="AR3514" t="s">
        <v>80</v>
      </c>
      <c r="AS3514">
        <v>611</v>
      </c>
      <c r="AT3514" t="s">
        <v>81</v>
      </c>
      <c r="AU3514">
        <v>108.63</v>
      </c>
      <c r="AV3514">
        <v>-6.77</v>
      </c>
      <c r="AW3514" t="s">
        <v>82</v>
      </c>
      <c r="AX3514">
        <v>611</v>
      </c>
      <c r="AY3514" t="s">
        <v>81</v>
      </c>
      <c r="AZ3514">
        <v>93.98</v>
      </c>
      <c r="BA3514">
        <v>16.8</v>
      </c>
      <c r="BB3514" t="s">
        <v>83</v>
      </c>
    </row>
    <row r="3515" spans="1:54" x14ac:dyDescent="0.4">
      <c r="A3515">
        <v>892336</v>
      </c>
      <c r="D3515" t="s">
        <v>853</v>
      </c>
      <c r="E3515" t="s">
        <v>55</v>
      </c>
      <c r="F3515" t="s">
        <v>2523</v>
      </c>
      <c r="G3515">
        <v>1</v>
      </c>
      <c r="H3515" t="s">
        <v>56</v>
      </c>
      <c r="I3515" t="s">
        <v>57</v>
      </c>
      <c r="K3515" t="s">
        <v>3362</v>
      </c>
      <c r="L3515" t="s">
        <v>3363</v>
      </c>
      <c r="M3515" t="s">
        <v>223</v>
      </c>
      <c r="P3515" t="s">
        <v>182</v>
      </c>
      <c r="R3515" t="s">
        <v>183</v>
      </c>
      <c r="S3515" t="s">
        <v>64</v>
      </c>
      <c r="T3515">
        <v>239.7</v>
      </c>
      <c r="U3515">
        <v>237</v>
      </c>
      <c r="V3515">
        <f t="shared" si="108"/>
        <v>238.35</v>
      </c>
      <c r="W3515">
        <f t="shared" si="109"/>
        <v>2.6999999999999886</v>
      </c>
      <c r="X3515">
        <v>105.014999</v>
      </c>
      <c r="Y3515">
        <v>25.195</v>
      </c>
      <c r="Z3515" t="s">
        <v>520</v>
      </c>
      <c r="AA3515" t="s">
        <v>379</v>
      </c>
      <c r="AB3515" t="s">
        <v>682</v>
      </c>
      <c r="AD3515" t="s">
        <v>3251</v>
      </c>
      <c r="AH3515" t="s">
        <v>72</v>
      </c>
      <c r="AI3515" t="s">
        <v>683</v>
      </c>
      <c r="AJ3515">
        <v>1958</v>
      </c>
      <c r="AK3515" t="s">
        <v>3364</v>
      </c>
      <c r="AM3515" t="s">
        <v>3365</v>
      </c>
      <c r="AN3515" t="s">
        <v>114</v>
      </c>
      <c r="AO3515">
        <v>3</v>
      </c>
      <c r="AP3515" t="s">
        <v>115</v>
      </c>
      <c r="AQ3515" t="s">
        <v>3366</v>
      </c>
      <c r="AR3515" t="s">
        <v>80</v>
      </c>
      <c r="AS3515">
        <v>611</v>
      </c>
      <c r="AT3515" t="s">
        <v>81</v>
      </c>
      <c r="AU3515">
        <v>108.73</v>
      </c>
      <c r="AV3515">
        <v>-6.66</v>
      </c>
      <c r="AW3515" t="s">
        <v>82</v>
      </c>
      <c r="AX3515">
        <v>611</v>
      </c>
      <c r="AY3515" t="s">
        <v>81</v>
      </c>
      <c r="AZ3515">
        <v>94.02</v>
      </c>
      <c r="BA3515">
        <v>16.95</v>
      </c>
      <c r="BB3515" t="s">
        <v>83</v>
      </c>
    </row>
    <row r="3516" spans="1:54" x14ac:dyDescent="0.4">
      <c r="A3516">
        <v>892336</v>
      </c>
      <c r="D3516" t="s">
        <v>853</v>
      </c>
      <c r="E3516" t="s">
        <v>55</v>
      </c>
      <c r="F3516" t="s">
        <v>2523</v>
      </c>
      <c r="G3516">
        <v>1</v>
      </c>
      <c r="H3516" t="s">
        <v>56</v>
      </c>
      <c r="I3516" t="s">
        <v>57</v>
      </c>
      <c r="K3516" t="s">
        <v>3362</v>
      </c>
      <c r="L3516" t="s">
        <v>3363</v>
      </c>
      <c r="M3516" t="s">
        <v>223</v>
      </c>
      <c r="P3516" t="s">
        <v>182</v>
      </c>
      <c r="R3516" t="s">
        <v>183</v>
      </c>
      <c r="S3516" t="s">
        <v>64</v>
      </c>
      <c r="T3516">
        <v>239.7</v>
      </c>
      <c r="U3516">
        <v>237</v>
      </c>
      <c r="V3516">
        <f t="shared" si="108"/>
        <v>238.35</v>
      </c>
      <c r="W3516">
        <f t="shared" si="109"/>
        <v>2.6999999999999886</v>
      </c>
      <c r="X3516">
        <v>105.014999</v>
      </c>
      <c r="Y3516">
        <v>25.195</v>
      </c>
      <c r="Z3516" t="s">
        <v>520</v>
      </c>
      <c r="AA3516" t="s">
        <v>379</v>
      </c>
      <c r="AB3516" t="s">
        <v>682</v>
      </c>
      <c r="AD3516" t="s">
        <v>3251</v>
      </c>
      <c r="AH3516" t="s">
        <v>72</v>
      </c>
      <c r="AI3516" t="s">
        <v>683</v>
      </c>
      <c r="AJ3516">
        <v>1958</v>
      </c>
      <c r="AK3516" t="s">
        <v>3364</v>
      </c>
      <c r="AM3516" t="s">
        <v>3365</v>
      </c>
      <c r="AN3516" t="s">
        <v>114</v>
      </c>
      <c r="AO3516">
        <v>3</v>
      </c>
      <c r="AP3516" t="s">
        <v>115</v>
      </c>
      <c r="AQ3516" t="s">
        <v>3366</v>
      </c>
      <c r="AR3516" t="s">
        <v>80</v>
      </c>
      <c r="AS3516">
        <v>611</v>
      </c>
      <c r="AT3516" t="s">
        <v>81</v>
      </c>
      <c r="AU3516">
        <v>108.73</v>
      </c>
      <c r="AV3516">
        <v>-6.66</v>
      </c>
      <c r="AW3516" t="s">
        <v>82</v>
      </c>
      <c r="AX3516">
        <v>611</v>
      </c>
      <c r="AY3516" t="s">
        <v>81</v>
      </c>
      <c r="AZ3516">
        <v>94.02</v>
      </c>
      <c r="BA3516">
        <v>16.95</v>
      </c>
      <c r="BB3516" t="s">
        <v>83</v>
      </c>
    </row>
    <row r="3517" spans="1:54" x14ac:dyDescent="0.4">
      <c r="A3517">
        <v>892336</v>
      </c>
      <c r="D3517" t="s">
        <v>853</v>
      </c>
      <c r="E3517" t="s">
        <v>55</v>
      </c>
      <c r="F3517" t="s">
        <v>2523</v>
      </c>
      <c r="G3517">
        <v>1</v>
      </c>
      <c r="H3517" t="s">
        <v>56</v>
      </c>
      <c r="I3517" t="s">
        <v>57</v>
      </c>
      <c r="K3517" t="s">
        <v>3362</v>
      </c>
      <c r="L3517" t="s">
        <v>3363</v>
      </c>
      <c r="M3517" t="s">
        <v>223</v>
      </c>
      <c r="P3517" t="s">
        <v>182</v>
      </c>
      <c r="R3517" t="s">
        <v>183</v>
      </c>
      <c r="S3517" t="s">
        <v>64</v>
      </c>
      <c r="T3517">
        <v>239.7</v>
      </c>
      <c r="U3517">
        <v>237</v>
      </c>
      <c r="V3517">
        <f t="shared" si="108"/>
        <v>238.35</v>
      </c>
      <c r="W3517">
        <f t="shared" si="109"/>
        <v>2.6999999999999886</v>
      </c>
      <c r="X3517">
        <v>105.014999</v>
      </c>
      <c r="Y3517">
        <v>25.195</v>
      </c>
      <c r="Z3517" t="s">
        <v>520</v>
      </c>
      <c r="AA3517" t="s">
        <v>379</v>
      </c>
      <c r="AB3517" t="s">
        <v>682</v>
      </c>
      <c r="AD3517" t="s">
        <v>3251</v>
      </c>
      <c r="AH3517" t="s">
        <v>72</v>
      </c>
      <c r="AI3517" t="s">
        <v>683</v>
      </c>
      <c r="AJ3517">
        <v>1958</v>
      </c>
      <c r="AK3517" t="s">
        <v>3364</v>
      </c>
      <c r="AM3517" t="s">
        <v>3365</v>
      </c>
      <c r="AN3517" t="s">
        <v>114</v>
      </c>
      <c r="AO3517">
        <v>3</v>
      </c>
      <c r="AP3517" t="s">
        <v>115</v>
      </c>
      <c r="AQ3517" t="s">
        <v>3366</v>
      </c>
      <c r="AR3517" t="s">
        <v>80</v>
      </c>
      <c r="AS3517">
        <v>611</v>
      </c>
      <c r="AT3517" t="s">
        <v>81</v>
      </c>
      <c r="AU3517">
        <v>108.73</v>
      </c>
      <c r="AV3517">
        <v>-6.66</v>
      </c>
      <c r="AW3517" t="s">
        <v>82</v>
      </c>
      <c r="AX3517">
        <v>611</v>
      </c>
      <c r="AY3517" t="s">
        <v>81</v>
      </c>
      <c r="AZ3517">
        <v>94.02</v>
      </c>
      <c r="BA3517">
        <v>16.95</v>
      </c>
      <c r="BB3517" t="s">
        <v>83</v>
      </c>
    </row>
    <row r="3518" spans="1:54" x14ac:dyDescent="0.4">
      <c r="A3518">
        <v>892336</v>
      </c>
      <c r="D3518" t="s">
        <v>853</v>
      </c>
      <c r="E3518" t="s">
        <v>55</v>
      </c>
      <c r="F3518" t="s">
        <v>2523</v>
      </c>
      <c r="G3518">
        <v>1</v>
      </c>
      <c r="H3518" t="s">
        <v>56</v>
      </c>
      <c r="I3518" t="s">
        <v>57</v>
      </c>
      <c r="K3518" t="s">
        <v>3362</v>
      </c>
      <c r="L3518" t="s">
        <v>3363</v>
      </c>
      <c r="M3518" t="s">
        <v>223</v>
      </c>
      <c r="P3518" t="s">
        <v>182</v>
      </c>
      <c r="R3518" t="s">
        <v>183</v>
      </c>
      <c r="S3518" t="s">
        <v>64</v>
      </c>
      <c r="T3518">
        <v>239.7</v>
      </c>
      <c r="U3518">
        <v>237</v>
      </c>
      <c r="V3518">
        <f t="shared" si="108"/>
        <v>238.35</v>
      </c>
      <c r="W3518">
        <f t="shared" si="109"/>
        <v>2.6999999999999886</v>
      </c>
      <c r="X3518">
        <v>105.014999</v>
      </c>
      <c r="Y3518">
        <v>25.195</v>
      </c>
      <c r="Z3518" t="s">
        <v>520</v>
      </c>
      <c r="AA3518" t="s">
        <v>379</v>
      </c>
      <c r="AB3518" t="s">
        <v>682</v>
      </c>
      <c r="AD3518" t="s">
        <v>3251</v>
      </c>
      <c r="AH3518" t="s">
        <v>72</v>
      </c>
      <c r="AI3518" t="s">
        <v>683</v>
      </c>
      <c r="AJ3518">
        <v>1958</v>
      </c>
      <c r="AK3518" t="s">
        <v>3364</v>
      </c>
      <c r="AM3518" t="s">
        <v>3365</v>
      </c>
      <c r="AN3518" t="s">
        <v>114</v>
      </c>
      <c r="AO3518">
        <v>3</v>
      </c>
      <c r="AP3518" t="s">
        <v>115</v>
      </c>
      <c r="AQ3518" t="s">
        <v>3366</v>
      </c>
      <c r="AR3518" t="s">
        <v>80</v>
      </c>
      <c r="AS3518">
        <v>611</v>
      </c>
      <c r="AT3518" t="s">
        <v>81</v>
      </c>
      <c r="AU3518">
        <v>108.73</v>
      </c>
      <c r="AV3518">
        <v>-6.66</v>
      </c>
      <c r="AW3518" t="s">
        <v>82</v>
      </c>
      <c r="AX3518">
        <v>611</v>
      </c>
      <c r="AY3518" t="s">
        <v>81</v>
      </c>
      <c r="AZ3518">
        <v>94.02</v>
      </c>
      <c r="BA3518">
        <v>16.95</v>
      </c>
      <c r="BB3518" t="s">
        <v>83</v>
      </c>
    </row>
    <row r="3519" spans="1:54" x14ac:dyDescent="0.4">
      <c r="A3519">
        <v>892336</v>
      </c>
      <c r="D3519" t="s">
        <v>853</v>
      </c>
      <c r="E3519" t="s">
        <v>55</v>
      </c>
      <c r="F3519" t="s">
        <v>2523</v>
      </c>
      <c r="G3519">
        <v>1</v>
      </c>
      <c r="H3519" t="s">
        <v>56</v>
      </c>
      <c r="I3519" t="s">
        <v>57</v>
      </c>
      <c r="K3519" t="s">
        <v>3362</v>
      </c>
      <c r="L3519" t="s">
        <v>3363</v>
      </c>
      <c r="M3519" t="s">
        <v>223</v>
      </c>
      <c r="P3519" t="s">
        <v>182</v>
      </c>
      <c r="R3519" t="s">
        <v>183</v>
      </c>
      <c r="S3519" t="s">
        <v>64</v>
      </c>
      <c r="T3519">
        <v>239.7</v>
      </c>
      <c r="U3519">
        <v>237</v>
      </c>
      <c r="V3519">
        <f t="shared" si="108"/>
        <v>238.35</v>
      </c>
      <c r="W3519">
        <f t="shared" si="109"/>
        <v>2.6999999999999886</v>
      </c>
      <c r="X3519">
        <v>105.014999</v>
      </c>
      <c r="Y3519">
        <v>25.195</v>
      </c>
      <c r="Z3519" t="s">
        <v>520</v>
      </c>
      <c r="AA3519" t="s">
        <v>379</v>
      </c>
      <c r="AB3519" t="s">
        <v>682</v>
      </c>
      <c r="AD3519" t="s">
        <v>3251</v>
      </c>
      <c r="AH3519" t="s">
        <v>72</v>
      </c>
      <c r="AI3519" t="s">
        <v>683</v>
      </c>
      <c r="AJ3519">
        <v>1958</v>
      </c>
      <c r="AK3519" t="s">
        <v>3364</v>
      </c>
      <c r="AM3519" t="s">
        <v>3365</v>
      </c>
      <c r="AN3519" t="s">
        <v>114</v>
      </c>
      <c r="AO3519">
        <v>3</v>
      </c>
      <c r="AP3519" t="s">
        <v>115</v>
      </c>
      <c r="AQ3519" t="s">
        <v>3366</v>
      </c>
      <c r="AR3519" t="s">
        <v>80</v>
      </c>
      <c r="AS3519">
        <v>611</v>
      </c>
      <c r="AT3519" t="s">
        <v>81</v>
      </c>
      <c r="AU3519">
        <v>108.73</v>
      </c>
      <c r="AV3519">
        <v>-6.66</v>
      </c>
      <c r="AW3519" t="s">
        <v>82</v>
      </c>
      <c r="AX3519">
        <v>611</v>
      </c>
      <c r="AY3519" t="s">
        <v>81</v>
      </c>
      <c r="AZ3519">
        <v>94.02</v>
      </c>
      <c r="BA3519">
        <v>16.95</v>
      </c>
      <c r="BB3519" t="s">
        <v>83</v>
      </c>
    </row>
    <row r="3520" spans="1:54" x14ac:dyDescent="0.4">
      <c r="A3520">
        <v>892336</v>
      </c>
      <c r="D3520" t="s">
        <v>853</v>
      </c>
      <c r="E3520" t="s">
        <v>55</v>
      </c>
      <c r="F3520" t="s">
        <v>2523</v>
      </c>
      <c r="G3520">
        <v>1</v>
      </c>
      <c r="H3520" t="s">
        <v>56</v>
      </c>
      <c r="I3520" t="s">
        <v>57</v>
      </c>
      <c r="K3520" t="s">
        <v>3362</v>
      </c>
      <c r="L3520" t="s">
        <v>3363</v>
      </c>
      <c r="M3520" t="s">
        <v>223</v>
      </c>
      <c r="P3520" t="s">
        <v>182</v>
      </c>
      <c r="R3520" t="s">
        <v>183</v>
      </c>
      <c r="S3520" t="s">
        <v>64</v>
      </c>
      <c r="T3520">
        <v>239.7</v>
      </c>
      <c r="U3520">
        <v>237</v>
      </c>
      <c r="V3520">
        <f t="shared" si="108"/>
        <v>238.35</v>
      </c>
      <c r="W3520">
        <f t="shared" si="109"/>
        <v>2.6999999999999886</v>
      </c>
      <c r="X3520">
        <v>105.014999</v>
      </c>
      <c r="Y3520">
        <v>25.195</v>
      </c>
      <c r="Z3520" t="s">
        <v>520</v>
      </c>
      <c r="AA3520" t="s">
        <v>379</v>
      </c>
      <c r="AB3520" t="s">
        <v>682</v>
      </c>
      <c r="AD3520" t="s">
        <v>3251</v>
      </c>
      <c r="AH3520" t="s">
        <v>72</v>
      </c>
      <c r="AI3520" t="s">
        <v>683</v>
      </c>
      <c r="AJ3520">
        <v>1958</v>
      </c>
      <c r="AK3520" t="s">
        <v>3364</v>
      </c>
      <c r="AM3520" t="s">
        <v>3365</v>
      </c>
      <c r="AN3520" t="s">
        <v>114</v>
      </c>
      <c r="AO3520">
        <v>3</v>
      </c>
      <c r="AP3520" t="s">
        <v>115</v>
      </c>
      <c r="AQ3520" t="s">
        <v>3366</v>
      </c>
      <c r="AR3520" t="s">
        <v>80</v>
      </c>
      <c r="AS3520">
        <v>611</v>
      </c>
      <c r="AT3520" t="s">
        <v>81</v>
      </c>
      <c r="AU3520">
        <v>108.73</v>
      </c>
      <c r="AV3520">
        <v>-6.66</v>
      </c>
      <c r="AW3520" t="s">
        <v>82</v>
      </c>
      <c r="AX3520">
        <v>611</v>
      </c>
      <c r="AY3520" t="s">
        <v>81</v>
      </c>
      <c r="AZ3520">
        <v>94.02</v>
      </c>
      <c r="BA3520">
        <v>16.95</v>
      </c>
      <c r="BB3520" t="s">
        <v>83</v>
      </c>
    </row>
    <row r="3521" spans="1:54" x14ac:dyDescent="0.4">
      <c r="A3521">
        <v>892336</v>
      </c>
      <c r="D3521" t="s">
        <v>853</v>
      </c>
      <c r="E3521" t="s">
        <v>55</v>
      </c>
      <c r="F3521" t="s">
        <v>2523</v>
      </c>
      <c r="G3521">
        <v>1</v>
      </c>
      <c r="H3521" t="s">
        <v>56</v>
      </c>
      <c r="I3521" t="s">
        <v>57</v>
      </c>
      <c r="K3521" t="s">
        <v>3362</v>
      </c>
      <c r="L3521" t="s">
        <v>3363</v>
      </c>
      <c r="M3521" t="s">
        <v>223</v>
      </c>
      <c r="P3521" t="s">
        <v>182</v>
      </c>
      <c r="R3521" t="s">
        <v>183</v>
      </c>
      <c r="S3521" t="s">
        <v>64</v>
      </c>
      <c r="T3521">
        <v>239.7</v>
      </c>
      <c r="U3521">
        <v>237</v>
      </c>
      <c r="V3521">
        <f t="shared" si="108"/>
        <v>238.35</v>
      </c>
      <c r="W3521">
        <f t="shared" si="109"/>
        <v>2.6999999999999886</v>
      </c>
      <c r="X3521">
        <v>105.014999</v>
      </c>
      <c r="Y3521">
        <v>25.195</v>
      </c>
      <c r="Z3521" t="s">
        <v>520</v>
      </c>
      <c r="AA3521" t="s">
        <v>379</v>
      </c>
      <c r="AB3521" t="s">
        <v>682</v>
      </c>
      <c r="AD3521" t="s">
        <v>3251</v>
      </c>
      <c r="AH3521" t="s">
        <v>72</v>
      </c>
      <c r="AI3521" t="s">
        <v>683</v>
      </c>
      <c r="AJ3521">
        <v>1958</v>
      </c>
      <c r="AK3521" t="s">
        <v>3364</v>
      </c>
      <c r="AM3521" t="s">
        <v>3365</v>
      </c>
      <c r="AN3521" t="s">
        <v>114</v>
      </c>
      <c r="AO3521">
        <v>3</v>
      </c>
      <c r="AP3521" t="s">
        <v>115</v>
      </c>
      <c r="AQ3521" t="s">
        <v>3366</v>
      </c>
      <c r="AR3521" t="s">
        <v>80</v>
      </c>
      <c r="AS3521">
        <v>611</v>
      </c>
      <c r="AT3521" t="s">
        <v>81</v>
      </c>
      <c r="AU3521">
        <v>108.73</v>
      </c>
      <c r="AV3521">
        <v>-6.66</v>
      </c>
      <c r="AW3521" t="s">
        <v>82</v>
      </c>
      <c r="AX3521">
        <v>611</v>
      </c>
      <c r="AY3521" t="s">
        <v>81</v>
      </c>
      <c r="AZ3521">
        <v>94.02</v>
      </c>
      <c r="BA3521">
        <v>16.95</v>
      </c>
      <c r="BB3521" t="s">
        <v>83</v>
      </c>
    </row>
    <row r="3522" spans="1:54" x14ac:dyDescent="0.4">
      <c r="A3522">
        <v>892336</v>
      </c>
      <c r="D3522" t="s">
        <v>853</v>
      </c>
      <c r="E3522" t="s">
        <v>55</v>
      </c>
      <c r="F3522" t="s">
        <v>2523</v>
      </c>
      <c r="G3522">
        <v>1</v>
      </c>
      <c r="H3522" t="s">
        <v>56</v>
      </c>
      <c r="I3522" t="s">
        <v>57</v>
      </c>
      <c r="K3522" t="s">
        <v>3362</v>
      </c>
      <c r="L3522" t="s">
        <v>3363</v>
      </c>
      <c r="M3522" t="s">
        <v>223</v>
      </c>
      <c r="P3522" t="s">
        <v>182</v>
      </c>
      <c r="R3522" t="s">
        <v>183</v>
      </c>
      <c r="S3522" t="s">
        <v>64</v>
      </c>
      <c r="T3522">
        <v>239.7</v>
      </c>
      <c r="U3522">
        <v>237</v>
      </c>
      <c r="V3522">
        <f t="shared" si="108"/>
        <v>238.35</v>
      </c>
      <c r="W3522">
        <f t="shared" si="109"/>
        <v>2.6999999999999886</v>
      </c>
      <c r="X3522">
        <v>105.014999</v>
      </c>
      <c r="Y3522">
        <v>25.195</v>
      </c>
      <c r="Z3522" t="s">
        <v>520</v>
      </c>
      <c r="AA3522" t="s">
        <v>379</v>
      </c>
      <c r="AB3522" t="s">
        <v>682</v>
      </c>
      <c r="AD3522" t="s">
        <v>3251</v>
      </c>
      <c r="AH3522" t="s">
        <v>72</v>
      </c>
      <c r="AI3522" t="s">
        <v>683</v>
      </c>
      <c r="AJ3522">
        <v>1958</v>
      </c>
      <c r="AK3522" t="s">
        <v>3364</v>
      </c>
      <c r="AM3522" t="s">
        <v>3365</v>
      </c>
      <c r="AN3522" t="s">
        <v>114</v>
      </c>
      <c r="AO3522">
        <v>3</v>
      </c>
      <c r="AP3522" t="s">
        <v>115</v>
      </c>
      <c r="AQ3522" t="s">
        <v>3366</v>
      </c>
      <c r="AR3522" t="s">
        <v>80</v>
      </c>
      <c r="AS3522">
        <v>611</v>
      </c>
      <c r="AT3522" t="s">
        <v>81</v>
      </c>
      <c r="AU3522">
        <v>108.73</v>
      </c>
      <c r="AV3522">
        <v>-6.66</v>
      </c>
      <c r="AW3522" t="s">
        <v>82</v>
      </c>
      <c r="AX3522">
        <v>611</v>
      </c>
      <c r="AY3522" t="s">
        <v>81</v>
      </c>
      <c r="AZ3522">
        <v>94.02</v>
      </c>
      <c r="BA3522">
        <v>16.95</v>
      </c>
      <c r="BB3522" t="s">
        <v>83</v>
      </c>
    </row>
    <row r="3523" spans="1:54" x14ac:dyDescent="0.4">
      <c r="A3523">
        <v>892336</v>
      </c>
      <c r="D3523" t="s">
        <v>853</v>
      </c>
      <c r="E3523" t="s">
        <v>55</v>
      </c>
      <c r="F3523" t="s">
        <v>2523</v>
      </c>
      <c r="G3523">
        <v>1</v>
      </c>
      <c r="H3523" t="s">
        <v>56</v>
      </c>
      <c r="I3523" t="s">
        <v>57</v>
      </c>
      <c r="K3523" t="s">
        <v>3362</v>
      </c>
      <c r="L3523" t="s">
        <v>3363</v>
      </c>
      <c r="M3523" t="s">
        <v>223</v>
      </c>
      <c r="P3523" t="s">
        <v>182</v>
      </c>
      <c r="R3523" t="s">
        <v>183</v>
      </c>
      <c r="S3523" t="s">
        <v>64</v>
      </c>
      <c r="T3523">
        <v>239.7</v>
      </c>
      <c r="U3523">
        <v>237</v>
      </c>
      <c r="V3523">
        <f t="shared" ref="V3523:V3586" si="110">(T3523+U3523)/2</f>
        <v>238.35</v>
      </c>
      <c r="W3523">
        <f t="shared" ref="W3523:W3586" si="111">T3523-U3523</f>
        <v>2.6999999999999886</v>
      </c>
      <c r="X3523">
        <v>105.014999</v>
      </c>
      <c r="Y3523">
        <v>25.195</v>
      </c>
      <c r="Z3523" t="s">
        <v>520</v>
      </c>
      <c r="AA3523" t="s">
        <v>379</v>
      </c>
      <c r="AB3523" t="s">
        <v>682</v>
      </c>
      <c r="AD3523" t="s">
        <v>3251</v>
      </c>
      <c r="AH3523" t="s">
        <v>72</v>
      </c>
      <c r="AI3523" t="s">
        <v>683</v>
      </c>
      <c r="AJ3523">
        <v>1958</v>
      </c>
      <c r="AK3523" t="s">
        <v>3364</v>
      </c>
      <c r="AM3523" t="s">
        <v>3365</v>
      </c>
      <c r="AN3523" t="s">
        <v>114</v>
      </c>
      <c r="AO3523">
        <v>3</v>
      </c>
      <c r="AP3523" t="s">
        <v>115</v>
      </c>
      <c r="AQ3523" t="s">
        <v>3366</v>
      </c>
      <c r="AR3523" t="s">
        <v>80</v>
      </c>
      <c r="AS3523">
        <v>611</v>
      </c>
      <c r="AT3523" t="s">
        <v>81</v>
      </c>
      <c r="AU3523">
        <v>108.73</v>
      </c>
      <c r="AV3523">
        <v>-6.66</v>
      </c>
      <c r="AW3523" t="s">
        <v>82</v>
      </c>
      <c r="AX3523">
        <v>611</v>
      </c>
      <c r="AY3523" t="s">
        <v>81</v>
      </c>
      <c r="AZ3523">
        <v>94.02</v>
      </c>
      <c r="BA3523">
        <v>16.95</v>
      </c>
      <c r="BB3523" t="s">
        <v>83</v>
      </c>
    </row>
    <row r="3524" spans="1:54" x14ac:dyDescent="0.4">
      <c r="A3524">
        <v>892336</v>
      </c>
      <c r="D3524" t="s">
        <v>853</v>
      </c>
      <c r="E3524" t="s">
        <v>55</v>
      </c>
      <c r="F3524" t="s">
        <v>2523</v>
      </c>
      <c r="G3524">
        <v>1</v>
      </c>
      <c r="H3524" t="s">
        <v>56</v>
      </c>
      <c r="I3524" t="s">
        <v>57</v>
      </c>
      <c r="K3524" t="s">
        <v>3362</v>
      </c>
      <c r="L3524" t="s">
        <v>3363</v>
      </c>
      <c r="M3524" t="s">
        <v>223</v>
      </c>
      <c r="P3524" t="s">
        <v>182</v>
      </c>
      <c r="R3524" t="s">
        <v>183</v>
      </c>
      <c r="S3524" t="s">
        <v>64</v>
      </c>
      <c r="T3524">
        <v>239.7</v>
      </c>
      <c r="U3524">
        <v>237</v>
      </c>
      <c r="V3524">
        <f t="shared" si="110"/>
        <v>238.35</v>
      </c>
      <c r="W3524">
        <f t="shared" si="111"/>
        <v>2.6999999999999886</v>
      </c>
      <c r="X3524">
        <v>105.014999</v>
      </c>
      <c r="Y3524">
        <v>25.195</v>
      </c>
      <c r="Z3524" t="s">
        <v>520</v>
      </c>
      <c r="AA3524" t="s">
        <v>379</v>
      </c>
      <c r="AB3524" t="s">
        <v>682</v>
      </c>
      <c r="AD3524" t="s">
        <v>3251</v>
      </c>
      <c r="AH3524" t="s">
        <v>72</v>
      </c>
      <c r="AI3524" t="s">
        <v>683</v>
      </c>
      <c r="AJ3524">
        <v>1958</v>
      </c>
      <c r="AK3524" t="s">
        <v>3364</v>
      </c>
      <c r="AM3524" t="s">
        <v>3365</v>
      </c>
      <c r="AN3524" t="s">
        <v>114</v>
      </c>
      <c r="AO3524">
        <v>3</v>
      </c>
      <c r="AP3524" t="s">
        <v>115</v>
      </c>
      <c r="AQ3524" t="s">
        <v>3366</v>
      </c>
      <c r="AR3524" t="s">
        <v>80</v>
      </c>
      <c r="AS3524">
        <v>611</v>
      </c>
      <c r="AT3524" t="s">
        <v>81</v>
      </c>
      <c r="AU3524">
        <v>108.73</v>
      </c>
      <c r="AV3524">
        <v>-6.66</v>
      </c>
      <c r="AW3524" t="s">
        <v>82</v>
      </c>
      <c r="AX3524">
        <v>611</v>
      </c>
      <c r="AY3524" t="s">
        <v>81</v>
      </c>
      <c r="AZ3524">
        <v>94.02</v>
      </c>
      <c r="BA3524">
        <v>16.95</v>
      </c>
      <c r="BB3524" t="s">
        <v>83</v>
      </c>
    </row>
    <row r="3525" spans="1:54" x14ac:dyDescent="0.4">
      <c r="A3525">
        <v>892336</v>
      </c>
      <c r="D3525" t="s">
        <v>853</v>
      </c>
      <c r="E3525" t="s">
        <v>55</v>
      </c>
      <c r="F3525" t="s">
        <v>2523</v>
      </c>
      <c r="G3525">
        <v>1</v>
      </c>
      <c r="H3525" t="s">
        <v>56</v>
      </c>
      <c r="I3525" t="s">
        <v>57</v>
      </c>
      <c r="K3525" t="s">
        <v>3362</v>
      </c>
      <c r="L3525" t="s">
        <v>3363</v>
      </c>
      <c r="M3525" t="s">
        <v>223</v>
      </c>
      <c r="P3525" t="s">
        <v>182</v>
      </c>
      <c r="R3525" t="s">
        <v>183</v>
      </c>
      <c r="S3525" t="s">
        <v>64</v>
      </c>
      <c r="T3525">
        <v>239.7</v>
      </c>
      <c r="U3525">
        <v>237</v>
      </c>
      <c r="V3525">
        <f t="shared" si="110"/>
        <v>238.35</v>
      </c>
      <c r="W3525">
        <f t="shared" si="111"/>
        <v>2.6999999999999886</v>
      </c>
      <c r="X3525">
        <v>105.014999</v>
      </c>
      <c r="Y3525">
        <v>25.195</v>
      </c>
      <c r="Z3525" t="s">
        <v>520</v>
      </c>
      <c r="AA3525" t="s">
        <v>379</v>
      </c>
      <c r="AB3525" t="s">
        <v>682</v>
      </c>
      <c r="AD3525" t="s">
        <v>3251</v>
      </c>
      <c r="AH3525" t="s">
        <v>72</v>
      </c>
      <c r="AI3525" t="s">
        <v>683</v>
      </c>
      <c r="AJ3525">
        <v>1958</v>
      </c>
      <c r="AK3525" t="s">
        <v>3364</v>
      </c>
      <c r="AM3525" t="s">
        <v>3365</v>
      </c>
      <c r="AN3525" t="s">
        <v>114</v>
      </c>
      <c r="AO3525">
        <v>3</v>
      </c>
      <c r="AP3525" t="s">
        <v>115</v>
      </c>
      <c r="AQ3525" t="s">
        <v>3366</v>
      </c>
      <c r="AR3525" t="s">
        <v>80</v>
      </c>
      <c r="AS3525">
        <v>611</v>
      </c>
      <c r="AT3525" t="s">
        <v>81</v>
      </c>
      <c r="AU3525">
        <v>108.73</v>
      </c>
      <c r="AV3525">
        <v>-6.66</v>
      </c>
      <c r="AW3525" t="s">
        <v>82</v>
      </c>
      <c r="AX3525">
        <v>611</v>
      </c>
      <c r="AY3525" t="s">
        <v>81</v>
      </c>
      <c r="AZ3525">
        <v>94.02</v>
      </c>
      <c r="BA3525">
        <v>16.95</v>
      </c>
      <c r="BB3525" t="s">
        <v>83</v>
      </c>
    </row>
    <row r="3526" spans="1:54" x14ac:dyDescent="0.4">
      <c r="A3526">
        <v>892336</v>
      </c>
      <c r="D3526" t="s">
        <v>853</v>
      </c>
      <c r="E3526" t="s">
        <v>55</v>
      </c>
      <c r="F3526" t="s">
        <v>2523</v>
      </c>
      <c r="G3526">
        <v>1</v>
      </c>
      <c r="H3526" t="s">
        <v>56</v>
      </c>
      <c r="I3526" t="s">
        <v>57</v>
      </c>
      <c r="K3526" t="s">
        <v>3362</v>
      </c>
      <c r="L3526" t="s">
        <v>3363</v>
      </c>
      <c r="M3526" t="s">
        <v>223</v>
      </c>
      <c r="P3526" t="s">
        <v>182</v>
      </c>
      <c r="R3526" t="s">
        <v>183</v>
      </c>
      <c r="S3526" t="s">
        <v>64</v>
      </c>
      <c r="T3526">
        <v>239.7</v>
      </c>
      <c r="U3526">
        <v>237</v>
      </c>
      <c r="V3526">
        <f t="shared" si="110"/>
        <v>238.35</v>
      </c>
      <c r="W3526">
        <f t="shared" si="111"/>
        <v>2.6999999999999886</v>
      </c>
      <c r="X3526">
        <v>105.014999</v>
      </c>
      <c r="Y3526">
        <v>25.195</v>
      </c>
      <c r="Z3526" t="s">
        <v>520</v>
      </c>
      <c r="AA3526" t="s">
        <v>379</v>
      </c>
      <c r="AB3526" t="s">
        <v>682</v>
      </c>
      <c r="AD3526" t="s">
        <v>3251</v>
      </c>
      <c r="AH3526" t="s">
        <v>72</v>
      </c>
      <c r="AI3526" t="s">
        <v>683</v>
      </c>
      <c r="AJ3526">
        <v>1958</v>
      </c>
      <c r="AK3526" t="s">
        <v>3364</v>
      </c>
      <c r="AM3526" t="s">
        <v>3365</v>
      </c>
      <c r="AN3526" t="s">
        <v>114</v>
      </c>
      <c r="AO3526">
        <v>3</v>
      </c>
      <c r="AP3526" t="s">
        <v>115</v>
      </c>
      <c r="AQ3526" t="s">
        <v>3366</v>
      </c>
      <c r="AR3526" t="s">
        <v>80</v>
      </c>
      <c r="AS3526">
        <v>611</v>
      </c>
      <c r="AT3526" t="s">
        <v>81</v>
      </c>
      <c r="AU3526">
        <v>108.73</v>
      </c>
      <c r="AV3526">
        <v>-6.66</v>
      </c>
      <c r="AW3526" t="s">
        <v>82</v>
      </c>
      <c r="AX3526">
        <v>611</v>
      </c>
      <c r="AY3526" t="s">
        <v>81</v>
      </c>
      <c r="AZ3526">
        <v>94.02</v>
      </c>
      <c r="BA3526">
        <v>16.95</v>
      </c>
      <c r="BB3526" t="s">
        <v>83</v>
      </c>
    </row>
    <row r="3527" spans="1:54" x14ac:dyDescent="0.4">
      <c r="A3527">
        <v>892336</v>
      </c>
      <c r="D3527" t="s">
        <v>853</v>
      </c>
      <c r="E3527" t="s">
        <v>55</v>
      </c>
      <c r="F3527" t="s">
        <v>2523</v>
      </c>
      <c r="G3527">
        <v>1</v>
      </c>
      <c r="H3527" t="s">
        <v>56</v>
      </c>
      <c r="I3527" t="s">
        <v>57</v>
      </c>
      <c r="K3527" t="s">
        <v>3362</v>
      </c>
      <c r="L3527" t="s">
        <v>3363</v>
      </c>
      <c r="M3527" t="s">
        <v>223</v>
      </c>
      <c r="P3527" t="s">
        <v>182</v>
      </c>
      <c r="R3527" t="s">
        <v>183</v>
      </c>
      <c r="S3527" t="s">
        <v>64</v>
      </c>
      <c r="T3527">
        <v>239.7</v>
      </c>
      <c r="U3527">
        <v>237</v>
      </c>
      <c r="V3527">
        <f t="shared" si="110"/>
        <v>238.35</v>
      </c>
      <c r="W3527">
        <f t="shared" si="111"/>
        <v>2.6999999999999886</v>
      </c>
      <c r="X3527">
        <v>105.014999</v>
      </c>
      <c r="Y3527">
        <v>25.195</v>
      </c>
      <c r="Z3527" t="s">
        <v>520</v>
      </c>
      <c r="AA3527" t="s">
        <v>379</v>
      </c>
      <c r="AB3527" t="s">
        <v>682</v>
      </c>
      <c r="AD3527" t="s">
        <v>3251</v>
      </c>
      <c r="AH3527" t="s">
        <v>72</v>
      </c>
      <c r="AI3527" t="s">
        <v>683</v>
      </c>
      <c r="AJ3527">
        <v>1958</v>
      </c>
      <c r="AK3527" t="s">
        <v>3364</v>
      </c>
      <c r="AM3527" t="s">
        <v>3365</v>
      </c>
      <c r="AN3527" t="s">
        <v>114</v>
      </c>
      <c r="AO3527">
        <v>3</v>
      </c>
      <c r="AP3527" t="s">
        <v>115</v>
      </c>
      <c r="AQ3527" t="s">
        <v>3366</v>
      </c>
      <c r="AR3527" t="s">
        <v>80</v>
      </c>
      <c r="AS3527">
        <v>611</v>
      </c>
      <c r="AT3527" t="s">
        <v>81</v>
      </c>
      <c r="AU3527">
        <v>108.73</v>
      </c>
      <c r="AV3527">
        <v>-6.66</v>
      </c>
      <c r="AW3527" t="s">
        <v>82</v>
      </c>
      <c r="AX3527">
        <v>611</v>
      </c>
      <c r="AY3527" t="s">
        <v>81</v>
      </c>
      <c r="AZ3527">
        <v>94.02</v>
      </c>
      <c r="BA3527">
        <v>16.95</v>
      </c>
      <c r="BB3527" t="s">
        <v>83</v>
      </c>
    </row>
    <row r="3528" spans="1:54" x14ac:dyDescent="0.4">
      <c r="A3528">
        <v>892336</v>
      </c>
      <c r="D3528" t="s">
        <v>853</v>
      </c>
      <c r="E3528" t="s">
        <v>55</v>
      </c>
      <c r="F3528" t="s">
        <v>2523</v>
      </c>
      <c r="G3528">
        <v>1</v>
      </c>
      <c r="H3528" t="s">
        <v>56</v>
      </c>
      <c r="I3528" t="s">
        <v>57</v>
      </c>
      <c r="K3528" t="s">
        <v>3362</v>
      </c>
      <c r="L3528" t="s">
        <v>3363</v>
      </c>
      <c r="M3528" t="s">
        <v>223</v>
      </c>
      <c r="P3528" t="s">
        <v>182</v>
      </c>
      <c r="R3528" t="s">
        <v>183</v>
      </c>
      <c r="S3528" t="s">
        <v>64</v>
      </c>
      <c r="T3528">
        <v>239.7</v>
      </c>
      <c r="U3528">
        <v>237</v>
      </c>
      <c r="V3528">
        <f t="shared" si="110"/>
        <v>238.35</v>
      </c>
      <c r="W3528">
        <f t="shared" si="111"/>
        <v>2.6999999999999886</v>
      </c>
      <c r="X3528">
        <v>105.014999</v>
      </c>
      <c r="Y3528">
        <v>25.195</v>
      </c>
      <c r="Z3528" t="s">
        <v>520</v>
      </c>
      <c r="AA3528" t="s">
        <v>379</v>
      </c>
      <c r="AB3528" t="s">
        <v>682</v>
      </c>
      <c r="AD3528" t="s">
        <v>3251</v>
      </c>
      <c r="AH3528" t="s">
        <v>72</v>
      </c>
      <c r="AI3528" t="s">
        <v>683</v>
      </c>
      <c r="AJ3528">
        <v>1958</v>
      </c>
      <c r="AK3528" t="s">
        <v>3364</v>
      </c>
      <c r="AM3528" t="s">
        <v>3365</v>
      </c>
      <c r="AN3528" t="s">
        <v>114</v>
      </c>
      <c r="AO3528">
        <v>3</v>
      </c>
      <c r="AP3528" t="s">
        <v>115</v>
      </c>
      <c r="AQ3528" t="s">
        <v>3366</v>
      </c>
      <c r="AR3528" t="s">
        <v>80</v>
      </c>
      <c r="AS3528">
        <v>611</v>
      </c>
      <c r="AT3528" t="s">
        <v>81</v>
      </c>
      <c r="AU3528">
        <v>108.73</v>
      </c>
      <c r="AV3528">
        <v>-6.66</v>
      </c>
      <c r="AW3528" t="s">
        <v>82</v>
      </c>
      <c r="AX3528">
        <v>611</v>
      </c>
      <c r="AY3528" t="s">
        <v>81</v>
      </c>
      <c r="AZ3528">
        <v>94.02</v>
      </c>
      <c r="BA3528">
        <v>16.95</v>
      </c>
      <c r="BB3528" t="s">
        <v>83</v>
      </c>
    </row>
    <row r="3529" spans="1:54" x14ac:dyDescent="0.4">
      <c r="A3529">
        <v>892336</v>
      </c>
      <c r="D3529" t="s">
        <v>853</v>
      </c>
      <c r="E3529" t="s">
        <v>55</v>
      </c>
      <c r="F3529" t="s">
        <v>2523</v>
      </c>
      <c r="G3529">
        <v>1</v>
      </c>
      <c r="H3529" t="s">
        <v>56</v>
      </c>
      <c r="I3529" t="s">
        <v>57</v>
      </c>
      <c r="K3529" t="s">
        <v>3362</v>
      </c>
      <c r="L3529" t="s">
        <v>3363</v>
      </c>
      <c r="M3529" t="s">
        <v>223</v>
      </c>
      <c r="P3529" t="s">
        <v>182</v>
      </c>
      <c r="R3529" t="s">
        <v>183</v>
      </c>
      <c r="S3529" t="s">
        <v>64</v>
      </c>
      <c r="T3529">
        <v>239.7</v>
      </c>
      <c r="U3529">
        <v>237</v>
      </c>
      <c r="V3529">
        <f t="shared" si="110"/>
        <v>238.35</v>
      </c>
      <c r="W3529">
        <f t="shared" si="111"/>
        <v>2.6999999999999886</v>
      </c>
      <c r="X3529">
        <v>105.014999</v>
      </c>
      <c r="Y3529">
        <v>25.195</v>
      </c>
      <c r="Z3529" t="s">
        <v>520</v>
      </c>
      <c r="AA3529" t="s">
        <v>379</v>
      </c>
      <c r="AB3529" t="s">
        <v>682</v>
      </c>
      <c r="AD3529" t="s">
        <v>3251</v>
      </c>
      <c r="AH3529" t="s">
        <v>72</v>
      </c>
      <c r="AI3529" t="s">
        <v>683</v>
      </c>
      <c r="AJ3529">
        <v>1958</v>
      </c>
      <c r="AK3529" t="s">
        <v>3364</v>
      </c>
      <c r="AM3529" t="s">
        <v>3365</v>
      </c>
      <c r="AN3529" t="s">
        <v>114</v>
      </c>
      <c r="AO3529">
        <v>3</v>
      </c>
      <c r="AP3529" t="s">
        <v>115</v>
      </c>
      <c r="AQ3529" t="s">
        <v>3366</v>
      </c>
      <c r="AR3529" t="s">
        <v>80</v>
      </c>
      <c r="AS3529">
        <v>611</v>
      </c>
      <c r="AT3529" t="s">
        <v>81</v>
      </c>
      <c r="AU3529">
        <v>108.73</v>
      </c>
      <c r="AV3529">
        <v>-6.66</v>
      </c>
      <c r="AW3529" t="s">
        <v>82</v>
      </c>
      <c r="AX3529">
        <v>611</v>
      </c>
      <c r="AY3529" t="s">
        <v>81</v>
      </c>
      <c r="AZ3529">
        <v>94.02</v>
      </c>
      <c r="BA3529">
        <v>16.95</v>
      </c>
      <c r="BB3529" t="s">
        <v>83</v>
      </c>
    </row>
    <row r="3530" spans="1:54" x14ac:dyDescent="0.4">
      <c r="A3530">
        <v>893428</v>
      </c>
      <c r="D3530" t="s">
        <v>853</v>
      </c>
      <c r="E3530" t="s">
        <v>310</v>
      </c>
      <c r="F3530" t="s">
        <v>2523</v>
      </c>
      <c r="G3530">
        <v>1</v>
      </c>
      <c r="H3530" t="s">
        <v>56</v>
      </c>
      <c r="I3530" t="s">
        <v>57</v>
      </c>
      <c r="K3530" t="s">
        <v>1822</v>
      </c>
      <c r="L3530" t="s">
        <v>1823</v>
      </c>
      <c r="M3530" t="s">
        <v>223</v>
      </c>
      <c r="N3530" t="s">
        <v>1126</v>
      </c>
      <c r="O3530" t="s">
        <v>345</v>
      </c>
      <c r="P3530" t="s">
        <v>182</v>
      </c>
      <c r="R3530" t="s">
        <v>183</v>
      </c>
      <c r="S3530" t="s">
        <v>64</v>
      </c>
      <c r="T3530">
        <v>239.7</v>
      </c>
      <c r="U3530">
        <v>237</v>
      </c>
      <c r="V3530">
        <f t="shared" si="110"/>
        <v>238.35</v>
      </c>
      <c r="W3530">
        <f t="shared" si="111"/>
        <v>2.6999999999999886</v>
      </c>
      <c r="X3530">
        <v>104.745003</v>
      </c>
      <c r="Y3530">
        <v>25.132999000000002</v>
      </c>
      <c r="Z3530" t="s">
        <v>520</v>
      </c>
      <c r="AA3530" t="s">
        <v>379</v>
      </c>
      <c r="AB3530" t="s">
        <v>682</v>
      </c>
      <c r="AC3530" t="s">
        <v>3377</v>
      </c>
      <c r="AD3530" t="s">
        <v>3251</v>
      </c>
      <c r="AF3530" t="s">
        <v>3260</v>
      </c>
      <c r="AH3530" t="s">
        <v>72</v>
      </c>
      <c r="AI3530" t="s">
        <v>3261</v>
      </c>
      <c r="AJ3530">
        <v>2006</v>
      </c>
      <c r="AK3530" t="s">
        <v>3378</v>
      </c>
      <c r="AN3530" t="s">
        <v>192</v>
      </c>
      <c r="AO3530">
        <v>3</v>
      </c>
      <c r="AQ3530" t="s">
        <v>3379</v>
      </c>
      <c r="AR3530" t="s">
        <v>80</v>
      </c>
      <c r="AS3530">
        <v>611</v>
      </c>
      <c r="AT3530" t="s">
        <v>81</v>
      </c>
      <c r="AU3530">
        <v>108.49</v>
      </c>
      <c r="AV3530">
        <v>-6.72</v>
      </c>
      <c r="AW3530" t="s">
        <v>82</v>
      </c>
      <c r="AX3530">
        <v>611</v>
      </c>
      <c r="AY3530" t="s">
        <v>81</v>
      </c>
      <c r="AZ3530">
        <v>93.83</v>
      </c>
      <c r="BA3530">
        <v>16.78</v>
      </c>
      <c r="BB3530" t="s">
        <v>83</v>
      </c>
    </row>
    <row r="3531" spans="1:54" x14ac:dyDescent="0.4">
      <c r="A3531">
        <v>893428</v>
      </c>
      <c r="D3531" t="s">
        <v>853</v>
      </c>
      <c r="E3531" t="s">
        <v>310</v>
      </c>
      <c r="F3531" t="s">
        <v>2523</v>
      </c>
      <c r="G3531">
        <v>1</v>
      </c>
      <c r="H3531" t="s">
        <v>56</v>
      </c>
      <c r="I3531" t="s">
        <v>57</v>
      </c>
      <c r="K3531" t="s">
        <v>1822</v>
      </c>
      <c r="L3531" t="s">
        <v>1823</v>
      </c>
      <c r="M3531" t="s">
        <v>223</v>
      </c>
      <c r="N3531" t="s">
        <v>1126</v>
      </c>
      <c r="O3531" t="s">
        <v>345</v>
      </c>
      <c r="P3531" t="s">
        <v>182</v>
      </c>
      <c r="R3531" t="s">
        <v>183</v>
      </c>
      <c r="S3531" t="s">
        <v>64</v>
      </c>
      <c r="T3531">
        <v>239.7</v>
      </c>
      <c r="U3531">
        <v>237</v>
      </c>
      <c r="V3531">
        <f t="shared" si="110"/>
        <v>238.35</v>
      </c>
      <c r="W3531">
        <f t="shared" si="111"/>
        <v>2.6999999999999886</v>
      </c>
      <c r="X3531">
        <v>104.745003</v>
      </c>
      <c r="Y3531">
        <v>25.132999000000002</v>
      </c>
      <c r="Z3531" t="s">
        <v>520</v>
      </c>
      <c r="AA3531" t="s">
        <v>379</v>
      </c>
      <c r="AB3531" t="s">
        <v>682</v>
      </c>
      <c r="AC3531" t="s">
        <v>3377</v>
      </c>
      <c r="AD3531" t="s">
        <v>3251</v>
      </c>
      <c r="AF3531" t="s">
        <v>3260</v>
      </c>
      <c r="AH3531" t="s">
        <v>72</v>
      </c>
      <c r="AI3531" t="s">
        <v>3261</v>
      </c>
      <c r="AJ3531">
        <v>2006</v>
      </c>
      <c r="AK3531" t="s">
        <v>3378</v>
      </c>
      <c r="AN3531" t="s">
        <v>192</v>
      </c>
      <c r="AO3531">
        <v>3</v>
      </c>
      <c r="AQ3531" t="s">
        <v>3379</v>
      </c>
      <c r="AR3531" t="s">
        <v>80</v>
      </c>
      <c r="AS3531">
        <v>611</v>
      </c>
      <c r="AT3531" t="s">
        <v>81</v>
      </c>
      <c r="AU3531">
        <v>108.49</v>
      </c>
      <c r="AV3531">
        <v>-6.72</v>
      </c>
      <c r="AW3531" t="s">
        <v>82</v>
      </c>
      <c r="AX3531">
        <v>611</v>
      </c>
      <c r="AY3531" t="s">
        <v>81</v>
      </c>
      <c r="AZ3531">
        <v>93.83</v>
      </c>
      <c r="BA3531">
        <v>16.78</v>
      </c>
      <c r="BB3531" t="s">
        <v>83</v>
      </c>
    </row>
    <row r="3532" spans="1:54" x14ac:dyDescent="0.4">
      <c r="A3532">
        <v>899638</v>
      </c>
      <c r="D3532" t="s">
        <v>853</v>
      </c>
      <c r="E3532" t="s">
        <v>55</v>
      </c>
      <c r="F3532" t="s">
        <v>2523</v>
      </c>
      <c r="G3532">
        <v>1</v>
      </c>
      <c r="H3532" t="s">
        <v>56</v>
      </c>
      <c r="I3532" t="s">
        <v>57</v>
      </c>
      <c r="K3532" t="s">
        <v>771</v>
      </c>
      <c r="L3532" t="s">
        <v>772</v>
      </c>
      <c r="M3532" t="s">
        <v>223</v>
      </c>
      <c r="P3532" t="s">
        <v>182</v>
      </c>
      <c r="R3532" t="s">
        <v>183</v>
      </c>
      <c r="S3532" t="s">
        <v>64</v>
      </c>
      <c r="T3532">
        <v>239.7</v>
      </c>
      <c r="U3532">
        <v>237</v>
      </c>
      <c r="V3532">
        <f t="shared" si="110"/>
        <v>238.35</v>
      </c>
      <c r="W3532">
        <f t="shared" si="111"/>
        <v>2.6999999999999886</v>
      </c>
      <c r="X3532">
        <v>105.014999</v>
      </c>
      <c r="Y3532">
        <v>25.195</v>
      </c>
      <c r="Z3532" t="s">
        <v>520</v>
      </c>
      <c r="AA3532" t="s">
        <v>379</v>
      </c>
      <c r="AB3532" t="s">
        <v>682</v>
      </c>
      <c r="AD3532" t="s">
        <v>3251</v>
      </c>
      <c r="AH3532" t="s">
        <v>11</v>
      </c>
      <c r="AI3532" t="s">
        <v>683</v>
      </c>
      <c r="AJ3532">
        <v>1965</v>
      </c>
      <c r="AK3532" t="s">
        <v>3364</v>
      </c>
      <c r="AM3532" t="s">
        <v>3365</v>
      </c>
      <c r="AN3532" t="s">
        <v>114</v>
      </c>
      <c r="AO3532">
        <v>3</v>
      </c>
      <c r="AP3532" t="s">
        <v>115</v>
      </c>
      <c r="AQ3532" t="s">
        <v>3366</v>
      </c>
      <c r="AR3532" t="s">
        <v>80</v>
      </c>
      <c r="AS3532">
        <v>611</v>
      </c>
      <c r="AT3532" t="s">
        <v>81</v>
      </c>
      <c r="AU3532">
        <v>108.73</v>
      </c>
      <c r="AV3532">
        <v>-6.66</v>
      </c>
      <c r="AW3532" t="s">
        <v>82</v>
      </c>
      <c r="AX3532">
        <v>611</v>
      </c>
      <c r="AY3532" t="s">
        <v>81</v>
      </c>
      <c r="AZ3532">
        <v>94.02</v>
      </c>
      <c r="BA3532">
        <v>16.95</v>
      </c>
      <c r="BB3532" t="s">
        <v>83</v>
      </c>
    </row>
    <row r="3533" spans="1:54" x14ac:dyDescent="0.4">
      <c r="A3533">
        <v>906398</v>
      </c>
      <c r="D3533" t="s">
        <v>54</v>
      </c>
      <c r="E3533" t="s">
        <v>55</v>
      </c>
      <c r="F3533" t="s">
        <v>3466</v>
      </c>
      <c r="I3533" t="s">
        <v>57</v>
      </c>
      <c r="K3533" t="s">
        <v>141</v>
      </c>
      <c r="L3533" t="s">
        <v>3514</v>
      </c>
      <c r="M3533" t="s">
        <v>60</v>
      </c>
      <c r="O3533" t="s">
        <v>87</v>
      </c>
      <c r="P3533" t="s">
        <v>182</v>
      </c>
      <c r="R3533" t="s">
        <v>183</v>
      </c>
      <c r="S3533" t="s">
        <v>64</v>
      </c>
      <c r="T3533">
        <v>239.7</v>
      </c>
      <c r="U3533">
        <v>237</v>
      </c>
      <c r="V3533">
        <f t="shared" si="110"/>
        <v>238.35</v>
      </c>
      <c r="W3533">
        <f t="shared" si="111"/>
        <v>2.6999999999999886</v>
      </c>
      <c r="X3533">
        <v>9.6811109999999996</v>
      </c>
      <c r="Y3533">
        <v>49.214443000000003</v>
      </c>
      <c r="Z3533" t="s">
        <v>3515</v>
      </c>
      <c r="AA3533" t="s">
        <v>211</v>
      </c>
      <c r="AB3533" t="s">
        <v>212</v>
      </c>
      <c r="AC3533" t="s">
        <v>3516</v>
      </c>
      <c r="AD3533" t="s">
        <v>960</v>
      </c>
      <c r="AE3533" t="s">
        <v>215</v>
      </c>
      <c r="AF3533" t="s">
        <v>3517</v>
      </c>
      <c r="AH3533" t="s">
        <v>72</v>
      </c>
      <c r="AI3533" t="s">
        <v>3518</v>
      </c>
      <c r="AJ3533">
        <v>1999</v>
      </c>
      <c r="AK3533" t="s">
        <v>3519</v>
      </c>
      <c r="AM3533" t="s">
        <v>3520</v>
      </c>
      <c r="AN3533" t="s">
        <v>76</v>
      </c>
      <c r="AO3533" t="s">
        <v>77</v>
      </c>
      <c r="AP3533" t="s">
        <v>78</v>
      </c>
      <c r="AQ3533" t="s">
        <v>3521</v>
      </c>
      <c r="AR3533" t="s">
        <v>80</v>
      </c>
      <c r="AS3533">
        <v>305</v>
      </c>
      <c r="AT3533" t="s">
        <v>81</v>
      </c>
      <c r="AU3533">
        <v>27.71</v>
      </c>
      <c r="AV3533">
        <v>28.87</v>
      </c>
      <c r="AW3533" t="s">
        <v>82</v>
      </c>
      <c r="AX3533">
        <v>305</v>
      </c>
      <c r="AY3533" t="s">
        <v>81</v>
      </c>
      <c r="AZ3533">
        <v>17.3</v>
      </c>
      <c r="BA3533">
        <v>16.309999999999999</v>
      </c>
      <c r="BB3533" t="s">
        <v>83</v>
      </c>
    </row>
    <row r="3534" spans="1:54" x14ac:dyDescent="0.4">
      <c r="A3534">
        <v>906404</v>
      </c>
      <c r="D3534" t="s">
        <v>54</v>
      </c>
      <c r="E3534" t="s">
        <v>55</v>
      </c>
      <c r="F3534" t="s">
        <v>3466</v>
      </c>
      <c r="G3534">
        <v>4</v>
      </c>
      <c r="H3534" t="s">
        <v>84</v>
      </c>
      <c r="I3534" t="s">
        <v>57</v>
      </c>
      <c r="K3534" t="s">
        <v>141</v>
      </c>
      <c r="L3534" t="s">
        <v>3514</v>
      </c>
      <c r="M3534" t="s">
        <v>60</v>
      </c>
      <c r="O3534" t="s">
        <v>87</v>
      </c>
      <c r="P3534" t="s">
        <v>182</v>
      </c>
      <c r="R3534" t="s">
        <v>183</v>
      </c>
      <c r="S3534" t="s">
        <v>64</v>
      </c>
      <c r="T3534">
        <v>239.7</v>
      </c>
      <c r="U3534">
        <v>237</v>
      </c>
      <c r="V3534">
        <f t="shared" si="110"/>
        <v>238.35</v>
      </c>
      <c r="W3534">
        <f t="shared" si="111"/>
        <v>2.6999999999999886</v>
      </c>
      <c r="X3534">
        <v>9.8866669999999992</v>
      </c>
      <c r="Y3534">
        <v>49.077499000000003</v>
      </c>
      <c r="Z3534" t="s">
        <v>3515</v>
      </c>
      <c r="AA3534" t="s">
        <v>211</v>
      </c>
      <c r="AB3534" t="s">
        <v>212</v>
      </c>
      <c r="AC3534" t="s">
        <v>3522</v>
      </c>
      <c r="AD3534" t="s">
        <v>960</v>
      </c>
      <c r="AE3534" t="s">
        <v>215</v>
      </c>
      <c r="AF3534" t="s">
        <v>3517</v>
      </c>
      <c r="AH3534" t="s">
        <v>72</v>
      </c>
      <c r="AI3534" t="s">
        <v>3523</v>
      </c>
      <c r="AJ3534">
        <v>2009</v>
      </c>
      <c r="AK3534" t="s">
        <v>3524</v>
      </c>
      <c r="AM3534" t="s">
        <v>3525</v>
      </c>
      <c r="AN3534" t="s">
        <v>192</v>
      </c>
      <c r="AO3534" t="s">
        <v>77</v>
      </c>
      <c r="AP3534" t="s">
        <v>78</v>
      </c>
      <c r="AQ3534" t="s">
        <v>3526</v>
      </c>
      <c r="AR3534" t="s">
        <v>80</v>
      </c>
      <c r="AS3534">
        <v>305</v>
      </c>
      <c r="AT3534" t="s">
        <v>81</v>
      </c>
      <c r="AU3534">
        <v>27.89</v>
      </c>
      <c r="AV3534">
        <v>28.77</v>
      </c>
      <c r="AW3534" t="s">
        <v>82</v>
      </c>
      <c r="AX3534">
        <v>305</v>
      </c>
      <c r="AY3534" t="s">
        <v>81</v>
      </c>
      <c r="AZ3534">
        <v>17.489999999999998</v>
      </c>
      <c r="BA3534">
        <v>16.25</v>
      </c>
      <c r="BB3534" t="s">
        <v>83</v>
      </c>
    </row>
    <row r="3535" spans="1:54" x14ac:dyDescent="0.4">
      <c r="A3535">
        <v>906408</v>
      </c>
      <c r="D3535" t="s">
        <v>54</v>
      </c>
      <c r="G3535">
        <v>1</v>
      </c>
      <c r="H3535" t="s">
        <v>421</v>
      </c>
      <c r="I3535" t="s">
        <v>57</v>
      </c>
      <c r="K3535" t="s">
        <v>141</v>
      </c>
      <c r="L3535" t="s">
        <v>3514</v>
      </c>
      <c r="M3535" t="s">
        <v>60</v>
      </c>
      <c r="O3535" t="s">
        <v>87</v>
      </c>
      <c r="P3535" t="s">
        <v>182</v>
      </c>
      <c r="R3535" t="s">
        <v>183</v>
      </c>
      <c r="S3535" t="s">
        <v>64</v>
      </c>
      <c r="T3535">
        <v>239.7</v>
      </c>
      <c r="U3535">
        <v>237</v>
      </c>
      <c r="V3535">
        <f t="shared" si="110"/>
        <v>238.35</v>
      </c>
      <c r="W3535">
        <f t="shared" si="111"/>
        <v>2.6999999999999886</v>
      </c>
      <c r="X3535">
        <v>10.071944</v>
      </c>
      <c r="Y3535">
        <v>49.134166999999998</v>
      </c>
      <c r="Z3535" t="s">
        <v>1251</v>
      </c>
      <c r="AA3535" t="s">
        <v>211</v>
      </c>
      <c r="AB3535" t="s">
        <v>212</v>
      </c>
      <c r="AC3535" t="s">
        <v>3522</v>
      </c>
      <c r="AD3535" t="s">
        <v>960</v>
      </c>
      <c r="AE3535" t="s">
        <v>215</v>
      </c>
      <c r="AF3535" t="s">
        <v>3517</v>
      </c>
      <c r="AH3535" t="s">
        <v>72</v>
      </c>
      <c r="AI3535" t="s">
        <v>3523</v>
      </c>
      <c r="AJ3535">
        <v>2009</v>
      </c>
      <c r="AK3535" t="s">
        <v>3527</v>
      </c>
      <c r="AN3535" t="s">
        <v>114</v>
      </c>
      <c r="AO3535" t="s">
        <v>77</v>
      </c>
      <c r="AP3535" t="s">
        <v>78</v>
      </c>
      <c r="AQ3535" t="s">
        <v>3528</v>
      </c>
      <c r="AR3535" t="s">
        <v>80</v>
      </c>
      <c r="AS3535">
        <v>305</v>
      </c>
      <c r="AT3535" t="s">
        <v>81</v>
      </c>
      <c r="AU3535">
        <v>28.01</v>
      </c>
      <c r="AV3535">
        <v>28.86</v>
      </c>
      <c r="AW3535" t="s">
        <v>82</v>
      </c>
      <c r="AX3535">
        <v>305</v>
      </c>
      <c r="AY3535" t="s">
        <v>81</v>
      </c>
      <c r="AZ3535">
        <v>17.579999999999998</v>
      </c>
      <c r="BA3535">
        <v>16.350000000000001</v>
      </c>
      <c r="BB3535" t="s">
        <v>83</v>
      </c>
    </row>
    <row r="3536" spans="1:54" x14ac:dyDescent="0.4">
      <c r="A3536">
        <v>929791</v>
      </c>
      <c r="D3536" t="s">
        <v>54</v>
      </c>
      <c r="E3536" t="s">
        <v>55</v>
      </c>
      <c r="F3536" t="s">
        <v>3466</v>
      </c>
      <c r="I3536" t="s">
        <v>57</v>
      </c>
      <c r="K3536" t="s">
        <v>221</v>
      </c>
      <c r="L3536" t="s">
        <v>222</v>
      </c>
      <c r="M3536" t="s">
        <v>223</v>
      </c>
      <c r="P3536" t="s">
        <v>182</v>
      </c>
      <c r="R3536" t="s">
        <v>183</v>
      </c>
      <c r="S3536" t="s">
        <v>64</v>
      </c>
      <c r="T3536">
        <v>239.7</v>
      </c>
      <c r="U3536">
        <v>237</v>
      </c>
      <c r="V3536">
        <f t="shared" si="110"/>
        <v>238.35</v>
      </c>
      <c r="W3536">
        <f t="shared" si="111"/>
        <v>2.6999999999999886</v>
      </c>
      <c r="X3536">
        <v>9.6811109999999996</v>
      </c>
      <c r="Y3536">
        <v>49.214443000000003</v>
      </c>
      <c r="Z3536" t="s">
        <v>3515</v>
      </c>
      <c r="AA3536" t="s">
        <v>211</v>
      </c>
      <c r="AB3536" t="s">
        <v>212</v>
      </c>
      <c r="AC3536" t="s">
        <v>3516</v>
      </c>
      <c r="AD3536" t="s">
        <v>960</v>
      </c>
      <c r="AE3536" t="s">
        <v>215</v>
      </c>
      <c r="AF3536" t="s">
        <v>3517</v>
      </c>
      <c r="AH3536" t="s">
        <v>72</v>
      </c>
      <c r="AI3536" t="s">
        <v>2525</v>
      </c>
      <c r="AJ3536">
        <v>1999</v>
      </c>
      <c r="AK3536" t="s">
        <v>3519</v>
      </c>
      <c r="AM3536" t="s">
        <v>3520</v>
      </c>
      <c r="AN3536" t="s">
        <v>76</v>
      </c>
      <c r="AO3536" t="s">
        <v>77</v>
      </c>
      <c r="AP3536" t="s">
        <v>78</v>
      </c>
      <c r="AQ3536" t="s">
        <v>3521</v>
      </c>
      <c r="AR3536" t="s">
        <v>80</v>
      </c>
      <c r="AS3536">
        <v>305</v>
      </c>
      <c r="AT3536" t="s">
        <v>81</v>
      </c>
      <c r="AU3536">
        <v>27.71</v>
      </c>
      <c r="AV3536">
        <v>28.87</v>
      </c>
      <c r="AW3536" t="s">
        <v>82</v>
      </c>
      <c r="AX3536">
        <v>305</v>
      </c>
      <c r="AY3536" t="s">
        <v>81</v>
      </c>
      <c r="AZ3536">
        <v>17.3</v>
      </c>
      <c r="BA3536">
        <v>16.309999999999999</v>
      </c>
      <c r="BB3536" t="s">
        <v>83</v>
      </c>
    </row>
    <row r="3537" spans="1:54" x14ac:dyDescent="0.4">
      <c r="A3537">
        <v>929792</v>
      </c>
      <c r="D3537" t="s">
        <v>54</v>
      </c>
      <c r="E3537" t="s">
        <v>55</v>
      </c>
      <c r="F3537" t="s">
        <v>3466</v>
      </c>
      <c r="I3537" t="s">
        <v>57</v>
      </c>
      <c r="K3537" t="s">
        <v>771</v>
      </c>
      <c r="L3537" t="s">
        <v>772</v>
      </c>
      <c r="M3537" t="s">
        <v>223</v>
      </c>
      <c r="P3537" t="s">
        <v>182</v>
      </c>
      <c r="R3537" t="s">
        <v>183</v>
      </c>
      <c r="S3537" t="s">
        <v>64</v>
      </c>
      <c r="T3537">
        <v>239.7</v>
      </c>
      <c r="U3537">
        <v>237</v>
      </c>
      <c r="V3537">
        <f t="shared" si="110"/>
        <v>238.35</v>
      </c>
      <c r="W3537">
        <f t="shared" si="111"/>
        <v>2.6999999999999886</v>
      </c>
      <c r="X3537">
        <v>9.6811109999999996</v>
      </c>
      <c r="Y3537">
        <v>49.214443000000003</v>
      </c>
      <c r="Z3537" t="s">
        <v>3515</v>
      </c>
      <c r="AA3537" t="s">
        <v>211</v>
      </c>
      <c r="AB3537" t="s">
        <v>212</v>
      </c>
      <c r="AC3537" t="s">
        <v>3516</v>
      </c>
      <c r="AD3537" t="s">
        <v>960</v>
      </c>
      <c r="AE3537" t="s">
        <v>215</v>
      </c>
      <c r="AF3537" t="s">
        <v>3517</v>
      </c>
      <c r="AH3537" t="s">
        <v>11</v>
      </c>
      <c r="AI3537" t="s">
        <v>2525</v>
      </c>
      <c r="AJ3537">
        <v>1999</v>
      </c>
      <c r="AK3537" t="s">
        <v>3519</v>
      </c>
      <c r="AM3537" t="s">
        <v>3520</v>
      </c>
      <c r="AN3537" t="s">
        <v>76</v>
      </c>
      <c r="AO3537" t="s">
        <v>77</v>
      </c>
      <c r="AP3537" t="s">
        <v>78</v>
      </c>
      <c r="AQ3537" t="s">
        <v>3521</v>
      </c>
      <c r="AR3537" t="s">
        <v>80</v>
      </c>
      <c r="AS3537">
        <v>305</v>
      </c>
      <c r="AT3537" t="s">
        <v>81</v>
      </c>
      <c r="AU3537">
        <v>27.71</v>
      </c>
      <c r="AV3537">
        <v>28.87</v>
      </c>
      <c r="AW3537" t="s">
        <v>82</v>
      </c>
      <c r="AX3537">
        <v>305</v>
      </c>
      <c r="AY3537" t="s">
        <v>81</v>
      </c>
      <c r="AZ3537">
        <v>17.3</v>
      </c>
      <c r="BA3537">
        <v>16.309999999999999</v>
      </c>
      <c r="BB3537" t="s">
        <v>83</v>
      </c>
    </row>
    <row r="3538" spans="1:54" x14ac:dyDescent="0.4">
      <c r="A3538">
        <v>929794</v>
      </c>
      <c r="D3538" t="s">
        <v>54</v>
      </c>
      <c r="E3538" t="s">
        <v>55</v>
      </c>
      <c r="F3538" t="s">
        <v>3466</v>
      </c>
      <c r="I3538" t="s">
        <v>57</v>
      </c>
      <c r="K3538" t="s">
        <v>746</v>
      </c>
      <c r="L3538" t="s">
        <v>1357</v>
      </c>
      <c r="M3538" t="s">
        <v>60</v>
      </c>
      <c r="N3538" t="s">
        <v>119</v>
      </c>
      <c r="O3538" t="s">
        <v>345</v>
      </c>
      <c r="P3538" t="s">
        <v>182</v>
      </c>
      <c r="R3538" t="s">
        <v>183</v>
      </c>
      <c r="S3538" t="s">
        <v>64</v>
      </c>
      <c r="T3538">
        <v>239.7</v>
      </c>
      <c r="U3538">
        <v>237</v>
      </c>
      <c r="V3538">
        <f t="shared" si="110"/>
        <v>238.35</v>
      </c>
      <c r="W3538">
        <f t="shared" si="111"/>
        <v>2.6999999999999886</v>
      </c>
      <c r="X3538">
        <v>9.6811109999999996</v>
      </c>
      <c r="Y3538">
        <v>49.214443000000003</v>
      </c>
      <c r="Z3538" t="s">
        <v>3515</v>
      </c>
      <c r="AA3538" t="s">
        <v>211</v>
      </c>
      <c r="AB3538" t="s">
        <v>212</v>
      </c>
      <c r="AC3538" t="s">
        <v>3516</v>
      </c>
      <c r="AD3538" t="s">
        <v>960</v>
      </c>
      <c r="AE3538" t="s">
        <v>215</v>
      </c>
      <c r="AF3538" t="s">
        <v>3517</v>
      </c>
      <c r="AH3538" t="s">
        <v>72</v>
      </c>
      <c r="AI3538" t="s">
        <v>2525</v>
      </c>
      <c r="AJ3538">
        <v>1999</v>
      </c>
      <c r="AK3538" t="s">
        <v>3519</v>
      </c>
      <c r="AM3538" t="s">
        <v>3520</v>
      </c>
      <c r="AN3538" t="s">
        <v>76</v>
      </c>
      <c r="AO3538" t="s">
        <v>77</v>
      </c>
      <c r="AP3538" t="s">
        <v>78</v>
      </c>
      <c r="AQ3538" t="s">
        <v>3521</v>
      </c>
      <c r="AR3538" t="s">
        <v>80</v>
      </c>
      <c r="AS3538">
        <v>305</v>
      </c>
      <c r="AT3538" t="s">
        <v>81</v>
      </c>
      <c r="AU3538">
        <v>27.71</v>
      </c>
      <c r="AV3538">
        <v>28.87</v>
      </c>
      <c r="AW3538" t="s">
        <v>82</v>
      </c>
      <c r="AX3538">
        <v>305</v>
      </c>
      <c r="AY3538" t="s">
        <v>81</v>
      </c>
      <c r="AZ3538">
        <v>17.3</v>
      </c>
      <c r="BA3538">
        <v>16.309999999999999</v>
      </c>
      <c r="BB3538" t="s">
        <v>83</v>
      </c>
    </row>
    <row r="3539" spans="1:54" x14ac:dyDescent="0.4">
      <c r="A3539">
        <v>945415</v>
      </c>
      <c r="D3539" t="s">
        <v>3879</v>
      </c>
      <c r="I3539" t="s">
        <v>57</v>
      </c>
      <c r="K3539" t="s">
        <v>141</v>
      </c>
      <c r="L3539" t="s">
        <v>3880</v>
      </c>
      <c r="M3539" t="s">
        <v>60</v>
      </c>
      <c r="P3539" t="s">
        <v>182</v>
      </c>
      <c r="R3539" t="s">
        <v>183</v>
      </c>
      <c r="S3539" t="s">
        <v>64</v>
      </c>
      <c r="T3539">
        <v>239.7</v>
      </c>
      <c r="U3539">
        <v>237</v>
      </c>
      <c r="V3539">
        <f t="shared" si="110"/>
        <v>238.35</v>
      </c>
      <c r="W3539">
        <f t="shared" si="111"/>
        <v>2.6999999999999886</v>
      </c>
      <c r="X3539">
        <v>1.1166670000000001</v>
      </c>
      <c r="Y3539">
        <v>41.266666000000001</v>
      </c>
      <c r="Z3539" t="s">
        <v>1415</v>
      </c>
      <c r="AA3539" t="s">
        <v>3881</v>
      </c>
      <c r="AB3539" t="s">
        <v>3882</v>
      </c>
      <c r="AD3539" t="s">
        <v>1378</v>
      </c>
      <c r="AH3539" t="s">
        <v>72</v>
      </c>
      <c r="AI3539" t="s">
        <v>3883</v>
      </c>
      <c r="AJ3539">
        <v>1977</v>
      </c>
      <c r="AK3539" t="s">
        <v>3884</v>
      </c>
      <c r="AN3539" t="s">
        <v>192</v>
      </c>
      <c r="AO3539" t="s">
        <v>160</v>
      </c>
      <c r="AP3539" t="s">
        <v>78</v>
      </c>
      <c r="AQ3539" t="s">
        <v>3885</v>
      </c>
      <c r="AR3539" t="s">
        <v>80</v>
      </c>
      <c r="AS3539">
        <v>304</v>
      </c>
      <c r="AT3539" t="s">
        <v>81</v>
      </c>
      <c r="AU3539">
        <v>22.77</v>
      </c>
      <c r="AV3539">
        <v>19.100000000000001</v>
      </c>
      <c r="AW3539" t="s">
        <v>82</v>
      </c>
      <c r="AX3539">
        <v>304</v>
      </c>
      <c r="AY3539" t="s">
        <v>81</v>
      </c>
      <c r="AZ3539">
        <v>14.47</v>
      </c>
      <c r="BA3539">
        <v>5.92</v>
      </c>
      <c r="BB3539" t="s">
        <v>83</v>
      </c>
    </row>
    <row r="3540" spans="1:54" x14ac:dyDescent="0.4">
      <c r="A3540">
        <v>945416</v>
      </c>
      <c r="D3540" t="s">
        <v>3879</v>
      </c>
      <c r="I3540" t="s">
        <v>57</v>
      </c>
      <c r="K3540" t="s">
        <v>771</v>
      </c>
      <c r="L3540" t="s">
        <v>3368</v>
      </c>
      <c r="M3540" t="s">
        <v>223</v>
      </c>
      <c r="P3540" t="s">
        <v>182</v>
      </c>
      <c r="R3540" t="s">
        <v>183</v>
      </c>
      <c r="S3540" t="s">
        <v>64</v>
      </c>
      <c r="T3540">
        <v>239.7</v>
      </c>
      <c r="U3540">
        <v>237</v>
      </c>
      <c r="V3540">
        <f t="shared" si="110"/>
        <v>238.35</v>
      </c>
      <c r="W3540">
        <f t="shared" si="111"/>
        <v>2.6999999999999886</v>
      </c>
      <c r="X3540">
        <v>1.1166670000000001</v>
      </c>
      <c r="Y3540">
        <v>41.266666000000001</v>
      </c>
      <c r="Z3540" t="s">
        <v>1415</v>
      </c>
      <c r="AA3540" t="s">
        <v>3881</v>
      </c>
      <c r="AB3540" t="s">
        <v>3882</v>
      </c>
      <c r="AD3540" t="s">
        <v>1378</v>
      </c>
      <c r="AH3540" t="s">
        <v>72</v>
      </c>
      <c r="AI3540" t="s">
        <v>3883</v>
      </c>
      <c r="AJ3540">
        <v>1977</v>
      </c>
      <c r="AK3540" t="s">
        <v>3884</v>
      </c>
      <c r="AN3540" t="s">
        <v>192</v>
      </c>
      <c r="AO3540" t="s">
        <v>160</v>
      </c>
      <c r="AP3540" t="s">
        <v>78</v>
      </c>
      <c r="AQ3540" t="s">
        <v>3885</v>
      </c>
      <c r="AR3540" t="s">
        <v>80</v>
      </c>
      <c r="AS3540">
        <v>304</v>
      </c>
      <c r="AT3540" t="s">
        <v>81</v>
      </c>
      <c r="AU3540">
        <v>22.77</v>
      </c>
      <c r="AV3540">
        <v>19.100000000000001</v>
      </c>
      <c r="AW3540" t="s">
        <v>82</v>
      </c>
      <c r="AX3540">
        <v>304</v>
      </c>
      <c r="AY3540" t="s">
        <v>81</v>
      </c>
      <c r="AZ3540">
        <v>14.47</v>
      </c>
      <c r="BA3540">
        <v>5.92</v>
      </c>
      <c r="BB3540" t="s">
        <v>83</v>
      </c>
    </row>
    <row r="3541" spans="1:54" x14ac:dyDescent="0.4">
      <c r="A3541">
        <v>945417</v>
      </c>
      <c r="D3541" t="s">
        <v>3879</v>
      </c>
      <c r="I3541" t="s">
        <v>57</v>
      </c>
      <c r="K3541" t="s">
        <v>771</v>
      </c>
      <c r="L3541" t="s">
        <v>772</v>
      </c>
      <c r="M3541" t="s">
        <v>223</v>
      </c>
      <c r="P3541" t="s">
        <v>182</v>
      </c>
      <c r="R3541" t="s">
        <v>183</v>
      </c>
      <c r="S3541" t="s">
        <v>64</v>
      </c>
      <c r="T3541">
        <v>239.7</v>
      </c>
      <c r="U3541">
        <v>237</v>
      </c>
      <c r="V3541">
        <f t="shared" si="110"/>
        <v>238.35</v>
      </c>
      <c r="W3541">
        <f t="shared" si="111"/>
        <v>2.6999999999999886</v>
      </c>
      <c r="X3541">
        <v>1.1166670000000001</v>
      </c>
      <c r="Y3541">
        <v>41.266666000000001</v>
      </c>
      <c r="Z3541" t="s">
        <v>1415</v>
      </c>
      <c r="AA3541" t="s">
        <v>3881</v>
      </c>
      <c r="AB3541" t="s">
        <v>3882</v>
      </c>
      <c r="AD3541" t="s">
        <v>1378</v>
      </c>
      <c r="AH3541" t="s">
        <v>11</v>
      </c>
      <c r="AI3541" t="s">
        <v>3883</v>
      </c>
      <c r="AJ3541">
        <v>1977</v>
      </c>
      <c r="AK3541" t="s">
        <v>3884</v>
      </c>
      <c r="AN3541" t="s">
        <v>192</v>
      </c>
      <c r="AO3541" t="s">
        <v>160</v>
      </c>
      <c r="AP3541" t="s">
        <v>78</v>
      </c>
      <c r="AQ3541" t="s">
        <v>3885</v>
      </c>
      <c r="AR3541" t="s">
        <v>80</v>
      </c>
      <c r="AS3541">
        <v>304</v>
      </c>
      <c r="AT3541" t="s">
        <v>81</v>
      </c>
      <c r="AU3541">
        <v>22.77</v>
      </c>
      <c r="AV3541">
        <v>19.100000000000001</v>
      </c>
      <c r="AW3541" t="s">
        <v>82</v>
      </c>
      <c r="AX3541">
        <v>304</v>
      </c>
      <c r="AY3541" t="s">
        <v>81</v>
      </c>
      <c r="AZ3541">
        <v>14.47</v>
      </c>
      <c r="BA3541">
        <v>5.92</v>
      </c>
      <c r="BB3541" t="s">
        <v>83</v>
      </c>
    </row>
    <row r="3542" spans="1:54" x14ac:dyDescent="0.4">
      <c r="A3542">
        <v>998220</v>
      </c>
      <c r="D3542" t="s">
        <v>179</v>
      </c>
      <c r="I3542" t="s">
        <v>57</v>
      </c>
      <c r="K3542" t="s">
        <v>1359</v>
      </c>
      <c r="L3542" t="s">
        <v>1360</v>
      </c>
      <c r="M3542" t="s">
        <v>223</v>
      </c>
      <c r="P3542" t="s">
        <v>182</v>
      </c>
      <c r="R3542" t="s">
        <v>183</v>
      </c>
      <c r="S3542" t="s">
        <v>64</v>
      </c>
      <c r="T3542">
        <v>239.7</v>
      </c>
      <c r="U3542">
        <v>237</v>
      </c>
      <c r="V3542">
        <f t="shared" si="110"/>
        <v>238.35</v>
      </c>
      <c r="W3542">
        <f t="shared" si="111"/>
        <v>2.6999999999999886</v>
      </c>
      <c r="X3542">
        <v>31.85</v>
      </c>
      <c r="Y3542">
        <v>37.400002000000001</v>
      </c>
      <c r="Z3542" t="s">
        <v>1596</v>
      </c>
      <c r="AA3542" t="s">
        <v>3990</v>
      </c>
      <c r="AD3542" t="s">
        <v>3991</v>
      </c>
      <c r="AH3542" t="s">
        <v>11</v>
      </c>
      <c r="AI3542" t="s">
        <v>3992</v>
      </c>
      <c r="AJ3542">
        <v>1979</v>
      </c>
      <c r="AK3542" t="s">
        <v>3993</v>
      </c>
      <c r="AN3542" t="s">
        <v>114</v>
      </c>
      <c r="AO3542">
        <v>1</v>
      </c>
      <c r="AP3542" t="s">
        <v>78</v>
      </c>
      <c r="AR3542" t="s">
        <v>80</v>
      </c>
      <c r="AS3542">
        <v>504</v>
      </c>
      <c r="AT3542" t="s">
        <v>81</v>
      </c>
      <c r="AU3542">
        <v>39.450000000000003</v>
      </c>
      <c r="AV3542">
        <v>3.29</v>
      </c>
      <c r="AW3542" t="s">
        <v>82</v>
      </c>
      <c r="AX3542">
        <v>504</v>
      </c>
      <c r="AY3542" t="s">
        <v>81</v>
      </c>
      <c r="AZ3542">
        <v>29.66</v>
      </c>
      <c r="BA3542">
        <v>-7.25</v>
      </c>
      <c r="BB3542" t="s">
        <v>83</v>
      </c>
    </row>
    <row r="3543" spans="1:54" x14ac:dyDescent="0.4">
      <c r="A3543">
        <v>1091750</v>
      </c>
      <c r="D3543" t="s">
        <v>54</v>
      </c>
      <c r="G3543">
        <v>1</v>
      </c>
      <c r="H3543" t="s">
        <v>84</v>
      </c>
      <c r="I3543" t="s">
        <v>57</v>
      </c>
      <c r="K3543" t="s">
        <v>1359</v>
      </c>
      <c r="L3543" t="s">
        <v>1360</v>
      </c>
      <c r="M3543" t="s">
        <v>223</v>
      </c>
      <c r="P3543" t="s">
        <v>182</v>
      </c>
      <c r="R3543" t="s">
        <v>183</v>
      </c>
      <c r="S3543" t="s">
        <v>64</v>
      </c>
      <c r="T3543">
        <v>239.7</v>
      </c>
      <c r="U3543">
        <v>237</v>
      </c>
      <c r="V3543">
        <f t="shared" si="110"/>
        <v>238.35</v>
      </c>
      <c r="W3543">
        <f t="shared" si="111"/>
        <v>2.6999999999999886</v>
      </c>
      <c r="X3543">
        <v>9.1999999999999993</v>
      </c>
      <c r="Y3543">
        <v>48.900002000000001</v>
      </c>
      <c r="Z3543" t="s">
        <v>3515</v>
      </c>
      <c r="AA3543" t="s">
        <v>211</v>
      </c>
      <c r="AB3543" t="s">
        <v>212</v>
      </c>
      <c r="AC3543" t="s">
        <v>4085</v>
      </c>
      <c r="AD3543" t="s">
        <v>960</v>
      </c>
      <c r="AF3543" t="s">
        <v>3517</v>
      </c>
      <c r="AH3543" t="s">
        <v>72</v>
      </c>
      <c r="AI3543" t="s">
        <v>260</v>
      </c>
      <c r="AJ3543">
        <v>1896</v>
      </c>
      <c r="AK3543" t="s">
        <v>4086</v>
      </c>
      <c r="AN3543" t="s">
        <v>114</v>
      </c>
      <c r="AO3543" t="s">
        <v>160</v>
      </c>
      <c r="AP3543" t="s">
        <v>115</v>
      </c>
      <c r="AQ3543" t="s">
        <v>4087</v>
      </c>
      <c r="AR3543" t="s">
        <v>80</v>
      </c>
      <c r="AS3543">
        <v>305</v>
      </c>
      <c r="AT3543" t="s">
        <v>81</v>
      </c>
      <c r="AU3543">
        <v>27.45</v>
      </c>
      <c r="AV3543">
        <v>28.49</v>
      </c>
      <c r="AW3543" t="s">
        <v>82</v>
      </c>
      <c r="AX3543">
        <v>305</v>
      </c>
      <c r="AY3543" t="s">
        <v>81</v>
      </c>
      <c r="AZ3543">
        <v>17.149999999999999</v>
      </c>
      <c r="BA3543">
        <v>15.89</v>
      </c>
      <c r="BB3543" t="s">
        <v>83</v>
      </c>
    </row>
    <row r="3544" spans="1:54" x14ac:dyDescent="0.4">
      <c r="A3544">
        <v>1094786</v>
      </c>
      <c r="D3544" t="s">
        <v>54</v>
      </c>
      <c r="G3544">
        <v>1</v>
      </c>
      <c r="H3544" t="s">
        <v>84</v>
      </c>
      <c r="I3544" t="s">
        <v>57</v>
      </c>
      <c r="K3544" t="s">
        <v>2470</v>
      </c>
      <c r="L3544" t="s">
        <v>2471</v>
      </c>
      <c r="M3544" t="s">
        <v>223</v>
      </c>
      <c r="P3544" t="s">
        <v>182</v>
      </c>
      <c r="R3544" t="s">
        <v>183</v>
      </c>
      <c r="S3544" t="s">
        <v>64</v>
      </c>
      <c r="T3544">
        <v>239.7</v>
      </c>
      <c r="U3544">
        <v>237</v>
      </c>
      <c r="V3544">
        <f t="shared" si="110"/>
        <v>238.35</v>
      </c>
      <c r="W3544">
        <f t="shared" si="111"/>
        <v>2.6999999999999886</v>
      </c>
      <c r="X3544">
        <v>9.1999999999999993</v>
      </c>
      <c r="Y3544">
        <v>48.900002000000001</v>
      </c>
      <c r="Z3544" t="s">
        <v>3515</v>
      </c>
      <c r="AA3544" t="s">
        <v>211</v>
      </c>
      <c r="AB3544" t="s">
        <v>212</v>
      </c>
      <c r="AC3544" t="s">
        <v>4085</v>
      </c>
      <c r="AD3544" t="s">
        <v>960</v>
      </c>
      <c r="AF3544" t="s">
        <v>3517</v>
      </c>
      <c r="AH3544" t="s">
        <v>72</v>
      </c>
      <c r="AI3544" t="s">
        <v>2013</v>
      </c>
      <c r="AJ3544">
        <v>1994</v>
      </c>
      <c r="AK3544" t="s">
        <v>4086</v>
      </c>
      <c r="AN3544" t="s">
        <v>114</v>
      </c>
      <c r="AO3544" t="s">
        <v>160</v>
      </c>
      <c r="AP3544" t="s">
        <v>115</v>
      </c>
      <c r="AQ3544" t="s">
        <v>4087</v>
      </c>
      <c r="AR3544" t="s">
        <v>80</v>
      </c>
      <c r="AS3544">
        <v>305</v>
      </c>
      <c r="AT3544" t="s">
        <v>81</v>
      </c>
      <c r="AU3544">
        <v>27.45</v>
      </c>
      <c r="AV3544">
        <v>28.49</v>
      </c>
      <c r="AW3544" t="s">
        <v>82</v>
      </c>
      <c r="AX3544">
        <v>305</v>
      </c>
      <c r="AY3544" t="s">
        <v>81</v>
      </c>
      <c r="AZ3544">
        <v>17.149999999999999</v>
      </c>
      <c r="BA3544">
        <v>15.89</v>
      </c>
      <c r="BB3544" t="s">
        <v>83</v>
      </c>
    </row>
    <row r="3545" spans="1:54" x14ac:dyDescent="0.4">
      <c r="A3545">
        <v>1094791</v>
      </c>
      <c r="D3545" t="s">
        <v>853</v>
      </c>
      <c r="G3545">
        <v>1</v>
      </c>
      <c r="H3545" t="s">
        <v>84</v>
      </c>
      <c r="I3545" t="s">
        <v>57</v>
      </c>
      <c r="K3545" t="s">
        <v>771</v>
      </c>
      <c r="L3545" t="s">
        <v>3368</v>
      </c>
      <c r="M3545" t="s">
        <v>223</v>
      </c>
      <c r="P3545" t="s">
        <v>182</v>
      </c>
      <c r="R3545" t="s">
        <v>183</v>
      </c>
      <c r="S3545" t="s">
        <v>64</v>
      </c>
      <c r="T3545">
        <v>239.7</v>
      </c>
      <c r="U3545">
        <v>237</v>
      </c>
      <c r="V3545">
        <f t="shared" si="110"/>
        <v>238.35</v>
      </c>
      <c r="W3545">
        <f t="shared" si="111"/>
        <v>2.6999999999999886</v>
      </c>
      <c r="X3545">
        <v>9.3000000000000007</v>
      </c>
      <c r="Y3545">
        <v>46.02</v>
      </c>
      <c r="Z3545" t="s">
        <v>520</v>
      </c>
      <c r="AA3545" t="s">
        <v>593</v>
      </c>
      <c r="AB3545" t="s">
        <v>4138</v>
      </c>
      <c r="AD3545" t="s">
        <v>4139</v>
      </c>
      <c r="AF3545" t="s">
        <v>4140</v>
      </c>
      <c r="AH3545" t="s">
        <v>11</v>
      </c>
      <c r="AI3545" t="s">
        <v>2013</v>
      </c>
      <c r="AJ3545">
        <v>1994</v>
      </c>
      <c r="AK3545" t="s">
        <v>4141</v>
      </c>
      <c r="AN3545" t="s">
        <v>114</v>
      </c>
      <c r="AO3545">
        <v>2</v>
      </c>
      <c r="AP3545" t="s">
        <v>359</v>
      </c>
      <c r="AQ3545" t="s">
        <v>4142</v>
      </c>
      <c r="AR3545" t="s">
        <v>80</v>
      </c>
      <c r="AS3545">
        <v>307</v>
      </c>
      <c r="AT3545" t="s">
        <v>81</v>
      </c>
      <c r="AU3545">
        <v>33.619999999999997</v>
      </c>
      <c r="AV3545">
        <v>17.940000000000001</v>
      </c>
      <c r="AW3545" t="s">
        <v>82</v>
      </c>
      <c r="AX3545">
        <v>307</v>
      </c>
      <c r="AY3545" t="s">
        <v>81</v>
      </c>
      <c r="AZ3545">
        <v>20.47</v>
      </c>
      <c r="BA3545">
        <v>8.82</v>
      </c>
      <c r="BB3545" t="s">
        <v>83</v>
      </c>
    </row>
    <row r="3546" spans="1:54" x14ac:dyDescent="0.4">
      <c r="A3546">
        <v>1094800</v>
      </c>
      <c r="D3546" t="s">
        <v>54</v>
      </c>
      <c r="I3546" t="s">
        <v>57</v>
      </c>
      <c r="K3546" t="s">
        <v>771</v>
      </c>
      <c r="L3546" t="s">
        <v>772</v>
      </c>
      <c r="M3546" t="s">
        <v>223</v>
      </c>
      <c r="P3546" t="s">
        <v>182</v>
      </c>
      <c r="R3546" t="s">
        <v>183</v>
      </c>
      <c r="S3546" t="s">
        <v>64</v>
      </c>
      <c r="T3546">
        <v>239.7</v>
      </c>
      <c r="U3546">
        <v>237</v>
      </c>
      <c r="V3546">
        <f t="shared" si="110"/>
        <v>238.35</v>
      </c>
      <c r="W3546">
        <f t="shared" si="111"/>
        <v>2.6999999999999886</v>
      </c>
      <c r="X3546">
        <v>9.1999999999999993</v>
      </c>
      <c r="Y3546">
        <v>48.900002000000001</v>
      </c>
      <c r="Z3546" t="s">
        <v>3515</v>
      </c>
      <c r="AA3546" t="s">
        <v>211</v>
      </c>
      <c r="AB3546" t="s">
        <v>212</v>
      </c>
      <c r="AC3546" t="s">
        <v>4085</v>
      </c>
      <c r="AD3546" t="s">
        <v>960</v>
      </c>
      <c r="AF3546" t="s">
        <v>3517</v>
      </c>
      <c r="AH3546" t="s">
        <v>11</v>
      </c>
      <c r="AI3546" t="s">
        <v>2013</v>
      </c>
      <c r="AJ3546">
        <v>1994</v>
      </c>
      <c r="AK3546" t="s">
        <v>4086</v>
      </c>
      <c r="AN3546" t="s">
        <v>114</v>
      </c>
      <c r="AO3546" t="s">
        <v>160</v>
      </c>
      <c r="AP3546" t="s">
        <v>115</v>
      </c>
      <c r="AQ3546" t="s">
        <v>4087</v>
      </c>
      <c r="AR3546" t="s">
        <v>80</v>
      </c>
      <c r="AS3546">
        <v>305</v>
      </c>
      <c r="AT3546" t="s">
        <v>81</v>
      </c>
      <c r="AU3546">
        <v>27.45</v>
      </c>
      <c r="AV3546">
        <v>28.49</v>
      </c>
      <c r="AW3546" t="s">
        <v>82</v>
      </c>
      <c r="AX3546">
        <v>305</v>
      </c>
      <c r="AY3546" t="s">
        <v>81</v>
      </c>
      <c r="AZ3546">
        <v>17.149999999999999</v>
      </c>
      <c r="BA3546">
        <v>15.89</v>
      </c>
      <c r="BB3546" t="s">
        <v>83</v>
      </c>
    </row>
    <row r="3547" spans="1:54" x14ac:dyDescent="0.4">
      <c r="A3547">
        <v>1094875</v>
      </c>
      <c r="D3547" t="s">
        <v>54</v>
      </c>
      <c r="G3547">
        <v>3</v>
      </c>
      <c r="H3547" t="s">
        <v>84</v>
      </c>
      <c r="I3547" t="s">
        <v>57</v>
      </c>
      <c r="K3547" t="s">
        <v>771</v>
      </c>
      <c r="L3547" t="s">
        <v>772</v>
      </c>
      <c r="M3547" t="s">
        <v>223</v>
      </c>
      <c r="P3547" t="s">
        <v>182</v>
      </c>
      <c r="R3547" t="s">
        <v>183</v>
      </c>
      <c r="S3547" t="s">
        <v>64</v>
      </c>
      <c r="T3547">
        <v>239.7</v>
      </c>
      <c r="U3547">
        <v>237</v>
      </c>
      <c r="V3547">
        <f t="shared" si="110"/>
        <v>238.35</v>
      </c>
      <c r="W3547">
        <f t="shared" si="111"/>
        <v>2.6999999999999886</v>
      </c>
      <c r="X3547">
        <v>9.1999999999999993</v>
      </c>
      <c r="Y3547">
        <v>48.900002000000001</v>
      </c>
      <c r="Z3547" t="s">
        <v>3515</v>
      </c>
      <c r="AA3547" t="s">
        <v>211</v>
      </c>
      <c r="AB3547" t="s">
        <v>212</v>
      </c>
      <c r="AC3547" t="s">
        <v>4085</v>
      </c>
      <c r="AD3547" t="s">
        <v>960</v>
      </c>
      <c r="AF3547" t="s">
        <v>3517</v>
      </c>
      <c r="AH3547" t="s">
        <v>72</v>
      </c>
      <c r="AI3547" t="s">
        <v>4147</v>
      </c>
      <c r="AJ3547">
        <v>1996</v>
      </c>
      <c r="AK3547" t="s">
        <v>4086</v>
      </c>
      <c r="AN3547" t="s">
        <v>114</v>
      </c>
      <c r="AO3547" t="s">
        <v>160</v>
      </c>
      <c r="AP3547" t="s">
        <v>115</v>
      </c>
      <c r="AQ3547" t="s">
        <v>4087</v>
      </c>
      <c r="AR3547" t="s">
        <v>80</v>
      </c>
      <c r="AS3547">
        <v>305</v>
      </c>
      <c r="AT3547" t="s">
        <v>81</v>
      </c>
      <c r="AU3547">
        <v>27.45</v>
      </c>
      <c r="AV3547">
        <v>28.49</v>
      </c>
      <c r="AW3547" t="s">
        <v>82</v>
      </c>
      <c r="AX3547">
        <v>305</v>
      </c>
      <c r="AY3547" t="s">
        <v>81</v>
      </c>
      <c r="AZ3547">
        <v>17.149999999999999</v>
      </c>
      <c r="BA3547">
        <v>15.89</v>
      </c>
      <c r="BB3547" t="s">
        <v>83</v>
      </c>
    </row>
    <row r="3548" spans="1:54" x14ac:dyDescent="0.4">
      <c r="A3548">
        <v>1094876</v>
      </c>
      <c r="D3548" t="s">
        <v>54</v>
      </c>
      <c r="G3548">
        <v>1</v>
      </c>
      <c r="H3548" t="s">
        <v>84</v>
      </c>
      <c r="I3548" t="s">
        <v>57</v>
      </c>
      <c r="K3548" t="s">
        <v>771</v>
      </c>
      <c r="L3548" t="s">
        <v>772</v>
      </c>
      <c r="M3548" t="s">
        <v>223</v>
      </c>
      <c r="P3548" t="s">
        <v>182</v>
      </c>
      <c r="R3548" t="s">
        <v>183</v>
      </c>
      <c r="S3548" t="s">
        <v>64</v>
      </c>
      <c r="T3548">
        <v>239.7</v>
      </c>
      <c r="U3548">
        <v>237</v>
      </c>
      <c r="V3548">
        <f t="shared" si="110"/>
        <v>238.35</v>
      </c>
      <c r="W3548">
        <f t="shared" si="111"/>
        <v>2.6999999999999886</v>
      </c>
      <c r="X3548">
        <v>10.95</v>
      </c>
      <c r="Y3548">
        <v>50.900002000000001</v>
      </c>
      <c r="Z3548" t="s">
        <v>3515</v>
      </c>
      <c r="AA3548" t="s">
        <v>211</v>
      </c>
      <c r="AB3548" t="s">
        <v>977</v>
      </c>
      <c r="AC3548" t="s">
        <v>960</v>
      </c>
      <c r="AD3548" t="s">
        <v>960</v>
      </c>
      <c r="AE3548" t="s">
        <v>215</v>
      </c>
      <c r="AF3548" t="s">
        <v>3517</v>
      </c>
      <c r="AH3548" t="s">
        <v>72</v>
      </c>
      <c r="AI3548" t="s">
        <v>4147</v>
      </c>
      <c r="AJ3548">
        <v>1996</v>
      </c>
      <c r="AK3548" t="s">
        <v>4193</v>
      </c>
      <c r="AN3548" t="s">
        <v>114</v>
      </c>
      <c r="AO3548" t="s">
        <v>160</v>
      </c>
      <c r="AP3548" t="s">
        <v>115</v>
      </c>
      <c r="AR3548" t="s">
        <v>80</v>
      </c>
      <c r="AS3548">
        <v>305</v>
      </c>
      <c r="AT3548" t="s">
        <v>81</v>
      </c>
      <c r="AU3548">
        <v>28.09</v>
      </c>
      <c r="AV3548">
        <v>30.71</v>
      </c>
      <c r="AW3548" t="s">
        <v>82</v>
      </c>
      <c r="AX3548">
        <v>305</v>
      </c>
      <c r="AY3548" t="s">
        <v>81</v>
      </c>
      <c r="AZ3548">
        <v>17.29</v>
      </c>
      <c r="BA3548">
        <v>18.18</v>
      </c>
      <c r="BB3548" t="s">
        <v>83</v>
      </c>
    </row>
    <row r="3549" spans="1:54" x14ac:dyDescent="0.4">
      <c r="A3549">
        <v>1094885</v>
      </c>
      <c r="D3549" t="s">
        <v>853</v>
      </c>
      <c r="I3549" t="s">
        <v>57</v>
      </c>
      <c r="K3549" t="s">
        <v>771</v>
      </c>
      <c r="L3549" t="s">
        <v>3368</v>
      </c>
      <c r="M3549" t="s">
        <v>223</v>
      </c>
      <c r="P3549" t="s">
        <v>182</v>
      </c>
      <c r="R3549" t="s">
        <v>183</v>
      </c>
      <c r="S3549" t="s">
        <v>64</v>
      </c>
      <c r="T3549">
        <v>239.7</v>
      </c>
      <c r="U3549">
        <v>237</v>
      </c>
      <c r="V3549">
        <f t="shared" si="110"/>
        <v>238.35</v>
      </c>
      <c r="W3549">
        <f t="shared" si="111"/>
        <v>2.6999999999999886</v>
      </c>
      <c r="X3549">
        <v>9.3000000000000007</v>
      </c>
      <c r="Y3549">
        <v>46.02</v>
      </c>
      <c r="Z3549" t="s">
        <v>520</v>
      </c>
      <c r="AA3549" t="s">
        <v>593</v>
      </c>
      <c r="AB3549" t="s">
        <v>4138</v>
      </c>
      <c r="AD3549" t="s">
        <v>4139</v>
      </c>
      <c r="AF3549" t="s">
        <v>4140</v>
      </c>
      <c r="AH3549" t="s">
        <v>72</v>
      </c>
      <c r="AI3549" t="s">
        <v>2013</v>
      </c>
      <c r="AJ3549">
        <v>1998</v>
      </c>
      <c r="AK3549" t="s">
        <v>4141</v>
      </c>
      <c r="AN3549" t="s">
        <v>114</v>
      </c>
      <c r="AO3549">
        <v>2</v>
      </c>
      <c r="AP3549" t="s">
        <v>359</v>
      </c>
      <c r="AQ3549" t="s">
        <v>4142</v>
      </c>
      <c r="AR3549" t="s">
        <v>80</v>
      </c>
      <c r="AS3549">
        <v>307</v>
      </c>
      <c r="AT3549" t="s">
        <v>81</v>
      </c>
      <c r="AU3549">
        <v>33.619999999999997</v>
      </c>
      <c r="AV3549">
        <v>17.940000000000001</v>
      </c>
      <c r="AW3549" t="s">
        <v>82</v>
      </c>
      <c r="AX3549">
        <v>307</v>
      </c>
      <c r="AY3549" t="s">
        <v>81</v>
      </c>
      <c r="AZ3549">
        <v>20.47</v>
      </c>
      <c r="BA3549">
        <v>8.82</v>
      </c>
      <c r="BB3549" t="s">
        <v>83</v>
      </c>
    </row>
    <row r="3550" spans="1:54" x14ac:dyDescent="0.4">
      <c r="A3550">
        <v>1094886</v>
      </c>
      <c r="D3550" t="s">
        <v>853</v>
      </c>
      <c r="I3550" t="s">
        <v>57</v>
      </c>
      <c r="K3550" t="s">
        <v>221</v>
      </c>
      <c r="L3550" t="s">
        <v>222</v>
      </c>
      <c r="M3550" t="s">
        <v>223</v>
      </c>
      <c r="P3550" t="s">
        <v>182</v>
      </c>
      <c r="R3550" t="s">
        <v>183</v>
      </c>
      <c r="S3550" t="s">
        <v>64</v>
      </c>
      <c r="T3550">
        <v>239.7</v>
      </c>
      <c r="U3550">
        <v>237</v>
      </c>
      <c r="V3550">
        <f t="shared" si="110"/>
        <v>238.35</v>
      </c>
      <c r="W3550">
        <f t="shared" si="111"/>
        <v>2.6999999999999886</v>
      </c>
      <c r="X3550">
        <v>9.3000000000000007</v>
      </c>
      <c r="Y3550">
        <v>46.02</v>
      </c>
      <c r="Z3550" t="s">
        <v>520</v>
      </c>
      <c r="AA3550" t="s">
        <v>593</v>
      </c>
      <c r="AB3550" t="s">
        <v>4138</v>
      </c>
      <c r="AD3550" t="s">
        <v>4139</v>
      </c>
      <c r="AF3550" t="s">
        <v>4140</v>
      </c>
      <c r="AH3550" t="s">
        <v>72</v>
      </c>
      <c r="AI3550" t="s">
        <v>2013</v>
      </c>
      <c r="AJ3550">
        <v>1998</v>
      </c>
      <c r="AK3550" t="s">
        <v>4141</v>
      </c>
      <c r="AN3550" t="s">
        <v>114</v>
      </c>
      <c r="AO3550">
        <v>2</v>
      </c>
      <c r="AP3550" t="s">
        <v>359</v>
      </c>
      <c r="AQ3550" t="s">
        <v>4142</v>
      </c>
      <c r="AR3550" t="s">
        <v>80</v>
      </c>
      <c r="AS3550">
        <v>307</v>
      </c>
      <c r="AT3550" t="s">
        <v>81</v>
      </c>
      <c r="AU3550">
        <v>33.619999999999997</v>
      </c>
      <c r="AV3550">
        <v>17.940000000000001</v>
      </c>
      <c r="AW3550" t="s">
        <v>82</v>
      </c>
      <c r="AX3550">
        <v>307</v>
      </c>
      <c r="AY3550" t="s">
        <v>81</v>
      </c>
      <c r="AZ3550">
        <v>20.47</v>
      </c>
      <c r="BA3550">
        <v>8.82</v>
      </c>
      <c r="BB3550" t="s">
        <v>83</v>
      </c>
    </row>
    <row r="3551" spans="1:54" x14ac:dyDescent="0.4">
      <c r="A3551">
        <v>1094889</v>
      </c>
      <c r="D3551" t="s">
        <v>853</v>
      </c>
      <c r="F3551" t="s">
        <v>2523</v>
      </c>
      <c r="G3551">
        <v>1</v>
      </c>
      <c r="H3551" t="s">
        <v>84</v>
      </c>
      <c r="I3551" t="s">
        <v>57</v>
      </c>
      <c r="K3551" t="s">
        <v>771</v>
      </c>
      <c r="L3551" t="s">
        <v>3368</v>
      </c>
      <c r="M3551" t="s">
        <v>223</v>
      </c>
      <c r="P3551" t="s">
        <v>182</v>
      </c>
      <c r="R3551" t="s">
        <v>183</v>
      </c>
      <c r="S3551" t="s">
        <v>64</v>
      </c>
      <c r="T3551">
        <v>239.7</v>
      </c>
      <c r="U3551">
        <v>237</v>
      </c>
      <c r="V3551">
        <f t="shared" si="110"/>
        <v>238.35</v>
      </c>
      <c r="W3551">
        <f t="shared" si="111"/>
        <v>2.6999999999999886</v>
      </c>
      <c r="X3551">
        <v>8.9</v>
      </c>
      <c r="Y3551">
        <v>45.884998000000003</v>
      </c>
      <c r="Z3551" t="s">
        <v>1415</v>
      </c>
      <c r="AA3551" t="s">
        <v>593</v>
      </c>
      <c r="AD3551" t="s">
        <v>3799</v>
      </c>
      <c r="AF3551" t="s">
        <v>4200</v>
      </c>
      <c r="AH3551" t="s">
        <v>72</v>
      </c>
      <c r="AI3551" t="s">
        <v>2013</v>
      </c>
      <c r="AJ3551">
        <v>1998</v>
      </c>
      <c r="AK3551" t="s">
        <v>4201</v>
      </c>
      <c r="AN3551" t="s">
        <v>114</v>
      </c>
      <c r="AO3551">
        <v>3</v>
      </c>
      <c r="AP3551" t="s">
        <v>78</v>
      </c>
      <c r="AR3551" t="s">
        <v>80</v>
      </c>
      <c r="AS3551">
        <v>307</v>
      </c>
      <c r="AT3551" t="s">
        <v>81</v>
      </c>
      <c r="AU3551">
        <v>33.36</v>
      </c>
      <c r="AV3551">
        <v>18.13</v>
      </c>
      <c r="AW3551" t="s">
        <v>82</v>
      </c>
      <c r="AX3551">
        <v>307</v>
      </c>
      <c r="AY3551" t="s">
        <v>81</v>
      </c>
      <c r="AZ3551">
        <v>20.16</v>
      </c>
      <c r="BA3551">
        <v>8.8800000000000008</v>
      </c>
      <c r="BB3551" t="s">
        <v>83</v>
      </c>
    </row>
    <row r="3552" spans="1:54" x14ac:dyDescent="0.4">
      <c r="A3552">
        <v>1094890</v>
      </c>
      <c r="D3552" t="s">
        <v>853</v>
      </c>
      <c r="F3552" t="s">
        <v>2523</v>
      </c>
      <c r="G3552">
        <v>1</v>
      </c>
      <c r="H3552" t="s">
        <v>84</v>
      </c>
      <c r="I3552" t="s">
        <v>57</v>
      </c>
      <c r="K3552" t="s">
        <v>771</v>
      </c>
      <c r="L3552" t="s">
        <v>3368</v>
      </c>
      <c r="M3552" t="s">
        <v>223</v>
      </c>
      <c r="P3552" t="s">
        <v>182</v>
      </c>
      <c r="R3552" t="s">
        <v>183</v>
      </c>
      <c r="S3552" t="s">
        <v>64</v>
      </c>
      <c r="T3552">
        <v>239.7</v>
      </c>
      <c r="U3552">
        <v>237</v>
      </c>
      <c r="V3552">
        <f t="shared" si="110"/>
        <v>238.35</v>
      </c>
      <c r="W3552">
        <f t="shared" si="111"/>
        <v>2.6999999999999886</v>
      </c>
      <c r="X3552">
        <v>8.9</v>
      </c>
      <c r="Y3552">
        <v>45.884998000000003</v>
      </c>
      <c r="Z3552" t="s">
        <v>1415</v>
      </c>
      <c r="AA3552" t="s">
        <v>593</v>
      </c>
      <c r="AD3552" t="s">
        <v>3799</v>
      </c>
      <c r="AF3552" t="s">
        <v>4200</v>
      </c>
      <c r="AH3552" t="s">
        <v>11</v>
      </c>
      <c r="AI3552" t="s">
        <v>2013</v>
      </c>
      <c r="AJ3552">
        <v>1998</v>
      </c>
      <c r="AK3552" t="s">
        <v>4201</v>
      </c>
      <c r="AN3552" t="s">
        <v>114</v>
      </c>
      <c r="AO3552">
        <v>3</v>
      </c>
      <c r="AP3552" t="s">
        <v>78</v>
      </c>
      <c r="AR3552" t="s">
        <v>80</v>
      </c>
      <c r="AS3552">
        <v>307</v>
      </c>
      <c r="AT3552" t="s">
        <v>81</v>
      </c>
      <c r="AU3552">
        <v>33.36</v>
      </c>
      <c r="AV3552">
        <v>18.13</v>
      </c>
      <c r="AW3552" t="s">
        <v>82</v>
      </c>
      <c r="AX3552">
        <v>307</v>
      </c>
      <c r="AY3552" t="s">
        <v>81</v>
      </c>
      <c r="AZ3552">
        <v>20.16</v>
      </c>
      <c r="BA3552">
        <v>8.8800000000000008</v>
      </c>
      <c r="BB3552" t="s">
        <v>83</v>
      </c>
    </row>
    <row r="3553" spans="1:54" x14ac:dyDescent="0.4">
      <c r="A3553">
        <v>1142026</v>
      </c>
      <c r="D3553" t="s">
        <v>54</v>
      </c>
      <c r="E3553" t="s">
        <v>55</v>
      </c>
      <c r="F3553" t="s">
        <v>3466</v>
      </c>
      <c r="G3553">
        <v>32</v>
      </c>
      <c r="H3553" t="s">
        <v>84</v>
      </c>
      <c r="I3553" t="s">
        <v>57</v>
      </c>
      <c r="K3553" t="s">
        <v>323</v>
      </c>
      <c r="L3553" t="s">
        <v>4412</v>
      </c>
      <c r="M3553" t="s">
        <v>60</v>
      </c>
      <c r="P3553" t="s">
        <v>182</v>
      </c>
      <c r="R3553" t="s">
        <v>183</v>
      </c>
      <c r="S3553" t="s">
        <v>64</v>
      </c>
      <c r="T3553">
        <v>239.7</v>
      </c>
      <c r="U3553">
        <v>237</v>
      </c>
      <c r="V3553">
        <f t="shared" si="110"/>
        <v>238.35</v>
      </c>
      <c r="W3553">
        <f t="shared" si="111"/>
        <v>2.6999999999999886</v>
      </c>
      <c r="X3553">
        <v>9.8866669999999992</v>
      </c>
      <c r="Y3553">
        <v>49.077499000000003</v>
      </c>
      <c r="Z3553" t="s">
        <v>3515</v>
      </c>
      <c r="AA3553" t="s">
        <v>211</v>
      </c>
      <c r="AB3553" t="s">
        <v>212</v>
      </c>
      <c r="AC3553" t="s">
        <v>3522</v>
      </c>
      <c r="AD3553" t="s">
        <v>960</v>
      </c>
      <c r="AE3553" t="s">
        <v>215</v>
      </c>
      <c r="AF3553" t="s">
        <v>3517</v>
      </c>
      <c r="AH3553" t="s">
        <v>72</v>
      </c>
      <c r="AI3553" t="s">
        <v>4413</v>
      </c>
      <c r="AJ3553">
        <v>2014</v>
      </c>
      <c r="AK3553" t="s">
        <v>3524</v>
      </c>
      <c r="AM3553" t="s">
        <v>3525</v>
      </c>
      <c r="AN3553" t="s">
        <v>192</v>
      </c>
      <c r="AO3553" t="s">
        <v>77</v>
      </c>
      <c r="AP3553" t="s">
        <v>78</v>
      </c>
      <c r="AQ3553" t="s">
        <v>3526</v>
      </c>
      <c r="AR3553" t="s">
        <v>80</v>
      </c>
      <c r="AS3553">
        <v>305</v>
      </c>
      <c r="AT3553" t="s">
        <v>81</v>
      </c>
      <c r="AU3553">
        <v>27.89</v>
      </c>
      <c r="AV3553">
        <v>28.77</v>
      </c>
      <c r="AW3553" t="s">
        <v>82</v>
      </c>
      <c r="AX3553">
        <v>305</v>
      </c>
      <c r="AY3553" t="s">
        <v>81</v>
      </c>
      <c r="AZ3553">
        <v>17.489999999999998</v>
      </c>
      <c r="BA3553">
        <v>16.25</v>
      </c>
      <c r="BB3553" t="s">
        <v>83</v>
      </c>
    </row>
    <row r="3554" spans="1:54" x14ac:dyDescent="0.4">
      <c r="A3554">
        <v>1142027</v>
      </c>
      <c r="D3554" t="s">
        <v>54</v>
      </c>
      <c r="G3554">
        <v>1</v>
      </c>
      <c r="H3554" t="s">
        <v>84</v>
      </c>
      <c r="I3554" t="s">
        <v>57</v>
      </c>
      <c r="K3554" t="s">
        <v>323</v>
      </c>
      <c r="L3554" t="s">
        <v>4412</v>
      </c>
      <c r="M3554" t="s">
        <v>60</v>
      </c>
      <c r="P3554" t="s">
        <v>182</v>
      </c>
      <c r="R3554" t="s">
        <v>183</v>
      </c>
      <c r="S3554" t="s">
        <v>64</v>
      </c>
      <c r="T3554">
        <v>239.7</v>
      </c>
      <c r="U3554">
        <v>237</v>
      </c>
      <c r="V3554">
        <f t="shared" si="110"/>
        <v>238.35</v>
      </c>
      <c r="W3554">
        <f t="shared" si="111"/>
        <v>2.6999999999999886</v>
      </c>
      <c r="X3554">
        <v>9.8894439999999992</v>
      </c>
      <c r="Y3554">
        <v>49.076388999999999</v>
      </c>
      <c r="Z3554" t="s">
        <v>3515</v>
      </c>
      <c r="AA3554" t="s">
        <v>211</v>
      </c>
      <c r="AB3554" t="s">
        <v>212</v>
      </c>
      <c r="AC3554" t="s">
        <v>3522</v>
      </c>
      <c r="AD3554" t="s">
        <v>960</v>
      </c>
      <c r="AE3554" t="s">
        <v>215</v>
      </c>
      <c r="AF3554" t="s">
        <v>3517</v>
      </c>
      <c r="AH3554" t="s">
        <v>72</v>
      </c>
      <c r="AI3554" t="s">
        <v>4413</v>
      </c>
      <c r="AJ3554">
        <v>2014</v>
      </c>
      <c r="AK3554" t="s">
        <v>4414</v>
      </c>
      <c r="AN3554" t="s">
        <v>114</v>
      </c>
      <c r="AO3554" t="s">
        <v>77</v>
      </c>
      <c r="AP3554" t="s">
        <v>115</v>
      </c>
      <c r="AQ3554" t="s">
        <v>4415</v>
      </c>
      <c r="AR3554" t="s">
        <v>80</v>
      </c>
      <c r="AS3554">
        <v>305</v>
      </c>
      <c r="AT3554" t="s">
        <v>81</v>
      </c>
      <c r="AU3554">
        <v>27.9</v>
      </c>
      <c r="AV3554">
        <v>28.77</v>
      </c>
      <c r="AW3554" t="s">
        <v>82</v>
      </c>
      <c r="AX3554">
        <v>305</v>
      </c>
      <c r="AY3554" t="s">
        <v>81</v>
      </c>
      <c r="AZ3554">
        <v>17.5</v>
      </c>
      <c r="BA3554">
        <v>16.25</v>
      </c>
      <c r="BB3554" t="s">
        <v>83</v>
      </c>
    </row>
    <row r="3555" spans="1:54" x14ac:dyDescent="0.4">
      <c r="A3555">
        <v>1142028</v>
      </c>
      <c r="D3555" t="s">
        <v>54</v>
      </c>
      <c r="E3555" t="s">
        <v>55</v>
      </c>
      <c r="F3555" t="s">
        <v>3466</v>
      </c>
      <c r="G3555">
        <v>2</v>
      </c>
      <c r="H3555" t="s">
        <v>421</v>
      </c>
      <c r="I3555" t="s">
        <v>57</v>
      </c>
      <c r="K3555" t="s">
        <v>323</v>
      </c>
      <c r="L3555" t="s">
        <v>4412</v>
      </c>
      <c r="M3555" t="s">
        <v>60</v>
      </c>
      <c r="P3555" t="s">
        <v>182</v>
      </c>
      <c r="R3555" t="s">
        <v>183</v>
      </c>
      <c r="S3555" t="s">
        <v>64</v>
      </c>
      <c r="T3555">
        <v>239.7</v>
      </c>
      <c r="U3555">
        <v>237</v>
      </c>
      <c r="V3555">
        <f t="shared" si="110"/>
        <v>238.35</v>
      </c>
      <c r="W3555">
        <f t="shared" si="111"/>
        <v>2.6999999999999886</v>
      </c>
      <c r="X3555">
        <v>9.6811109999999996</v>
      </c>
      <c r="Y3555">
        <v>49.214443000000003</v>
      </c>
      <c r="Z3555" t="s">
        <v>3515</v>
      </c>
      <c r="AA3555" t="s">
        <v>211</v>
      </c>
      <c r="AB3555" t="s">
        <v>212</v>
      </c>
      <c r="AC3555" t="s">
        <v>3516</v>
      </c>
      <c r="AD3555" t="s">
        <v>960</v>
      </c>
      <c r="AE3555" t="s">
        <v>215</v>
      </c>
      <c r="AF3555" t="s">
        <v>3517</v>
      </c>
      <c r="AH3555" t="s">
        <v>72</v>
      </c>
      <c r="AI3555" t="s">
        <v>4413</v>
      </c>
      <c r="AJ3555">
        <v>2014</v>
      </c>
      <c r="AK3555" t="s">
        <v>3519</v>
      </c>
      <c r="AM3555" t="s">
        <v>3520</v>
      </c>
      <c r="AN3555" t="s">
        <v>76</v>
      </c>
      <c r="AO3555" t="s">
        <v>77</v>
      </c>
      <c r="AP3555" t="s">
        <v>78</v>
      </c>
      <c r="AQ3555" t="s">
        <v>3521</v>
      </c>
      <c r="AR3555" t="s">
        <v>80</v>
      </c>
      <c r="AS3555">
        <v>305</v>
      </c>
      <c r="AT3555" t="s">
        <v>81</v>
      </c>
      <c r="AU3555">
        <v>27.71</v>
      </c>
      <c r="AV3555">
        <v>28.87</v>
      </c>
      <c r="AW3555" t="s">
        <v>82</v>
      </c>
      <c r="AX3555">
        <v>305</v>
      </c>
      <c r="AY3555" t="s">
        <v>81</v>
      </c>
      <c r="AZ3555">
        <v>17.3</v>
      </c>
      <c r="BA3555">
        <v>16.309999999999999</v>
      </c>
      <c r="BB3555" t="s">
        <v>83</v>
      </c>
    </row>
    <row r="3556" spans="1:54" x14ac:dyDescent="0.4">
      <c r="A3556">
        <v>1142046</v>
      </c>
      <c r="D3556" t="s">
        <v>54</v>
      </c>
      <c r="G3556">
        <v>1</v>
      </c>
      <c r="H3556" t="s">
        <v>84</v>
      </c>
      <c r="I3556" t="s">
        <v>57</v>
      </c>
      <c r="K3556" t="s">
        <v>323</v>
      </c>
      <c r="L3556" t="s">
        <v>4412</v>
      </c>
      <c r="M3556" t="s">
        <v>60</v>
      </c>
      <c r="P3556" t="s">
        <v>182</v>
      </c>
      <c r="R3556" t="s">
        <v>183</v>
      </c>
      <c r="S3556" t="s">
        <v>64</v>
      </c>
      <c r="T3556">
        <v>239.7</v>
      </c>
      <c r="U3556">
        <v>237</v>
      </c>
      <c r="V3556">
        <f t="shared" si="110"/>
        <v>238.35</v>
      </c>
      <c r="W3556">
        <f t="shared" si="111"/>
        <v>2.6999999999999886</v>
      </c>
      <c r="X3556">
        <v>9.3783329999999996</v>
      </c>
      <c r="Y3556">
        <v>48.955554999999997</v>
      </c>
      <c r="Z3556" t="s">
        <v>3515</v>
      </c>
      <c r="AA3556" t="s">
        <v>211</v>
      </c>
      <c r="AB3556" t="s">
        <v>212</v>
      </c>
      <c r="AD3556" t="s">
        <v>960</v>
      </c>
      <c r="AE3556" t="s">
        <v>215</v>
      </c>
      <c r="AH3556" t="s">
        <v>72</v>
      </c>
      <c r="AI3556" t="s">
        <v>4413</v>
      </c>
      <c r="AJ3556">
        <v>2014</v>
      </c>
      <c r="AK3556" t="s">
        <v>4416</v>
      </c>
      <c r="AN3556" t="s">
        <v>192</v>
      </c>
      <c r="AO3556" t="s">
        <v>77</v>
      </c>
      <c r="AP3556" t="s">
        <v>78</v>
      </c>
      <c r="AR3556" t="s">
        <v>80</v>
      </c>
      <c r="AS3556">
        <v>305</v>
      </c>
      <c r="AT3556" t="s">
        <v>81</v>
      </c>
      <c r="AU3556">
        <v>27.56</v>
      </c>
      <c r="AV3556">
        <v>28.57</v>
      </c>
      <c r="AW3556" t="s">
        <v>82</v>
      </c>
      <c r="AX3556">
        <v>305</v>
      </c>
      <c r="AY3556" t="s">
        <v>81</v>
      </c>
      <c r="AZ3556">
        <v>17.239999999999998</v>
      </c>
      <c r="BA3556">
        <v>15.99</v>
      </c>
      <c r="BB3556" t="s">
        <v>83</v>
      </c>
    </row>
    <row r="3557" spans="1:54" x14ac:dyDescent="0.4">
      <c r="A3557">
        <v>1285800</v>
      </c>
      <c r="D3557" t="s">
        <v>54</v>
      </c>
      <c r="E3557" t="s">
        <v>55</v>
      </c>
      <c r="F3557" t="s">
        <v>3466</v>
      </c>
      <c r="G3557">
        <v>20</v>
      </c>
      <c r="H3557" t="s">
        <v>84</v>
      </c>
      <c r="I3557" t="s">
        <v>57</v>
      </c>
      <c r="K3557" t="s">
        <v>141</v>
      </c>
      <c r="L3557" t="s">
        <v>4544</v>
      </c>
      <c r="M3557" t="s">
        <v>60</v>
      </c>
      <c r="P3557" t="s">
        <v>182</v>
      </c>
      <c r="R3557" t="s">
        <v>183</v>
      </c>
      <c r="S3557" t="s">
        <v>64</v>
      </c>
      <c r="T3557">
        <v>239.7</v>
      </c>
      <c r="U3557">
        <v>237</v>
      </c>
      <c r="V3557">
        <f t="shared" si="110"/>
        <v>238.35</v>
      </c>
      <c r="W3557">
        <f t="shared" si="111"/>
        <v>2.6999999999999886</v>
      </c>
      <c r="X3557">
        <v>9.8866669999999992</v>
      </c>
      <c r="Y3557">
        <v>49.077499000000003</v>
      </c>
      <c r="Z3557" t="s">
        <v>3515</v>
      </c>
      <c r="AA3557" t="s">
        <v>211</v>
      </c>
      <c r="AB3557" t="s">
        <v>212</v>
      </c>
      <c r="AC3557" t="s">
        <v>3522</v>
      </c>
      <c r="AD3557" t="s">
        <v>960</v>
      </c>
      <c r="AE3557" t="s">
        <v>215</v>
      </c>
      <c r="AF3557" t="s">
        <v>3517</v>
      </c>
      <c r="AH3557" t="s">
        <v>72</v>
      </c>
      <c r="AI3557" t="s">
        <v>4413</v>
      </c>
      <c r="AJ3557">
        <v>2015</v>
      </c>
      <c r="AK3557" t="s">
        <v>3524</v>
      </c>
      <c r="AM3557" t="s">
        <v>3525</v>
      </c>
      <c r="AN3557" t="s">
        <v>192</v>
      </c>
      <c r="AO3557" t="s">
        <v>77</v>
      </c>
      <c r="AP3557" t="s">
        <v>78</v>
      </c>
      <c r="AQ3557" t="s">
        <v>3526</v>
      </c>
      <c r="AR3557" t="s">
        <v>80</v>
      </c>
      <c r="AS3557">
        <v>305</v>
      </c>
      <c r="AT3557" t="s">
        <v>81</v>
      </c>
      <c r="AU3557">
        <v>27.89</v>
      </c>
      <c r="AV3557">
        <v>28.77</v>
      </c>
      <c r="AW3557" t="s">
        <v>82</v>
      </c>
      <c r="AX3557">
        <v>305</v>
      </c>
      <c r="AY3557" t="s">
        <v>81</v>
      </c>
      <c r="AZ3557">
        <v>17.489999999999998</v>
      </c>
      <c r="BA3557">
        <v>16.25</v>
      </c>
      <c r="BB3557" t="s">
        <v>83</v>
      </c>
    </row>
    <row r="3558" spans="1:54" x14ac:dyDescent="0.4">
      <c r="A3558">
        <v>1374081</v>
      </c>
      <c r="D3558" t="s">
        <v>54</v>
      </c>
      <c r="I3558" t="s">
        <v>57</v>
      </c>
      <c r="K3558" t="s">
        <v>141</v>
      </c>
      <c r="L3558" t="s">
        <v>959</v>
      </c>
      <c r="M3558" t="s">
        <v>60</v>
      </c>
      <c r="P3558" t="s">
        <v>182</v>
      </c>
      <c r="R3558" t="s">
        <v>183</v>
      </c>
      <c r="S3558" t="s">
        <v>64</v>
      </c>
      <c r="T3558">
        <v>239.7</v>
      </c>
      <c r="U3558">
        <v>237</v>
      </c>
      <c r="V3558">
        <f t="shared" si="110"/>
        <v>238.35</v>
      </c>
      <c r="W3558">
        <f t="shared" si="111"/>
        <v>2.6999999999999886</v>
      </c>
      <c r="X3558">
        <v>9.1999999999999993</v>
      </c>
      <c r="Y3558">
        <v>48.900002000000001</v>
      </c>
      <c r="Z3558" t="s">
        <v>3515</v>
      </c>
      <c r="AA3558" t="s">
        <v>211</v>
      </c>
      <c r="AB3558" t="s">
        <v>212</v>
      </c>
      <c r="AC3558" t="s">
        <v>4085</v>
      </c>
      <c r="AD3558" t="s">
        <v>960</v>
      </c>
      <c r="AF3558" t="s">
        <v>3517</v>
      </c>
      <c r="AH3558" t="s">
        <v>72</v>
      </c>
      <c r="AI3558" t="s">
        <v>693</v>
      </c>
      <c r="AJ3558">
        <v>1914</v>
      </c>
      <c r="AK3558" t="s">
        <v>4086</v>
      </c>
      <c r="AN3558" t="s">
        <v>114</v>
      </c>
      <c r="AO3558" t="s">
        <v>160</v>
      </c>
      <c r="AP3558" t="s">
        <v>115</v>
      </c>
      <c r="AQ3558" t="s">
        <v>4087</v>
      </c>
      <c r="AR3558" t="s">
        <v>80</v>
      </c>
      <c r="AS3558">
        <v>305</v>
      </c>
      <c r="AT3558" t="s">
        <v>81</v>
      </c>
      <c r="AU3558">
        <v>27.45</v>
      </c>
      <c r="AV3558">
        <v>28.49</v>
      </c>
      <c r="AW3558" t="s">
        <v>82</v>
      </c>
      <c r="AX3558">
        <v>305</v>
      </c>
      <c r="AY3558" t="s">
        <v>81</v>
      </c>
      <c r="AZ3558">
        <v>17.149999999999999</v>
      </c>
      <c r="BA3558">
        <v>15.89</v>
      </c>
      <c r="BB3558" t="s">
        <v>83</v>
      </c>
    </row>
    <row r="3559" spans="1:54" x14ac:dyDescent="0.4">
      <c r="A3559">
        <v>1406769</v>
      </c>
      <c r="D3559" t="s">
        <v>54</v>
      </c>
      <c r="E3559" t="s">
        <v>55</v>
      </c>
      <c r="G3559">
        <v>1</v>
      </c>
      <c r="H3559" t="s">
        <v>56</v>
      </c>
      <c r="I3559" t="s">
        <v>57</v>
      </c>
      <c r="K3559" t="s">
        <v>141</v>
      </c>
      <c r="L3559" t="s">
        <v>4941</v>
      </c>
      <c r="M3559" t="s">
        <v>60</v>
      </c>
      <c r="P3559" t="s">
        <v>224</v>
      </c>
      <c r="Q3559" t="s">
        <v>4942</v>
      </c>
      <c r="R3559" t="s">
        <v>183</v>
      </c>
      <c r="S3559" t="s">
        <v>64</v>
      </c>
      <c r="T3559">
        <v>246.7</v>
      </c>
      <c r="U3559">
        <v>242</v>
      </c>
      <c r="V3559">
        <f t="shared" si="110"/>
        <v>244.35</v>
      </c>
      <c r="W3559">
        <f t="shared" si="111"/>
        <v>4.6999999999999886</v>
      </c>
      <c r="X3559">
        <v>12.116389</v>
      </c>
      <c r="Y3559">
        <v>46.735832000000002</v>
      </c>
      <c r="Z3559" t="s">
        <v>1004</v>
      </c>
      <c r="AA3559" t="s">
        <v>593</v>
      </c>
      <c r="AB3559" t="s">
        <v>4943</v>
      </c>
      <c r="AD3559" t="s">
        <v>4944</v>
      </c>
      <c r="AH3559" t="s">
        <v>72</v>
      </c>
      <c r="AI3559" t="s">
        <v>4945</v>
      </c>
      <c r="AJ3559">
        <v>2003</v>
      </c>
      <c r="AK3559" t="s">
        <v>4946</v>
      </c>
      <c r="AN3559" t="s">
        <v>192</v>
      </c>
      <c r="AO3559" t="s">
        <v>77</v>
      </c>
      <c r="AP3559" t="s">
        <v>115</v>
      </c>
      <c r="AQ3559" t="s">
        <v>4947</v>
      </c>
      <c r="AR3559" t="s">
        <v>80</v>
      </c>
      <c r="AS3559">
        <v>307</v>
      </c>
      <c r="AT3559" t="s">
        <v>81</v>
      </c>
      <c r="AU3559">
        <v>36.049999999999997</v>
      </c>
      <c r="AV3559">
        <v>15.08</v>
      </c>
      <c r="AW3559" t="s">
        <v>82</v>
      </c>
      <c r="AX3559">
        <v>307</v>
      </c>
      <c r="AY3559" t="s">
        <v>81</v>
      </c>
      <c r="AZ3559">
        <v>24.3</v>
      </c>
      <c r="BA3559">
        <v>6.45</v>
      </c>
      <c r="BB3559" t="s">
        <v>83</v>
      </c>
    </row>
    <row r="3560" spans="1:54" x14ac:dyDescent="0.4">
      <c r="A3560">
        <v>1406772</v>
      </c>
      <c r="D3560" t="s">
        <v>54</v>
      </c>
      <c r="E3560" t="s">
        <v>55</v>
      </c>
      <c r="F3560" t="s">
        <v>3466</v>
      </c>
      <c r="G3560">
        <v>15</v>
      </c>
      <c r="H3560" t="s">
        <v>84</v>
      </c>
      <c r="I3560" t="s">
        <v>57</v>
      </c>
      <c r="K3560" t="s">
        <v>141</v>
      </c>
      <c r="L3560" t="s">
        <v>4952</v>
      </c>
      <c r="M3560" t="s">
        <v>60</v>
      </c>
      <c r="P3560" t="s">
        <v>182</v>
      </c>
      <c r="R3560" t="s">
        <v>183</v>
      </c>
      <c r="S3560" t="s">
        <v>64</v>
      </c>
      <c r="T3560">
        <v>239.7</v>
      </c>
      <c r="U3560">
        <v>237</v>
      </c>
      <c r="V3560">
        <f t="shared" si="110"/>
        <v>238.35</v>
      </c>
      <c r="W3560">
        <f t="shared" si="111"/>
        <v>2.6999999999999886</v>
      </c>
      <c r="X3560">
        <v>9.8866669999999992</v>
      </c>
      <c r="Y3560">
        <v>49.077499000000003</v>
      </c>
      <c r="Z3560" t="s">
        <v>3515</v>
      </c>
      <c r="AA3560" t="s">
        <v>211</v>
      </c>
      <c r="AB3560" t="s">
        <v>212</v>
      </c>
      <c r="AC3560" t="s">
        <v>3522</v>
      </c>
      <c r="AD3560" t="s">
        <v>960</v>
      </c>
      <c r="AE3560" t="s">
        <v>215</v>
      </c>
      <c r="AF3560" t="s">
        <v>3517</v>
      </c>
      <c r="AH3560" t="s">
        <v>72</v>
      </c>
      <c r="AI3560" t="s">
        <v>4413</v>
      </c>
      <c r="AJ3560">
        <v>2018</v>
      </c>
      <c r="AK3560" t="s">
        <v>3524</v>
      </c>
      <c r="AM3560" t="s">
        <v>3525</v>
      </c>
      <c r="AN3560" t="s">
        <v>192</v>
      </c>
      <c r="AO3560" t="s">
        <v>77</v>
      </c>
      <c r="AP3560" t="s">
        <v>78</v>
      </c>
      <c r="AQ3560" t="s">
        <v>3526</v>
      </c>
      <c r="AR3560" t="s">
        <v>80</v>
      </c>
      <c r="AS3560">
        <v>305</v>
      </c>
      <c r="AT3560" t="s">
        <v>81</v>
      </c>
      <c r="AU3560">
        <v>27.89</v>
      </c>
      <c r="AV3560">
        <v>28.77</v>
      </c>
      <c r="AW3560" t="s">
        <v>82</v>
      </c>
      <c r="AX3560">
        <v>305</v>
      </c>
      <c r="AY3560" t="s">
        <v>81</v>
      </c>
      <c r="AZ3560">
        <v>17.489999999999998</v>
      </c>
      <c r="BA3560">
        <v>16.25</v>
      </c>
      <c r="BB3560" t="s">
        <v>83</v>
      </c>
    </row>
    <row r="3561" spans="1:54" x14ac:dyDescent="0.4">
      <c r="A3561">
        <v>1415008</v>
      </c>
      <c r="D3561" t="s">
        <v>54</v>
      </c>
      <c r="E3561" t="s">
        <v>152</v>
      </c>
      <c r="I3561" t="s">
        <v>57</v>
      </c>
      <c r="K3561" t="s">
        <v>221</v>
      </c>
      <c r="L3561" t="s">
        <v>3199</v>
      </c>
      <c r="M3561" t="s">
        <v>223</v>
      </c>
      <c r="P3561" t="s">
        <v>224</v>
      </c>
      <c r="Q3561" t="s">
        <v>4942</v>
      </c>
      <c r="R3561" t="s">
        <v>183</v>
      </c>
      <c r="S3561" t="s">
        <v>64</v>
      </c>
      <c r="T3561">
        <v>246.7</v>
      </c>
      <c r="U3561">
        <v>242</v>
      </c>
      <c r="V3561">
        <f t="shared" si="110"/>
        <v>244.35</v>
      </c>
      <c r="W3561">
        <f t="shared" si="111"/>
        <v>4.6999999999999886</v>
      </c>
      <c r="X3561">
        <v>18.166668000000001</v>
      </c>
      <c r="Y3561">
        <v>50.583331999999999</v>
      </c>
      <c r="Z3561" t="s">
        <v>3447</v>
      </c>
      <c r="AA3561" t="s">
        <v>697</v>
      </c>
      <c r="AD3561" t="s">
        <v>5030</v>
      </c>
      <c r="AE3561" t="s">
        <v>1378</v>
      </c>
      <c r="AH3561" t="s">
        <v>72</v>
      </c>
      <c r="AI3561" t="s">
        <v>5031</v>
      </c>
      <c r="AJ3561">
        <v>1928</v>
      </c>
      <c r="AK3561" t="s">
        <v>5032</v>
      </c>
      <c r="AM3561" t="s">
        <v>5033</v>
      </c>
      <c r="AN3561" t="s">
        <v>192</v>
      </c>
      <c r="AO3561" t="s">
        <v>160</v>
      </c>
      <c r="AP3561" t="s">
        <v>78</v>
      </c>
      <c r="AR3561" t="s">
        <v>80</v>
      </c>
      <c r="AS3561">
        <v>305</v>
      </c>
      <c r="AT3561" t="s">
        <v>81</v>
      </c>
      <c r="AU3561">
        <v>34.58</v>
      </c>
      <c r="AV3561">
        <v>30.64</v>
      </c>
      <c r="AW3561" t="s">
        <v>82</v>
      </c>
      <c r="AX3561">
        <v>305</v>
      </c>
      <c r="AY3561" t="s">
        <v>81</v>
      </c>
      <c r="AZ3561">
        <v>24.05</v>
      </c>
      <c r="BA3561">
        <v>18.649999999999999</v>
      </c>
      <c r="BB3561" t="s">
        <v>83</v>
      </c>
    </row>
    <row r="3562" spans="1:54" x14ac:dyDescent="0.4">
      <c r="A3562">
        <v>1415011</v>
      </c>
      <c r="D3562" t="s">
        <v>853</v>
      </c>
      <c r="F3562" t="s">
        <v>2523</v>
      </c>
      <c r="I3562" t="s">
        <v>57</v>
      </c>
      <c r="K3562" t="s">
        <v>221</v>
      </c>
      <c r="L3562" t="s">
        <v>222</v>
      </c>
      <c r="M3562" t="s">
        <v>223</v>
      </c>
      <c r="P3562" t="s">
        <v>182</v>
      </c>
      <c r="R3562" t="s">
        <v>183</v>
      </c>
      <c r="S3562" t="s">
        <v>64</v>
      </c>
      <c r="T3562">
        <v>239.7</v>
      </c>
      <c r="U3562">
        <v>237</v>
      </c>
      <c r="V3562">
        <f t="shared" si="110"/>
        <v>238.35</v>
      </c>
      <c r="W3562">
        <f t="shared" si="111"/>
        <v>2.6999999999999886</v>
      </c>
      <c r="X3562">
        <v>8.9</v>
      </c>
      <c r="Y3562">
        <v>45.884998000000003</v>
      </c>
      <c r="Z3562" t="s">
        <v>1415</v>
      </c>
      <c r="AA3562" t="s">
        <v>593</v>
      </c>
      <c r="AD3562" t="s">
        <v>3799</v>
      </c>
      <c r="AF3562" t="s">
        <v>4200</v>
      </c>
      <c r="AH3562" t="s">
        <v>72</v>
      </c>
      <c r="AI3562" t="s">
        <v>5024</v>
      </c>
      <c r="AJ3562">
        <v>1995</v>
      </c>
      <c r="AK3562" t="s">
        <v>4201</v>
      </c>
      <c r="AN3562" t="s">
        <v>114</v>
      </c>
      <c r="AO3562">
        <v>3</v>
      </c>
      <c r="AP3562" t="s">
        <v>78</v>
      </c>
      <c r="AR3562" t="s">
        <v>80</v>
      </c>
      <c r="AS3562">
        <v>307</v>
      </c>
      <c r="AT3562" t="s">
        <v>81</v>
      </c>
      <c r="AU3562">
        <v>33.36</v>
      </c>
      <c r="AV3562">
        <v>18.13</v>
      </c>
      <c r="AW3562" t="s">
        <v>82</v>
      </c>
      <c r="AX3562">
        <v>307</v>
      </c>
      <c r="AY3562" t="s">
        <v>81</v>
      </c>
      <c r="AZ3562">
        <v>20.16</v>
      </c>
      <c r="BA3562">
        <v>8.8800000000000008</v>
      </c>
      <c r="BB3562" t="s">
        <v>83</v>
      </c>
    </row>
    <row r="3563" spans="1:54" x14ac:dyDescent="0.4">
      <c r="A3563">
        <v>1415012</v>
      </c>
      <c r="D3563" t="s">
        <v>54</v>
      </c>
      <c r="I3563" t="s">
        <v>57</v>
      </c>
      <c r="K3563" t="s">
        <v>771</v>
      </c>
      <c r="L3563" t="s">
        <v>3368</v>
      </c>
      <c r="M3563" t="s">
        <v>223</v>
      </c>
      <c r="P3563" t="s">
        <v>182</v>
      </c>
      <c r="R3563" t="s">
        <v>183</v>
      </c>
      <c r="S3563" t="s">
        <v>64</v>
      </c>
      <c r="T3563">
        <v>239.7</v>
      </c>
      <c r="U3563">
        <v>237</v>
      </c>
      <c r="V3563">
        <f t="shared" si="110"/>
        <v>238.35</v>
      </c>
      <c r="W3563">
        <f t="shared" si="111"/>
        <v>2.6999999999999886</v>
      </c>
      <c r="X3563">
        <v>13.743611</v>
      </c>
      <c r="Y3563">
        <v>46.658611000000001</v>
      </c>
      <c r="Z3563" t="s">
        <v>520</v>
      </c>
      <c r="AA3563" t="s">
        <v>712</v>
      </c>
      <c r="AB3563" t="s">
        <v>5034</v>
      </c>
      <c r="AC3563" t="s">
        <v>5035</v>
      </c>
      <c r="AD3563" t="s">
        <v>5036</v>
      </c>
      <c r="AH3563" t="s">
        <v>72</v>
      </c>
      <c r="AI3563" t="s">
        <v>2013</v>
      </c>
      <c r="AJ3563">
        <v>1993</v>
      </c>
      <c r="AK3563" t="s">
        <v>5037</v>
      </c>
      <c r="AM3563" t="s">
        <v>5038</v>
      </c>
      <c r="AN3563" t="s">
        <v>192</v>
      </c>
      <c r="AO3563" t="s">
        <v>77</v>
      </c>
      <c r="AP3563" t="s">
        <v>78</v>
      </c>
      <c r="AQ3563" t="s">
        <v>5039</v>
      </c>
      <c r="AR3563" t="s">
        <v>80</v>
      </c>
      <c r="AS3563">
        <v>307</v>
      </c>
      <c r="AT3563" t="s">
        <v>81</v>
      </c>
      <c r="AU3563">
        <v>35.729999999999997</v>
      </c>
      <c r="AV3563">
        <v>15.55</v>
      </c>
      <c r="AW3563" t="s">
        <v>82</v>
      </c>
      <c r="AX3563">
        <v>307</v>
      </c>
      <c r="AY3563" t="s">
        <v>81</v>
      </c>
      <c r="AZ3563">
        <v>23.37</v>
      </c>
      <c r="BA3563">
        <v>7.57</v>
      </c>
      <c r="BB3563" t="s">
        <v>83</v>
      </c>
    </row>
    <row r="3564" spans="1:54" x14ac:dyDescent="0.4">
      <c r="A3564">
        <v>1415013</v>
      </c>
      <c r="D3564" t="s">
        <v>54</v>
      </c>
      <c r="I3564" t="s">
        <v>57</v>
      </c>
      <c r="K3564" t="s">
        <v>221</v>
      </c>
      <c r="L3564" t="s">
        <v>222</v>
      </c>
      <c r="M3564" t="s">
        <v>223</v>
      </c>
      <c r="P3564" t="s">
        <v>182</v>
      </c>
      <c r="R3564" t="s">
        <v>183</v>
      </c>
      <c r="S3564" t="s">
        <v>64</v>
      </c>
      <c r="T3564">
        <v>239.7</v>
      </c>
      <c r="U3564">
        <v>237</v>
      </c>
      <c r="V3564">
        <f t="shared" si="110"/>
        <v>238.35</v>
      </c>
      <c r="W3564">
        <f t="shared" si="111"/>
        <v>2.6999999999999886</v>
      </c>
      <c r="X3564">
        <v>13.743611</v>
      </c>
      <c r="Y3564">
        <v>46.658611000000001</v>
      </c>
      <c r="Z3564" t="s">
        <v>520</v>
      </c>
      <c r="AA3564" t="s">
        <v>712</v>
      </c>
      <c r="AB3564" t="s">
        <v>5034</v>
      </c>
      <c r="AC3564" t="s">
        <v>5035</v>
      </c>
      <c r="AD3564" t="s">
        <v>5036</v>
      </c>
      <c r="AH3564" t="s">
        <v>72</v>
      </c>
      <c r="AI3564" t="s">
        <v>2013</v>
      </c>
      <c r="AJ3564">
        <v>1993</v>
      </c>
      <c r="AK3564" t="s">
        <v>5037</v>
      </c>
      <c r="AM3564" t="s">
        <v>5038</v>
      </c>
      <c r="AN3564" t="s">
        <v>192</v>
      </c>
      <c r="AO3564" t="s">
        <v>77</v>
      </c>
      <c r="AP3564" t="s">
        <v>78</v>
      </c>
      <c r="AQ3564" t="s">
        <v>5039</v>
      </c>
      <c r="AR3564" t="s">
        <v>80</v>
      </c>
      <c r="AS3564">
        <v>307</v>
      </c>
      <c r="AT3564" t="s">
        <v>81</v>
      </c>
      <c r="AU3564">
        <v>35.729999999999997</v>
      </c>
      <c r="AV3564">
        <v>15.55</v>
      </c>
      <c r="AW3564" t="s">
        <v>82</v>
      </c>
      <c r="AX3564">
        <v>307</v>
      </c>
      <c r="AY3564" t="s">
        <v>81</v>
      </c>
      <c r="AZ3564">
        <v>23.37</v>
      </c>
      <c r="BA3564">
        <v>7.57</v>
      </c>
      <c r="BB3564" t="s">
        <v>83</v>
      </c>
    </row>
    <row r="3565" spans="1:54" x14ac:dyDescent="0.4">
      <c r="A3565">
        <v>1415537</v>
      </c>
      <c r="D3565" t="s">
        <v>853</v>
      </c>
      <c r="E3565" t="s">
        <v>310</v>
      </c>
      <c r="F3565" t="s">
        <v>2523</v>
      </c>
      <c r="I3565" t="s">
        <v>57</v>
      </c>
      <c r="K3565" t="s">
        <v>1822</v>
      </c>
      <c r="L3565" t="s">
        <v>1823</v>
      </c>
      <c r="M3565" t="s">
        <v>223</v>
      </c>
      <c r="N3565" t="s">
        <v>1126</v>
      </c>
      <c r="O3565" t="s">
        <v>345</v>
      </c>
      <c r="P3565" t="s">
        <v>182</v>
      </c>
      <c r="R3565" t="s">
        <v>183</v>
      </c>
      <c r="S3565" t="s">
        <v>64</v>
      </c>
      <c r="T3565">
        <v>239.7</v>
      </c>
      <c r="U3565">
        <v>237</v>
      </c>
      <c r="V3565">
        <f t="shared" si="110"/>
        <v>238.35</v>
      </c>
      <c r="W3565">
        <f t="shared" si="111"/>
        <v>2.6999999999999886</v>
      </c>
      <c r="X3565">
        <v>104.745003</v>
      </c>
      <c r="Y3565">
        <v>25.132999000000002</v>
      </c>
      <c r="Z3565" t="s">
        <v>520</v>
      </c>
      <c r="AA3565" t="s">
        <v>379</v>
      </c>
      <c r="AB3565" t="s">
        <v>682</v>
      </c>
      <c r="AC3565" t="s">
        <v>3377</v>
      </c>
      <c r="AD3565" t="s">
        <v>3251</v>
      </c>
      <c r="AF3565" t="s">
        <v>3260</v>
      </c>
      <c r="AH3565" t="s">
        <v>72</v>
      </c>
      <c r="AI3565" t="s">
        <v>3565</v>
      </c>
      <c r="AJ3565">
        <v>2011</v>
      </c>
      <c r="AK3565" t="s">
        <v>3378</v>
      </c>
      <c r="AN3565" t="s">
        <v>192</v>
      </c>
      <c r="AO3565">
        <v>3</v>
      </c>
      <c r="AQ3565" t="s">
        <v>3379</v>
      </c>
      <c r="AR3565" t="s">
        <v>80</v>
      </c>
      <c r="AS3565">
        <v>611</v>
      </c>
      <c r="AT3565" t="s">
        <v>81</v>
      </c>
      <c r="AU3565">
        <v>108.49</v>
      </c>
      <c r="AV3565">
        <v>-6.72</v>
      </c>
      <c r="AW3565" t="s">
        <v>82</v>
      </c>
      <c r="AX3565">
        <v>611</v>
      </c>
      <c r="AY3565" t="s">
        <v>81</v>
      </c>
      <c r="AZ3565">
        <v>93.83</v>
      </c>
      <c r="BA3565">
        <v>16.78</v>
      </c>
      <c r="BB3565" t="s">
        <v>83</v>
      </c>
    </row>
    <row r="3566" spans="1:54" x14ac:dyDescent="0.4">
      <c r="A3566">
        <v>1415694</v>
      </c>
      <c r="D3566" t="s">
        <v>853</v>
      </c>
      <c r="E3566" t="s">
        <v>310</v>
      </c>
      <c r="F3566" t="s">
        <v>2523</v>
      </c>
      <c r="I3566" t="s">
        <v>57</v>
      </c>
      <c r="K3566" t="s">
        <v>141</v>
      </c>
      <c r="L3566" t="s">
        <v>5061</v>
      </c>
      <c r="M3566" t="s">
        <v>223</v>
      </c>
      <c r="P3566" t="s">
        <v>182</v>
      </c>
      <c r="R3566" t="s">
        <v>183</v>
      </c>
      <c r="S3566" t="s">
        <v>64</v>
      </c>
      <c r="T3566">
        <v>239.7</v>
      </c>
      <c r="U3566">
        <v>237</v>
      </c>
      <c r="V3566">
        <f t="shared" si="110"/>
        <v>238.35</v>
      </c>
      <c r="W3566">
        <f t="shared" si="111"/>
        <v>2.6999999999999886</v>
      </c>
      <c r="X3566">
        <v>104.745003</v>
      </c>
      <c r="Y3566">
        <v>25.132999000000002</v>
      </c>
      <c r="Z3566" t="s">
        <v>520</v>
      </c>
      <c r="AA3566" t="s">
        <v>379</v>
      </c>
      <c r="AB3566" t="s">
        <v>682</v>
      </c>
      <c r="AC3566" t="s">
        <v>3377</v>
      </c>
      <c r="AD3566" t="s">
        <v>3251</v>
      </c>
      <c r="AF3566" t="s">
        <v>3260</v>
      </c>
      <c r="AH3566" t="s">
        <v>72</v>
      </c>
      <c r="AI3566" t="s">
        <v>5062</v>
      </c>
      <c r="AJ3566">
        <v>2015</v>
      </c>
      <c r="AK3566" t="s">
        <v>3378</v>
      </c>
      <c r="AN3566" t="s">
        <v>192</v>
      </c>
      <c r="AO3566">
        <v>3</v>
      </c>
      <c r="AQ3566" t="s">
        <v>3379</v>
      </c>
      <c r="AR3566" t="s">
        <v>80</v>
      </c>
      <c r="AS3566">
        <v>611</v>
      </c>
      <c r="AT3566" t="s">
        <v>81</v>
      </c>
      <c r="AU3566">
        <v>108.49</v>
      </c>
      <c r="AV3566">
        <v>-6.72</v>
      </c>
      <c r="AW3566" t="s">
        <v>82</v>
      </c>
      <c r="AX3566">
        <v>611</v>
      </c>
      <c r="AY3566" t="s">
        <v>81</v>
      </c>
      <c r="AZ3566">
        <v>93.83</v>
      </c>
      <c r="BA3566">
        <v>16.78</v>
      </c>
      <c r="BB3566" t="s">
        <v>83</v>
      </c>
    </row>
    <row r="3567" spans="1:54" x14ac:dyDescent="0.4">
      <c r="A3567">
        <v>1417409</v>
      </c>
      <c r="D3567" t="s">
        <v>54</v>
      </c>
      <c r="I3567" t="s">
        <v>57</v>
      </c>
      <c r="K3567" t="s">
        <v>1822</v>
      </c>
      <c r="L3567" t="s">
        <v>4620</v>
      </c>
      <c r="M3567" t="s">
        <v>223</v>
      </c>
      <c r="N3567" t="s">
        <v>1126</v>
      </c>
      <c r="O3567" t="s">
        <v>345</v>
      </c>
      <c r="P3567" t="s">
        <v>182</v>
      </c>
      <c r="R3567" t="s">
        <v>183</v>
      </c>
      <c r="S3567" t="s">
        <v>64</v>
      </c>
      <c r="T3567">
        <v>239.7</v>
      </c>
      <c r="U3567">
        <v>237</v>
      </c>
      <c r="V3567">
        <f t="shared" si="110"/>
        <v>238.35</v>
      </c>
      <c r="W3567">
        <f t="shared" si="111"/>
        <v>2.6999999999999886</v>
      </c>
      <c r="X3567">
        <v>104.491112</v>
      </c>
      <c r="Y3567">
        <v>24.975555</v>
      </c>
      <c r="Z3567" t="s">
        <v>520</v>
      </c>
      <c r="AA3567" t="s">
        <v>379</v>
      </c>
      <c r="AB3567" t="s">
        <v>828</v>
      </c>
      <c r="AC3567" t="s">
        <v>3856</v>
      </c>
      <c r="AD3567" t="s">
        <v>5141</v>
      </c>
      <c r="AF3567" t="s">
        <v>5142</v>
      </c>
      <c r="AG3567" t="s">
        <v>5143</v>
      </c>
      <c r="AH3567" t="s">
        <v>11</v>
      </c>
      <c r="AI3567" t="s">
        <v>5144</v>
      </c>
      <c r="AJ3567">
        <v>2005</v>
      </c>
      <c r="AK3567" t="s">
        <v>5145</v>
      </c>
      <c r="AN3567" t="s">
        <v>76</v>
      </c>
      <c r="AO3567" t="s">
        <v>77</v>
      </c>
      <c r="AP3567" t="s">
        <v>359</v>
      </c>
      <c r="AR3567" t="s">
        <v>80</v>
      </c>
      <c r="AS3567">
        <v>611</v>
      </c>
      <c r="AT3567" t="s">
        <v>81</v>
      </c>
      <c r="AU3567">
        <v>108.25</v>
      </c>
      <c r="AV3567">
        <v>-6.87</v>
      </c>
      <c r="AW3567" t="s">
        <v>82</v>
      </c>
      <c r="AX3567">
        <v>611</v>
      </c>
      <c r="AY3567" t="s">
        <v>81</v>
      </c>
      <c r="AZ3567">
        <v>93.7</v>
      </c>
      <c r="BA3567">
        <v>16.53</v>
      </c>
      <c r="BB3567" t="s">
        <v>83</v>
      </c>
    </row>
    <row r="3568" spans="1:54" x14ac:dyDescent="0.4">
      <c r="A3568">
        <v>1417410</v>
      </c>
      <c r="D3568" t="s">
        <v>54</v>
      </c>
      <c r="I3568" t="s">
        <v>57</v>
      </c>
      <c r="K3568" t="s">
        <v>3362</v>
      </c>
      <c r="L3568" t="s">
        <v>3363</v>
      </c>
      <c r="M3568" t="s">
        <v>223</v>
      </c>
      <c r="P3568" t="s">
        <v>182</v>
      </c>
      <c r="R3568" t="s">
        <v>183</v>
      </c>
      <c r="S3568" t="s">
        <v>64</v>
      </c>
      <c r="T3568">
        <v>239.7</v>
      </c>
      <c r="U3568">
        <v>237</v>
      </c>
      <c r="V3568">
        <f t="shared" si="110"/>
        <v>238.35</v>
      </c>
      <c r="W3568">
        <f t="shared" si="111"/>
        <v>2.6999999999999886</v>
      </c>
      <c r="X3568">
        <v>104.491112</v>
      </c>
      <c r="Y3568">
        <v>24.975555</v>
      </c>
      <c r="Z3568" t="s">
        <v>520</v>
      </c>
      <c r="AA3568" t="s">
        <v>379</v>
      </c>
      <c r="AB3568" t="s">
        <v>828</v>
      </c>
      <c r="AC3568" t="s">
        <v>3856</v>
      </c>
      <c r="AD3568" t="s">
        <v>5141</v>
      </c>
      <c r="AF3568" t="s">
        <v>5142</v>
      </c>
      <c r="AG3568" t="s">
        <v>5143</v>
      </c>
      <c r="AH3568" t="s">
        <v>72</v>
      </c>
      <c r="AI3568" t="s">
        <v>5144</v>
      </c>
      <c r="AJ3568">
        <v>2005</v>
      </c>
      <c r="AK3568" t="s">
        <v>5145</v>
      </c>
      <c r="AN3568" t="s">
        <v>76</v>
      </c>
      <c r="AO3568" t="s">
        <v>77</v>
      </c>
      <c r="AP3568" t="s">
        <v>359</v>
      </c>
      <c r="AR3568" t="s">
        <v>80</v>
      </c>
      <c r="AS3568">
        <v>611</v>
      </c>
      <c r="AT3568" t="s">
        <v>81</v>
      </c>
      <c r="AU3568">
        <v>108.25</v>
      </c>
      <c r="AV3568">
        <v>-6.87</v>
      </c>
      <c r="AW3568" t="s">
        <v>82</v>
      </c>
      <c r="AX3568">
        <v>611</v>
      </c>
      <c r="AY3568" t="s">
        <v>81</v>
      </c>
      <c r="AZ3568">
        <v>93.7</v>
      </c>
      <c r="BA3568">
        <v>16.53</v>
      </c>
      <c r="BB3568" t="s">
        <v>83</v>
      </c>
    </row>
    <row r="3569" spans="1:54" x14ac:dyDescent="0.4">
      <c r="A3569">
        <v>1418453</v>
      </c>
      <c r="D3569" t="s">
        <v>4435</v>
      </c>
      <c r="I3569" t="s">
        <v>57</v>
      </c>
      <c r="K3569" t="s">
        <v>3362</v>
      </c>
      <c r="L3569" t="s">
        <v>3363</v>
      </c>
      <c r="M3569" t="s">
        <v>223</v>
      </c>
      <c r="P3569" t="s">
        <v>182</v>
      </c>
      <c r="R3569" t="s">
        <v>183</v>
      </c>
      <c r="S3569" t="s">
        <v>64</v>
      </c>
      <c r="T3569">
        <v>239.7</v>
      </c>
      <c r="U3569">
        <v>237</v>
      </c>
      <c r="V3569">
        <f t="shared" si="110"/>
        <v>238.35</v>
      </c>
      <c r="W3569">
        <f t="shared" si="111"/>
        <v>2.6999999999999886</v>
      </c>
      <c r="X3569">
        <v>104.788498</v>
      </c>
      <c r="Y3569">
        <v>25.1646</v>
      </c>
      <c r="Z3569" t="s">
        <v>520</v>
      </c>
      <c r="AA3569" t="s">
        <v>379</v>
      </c>
      <c r="AB3569" t="s">
        <v>682</v>
      </c>
      <c r="AD3569" t="s">
        <v>3251</v>
      </c>
      <c r="AF3569" t="s">
        <v>3260</v>
      </c>
      <c r="AH3569" t="s">
        <v>11</v>
      </c>
      <c r="AI3569" t="s">
        <v>5170</v>
      </c>
      <c r="AJ3569">
        <v>2018</v>
      </c>
      <c r="AK3569" t="s">
        <v>5171</v>
      </c>
      <c r="AN3569" t="s">
        <v>76</v>
      </c>
      <c r="AO3569">
        <v>4</v>
      </c>
      <c r="AP3569" t="s">
        <v>115</v>
      </c>
      <c r="AR3569" t="s">
        <v>80</v>
      </c>
      <c r="AS3569">
        <v>611</v>
      </c>
      <c r="AT3569" t="s">
        <v>81</v>
      </c>
      <c r="AU3569">
        <v>108.53</v>
      </c>
      <c r="AV3569">
        <v>-6.69</v>
      </c>
      <c r="AW3569" t="s">
        <v>82</v>
      </c>
      <c r="AX3569">
        <v>611</v>
      </c>
      <c r="AY3569" t="s">
        <v>81</v>
      </c>
      <c r="AZ3569">
        <v>93.85</v>
      </c>
      <c r="BA3569">
        <v>16.82</v>
      </c>
      <c r="BB3569" t="s">
        <v>83</v>
      </c>
    </row>
    <row r="3570" spans="1:54" x14ac:dyDescent="0.4">
      <c r="A3570">
        <v>1418457</v>
      </c>
      <c r="D3570" t="s">
        <v>4435</v>
      </c>
      <c r="I3570" t="s">
        <v>57</v>
      </c>
      <c r="K3570" t="s">
        <v>3362</v>
      </c>
      <c r="L3570" t="s">
        <v>3363</v>
      </c>
      <c r="M3570" t="s">
        <v>223</v>
      </c>
      <c r="P3570" t="s">
        <v>182</v>
      </c>
      <c r="R3570" t="s">
        <v>183</v>
      </c>
      <c r="S3570" t="s">
        <v>64</v>
      </c>
      <c r="T3570">
        <v>239.7</v>
      </c>
      <c r="U3570">
        <v>237</v>
      </c>
      <c r="V3570">
        <f t="shared" si="110"/>
        <v>238.35</v>
      </c>
      <c r="W3570">
        <f t="shared" si="111"/>
        <v>2.6999999999999886</v>
      </c>
      <c r="X3570">
        <v>104.788498</v>
      </c>
      <c r="Y3570">
        <v>25.1646</v>
      </c>
      <c r="Z3570" t="s">
        <v>520</v>
      </c>
      <c r="AA3570" t="s">
        <v>379</v>
      </c>
      <c r="AB3570" t="s">
        <v>682</v>
      </c>
      <c r="AD3570" t="s">
        <v>3251</v>
      </c>
      <c r="AF3570" t="s">
        <v>3260</v>
      </c>
      <c r="AH3570" t="s">
        <v>11</v>
      </c>
      <c r="AI3570" t="s">
        <v>5170</v>
      </c>
      <c r="AJ3570">
        <v>2018</v>
      </c>
      <c r="AK3570" t="s">
        <v>5172</v>
      </c>
      <c r="AN3570" t="s">
        <v>114</v>
      </c>
      <c r="AO3570">
        <v>4</v>
      </c>
      <c r="AP3570" t="s">
        <v>115</v>
      </c>
      <c r="AR3570" t="s">
        <v>80</v>
      </c>
      <c r="AS3570">
        <v>611</v>
      </c>
      <c r="AT3570" t="s">
        <v>81</v>
      </c>
      <c r="AU3570">
        <v>108.53</v>
      </c>
      <c r="AV3570">
        <v>-6.69</v>
      </c>
      <c r="AW3570" t="s">
        <v>82</v>
      </c>
      <c r="AX3570">
        <v>611</v>
      </c>
      <c r="AY3570" t="s">
        <v>81</v>
      </c>
      <c r="AZ3570">
        <v>93.85</v>
      </c>
      <c r="BA3570">
        <v>16.82</v>
      </c>
      <c r="BB3570" t="s">
        <v>83</v>
      </c>
    </row>
    <row r="3571" spans="1:54" x14ac:dyDescent="0.4">
      <c r="A3571">
        <v>1418461</v>
      </c>
      <c r="D3571" t="s">
        <v>54</v>
      </c>
      <c r="I3571" t="s">
        <v>57</v>
      </c>
      <c r="K3571" t="s">
        <v>3362</v>
      </c>
      <c r="L3571" t="s">
        <v>3363</v>
      </c>
      <c r="M3571" t="s">
        <v>223</v>
      </c>
      <c r="P3571" t="s">
        <v>182</v>
      </c>
      <c r="R3571" t="s">
        <v>183</v>
      </c>
      <c r="S3571" t="s">
        <v>64</v>
      </c>
      <c r="T3571">
        <v>239.7</v>
      </c>
      <c r="U3571">
        <v>237</v>
      </c>
      <c r="V3571">
        <f t="shared" si="110"/>
        <v>238.35</v>
      </c>
      <c r="W3571">
        <f t="shared" si="111"/>
        <v>2.6999999999999886</v>
      </c>
      <c r="X3571">
        <v>104.788498</v>
      </c>
      <c r="Y3571">
        <v>25.1646</v>
      </c>
      <c r="Z3571" t="s">
        <v>520</v>
      </c>
      <c r="AA3571" t="s">
        <v>379</v>
      </c>
      <c r="AB3571" t="s">
        <v>682</v>
      </c>
      <c r="AD3571" t="s">
        <v>3251</v>
      </c>
      <c r="AF3571" t="s">
        <v>3260</v>
      </c>
      <c r="AH3571" t="s">
        <v>11</v>
      </c>
      <c r="AI3571" t="s">
        <v>5170</v>
      </c>
      <c r="AJ3571">
        <v>2018</v>
      </c>
      <c r="AK3571" t="s">
        <v>5173</v>
      </c>
      <c r="AN3571" t="s">
        <v>76</v>
      </c>
      <c r="AO3571">
        <v>4</v>
      </c>
      <c r="AP3571" t="s">
        <v>115</v>
      </c>
      <c r="AR3571" t="s">
        <v>80</v>
      </c>
      <c r="AS3571">
        <v>611</v>
      </c>
      <c r="AT3571" t="s">
        <v>81</v>
      </c>
      <c r="AU3571">
        <v>108.53</v>
      </c>
      <c r="AV3571">
        <v>-6.69</v>
      </c>
      <c r="AW3571" t="s">
        <v>82</v>
      </c>
      <c r="AX3571">
        <v>611</v>
      </c>
      <c r="AY3571" t="s">
        <v>81</v>
      </c>
      <c r="AZ3571">
        <v>93.85</v>
      </c>
      <c r="BA3571">
        <v>16.82</v>
      </c>
      <c r="BB3571" t="s">
        <v>83</v>
      </c>
    </row>
    <row r="3572" spans="1:54" x14ac:dyDescent="0.4">
      <c r="A3572">
        <v>1418462</v>
      </c>
      <c r="D3572" t="s">
        <v>54</v>
      </c>
      <c r="I3572" t="s">
        <v>57</v>
      </c>
      <c r="K3572" t="s">
        <v>771</v>
      </c>
      <c r="L3572" t="s">
        <v>3368</v>
      </c>
      <c r="M3572" t="s">
        <v>223</v>
      </c>
      <c r="P3572" t="s">
        <v>182</v>
      </c>
      <c r="R3572" t="s">
        <v>183</v>
      </c>
      <c r="S3572" t="s">
        <v>64</v>
      </c>
      <c r="T3572">
        <v>239.7</v>
      </c>
      <c r="U3572">
        <v>237</v>
      </c>
      <c r="V3572">
        <f t="shared" si="110"/>
        <v>238.35</v>
      </c>
      <c r="W3572">
        <f t="shared" si="111"/>
        <v>2.6999999999999886</v>
      </c>
      <c r="X3572">
        <v>104.788498</v>
      </c>
      <c r="Y3572">
        <v>25.1646</v>
      </c>
      <c r="Z3572" t="s">
        <v>520</v>
      </c>
      <c r="AA3572" t="s">
        <v>379</v>
      </c>
      <c r="AB3572" t="s">
        <v>682</v>
      </c>
      <c r="AD3572" t="s">
        <v>3251</v>
      </c>
      <c r="AF3572" t="s">
        <v>3260</v>
      </c>
      <c r="AH3572" t="s">
        <v>72</v>
      </c>
      <c r="AI3572" t="s">
        <v>5170</v>
      </c>
      <c r="AJ3572">
        <v>2018</v>
      </c>
      <c r="AK3572" t="s">
        <v>5173</v>
      </c>
      <c r="AN3572" t="s">
        <v>76</v>
      </c>
      <c r="AO3572">
        <v>4</v>
      </c>
      <c r="AP3572" t="s">
        <v>115</v>
      </c>
      <c r="AR3572" t="s">
        <v>80</v>
      </c>
      <c r="AS3572">
        <v>611</v>
      </c>
      <c r="AT3572" t="s">
        <v>81</v>
      </c>
      <c r="AU3572">
        <v>108.53</v>
      </c>
      <c r="AV3572">
        <v>-6.69</v>
      </c>
      <c r="AW3572" t="s">
        <v>82</v>
      </c>
      <c r="AX3572">
        <v>611</v>
      </c>
      <c r="AY3572" t="s">
        <v>81</v>
      </c>
      <c r="AZ3572">
        <v>93.85</v>
      </c>
      <c r="BA3572">
        <v>16.82</v>
      </c>
      <c r="BB3572" t="s">
        <v>83</v>
      </c>
    </row>
    <row r="3573" spans="1:54" x14ac:dyDescent="0.4">
      <c r="A3573">
        <v>1418463</v>
      </c>
      <c r="D3573" t="s">
        <v>54</v>
      </c>
      <c r="I3573" t="s">
        <v>57</v>
      </c>
      <c r="K3573" t="s">
        <v>771</v>
      </c>
      <c r="L3573" t="s">
        <v>3368</v>
      </c>
      <c r="M3573" t="s">
        <v>223</v>
      </c>
      <c r="P3573" t="s">
        <v>182</v>
      </c>
      <c r="R3573" t="s">
        <v>183</v>
      </c>
      <c r="S3573" t="s">
        <v>64</v>
      </c>
      <c r="T3573">
        <v>239.7</v>
      </c>
      <c r="U3573">
        <v>237</v>
      </c>
      <c r="V3573">
        <f t="shared" si="110"/>
        <v>238.35</v>
      </c>
      <c r="W3573">
        <f t="shared" si="111"/>
        <v>2.6999999999999886</v>
      </c>
      <c r="X3573">
        <v>104.788498</v>
      </c>
      <c r="Y3573">
        <v>25.1646</v>
      </c>
      <c r="Z3573" t="s">
        <v>520</v>
      </c>
      <c r="AA3573" t="s">
        <v>379</v>
      </c>
      <c r="AB3573" t="s">
        <v>682</v>
      </c>
      <c r="AD3573" t="s">
        <v>3251</v>
      </c>
      <c r="AF3573" t="s">
        <v>3260</v>
      </c>
      <c r="AH3573" t="s">
        <v>72</v>
      </c>
      <c r="AI3573" t="s">
        <v>5170</v>
      </c>
      <c r="AJ3573">
        <v>2018</v>
      </c>
      <c r="AK3573" t="s">
        <v>5173</v>
      </c>
      <c r="AN3573" t="s">
        <v>76</v>
      </c>
      <c r="AO3573">
        <v>4</v>
      </c>
      <c r="AP3573" t="s">
        <v>115</v>
      </c>
      <c r="AR3573" t="s">
        <v>80</v>
      </c>
      <c r="AS3573">
        <v>611</v>
      </c>
      <c r="AT3573" t="s">
        <v>81</v>
      </c>
      <c r="AU3573">
        <v>108.53</v>
      </c>
      <c r="AV3573">
        <v>-6.69</v>
      </c>
      <c r="AW3573" t="s">
        <v>82</v>
      </c>
      <c r="AX3573">
        <v>611</v>
      </c>
      <c r="AY3573" t="s">
        <v>81</v>
      </c>
      <c r="AZ3573">
        <v>93.85</v>
      </c>
      <c r="BA3573">
        <v>16.82</v>
      </c>
      <c r="BB3573" t="s">
        <v>83</v>
      </c>
    </row>
    <row r="3574" spans="1:54" x14ac:dyDescent="0.4">
      <c r="A3574">
        <v>1418464</v>
      </c>
      <c r="D3574" t="s">
        <v>54</v>
      </c>
      <c r="I3574" t="s">
        <v>57</v>
      </c>
      <c r="K3574" t="s">
        <v>141</v>
      </c>
      <c r="L3574" t="s">
        <v>5061</v>
      </c>
      <c r="M3574" t="s">
        <v>223</v>
      </c>
      <c r="P3574" t="s">
        <v>182</v>
      </c>
      <c r="R3574" t="s">
        <v>183</v>
      </c>
      <c r="S3574" t="s">
        <v>64</v>
      </c>
      <c r="T3574">
        <v>239.7</v>
      </c>
      <c r="U3574">
        <v>237</v>
      </c>
      <c r="V3574">
        <f t="shared" si="110"/>
        <v>238.35</v>
      </c>
      <c r="W3574">
        <f t="shared" si="111"/>
        <v>2.6999999999999886</v>
      </c>
      <c r="X3574">
        <v>104.788498</v>
      </c>
      <c r="Y3574">
        <v>25.1646</v>
      </c>
      <c r="Z3574" t="s">
        <v>520</v>
      </c>
      <c r="AA3574" t="s">
        <v>379</v>
      </c>
      <c r="AB3574" t="s">
        <v>682</v>
      </c>
      <c r="AD3574" t="s">
        <v>3251</v>
      </c>
      <c r="AF3574" t="s">
        <v>3260</v>
      </c>
      <c r="AH3574" t="s">
        <v>72</v>
      </c>
      <c r="AI3574" t="s">
        <v>5170</v>
      </c>
      <c r="AJ3574">
        <v>2018</v>
      </c>
      <c r="AK3574" t="s">
        <v>5174</v>
      </c>
      <c r="AN3574" t="s">
        <v>76</v>
      </c>
      <c r="AO3574">
        <v>4</v>
      </c>
      <c r="AP3574" t="s">
        <v>115</v>
      </c>
      <c r="AR3574" t="s">
        <v>80</v>
      </c>
      <c r="AS3574">
        <v>611</v>
      </c>
      <c r="AT3574" t="s">
        <v>81</v>
      </c>
      <c r="AU3574">
        <v>108.53</v>
      </c>
      <c r="AV3574">
        <v>-6.69</v>
      </c>
      <c r="AW3574" t="s">
        <v>82</v>
      </c>
      <c r="AX3574">
        <v>611</v>
      </c>
      <c r="AY3574" t="s">
        <v>81</v>
      </c>
      <c r="AZ3574">
        <v>93.85</v>
      </c>
      <c r="BA3574">
        <v>16.82</v>
      </c>
      <c r="BB3574" t="s">
        <v>83</v>
      </c>
    </row>
    <row r="3575" spans="1:54" x14ac:dyDescent="0.4">
      <c r="A3575">
        <v>1418465</v>
      </c>
      <c r="D3575" t="s">
        <v>54</v>
      </c>
      <c r="I3575" t="s">
        <v>57</v>
      </c>
      <c r="K3575" t="s">
        <v>141</v>
      </c>
      <c r="L3575" t="s">
        <v>4006</v>
      </c>
      <c r="M3575" t="s">
        <v>223</v>
      </c>
      <c r="P3575" t="s">
        <v>182</v>
      </c>
      <c r="R3575" t="s">
        <v>183</v>
      </c>
      <c r="S3575" t="s">
        <v>64</v>
      </c>
      <c r="T3575">
        <v>239.7</v>
      </c>
      <c r="U3575">
        <v>237</v>
      </c>
      <c r="V3575">
        <f t="shared" si="110"/>
        <v>238.35</v>
      </c>
      <c r="W3575">
        <f t="shared" si="111"/>
        <v>2.6999999999999886</v>
      </c>
      <c r="X3575">
        <v>104.788498</v>
      </c>
      <c r="Y3575">
        <v>25.1646</v>
      </c>
      <c r="Z3575" t="s">
        <v>520</v>
      </c>
      <c r="AA3575" t="s">
        <v>379</v>
      </c>
      <c r="AB3575" t="s">
        <v>682</v>
      </c>
      <c r="AD3575" t="s">
        <v>3251</v>
      </c>
      <c r="AF3575" t="s">
        <v>3260</v>
      </c>
      <c r="AH3575" t="s">
        <v>11</v>
      </c>
      <c r="AI3575" t="s">
        <v>5170</v>
      </c>
      <c r="AJ3575">
        <v>2018</v>
      </c>
      <c r="AK3575" t="s">
        <v>5174</v>
      </c>
      <c r="AN3575" t="s">
        <v>76</v>
      </c>
      <c r="AO3575">
        <v>4</v>
      </c>
      <c r="AP3575" t="s">
        <v>115</v>
      </c>
      <c r="AR3575" t="s">
        <v>80</v>
      </c>
      <c r="AS3575">
        <v>611</v>
      </c>
      <c r="AT3575" t="s">
        <v>81</v>
      </c>
      <c r="AU3575">
        <v>108.53</v>
      </c>
      <c r="AV3575">
        <v>-6.69</v>
      </c>
      <c r="AW3575" t="s">
        <v>82</v>
      </c>
      <c r="AX3575">
        <v>611</v>
      </c>
      <c r="AY3575" t="s">
        <v>81</v>
      </c>
      <c r="AZ3575">
        <v>93.85</v>
      </c>
      <c r="BA3575">
        <v>16.82</v>
      </c>
      <c r="BB3575" t="s">
        <v>83</v>
      </c>
    </row>
    <row r="3576" spans="1:54" x14ac:dyDescent="0.4">
      <c r="A3576">
        <v>1418466</v>
      </c>
      <c r="D3576" t="s">
        <v>54</v>
      </c>
      <c r="I3576" t="s">
        <v>57</v>
      </c>
      <c r="K3576" t="s">
        <v>1813</v>
      </c>
      <c r="L3576" t="s">
        <v>1814</v>
      </c>
      <c r="M3576" t="s">
        <v>223</v>
      </c>
      <c r="N3576" t="s">
        <v>234</v>
      </c>
      <c r="O3576" t="s">
        <v>87</v>
      </c>
      <c r="P3576" t="s">
        <v>182</v>
      </c>
      <c r="R3576" t="s">
        <v>183</v>
      </c>
      <c r="S3576" t="s">
        <v>64</v>
      </c>
      <c r="T3576">
        <v>239.7</v>
      </c>
      <c r="U3576">
        <v>237</v>
      </c>
      <c r="V3576">
        <f t="shared" si="110"/>
        <v>238.35</v>
      </c>
      <c r="W3576">
        <f t="shared" si="111"/>
        <v>2.6999999999999886</v>
      </c>
      <c r="X3576">
        <v>104.788498</v>
      </c>
      <c r="Y3576">
        <v>25.1646</v>
      </c>
      <c r="Z3576" t="s">
        <v>520</v>
      </c>
      <c r="AA3576" t="s">
        <v>379</v>
      </c>
      <c r="AB3576" t="s">
        <v>682</v>
      </c>
      <c r="AD3576" t="s">
        <v>3251</v>
      </c>
      <c r="AF3576" t="s">
        <v>3260</v>
      </c>
      <c r="AH3576" t="s">
        <v>11</v>
      </c>
      <c r="AI3576" t="s">
        <v>5170</v>
      </c>
      <c r="AJ3576">
        <v>2018</v>
      </c>
      <c r="AK3576" t="s">
        <v>5175</v>
      </c>
      <c r="AN3576" t="s">
        <v>76</v>
      </c>
      <c r="AO3576">
        <v>4</v>
      </c>
      <c r="AP3576" t="s">
        <v>115</v>
      </c>
      <c r="AR3576" t="s">
        <v>80</v>
      </c>
      <c r="AS3576">
        <v>611</v>
      </c>
      <c r="AT3576" t="s">
        <v>81</v>
      </c>
      <c r="AU3576">
        <v>108.53</v>
      </c>
      <c r="AV3576">
        <v>-6.69</v>
      </c>
      <c r="AW3576" t="s">
        <v>82</v>
      </c>
      <c r="AX3576">
        <v>611</v>
      </c>
      <c r="AY3576" t="s">
        <v>81</v>
      </c>
      <c r="AZ3576">
        <v>93.85</v>
      </c>
      <c r="BA3576">
        <v>16.82</v>
      </c>
      <c r="BB3576" t="s">
        <v>83</v>
      </c>
    </row>
    <row r="3577" spans="1:54" x14ac:dyDescent="0.4">
      <c r="A3577">
        <v>1418467</v>
      </c>
      <c r="D3577" t="s">
        <v>54</v>
      </c>
      <c r="I3577" t="s">
        <v>57</v>
      </c>
      <c r="K3577" t="s">
        <v>141</v>
      </c>
      <c r="L3577" t="s">
        <v>1824</v>
      </c>
      <c r="M3577" t="s">
        <v>223</v>
      </c>
      <c r="P3577" t="s">
        <v>182</v>
      </c>
      <c r="R3577" t="s">
        <v>183</v>
      </c>
      <c r="S3577" t="s">
        <v>64</v>
      </c>
      <c r="T3577">
        <v>239.7</v>
      </c>
      <c r="U3577">
        <v>237</v>
      </c>
      <c r="V3577">
        <f t="shared" si="110"/>
        <v>238.35</v>
      </c>
      <c r="W3577">
        <f t="shared" si="111"/>
        <v>2.6999999999999886</v>
      </c>
      <c r="X3577">
        <v>104.788498</v>
      </c>
      <c r="Y3577">
        <v>25.1646</v>
      </c>
      <c r="Z3577" t="s">
        <v>520</v>
      </c>
      <c r="AA3577" t="s">
        <v>379</v>
      </c>
      <c r="AB3577" t="s">
        <v>682</v>
      </c>
      <c r="AD3577" t="s">
        <v>3251</v>
      </c>
      <c r="AF3577" t="s">
        <v>3260</v>
      </c>
      <c r="AH3577" t="s">
        <v>11</v>
      </c>
      <c r="AI3577" t="s">
        <v>5170</v>
      </c>
      <c r="AJ3577">
        <v>2018</v>
      </c>
      <c r="AK3577" t="s">
        <v>5175</v>
      </c>
      <c r="AN3577" t="s">
        <v>76</v>
      </c>
      <c r="AO3577">
        <v>4</v>
      </c>
      <c r="AP3577" t="s">
        <v>115</v>
      </c>
      <c r="AR3577" t="s">
        <v>80</v>
      </c>
      <c r="AS3577">
        <v>611</v>
      </c>
      <c r="AT3577" t="s">
        <v>81</v>
      </c>
      <c r="AU3577">
        <v>108.53</v>
      </c>
      <c r="AV3577">
        <v>-6.69</v>
      </c>
      <c r="AW3577" t="s">
        <v>82</v>
      </c>
      <c r="AX3577">
        <v>611</v>
      </c>
      <c r="AY3577" t="s">
        <v>81</v>
      </c>
      <c r="AZ3577">
        <v>93.85</v>
      </c>
      <c r="BA3577">
        <v>16.82</v>
      </c>
      <c r="BB3577" t="s">
        <v>83</v>
      </c>
    </row>
    <row r="3578" spans="1:54" x14ac:dyDescent="0.4">
      <c r="A3578">
        <v>1418469</v>
      </c>
      <c r="D3578" t="s">
        <v>54</v>
      </c>
      <c r="I3578" t="s">
        <v>57</v>
      </c>
      <c r="K3578" t="s">
        <v>1813</v>
      </c>
      <c r="L3578" t="s">
        <v>1814</v>
      </c>
      <c r="M3578" t="s">
        <v>223</v>
      </c>
      <c r="N3578" t="s">
        <v>234</v>
      </c>
      <c r="O3578" t="s">
        <v>87</v>
      </c>
      <c r="P3578" t="s">
        <v>182</v>
      </c>
      <c r="R3578" t="s">
        <v>183</v>
      </c>
      <c r="S3578" t="s">
        <v>64</v>
      </c>
      <c r="T3578">
        <v>239.7</v>
      </c>
      <c r="U3578">
        <v>237</v>
      </c>
      <c r="V3578">
        <f t="shared" si="110"/>
        <v>238.35</v>
      </c>
      <c r="W3578">
        <f t="shared" si="111"/>
        <v>2.6999999999999886</v>
      </c>
      <c r="X3578">
        <v>104.788498</v>
      </c>
      <c r="Y3578">
        <v>25.1646</v>
      </c>
      <c r="Z3578" t="s">
        <v>520</v>
      </c>
      <c r="AA3578" t="s">
        <v>379</v>
      </c>
      <c r="AB3578" t="s">
        <v>682</v>
      </c>
      <c r="AD3578" t="s">
        <v>3251</v>
      </c>
      <c r="AF3578" t="s">
        <v>3260</v>
      </c>
      <c r="AH3578" t="s">
        <v>11</v>
      </c>
      <c r="AI3578" t="s">
        <v>5170</v>
      </c>
      <c r="AJ3578">
        <v>2018</v>
      </c>
      <c r="AK3578" t="s">
        <v>5176</v>
      </c>
      <c r="AN3578" t="s">
        <v>76</v>
      </c>
      <c r="AO3578">
        <v>4</v>
      </c>
      <c r="AP3578" t="s">
        <v>115</v>
      </c>
      <c r="AR3578" t="s">
        <v>80</v>
      </c>
      <c r="AS3578">
        <v>611</v>
      </c>
      <c r="AT3578" t="s">
        <v>81</v>
      </c>
      <c r="AU3578">
        <v>108.53</v>
      </c>
      <c r="AV3578">
        <v>-6.69</v>
      </c>
      <c r="AW3578" t="s">
        <v>82</v>
      </c>
      <c r="AX3578">
        <v>611</v>
      </c>
      <c r="AY3578" t="s">
        <v>81</v>
      </c>
      <c r="AZ3578">
        <v>93.85</v>
      </c>
      <c r="BA3578">
        <v>16.82</v>
      </c>
      <c r="BB3578" t="s">
        <v>83</v>
      </c>
    </row>
    <row r="3579" spans="1:54" x14ac:dyDescent="0.4">
      <c r="A3579">
        <v>1418470</v>
      </c>
      <c r="D3579" t="s">
        <v>54</v>
      </c>
      <c r="I3579" t="s">
        <v>57</v>
      </c>
      <c r="K3579" t="s">
        <v>1816</v>
      </c>
      <c r="L3579" t="s">
        <v>1817</v>
      </c>
      <c r="M3579" t="s">
        <v>223</v>
      </c>
      <c r="N3579" t="s">
        <v>234</v>
      </c>
      <c r="O3579" t="s">
        <v>345</v>
      </c>
      <c r="P3579" t="s">
        <v>182</v>
      </c>
      <c r="R3579" t="s">
        <v>183</v>
      </c>
      <c r="S3579" t="s">
        <v>64</v>
      </c>
      <c r="T3579">
        <v>239.7</v>
      </c>
      <c r="U3579">
        <v>237</v>
      </c>
      <c r="V3579">
        <f t="shared" si="110"/>
        <v>238.35</v>
      </c>
      <c r="W3579">
        <f t="shared" si="111"/>
        <v>2.6999999999999886</v>
      </c>
      <c r="X3579">
        <v>104.788498</v>
      </c>
      <c r="Y3579">
        <v>25.1646</v>
      </c>
      <c r="Z3579" t="s">
        <v>520</v>
      </c>
      <c r="AA3579" t="s">
        <v>379</v>
      </c>
      <c r="AB3579" t="s">
        <v>682</v>
      </c>
      <c r="AD3579" t="s">
        <v>3251</v>
      </c>
      <c r="AF3579" t="s">
        <v>3260</v>
      </c>
      <c r="AH3579" t="s">
        <v>11</v>
      </c>
      <c r="AI3579" t="s">
        <v>5170</v>
      </c>
      <c r="AJ3579">
        <v>2018</v>
      </c>
      <c r="AK3579" t="s">
        <v>5176</v>
      </c>
      <c r="AN3579" t="s">
        <v>76</v>
      </c>
      <c r="AO3579">
        <v>4</v>
      </c>
      <c r="AP3579" t="s">
        <v>115</v>
      </c>
      <c r="AR3579" t="s">
        <v>80</v>
      </c>
      <c r="AS3579">
        <v>611</v>
      </c>
      <c r="AT3579" t="s">
        <v>81</v>
      </c>
      <c r="AU3579">
        <v>108.53</v>
      </c>
      <c r="AV3579">
        <v>-6.69</v>
      </c>
      <c r="AW3579" t="s">
        <v>82</v>
      </c>
      <c r="AX3579">
        <v>611</v>
      </c>
      <c r="AY3579" t="s">
        <v>81</v>
      </c>
      <c r="AZ3579">
        <v>93.85</v>
      </c>
      <c r="BA3579">
        <v>16.82</v>
      </c>
      <c r="BB3579" t="s">
        <v>83</v>
      </c>
    </row>
    <row r="3580" spans="1:54" x14ac:dyDescent="0.4">
      <c r="A3580">
        <v>1418471</v>
      </c>
      <c r="D3580" t="s">
        <v>54</v>
      </c>
      <c r="I3580" t="s">
        <v>57</v>
      </c>
      <c r="K3580" t="s">
        <v>141</v>
      </c>
      <c r="L3580" t="s">
        <v>1824</v>
      </c>
      <c r="M3580" t="s">
        <v>223</v>
      </c>
      <c r="P3580" t="s">
        <v>182</v>
      </c>
      <c r="R3580" t="s">
        <v>183</v>
      </c>
      <c r="S3580" t="s">
        <v>64</v>
      </c>
      <c r="T3580">
        <v>239.7</v>
      </c>
      <c r="U3580">
        <v>237</v>
      </c>
      <c r="V3580">
        <f t="shared" si="110"/>
        <v>238.35</v>
      </c>
      <c r="W3580">
        <f t="shared" si="111"/>
        <v>2.6999999999999886</v>
      </c>
      <c r="X3580">
        <v>104.788498</v>
      </c>
      <c r="Y3580">
        <v>25.1646</v>
      </c>
      <c r="Z3580" t="s">
        <v>520</v>
      </c>
      <c r="AA3580" t="s">
        <v>379</v>
      </c>
      <c r="AB3580" t="s">
        <v>682</v>
      </c>
      <c r="AD3580" t="s">
        <v>3251</v>
      </c>
      <c r="AF3580" t="s">
        <v>3260</v>
      </c>
      <c r="AH3580" t="s">
        <v>72</v>
      </c>
      <c r="AI3580" t="s">
        <v>5170</v>
      </c>
      <c r="AJ3580">
        <v>2018</v>
      </c>
      <c r="AK3580" t="s">
        <v>5176</v>
      </c>
      <c r="AN3580" t="s">
        <v>76</v>
      </c>
      <c r="AO3580">
        <v>4</v>
      </c>
      <c r="AP3580" t="s">
        <v>115</v>
      </c>
      <c r="AR3580" t="s">
        <v>80</v>
      </c>
      <c r="AS3580">
        <v>611</v>
      </c>
      <c r="AT3580" t="s">
        <v>81</v>
      </c>
      <c r="AU3580">
        <v>108.53</v>
      </c>
      <c r="AV3580">
        <v>-6.69</v>
      </c>
      <c r="AW3580" t="s">
        <v>82</v>
      </c>
      <c r="AX3580">
        <v>611</v>
      </c>
      <c r="AY3580" t="s">
        <v>81</v>
      </c>
      <c r="AZ3580">
        <v>93.85</v>
      </c>
      <c r="BA3580">
        <v>16.82</v>
      </c>
      <c r="BB3580" t="s">
        <v>83</v>
      </c>
    </row>
    <row r="3581" spans="1:54" x14ac:dyDescent="0.4">
      <c r="A3581">
        <v>1418472</v>
      </c>
      <c r="D3581" t="s">
        <v>54</v>
      </c>
      <c r="I3581" t="s">
        <v>57</v>
      </c>
      <c r="K3581" t="s">
        <v>1816</v>
      </c>
      <c r="L3581" t="s">
        <v>1817</v>
      </c>
      <c r="M3581" t="s">
        <v>223</v>
      </c>
      <c r="N3581" t="s">
        <v>234</v>
      </c>
      <c r="O3581" t="s">
        <v>345</v>
      </c>
      <c r="P3581" t="s">
        <v>182</v>
      </c>
      <c r="R3581" t="s">
        <v>183</v>
      </c>
      <c r="S3581" t="s">
        <v>64</v>
      </c>
      <c r="T3581">
        <v>239.7</v>
      </c>
      <c r="U3581">
        <v>237</v>
      </c>
      <c r="V3581">
        <f t="shared" si="110"/>
        <v>238.35</v>
      </c>
      <c r="W3581">
        <f t="shared" si="111"/>
        <v>2.6999999999999886</v>
      </c>
      <c r="X3581">
        <v>104.788498</v>
      </c>
      <c r="Y3581">
        <v>25.1646</v>
      </c>
      <c r="Z3581" t="s">
        <v>520</v>
      </c>
      <c r="AA3581" t="s">
        <v>379</v>
      </c>
      <c r="AB3581" t="s">
        <v>682</v>
      </c>
      <c r="AD3581" t="s">
        <v>3251</v>
      </c>
      <c r="AF3581" t="s">
        <v>3260</v>
      </c>
      <c r="AH3581" t="s">
        <v>11</v>
      </c>
      <c r="AI3581" t="s">
        <v>5170</v>
      </c>
      <c r="AJ3581">
        <v>2018</v>
      </c>
      <c r="AK3581" t="s">
        <v>5177</v>
      </c>
      <c r="AN3581" t="s">
        <v>76</v>
      </c>
      <c r="AO3581">
        <v>4</v>
      </c>
      <c r="AP3581" t="s">
        <v>115</v>
      </c>
      <c r="AR3581" t="s">
        <v>80</v>
      </c>
      <c r="AS3581">
        <v>611</v>
      </c>
      <c r="AT3581" t="s">
        <v>81</v>
      </c>
      <c r="AU3581">
        <v>108.53</v>
      </c>
      <c r="AV3581">
        <v>-6.69</v>
      </c>
      <c r="AW3581" t="s">
        <v>82</v>
      </c>
      <c r="AX3581">
        <v>611</v>
      </c>
      <c r="AY3581" t="s">
        <v>81</v>
      </c>
      <c r="AZ3581">
        <v>93.85</v>
      </c>
      <c r="BA3581">
        <v>16.82</v>
      </c>
      <c r="BB3581" t="s">
        <v>83</v>
      </c>
    </row>
    <row r="3582" spans="1:54" x14ac:dyDescent="0.4">
      <c r="A3582">
        <v>1418474</v>
      </c>
      <c r="D3582" t="s">
        <v>4435</v>
      </c>
      <c r="I3582" t="s">
        <v>57</v>
      </c>
      <c r="K3582" t="s">
        <v>141</v>
      </c>
      <c r="L3582" t="s">
        <v>1824</v>
      </c>
      <c r="M3582" t="s">
        <v>223</v>
      </c>
      <c r="P3582" t="s">
        <v>182</v>
      </c>
      <c r="R3582" t="s">
        <v>183</v>
      </c>
      <c r="S3582" t="s">
        <v>64</v>
      </c>
      <c r="T3582">
        <v>239.7</v>
      </c>
      <c r="U3582">
        <v>237</v>
      </c>
      <c r="V3582">
        <f t="shared" si="110"/>
        <v>238.35</v>
      </c>
      <c r="W3582">
        <f t="shared" si="111"/>
        <v>2.6999999999999886</v>
      </c>
      <c r="X3582">
        <v>104.788498</v>
      </c>
      <c r="Y3582">
        <v>25.1646</v>
      </c>
      <c r="Z3582" t="s">
        <v>520</v>
      </c>
      <c r="AA3582" t="s">
        <v>379</v>
      </c>
      <c r="AB3582" t="s">
        <v>682</v>
      </c>
      <c r="AD3582" t="s">
        <v>3251</v>
      </c>
      <c r="AF3582" t="s">
        <v>3260</v>
      </c>
      <c r="AH3582" t="s">
        <v>72</v>
      </c>
      <c r="AI3582" t="s">
        <v>5170</v>
      </c>
      <c r="AJ3582">
        <v>2018</v>
      </c>
      <c r="AK3582" t="s">
        <v>5178</v>
      </c>
      <c r="AN3582" t="s">
        <v>76</v>
      </c>
      <c r="AO3582">
        <v>4</v>
      </c>
      <c r="AP3582" t="s">
        <v>115</v>
      </c>
      <c r="AR3582" t="s">
        <v>80</v>
      </c>
      <c r="AS3582">
        <v>611</v>
      </c>
      <c r="AT3582" t="s">
        <v>81</v>
      </c>
      <c r="AU3582">
        <v>108.53</v>
      </c>
      <c r="AV3582">
        <v>-6.69</v>
      </c>
      <c r="AW3582" t="s">
        <v>82</v>
      </c>
      <c r="AX3582">
        <v>611</v>
      </c>
      <c r="AY3582" t="s">
        <v>81</v>
      </c>
      <c r="AZ3582">
        <v>93.85</v>
      </c>
      <c r="BA3582">
        <v>16.82</v>
      </c>
      <c r="BB3582" t="s">
        <v>83</v>
      </c>
    </row>
    <row r="3583" spans="1:54" x14ac:dyDescent="0.4">
      <c r="A3583">
        <v>1418475</v>
      </c>
      <c r="D3583" t="s">
        <v>54</v>
      </c>
      <c r="I3583" t="s">
        <v>57</v>
      </c>
      <c r="K3583" t="s">
        <v>141</v>
      </c>
      <c r="L3583" t="s">
        <v>1824</v>
      </c>
      <c r="M3583" t="s">
        <v>223</v>
      </c>
      <c r="P3583" t="s">
        <v>182</v>
      </c>
      <c r="R3583" t="s">
        <v>183</v>
      </c>
      <c r="S3583" t="s">
        <v>64</v>
      </c>
      <c r="T3583">
        <v>239.7</v>
      </c>
      <c r="U3583">
        <v>237</v>
      </c>
      <c r="V3583">
        <f t="shared" si="110"/>
        <v>238.35</v>
      </c>
      <c r="W3583">
        <f t="shared" si="111"/>
        <v>2.6999999999999886</v>
      </c>
      <c r="X3583">
        <v>104.788498</v>
      </c>
      <c r="Y3583">
        <v>25.1646</v>
      </c>
      <c r="Z3583" t="s">
        <v>520</v>
      </c>
      <c r="AA3583" t="s">
        <v>379</v>
      </c>
      <c r="AB3583" t="s">
        <v>682</v>
      </c>
      <c r="AD3583" t="s">
        <v>3251</v>
      </c>
      <c r="AF3583" t="s">
        <v>3260</v>
      </c>
      <c r="AH3583" t="s">
        <v>72</v>
      </c>
      <c r="AI3583" t="s">
        <v>1810</v>
      </c>
      <c r="AJ3583">
        <v>2016</v>
      </c>
      <c r="AK3583" t="s">
        <v>5177</v>
      </c>
      <c r="AN3583" t="s">
        <v>76</v>
      </c>
      <c r="AO3583">
        <v>4</v>
      </c>
      <c r="AP3583" t="s">
        <v>115</v>
      </c>
      <c r="AR3583" t="s">
        <v>80</v>
      </c>
      <c r="AS3583">
        <v>611</v>
      </c>
      <c r="AT3583" t="s">
        <v>81</v>
      </c>
      <c r="AU3583">
        <v>108.53</v>
      </c>
      <c r="AV3583">
        <v>-6.69</v>
      </c>
      <c r="AW3583" t="s">
        <v>82</v>
      </c>
      <c r="AX3583">
        <v>611</v>
      </c>
      <c r="AY3583" t="s">
        <v>81</v>
      </c>
      <c r="AZ3583">
        <v>93.85</v>
      </c>
      <c r="BA3583">
        <v>16.82</v>
      </c>
      <c r="BB3583" t="s">
        <v>83</v>
      </c>
    </row>
    <row r="3584" spans="1:54" x14ac:dyDescent="0.4">
      <c r="A3584">
        <v>1418476</v>
      </c>
      <c r="D3584" t="s">
        <v>853</v>
      </c>
      <c r="E3584" t="s">
        <v>310</v>
      </c>
      <c r="F3584" t="s">
        <v>2523</v>
      </c>
      <c r="I3584" t="s">
        <v>57</v>
      </c>
      <c r="K3584" t="s">
        <v>1813</v>
      </c>
      <c r="L3584" t="s">
        <v>1814</v>
      </c>
      <c r="M3584" t="s">
        <v>223</v>
      </c>
      <c r="N3584" t="s">
        <v>234</v>
      </c>
      <c r="O3584" t="s">
        <v>87</v>
      </c>
      <c r="P3584" t="s">
        <v>182</v>
      </c>
      <c r="R3584" t="s">
        <v>183</v>
      </c>
      <c r="S3584" t="s">
        <v>64</v>
      </c>
      <c r="T3584">
        <v>239.7</v>
      </c>
      <c r="U3584">
        <v>237</v>
      </c>
      <c r="V3584">
        <f t="shared" si="110"/>
        <v>238.35</v>
      </c>
      <c r="W3584">
        <f t="shared" si="111"/>
        <v>2.6999999999999886</v>
      </c>
      <c r="X3584">
        <v>104.745003</v>
      </c>
      <c r="Y3584">
        <v>25.132999000000002</v>
      </c>
      <c r="Z3584" t="s">
        <v>520</v>
      </c>
      <c r="AA3584" t="s">
        <v>379</v>
      </c>
      <c r="AB3584" t="s">
        <v>682</v>
      </c>
      <c r="AC3584" t="s">
        <v>3377</v>
      </c>
      <c r="AD3584" t="s">
        <v>3251</v>
      </c>
      <c r="AF3584" t="s">
        <v>3260</v>
      </c>
      <c r="AH3584" t="s">
        <v>72</v>
      </c>
      <c r="AI3584" t="s">
        <v>5179</v>
      </c>
      <c r="AJ3584">
        <v>2013</v>
      </c>
      <c r="AK3584" t="s">
        <v>3378</v>
      </c>
      <c r="AN3584" t="s">
        <v>192</v>
      </c>
      <c r="AO3584">
        <v>3</v>
      </c>
      <c r="AQ3584" t="s">
        <v>3379</v>
      </c>
      <c r="AR3584" t="s">
        <v>80</v>
      </c>
      <c r="AS3584">
        <v>611</v>
      </c>
      <c r="AT3584" t="s">
        <v>81</v>
      </c>
      <c r="AU3584">
        <v>108.49</v>
      </c>
      <c r="AV3584">
        <v>-6.72</v>
      </c>
      <c r="AW3584" t="s">
        <v>82</v>
      </c>
      <c r="AX3584">
        <v>611</v>
      </c>
      <c r="AY3584" t="s">
        <v>81</v>
      </c>
      <c r="AZ3584">
        <v>93.83</v>
      </c>
      <c r="BA3584">
        <v>16.78</v>
      </c>
      <c r="BB3584" t="s">
        <v>83</v>
      </c>
    </row>
    <row r="3585" spans="1:54" x14ac:dyDescent="0.4">
      <c r="A3585">
        <v>1418525</v>
      </c>
      <c r="D3585" t="s">
        <v>54</v>
      </c>
      <c r="I3585" t="s">
        <v>57</v>
      </c>
      <c r="K3585" t="s">
        <v>771</v>
      </c>
      <c r="L3585" t="s">
        <v>3368</v>
      </c>
      <c r="M3585" t="s">
        <v>223</v>
      </c>
      <c r="P3585" t="s">
        <v>182</v>
      </c>
      <c r="R3585" t="s">
        <v>183</v>
      </c>
      <c r="S3585" t="s">
        <v>64</v>
      </c>
      <c r="T3585">
        <v>239.7</v>
      </c>
      <c r="U3585">
        <v>237</v>
      </c>
      <c r="V3585">
        <f t="shared" si="110"/>
        <v>238.35</v>
      </c>
      <c r="W3585">
        <f t="shared" si="111"/>
        <v>2.6999999999999886</v>
      </c>
      <c r="X3585">
        <v>104.491112</v>
      </c>
      <c r="Y3585">
        <v>24.975555</v>
      </c>
      <c r="Z3585" t="s">
        <v>520</v>
      </c>
      <c r="AA3585" t="s">
        <v>379</v>
      </c>
      <c r="AB3585" t="s">
        <v>828</v>
      </c>
      <c r="AC3585" t="s">
        <v>3856</v>
      </c>
      <c r="AD3585" t="s">
        <v>5141</v>
      </c>
      <c r="AF3585" t="s">
        <v>5142</v>
      </c>
      <c r="AG3585" t="s">
        <v>5143</v>
      </c>
      <c r="AH3585" t="s">
        <v>11</v>
      </c>
      <c r="AI3585" t="s">
        <v>5144</v>
      </c>
      <c r="AJ3585">
        <v>2005</v>
      </c>
      <c r="AK3585" t="s">
        <v>5145</v>
      </c>
      <c r="AN3585" t="s">
        <v>76</v>
      </c>
      <c r="AO3585" t="s">
        <v>77</v>
      </c>
      <c r="AP3585" t="s">
        <v>359</v>
      </c>
      <c r="AR3585" t="s">
        <v>80</v>
      </c>
      <c r="AS3585">
        <v>611</v>
      </c>
      <c r="AT3585" t="s">
        <v>81</v>
      </c>
      <c r="AU3585">
        <v>108.25</v>
      </c>
      <c r="AV3585">
        <v>-6.87</v>
      </c>
      <c r="AW3585" t="s">
        <v>82</v>
      </c>
      <c r="AX3585">
        <v>611</v>
      </c>
      <c r="AY3585" t="s">
        <v>81</v>
      </c>
      <c r="AZ3585">
        <v>93.7</v>
      </c>
      <c r="BA3585">
        <v>16.53</v>
      </c>
      <c r="BB3585" t="s">
        <v>83</v>
      </c>
    </row>
    <row r="3586" spans="1:54" x14ac:dyDescent="0.4">
      <c r="A3586">
        <v>1418528</v>
      </c>
      <c r="D3586" t="s">
        <v>3879</v>
      </c>
      <c r="I3586" t="s">
        <v>57</v>
      </c>
      <c r="K3586" t="s">
        <v>771</v>
      </c>
      <c r="L3586" t="s">
        <v>3899</v>
      </c>
      <c r="M3586" t="s">
        <v>223</v>
      </c>
      <c r="P3586" t="s">
        <v>182</v>
      </c>
      <c r="R3586" t="s">
        <v>183</v>
      </c>
      <c r="S3586" t="s">
        <v>64</v>
      </c>
      <c r="T3586">
        <v>239.7</v>
      </c>
      <c r="U3586">
        <v>237</v>
      </c>
      <c r="V3586">
        <f t="shared" si="110"/>
        <v>238.35</v>
      </c>
      <c r="W3586">
        <f t="shared" si="111"/>
        <v>2.6999999999999886</v>
      </c>
      <c r="X3586">
        <v>1.1166670000000001</v>
      </c>
      <c r="Y3586">
        <v>41.266666000000001</v>
      </c>
      <c r="Z3586" t="s">
        <v>1415</v>
      </c>
      <c r="AA3586" t="s">
        <v>3881</v>
      </c>
      <c r="AB3586" t="s">
        <v>3882</v>
      </c>
      <c r="AD3586" t="s">
        <v>1378</v>
      </c>
      <c r="AH3586" t="s">
        <v>72</v>
      </c>
      <c r="AI3586" t="s">
        <v>3592</v>
      </c>
      <c r="AJ3586">
        <v>1998</v>
      </c>
      <c r="AK3586" t="s">
        <v>3884</v>
      </c>
      <c r="AN3586" t="s">
        <v>192</v>
      </c>
      <c r="AO3586" t="s">
        <v>160</v>
      </c>
      <c r="AP3586" t="s">
        <v>78</v>
      </c>
      <c r="AQ3586" t="s">
        <v>3885</v>
      </c>
      <c r="AR3586" t="s">
        <v>80</v>
      </c>
      <c r="AS3586">
        <v>304</v>
      </c>
      <c r="AT3586" t="s">
        <v>81</v>
      </c>
      <c r="AU3586">
        <v>22.77</v>
      </c>
      <c r="AV3586">
        <v>19.100000000000001</v>
      </c>
      <c r="AW3586" t="s">
        <v>82</v>
      </c>
      <c r="AX3586">
        <v>304</v>
      </c>
      <c r="AY3586" t="s">
        <v>81</v>
      </c>
      <c r="AZ3586">
        <v>14.47</v>
      </c>
      <c r="BA3586">
        <v>5.92</v>
      </c>
      <c r="BB3586" t="s">
        <v>83</v>
      </c>
    </row>
    <row r="3587" spans="1:54" x14ac:dyDescent="0.4">
      <c r="A3587">
        <v>1418529</v>
      </c>
      <c r="D3587" t="s">
        <v>3879</v>
      </c>
      <c r="I3587" t="s">
        <v>57</v>
      </c>
      <c r="K3587" t="s">
        <v>771</v>
      </c>
      <c r="L3587" t="s">
        <v>772</v>
      </c>
      <c r="M3587" t="s">
        <v>223</v>
      </c>
      <c r="P3587" t="s">
        <v>182</v>
      </c>
      <c r="R3587" t="s">
        <v>183</v>
      </c>
      <c r="S3587" t="s">
        <v>64</v>
      </c>
      <c r="T3587">
        <v>239.7</v>
      </c>
      <c r="U3587">
        <v>237</v>
      </c>
      <c r="V3587">
        <f t="shared" ref="V3587:V3650" si="112">(T3587+U3587)/2</f>
        <v>238.35</v>
      </c>
      <c r="W3587">
        <f t="shared" ref="W3587:W3650" si="113">T3587-U3587</f>
        <v>2.6999999999999886</v>
      </c>
      <c r="X3587">
        <v>1.1166670000000001</v>
      </c>
      <c r="Y3587">
        <v>41.266666000000001</v>
      </c>
      <c r="Z3587" t="s">
        <v>1415</v>
      </c>
      <c r="AA3587" t="s">
        <v>3881</v>
      </c>
      <c r="AB3587" t="s">
        <v>3882</v>
      </c>
      <c r="AD3587" t="s">
        <v>1378</v>
      </c>
      <c r="AH3587" t="s">
        <v>72</v>
      </c>
      <c r="AI3587" t="s">
        <v>3592</v>
      </c>
      <c r="AJ3587">
        <v>1998</v>
      </c>
      <c r="AK3587" t="s">
        <v>3884</v>
      </c>
      <c r="AN3587" t="s">
        <v>192</v>
      </c>
      <c r="AO3587" t="s">
        <v>160</v>
      </c>
      <c r="AP3587" t="s">
        <v>78</v>
      </c>
      <c r="AQ3587" t="s">
        <v>3885</v>
      </c>
      <c r="AR3587" t="s">
        <v>80</v>
      </c>
      <c r="AS3587">
        <v>304</v>
      </c>
      <c r="AT3587" t="s">
        <v>81</v>
      </c>
      <c r="AU3587">
        <v>22.77</v>
      </c>
      <c r="AV3587">
        <v>19.100000000000001</v>
      </c>
      <c r="AW3587" t="s">
        <v>82</v>
      </c>
      <c r="AX3587">
        <v>304</v>
      </c>
      <c r="AY3587" t="s">
        <v>81</v>
      </c>
      <c r="AZ3587">
        <v>14.47</v>
      </c>
      <c r="BA3587">
        <v>5.92</v>
      </c>
      <c r="BB3587" t="s">
        <v>83</v>
      </c>
    </row>
    <row r="3588" spans="1:54" x14ac:dyDescent="0.4">
      <c r="A3588">
        <v>1418652</v>
      </c>
      <c r="D3588" t="s">
        <v>853</v>
      </c>
      <c r="E3588" t="s">
        <v>310</v>
      </c>
      <c r="F3588" t="s">
        <v>2523</v>
      </c>
      <c r="I3588" t="s">
        <v>57</v>
      </c>
      <c r="K3588" t="s">
        <v>746</v>
      </c>
      <c r="L3588" t="s">
        <v>2072</v>
      </c>
      <c r="M3588" t="s">
        <v>60</v>
      </c>
      <c r="P3588" t="s">
        <v>182</v>
      </c>
      <c r="R3588" t="s">
        <v>183</v>
      </c>
      <c r="S3588" t="s">
        <v>64</v>
      </c>
      <c r="T3588">
        <v>239.7</v>
      </c>
      <c r="U3588">
        <v>237</v>
      </c>
      <c r="V3588">
        <f t="shared" si="112"/>
        <v>238.35</v>
      </c>
      <c r="W3588">
        <f t="shared" si="113"/>
        <v>2.6999999999999886</v>
      </c>
      <c r="X3588">
        <v>104.745003</v>
      </c>
      <c r="Y3588">
        <v>25.132999000000002</v>
      </c>
      <c r="Z3588" t="s">
        <v>520</v>
      </c>
      <c r="AA3588" t="s">
        <v>379</v>
      </c>
      <c r="AB3588" t="s">
        <v>682</v>
      </c>
      <c r="AC3588" t="s">
        <v>3377</v>
      </c>
      <c r="AD3588" t="s">
        <v>3251</v>
      </c>
      <c r="AF3588" t="s">
        <v>3260</v>
      </c>
      <c r="AH3588" t="s">
        <v>72</v>
      </c>
      <c r="AI3588" t="s">
        <v>5202</v>
      </c>
      <c r="AJ3588">
        <v>2010</v>
      </c>
      <c r="AK3588" t="s">
        <v>3378</v>
      </c>
      <c r="AN3588" t="s">
        <v>192</v>
      </c>
      <c r="AO3588">
        <v>3</v>
      </c>
      <c r="AQ3588" t="s">
        <v>3379</v>
      </c>
      <c r="AR3588" t="s">
        <v>80</v>
      </c>
      <c r="AS3588">
        <v>611</v>
      </c>
      <c r="AT3588" t="s">
        <v>81</v>
      </c>
      <c r="AU3588">
        <v>108.49</v>
      </c>
      <c r="AV3588">
        <v>-6.72</v>
      </c>
      <c r="AW3588" t="s">
        <v>82</v>
      </c>
      <c r="AX3588">
        <v>611</v>
      </c>
      <c r="AY3588" t="s">
        <v>81</v>
      </c>
      <c r="AZ3588">
        <v>93.83</v>
      </c>
      <c r="BA3588">
        <v>16.78</v>
      </c>
      <c r="BB3588" t="s">
        <v>83</v>
      </c>
    </row>
    <row r="3589" spans="1:54" x14ac:dyDescent="0.4">
      <c r="A3589">
        <v>1418893</v>
      </c>
      <c r="D3589" t="s">
        <v>54</v>
      </c>
      <c r="I3589" t="s">
        <v>57</v>
      </c>
      <c r="K3589" t="s">
        <v>771</v>
      </c>
      <c r="L3589" t="s">
        <v>772</v>
      </c>
      <c r="M3589" t="s">
        <v>223</v>
      </c>
      <c r="P3589" t="s">
        <v>182</v>
      </c>
      <c r="R3589" t="s">
        <v>183</v>
      </c>
      <c r="S3589" t="s">
        <v>64</v>
      </c>
      <c r="T3589">
        <v>239.7</v>
      </c>
      <c r="U3589">
        <v>237</v>
      </c>
      <c r="V3589">
        <f t="shared" si="112"/>
        <v>238.35</v>
      </c>
      <c r="W3589">
        <f t="shared" si="113"/>
        <v>2.6999999999999886</v>
      </c>
      <c r="X3589">
        <v>-2.4583330000000001</v>
      </c>
      <c r="Y3589">
        <v>41.136111999999997</v>
      </c>
      <c r="Z3589" t="s">
        <v>602</v>
      </c>
      <c r="AA3589" t="s">
        <v>3881</v>
      </c>
      <c r="AB3589" t="s">
        <v>5215</v>
      </c>
      <c r="AD3589" t="s">
        <v>5216</v>
      </c>
      <c r="AE3589" t="s">
        <v>5217</v>
      </c>
      <c r="AH3589" t="s">
        <v>72</v>
      </c>
      <c r="AI3589" t="s">
        <v>5218</v>
      </c>
      <c r="AJ3589">
        <v>2016</v>
      </c>
      <c r="AK3589" t="s">
        <v>5219</v>
      </c>
      <c r="AN3589" t="s">
        <v>76</v>
      </c>
      <c r="AO3589" t="s">
        <v>77</v>
      </c>
      <c r="AP3589" t="s">
        <v>78</v>
      </c>
      <c r="AQ3589" t="s">
        <v>5220</v>
      </c>
      <c r="AR3589" t="s">
        <v>80</v>
      </c>
      <c r="AS3589">
        <v>304</v>
      </c>
      <c r="AT3589" t="s">
        <v>81</v>
      </c>
      <c r="AU3589">
        <v>20.13</v>
      </c>
      <c r="AV3589">
        <v>20.13</v>
      </c>
      <c r="AW3589" t="s">
        <v>82</v>
      </c>
      <c r="AX3589">
        <v>304</v>
      </c>
      <c r="AY3589" t="s">
        <v>81</v>
      </c>
      <c r="AZ3589">
        <v>11.84</v>
      </c>
      <c r="BA3589">
        <v>6.55</v>
      </c>
      <c r="BB3589" t="s">
        <v>83</v>
      </c>
    </row>
    <row r="3590" spans="1:54" x14ac:dyDescent="0.4">
      <c r="A3590">
        <v>1419214</v>
      </c>
      <c r="D3590" t="s">
        <v>54</v>
      </c>
      <c r="I3590" t="s">
        <v>57</v>
      </c>
      <c r="K3590" t="s">
        <v>141</v>
      </c>
      <c r="L3590" t="s">
        <v>5264</v>
      </c>
      <c r="M3590" t="s">
        <v>60</v>
      </c>
      <c r="P3590" t="s">
        <v>182</v>
      </c>
      <c r="R3590" t="s">
        <v>183</v>
      </c>
      <c r="S3590" t="s">
        <v>64</v>
      </c>
      <c r="T3590">
        <v>239.7</v>
      </c>
      <c r="U3590">
        <v>237</v>
      </c>
      <c r="V3590">
        <f t="shared" si="112"/>
        <v>238.35</v>
      </c>
      <c r="W3590">
        <f t="shared" si="113"/>
        <v>2.6999999999999886</v>
      </c>
      <c r="X3590">
        <v>9.8894439999999992</v>
      </c>
      <c r="Y3590">
        <v>49.076388999999999</v>
      </c>
      <c r="Z3590" t="s">
        <v>3515</v>
      </c>
      <c r="AA3590" t="s">
        <v>211</v>
      </c>
      <c r="AB3590" t="s">
        <v>212</v>
      </c>
      <c r="AC3590" t="s">
        <v>3522</v>
      </c>
      <c r="AD3590" t="s">
        <v>960</v>
      </c>
      <c r="AE3590" t="s">
        <v>215</v>
      </c>
      <c r="AF3590" t="s">
        <v>3517</v>
      </c>
      <c r="AH3590" t="s">
        <v>72</v>
      </c>
      <c r="AI3590" t="s">
        <v>5265</v>
      </c>
      <c r="AJ3590">
        <v>2014</v>
      </c>
      <c r="AK3590" t="s">
        <v>4414</v>
      </c>
      <c r="AN3590" t="s">
        <v>114</v>
      </c>
      <c r="AO3590" t="s">
        <v>77</v>
      </c>
      <c r="AP3590" t="s">
        <v>115</v>
      </c>
      <c r="AQ3590" t="s">
        <v>4415</v>
      </c>
      <c r="AR3590" t="s">
        <v>80</v>
      </c>
      <c r="AS3590">
        <v>305</v>
      </c>
      <c r="AT3590" t="s">
        <v>81</v>
      </c>
      <c r="AU3590">
        <v>27.9</v>
      </c>
      <c r="AV3590">
        <v>28.77</v>
      </c>
      <c r="AW3590" t="s">
        <v>82</v>
      </c>
      <c r="AX3590">
        <v>305</v>
      </c>
      <c r="AY3590" t="s">
        <v>81</v>
      </c>
      <c r="AZ3590">
        <v>17.5</v>
      </c>
      <c r="BA3590">
        <v>16.25</v>
      </c>
      <c r="BB3590" t="s">
        <v>83</v>
      </c>
    </row>
    <row r="3591" spans="1:54" x14ac:dyDescent="0.4">
      <c r="A3591">
        <v>1419216</v>
      </c>
      <c r="D3591" t="s">
        <v>54</v>
      </c>
      <c r="E3591" t="s">
        <v>55</v>
      </c>
      <c r="F3591" t="s">
        <v>3466</v>
      </c>
      <c r="I3591" t="s">
        <v>57</v>
      </c>
      <c r="K3591" t="s">
        <v>141</v>
      </c>
      <c r="L3591" t="s">
        <v>5264</v>
      </c>
      <c r="M3591" t="s">
        <v>60</v>
      </c>
      <c r="P3591" t="s">
        <v>182</v>
      </c>
      <c r="R3591" t="s">
        <v>183</v>
      </c>
      <c r="S3591" t="s">
        <v>64</v>
      </c>
      <c r="T3591">
        <v>239.7</v>
      </c>
      <c r="U3591">
        <v>237</v>
      </c>
      <c r="V3591">
        <f t="shared" si="112"/>
        <v>238.35</v>
      </c>
      <c r="W3591">
        <f t="shared" si="113"/>
        <v>2.6999999999999886</v>
      </c>
      <c r="X3591">
        <v>9.8866669999999992</v>
      </c>
      <c r="Y3591">
        <v>49.077499000000003</v>
      </c>
      <c r="Z3591" t="s">
        <v>3515</v>
      </c>
      <c r="AA3591" t="s">
        <v>211</v>
      </c>
      <c r="AB3591" t="s">
        <v>212</v>
      </c>
      <c r="AC3591" t="s">
        <v>3522</v>
      </c>
      <c r="AD3591" t="s">
        <v>960</v>
      </c>
      <c r="AE3591" t="s">
        <v>215</v>
      </c>
      <c r="AF3591" t="s">
        <v>3517</v>
      </c>
      <c r="AH3591" t="s">
        <v>72</v>
      </c>
      <c r="AI3591" t="s">
        <v>5265</v>
      </c>
      <c r="AJ3591">
        <v>2014</v>
      </c>
      <c r="AK3591" t="s">
        <v>3524</v>
      </c>
      <c r="AM3591" t="s">
        <v>3525</v>
      </c>
      <c r="AN3591" t="s">
        <v>192</v>
      </c>
      <c r="AO3591" t="s">
        <v>77</v>
      </c>
      <c r="AP3591" t="s">
        <v>78</v>
      </c>
      <c r="AQ3591" t="s">
        <v>3526</v>
      </c>
      <c r="AR3591" t="s">
        <v>80</v>
      </c>
      <c r="AS3591">
        <v>305</v>
      </c>
      <c r="AT3591" t="s">
        <v>81</v>
      </c>
      <c r="AU3591">
        <v>27.89</v>
      </c>
      <c r="AV3591">
        <v>28.77</v>
      </c>
      <c r="AW3591" t="s">
        <v>82</v>
      </c>
      <c r="AX3591">
        <v>305</v>
      </c>
      <c r="AY3591" t="s">
        <v>81</v>
      </c>
      <c r="AZ3591">
        <v>17.489999999999998</v>
      </c>
      <c r="BA3591">
        <v>16.25</v>
      </c>
      <c r="BB3591" t="s">
        <v>83</v>
      </c>
    </row>
    <row r="3592" spans="1:54" x14ac:dyDescent="0.4">
      <c r="A3592">
        <v>1419217</v>
      </c>
      <c r="D3592" t="s">
        <v>54</v>
      </c>
      <c r="I3592" t="s">
        <v>57</v>
      </c>
      <c r="K3592" t="s">
        <v>141</v>
      </c>
      <c r="L3592" t="s">
        <v>5264</v>
      </c>
      <c r="M3592" t="s">
        <v>60</v>
      </c>
      <c r="P3592" t="s">
        <v>182</v>
      </c>
      <c r="R3592" t="s">
        <v>183</v>
      </c>
      <c r="S3592" t="s">
        <v>64</v>
      </c>
      <c r="T3592">
        <v>239.7</v>
      </c>
      <c r="U3592">
        <v>237</v>
      </c>
      <c r="V3592">
        <f t="shared" si="112"/>
        <v>238.35</v>
      </c>
      <c r="W3592">
        <f t="shared" si="113"/>
        <v>2.6999999999999886</v>
      </c>
      <c r="X3592">
        <v>10.106111</v>
      </c>
      <c r="Y3592">
        <v>49.177776000000001</v>
      </c>
      <c r="Z3592" t="s">
        <v>520</v>
      </c>
      <c r="AA3592" t="s">
        <v>211</v>
      </c>
      <c r="AB3592" t="s">
        <v>212</v>
      </c>
      <c r="AD3592" t="s">
        <v>960</v>
      </c>
      <c r="AE3592" t="s">
        <v>1378</v>
      </c>
      <c r="AF3592" t="s">
        <v>5266</v>
      </c>
      <c r="AH3592" t="s">
        <v>72</v>
      </c>
      <c r="AI3592" t="s">
        <v>5265</v>
      </c>
      <c r="AJ3592">
        <v>2014</v>
      </c>
      <c r="AK3592" t="s">
        <v>5267</v>
      </c>
      <c r="AN3592" t="s">
        <v>114</v>
      </c>
      <c r="AO3592" t="s">
        <v>77</v>
      </c>
      <c r="AP3592" t="s">
        <v>78</v>
      </c>
      <c r="AR3592" t="s">
        <v>80</v>
      </c>
      <c r="AS3592">
        <v>305</v>
      </c>
      <c r="AT3592" t="s">
        <v>81</v>
      </c>
      <c r="AU3592">
        <v>28.02</v>
      </c>
      <c r="AV3592">
        <v>28.91</v>
      </c>
      <c r="AW3592" t="s">
        <v>82</v>
      </c>
      <c r="AX3592">
        <v>305</v>
      </c>
      <c r="AY3592" t="s">
        <v>81</v>
      </c>
      <c r="AZ3592">
        <v>17.579999999999998</v>
      </c>
      <c r="BA3592">
        <v>16.399999999999999</v>
      </c>
      <c r="BB3592" t="s">
        <v>83</v>
      </c>
    </row>
    <row r="3593" spans="1:54" x14ac:dyDescent="0.4">
      <c r="A3593">
        <v>1420037</v>
      </c>
      <c r="D3593" t="s">
        <v>54</v>
      </c>
      <c r="I3593" t="s">
        <v>57</v>
      </c>
      <c r="K3593" t="s">
        <v>556</v>
      </c>
      <c r="L3593" t="s">
        <v>4376</v>
      </c>
      <c r="M3593" t="s">
        <v>223</v>
      </c>
      <c r="N3593" t="s">
        <v>234</v>
      </c>
      <c r="O3593" t="s">
        <v>87</v>
      </c>
      <c r="P3593" t="s">
        <v>224</v>
      </c>
      <c r="Q3593" t="s">
        <v>4942</v>
      </c>
      <c r="R3593" t="s">
        <v>183</v>
      </c>
      <c r="S3593" t="s">
        <v>64</v>
      </c>
      <c r="T3593">
        <v>246.7</v>
      </c>
      <c r="U3593">
        <v>242</v>
      </c>
      <c r="V3593">
        <f t="shared" si="112"/>
        <v>244.35</v>
      </c>
      <c r="W3593">
        <f t="shared" si="113"/>
        <v>4.6999999999999886</v>
      </c>
      <c r="X3593">
        <v>13.078889</v>
      </c>
      <c r="Y3593">
        <v>46.463332999999999</v>
      </c>
      <c r="Z3593" t="s">
        <v>520</v>
      </c>
      <c r="AA3593" t="s">
        <v>593</v>
      </c>
      <c r="AB3593" t="s">
        <v>595</v>
      </c>
      <c r="AC3593" t="s">
        <v>5306</v>
      </c>
      <c r="AD3593" t="s">
        <v>5307</v>
      </c>
      <c r="AH3593" t="s">
        <v>72</v>
      </c>
      <c r="AI3593" t="s">
        <v>1683</v>
      </c>
      <c r="AJ3593">
        <v>2004</v>
      </c>
      <c r="AK3593" t="s">
        <v>5308</v>
      </c>
      <c r="AM3593" t="s">
        <v>5309</v>
      </c>
      <c r="AN3593" t="s">
        <v>192</v>
      </c>
      <c r="AO3593" t="s">
        <v>77</v>
      </c>
      <c r="AP3593" t="s">
        <v>115</v>
      </c>
      <c r="AQ3593" t="s">
        <v>5310</v>
      </c>
      <c r="AR3593" t="s">
        <v>80</v>
      </c>
      <c r="AS3593">
        <v>307</v>
      </c>
      <c r="AT3593" t="s">
        <v>81</v>
      </c>
      <c r="AU3593">
        <v>36.11</v>
      </c>
      <c r="AV3593">
        <v>14.37</v>
      </c>
      <c r="AW3593" t="s">
        <v>82</v>
      </c>
      <c r="AX3593">
        <v>307</v>
      </c>
      <c r="AY3593" t="s">
        <v>81</v>
      </c>
      <c r="AZ3593">
        <v>24.66</v>
      </c>
      <c r="BA3593">
        <v>5.83</v>
      </c>
      <c r="BB3593" t="s">
        <v>83</v>
      </c>
    </row>
    <row r="3594" spans="1:54" x14ac:dyDescent="0.4">
      <c r="A3594">
        <v>1439334</v>
      </c>
      <c r="D3594" t="s">
        <v>853</v>
      </c>
      <c r="F3594" t="s">
        <v>2523</v>
      </c>
      <c r="G3594">
        <v>1</v>
      </c>
      <c r="H3594" t="s">
        <v>84</v>
      </c>
      <c r="I3594" t="s">
        <v>57</v>
      </c>
      <c r="K3594" t="s">
        <v>141</v>
      </c>
      <c r="L3594" t="s">
        <v>5385</v>
      </c>
      <c r="M3594" t="s">
        <v>223</v>
      </c>
      <c r="P3594" t="s">
        <v>182</v>
      </c>
      <c r="R3594" t="s">
        <v>183</v>
      </c>
      <c r="S3594" t="s">
        <v>64</v>
      </c>
      <c r="T3594">
        <v>239.7</v>
      </c>
      <c r="U3594">
        <v>237</v>
      </c>
      <c r="V3594">
        <f t="shared" si="112"/>
        <v>238.35</v>
      </c>
      <c r="W3594">
        <f t="shared" si="113"/>
        <v>2.6999999999999886</v>
      </c>
      <c r="X3594">
        <v>8.9049999999999994</v>
      </c>
      <c r="Y3594">
        <v>45.869999</v>
      </c>
      <c r="Z3594" t="s">
        <v>1415</v>
      </c>
      <c r="AA3594" t="s">
        <v>593</v>
      </c>
      <c r="AD3594" t="s">
        <v>3799</v>
      </c>
      <c r="AF3594" t="s">
        <v>4200</v>
      </c>
      <c r="AH3594" t="s">
        <v>72</v>
      </c>
      <c r="AI3594" t="s">
        <v>1171</v>
      </c>
      <c r="AJ3594">
        <v>2014</v>
      </c>
      <c r="AK3594" t="s">
        <v>5386</v>
      </c>
      <c r="AN3594" t="s">
        <v>114</v>
      </c>
      <c r="AO3594">
        <v>2</v>
      </c>
      <c r="AP3594" t="s">
        <v>78</v>
      </c>
      <c r="AQ3594" t="s">
        <v>5387</v>
      </c>
      <c r="AR3594" t="s">
        <v>80</v>
      </c>
      <c r="AS3594">
        <v>307</v>
      </c>
      <c r="AT3594" t="s">
        <v>81</v>
      </c>
      <c r="AU3594">
        <v>33.35</v>
      </c>
      <c r="AV3594">
        <v>18.12</v>
      </c>
      <c r="AW3594" t="s">
        <v>82</v>
      </c>
      <c r="AX3594">
        <v>307</v>
      </c>
      <c r="AY3594" t="s">
        <v>81</v>
      </c>
      <c r="AZ3594">
        <v>20.16</v>
      </c>
      <c r="BA3594">
        <v>8.8699999999999992</v>
      </c>
      <c r="BB3594" t="s">
        <v>83</v>
      </c>
    </row>
    <row r="3595" spans="1:54" x14ac:dyDescent="0.4">
      <c r="A3595">
        <v>1495723</v>
      </c>
      <c r="D3595" t="s">
        <v>54</v>
      </c>
      <c r="E3595" t="s">
        <v>55</v>
      </c>
      <c r="F3595" t="s">
        <v>3466</v>
      </c>
      <c r="G3595">
        <v>1</v>
      </c>
      <c r="H3595" t="s">
        <v>84</v>
      </c>
      <c r="I3595" t="s">
        <v>57</v>
      </c>
      <c r="K3595" t="s">
        <v>141</v>
      </c>
      <c r="L3595" t="s">
        <v>5464</v>
      </c>
      <c r="M3595" t="s">
        <v>60</v>
      </c>
      <c r="P3595" t="s">
        <v>182</v>
      </c>
      <c r="R3595" t="s">
        <v>183</v>
      </c>
      <c r="S3595" t="s">
        <v>64</v>
      </c>
      <c r="T3595">
        <v>239.7</v>
      </c>
      <c r="U3595">
        <v>237</v>
      </c>
      <c r="V3595">
        <f t="shared" si="112"/>
        <v>238.35</v>
      </c>
      <c r="W3595">
        <f t="shared" si="113"/>
        <v>2.6999999999999886</v>
      </c>
      <c r="X3595">
        <v>9.8866669999999992</v>
      </c>
      <c r="Y3595">
        <v>49.077499000000003</v>
      </c>
      <c r="Z3595" t="s">
        <v>3515</v>
      </c>
      <c r="AA3595" t="s">
        <v>211</v>
      </c>
      <c r="AB3595" t="s">
        <v>212</v>
      </c>
      <c r="AC3595" t="s">
        <v>3522</v>
      </c>
      <c r="AD3595" t="s">
        <v>960</v>
      </c>
      <c r="AE3595" t="s">
        <v>215</v>
      </c>
      <c r="AF3595" t="s">
        <v>3517</v>
      </c>
      <c r="AH3595" t="s">
        <v>72</v>
      </c>
      <c r="AI3595" t="s">
        <v>5465</v>
      </c>
      <c r="AJ3595">
        <v>2020</v>
      </c>
      <c r="AK3595" t="s">
        <v>3524</v>
      </c>
      <c r="AM3595" t="s">
        <v>3525</v>
      </c>
      <c r="AN3595" t="s">
        <v>192</v>
      </c>
      <c r="AO3595" t="s">
        <v>77</v>
      </c>
      <c r="AP3595" t="s">
        <v>78</v>
      </c>
      <c r="AQ3595" t="s">
        <v>3526</v>
      </c>
      <c r="AR3595" t="s">
        <v>80</v>
      </c>
      <c r="AS3595">
        <v>305</v>
      </c>
      <c r="AT3595" t="s">
        <v>81</v>
      </c>
      <c r="AU3595">
        <v>27.89</v>
      </c>
      <c r="AV3595">
        <v>28.77</v>
      </c>
      <c r="AW3595" t="s">
        <v>82</v>
      </c>
      <c r="AX3595">
        <v>305</v>
      </c>
      <c r="AY3595" t="s">
        <v>81</v>
      </c>
      <c r="AZ3595">
        <v>17.489999999999998</v>
      </c>
      <c r="BA3595">
        <v>16.25</v>
      </c>
      <c r="BB3595" t="s">
        <v>83</v>
      </c>
    </row>
    <row r="3596" spans="1:54" x14ac:dyDescent="0.4">
      <c r="A3596">
        <v>1519520</v>
      </c>
      <c r="D3596" t="s">
        <v>54</v>
      </c>
      <c r="E3596" t="s">
        <v>55</v>
      </c>
      <c r="F3596" t="s">
        <v>3466</v>
      </c>
      <c r="G3596">
        <v>2</v>
      </c>
      <c r="H3596" t="s">
        <v>84</v>
      </c>
      <c r="I3596" t="s">
        <v>57</v>
      </c>
      <c r="K3596" t="s">
        <v>141</v>
      </c>
      <c r="L3596" t="s">
        <v>5484</v>
      </c>
      <c r="M3596" t="s">
        <v>60</v>
      </c>
      <c r="P3596" t="s">
        <v>182</v>
      </c>
      <c r="R3596" t="s">
        <v>183</v>
      </c>
      <c r="S3596" t="s">
        <v>64</v>
      </c>
      <c r="T3596">
        <v>239.7</v>
      </c>
      <c r="U3596">
        <v>237</v>
      </c>
      <c r="V3596">
        <f t="shared" si="112"/>
        <v>238.35</v>
      </c>
      <c r="W3596">
        <f t="shared" si="113"/>
        <v>2.6999999999999886</v>
      </c>
      <c r="X3596">
        <v>9.8866669999999992</v>
      </c>
      <c r="Y3596">
        <v>49.077499000000003</v>
      </c>
      <c r="Z3596" t="s">
        <v>3515</v>
      </c>
      <c r="AA3596" t="s">
        <v>211</v>
      </c>
      <c r="AB3596" t="s">
        <v>212</v>
      </c>
      <c r="AC3596" t="s">
        <v>3522</v>
      </c>
      <c r="AD3596" t="s">
        <v>960</v>
      </c>
      <c r="AE3596" t="s">
        <v>215</v>
      </c>
      <c r="AF3596" t="s">
        <v>3517</v>
      </c>
      <c r="AH3596" t="s">
        <v>72</v>
      </c>
      <c r="AI3596" t="s">
        <v>730</v>
      </c>
      <c r="AJ3596">
        <v>2020</v>
      </c>
      <c r="AK3596" t="s">
        <v>3524</v>
      </c>
      <c r="AM3596" t="s">
        <v>3525</v>
      </c>
      <c r="AN3596" t="s">
        <v>192</v>
      </c>
      <c r="AO3596" t="s">
        <v>77</v>
      </c>
      <c r="AP3596" t="s">
        <v>78</v>
      </c>
      <c r="AQ3596" t="s">
        <v>3526</v>
      </c>
      <c r="AR3596" t="s">
        <v>80</v>
      </c>
      <c r="AS3596">
        <v>305</v>
      </c>
      <c r="AT3596" t="s">
        <v>81</v>
      </c>
      <c r="AU3596">
        <v>27.89</v>
      </c>
      <c r="AV3596">
        <v>28.77</v>
      </c>
      <c r="AW3596" t="s">
        <v>82</v>
      </c>
      <c r="AX3596">
        <v>305</v>
      </c>
      <c r="AY3596" t="s">
        <v>81</v>
      </c>
      <c r="AZ3596">
        <v>17.489999999999998</v>
      </c>
      <c r="BA3596">
        <v>16.25</v>
      </c>
      <c r="BB3596" t="s">
        <v>83</v>
      </c>
    </row>
    <row r="3597" spans="1:54" x14ac:dyDescent="0.4">
      <c r="A3597">
        <v>1565999</v>
      </c>
      <c r="D3597" t="s">
        <v>54</v>
      </c>
      <c r="E3597" t="s">
        <v>55</v>
      </c>
      <c r="F3597" t="s">
        <v>3466</v>
      </c>
      <c r="G3597">
        <v>1</v>
      </c>
      <c r="H3597" t="s">
        <v>84</v>
      </c>
      <c r="I3597" t="s">
        <v>57</v>
      </c>
      <c r="K3597" t="s">
        <v>141</v>
      </c>
      <c r="L3597" t="s">
        <v>5569</v>
      </c>
      <c r="M3597" t="s">
        <v>60</v>
      </c>
      <c r="P3597" t="s">
        <v>182</v>
      </c>
      <c r="R3597" t="s">
        <v>183</v>
      </c>
      <c r="S3597" t="s">
        <v>64</v>
      </c>
      <c r="T3597">
        <v>239.7</v>
      </c>
      <c r="U3597">
        <v>237</v>
      </c>
      <c r="V3597">
        <f t="shared" si="112"/>
        <v>238.35</v>
      </c>
      <c r="W3597">
        <f t="shared" si="113"/>
        <v>2.6999999999999886</v>
      </c>
      <c r="X3597">
        <v>9.8866669999999992</v>
      </c>
      <c r="Y3597">
        <v>49.077499000000003</v>
      </c>
      <c r="Z3597" t="s">
        <v>3515</v>
      </c>
      <c r="AA3597" t="s">
        <v>211</v>
      </c>
      <c r="AB3597" t="s">
        <v>212</v>
      </c>
      <c r="AC3597" t="s">
        <v>3522</v>
      </c>
      <c r="AD3597" t="s">
        <v>960</v>
      </c>
      <c r="AE3597" t="s">
        <v>215</v>
      </c>
      <c r="AF3597" t="s">
        <v>3517</v>
      </c>
      <c r="AH3597" t="s">
        <v>72</v>
      </c>
      <c r="AI3597" t="s">
        <v>5465</v>
      </c>
      <c r="AJ3597">
        <v>2021</v>
      </c>
      <c r="AK3597" t="s">
        <v>3524</v>
      </c>
      <c r="AM3597" t="s">
        <v>3525</v>
      </c>
      <c r="AN3597" t="s">
        <v>192</v>
      </c>
      <c r="AO3597" t="s">
        <v>77</v>
      </c>
      <c r="AP3597" t="s">
        <v>78</v>
      </c>
      <c r="AQ3597" t="s">
        <v>3526</v>
      </c>
      <c r="AR3597" t="s">
        <v>80</v>
      </c>
      <c r="AS3597">
        <v>305</v>
      </c>
      <c r="AT3597" t="s">
        <v>81</v>
      </c>
      <c r="AU3597">
        <v>27.89</v>
      </c>
      <c r="AV3597">
        <v>28.77</v>
      </c>
      <c r="AW3597" t="s">
        <v>82</v>
      </c>
      <c r="AX3597">
        <v>305</v>
      </c>
      <c r="AY3597" t="s">
        <v>81</v>
      </c>
      <c r="AZ3597">
        <v>17.489999999999998</v>
      </c>
      <c r="BA3597">
        <v>16.25</v>
      </c>
      <c r="BB3597" t="s">
        <v>83</v>
      </c>
    </row>
    <row r="3598" spans="1:54" x14ac:dyDescent="0.4">
      <c r="A3598">
        <v>1633862</v>
      </c>
      <c r="D3598" t="s">
        <v>853</v>
      </c>
      <c r="G3598">
        <v>1</v>
      </c>
      <c r="H3598" t="s">
        <v>56</v>
      </c>
      <c r="I3598" t="s">
        <v>57</v>
      </c>
      <c r="K3598" t="s">
        <v>771</v>
      </c>
      <c r="L3598" t="s">
        <v>3368</v>
      </c>
      <c r="M3598" t="s">
        <v>223</v>
      </c>
      <c r="P3598" t="s">
        <v>182</v>
      </c>
      <c r="R3598" t="s">
        <v>183</v>
      </c>
      <c r="S3598" t="s">
        <v>64</v>
      </c>
      <c r="T3598">
        <v>239.7</v>
      </c>
      <c r="U3598">
        <v>237</v>
      </c>
      <c r="V3598">
        <f t="shared" si="112"/>
        <v>238.35</v>
      </c>
      <c r="W3598">
        <f t="shared" si="113"/>
        <v>2.6999999999999886</v>
      </c>
      <c r="X3598">
        <v>9.3000000000000007</v>
      </c>
      <c r="Y3598">
        <v>46.02</v>
      </c>
      <c r="Z3598" t="s">
        <v>520</v>
      </c>
      <c r="AA3598" t="s">
        <v>593</v>
      </c>
      <c r="AB3598" t="s">
        <v>4138</v>
      </c>
      <c r="AD3598" t="s">
        <v>4139</v>
      </c>
      <c r="AF3598" t="s">
        <v>4140</v>
      </c>
      <c r="AH3598" t="s">
        <v>72</v>
      </c>
      <c r="AI3598" t="s">
        <v>1045</v>
      </c>
      <c r="AJ3598">
        <v>1854</v>
      </c>
      <c r="AK3598" t="s">
        <v>4141</v>
      </c>
      <c r="AN3598" t="s">
        <v>114</v>
      </c>
      <c r="AO3598">
        <v>2</v>
      </c>
      <c r="AP3598" t="s">
        <v>359</v>
      </c>
      <c r="AQ3598" t="s">
        <v>4142</v>
      </c>
      <c r="AR3598" t="s">
        <v>80</v>
      </c>
      <c r="AS3598">
        <v>307</v>
      </c>
      <c r="AT3598" t="s">
        <v>81</v>
      </c>
      <c r="AU3598">
        <v>33.619999999999997</v>
      </c>
      <c r="AV3598">
        <v>17.940000000000001</v>
      </c>
      <c r="AW3598" t="s">
        <v>82</v>
      </c>
      <c r="AX3598">
        <v>307</v>
      </c>
      <c r="AY3598" t="s">
        <v>81</v>
      </c>
      <c r="AZ3598">
        <v>20.47</v>
      </c>
      <c r="BA3598">
        <v>8.82</v>
      </c>
      <c r="BB3598" t="s">
        <v>83</v>
      </c>
    </row>
    <row r="3599" spans="1:54" x14ac:dyDescent="0.4">
      <c r="A3599" s="2" t="s">
        <v>6503</v>
      </c>
      <c r="B3599" s="2"/>
      <c r="C3599" s="2"/>
      <c r="D3599" s="2" t="s">
        <v>54</v>
      </c>
      <c r="E3599" s="2"/>
      <c r="F3599" s="2" t="s">
        <v>6504</v>
      </c>
      <c r="G3599" s="2">
        <v>1</v>
      </c>
      <c r="H3599" s="2" t="s">
        <v>5718</v>
      </c>
      <c r="I3599" s="3" t="s">
        <v>57</v>
      </c>
      <c r="J3599" s="3" t="s">
        <v>5836</v>
      </c>
      <c r="K3599" s="3" t="s">
        <v>499</v>
      </c>
      <c r="L3599" s="4" t="s">
        <v>1521</v>
      </c>
      <c r="M3599" s="3" t="s">
        <v>60</v>
      </c>
      <c r="N3599" s="4"/>
      <c r="O3599" s="4"/>
      <c r="P3599" s="3" t="s">
        <v>237</v>
      </c>
      <c r="Q3599" s="3"/>
      <c r="R3599" s="3" t="s">
        <v>238</v>
      </c>
      <c r="S3599" s="3" t="s">
        <v>123</v>
      </c>
      <c r="T3599">
        <v>266.89999999999998</v>
      </c>
      <c r="U3599">
        <v>264.27999999999997</v>
      </c>
      <c r="V3599">
        <f t="shared" si="112"/>
        <v>265.58999999999997</v>
      </c>
      <c r="W3599">
        <f t="shared" si="113"/>
        <v>2.6200000000000045</v>
      </c>
      <c r="X3599" s="5">
        <v>-54.17</v>
      </c>
      <c r="Y3599" s="5">
        <v>-31.84</v>
      </c>
      <c r="Z3599" s="3"/>
      <c r="AA3599" s="3" t="s">
        <v>783</v>
      </c>
      <c r="AB3599" s="3" t="s">
        <v>5828</v>
      </c>
      <c r="AC3599" s="3" t="s">
        <v>5720</v>
      </c>
      <c r="AD3599" s="3" t="s">
        <v>1523</v>
      </c>
      <c r="AE3599" s="3" t="s">
        <v>1524</v>
      </c>
      <c r="AF3599" s="3" t="s">
        <v>1525</v>
      </c>
      <c r="AG3599" s="4" t="s">
        <v>1521</v>
      </c>
      <c r="AH3599" s="4"/>
      <c r="AI3599" s="3" t="s">
        <v>6505</v>
      </c>
      <c r="AJ3599" s="3">
        <v>2021</v>
      </c>
      <c r="AK3599" s="10" t="s">
        <v>5832</v>
      </c>
      <c r="AL3599" s="11" t="s">
        <v>6506</v>
      </c>
      <c r="AM3599" s="5"/>
      <c r="AN3599" s="5"/>
      <c r="AO3599" s="3"/>
      <c r="AP3599" s="3"/>
      <c r="AQ3599" s="3"/>
      <c r="AR3599" s="3"/>
      <c r="AS3599" s="3"/>
      <c r="AT3599" s="3"/>
      <c r="AU3599" s="3"/>
      <c r="AV3599" s="3"/>
      <c r="AW3599" s="3"/>
      <c r="AX3599" s="3"/>
      <c r="AY3599" s="3"/>
      <c r="AZ3599" s="3"/>
      <c r="BA3599" s="3"/>
      <c r="BB3599" s="3"/>
    </row>
    <row r="3600" spans="1:54" x14ac:dyDescent="0.4">
      <c r="A3600" s="2" t="s">
        <v>6507</v>
      </c>
      <c r="B3600" s="2"/>
      <c r="C3600" s="2"/>
      <c r="D3600" s="2" t="s">
        <v>54</v>
      </c>
      <c r="E3600" s="2"/>
      <c r="F3600" s="2" t="s">
        <v>5717</v>
      </c>
      <c r="G3600" s="2">
        <v>1</v>
      </c>
      <c r="H3600" s="2" t="s">
        <v>5718</v>
      </c>
      <c r="I3600" s="3" t="s">
        <v>57</v>
      </c>
      <c r="J3600" s="3" t="s">
        <v>5836</v>
      </c>
      <c r="K3600" s="3" t="s">
        <v>499</v>
      </c>
      <c r="L3600" s="4" t="s">
        <v>1521</v>
      </c>
      <c r="M3600" s="3" t="s">
        <v>60</v>
      </c>
      <c r="N3600" s="4"/>
      <c r="O3600" s="4"/>
      <c r="P3600" s="3" t="s">
        <v>237</v>
      </c>
      <c r="Q3600" s="3"/>
      <c r="R3600" s="3" t="s">
        <v>238</v>
      </c>
      <c r="S3600" s="3" t="s">
        <v>123</v>
      </c>
      <c r="T3600">
        <v>266.89999999999998</v>
      </c>
      <c r="U3600">
        <v>264.27999999999997</v>
      </c>
      <c r="V3600">
        <f t="shared" si="112"/>
        <v>265.58999999999997</v>
      </c>
      <c r="W3600">
        <f t="shared" si="113"/>
        <v>2.6200000000000045</v>
      </c>
      <c r="X3600" s="5">
        <v>-54.17</v>
      </c>
      <c r="Y3600" s="5">
        <v>-31.84</v>
      </c>
      <c r="Z3600" s="3"/>
      <c r="AA3600" s="3" t="s">
        <v>783</v>
      </c>
      <c r="AB3600" s="3" t="s">
        <v>5828</v>
      </c>
      <c r="AC3600" s="3" t="s">
        <v>5720</v>
      </c>
      <c r="AD3600" s="3" t="s">
        <v>1523</v>
      </c>
      <c r="AE3600" s="3" t="s">
        <v>1524</v>
      </c>
      <c r="AF3600" s="3" t="s">
        <v>1525</v>
      </c>
      <c r="AG3600" s="4" t="s">
        <v>1521</v>
      </c>
      <c r="AH3600" s="4"/>
      <c r="AI3600" s="3" t="s">
        <v>6505</v>
      </c>
      <c r="AJ3600" s="3">
        <v>2021</v>
      </c>
      <c r="AK3600" s="10" t="s">
        <v>5832</v>
      </c>
      <c r="AL3600" s="11" t="s">
        <v>6508</v>
      </c>
      <c r="AM3600" s="5"/>
      <c r="AN3600" s="5"/>
      <c r="AO3600" s="3"/>
      <c r="AP3600" s="3"/>
      <c r="AQ3600" s="3"/>
      <c r="AR3600" s="3"/>
      <c r="AS3600" s="3"/>
      <c r="AT3600" s="3"/>
      <c r="AU3600" s="3"/>
      <c r="AV3600" s="3"/>
      <c r="AW3600" s="3"/>
      <c r="AX3600" s="3"/>
      <c r="AY3600" s="3"/>
      <c r="AZ3600" s="3"/>
      <c r="BA3600" s="3"/>
      <c r="BB3600" s="3"/>
    </row>
    <row r="3601" spans="1:54" x14ac:dyDescent="0.4">
      <c r="A3601" s="2" t="s">
        <v>6509</v>
      </c>
      <c r="B3601" s="2"/>
      <c r="C3601" s="2"/>
      <c r="D3601" s="2" t="s">
        <v>54</v>
      </c>
      <c r="E3601" s="2"/>
      <c r="F3601" s="2" t="s">
        <v>6510</v>
      </c>
      <c r="G3601" s="2">
        <v>1</v>
      </c>
      <c r="H3601" s="2" t="s">
        <v>5718</v>
      </c>
      <c r="I3601" s="3" t="s">
        <v>57</v>
      </c>
      <c r="J3601" s="3" t="s">
        <v>5836</v>
      </c>
      <c r="K3601" s="3" t="s">
        <v>499</v>
      </c>
      <c r="L3601" s="4" t="s">
        <v>1521</v>
      </c>
      <c r="M3601" s="3" t="s">
        <v>60</v>
      </c>
      <c r="N3601" s="4"/>
      <c r="O3601" s="4"/>
      <c r="P3601" s="3" t="s">
        <v>237</v>
      </c>
      <c r="Q3601" s="3"/>
      <c r="R3601" s="3" t="s">
        <v>238</v>
      </c>
      <c r="S3601" s="3" t="s">
        <v>123</v>
      </c>
      <c r="T3601">
        <v>266.89999999999998</v>
      </c>
      <c r="U3601">
        <v>264.27999999999997</v>
      </c>
      <c r="V3601">
        <f t="shared" si="112"/>
        <v>265.58999999999997</v>
      </c>
      <c r="W3601">
        <f t="shared" si="113"/>
        <v>2.6200000000000045</v>
      </c>
      <c r="X3601" s="5">
        <v>-54.17</v>
      </c>
      <c r="Y3601" s="5">
        <v>-31.84</v>
      </c>
      <c r="Z3601" s="3"/>
      <c r="AA3601" s="3" t="s">
        <v>783</v>
      </c>
      <c r="AB3601" s="3" t="s">
        <v>5828</v>
      </c>
      <c r="AC3601" s="3" t="s">
        <v>5720</v>
      </c>
      <c r="AD3601" s="3" t="s">
        <v>1523</v>
      </c>
      <c r="AE3601" s="3" t="s">
        <v>1524</v>
      </c>
      <c r="AF3601" s="3" t="s">
        <v>1525</v>
      </c>
      <c r="AG3601" s="4" t="s">
        <v>1521</v>
      </c>
      <c r="AH3601" s="4"/>
      <c r="AI3601" s="3" t="s">
        <v>6505</v>
      </c>
      <c r="AJ3601" s="3">
        <v>2021</v>
      </c>
      <c r="AK3601" s="10" t="s">
        <v>5832</v>
      </c>
      <c r="AL3601" s="11" t="s">
        <v>6511</v>
      </c>
      <c r="AM3601" s="5"/>
      <c r="AN3601" s="5"/>
      <c r="AO3601" s="3"/>
      <c r="AP3601" s="3"/>
      <c r="AQ3601" s="3"/>
      <c r="AR3601" s="3"/>
      <c r="AS3601" s="3"/>
      <c r="AT3601" s="3"/>
      <c r="AU3601" s="3"/>
      <c r="AV3601" s="3"/>
      <c r="AW3601" s="3"/>
      <c r="AX3601" s="3"/>
      <c r="AY3601" s="3"/>
      <c r="AZ3601" s="3"/>
      <c r="BA3601" s="3"/>
      <c r="BB3601" s="3"/>
    </row>
    <row r="3602" spans="1:54" x14ac:dyDescent="0.4">
      <c r="A3602" s="2" t="s">
        <v>6512</v>
      </c>
      <c r="B3602" s="2"/>
      <c r="C3602" s="2"/>
      <c r="D3602" s="2" t="s">
        <v>54</v>
      </c>
      <c r="E3602" s="2"/>
      <c r="F3602" s="2" t="s">
        <v>6513</v>
      </c>
      <c r="G3602" s="2">
        <v>1</v>
      </c>
      <c r="H3602" s="2" t="s">
        <v>5718</v>
      </c>
      <c r="I3602" s="3" t="s">
        <v>57</v>
      </c>
      <c r="J3602" s="3" t="s">
        <v>5836</v>
      </c>
      <c r="K3602" s="3" t="s">
        <v>499</v>
      </c>
      <c r="L3602" s="4" t="s">
        <v>1521</v>
      </c>
      <c r="M3602" s="3" t="s">
        <v>60</v>
      </c>
      <c r="N3602" s="4"/>
      <c r="O3602" s="4"/>
      <c r="P3602" s="3" t="s">
        <v>237</v>
      </c>
      <c r="Q3602" s="3"/>
      <c r="R3602" s="3" t="s">
        <v>238</v>
      </c>
      <c r="S3602" s="3" t="s">
        <v>123</v>
      </c>
      <c r="T3602">
        <v>266.89999999999998</v>
      </c>
      <c r="U3602">
        <v>264.27999999999997</v>
      </c>
      <c r="V3602">
        <f t="shared" si="112"/>
        <v>265.58999999999997</v>
      </c>
      <c r="W3602">
        <f t="shared" si="113"/>
        <v>2.6200000000000045</v>
      </c>
      <c r="X3602" s="5">
        <v>-54.1</v>
      </c>
      <c r="Y3602" s="5">
        <v>-31.83</v>
      </c>
      <c r="Z3602" s="3"/>
      <c r="AA3602" s="3" t="s">
        <v>783</v>
      </c>
      <c r="AB3602" s="3" t="s">
        <v>5828</v>
      </c>
      <c r="AC3602" s="3" t="s">
        <v>6514</v>
      </c>
      <c r="AD3602" s="3" t="s">
        <v>1523</v>
      </c>
      <c r="AE3602" s="3" t="s">
        <v>1524</v>
      </c>
      <c r="AF3602" s="3" t="s">
        <v>1525</v>
      </c>
      <c r="AG3602" s="4" t="s">
        <v>1521</v>
      </c>
      <c r="AH3602" s="4"/>
      <c r="AI3602" s="3" t="s">
        <v>6505</v>
      </c>
      <c r="AJ3602" s="3">
        <v>2021</v>
      </c>
      <c r="AK3602" s="10" t="s">
        <v>5832</v>
      </c>
      <c r="AL3602" s="11" t="s">
        <v>6515</v>
      </c>
      <c r="AM3602" s="5"/>
      <c r="AN3602" s="5"/>
      <c r="AO3602" s="3"/>
      <c r="AP3602" s="3"/>
      <c r="AQ3602" s="3"/>
      <c r="AR3602" s="3"/>
      <c r="AS3602" s="3"/>
      <c r="AT3602" s="3"/>
      <c r="AU3602" s="3"/>
      <c r="AV3602" s="3"/>
      <c r="AW3602" s="3"/>
      <c r="AX3602" s="3"/>
      <c r="AY3602" s="3"/>
      <c r="AZ3602" s="3"/>
      <c r="BA3602" s="3"/>
      <c r="BB3602" s="3"/>
    </row>
    <row r="3603" spans="1:54" x14ac:dyDescent="0.4">
      <c r="A3603" s="2" t="s">
        <v>6516</v>
      </c>
      <c r="B3603" s="2"/>
      <c r="C3603" s="2"/>
      <c r="D3603" s="2" t="s">
        <v>54</v>
      </c>
      <c r="E3603" s="2"/>
      <c r="F3603" s="2" t="s">
        <v>6517</v>
      </c>
      <c r="G3603" s="2">
        <v>1</v>
      </c>
      <c r="H3603" s="2" t="s">
        <v>5718</v>
      </c>
      <c r="I3603" s="3" t="s">
        <v>57</v>
      </c>
      <c r="J3603" s="3" t="s">
        <v>5836</v>
      </c>
      <c r="K3603" s="3" t="s">
        <v>499</v>
      </c>
      <c r="L3603" s="4" t="s">
        <v>1521</v>
      </c>
      <c r="M3603" s="3" t="s">
        <v>60</v>
      </c>
      <c r="N3603" s="4"/>
      <c r="O3603" s="4"/>
      <c r="P3603" s="3" t="s">
        <v>237</v>
      </c>
      <c r="Q3603" s="3"/>
      <c r="R3603" s="3" t="s">
        <v>238</v>
      </c>
      <c r="S3603" s="3" t="s">
        <v>123</v>
      </c>
      <c r="T3603">
        <v>266.89999999999998</v>
      </c>
      <c r="U3603">
        <v>264.27999999999997</v>
      </c>
      <c r="V3603">
        <f t="shared" si="112"/>
        <v>265.58999999999997</v>
      </c>
      <c r="W3603">
        <f t="shared" si="113"/>
        <v>2.6200000000000045</v>
      </c>
      <c r="X3603" s="5">
        <v>-54.16</v>
      </c>
      <c r="Y3603" s="5">
        <v>-29.84</v>
      </c>
      <c r="Z3603" s="3"/>
      <c r="AA3603" s="3" t="s">
        <v>783</v>
      </c>
      <c r="AB3603" s="3" t="s">
        <v>5828</v>
      </c>
      <c r="AC3603" s="3" t="s">
        <v>6518</v>
      </c>
      <c r="AD3603" s="3" t="s">
        <v>1523</v>
      </c>
      <c r="AE3603" s="3" t="s">
        <v>1524</v>
      </c>
      <c r="AF3603" s="3" t="s">
        <v>5720</v>
      </c>
      <c r="AG3603" s="4" t="s">
        <v>1521</v>
      </c>
      <c r="AH3603" s="4"/>
      <c r="AI3603" s="3" t="s">
        <v>5720</v>
      </c>
      <c r="AJ3603" s="3" t="s">
        <v>5720</v>
      </c>
      <c r="AK3603" s="10" t="s">
        <v>6519</v>
      </c>
      <c r="AL3603" s="11" t="s">
        <v>6520</v>
      </c>
      <c r="AM3603" s="5"/>
      <c r="AN3603" s="5"/>
      <c r="AO3603" s="3"/>
      <c r="AP3603" s="3"/>
      <c r="AQ3603" s="3"/>
      <c r="AR3603" s="3"/>
      <c r="AS3603" s="3"/>
      <c r="AT3603" s="3"/>
      <c r="AU3603" s="3"/>
      <c r="AV3603" s="3"/>
      <c r="AW3603" s="3"/>
      <c r="AX3603" s="3"/>
      <c r="AY3603" s="3"/>
      <c r="AZ3603" s="3"/>
      <c r="BA3603" s="3"/>
      <c r="BB3603" s="3"/>
    </row>
    <row r="3604" spans="1:54" x14ac:dyDescent="0.4">
      <c r="A3604">
        <v>219963</v>
      </c>
      <c r="D3604" t="s">
        <v>54</v>
      </c>
      <c r="I3604" t="s">
        <v>57</v>
      </c>
      <c r="K3604" t="s">
        <v>235</v>
      </c>
      <c r="L3604" t="s">
        <v>236</v>
      </c>
      <c r="M3604" t="s">
        <v>60</v>
      </c>
      <c r="P3604" t="s">
        <v>237</v>
      </c>
      <c r="R3604" t="s">
        <v>238</v>
      </c>
      <c r="S3604" t="s">
        <v>123</v>
      </c>
      <c r="T3604">
        <v>266.89999999999998</v>
      </c>
      <c r="U3604">
        <v>264.27999999999997</v>
      </c>
      <c r="V3604">
        <f t="shared" si="112"/>
        <v>265.58999999999997</v>
      </c>
      <c r="W3604">
        <f t="shared" si="113"/>
        <v>2.6200000000000045</v>
      </c>
      <c r="X3604">
        <v>54.080002</v>
      </c>
      <c r="Y3604">
        <v>54.099997999999999</v>
      </c>
      <c r="Z3604" t="s">
        <v>124</v>
      </c>
      <c r="AA3604" t="s">
        <v>239</v>
      </c>
      <c r="AG3604" t="s">
        <v>240</v>
      </c>
      <c r="AH3604" t="s">
        <v>11</v>
      </c>
      <c r="AI3604" t="s">
        <v>241</v>
      </c>
      <c r="AJ3604">
        <v>1983</v>
      </c>
      <c r="AK3604" t="s">
        <v>242</v>
      </c>
      <c r="AM3604" t="s">
        <v>243</v>
      </c>
      <c r="AO3604">
        <v>4</v>
      </c>
      <c r="AR3604" t="s">
        <v>80</v>
      </c>
      <c r="AS3604">
        <v>302</v>
      </c>
      <c r="AT3604" t="s">
        <v>81</v>
      </c>
      <c r="AU3604">
        <v>51.49</v>
      </c>
      <c r="AV3604">
        <v>30.24</v>
      </c>
      <c r="AW3604" t="s">
        <v>82</v>
      </c>
      <c r="AX3604">
        <v>301</v>
      </c>
      <c r="AY3604" t="s">
        <v>81</v>
      </c>
      <c r="AZ3604">
        <v>47.91</v>
      </c>
      <c r="BA3604">
        <v>28.92</v>
      </c>
      <c r="BB3604" t="s">
        <v>83</v>
      </c>
    </row>
    <row r="3605" spans="1:54" x14ac:dyDescent="0.4">
      <c r="A3605">
        <v>286782</v>
      </c>
      <c r="D3605" t="s">
        <v>54</v>
      </c>
      <c r="G3605">
        <v>3</v>
      </c>
      <c r="H3605" t="s">
        <v>84</v>
      </c>
      <c r="I3605" t="s">
        <v>57</v>
      </c>
      <c r="K3605" t="s">
        <v>397</v>
      </c>
      <c r="L3605" t="s">
        <v>398</v>
      </c>
      <c r="M3605" t="s">
        <v>60</v>
      </c>
      <c r="N3605" t="s">
        <v>119</v>
      </c>
      <c r="O3605" t="s">
        <v>134</v>
      </c>
      <c r="P3605" t="s">
        <v>237</v>
      </c>
      <c r="R3605" t="s">
        <v>238</v>
      </c>
      <c r="S3605" t="s">
        <v>123</v>
      </c>
      <c r="T3605">
        <v>266.89999999999998</v>
      </c>
      <c r="U3605">
        <v>264.27999999999997</v>
      </c>
      <c r="V3605">
        <f t="shared" si="112"/>
        <v>265.58999999999997</v>
      </c>
      <c r="W3605">
        <f t="shared" si="113"/>
        <v>2.6200000000000045</v>
      </c>
      <c r="X3605">
        <v>54.125</v>
      </c>
      <c r="Y3605">
        <v>54.108333999999999</v>
      </c>
      <c r="Z3605" t="s">
        <v>105</v>
      </c>
      <c r="AA3605" t="s">
        <v>239</v>
      </c>
      <c r="AB3605" t="s">
        <v>399</v>
      </c>
      <c r="AC3605" t="s">
        <v>242</v>
      </c>
      <c r="AD3605" t="s">
        <v>242</v>
      </c>
      <c r="AG3605" t="s">
        <v>240</v>
      </c>
      <c r="AH3605" t="s">
        <v>72</v>
      </c>
      <c r="AI3605" t="s">
        <v>400</v>
      </c>
      <c r="AJ3605">
        <v>1973</v>
      </c>
      <c r="AK3605" t="s">
        <v>401</v>
      </c>
      <c r="AM3605" t="s">
        <v>402</v>
      </c>
      <c r="AN3605" t="s">
        <v>114</v>
      </c>
      <c r="AO3605" t="s">
        <v>77</v>
      </c>
      <c r="AP3605" t="s">
        <v>78</v>
      </c>
      <c r="AQ3605" t="s">
        <v>403</v>
      </c>
      <c r="AR3605" t="s">
        <v>80</v>
      </c>
      <c r="AS3605">
        <v>302</v>
      </c>
      <c r="AT3605" t="s">
        <v>81</v>
      </c>
      <c r="AU3605">
        <v>51.51</v>
      </c>
      <c r="AV3605">
        <v>30.26</v>
      </c>
      <c r="AW3605" t="s">
        <v>82</v>
      </c>
      <c r="AX3605">
        <v>301</v>
      </c>
      <c r="AY3605" t="s">
        <v>81</v>
      </c>
      <c r="AZ3605">
        <v>47.93</v>
      </c>
      <c r="BA3605">
        <v>28.95</v>
      </c>
      <c r="BB3605" t="s">
        <v>83</v>
      </c>
    </row>
    <row r="3606" spans="1:54" x14ac:dyDescent="0.4">
      <c r="A3606">
        <v>747876</v>
      </c>
      <c r="D3606" t="s">
        <v>54</v>
      </c>
      <c r="G3606">
        <v>1</v>
      </c>
      <c r="H3606" t="s">
        <v>56</v>
      </c>
      <c r="I3606" t="s">
        <v>57</v>
      </c>
      <c r="K3606" t="s">
        <v>235</v>
      </c>
      <c r="L3606" t="s">
        <v>1595</v>
      </c>
      <c r="M3606" t="s">
        <v>60</v>
      </c>
      <c r="P3606" t="s">
        <v>237</v>
      </c>
      <c r="R3606" t="s">
        <v>238</v>
      </c>
      <c r="S3606" t="s">
        <v>123</v>
      </c>
      <c r="T3606">
        <v>266.89999999999998</v>
      </c>
      <c r="U3606">
        <v>264.27999999999997</v>
      </c>
      <c r="V3606">
        <f t="shared" si="112"/>
        <v>265.58999999999997</v>
      </c>
      <c r="W3606">
        <f t="shared" si="113"/>
        <v>2.6200000000000045</v>
      </c>
      <c r="X3606">
        <v>54.416668000000001</v>
      </c>
      <c r="Y3606">
        <v>52.583331999999999</v>
      </c>
      <c r="Z3606" t="s">
        <v>1596</v>
      </c>
      <c r="AA3606" t="s">
        <v>239</v>
      </c>
      <c r="AB3606" t="s">
        <v>638</v>
      </c>
      <c r="AD3606" t="s">
        <v>242</v>
      </c>
      <c r="AG3606" t="s">
        <v>240</v>
      </c>
      <c r="AH3606" t="s">
        <v>72</v>
      </c>
      <c r="AI3606" t="s">
        <v>1594</v>
      </c>
      <c r="AJ3606">
        <v>1984</v>
      </c>
      <c r="AK3606" t="s">
        <v>1597</v>
      </c>
      <c r="AM3606" t="s">
        <v>1598</v>
      </c>
      <c r="AN3606" t="s">
        <v>192</v>
      </c>
      <c r="AO3606" t="s">
        <v>160</v>
      </c>
      <c r="AP3606" t="s">
        <v>78</v>
      </c>
      <c r="AQ3606" t="s">
        <v>1599</v>
      </c>
      <c r="AR3606" t="s">
        <v>80</v>
      </c>
      <c r="AS3606">
        <v>302</v>
      </c>
      <c r="AT3606" t="s">
        <v>81</v>
      </c>
      <c r="AU3606">
        <v>52.72</v>
      </c>
      <c r="AV3606">
        <v>29.14</v>
      </c>
      <c r="AW3606" t="s">
        <v>82</v>
      </c>
      <c r="AX3606">
        <v>301</v>
      </c>
      <c r="AY3606" t="s">
        <v>81</v>
      </c>
      <c r="AZ3606">
        <v>49.21</v>
      </c>
      <c r="BA3606">
        <v>27.9</v>
      </c>
      <c r="BB3606" t="s">
        <v>83</v>
      </c>
    </row>
    <row r="3607" spans="1:54" x14ac:dyDescent="0.4">
      <c r="A3607">
        <v>789767</v>
      </c>
      <c r="D3607" t="s">
        <v>54</v>
      </c>
      <c r="G3607">
        <v>1</v>
      </c>
      <c r="H3607" t="s">
        <v>56</v>
      </c>
      <c r="I3607" t="s">
        <v>57</v>
      </c>
      <c r="K3607" t="s">
        <v>235</v>
      </c>
      <c r="L3607" t="s">
        <v>1872</v>
      </c>
      <c r="M3607" t="s">
        <v>60</v>
      </c>
      <c r="P3607" t="s">
        <v>237</v>
      </c>
      <c r="R3607" t="s">
        <v>238</v>
      </c>
      <c r="S3607" t="s">
        <v>123</v>
      </c>
      <c r="T3607">
        <v>266.89999999999998</v>
      </c>
      <c r="U3607">
        <v>264.27999999999997</v>
      </c>
      <c r="V3607">
        <f t="shared" si="112"/>
        <v>265.58999999999997</v>
      </c>
      <c r="W3607">
        <f t="shared" si="113"/>
        <v>2.6200000000000045</v>
      </c>
      <c r="X3607">
        <v>54.125</v>
      </c>
      <c r="Y3607">
        <v>54.108333999999999</v>
      </c>
      <c r="Z3607" t="s">
        <v>105</v>
      </c>
      <c r="AA3607" t="s">
        <v>239</v>
      </c>
      <c r="AB3607" t="s">
        <v>399</v>
      </c>
      <c r="AC3607" t="s">
        <v>242</v>
      </c>
      <c r="AD3607" t="s">
        <v>242</v>
      </c>
      <c r="AG3607" t="s">
        <v>240</v>
      </c>
      <c r="AH3607" t="s">
        <v>72</v>
      </c>
      <c r="AI3607" t="s">
        <v>1594</v>
      </c>
      <c r="AJ3607">
        <v>1984</v>
      </c>
      <c r="AK3607" t="s">
        <v>401</v>
      </c>
      <c r="AM3607" t="s">
        <v>402</v>
      </c>
      <c r="AN3607" t="s">
        <v>114</v>
      </c>
      <c r="AO3607" t="s">
        <v>77</v>
      </c>
      <c r="AP3607" t="s">
        <v>78</v>
      </c>
      <c r="AQ3607" t="s">
        <v>403</v>
      </c>
      <c r="AR3607" t="s">
        <v>80</v>
      </c>
      <c r="AS3607">
        <v>302</v>
      </c>
      <c r="AT3607" t="s">
        <v>81</v>
      </c>
      <c r="AU3607">
        <v>51.51</v>
      </c>
      <c r="AV3607">
        <v>30.26</v>
      </c>
      <c r="AW3607" t="s">
        <v>82</v>
      </c>
      <c r="AX3607">
        <v>301</v>
      </c>
      <c r="AY3607" t="s">
        <v>81</v>
      </c>
      <c r="AZ3607">
        <v>47.93</v>
      </c>
      <c r="BA3607">
        <v>28.95</v>
      </c>
      <c r="BB3607" t="s">
        <v>83</v>
      </c>
    </row>
    <row r="3608" spans="1:54" x14ac:dyDescent="0.4">
      <c r="A3608">
        <v>789767</v>
      </c>
      <c r="D3608" t="s">
        <v>54</v>
      </c>
      <c r="G3608">
        <v>1</v>
      </c>
      <c r="H3608" t="s">
        <v>56</v>
      </c>
      <c r="I3608" t="s">
        <v>57</v>
      </c>
      <c r="K3608" t="s">
        <v>235</v>
      </c>
      <c r="L3608" t="s">
        <v>1872</v>
      </c>
      <c r="M3608" t="s">
        <v>60</v>
      </c>
      <c r="P3608" t="s">
        <v>237</v>
      </c>
      <c r="R3608" t="s">
        <v>238</v>
      </c>
      <c r="S3608" t="s">
        <v>123</v>
      </c>
      <c r="T3608">
        <v>266.89999999999998</v>
      </c>
      <c r="U3608">
        <v>264.27999999999997</v>
      </c>
      <c r="V3608">
        <f t="shared" si="112"/>
        <v>265.58999999999997</v>
      </c>
      <c r="W3608">
        <f t="shared" si="113"/>
        <v>2.6200000000000045</v>
      </c>
      <c r="X3608">
        <v>54.125</v>
      </c>
      <c r="Y3608">
        <v>54.108333999999999</v>
      </c>
      <c r="Z3608" t="s">
        <v>105</v>
      </c>
      <c r="AA3608" t="s">
        <v>239</v>
      </c>
      <c r="AB3608" t="s">
        <v>399</v>
      </c>
      <c r="AC3608" t="s">
        <v>242</v>
      </c>
      <c r="AD3608" t="s">
        <v>242</v>
      </c>
      <c r="AG3608" t="s">
        <v>240</v>
      </c>
      <c r="AH3608" t="s">
        <v>72</v>
      </c>
      <c r="AI3608" t="s">
        <v>1594</v>
      </c>
      <c r="AJ3608">
        <v>1984</v>
      </c>
      <c r="AK3608" t="s">
        <v>401</v>
      </c>
      <c r="AM3608" t="s">
        <v>402</v>
      </c>
      <c r="AN3608" t="s">
        <v>114</v>
      </c>
      <c r="AO3608" t="s">
        <v>77</v>
      </c>
      <c r="AP3608" t="s">
        <v>78</v>
      </c>
      <c r="AQ3608" t="s">
        <v>403</v>
      </c>
      <c r="AR3608" t="s">
        <v>80</v>
      </c>
      <c r="AS3608">
        <v>302</v>
      </c>
      <c r="AT3608" t="s">
        <v>81</v>
      </c>
      <c r="AU3608">
        <v>51.51</v>
      </c>
      <c r="AV3608">
        <v>30.26</v>
      </c>
      <c r="AW3608" t="s">
        <v>82</v>
      </c>
      <c r="AX3608">
        <v>301</v>
      </c>
      <c r="AY3608" t="s">
        <v>81</v>
      </c>
      <c r="AZ3608">
        <v>47.93</v>
      </c>
      <c r="BA3608">
        <v>28.95</v>
      </c>
      <c r="BB3608" t="s">
        <v>83</v>
      </c>
    </row>
    <row r="3609" spans="1:54" x14ac:dyDescent="0.4">
      <c r="A3609">
        <v>789767</v>
      </c>
      <c r="D3609" t="s">
        <v>54</v>
      </c>
      <c r="G3609">
        <v>1</v>
      </c>
      <c r="H3609" t="s">
        <v>56</v>
      </c>
      <c r="I3609" t="s">
        <v>57</v>
      </c>
      <c r="K3609" t="s">
        <v>235</v>
      </c>
      <c r="L3609" t="s">
        <v>1872</v>
      </c>
      <c r="M3609" t="s">
        <v>60</v>
      </c>
      <c r="P3609" t="s">
        <v>237</v>
      </c>
      <c r="R3609" t="s">
        <v>238</v>
      </c>
      <c r="S3609" t="s">
        <v>123</v>
      </c>
      <c r="T3609">
        <v>266.89999999999998</v>
      </c>
      <c r="U3609">
        <v>264.27999999999997</v>
      </c>
      <c r="V3609">
        <f t="shared" si="112"/>
        <v>265.58999999999997</v>
      </c>
      <c r="W3609">
        <f t="shared" si="113"/>
        <v>2.6200000000000045</v>
      </c>
      <c r="X3609">
        <v>54.125</v>
      </c>
      <c r="Y3609">
        <v>54.108333999999999</v>
      </c>
      <c r="Z3609" t="s">
        <v>105</v>
      </c>
      <c r="AA3609" t="s">
        <v>239</v>
      </c>
      <c r="AB3609" t="s">
        <v>399</v>
      </c>
      <c r="AC3609" t="s">
        <v>242</v>
      </c>
      <c r="AD3609" t="s">
        <v>242</v>
      </c>
      <c r="AG3609" t="s">
        <v>240</v>
      </c>
      <c r="AH3609" t="s">
        <v>72</v>
      </c>
      <c r="AI3609" t="s">
        <v>1594</v>
      </c>
      <c r="AJ3609">
        <v>1984</v>
      </c>
      <c r="AK3609" t="s">
        <v>401</v>
      </c>
      <c r="AM3609" t="s">
        <v>402</v>
      </c>
      <c r="AN3609" t="s">
        <v>114</v>
      </c>
      <c r="AO3609" t="s">
        <v>77</v>
      </c>
      <c r="AP3609" t="s">
        <v>78</v>
      </c>
      <c r="AQ3609" t="s">
        <v>403</v>
      </c>
      <c r="AR3609" t="s">
        <v>80</v>
      </c>
      <c r="AS3609">
        <v>302</v>
      </c>
      <c r="AT3609" t="s">
        <v>81</v>
      </c>
      <c r="AU3609">
        <v>51.51</v>
      </c>
      <c r="AV3609">
        <v>30.26</v>
      </c>
      <c r="AW3609" t="s">
        <v>82</v>
      </c>
      <c r="AX3609">
        <v>301</v>
      </c>
      <c r="AY3609" t="s">
        <v>81</v>
      </c>
      <c r="AZ3609">
        <v>47.93</v>
      </c>
      <c r="BA3609">
        <v>28.95</v>
      </c>
      <c r="BB3609" t="s">
        <v>83</v>
      </c>
    </row>
    <row r="3610" spans="1:54" x14ac:dyDescent="0.4">
      <c r="A3610">
        <v>790205</v>
      </c>
      <c r="D3610" t="s">
        <v>54</v>
      </c>
      <c r="G3610">
        <v>1</v>
      </c>
      <c r="H3610" t="s">
        <v>56</v>
      </c>
      <c r="I3610" t="s">
        <v>57</v>
      </c>
      <c r="K3610" t="s">
        <v>397</v>
      </c>
      <c r="L3610" t="s">
        <v>398</v>
      </c>
      <c r="M3610" t="s">
        <v>60</v>
      </c>
      <c r="N3610" t="s">
        <v>119</v>
      </c>
      <c r="O3610" t="s">
        <v>134</v>
      </c>
      <c r="P3610" t="s">
        <v>237</v>
      </c>
      <c r="R3610" t="s">
        <v>238</v>
      </c>
      <c r="S3610" t="s">
        <v>123</v>
      </c>
      <c r="T3610">
        <v>266.89999999999998</v>
      </c>
      <c r="U3610">
        <v>264.27999999999997</v>
      </c>
      <c r="V3610">
        <f t="shared" si="112"/>
        <v>265.58999999999997</v>
      </c>
      <c r="W3610">
        <f t="shared" si="113"/>
        <v>2.6200000000000045</v>
      </c>
      <c r="X3610">
        <v>54.416668000000001</v>
      </c>
      <c r="Y3610">
        <v>52.583331999999999</v>
      </c>
      <c r="Z3610" t="s">
        <v>1596</v>
      </c>
      <c r="AA3610" t="s">
        <v>239</v>
      </c>
      <c r="AB3610" t="s">
        <v>638</v>
      </c>
      <c r="AD3610" t="s">
        <v>242</v>
      </c>
      <c r="AG3610" t="s">
        <v>240</v>
      </c>
      <c r="AH3610" t="s">
        <v>72</v>
      </c>
      <c r="AI3610" t="s">
        <v>400</v>
      </c>
      <c r="AJ3610">
        <v>2008</v>
      </c>
      <c r="AK3610" t="s">
        <v>1597</v>
      </c>
      <c r="AM3610" t="s">
        <v>1598</v>
      </c>
      <c r="AN3610" t="s">
        <v>192</v>
      </c>
      <c r="AO3610" t="s">
        <v>160</v>
      </c>
      <c r="AP3610" t="s">
        <v>78</v>
      </c>
      <c r="AQ3610" t="s">
        <v>1599</v>
      </c>
      <c r="AR3610" t="s">
        <v>80</v>
      </c>
      <c r="AS3610">
        <v>302</v>
      </c>
      <c r="AT3610" t="s">
        <v>81</v>
      </c>
      <c r="AU3610">
        <v>52.72</v>
      </c>
      <c r="AV3610">
        <v>29.14</v>
      </c>
      <c r="AW3610" t="s">
        <v>82</v>
      </c>
      <c r="AX3610">
        <v>301</v>
      </c>
      <c r="AY3610" t="s">
        <v>81</v>
      </c>
      <c r="AZ3610">
        <v>49.21</v>
      </c>
      <c r="BA3610">
        <v>27.9</v>
      </c>
      <c r="BB3610" t="s">
        <v>83</v>
      </c>
    </row>
    <row r="3611" spans="1:54" x14ac:dyDescent="0.4">
      <c r="A3611">
        <v>790205</v>
      </c>
      <c r="D3611" t="s">
        <v>54</v>
      </c>
      <c r="G3611">
        <v>1</v>
      </c>
      <c r="H3611" t="s">
        <v>56</v>
      </c>
      <c r="I3611" t="s">
        <v>57</v>
      </c>
      <c r="K3611" t="s">
        <v>397</v>
      </c>
      <c r="L3611" t="s">
        <v>398</v>
      </c>
      <c r="M3611" t="s">
        <v>60</v>
      </c>
      <c r="N3611" t="s">
        <v>119</v>
      </c>
      <c r="O3611" t="s">
        <v>134</v>
      </c>
      <c r="P3611" t="s">
        <v>237</v>
      </c>
      <c r="R3611" t="s">
        <v>238</v>
      </c>
      <c r="S3611" t="s">
        <v>123</v>
      </c>
      <c r="T3611">
        <v>266.89999999999998</v>
      </c>
      <c r="U3611">
        <v>264.27999999999997</v>
      </c>
      <c r="V3611">
        <f t="shared" si="112"/>
        <v>265.58999999999997</v>
      </c>
      <c r="W3611">
        <f t="shared" si="113"/>
        <v>2.6200000000000045</v>
      </c>
      <c r="X3611">
        <v>54.416668000000001</v>
      </c>
      <c r="Y3611">
        <v>52.583331999999999</v>
      </c>
      <c r="Z3611" t="s">
        <v>1596</v>
      </c>
      <c r="AA3611" t="s">
        <v>239</v>
      </c>
      <c r="AB3611" t="s">
        <v>638</v>
      </c>
      <c r="AD3611" t="s">
        <v>242</v>
      </c>
      <c r="AG3611" t="s">
        <v>240</v>
      </c>
      <c r="AH3611" t="s">
        <v>72</v>
      </c>
      <c r="AI3611" t="s">
        <v>400</v>
      </c>
      <c r="AJ3611">
        <v>2008</v>
      </c>
      <c r="AK3611" t="s">
        <v>1597</v>
      </c>
      <c r="AM3611" t="s">
        <v>1598</v>
      </c>
      <c r="AN3611" t="s">
        <v>192</v>
      </c>
      <c r="AO3611" t="s">
        <v>160</v>
      </c>
      <c r="AP3611" t="s">
        <v>78</v>
      </c>
      <c r="AQ3611" t="s">
        <v>1599</v>
      </c>
      <c r="AR3611" t="s">
        <v>80</v>
      </c>
      <c r="AS3611">
        <v>302</v>
      </c>
      <c r="AT3611" t="s">
        <v>81</v>
      </c>
      <c r="AU3611">
        <v>52.72</v>
      </c>
      <c r="AV3611">
        <v>29.14</v>
      </c>
      <c r="AW3611" t="s">
        <v>82</v>
      </c>
      <c r="AX3611">
        <v>301</v>
      </c>
      <c r="AY3611" t="s">
        <v>81</v>
      </c>
      <c r="AZ3611">
        <v>49.21</v>
      </c>
      <c r="BA3611">
        <v>27.9</v>
      </c>
      <c r="BB3611" t="s">
        <v>83</v>
      </c>
    </row>
    <row r="3612" spans="1:54" x14ac:dyDescent="0.4">
      <c r="A3612">
        <v>790205</v>
      </c>
      <c r="D3612" t="s">
        <v>54</v>
      </c>
      <c r="G3612">
        <v>1</v>
      </c>
      <c r="H3612" t="s">
        <v>56</v>
      </c>
      <c r="I3612" t="s">
        <v>57</v>
      </c>
      <c r="K3612" t="s">
        <v>397</v>
      </c>
      <c r="L3612" t="s">
        <v>398</v>
      </c>
      <c r="M3612" t="s">
        <v>60</v>
      </c>
      <c r="N3612" t="s">
        <v>119</v>
      </c>
      <c r="O3612" t="s">
        <v>134</v>
      </c>
      <c r="P3612" t="s">
        <v>237</v>
      </c>
      <c r="R3612" t="s">
        <v>238</v>
      </c>
      <c r="S3612" t="s">
        <v>123</v>
      </c>
      <c r="T3612">
        <v>266.89999999999998</v>
      </c>
      <c r="U3612">
        <v>264.27999999999997</v>
      </c>
      <c r="V3612">
        <f t="shared" si="112"/>
        <v>265.58999999999997</v>
      </c>
      <c r="W3612">
        <f t="shared" si="113"/>
        <v>2.6200000000000045</v>
      </c>
      <c r="X3612">
        <v>54.416668000000001</v>
      </c>
      <c r="Y3612">
        <v>52.583331999999999</v>
      </c>
      <c r="Z3612" t="s">
        <v>1596</v>
      </c>
      <c r="AA3612" t="s">
        <v>239</v>
      </c>
      <c r="AB3612" t="s">
        <v>638</v>
      </c>
      <c r="AD3612" t="s">
        <v>242</v>
      </c>
      <c r="AG3612" t="s">
        <v>240</v>
      </c>
      <c r="AH3612" t="s">
        <v>72</v>
      </c>
      <c r="AI3612" t="s">
        <v>400</v>
      </c>
      <c r="AJ3612">
        <v>2008</v>
      </c>
      <c r="AK3612" t="s">
        <v>1597</v>
      </c>
      <c r="AM3612" t="s">
        <v>1598</v>
      </c>
      <c r="AN3612" t="s">
        <v>192</v>
      </c>
      <c r="AO3612" t="s">
        <v>160</v>
      </c>
      <c r="AP3612" t="s">
        <v>78</v>
      </c>
      <c r="AQ3612" t="s">
        <v>1599</v>
      </c>
      <c r="AR3612" t="s">
        <v>80</v>
      </c>
      <c r="AS3612">
        <v>302</v>
      </c>
      <c r="AT3612" t="s">
        <v>81</v>
      </c>
      <c r="AU3612">
        <v>52.72</v>
      </c>
      <c r="AV3612">
        <v>29.14</v>
      </c>
      <c r="AW3612" t="s">
        <v>82</v>
      </c>
      <c r="AX3612">
        <v>301</v>
      </c>
      <c r="AY3612" t="s">
        <v>81</v>
      </c>
      <c r="AZ3612">
        <v>49.21</v>
      </c>
      <c r="BA3612">
        <v>27.9</v>
      </c>
      <c r="BB3612" t="s">
        <v>83</v>
      </c>
    </row>
    <row r="3613" spans="1:54" x14ac:dyDescent="0.4">
      <c r="A3613">
        <v>790207</v>
      </c>
      <c r="D3613" t="s">
        <v>54</v>
      </c>
      <c r="G3613">
        <v>1</v>
      </c>
      <c r="H3613" t="s">
        <v>56</v>
      </c>
      <c r="I3613" t="s">
        <v>57</v>
      </c>
      <c r="K3613" t="s">
        <v>397</v>
      </c>
      <c r="L3613" t="s">
        <v>398</v>
      </c>
      <c r="M3613" t="s">
        <v>60</v>
      </c>
      <c r="N3613" t="s">
        <v>119</v>
      </c>
      <c r="O3613" t="s">
        <v>134</v>
      </c>
      <c r="P3613" t="s">
        <v>237</v>
      </c>
      <c r="R3613" t="s">
        <v>238</v>
      </c>
      <c r="S3613" t="s">
        <v>123</v>
      </c>
      <c r="T3613">
        <v>266.89999999999998</v>
      </c>
      <c r="U3613">
        <v>264.27999999999997</v>
      </c>
      <c r="V3613">
        <f t="shared" si="112"/>
        <v>265.58999999999997</v>
      </c>
      <c r="W3613">
        <f t="shared" si="113"/>
        <v>2.6200000000000045</v>
      </c>
      <c r="X3613">
        <v>53.565277000000002</v>
      </c>
      <c r="Y3613">
        <v>53.650554999999997</v>
      </c>
      <c r="Z3613" t="s">
        <v>1935</v>
      </c>
      <c r="AA3613" t="s">
        <v>239</v>
      </c>
      <c r="AB3613" t="s">
        <v>638</v>
      </c>
      <c r="AC3613" t="s">
        <v>1936</v>
      </c>
      <c r="AD3613" t="s">
        <v>242</v>
      </c>
      <c r="AG3613" t="s">
        <v>240</v>
      </c>
      <c r="AH3613" t="s">
        <v>72</v>
      </c>
      <c r="AI3613" t="s">
        <v>1937</v>
      </c>
      <c r="AJ3613">
        <v>2005</v>
      </c>
      <c r="AK3613" t="s">
        <v>1938</v>
      </c>
      <c r="AM3613" t="s">
        <v>1939</v>
      </c>
      <c r="AN3613" t="s">
        <v>192</v>
      </c>
      <c r="AO3613" t="s">
        <v>77</v>
      </c>
      <c r="AP3613" t="s">
        <v>78</v>
      </c>
      <c r="AQ3613" t="s">
        <v>1940</v>
      </c>
      <c r="AR3613" t="s">
        <v>80</v>
      </c>
      <c r="AS3613">
        <v>302</v>
      </c>
      <c r="AT3613" t="s">
        <v>81</v>
      </c>
      <c r="AU3613">
        <v>51.52</v>
      </c>
      <c r="AV3613">
        <v>29.69</v>
      </c>
      <c r="AW3613" t="s">
        <v>82</v>
      </c>
      <c r="AX3613">
        <v>301</v>
      </c>
      <c r="AY3613" t="s">
        <v>81</v>
      </c>
      <c r="AZ3613">
        <v>47.98</v>
      </c>
      <c r="BA3613">
        <v>28.38</v>
      </c>
      <c r="BB3613" t="s">
        <v>83</v>
      </c>
    </row>
    <row r="3614" spans="1:54" x14ac:dyDescent="0.4">
      <c r="A3614">
        <v>799826</v>
      </c>
      <c r="D3614" t="s">
        <v>54</v>
      </c>
      <c r="G3614">
        <v>1</v>
      </c>
      <c r="H3614" t="s">
        <v>56</v>
      </c>
      <c r="I3614" t="s">
        <v>57</v>
      </c>
      <c r="K3614" t="s">
        <v>235</v>
      </c>
      <c r="L3614" t="s">
        <v>236</v>
      </c>
      <c r="M3614" t="s">
        <v>60</v>
      </c>
      <c r="P3614" t="s">
        <v>237</v>
      </c>
      <c r="R3614" t="s">
        <v>238</v>
      </c>
      <c r="S3614" t="s">
        <v>123</v>
      </c>
      <c r="T3614">
        <v>266.89999999999998</v>
      </c>
      <c r="U3614">
        <v>264.27999999999997</v>
      </c>
      <c r="V3614">
        <f t="shared" si="112"/>
        <v>265.58999999999997</v>
      </c>
      <c r="W3614">
        <f t="shared" si="113"/>
        <v>2.6200000000000045</v>
      </c>
      <c r="X3614">
        <v>54.125</v>
      </c>
      <c r="Y3614">
        <v>54.108333999999999</v>
      </c>
      <c r="Z3614" t="s">
        <v>105</v>
      </c>
      <c r="AA3614" t="s">
        <v>239</v>
      </c>
      <c r="AB3614" t="s">
        <v>399</v>
      </c>
      <c r="AC3614" t="s">
        <v>242</v>
      </c>
      <c r="AD3614" t="s">
        <v>242</v>
      </c>
      <c r="AG3614" t="s">
        <v>240</v>
      </c>
      <c r="AH3614" t="s">
        <v>72</v>
      </c>
      <c r="AI3614" t="s">
        <v>400</v>
      </c>
      <c r="AJ3614">
        <v>2008</v>
      </c>
      <c r="AK3614" t="s">
        <v>401</v>
      </c>
      <c r="AM3614" t="s">
        <v>402</v>
      </c>
      <c r="AN3614" t="s">
        <v>114</v>
      </c>
      <c r="AO3614" t="s">
        <v>77</v>
      </c>
      <c r="AP3614" t="s">
        <v>78</v>
      </c>
      <c r="AQ3614" t="s">
        <v>403</v>
      </c>
      <c r="AR3614" t="s">
        <v>80</v>
      </c>
      <c r="AS3614">
        <v>302</v>
      </c>
      <c r="AT3614" t="s">
        <v>81</v>
      </c>
      <c r="AU3614">
        <v>51.51</v>
      </c>
      <c r="AV3614">
        <v>30.26</v>
      </c>
      <c r="AW3614" t="s">
        <v>82</v>
      </c>
      <c r="AX3614">
        <v>301</v>
      </c>
      <c r="AY3614" t="s">
        <v>81</v>
      </c>
      <c r="AZ3614">
        <v>47.93</v>
      </c>
      <c r="BA3614">
        <v>28.95</v>
      </c>
      <c r="BB3614" t="s">
        <v>83</v>
      </c>
    </row>
    <row r="3615" spans="1:54" x14ac:dyDescent="0.4">
      <c r="A3615">
        <v>1424401</v>
      </c>
      <c r="D3615" t="s">
        <v>54</v>
      </c>
      <c r="I3615" t="s">
        <v>57</v>
      </c>
      <c r="K3615" t="s">
        <v>141</v>
      </c>
      <c r="L3615" t="s">
        <v>2066</v>
      </c>
      <c r="M3615" t="s">
        <v>60</v>
      </c>
      <c r="P3615" t="s">
        <v>237</v>
      </c>
      <c r="R3615" t="s">
        <v>238</v>
      </c>
      <c r="S3615" t="s">
        <v>123</v>
      </c>
      <c r="T3615">
        <v>266.89999999999998</v>
      </c>
      <c r="U3615">
        <v>264.27999999999997</v>
      </c>
      <c r="V3615">
        <f t="shared" si="112"/>
        <v>265.58999999999997</v>
      </c>
      <c r="W3615">
        <f t="shared" si="113"/>
        <v>2.6200000000000045</v>
      </c>
      <c r="X3615">
        <v>48.884998000000003</v>
      </c>
      <c r="Y3615">
        <v>55.029446</v>
      </c>
      <c r="Z3615" t="s">
        <v>520</v>
      </c>
      <c r="AA3615" t="s">
        <v>239</v>
      </c>
      <c r="AD3615" t="s">
        <v>5329</v>
      </c>
      <c r="AH3615" t="s">
        <v>11</v>
      </c>
      <c r="AI3615" t="s">
        <v>5330</v>
      </c>
      <c r="AJ3615">
        <v>2015</v>
      </c>
      <c r="AK3615" t="s">
        <v>5331</v>
      </c>
      <c r="AN3615" t="s">
        <v>192</v>
      </c>
      <c r="AO3615" t="s">
        <v>77</v>
      </c>
      <c r="AP3615" t="s">
        <v>78</v>
      </c>
      <c r="AQ3615" t="s">
        <v>5332</v>
      </c>
      <c r="AR3615" t="s">
        <v>80</v>
      </c>
      <c r="AS3615">
        <v>302</v>
      </c>
      <c r="AT3615" t="s">
        <v>81</v>
      </c>
      <c r="AU3615">
        <v>48.05</v>
      </c>
      <c r="AV3615">
        <v>29.23</v>
      </c>
      <c r="AW3615" t="s">
        <v>82</v>
      </c>
      <c r="AX3615">
        <v>301</v>
      </c>
      <c r="AY3615" t="s">
        <v>81</v>
      </c>
      <c r="AZ3615">
        <v>44.6</v>
      </c>
      <c r="BA3615">
        <v>27.73</v>
      </c>
      <c r="BB3615" t="s">
        <v>83</v>
      </c>
    </row>
    <row r="3616" spans="1:54" x14ac:dyDescent="0.4">
      <c r="A3616">
        <v>368798</v>
      </c>
      <c r="D3616" t="s">
        <v>579</v>
      </c>
      <c r="G3616">
        <v>6</v>
      </c>
      <c r="H3616" t="s">
        <v>84</v>
      </c>
      <c r="I3616" t="s">
        <v>57</v>
      </c>
      <c r="K3616" t="s">
        <v>580</v>
      </c>
      <c r="L3616" t="s">
        <v>581</v>
      </c>
      <c r="M3616" t="s">
        <v>60</v>
      </c>
      <c r="O3616" t="s">
        <v>87</v>
      </c>
      <c r="P3616" t="s">
        <v>224</v>
      </c>
      <c r="R3616" t="s">
        <v>183</v>
      </c>
      <c r="S3616" t="s">
        <v>64</v>
      </c>
      <c r="T3616">
        <v>246.7</v>
      </c>
      <c r="U3616">
        <v>244.7</v>
      </c>
      <c r="V3616">
        <f t="shared" si="112"/>
        <v>245.7</v>
      </c>
      <c r="W3616">
        <f t="shared" si="113"/>
        <v>2</v>
      </c>
      <c r="X3616">
        <v>-110.260834</v>
      </c>
      <c r="Y3616">
        <v>34.915000999999997</v>
      </c>
      <c r="Z3616" t="s">
        <v>582</v>
      </c>
      <c r="AA3616" t="s">
        <v>66</v>
      </c>
      <c r="AB3616" t="s">
        <v>583</v>
      </c>
      <c r="AC3616" t="s">
        <v>584</v>
      </c>
      <c r="AD3616" t="s">
        <v>585</v>
      </c>
      <c r="AF3616" t="s">
        <v>586</v>
      </c>
      <c r="AH3616" t="s">
        <v>72</v>
      </c>
      <c r="AI3616" t="s">
        <v>587</v>
      </c>
      <c r="AJ3616">
        <v>1947</v>
      </c>
      <c r="AK3616" t="s">
        <v>588</v>
      </c>
      <c r="AM3616" t="s">
        <v>589</v>
      </c>
      <c r="AN3616" t="s">
        <v>76</v>
      </c>
      <c r="AO3616" t="s">
        <v>77</v>
      </c>
      <c r="AP3616" t="s">
        <v>78</v>
      </c>
      <c r="AQ3616" t="s">
        <v>590</v>
      </c>
      <c r="AR3616" t="s">
        <v>80</v>
      </c>
      <c r="AS3616">
        <v>101</v>
      </c>
      <c r="AT3616" t="s">
        <v>81</v>
      </c>
      <c r="AU3616">
        <v>-34.17</v>
      </c>
      <c r="AV3616">
        <v>17.760000000000002</v>
      </c>
      <c r="AW3616" t="s">
        <v>82</v>
      </c>
      <c r="AX3616">
        <v>133</v>
      </c>
      <c r="AY3616" t="s">
        <v>81</v>
      </c>
      <c r="AZ3616">
        <v>-42.5</v>
      </c>
      <c r="BA3616">
        <v>4.91</v>
      </c>
      <c r="BB3616" t="s">
        <v>83</v>
      </c>
    </row>
    <row r="3617" spans="1:54" x14ac:dyDescent="0.4">
      <c r="A3617">
        <v>368799</v>
      </c>
      <c r="D3617" t="s">
        <v>579</v>
      </c>
      <c r="G3617">
        <v>1</v>
      </c>
      <c r="H3617" t="s">
        <v>84</v>
      </c>
      <c r="I3617" t="s">
        <v>57</v>
      </c>
      <c r="K3617" t="s">
        <v>141</v>
      </c>
      <c r="L3617" t="s">
        <v>591</v>
      </c>
      <c r="M3617" t="s">
        <v>60</v>
      </c>
      <c r="P3617" t="s">
        <v>224</v>
      </c>
      <c r="R3617" t="s">
        <v>183</v>
      </c>
      <c r="S3617" t="s">
        <v>64</v>
      </c>
      <c r="T3617">
        <v>246.7</v>
      </c>
      <c r="U3617">
        <v>244.7</v>
      </c>
      <c r="V3617">
        <f t="shared" si="112"/>
        <v>245.7</v>
      </c>
      <c r="W3617">
        <f t="shared" si="113"/>
        <v>2</v>
      </c>
      <c r="X3617">
        <v>-110.260834</v>
      </c>
      <c r="Y3617">
        <v>34.915000999999997</v>
      </c>
      <c r="Z3617" t="s">
        <v>582</v>
      </c>
      <c r="AA3617" t="s">
        <v>66</v>
      </c>
      <c r="AB3617" t="s">
        <v>583</v>
      </c>
      <c r="AC3617" t="s">
        <v>584</v>
      </c>
      <c r="AD3617" t="s">
        <v>585</v>
      </c>
      <c r="AF3617" t="s">
        <v>586</v>
      </c>
      <c r="AH3617" t="s">
        <v>72</v>
      </c>
      <c r="AI3617" t="s">
        <v>587</v>
      </c>
      <c r="AJ3617">
        <v>1947</v>
      </c>
      <c r="AK3617" t="s">
        <v>588</v>
      </c>
      <c r="AM3617" t="s">
        <v>589</v>
      </c>
      <c r="AN3617" t="s">
        <v>76</v>
      </c>
      <c r="AO3617" t="s">
        <v>77</v>
      </c>
      <c r="AP3617" t="s">
        <v>78</v>
      </c>
      <c r="AQ3617" t="s">
        <v>590</v>
      </c>
      <c r="AR3617" t="s">
        <v>80</v>
      </c>
      <c r="AS3617">
        <v>101</v>
      </c>
      <c r="AT3617" t="s">
        <v>81</v>
      </c>
      <c r="AU3617">
        <v>-34.17</v>
      </c>
      <c r="AV3617">
        <v>17.760000000000002</v>
      </c>
      <c r="AW3617" t="s">
        <v>82</v>
      </c>
      <c r="AX3617">
        <v>133</v>
      </c>
      <c r="AY3617" t="s">
        <v>81</v>
      </c>
      <c r="AZ3617">
        <v>-42.5</v>
      </c>
      <c r="BA3617">
        <v>4.91</v>
      </c>
      <c r="BB3617" t="s">
        <v>83</v>
      </c>
    </row>
    <row r="3618" spans="1:54" x14ac:dyDescent="0.4">
      <c r="A3618">
        <v>493537</v>
      </c>
      <c r="D3618" t="s">
        <v>54</v>
      </c>
      <c r="E3618" t="s">
        <v>55</v>
      </c>
      <c r="G3618">
        <v>1</v>
      </c>
      <c r="H3618" t="s">
        <v>84</v>
      </c>
      <c r="I3618" t="s">
        <v>57</v>
      </c>
      <c r="K3618" t="s">
        <v>840</v>
      </c>
      <c r="L3618" t="s">
        <v>1018</v>
      </c>
      <c r="M3618" t="s">
        <v>60</v>
      </c>
      <c r="O3618" t="s">
        <v>170</v>
      </c>
      <c r="P3618" t="s">
        <v>224</v>
      </c>
      <c r="R3618" t="s">
        <v>183</v>
      </c>
      <c r="S3618" t="s">
        <v>64</v>
      </c>
      <c r="T3618">
        <v>246.7</v>
      </c>
      <c r="U3618">
        <v>244.7</v>
      </c>
      <c r="V3618">
        <f t="shared" si="112"/>
        <v>245.7</v>
      </c>
      <c r="W3618">
        <f t="shared" si="113"/>
        <v>2</v>
      </c>
      <c r="X3618">
        <v>-110.042778</v>
      </c>
      <c r="Y3618">
        <v>34.781387000000002</v>
      </c>
      <c r="Z3618" t="s">
        <v>124</v>
      </c>
      <c r="AA3618" t="s">
        <v>66</v>
      </c>
      <c r="AB3618" t="s">
        <v>583</v>
      </c>
      <c r="AC3618" t="s">
        <v>584</v>
      </c>
      <c r="AD3618" t="s">
        <v>585</v>
      </c>
      <c r="AF3618" t="s">
        <v>586</v>
      </c>
      <c r="AH3618" t="s">
        <v>72</v>
      </c>
      <c r="AI3618" t="s">
        <v>1019</v>
      </c>
      <c r="AJ3618">
        <v>2004</v>
      </c>
      <c r="AK3618" t="s">
        <v>1020</v>
      </c>
      <c r="AM3618" t="s">
        <v>1021</v>
      </c>
      <c r="AN3618" t="s">
        <v>114</v>
      </c>
      <c r="AO3618" t="s">
        <v>77</v>
      </c>
      <c r="AP3618" t="s">
        <v>115</v>
      </c>
      <c r="AQ3618" t="s">
        <v>1022</v>
      </c>
      <c r="AR3618" t="s">
        <v>80</v>
      </c>
      <c r="AS3618">
        <v>101</v>
      </c>
      <c r="AT3618" t="s">
        <v>81</v>
      </c>
      <c r="AU3618">
        <v>-34.04</v>
      </c>
      <c r="AV3618">
        <v>17.57</v>
      </c>
      <c r="AW3618" t="s">
        <v>82</v>
      </c>
      <c r="AX3618">
        <v>133</v>
      </c>
      <c r="AY3618" t="s">
        <v>81</v>
      </c>
      <c r="AZ3618">
        <v>-42.4</v>
      </c>
      <c r="BA3618">
        <v>4.7</v>
      </c>
      <c r="BB3618" t="s">
        <v>83</v>
      </c>
    </row>
    <row r="3619" spans="1:54" x14ac:dyDescent="0.4">
      <c r="A3619">
        <v>493538</v>
      </c>
      <c r="D3619" t="s">
        <v>54</v>
      </c>
      <c r="E3619" t="s">
        <v>55</v>
      </c>
      <c r="G3619">
        <v>1</v>
      </c>
      <c r="H3619" t="s">
        <v>84</v>
      </c>
      <c r="I3619" t="s">
        <v>57</v>
      </c>
      <c r="K3619" t="s">
        <v>840</v>
      </c>
      <c r="L3619" t="s">
        <v>1018</v>
      </c>
      <c r="M3619" t="s">
        <v>60</v>
      </c>
      <c r="O3619" t="s">
        <v>170</v>
      </c>
      <c r="P3619" t="s">
        <v>224</v>
      </c>
      <c r="R3619" t="s">
        <v>183</v>
      </c>
      <c r="S3619" t="s">
        <v>64</v>
      </c>
      <c r="T3619">
        <v>246.7</v>
      </c>
      <c r="U3619">
        <v>244.7</v>
      </c>
      <c r="V3619">
        <f t="shared" si="112"/>
        <v>245.7</v>
      </c>
      <c r="W3619">
        <f t="shared" si="113"/>
        <v>2</v>
      </c>
      <c r="X3619">
        <v>-110.08000199999999</v>
      </c>
      <c r="Y3619">
        <v>35.024166000000001</v>
      </c>
      <c r="Z3619" t="s">
        <v>124</v>
      </c>
      <c r="AA3619" t="s">
        <v>66</v>
      </c>
      <c r="AB3619" t="s">
        <v>583</v>
      </c>
      <c r="AC3619" t="s">
        <v>584</v>
      </c>
      <c r="AD3619" t="s">
        <v>585</v>
      </c>
      <c r="AF3619" t="s">
        <v>586</v>
      </c>
      <c r="AH3619" t="s">
        <v>72</v>
      </c>
      <c r="AI3619" t="s">
        <v>1019</v>
      </c>
      <c r="AJ3619">
        <v>2004</v>
      </c>
      <c r="AK3619" t="s">
        <v>1023</v>
      </c>
      <c r="AM3619" t="s">
        <v>585</v>
      </c>
      <c r="AN3619" t="s">
        <v>114</v>
      </c>
      <c r="AO3619" t="s">
        <v>77</v>
      </c>
      <c r="AP3619" t="s">
        <v>115</v>
      </c>
      <c r="AQ3619" t="s">
        <v>1024</v>
      </c>
      <c r="AR3619" t="s">
        <v>80</v>
      </c>
      <c r="AS3619">
        <v>101</v>
      </c>
      <c r="AT3619" t="s">
        <v>81</v>
      </c>
      <c r="AU3619">
        <v>-33.979999999999997</v>
      </c>
      <c r="AV3619">
        <v>17.809999999999999</v>
      </c>
      <c r="AW3619" t="s">
        <v>82</v>
      </c>
      <c r="AX3619">
        <v>133</v>
      </c>
      <c r="AY3619" t="s">
        <v>81</v>
      </c>
      <c r="AZ3619">
        <v>-42.32</v>
      </c>
      <c r="BA3619">
        <v>4.93</v>
      </c>
      <c r="BB3619" t="s">
        <v>83</v>
      </c>
    </row>
    <row r="3620" spans="1:54" x14ac:dyDescent="0.4">
      <c r="A3620">
        <v>493539</v>
      </c>
      <c r="D3620" t="s">
        <v>54</v>
      </c>
      <c r="E3620" t="s">
        <v>55</v>
      </c>
      <c r="G3620">
        <v>1</v>
      </c>
      <c r="H3620" t="s">
        <v>84</v>
      </c>
      <c r="I3620" t="s">
        <v>57</v>
      </c>
      <c r="K3620" t="s">
        <v>840</v>
      </c>
      <c r="L3620" t="s">
        <v>1018</v>
      </c>
      <c r="M3620" t="s">
        <v>60</v>
      </c>
      <c r="O3620" t="s">
        <v>170</v>
      </c>
      <c r="P3620" t="s">
        <v>224</v>
      </c>
      <c r="R3620" t="s">
        <v>183</v>
      </c>
      <c r="S3620" t="s">
        <v>64</v>
      </c>
      <c r="T3620">
        <v>246.7</v>
      </c>
      <c r="U3620">
        <v>244.7</v>
      </c>
      <c r="V3620">
        <f t="shared" si="112"/>
        <v>245.7</v>
      </c>
      <c r="W3620">
        <f t="shared" si="113"/>
        <v>2</v>
      </c>
      <c r="X3620">
        <v>-110.69667099999999</v>
      </c>
      <c r="Y3620">
        <v>35.024166000000001</v>
      </c>
      <c r="Z3620" t="s">
        <v>124</v>
      </c>
      <c r="AA3620" t="s">
        <v>66</v>
      </c>
      <c r="AB3620" t="s">
        <v>583</v>
      </c>
      <c r="AC3620" t="s">
        <v>584</v>
      </c>
      <c r="AD3620" t="s">
        <v>585</v>
      </c>
      <c r="AF3620" t="s">
        <v>586</v>
      </c>
      <c r="AH3620" t="s">
        <v>72</v>
      </c>
      <c r="AI3620" t="s">
        <v>1019</v>
      </c>
      <c r="AJ3620">
        <v>2004</v>
      </c>
      <c r="AK3620" t="s">
        <v>1025</v>
      </c>
      <c r="AM3620" t="s">
        <v>585</v>
      </c>
      <c r="AN3620" t="s">
        <v>114</v>
      </c>
      <c r="AO3620" t="s">
        <v>77</v>
      </c>
      <c r="AP3620" t="s">
        <v>115</v>
      </c>
      <c r="AQ3620" t="s">
        <v>1026</v>
      </c>
      <c r="AR3620" t="s">
        <v>80</v>
      </c>
      <c r="AS3620">
        <v>101</v>
      </c>
      <c r="AT3620" t="s">
        <v>81</v>
      </c>
      <c r="AU3620">
        <v>-34.479999999999997</v>
      </c>
      <c r="AV3620">
        <v>17.98</v>
      </c>
      <c r="AW3620" t="s">
        <v>82</v>
      </c>
      <c r="AX3620">
        <v>133</v>
      </c>
      <c r="AY3620" t="s">
        <v>81</v>
      </c>
      <c r="AZ3620">
        <v>-42.77</v>
      </c>
      <c r="BA3620">
        <v>5.17</v>
      </c>
      <c r="BB3620" t="s">
        <v>83</v>
      </c>
    </row>
    <row r="3621" spans="1:54" x14ac:dyDescent="0.4">
      <c r="A3621">
        <v>493540</v>
      </c>
      <c r="D3621" t="s">
        <v>54</v>
      </c>
      <c r="E3621" t="s">
        <v>55</v>
      </c>
      <c r="G3621">
        <v>1</v>
      </c>
      <c r="H3621" t="s">
        <v>84</v>
      </c>
      <c r="I3621" t="s">
        <v>57</v>
      </c>
      <c r="K3621" t="s">
        <v>840</v>
      </c>
      <c r="L3621" t="s">
        <v>1018</v>
      </c>
      <c r="M3621" t="s">
        <v>60</v>
      </c>
      <c r="O3621" t="s">
        <v>170</v>
      </c>
      <c r="P3621" t="s">
        <v>224</v>
      </c>
      <c r="R3621" t="s">
        <v>183</v>
      </c>
      <c r="S3621" t="s">
        <v>64</v>
      </c>
      <c r="T3621">
        <v>246.7</v>
      </c>
      <c r="U3621">
        <v>244.7</v>
      </c>
      <c r="V3621">
        <f t="shared" si="112"/>
        <v>245.7</v>
      </c>
      <c r="W3621">
        <f t="shared" si="113"/>
        <v>2</v>
      </c>
      <c r="X3621">
        <v>-110.69667099999999</v>
      </c>
      <c r="Y3621">
        <v>35.024166000000001</v>
      </c>
      <c r="Z3621" t="s">
        <v>124</v>
      </c>
      <c r="AA3621" t="s">
        <v>66</v>
      </c>
      <c r="AB3621" t="s">
        <v>583</v>
      </c>
      <c r="AC3621" t="s">
        <v>584</v>
      </c>
      <c r="AD3621" t="s">
        <v>585</v>
      </c>
      <c r="AF3621" t="s">
        <v>586</v>
      </c>
      <c r="AH3621" t="s">
        <v>72</v>
      </c>
      <c r="AI3621" t="s">
        <v>1019</v>
      </c>
      <c r="AJ3621">
        <v>2004</v>
      </c>
      <c r="AK3621" t="s">
        <v>1027</v>
      </c>
      <c r="AM3621" t="s">
        <v>585</v>
      </c>
      <c r="AN3621" t="s">
        <v>192</v>
      </c>
      <c r="AO3621" t="s">
        <v>77</v>
      </c>
      <c r="AP3621" t="s">
        <v>115</v>
      </c>
      <c r="AQ3621" t="s">
        <v>1028</v>
      </c>
      <c r="AR3621" t="s">
        <v>80</v>
      </c>
      <c r="AS3621">
        <v>101</v>
      </c>
      <c r="AT3621" t="s">
        <v>81</v>
      </c>
      <c r="AU3621">
        <v>-34.479999999999997</v>
      </c>
      <c r="AV3621">
        <v>17.98</v>
      </c>
      <c r="AW3621" t="s">
        <v>82</v>
      </c>
      <c r="AX3621">
        <v>133</v>
      </c>
      <c r="AY3621" t="s">
        <v>81</v>
      </c>
      <c r="AZ3621">
        <v>-42.77</v>
      </c>
      <c r="BA3621">
        <v>5.17</v>
      </c>
      <c r="BB3621" t="s">
        <v>83</v>
      </c>
    </row>
    <row r="3622" spans="1:54" x14ac:dyDescent="0.4">
      <c r="A3622">
        <v>792528</v>
      </c>
      <c r="D3622" t="s">
        <v>54</v>
      </c>
      <c r="E3622" t="s">
        <v>55</v>
      </c>
      <c r="G3622">
        <v>1</v>
      </c>
      <c r="H3622" t="s">
        <v>56</v>
      </c>
      <c r="I3622" t="s">
        <v>57</v>
      </c>
      <c r="K3622" t="s">
        <v>100</v>
      </c>
      <c r="L3622" t="s">
        <v>1993</v>
      </c>
      <c r="M3622" t="s">
        <v>60</v>
      </c>
      <c r="O3622" t="s">
        <v>170</v>
      </c>
      <c r="P3622" t="s">
        <v>224</v>
      </c>
      <c r="R3622" t="s">
        <v>183</v>
      </c>
      <c r="S3622" t="s">
        <v>64</v>
      </c>
      <c r="T3622">
        <v>246.7</v>
      </c>
      <c r="U3622">
        <v>244.7</v>
      </c>
      <c r="V3622">
        <f t="shared" si="112"/>
        <v>245.7</v>
      </c>
      <c r="W3622">
        <f t="shared" si="113"/>
        <v>2</v>
      </c>
      <c r="X3622">
        <v>7.7725</v>
      </c>
      <c r="Y3622">
        <v>47.557220000000001</v>
      </c>
      <c r="Z3622" t="s">
        <v>184</v>
      </c>
      <c r="AA3622" t="s">
        <v>211</v>
      </c>
      <c r="AB3622" t="s">
        <v>212</v>
      </c>
      <c r="AC3622" t="s">
        <v>1994</v>
      </c>
      <c r="AD3622" t="s">
        <v>1995</v>
      </c>
      <c r="AE3622" t="s">
        <v>1996</v>
      </c>
      <c r="AH3622" t="s">
        <v>72</v>
      </c>
      <c r="AI3622" t="s">
        <v>1997</v>
      </c>
      <c r="AJ3622">
        <v>2008</v>
      </c>
      <c r="AK3622" t="s">
        <v>1998</v>
      </c>
      <c r="AM3622" t="s">
        <v>1999</v>
      </c>
      <c r="AN3622" t="s">
        <v>192</v>
      </c>
      <c r="AO3622" t="s">
        <v>77</v>
      </c>
      <c r="AP3622" t="s">
        <v>636</v>
      </c>
      <c r="AQ3622" t="s">
        <v>2000</v>
      </c>
      <c r="AR3622" t="s">
        <v>80</v>
      </c>
      <c r="AS3622">
        <v>305</v>
      </c>
      <c r="AT3622" t="s">
        <v>81</v>
      </c>
      <c r="AU3622">
        <v>27.97</v>
      </c>
      <c r="AV3622">
        <v>26</v>
      </c>
      <c r="AW3622" t="s">
        <v>82</v>
      </c>
      <c r="AX3622">
        <v>305</v>
      </c>
      <c r="AY3622" t="s">
        <v>81</v>
      </c>
      <c r="AZ3622">
        <v>18.940000000000001</v>
      </c>
      <c r="BA3622">
        <v>13.06</v>
      </c>
      <c r="BB3622" t="s">
        <v>83</v>
      </c>
    </row>
    <row r="3623" spans="1:54" x14ac:dyDescent="0.4">
      <c r="A3623">
        <v>792529</v>
      </c>
      <c r="D3623" t="s">
        <v>2001</v>
      </c>
      <c r="E3623" t="s">
        <v>55</v>
      </c>
      <c r="G3623">
        <v>1</v>
      </c>
      <c r="H3623" t="s">
        <v>56</v>
      </c>
      <c r="I3623" t="s">
        <v>57</v>
      </c>
      <c r="K3623" t="s">
        <v>100</v>
      </c>
      <c r="L3623" t="s">
        <v>1993</v>
      </c>
      <c r="M3623" t="s">
        <v>60</v>
      </c>
      <c r="O3623" t="s">
        <v>170</v>
      </c>
      <c r="P3623" t="s">
        <v>224</v>
      </c>
      <c r="R3623" t="s">
        <v>183</v>
      </c>
      <c r="S3623" t="s">
        <v>64</v>
      </c>
      <c r="T3623">
        <v>246.7</v>
      </c>
      <c r="U3623">
        <v>244.7</v>
      </c>
      <c r="V3623">
        <f t="shared" si="112"/>
        <v>245.7</v>
      </c>
      <c r="W3623">
        <f t="shared" si="113"/>
        <v>2</v>
      </c>
      <c r="X3623">
        <v>7.6491670000000003</v>
      </c>
      <c r="Y3623">
        <v>47.580554999999997</v>
      </c>
      <c r="Z3623" t="s">
        <v>124</v>
      </c>
      <c r="AA3623" t="s">
        <v>226</v>
      </c>
      <c r="AB3623" t="s">
        <v>2002</v>
      </c>
      <c r="AD3623" t="s">
        <v>2003</v>
      </c>
      <c r="AE3623" t="s">
        <v>1996</v>
      </c>
      <c r="AH3623" t="s">
        <v>72</v>
      </c>
      <c r="AI3623" t="s">
        <v>1997</v>
      </c>
      <c r="AJ3623">
        <v>2008</v>
      </c>
      <c r="AK3623" t="s">
        <v>2004</v>
      </c>
      <c r="AM3623" t="s">
        <v>2005</v>
      </c>
      <c r="AN3623" t="s">
        <v>114</v>
      </c>
      <c r="AO3623" t="s">
        <v>77</v>
      </c>
      <c r="AP3623" t="s">
        <v>636</v>
      </c>
      <c r="AQ3623" t="s">
        <v>2006</v>
      </c>
      <c r="AR3623" t="s">
        <v>80</v>
      </c>
      <c r="AS3623">
        <v>305</v>
      </c>
      <c r="AT3623" t="s">
        <v>81</v>
      </c>
      <c r="AU3623">
        <v>27.87</v>
      </c>
      <c r="AV3623">
        <v>26</v>
      </c>
      <c r="AW3623" t="s">
        <v>82</v>
      </c>
      <c r="AX3623">
        <v>305</v>
      </c>
      <c r="AY3623" t="s">
        <v>81</v>
      </c>
      <c r="AZ3623">
        <v>18.850000000000001</v>
      </c>
      <c r="BA3623">
        <v>13.05</v>
      </c>
      <c r="BB3623" t="s">
        <v>83</v>
      </c>
    </row>
    <row r="3624" spans="1:54" x14ac:dyDescent="0.4">
      <c r="A3624">
        <v>855747</v>
      </c>
      <c r="D3624" t="s">
        <v>54</v>
      </c>
      <c r="E3624" t="s">
        <v>152</v>
      </c>
      <c r="F3624" t="s">
        <v>3159</v>
      </c>
      <c r="I3624" t="s">
        <v>57</v>
      </c>
      <c r="K3624" t="s">
        <v>580</v>
      </c>
      <c r="L3624" t="s">
        <v>581</v>
      </c>
      <c r="M3624" t="s">
        <v>60</v>
      </c>
      <c r="O3624" t="s">
        <v>87</v>
      </c>
      <c r="P3624" t="s">
        <v>224</v>
      </c>
      <c r="R3624" t="s">
        <v>183</v>
      </c>
      <c r="S3624" t="s">
        <v>64</v>
      </c>
      <c r="T3624">
        <v>246.7</v>
      </c>
      <c r="U3624">
        <v>244.7</v>
      </c>
      <c r="V3624">
        <f t="shared" si="112"/>
        <v>245.7</v>
      </c>
      <c r="W3624">
        <f t="shared" si="113"/>
        <v>2</v>
      </c>
      <c r="X3624">
        <v>-110.300003</v>
      </c>
      <c r="Y3624">
        <v>34.940277000000002</v>
      </c>
      <c r="Z3624" t="s">
        <v>432</v>
      </c>
      <c r="AA3624" t="s">
        <v>66</v>
      </c>
      <c r="AB3624" t="s">
        <v>583</v>
      </c>
      <c r="AC3624" t="s">
        <v>584</v>
      </c>
      <c r="AD3624" t="s">
        <v>585</v>
      </c>
      <c r="AF3624" t="s">
        <v>586</v>
      </c>
      <c r="AH3624" t="s">
        <v>72</v>
      </c>
      <c r="AI3624" t="s">
        <v>3160</v>
      </c>
      <c r="AJ3624">
        <v>2005</v>
      </c>
      <c r="AK3624" t="s">
        <v>3161</v>
      </c>
      <c r="AM3624" t="s">
        <v>3162</v>
      </c>
      <c r="AN3624" t="s">
        <v>114</v>
      </c>
      <c r="AO3624" t="s">
        <v>77</v>
      </c>
      <c r="AP3624" t="s">
        <v>359</v>
      </c>
      <c r="AQ3624" t="s">
        <v>3163</v>
      </c>
      <c r="AR3624" t="s">
        <v>80</v>
      </c>
      <c r="AS3624">
        <v>101</v>
      </c>
      <c r="AT3624" t="s">
        <v>81</v>
      </c>
      <c r="AU3624">
        <v>-34.19</v>
      </c>
      <c r="AV3624">
        <v>17.79</v>
      </c>
      <c r="AW3624" t="s">
        <v>82</v>
      </c>
      <c r="AX3624">
        <v>133</v>
      </c>
      <c r="AY3624" t="s">
        <v>81</v>
      </c>
      <c r="AZ3624">
        <v>-42.52</v>
      </c>
      <c r="BA3624">
        <v>4.9400000000000004</v>
      </c>
      <c r="BB3624" t="s">
        <v>83</v>
      </c>
    </row>
    <row r="3625" spans="1:54" x14ac:dyDescent="0.4">
      <c r="A3625">
        <v>855754</v>
      </c>
      <c r="D3625" t="s">
        <v>54</v>
      </c>
      <c r="E3625" t="s">
        <v>55</v>
      </c>
      <c r="G3625">
        <v>1</v>
      </c>
      <c r="H3625" t="s">
        <v>56</v>
      </c>
      <c r="I3625" t="s">
        <v>57</v>
      </c>
      <c r="K3625" t="s">
        <v>580</v>
      </c>
      <c r="L3625" t="s">
        <v>581</v>
      </c>
      <c r="M3625" t="s">
        <v>60</v>
      </c>
      <c r="O3625" t="s">
        <v>87</v>
      </c>
      <c r="P3625" t="s">
        <v>224</v>
      </c>
      <c r="R3625" t="s">
        <v>183</v>
      </c>
      <c r="S3625" t="s">
        <v>64</v>
      </c>
      <c r="T3625">
        <v>246.7</v>
      </c>
      <c r="U3625">
        <v>244.7</v>
      </c>
      <c r="V3625">
        <f t="shared" si="112"/>
        <v>245.7</v>
      </c>
      <c r="W3625">
        <f t="shared" si="113"/>
        <v>2</v>
      </c>
      <c r="X3625">
        <v>-110.5</v>
      </c>
      <c r="Y3625">
        <v>35</v>
      </c>
      <c r="Z3625" t="s">
        <v>432</v>
      </c>
      <c r="AA3625" t="s">
        <v>66</v>
      </c>
      <c r="AB3625" t="s">
        <v>583</v>
      </c>
      <c r="AC3625" t="s">
        <v>584</v>
      </c>
      <c r="AD3625" t="s">
        <v>585</v>
      </c>
      <c r="AF3625" t="s">
        <v>586</v>
      </c>
      <c r="AH3625" t="s">
        <v>72</v>
      </c>
      <c r="AI3625" t="s">
        <v>3160</v>
      </c>
      <c r="AJ3625">
        <v>2003</v>
      </c>
      <c r="AK3625" t="s">
        <v>3164</v>
      </c>
      <c r="AN3625" t="s">
        <v>192</v>
      </c>
      <c r="AO3625" t="s">
        <v>657</v>
      </c>
      <c r="AP3625" t="s">
        <v>115</v>
      </c>
      <c r="AQ3625" t="s">
        <v>3165</v>
      </c>
      <c r="AR3625" t="s">
        <v>80</v>
      </c>
      <c r="AS3625">
        <v>101</v>
      </c>
      <c r="AT3625" t="s">
        <v>81</v>
      </c>
      <c r="AU3625">
        <v>-34.33</v>
      </c>
      <c r="AV3625">
        <v>17.899999999999999</v>
      </c>
      <c r="AW3625" t="s">
        <v>82</v>
      </c>
      <c r="AX3625">
        <v>133</v>
      </c>
      <c r="AY3625" t="s">
        <v>81</v>
      </c>
      <c r="AZ3625">
        <v>-42.64</v>
      </c>
      <c r="BA3625">
        <v>5.07</v>
      </c>
      <c r="BB3625" t="s">
        <v>83</v>
      </c>
    </row>
    <row r="3626" spans="1:54" x14ac:dyDescent="0.4">
      <c r="A3626">
        <v>855755</v>
      </c>
      <c r="D3626" t="s">
        <v>54</v>
      </c>
      <c r="I3626" t="s">
        <v>57</v>
      </c>
      <c r="K3626" t="s">
        <v>580</v>
      </c>
      <c r="L3626" t="s">
        <v>581</v>
      </c>
      <c r="M3626" t="s">
        <v>60</v>
      </c>
      <c r="O3626" t="s">
        <v>87</v>
      </c>
      <c r="P3626" t="s">
        <v>224</v>
      </c>
      <c r="R3626" t="s">
        <v>183</v>
      </c>
      <c r="S3626" t="s">
        <v>64</v>
      </c>
      <c r="T3626">
        <v>246.7</v>
      </c>
      <c r="U3626">
        <v>244.7</v>
      </c>
      <c r="V3626">
        <f t="shared" si="112"/>
        <v>245.7</v>
      </c>
      <c r="W3626">
        <f t="shared" si="113"/>
        <v>2</v>
      </c>
      <c r="X3626">
        <v>-111.400002</v>
      </c>
      <c r="Y3626">
        <v>35.866669000000002</v>
      </c>
      <c r="Z3626" t="s">
        <v>124</v>
      </c>
      <c r="AA3626" t="s">
        <v>66</v>
      </c>
      <c r="AB3626" t="s">
        <v>583</v>
      </c>
      <c r="AC3626" t="s">
        <v>807</v>
      </c>
      <c r="AD3626" t="s">
        <v>585</v>
      </c>
      <c r="AF3626" t="s">
        <v>586</v>
      </c>
      <c r="AH3626" t="s">
        <v>72</v>
      </c>
      <c r="AI3626" t="s">
        <v>3160</v>
      </c>
      <c r="AJ3626">
        <v>2005</v>
      </c>
      <c r="AK3626" t="s">
        <v>3166</v>
      </c>
      <c r="AN3626" t="s">
        <v>114</v>
      </c>
      <c r="AO3626" t="s">
        <v>160</v>
      </c>
      <c r="AP3626" t="s">
        <v>115</v>
      </c>
      <c r="AQ3626" t="s">
        <v>3167</v>
      </c>
      <c r="AR3626" t="s">
        <v>80</v>
      </c>
      <c r="AS3626">
        <v>101</v>
      </c>
      <c r="AT3626" t="s">
        <v>81</v>
      </c>
      <c r="AU3626">
        <v>-34.76</v>
      </c>
      <c r="AV3626">
        <v>18.96</v>
      </c>
      <c r="AW3626" t="s">
        <v>82</v>
      </c>
      <c r="AX3626">
        <v>133</v>
      </c>
      <c r="AY3626" t="s">
        <v>81</v>
      </c>
      <c r="AZ3626">
        <v>-42.89</v>
      </c>
      <c r="BA3626">
        <v>6.18</v>
      </c>
      <c r="BB3626" t="s">
        <v>83</v>
      </c>
    </row>
    <row r="3627" spans="1:54" x14ac:dyDescent="0.4">
      <c r="A3627">
        <v>855796</v>
      </c>
      <c r="D3627" t="s">
        <v>54</v>
      </c>
      <c r="I3627" t="s">
        <v>57</v>
      </c>
      <c r="K3627" t="s">
        <v>141</v>
      </c>
      <c r="L3627" t="s">
        <v>591</v>
      </c>
      <c r="M3627" t="s">
        <v>60</v>
      </c>
      <c r="P3627" t="s">
        <v>224</v>
      </c>
      <c r="R3627" t="s">
        <v>183</v>
      </c>
      <c r="S3627" t="s">
        <v>64</v>
      </c>
      <c r="T3627">
        <v>246.7</v>
      </c>
      <c r="U3627">
        <v>244.7</v>
      </c>
      <c r="V3627">
        <f t="shared" si="112"/>
        <v>245.7</v>
      </c>
      <c r="W3627">
        <f t="shared" si="113"/>
        <v>2</v>
      </c>
      <c r="X3627">
        <v>-110.840279</v>
      </c>
      <c r="Y3627">
        <v>35.080554999999997</v>
      </c>
      <c r="Z3627" t="s">
        <v>432</v>
      </c>
      <c r="AA3627" t="s">
        <v>66</v>
      </c>
      <c r="AB3627" t="s">
        <v>583</v>
      </c>
      <c r="AC3627" t="s">
        <v>807</v>
      </c>
      <c r="AD3627" t="s">
        <v>585</v>
      </c>
      <c r="AF3627" t="s">
        <v>586</v>
      </c>
      <c r="AH3627" t="s">
        <v>72</v>
      </c>
      <c r="AI3627" t="s">
        <v>3160</v>
      </c>
      <c r="AJ3627">
        <v>2005</v>
      </c>
      <c r="AK3627" t="s">
        <v>3168</v>
      </c>
      <c r="AN3627" t="s">
        <v>114</v>
      </c>
      <c r="AO3627" t="s">
        <v>77</v>
      </c>
      <c r="AP3627" t="s">
        <v>359</v>
      </c>
      <c r="AQ3627" t="s">
        <v>3169</v>
      </c>
      <c r="AR3627" t="s">
        <v>80</v>
      </c>
      <c r="AS3627">
        <v>101</v>
      </c>
      <c r="AT3627" t="s">
        <v>81</v>
      </c>
      <c r="AU3627">
        <v>-34.58</v>
      </c>
      <c r="AV3627">
        <v>18.07</v>
      </c>
      <c r="AW3627" t="s">
        <v>82</v>
      </c>
      <c r="AX3627">
        <v>133</v>
      </c>
      <c r="AY3627" t="s">
        <v>81</v>
      </c>
      <c r="AZ3627">
        <v>-42.85</v>
      </c>
      <c r="BA3627">
        <v>5.27</v>
      </c>
      <c r="BB3627" t="s">
        <v>83</v>
      </c>
    </row>
    <row r="3628" spans="1:54" x14ac:dyDescent="0.4">
      <c r="A3628">
        <v>855799</v>
      </c>
      <c r="D3628" t="s">
        <v>54</v>
      </c>
      <c r="I3628" t="s">
        <v>57</v>
      </c>
      <c r="K3628" t="s">
        <v>580</v>
      </c>
      <c r="L3628" t="s">
        <v>581</v>
      </c>
      <c r="M3628" t="s">
        <v>60</v>
      </c>
      <c r="O3628" t="s">
        <v>87</v>
      </c>
      <c r="P3628" t="s">
        <v>224</v>
      </c>
      <c r="R3628" t="s">
        <v>183</v>
      </c>
      <c r="S3628" t="s">
        <v>64</v>
      </c>
      <c r="T3628">
        <v>246.7</v>
      </c>
      <c r="U3628">
        <v>244.7</v>
      </c>
      <c r="V3628">
        <f t="shared" si="112"/>
        <v>245.7</v>
      </c>
      <c r="W3628">
        <f t="shared" si="113"/>
        <v>2</v>
      </c>
      <c r="X3628">
        <v>-110.840279</v>
      </c>
      <c r="Y3628">
        <v>35.080554999999997</v>
      </c>
      <c r="Z3628" t="s">
        <v>432</v>
      </c>
      <c r="AA3628" t="s">
        <v>66</v>
      </c>
      <c r="AB3628" t="s">
        <v>583</v>
      </c>
      <c r="AC3628" t="s">
        <v>807</v>
      </c>
      <c r="AD3628" t="s">
        <v>585</v>
      </c>
      <c r="AF3628" t="s">
        <v>586</v>
      </c>
      <c r="AH3628" t="s">
        <v>72</v>
      </c>
      <c r="AI3628" t="s">
        <v>3160</v>
      </c>
      <c r="AJ3628">
        <v>2005</v>
      </c>
      <c r="AK3628" t="s">
        <v>3168</v>
      </c>
      <c r="AN3628" t="s">
        <v>114</v>
      </c>
      <c r="AO3628" t="s">
        <v>77</v>
      </c>
      <c r="AP3628" t="s">
        <v>359</v>
      </c>
      <c r="AQ3628" t="s">
        <v>3169</v>
      </c>
      <c r="AR3628" t="s">
        <v>80</v>
      </c>
      <c r="AS3628">
        <v>101</v>
      </c>
      <c r="AT3628" t="s">
        <v>81</v>
      </c>
      <c r="AU3628">
        <v>-34.58</v>
      </c>
      <c r="AV3628">
        <v>18.07</v>
      </c>
      <c r="AW3628" t="s">
        <v>82</v>
      </c>
      <c r="AX3628">
        <v>133</v>
      </c>
      <c r="AY3628" t="s">
        <v>81</v>
      </c>
      <c r="AZ3628">
        <v>-42.85</v>
      </c>
      <c r="BA3628">
        <v>5.27</v>
      </c>
      <c r="BB3628" t="s">
        <v>83</v>
      </c>
    </row>
    <row r="3629" spans="1:54" x14ac:dyDescent="0.4">
      <c r="A3629">
        <v>976632</v>
      </c>
      <c r="D3629" t="s">
        <v>2001</v>
      </c>
      <c r="E3629" t="s">
        <v>154</v>
      </c>
      <c r="F3629" t="s">
        <v>1200</v>
      </c>
      <c r="I3629" t="s">
        <v>57</v>
      </c>
      <c r="K3629" t="s">
        <v>746</v>
      </c>
      <c r="L3629" t="s">
        <v>3203</v>
      </c>
      <c r="M3629" t="s">
        <v>60</v>
      </c>
      <c r="P3629" t="s">
        <v>224</v>
      </c>
      <c r="R3629" t="s">
        <v>183</v>
      </c>
      <c r="S3629" t="s">
        <v>64</v>
      </c>
      <c r="T3629">
        <v>246.7</v>
      </c>
      <c r="U3629">
        <v>244.7</v>
      </c>
      <c r="V3629">
        <f t="shared" si="112"/>
        <v>245.7</v>
      </c>
      <c r="W3629">
        <f t="shared" si="113"/>
        <v>2</v>
      </c>
      <c r="X3629">
        <v>8.1572220000000009</v>
      </c>
      <c r="Y3629">
        <v>47.682777000000002</v>
      </c>
      <c r="Z3629" t="s">
        <v>105</v>
      </c>
      <c r="AA3629" t="s">
        <v>211</v>
      </c>
      <c r="AB3629" t="s">
        <v>212</v>
      </c>
      <c r="AC3629" t="s">
        <v>3923</v>
      </c>
      <c r="AD3629" t="s">
        <v>3756</v>
      </c>
      <c r="AE3629" t="s">
        <v>1996</v>
      </c>
      <c r="AH3629" t="s">
        <v>72</v>
      </c>
      <c r="AI3629" t="s">
        <v>1482</v>
      </c>
      <c r="AJ3629">
        <v>2011</v>
      </c>
      <c r="AK3629" t="s">
        <v>3924</v>
      </c>
      <c r="AM3629" t="s">
        <v>3923</v>
      </c>
      <c r="AN3629" t="s">
        <v>192</v>
      </c>
      <c r="AO3629" t="s">
        <v>77</v>
      </c>
      <c r="AP3629" t="s">
        <v>78</v>
      </c>
      <c r="AQ3629" t="s">
        <v>3925</v>
      </c>
      <c r="AR3629" t="s">
        <v>80</v>
      </c>
      <c r="AS3629">
        <v>305</v>
      </c>
      <c r="AT3629" t="s">
        <v>81</v>
      </c>
      <c r="AU3629">
        <v>28.22</v>
      </c>
      <c r="AV3629">
        <v>26.18</v>
      </c>
      <c r="AW3629" t="s">
        <v>82</v>
      </c>
      <c r="AX3629">
        <v>305</v>
      </c>
      <c r="AY3629" t="s">
        <v>81</v>
      </c>
      <c r="AZ3629">
        <v>19.14</v>
      </c>
      <c r="BA3629">
        <v>13.27</v>
      </c>
      <c r="BB3629" t="s">
        <v>83</v>
      </c>
    </row>
    <row r="3630" spans="1:54" x14ac:dyDescent="0.4">
      <c r="A3630">
        <v>1076286</v>
      </c>
      <c r="D3630" t="s">
        <v>2134</v>
      </c>
      <c r="G3630">
        <v>1</v>
      </c>
      <c r="H3630" t="s">
        <v>84</v>
      </c>
      <c r="I3630" t="s">
        <v>57</v>
      </c>
      <c r="K3630" t="s">
        <v>141</v>
      </c>
      <c r="L3630" t="s">
        <v>4033</v>
      </c>
      <c r="M3630" t="s">
        <v>60</v>
      </c>
      <c r="P3630" t="s">
        <v>224</v>
      </c>
      <c r="R3630" t="s">
        <v>183</v>
      </c>
      <c r="S3630" t="s">
        <v>64</v>
      </c>
      <c r="T3630">
        <v>246.7</v>
      </c>
      <c r="U3630">
        <v>244.7</v>
      </c>
      <c r="V3630">
        <f t="shared" si="112"/>
        <v>245.7</v>
      </c>
      <c r="W3630">
        <f t="shared" si="113"/>
        <v>2</v>
      </c>
      <c r="X3630">
        <v>6.6275000000000004</v>
      </c>
      <c r="Y3630">
        <v>50.286110000000001</v>
      </c>
      <c r="Z3630" t="s">
        <v>124</v>
      </c>
      <c r="AA3630" t="s">
        <v>211</v>
      </c>
      <c r="AB3630" t="s">
        <v>4034</v>
      </c>
      <c r="AC3630" t="s">
        <v>4035</v>
      </c>
      <c r="AE3630" t="s">
        <v>1996</v>
      </c>
      <c r="AH3630" t="s">
        <v>72</v>
      </c>
      <c r="AI3630" t="s">
        <v>269</v>
      </c>
      <c r="AJ3630">
        <v>1904</v>
      </c>
      <c r="AK3630" t="s">
        <v>4036</v>
      </c>
      <c r="AN3630" t="s">
        <v>114</v>
      </c>
      <c r="AO3630" t="s">
        <v>77</v>
      </c>
      <c r="AP3630" t="s">
        <v>115</v>
      </c>
      <c r="AQ3630" t="s">
        <v>4037</v>
      </c>
      <c r="AR3630" t="s">
        <v>80</v>
      </c>
      <c r="AS3630">
        <v>315</v>
      </c>
      <c r="AT3630" t="s">
        <v>81</v>
      </c>
      <c r="AU3630">
        <v>26.49</v>
      </c>
      <c r="AV3630">
        <v>28.51</v>
      </c>
      <c r="AW3630" t="s">
        <v>82</v>
      </c>
      <c r="AX3630">
        <v>315</v>
      </c>
      <c r="AY3630" t="s">
        <v>81</v>
      </c>
      <c r="AZ3630">
        <v>17.2</v>
      </c>
      <c r="BA3630">
        <v>15.33</v>
      </c>
      <c r="BB3630" t="s">
        <v>83</v>
      </c>
    </row>
    <row r="3631" spans="1:54" x14ac:dyDescent="0.4">
      <c r="A3631">
        <v>1076309</v>
      </c>
      <c r="D3631" t="s">
        <v>54</v>
      </c>
      <c r="I3631" t="s">
        <v>57</v>
      </c>
      <c r="K3631" t="s">
        <v>746</v>
      </c>
      <c r="L3631" t="s">
        <v>3203</v>
      </c>
      <c r="M3631" t="s">
        <v>60</v>
      </c>
      <c r="P3631" t="s">
        <v>224</v>
      </c>
      <c r="R3631" t="s">
        <v>183</v>
      </c>
      <c r="S3631" t="s">
        <v>64</v>
      </c>
      <c r="T3631">
        <v>246.7</v>
      </c>
      <c r="U3631">
        <v>244.7</v>
      </c>
      <c r="V3631">
        <f t="shared" si="112"/>
        <v>245.7</v>
      </c>
      <c r="W3631">
        <f t="shared" si="113"/>
        <v>2</v>
      </c>
      <c r="X3631">
        <v>8.5922219999999996</v>
      </c>
      <c r="Y3631">
        <v>48.534999999999997</v>
      </c>
      <c r="Z3631" t="s">
        <v>124</v>
      </c>
      <c r="AA3631" t="s">
        <v>211</v>
      </c>
      <c r="AB3631" t="s">
        <v>212</v>
      </c>
      <c r="AC3631" t="s">
        <v>4043</v>
      </c>
      <c r="AD3631" t="s">
        <v>3756</v>
      </c>
      <c r="AE3631" t="s">
        <v>1996</v>
      </c>
      <c r="AF3631" t="s">
        <v>4044</v>
      </c>
      <c r="AH3631" t="s">
        <v>72</v>
      </c>
      <c r="AI3631" t="s">
        <v>4045</v>
      </c>
      <c r="AJ3631">
        <v>2006</v>
      </c>
      <c r="AK3631" t="s">
        <v>4046</v>
      </c>
      <c r="AN3631" t="s">
        <v>192</v>
      </c>
      <c r="AO3631" t="s">
        <v>77</v>
      </c>
      <c r="AP3631" t="s">
        <v>78</v>
      </c>
      <c r="AR3631" t="s">
        <v>80</v>
      </c>
      <c r="AS3631">
        <v>305</v>
      </c>
      <c r="AT3631" t="s">
        <v>81</v>
      </c>
      <c r="AU3631">
        <v>28.33</v>
      </c>
      <c r="AV3631">
        <v>27.07</v>
      </c>
      <c r="AW3631" t="s">
        <v>82</v>
      </c>
      <c r="AX3631">
        <v>305</v>
      </c>
      <c r="AY3631" t="s">
        <v>81</v>
      </c>
      <c r="AZ3631">
        <v>19.09</v>
      </c>
      <c r="BA3631">
        <v>14.17</v>
      </c>
      <c r="BB3631" t="s">
        <v>83</v>
      </c>
    </row>
    <row r="3632" spans="1:54" x14ac:dyDescent="0.4">
      <c r="A3632">
        <v>1076310</v>
      </c>
      <c r="D3632" t="s">
        <v>54</v>
      </c>
      <c r="I3632" t="s">
        <v>57</v>
      </c>
      <c r="K3632" t="s">
        <v>746</v>
      </c>
      <c r="L3632" t="s">
        <v>3203</v>
      </c>
      <c r="M3632" t="s">
        <v>60</v>
      </c>
      <c r="P3632" t="s">
        <v>224</v>
      </c>
      <c r="R3632" t="s">
        <v>183</v>
      </c>
      <c r="S3632" t="s">
        <v>64</v>
      </c>
      <c r="T3632">
        <v>246.7</v>
      </c>
      <c r="U3632">
        <v>244.7</v>
      </c>
      <c r="V3632">
        <f t="shared" si="112"/>
        <v>245.7</v>
      </c>
      <c r="W3632">
        <f t="shared" si="113"/>
        <v>2</v>
      </c>
      <c r="X3632">
        <v>8.5922219999999996</v>
      </c>
      <c r="Y3632">
        <v>48.534999999999997</v>
      </c>
      <c r="Z3632" t="s">
        <v>124</v>
      </c>
      <c r="AA3632" t="s">
        <v>211</v>
      </c>
      <c r="AB3632" t="s">
        <v>212</v>
      </c>
      <c r="AC3632" t="s">
        <v>4043</v>
      </c>
      <c r="AD3632" t="s">
        <v>3756</v>
      </c>
      <c r="AE3632" t="s">
        <v>1996</v>
      </c>
      <c r="AF3632" t="s">
        <v>4044</v>
      </c>
      <c r="AH3632" t="s">
        <v>72</v>
      </c>
      <c r="AI3632" t="s">
        <v>4045</v>
      </c>
      <c r="AJ3632">
        <v>2006</v>
      </c>
      <c r="AK3632" t="s">
        <v>4046</v>
      </c>
      <c r="AN3632" t="s">
        <v>192</v>
      </c>
      <c r="AO3632" t="s">
        <v>77</v>
      </c>
      <c r="AP3632" t="s">
        <v>78</v>
      </c>
      <c r="AR3632" t="s">
        <v>80</v>
      </c>
      <c r="AS3632">
        <v>305</v>
      </c>
      <c r="AT3632" t="s">
        <v>81</v>
      </c>
      <c r="AU3632">
        <v>28.33</v>
      </c>
      <c r="AV3632">
        <v>27.07</v>
      </c>
      <c r="AW3632" t="s">
        <v>82</v>
      </c>
      <c r="AX3632">
        <v>305</v>
      </c>
      <c r="AY3632" t="s">
        <v>81</v>
      </c>
      <c r="AZ3632">
        <v>19.09</v>
      </c>
      <c r="BA3632">
        <v>14.17</v>
      </c>
      <c r="BB3632" t="s">
        <v>83</v>
      </c>
    </row>
    <row r="3633" spans="1:54" x14ac:dyDescent="0.4">
      <c r="A3633">
        <v>1076313</v>
      </c>
      <c r="D3633" t="s">
        <v>54</v>
      </c>
      <c r="G3633">
        <v>1</v>
      </c>
      <c r="H3633" t="s">
        <v>421</v>
      </c>
      <c r="I3633" t="s">
        <v>57</v>
      </c>
      <c r="K3633" t="s">
        <v>100</v>
      </c>
      <c r="L3633" t="s">
        <v>2040</v>
      </c>
      <c r="M3633" t="s">
        <v>60</v>
      </c>
      <c r="P3633" t="s">
        <v>224</v>
      </c>
      <c r="R3633" t="s">
        <v>183</v>
      </c>
      <c r="S3633" t="s">
        <v>64</v>
      </c>
      <c r="T3633">
        <v>246.7</v>
      </c>
      <c r="U3633">
        <v>244.7</v>
      </c>
      <c r="V3633">
        <f t="shared" si="112"/>
        <v>245.7</v>
      </c>
      <c r="W3633">
        <f t="shared" si="113"/>
        <v>2</v>
      </c>
      <c r="X3633">
        <v>8.5922219999999996</v>
      </c>
      <c r="Y3633">
        <v>48.534999999999997</v>
      </c>
      <c r="Z3633" t="s">
        <v>124</v>
      </c>
      <c r="AA3633" t="s">
        <v>211</v>
      </c>
      <c r="AB3633" t="s">
        <v>212</v>
      </c>
      <c r="AC3633" t="s">
        <v>4043</v>
      </c>
      <c r="AD3633" t="s">
        <v>3756</v>
      </c>
      <c r="AE3633" t="s">
        <v>1996</v>
      </c>
      <c r="AF3633" t="s">
        <v>4044</v>
      </c>
      <c r="AH3633" t="s">
        <v>72</v>
      </c>
      <c r="AI3633" t="s">
        <v>4047</v>
      </c>
      <c r="AJ3633">
        <v>1967</v>
      </c>
      <c r="AK3633" t="s">
        <v>4046</v>
      </c>
      <c r="AN3633" t="s">
        <v>192</v>
      </c>
      <c r="AO3633" t="s">
        <v>77</v>
      </c>
      <c r="AP3633" t="s">
        <v>78</v>
      </c>
      <c r="AR3633" t="s">
        <v>80</v>
      </c>
      <c r="AS3633">
        <v>305</v>
      </c>
      <c r="AT3633" t="s">
        <v>81</v>
      </c>
      <c r="AU3633">
        <v>28.33</v>
      </c>
      <c r="AV3633">
        <v>27.07</v>
      </c>
      <c r="AW3633" t="s">
        <v>82</v>
      </c>
      <c r="AX3633">
        <v>305</v>
      </c>
      <c r="AY3633" t="s">
        <v>81</v>
      </c>
      <c r="AZ3633">
        <v>19.09</v>
      </c>
      <c r="BA3633">
        <v>14.17</v>
      </c>
      <c r="BB3633" t="s">
        <v>83</v>
      </c>
    </row>
    <row r="3634" spans="1:54" x14ac:dyDescent="0.4">
      <c r="A3634">
        <v>1076315</v>
      </c>
      <c r="D3634" t="s">
        <v>54</v>
      </c>
      <c r="I3634" t="s">
        <v>57</v>
      </c>
      <c r="K3634" t="s">
        <v>746</v>
      </c>
      <c r="L3634" t="s">
        <v>3203</v>
      </c>
      <c r="M3634" t="s">
        <v>60</v>
      </c>
      <c r="P3634" t="s">
        <v>224</v>
      </c>
      <c r="R3634" t="s">
        <v>183</v>
      </c>
      <c r="S3634" t="s">
        <v>64</v>
      </c>
      <c r="T3634">
        <v>246.7</v>
      </c>
      <c r="U3634">
        <v>244.7</v>
      </c>
      <c r="V3634">
        <f t="shared" si="112"/>
        <v>245.7</v>
      </c>
      <c r="W3634">
        <f t="shared" si="113"/>
        <v>2</v>
      </c>
      <c r="X3634">
        <v>8.697222</v>
      </c>
      <c r="Y3634">
        <v>48.606667000000002</v>
      </c>
      <c r="Z3634" t="s">
        <v>124</v>
      </c>
      <c r="AA3634" t="s">
        <v>211</v>
      </c>
      <c r="AB3634" t="s">
        <v>212</v>
      </c>
      <c r="AC3634" t="s">
        <v>3587</v>
      </c>
      <c r="AD3634" t="s">
        <v>3756</v>
      </c>
      <c r="AE3634" t="s">
        <v>1996</v>
      </c>
      <c r="AF3634" t="s">
        <v>4044</v>
      </c>
      <c r="AH3634" t="s">
        <v>72</v>
      </c>
      <c r="AI3634" t="s">
        <v>4045</v>
      </c>
      <c r="AJ3634">
        <v>2006</v>
      </c>
      <c r="AK3634" t="s">
        <v>4048</v>
      </c>
      <c r="AN3634" t="s">
        <v>114</v>
      </c>
      <c r="AO3634" t="s">
        <v>77</v>
      </c>
      <c r="AP3634" t="s">
        <v>78</v>
      </c>
      <c r="AR3634" t="s">
        <v>80</v>
      </c>
      <c r="AS3634">
        <v>305</v>
      </c>
      <c r="AT3634" t="s">
        <v>81</v>
      </c>
      <c r="AU3634">
        <v>28.39</v>
      </c>
      <c r="AV3634">
        <v>27.16</v>
      </c>
      <c r="AW3634" t="s">
        <v>82</v>
      </c>
      <c r="AX3634">
        <v>305</v>
      </c>
      <c r="AY3634" t="s">
        <v>81</v>
      </c>
      <c r="AZ3634">
        <v>19.13</v>
      </c>
      <c r="BA3634">
        <v>14.26</v>
      </c>
      <c r="BB3634" t="s">
        <v>83</v>
      </c>
    </row>
    <row r="3635" spans="1:54" x14ac:dyDescent="0.4">
      <c r="A3635">
        <v>1076316</v>
      </c>
      <c r="D3635" t="s">
        <v>54</v>
      </c>
      <c r="I3635" t="s">
        <v>57</v>
      </c>
      <c r="K3635" t="s">
        <v>746</v>
      </c>
      <c r="L3635" t="s">
        <v>3203</v>
      </c>
      <c r="M3635" t="s">
        <v>60</v>
      </c>
      <c r="P3635" t="s">
        <v>224</v>
      </c>
      <c r="R3635" t="s">
        <v>183</v>
      </c>
      <c r="S3635" t="s">
        <v>64</v>
      </c>
      <c r="T3635">
        <v>246.7</v>
      </c>
      <c r="U3635">
        <v>244.7</v>
      </c>
      <c r="V3635">
        <f t="shared" si="112"/>
        <v>245.7</v>
      </c>
      <c r="W3635">
        <f t="shared" si="113"/>
        <v>2</v>
      </c>
      <c r="X3635">
        <v>8.697222</v>
      </c>
      <c r="Y3635">
        <v>48.606667000000002</v>
      </c>
      <c r="Z3635" t="s">
        <v>124</v>
      </c>
      <c r="AA3635" t="s">
        <v>211</v>
      </c>
      <c r="AB3635" t="s">
        <v>212</v>
      </c>
      <c r="AC3635" t="s">
        <v>3587</v>
      </c>
      <c r="AD3635" t="s">
        <v>3756</v>
      </c>
      <c r="AE3635" t="s">
        <v>1996</v>
      </c>
      <c r="AF3635" t="s">
        <v>4044</v>
      </c>
      <c r="AH3635" t="s">
        <v>72</v>
      </c>
      <c r="AI3635" t="s">
        <v>4045</v>
      </c>
      <c r="AJ3635">
        <v>2006</v>
      </c>
      <c r="AK3635" t="s">
        <v>4048</v>
      </c>
      <c r="AN3635" t="s">
        <v>114</v>
      </c>
      <c r="AO3635" t="s">
        <v>77</v>
      </c>
      <c r="AP3635" t="s">
        <v>78</v>
      </c>
      <c r="AR3635" t="s">
        <v>80</v>
      </c>
      <c r="AS3635">
        <v>305</v>
      </c>
      <c r="AT3635" t="s">
        <v>81</v>
      </c>
      <c r="AU3635">
        <v>28.39</v>
      </c>
      <c r="AV3635">
        <v>27.16</v>
      </c>
      <c r="AW3635" t="s">
        <v>82</v>
      </c>
      <c r="AX3635">
        <v>305</v>
      </c>
      <c r="AY3635" t="s">
        <v>81</v>
      </c>
      <c r="AZ3635">
        <v>19.13</v>
      </c>
      <c r="BA3635">
        <v>14.26</v>
      </c>
      <c r="BB3635" t="s">
        <v>83</v>
      </c>
    </row>
    <row r="3636" spans="1:54" x14ac:dyDescent="0.4">
      <c r="A3636">
        <v>1080116</v>
      </c>
      <c r="D3636" t="s">
        <v>54</v>
      </c>
      <c r="F3636" t="s">
        <v>1283</v>
      </c>
      <c r="G3636">
        <v>30</v>
      </c>
      <c r="H3636" t="s">
        <v>84</v>
      </c>
      <c r="I3636" t="s">
        <v>57</v>
      </c>
      <c r="K3636" t="s">
        <v>580</v>
      </c>
      <c r="L3636" t="s">
        <v>581</v>
      </c>
      <c r="M3636" t="s">
        <v>60</v>
      </c>
      <c r="O3636" t="s">
        <v>87</v>
      </c>
      <c r="P3636" t="s">
        <v>224</v>
      </c>
      <c r="R3636" t="s">
        <v>183</v>
      </c>
      <c r="S3636" t="s">
        <v>64</v>
      </c>
      <c r="T3636">
        <v>246.7</v>
      </c>
      <c r="U3636">
        <v>244.7</v>
      </c>
      <c r="V3636">
        <f t="shared" si="112"/>
        <v>245.7</v>
      </c>
      <c r="W3636">
        <f t="shared" si="113"/>
        <v>2</v>
      </c>
      <c r="X3636">
        <v>-105.083336</v>
      </c>
      <c r="Y3636">
        <v>35.200001</v>
      </c>
      <c r="Z3636" t="s">
        <v>124</v>
      </c>
      <c r="AA3636" t="s">
        <v>66</v>
      </c>
      <c r="AB3636" t="s">
        <v>846</v>
      </c>
      <c r="AD3636" t="s">
        <v>585</v>
      </c>
      <c r="AF3636" t="s">
        <v>4056</v>
      </c>
      <c r="AH3636" t="s">
        <v>72</v>
      </c>
      <c r="AI3636" t="s">
        <v>4057</v>
      </c>
      <c r="AJ3636">
        <v>2010</v>
      </c>
      <c r="AK3636" t="s">
        <v>4058</v>
      </c>
      <c r="AN3636" t="s">
        <v>192</v>
      </c>
      <c r="AO3636" t="s">
        <v>160</v>
      </c>
      <c r="AP3636" t="s">
        <v>359</v>
      </c>
      <c r="AQ3636" t="s">
        <v>4059</v>
      </c>
      <c r="AR3636" t="s">
        <v>80</v>
      </c>
      <c r="AS3636">
        <v>101</v>
      </c>
      <c r="AT3636" t="s">
        <v>81</v>
      </c>
      <c r="AU3636">
        <v>-29.86</v>
      </c>
      <c r="AV3636">
        <v>16.690000000000001</v>
      </c>
      <c r="AW3636" t="s">
        <v>82</v>
      </c>
      <c r="AX3636">
        <v>101</v>
      </c>
      <c r="AY3636" t="s">
        <v>81</v>
      </c>
      <c r="AZ3636">
        <v>-34.81</v>
      </c>
      <c r="BA3636">
        <v>2.21</v>
      </c>
      <c r="BB3636" t="s">
        <v>83</v>
      </c>
    </row>
    <row r="3637" spans="1:54" x14ac:dyDescent="0.4">
      <c r="A3637">
        <v>1094702</v>
      </c>
      <c r="D3637" t="s">
        <v>54</v>
      </c>
      <c r="G3637">
        <v>1</v>
      </c>
      <c r="H3637" t="s">
        <v>84</v>
      </c>
      <c r="I3637" t="s">
        <v>57</v>
      </c>
      <c r="K3637" t="s">
        <v>141</v>
      </c>
      <c r="L3637" t="s">
        <v>529</v>
      </c>
      <c r="M3637" t="s">
        <v>223</v>
      </c>
      <c r="P3637" t="s">
        <v>224</v>
      </c>
      <c r="R3637" t="s">
        <v>183</v>
      </c>
      <c r="S3637" t="s">
        <v>64</v>
      </c>
      <c r="T3637">
        <v>246.7</v>
      </c>
      <c r="U3637">
        <v>244.7</v>
      </c>
      <c r="V3637">
        <f t="shared" si="112"/>
        <v>245.7</v>
      </c>
      <c r="W3637">
        <f t="shared" si="113"/>
        <v>2</v>
      </c>
      <c r="X3637">
        <v>8.4166670000000003</v>
      </c>
      <c r="Y3637">
        <v>48.450001</v>
      </c>
      <c r="Z3637" t="s">
        <v>124</v>
      </c>
      <c r="AA3637" t="s">
        <v>211</v>
      </c>
      <c r="AB3637" t="s">
        <v>4106</v>
      </c>
      <c r="AC3637" t="s">
        <v>4043</v>
      </c>
      <c r="AD3637" t="s">
        <v>3756</v>
      </c>
      <c r="AE3637" t="s">
        <v>1996</v>
      </c>
      <c r="AH3637" t="s">
        <v>11</v>
      </c>
      <c r="AI3637" t="s">
        <v>2013</v>
      </c>
      <c r="AJ3637">
        <v>1997</v>
      </c>
      <c r="AK3637" t="s">
        <v>4107</v>
      </c>
      <c r="AN3637" t="s">
        <v>114</v>
      </c>
      <c r="AO3637" t="s">
        <v>160</v>
      </c>
      <c r="AP3637" t="s">
        <v>115</v>
      </c>
      <c r="AQ3637" t="s">
        <v>4108</v>
      </c>
      <c r="AR3637" t="s">
        <v>80</v>
      </c>
      <c r="AS3637">
        <v>305</v>
      </c>
      <c r="AT3637" t="s">
        <v>81</v>
      </c>
      <c r="AU3637">
        <v>28.22</v>
      </c>
      <c r="AV3637">
        <v>26.96</v>
      </c>
      <c r="AW3637" t="s">
        <v>82</v>
      </c>
      <c r="AX3637">
        <v>305</v>
      </c>
      <c r="AY3637" t="s">
        <v>81</v>
      </c>
      <c r="AZ3637">
        <v>19.010000000000002</v>
      </c>
      <c r="BA3637">
        <v>14.05</v>
      </c>
      <c r="BB3637" t="s">
        <v>83</v>
      </c>
    </row>
    <row r="3638" spans="1:54" x14ac:dyDescent="0.4">
      <c r="A3638">
        <v>1659690</v>
      </c>
      <c r="D3638" t="s">
        <v>54</v>
      </c>
      <c r="I3638" t="s">
        <v>57</v>
      </c>
      <c r="K3638" t="s">
        <v>141</v>
      </c>
      <c r="L3638" t="s">
        <v>5713</v>
      </c>
      <c r="M3638" t="s">
        <v>60</v>
      </c>
      <c r="P3638" t="s">
        <v>224</v>
      </c>
      <c r="R3638" t="s">
        <v>183</v>
      </c>
      <c r="S3638" t="s">
        <v>64</v>
      </c>
      <c r="T3638">
        <v>246.7</v>
      </c>
      <c r="U3638">
        <v>244.7</v>
      </c>
      <c r="V3638">
        <f t="shared" si="112"/>
        <v>245.7</v>
      </c>
      <c r="W3638">
        <f t="shared" si="113"/>
        <v>2</v>
      </c>
      <c r="X3638">
        <v>8.697222</v>
      </c>
      <c r="Y3638">
        <v>48.606667000000002</v>
      </c>
      <c r="Z3638" t="s">
        <v>124</v>
      </c>
      <c r="AA3638" t="s">
        <v>211</v>
      </c>
      <c r="AB3638" t="s">
        <v>212</v>
      </c>
      <c r="AC3638" t="s">
        <v>3587</v>
      </c>
      <c r="AD3638" t="s">
        <v>3756</v>
      </c>
      <c r="AE3638" t="s">
        <v>1996</v>
      </c>
      <c r="AF3638" t="s">
        <v>4044</v>
      </c>
      <c r="AH3638" t="s">
        <v>72</v>
      </c>
      <c r="AI3638" t="s">
        <v>730</v>
      </c>
      <c r="AJ3638">
        <v>2024</v>
      </c>
      <c r="AK3638" t="s">
        <v>4048</v>
      </c>
      <c r="AN3638" t="s">
        <v>114</v>
      </c>
      <c r="AO3638" t="s">
        <v>77</v>
      </c>
      <c r="AP3638" t="s">
        <v>78</v>
      </c>
      <c r="AR3638" t="s">
        <v>80</v>
      </c>
      <c r="AS3638">
        <v>305</v>
      </c>
      <c r="AT3638" t="s">
        <v>81</v>
      </c>
      <c r="AU3638">
        <v>28.39</v>
      </c>
      <c r="AV3638">
        <v>27.16</v>
      </c>
      <c r="AW3638" t="s">
        <v>82</v>
      </c>
      <c r="AX3638">
        <v>305</v>
      </c>
      <c r="AY3638" t="s">
        <v>81</v>
      </c>
      <c r="AZ3638">
        <v>19.13</v>
      </c>
      <c r="BA3638">
        <v>14.26</v>
      </c>
      <c r="BB3638" t="s">
        <v>83</v>
      </c>
    </row>
    <row r="3639" spans="1:54" x14ac:dyDescent="0.4">
      <c r="A3639">
        <v>601739</v>
      </c>
      <c r="D3639" t="s">
        <v>54</v>
      </c>
      <c r="I3639" t="s">
        <v>57</v>
      </c>
      <c r="K3639" t="s">
        <v>1347</v>
      </c>
      <c r="L3639" t="s">
        <v>1348</v>
      </c>
      <c r="M3639" t="s">
        <v>223</v>
      </c>
      <c r="N3639" t="s">
        <v>485</v>
      </c>
      <c r="O3639" t="s">
        <v>1349</v>
      </c>
      <c r="P3639" t="s">
        <v>182</v>
      </c>
      <c r="R3639" t="s">
        <v>183</v>
      </c>
      <c r="S3639" t="s">
        <v>64</v>
      </c>
      <c r="T3639">
        <v>242</v>
      </c>
      <c r="U3639">
        <v>239.7</v>
      </c>
      <c r="V3639">
        <f t="shared" si="112"/>
        <v>240.85</v>
      </c>
      <c r="W3639">
        <f t="shared" si="113"/>
        <v>2.3000000000000114</v>
      </c>
      <c r="X3639">
        <v>34.883330999999998</v>
      </c>
      <c r="Y3639">
        <v>30.566668</v>
      </c>
      <c r="Z3639" t="s">
        <v>1361</v>
      </c>
      <c r="AA3639" t="s">
        <v>1351</v>
      </c>
      <c r="AH3639" t="s">
        <v>11</v>
      </c>
      <c r="AI3639" t="s">
        <v>1352</v>
      </c>
      <c r="AJ3639">
        <v>1956</v>
      </c>
      <c r="AK3639" t="s">
        <v>1363</v>
      </c>
      <c r="AN3639" t="s">
        <v>192</v>
      </c>
      <c r="AO3639" t="s">
        <v>160</v>
      </c>
      <c r="AP3639" t="s">
        <v>359</v>
      </c>
      <c r="AQ3639" t="s">
        <v>1354</v>
      </c>
      <c r="AR3639" t="s">
        <v>80</v>
      </c>
      <c r="AS3639">
        <v>508</v>
      </c>
      <c r="AT3639" t="s">
        <v>81</v>
      </c>
      <c r="AU3639">
        <v>38.93</v>
      </c>
      <c r="AV3639">
        <v>-1.83</v>
      </c>
      <c r="AW3639" t="s">
        <v>82</v>
      </c>
      <c r="AX3639">
        <v>508</v>
      </c>
      <c r="AY3639" t="s">
        <v>81</v>
      </c>
      <c r="AZ3639">
        <v>34.119999999999997</v>
      </c>
      <c r="BA3639">
        <v>-11.65</v>
      </c>
      <c r="BB3639" t="s">
        <v>83</v>
      </c>
    </row>
    <row r="3640" spans="1:54" x14ac:dyDescent="0.4">
      <c r="A3640">
        <v>601740</v>
      </c>
      <c r="D3640" t="s">
        <v>54</v>
      </c>
      <c r="I3640" t="s">
        <v>57</v>
      </c>
      <c r="K3640" t="s">
        <v>771</v>
      </c>
      <c r="L3640" t="s">
        <v>772</v>
      </c>
      <c r="M3640" t="s">
        <v>223</v>
      </c>
      <c r="P3640" t="s">
        <v>182</v>
      </c>
      <c r="R3640" t="s">
        <v>183</v>
      </c>
      <c r="S3640" t="s">
        <v>64</v>
      </c>
      <c r="T3640">
        <v>242</v>
      </c>
      <c r="U3640">
        <v>239.7</v>
      </c>
      <c r="V3640">
        <f t="shared" si="112"/>
        <v>240.85</v>
      </c>
      <c r="W3640">
        <f t="shared" si="113"/>
        <v>2.3000000000000114</v>
      </c>
      <c r="X3640">
        <v>34.883330999999998</v>
      </c>
      <c r="Y3640">
        <v>30.566668</v>
      </c>
      <c r="Z3640" t="s">
        <v>1361</v>
      </c>
      <c r="AA3640" t="s">
        <v>1351</v>
      </c>
      <c r="AH3640" t="s">
        <v>11</v>
      </c>
      <c r="AI3640" t="s">
        <v>1352</v>
      </c>
      <c r="AJ3640">
        <v>1956</v>
      </c>
      <c r="AK3640" t="s">
        <v>1363</v>
      </c>
      <c r="AN3640" t="s">
        <v>192</v>
      </c>
      <c r="AO3640" t="s">
        <v>160</v>
      </c>
      <c r="AP3640" t="s">
        <v>359</v>
      </c>
      <c r="AQ3640" t="s">
        <v>1354</v>
      </c>
      <c r="AR3640" t="s">
        <v>80</v>
      </c>
      <c r="AS3640">
        <v>508</v>
      </c>
      <c r="AT3640" t="s">
        <v>81</v>
      </c>
      <c r="AU3640">
        <v>38.93</v>
      </c>
      <c r="AV3640">
        <v>-1.83</v>
      </c>
      <c r="AW3640" t="s">
        <v>82</v>
      </c>
      <c r="AX3640">
        <v>508</v>
      </c>
      <c r="AY3640" t="s">
        <v>81</v>
      </c>
      <c r="AZ3640">
        <v>34.119999999999997</v>
      </c>
      <c r="BA3640">
        <v>-11.65</v>
      </c>
      <c r="BB3640" t="s">
        <v>83</v>
      </c>
    </row>
    <row r="3641" spans="1:54" x14ac:dyDescent="0.4">
      <c r="A3641">
        <v>789759</v>
      </c>
      <c r="D3641" t="s">
        <v>54</v>
      </c>
      <c r="G3641">
        <v>1</v>
      </c>
      <c r="H3641" t="s">
        <v>56</v>
      </c>
      <c r="I3641" t="s">
        <v>57</v>
      </c>
      <c r="K3641" t="s">
        <v>1504</v>
      </c>
      <c r="L3641" t="s">
        <v>1856</v>
      </c>
      <c r="M3641" t="s">
        <v>60</v>
      </c>
      <c r="P3641" t="s">
        <v>103</v>
      </c>
      <c r="R3641" t="s">
        <v>104</v>
      </c>
      <c r="S3641" t="s">
        <v>64</v>
      </c>
      <c r="T3641">
        <v>251.2</v>
      </c>
      <c r="U3641">
        <v>246.7</v>
      </c>
      <c r="V3641">
        <f t="shared" si="112"/>
        <v>248.95</v>
      </c>
      <c r="W3641">
        <f t="shared" si="113"/>
        <v>4.5</v>
      </c>
      <c r="X3641">
        <v>-121.673058</v>
      </c>
      <c r="Y3641">
        <v>54.531387000000002</v>
      </c>
      <c r="Z3641" t="s">
        <v>1857</v>
      </c>
      <c r="AA3641" t="s">
        <v>1456</v>
      </c>
      <c r="AB3641" t="s">
        <v>1858</v>
      </c>
      <c r="AD3641" t="s">
        <v>1859</v>
      </c>
      <c r="AF3641" t="s">
        <v>1860</v>
      </c>
      <c r="AH3641" t="s">
        <v>72</v>
      </c>
      <c r="AI3641" t="s">
        <v>1861</v>
      </c>
      <c r="AJ3641">
        <v>1988</v>
      </c>
      <c r="AK3641" t="s">
        <v>1862</v>
      </c>
      <c r="AN3641" t="s">
        <v>76</v>
      </c>
      <c r="AO3641" t="s">
        <v>77</v>
      </c>
      <c r="AP3641" t="s">
        <v>636</v>
      </c>
      <c r="AQ3641" t="s">
        <v>1863</v>
      </c>
      <c r="AR3641" t="s">
        <v>80</v>
      </c>
      <c r="AS3641">
        <v>101</v>
      </c>
      <c r="AT3641" t="s">
        <v>81</v>
      </c>
      <c r="AU3641">
        <v>-32.71</v>
      </c>
      <c r="AV3641">
        <v>39.53</v>
      </c>
      <c r="AW3641" t="s">
        <v>82</v>
      </c>
      <c r="AX3641">
        <v>124</v>
      </c>
      <c r="AY3641" t="s">
        <v>81</v>
      </c>
      <c r="AZ3641">
        <v>-37.47</v>
      </c>
      <c r="BA3641">
        <v>27.66</v>
      </c>
      <c r="BB3641" t="s">
        <v>83</v>
      </c>
    </row>
    <row r="3642" spans="1:54" x14ac:dyDescent="0.4">
      <c r="A3642">
        <v>797948</v>
      </c>
      <c r="D3642" t="s">
        <v>853</v>
      </c>
      <c r="E3642" t="s">
        <v>310</v>
      </c>
      <c r="G3642">
        <v>1</v>
      </c>
      <c r="H3642" t="s">
        <v>56</v>
      </c>
      <c r="I3642" t="s">
        <v>57</v>
      </c>
      <c r="K3642" t="s">
        <v>221</v>
      </c>
      <c r="L3642" t="s">
        <v>2086</v>
      </c>
      <c r="M3642" t="s">
        <v>223</v>
      </c>
      <c r="P3642" t="s">
        <v>182</v>
      </c>
      <c r="R3642" t="s">
        <v>183</v>
      </c>
      <c r="S3642" t="s">
        <v>64</v>
      </c>
      <c r="T3642">
        <v>242</v>
      </c>
      <c r="U3642">
        <v>239.7</v>
      </c>
      <c r="V3642">
        <f t="shared" si="112"/>
        <v>240.85</v>
      </c>
      <c r="W3642">
        <f t="shared" si="113"/>
        <v>2.3000000000000114</v>
      </c>
      <c r="X3642">
        <v>8.9391669999999994</v>
      </c>
      <c r="Y3642">
        <v>45.911945000000003</v>
      </c>
      <c r="Z3642" t="s">
        <v>1415</v>
      </c>
      <c r="AA3642" t="s">
        <v>226</v>
      </c>
      <c r="AB3642" t="s">
        <v>2079</v>
      </c>
      <c r="AC3642" t="s">
        <v>2080</v>
      </c>
      <c r="AD3642" t="s">
        <v>2075</v>
      </c>
      <c r="AG3642" t="s">
        <v>2093</v>
      </c>
      <c r="AH3642" t="s">
        <v>72</v>
      </c>
      <c r="AI3642" t="s">
        <v>2013</v>
      </c>
      <c r="AJ3642">
        <v>1989</v>
      </c>
      <c r="AK3642" t="s">
        <v>2094</v>
      </c>
      <c r="AN3642" t="s">
        <v>192</v>
      </c>
      <c r="AO3642" t="s">
        <v>77</v>
      </c>
      <c r="AP3642" t="s">
        <v>115</v>
      </c>
      <c r="AQ3642" t="s">
        <v>2089</v>
      </c>
      <c r="AR3642" t="s">
        <v>80</v>
      </c>
      <c r="AS3642">
        <v>307</v>
      </c>
      <c r="AT3642" t="s">
        <v>81</v>
      </c>
      <c r="AU3642">
        <v>33.4</v>
      </c>
      <c r="AV3642">
        <v>18.11</v>
      </c>
      <c r="AW3642" t="s">
        <v>82</v>
      </c>
      <c r="AX3642">
        <v>307</v>
      </c>
      <c r="AY3642" t="s">
        <v>81</v>
      </c>
      <c r="AZ3642">
        <v>20.2</v>
      </c>
      <c r="BA3642">
        <v>8.8800000000000008</v>
      </c>
      <c r="BB3642" t="s">
        <v>83</v>
      </c>
    </row>
    <row r="3643" spans="1:54" x14ac:dyDescent="0.4">
      <c r="A3643">
        <v>797948</v>
      </c>
      <c r="D3643" t="s">
        <v>853</v>
      </c>
      <c r="E3643" t="s">
        <v>310</v>
      </c>
      <c r="G3643">
        <v>1</v>
      </c>
      <c r="H3643" t="s">
        <v>56</v>
      </c>
      <c r="I3643" t="s">
        <v>57</v>
      </c>
      <c r="K3643" t="s">
        <v>221</v>
      </c>
      <c r="L3643" t="s">
        <v>2086</v>
      </c>
      <c r="M3643" t="s">
        <v>223</v>
      </c>
      <c r="P3643" t="s">
        <v>182</v>
      </c>
      <c r="R3643" t="s">
        <v>183</v>
      </c>
      <c r="S3643" t="s">
        <v>64</v>
      </c>
      <c r="T3643">
        <v>242</v>
      </c>
      <c r="U3643">
        <v>239.7</v>
      </c>
      <c r="V3643">
        <f t="shared" si="112"/>
        <v>240.85</v>
      </c>
      <c r="W3643">
        <f t="shared" si="113"/>
        <v>2.3000000000000114</v>
      </c>
      <c r="X3643">
        <v>8.9391669999999994</v>
      </c>
      <c r="Y3643">
        <v>45.911945000000003</v>
      </c>
      <c r="Z3643" t="s">
        <v>1415</v>
      </c>
      <c r="AA3643" t="s">
        <v>226</v>
      </c>
      <c r="AB3643" t="s">
        <v>2079</v>
      </c>
      <c r="AC3643" t="s">
        <v>2080</v>
      </c>
      <c r="AD3643" t="s">
        <v>2075</v>
      </c>
      <c r="AG3643" t="s">
        <v>2093</v>
      </c>
      <c r="AH3643" t="s">
        <v>72</v>
      </c>
      <c r="AI3643" t="s">
        <v>2013</v>
      </c>
      <c r="AJ3643">
        <v>1989</v>
      </c>
      <c r="AK3643" t="s">
        <v>2094</v>
      </c>
      <c r="AN3643" t="s">
        <v>192</v>
      </c>
      <c r="AO3643" t="s">
        <v>77</v>
      </c>
      <c r="AP3643" t="s">
        <v>115</v>
      </c>
      <c r="AQ3643" t="s">
        <v>2089</v>
      </c>
      <c r="AR3643" t="s">
        <v>80</v>
      </c>
      <c r="AS3643">
        <v>307</v>
      </c>
      <c r="AT3643" t="s">
        <v>81</v>
      </c>
      <c r="AU3643">
        <v>33.4</v>
      </c>
      <c r="AV3643">
        <v>18.11</v>
      </c>
      <c r="AW3643" t="s">
        <v>82</v>
      </c>
      <c r="AX3643">
        <v>307</v>
      </c>
      <c r="AY3643" t="s">
        <v>81</v>
      </c>
      <c r="AZ3643">
        <v>20.2</v>
      </c>
      <c r="BA3643">
        <v>8.8800000000000008</v>
      </c>
      <c r="BB3643" t="s">
        <v>83</v>
      </c>
    </row>
    <row r="3644" spans="1:54" x14ac:dyDescent="0.4">
      <c r="A3644">
        <v>797949</v>
      </c>
      <c r="D3644" t="s">
        <v>853</v>
      </c>
      <c r="E3644" t="s">
        <v>310</v>
      </c>
      <c r="G3644">
        <v>1</v>
      </c>
      <c r="H3644" t="s">
        <v>56</v>
      </c>
      <c r="I3644" t="s">
        <v>57</v>
      </c>
      <c r="K3644" t="s">
        <v>221</v>
      </c>
      <c r="L3644" t="s">
        <v>2086</v>
      </c>
      <c r="M3644" t="s">
        <v>223</v>
      </c>
      <c r="P3644" t="s">
        <v>182</v>
      </c>
      <c r="R3644" t="s">
        <v>183</v>
      </c>
      <c r="S3644" t="s">
        <v>64</v>
      </c>
      <c r="T3644">
        <v>242</v>
      </c>
      <c r="U3644">
        <v>239.7</v>
      </c>
      <c r="V3644">
        <f t="shared" si="112"/>
        <v>240.85</v>
      </c>
      <c r="W3644">
        <f t="shared" si="113"/>
        <v>2.3000000000000114</v>
      </c>
      <c r="X3644">
        <v>8.9391669999999994</v>
      </c>
      <c r="Y3644">
        <v>45.911945000000003</v>
      </c>
      <c r="Z3644" t="s">
        <v>1415</v>
      </c>
      <c r="AA3644" t="s">
        <v>226</v>
      </c>
      <c r="AB3644" t="s">
        <v>2079</v>
      </c>
      <c r="AC3644" t="s">
        <v>2080</v>
      </c>
      <c r="AD3644" t="s">
        <v>2075</v>
      </c>
      <c r="AG3644" t="s">
        <v>2093</v>
      </c>
      <c r="AH3644" t="s">
        <v>72</v>
      </c>
      <c r="AI3644" t="s">
        <v>2013</v>
      </c>
      <c r="AJ3644">
        <v>1989</v>
      </c>
      <c r="AK3644" t="s">
        <v>2095</v>
      </c>
      <c r="AN3644" t="s">
        <v>192</v>
      </c>
      <c r="AO3644" t="s">
        <v>77</v>
      </c>
      <c r="AP3644" t="s">
        <v>115</v>
      </c>
      <c r="AQ3644" t="s">
        <v>2089</v>
      </c>
      <c r="AR3644" t="s">
        <v>80</v>
      </c>
      <c r="AS3644">
        <v>307</v>
      </c>
      <c r="AT3644" t="s">
        <v>81</v>
      </c>
      <c r="AU3644">
        <v>33.4</v>
      </c>
      <c r="AV3644">
        <v>18.11</v>
      </c>
      <c r="AW3644" t="s">
        <v>82</v>
      </c>
      <c r="AX3644">
        <v>307</v>
      </c>
      <c r="AY3644" t="s">
        <v>81</v>
      </c>
      <c r="AZ3644">
        <v>20.2</v>
      </c>
      <c r="BA3644">
        <v>8.8800000000000008</v>
      </c>
      <c r="BB3644" t="s">
        <v>83</v>
      </c>
    </row>
    <row r="3645" spans="1:54" x14ac:dyDescent="0.4">
      <c r="A3645">
        <v>797949</v>
      </c>
      <c r="D3645" t="s">
        <v>853</v>
      </c>
      <c r="E3645" t="s">
        <v>310</v>
      </c>
      <c r="G3645">
        <v>1</v>
      </c>
      <c r="H3645" t="s">
        <v>56</v>
      </c>
      <c r="I3645" t="s">
        <v>57</v>
      </c>
      <c r="K3645" t="s">
        <v>221</v>
      </c>
      <c r="L3645" t="s">
        <v>2086</v>
      </c>
      <c r="M3645" t="s">
        <v>223</v>
      </c>
      <c r="P3645" t="s">
        <v>182</v>
      </c>
      <c r="R3645" t="s">
        <v>183</v>
      </c>
      <c r="S3645" t="s">
        <v>64</v>
      </c>
      <c r="T3645">
        <v>242</v>
      </c>
      <c r="U3645">
        <v>239.7</v>
      </c>
      <c r="V3645">
        <f t="shared" si="112"/>
        <v>240.85</v>
      </c>
      <c r="W3645">
        <f t="shared" si="113"/>
        <v>2.3000000000000114</v>
      </c>
      <c r="X3645">
        <v>8.9391669999999994</v>
      </c>
      <c r="Y3645">
        <v>45.911945000000003</v>
      </c>
      <c r="Z3645" t="s">
        <v>1415</v>
      </c>
      <c r="AA3645" t="s">
        <v>226</v>
      </c>
      <c r="AB3645" t="s">
        <v>2079</v>
      </c>
      <c r="AC3645" t="s">
        <v>2080</v>
      </c>
      <c r="AD3645" t="s">
        <v>2075</v>
      </c>
      <c r="AG3645" t="s">
        <v>2093</v>
      </c>
      <c r="AH3645" t="s">
        <v>72</v>
      </c>
      <c r="AI3645" t="s">
        <v>2013</v>
      </c>
      <c r="AJ3645">
        <v>1989</v>
      </c>
      <c r="AK3645" t="s">
        <v>2095</v>
      </c>
      <c r="AN3645" t="s">
        <v>192</v>
      </c>
      <c r="AO3645" t="s">
        <v>77</v>
      </c>
      <c r="AP3645" t="s">
        <v>115</v>
      </c>
      <c r="AQ3645" t="s">
        <v>2089</v>
      </c>
      <c r="AR3645" t="s">
        <v>80</v>
      </c>
      <c r="AS3645">
        <v>307</v>
      </c>
      <c r="AT3645" t="s">
        <v>81</v>
      </c>
      <c r="AU3645">
        <v>33.4</v>
      </c>
      <c r="AV3645">
        <v>18.11</v>
      </c>
      <c r="AW3645" t="s">
        <v>82</v>
      </c>
      <c r="AX3645">
        <v>307</v>
      </c>
      <c r="AY3645" t="s">
        <v>81</v>
      </c>
      <c r="AZ3645">
        <v>20.2</v>
      </c>
      <c r="BA3645">
        <v>8.8800000000000008</v>
      </c>
      <c r="BB3645" t="s">
        <v>83</v>
      </c>
    </row>
    <row r="3646" spans="1:54" x14ac:dyDescent="0.4">
      <c r="A3646">
        <v>797949</v>
      </c>
      <c r="D3646" t="s">
        <v>853</v>
      </c>
      <c r="E3646" t="s">
        <v>310</v>
      </c>
      <c r="G3646">
        <v>1</v>
      </c>
      <c r="H3646" t="s">
        <v>56</v>
      </c>
      <c r="I3646" t="s">
        <v>57</v>
      </c>
      <c r="K3646" t="s">
        <v>221</v>
      </c>
      <c r="L3646" t="s">
        <v>2086</v>
      </c>
      <c r="M3646" t="s">
        <v>223</v>
      </c>
      <c r="P3646" t="s">
        <v>182</v>
      </c>
      <c r="R3646" t="s">
        <v>183</v>
      </c>
      <c r="S3646" t="s">
        <v>64</v>
      </c>
      <c r="T3646">
        <v>242</v>
      </c>
      <c r="U3646">
        <v>239.7</v>
      </c>
      <c r="V3646">
        <f t="shared" si="112"/>
        <v>240.85</v>
      </c>
      <c r="W3646">
        <f t="shared" si="113"/>
        <v>2.3000000000000114</v>
      </c>
      <c r="X3646">
        <v>8.9391669999999994</v>
      </c>
      <c r="Y3646">
        <v>45.911945000000003</v>
      </c>
      <c r="Z3646" t="s">
        <v>1415</v>
      </c>
      <c r="AA3646" t="s">
        <v>226</v>
      </c>
      <c r="AB3646" t="s">
        <v>2079</v>
      </c>
      <c r="AC3646" t="s">
        <v>2080</v>
      </c>
      <c r="AD3646" t="s">
        <v>2075</v>
      </c>
      <c r="AG3646" t="s">
        <v>2093</v>
      </c>
      <c r="AH3646" t="s">
        <v>72</v>
      </c>
      <c r="AI3646" t="s">
        <v>2013</v>
      </c>
      <c r="AJ3646">
        <v>1989</v>
      </c>
      <c r="AK3646" t="s">
        <v>2095</v>
      </c>
      <c r="AN3646" t="s">
        <v>192</v>
      </c>
      <c r="AO3646" t="s">
        <v>77</v>
      </c>
      <c r="AP3646" t="s">
        <v>115</v>
      </c>
      <c r="AQ3646" t="s">
        <v>2089</v>
      </c>
      <c r="AR3646" t="s">
        <v>80</v>
      </c>
      <c r="AS3646">
        <v>307</v>
      </c>
      <c r="AT3646" t="s">
        <v>81</v>
      </c>
      <c r="AU3646">
        <v>33.4</v>
      </c>
      <c r="AV3646">
        <v>18.11</v>
      </c>
      <c r="AW3646" t="s">
        <v>82</v>
      </c>
      <c r="AX3646">
        <v>307</v>
      </c>
      <c r="AY3646" t="s">
        <v>81</v>
      </c>
      <c r="AZ3646">
        <v>20.2</v>
      </c>
      <c r="BA3646">
        <v>8.8800000000000008</v>
      </c>
      <c r="BB3646" t="s">
        <v>83</v>
      </c>
    </row>
    <row r="3647" spans="1:54" x14ac:dyDescent="0.4">
      <c r="A3647">
        <v>797950</v>
      </c>
      <c r="D3647" t="s">
        <v>853</v>
      </c>
      <c r="E3647" t="s">
        <v>310</v>
      </c>
      <c r="G3647">
        <v>1</v>
      </c>
      <c r="H3647" t="s">
        <v>56</v>
      </c>
      <c r="I3647" t="s">
        <v>57</v>
      </c>
      <c r="K3647" t="s">
        <v>221</v>
      </c>
      <c r="L3647" t="s">
        <v>2086</v>
      </c>
      <c r="M3647" t="s">
        <v>223</v>
      </c>
      <c r="P3647" t="s">
        <v>182</v>
      </c>
      <c r="R3647" t="s">
        <v>183</v>
      </c>
      <c r="S3647" t="s">
        <v>64</v>
      </c>
      <c r="T3647">
        <v>242</v>
      </c>
      <c r="U3647">
        <v>239.7</v>
      </c>
      <c r="V3647">
        <f t="shared" si="112"/>
        <v>240.85</v>
      </c>
      <c r="W3647">
        <f t="shared" si="113"/>
        <v>2.3000000000000114</v>
      </c>
      <c r="X3647">
        <v>8.9391669999999994</v>
      </c>
      <c r="Y3647">
        <v>45.911945000000003</v>
      </c>
      <c r="Z3647" t="s">
        <v>1415</v>
      </c>
      <c r="AA3647" t="s">
        <v>226</v>
      </c>
      <c r="AB3647" t="s">
        <v>2079</v>
      </c>
      <c r="AC3647" t="s">
        <v>2080</v>
      </c>
      <c r="AD3647" t="s">
        <v>2075</v>
      </c>
      <c r="AG3647" t="s">
        <v>2093</v>
      </c>
      <c r="AH3647" t="s">
        <v>72</v>
      </c>
      <c r="AI3647" t="s">
        <v>2013</v>
      </c>
      <c r="AJ3647">
        <v>1989</v>
      </c>
      <c r="AK3647" t="s">
        <v>2096</v>
      </c>
      <c r="AN3647" t="s">
        <v>192</v>
      </c>
      <c r="AO3647" t="s">
        <v>77</v>
      </c>
      <c r="AP3647" t="s">
        <v>115</v>
      </c>
      <c r="AQ3647" t="s">
        <v>2089</v>
      </c>
      <c r="AR3647" t="s">
        <v>80</v>
      </c>
      <c r="AS3647">
        <v>307</v>
      </c>
      <c r="AT3647" t="s">
        <v>81</v>
      </c>
      <c r="AU3647">
        <v>33.4</v>
      </c>
      <c r="AV3647">
        <v>18.11</v>
      </c>
      <c r="AW3647" t="s">
        <v>82</v>
      </c>
      <c r="AX3647">
        <v>307</v>
      </c>
      <c r="AY3647" t="s">
        <v>81</v>
      </c>
      <c r="AZ3647">
        <v>20.2</v>
      </c>
      <c r="BA3647">
        <v>8.8800000000000008</v>
      </c>
      <c r="BB3647" t="s">
        <v>83</v>
      </c>
    </row>
    <row r="3648" spans="1:54" x14ac:dyDescent="0.4">
      <c r="A3648">
        <v>797950</v>
      </c>
      <c r="D3648" t="s">
        <v>853</v>
      </c>
      <c r="E3648" t="s">
        <v>310</v>
      </c>
      <c r="G3648">
        <v>1</v>
      </c>
      <c r="H3648" t="s">
        <v>56</v>
      </c>
      <c r="I3648" t="s">
        <v>57</v>
      </c>
      <c r="K3648" t="s">
        <v>221</v>
      </c>
      <c r="L3648" t="s">
        <v>2086</v>
      </c>
      <c r="M3648" t="s">
        <v>223</v>
      </c>
      <c r="P3648" t="s">
        <v>182</v>
      </c>
      <c r="R3648" t="s">
        <v>183</v>
      </c>
      <c r="S3648" t="s">
        <v>64</v>
      </c>
      <c r="T3648">
        <v>242</v>
      </c>
      <c r="U3648">
        <v>239.7</v>
      </c>
      <c r="V3648">
        <f t="shared" si="112"/>
        <v>240.85</v>
      </c>
      <c r="W3648">
        <f t="shared" si="113"/>
        <v>2.3000000000000114</v>
      </c>
      <c r="X3648">
        <v>8.9391669999999994</v>
      </c>
      <c r="Y3648">
        <v>45.911945000000003</v>
      </c>
      <c r="Z3648" t="s">
        <v>1415</v>
      </c>
      <c r="AA3648" t="s">
        <v>226</v>
      </c>
      <c r="AB3648" t="s">
        <v>2079</v>
      </c>
      <c r="AC3648" t="s">
        <v>2080</v>
      </c>
      <c r="AD3648" t="s">
        <v>2075</v>
      </c>
      <c r="AG3648" t="s">
        <v>2093</v>
      </c>
      <c r="AH3648" t="s">
        <v>72</v>
      </c>
      <c r="AI3648" t="s">
        <v>2013</v>
      </c>
      <c r="AJ3648">
        <v>1989</v>
      </c>
      <c r="AK3648" t="s">
        <v>2096</v>
      </c>
      <c r="AN3648" t="s">
        <v>192</v>
      </c>
      <c r="AO3648" t="s">
        <v>77</v>
      </c>
      <c r="AP3648" t="s">
        <v>115</v>
      </c>
      <c r="AQ3648" t="s">
        <v>2089</v>
      </c>
      <c r="AR3648" t="s">
        <v>80</v>
      </c>
      <c r="AS3648">
        <v>307</v>
      </c>
      <c r="AT3648" t="s">
        <v>81</v>
      </c>
      <c r="AU3648">
        <v>33.4</v>
      </c>
      <c r="AV3648">
        <v>18.11</v>
      </c>
      <c r="AW3648" t="s">
        <v>82</v>
      </c>
      <c r="AX3648">
        <v>307</v>
      </c>
      <c r="AY3648" t="s">
        <v>81</v>
      </c>
      <c r="AZ3648">
        <v>20.2</v>
      </c>
      <c r="BA3648">
        <v>8.8800000000000008</v>
      </c>
      <c r="BB3648" t="s">
        <v>83</v>
      </c>
    </row>
    <row r="3649" spans="1:54" x14ac:dyDescent="0.4">
      <c r="A3649">
        <v>797950</v>
      </c>
      <c r="D3649" t="s">
        <v>853</v>
      </c>
      <c r="E3649" t="s">
        <v>310</v>
      </c>
      <c r="G3649">
        <v>1</v>
      </c>
      <c r="H3649" t="s">
        <v>56</v>
      </c>
      <c r="I3649" t="s">
        <v>57</v>
      </c>
      <c r="K3649" t="s">
        <v>221</v>
      </c>
      <c r="L3649" t="s">
        <v>2086</v>
      </c>
      <c r="M3649" t="s">
        <v>223</v>
      </c>
      <c r="P3649" t="s">
        <v>182</v>
      </c>
      <c r="R3649" t="s">
        <v>183</v>
      </c>
      <c r="S3649" t="s">
        <v>64</v>
      </c>
      <c r="T3649">
        <v>242</v>
      </c>
      <c r="U3649">
        <v>239.7</v>
      </c>
      <c r="V3649">
        <f t="shared" si="112"/>
        <v>240.85</v>
      </c>
      <c r="W3649">
        <f t="shared" si="113"/>
        <v>2.3000000000000114</v>
      </c>
      <c r="X3649">
        <v>8.9391669999999994</v>
      </c>
      <c r="Y3649">
        <v>45.911945000000003</v>
      </c>
      <c r="Z3649" t="s">
        <v>1415</v>
      </c>
      <c r="AA3649" t="s">
        <v>226</v>
      </c>
      <c r="AB3649" t="s">
        <v>2079</v>
      </c>
      <c r="AC3649" t="s">
        <v>2080</v>
      </c>
      <c r="AD3649" t="s">
        <v>2075</v>
      </c>
      <c r="AG3649" t="s">
        <v>2093</v>
      </c>
      <c r="AH3649" t="s">
        <v>72</v>
      </c>
      <c r="AI3649" t="s">
        <v>2013</v>
      </c>
      <c r="AJ3649">
        <v>1989</v>
      </c>
      <c r="AK3649" t="s">
        <v>2096</v>
      </c>
      <c r="AN3649" t="s">
        <v>192</v>
      </c>
      <c r="AO3649" t="s">
        <v>77</v>
      </c>
      <c r="AP3649" t="s">
        <v>115</v>
      </c>
      <c r="AQ3649" t="s">
        <v>2089</v>
      </c>
      <c r="AR3649" t="s">
        <v>80</v>
      </c>
      <c r="AS3649">
        <v>307</v>
      </c>
      <c r="AT3649" t="s">
        <v>81</v>
      </c>
      <c r="AU3649">
        <v>33.4</v>
      </c>
      <c r="AV3649">
        <v>18.11</v>
      </c>
      <c r="AW3649" t="s">
        <v>82</v>
      </c>
      <c r="AX3649">
        <v>307</v>
      </c>
      <c r="AY3649" t="s">
        <v>81</v>
      </c>
      <c r="AZ3649">
        <v>20.2</v>
      </c>
      <c r="BA3649">
        <v>8.8800000000000008</v>
      </c>
      <c r="BB3649" t="s">
        <v>83</v>
      </c>
    </row>
    <row r="3650" spans="1:54" x14ac:dyDescent="0.4">
      <c r="A3650">
        <v>797950</v>
      </c>
      <c r="D3650" t="s">
        <v>853</v>
      </c>
      <c r="E3650" t="s">
        <v>310</v>
      </c>
      <c r="G3650">
        <v>1</v>
      </c>
      <c r="H3650" t="s">
        <v>56</v>
      </c>
      <c r="I3650" t="s">
        <v>57</v>
      </c>
      <c r="K3650" t="s">
        <v>221</v>
      </c>
      <c r="L3650" t="s">
        <v>2086</v>
      </c>
      <c r="M3650" t="s">
        <v>223</v>
      </c>
      <c r="P3650" t="s">
        <v>182</v>
      </c>
      <c r="R3650" t="s">
        <v>183</v>
      </c>
      <c r="S3650" t="s">
        <v>64</v>
      </c>
      <c r="T3650">
        <v>242</v>
      </c>
      <c r="U3650">
        <v>239.7</v>
      </c>
      <c r="V3650">
        <f t="shared" si="112"/>
        <v>240.85</v>
      </c>
      <c r="W3650">
        <f t="shared" si="113"/>
        <v>2.3000000000000114</v>
      </c>
      <c r="X3650">
        <v>8.9391669999999994</v>
      </c>
      <c r="Y3650">
        <v>45.911945000000003</v>
      </c>
      <c r="Z3650" t="s">
        <v>1415</v>
      </c>
      <c r="AA3650" t="s">
        <v>226</v>
      </c>
      <c r="AB3650" t="s">
        <v>2079</v>
      </c>
      <c r="AC3650" t="s">
        <v>2080</v>
      </c>
      <c r="AD3650" t="s">
        <v>2075</v>
      </c>
      <c r="AG3650" t="s">
        <v>2093</v>
      </c>
      <c r="AH3650" t="s">
        <v>72</v>
      </c>
      <c r="AI3650" t="s">
        <v>2013</v>
      </c>
      <c r="AJ3650">
        <v>1989</v>
      </c>
      <c r="AK3650" t="s">
        <v>2096</v>
      </c>
      <c r="AN3650" t="s">
        <v>192</v>
      </c>
      <c r="AO3650" t="s">
        <v>77</v>
      </c>
      <c r="AP3650" t="s">
        <v>115</v>
      </c>
      <c r="AQ3650" t="s">
        <v>2089</v>
      </c>
      <c r="AR3650" t="s">
        <v>80</v>
      </c>
      <c r="AS3650">
        <v>307</v>
      </c>
      <c r="AT3650" t="s">
        <v>81</v>
      </c>
      <c r="AU3650">
        <v>33.4</v>
      </c>
      <c r="AV3650">
        <v>18.11</v>
      </c>
      <c r="AW3650" t="s">
        <v>82</v>
      </c>
      <c r="AX3650">
        <v>307</v>
      </c>
      <c r="AY3650" t="s">
        <v>81</v>
      </c>
      <c r="AZ3650">
        <v>20.2</v>
      </c>
      <c r="BA3650">
        <v>8.8800000000000008</v>
      </c>
      <c r="BB3650" t="s">
        <v>83</v>
      </c>
    </row>
    <row r="3651" spans="1:54" x14ac:dyDescent="0.4">
      <c r="A3651">
        <v>797950</v>
      </c>
      <c r="D3651" t="s">
        <v>853</v>
      </c>
      <c r="E3651" t="s">
        <v>310</v>
      </c>
      <c r="G3651">
        <v>1</v>
      </c>
      <c r="H3651" t="s">
        <v>56</v>
      </c>
      <c r="I3651" t="s">
        <v>57</v>
      </c>
      <c r="K3651" t="s">
        <v>221</v>
      </c>
      <c r="L3651" t="s">
        <v>2086</v>
      </c>
      <c r="M3651" t="s">
        <v>223</v>
      </c>
      <c r="P3651" t="s">
        <v>182</v>
      </c>
      <c r="R3651" t="s">
        <v>183</v>
      </c>
      <c r="S3651" t="s">
        <v>64</v>
      </c>
      <c r="T3651">
        <v>242</v>
      </c>
      <c r="U3651">
        <v>239.7</v>
      </c>
      <c r="V3651">
        <f t="shared" ref="V3651:V3714" si="114">(T3651+U3651)/2</f>
        <v>240.85</v>
      </c>
      <c r="W3651">
        <f t="shared" ref="W3651:W3714" si="115">T3651-U3651</f>
        <v>2.3000000000000114</v>
      </c>
      <c r="X3651">
        <v>8.9391669999999994</v>
      </c>
      <c r="Y3651">
        <v>45.911945000000003</v>
      </c>
      <c r="Z3651" t="s">
        <v>1415</v>
      </c>
      <c r="AA3651" t="s">
        <v>226</v>
      </c>
      <c r="AB3651" t="s">
        <v>2079</v>
      </c>
      <c r="AC3651" t="s">
        <v>2080</v>
      </c>
      <c r="AD3651" t="s">
        <v>2075</v>
      </c>
      <c r="AG3651" t="s">
        <v>2093</v>
      </c>
      <c r="AH3651" t="s">
        <v>72</v>
      </c>
      <c r="AI3651" t="s">
        <v>2013</v>
      </c>
      <c r="AJ3651">
        <v>1989</v>
      </c>
      <c r="AK3651" t="s">
        <v>2096</v>
      </c>
      <c r="AN3651" t="s">
        <v>192</v>
      </c>
      <c r="AO3651" t="s">
        <v>77</v>
      </c>
      <c r="AP3651" t="s">
        <v>115</v>
      </c>
      <c r="AQ3651" t="s">
        <v>2089</v>
      </c>
      <c r="AR3651" t="s">
        <v>80</v>
      </c>
      <c r="AS3651">
        <v>307</v>
      </c>
      <c r="AT3651" t="s">
        <v>81</v>
      </c>
      <c r="AU3651">
        <v>33.4</v>
      </c>
      <c r="AV3651">
        <v>18.11</v>
      </c>
      <c r="AW3651" t="s">
        <v>82</v>
      </c>
      <c r="AX3651">
        <v>307</v>
      </c>
      <c r="AY3651" t="s">
        <v>81</v>
      </c>
      <c r="AZ3651">
        <v>20.2</v>
      </c>
      <c r="BA3651">
        <v>8.8800000000000008</v>
      </c>
      <c r="BB3651" t="s">
        <v>83</v>
      </c>
    </row>
    <row r="3652" spans="1:54" x14ac:dyDescent="0.4">
      <c r="A3652">
        <v>880949</v>
      </c>
      <c r="D3652" t="s">
        <v>54</v>
      </c>
      <c r="G3652">
        <v>1</v>
      </c>
      <c r="H3652" t="s">
        <v>56</v>
      </c>
      <c r="I3652" t="s">
        <v>57</v>
      </c>
      <c r="K3652" t="s">
        <v>85</v>
      </c>
      <c r="L3652" t="s">
        <v>753</v>
      </c>
      <c r="M3652" t="s">
        <v>60</v>
      </c>
      <c r="O3652" t="s">
        <v>87</v>
      </c>
      <c r="P3652" t="s">
        <v>103</v>
      </c>
      <c r="R3652" t="s">
        <v>104</v>
      </c>
      <c r="S3652" t="s">
        <v>64</v>
      </c>
      <c r="T3652">
        <v>251.2</v>
      </c>
      <c r="U3652">
        <v>246.7</v>
      </c>
      <c r="V3652">
        <f t="shared" si="114"/>
        <v>248.95</v>
      </c>
      <c r="W3652">
        <f t="shared" si="115"/>
        <v>4.5</v>
      </c>
      <c r="X3652">
        <v>11.706111</v>
      </c>
      <c r="Y3652">
        <v>51.788891</v>
      </c>
      <c r="Z3652" t="s">
        <v>124</v>
      </c>
      <c r="AA3652" t="s">
        <v>211</v>
      </c>
      <c r="AB3652" t="s">
        <v>266</v>
      </c>
      <c r="AC3652" t="s">
        <v>3264</v>
      </c>
      <c r="AE3652" t="s">
        <v>2043</v>
      </c>
      <c r="AH3652" t="s">
        <v>11</v>
      </c>
      <c r="AI3652" t="s">
        <v>779</v>
      </c>
      <c r="AJ3652">
        <v>1991</v>
      </c>
      <c r="AK3652" t="s">
        <v>3265</v>
      </c>
      <c r="AM3652" t="s">
        <v>3266</v>
      </c>
      <c r="AN3652" t="s">
        <v>114</v>
      </c>
      <c r="AO3652" t="s">
        <v>77</v>
      </c>
      <c r="AP3652" t="s">
        <v>115</v>
      </c>
      <c r="AQ3652" t="s">
        <v>3267</v>
      </c>
      <c r="AR3652" t="s">
        <v>80</v>
      </c>
      <c r="AS3652">
        <v>315</v>
      </c>
      <c r="AT3652" t="s">
        <v>81</v>
      </c>
      <c r="AU3652">
        <v>30.46</v>
      </c>
      <c r="AV3652">
        <v>29.89</v>
      </c>
      <c r="AW3652" t="s">
        <v>82</v>
      </c>
      <c r="AX3652">
        <v>315</v>
      </c>
      <c r="AY3652" t="s">
        <v>81</v>
      </c>
      <c r="AZ3652">
        <v>21.24</v>
      </c>
      <c r="BA3652">
        <v>17.579999999999998</v>
      </c>
      <c r="BB3652" t="s">
        <v>83</v>
      </c>
    </row>
    <row r="3653" spans="1:54" x14ac:dyDescent="0.4">
      <c r="A3653">
        <v>920238</v>
      </c>
      <c r="D3653" t="s">
        <v>2001</v>
      </c>
      <c r="E3653" t="s">
        <v>55</v>
      </c>
      <c r="F3653" t="s">
        <v>600</v>
      </c>
      <c r="G3653">
        <v>1</v>
      </c>
      <c r="H3653" t="s">
        <v>56</v>
      </c>
      <c r="I3653" t="s">
        <v>57</v>
      </c>
      <c r="K3653" t="s">
        <v>565</v>
      </c>
      <c r="L3653" t="s">
        <v>566</v>
      </c>
      <c r="M3653" t="s">
        <v>223</v>
      </c>
      <c r="N3653" t="s">
        <v>234</v>
      </c>
      <c r="O3653" t="s">
        <v>87</v>
      </c>
      <c r="P3653" t="s">
        <v>103</v>
      </c>
      <c r="R3653" t="s">
        <v>104</v>
      </c>
      <c r="S3653" t="s">
        <v>64</v>
      </c>
      <c r="T3653">
        <v>251.2</v>
      </c>
      <c r="U3653">
        <v>246.7</v>
      </c>
      <c r="V3653">
        <f t="shared" si="114"/>
        <v>248.95</v>
      </c>
      <c r="W3653">
        <f t="shared" si="115"/>
        <v>4.5</v>
      </c>
      <c r="X3653">
        <v>-120.736115</v>
      </c>
      <c r="Y3653">
        <v>54.526389999999999</v>
      </c>
      <c r="Z3653" t="s">
        <v>520</v>
      </c>
      <c r="AA3653" t="s">
        <v>1456</v>
      </c>
      <c r="AB3653" t="s">
        <v>1858</v>
      </c>
      <c r="AD3653" t="s">
        <v>1859</v>
      </c>
      <c r="AF3653" t="s">
        <v>3607</v>
      </c>
      <c r="AH3653" t="s">
        <v>72</v>
      </c>
      <c r="AI3653" t="s">
        <v>3608</v>
      </c>
      <c r="AJ3653">
        <v>1992</v>
      </c>
      <c r="AK3653" t="s">
        <v>3609</v>
      </c>
      <c r="AN3653" t="s">
        <v>76</v>
      </c>
      <c r="AO3653" t="s">
        <v>77</v>
      </c>
      <c r="AP3653" t="s">
        <v>78</v>
      </c>
      <c r="AQ3653" t="s">
        <v>3610</v>
      </c>
      <c r="AR3653" t="s">
        <v>80</v>
      </c>
      <c r="AS3653">
        <v>101</v>
      </c>
      <c r="AT3653" t="s">
        <v>81</v>
      </c>
      <c r="AU3653">
        <v>-32.1</v>
      </c>
      <c r="AV3653">
        <v>39.26</v>
      </c>
      <c r="AW3653" t="s">
        <v>82</v>
      </c>
      <c r="AX3653">
        <v>124</v>
      </c>
      <c r="AY3653" t="s">
        <v>81</v>
      </c>
      <c r="AZ3653">
        <v>-36.99</v>
      </c>
      <c r="BA3653">
        <v>27.33</v>
      </c>
      <c r="BB3653" t="s">
        <v>83</v>
      </c>
    </row>
    <row r="3654" spans="1:54" x14ac:dyDescent="0.4">
      <c r="A3654">
        <v>920238</v>
      </c>
      <c r="D3654" t="s">
        <v>2001</v>
      </c>
      <c r="E3654" t="s">
        <v>55</v>
      </c>
      <c r="F3654" t="s">
        <v>600</v>
      </c>
      <c r="G3654">
        <v>1</v>
      </c>
      <c r="H3654" t="s">
        <v>56</v>
      </c>
      <c r="I3654" t="s">
        <v>57</v>
      </c>
      <c r="K3654" t="s">
        <v>565</v>
      </c>
      <c r="L3654" t="s">
        <v>566</v>
      </c>
      <c r="M3654" t="s">
        <v>223</v>
      </c>
      <c r="N3654" t="s">
        <v>234</v>
      </c>
      <c r="O3654" t="s">
        <v>87</v>
      </c>
      <c r="P3654" t="s">
        <v>103</v>
      </c>
      <c r="R3654" t="s">
        <v>104</v>
      </c>
      <c r="S3654" t="s">
        <v>64</v>
      </c>
      <c r="T3654">
        <v>251.2</v>
      </c>
      <c r="U3654">
        <v>246.7</v>
      </c>
      <c r="V3654">
        <f t="shared" si="114"/>
        <v>248.95</v>
      </c>
      <c r="W3654">
        <f t="shared" si="115"/>
        <v>4.5</v>
      </c>
      <c r="X3654">
        <v>-120.736115</v>
      </c>
      <c r="Y3654">
        <v>54.526389999999999</v>
      </c>
      <c r="Z3654" t="s">
        <v>520</v>
      </c>
      <c r="AA3654" t="s">
        <v>1456</v>
      </c>
      <c r="AB3654" t="s">
        <v>1858</v>
      </c>
      <c r="AD3654" t="s">
        <v>1859</v>
      </c>
      <c r="AF3654" t="s">
        <v>3607</v>
      </c>
      <c r="AH3654" t="s">
        <v>72</v>
      </c>
      <c r="AI3654" t="s">
        <v>3608</v>
      </c>
      <c r="AJ3654">
        <v>1992</v>
      </c>
      <c r="AK3654" t="s">
        <v>3609</v>
      </c>
      <c r="AN3654" t="s">
        <v>76</v>
      </c>
      <c r="AO3654" t="s">
        <v>77</v>
      </c>
      <c r="AP3654" t="s">
        <v>78</v>
      </c>
      <c r="AQ3654" t="s">
        <v>3610</v>
      </c>
      <c r="AR3654" t="s">
        <v>80</v>
      </c>
      <c r="AS3654">
        <v>101</v>
      </c>
      <c r="AT3654" t="s">
        <v>81</v>
      </c>
      <c r="AU3654">
        <v>-32.1</v>
      </c>
      <c r="AV3654">
        <v>39.26</v>
      </c>
      <c r="AW3654" t="s">
        <v>82</v>
      </c>
      <c r="AX3654">
        <v>124</v>
      </c>
      <c r="AY3654" t="s">
        <v>81</v>
      </c>
      <c r="AZ3654">
        <v>-36.99</v>
      </c>
      <c r="BA3654">
        <v>27.33</v>
      </c>
      <c r="BB3654" t="s">
        <v>83</v>
      </c>
    </row>
    <row r="3655" spans="1:54" x14ac:dyDescent="0.4">
      <c r="A3655">
        <v>920239</v>
      </c>
      <c r="D3655" t="s">
        <v>2001</v>
      </c>
      <c r="E3655" t="s">
        <v>55</v>
      </c>
      <c r="F3655" t="s">
        <v>600</v>
      </c>
      <c r="G3655">
        <v>1</v>
      </c>
      <c r="H3655" t="s">
        <v>56</v>
      </c>
      <c r="I3655" t="s">
        <v>57</v>
      </c>
      <c r="K3655" t="s">
        <v>141</v>
      </c>
      <c r="L3655" t="s">
        <v>3611</v>
      </c>
      <c r="M3655" t="s">
        <v>223</v>
      </c>
      <c r="N3655" t="s">
        <v>234</v>
      </c>
      <c r="O3655" t="s">
        <v>87</v>
      </c>
      <c r="P3655" t="s">
        <v>103</v>
      </c>
      <c r="R3655" t="s">
        <v>104</v>
      </c>
      <c r="S3655" t="s">
        <v>64</v>
      </c>
      <c r="T3655">
        <v>251.2</v>
      </c>
      <c r="U3655">
        <v>246.7</v>
      </c>
      <c r="V3655">
        <f t="shared" si="114"/>
        <v>248.95</v>
      </c>
      <c r="W3655">
        <f t="shared" si="115"/>
        <v>4.5</v>
      </c>
      <c r="X3655">
        <v>-120.721947</v>
      </c>
      <c r="Y3655">
        <v>54.519444</v>
      </c>
      <c r="Z3655" t="s">
        <v>520</v>
      </c>
      <c r="AA3655" t="s">
        <v>1456</v>
      </c>
      <c r="AB3655" t="s">
        <v>1858</v>
      </c>
      <c r="AD3655" t="s">
        <v>1859</v>
      </c>
      <c r="AF3655" t="s">
        <v>3607</v>
      </c>
      <c r="AH3655" t="s">
        <v>72</v>
      </c>
      <c r="AI3655" t="s">
        <v>3612</v>
      </c>
      <c r="AJ3655">
        <v>2013</v>
      </c>
      <c r="AK3655" t="s">
        <v>3613</v>
      </c>
      <c r="AM3655" t="s">
        <v>3614</v>
      </c>
      <c r="AN3655" t="s">
        <v>76</v>
      </c>
      <c r="AO3655" t="s">
        <v>77</v>
      </c>
      <c r="AP3655" t="s">
        <v>78</v>
      </c>
      <c r="AQ3655" t="s">
        <v>3615</v>
      </c>
      <c r="AR3655" t="s">
        <v>80</v>
      </c>
      <c r="AS3655">
        <v>101</v>
      </c>
      <c r="AT3655" t="s">
        <v>81</v>
      </c>
      <c r="AU3655">
        <v>-32.1</v>
      </c>
      <c r="AV3655">
        <v>39.25</v>
      </c>
      <c r="AW3655" t="s">
        <v>82</v>
      </c>
      <c r="AX3655">
        <v>124</v>
      </c>
      <c r="AY3655" t="s">
        <v>81</v>
      </c>
      <c r="AZ3655">
        <v>-36.979999999999997</v>
      </c>
      <c r="BA3655">
        <v>27.32</v>
      </c>
      <c r="BB3655" t="s">
        <v>83</v>
      </c>
    </row>
    <row r="3656" spans="1:54" x14ac:dyDescent="0.4">
      <c r="A3656">
        <v>920239</v>
      </c>
      <c r="D3656" t="s">
        <v>2001</v>
      </c>
      <c r="E3656" t="s">
        <v>55</v>
      </c>
      <c r="F3656" t="s">
        <v>600</v>
      </c>
      <c r="G3656">
        <v>1</v>
      </c>
      <c r="H3656" t="s">
        <v>56</v>
      </c>
      <c r="I3656" t="s">
        <v>57</v>
      </c>
      <c r="K3656" t="s">
        <v>141</v>
      </c>
      <c r="L3656" t="s">
        <v>3611</v>
      </c>
      <c r="M3656" t="s">
        <v>223</v>
      </c>
      <c r="N3656" t="s">
        <v>234</v>
      </c>
      <c r="O3656" t="s">
        <v>87</v>
      </c>
      <c r="P3656" t="s">
        <v>103</v>
      </c>
      <c r="R3656" t="s">
        <v>104</v>
      </c>
      <c r="S3656" t="s">
        <v>64</v>
      </c>
      <c r="T3656">
        <v>251.2</v>
      </c>
      <c r="U3656">
        <v>246.7</v>
      </c>
      <c r="V3656">
        <f t="shared" si="114"/>
        <v>248.95</v>
      </c>
      <c r="W3656">
        <f t="shared" si="115"/>
        <v>4.5</v>
      </c>
      <c r="X3656">
        <v>-120.721947</v>
      </c>
      <c r="Y3656">
        <v>54.519444</v>
      </c>
      <c r="Z3656" t="s">
        <v>520</v>
      </c>
      <c r="AA3656" t="s">
        <v>1456</v>
      </c>
      <c r="AB3656" t="s">
        <v>1858</v>
      </c>
      <c r="AD3656" t="s">
        <v>1859</v>
      </c>
      <c r="AF3656" t="s">
        <v>3607</v>
      </c>
      <c r="AH3656" t="s">
        <v>72</v>
      </c>
      <c r="AI3656" t="s">
        <v>3612</v>
      </c>
      <c r="AJ3656">
        <v>2013</v>
      </c>
      <c r="AK3656" t="s">
        <v>3613</v>
      </c>
      <c r="AM3656" t="s">
        <v>3614</v>
      </c>
      <c r="AN3656" t="s">
        <v>76</v>
      </c>
      <c r="AO3656" t="s">
        <v>77</v>
      </c>
      <c r="AP3656" t="s">
        <v>78</v>
      </c>
      <c r="AQ3656" t="s">
        <v>3615</v>
      </c>
      <c r="AR3656" t="s">
        <v>80</v>
      </c>
      <c r="AS3656">
        <v>101</v>
      </c>
      <c r="AT3656" t="s">
        <v>81</v>
      </c>
      <c r="AU3656">
        <v>-32.1</v>
      </c>
      <c r="AV3656">
        <v>39.25</v>
      </c>
      <c r="AW3656" t="s">
        <v>82</v>
      </c>
      <c r="AX3656">
        <v>124</v>
      </c>
      <c r="AY3656" t="s">
        <v>81</v>
      </c>
      <c r="AZ3656">
        <v>-36.979999999999997</v>
      </c>
      <c r="BA3656">
        <v>27.32</v>
      </c>
      <c r="BB3656" t="s">
        <v>83</v>
      </c>
    </row>
    <row r="3657" spans="1:54" x14ac:dyDescent="0.4">
      <c r="A3657">
        <v>1181752</v>
      </c>
      <c r="D3657" t="s">
        <v>2001</v>
      </c>
      <c r="E3657" t="s">
        <v>55</v>
      </c>
      <c r="F3657" t="s">
        <v>600</v>
      </c>
      <c r="G3657">
        <v>2</v>
      </c>
      <c r="H3657" t="s">
        <v>84</v>
      </c>
      <c r="I3657" t="s">
        <v>57</v>
      </c>
      <c r="K3657" t="s">
        <v>141</v>
      </c>
      <c r="L3657" t="s">
        <v>4476</v>
      </c>
      <c r="M3657" t="s">
        <v>223</v>
      </c>
      <c r="P3657" t="s">
        <v>103</v>
      </c>
      <c r="R3657" t="s">
        <v>104</v>
      </c>
      <c r="S3657" t="s">
        <v>64</v>
      </c>
      <c r="T3657">
        <v>251.2</v>
      </c>
      <c r="U3657">
        <v>246.7</v>
      </c>
      <c r="V3657">
        <f t="shared" si="114"/>
        <v>248.95</v>
      </c>
      <c r="W3657">
        <f t="shared" si="115"/>
        <v>4.5</v>
      </c>
      <c r="X3657">
        <v>-120.721947</v>
      </c>
      <c r="Y3657">
        <v>54.519444</v>
      </c>
      <c r="Z3657" t="s">
        <v>520</v>
      </c>
      <c r="AA3657" t="s">
        <v>1456</v>
      </c>
      <c r="AB3657" t="s">
        <v>1858</v>
      </c>
      <c r="AD3657" t="s">
        <v>1859</v>
      </c>
      <c r="AF3657" t="s">
        <v>3607</v>
      </c>
      <c r="AH3657" t="s">
        <v>72</v>
      </c>
      <c r="AI3657" t="s">
        <v>4477</v>
      </c>
      <c r="AJ3657">
        <v>1993</v>
      </c>
      <c r="AK3657" t="s">
        <v>3613</v>
      </c>
      <c r="AM3657" t="s">
        <v>3614</v>
      </c>
      <c r="AN3657" t="s">
        <v>76</v>
      </c>
      <c r="AO3657" t="s">
        <v>77</v>
      </c>
      <c r="AP3657" t="s">
        <v>78</v>
      </c>
      <c r="AQ3657" t="s">
        <v>3615</v>
      </c>
      <c r="AR3657" t="s">
        <v>80</v>
      </c>
      <c r="AS3657">
        <v>101</v>
      </c>
      <c r="AT3657" t="s">
        <v>81</v>
      </c>
      <c r="AU3657">
        <v>-32.1</v>
      </c>
      <c r="AV3657">
        <v>39.25</v>
      </c>
      <c r="AW3657" t="s">
        <v>82</v>
      </c>
      <c r="AX3657">
        <v>124</v>
      </c>
      <c r="AY3657" t="s">
        <v>81</v>
      </c>
      <c r="AZ3657">
        <v>-36.979999999999997</v>
      </c>
      <c r="BA3657">
        <v>27.32</v>
      </c>
      <c r="BB3657" t="s">
        <v>83</v>
      </c>
    </row>
    <row r="3658" spans="1:54" x14ac:dyDescent="0.4">
      <c r="A3658">
        <v>1181753</v>
      </c>
      <c r="D3658" t="s">
        <v>54</v>
      </c>
      <c r="G3658">
        <v>1</v>
      </c>
      <c r="H3658" t="s">
        <v>84</v>
      </c>
      <c r="I3658" t="s">
        <v>57</v>
      </c>
      <c r="K3658" t="s">
        <v>141</v>
      </c>
      <c r="L3658" t="s">
        <v>4476</v>
      </c>
      <c r="M3658" t="s">
        <v>223</v>
      </c>
      <c r="P3658" t="s">
        <v>103</v>
      </c>
      <c r="R3658" t="s">
        <v>104</v>
      </c>
      <c r="S3658" t="s">
        <v>64</v>
      </c>
      <c r="T3658">
        <v>251.2</v>
      </c>
      <c r="U3658">
        <v>246.7</v>
      </c>
      <c r="V3658">
        <f t="shared" si="114"/>
        <v>248.95</v>
      </c>
      <c r="W3658">
        <f t="shared" si="115"/>
        <v>4.5</v>
      </c>
      <c r="X3658">
        <v>-120.721947</v>
      </c>
      <c r="Y3658">
        <v>54.519444</v>
      </c>
      <c r="Z3658" t="s">
        <v>520</v>
      </c>
      <c r="AA3658" t="s">
        <v>1456</v>
      </c>
      <c r="AB3658" t="s">
        <v>1858</v>
      </c>
      <c r="AD3658" t="s">
        <v>1859</v>
      </c>
      <c r="AF3658" t="s">
        <v>1860</v>
      </c>
      <c r="AH3658" t="s">
        <v>72</v>
      </c>
      <c r="AI3658" t="s">
        <v>4477</v>
      </c>
      <c r="AJ3658">
        <v>1993</v>
      </c>
      <c r="AK3658" t="s">
        <v>4478</v>
      </c>
      <c r="AM3658" t="s">
        <v>4479</v>
      </c>
      <c r="AN3658" t="s">
        <v>76</v>
      </c>
      <c r="AO3658" t="s">
        <v>77</v>
      </c>
      <c r="AP3658" t="s">
        <v>115</v>
      </c>
      <c r="AQ3658" t="s">
        <v>4480</v>
      </c>
      <c r="AR3658" t="s">
        <v>80</v>
      </c>
      <c r="AS3658">
        <v>101</v>
      </c>
      <c r="AT3658" t="s">
        <v>81</v>
      </c>
      <c r="AU3658">
        <v>-32.1</v>
      </c>
      <c r="AV3658">
        <v>39.25</v>
      </c>
      <c r="AW3658" t="s">
        <v>82</v>
      </c>
      <c r="AX3658">
        <v>124</v>
      </c>
      <c r="AY3658" t="s">
        <v>81</v>
      </c>
      <c r="AZ3658">
        <v>-36.979999999999997</v>
      </c>
      <c r="BA3658">
        <v>27.32</v>
      </c>
      <c r="BB3658" t="s">
        <v>83</v>
      </c>
    </row>
    <row r="3659" spans="1:54" x14ac:dyDescent="0.4">
      <c r="A3659">
        <v>1181756</v>
      </c>
      <c r="D3659" t="s">
        <v>2001</v>
      </c>
      <c r="E3659" t="s">
        <v>55</v>
      </c>
      <c r="F3659" t="s">
        <v>600</v>
      </c>
      <c r="G3659">
        <v>2</v>
      </c>
      <c r="H3659" t="s">
        <v>84</v>
      </c>
      <c r="I3659" t="s">
        <v>57</v>
      </c>
      <c r="K3659" t="s">
        <v>141</v>
      </c>
      <c r="L3659" t="s">
        <v>4484</v>
      </c>
      <c r="M3659" t="s">
        <v>223</v>
      </c>
      <c r="P3659" t="s">
        <v>103</v>
      </c>
      <c r="R3659" t="s">
        <v>104</v>
      </c>
      <c r="S3659" t="s">
        <v>64</v>
      </c>
      <c r="T3659">
        <v>251.2</v>
      </c>
      <c r="U3659">
        <v>246.7</v>
      </c>
      <c r="V3659">
        <f t="shared" si="114"/>
        <v>248.95</v>
      </c>
      <c r="W3659">
        <f t="shared" si="115"/>
        <v>4.5</v>
      </c>
      <c r="X3659">
        <v>-120.721947</v>
      </c>
      <c r="Y3659">
        <v>54.519444</v>
      </c>
      <c r="Z3659" t="s">
        <v>520</v>
      </c>
      <c r="AA3659" t="s">
        <v>1456</v>
      </c>
      <c r="AB3659" t="s">
        <v>1858</v>
      </c>
      <c r="AD3659" t="s">
        <v>1859</v>
      </c>
      <c r="AF3659" t="s">
        <v>3607</v>
      </c>
      <c r="AH3659" t="s">
        <v>72</v>
      </c>
      <c r="AI3659" t="s">
        <v>4477</v>
      </c>
      <c r="AJ3659">
        <v>1993</v>
      </c>
      <c r="AK3659" t="s">
        <v>3613</v>
      </c>
      <c r="AM3659" t="s">
        <v>3614</v>
      </c>
      <c r="AN3659" t="s">
        <v>76</v>
      </c>
      <c r="AO3659" t="s">
        <v>77</v>
      </c>
      <c r="AP3659" t="s">
        <v>78</v>
      </c>
      <c r="AQ3659" t="s">
        <v>3615</v>
      </c>
      <c r="AR3659" t="s">
        <v>80</v>
      </c>
      <c r="AS3659">
        <v>101</v>
      </c>
      <c r="AT3659" t="s">
        <v>81</v>
      </c>
      <c r="AU3659">
        <v>-32.1</v>
      </c>
      <c r="AV3659">
        <v>39.25</v>
      </c>
      <c r="AW3659" t="s">
        <v>82</v>
      </c>
      <c r="AX3659">
        <v>124</v>
      </c>
      <c r="AY3659" t="s">
        <v>81</v>
      </c>
      <c r="AZ3659">
        <v>-36.979999999999997</v>
      </c>
      <c r="BA3659">
        <v>27.32</v>
      </c>
      <c r="BB3659" t="s">
        <v>83</v>
      </c>
    </row>
    <row r="3660" spans="1:54" x14ac:dyDescent="0.4">
      <c r="A3660">
        <v>1289434</v>
      </c>
      <c r="D3660" t="s">
        <v>54</v>
      </c>
      <c r="E3660" t="s">
        <v>55</v>
      </c>
      <c r="G3660">
        <v>1</v>
      </c>
      <c r="H3660" t="s">
        <v>56</v>
      </c>
      <c r="I3660" t="s">
        <v>57</v>
      </c>
      <c r="K3660" t="s">
        <v>746</v>
      </c>
      <c r="L3660" t="s">
        <v>2072</v>
      </c>
      <c r="M3660" t="s">
        <v>60</v>
      </c>
      <c r="P3660" t="s">
        <v>182</v>
      </c>
      <c r="R3660" t="s">
        <v>183</v>
      </c>
      <c r="S3660" t="s">
        <v>64</v>
      </c>
      <c r="T3660">
        <v>242</v>
      </c>
      <c r="U3660">
        <v>239.7</v>
      </c>
      <c r="V3660">
        <f t="shared" si="114"/>
        <v>240.85</v>
      </c>
      <c r="W3660">
        <f t="shared" si="115"/>
        <v>2.3000000000000114</v>
      </c>
      <c r="X3660">
        <v>9.82</v>
      </c>
      <c r="Y3660">
        <v>46.68</v>
      </c>
      <c r="Z3660" t="s">
        <v>520</v>
      </c>
      <c r="AA3660" t="s">
        <v>226</v>
      </c>
      <c r="AB3660" t="s">
        <v>4584</v>
      </c>
      <c r="AD3660" t="s">
        <v>4585</v>
      </c>
      <c r="AH3660" t="s">
        <v>72</v>
      </c>
      <c r="AI3660" t="s">
        <v>4586</v>
      </c>
      <c r="AJ3660">
        <v>2013</v>
      </c>
      <c r="AK3660" t="s">
        <v>4587</v>
      </c>
      <c r="AN3660" t="s">
        <v>114</v>
      </c>
      <c r="AO3660">
        <v>2</v>
      </c>
      <c r="AP3660" t="s">
        <v>115</v>
      </c>
      <c r="AR3660" t="s">
        <v>80</v>
      </c>
      <c r="AS3660">
        <v>307</v>
      </c>
      <c r="AT3660" t="s">
        <v>81</v>
      </c>
      <c r="AU3660">
        <v>34.409999999999997</v>
      </c>
      <c r="AV3660">
        <v>17.920000000000002</v>
      </c>
      <c r="AW3660" t="s">
        <v>82</v>
      </c>
      <c r="AX3660">
        <v>307</v>
      </c>
      <c r="AY3660" t="s">
        <v>81</v>
      </c>
      <c r="AZ3660">
        <v>21.16</v>
      </c>
      <c r="BA3660">
        <v>9.14</v>
      </c>
      <c r="BB3660" t="s">
        <v>83</v>
      </c>
    </row>
    <row r="3661" spans="1:54" x14ac:dyDescent="0.4">
      <c r="A3661">
        <v>1289435</v>
      </c>
      <c r="D3661" t="s">
        <v>54</v>
      </c>
      <c r="E3661" t="s">
        <v>55</v>
      </c>
      <c r="G3661">
        <v>1</v>
      </c>
      <c r="H3661" t="s">
        <v>56</v>
      </c>
      <c r="I3661" t="s">
        <v>57</v>
      </c>
      <c r="K3661" t="s">
        <v>746</v>
      </c>
      <c r="L3661" t="s">
        <v>2072</v>
      </c>
      <c r="M3661" t="s">
        <v>60</v>
      </c>
      <c r="P3661" t="s">
        <v>182</v>
      </c>
      <c r="R3661" t="s">
        <v>183</v>
      </c>
      <c r="S3661" t="s">
        <v>64</v>
      </c>
      <c r="T3661">
        <v>242</v>
      </c>
      <c r="U3661">
        <v>239.7</v>
      </c>
      <c r="V3661">
        <f t="shared" si="114"/>
        <v>240.85</v>
      </c>
      <c r="W3661">
        <f t="shared" si="115"/>
        <v>2.3000000000000114</v>
      </c>
      <c r="X3661">
        <v>9.8301689999999997</v>
      </c>
      <c r="Y3661">
        <v>46.674847</v>
      </c>
      <c r="Z3661" t="s">
        <v>520</v>
      </c>
      <c r="AA3661" t="s">
        <v>226</v>
      </c>
      <c r="AB3661" t="s">
        <v>4588</v>
      </c>
      <c r="AD3661" t="s">
        <v>4585</v>
      </c>
      <c r="AH3661" t="s">
        <v>72</v>
      </c>
      <c r="AI3661" t="s">
        <v>4586</v>
      </c>
      <c r="AJ3661">
        <v>2013</v>
      </c>
      <c r="AK3661" t="s">
        <v>4589</v>
      </c>
      <c r="AN3661" t="s">
        <v>114</v>
      </c>
      <c r="AO3661">
        <v>6</v>
      </c>
      <c r="AP3661" t="s">
        <v>115</v>
      </c>
      <c r="AR3661" t="s">
        <v>80</v>
      </c>
      <c r="AS3661">
        <v>307</v>
      </c>
      <c r="AT3661" t="s">
        <v>81</v>
      </c>
      <c r="AU3661">
        <v>34.409999999999997</v>
      </c>
      <c r="AV3661">
        <v>17.91</v>
      </c>
      <c r="AW3661" t="s">
        <v>82</v>
      </c>
      <c r="AX3661">
        <v>307</v>
      </c>
      <c r="AY3661" t="s">
        <v>81</v>
      </c>
      <c r="AZ3661">
        <v>21.16</v>
      </c>
      <c r="BA3661">
        <v>9.1300000000000008</v>
      </c>
      <c r="BB3661" t="s">
        <v>83</v>
      </c>
    </row>
    <row r="3662" spans="1:54" x14ac:dyDescent="0.4">
      <c r="A3662">
        <v>1337530</v>
      </c>
      <c r="D3662" t="s">
        <v>853</v>
      </c>
      <c r="I3662" t="s">
        <v>57</v>
      </c>
      <c r="K3662" t="s">
        <v>771</v>
      </c>
      <c r="L3662" t="s">
        <v>3899</v>
      </c>
      <c r="M3662" t="s">
        <v>223</v>
      </c>
      <c r="P3662" t="s">
        <v>182</v>
      </c>
      <c r="R3662" t="s">
        <v>183</v>
      </c>
      <c r="S3662" t="s">
        <v>64</v>
      </c>
      <c r="T3662">
        <v>242</v>
      </c>
      <c r="U3662">
        <v>239.7</v>
      </c>
      <c r="V3662">
        <f t="shared" si="114"/>
        <v>240.85</v>
      </c>
      <c r="W3662">
        <f t="shared" si="115"/>
        <v>2.3000000000000114</v>
      </c>
      <c r="X3662">
        <v>8.9459999999999997</v>
      </c>
      <c r="Y3662">
        <v>45.905997999999997</v>
      </c>
      <c r="Z3662" t="s">
        <v>1415</v>
      </c>
      <c r="AA3662" t="s">
        <v>226</v>
      </c>
      <c r="AD3662" t="s">
        <v>4724</v>
      </c>
      <c r="AH3662" t="s">
        <v>11</v>
      </c>
      <c r="AI3662" t="s">
        <v>4725</v>
      </c>
      <c r="AJ3662">
        <v>2016</v>
      </c>
      <c r="AK3662" t="s">
        <v>4726</v>
      </c>
      <c r="AN3662" t="s">
        <v>192</v>
      </c>
      <c r="AO3662">
        <v>3</v>
      </c>
      <c r="AP3662" t="s">
        <v>78</v>
      </c>
      <c r="AQ3662" t="s">
        <v>4727</v>
      </c>
      <c r="AR3662" t="s">
        <v>80</v>
      </c>
      <c r="AS3662">
        <v>307</v>
      </c>
      <c r="AT3662" t="s">
        <v>81</v>
      </c>
      <c r="AU3662">
        <v>33.4</v>
      </c>
      <c r="AV3662">
        <v>18.11</v>
      </c>
      <c r="AW3662" t="s">
        <v>82</v>
      </c>
      <c r="AX3662">
        <v>307</v>
      </c>
      <c r="AY3662" t="s">
        <v>81</v>
      </c>
      <c r="AZ3662">
        <v>20.2</v>
      </c>
      <c r="BA3662">
        <v>8.8800000000000008</v>
      </c>
      <c r="BB3662" t="s">
        <v>83</v>
      </c>
    </row>
    <row r="3663" spans="1:54" x14ac:dyDescent="0.4">
      <c r="A3663">
        <v>1337532</v>
      </c>
      <c r="D3663" t="s">
        <v>853</v>
      </c>
      <c r="I3663" t="s">
        <v>57</v>
      </c>
      <c r="K3663" t="s">
        <v>771</v>
      </c>
      <c r="L3663" t="s">
        <v>3899</v>
      </c>
      <c r="M3663" t="s">
        <v>223</v>
      </c>
      <c r="P3663" t="s">
        <v>182</v>
      </c>
      <c r="R3663" t="s">
        <v>183</v>
      </c>
      <c r="S3663" t="s">
        <v>64</v>
      </c>
      <c r="T3663">
        <v>242</v>
      </c>
      <c r="U3663">
        <v>239.7</v>
      </c>
      <c r="V3663">
        <f t="shared" si="114"/>
        <v>240.85</v>
      </c>
      <c r="W3663">
        <f t="shared" si="115"/>
        <v>2.3000000000000114</v>
      </c>
      <c r="X3663">
        <v>8.9459999999999997</v>
      </c>
      <c r="Y3663">
        <v>45.905997999999997</v>
      </c>
      <c r="Z3663" t="s">
        <v>1681</v>
      </c>
      <c r="AA3663" t="s">
        <v>226</v>
      </c>
      <c r="AD3663" t="s">
        <v>4724</v>
      </c>
      <c r="AH3663" t="s">
        <v>11</v>
      </c>
      <c r="AI3663" t="s">
        <v>4725</v>
      </c>
      <c r="AJ3663">
        <v>2016</v>
      </c>
      <c r="AK3663" t="s">
        <v>4728</v>
      </c>
      <c r="AN3663" t="s">
        <v>192</v>
      </c>
      <c r="AO3663">
        <v>3</v>
      </c>
      <c r="AP3663" t="s">
        <v>78</v>
      </c>
      <c r="AQ3663" t="s">
        <v>4727</v>
      </c>
      <c r="AR3663" t="s">
        <v>80</v>
      </c>
      <c r="AS3663">
        <v>307</v>
      </c>
      <c r="AT3663" t="s">
        <v>81</v>
      </c>
      <c r="AU3663">
        <v>33.4</v>
      </c>
      <c r="AV3663">
        <v>18.11</v>
      </c>
      <c r="AW3663" t="s">
        <v>82</v>
      </c>
      <c r="AX3663">
        <v>307</v>
      </c>
      <c r="AY3663" t="s">
        <v>81</v>
      </c>
      <c r="AZ3663">
        <v>20.2</v>
      </c>
      <c r="BA3663">
        <v>8.8800000000000008</v>
      </c>
      <c r="BB3663" t="s">
        <v>83</v>
      </c>
    </row>
    <row r="3664" spans="1:54" x14ac:dyDescent="0.4">
      <c r="A3664">
        <v>1337536</v>
      </c>
      <c r="D3664" t="s">
        <v>853</v>
      </c>
      <c r="I3664" t="s">
        <v>57</v>
      </c>
      <c r="K3664" t="s">
        <v>771</v>
      </c>
      <c r="L3664" t="s">
        <v>3899</v>
      </c>
      <c r="M3664" t="s">
        <v>223</v>
      </c>
      <c r="P3664" t="s">
        <v>182</v>
      </c>
      <c r="R3664" t="s">
        <v>183</v>
      </c>
      <c r="S3664" t="s">
        <v>64</v>
      </c>
      <c r="T3664">
        <v>242</v>
      </c>
      <c r="U3664">
        <v>239.7</v>
      </c>
      <c r="V3664">
        <f t="shared" si="114"/>
        <v>240.85</v>
      </c>
      <c r="W3664">
        <f t="shared" si="115"/>
        <v>2.3000000000000114</v>
      </c>
      <c r="X3664">
        <v>8.9459999999999997</v>
      </c>
      <c r="Y3664">
        <v>45.905997999999997</v>
      </c>
      <c r="Z3664" t="s">
        <v>1681</v>
      </c>
      <c r="AA3664" t="s">
        <v>226</v>
      </c>
      <c r="AD3664" t="s">
        <v>4724</v>
      </c>
      <c r="AH3664" t="s">
        <v>11</v>
      </c>
      <c r="AI3664" t="s">
        <v>4725</v>
      </c>
      <c r="AJ3664">
        <v>2016</v>
      </c>
      <c r="AK3664" t="s">
        <v>4729</v>
      </c>
      <c r="AN3664" t="s">
        <v>192</v>
      </c>
      <c r="AO3664">
        <v>3</v>
      </c>
      <c r="AP3664" t="s">
        <v>78</v>
      </c>
      <c r="AQ3664" t="s">
        <v>4727</v>
      </c>
      <c r="AR3664" t="s">
        <v>80</v>
      </c>
      <c r="AS3664">
        <v>307</v>
      </c>
      <c r="AT3664" t="s">
        <v>81</v>
      </c>
      <c r="AU3664">
        <v>33.4</v>
      </c>
      <c r="AV3664">
        <v>18.11</v>
      </c>
      <c r="AW3664" t="s">
        <v>82</v>
      </c>
      <c r="AX3664">
        <v>307</v>
      </c>
      <c r="AY3664" t="s">
        <v>81</v>
      </c>
      <c r="AZ3664">
        <v>20.2</v>
      </c>
      <c r="BA3664">
        <v>8.8800000000000008</v>
      </c>
      <c r="BB3664" t="s">
        <v>83</v>
      </c>
    </row>
    <row r="3665" spans="1:54" x14ac:dyDescent="0.4">
      <c r="A3665">
        <v>1337540</v>
      </c>
      <c r="D3665" t="s">
        <v>853</v>
      </c>
      <c r="I3665" t="s">
        <v>57</v>
      </c>
      <c r="K3665" t="s">
        <v>221</v>
      </c>
      <c r="L3665" t="s">
        <v>222</v>
      </c>
      <c r="M3665" t="s">
        <v>223</v>
      </c>
      <c r="P3665" t="s">
        <v>182</v>
      </c>
      <c r="R3665" t="s">
        <v>183</v>
      </c>
      <c r="S3665" t="s">
        <v>64</v>
      </c>
      <c r="T3665">
        <v>242</v>
      </c>
      <c r="U3665">
        <v>239.7</v>
      </c>
      <c r="V3665">
        <f t="shared" si="114"/>
        <v>240.85</v>
      </c>
      <c r="W3665">
        <f t="shared" si="115"/>
        <v>2.3000000000000114</v>
      </c>
      <c r="X3665">
        <v>8.9459999999999997</v>
      </c>
      <c r="Y3665">
        <v>45.905997999999997</v>
      </c>
      <c r="Z3665" t="s">
        <v>1681</v>
      </c>
      <c r="AA3665" t="s">
        <v>226</v>
      </c>
      <c r="AD3665" t="s">
        <v>4724</v>
      </c>
      <c r="AH3665" t="s">
        <v>11</v>
      </c>
      <c r="AI3665" t="s">
        <v>4725</v>
      </c>
      <c r="AJ3665">
        <v>2016</v>
      </c>
      <c r="AK3665" t="s">
        <v>4730</v>
      </c>
      <c r="AN3665" t="s">
        <v>192</v>
      </c>
      <c r="AO3665">
        <v>3</v>
      </c>
      <c r="AP3665" t="s">
        <v>78</v>
      </c>
      <c r="AQ3665" t="s">
        <v>4727</v>
      </c>
      <c r="AR3665" t="s">
        <v>80</v>
      </c>
      <c r="AS3665">
        <v>307</v>
      </c>
      <c r="AT3665" t="s">
        <v>81</v>
      </c>
      <c r="AU3665">
        <v>33.4</v>
      </c>
      <c r="AV3665">
        <v>18.11</v>
      </c>
      <c r="AW3665" t="s">
        <v>82</v>
      </c>
      <c r="AX3665">
        <v>307</v>
      </c>
      <c r="AY3665" t="s">
        <v>81</v>
      </c>
      <c r="AZ3665">
        <v>20.2</v>
      </c>
      <c r="BA3665">
        <v>8.8800000000000008</v>
      </c>
      <c r="BB3665" t="s">
        <v>83</v>
      </c>
    </row>
    <row r="3666" spans="1:54" x14ac:dyDescent="0.4">
      <c r="A3666">
        <v>1337541</v>
      </c>
      <c r="D3666" t="s">
        <v>853</v>
      </c>
      <c r="I3666" t="s">
        <v>57</v>
      </c>
      <c r="K3666" t="s">
        <v>771</v>
      </c>
      <c r="L3666" t="s">
        <v>3899</v>
      </c>
      <c r="M3666" t="s">
        <v>223</v>
      </c>
      <c r="P3666" t="s">
        <v>182</v>
      </c>
      <c r="R3666" t="s">
        <v>183</v>
      </c>
      <c r="S3666" t="s">
        <v>64</v>
      </c>
      <c r="T3666">
        <v>242</v>
      </c>
      <c r="U3666">
        <v>239.7</v>
      </c>
      <c r="V3666">
        <f t="shared" si="114"/>
        <v>240.85</v>
      </c>
      <c r="W3666">
        <f t="shared" si="115"/>
        <v>2.3000000000000114</v>
      </c>
      <c r="X3666">
        <v>8.9459999999999997</v>
      </c>
      <c r="Y3666">
        <v>45.905997999999997</v>
      </c>
      <c r="Z3666" t="s">
        <v>1681</v>
      </c>
      <c r="AA3666" t="s">
        <v>226</v>
      </c>
      <c r="AD3666" t="s">
        <v>4724</v>
      </c>
      <c r="AH3666" t="s">
        <v>11</v>
      </c>
      <c r="AI3666" t="s">
        <v>4725</v>
      </c>
      <c r="AJ3666">
        <v>2016</v>
      </c>
      <c r="AK3666" t="s">
        <v>4730</v>
      </c>
      <c r="AN3666" t="s">
        <v>192</v>
      </c>
      <c r="AO3666">
        <v>3</v>
      </c>
      <c r="AP3666" t="s">
        <v>78</v>
      </c>
      <c r="AQ3666" t="s">
        <v>4727</v>
      </c>
      <c r="AR3666" t="s">
        <v>80</v>
      </c>
      <c r="AS3666">
        <v>307</v>
      </c>
      <c r="AT3666" t="s">
        <v>81</v>
      </c>
      <c r="AU3666">
        <v>33.4</v>
      </c>
      <c r="AV3666">
        <v>18.11</v>
      </c>
      <c r="AW3666" t="s">
        <v>82</v>
      </c>
      <c r="AX3666">
        <v>307</v>
      </c>
      <c r="AY3666" t="s">
        <v>81</v>
      </c>
      <c r="AZ3666">
        <v>20.2</v>
      </c>
      <c r="BA3666">
        <v>8.8800000000000008</v>
      </c>
      <c r="BB3666" t="s">
        <v>83</v>
      </c>
    </row>
    <row r="3667" spans="1:54" x14ac:dyDescent="0.4">
      <c r="A3667">
        <v>1337549</v>
      </c>
      <c r="D3667" t="s">
        <v>853</v>
      </c>
      <c r="I3667" t="s">
        <v>57</v>
      </c>
      <c r="K3667" t="s">
        <v>221</v>
      </c>
      <c r="L3667" t="s">
        <v>222</v>
      </c>
      <c r="M3667" t="s">
        <v>223</v>
      </c>
      <c r="P3667" t="s">
        <v>182</v>
      </c>
      <c r="R3667" t="s">
        <v>183</v>
      </c>
      <c r="S3667" t="s">
        <v>64</v>
      </c>
      <c r="T3667">
        <v>242</v>
      </c>
      <c r="U3667">
        <v>239.7</v>
      </c>
      <c r="V3667">
        <f t="shared" si="114"/>
        <v>240.85</v>
      </c>
      <c r="W3667">
        <f t="shared" si="115"/>
        <v>2.3000000000000114</v>
      </c>
      <c r="X3667">
        <v>8.9459999999999997</v>
      </c>
      <c r="Y3667">
        <v>45.905997999999997</v>
      </c>
      <c r="Z3667" t="s">
        <v>1681</v>
      </c>
      <c r="AA3667" t="s">
        <v>226</v>
      </c>
      <c r="AD3667" t="s">
        <v>4724</v>
      </c>
      <c r="AH3667" t="s">
        <v>11</v>
      </c>
      <c r="AI3667" t="s">
        <v>4725</v>
      </c>
      <c r="AJ3667">
        <v>2016</v>
      </c>
      <c r="AK3667" t="s">
        <v>4731</v>
      </c>
      <c r="AN3667" t="s">
        <v>192</v>
      </c>
      <c r="AO3667">
        <v>3</v>
      </c>
      <c r="AP3667" t="s">
        <v>78</v>
      </c>
      <c r="AQ3667" t="s">
        <v>4727</v>
      </c>
      <c r="AR3667" t="s">
        <v>80</v>
      </c>
      <c r="AS3667">
        <v>307</v>
      </c>
      <c r="AT3667" t="s">
        <v>81</v>
      </c>
      <c r="AU3667">
        <v>33.4</v>
      </c>
      <c r="AV3667">
        <v>18.11</v>
      </c>
      <c r="AW3667" t="s">
        <v>82</v>
      </c>
      <c r="AX3667">
        <v>307</v>
      </c>
      <c r="AY3667" t="s">
        <v>81</v>
      </c>
      <c r="AZ3667">
        <v>20.2</v>
      </c>
      <c r="BA3667">
        <v>8.8800000000000008</v>
      </c>
      <c r="BB3667" t="s">
        <v>83</v>
      </c>
    </row>
    <row r="3668" spans="1:54" x14ac:dyDescent="0.4">
      <c r="A3668">
        <v>1337550</v>
      </c>
      <c r="D3668" t="s">
        <v>853</v>
      </c>
      <c r="I3668" t="s">
        <v>57</v>
      </c>
      <c r="K3668" t="s">
        <v>771</v>
      </c>
      <c r="L3668" t="s">
        <v>3899</v>
      </c>
      <c r="M3668" t="s">
        <v>223</v>
      </c>
      <c r="P3668" t="s">
        <v>182</v>
      </c>
      <c r="R3668" t="s">
        <v>183</v>
      </c>
      <c r="S3668" t="s">
        <v>64</v>
      </c>
      <c r="T3668">
        <v>242</v>
      </c>
      <c r="U3668">
        <v>239.7</v>
      </c>
      <c r="V3668">
        <f t="shared" si="114"/>
        <v>240.85</v>
      </c>
      <c r="W3668">
        <f t="shared" si="115"/>
        <v>2.3000000000000114</v>
      </c>
      <c r="X3668">
        <v>8.9459999999999997</v>
      </c>
      <c r="Y3668">
        <v>45.905997999999997</v>
      </c>
      <c r="Z3668" t="s">
        <v>1681</v>
      </c>
      <c r="AA3668" t="s">
        <v>226</v>
      </c>
      <c r="AD3668" t="s">
        <v>4724</v>
      </c>
      <c r="AH3668" t="s">
        <v>11</v>
      </c>
      <c r="AI3668" t="s">
        <v>4725</v>
      </c>
      <c r="AJ3668">
        <v>2016</v>
      </c>
      <c r="AK3668" t="s">
        <v>4731</v>
      </c>
      <c r="AN3668" t="s">
        <v>192</v>
      </c>
      <c r="AO3668">
        <v>3</v>
      </c>
      <c r="AP3668" t="s">
        <v>78</v>
      </c>
      <c r="AQ3668" t="s">
        <v>4727</v>
      </c>
      <c r="AR3668" t="s">
        <v>80</v>
      </c>
      <c r="AS3668">
        <v>307</v>
      </c>
      <c r="AT3668" t="s">
        <v>81</v>
      </c>
      <c r="AU3668">
        <v>33.4</v>
      </c>
      <c r="AV3668">
        <v>18.11</v>
      </c>
      <c r="AW3668" t="s">
        <v>82</v>
      </c>
      <c r="AX3668">
        <v>307</v>
      </c>
      <c r="AY3668" t="s">
        <v>81</v>
      </c>
      <c r="AZ3668">
        <v>20.2</v>
      </c>
      <c r="BA3668">
        <v>8.8800000000000008</v>
      </c>
      <c r="BB3668" t="s">
        <v>83</v>
      </c>
    </row>
    <row r="3669" spans="1:54" x14ac:dyDescent="0.4">
      <c r="A3669">
        <v>1337557</v>
      </c>
      <c r="D3669" t="s">
        <v>853</v>
      </c>
      <c r="I3669" t="s">
        <v>57</v>
      </c>
      <c r="K3669" t="s">
        <v>771</v>
      </c>
      <c r="L3669" t="s">
        <v>3899</v>
      </c>
      <c r="M3669" t="s">
        <v>223</v>
      </c>
      <c r="P3669" t="s">
        <v>182</v>
      </c>
      <c r="R3669" t="s">
        <v>183</v>
      </c>
      <c r="S3669" t="s">
        <v>64</v>
      </c>
      <c r="T3669">
        <v>242</v>
      </c>
      <c r="U3669">
        <v>239.7</v>
      </c>
      <c r="V3669">
        <f t="shared" si="114"/>
        <v>240.85</v>
      </c>
      <c r="W3669">
        <f t="shared" si="115"/>
        <v>2.3000000000000114</v>
      </c>
      <c r="X3669">
        <v>8.9459999999999997</v>
      </c>
      <c r="Y3669">
        <v>45.905997999999997</v>
      </c>
      <c r="Z3669" t="s">
        <v>1681</v>
      </c>
      <c r="AA3669" t="s">
        <v>226</v>
      </c>
      <c r="AD3669" t="s">
        <v>4724</v>
      </c>
      <c r="AH3669" t="s">
        <v>11</v>
      </c>
      <c r="AI3669" t="s">
        <v>4725</v>
      </c>
      <c r="AJ3669">
        <v>2016</v>
      </c>
      <c r="AK3669" t="s">
        <v>4732</v>
      </c>
      <c r="AN3669" t="s">
        <v>192</v>
      </c>
      <c r="AO3669">
        <v>3</v>
      </c>
      <c r="AP3669" t="s">
        <v>78</v>
      </c>
      <c r="AQ3669" t="s">
        <v>4727</v>
      </c>
      <c r="AR3669" t="s">
        <v>80</v>
      </c>
      <c r="AS3669">
        <v>307</v>
      </c>
      <c r="AT3669" t="s">
        <v>81</v>
      </c>
      <c r="AU3669">
        <v>33.4</v>
      </c>
      <c r="AV3669">
        <v>18.11</v>
      </c>
      <c r="AW3669" t="s">
        <v>82</v>
      </c>
      <c r="AX3669">
        <v>307</v>
      </c>
      <c r="AY3669" t="s">
        <v>81</v>
      </c>
      <c r="AZ3669">
        <v>20.2</v>
      </c>
      <c r="BA3669">
        <v>8.8800000000000008</v>
      </c>
      <c r="BB3669" t="s">
        <v>83</v>
      </c>
    </row>
    <row r="3670" spans="1:54" x14ac:dyDescent="0.4">
      <c r="A3670">
        <v>1337567</v>
      </c>
      <c r="D3670" t="s">
        <v>853</v>
      </c>
      <c r="I3670" t="s">
        <v>57</v>
      </c>
      <c r="K3670" t="s">
        <v>221</v>
      </c>
      <c r="L3670" t="s">
        <v>222</v>
      </c>
      <c r="M3670" t="s">
        <v>223</v>
      </c>
      <c r="P3670" t="s">
        <v>182</v>
      </c>
      <c r="R3670" t="s">
        <v>183</v>
      </c>
      <c r="S3670" t="s">
        <v>64</v>
      </c>
      <c r="T3670">
        <v>242</v>
      </c>
      <c r="U3670">
        <v>239.7</v>
      </c>
      <c r="V3670">
        <f t="shared" si="114"/>
        <v>240.85</v>
      </c>
      <c r="W3670">
        <f t="shared" si="115"/>
        <v>2.3000000000000114</v>
      </c>
      <c r="X3670">
        <v>8.9459999999999997</v>
      </c>
      <c r="Y3670">
        <v>45.905997999999997</v>
      </c>
      <c r="Z3670" t="s">
        <v>1681</v>
      </c>
      <c r="AA3670" t="s">
        <v>226</v>
      </c>
      <c r="AD3670" t="s">
        <v>4724</v>
      </c>
      <c r="AH3670" t="s">
        <v>11</v>
      </c>
      <c r="AI3670" t="s">
        <v>4725</v>
      </c>
      <c r="AJ3670">
        <v>2016</v>
      </c>
      <c r="AK3670" t="s">
        <v>4733</v>
      </c>
      <c r="AN3670" t="s">
        <v>192</v>
      </c>
      <c r="AO3670">
        <v>3</v>
      </c>
      <c r="AP3670" t="s">
        <v>78</v>
      </c>
      <c r="AQ3670" t="s">
        <v>4727</v>
      </c>
      <c r="AR3670" t="s">
        <v>80</v>
      </c>
      <c r="AS3670">
        <v>307</v>
      </c>
      <c r="AT3670" t="s">
        <v>81</v>
      </c>
      <c r="AU3670">
        <v>33.4</v>
      </c>
      <c r="AV3670">
        <v>18.11</v>
      </c>
      <c r="AW3670" t="s">
        <v>82</v>
      </c>
      <c r="AX3670">
        <v>307</v>
      </c>
      <c r="AY3670" t="s">
        <v>81</v>
      </c>
      <c r="AZ3670">
        <v>20.2</v>
      </c>
      <c r="BA3670">
        <v>8.8800000000000008</v>
      </c>
      <c r="BB3670" t="s">
        <v>83</v>
      </c>
    </row>
    <row r="3671" spans="1:54" x14ac:dyDescent="0.4">
      <c r="A3671">
        <v>1337578</v>
      </c>
      <c r="D3671" t="s">
        <v>853</v>
      </c>
      <c r="I3671" t="s">
        <v>57</v>
      </c>
      <c r="K3671" t="s">
        <v>771</v>
      </c>
      <c r="L3671" t="s">
        <v>3899</v>
      </c>
      <c r="M3671" t="s">
        <v>223</v>
      </c>
      <c r="P3671" t="s">
        <v>182</v>
      </c>
      <c r="R3671" t="s">
        <v>183</v>
      </c>
      <c r="S3671" t="s">
        <v>64</v>
      </c>
      <c r="T3671">
        <v>242</v>
      </c>
      <c r="U3671">
        <v>239.7</v>
      </c>
      <c r="V3671">
        <f t="shared" si="114"/>
        <v>240.85</v>
      </c>
      <c r="W3671">
        <f t="shared" si="115"/>
        <v>2.3000000000000114</v>
      </c>
      <c r="X3671">
        <v>8.9459999999999997</v>
      </c>
      <c r="Y3671">
        <v>45.905997999999997</v>
      </c>
      <c r="Z3671" t="s">
        <v>1681</v>
      </c>
      <c r="AA3671" t="s">
        <v>226</v>
      </c>
      <c r="AD3671" t="s">
        <v>4724</v>
      </c>
      <c r="AH3671" t="s">
        <v>11</v>
      </c>
      <c r="AI3671" t="s">
        <v>4725</v>
      </c>
      <c r="AJ3671">
        <v>2016</v>
      </c>
      <c r="AK3671" t="s">
        <v>4734</v>
      </c>
      <c r="AN3671" t="s">
        <v>192</v>
      </c>
      <c r="AO3671">
        <v>3</v>
      </c>
      <c r="AP3671" t="s">
        <v>78</v>
      </c>
      <c r="AQ3671" t="s">
        <v>4727</v>
      </c>
      <c r="AR3671" t="s">
        <v>80</v>
      </c>
      <c r="AS3671">
        <v>307</v>
      </c>
      <c r="AT3671" t="s">
        <v>81</v>
      </c>
      <c r="AU3671">
        <v>33.4</v>
      </c>
      <c r="AV3671">
        <v>18.11</v>
      </c>
      <c r="AW3671" t="s">
        <v>82</v>
      </c>
      <c r="AX3671">
        <v>307</v>
      </c>
      <c r="AY3671" t="s">
        <v>81</v>
      </c>
      <c r="AZ3671">
        <v>20.2</v>
      </c>
      <c r="BA3671">
        <v>8.8800000000000008</v>
      </c>
      <c r="BB3671" t="s">
        <v>83</v>
      </c>
    </row>
    <row r="3672" spans="1:54" x14ac:dyDescent="0.4">
      <c r="A3672">
        <v>1415286</v>
      </c>
      <c r="D3672" t="s">
        <v>853</v>
      </c>
      <c r="I3672" t="s">
        <v>57</v>
      </c>
      <c r="K3672" t="s">
        <v>221</v>
      </c>
      <c r="L3672" t="s">
        <v>222</v>
      </c>
      <c r="M3672" t="s">
        <v>223</v>
      </c>
      <c r="P3672" t="s">
        <v>182</v>
      </c>
      <c r="R3672" t="s">
        <v>183</v>
      </c>
      <c r="S3672" t="s">
        <v>64</v>
      </c>
      <c r="T3672">
        <v>242</v>
      </c>
      <c r="U3672">
        <v>239.7</v>
      </c>
      <c r="V3672">
        <f t="shared" si="114"/>
        <v>240.85</v>
      </c>
      <c r="W3672">
        <f t="shared" si="115"/>
        <v>2.3000000000000114</v>
      </c>
      <c r="X3672">
        <v>8.9459999999999997</v>
      </c>
      <c r="Y3672">
        <v>45.905997999999997</v>
      </c>
      <c r="Z3672" t="s">
        <v>1681</v>
      </c>
      <c r="AA3672" t="s">
        <v>226</v>
      </c>
      <c r="AD3672" t="s">
        <v>4724</v>
      </c>
      <c r="AH3672" t="s">
        <v>72</v>
      </c>
      <c r="AI3672" t="s">
        <v>5040</v>
      </c>
      <c r="AJ3672">
        <v>2011</v>
      </c>
      <c r="AK3672" t="s">
        <v>4730</v>
      </c>
      <c r="AN3672" t="s">
        <v>192</v>
      </c>
      <c r="AO3672">
        <v>3</v>
      </c>
      <c r="AP3672" t="s">
        <v>78</v>
      </c>
      <c r="AQ3672" t="s">
        <v>4727</v>
      </c>
      <c r="AR3672" t="s">
        <v>80</v>
      </c>
      <c r="AS3672">
        <v>307</v>
      </c>
      <c r="AT3672" t="s">
        <v>81</v>
      </c>
      <c r="AU3672">
        <v>33.4</v>
      </c>
      <c r="AV3672">
        <v>18.11</v>
      </c>
      <c r="AW3672" t="s">
        <v>82</v>
      </c>
      <c r="AX3672">
        <v>307</v>
      </c>
      <c r="AY3672" t="s">
        <v>81</v>
      </c>
      <c r="AZ3672">
        <v>20.2</v>
      </c>
      <c r="BA3672">
        <v>8.8800000000000008</v>
      </c>
      <c r="BB3672" t="s">
        <v>83</v>
      </c>
    </row>
    <row r="3673" spans="1:54" x14ac:dyDescent="0.4">
      <c r="A3673">
        <v>1416385</v>
      </c>
      <c r="D3673" t="s">
        <v>54</v>
      </c>
      <c r="I3673" t="s">
        <v>57</v>
      </c>
      <c r="K3673" t="s">
        <v>141</v>
      </c>
      <c r="L3673" t="s">
        <v>629</v>
      </c>
      <c r="M3673" t="s">
        <v>60</v>
      </c>
      <c r="P3673" t="s">
        <v>103</v>
      </c>
      <c r="R3673" t="s">
        <v>104</v>
      </c>
      <c r="S3673" t="s">
        <v>64</v>
      </c>
      <c r="T3673">
        <v>251.2</v>
      </c>
      <c r="U3673">
        <v>246.7</v>
      </c>
      <c r="V3673">
        <f t="shared" si="114"/>
        <v>248.95</v>
      </c>
      <c r="W3673">
        <f t="shared" si="115"/>
        <v>4.5</v>
      </c>
      <c r="X3673">
        <v>53.076388999999999</v>
      </c>
      <c r="Y3673">
        <v>52.206111999999997</v>
      </c>
      <c r="Z3673" t="s">
        <v>432</v>
      </c>
      <c r="AA3673" t="s">
        <v>239</v>
      </c>
      <c r="AB3673" t="s">
        <v>638</v>
      </c>
      <c r="AD3673" t="s">
        <v>4350</v>
      </c>
      <c r="AH3673" t="s">
        <v>11</v>
      </c>
      <c r="AI3673" t="s">
        <v>1937</v>
      </c>
      <c r="AJ3673">
        <v>2003</v>
      </c>
      <c r="AK3673" t="s">
        <v>5099</v>
      </c>
      <c r="AN3673" t="s">
        <v>192</v>
      </c>
      <c r="AO3673" t="s">
        <v>77</v>
      </c>
      <c r="AP3673" t="s">
        <v>78</v>
      </c>
      <c r="AQ3673" t="s">
        <v>5100</v>
      </c>
      <c r="AR3673" t="s">
        <v>80</v>
      </c>
      <c r="AS3673">
        <v>302</v>
      </c>
      <c r="AT3673" t="s">
        <v>81</v>
      </c>
      <c r="AU3673">
        <v>58.81</v>
      </c>
      <c r="AV3673">
        <v>39.700000000000003</v>
      </c>
      <c r="AW3673" t="s">
        <v>82</v>
      </c>
      <c r="AX3673">
        <v>301</v>
      </c>
      <c r="AY3673" t="s">
        <v>81</v>
      </c>
      <c r="AZ3673">
        <v>44.05</v>
      </c>
      <c r="BA3673">
        <v>31.96</v>
      </c>
      <c r="BB3673" t="s">
        <v>83</v>
      </c>
    </row>
    <row r="3674" spans="1:54" x14ac:dyDescent="0.4">
      <c r="A3674">
        <v>1416386</v>
      </c>
      <c r="D3674" t="s">
        <v>54</v>
      </c>
      <c r="I3674" t="s">
        <v>57</v>
      </c>
      <c r="K3674" t="s">
        <v>141</v>
      </c>
      <c r="L3674" t="s">
        <v>629</v>
      </c>
      <c r="M3674" t="s">
        <v>60</v>
      </c>
      <c r="P3674" t="s">
        <v>103</v>
      </c>
      <c r="R3674" t="s">
        <v>104</v>
      </c>
      <c r="S3674" t="s">
        <v>64</v>
      </c>
      <c r="T3674">
        <v>251.2</v>
      </c>
      <c r="U3674">
        <v>246.7</v>
      </c>
      <c r="V3674">
        <f t="shared" si="114"/>
        <v>248.95</v>
      </c>
      <c r="W3674">
        <f t="shared" si="115"/>
        <v>4.5</v>
      </c>
      <c r="X3674">
        <v>53.053890000000003</v>
      </c>
      <c r="Y3674">
        <v>52.211109</v>
      </c>
      <c r="Z3674" t="s">
        <v>432</v>
      </c>
      <c r="AA3674" t="s">
        <v>239</v>
      </c>
      <c r="AB3674" t="s">
        <v>638</v>
      </c>
      <c r="AD3674" t="s">
        <v>4350</v>
      </c>
      <c r="AH3674" t="s">
        <v>11</v>
      </c>
      <c r="AI3674" t="s">
        <v>1937</v>
      </c>
      <c r="AJ3674">
        <v>2003</v>
      </c>
      <c r="AK3674" t="s">
        <v>5101</v>
      </c>
      <c r="AN3674" t="s">
        <v>192</v>
      </c>
      <c r="AO3674" t="s">
        <v>77</v>
      </c>
      <c r="AP3674" t="s">
        <v>78</v>
      </c>
      <c r="AQ3674" t="s">
        <v>5102</v>
      </c>
      <c r="AR3674" t="s">
        <v>80</v>
      </c>
      <c r="AS3674">
        <v>302</v>
      </c>
      <c r="AT3674" t="s">
        <v>81</v>
      </c>
      <c r="AU3674">
        <v>58.79</v>
      </c>
      <c r="AV3674">
        <v>39.69</v>
      </c>
      <c r="AW3674" t="s">
        <v>82</v>
      </c>
      <c r="AX3674">
        <v>301</v>
      </c>
      <c r="AY3674" t="s">
        <v>81</v>
      </c>
      <c r="AZ3674">
        <v>44.04</v>
      </c>
      <c r="BA3674">
        <v>31.96</v>
      </c>
      <c r="BB3674" t="s">
        <v>83</v>
      </c>
    </row>
    <row r="3675" spans="1:54" x14ac:dyDescent="0.4">
      <c r="A3675">
        <v>1416420</v>
      </c>
      <c r="D3675" t="s">
        <v>54</v>
      </c>
      <c r="I3675" t="s">
        <v>57</v>
      </c>
      <c r="K3675" t="s">
        <v>141</v>
      </c>
      <c r="L3675" t="s">
        <v>629</v>
      </c>
      <c r="M3675" t="s">
        <v>60</v>
      </c>
      <c r="P3675" t="s">
        <v>103</v>
      </c>
      <c r="R3675" t="s">
        <v>104</v>
      </c>
      <c r="S3675" t="s">
        <v>64</v>
      </c>
      <c r="T3675">
        <v>251.2</v>
      </c>
      <c r="U3675">
        <v>246.7</v>
      </c>
      <c r="V3675">
        <f t="shared" si="114"/>
        <v>248.95</v>
      </c>
      <c r="W3675">
        <f t="shared" si="115"/>
        <v>4.5</v>
      </c>
      <c r="X3675">
        <v>53.081668999999998</v>
      </c>
      <c r="Y3675">
        <v>52.299168000000002</v>
      </c>
      <c r="Z3675" t="s">
        <v>432</v>
      </c>
      <c r="AA3675" t="s">
        <v>239</v>
      </c>
      <c r="AB3675" t="s">
        <v>638</v>
      </c>
      <c r="AD3675" t="s">
        <v>4350</v>
      </c>
      <c r="AH3675" t="s">
        <v>11</v>
      </c>
      <c r="AI3675" t="s">
        <v>1937</v>
      </c>
      <c r="AJ3675">
        <v>2003</v>
      </c>
      <c r="AK3675" t="s">
        <v>5103</v>
      </c>
      <c r="AN3675" t="s">
        <v>192</v>
      </c>
      <c r="AO3675" t="s">
        <v>77</v>
      </c>
      <c r="AP3675" t="s">
        <v>78</v>
      </c>
      <c r="AQ3675" t="s">
        <v>5104</v>
      </c>
      <c r="AR3675" t="s">
        <v>80</v>
      </c>
      <c r="AS3675">
        <v>302</v>
      </c>
      <c r="AT3675" t="s">
        <v>81</v>
      </c>
      <c r="AU3675">
        <v>58.75</v>
      </c>
      <c r="AV3675">
        <v>39.78</v>
      </c>
      <c r="AW3675" t="s">
        <v>82</v>
      </c>
      <c r="AX3675">
        <v>301</v>
      </c>
      <c r="AY3675" t="s">
        <v>81</v>
      </c>
      <c r="AZ3675">
        <v>43.98</v>
      </c>
      <c r="BA3675">
        <v>32.03</v>
      </c>
      <c r="BB3675" t="s">
        <v>83</v>
      </c>
    </row>
    <row r="3676" spans="1:54" x14ac:dyDescent="0.4">
      <c r="A3676">
        <v>1416563</v>
      </c>
      <c r="D3676" t="s">
        <v>54</v>
      </c>
      <c r="I3676" t="s">
        <v>57</v>
      </c>
      <c r="K3676" t="s">
        <v>141</v>
      </c>
      <c r="L3676" t="s">
        <v>629</v>
      </c>
      <c r="M3676" t="s">
        <v>60</v>
      </c>
      <c r="P3676" t="s">
        <v>103</v>
      </c>
      <c r="R3676" t="s">
        <v>104</v>
      </c>
      <c r="S3676" t="s">
        <v>64</v>
      </c>
      <c r="T3676">
        <v>251.2</v>
      </c>
      <c r="U3676">
        <v>246.7</v>
      </c>
      <c r="V3676">
        <f t="shared" si="114"/>
        <v>248.95</v>
      </c>
      <c r="W3676">
        <f t="shared" si="115"/>
        <v>4.5</v>
      </c>
      <c r="X3676">
        <v>52.690834000000002</v>
      </c>
      <c r="Y3676">
        <v>52.369999</v>
      </c>
      <c r="Z3676" t="s">
        <v>432</v>
      </c>
      <c r="AA3676" t="s">
        <v>239</v>
      </c>
      <c r="AB3676" t="s">
        <v>638</v>
      </c>
      <c r="AC3676" t="s">
        <v>2803</v>
      </c>
      <c r="AD3676" t="s">
        <v>4350</v>
      </c>
      <c r="AH3676" t="s">
        <v>11</v>
      </c>
      <c r="AI3676" t="s">
        <v>1937</v>
      </c>
      <c r="AJ3676">
        <v>2003</v>
      </c>
      <c r="AK3676" t="s">
        <v>5109</v>
      </c>
      <c r="AM3676" t="s">
        <v>5110</v>
      </c>
      <c r="AN3676" t="s">
        <v>192</v>
      </c>
      <c r="AO3676" t="s">
        <v>77</v>
      </c>
      <c r="AP3676" t="s">
        <v>115</v>
      </c>
      <c r="AQ3676" t="s">
        <v>5108</v>
      </c>
      <c r="AR3676" t="s">
        <v>80</v>
      </c>
      <c r="AS3676">
        <v>302</v>
      </c>
      <c r="AT3676" t="s">
        <v>81</v>
      </c>
      <c r="AU3676">
        <v>58.44</v>
      </c>
      <c r="AV3676">
        <v>39.72</v>
      </c>
      <c r="AW3676" t="s">
        <v>82</v>
      </c>
      <c r="AX3676">
        <v>301</v>
      </c>
      <c r="AY3676" t="s">
        <v>81</v>
      </c>
      <c r="AZ3676">
        <v>43.72</v>
      </c>
      <c r="BA3676">
        <v>31.91</v>
      </c>
      <c r="BB3676" t="s">
        <v>83</v>
      </c>
    </row>
    <row r="3677" spans="1:54" x14ac:dyDescent="0.4">
      <c r="A3677">
        <v>1417046</v>
      </c>
      <c r="D3677" t="s">
        <v>54</v>
      </c>
      <c r="I3677" t="s">
        <v>57</v>
      </c>
      <c r="K3677" t="s">
        <v>141</v>
      </c>
      <c r="L3677" t="s">
        <v>629</v>
      </c>
      <c r="M3677" t="s">
        <v>60</v>
      </c>
      <c r="P3677" t="s">
        <v>103</v>
      </c>
      <c r="R3677" t="s">
        <v>104</v>
      </c>
      <c r="S3677" t="s">
        <v>64</v>
      </c>
      <c r="T3677">
        <v>251.2</v>
      </c>
      <c r="U3677">
        <v>246.7</v>
      </c>
      <c r="V3677">
        <f t="shared" si="114"/>
        <v>248.95</v>
      </c>
      <c r="W3677">
        <f t="shared" si="115"/>
        <v>4.5</v>
      </c>
      <c r="X3677">
        <v>52.358612000000001</v>
      </c>
      <c r="Y3677">
        <v>52.542220999999998</v>
      </c>
      <c r="Z3677" t="s">
        <v>406</v>
      </c>
      <c r="AA3677" t="s">
        <v>239</v>
      </c>
      <c r="AB3677" t="s">
        <v>638</v>
      </c>
      <c r="AD3677" t="s">
        <v>4350</v>
      </c>
      <c r="AH3677" t="s">
        <v>11</v>
      </c>
      <c r="AI3677" t="s">
        <v>1937</v>
      </c>
      <c r="AJ3677">
        <v>2003</v>
      </c>
      <c r="AK3677" t="s">
        <v>5111</v>
      </c>
      <c r="AN3677" t="s">
        <v>192</v>
      </c>
      <c r="AO3677" t="s">
        <v>77</v>
      </c>
      <c r="AP3677" t="s">
        <v>78</v>
      </c>
      <c r="AQ3677" t="s">
        <v>5112</v>
      </c>
      <c r="AR3677" t="s">
        <v>80</v>
      </c>
      <c r="AS3677">
        <v>302</v>
      </c>
      <c r="AT3677" t="s">
        <v>81</v>
      </c>
      <c r="AU3677">
        <v>58.1</v>
      </c>
      <c r="AV3677">
        <v>39.770000000000003</v>
      </c>
      <c r="AW3677" t="s">
        <v>82</v>
      </c>
      <c r="AX3677">
        <v>301</v>
      </c>
      <c r="AY3677" t="s">
        <v>81</v>
      </c>
      <c r="AZ3677">
        <v>43.41</v>
      </c>
      <c r="BA3677">
        <v>31.89</v>
      </c>
      <c r="BB3677" t="s">
        <v>83</v>
      </c>
    </row>
    <row r="3678" spans="1:54" x14ac:dyDescent="0.4">
      <c r="A3678">
        <v>1417051</v>
      </c>
      <c r="D3678" t="s">
        <v>54</v>
      </c>
      <c r="I3678" t="s">
        <v>57</v>
      </c>
      <c r="K3678" t="s">
        <v>141</v>
      </c>
      <c r="L3678" t="s">
        <v>629</v>
      </c>
      <c r="M3678" t="s">
        <v>60</v>
      </c>
      <c r="P3678" t="s">
        <v>103</v>
      </c>
      <c r="R3678" t="s">
        <v>104</v>
      </c>
      <c r="S3678" t="s">
        <v>64</v>
      </c>
      <c r="T3678">
        <v>251.2</v>
      </c>
      <c r="U3678">
        <v>246.7</v>
      </c>
      <c r="V3678">
        <f t="shared" si="114"/>
        <v>248.95</v>
      </c>
      <c r="W3678">
        <f t="shared" si="115"/>
        <v>4.5</v>
      </c>
      <c r="X3678">
        <v>52.347777999999998</v>
      </c>
      <c r="Y3678">
        <v>52.830832999999998</v>
      </c>
      <c r="Z3678" t="s">
        <v>432</v>
      </c>
      <c r="AA3678" t="s">
        <v>239</v>
      </c>
      <c r="AB3678" t="s">
        <v>638</v>
      </c>
      <c r="AD3678" t="s">
        <v>4350</v>
      </c>
      <c r="AH3678" t="s">
        <v>11</v>
      </c>
      <c r="AI3678" t="s">
        <v>1937</v>
      </c>
      <c r="AJ3678">
        <v>2003</v>
      </c>
      <c r="AK3678" t="s">
        <v>5113</v>
      </c>
      <c r="AN3678" t="s">
        <v>192</v>
      </c>
      <c r="AO3678" t="s">
        <v>77</v>
      </c>
      <c r="AP3678" t="s">
        <v>78</v>
      </c>
      <c r="AQ3678" t="s">
        <v>5114</v>
      </c>
      <c r="AR3678" t="s">
        <v>80</v>
      </c>
      <c r="AS3678">
        <v>302</v>
      </c>
      <c r="AT3678" t="s">
        <v>81</v>
      </c>
      <c r="AU3678">
        <v>57.91</v>
      </c>
      <c r="AV3678">
        <v>40.020000000000003</v>
      </c>
      <c r="AW3678" t="s">
        <v>82</v>
      </c>
      <c r="AX3678">
        <v>301</v>
      </c>
      <c r="AY3678" t="s">
        <v>81</v>
      </c>
      <c r="AZ3678">
        <v>43.16</v>
      </c>
      <c r="BA3678">
        <v>32.090000000000003</v>
      </c>
      <c r="BB3678" t="s">
        <v>83</v>
      </c>
    </row>
    <row r="3679" spans="1:54" x14ac:dyDescent="0.4">
      <c r="A3679">
        <v>1417154</v>
      </c>
      <c r="D3679" t="s">
        <v>54</v>
      </c>
      <c r="I3679" t="s">
        <v>57</v>
      </c>
      <c r="K3679" t="s">
        <v>100</v>
      </c>
      <c r="L3679" t="s">
        <v>2752</v>
      </c>
      <c r="M3679" t="s">
        <v>60</v>
      </c>
      <c r="P3679" t="s">
        <v>103</v>
      </c>
      <c r="R3679" t="s">
        <v>104</v>
      </c>
      <c r="S3679" t="s">
        <v>64</v>
      </c>
      <c r="T3679">
        <v>251.2</v>
      </c>
      <c r="U3679">
        <v>246.7</v>
      </c>
      <c r="V3679">
        <f t="shared" si="114"/>
        <v>248.95</v>
      </c>
      <c r="W3679">
        <f t="shared" si="115"/>
        <v>4.5</v>
      </c>
      <c r="X3679">
        <v>51.734164999999997</v>
      </c>
      <c r="Y3679">
        <v>52.810001</v>
      </c>
      <c r="Z3679" t="s">
        <v>432</v>
      </c>
      <c r="AA3679" t="s">
        <v>239</v>
      </c>
      <c r="AB3679" t="s">
        <v>638</v>
      </c>
      <c r="AD3679" t="s">
        <v>4350</v>
      </c>
      <c r="AH3679" t="s">
        <v>11</v>
      </c>
      <c r="AI3679" t="s">
        <v>1937</v>
      </c>
      <c r="AJ3679">
        <v>2003</v>
      </c>
      <c r="AK3679" t="s">
        <v>5124</v>
      </c>
      <c r="AM3679" t="s">
        <v>5125</v>
      </c>
      <c r="AN3679" t="s">
        <v>114</v>
      </c>
      <c r="AO3679" t="s">
        <v>77</v>
      </c>
      <c r="AP3679" t="s">
        <v>115</v>
      </c>
      <c r="AQ3679" t="s">
        <v>5126</v>
      </c>
      <c r="AR3679" t="s">
        <v>80</v>
      </c>
      <c r="AS3679">
        <v>302</v>
      </c>
      <c r="AT3679" t="s">
        <v>81</v>
      </c>
      <c r="AU3679">
        <v>57.5</v>
      </c>
      <c r="AV3679">
        <v>39.81</v>
      </c>
      <c r="AW3679" t="s">
        <v>82</v>
      </c>
      <c r="AX3679">
        <v>301</v>
      </c>
      <c r="AY3679" t="s">
        <v>81</v>
      </c>
      <c r="AZ3679">
        <v>42.87</v>
      </c>
      <c r="BA3679">
        <v>31.81</v>
      </c>
      <c r="BB3679" t="s">
        <v>83</v>
      </c>
    </row>
    <row r="3680" spans="1:54" x14ac:dyDescent="0.4">
      <c r="A3680">
        <v>1417155</v>
      </c>
      <c r="D3680" t="s">
        <v>54</v>
      </c>
      <c r="I3680" t="s">
        <v>57</v>
      </c>
      <c r="K3680" t="s">
        <v>141</v>
      </c>
      <c r="L3680" t="s">
        <v>629</v>
      </c>
      <c r="M3680" t="s">
        <v>60</v>
      </c>
      <c r="P3680" t="s">
        <v>103</v>
      </c>
      <c r="R3680" t="s">
        <v>104</v>
      </c>
      <c r="S3680" t="s">
        <v>64</v>
      </c>
      <c r="T3680">
        <v>251.2</v>
      </c>
      <c r="U3680">
        <v>246.7</v>
      </c>
      <c r="V3680">
        <f t="shared" si="114"/>
        <v>248.95</v>
      </c>
      <c r="W3680">
        <f t="shared" si="115"/>
        <v>4.5</v>
      </c>
      <c r="X3680">
        <v>51.734164999999997</v>
      </c>
      <c r="Y3680">
        <v>52.810001</v>
      </c>
      <c r="Z3680" t="s">
        <v>432</v>
      </c>
      <c r="AA3680" t="s">
        <v>239</v>
      </c>
      <c r="AB3680" t="s">
        <v>638</v>
      </c>
      <c r="AD3680" t="s">
        <v>4350</v>
      </c>
      <c r="AH3680" t="s">
        <v>11</v>
      </c>
      <c r="AI3680" t="s">
        <v>1937</v>
      </c>
      <c r="AJ3680">
        <v>2003</v>
      </c>
      <c r="AK3680" t="s">
        <v>5124</v>
      </c>
      <c r="AM3680" t="s">
        <v>5125</v>
      </c>
      <c r="AN3680" t="s">
        <v>114</v>
      </c>
      <c r="AO3680" t="s">
        <v>77</v>
      </c>
      <c r="AP3680" t="s">
        <v>115</v>
      </c>
      <c r="AQ3680" t="s">
        <v>5126</v>
      </c>
      <c r="AR3680" t="s">
        <v>80</v>
      </c>
      <c r="AS3680">
        <v>302</v>
      </c>
      <c r="AT3680" t="s">
        <v>81</v>
      </c>
      <c r="AU3680">
        <v>57.5</v>
      </c>
      <c r="AV3680">
        <v>39.81</v>
      </c>
      <c r="AW3680" t="s">
        <v>82</v>
      </c>
      <c r="AX3680">
        <v>301</v>
      </c>
      <c r="AY3680" t="s">
        <v>81</v>
      </c>
      <c r="AZ3680">
        <v>42.87</v>
      </c>
      <c r="BA3680">
        <v>31.81</v>
      </c>
      <c r="BB3680" t="s">
        <v>83</v>
      </c>
    </row>
    <row r="3681" spans="1:54" x14ac:dyDescent="0.4">
      <c r="A3681">
        <v>1417175</v>
      </c>
      <c r="D3681" t="s">
        <v>54</v>
      </c>
      <c r="I3681" t="s">
        <v>57</v>
      </c>
      <c r="K3681" t="s">
        <v>141</v>
      </c>
      <c r="L3681" t="s">
        <v>629</v>
      </c>
      <c r="M3681" t="s">
        <v>60</v>
      </c>
      <c r="P3681" t="s">
        <v>103</v>
      </c>
      <c r="R3681" t="s">
        <v>104</v>
      </c>
      <c r="S3681" t="s">
        <v>64</v>
      </c>
      <c r="T3681">
        <v>251.2</v>
      </c>
      <c r="U3681">
        <v>246.7</v>
      </c>
      <c r="V3681">
        <f t="shared" si="114"/>
        <v>248.95</v>
      </c>
      <c r="W3681">
        <f t="shared" si="115"/>
        <v>4.5</v>
      </c>
      <c r="X3681">
        <v>51.068610999999997</v>
      </c>
      <c r="Y3681">
        <v>52.499442999999999</v>
      </c>
      <c r="Z3681" t="s">
        <v>432</v>
      </c>
      <c r="AA3681" t="s">
        <v>239</v>
      </c>
      <c r="AB3681" t="s">
        <v>5065</v>
      </c>
      <c r="AC3681" t="s">
        <v>5127</v>
      </c>
      <c r="AD3681" t="s">
        <v>4350</v>
      </c>
      <c r="AH3681" t="s">
        <v>11</v>
      </c>
      <c r="AI3681" t="s">
        <v>1937</v>
      </c>
      <c r="AJ3681">
        <v>2003</v>
      </c>
      <c r="AK3681" t="s">
        <v>5130</v>
      </c>
      <c r="AN3681" t="s">
        <v>192</v>
      </c>
      <c r="AO3681" t="s">
        <v>77</v>
      </c>
      <c r="AP3681" t="s">
        <v>78</v>
      </c>
      <c r="AQ3681" t="s">
        <v>5131</v>
      </c>
      <c r="AR3681" t="s">
        <v>80</v>
      </c>
      <c r="AS3681">
        <v>302</v>
      </c>
      <c r="AT3681" t="s">
        <v>81</v>
      </c>
      <c r="AU3681">
        <v>57.24</v>
      </c>
      <c r="AV3681">
        <v>39.35</v>
      </c>
      <c r="AW3681" t="s">
        <v>82</v>
      </c>
      <c r="AX3681">
        <v>301</v>
      </c>
      <c r="AY3681" t="s">
        <v>81</v>
      </c>
      <c r="AZ3681">
        <v>42.79</v>
      </c>
      <c r="BA3681">
        <v>31.31</v>
      </c>
      <c r="BB3681" t="s">
        <v>83</v>
      </c>
    </row>
    <row r="3682" spans="1:54" x14ac:dyDescent="0.4">
      <c r="A3682">
        <v>1417908</v>
      </c>
      <c r="D3682" t="s">
        <v>853</v>
      </c>
      <c r="F3682" t="s">
        <v>2523</v>
      </c>
      <c r="I3682" t="s">
        <v>57</v>
      </c>
      <c r="K3682" t="s">
        <v>3200</v>
      </c>
      <c r="L3682" t="s">
        <v>3201</v>
      </c>
      <c r="M3682" t="s">
        <v>60</v>
      </c>
      <c r="P3682" t="s">
        <v>182</v>
      </c>
      <c r="R3682" t="s">
        <v>183</v>
      </c>
      <c r="S3682" t="s">
        <v>64</v>
      </c>
      <c r="T3682">
        <v>242</v>
      </c>
      <c r="U3682">
        <v>239.7</v>
      </c>
      <c r="V3682">
        <f t="shared" si="114"/>
        <v>240.85</v>
      </c>
      <c r="W3682">
        <f t="shared" si="115"/>
        <v>2.3000000000000114</v>
      </c>
      <c r="X3682">
        <v>9.82</v>
      </c>
      <c r="Y3682">
        <v>46.68</v>
      </c>
      <c r="Z3682" t="s">
        <v>1681</v>
      </c>
      <c r="AA3682" t="s">
        <v>226</v>
      </c>
      <c r="AD3682" t="s">
        <v>4585</v>
      </c>
      <c r="AH3682" t="s">
        <v>72</v>
      </c>
      <c r="AI3682" t="s">
        <v>5165</v>
      </c>
      <c r="AJ3682">
        <v>2017</v>
      </c>
      <c r="AK3682" t="s">
        <v>5166</v>
      </c>
      <c r="AN3682" t="s">
        <v>114</v>
      </c>
      <c r="AO3682">
        <v>2</v>
      </c>
      <c r="AP3682" t="s">
        <v>78</v>
      </c>
      <c r="AQ3682" t="s">
        <v>5167</v>
      </c>
      <c r="AR3682" t="s">
        <v>80</v>
      </c>
      <c r="AS3682">
        <v>307</v>
      </c>
      <c r="AT3682" t="s">
        <v>81</v>
      </c>
      <c r="AU3682">
        <v>34.409999999999997</v>
      </c>
      <c r="AV3682">
        <v>17.920000000000002</v>
      </c>
      <c r="AW3682" t="s">
        <v>82</v>
      </c>
      <c r="AX3682">
        <v>307</v>
      </c>
      <c r="AY3682" t="s">
        <v>81</v>
      </c>
      <c r="AZ3682">
        <v>21.16</v>
      </c>
      <c r="BA3682">
        <v>9.14</v>
      </c>
      <c r="BB3682" t="s">
        <v>83</v>
      </c>
    </row>
    <row r="3683" spans="1:54" x14ac:dyDescent="0.4">
      <c r="A3683">
        <v>1419096</v>
      </c>
      <c r="D3683" t="s">
        <v>54</v>
      </c>
      <c r="I3683" t="s">
        <v>57</v>
      </c>
      <c r="K3683" t="s">
        <v>221</v>
      </c>
      <c r="L3683" t="s">
        <v>3745</v>
      </c>
      <c r="M3683" t="s">
        <v>223</v>
      </c>
      <c r="P3683" t="s">
        <v>182</v>
      </c>
      <c r="R3683" t="s">
        <v>183</v>
      </c>
      <c r="S3683" t="s">
        <v>64</v>
      </c>
      <c r="T3683">
        <v>242</v>
      </c>
      <c r="U3683">
        <v>239.7</v>
      </c>
      <c r="V3683">
        <f t="shared" si="114"/>
        <v>240.85</v>
      </c>
      <c r="W3683">
        <f t="shared" si="115"/>
        <v>2.3000000000000114</v>
      </c>
      <c r="X3683">
        <v>9.7475000000000005</v>
      </c>
      <c r="Y3683">
        <v>46.628886999999999</v>
      </c>
      <c r="Z3683" t="s">
        <v>520</v>
      </c>
      <c r="AA3683" t="s">
        <v>226</v>
      </c>
      <c r="AB3683" t="s">
        <v>5234</v>
      </c>
      <c r="AD3683" t="s">
        <v>4585</v>
      </c>
      <c r="AH3683" t="s">
        <v>72</v>
      </c>
      <c r="AI3683" t="s">
        <v>5228</v>
      </c>
      <c r="AJ3683">
        <v>1985</v>
      </c>
      <c r="AK3683" t="s">
        <v>5235</v>
      </c>
      <c r="AN3683" t="s">
        <v>114</v>
      </c>
      <c r="AO3683" t="s">
        <v>77</v>
      </c>
      <c r="AP3683" t="s">
        <v>359</v>
      </c>
      <c r="AQ3683" t="s">
        <v>5236</v>
      </c>
      <c r="AR3683" t="s">
        <v>80</v>
      </c>
      <c r="AS3683">
        <v>307</v>
      </c>
      <c r="AT3683" t="s">
        <v>81</v>
      </c>
      <c r="AU3683">
        <v>34.340000000000003</v>
      </c>
      <c r="AV3683">
        <v>17.940000000000001</v>
      </c>
      <c r="AW3683" t="s">
        <v>82</v>
      </c>
      <c r="AX3683">
        <v>307</v>
      </c>
      <c r="AY3683" t="s">
        <v>81</v>
      </c>
      <c r="AZ3683">
        <v>21.09</v>
      </c>
      <c r="BA3683">
        <v>9.1300000000000008</v>
      </c>
      <c r="BB3683" t="s">
        <v>83</v>
      </c>
    </row>
    <row r="3684" spans="1:54" x14ac:dyDescent="0.4">
      <c r="A3684">
        <v>1419118</v>
      </c>
      <c r="D3684" t="s">
        <v>2001</v>
      </c>
      <c r="E3684" t="s">
        <v>55</v>
      </c>
      <c r="F3684" t="s">
        <v>600</v>
      </c>
      <c r="I3684" t="s">
        <v>57</v>
      </c>
      <c r="K3684" t="s">
        <v>232</v>
      </c>
      <c r="L3684" t="s">
        <v>804</v>
      </c>
      <c r="M3684" t="s">
        <v>223</v>
      </c>
      <c r="N3684" t="s">
        <v>234</v>
      </c>
      <c r="O3684" t="s">
        <v>87</v>
      </c>
      <c r="P3684" t="s">
        <v>103</v>
      </c>
      <c r="R3684" t="s">
        <v>104</v>
      </c>
      <c r="S3684" t="s">
        <v>64</v>
      </c>
      <c r="T3684">
        <v>251.2</v>
      </c>
      <c r="U3684">
        <v>246.7</v>
      </c>
      <c r="V3684">
        <f t="shared" si="114"/>
        <v>248.95</v>
      </c>
      <c r="W3684">
        <f t="shared" si="115"/>
        <v>4.5</v>
      </c>
      <c r="X3684">
        <v>-120.721947</v>
      </c>
      <c r="Y3684">
        <v>54.519444</v>
      </c>
      <c r="Z3684" t="s">
        <v>520</v>
      </c>
      <c r="AA3684" t="s">
        <v>1456</v>
      </c>
      <c r="AB3684" t="s">
        <v>1858</v>
      </c>
      <c r="AD3684" t="s">
        <v>1859</v>
      </c>
      <c r="AF3684" t="s">
        <v>3607</v>
      </c>
      <c r="AH3684" t="s">
        <v>72</v>
      </c>
      <c r="AI3684" t="s">
        <v>3320</v>
      </c>
      <c r="AJ3684">
        <v>1999</v>
      </c>
      <c r="AK3684" t="s">
        <v>3613</v>
      </c>
      <c r="AM3684" t="s">
        <v>3614</v>
      </c>
      <c r="AN3684" t="s">
        <v>76</v>
      </c>
      <c r="AO3684" t="s">
        <v>77</v>
      </c>
      <c r="AP3684" t="s">
        <v>78</v>
      </c>
      <c r="AQ3684" t="s">
        <v>3615</v>
      </c>
      <c r="AR3684" t="s">
        <v>80</v>
      </c>
      <c r="AS3684">
        <v>101</v>
      </c>
      <c r="AT3684" t="s">
        <v>81</v>
      </c>
      <c r="AU3684">
        <v>-32.1</v>
      </c>
      <c r="AV3684">
        <v>39.25</v>
      </c>
      <c r="AW3684" t="s">
        <v>82</v>
      </c>
      <c r="AX3684">
        <v>124</v>
      </c>
      <c r="AY3684" t="s">
        <v>81</v>
      </c>
      <c r="AZ3684">
        <v>-36.979999999999997</v>
      </c>
      <c r="BA3684">
        <v>27.32</v>
      </c>
      <c r="BB3684" t="s">
        <v>83</v>
      </c>
    </row>
    <row r="3685" spans="1:54" x14ac:dyDescent="0.4">
      <c r="A3685">
        <v>1419119</v>
      </c>
      <c r="D3685" t="s">
        <v>54</v>
      </c>
      <c r="I3685" t="s">
        <v>57</v>
      </c>
      <c r="K3685" t="s">
        <v>232</v>
      </c>
      <c r="L3685" t="s">
        <v>804</v>
      </c>
      <c r="M3685" t="s">
        <v>223</v>
      </c>
      <c r="N3685" t="s">
        <v>234</v>
      </c>
      <c r="O3685" t="s">
        <v>87</v>
      </c>
      <c r="P3685" t="s">
        <v>103</v>
      </c>
      <c r="R3685" t="s">
        <v>104</v>
      </c>
      <c r="S3685" t="s">
        <v>64</v>
      </c>
      <c r="T3685">
        <v>251.2</v>
      </c>
      <c r="U3685">
        <v>246.7</v>
      </c>
      <c r="V3685">
        <f t="shared" si="114"/>
        <v>248.95</v>
      </c>
      <c r="W3685">
        <f t="shared" si="115"/>
        <v>4.5</v>
      </c>
      <c r="X3685">
        <v>-120.721947</v>
      </c>
      <c r="Y3685">
        <v>54.519444</v>
      </c>
      <c r="Z3685" t="s">
        <v>520</v>
      </c>
      <c r="AA3685" t="s">
        <v>1456</v>
      </c>
      <c r="AB3685" t="s">
        <v>1858</v>
      </c>
      <c r="AD3685" t="s">
        <v>1859</v>
      </c>
      <c r="AF3685" t="s">
        <v>1860</v>
      </c>
      <c r="AH3685" t="s">
        <v>72</v>
      </c>
      <c r="AI3685" t="s">
        <v>3320</v>
      </c>
      <c r="AJ3685">
        <v>1999</v>
      </c>
      <c r="AK3685" t="s">
        <v>4478</v>
      </c>
      <c r="AM3685" t="s">
        <v>4479</v>
      </c>
      <c r="AN3685" t="s">
        <v>76</v>
      </c>
      <c r="AO3685" t="s">
        <v>77</v>
      </c>
      <c r="AP3685" t="s">
        <v>115</v>
      </c>
      <c r="AQ3685" t="s">
        <v>4480</v>
      </c>
      <c r="AR3685" t="s">
        <v>80</v>
      </c>
      <c r="AS3685">
        <v>101</v>
      </c>
      <c r="AT3685" t="s">
        <v>81</v>
      </c>
      <c r="AU3685">
        <v>-32.1</v>
      </c>
      <c r="AV3685">
        <v>39.25</v>
      </c>
      <c r="AW3685" t="s">
        <v>82</v>
      </c>
      <c r="AX3685">
        <v>124</v>
      </c>
      <c r="AY3685" t="s">
        <v>81</v>
      </c>
      <c r="AZ3685">
        <v>-36.979999999999997</v>
      </c>
      <c r="BA3685">
        <v>27.32</v>
      </c>
      <c r="BB3685" t="s">
        <v>83</v>
      </c>
    </row>
    <row r="3686" spans="1:54" x14ac:dyDescent="0.4">
      <c r="A3686">
        <v>1419165</v>
      </c>
      <c r="D3686" t="s">
        <v>54</v>
      </c>
      <c r="I3686" t="s">
        <v>57</v>
      </c>
      <c r="K3686" t="s">
        <v>141</v>
      </c>
      <c r="L3686" t="s">
        <v>3400</v>
      </c>
      <c r="M3686" t="s">
        <v>223</v>
      </c>
      <c r="P3686" t="s">
        <v>182</v>
      </c>
      <c r="R3686" t="s">
        <v>183</v>
      </c>
      <c r="S3686" t="s">
        <v>64</v>
      </c>
      <c r="T3686">
        <v>242</v>
      </c>
      <c r="U3686">
        <v>239.7</v>
      </c>
      <c r="V3686">
        <f t="shared" si="114"/>
        <v>240.85</v>
      </c>
      <c r="W3686">
        <f t="shared" si="115"/>
        <v>2.3000000000000114</v>
      </c>
      <c r="X3686">
        <v>18.780000999999999</v>
      </c>
      <c r="Y3686">
        <v>50.450001</v>
      </c>
      <c r="Z3686" t="s">
        <v>520</v>
      </c>
      <c r="AA3686" t="s">
        <v>697</v>
      </c>
      <c r="AD3686" t="s">
        <v>5246</v>
      </c>
      <c r="AH3686" t="s">
        <v>72</v>
      </c>
      <c r="AI3686" t="s">
        <v>5245</v>
      </c>
      <c r="AJ3686">
        <v>2017</v>
      </c>
      <c r="AK3686" t="s">
        <v>5248</v>
      </c>
      <c r="AN3686" t="s">
        <v>114</v>
      </c>
      <c r="AO3686">
        <v>2</v>
      </c>
      <c r="AP3686" t="s">
        <v>78</v>
      </c>
      <c r="AR3686" t="s">
        <v>80</v>
      </c>
      <c r="AS3686">
        <v>305</v>
      </c>
      <c r="AT3686" t="s">
        <v>81</v>
      </c>
      <c r="AU3686">
        <v>33.78</v>
      </c>
      <c r="AV3686">
        <v>31.78</v>
      </c>
      <c r="AW3686" t="s">
        <v>82</v>
      </c>
      <c r="AX3686">
        <v>305</v>
      </c>
      <c r="AY3686" t="s">
        <v>81</v>
      </c>
      <c r="AZ3686">
        <v>22.11</v>
      </c>
      <c r="BA3686">
        <v>20.2</v>
      </c>
      <c r="BB3686" t="s">
        <v>83</v>
      </c>
    </row>
    <row r="3687" spans="1:54" x14ac:dyDescent="0.4">
      <c r="A3687">
        <v>1420108</v>
      </c>
      <c r="D3687" t="s">
        <v>853</v>
      </c>
      <c r="I3687" t="s">
        <v>57</v>
      </c>
      <c r="K3687" t="s">
        <v>2124</v>
      </c>
      <c r="L3687" t="s">
        <v>2125</v>
      </c>
      <c r="M3687" t="s">
        <v>223</v>
      </c>
      <c r="N3687" t="s">
        <v>234</v>
      </c>
      <c r="O3687" t="s">
        <v>87</v>
      </c>
      <c r="P3687" t="s">
        <v>103</v>
      </c>
      <c r="R3687" t="s">
        <v>104</v>
      </c>
      <c r="S3687" t="s">
        <v>64</v>
      </c>
      <c r="T3687">
        <v>251.2</v>
      </c>
      <c r="U3687">
        <v>246.7</v>
      </c>
      <c r="V3687">
        <f t="shared" si="114"/>
        <v>248.95</v>
      </c>
      <c r="W3687">
        <f t="shared" si="115"/>
        <v>4.5</v>
      </c>
      <c r="X3687">
        <v>-122.397499</v>
      </c>
      <c r="Y3687">
        <v>54.941113000000001</v>
      </c>
      <c r="Z3687" t="s">
        <v>520</v>
      </c>
      <c r="AA3687" t="s">
        <v>1456</v>
      </c>
      <c r="AB3687" t="s">
        <v>1858</v>
      </c>
      <c r="AD3687" t="s">
        <v>1859</v>
      </c>
      <c r="AF3687" t="s">
        <v>3607</v>
      </c>
      <c r="AH3687" t="s">
        <v>11</v>
      </c>
      <c r="AI3687" t="s">
        <v>3612</v>
      </c>
      <c r="AJ3687">
        <v>2014</v>
      </c>
      <c r="AK3687" t="s">
        <v>5313</v>
      </c>
      <c r="AN3687" t="s">
        <v>76</v>
      </c>
      <c r="AO3687" t="s">
        <v>77</v>
      </c>
      <c r="AP3687" t="s">
        <v>78</v>
      </c>
      <c r="AR3687" t="s">
        <v>80</v>
      </c>
      <c r="AS3687">
        <v>101</v>
      </c>
      <c r="AT3687" t="s">
        <v>81</v>
      </c>
      <c r="AU3687">
        <v>-32.93</v>
      </c>
      <c r="AV3687">
        <v>40.090000000000003</v>
      </c>
      <c r="AW3687" t="s">
        <v>82</v>
      </c>
      <c r="AX3687">
        <v>124</v>
      </c>
      <c r="AY3687" t="s">
        <v>81</v>
      </c>
      <c r="AZ3687">
        <v>-37.549999999999997</v>
      </c>
      <c r="BA3687">
        <v>28.25</v>
      </c>
      <c r="BB3687" t="s">
        <v>83</v>
      </c>
    </row>
    <row r="3688" spans="1:54" x14ac:dyDescent="0.4">
      <c r="A3688">
        <v>1445534</v>
      </c>
      <c r="D3688" t="s">
        <v>54</v>
      </c>
      <c r="G3688">
        <v>1</v>
      </c>
      <c r="H3688" t="s">
        <v>84</v>
      </c>
      <c r="I3688" t="s">
        <v>57</v>
      </c>
      <c r="K3688" t="s">
        <v>221</v>
      </c>
      <c r="L3688" t="s">
        <v>222</v>
      </c>
      <c r="M3688" t="s">
        <v>223</v>
      </c>
      <c r="P3688" t="s">
        <v>182</v>
      </c>
      <c r="R3688" t="s">
        <v>183</v>
      </c>
      <c r="S3688" t="s">
        <v>64</v>
      </c>
      <c r="T3688">
        <v>242</v>
      </c>
      <c r="U3688">
        <v>239.7</v>
      </c>
      <c r="V3688">
        <f t="shared" si="114"/>
        <v>240.85</v>
      </c>
      <c r="W3688">
        <f t="shared" si="115"/>
        <v>2.3000000000000114</v>
      </c>
      <c r="X3688">
        <v>8.8030559999999998</v>
      </c>
      <c r="Y3688">
        <v>45.854168000000001</v>
      </c>
      <c r="Z3688" t="s">
        <v>1415</v>
      </c>
      <c r="AA3688" t="s">
        <v>593</v>
      </c>
      <c r="AD3688" t="s">
        <v>5413</v>
      </c>
      <c r="AG3688" t="s">
        <v>5414</v>
      </c>
      <c r="AH3688" t="s">
        <v>11</v>
      </c>
      <c r="AI3688" t="s">
        <v>5409</v>
      </c>
      <c r="AJ3688">
        <v>2013</v>
      </c>
      <c r="AK3688" t="s">
        <v>5415</v>
      </c>
      <c r="AN3688" t="s">
        <v>192</v>
      </c>
      <c r="AO3688" t="s">
        <v>77</v>
      </c>
      <c r="AP3688" t="s">
        <v>78</v>
      </c>
      <c r="AR3688" t="s">
        <v>80</v>
      </c>
      <c r="AS3688">
        <v>307</v>
      </c>
      <c r="AT3688" t="s">
        <v>81</v>
      </c>
      <c r="AU3688">
        <v>33.299999999999997</v>
      </c>
      <c r="AV3688">
        <v>18.170000000000002</v>
      </c>
      <c r="AW3688" t="s">
        <v>82</v>
      </c>
      <c r="AX3688">
        <v>307</v>
      </c>
      <c r="AY3688" t="s">
        <v>81</v>
      </c>
      <c r="AZ3688">
        <v>20.09</v>
      </c>
      <c r="BA3688">
        <v>8.9</v>
      </c>
      <c r="BB3688" t="s">
        <v>83</v>
      </c>
    </row>
    <row r="3689" spans="1:54" x14ac:dyDescent="0.4">
      <c r="A3689">
        <v>1529520</v>
      </c>
      <c r="D3689" t="s">
        <v>54</v>
      </c>
      <c r="I3689" t="s">
        <v>57</v>
      </c>
      <c r="K3689" t="s">
        <v>232</v>
      </c>
      <c r="L3689" t="s">
        <v>804</v>
      </c>
      <c r="M3689" t="s">
        <v>223</v>
      </c>
      <c r="N3689" t="s">
        <v>234</v>
      </c>
      <c r="O3689" t="s">
        <v>87</v>
      </c>
      <c r="P3689" t="s">
        <v>103</v>
      </c>
      <c r="R3689" t="s">
        <v>104</v>
      </c>
      <c r="S3689" t="s">
        <v>64</v>
      </c>
      <c r="T3689">
        <v>251.2</v>
      </c>
      <c r="U3689">
        <v>246.7</v>
      </c>
      <c r="V3689">
        <f t="shared" si="114"/>
        <v>248.95</v>
      </c>
      <c r="W3689">
        <f t="shared" si="115"/>
        <v>4.5</v>
      </c>
      <c r="X3689">
        <v>-121.673058</v>
      </c>
      <c r="Y3689">
        <v>54.531387000000002</v>
      </c>
      <c r="Z3689" t="s">
        <v>1857</v>
      </c>
      <c r="AA3689" t="s">
        <v>1456</v>
      </c>
      <c r="AB3689" t="s">
        <v>1858</v>
      </c>
      <c r="AD3689" t="s">
        <v>1859</v>
      </c>
      <c r="AF3689" t="s">
        <v>1860</v>
      </c>
      <c r="AH3689" t="s">
        <v>72</v>
      </c>
      <c r="AI3689" t="s">
        <v>5496</v>
      </c>
      <c r="AJ3689">
        <v>1989</v>
      </c>
      <c r="AK3689" t="s">
        <v>1862</v>
      </c>
      <c r="AN3689" t="s">
        <v>76</v>
      </c>
      <c r="AO3689" t="s">
        <v>77</v>
      </c>
      <c r="AP3689" t="s">
        <v>636</v>
      </c>
      <c r="AQ3689" t="s">
        <v>1863</v>
      </c>
      <c r="AR3689" t="s">
        <v>80</v>
      </c>
      <c r="AS3689">
        <v>101</v>
      </c>
      <c r="AT3689" t="s">
        <v>81</v>
      </c>
      <c r="AU3689">
        <v>-32.71</v>
      </c>
      <c r="AV3689">
        <v>39.53</v>
      </c>
      <c r="AW3689" t="s">
        <v>82</v>
      </c>
      <c r="AX3689">
        <v>124</v>
      </c>
      <c r="AY3689" t="s">
        <v>81</v>
      </c>
      <c r="AZ3689">
        <v>-37.47</v>
      </c>
      <c r="BA3689">
        <v>27.66</v>
      </c>
      <c r="BB3689" t="s">
        <v>83</v>
      </c>
    </row>
    <row r="3690" spans="1:54" x14ac:dyDescent="0.4">
      <c r="A3690">
        <v>1529521</v>
      </c>
      <c r="D3690" t="s">
        <v>54</v>
      </c>
      <c r="I3690" t="s">
        <v>57</v>
      </c>
      <c r="K3690" t="s">
        <v>232</v>
      </c>
      <c r="L3690" t="s">
        <v>804</v>
      </c>
      <c r="M3690" t="s">
        <v>223</v>
      </c>
      <c r="N3690" t="s">
        <v>234</v>
      </c>
      <c r="O3690" t="s">
        <v>87</v>
      </c>
      <c r="P3690" t="s">
        <v>103</v>
      </c>
      <c r="R3690" t="s">
        <v>104</v>
      </c>
      <c r="S3690" t="s">
        <v>64</v>
      </c>
      <c r="T3690">
        <v>251.2</v>
      </c>
      <c r="U3690">
        <v>246.7</v>
      </c>
      <c r="V3690">
        <f t="shared" si="114"/>
        <v>248.95</v>
      </c>
      <c r="W3690">
        <f t="shared" si="115"/>
        <v>4.5</v>
      </c>
      <c r="X3690">
        <v>-121.673058</v>
      </c>
      <c r="Y3690">
        <v>54.531387000000002</v>
      </c>
      <c r="Z3690" t="s">
        <v>1857</v>
      </c>
      <c r="AA3690" t="s">
        <v>1456</v>
      </c>
      <c r="AB3690" t="s">
        <v>1858</v>
      </c>
      <c r="AD3690" t="s">
        <v>1859</v>
      </c>
      <c r="AF3690" t="s">
        <v>1860</v>
      </c>
      <c r="AH3690" t="s">
        <v>72</v>
      </c>
      <c r="AI3690" t="s">
        <v>5496</v>
      </c>
      <c r="AJ3690">
        <v>1989</v>
      </c>
      <c r="AK3690" t="s">
        <v>1862</v>
      </c>
      <c r="AN3690" t="s">
        <v>76</v>
      </c>
      <c r="AO3690" t="s">
        <v>77</v>
      </c>
      <c r="AP3690" t="s">
        <v>636</v>
      </c>
      <c r="AQ3690" t="s">
        <v>1863</v>
      </c>
      <c r="AR3690" t="s">
        <v>80</v>
      </c>
      <c r="AS3690">
        <v>101</v>
      </c>
      <c r="AT3690" t="s">
        <v>81</v>
      </c>
      <c r="AU3690">
        <v>-32.71</v>
      </c>
      <c r="AV3690">
        <v>39.53</v>
      </c>
      <c r="AW3690" t="s">
        <v>82</v>
      </c>
      <c r="AX3690">
        <v>124</v>
      </c>
      <c r="AY3690" t="s">
        <v>81</v>
      </c>
      <c r="AZ3690">
        <v>-37.47</v>
      </c>
      <c r="BA3690">
        <v>27.66</v>
      </c>
      <c r="BB3690" t="s">
        <v>83</v>
      </c>
    </row>
    <row r="3691" spans="1:54" x14ac:dyDescent="0.4">
      <c r="A3691">
        <v>1648022</v>
      </c>
      <c r="D3691" t="s">
        <v>853</v>
      </c>
      <c r="F3691" t="s">
        <v>2523</v>
      </c>
      <c r="G3691">
        <v>15</v>
      </c>
      <c r="H3691" t="s">
        <v>84</v>
      </c>
      <c r="I3691" t="s">
        <v>57</v>
      </c>
      <c r="K3691" t="s">
        <v>141</v>
      </c>
      <c r="L3691" t="s">
        <v>5686</v>
      </c>
      <c r="M3691" t="s">
        <v>223</v>
      </c>
      <c r="P3691" t="s">
        <v>182</v>
      </c>
      <c r="R3691" t="s">
        <v>183</v>
      </c>
      <c r="S3691" t="s">
        <v>64</v>
      </c>
      <c r="T3691">
        <v>242</v>
      </c>
      <c r="U3691">
        <v>239.7</v>
      </c>
      <c r="V3691">
        <f t="shared" si="114"/>
        <v>240.85</v>
      </c>
      <c r="W3691">
        <f t="shared" si="115"/>
        <v>2.3000000000000114</v>
      </c>
      <c r="X3691">
        <v>9.82</v>
      </c>
      <c r="Y3691">
        <v>46.68</v>
      </c>
      <c r="Z3691" t="s">
        <v>1681</v>
      </c>
      <c r="AA3691" t="s">
        <v>226</v>
      </c>
      <c r="AD3691" t="s">
        <v>4585</v>
      </c>
      <c r="AH3691" t="s">
        <v>72</v>
      </c>
      <c r="AI3691" t="s">
        <v>3204</v>
      </c>
      <c r="AJ3691">
        <v>2022</v>
      </c>
      <c r="AK3691" t="s">
        <v>5166</v>
      </c>
      <c r="AN3691" t="s">
        <v>114</v>
      </c>
      <c r="AO3691">
        <v>2</v>
      </c>
      <c r="AP3691" t="s">
        <v>78</v>
      </c>
      <c r="AQ3691" t="s">
        <v>5167</v>
      </c>
      <c r="AR3691" t="s">
        <v>80</v>
      </c>
      <c r="AS3691">
        <v>307</v>
      </c>
      <c r="AT3691" t="s">
        <v>81</v>
      </c>
      <c r="AU3691">
        <v>34.409999999999997</v>
      </c>
      <c r="AV3691">
        <v>17.920000000000002</v>
      </c>
      <c r="AW3691" t="s">
        <v>82</v>
      </c>
      <c r="AX3691">
        <v>307</v>
      </c>
      <c r="AY3691" t="s">
        <v>81</v>
      </c>
      <c r="AZ3691">
        <v>21.16</v>
      </c>
      <c r="BA3691">
        <v>9.14</v>
      </c>
      <c r="BB3691" t="s">
        <v>83</v>
      </c>
    </row>
    <row r="3692" spans="1:54" x14ac:dyDescent="0.4">
      <c r="A3692">
        <v>733517</v>
      </c>
      <c r="D3692" t="s">
        <v>54</v>
      </c>
      <c r="E3692" t="s">
        <v>154</v>
      </c>
      <c r="G3692">
        <v>3</v>
      </c>
      <c r="H3692" t="s">
        <v>84</v>
      </c>
      <c r="I3692" t="s">
        <v>57</v>
      </c>
      <c r="K3692" t="s">
        <v>499</v>
      </c>
      <c r="L3692" t="s">
        <v>1535</v>
      </c>
      <c r="M3692" t="s">
        <v>60</v>
      </c>
      <c r="O3692" t="s">
        <v>170</v>
      </c>
      <c r="P3692" t="s">
        <v>1536</v>
      </c>
      <c r="R3692" t="s">
        <v>512</v>
      </c>
      <c r="S3692" t="s">
        <v>123</v>
      </c>
      <c r="T3692">
        <v>254.14</v>
      </c>
      <c r="U3692">
        <v>251.90199999999999</v>
      </c>
      <c r="V3692">
        <f t="shared" si="114"/>
        <v>253.02099999999999</v>
      </c>
      <c r="W3692">
        <f t="shared" si="115"/>
        <v>2.2379999999999995</v>
      </c>
      <c r="X3692">
        <v>110.815926</v>
      </c>
      <c r="Y3692">
        <v>37.412757999999997</v>
      </c>
      <c r="Z3692" t="s">
        <v>105</v>
      </c>
      <c r="AA3692" t="s">
        <v>379</v>
      </c>
      <c r="AB3692" t="s">
        <v>1537</v>
      </c>
      <c r="AC3692" t="s">
        <v>1538</v>
      </c>
      <c r="AD3692" t="s">
        <v>1539</v>
      </c>
      <c r="AH3692" t="s">
        <v>72</v>
      </c>
      <c r="AI3692" t="s">
        <v>1540</v>
      </c>
      <c r="AJ3692">
        <v>1989</v>
      </c>
      <c r="AK3692" t="s">
        <v>1541</v>
      </c>
      <c r="AN3692" t="s">
        <v>76</v>
      </c>
      <c r="AO3692">
        <v>6</v>
      </c>
      <c r="AP3692" t="s">
        <v>115</v>
      </c>
      <c r="AQ3692" t="s">
        <v>1542</v>
      </c>
      <c r="AR3692" t="s">
        <v>80</v>
      </c>
      <c r="AS3692">
        <v>604</v>
      </c>
      <c r="AT3692" t="s">
        <v>81</v>
      </c>
      <c r="AU3692">
        <v>113.84</v>
      </c>
      <c r="AV3692">
        <v>12.41</v>
      </c>
      <c r="AW3692" t="s">
        <v>82</v>
      </c>
      <c r="AX3692">
        <v>604</v>
      </c>
      <c r="AY3692" t="s">
        <v>81</v>
      </c>
      <c r="AZ3692">
        <v>90.62</v>
      </c>
      <c r="BA3692">
        <v>31.51</v>
      </c>
      <c r="BB3692" t="s">
        <v>83</v>
      </c>
    </row>
    <row r="3693" spans="1:54" x14ac:dyDescent="0.4">
      <c r="A3693">
        <v>749982</v>
      </c>
      <c r="D3693" t="s">
        <v>54</v>
      </c>
      <c r="G3693">
        <v>1</v>
      </c>
      <c r="H3693" t="s">
        <v>56</v>
      </c>
      <c r="I3693" t="s">
        <v>57</v>
      </c>
      <c r="K3693" t="s">
        <v>1630</v>
      </c>
      <c r="L3693" t="s">
        <v>1637</v>
      </c>
      <c r="M3693" t="s">
        <v>60</v>
      </c>
      <c r="P3693" t="s">
        <v>1536</v>
      </c>
      <c r="R3693" t="s">
        <v>512</v>
      </c>
      <c r="S3693" t="s">
        <v>123</v>
      </c>
      <c r="T3693">
        <v>254.14</v>
      </c>
      <c r="U3693">
        <v>251.90199999999999</v>
      </c>
      <c r="V3693">
        <f t="shared" si="114"/>
        <v>253.02099999999999</v>
      </c>
      <c r="W3693">
        <f t="shared" si="115"/>
        <v>2.2379999999999995</v>
      </c>
      <c r="X3693">
        <v>23.888888999999999</v>
      </c>
      <c r="Y3693">
        <v>-31.908055999999998</v>
      </c>
      <c r="Z3693" t="s">
        <v>124</v>
      </c>
      <c r="AA3693" t="s">
        <v>106</v>
      </c>
      <c r="AB3693" t="s">
        <v>334</v>
      </c>
      <c r="AC3693" t="s">
        <v>1638</v>
      </c>
      <c r="AD3693" t="s">
        <v>1654</v>
      </c>
      <c r="AE3693" t="s">
        <v>110</v>
      </c>
      <c r="AG3693" t="s">
        <v>1646</v>
      </c>
      <c r="AH3693" t="s">
        <v>72</v>
      </c>
      <c r="AI3693" t="s">
        <v>1633</v>
      </c>
      <c r="AJ3693">
        <v>1972</v>
      </c>
      <c r="AK3693" t="s">
        <v>1655</v>
      </c>
      <c r="AM3693" t="s">
        <v>1656</v>
      </c>
      <c r="AN3693" t="s">
        <v>114</v>
      </c>
      <c r="AO3693" t="s">
        <v>77</v>
      </c>
      <c r="AP3693" t="s">
        <v>115</v>
      </c>
      <c r="AQ3693" t="s">
        <v>1657</v>
      </c>
      <c r="AR3693" t="s">
        <v>80</v>
      </c>
      <c r="AS3693">
        <v>701</v>
      </c>
      <c r="AT3693" t="s">
        <v>81</v>
      </c>
      <c r="AU3693">
        <v>-15.69</v>
      </c>
      <c r="AV3693">
        <v>-50.19</v>
      </c>
      <c r="AW3693" t="s">
        <v>82</v>
      </c>
      <c r="AX3693">
        <v>701</v>
      </c>
      <c r="AY3693" t="s">
        <v>81</v>
      </c>
      <c r="AZ3693">
        <v>-26.61</v>
      </c>
      <c r="BA3693">
        <v>-62.32</v>
      </c>
      <c r="BB3693" t="s">
        <v>83</v>
      </c>
    </row>
    <row r="3694" spans="1:54" x14ac:dyDescent="0.4">
      <c r="A3694">
        <v>786315</v>
      </c>
      <c r="D3694" t="s">
        <v>54</v>
      </c>
      <c r="G3694">
        <v>1</v>
      </c>
      <c r="H3694" t="s">
        <v>56</v>
      </c>
      <c r="I3694" t="s">
        <v>57</v>
      </c>
      <c r="K3694" t="s">
        <v>275</v>
      </c>
      <c r="L3694" t="s">
        <v>1772</v>
      </c>
      <c r="M3694" t="s">
        <v>60</v>
      </c>
      <c r="N3694" t="s">
        <v>119</v>
      </c>
      <c r="O3694" t="s">
        <v>134</v>
      </c>
      <c r="P3694" t="s">
        <v>1536</v>
      </c>
      <c r="R3694" t="s">
        <v>512</v>
      </c>
      <c r="S3694" t="s">
        <v>123</v>
      </c>
      <c r="T3694">
        <v>254.14</v>
      </c>
      <c r="U3694">
        <v>251.90199999999999</v>
      </c>
      <c r="V3694">
        <f t="shared" si="114"/>
        <v>253.02099999999999</v>
      </c>
      <c r="W3694">
        <f t="shared" si="115"/>
        <v>2.2379999999999995</v>
      </c>
      <c r="X3694">
        <v>7.5333329999999998</v>
      </c>
      <c r="Y3694">
        <v>18.510555</v>
      </c>
      <c r="Z3694" t="s">
        <v>198</v>
      </c>
      <c r="AA3694" t="s">
        <v>1773</v>
      </c>
      <c r="AB3694" t="s">
        <v>1774</v>
      </c>
      <c r="AC3694" t="s">
        <v>1775</v>
      </c>
      <c r="AD3694" t="s">
        <v>1776</v>
      </c>
      <c r="AE3694" t="s">
        <v>1777</v>
      </c>
      <c r="AH3694" t="s">
        <v>72</v>
      </c>
      <c r="AI3694" t="s">
        <v>1778</v>
      </c>
      <c r="AJ3694">
        <v>1969</v>
      </c>
      <c r="AK3694" t="s">
        <v>1779</v>
      </c>
      <c r="AM3694" t="s">
        <v>1780</v>
      </c>
      <c r="AN3694" t="s">
        <v>192</v>
      </c>
      <c r="AO3694" t="s">
        <v>77</v>
      </c>
      <c r="AP3694" t="s">
        <v>78</v>
      </c>
      <c r="AQ3694" t="s">
        <v>1781</v>
      </c>
      <c r="AR3694" t="s">
        <v>80</v>
      </c>
      <c r="AS3694">
        <v>714</v>
      </c>
      <c r="AT3694" t="s">
        <v>81</v>
      </c>
      <c r="AU3694">
        <v>13.23</v>
      </c>
      <c r="AV3694">
        <v>-3.88</v>
      </c>
      <c r="AW3694" t="s">
        <v>82</v>
      </c>
      <c r="AX3694">
        <v>714</v>
      </c>
      <c r="AY3694" t="s">
        <v>81</v>
      </c>
      <c r="AZ3694">
        <v>8.6199999999999992</v>
      </c>
      <c r="BA3694">
        <v>-16.18</v>
      </c>
      <c r="BB3694" t="s">
        <v>83</v>
      </c>
    </row>
    <row r="3695" spans="1:54" x14ac:dyDescent="0.4">
      <c r="A3695">
        <v>786315</v>
      </c>
      <c r="D3695" t="s">
        <v>54</v>
      </c>
      <c r="G3695">
        <v>1</v>
      </c>
      <c r="H3695" t="s">
        <v>56</v>
      </c>
      <c r="I3695" t="s">
        <v>57</v>
      </c>
      <c r="K3695" t="s">
        <v>275</v>
      </c>
      <c r="L3695" t="s">
        <v>1772</v>
      </c>
      <c r="M3695" t="s">
        <v>60</v>
      </c>
      <c r="N3695" t="s">
        <v>119</v>
      </c>
      <c r="O3695" t="s">
        <v>134</v>
      </c>
      <c r="P3695" t="s">
        <v>1536</v>
      </c>
      <c r="R3695" t="s">
        <v>512</v>
      </c>
      <c r="S3695" t="s">
        <v>123</v>
      </c>
      <c r="T3695">
        <v>254.14</v>
      </c>
      <c r="U3695">
        <v>251.90199999999999</v>
      </c>
      <c r="V3695">
        <f t="shared" si="114"/>
        <v>253.02099999999999</v>
      </c>
      <c r="W3695">
        <f t="shared" si="115"/>
        <v>2.2379999999999995</v>
      </c>
      <c r="X3695">
        <v>7.5333329999999998</v>
      </c>
      <c r="Y3695">
        <v>18.510555</v>
      </c>
      <c r="Z3695" t="s">
        <v>198</v>
      </c>
      <c r="AA3695" t="s">
        <v>1773</v>
      </c>
      <c r="AB3695" t="s">
        <v>1774</v>
      </c>
      <c r="AC3695" t="s">
        <v>1775</v>
      </c>
      <c r="AD3695" t="s">
        <v>1776</v>
      </c>
      <c r="AE3695" t="s">
        <v>1777</v>
      </c>
      <c r="AH3695" t="s">
        <v>72</v>
      </c>
      <c r="AI3695" t="s">
        <v>1778</v>
      </c>
      <c r="AJ3695">
        <v>1969</v>
      </c>
      <c r="AK3695" t="s">
        <v>1779</v>
      </c>
      <c r="AM3695" t="s">
        <v>1780</v>
      </c>
      <c r="AN3695" t="s">
        <v>192</v>
      </c>
      <c r="AO3695" t="s">
        <v>77</v>
      </c>
      <c r="AP3695" t="s">
        <v>78</v>
      </c>
      <c r="AQ3695" t="s">
        <v>1781</v>
      </c>
      <c r="AR3695" t="s">
        <v>80</v>
      </c>
      <c r="AS3695">
        <v>714</v>
      </c>
      <c r="AT3695" t="s">
        <v>81</v>
      </c>
      <c r="AU3695">
        <v>13.23</v>
      </c>
      <c r="AV3695">
        <v>-3.88</v>
      </c>
      <c r="AW3695" t="s">
        <v>82</v>
      </c>
      <c r="AX3695">
        <v>714</v>
      </c>
      <c r="AY3695" t="s">
        <v>81</v>
      </c>
      <c r="AZ3695">
        <v>8.6199999999999992</v>
      </c>
      <c r="BA3695">
        <v>-16.18</v>
      </c>
      <c r="BB3695" t="s">
        <v>83</v>
      </c>
    </row>
    <row r="3696" spans="1:54" x14ac:dyDescent="0.4">
      <c r="A3696">
        <v>786315</v>
      </c>
      <c r="D3696" t="s">
        <v>54</v>
      </c>
      <c r="G3696">
        <v>1</v>
      </c>
      <c r="H3696" t="s">
        <v>56</v>
      </c>
      <c r="I3696" t="s">
        <v>57</v>
      </c>
      <c r="K3696" t="s">
        <v>275</v>
      </c>
      <c r="L3696" t="s">
        <v>1772</v>
      </c>
      <c r="M3696" t="s">
        <v>60</v>
      </c>
      <c r="N3696" t="s">
        <v>119</v>
      </c>
      <c r="O3696" t="s">
        <v>134</v>
      </c>
      <c r="P3696" t="s">
        <v>1536</v>
      </c>
      <c r="R3696" t="s">
        <v>512</v>
      </c>
      <c r="S3696" t="s">
        <v>123</v>
      </c>
      <c r="T3696">
        <v>254.14</v>
      </c>
      <c r="U3696">
        <v>251.90199999999999</v>
      </c>
      <c r="V3696">
        <f t="shared" si="114"/>
        <v>253.02099999999999</v>
      </c>
      <c r="W3696">
        <f t="shared" si="115"/>
        <v>2.2379999999999995</v>
      </c>
      <c r="X3696">
        <v>7.5333329999999998</v>
      </c>
      <c r="Y3696">
        <v>18.510555</v>
      </c>
      <c r="Z3696" t="s">
        <v>198</v>
      </c>
      <c r="AA3696" t="s">
        <v>1773</v>
      </c>
      <c r="AB3696" t="s">
        <v>1774</v>
      </c>
      <c r="AC3696" t="s">
        <v>1775</v>
      </c>
      <c r="AD3696" t="s">
        <v>1776</v>
      </c>
      <c r="AE3696" t="s">
        <v>1777</v>
      </c>
      <c r="AH3696" t="s">
        <v>72</v>
      </c>
      <c r="AI3696" t="s">
        <v>1778</v>
      </c>
      <c r="AJ3696">
        <v>1969</v>
      </c>
      <c r="AK3696" t="s">
        <v>1779</v>
      </c>
      <c r="AM3696" t="s">
        <v>1780</v>
      </c>
      <c r="AN3696" t="s">
        <v>192</v>
      </c>
      <c r="AO3696" t="s">
        <v>77</v>
      </c>
      <c r="AP3696" t="s">
        <v>78</v>
      </c>
      <c r="AQ3696" t="s">
        <v>1781</v>
      </c>
      <c r="AR3696" t="s">
        <v>80</v>
      </c>
      <c r="AS3696">
        <v>714</v>
      </c>
      <c r="AT3696" t="s">
        <v>81</v>
      </c>
      <c r="AU3696">
        <v>13.23</v>
      </c>
      <c r="AV3696">
        <v>-3.88</v>
      </c>
      <c r="AW3696" t="s">
        <v>82</v>
      </c>
      <c r="AX3696">
        <v>714</v>
      </c>
      <c r="AY3696" t="s">
        <v>81</v>
      </c>
      <c r="AZ3696">
        <v>8.6199999999999992</v>
      </c>
      <c r="BA3696">
        <v>-16.18</v>
      </c>
      <c r="BB3696" t="s">
        <v>83</v>
      </c>
    </row>
    <row r="3697" spans="1:54" x14ac:dyDescent="0.4">
      <c r="A3697">
        <v>786668</v>
      </c>
      <c r="D3697" t="s">
        <v>54</v>
      </c>
      <c r="G3697">
        <v>1</v>
      </c>
      <c r="H3697" t="s">
        <v>56</v>
      </c>
      <c r="I3697" t="s">
        <v>57</v>
      </c>
      <c r="K3697" t="s">
        <v>141</v>
      </c>
      <c r="L3697" t="s">
        <v>1791</v>
      </c>
      <c r="M3697" t="s">
        <v>60</v>
      </c>
      <c r="O3697" t="s">
        <v>170</v>
      </c>
      <c r="P3697" t="s">
        <v>1536</v>
      </c>
      <c r="R3697" t="s">
        <v>512</v>
      </c>
      <c r="S3697" t="s">
        <v>123</v>
      </c>
      <c r="T3697">
        <v>254.14</v>
      </c>
      <c r="U3697">
        <v>251.90199999999999</v>
      </c>
      <c r="V3697">
        <f t="shared" si="114"/>
        <v>253.02099999999999</v>
      </c>
      <c r="W3697">
        <f t="shared" si="115"/>
        <v>2.2379999999999995</v>
      </c>
      <c r="X3697">
        <v>7.197222</v>
      </c>
      <c r="Y3697">
        <v>18.783332999999999</v>
      </c>
      <c r="Z3697" t="s">
        <v>198</v>
      </c>
      <c r="AA3697" t="s">
        <v>1773</v>
      </c>
      <c r="AB3697" t="s">
        <v>1774</v>
      </c>
      <c r="AC3697" t="s">
        <v>1775</v>
      </c>
      <c r="AD3697" t="s">
        <v>1776</v>
      </c>
      <c r="AE3697" t="s">
        <v>1777</v>
      </c>
      <c r="AH3697" t="s">
        <v>72</v>
      </c>
      <c r="AI3697" t="s">
        <v>1792</v>
      </c>
      <c r="AJ3697">
        <v>2003</v>
      </c>
      <c r="AK3697" t="s">
        <v>1793</v>
      </c>
      <c r="AM3697" t="s">
        <v>1780</v>
      </c>
      <c r="AN3697" t="s">
        <v>76</v>
      </c>
      <c r="AO3697" t="s">
        <v>77</v>
      </c>
      <c r="AP3697" t="s">
        <v>78</v>
      </c>
      <c r="AQ3697" t="s">
        <v>1794</v>
      </c>
      <c r="AR3697" t="s">
        <v>80</v>
      </c>
      <c r="AS3697">
        <v>714</v>
      </c>
      <c r="AT3697" t="s">
        <v>81</v>
      </c>
      <c r="AU3697">
        <v>13.12</v>
      </c>
      <c r="AV3697">
        <v>-3.48</v>
      </c>
      <c r="AW3697" t="s">
        <v>82</v>
      </c>
      <c r="AX3697">
        <v>714</v>
      </c>
      <c r="AY3697" t="s">
        <v>81</v>
      </c>
      <c r="AZ3697">
        <v>8.49</v>
      </c>
      <c r="BA3697">
        <v>-15.78</v>
      </c>
      <c r="BB3697" t="s">
        <v>83</v>
      </c>
    </row>
    <row r="3698" spans="1:54" x14ac:dyDescent="0.4">
      <c r="A3698">
        <v>789102</v>
      </c>
      <c r="D3698" t="s">
        <v>54</v>
      </c>
      <c r="G3698">
        <v>1</v>
      </c>
      <c r="H3698" t="s">
        <v>56</v>
      </c>
      <c r="I3698" t="s">
        <v>57</v>
      </c>
      <c r="K3698" t="s">
        <v>275</v>
      </c>
      <c r="L3698" t="s">
        <v>1772</v>
      </c>
      <c r="M3698" t="s">
        <v>60</v>
      </c>
      <c r="N3698" t="s">
        <v>119</v>
      </c>
      <c r="O3698" t="s">
        <v>134</v>
      </c>
      <c r="P3698" t="s">
        <v>1536</v>
      </c>
      <c r="R3698" t="s">
        <v>512</v>
      </c>
      <c r="S3698" t="s">
        <v>123</v>
      </c>
      <c r="T3698">
        <v>254.14</v>
      </c>
      <c r="U3698">
        <v>251.90199999999999</v>
      </c>
      <c r="V3698">
        <f t="shared" si="114"/>
        <v>253.02099999999999</v>
      </c>
      <c r="W3698">
        <f t="shared" si="115"/>
        <v>2.2379999999999995</v>
      </c>
      <c r="X3698">
        <v>7.197222</v>
      </c>
      <c r="Y3698">
        <v>18.783332999999999</v>
      </c>
      <c r="Z3698" t="s">
        <v>198</v>
      </c>
      <c r="AA3698" t="s">
        <v>1773</v>
      </c>
      <c r="AB3698" t="s">
        <v>1774</v>
      </c>
      <c r="AC3698" t="s">
        <v>1775</v>
      </c>
      <c r="AD3698" t="s">
        <v>1776</v>
      </c>
      <c r="AE3698" t="s">
        <v>1777</v>
      </c>
      <c r="AH3698" t="s">
        <v>72</v>
      </c>
      <c r="AI3698" t="s">
        <v>1845</v>
      </c>
      <c r="AJ3698">
        <v>2005</v>
      </c>
      <c r="AK3698" t="s">
        <v>1793</v>
      </c>
      <c r="AM3698" t="s">
        <v>1780</v>
      </c>
      <c r="AN3698" t="s">
        <v>76</v>
      </c>
      <c r="AO3698" t="s">
        <v>77</v>
      </c>
      <c r="AP3698" t="s">
        <v>78</v>
      </c>
      <c r="AQ3698" t="s">
        <v>1794</v>
      </c>
      <c r="AR3698" t="s">
        <v>80</v>
      </c>
      <c r="AS3698">
        <v>714</v>
      </c>
      <c r="AT3698" t="s">
        <v>81</v>
      </c>
      <c r="AU3698">
        <v>13.12</v>
      </c>
      <c r="AV3698">
        <v>-3.48</v>
      </c>
      <c r="AW3698" t="s">
        <v>82</v>
      </c>
      <c r="AX3698">
        <v>714</v>
      </c>
      <c r="AY3698" t="s">
        <v>81</v>
      </c>
      <c r="AZ3698">
        <v>8.49</v>
      </c>
      <c r="BA3698">
        <v>-15.78</v>
      </c>
      <c r="BB3698" t="s">
        <v>83</v>
      </c>
    </row>
    <row r="3699" spans="1:54" x14ac:dyDescent="0.4">
      <c r="A3699">
        <v>832705</v>
      </c>
      <c r="D3699" t="s">
        <v>2134</v>
      </c>
      <c r="E3699" t="s">
        <v>55</v>
      </c>
      <c r="G3699">
        <v>1</v>
      </c>
      <c r="H3699" t="s">
        <v>56</v>
      </c>
      <c r="I3699" t="s">
        <v>57</v>
      </c>
      <c r="K3699" t="s">
        <v>2060</v>
      </c>
      <c r="L3699" t="s">
        <v>2568</v>
      </c>
      <c r="M3699" t="s">
        <v>60</v>
      </c>
      <c r="O3699" t="s">
        <v>170</v>
      </c>
      <c r="P3699" t="s">
        <v>1536</v>
      </c>
      <c r="R3699" t="s">
        <v>512</v>
      </c>
      <c r="S3699" t="s">
        <v>123</v>
      </c>
      <c r="T3699">
        <v>254.14</v>
      </c>
      <c r="U3699">
        <v>251.90199999999999</v>
      </c>
      <c r="V3699">
        <f t="shared" si="114"/>
        <v>253.02099999999999</v>
      </c>
      <c r="W3699">
        <f t="shared" si="115"/>
        <v>2.2379999999999995</v>
      </c>
      <c r="X3699">
        <v>-3.368611</v>
      </c>
      <c r="Y3699">
        <v>57.656387000000002</v>
      </c>
      <c r="Z3699" t="s">
        <v>105</v>
      </c>
      <c r="AA3699" t="s">
        <v>91</v>
      </c>
      <c r="AB3699" t="s">
        <v>2569</v>
      </c>
      <c r="AC3699" t="s">
        <v>2570</v>
      </c>
      <c r="AD3699" t="s">
        <v>2571</v>
      </c>
      <c r="AH3699" t="s">
        <v>72</v>
      </c>
      <c r="AI3699" t="s">
        <v>2572</v>
      </c>
      <c r="AJ3699">
        <v>2000</v>
      </c>
      <c r="AK3699" t="s">
        <v>2573</v>
      </c>
      <c r="AM3699" t="s">
        <v>2574</v>
      </c>
      <c r="AN3699" t="s">
        <v>76</v>
      </c>
      <c r="AO3699" t="s">
        <v>77</v>
      </c>
      <c r="AP3699" t="s">
        <v>115</v>
      </c>
      <c r="AQ3699" t="s">
        <v>2575</v>
      </c>
      <c r="AR3699" t="s">
        <v>80</v>
      </c>
      <c r="AS3699">
        <v>313</v>
      </c>
      <c r="AT3699" t="s">
        <v>81</v>
      </c>
      <c r="AU3699">
        <v>19.649999999999999</v>
      </c>
      <c r="AV3699">
        <v>32.54</v>
      </c>
      <c r="AW3699" t="s">
        <v>82</v>
      </c>
      <c r="AX3699">
        <v>313</v>
      </c>
      <c r="AY3699" t="s">
        <v>81</v>
      </c>
      <c r="AZ3699">
        <v>12.34</v>
      </c>
      <c r="BA3699">
        <v>20.56</v>
      </c>
      <c r="BB3699" t="s">
        <v>83</v>
      </c>
    </row>
    <row r="3700" spans="1:54" x14ac:dyDescent="0.4">
      <c r="A3700">
        <v>832708</v>
      </c>
      <c r="D3700" t="s">
        <v>2134</v>
      </c>
      <c r="E3700" t="s">
        <v>55</v>
      </c>
      <c r="G3700">
        <v>1</v>
      </c>
      <c r="H3700" t="s">
        <v>56</v>
      </c>
      <c r="I3700" t="s">
        <v>57</v>
      </c>
      <c r="K3700" t="s">
        <v>2060</v>
      </c>
      <c r="L3700" t="s">
        <v>2568</v>
      </c>
      <c r="M3700" t="s">
        <v>60</v>
      </c>
      <c r="O3700" t="s">
        <v>170</v>
      </c>
      <c r="P3700" t="s">
        <v>1536</v>
      </c>
      <c r="R3700" t="s">
        <v>512</v>
      </c>
      <c r="S3700" t="s">
        <v>123</v>
      </c>
      <c r="T3700">
        <v>254.14</v>
      </c>
      <c r="U3700">
        <v>251.90199999999999</v>
      </c>
      <c r="V3700">
        <f t="shared" si="114"/>
        <v>253.02099999999999</v>
      </c>
      <c r="W3700">
        <f t="shared" si="115"/>
        <v>2.2379999999999995</v>
      </c>
      <c r="X3700">
        <v>-3.368611</v>
      </c>
      <c r="Y3700">
        <v>57.656387000000002</v>
      </c>
      <c r="Z3700" t="s">
        <v>105</v>
      </c>
      <c r="AA3700" t="s">
        <v>91</v>
      </c>
      <c r="AB3700" t="s">
        <v>2569</v>
      </c>
      <c r="AC3700" t="s">
        <v>2570</v>
      </c>
      <c r="AD3700" t="s">
        <v>2571</v>
      </c>
      <c r="AH3700" t="s">
        <v>72</v>
      </c>
      <c r="AI3700" t="s">
        <v>2576</v>
      </c>
      <c r="AJ3700">
        <v>1893</v>
      </c>
      <c r="AK3700" t="s">
        <v>2573</v>
      </c>
      <c r="AM3700" t="s">
        <v>2574</v>
      </c>
      <c r="AN3700" t="s">
        <v>76</v>
      </c>
      <c r="AO3700" t="s">
        <v>77</v>
      </c>
      <c r="AP3700" t="s">
        <v>115</v>
      </c>
      <c r="AQ3700" t="s">
        <v>2575</v>
      </c>
      <c r="AR3700" t="s">
        <v>80</v>
      </c>
      <c r="AS3700">
        <v>313</v>
      </c>
      <c r="AT3700" t="s">
        <v>81</v>
      </c>
      <c r="AU3700">
        <v>19.649999999999999</v>
      </c>
      <c r="AV3700">
        <v>32.54</v>
      </c>
      <c r="AW3700" t="s">
        <v>82</v>
      </c>
      <c r="AX3700">
        <v>313</v>
      </c>
      <c r="AY3700" t="s">
        <v>81</v>
      </c>
      <c r="AZ3700">
        <v>12.34</v>
      </c>
      <c r="BA3700">
        <v>20.56</v>
      </c>
      <c r="BB3700" t="s">
        <v>83</v>
      </c>
    </row>
    <row r="3701" spans="1:54" x14ac:dyDescent="0.4">
      <c r="A3701">
        <v>832708</v>
      </c>
      <c r="D3701" t="s">
        <v>2134</v>
      </c>
      <c r="E3701" t="s">
        <v>55</v>
      </c>
      <c r="G3701">
        <v>1</v>
      </c>
      <c r="H3701" t="s">
        <v>56</v>
      </c>
      <c r="I3701" t="s">
        <v>57</v>
      </c>
      <c r="K3701" t="s">
        <v>2060</v>
      </c>
      <c r="L3701" t="s">
        <v>2568</v>
      </c>
      <c r="M3701" t="s">
        <v>60</v>
      </c>
      <c r="O3701" t="s">
        <v>170</v>
      </c>
      <c r="P3701" t="s">
        <v>1536</v>
      </c>
      <c r="R3701" t="s">
        <v>512</v>
      </c>
      <c r="S3701" t="s">
        <v>123</v>
      </c>
      <c r="T3701">
        <v>254.14</v>
      </c>
      <c r="U3701">
        <v>251.90199999999999</v>
      </c>
      <c r="V3701">
        <f t="shared" si="114"/>
        <v>253.02099999999999</v>
      </c>
      <c r="W3701">
        <f t="shared" si="115"/>
        <v>2.2379999999999995</v>
      </c>
      <c r="X3701">
        <v>-3.368611</v>
      </c>
      <c r="Y3701">
        <v>57.656387000000002</v>
      </c>
      <c r="Z3701" t="s">
        <v>105</v>
      </c>
      <c r="AA3701" t="s">
        <v>91</v>
      </c>
      <c r="AB3701" t="s">
        <v>2569</v>
      </c>
      <c r="AC3701" t="s">
        <v>2570</v>
      </c>
      <c r="AD3701" t="s">
        <v>2571</v>
      </c>
      <c r="AH3701" t="s">
        <v>72</v>
      </c>
      <c r="AI3701" t="s">
        <v>2576</v>
      </c>
      <c r="AJ3701">
        <v>1893</v>
      </c>
      <c r="AK3701" t="s">
        <v>2573</v>
      </c>
      <c r="AM3701" t="s">
        <v>2574</v>
      </c>
      <c r="AN3701" t="s">
        <v>76</v>
      </c>
      <c r="AO3701" t="s">
        <v>77</v>
      </c>
      <c r="AP3701" t="s">
        <v>115</v>
      </c>
      <c r="AQ3701" t="s">
        <v>2575</v>
      </c>
      <c r="AR3701" t="s">
        <v>80</v>
      </c>
      <c r="AS3701">
        <v>313</v>
      </c>
      <c r="AT3701" t="s">
        <v>81</v>
      </c>
      <c r="AU3701">
        <v>19.649999999999999</v>
      </c>
      <c r="AV3701">
        <v>32.54</v>
      </c>
      <c r="AW3701" t="s">
        <v>82</v>
      </c>
      <c r="AX3701">
        <v>313</v>
      </c>
      <c r="AY3701" t="s">
        <v>81</v>
      </c>
      <c r="AZ3701">
        <v>12.34</v>
      </c>
      <c r="BA3701">
        <v>20.56</v>
      </c>
      <c r="BB3701" t="s">
        <v>83</v>
      </c>
    </row>
    <row r="3702" spans="1:54" x14ac:dyDescent="0.4">
      <c r="A3702">
        <v>837542</v>
      </c>
      <c r="D3702" t="s">
        <v>54</v>
      </c>
      <c r="G3702">
        <v>1</v>
      </c>
      <c r="H3702" t="s">
        <v>56</v>
      </c>
      <c r="I3702" t="s">
        <v>57</v>
      </c>
      <c r="K3702" t="s">
        <v>499</v>
      </c>
      <c r="L3702" t="s">
        <v>2658</v>
      </c>
      <c r="M3702" t="s">
        <v>60</v>
      </c>
      <c r="O3702" t="s">
        <v>170</v>
      </c>
      <c r="P3702" t="s">
        <v>1536</v>
      </c>
      <c r="R3702" t="s">
        <v>512</v>
      </c>
      <c r="S3702" t="s">
        <v>123</v>
      </c>
      <c r="T3702">
        <v>254.14</v>
      </c>
      <c r="U3702">
        <v>251.90199999999999</v>
      </c>
      <c r="V3702">
        <f t="shared" si="114"/>
        <v>253.02099999999999</v>
      </c>
      <c r="W3702">
        <f t="shared" si="115"/>
        <v>2.2379999999999995</v>
      </c>
      <c r="X3702">
        <v>110.883331</v>
      </c>
      <c r="Y3702">
        <v>37.433334000000002</v>
      </c>
      <c r="Z3702" t="s">
        <v>124</v>
      </c>
      <c r="AA3702" t="s">
        <v>379</v>
      </c>
      <c r="AB3702" t="s">
        <v>1537</v>
      </c>
      <c r="AC3702" t="s">
        <v>1538</v>
      </c>
      <c r="AD3702" t="s">
        <v>2659</v>
      </c>
      <c r="AH3702" t="s">
        <v>72</v>
      </c>
      <c r="AI3702" t="s">
        <v>1540</v>
      </c>
      <c r="AJ3702">
        <v>1983</v>
      </c>
      <c r="AK3702" t="s">
        <v>2660</v>
      </c>
      <c r="AM3702" t="s">
        <v>2661</v>
      </c>
      <c r="AN3702" t="s">
        <v>114</v>
      </c>
      <c r="AO3702" t="s">
        <v>160</v>
      </c>
      <c r="AQ3702" t="s">
        <v>2662</v>
      </c>
      <c r="AR3702" t="s">
        <v>80</v>
      </c>
      <c r="AS3702">
        <v>604</v>
      </c>
      <c r="AT3702" t="s">
        <v>81</v>
      </c>
      <c r="AU3702">
        <v>113.89</v>
      </c>
      <c r="AV3702">
        <v>12.38</v>
      </c>
      <c r="AW3702" t="s">
        <v>82</v>
      </c>
      <c r="AX3702">
        <v>604</v>
      </c>
      <c r="AY3702" t="s">
        <v>81</v>
      </c>
      <c r="AZ3702">
        <v>90.68</v>
      </c>
      <c r="BA3702">
        <v>31.51</v>
      </c>
      <c r="BB3702" t="s">
        <v>83</v>
      </c>
    </row>
    <row r="3703" spans="1:54" x14ac:dyDescent="0.4">
      <c r="A3703">
        <v>837576</v>
      </c>
      <c r="D3703" t="s">
        <v>54</v>
      </c>
      <c r="E3703" t="s">
        <v>154</v>
      </c>
      <c r="G3703">
        <v>1</v>
      </c>
      <c r="H3703" t="s">
        <v>421</v>
      </c>
      <c r="I3703" t="s">
        <v>57</v>
      </c>
      <c r="K3703" t="s">
        <v>499</v>
      </c>
      <c r="L3703" t="s">
        <v>2658</v>
      </c>
      <c r="M3703" t="s">
        <v>60</v>
      </c>
      <c r="O3703" t="s">
        <v>170</v>
      </c>
      <c r="P3703" t="s">
        <v>1536</v>
      </c>
      <c r="R3703" t="s">
        <v>512</v>
      </c>
      <c r="S3703" t="s">
        <v>123</v>
      </c>
      <c r="T3703">
        <v>254.14</v>
      </c>
      <c r="U3703">
        <v>251.90199999999999</v>
      </c>
      <c r="V3703">
        <f t="shared" si="114"/>
        <v>253.02099999999999</v>
      </c>
      <c r="W3703">
        <f t="shared" si="115"/>
        <v>2.2379999999999995</v>
      </c>
      <c r="X3703">
        <v>110.815926</v>
      </c>
      <c r="Y3703">
        <v>37.412757999999997</v>
      </c>
      <c r="Z3703" t="s">
        <v>105</v>
      </c>
      <c r="AA3703" t="s">
        <v>379</v>
      </c>
      <c r="AB3703" t="s">
        <v>1537</v>
      </c>
      <c r="AC3703" t="s">
        <v>1538</v>
      </c>
      <c r="AD3703" t="s">
        <v>1539</v>
      </c>
      <c r="AH3703" t="s">
        <v>72</v>
      </c>
      <c r="AI3703" t="s">
        <v>2670</v>
      </c>
      <c r="AJ3703">
        <v>1997</v>
      </c>
      <c r="AK3703" t="s">
        <v>1541</v>
      </c>
      <c r="AN3703" t="s">
        <v>76</v>
      </c>
      <c r="AO3703">
        <v>6</v>
      </c>
      <c r="AP3703" t="s">
        <v>115</v>
      </c>
      <c r="AQ3703" t="s">
        <v>1542</v>
      </c>
      <c r="AR3703" t="s">
        <v>80</v>
      </c>
      <c r="AS3703">
        <v>604</v>
      </c>
      <c r="AT3703" t="s">
        <v>81</v>
      </c>
      <c r="AU3703">
        <v>113.84</v>
      </c>
      <c r="AV3703">
        <v>12.41</v>
      </c>
      <c r="AW3703" t="s">
        <v>82</v>
      </c>
      <c r="AX3703">
        <v>604</v>
      </c>
      <c r="AY3703" t="s">
        <v>81</v>
      </c>
      <c r="AZ3703">
        <v>90.62</v>
      </c>
      <c r="BA3703">
        <v>31.51</v>
      </c>
      <c r="BB3703" t="s">
        <v>83</v>
      </c>
    </row>
    <row r="3704" spans="1:54" x14ac:dyDescent="0.4">
      <c r="A3704">
        <v>842666</v>
      </c>
      <c r="D3704" t="s">
        <v>54</v>
      </c>
      <c r="G3704">
        <v>1</v>
      </c>
      <c r="H3704" t="s">
        <v>56</v>
      </c>
      <c r="I3704" t="s">
        <v>57</v>
      </c>
      <c r="K3704" t="s">
        <v>499</v>
      </c>
      <c r="L3704" t="s">
        <v>2658</v>
      </c>
      <c r="M3704" t="s">
        <v>60</v>
      </c>
      <c r="O3704" t="s">
        <v>170</v>
      </c>
      <c r="P3704" t="s">
        <v>1536</v>
      </c>
      <c r="R3704" t="s">
        <v>512</v>
      </c>
      <c r="S3704" t="s">
        <v>123</v>
      </c>
      <c r="T3704">
        <v>254.14</v>
      </c>
      <c r="U3704">
        <v>251.90199999999999</v>
      </c>
      <c r="V3704">
        <f t="shared" si="114"/>
        <v>253.02099999999999</v>
      </c>
      <c r="W3704">
        <f t="shared" si="115"/>
        <v>2.2379999999999995</v>
      </c>
      <c r="X3704">
        <v>111.113998</v>
      </c>
      <c r="Y3704">
        <v>39.032001000000001</v>
      </c>
      <c r="Z3704" t="s">
        <v>124</v>
      </c>
      <c r="AA3704" t="s">
        <v>379</v>
      </c>
      <c r="AB3704" t="s">
        <v>1537</v>
      </c>
      <c r="AC3704" t="s">
        <v>2970</v>
      </c>
      <c r="AD3704" t="s">
        <v>2659</v>
      </c>
      <c r="AH3704" t="s">
        <v>72</v>
      </c>
      <c r="AI3704" t="s">
        <v>2971</v>
      </c>
      <c r="AJ3704">
        <v>1963</v>
      </c>
      <c r="AK3704" t="s">
        <v>2972</v>
      </c>
      <c r="AM3704" t="s">
        <v>2973</v>
      </c>
      <c r="AN3704" t="s">
        <v>76</v>
      </c>
      <c r="AO3704">
        <v>3</v>
      </c>
      <c r="AP3704" t="s">
        <v>115</v>
      </c>
      <c r="AQ3704" t="s">
        <v>2974</v>
      </c>
      <c r="AR3704" t="s">
        <v>80</v>
      </c>
      <c r="AS3704">
        <v>604</v>
      </c>
      <c r="AT3704" t="s">
        <v>81</v>
      </c>
      <c r="AU3704">
        <v>115.28</v>
      </c>
      <c r="AV3704">
        <v>13.25</v>
      </c>
      <c r="AW3704" t="s">
        <v>82</v>
      </c>
      <c r="AX3704">
        <v>604</v>
      </c>
      <c r="AY3704" t="s">
        <v>81</v>
      </c>
      <c r="AZ3704">
        <v>91.48</v>
      </c>
      <c r="BA3704">
        <v>32.979999999999997</v>
      </c>
      <c r="BB3704" t="s">
        <v>83</v>
      </c>
    </row>
    <row r="3705" spans="1:54" x14ac:dyDescent="0.4">
      <c r="A3705">
        <v>1285940</v>
      </c>
      <c r="D3705" t="s">
        <v>54</v>
      </c>
      <c r="G3705">
        <v>1</v>
      </c>
      <c r="H3705" t="s">
        <v>56</v>
      </c>
      <c r="I3705" t="s">
        <v>57</v>
      </c>
      <c r="K3705" t="s">
        <v>2135</v>
      </c>
      <c r="L3705" t="s">
        <v>4555</v>
      </c>
      <c r="M3705" t="s">
        <v>60</v>
      </c>
      <c r="P3705" t="s">
        <v>1536</v>
      </c>
      <c r="R3705" t="s">
        <v>512</v>
      </c>
      <c r="S3705" t="s">
        <v>123</v>
      </c>
      <c r="T3705">
        <v>254.14</v>
      </c>
      <c r="U3705">
        <v>251.90199999999999</v>
      </c>
      <c r="V3705">
        <f t="shared" si="114"/>
        <v>253.02099999999999</v>
      </c>
      <c r="W3705">
        <f t="shared" si="115"/>
        <v>2.2379999999999995</v>
      </c>
      <c r="X3705">
        <v>39.009444999999999</v>
      </c>
      <c r="Y3705">
        <v>-5.0466670000000002</v>
      </c>
      <c r="Z3705" t="s">
        <v>520</v>
      </c>
      <c r="AA3705" t="s">
        <v>1366</v>
      </c>
      <c r="AH3705" t="s">
        <v>72</v>
      </c>
      <c r="AI3705" t="s">
        <v>621</v>
      </c>
      <c r="AJ3705">
        <v>1924</v>
      </c>
      <c r="AK3705" t="s">
        <v>4556</v>
      </c>
      <c r="AN3705" t="s">
        <v>114</v>
      </c>
      <c r="AO3705" t="s">
        <v>77</v>
      </c>
      <c r="AP3705" t="s">
        <v>78</v>
      </c>
      <c r="AQ3705" t="s">
        <v>4557</v>
      </c>
      <c r="AR3705" t="s">
        <v>80</v>
      </c>
      <c r="AS3705">
        <v>709</v>
      </c>
      <c r="AT3705" t="s">
        <v>81</v>
      </c>
      <c r="AU3705">
        <v>24.02</v>
      </c>
      <c r="AV3705">
        <v>-39.64</v>
      </c>
      <c r="AW3705" t="s">
        <v>82</v>
      </c>
      <c r="AX3705">
        <v>709</v>
      </c>
      <c r="AY3705" t="s">
        <v>81</v>
      </c>
      <c r="AZ3705">
        <v>25.92</v>
      </c>
      <c r="BA3705">
        <v>-50.94</v>
      </c>
      <c r="BB3705" t="s">
        <v>83</v>
      </c>
    </row>
    <row r="3706" spans="1:54" x14ac:dyDescent="0.4">
      <c r="A3706">
        <v>1285940</v>
      </c>
      <c r="D3706" t="s">
        <v>54</v>
      </c>
      <c r="G3706">
        <v>1</v>
      </c>
      <c r="H3706" t="s">
        <v>56</v>
      </c>
      <c r="I3706" t="s">
        <v>57</v>
      </c>
      <c r="K3706" t="s">
        <v>2135</v>
      </c>
      <c r="L3706" t="s">
        <v>4555</v>
      </c>
      <c r="M3706" t="s">
        <v>60</v>
      </c>
      <c r="P3706" t="s">
        <v>1536</v>
      </c>
      <c r="R3706" t="s">
        <v>512</v>
      </c>
      <c r="S3706" t="s">
        <v>123</v>
      </c>
      <c r="T3706">
        <v>254.14</v>
      </c>
      <c r="U3706">
        <v>251.90199999999999</v>
      </c>
      <c r="V3706">
        <f t="shared" si="114"/>
        <v>253.02099999999999</v>
      </c>
      <c r="W3706">
        <f t="shared" si="115"/>
        <v>2.2379999999999995</v>
      </c>
      <c r="X3706">
        <v>39.009444999999999</v>
      </c>
      <c r="Y3706">
        <v>-5.0466670000000002</v>
      </c>
      <c r="Z3706" t="s">
        <v>520</v>
      </c>
      <c r="AA3706" t="s">
        <v>1366</v>
      </c>
      <c r="AH3706" t="s">
        <v>72</v>
      </c>
      <c r="AI3706" t="s">
        <v>621</v>
      </c>
      <c r="AJ3706">
        <v>1924</v>
      </c>
      <c r="AK3706" t="s">
        <v>4556</v>
      </c>
      <c r="AN3706" t="s">
        <v>114</v>
      </c>
      <c r="AO3706" t="s">
        <v>77</v>
      </c>
      <c r="AP3706" t="s">
        <v>78</v>
      </c>
      <c r="AQ3706" t="s">
        <v>4557</v>
      </c>
      <c r="AR3706" t="s">
        <v>80</v>
      </c>
      <c r="AS3706">
        <v>709</v>
      </c>
      <c r="AT3706" t="s">
        <v>81</v>
      </c>
      <c r="AU3706">
        <v>24.02</v>
      </c>
      <c r="AV3706">
        <v>-39.64</v>
      </c>
      <c r="AW3706" t="s">
        <v>82</v>
      </c>
      <c r="AX3706">
        <v>709</v>
      </c>
      <c r="AY3706" t="s">
        <v>81</v>
      </c>
      <c r="AZ3706">
        <v>25.92</v>
      </c>
      <c r="BA3706">
        <v>-50.94</v>
      </c>
      <c r="BB3706" t="s">
        <v>83</v>
      </c>
    </row>
    <row r="3707" spans="1:54" x14ac:dyDescent="0.4">
      <c r="A3707">
        <v>1285940</v>
      </c>
      <c r="D3707" t="s">
        <v>54</v>
      </c>
      <c r="G3707">
        <v>1</v>
      </c>
      <c r="H3707" t="s">
        <v>56</v>
      </c>
      <c r="I3707" t="s">
        <v>57</v>
      </c>
      <c r="K3707" t="s">
        <v>2135</v>
      </c>
      <c r="L3707" t="s">
        <v>4555</v>
      </c>
      <c r="M3707" t="s">
        <v>60</v>
      </c>
      <c r="P3707" t="s">
        <v>1536</v>
      </c>
      <c r="R3707" t="s">
        <v>512</v>
      </c>
      <c r="S3707" t="s">
        <v>123</v>
      </c>
      <c r="T3707">
        <v>254.14</v>
      </c>
      <c r="U3707">
        <v>251.90199999999999</v>
      </c>
      <c r="V3707">
        <f t="shared" si="114"/>
        <v>253.02099999999999</v>
      </c>
      <c r="W3707">
        <f t="shared" si="115"/>
        <v>2.2379999999999995</v>
      </c>
      <c r="X3707">
        <v>39.009444999999999</v>
      </c>
      <c r="Y3707">
        <v>-5.0466670000000002</v>
      </c>
      <c r="Z3707" t="s">
        <v>520</v>
      </c>
      <c r="AA3707" t="s">
        <v>1366</v>
      </c>
      <c r="AH3707" t="s">
        <v>72</v>
      </c>
      <c r="AI3707" t="s">
        <v>621</v>
      </c>
      <c r="AJ3707">
        <v>1924</v>
      </c>
      <c r="AK3707" t="s">
        <v>4556</v>
      </c>
      <c r="AN3707" t="s">
        <v>114</v>
      </c>
      <c r="AO3707" t="s">
        <v>77</v>
      </c>
      <c r="AP3707" t="s">
        <v>78</v>
      </c>
      <c r="AQ3707" t="s">
        <v>4557</v>
      </c>
      <c r="AR3707" t="s">
        <v>80</v>
      </c>
      <c r="AS3707">
        <v>709</v>
      </c>
      <c r="AT3707" t="s">
        <v>81</v>
      </c>
      <c r="AU3707">
        <v>24.02</v>
      </c>
      <c r="AV3707">
        <v>-39.64</v>
      </c>
      <c r="AW3707" t="s">
        <v>82</v>
      </c>
      <c r="AX3707">
        <v>709</v>
      </c>
      <c r="AY3707" t="s">
        <v>81</v>
      </c>
      <c r="AZ3707">
        <v>25.92</v>
      </c>
      <c r="BA3707">
        <v>-50.94</v>
      </c>
      <c r="BB3707" t="s">
        <v>83</v>
      </c>
    </row>
    <row r="3708" spans="1:54" x14ac:dyDescent="0.4">
      <c r="A3708">
        <v>1286764</v>
      </c>
      <c r="D3708" t="s">
        <v>54</v>
      </c>
      <c r="G3708">
        <v>1</v>
      </c>
      <c r="H3708" t="s">
        <v>84</v>
      </c>
      <c r="I3708" t="s">
        <v>57</v>
      </c>
      <c r="K3708" t="s">
        <v>499</v>
      </c>
      <c r="L3708" t="s">
        <v>2658</v>
      </c>
      <c r="M3708" t="s">
        <v>60</v>
      </c>
      <c r="O3708" t="s">
        <v>170</v>
      </c>
      <c r="P3708" t="s">
        <v>1536</v>
      </c>
      <c r="R3708" t="s">
        <v>512</v>
      </c>
      <c r="S3708" t="s">
        <v>123</v>
      </c>
      <c r="T3708">
        <v>254.14</v>
      </c>
      <c r="U3708">
        <v>251.90199999999999</v>
      </c>
      <c r="V3708">
        <f t="shared" si="114"/>
        <v>253.02099999999999</v>
      </c>
      <c r="W3708">
        <f t="shared" si="115"/>
        <v>2.2379999999999995</v>
      </c>
      <c r="X3708">
        <v>110.883331</v>
      </c>
      <c r="Y3708">
        <v>37.433334000000002</v>
      </c>
      <c r="Z3708" t="s">
        <v>124</v>
      </c>
      <c r="AA3708" t="s">
        <v>379</v>
      </c>
      <c r="AB3708" t="s">
        <v>1537</v>
      </c>
      <c r="AC3708" t="s">
        <v>1538</v>
      </c>
      <c r="AD3708" t="s">
        <v>2659</v>
      </c>
      <c r="AH3708" t="s">
        <v>72</v>
      </c>
      <c r="AI3708" t="s">
        <v>4577</v>
      </c>
      <c r="AJ3708">
        <v>2013</v>
      </c>
      <c r="AK3708" t="s">
        <v>2660</v>
      </c>
      <c r="AM3708" t="s">
        <v>2661</v>
      </c>
      <c r="AN3708" t="s">
        <v>114</v>
      </c>
      <c r="AO3708" t="s">
        <v>160</v>
      </c>
      <c r="AQ3708" t="s">
        <v>2662</v>
      </c>
      <c r="AR3708" t="s">
        <v>80</v>
      </c>
      <c r="AS3708">
        <v>604</v>
      </c>
      <c r="AT3708" t="s">
        <v>81</v>
      </c>
      <c r="AU3708">
        <v>113.89</v>
      </c>
      <c r="AV3708">
        <v>12.38</v>
      </c>
      <c r="AW3708" t="s">
        <v>82</v>
      </c>
      <c r="AX3708">
        <v>604</v>
      </c>
      <c r="AY3708" t="s">
        <v>81</v>
      </c>
      <c r="AZ3708">
        <v>90.68</v>
      </c>
      <c r="BA3708">
        <v>31.51</v>
      </c>
      <c r="BB3708" t="s">
        <v>83</v>
      </c>
    </row>
    <row r="3709" spans="1:54" x14ac:dyDescent="0.4">
      <c r="A3709">
        <v>1286765</v>
      </c>
      <c r="D3709" t="s">
        <v>54</v>
      </c>
      <c r="E3709" t="s">
        <v>154</v>
      </c>
      <c r="G3709">
        <v>2</v>
      </c>
      <c r="H3709" t="s">
        <v>84</v>
      </c>
      <c r="I3709" t="s">
        <v>57</v>
      </c>
      <c r="K3709" t="s">
        <v>499</v>
      </c>
      <c r="L3709" t="s">
        <v>2658</v>
      </c>
      <c r="M3709" t="s">
        <v>60</v>
      </c>
      <c r="O3709" t="s">
        <v>170</v>
      </c>
      <c r="P3709" t="s">
        <v>1536</v>
      </c>
      <c r="R3709" t="s">
        <v>512</v>
      </c>
      <c r="S3709" t="s">
        <v>123</v>
      </c>
      <c r="T3709">
        <v>254.14</v>
      </c>
      <c r="U3709">
        <v>251.90199999999999</v>
      </c>
      <c r="V3709">
        <f t="shared" si="114"/>
        <v>253.02099999999999</v>
      </c>
      <c r="W3709">
        <f t="shared" si="115"/>
        <v>2.2379999999999995</v>
      </c>
      <c r="X3709">
        <v>110.815926</v>
      </c>
      <c r="Y3709">
        <v>37.412757999999997</v>
      </c>
      <c r="Z3709" t="s">
        <v>105</v>
      </c>
      <c r="AA3709" t="s">
        <v>379</v>
      </c>
      <c r="AB3709" t="s">
        <v>1537</v>
      </c>
      <c r="AC3709" t="s">
        <v>1538</v>
      </c>
      <c r="AD3709" t="s">
        <v>1539</v>
      </c>
      <c r="AH3709" t="s">
        <v>72</v>
      </c>
      <c r="AI3709" t="s">
        <v>3505</v>
      </c>
      <c r="AJ3709">
        <v>1980</v>
      </c>
      <c r="AK3709" t="s">
        <v>1541</v>
      </c>
      <c r="AN3709" t="s">
        <v>76</v>
      </c>
      <c r="AO3709">
        <v>6</v>
      </c>
      <c r="AP3709" t="s">
        <v>115</v>
      </c>
      <c r="AQ3709" t="s">
        <v>1542</v>
      </c>
      <c r="AR3709" t="s">
        <v>80</v>
      </c>
      <c r="AS3709">
        <v>604</v>
      </c>
      <c r="AT3709" t="s">
        <v>81</v>
      </c>
      <c r="AU3709">
        <v>113.84</v>
      </c>
      <c r="AV3709">
        <v>12.41</v>
      </c>
      <c r="AW3709" t="s">
        <v>82</v>
      </c>
      <c r="AX3709">
        <v>604</v>
      </c>
      <c r="AY3709" t="s">
        <v>81</v>
      </c>
      <c r="AZ3709">
        <v>90.62</v>
      </c>
      <c r="BA3709">
        <v>31.51</v>
      </c>
      <c r="BB3709" t="s">
        <v>83</v>
      </c>
    </row>
    <row r="3710" spans="1:54" x14ac:dyDescent="0.4">
      <c r="A3710" s="2" t="s">
        <v>5902</v>
      </c>
      <c r="B3710" s="2"/>
      <c r="C3710" s="2"/>
      <c r="D3710" s="2" t="s">
        <v>54</v>
      </c>
      <c r="E3710" s="2"/>
      <c r="F3710" s="2" t="s">
        <v>5717</v>
      </c>
      <c r="G3710" s="2">
        <v>1</v>
      </c>
      <c r="H3710" s="2" t="s">
        <v>5718</v>
      </c>
      <c r="I3710" s="3" t="s">
        <v>57</v>
      </c>
      <c r="J3710" s="3" t="s">
        <v>5836</v>
      </c>
      <c r="K3710" s="3" t="s">
        <v>5837</v>
      </c>
      <c r="L3710" s="4" t="s">
        <v>5903</v>
      </c>
      <c r="M3710" s="3" t="s">
        <v>60</v>
      </c>
      <c r="N3710" s="4"/>
      <c r="O3710" s="4"/>
      <c r="P3710" s="3" t="s">
        <v>1536</v>
      </c>
      <c r="Q3710" s="3"/>
      <c r="R3710" s="3" t="s">
        <v>512</v>
      </c>
      <c r="S3710" s="3" t="s">
        <v>123</v>
      </c>
      <c r="T3710">
        <v>254.14</v>
      </c>
      <c r="U3710">
        <v>251.90199999999999</v>
      </c>
      <c r="V3710">
        <f t="shared" si="114"/>
        <v>253.02099999999999</v>
      </c>
      <c r="W3710">
        <f t="shared" si="115"/>
        <v>2.2379999999999995</v>
      </c>
      <c r="X3710" s="13">
        <v>-54.1233</v>
      </c>
      <c r="Y3710" s="13">
        <v>-32.307200000000002</v>
      </c>
      <c r="Z3710" s="8"/>
      <c r="AA3710" s="3" t="s">
        <v>5904</v>
      </c>
      <c r="AB3710" s="3" t="s">
        <v>2459</v>
      </c>
      <c r="AC3710" s="3"/>
      <c r="AD3710" s="8" t="s">
        <v>5905</v>
      </c>
      <c r="AE3710" s="3" t="s">
        <v>5720</v>
      </c>
      <c r="AF3710" s="3" t="s">
        <v>5720</v>
      </c>
      <c r="AG3710" s="8" t="s">
        <v>5905</v>
      </c>
      <c r="AH3710" s="8"/>
      <c r="AI3710" s="3" t="s">
        <v>5906</v>
      </c>
      <c r="AJ3710" s="3">
        <v>2003</v>
      </c>
      <c r="AK3710" s="5" t="s">
        <v>5907</v>
      </c>
      <c r="AL3710" s="11" t="s">
        <v>5908</v>
      </c>
      <c r="AM3710" s="5"/>
      <c r="AN3710" s="5"/>
      <c r="AO3710" s="3"/>
      <c r="AP3710" s="3"/>
      <c r="AQ3710" s="3"/>
      <c r="AR3710" s="3"/>
      <c r="AS3710" s="3"/>
      <c r="AT3710" s="3"/>
      <c r="AU3710" s="3"/>
      <c r="AV3710" s="3"/>
      <c r="AW3710" s="3"/>
      <c r="AX3710" s="3"/>
      <c r="AY3710" s="3"/>
      <c r="AZ3710" s="3"/>
      <c r="BA3710" s="3"/>
      <c r="BB3710" s="3"/>
    </row>
    <row r="3711" spans="1:54" x14ac:dyDescent="0.4">
      <c r="A3711">
        <v>393085</v>
      </c>
      <c r="D3711" t="s">
        <v>54</v>
      </c>
      <c r="E3711" t="s">
        <v>55</v>
      </c>
      <c r="G3711">
        <v>1</v>
      </c>
      <c r="H3711" t="s">
        <v>84</v>
      </c>
      <c r="I3711" t="s">
        <v>57</v>
      </c>
      <c r="K3711" t="s">
        <v>141</v>
      </c>
      <c r="L3711" t="s">
        <v>686</v>
      </c>
      <c r="M3711" t="s">
        <v>60</v>
      </c>
      <c r="N3711" t="s">
        <v>256</v>
      </c>
      <c r="O3711" t="s">
        <v>87</v>
      </c>
      <c r="P3711" t="s">
        <v>687</v>
      </c>
      <c r="R3711" t="s">
        <v>688</v>
      </c>
      <c r="S3711" t="s">
        <v>689</v>
      </c>
      <c r="T3711">
        <v>201.4</v>
      </c>
      <c r="U3711">
        <v>199.5</v>
      </c>
      <c r="V3711">
        <f t="shared" si="114"/>
        <v>200.45</v>
      </c>
      <c r="W3711">
        <f t="shared" si="115"/>
        <v>1.9000000000000057</v>
      </c>
      <c r="X3711">
        <v>-1.75</v>
      </c>
      <c r="Y3711">
        <v>52.216701999999998</v>
      </c>
      <c r="Z3711" t="s">
        <v>520</v>
      </c>
      <c r="AA3711" t="s">
        <v>91</v>
      </c>
      <c r="AB3711" t="s">
        <v>92</v>
      </c>
      <c r="AC3711" t="s">
        <v>690</v>
      </c>
      <c r="AD3711" t="s">
        <v>691</v>
      </c>
      <c r="AE3711" t="s">
        <v>692</v>
      </c>
      <c r="AH3711" t="s">
        <v>72</v>
      </c>
      <c r="AI3711" t="s">
        <v>693</v>
      </c>
      <c r="AJ3711">
        <v>1932</v>
      </c>
      <c r="AK3711" t="s">
        <v>694</v>
      </c>
      <c r="AN3711" t="s">
        <v>114</v>
      </c>
      <c r="AO3711">
        <v>4</v>
      </c>
      <c r="AP3711" t="s">
        <v>115</v>
      </c>
      <c r="AQ3711" t="s">
        <v>695</v>
      </c>
      <c r="AR3711" t="s">
        <v>80</v>
      </c>
      <c r="AS3711">
        <v>315</v>
      </c>
      <c r="AT3711" t="s">
        <v>81</v>
      </c>
      <c r="AU3711">
        <v>9.41</v>
      </c>
      <c r="AV3711">
        <v>37.35</v>
      </c>
      <c r="AW3711" t="s">
        <v>82</v>
      </c>
      <c r="AX3711">
        <v>315</v>
      </c>
      <c r="AY3711" t="s">
        <v>81</v>
      </c>
      <c r="AZ3711">
        <v>1.48</v>
      </c>
      <c r="BA3711">
        <v>38.64</v>
      </c>
      <c r="BB3711" t="s">
        <v>83</v>
      </c>
    </row>
    <row r="3712" spans="1:54" x14ac:dyDescent="0.4">
      <c r="A3712">
        <v>472008</v>
      </c>
      <c r="D3712" t="s">
        <v>54</v>
      </c>
      <c r="E3712" t="s">
        <v>154</v>
      </c>
      <c r="G3712">
        <v>1</v>
      </c>
      <c r="H3712" t="s">
        <v>56</v>
      </c>
      <c r="I3712" t="s">
        <v>57</v>
      </c>
      <c r="K3712" t="s">
        <v>141</v>
      </c>
      <c r="L3712" t="s">
        <v>827</v>
      </c>
      <c r="M3712" t="s">
        <v>60</v>
      </c>
      <c r="P3712" t="s">
        <v>687</v>
      </c>
      <c r="R3712" t="s">
        <v>688</v>
      </c>
      <c r="S3712" t="s">
        <v>689</v>
      </c>
      <c r="T3712">
        <v>201.4</v>
      </c>
      <c r="U3712">
        <v>199.5</v>
      </c>
      <c r="V3712">
        <f t="shared" si="114"/>
        <v>200.45</v>
      </c>
      <c r="W3712">
        <f t="shared" si="115"/>
        <v>1.9000000000000057</v>
      </c>
      <c r="X3712">
        <v>102.083</v>
      </c>
      <c r="Y3712">
        <v>25.132999000000002</v>
      </c>
      <c r="Z3712" t="s">
        <v>356</v>
      </c>
      <c r="AA3712" t="s">
        <v>379</v>
      </c>
      <c r="AB3712" t="s">
        <v>828</v>
      </c>
      <c r="AC3712" t="s">
        <v>829</v>
      </c>
      <c r="AD3712" t="s">
        <v>829</v>
      </c>
      <c r="AF3712" t="s">
        <v>830</v>
      </c>
      <c r="AH3712" t="s">
        <v>72</v>
      </c>
      <c r="AI3712" t="s">
        <v>831</v>
      </c>
      <c r="AJ3712">
        <v>1995</v>
      </c>
      <c r="AK3712" t="s">
        <v>832</v>
      </c>
      <c r="AM3712" t="s">
        <v>833</v>
      </c>
      <c r="AN3712" t="s">
        <v>114</v>
      </c>
      <c r="AO3712">
        <v>4</v>
      </c>
      <c r="AP3712" t="s">
        <v>115</v>
      </c>
      <c r="AQ3712" t="s">
        <v>834</v>
      </c>
      <c r="AR3712" t="s">
        <v>80</v>
      </c>
      <c r="AS3712">
        <v>611</v>
      </c>
      <c r="AT3712" t="s">
        <v>81</v>
      </c>
      <c r="AU3712">
        <v>120.18</v>
      </c>
      <c r="AV3712">
        <v>37.770000000000003</v>
      </c>
      <c r="AW3712" t="s">
        <v>82</v>
      </c>
      <c r="AX3712">
        <v>611</v>
      </c>
      <c r="AY3712" t="s">
        <v>81</v>
      </c>
      <c r="AZ3712">
        <v>104.63</v>
      </c>
      <c r="BA3712">
        <v>34.33</v>
      </c>
      <c r="BB3712" t="s">
        <v>83</v>
      </c>
    </row>
    <row r="3713" spans="1:54" x14ac:dyDescent="0.4">
      <c r="A3713">
        <v>477082</v>
      </c>
      <c r="D3713" t="s">
        <v>853</v>
      </c>
      <c r="E3713" t="s">
        <v>310</v>
      </c>
      <c r="G3713">
        <v>1</v>
      </c>
      <c r="H3713" t="s">
        <v>84</v>
      </c>
      <c r="I3713" t="s">
        <v>57</v>
      </c>
      <c r="K3713" t="s">
        <v>741</v>
      </c>
      <c r="L3713" t="s">
        <v>854</v>
      </c>
      <c r="M3713" t="s">
        <v>60</v>
      </c>
      <c r="N3713" t="s">
        <v>256</v>
      </c>
      <c r="O3713" t="s">
        <v>87</v>
      </c>
      <c r="P3713" t="s">
        <v>687</v>
      </c>
      <c r="R3713" t="s">
        <v>688</v>
      </c>
      <c r="S3713" t="s">
        <v>689</v>
      </c>
      <c r="T3713">
        <v>201.4</v>
      </c>
      <c r="U3713">
        <v>199.5</v>
      </c>
      <c r="V3713">
        <f t="shared" si="114"/>
        <v>200.45</v>
      </c>
      <c r="W3713">
        <f t="shared" si="115"/>
        <v>1.9000000000000057</v>
      </c>
      <c r="X3713">
        <v>-72.766670000000005</v>
      </c>
      <c r="Y3713">
        <v>41.397221000000002</v>
      </c>
      <c r="Z3713" t="s">
        <v>124</v>
      </c>
      <c r="AA3713" t="s">
        <v>66</v>
      </c>
      <c r="AB3713" t="s">
        <v>855</v>
      </c>
      <c r="AC3713" t="s">
        <v>856</v>
      </c>
      <c r="AD3713" t="s">
        <v>857</v>
      </c>
      <c r="AE3713" t="s">
        <v>858</v>
      </c>
      <c r="AH3713" t="s">
        <v>11</v>
      </c>
      <c r="AI3713" t="s">
        <v>365</v>
      </c>
      <c r="AJ3713">
        <v>1976</v>
      </c>
      <c r="AK3713" t="s">
        <v>859</v>
      </c>
      <c r="AM3713" t="s">
        <v>860</v>
      </c>
      <c r="AN3713" t="s">
        <v>114</v>
      </c>
      <c r="AO3713" t="s">
        <v>77</v>
      </c>
      <c r="AP3713" t="s">
        <v>78</v>
      </c>
      <c r="AQ3713" t="s">
        <v>861</v>
      </c>
      <c r="AR3713" t="s">
        <v>80</v>
      </c>
      <c r="AS3713">
        <v>101</v>
      </c>
      <c r="AT3713" t="s">
        <v>81</v>
      </c>
      <c r="AU3713">
        <v>-9.48</v>
      </c>
      <c r="AV3713">
        <v>19.3</v>
      </c>
      <c r="AW3713" t="s">
        <v>82</v>
      </c>
      <c r="AX3713">
        <v>101</v>
      </c>
      <c r="AY3713" t="s">
        <v>81</v>
      </c>
      <c r="AZ3713">
        <v>-19.55</v>
      </c>
      <c r="BA3713">
        <v>22.1</v>
      </c>
      <c r="BB3713" t="s">
        <v>83</v>
      </c>
    </row>
    <row r="3714" spans="1:54" x14ac:dyDescent="0.4">
      <c r="A3714">
        <v>490781</v>
      </c>
      <c r="D3714" t="s">
        <v>54</v>
      </c>
      <c r="E3714" t="s">
        <v>55</v>
      </c>
      <c r="G3714">
        <v>2</v>
      </c>
      <c r="H3714" t="s">
        <v>84</v>
      </c>
      <c r="I3714" t="s">
        <v>57</v>
      </c>
      <c r="K3714" t="s">
        <v>992</v>
      </c>
      <c r="L3714" t="s">
        <v>993</v>
      </c>
      <c r="M3714" t="s">
        <v>60</v>
      </c>
      <c r="P3714" t="s">
        <v>687</v>
      </c>
      <c r="R3714" t="s">
        <v>688</v>
      </c>
      <c r="S3714" t="s">
        <v>689</v>
      </c>
      <c r="T3714">
        <v>201.4</v>
      </c>
      <c r="U3714">
        <v>199.5</v>
      </c>
      <c r="V3714">
        <f t="shared" si="114"/>
        <v>200.45</v>
      </c>
      <c r="W3714">
        <f t="shared" si="115"/>
        <v>1.9000000000000057</v>
      </c>
      <c r="X3714">
        <v>102.084496</v>
      </c>
      <c r="Y3714">
        <v>25.168742999999999</v>
      </c>
      <c r="Z3714" t="s">
        <v>124</v>
      </c>
      <c r="AA3714" t="s">
        <v>379</v>
      </c>
      <c r="AB3714" t="s">
        <v>828</v>
      </c>
      <c r="AC3714" t="s">
        <v>829</v>
      </c>
      <c r="AD3714" t="s">
        <v>829</v>
      </c>
      <c r="AF3714" t="s">
        <v>830</v>
      </c>
      <c r="AH3714" t="s">
        <v>72</v>
      </c>
      <c r="AI3714" t="s">
        <v>683</v>
      </c>
      <c r="AJ3714">
        <v>1947</v>
      </c>
      <c r="AK3714" t="s">
        <v>994</v>
      </c>
      <c r="AN3714" t="s">
        <v>192</v>
      </c>
      <c r="AO3714">
        <v>6</v>
      </c>
      <c r="AP3714" t="s">
        <v>78</v>
      </c>
      <c r="AQ3714" t="s">
        <v>995</v>
      </c>
      <c r="AR3714" t="s">
        <v>80</v>
      </c>
      <c r="AS3714">
        <v>611</v>
      </c>
      <c r="AT3714" t="s">
        <v>81</v>
      </c>
      <c r="AU3714">
        <v>120.17</v>
      </c>
      <c r="AV3714">
        <v>37.799999999999997</v>
      </c>
      <c r="AW3714" t="s">
        <v>82</v>
      </c>
      <c r="AX3714">
        <v>611</v>
      </c>
      <c r="AY3714" t="s">
        <v>81</v>
      </c>
      <c r="AZ3714">
        <v>104.63</v>
      </c>
      <c r="BA3714">
        <v>34.36</v>
      </c>
      <c r="BB3714" t="s">
        <v>83</v>
      </c>
    </row>
    <row r="3715" spans="1:54" x14ac:dyDescent="0.4">
      <c r="A3715">
        <v>490782</v>
      </c>
      <c r="D3715" t="s">
        <v>54</v>
      </c>
      <c r="E3715" t="s">
        <v>55</v>
      </c>
      <c r="G3715">
        <v>5</v>
      </c>
      <c r="H3715" t="s">
        <v>84</v>
      </c>
      <c r="I3715" t="s">
        <v>57</v>
      </c>
      <c r="K3715" t="s">
        <v>992</v>
      </c>
      <c r="L3715" t="s">
        <v>993</v>
      </c>
      <c r="M3715" t="s">
        <v>60</v>
      </c>
      <c r="P3715" t="s">
        <v>687</v>
      </c>
      <c r="R3715" t="s">
        <v>688</v>
      </c>
      <c r="S3715" t="s">
        <v>689</v>
      </c>
      <c r="T3715">
        <v>201.4</v>
      </c>
      <c r="U3715">
        <v>199.5</v>
      </c>
      <c r="V3715">
        <f t="shared" ref="V3715:V3778" si="116">(T3715+U3715)/2</f>
        <v>200.45</v>
      </c>
      <c r="W3715">
        <f t="shared" ref="W3715:W3778" si="117">T3715-U3715</f>
        <v>1.9000000000000057</v>
      </c>
      <c r="X3715">
        <v>102.084496</v>
      </c>
      <c r="Y3715">
        <v>25.168742999999999</v>
      </c>
      <c r="Z3715" t="s">
        <v>124</v>
      </c>
      <c r="AA3715" t="s">
        <v>379</v>
      </c>
      <c r="AB3715" t="s">
        <v>828</v>
      </c>
      <c r="AC3715" t="s">
        <v>829</v>
      </c>
      <c r="AD3715" t="s">
        <v>829</v>
      </c>
      <c r="AF3715" t="s">
        <v>830</v>
      </c>
      <c r="AH3715" t="s">
        <v>72</v>
      </c>
      <c r="AI3715" t="s">
        <v>683</v>
      </c>
      <c r="AJ3715">
        <v>1947</v>
      </c>
      <c r="AK3715" t="s">
        <v>994</v>
      </c>
      <c r="AN3715" t="s">
        <v>192</v>
      </c>
      <c r="AO3715">
        <v>6</v>
      </c>
      <c r="AP3715" t="s">
        <v>78</v>
      </c>
      <c r="AQ3715" t="s">
        <v>995</v>
      </c>
      <c r="AR3715" t="s">
        <v>80</v>
      </c>
      <c r="AS3715">
        <v>611</v>
      </c>
      <c r="AT3715" t="s">
        <v>81</v>
      </c>
      <c r="AU3715">
        <v>120.17</v>
      </c>
      <c r="AV3715">
        <v>37.799999999999997</v>
      </c>
      <c r="AW3715" t="s">
        <v>82</v>
      </c>
      <c r="AX3715">
        <v>611</v>
      </c>
      <c r="AY3715" t="s">
        <v>81</v>
      </c>
      <c r="AZ3715">
        <v>104.63</v>
      </c>
      <c r="BA3715">
        <v>34.36</v>
      </c>
      <c r="BB3715" t="s">
        <v>83</v>
      </c>
    </row>
    <row r="3716" spans="1:54" x14ac:dyDescent="0.4">
      <c r="A3716">
        <v>490785</v>
      </c>
      <c r="D3716" t="s">
        <v>54</v>
      </c>
      <c r="G3716">
        <v>5</v>
      </c>
      <c r="H3716" t="s">
        <v>84</v>
      </c>
      <c r="I3716" t="s">
        <v>57</v>
      </c>
      <c r="K3716" t="s">
        <v>992</v>
      </c>
      <c r="L3716" t="s">
        <v>993</v>
      </c>
      <c r="M3716" t="s">
        <v>60</v>
      </c>
      <c r="P3716" t="s">
        <v>687</v>
      </c>
      <c r="R3716" t="s">
        <v>688</v>
      </c>
      <c r="S3716" t="s">
        <v>689</v>
      </c>
      <c r="T3716">
        <v>201.4</v>
      </c>
      <c r="U3716">
        <v>199.5</v>
      </c>
      <c r="V3716">
        <f t="shared" si="116"/>
        <v>200.45</v>
      </c>
      <c r="W3716">
        <f t="shared" si="117"/>
        <v>1.9000000000000057</v>
      </c>
      <c r="X3716">
        <v>102.090401</v>
      </c>
      <c r="Y3716">
        <v>25.175985000000001</v>
      </c>
      <c r="Z3716" t="s">
        <v>124</v>
      </c>
      <c r="AA3716" t="s">
        <v>379</v>
      </c>
      <c r="AB3716" t="s">
        <v>828</v>
      </c>
      <c r="AC3716" t="s">
        <v>829</v>
      </c>
      <c r="AD3716" t="s">
        <v>829</v>
      </c>
      <c r="AF3716" t="s">
        <v>830</v>
      </c>
      <c r="AH3716" t="s">
        <v>72</v>
      </c>
      <c r="AI3716" t="s">
        <v>683</v>
      </c>
      <c r="AJ3716">
        <v>1947</v>
      </c>
      <c r="AK3716" t="s">
        <v>996</v>
      </c>
      <c r="AM3716" t="s">
        <v>997</v>
      </c>
      <c r="AN3716" t="s">
        <v>192</v>
      </c>
      <c r="AO3716">
        <v>6</v>
      </c>
      <c r="AP3716" t="s">
        <v>78</v>
      </c>
      <c r="AQ3716" t="s">
        <v>998</v>
      </c>
      <c r="AR3716" t="s">
        <v>80</v>
      </c>
      <c r="AS3716">
        <v>611</v>
      </c>
      <c r="AT3716" t="s">
        <v>81</v>
      </c>
      <c r="AU3716">
        <v>120.18</v>
      </c>
      <c r="AV3716">
        <v>37.81</v>
      </c>
      <c r="AW3716" t="s">
        <v>82</v>
      </c>
      <c r="AX3716">
        <v>611</v>
      </c>
      <c r="AY3716" t="s">
        <v>81</v>
      </c>
      <c r="AZ3716">
        <v>104.64</v>
      </c>
      <c r="BA3716">
        <v>34.369999999999997</v>
      </c>
      <c r="BB3716" t="s">
        <v>83</v>
      </c>
    </row>
    <row r="3717" spans="1:54" x14ac:dyDescent="0.4">
      <c r="A3717">
        <v>490786</v>
      </c>
      <c r="D3717" t="s">
        <v>54</v>
      </c>
      <c r="G3717">
        <v>3</v>
      </c>
      <c r="H3717" t="s">
        <v>84</v>
      </c>
      <c r="I3717" t="s">
        <v>57</v>
      </c>
      <c r="K3717" t="s">
        <v>999</v>
      </c>
      <c r="L3717" t="s">
        <v>1000</v>
      </c>
      <c r="M3717" t="s">
        <v>60</v>
      </c>
      <c r="N3717" t="s">
        <v>119</v>
      </c>
      <c r="O3717" t="s">
        <v>170</v>
      </c>
      <c r="P3717" t="s">
        <v>687</v>
      </c>
      <c r="R3717" t="s">
        <v>688</v>
      </c>
      <c r="S3717" t="s">
        <v>689</v>
      </c>
      <c r="T3717">
        <v>201.4</v>
      </c>
      <c r="U3717">
        <v>199.5</v>
      </c>
      <c r="V3717">
        <f t="shared" si="116"/>
        <v>200.45</v>
      </c>
      <c r="W3717">
        <f t="shared" si="117"/>
        <v>1.9000000000000057</v>
      </c>
      <c r="X3717">
        <v>102.090401</v>
      </c>
      <c r="Y3717">
        <v>25.175985000000001</v>
      </c>
      <c r="Z3717" t="s">
        <v>124</v>
      </c>
      <c r="AA3717" t="s">
        <v>379</v>
      </c>
      <c r="AB3717" t="s">
        <v>828</v>
      </c>
      <c r="AC3717" t="s">
        <v>829</v>
      </c>
      <c r="AD3717" t="s">
        <v>829</v>
      </c>
      <c r="AF3717" t="s">
        <v>830</v>
      </c>
      <c r="AH3717" t="s">
        <v>72</v>
      </c>
      <c r="AI3717" t="s">
        <v>683</v>
      </c>
      <c r="AJ3717">
        <v>1948</v>
      </c>
      <c r="AK3717" t="s">
        <v>996</v>
      </c>
      <c r="AM3717" t="s">
        <v>997</v>
      </c>
      <c r="AN3717" t="s">
        <v>192</v>
      </c>
      <c r="AO3717">
        <v>6</v>
      </c>
      <c r="AP3717" t="s">
        <v>78</v>
      </c>
      <c r="AQ3717" t="s">
        <v>998</v>
      </c>
      <c r="AR3717" t="s">
        <v>80</v>
      </c>
      <c r="AS3717">
        <v>611</v>
      </c>
      <c r="AT3717" t="s">
        <v>81</v>
      </c>
      <c r="AU3717">
        <v>120.18</v>
      </c>
      <c r="AV3717">
        <v>37.81</v>
      </c>
      <c r="AW3717" t="s">
        <v>82</v>
      </c>
      <c r="AX3717">
        <v>611</v>
      </c>
      <c r="AY3717" t="s">
        <v>81</v>
      </c>
      <c r="AZ3717">
        <v>104.64</v>
      </c>
      <c r="BA3717">
        <v>34.369999999999997</v>
      </c>
      <c r="BB3717" t="s">
        <v>83</v>
      </c>
    </row>
    <row r="3718" spans="1:54" x14ac:dyDescent="0.4">
      <c r="A3718">
        <v>490787</v>
      </c>
      <c r="D3718" t="s">
        <v>54</v>
      </c>
      <c r="G3718">
        <v>8</v>
      </c>
      <c r="H3718" t="s">
        <v>84</v>
      </c>
      <c r="I3718" t="s">
        <v>57</v>
      </c>
      <c r="K3718" t="s">
        <v>992</v>
      </c>
      <c r="L3718" t="s">
        <v>993</v>
      </c>
      <c r="M3718" t="s">
        <v>60</v>
      </c>
      <c r="P3718" t="s">
        <v>687</v>
      </c>
      <c r="R3718" t="s">
        <v>688</v>
      </c>
      <c r="S3718" t="s">
        <v>689</v>
      </c>
      <c r="T3718">
        <v>201.4</v>
      </c>
      <c r="U3718">
        <v>199.5</v>
      </c>
      <c r="V3718">
        <f t="shared" si="116"/>
        <v>200.45</v>
      </c>
      <c r="W3718">
        <f t="shared" si="117"/>
        <v>1.9000000000000057</v>
      </c>
      <c r="X3718">
        <v>102.090401</v>
      </c>
      <c r="Y3718">
        <v>25.175985000000001</v>
      </c>
      <c r="Z3718" t="s">
        <v>124</v>
      </c>
      <c r="AA3718" t="s">
        <v>379</v>
      </c>
      <c r="AB3718" t="s">
        <v>828</v>
      </c>
      <c r="AC3718" t="s">
        <v>829</v>
      </c>
      <c r="AD3718" t="s">
        <v>829</v>
      </c>
      <c r="AF3718" t="s">
        <v>830</v>
      </c>
      <c r="AH3718" t="s">
        <v>72</v>
      </c>
      <c r="AI3718" t="s">
        <v>683</v>
      </c>
      <c r="AJ3718">
        <v>1940</v>
      </c>
      <c r="AK3718" t="s">
        <v>996</v>
      </c>
      <c r="AM3718" t="s">
        <v>997</v>
      </c>
      <c r="AN3718" t="s">
        <v>192</v>
      </c>
      <c r="AO3718">
        <v>6</v>
      </c>
      <c r="AP3718" t="s">
        <v>78</v>
      </c>
      <c r="AQ3718" t="s">
        <v>998</v>
      </c>
      <c r="AR3718" t="s">
        <v>80</v>
      </c>
      <c r="AS3718">
        <v>611</v>
      </c>
      <c r="AT3718" t="s">
        <v>81</v>
      </c>
      <c r="AU3718">
        <v>120.18</v>
      </c>
      <c r="AV3718">
        <v>37.81</v>
      </c>
      <c r="AW3718" t="s">
        <v>82</v>
      </c>
      <c r="AX3718">
        <v>611</v>
      </c>
      <c r="AY3718" t="s">
        <v>81</v>
      </c>
      <c r="AZ3718">
        <v>104.64</v>
      </c>
      <c r="BA3718">
        <v>34.369999999999997</v>
      </c>
      <c r="BB3718" t="s">
        <v>83</v>
      </c>
    </row>
    <row r="3719" spans="1:54" x14ac:dyDescent="0.4">
      <c r="A3719">
        <v>490788</v>
      </c>
      <c r="D3719" t="s">
        <v>54</v>
      </c>
      <c r="G3719">
        <v>1</v>
      </c>
      <c r="H3719" t="s">
        <v>84</v>
      </c>
      <c r="I3719" t="s">
        <v>57</v>
      </c>
      <c r="K3719" t="s">
        <v>141</v>
      </c>
      <c r="L3719" t="s">
        <v>1001</v>
      </c>
      <c r="M3719" t="s">
        <v>60</v>
      </c>
      <c r="O3719" t="s">
        <v>87</v>
      </c>
      <c r="P3719" t="s">
        <v>687</v>
      </c>
      <c r="R3719" t="s">
        <v>688</v>
      </c>
      <c r="S3719" t="s">
        <v>689</v>
      </c>
      <c r="T3719">
        <v>201.4</v>
      </c>
      <c r="U3719">
        <v>199.5</v>
      </c>
      <c r="V3719">
        <f t="shared" si="116"/>
        <v>200.45</v>
      </c>
      <c r="W3719">
        <f t="shared" si="117"/>
        <v>1.9000000000000057</v>
      </c>
      <c r="X3719">
        <v>102.090401</v>
      </c>
      <c r="Y3719">
        <v>25.175985000000001</v>
      </c>
      <c r="Z3719" t="s">
        <v>124</v>
      </c>
      <c r="AA3719" t="s">
        <v>379</v>
      </c>
      <c r="AB3719" t="s">
        <v>828</v>
      </c>
      <c r="AC3719" t="s">
        <v>829</v>
      </c>
      <c r="AD3719" t="s">
        <v>829</v>
      </c>
      <c r="AF3719" t="s">
        <v>830</v>
      </c>
      <c r="AH3719" t="s">
        <v>72</v>
      </c>
      <c r="AI3719" t="s">
        <v>683</v>
      </c>
      <c r="AJ3719">
        <v>1948</v>
      </c>
      <c r="AK3719" t="s">
        <v>996</v>
      </c>
      <c r="AM3719" t="s">
        <v>997</v>
      </c>
      <c r="AN3719" t="s">
        <v>192</v>
      </c>
      <c r="AO3719">
        <v>6</v>
      </c>
      <c r="AP3719" t="s">
        <v>78</v>
      </c>
      <c r="AQ3719" t="s">
        <v>998</v>
      </c>
      <c r="AR3719" t="s">
        <v>80</v>
      </c>
      <c r="AS3719">
        <v>611</v>
      </c>
      <c r="AT3719" t="s">
        <v>81</v>
      </c>
      <c r="AU3719">
        <v>120.18</v>
      </c>
      <c r="AV3719">
        <v>37.81</v>
      </c>
      <c r="AW3719" t="s">
        <v>82</v>
      </c>
      <c r="AX3719">
        <v>611</v>
      </c>
      <c r="AY3719" t="s">
        <v>81</v>
      </c>
      <c r="AZ3719">
        <v>104.64</v>
      </c>
      <c r="BA3719">
        <v>34.369999999999997</v>
      </c>
      <c r="BB3719" t="s">
        <v>83</v>
      </c>
    </row>
    <row r="3720" spans="1:54" x14ac:dyDescent="0.4">
      <c r="A3720">
        <v>490789</v>
      </c>
      <c r="D3720" t="s">
        <v>54</v>
      </c>
      <c r="G3720">
        <v>1</v>
      </c>
      <c r="H3720" t="s">
        <v>84</v>
      </c>
      <c r="I3720" t="s">
        <v>57</v>
      </c>
      <c r="K3720" t="s">
        <v>141</v>
      </c>
      <c r="L3720" t="s">
        <v>1002</v>
      </c>
      <c r="M3720" t="s">
        <v>60</v>
      </c>
      <c r="N3720" t="s">
        <v>256</v>
      </c>
      <c r="O3720" t="s">
        <v>87</v>
      </c>
      <c r="P3720" t="s">
        <v>687</v>
      </c>
      <c r="R3720" t="s">
        <v>688</v>
      </c>
      <c r="S3720" t="s">
        <v>689</v>
      </c>
      <c r="T3720">
        <v>201.4</v>
      </c>
      <c r="U3720">
        <v>199.5</v>
      </c>
      <c r="V3720">
        <f t="shared" si="116"/>
        <v>200.45</v>
      </c>
      <c r="W3720">
        <f t="shared" si="117"/>
        <v>1.9000000000000057</v>
      </c>
      <c r="X3720">
        <v>102.090401</v>
      </c>
      <c r="Y3720">
        <v>25.175985000000001</v>
      </c>
      <c r="Z3720" t="s">
        <v>124</v>
      </c>
      <c r="AA3720" t="s">
        <v>379</v>
      </c>
      <c r="AB3720" t="s">
        <v>828</v>
      </c>
      <c r="AC3720" t="s">
        <v>829</v>
      </c>
      <c r="AD3720" t="s">
        <v>829</v>
      </c>
      <c r="AF3720" t="s">
        <v>830</v>
      </c>
      <c r="AH3720" t="s">
        <v>72</v>
      </c>
      <c r="AI3720" t="s">
        <v>683</v>
      </c>
      <c r="AJ3720">
        <v>1947</v>
      </c>
      <c r="AK3720" t="s">
        <v>996</v>
      </c>
      <c r="AM3720" t="s">
        <v>997</v>
      </c>
      <c r="AN3720" t="s">
        <v>192</v>
      </c>
      <c r="AO3720">
        <v>6</v>
      </c>
      <c r="AP3720" t="s">
        <v>78</v>
      </c>
      <c r="AQ3720" t="s">
        <v>998</v>
      </c>
      <c r="AR3720" t="s">
        <v>80</v>
      </c>
      <c r="AS3720">
        <v>611</v>
      </c>
      <c r="AT3720" t="s">
        <v>81</v>
      </c>
      <c r="AU3720">
        <v>120.18</v>
      </c>
      <c r="AV3720">
        <v>37.81</v>
      </c>
      <c r="AW3720" t="s">
        <v>82</v>
      </c>
      <c r="AX3720">
        <v>611</v>
      </c>
      <c r="AY3720" t="s">
        <v>81</v>
      </c>
      <c r="AZ3720">
        <v>104.64</v>
      </c>
      <c r="BA3720">
        <v>34.369999999999997</v>
      </c>
      <c r="BB3720" t="s">
        <v>83</v>
      </c>
    </row>
    <row r="3721" spans="1:54" x14ac:dyDescent="0.4">
      <c r="A3721">
        <v>492832</v>
      </c>
      <c r="D3721" t="s">
        <v>54</v>
      </c>
      <c r="E3721" t="s">
        <v>152</v>
      </c>
      <c r="G3721">
        <v>1</v>
      </c>
      <c r="H3721" t="s">
        <v>56</v>
      </c>
      <c r="I3721" t="s">
        <v>57</v>
      </c>
      <c r="K3721" t="s">
        <v>141</v>
      </c>
      <c r="L3721" t="s">
        <v>1011</v>
      </c>
      <c r="M3721" t="s">
        <v>60</v>
      </c>
      <c r="N3721" t="s">
        <v>326</v>
      </c>
      <c r="O3721" t="s">
        <v>170</v>
      </c>
      <c r="P3721" t="s">
        <v>687</v>
      </c>
      <c r="R3721" t="s">
        <v>688</v>
      </c>
      <c r="S3721" t="s">
        <v>689</v>
      </c>
      <c r="T3721">
        <v>201.4</v>
      </c>
      <c r="U3721">
        <v>199.5</v>
      </c>
      <c r="V3721">
        <f t="shared" si="116"/>
        <v>200.45</v>
      </c>
      <c r="W3721">
        <f t="shared" si="117"/>
        <v>1.9000000000000057</v>
      </c>
      <c r="X3721">
        <v>101.416702</v>
      </c>
      <c r="Y3721">
        <v>26.166699999999999</v>
      </c>
      <c r="Z3721" t="s">
        <v>184</v>
      </c>
      <c r="AA3721" t="s">
        <v>379</v>
      </c>
      <c r="AB3721" t="s">
        <v>828</v>
      </c>
      <c r="AC3721" t="s">
        <v>1012</v>
      </c>
      <c r="AD3721" t="s">
        <v>1013</v>
      </c>
      <c r="AF3721" t="s">
        <v>620</v>
      </c>
      <c r="AH3721" t="s">
        <v>72</v>
      </c>
      <c r="AI3721" t="s">
        <v>1014</v>
      </c>
      <c r="AJ3721">
        <v>1975</v>
      </c>
      <c r="AK3721" t="s">
        <v>1015</v>
      </c>
      <c r="AM3721" t="s">
        <v>1016</v>
      </c>
      <c r="AN3721" t="s">
        <v>114</v>
      </c>
      <c r="AO3721">
        <v>4</v>
      </c>
      <c r="AP3721" t="s">
        <v>115</v>
      </c>
      <c r="AQ3721" t="s">
        <v>1017</v>
      </c>
      <c r="AR3721" t="s">
        <v>80</v>
      </c>
      <c r="AS3721">
        <v>611</v>
      </c>
      <c r="AT3721" t="s">
        <v>81</v>
      </c>
      <c r="AU3721">
        <v>119.22</v>
      </c>
      <c r="AV3721">
        <v>38.700000000000003</v>
      </c>
      <c r="AW3721" t="s">
        <v>82</v>
      </c>
      <c r="AX3721">
        <v>611</v>
      </c>
      <c r="AY3721" t="s">
        <v>81</v>
      </c>
      <c r="AZ3721">
        <v>103.76</v>
      </c>
      <c r="BA3721">
        <v>35.28</v>
      </c>
      <c r="BB3721" t="s">
        <v>83</v>
      </c>
    </row>
    <row r="3722" spans="1:54" x14ac:dyDescent="0.4">
      <c r="A3722">
        <v>513242</v>
      </c>
      <c r="D3722" t="s">
        <v>54</v>
      </c>
      <c r="E3722" t="s">
        <v>152</v>
      </c>
      <c r="G3722">
        <v>1</v>
      </c>
      <c r="H3722" t="s">
        <v>56</v>
      </c>
      <c r="I3722" t="s">
        <v>57</v>
      </c>
      <c r="K3722" t="s">
        <v>1037</v>
      </c>
      <c r="L3722" t="s">
        <v>1038</v>
      </c>
      <c r="M3722" t="s">
        <v>60</v>
      </c>
      <c r="N3722" t="s">
        <v>119</v>
      </c>
      <c r="O3722" t="s">
        <v>170</v>
      </c>
      <c r="P3722" t="s">
        <v>687</v>
      </c>
      <c r="R3722" t="s">
        <v>688</v>
      </c>
      <c r="S3722" t="s">
        <v>689</v>
      </c>
      <c r="T3722">
        <v>201.4</v>
      </c>
      <c r="U3722">
        <v>199.5</v>
      </c>
      <c r="V3722">
        <f t="shared" si="116"/>
        <v>200.45</v>
      </c>
      <c r="W3722">
        <f t="shared" si="117"/>
        <v>1.9000000000000057</v>
      </c>
      <c r="X3722">
        <v>102.401901</v>
      </c>
      <c r="Y3722">
        <v>24.173901000000001</v>
      </c>
      <c r="Z3722" t="s">
        <v>124</v>
      </c>
      <c r="AA3722" t="s">
        <v>379</v>
      </c>
      <c r="AB3722" t="s">
        <v>828</v>
      </c>
      <c r="AC3722" t="s">
        <v>1039</v>
      </c>
      <c r="AD3722" t="s">
        <v>829</v>
      </c>
      <c r="AF3722" t="s">
        <v>830</v>
      </c>
      <c r="AH3722" t="s">
        <v>72</v>
      </c>
      <c r="AI3722" t="s">
        <v>1040</v>
      </c>
      <c r="AJ3722">
        <v>2001</v>
      </c>
      <c r="AK3722" t="s">
        <v>1041</v>
      </c>
      <c r="AN3722" t="s">
        <v>114</v>
      </c>
      <c r="AO3722">
        <v>4</v>
      </c>
      <c r="AP3722" t="s">
        <v>115</v>
      </c>
      <c r="AQ3722" t="s">
        <v>1042</v>
      </c>
      <c r="AR3722" t="s">
        <v>80</v>
      </c>
      <c r="AS3722">
        <v>611</v>
      </c>
      <c r="AT3722" t="s">
        <v>81</v>
      </c>
      <c r="AU3722">
        <v>120.71</v>
      </c>
      <c r="AV3722">
        <v>36.86</v>
      </c>
      <c r="AW3722" t="s">
        <v>82</v>
      </c>
      <c r="AX3722">
        <v>611</v>
      </c>
      <c r="AY3722" t="s">
        <v>81</v>
      </c>
      <c r="AZ3722">
        <v>105.12</v>
      </c>
      <c r="BA3722">
        <v>33.409999999999997</v>
      </c>
      <c r="BB3722" t="s">
        <v>83</v>
      </c>
    </row>
    <row r="3723" spans="1:54" x14ac:dyDescent="0.4">
      <c r="A3723">
        <v>534508</v>
      </c>
      <c r="D3723" t="s">
        <v>54</v>
      </c>
      <c r="F3723" t="s">
        <v>1153</v>
      </c>
      <c r="G3723">
        <v>1</v>
      </c>
      <c r="H3723" t="s">
        <v>56</v>
      </c>
      <c r="I3723" t="s">
        <v>57</v>
      </c>
      <c r="K3723" t="s">
        <v>141</v>
      </c>
      <c r="L3723" t="s">
        <v>1154</v>
      </c>
      <c r="M3723" t="s">
        <v>60</v>
      </c>
      <c r="N3723" t="s">
        <v>326</v>
      </c>
      <c r="O3723" t="s">
        <v>170</v>
      </c>
      <c r="P3723" t="s">
        <v>687</v>
      </c>
      <c r="R3723" t="s">
        <v>688</v>
      </c>
      <c r="S3723" t="s">
        <v>689</v>
      </c>
      <c r="T3723">
        <v>201.4</v>
      </c>
      <c r="U3723">
        <v>199.5</v>
      </c>
      <c r="V3723">
        <f t="shared" si="116"/>
        <v>200.45</v>
      </c>
      <c r="W3723">
        <f t="shared" si="117"/>
        <v>1.9000000000000057</v>
      </c>
      <c r="X3723">
        <v>-71.985557999999997</v>
      </c>
      <c r="Y3723">
        <v>8.1372219999999995</v>
      </c>
      <c r="Z3723" t="s">
        <v>124</v>
      </c>
      <c r="AA3723" t="s">
        <v>1155</v>
      </c>
      <c r="AB3723" t="s">
        <v>1156</v>
      </c>
      <c r="AC3723" t="s">
        <v>1157</v>
      </c>
      <c r="AD3723" t="s">
        <v>1158</v>
      </c>
      <c r="AH3723" t="s">
        <v>72</v>
      </c>
      <c r="AI3723" t="s">
        <v>1159</v>
      </c>
      <c r="AJ3723">
        <v>2014</v>
      </c>
      <c r="AK3723" t="s">
        <v>1160</v>
      </c>
      <c r="AM3723" t="s">
        <v>1161</v>
      </c>
      <c r="AN3723" t="s">
        <v>341</v>
      </c>
      <c r="AO3723" t="s">
        <v>77</v>
      </c>
      <c r="AP3723" t="s">
        <v>78</v>
      </c>
      <c r="AQ3723" t="s">
        <v>1162</v>
      </c>
      <c r="AR3723" t="s">
        <v>80</v>
      </c>
      <c r="AS3723">
        <v>201</v>
      </c>
      <c r="AT3723" t="s">
        <v>81</v>
      </c>
      <c r="AU3723">
        <v>-30.77</v>
      </c>
      <c r="AV3723">
        <v>-2.77</v>
      </c>
      <c r="AW3723" t="s">
        <v>82</v>
      </c>
      <c r="AX3723">
        <v>201</v>
      </c>
      <c r="AY3723" t="s">
        <v>81</v>
      </c>
      <c r="AZ3723">
        <v>-42.12</v>
      </c>
      <c r="BA3723">
        <v>1.06</v>
      </c>
      <c r="BB3723" t="s">
        <v>83</v>
      </c>
    </row>
    <row r="3724" spans="1:54" x14ac:dyDescent="0.4">
      <c r="A3724">
        <v>539205</v>
      </c>
      <c r="D3724" t="s">
        <v>54</v>
      </c>
      <c r="E3724" t="s">
        <v>154</v>
      </c>
      <c r="G3724">
        <v>1</v>
      </c>
      <c r="H3724" t="s">
        <v>56</v>
      </c>
      <c r="I3724" t="s">
        <v>57</v>
      </c>
      <c r="K3724" t="s">
        <v>141</v>
      </c>
      <c r="L3724" t="s">
        <v>1208</v>
      </c>
      <c r="M3724" t="s">
        <v>60</v>
      </c>
      <c r="N3724" t="s">
        <v>119</v>
      </c>
      <c r="O3724" t="s">
        <v>170</v>
      </c>
      <c r="P3724" t="s">
        <v>687</v>
      </c>
      <c r="R3724" t="s">
        <v>688</v>
      </c>
      <c r="S3724" t="s">
        <v>689</v>
      </c>
      <c r="T3724">
        <v>201.4</v>
      </c>
      <c r="U3724">
        <v>199.5</v>
      </c>
      <c r="V3724">
        <f t="shared" si="116"/>
        <v>200.45</v>
      </c>
      <c r="W3724">
        <f t="shared" si="117"/>
        <v>1.9000000000000057</v>
      </c>
      <c r="X3724">
        <v>102.542198</v>
      </c>
      <c r="Y3724">
        <v>24.355</v>
      </c>
      <c r="Z3724" t="s">
        <v>124</v>
      </c>
      <c r="AA3724" t="s">
        <v>379</v>
      </c>
      <c r="AB3724" t="s">
        <v>828</v>
      </c>
      <c r="AC3724" t="s">
        <v>1209</v>
      </c>
      <c r="AD3724" t="s">
        <v>1013</v>
      </c>
      <c r="AH3724" t="s">
        <v>72</v>
      </c>
      <c r="AI3724" t="s">
        <v>1210</v>
      </c>
      <c r="AJ3724">
        <v>1990</v>
      </c>
      <c r="AK3724" t="s">
        <v>1211</v>
      </c>
      <c r="AM3724" t="s">
        <v>1212</v>
      </c>
      <c r="AN3724" t="s">
        <v>114</v>
      </c>
      <c r="AO3724">
        <v>4</v>
      </c>
      <c r="AP3724" t="s">
        <v>115</v>
      </c>
      <c r="AQ3724" t="s">
        <v>1213</v>
      </c>
      <c r="AR3724" t="s">
        <v>80</v>
      </c>
      <c r="AS3724">
        <v>611</v>
      </c>
      <c r="AT3724" t="s">
        <v>81</v>
      </c>
      <c r="AU3724">
        <v>120.84</v>
      </c>
      <c r="AV3724">
        <v>37.06</v>
      </c>
      <c r="AW3724" t="s">
        <v>82</v>
      </c>
      <c r="AX3724">
        <v>611</v>
      </c>
      <c r="AY3724" t="s">
        <v>81</v>
      </c>
      <c r="AZ3724">
        <v>105.24</v>
      </c>
      <c r="BA3724">
        <v>33.6</v>
      </c>
      <c r="BB3724" t="s">
        <v>83</v>
      </c>
    </row>
    <row r="3725" spans="1:54" x14ac:dyDescent="0.4">
      <c r="A3725">
        <v>539205</v>
      </c>
      <c r="D3725" t="s">
        <v>54</v>
      </c>
      <c r="E3725" t="s">
        <v>154</v>
      </c>
      <c r="G3725">
        <v>1</v>
      </c>
      <c r="H3725" t="s">
        <v>56</v>
      </c>
      <c r="I3725" t="s">
        <v>57</v>
      </c>
      <c r="K3725" t="s">
        <v>141</v>
      </c>
      <c r="L3725" t="s">
        <v>1208</v>
      </c>
      <c r="M3725" t="s">
        <v>60</v>
      </c>
      <c r="N3725" t="s">
        <v>119</v>
      </c>
      <c r="O3725" t="s">
        <v>170</v>
      </c>
      <c r="P3725" t="s">
        <v>687</v>
      </c>
      <c r="R3725" t="s">
        <v>688</v>
      </c>
      <c r="S3725" t="s">
        <v>689</v>
      </c>
      <c r="T3725">
        <v>201.4</v>
      </c>
      <c r="U3725">
        <v>199.5</v>
      </c>
      <c r="V3725">
        <f t="shared" si="116"/>
        <v>200.45</v>
      </c>
      <c r="W3725">
        <f t="shared" si="117"/>
        <v>1.9000000000000057</v>
      </c>
      <c r="X3725">
        <v>102.542198</v>
      </c>
      <c r="Y3725">
        <v>24.355</v>
      </c>
      <c r="Z3725" t="s">
        <v>124</v>
      </c>
      <c r="AA3725" t="s">
        <v>379</v>
      </c>
      <c r="AB3725" t="s">
        <v>828</v>
      </c>
      <c r="AC3725" t="s">
        <v>1209</v>
      </c>
      <c r="AD3725" t="s">
        <v>1013</v>
      </c>
      <c r="AH3725" t="s">
        <v>72</v>
      </c>
      <c r="AI3725" t="s">
        <v>1210</v>
      </c>
      <c r="AJ3725">
        <v>1990</v>
      </c>
      <c r="AK3725" t="s">
        <v>1211</v>
      </c>
      <c r="AM3725" t="s">
        <v>1212</v>
      </c>
      <c r="AN3725" t="s">
        <v>114</v>
      </c>
      <c r="AO3725">
        <v>4</v>
      </c>
      <c r="AP3725" t="s">
        <v>115</v>
      </c>
      <c r="AQ3725" t="s">
        <v>1213</v>
      </c>
      <c r="AR3725" t="s">
        <v>80</v>
      </c>
      <c r="AS3725">
        <v>611</v>
      </c>
      <c r="AT3725" t="s">
        <v>81</v>
      </c>
      <c r="AU3725">
        <v>120.84</v>
      </c>
      <c r="AV3725">
        <v>37.06</v>
      </c>
      <c r="AW3725" t="s">
        <v>82</v>
      </c>
      <c r="AX3725">
        <v>611</v>
      </c>
      <c r="AY3725" t="s">
        <v>81</v>
      </c>
      <c r="AZ3725">
        <v>105.24</v>
      </c>
      <c r="BA3725">
        <v>33.6</v>
      </c>
      <c r="BB3725" t="s">
        <v>83</v>
      </c>
    </row>
    <row r="3726" spans="1:54" x14ac:dyDescent="0.4">
      <c r="A3726">
        <v>539205</v>
      </c>
      <c r="D3726" t="s">
        <v>54</v>
      </c>
      <c r="E3726" t="s">
        <v>154</v>
      </c>
      <c r="G3726">
        <v>1</v>
      </c>
      <c r="H3726" t="s">
        <v>56</v>
      </c>
      <c r="I3726" t="s">
        <v>57</v>
      </c>
      <c r="K3726" t="s">
        <v>141</v>
      </c>
      <c r="L3726" t="s">
        <v>1208</v>
      </c>
      <c r="M3726" t="s">
        <v>60</v>
      </c>
      <c r="N3726" t="s">
        <v>119</v>
      </c>
      <c r="O3726" t="s">
        <v>170</v>
      </c>
      <c r="P3726" t="s">
        <v>687</v>
      </c>
      <c r="R3726" t="s">
        <v>688</v>
      </c>
      <c r="S3726" t="s">
        <v>689</v>
      </c>
      <c r="T3726">
        <v>201.4</v>
      </c>
      <c r="U3726">
        <v>199.5</v>
      </c>
      <c r="V3726">
        <f t="shared" si="116"/>
        <v>200.45</v>
      </c>
      <c r="W3726">
        <f t="shared" si="117"/>
        <v>1.9000000000000057</v>
      </c>
      <c r="X3726">
        <v>102.542198</v>
      </c>
      <c r="Y3726">
        <v>24.355</v>
      </c>
      <c r="Z3726" t="s">
        <v>124</v>
      </c>
      <c r="AA3726" t="s">
        <v>379</v>
      </c>
      <c r="AB3726" t="s">
        <v>828</v>
      </c>
      <c r="AC3726" t="s">
        <v>1209</v>
      </c>
      <c r="AD3726" t="s">
        <v>1013</v>
      </c>
      <c r="AH3726" t="s">
        <v>72</v>
      </c>
      <c r="AI3726" t="s">
        <v>1210</v>
      </c>
      <c r="AJ3726">
        <v>1990</v>
      </c>
      <c r="AK3726" t="s">
        <v>1211</v>
      </c>
      <c r="AM3726" t="s">
        <v>1212</v>
      </c>
      <c r="AN3726" t="s">
        <v>114</v>
      </c>
      <c r="AO3726">
        <v>4</v>
      </c>
      <c r="AP3726" t="s">
        <v>115</v>
      </c>
      <c r="AQ3726" t="s">
        <v>1213</v>
      </c>
      <c r="AR3726" t="s">
        <v>80</v>
      </c>
      <c r="AS3726">
        <v>611</v>
      </c>
      <c r="AT3726" t="s">
        <v>81</v>
      </c>
      <c r="AU3726">
        <v>120.84</v>
      </c>
      <c r="AV3726">
        <v>37.06</v>
      </c>
      <c r="AW3726" t="s">
        <v>82</v>
      </c>
      <c r="AX3726">
        <v>611</v>
      </c>
      <c r="AY3726" t="s">
        <v>81</v>
      </c>
      <c r="AZ3726">
        <v>105.24</v>
      </c>
      <c r="BA3726">
        <v>33.6</v>
      </c>
      <c r="BB3726" t="s">
        <v>83</v>
      </c>
    </row>
    <row r="3727" spans="1:54" x14ac:dyDescent="0.4">
      <c r="A3727">
        <v>539205</v>
      </c>
      <c r="D3727" t="s">
        <v>54</v>
      </c>
      <c r="E3727" t="s">
        <v>154</v>
      </c>
      <c r="G3727">
        <v>1</v>
      </c>
      <c r="H3727" t="s">
        <v>56</v>
      </c>
      <c r="I3727" t="s">
        <v>57</v>
      </c>
      <c r="K3727" t="s">
        <v>141</v>
      </c>
      <c r="L3727" t="s">
        <v>1208</v>
      </c>
      <c r="M3727" t="s">
        <v>60</v>
      </c>
      <c r="N3727" t="s">
        <v>119</v>
      </c>
      <c r="O3727" t="s">
        <v>170</v>
      </c>
      <c r="P3727" t="s">
        <v>687</v>
      </c>
      <c r="R3727" t="s">
        <v>688</v>
      </c>
      <c r="S3727" t="s">
        <v>689</v>
      </c>
      <c r="T3727">
        <v>201.4</v>
      </c>
      <c r="U3727">
        <v>199.5</v>
      </c>
      <c r="V3727">
        <f t="shared" si="116"/>
        <v>200.45</v>
      </c>
      <c r="W3727">
        <f t="shared" si="117"/>
        <v>1.9000000000000057</v>
      </c>
      <c r="X3727">
        <v>102.542198</v>
      </c>
      <c r="Y3727">
        <v>24.355</v>
      </c>
      <c r="Z3727" t="s">
        <v>124</v>
      </c>
      <c r="AA3727" t="s">
        <v>379</v>
      </c>
      <c r="AB3727" t="s">
        <v>828</v>
      </c>
      <c r="AC3727" t="s">
        <v>1209</v>
      </c>
      <c r="AD3727" t="s">
        <v>1013</v>
      </c>
      <c r="AH3727" t="s">
        <v>72</v>
      </c>
      <c r="AI3727" t="s">
        <v>1210</v>
      </c>
      <c r="AJ3727">
        <v>1990</v>
      </c>
      <c r="AK3727" t="s">
        <v>1211</v>
      </c>
      <c r="AM3727" t="s">
        <v>1212</v>
      </c>
      <c r="AN3727" t="s">
        <v>114</v>
      </c>
      <c r="AO3727">
        <v>4</v>
      </c>
      <c r="AP3727" t="s">
        <v>115</v>
      </c>
      <c r="AQ3727" t="s">
        <v>1213</v>
      </c>
      <c r="AR3727" t="s">
        <v>80</v>
      </c>
      <c r="AS3727">
        <v>611</v>
      </c>
      <c r="AT3727" t="s">
        <v>81</v>
      </c>
      <c r="AU3727">
        <v>120.84</v>
      </c>
      <c r="AV3727">
        <v>37.06</v>
      </c>
      <c r="AW3727" t="s">
        <v>82</v>
      </c>
      <c r="AX3727">
        <v>611</v>
      </c>
      <c r="AY3727" t="s">
        <v>81</v>
      </c>
      <c r="AZ3727">
        <v>105.24</v>
      </c>
      <c r="BA3727">
        <v>33.6</v>
      </c>
      <c r="BB3727" t="s">
        <v>83</v>
      </c>
    </row>
    <row r="3728" spans="1:54" x14ac:dyDescent="0.4">
      <c r="A3728">
        <v>539205</v>
      </c>
      <c r="D3728" t="s">
        <v>54</v>
      </c>
      <c r="E3728" t="s">
        <v>154</v>
      </c>
      <c r="G3728">
        <v>1</v>
      </c>
      <c r="H3728" t="s">
        <v>56</v>
      </c>
      <c r="I3728" t="s">
        <v>57</v>
      </c>
      <c r="K3728" t="s">
        <v>141</v>
      </c>
      <c r="L3728" t="s">
        <v>1208</v>
      </c>
      <c r="M3728" t="s">
        <v>60</v>
      </c>
      <c r="N3728" t="s">
        <v>119</v>
      </c>
      <c r="O3728" t="s">
        <v>170</v>
      </c>
      <c r="P3728" t="s">
        <v>687</v>
      </c>
      <c r="R3728" t="s">
        <v>688</v>
      </c>
      <c r="S3728" t="s">
        <v>689</v>
      </c>
      <c r="T3728">
        <v>201.4</v>
      </c>
      <c r="U3728">
        <v>199.5</v>
      </c>
      <c r="V3728">
        <f t="shared" si="116"/>
        <v>200.45</v>
      </c>
      <c r="W3728">
        <f t="shared" si="117"/>
        <v>1.9000000000000057</v>
      </c>
      <c r="X3728">
        <v>102.542198</v>
      </c>
      <c r="Y3728">
        <v>24.355</v>
      </c>
      <c r="Z3728" t="s">
        <v>124</v>
      </c>
      <c r="AA3728" t="s">
        <v>379</v>
      </c>
      <c r="AB3728" t="s">
        <v>828</v>
      </c>
      <c r="AC3728" t="s">
        <v>1209</v>
      </c>
      <c r="AD3728" t="s">
        <v>1013</v>
      </c>
      <c r="AH3728" t="s">
        <v>72</v>
      </c>
      <c r="AI3728" t="s">
        <v>1210</v>
      </c>
      <c r="AJ3728">
        <v>1990</v>
      </c>
      <c r="AK3728" t="s">
        <v>1211</v>
      </c>
      <c r="AM3728" t="s">
        <v>1212</v>
      </c>
      <c r="AN3728" t="s">
        <v>114</v>
      </c>
      <c r="AO3728">
        <v>4</v>
      </c>
      <c r="AP3728" t="s">
        <v>115</v>
      </c>
      <c r="AQ3728" t="s">
        <v>1213</v>
      </c>
      <c r="AR3728" t="s">
        <v>80</v>
      </c>
      <c r="AS3728">
        <v>611</v>
      </c>
      <c r="AT3728" t="s">
        <v>81</v>
      </c>
      <c r="AU3728">
        <v>120.84</v>
      </c>
      <c r="AV3728">
        <v>37.06</v>
      </c>
      <c r="AW3728" t="s">
        <v>82</v>
      </c>
      <c r="AX3728">
        <v>611</v>
      </c>
      <c r="AY3728" t="s">
        <v>81</v>
      </c>
      <c r="AZ3728">
        <v>105.24</v>
      </c>
      <c r="BA3728">
        <v>33.6</v>
      </c>
      <c r="BB3728" t="s">
        <v>83</v>
      </c>
    </row>
    <row r="3729" spans="1:54" x14ac:dyDescent="0.4">
      <c r="A3729">
        <v>539205</v>
      </c>
      <c r="D3729" t="s">
        <v>54</v>
      </c>
      <c r="E3729" t="s">
        <v>154</v>
      </c>
      <c r="G3729">
        <v>1</v>
      </c>
      <c r="H3729" t="s">
        <v>56</v>
      </c>
      <c r="I3729" t="s">
        <v>57</v>
      </c>
      <c r="K3729" t="s">
        <v>141</v>
      </c>
      <c r="L3729" t="s">
        <v>1208</v>
      </c>
      <c r="M3729" t="s">
        <v>60</v>
      </c>
      <c r="N3729" t="s">
        <v>119</v>
      </c>
      <c r="O3729" t="s">
        <v>170</v>
      </c>
      <c r="P3729" t="s">
        <v>687</v>
      </c>
      <c r="R3729" t="s">
        <v>688</v>
      </c>
      <c r="S3729" t="s">
        <v>689</v>
      </c>
      <c r="T3729">
        <v>201.4</v>
      </c>
      <c r="U3729">
        <v>199.5</v>
      </c>
      <c r="V3729">
        <f t="shared" si="116"/>
        <v>200.45</v>
      </c>
      <c r="W3729">
        <f t="shared" si="117"/>
        <v>1.9000000000000057</v>
      </c>
      <c r="X3729">
        <v>102.542198</v>
      </c>
      <c r="Y3729">
        <v>24.355</v>
      </c>
      <c r="Z3729" t="s">
        <v>124</v>
      </c>
      <c r="AA3729" t="s">
        <v>379</v>
      </c>
      <c r="AB3729" t="s">
        <v>828</v>
      </c>
      <c r="AC3729" t="s">
        <v>1209</v>
      </c>
      <c r="AD3729" t="s">
        <v>1013</v>
      </c>
      <c r="AH3729" t="s">
        <v>72</v>
      </c>
      <c r="AI3729" t="s">
        <v>1210</v>
      </c>
      <c r="AJ3729">
        <v>1990</v>
      </c>
      <c r="AK3729" t="s">
        <v>1211</v>
      </c>
      <c r="AM3729" t="s">
        <v>1212</v>
      </c>
      <c r="AN3729" t="s">
        <v>114</v>
      </c>
      <c r="AO3729">
        <v>4</v>
      </c>
      <c r="AP3729" t="s">
        <v>115</v>
      </c>
      <c r="AQ3729" t="s">
        <v>1213</v>
      </c>
      <c r="AR3729" t="s">
        <v>80</v>
      </c>
      <c r="AS3729">
        <v>611</v>
      </c>
      <c r="AT3729" t="s">
        <v>81</v>
      </c>
      <c r="AU3729">
        <v>120.84</v>
      </c>
      <c r="AV3729">
        <v>37.06</v>
      </c>
      <c r="AW3729" t="s">
        <v>82</v>
      </c>
      <c r="AX3729">
        <v>611</v>
      </c>
      <c r="AY3729" t="s">
        <v>81</v>
      </c>
      <c r="AZ3729">
        <v>105.24</v>
      </c>
      <c r="BA3729">
        <v>33.6</v>
      </c>
      <c r="BB3729" t="s">
        <v>83</v>
      </c>
    </row>
    <row r="3730" spans="1:54" x14ac:dyDescent="0.4">
      <c r="A3730">
        <v>539205</v>
      </c>
      <c r="D3730" t="s">
        <v>54</v>
      </c>
      <c r="E3730" t="s">
        <v>154</v>
      </c>
      <c r="G3730">
        <v>1</v>
      </c>
      <c r="H3730" t="s">
        <v>56</v>
      </c>
      <c r="I3730" t="s">
        <v>57</v>
      </c>
      <c r="K3730" t="s">
        <v>141</v>
      </c>
      <c r="L3730" t="s">
        <v>1208</v>
      </c>
      <c r="M3730" t="s">
        <v>60</v>
      </c>
      <c r="N3730" t="s">
        <v>119</v>
      </c>
      <c r="O3730" t="s">
        <v>170</v>
      </c>
      <c r="P3730" t="s">
        <v>687</v>
      </c>
      <c r="R3730" t="s">
        <v>688</v>
      </c>
      <c r="S3730" t="s">
        <v>689</v>
      </c>
      <c r="T3730">
        <v>201.4</v>
      </c>
      <c r="U3730">
        <v>199.5</v>
      </c>
      <c r="V3730">
        <f t="shared" si="116"/>
        <v>200.45</v>
      </c>
      <c r="W3730">
        <f t="shared" si="117"/>
        <v>1.9000000000000057</v>
      </c>
      <c r="X3730">
        <v>102.542198</v>
      </c>
      <c r="Y3730">
        <v>24.355</v>
      </c>
      <c r="Z3730" t="s">
        <v>124</v>
      </c>
      <c r="AA3730" t="s">
        <v>379</v>
      </c>
      <c r="AB3730" t="s">
        <v>828</v>
      </c>
      <c r="AC3730" t="s">
        <v>1209</v>
      </c>
      <c r="AD3730" t="s">
        <v>1013</v>
      </c>
      <c r="AH3730" t="s">
        <v>72</v>
      </c>
      <c r="AI3730" t="s">
        <v>1210</v>
      </c>
      <c r="AJ3730">
        <v>1990</v>
      </c>
      <c r="AK3730" t="s">
        <v>1211</v>
      </c>
      <c r="AM3730" t="s">
        <v>1212</v>
      </c>
      <c r="AN3730" t="s">
        <v>114</v>
      </c>
      <c r="AO3730">
        <v>4</v>
      </c>
      <c r="AP3730" t="s">
        <v>115</v>
      </c>
      <c r="AQ3730" t="s">
        <v>1213</v>
      </c>
      <c r="AR3730" t="s">
        <v>80</v>
      </c>
      <c r="AS3730">
        <v>611</v>
      </c>
      <c r="AT3730" t="s">
        <v>81</v>
      </c>
      <c r="AU3730">
        <v>120.84</v>
      </c>
      <c r="AV3730">
        <v>37.06</v>
      </c>
      <c r="AW3730" t="s">
        <v>82</v>
      </c>
      <c r="AX3730">
        <v>611</v>
      </c>
      <c r="AY3730" t="s">
        <v>81</v>
      </c>
      <c r="AZ3730">
        <v>105.24</v>
      </c>
      <c r="BA3730">
        <v>33.6</v>
      </c>
      <c r="BB3730" t="s">
        <v>83</v>
      </c>
    </row>
    <row r="3731" spans="1:54" x14ac:dyDescent="0.4">
      <c r="A3731">
        <v>539205</v>
      </c>
      <c r="D3731" t="s">
        <v>54</v>
      </c>
      <c r="E3731" t="s">
        <v>154</v>
      </c>
      <c r="G3731">
        <v>1</v>
      </c>
      <c r="H3731" t="s">
        <v>56</v>
      </c>
      <c r="I3731" t="s">
        <v>57</v>
      </c>
      <c r="K3731" t="s">
        <v>141</v>
      </c>
      <c r="L3731" t="s">
        <v>1208</v>
      </c>
      <c r="M3731" t="s">
        <v>60</v>
      </c>
      <c r="N3731" t="s">
        <v>119</v>
      </c>
      <c r="O3731" t="s">
        <v>170</v>
      </c>
      <c r="P3731" t="s">
        <v>687</v>
      </c>
      <c r="R3731" t="s">
        <v>688</v>
      </c>
      <c r="S3731" t="s">
        <v>689</v>
      </c>
      <c r="T3731">
        <v>201.4</v>
      </c>
      <c r="U3731">
        <v>199.5</v>
      </c>
      <c r="V3731">
        <f t="shared" si="116"/>
        <v>200.45</v>
      </c>
      <c r="W3731">
        <f t="shared" si="117"/>
        <v>1.9000000000000057</v>
      </c>
      <c r="X3731">
        <v>102.542198</v>
      </c>
      <c r="Y3731">
        <v>24.355</v>
      </c>
      <c r="Z3731" t="s">
        <v>124</v>
      </c>
      <c r="AA3731" t="s">
        <v>379</v>
      </c>
      <c r="AB3731" t="s">
        <v>828</v>
      </c>
      <c r="AC3731" t="s">
        <v>1209</v>
      </c>
      <c r="AD3731" t="s">
        <v>1013</v>
      </c>
      <c r="AH3731" t="s">
        <v>72</v>
      </c>
      <c r="AI3731" t="s">
        <v>1210</v>
      </c>
      <c r="AJ3731">
        <v>1990</v>
      </c>
      <c r="AK3731" t="s">
        <v>1211</v>
      </c>
      <c r="AM3731" t="s">
        <v>1212</v>
      </c>
      <c r="AN3731" t="s">
        <v>114</v>
      </c>
      <c r="AO3731">
        <v>4</v>
      </c>
      <c r="AP3731" t="s">
        <v>115</v>
      </c>
      <c r="AQ3731" t="s">
        <v>1213</v>
      </c>
      <c r="AR3731" t="s">
        <v>80</v>
      </c>
      <c r="AS3731">
        <v>611</v>
      </c>
      <c r="AT3731" t="s">
        <v>81</v>
      </c>
      <c r="AU3731">
        <v>120.84</v>
      </c>
      <c r="AV3731">
        <v>37.06</v>
      </c>
      <c r="AW3731" t="s">
        <v>82</v>
      </c>
      <c r="AX3731">
        <v>611</v>
      </c>
      <c r="AY3731" t="s">
        <v>81</v>
      </c>
      <c r="AZ3731">
        <v>105.24</v>
      </c>
      <c r="BA3731">
        <v>33.6</v>
      </c>
      <c r="BB3731" t="s">
        <v>83</v>
      </c>
    </row>
    <row r="3732" spans="1:54" x14ac:dyDescent="0.4">
      <c r="A3732">
        <v>539205</v>
      </c>
      <c r="D3732" t="s">
        <v>54</v>
      </c>
      <c r="E3732" t="s">
        <v>154</v>
      </c>
      <c r="G3732">
        <v>1</v>
      </c>
      <c r="H3732" t="s">
        <v>56</v>
      </c>
      <c r="I3732" t="s">
        <v>57</v>
      </c>
      <c r="K3732" t="s">
        <v>141</v>
      </c>
      <c r="L3732" t="s">
        <v>1208</v>
      </c>
      <c r="M3732" t="s">
        <v>60</v>
      </c>
      <c r="N3732" t="s">
        <v>119</v>
      </c>
      <c r="O3732" t="s">
        <v>170</v>
      </c>
      <c r="P3732" t="s">
        <v>687</v>
      </c>
      <c r="R3732" t="s">
        <v>688</v>
      </c>
      <c r="S3732" t="s">
        <v>689</v>
      </c>
      <c r="T3732">
        <v>201.4</v>
      </c>
      <c r="U3732">
        <v>199.5</v>
      </c>
      <c r="V3732">
        <f t="shared" si="116"/>
        <v>200.45</v>
      </c>
      <c r="W3732">
        <f t="shared" si="117"/>
        <v>1.9000000000000057</v>
      </c>
      <c r="X3732">
        <v>102.542198</v>
      </c>
      <c r="Y3732">
        <v>24.355</v>
      </c>
      <c r="Z3732" t="s">
        <v>124</v>
      </c>
      <c r="AA3732" t="s">
        <v>379</v>
      </c>
      <c r="AB3732" t="s">
        <v>828</v>
      </c>
      <c r="AC3732" t="s">
        <v>1209</v>
      </c>
      <c r="AD3732" t="s">
        <v>1013</v>
      </c>
      <c r="AH3732" t="s">
        <v>72</v>
      </c>
      <c r="AI3732" t="s">
        <v>1210</v>
      </c>
      <c r="AJ3732">
        <v>1990</v>
      </c>
      <c r="AK3732" t="s">
        <v>1211</v>
      </c>
      <c r="AM3732" t="s">
        <v>1212</v>
      </c>
      <c r="AN3732" t="s">
        <v>114</v>
      </c>
      <c r="AO3732">
        <v>4</v>
      </c>
      <c r="AP3732" t="s">
        <v>115</v>
      </c>
      <c r="AQ3732" t="s">
        <v>1213</v>
      </c>
      <c r="AR3732" t="s">
        <v>80</v>
      </c>
      <c r="AS3732">
        <v>611</v>
      </c>
      <c r="AT3732" t="s">
        <v>81</v>
      </c>
      <c r="AU3732">
        <v>120.84</v>
      </c>
      <c r="AV3732">
        <v>37.06</v>
      </c>
      <c r="AW3732" t="s">
        <v>82</v>
      </c>
      <c r="AX3732">
        <v>611</v>
      </c>
      <c r="AY3732" t="s">
        <v>81</v>
      </c>
      <c r="AZ3732">
        <v>105.24</v>
      </c>
      <c r="BA3732">
        <v>33.6</v>
      </c>
      <c r="BB3732" t="s">
        <v>83</v>
      </c>
    </row>
    <row r="3733" spans="1:54" x14ac:dyDescent="0.4">
      <c r="A3733">
        <v>539205</v>
      </c>
      <c r="D3733" t="s">
        <v>54</v>
      </c>
      <c r="E3733" t="s">
        <v>154</v>
      </c>
      <c r="G3733">
        <v>1</v>
      </c>
      <c r="H3733" t="s">
        <v>56</v>
      </c>
      <c r="I3733" t="s">
        <v>57</v>
      </c>
      <c r="K3733" t="s">
        <v>141</v>
      </c>
      <c r="L3733" t="s">
        <v>1208</v>
      </c>
      <c r="M3733" t="s">
        <v>60</v>
      </c>
      <c r="N3733" t="s">
        <v>119</v>
      </c>
      <c r="O3733" t="s">
        <v>170</v>
      </c>
      <c r="P3733" t="s">
        <v>687</v>
      </c>
      <c r="R3733" t="s">
        <v>688</v>
      </c>
      <c r="S3733" t="s">
        <v>689</v>
      </c>
      <c r="T3733">
        <v>201.4</v>
      </c>
      <c r="U3733">
        <v>199.5</v>
      </c>
      <c r="V3733">
        <f t="shared" si="116"/>
        <v>200.45</v>
      </c>
      <c r="W3733">
        <f t="shared" si="117"/>
        <v>1.9000000000000057</v>
      </c>
      <c r="X3733">
        <v>102.542198</v>
      </c>
      <c r="Y3733">
        <v>24.355</v>
      </c>
      <c r="Z3733" t="s">
        <v>124</v>
      </c>
      <c r="AA3733" t="s">
        <v>379</v>
      </c>
      <c r="AB3733" t="s">
        <v>828</v>
      </c>
      <c r="AC3733" t="s">
        <v>1209</v>
      </c>
      <c r="AD3733" t="s">
        <v>1013</v>
      </c>
      <c r="AH3733" t="s">
        <v>72</v>
      </c>
      <c r="AI3733" t="s">
        <v>1210</v>
      </c>
      <c r="AJ3733">
        <v>1990</v>
      </c>
      <c r="AK3733" t="s">
        <v>1211</v>
      </c>
      <c r="AM3733" t="s">
        <v>1212</v>
      </c>
      <c r="AN3733" t="s">
        <v>114</v>
      </c>
      <c r="AO3733">
        <v>4</v>
      </c>
      <c r="AP3733" t="s">
        <v>115</v>
      </c>
      <c r="AQ3733" t="s">
        <v>1213</v>
      </c>
      <c r="AR3733" t="s">
        <v>80</v>
      </c>
      <c r="AS3733">
        <v>611</v>
      </c>
      <c r="AT3733" t="s">
        <v>81</v>
      </c>
      <c r="AU3733">
        <v>120.84</v>
      </c>
      <c r="AV3733">
        <v>37.06</v>
      </c>
      <c r="AW3733" t="s">
        <v>82</v>
      </c>
      <c r="AX3733">
        <v>611</v>
      </c>
      <c r="AY3733" t="s">
        <v>81</v>
      </c>
      <c r="AZ3733">
        <v>105.24</v>
      </c>
      <c r="BA3733">
        <v>33.6</v>
      </c>
      <c r="BB3733" t="s">
        <v>83</v>
      </c>
    </row>
    <row r="3734" spans="1:54" x14ac:dyDescent="0.4">
      <c r="A3734">
        <v>690312</v>
      </c>
      <c r="D3734" t="s">
        <v>54</v>
      </c>
      <c r="I3734" t="s">
        <v>57</v>
      </c>
      <c r="K3734" t="s">
        <v>805</v>
      </c>
      <c r="L3734" t="s">
        <v>806</v>
      </c>
      <c r="M3734" t="s">
        <v>60</v>
      </c>
      <c r="O3734" t="s">
        <v>87</v>
      </c>
      <c r="P3734" t="s">
        <v>687</v>
      </c>
      <c r="R3734" t="s">
        <v>688</v>
      </c>
      <c r="S3734" t="s">
        <v>689</v>
      </c>
      <c r="T3734">
        <v>201.4</v>
      </c>
      <c r="U3734">
        <v>199.5</v>
      </c>
      <c r="V3734">
        <f t="shared" si="116"/>
        <v>200.45</v>
      </c>
      <c r="W3734">
        <f t="shared" si="117"/>
        <v>1.9000000000000057</v>
      </c>
      <c r="X3734">
        <v>-64.219345000000004</v>
      </c>
      <c r="Y3734">
        <v>45.397652000000001</v>
      </c>
      <c r="Z3734" t="s">
        <v>361</v>
      </c>
      <c r="AA3734" t="s">
        <v>1456</v>
      </c>
      <c r="AB3734" t="s">
        <v>1457</v>
      </c>
      <c r="AD3734" t="s">
        <v>1458</v>
      </c>
      <c r="AE3734" t="s">
        <v>858</v>
      </c>
      <c r="AH3734" t="s">
        <v>72</v>
      </c>
      <c r="AI3734" t="s">
        <v>730</v>
      </c>
      <c r="AJ3734">
        <v>1996</v>
      </c>
      <c r="AK3734" t="s">
        <v>1459</v>
      </c>
      <c r="AN3734" t="s">
        <v>114</v>
      </c>
      <c r="AO3734">
        <v>6</v>
      </c>
      <c r="AP3734" t="s">
        <v>78</v>
      </c>
      <c r="AQ3734" t="s">
        <v>1460</v>
      </c>
      <c r="AR3734" t="s">
        <v>80</v>
      </c>
      <c r="AS3734">
        <v>108</v>
      </c>
      <c r="AT3734" t="s">
        <v>81</v>
      </c>
      <c r="AU3734">
        <v>-3.93</v>
      </c>
      <c r="AV3734">
        <v>25.08</v>
      </c>
      <c r="AW3734" t="s">
        <v>82</v>
      </c>
      <c r="AX3734">
        <v>108</v>
      </c>
      <c r="AY3734" t="s">
        <v>81</v>
      </c>
      <c r="AZ3734">
        <v>-13.31</v>
      </c>
      <c r="BA3734">
        <v>27.41</v>
      </c>
      <c r="BB3734" t="s">
        <v>83</v>
      </c>
    </row>
    <row r="3735" spans="1:54" x14ac:dyDescent="0.4">
      <c r="A3735">
        <v>690316</v>
      </c>
      <c r="D3735" t="s">
        <v>54</v>
      </c>
      <c r="I3735" t="s">
        <v>57</v>
      </c>
      <c r="K3735" t="s">
        <v>805</v>
      </c>
      <c r="L3735" t="s">
        <v>806</v>
      </c>
      <c r="M3735" t="s">
        <v>60</v>
      </c>
      <c r="O3735" t="s">
        <v>87</v>
      </c>
      <c r="P3735" t="s">
        <v>687</v>
      </c>
      <c r="R3735" t="s">
        <v>688</v>
      </c>
      <c r="S3735" t="s">
        <v>689</v>
      </c>
      <c r="T3735">
        <v>201.4</v>
      </c>
      <c r="U3735">
        <v>199.5</v>
      </c>
      <c r="V3735">
        <f t="shared" si="116"/>
        <v>200.45</v>
      </c>
      <c r="W3735">
        <f t="shared" si="117"/>
        <v>1.9000000000000057</v>
      </c>
      <c r="X3735">
        <v>-64.219345000000004</v>
      </c>
      <c r="Y3735">
        <v>45.397652000000001</v>
      </c>
      <c r="Z3735" t="s">
        <v>361</v>
      </c>
      <c r="AA3735" t="s">
        <v>1456</v>
      </c>
      <c r="AB3735" t="s">
        <v>1457</v>
      </c>
      <c r="AD3735" t="s">
        <v>1458</v>
      </c>
      <c r="AE3735" t="s">
        <v>858</v>
      </c>
      <c r="AH3735" t="s">
        <v>72</v>
      </c>
      <c r="AI3735" t="s">
        <v>730</v>
      </c>
      <c r="AJ3735">
        <v>1996</v>
      </c>
      <c r="AK3735" t="s">
        <v>1461</v>
      </c>
      <c r="AN3735" t="s">
        <v>114</v>
      </c>
      <c r="AO3735">
        <v>6</v>
      </c>
      <c r="AP3735" t="s">
        <v>78</v>
      </c>
      <c r="AQ3735" t="s">
        <v>1462</v>
      </c>
      <c r="AR3735" t="s">
        <v>80</v>
      </c>
      <c r="AS3735">
        <v>108</v>
      </c>
      <c r="AT3735" t="s">
        <v>81</v>
      </c>
      <c r="AU3735">
        <v>-3.93</v>
      </c>
      <c r="AV3735">
        <v>25.08</v>
      </c>
      <c r="AW3735" t="s">
        <v>82</v>
      </c>
      <c r="AX3735">
        <v>108</v>
      </c>
      <c r="AY3735" t="s">
        <v>81</v>
      </c>
      <c r="AZ3735">
        <v>-13.31</v>
      </c>
      <c r="BA3735">
        <v>27.41</v>
      </c>
      <c r="BB3735" t="s">
        <v>83</v>
      </c>
    </row>
    <row r="3736" spans="1:54" x14ac:dyDescent="0.4">
      <c r="A3736">
        <v>690318</v>
      </c>
      <c r="D3736" t="s">
        <v>54</v>
      </c>
      <c r="I3736" t="s">
        <v>57</v>
      </c>
      <c r="K3736" t="s">
        <v>132</v>
      </c>
      <c r="L3736" t="s">
        <v>133</v>
      </c>
      <c r="M3736" t="s">
        <v>60</v>
      </c>
      <c r="N3736" t="s">
        <v>119</v>
      </c>
      <c r="O3736" t="s">
        <v>134</v>
      </c>
      <c r="P3736" t="s">
        <v>687</v>
      </c>
      <c r="R3736" t="s">
        <v>688</v>
      </c>
      <c r="S3736" t="s">
        <v>689</v>
      </c>
      <c r="T3736">
        <v>201.4</v>
      </c>
      <c r="U3736">
        <v>199.5</v>
      </c>
      <c r="V3736">
        <f t="shared" si="116"/>
        <v>200.45</v>
      </c>
      <c r="W3736">
        <f t="shared" si="117"/>
        <v>1.9000000000000057</v>
      </c>
      <c r="X3736">
        <v>-64.219345000000004</v>
      </c>
      <c r="Y3736">
        <v>45.397652000000001</v>
      </c>
      <c r="Z3736" t="s">
        <v>361</v>
      </c>
      <c r="AA3736" t="s">
        <v>1456</v>
      </c>
      <c r="AB3736" t="s">
        <v>1457</v>
      </c>
      <c r="AD3736" t="s">
        <v>1458</v>
      </c>
      <c r="AE3736" t="s">
        <v>858</v>
      </c>
      <c r="AH3736" t="s">
        <v>72</v>
      </c>
      <c r="AI3736" t="s">
        <v>730</v>
      </c>
      <c r="AJ3736">
        <v>1994</v>
      </c>
      <c r="AK3736" t="s">
        <v>1461</v>
      </c>
      <c r="AN3736" t="s">
        <v>114</v>
      </c>
      <c r="AO3736">
        <v>6</v>
      </c>
      <c r="AP3736" t="s">
        <v>78</v>
      </c>
      <c r="AQ3736" t="s">
        <v>1462</v>
      </c>
      <c r="AR3736" t="s">
        <v>80</v>
      </c>
      <c r="AS3736">
        <v>108</v>
      </c>
      <c r="AT3736" t="s">
        <v>81</v>
      </c>
      <c r="AU3736">
        <v>-3.93</v>
      </c>
      <c r="AV3736">
        <v>25.08</v>
      </c>
      <c r="AW3736" t="s">
        <v>82</v>
      </c>
      <c r="AX3736">
        <v>108</v>
      </c>
      <c r="AY3736" t="s">
        <v>81</v>
      </c>
      <c r="AZ3736">
        <v>-13.31</v>
      </c>
      <c r="BA3736">
        <v>27.41</v>
      </c>
      <c r="BB3736" t="s">
        <v>83</v>
      </c>
    </row>
    <row r="3737" spans="1:54" x14ac:dyDescent="0.4">
      <c r="A3737">
        <v>690319</v>
      </c>
      <c r="D3737" t="s">
        <v>54</v>
      </c>
      <c r="I3737" t="s">
        <v>57</v>
      </c>
      <c r="K3737" t="s">
        <v>805</v>
      </c>
      <c r="L3737" t="s">
        <v>806</v>
      </c>
      <c r="M3737" t="s">
        <v>60</v>
      </c>
      <c r="O3737" t="s">
        <v>87</v>
      </c>
      <c r="P3737" t="s">
        <v>687</v>
      </c>
      <c r="R3737" t="s">
        <v>688</v>
      </c>
      <c r="S3737" t="s">
        <v>689</v>
      </c>
      <c r="T3737">
        <v>201.4</v>
      </c>
      <c r="U3737">
        <v>199.5</v>
      </c>
      <c r="V3737">
        <f t="shared" si="116"/>
        <v>200.45</v>
      </c>
      <c r="W3737">
        <f t="shared" si="117"/>
        <v>1.9000000000000057</v>
      </c>
      <c r="X3737">
        <v>-64.219345000000004</v>
      </c>
      <c r="Y3737">
        <v>45.397652000000001</v>
      </c>
      <c r="Z3737" t="s">
        <v>184</v>
      </c>
      <c r="AA3737" t="s">
        <v>1456</v>
      </c>
      <c r="AB3737" t="s">
        <v>1457</v>
      </c>
      <c r="AD3737" t="s">
        <v>1458</v>
      </c>
      <c r="AE3737" t="s">
        <v>858</v>
      </c>
      <c r="AH3737" t="s">
        <v>72</v>
      </c>
      <c r="AI3737" t="s">
        <v>730</v>
      </c>
      <c r="AJ3737">
        <v>1996</v>
      </c>
      <c r="AK3737" t="s">
        <v>1463</v>
      </c>
      <c r="AN3737" t="s">
        <v>114</v>
      </c>
      <c r="AO3737">
        <v>6</v>
      </c>
      <c r="AP3737" t="s">
        <v>78</v>
      </c>
      <c r="AQ3737" t="s">
        <v>1464</v>
      </c>
      <c r="AR3737" t="s">
        <v>80</v>
      </c>
      <c r="AS3737">
        <v>108</v>
      </c>
      <c r="AT3737" t="s">
        <v>81</v>
      </c>
      <c r="AU3737">
        <v>-3.93</v>
      </c>
      <c r="AV3737">
        <v>25.08</v>
      </c>
      <c r="AW3737" t="s">
        <v>82</v>
      </c>
      <c r="AX3737">
        <v>108</v>
      </c>
      <c r="AY3737" t="s">
        <v>81</v>
      </c>
      <c r="AZ3737">
        <v>-13.31</v>
      </c>
      <c r="BA3737">
        <v>27.41</v>
      </c>
      <c r="BB3737" t="s">
        <v>83</v>
      </c>
    </row>
    <row r="3738" spans="1:54" x14ac:dyDescent="0.4">
      <c r="A3738">
        <v>690320</v>
      </c>
      <c r="D3738" t="s">
        <v>54</v>
      </c>
      <c r="G3738">
        <v>1</v>
      </c>
      <c r="H3738" t="s">
        <v>56</v>
      </c>
      <c r="I3738" t="s">
        <v>57</v>
      </c>
      <c r="K3738" t="s">
        <v>999</v>
      </c>
      <c r="L3738" t="s">
        <v>1465</v>
      </c>
      <c r="M3738" t="s">
        <v>60</v>
      </c>
      <c r="N3738" t="s">
        <v>119</v>
      </c>
      <c r="O3738" t="s">
        <v>170</v>
      </c>
      <c r="P3738" t="s">
        <v>687</v>
      </c>
      <c r="R3738" t="s">
        <v>688</v>
      </c>
      <c r="S3738" t="s">
        <v>689</v>
      </c>
      <c r="T3738">
        <v>201.4</v>
      </c>
      <c r="U3738">
        <v>199.5</v>
      </c>
      <c r="V3738">
        <f t="shared" si="116"/>
        <v>200.45</v>
      </c>
      <c r="W3738">
        <f t="shared" si="117"/>
        <v>1.9000000000000057</v>
      </c>
      <c r="X3738">
        <v>-64.219345000000004</v>
      </c>
      <c r="Y3738">
        <v>45.397652000000001</v>
      </c>
      <c r="Z3738" t="s">
        <v>184</v>
      </c>
      <c r="AA3738" t="s">
        <v>1456</v>
      </c>
      <c r="AB3738" t="s">
        <v>1457</v>
      </c>
      <c r="AD3738" t="s">
        <v>1458</v>
      </c>
      <c r="AE3738" t="s">
        <v>858</v>
      </c>
      <c r="AH3738" t="s">
        <v>11</v>
      </c>
      <c r="AI3738" t="s">
        <v>1466</v>
      </c>
      <c r="AJ3738">
        <v>1994</v>
      </c>
      <c r="AK3738" t="s">
        <v>1463</v>
      </c>
      <c r="AN3738" t="s">
        <v>114</v>
      </c>
      <c r="AO3738">
        <v>6</v>
      </c>
      <c r="AP3738" t="s">
        <v>78</v>
      </c>
      <c r="AQ3738" t="s">
        <v>1464</v>
      </c>
      <c r="AR3738" t="s">
        <v>80</v>
      </c>
      <c r="AS3738">
        <v>108</v>
      </c>
      <c r="AT3738" t="s">
        <v>81</v>
      </c>
      <c r="AU3738">
        <v>-3.93</v>
      </c>
      <c r="AV3738">
        <v>25.08</v>
      </c>
      <c r="AW3738" t="s">
        <v>82</v>
      </c>
      <c r="AX3738">
        <v>108</v>
      </c>
      <c r="AY3738" t="s">
        <v>81</v>
      </c>
      <c r="AZ3738">
        <v>-13.31</v>
      </c>
      <c r="BA3738">
        <v>27.41</v>
      </c>
      <c r="BB3738" t="s">
        <v>83</v>
      </c>
    </row>
    <row r="3739" spans="1:54" x14ac:dyDescent="0.4">
      <c r="A3739">
        <v>690321</v>
      </c>
      <c r="D3739" t="s">
        <v>54</v>
      </c>
      <c r="G3739">
        <v>1</v>
      </c>
      <c r="H3739" t="s">
        <v>56</v>
      </c>
      <c r="I3739" t="s">
        <v>57</v>
      </c>
      <c r="K3739" t="s">
        <v>132</v>
      </c>
      <c r="L3739" t="s">
        <v>133</v>
      </c>
      <c r="M3739" t="s">
        <v>60</v>
      </c>
      <c r="N3739" t="s">
        <v>119</v>
      </c>
      <c r="O3739" t="s">
        <v>134</v>
      </c>
      <c r="P3739" t="s">
        <v>687</v>
      </c>
      <c r="R3739" t="s">
        <v>688</v>
      </c>
      <c r="S3739" t="s">
        <v>689</v>
      </c>
      <c r="T3739">
        <v>201.4</v>
      </c>
      <c r="U3739">
        <v>199.5</v>
      </c>
      <c r="V3739">
        <f t="shared" si="116"/>
        <v>200.45</v>
      </c>
      <c r="W3739">
        <f t="shared" si="117"/>
        <v>1.9000000000000057</v>
      </c>
      <c r="X3739">
        <v>-64.219345000000004</v>
      </c>
      <c r="Y3739">
        <v>45.397652000000001</v>
      </c>
      <c r="Z3739" t="s">
        <v>184</v>
      </c>
      <c r="AA3739" t="s">
        <v>1456</v>
      </c>
      <c r="AB3739" t="s">
        <v>1457</v>
      </c>
      <c r="AD3739" t="s">
        <v>1458</v>
      </c>
      <c r="AE3739" t="s">
        <v>858</v>
      </c>
      <c r="AH3739" t="s">
        <v>11</v>
      </c>
      <c r="AI3739" t="s">
        <v>1466</v>
      </c>
      <c r="AJ3739">
        <v>1994</v>
      </c>
      <c r="AK3739" t="s">
        <v>1463</v>
      </c>
      <c r="AN3739" t="s">
        <v>114</v>
      </c>
      <c r="AO3739">
        <v>6</v>
      </c>
      <c r="AP3739" t="s">
        <v>78</v>
      </c>
      <c r="AQ3739" t="s">
        <v>1464</v>
      </c>
      <c r="AR3739" t="s">
        <v>80</v>
      </c>
      <c r="AS3739">
        <v>108</v>
      </c>
      <c r="AT3739" t="s">
        <v>81</v>
      </c>
      <c r="AU3739">
        <v>-3.93</v>
      </c>
      <c r="AV3739">
        <v>25.08</v>
      </c>
      <c r="AW3739" t="s">
        <v>82</v>
      </c>
      <c r="AX3739">
        <v>108</v>
      </c>
      <c r="AY3739" t="s">
        <v>81</v>
      </c>
      <c r="AZ3739">
        <v>-13.31</v>
      </c>
      <c r="BA3739">
        <v>27.41</v>
      </c>
      <c r="BB3739" t="s">
        <v>83</v>
      </c>
    </row>
    <row r="3740" spans="1:54" x14ac:dyDescent="0.4">
      <c r="A3740">
        <v>690323</v>
      </c>
      <c r="D3740" t="s">
        <v>54</v>
      </c>
      <c r="I3740" t="s">
        <v>57</v>
      </c>
      <c r="K3740" t="s">
        <v>805</v>
      </c>
      <c r="L3740" t="s">
        <v>806</v>
      </c>
      <c r="M3740" t="s">
        <v>60</v>
      </c>
      <c r="O3740" t="s">
        <v>87</v>
      </c>
      <c r="P3740" t="s">
        <v>687</v>
      </c>
      <c r="R3740" t="s">
        <v>688</v>
      </c>
      <c r="S3740" t="s">
        <v>689</v>
      </c>
      <c r="T3740">
        <v>201.4</v>
      </c>
      <c r="U3740">
        <v>199.5</v>
      </c>
      <c r="V3740">
        <f t="shared" si="116"/>
        <v>200.45</v>
      </c>
      <c r="W3740">
        <f t="shared" si="117"/>
        <v>1.9000000000000057</v>
      </c>
      <c r="X3740">
        <v>-64.219345000000004</v>
      </c>
      <c r="Y3740">
        <v>45.397652000000001</v>
      </c>
      <c r="Z3740" t="s">
        <v>184</v>
      </c>
      <c r="AA3740" t="s">
        <v>1456</v>
      </c>
      <c r="AB3740" t="s">
        <v>1457</v>
      </c>
      <c r="AD3740" t="s">
        <v>1458</v>
      </c>
      <c r="AE3740" t="s">
        <v>858</v>
      </c>
      <c r="AH3740" t="s">
        <v>72</v>
      </c>
      <c r="AI3740" t="s">
        <v>730</v>
      </c>
      <c r="AJ3740">
        <v>1996</v>
      </c>
      <c r="AK3740" t="s">
        <v>1467</v>
      </c>
      <c r="AN3740" t="s">
        <v>114</v>
      </c>
      <c r="AO3740">
        <v>6</v>
      </c>
      <c r="AP3740" t="s">
        <v>78</v>
      </c>
      <c r="AQ3740" t="s">
        <v>1464</v>
      </c>
      <c r="AR3740" t="s">
        <v>80</v>
      </c>
      <c r="AS3740">
        <v>108</v>
      </c>
      <c r="AT3740" t="s">
        <v>81</v>
      </c>
      <c r="AU3740">
        <v>-3.93</v>
      </c>
      <c r="AV3740">
        <v>25.08</v>
      </c>
      <c r="AW3740" t="s">
        <v>82</v>
      </c>
      <c r="AX3740">
        <v>108</v>
      </c>
      <c r="AY3740" t="s">
        <v>81</v>
      </c>
      <c r="AZ3740">
        <v>-13.31</v>
      </c>
      <c r="BA3740">
        <v>27.41</v>
      </c>
      <c r="BB3740" t="s">
        <v>83</v>
      </c>
    </row>
    <row r="3741" spans="1:54" x14ac:dyDescent="0.4">
      <c r="A3741">
        <v>690324</v>
      </c>
      <c r="D3741" t="s">
        <v>54</v>
      </c>
      <c r="I3741" t="s">
        <v>57</v>
      </c>
      <c r="K3741" t="s">
        <v>132</v>
      </c>
      <c r="L3741" t="s">
        <v>133</v>
      </c>
      <c r="M3741" t="s">
        <v>60</v>
      </c>
      <c r="N3741" t="s">
        <v>119</v>
      </c>
      <c r="O3741" t="s">
        <v>134</v>
      </c>
      <c r="P3741" t="s">
        <v>687</v>
      </c>
      <c r="R3741" t="s">
        <v>688</v>
      </c>
      <c r="S3741" t="s">
        <v>689</v>
      </c>
      <c r="T3741">
        <v>201.4</v>
      </c>
      <c r="U3741">
        <v>199.5</v>
      </c>
      <c r="V3741">
        <f t="shared" si="116"/>
        <v>200.45</v>
      </c>
      <c r="W3741">
        <f t="shared" si="117"/>
        <v>1.9000000000000057</v>
      </c>
      <c r="X3741">
        <v>-64.219345000000004</v>
      </c>
      <c r="Y3741">
        <v>45.397652000000001</v>
      </c>
      <c r="Z3741" t="s">
        <v>184</v>
      </c>
      <c r="AA3741" t="s">
        <v>1456</v>
      </c>
      <c r="AB3741" t="s">
        <v>1457</v>
      </c>
      <c r="AD3741" t="s">
        <v>1458</v>
      </c>
      <c r="AE3741" t="s">
        <v>858</v>
      </c>
      <c r="AH3741" t="s">
        <v>11</v>
      </c>
      <c r="AI3741" t="s">
        <v>1466</v>
      </c>
      <c r="AJ3741">
        <v>1994</v>
      </c>
      <c r="AK3741" t="s">
        <v>1467</v>
      </c>
      <c r="AN3741" t="s">
        <v>114</v>
      </c>
      <c r="AO3741">
        <v>6</v>
      </c>
      <c r="AP3741" t="s">
        <v>78</v>
      </c>
      <c r="AQ3741" t="s">
        <v>1464</v>
      </c>
      <c r="AR3741" t="s">
        <v>80</v>
      </c>
      <c r="AS3741">
        <v>108</v>
      </c>
      <c r="AT3741" t="s">
        <v>81</v>
      </c>
      <c r="AU3741">
        <v>-3.93</v>
      </c>
      <c r="AV3741">
        <v>25.08</v>
      </c>
      <c r="AW3741" t="s">
        <v>82</v>
      </c>
      <c r="AX3741">
        <v>108</v>
      </c>
      <c r="AY3741" t="s">
        <v>81</v>
      </c>
      <c r="AZ3741">
        <v>-13.31</v>
      </c>
      <c r="BA3741">
        <v>27.41</v>
      </c>
      <c r="BB3741" t="s">
        <v>83</v>
      </c>
    </row>
    <row r="3742" spans="1:54" x14ac:dyDescent="0.4">
      <c r="A3742">
        <v>690330</v>
      </c>
      <c r="D3742" t="s">
        <v>54</v>
      </c>
      <c r="I3742" t="s">
        <v>57</v>
      </c>
      <c r="K3742" t="s">
        <v>805</v>
      </c>
      <c r="L3742" t="s">
        <v>806</v>
      </c>
      <c r="M3742" t="s">
        <v>60</v>
      </c>
      <c r="O3742" t="s">
        <v>87</v>
      </c>
      <c r="P3742" t="s">
        <v>687</v>
      </c>
      <c r="R3742" t="s">
        <v>688</v>
      </c>
      <c r="S3742" t="s">
        <v>689</v>
      </c>
      <c r="T3742">
        <v>201.4</v>
      </c>
      <c r="U3742">
        <v>199.5</v>
      </c>
      <c r="V3742">
        <f t="shared" si="116"/>
        <v>200.45</v>
      </c>
      <c r="W3742">
        <f t="shared" si="117"/>
        <v>1.9000000000000057</v>
      </c>
      <c r="X3742">
        <v>-64.219345000000004</v>
      </c>
      <c r="Y3742">
        <v>45.397652000000001</v>
      </c>
      <c r="Z3742" t="s">
        <v>356</v>
      </c>
      <c r="AA3742" t="s">
        <v>1456</v>
      </c>
      <c r="AB3742" t="s">
        <v>1457</v>
      </c>
      <c r="AD3742" t="s">
        <v>1458</v>
      </c>
      <c r="AE3742" t="s">
        <v>858</v>
      </c>
      <c r="AH3742" t="s">
        <v>72</v>
      </c>
      <c r="AI3742" t="s">
        <v>730</v>
      </c>
      <c r="AJ3742">
        <v>1996</v>
      </c>
      <c r="AK3742" t="s">
        <v>1468</v>
      </c>
      <c r="AN3742" t="s">
        <v>114</v>
      </c>
      <c r="AO3742">
        <v>6</v>
      </c>
      <c r="AP3742" t="s">
        <v>78</v>
      </c>
      <c r="AQ3742" t="s">
        <v>1469</v>
      </c>
      <c r="AR3742" t="s">
        <v>80</v>
      </c>
      <c r="AS3742">
        <v>108</v>
      </c>
      <c r="AT3742" t="s">
        <v>81</v>
      </c>
      <c r="AU3742">
        <v>-3.93</v>
      </c>
      <c r="AV3742">
        <v>25.08</v>
      </c>
      <c r="AW3742" t="s">
        <v>82</v>
      </c>
      <c r="AX3742">
        <v>108</v>
      </c>
      <c r="AY3742" t="s">
        <v>81</v>
      </c>
      <c r="AZ3742">
        <v>-13.31</v>
      </c>
      <c r="BA3742">
        <v>27.41</v>
      </c>
      <c r="BB3742" t="s">
        <v>83</v>
      </c>
    </row>
    <row r="3743" spans="1:54" x14ac:dyDescent="0.4">
      <c r="A3743">
        <v>690331</v>
      </c>
      <c r="D3743" t="s">
        <v>54</v>
      </c>
      <c r="G3743">
        <v>1</v>
      </c>
      <c r="H3743" t="s">
        <v>56</v>
      </c>
      <c r="I3743" t="s">
        <v>57</v>
      </c>
      <c r="K3743" t="s">
        <v>999</v>
      </c>
      <c r="L3743" t="s">
        <v>1465</v>
      </c>
      <c r="M3743" t="s">
        <v>60</v>
      </c>
      <c r="N3743" t="s">
        <v>119</v>
      </c>
      <c r="O3743" t="s">
        <v>170</v>
      </c>
      <c r="P3743" t="s">
        <v>687</v>
      </c>
      <c r="R3743" t="s">
        <v>688</v>
      </c>
      <c r="S3743" t="s">
        <v>689</v>
      </c>
      <c r="T3743">
        <v>201.4</v>
      </c>
      <c r="U3743">
        <v>199.5</v>
      </c>
      <c r="V3743">
        <f t="shared" si="116"/>
        <v>200.45</v>
      </c>
      <c r="W3743">
        <f t="shared" si="117"/>
        <v>1.9000000000000057</v>
      </c>
      <c r="X3743">
        <v>-64.219345000000004</v>
      </c>
      <c r="Y3743">
        <v>45.397652000000001</v>
      </c>
      <c r="Z3743" t="s">
        <v>356</v>
      </c>
      <c r="AA3743" t="s">
        <v>1456</v>
      </c>
      <c r="AB3743" t="s">
        <v>1457</v>
      </c>
      <c r="AD3743" t="s">
        <v>1458</v>
      </c>
      <c r="AE3743" t="s">
        <v>858</v>
      </c>
      <c r="AH3743" t="s">
        <v>11</v>
      </c>
      <c r="AI3743" t="s">
        <v>1343</v>
      </c>
      <c r="AJ3743">
        <v>1989</v>
      </c>
      <c r="AK3743" t="s">
        <v>1470</v>
      </c>
      <c r="AN3743" t="s">
        <v>114</v>
      </c>
      <c r="AO3743">
        <v>6</v>
      </c>
      <c r="AP3743" t="s">
        <v>78</v>
      </c>
      <c r="AQ3743" t="s">
        <v>1464</v>
      </c>
      <c r="AR3743" t="s">
        <v>80</v>
      </c>
      <c r="AS3743">
        <v>108</v>
      </c>
      <c r="AT3743" t="s">
        <v>81</v>
      </c>
      <c r="AU3743">
        <v>-3.93</v>
      </c>
      <c r="AV3743">
        <v>25.08</v>
      </c>
      <c r="AW3743" t="s">
        <v>82</v>
      </c>
      <c r="AX3743">
        <v>108</v>
      </c>
      <c r="AY3743" t="s">
        <v>81</v>
      </c>
      <c r="AZ3743">
        <v>-13.31</v>
      </c>
      <c r="BA3743">
        <v>27.41</v>
      </c>
      <c r="BB3743" t="s">
        <v>83</v>
      </c>
    </row>
    <row r="3744" spans="1:54" x14ac:dyDescent="0.4">
      <c r="A3744">
        <v>690332</v>
      </c>
      <c r="D3744" t="s">
        <v>54</v>
      </c>
      <c r="G3744">
        <v>1</v>
      </c>
      <c r="H3744" t="s">
        <v>56</v>
      </c>
      <c r="I3744" t="s">
        <v>57</v>
      </c>
      <c r="K3744" t="s">
        <v>132</v>
      </c>
      <c r="L3744" t="s">
        <v>133</v>
      </c>
      <c r="M3744" t="s">
        <v>60</v>
      </c>
      <c r="N3744" t="s">
        <v>119</v>
      </c>
      <c r="O3744" t="s">
        <v>134</v>
      </c>
      <c r="P3744" t="s">
        <v>687</v>
      </c>
      <c r="R3744" t="s">
        <v>688</v>
      </c>
      <c r="S3744" t="s">
        <v>689</v>
      </c>
      <c r="T3744">
        <v>201.4</v>
      </c>
      <c r="U3744">
        <v>199.5</v>
      </c>
      <c r="V3744">
        <f t="shared" si="116"/>
        <v>200.45</v>
      </c>
      <c r="W3744">
        <f t="shared" si="117"/>
        <v>1.9000000000000057</v>
      </c>
      <c r="X3744">
        <v>-64.219345000000004</v>
      </c>
      <c r="Y3744">
        <v>45.397652000000001</v>
      </c>
      <c r="Z3744" t="s">
        <v>356</v>
      </c>
      <c r="AA3744" t="s">
        <v>1456</v>
      </c>
      <c r="AB3744" t="s">
        <v>1457</v>
      </c>
      <c r="AD3744" t="s">
        <v>1458</v>
      </c>
      <c r="AE3744" t="s">
        <v>858</v>
      </c>
      <c r="AH3744" t="s">
        <v>11</v>
      </c>
      <c r="AI3744" t="s">
        <v>1466</v>
      </c>
      <c r="AJ3744">
        <v>1994</v>
      </c>
      <c r="AK3744" t="s">
        <v>1470</v>
      </c>
      <c r="AN3744" t="s">
        <v>114</v>
      </c>
      <c r="AO3744">
        <v>6</v>
      </c>
      <c r="AP3744" t="s">
        <v>78</v>
      </c>
      <c r="AQ3744" t="s">
        <v>1464</v>
      </c>
      <c r="AR3744" t="s">
        <v>80</v>
      </c>
      <c r="AS3744">
        <v>108</v>
      </c>
      <c r="AT3744" t="s">
        <v>81</v>
      </c>
      <c r="AU3744">
        <v>-3.93</v>
      </c>
      <c r="AV3744">
        <v>25.08</v>
      </c>
      <c r="AW3744" t="s">
        <v>82</v>
      </c>
      <c r="AX3744">
        <v>108</v>
      </c>
      <c r="AY3744" t="s">
        <v>81</v>
      </c>
      <c r="AZ3744">
        <v>-13.31</v>
      </c>
      <c r="BA3744">
        <v>27.41</v>
      </c>
      <c r="BB3744" t="s">
        <v>83</v>
      </c>
    </row>
    <row r="3745" spans="1:54" x14ac:dyDescent="0.4">
      <c r="A3745">
        <v>690333</v>
      </c>
      <c r="D3745" t="s">
        <v>54</v>
      </c>
      <c r="I3745" t="s">
        <v>57</v>
      </c>
      <c r="K3745" t="s">
        <v>132</v>
      </c>
      <c r="L3745" t="s">
        <v>133</v>
      </c>
      <c r="M3745" t="s">
        <v>60</v>
      </c>
      <c r="N3745" t="s">
        <v>119</v>
      </c>
      <c r="O3745" t="s">
        <v>134</v>
      </c>
      <c r="P3745" t="s">
        <v>687</v>
      </c>
      <c r="R3745" t="s">
        <v>688</v>
      </c>
      <c r="S3745" t="s">
        <v>689</v>
      </c>
      <c r="T3745">
        <v>201.4</v>
      </c>
      <c r="U3745">
        <v>199.5</v>
      </c>
      <c r="V3745">
        <f t="shared" si="116"/>
        <v>200.45</v>
      </c>
      <c r="W3745">
        <f t="shared" si="117"/>
        <v>1.9000000000000057</v>
      </c>
      <c r="X3745">
        <v>-64.219345000000004</v>
      </c>
      <c r="Y3745">
        <v>45.397652000000001</v>
      </c>
      <c r="Z3745" t="s">
        <v>356</v>
      </c>
      <c r="AA3745" t="s">
        <v>1456</v>
      </c>
      <c r="AB3745" t="s">
        <v>1457</v>
      </c>
      <c r="AD3745" t="s">
        <v>1458</v>
      </c>
      <c r="AE3745" t="s">
        <v>858</v>
      </c>
      <c r="AH3745" t="s">
        <v>72</v>
      </c>
      <c r="AI3745" t="s">
        <v>730</v>
      </c>
      <c r="AJ3745">
        <v>1994</v>
      </c>
      <c r="AK3745" t="s">
        <v>1471</v>
      </c>
      <c r="AN3745" t="s">
        <v>114</v>
      </c>
      <c r="AO3745">
        <v>6</v>
      </c>
      <c r="AP3745" t="s">
        <v>78</v>
      </c>
      <c r="AQ3745" t="s">
        <v>1472</v>
      </c>
      <c r="AR3745" t="s">
        <v>80</v>
      </c>
      <c r="AS3745">
        <v>108</v>
      </c>
      <c r="AT3745" t="s">
        <v>81</v>
      </c>
      <c r="AU3745">
        <v>-3.93</v>
      </c>
      <c r="AV3745">
        <v>25.08</v>
      </c>
      <c r="AW3745" t="s">
        <v>82</v>
      </c>
      <c r="AX3745">
        <v>108</v>
      </c>
      <c r="AY3745" t="s">
        <v>81</v>
      </c>
      <c r="AZ3745">
        <v>-13.31</v>
      </c>
      <c r="BA3745">
        <v>27.41</v>
      </c>
      <c r="BB3745" t="s">
        <v>83</v>
      </c>
    </row>
    <row r="3746" spans="1:54" x14ac:dyDescent="0.4">
      <c r="A3746">
        <v>690334</v>
      </c>
      <c r="D3746" t="s">
        <v>54</v>
      </c>
      <c r="I3746" t="s">
        <v>57</v>
      </c>
      <c r="K3746" t="s">
        <v>805</v>
      </c>
      <c r="L3746" t="s">
        <v>806</v>
      </c>
      <c r="M3746" t="s">
        <v>60</v>
      </c>
      <c r="O3746" t="s">
        <v>87</v>
      </c>
      <c r="P3746" t="s">
        <v>687</v>
      </c>
      <c r="R3746" t="s">
        <v>688</v>
      </c>
      <c r="S3746" t="s">
        <v>689</v>
      </c>
      <c r="T3746">
        <v>201.4</v>
      </c>
      <c r="U3746">
        <v>199.5</v>
      </c>
      <c r="V3746">
        <f t="shared" si="116"/>
        <v>200.45</v>
      </c>
      <c r="W3746">
        <f t="shared" si="117"/>
        <v>1.9000000000000057</v>
      </c>
      <c r="X3746">
        <v>-64.219345000000004</v>
      </c>
      <c r="Y3746">
        <v>45.397652000000001</v>
      </c>
      <c r="Z3746" t="s">
        <v>184</v>
      </c>
      <c r="AA3746" t="s">
        <v>1456</v>
      </c>
      <c r="AB3746" t="s">
        <v>1457</v>
      </c>
      <c r="AD3746" t="s">
        <v>1458</v>
      </c>
      <c r="AE3746" t="s">
        <v>858</v>
      </c>
      <c r="AH3746" t="s">
        <v>72</v>
      </c>
      <c r="AI3746" t="s">
        <v>730</v>
      </c>
      <c r="AJ3746">
        <v>1996</v>
      </c>
      <c r="AK3746" t="s">
        <v>1473</v>
      </c>
      <c r="AN3746" t="s">
        <v>114</v>
      </c>
      <c r="AO3746">
        <v>6</v>
      </c>
      <c r="AP3746" t="s">
        <v>78</v>
      </c>
      <c r="AQ3746" t="s">
        <v>1474</v>
      </c>
      <c r="AR3746" t="s">
        <v>80</v>
      </c>
      <c r="AS3746">
        <v>108</v>
      </c>
      <c r="AT3746" t="s">
        <v>81</v>
      </c>
      <c r="AU3746">
        <v>-3.93</v>
      </c>
      <c r="AV3746">
        <v>25.08</v>
      </c>
      <c r="AW3746" t="s">
        <v>82</v>
      </c>
      <c r="AX3746">
        <v>108</v>
      </c>
      <c r="AY3746" t="s">
        <v>81</v>
      </c>
      <c r="AZ3746">
        <v>-13.31</v>
      </c>
      <c r="BA3746">
        <v>27.41</v>
      </c>
      <c r="BB3746" t="s">
        <v>83</v>
      </c>
    </row>
    <row r="3747" spans="1:54" x14ac:dyDescent="0.4">
      <c r="A3747">
        <v>690335</v>
      </c>
      <c r="D3747" t="s">
        <v>54</v>
      </c>
      <c r="G3747">
        <v>1</v>
      </c>
      <c r="H3747" t="s">
        <v>56</v>
      </c>
      <c r="I3747" t="s">
        <v>57</v>
      </c>
      <c r="K3747" t="s">
        <v>999</v>
      </c>
      <c r="L3747" t="s">
        <v>1465</v>
      </c>
      <c r="M3747" t="s">
        <v>60</v>
      </c>
      <c r="N3747" t="s">
        <v>119</v>
      </c>
      <c r="O3747" t="s">
        <v>170</v>
      </c>
      <c r="P3747" t="s">
        <v>687</v>
      </c>
      <c r="R3747" t="s">
        <v>688</v>
      </c>
      <c r="S3747" t="s">
        <v>689</v>
      </c>
      <c r="T3747">
        <v>201.4</v>
      </c>
      <c r="U3747">
        <v>199.5</v>
      </c>
      <c r="V3747">
        <f t="shared" si="116"/>
        <v>200.45</v>
      </c>
      <c r="W3747">
        <f t="shared" si="117"/>
        <v>1.9000000000000057</v>
      </c>
      <c r="X3747">
        <v>-64.219345000000004</v>
      </c>
      <c r="Y3747">
        <v>45.397652000000001</v>
      </c>
      <c r="Z3747" t="s">
        <v>1475</v>
      </c>
      <c r="AA3747" t="s">
        <v>1456</v>
      </c>
      <c r="AB3747" t="s">
        <v>1457</v>
      </c>
      <c r="AD3747" t="s">
        <v>1458</v>
      </c>
      <c r="AE3747" t="s">
        <v>858</v>
      </c>
      <c r="AH3747" t="s">
        <v>11</v>
      </c>
      <c r="AI3747" t="s">
        <v>1476</v>
      </c>
      <c r="AJ3747">
        <v>1982</v>
      </c>
      <c r="AK3747" t="s">
        <v>1477</v>
      </c>
      <c r="AN3747" t="s">
        <v>114</v>
      </c>
      <c r="AO3747">
        <v>6</v>
      </c>
      <c r="AP3747" t="s">
        <v>78</v>
      </c>
      <c r="AQ3747" t="s">
        <v>1478</v>
      </c>
      <c r="AR3747" t="s">
        <v>80</v>
      </c>
      <c r="AS3747">
        <v>108</v>
      </c>
      <c r="AT3747" t="s">
        <v>81</v>
      </c>
      <c r="AU3747">
        <v>-3.93</v>
      </c>
      <c r="AV3747">
        <v>25.08</v>
      </c>
      <c r="AW3747" t="s">
        <v>82</v>
      </c>
      <c r="AX3747">
        <v>108</v>
      </c>
      <c r="AY3747" t="s">
        <v>81</v>
      </c>
      <c r="AZ3747">
        <v>-13.31</v>
      </c>
      <c r="BA3747">
        <v>27.41</v>
      </c>
      <c r="BB3747" t="s">
        <v>83</v>
      </c>
    </row>
    <row r="3748" spans="1:54" x14ac:dyDescent="0.4">
      <c r="A3748">
        <v>690336</v>
      </c>
      <c r="D3748" t="s">
        <v>54</v>
      </c>
      <c r="I3748" t="s">
        <v>57</v>
      </c>
      <c r="K3748" t="s">
        <v>132</v>
      </c>
      <c r="L3748" t="s">
        <v>133</v>
      </c>
      <c r="M3748" t="s">
        <v>60</v>
      </c>
      <c r="N3748" t="s">
        <v>119</v>
      </c>
      <c r="O3748" t="s">
        <v>134</v>
      </c>
      <c r="P3748" t="s">
        <v>687</v>
      </c>
      <c r="R3748" t="s">
        <v>688</v>
      </c>
      <c r="S3748" t="s">
        <v>689</v>
      </c>
      <c r="T3748">
        <v>201.4</v>
      </c>
      <c r="U3748">
        <v>199.5</v>
      </c>
      <c r="V3748">
        <f t="shared" si="116"/>
        <v>200.45</v>
      </c>
      <c r="W3748">
        <f t="shared" si="117"/>
        <v>1.9000000000000057</v>
      </c>
      <c r="X3748">
        <v>-64.219345000000004</v>
      </c>
      <c r="Y3748">
        <v>45.397652000000001</v>
      </c>
      <c r="Z3748" t="s">
        <v>1061</v>
      </c>
      <c r="AA3748" t="s">
        <v>1456</v>
      </c>
      <c r="AB3748" t="s">
        <v>1457</v>
      </c>
      <c r="AD3748" t="s">
        <v>1458</v>
      </c>
      <c r="AE3748" t="s">
        <v>858</v>
      </c>
      <c r="AH3748" t="s">
        <v>72</v>
      </c>
      <c r="AI3748" t="s">
        <v>730</v>
      </c>
      <c r="AJ3748">
        <v>1994</v>
      </c>
      <c r="AK3748" t="s">
        <v>1479</v>
      </c>
      <c r="AN3748" t="s">
        <v>114</v>
      </c>
      <c r="AO3748">
        <v>6</v>
      </c>
      <c r="AP3748" t="s">
        <v>78</v>
      </c>
      <c r="AQ3748" t="s">
        <v>1480</v>
      </c>
      <c r="AR3748" t="s">
        <v>80</v>
      </c>
      <c r="AS3748">
        <v>108</v>
      </c>
      <c r="AT3748" t="s">
        <v>81</v>
      </c>
      <c r="AU3748">
        <v>-3.93</v>
      </c>
      <c r="AV3748">
        <v>25.08</v>
      </c>
      <c r="AW3748" t="s">
        <v>82</v>
      </c>
      <c r="AX3748">
        <v>108</v>
      </c>
      <c r="AY3748" t="s">
        <v>81</v>
      </c>
      <c r="AZ3748">
        <v>-13.31</v>
      </c>
      <c r="BA3748">
        <v>27.41</v>
      </c>
      <c r="BB3748" t="s">
        <v>83</v>
      </c>
    </row>
    <row r="3749" spans="1:54" x14ac:dyDescent="0.4">
      <c r="A3749">
        <v>824330</v>
      </c>
      <c r="D3749" t="s">
        <v>54</v>
      </c>
      <c r="G3749">
        <v>7</v>
      </c>
      <c r="H3749" t="s">
        <v>84</v>
      </c>
      <c r="I3749" t="s">
        <v>57</v>
      </c>
      <c r="K3749" t="s">
        <v>141</v>
      </c>
      <c r="L3749" t="s">
        <v>2448</v>
      </c>
      <c r="M3749" t="s">
        <v>223</v>
      </c>
      <c r="N3749" t="s">
        <v>2449</v>
      </c>
      <c r="O3749" t="s">
        <v>87</v>
      </c>
      <c r="P3749" t="s">
        <v>687</v>
      </c>
      <c r="R3749" t="s">
        <v>688</v>
      </c>
      <c r="S3749" t="s">
        <v>689</v>
      </c>
      <c r="T3749">
        <v>201.4</v>
      </c>
      <c r="U3749">
        <v>199.5</v>
      </c>
      <c r="V3749">
        <f t="shared" si="116"/>
        <v>200.45</v>
      </c>
      <c r="W3749">
        <f t="shared" si="117"/>
        <v>1.9000000000000057</v>
      </c>
      <c r="X3749">
        <v>6.1513780000000002</v>
      </c>
      <c r="Y3749">
        <v>49.407626999999998</v>
      </c>
      <c r="Z3749" t="s">
        <v>1004</v>
      </c>
      <c r="AA3749" t="s">
        <v>521</v>
      </c>
      <c r="AB3749" t="s">
        <v>925</v>
      </c>
      <c r="AC3749" t="s">
        <v>2450</v>
      </c>
      <c r="AH3749" t="s">
        <v>11</v>
      </c>
      <c r="AI3749" t="s">
        <v>2451</v>
      </c>
      <c r="AJ3749">
        <v>1855</v>
      </c>
      <c r="AK3749" t="s">
        <v>2452</v>
      </c>
      <c r="AM3749" t="s">
        <v>2453</v>
      </c>
      <c r="AN3749" t="s">
        <v>114</v>
      </c>
      <c r="AO3749">
        <v>6</v>
      </c>
      <c r="AP3749" t="s">
        <v>359</v>
      </c>
      <c r="AQ3749" t="s">
        <v>2454</v>
      </c>
      <c r="AR3749" t="s">
        <v>80</v>
      </c>
      <c r="AS3749">
        <v>315</v>
      </c>
      <c r="AT3749" t="s">
        <v>81</v>
      </c>
      <c r="AU3749">
        <v>16.600000000000001</v>
      </c>
      <c r="AV3749">
        <v>37.119999999999997</v>
      </c>
      <c r="AW3749" t="s">
        <v>82</v>
      </c>
      <c r="AX3749">
        <v>315</v>
      </c>
      <c r="AY3749" t="s">
        <v>81</v>
      </c>
      <c r="AZ3749">
        <v>8.6999999999999993</v>
      </c>
      <c r="BA3749">
        <v>37.85</v>
      </c>
      <c r="BB3749" t="s">
        <v>83</v>
      </c>
    </row>
    <row r="3750" spans="1:54" x14ac:dyDescent="0.4">
      <c r="A3750">
        <v>824331</v>
      </c>
      <c r="D3750" t="s">
        <v>54</v>
      </c>
      <c r="I3750" t="s">
        <v>57</v>
      </c>
      <c r="K3750" t="s">
        <v>141</v>
      </c>
      <c r="L3750" t="s">
        <v>2455</v>
      </c>
      <c r="M3750" t="s">
        <v>223</v>
      </c>
      <c r="N3750" t="s">
        <v>61</v>
      </c>
      <c r="O3750" t="s">
        <v>345</v>
      </c>
      <c r="P3750" t="s">
        <v>687</v>
      </c>
      <c r="R3750" t="s">
        <v>688</v>
      </c>
      <c r="S3750" t="s">
        <v>689</v>
      </c>
      <c r="T3750">
        <v>201.4</v>
      </c>
      <c r="U3750">
        <v>199.5</v>
      </c>
      <c r="V3750">
        <f t="shared" si="116"/>
        <v>200.45</v>
      </c>
      <c r="W3750">
        <f t="shared" si="117"/>
        <v>1.9000000000000057</v>
      </c>
      <c r="X3750">
        <v>6.1513780000000002</v>
      </c>
      <c r="Y3750">
        <v>49.407626999999998</v>
      </c>
      <c r="Z3750" t="s">
        <v>1004</v>
      </c>
      <c r="AA3750" t="s">
        <v>521</v>
      </c>
      <c r="AB3750" t="s">
        <v>925</v>
      </c>
      <c r="AC3750" t="s">
        <v>2450</v>
      </c>
      <c r="AH3750" t="s">
        <v>11</v>
      </c>
      <c r="AI3750" t="s">
        <v>2456</v>
      </c>
      <c r="AJ3750">
        <v>1852</v>
      </c>
      <c r="AK3750" t="s">
        <v>2452</v>
      </c>
      <c r="AM3750" t="s">
        <v>2453</v>
      </c>
      <c r="AN3750" t="s">
        <v>114</v>
      </c>
      <c r="AO3750">
        <v>6</v>
      </c>
      <c r="AP3750" t="s">
        <v>359</v>
      </c>
      <c r="AQ3750" t="s">
        <v>2454</v>
      </c>
      <c r="AR3750" t="s">
        <v>80</v>
      </c>
      <c r="AS3750">
        <v>315</v>
      </c>
      <c r="AT3750" t="s">
        <v>81</v>
      </c>
      <c r="AU3750">
        <v>16.600000000000001</v>
      </c>
      <c r="AV3750">
        <v>37.119999999999997</v>
      </c>
      <c r="AW3750" t="s">
        <v>82</v>
      </c>
      <c r="AX3750">
        <v>315</v>
      </c>
      <c r="AY3750" t="s">
        <v>81</v>
      </c>
      <c r="AZ3750">
        <v>8.6999999999999993</v>
      </c>
      <c r="BA3750">
        <v>37.85</v>
      </c>
      <c r="BB3750" t="s">
        <v>83</v>
      </c>
    </row>
    <row r="3751" spans="1:54" x14ac:dyDescent="0.4">
      <c r="A3751">
        <v>830777</v>
      </c>
      <c r="D3751" t="s">
        <v>54</v>
      </c>
      <c r="G3751">
        <v>1</v>
      </c>
      <c r="H3751" t="s">
        <v>84</v>
      </c>
      <c r="I3751" t="s">
        <v>57</v>
      </c>
      <c r="K3751" t="s">
        <v>2503</v>
      </c>
      <c r="L3751" t="s">
        <v>2504</v>
      </c>
      <c r="M3751" t="s">
        <v>60</v>
      </c>
      <c r="N3751" t="s">
        <v>61</v>
      </c>
      <c r="O3751" t="s">
        <v>345</v>
      </c>
      <c r="P3751" t="s">
        <v>687</v>
      </c>
      <c r="R3751" t="s">
        <v>688</v>
      </c>
      <c r="S3751" t="s">
        <v>689</v>
      </c>
      <c r="T3751">
        <v>201.4</v>
      </c>
      <c r="U3751">
        <v>199.5</v>
      </c>
      <c r="V3751">
        <f t="shared" si="116"/>
        <v>200.45</v>
      </c>
      <c r="W3751">
        <f t="shared" si="117"/>
        <v>1.9000000000000057</v>
      </c>
      <c r="X3751">
        <v>-2.6297220000000001</v>
      </c>
      <c r="Y3751">
        <v>51.601944000000003</v>
      </c>
      <c r="Z3751" t="s">
        <v>520</v>
      </c>
      <c r="AA3751" t="s">
        <v>91</v>
      </c>
      <c r="AB3751" t="s">
        <v>92</v>
      </c>
      <c r="AC3751" t="s">
        <v>136</v>
      </c>
      <c r="AE3751" t="s">
        <v>692</v>
      </c>
      <c r="AH3751" t="s">
        <v>72</v>
      </c>
      <c r="AI3751" t="s">
        <v>991</v>
      </c>
      <c r="AJ3751">
        <v>1983</v>
      </c>
      <c r="AK3751" t="s">
        <v>2505</v>
      </c>
      <c r="AN3751" t="s">
        <v>114</v>
      </c>
      <c r="AO3751" t="s">
        <v>77</v>
      </c>
      <c r="AP3751" t="s">
        <v>115</v>
      </c>
      <c r="AR3751" t="s">
        <v>80</v>
      </c>
      <c r="AS3751">
        <v>315</v>
      </c>
      <c r="AT3751" t="s">
        <v>81</v>
      </c>
      <c r="AU3751">
        <v>8.91</v>
      </c>
      <c r="AV3751">
        <v>36.19</v>
      </c>
      <c r="AW3751" t="s">
        <v>82</v>
      </c>
      <c r="AX3751">
        <v>315</v>
      </c>
      <c r="AY3751" t="s">
        <v>81</v>
      </c>
      <c r="AZ3751">
        <v>0.63</v>
      </c>
      <c r="BA3751">
        <v>37.74</v>
      </c>
      <c r="BB3751" t="s">
        <v>83</v>
      </c>
    </row>
    <row r="3752" spans="1:54" x14ac:dyDescent="0.4">
      <c r="A3752">
        <v>882292</v>
      </c>
      <c r="D3752" t="s">
        <v>54</v>
      </c>
      <c r="E3752" t="s">
        <v>152</v>
      </c>
      <c r="G3752">
        <v>1</v>
      </c>
      <c r="H3752" t="s">
        <v>84</v>
      </c>
      <c r="I3752" t="s">
        <v>57</v>
      </c>
      <c r="K3752" t="s">
        <v>85</v>
      </c>
      <c r="L3752" t="s">
        <v>1517</v>
      </c>
      <c r="M3752" t="s">
        <v>60</v>
      </c>
      <c r="O3752" t="s">
        <v>87</v>
      </c>
      <c r="P3752" t="s">
        <v>687</v>
      </c>
      <c r="R3752" t="s">
        <v>688</v>
      </c>
      <c r="S3752" t="s">
        <v>689</v>
      </c>
      <c r="T3752">
        <v>201.4</v>
      </c>
      <c r="U3752">
        <v>199.5</v>
      </c>
      <c r="V3752">
        <f t="shared" si="116"/>
        <v>200.45</v>
      </c>
      <c r="W3752">
        <f t="shared" si="117"/>
        <v>1.9000000000000057</v>
      </c>
      <c r="X3752">
        <v>-3.3333330000000001</v>
      </c>
      <c r="Y3752">
        <v>51.183334000000002</v>
      </c>
      <c r="Z3752" t="s">
        <v>520</v>
      </c>
      <c r="AA3752" t="s">
        <v>91</v>
      </c>
      <c r="AB3752" t="s">
        <v>92</v>
      </c>
      <c r="AC3752" t="s">
        <v>93</v>
      </c>
      <c r="AD3752" t="s">
        <v>691</v>
      </c>
      <c r="AE3752" t="s">
        <v>692</v>
      </c>
      <c r="AH3752" t="s">
        <v>11</v>
      </c>
      <c r="AI3752" t="s">
        <v>3285</v>
      </c>
      <c r="AJ3752">
        <v>2010</v>
      </c>
      <c r="AK3752" t="s">
        <v>3286</v>
      </c>
      <c r="AN3752" t="s">
        <v>114</v>
      </c>
      <c r="AO3752" t="s">
        <v>160</v>
      </c>
      <c r="AP3752" t="s">
        <v>115</v>
      </c>
      <c r="AQ3752" t="s">
        <v>3287</v>
      </c>
      <c r="AR3752" t="s">
        <v>80</v>
      </c>
      <c r="AS3752">
        <v>315</v>
      </c>
      <c r="AT3752" t="s">
        <v>81</v>
      </c>
      <c r="AU3752">
        <v>8.8699999999999992</v>
      </c>
      <c r="AV3752">
        <v>35.99</v>
      </c>
      <c r="AW3752" t="s">
        <v>82</v>
      </c>
      <c r="AX3752">
        <v>315</v>
      </c>
      <c r="AY3752" t="s">
        <v>81</v>
      </c>
      <c r="AZ3752">
        <v>0.76</v>
      </c>
      <c r="BA3752">
        <v>37.340000000000003</v>
      </c>
      <c r="BB3752" t="s">
        <v>83</v>
      </c>
    </row>
    <row r="3753" spans="1:54" x14ac:dyDescent="0.4">
      <c r="A3753">
        <v>902174</v>
      </c>
      <c r="D3753" t="s">
        <v>54</v>
      </c>
      <c r="E3753" t="s">
        <v>55</v>
      </c>
      <c r="G3753">
        <v>1</v>
      </c>
      <c r="H3753" t="s">
        <v>56</v>
      </c>
      <c r="I3753" t="s">
        <v>57</v>
      </c>
      <c r="K3753" t="s">
        <v>141</v>
      </c>
      <c r="L3753" t="s">
        <v>827</v>
      </c>
      <c r="M3753" t="s">
        <v>60</v>
      </c>
      <c r="P3753" t="s">
        <v>687</v>
      </c>
      <c r="R3753" t="s">
        <v>688</v>
      </c>
      <c r="S3753" t="s">
        <v>689</v>
      </c>
      <c r="T3753">
        <v>201.4</v>
      </c>
      <c r="U3753">
        <v>199.5</v>
      </c>
      <c r="V3753">
        <f t="shared" si="116"/>
        <v>200.45</v>
      </c>
      <c r="W3753">
        <f t="shared" si="117"/>
        <v>1.9000000000000057</v>
      </c>
      <c r="X3753">
        <v>102.146523</v>
      </c>
      <c r="Y3753">
        <v>24.956287</v>
      </c>
      <c r="Z3753" t="s">
        <v>124</v>
      </c>
      <c r="AA3753" t="s">
        <v>379</v>
      </c>
      <c r="AB3753" t="s">
        <v>828</v>
      </c>
      <c r="AC3753" t="s">
        <v>829</v>
      </c>
      <c r="AD3753" t="s">
        <v>829</v>
      </c>
      <c r="AF3753" t="s">
        <v>830</v>
      </c>
      <c r="AH3753" t="s">
        <v>72</v>
      </c>
      <c r="AI3753" t="s">
        <v>3475</v>
      </c>
      <c r="AJ3753">
        <v>2010</v>
      </c>
      <c r="AK3753" t="s">
        <v>3476</v>
      </c>
      <c r="AM3753" t="s">
        <v>3477</v>
      </c>
      <c r="AN3753" t="s">
        <v>192</v>
      </c>
      <c r="AO3753">
        <v>6</v>
      </c>
      <c r="AP3753" t="s">
        <v>115</v>
      </c>
      <c r="AQ3753" t="s">
        <v>3478</v>
      </c>
      <c r="AR3753" t="s">
        <v>80</v>
      </c>
      <c r="AS3753">
        <v>611</v>
      </c>
      <c r="AT3753" t="s">
        <v>81</v>
      </c>
      <c r="AU3753">
        <v>120.28</v>
      </c>
      <c r="AV3753">
        <v>37.6</v>
      </c>
      <c r="AW3753" t="s">
        <v>82</v>
      </c>
      <c r="AX3753">
        <v>611</v>
      </c>
      <c r="AY3753" t="s">
        <v>81</v>
      </c>
      <c r="AZ3753">
        <v>104.73</v>
      </c>
      <c r="BA3753">
        <v>34.159999999999997</v>
      </c>
      <c r="BB3753" t="s">
        <v>83</v>
      </c>
    </row>
    <row r="3754" spans="1:54" x14ac:dyDescent="0.4">
      <c r="A3754">
        <v>920202</v>
      </c>
      <c r="D3754" t="s">
        <v>54</v>
      </c>
      <c r="E3754" t="s">
        <v>55</v>
      </c>
      <c r="F3754" t="s">
        <v>600</v>
      </c>
      <c r="G3754">
        <v>1</v>
      </c>
      <c r="H3754" t="s">
        <v>84</v>
      </c>
      <c r="I3754" t="s">
        <v>57</v>
      </c>
      <c r="K3754" t="s">
        <v>537</v>
      </c>
      <c r="L3754" t="s">
        <v>538</v>
      </c>
      <c r="M3754" t="s">
        <v>223</v>
      </c>
      <c r="N3754" t="s">
        <v>234</v>
      </c>
      <c r="O3754" t="s">
        <v>87</v>
      </c>
      <c r="P3754" t="s">
        <v>687</v>
      </c>
      <c r="R3754" t="s">
        <v>688</v>
      </c>
      <c r="S3754" t="s">
        <v>689</v>
      </c>
      <c r="T3754">
        <v>201.4</v>
      </c>
      <c r="U3754">
        <v>199.5</v>
      </c>
      <c r="V3754">
        <f t="shared" si="116"/>
        <v>200.45</v>
      </c>
      <c r="W3754">
        <f t="shared" si="117"/>
        <v>1.9000000000000057</v>
      </c>
      <c r="X3754">
        <v>-2.9666670000000002</v>
      </c>
      <c r="Y3754">
        <v>50.700001</v>
      </c>
      <c r="Z3754" t="s">
        <v>520</v>
      </c>
      <c r="AA3754" t="s">
        <v>91</v>
      </c>
      <c r="AB3754" t="s">
        <v>92</v>
      </c>
      <c r="AC3754" t="s">
        <v>2198</v>
      </c>
      <c r="AD3754" t="s">
        <v>691</v>
      </c>
      <c r="AE3754" t="s">
        <v>692</v>
      </c>
      <c r="AG3754" t="s">
        <v>3603</v>
      </c>
      <c r="AH3754" t="s">
        <v>11</v>
      </c>
      <c r="AI3754" t="s">
        <v>3604</v>
      </c>
      <c r="AJ3754">
        <v>1968</v>
      </c>
      <c r="AK3754" t="s">
        <v>3605</v>
      </c>
      <c r="AN3754" t="s">
        <v>114</v>
      </c>
      <c r="AO3754" t="s">
        <v>160</v>
      </c>
      <c r="AP3754" t="s">
        <v>78</v>
      </c>
      <c r="AQ3754" t="s">
        <v>3606</v>
      </c>
      <c r="AR3754" t="s">
        <v>80</v>
      </c>
      <c r="AS3754">
        <v>315</v>
      </c>
      <c r="AT3754" t="s">
        <v>81</v>
      </c>
      <c r="AU3754">
        <v>9.15</v>
      </c>
      <c r="AV3754">
        <v>35.28</v>
      </c>
      <c r="AW3754" t="s">
        <v>82</v>
      </c>
      <c r="AX3754">
        <v>315</v>
      </c>
      <c r="AY3754" t="s">
        <v>81</v>
      </c>
      <c r="AZ3754">
        <v>0.78</v>
      </c>
      <c r="BA3754">
        <v>36.82</v>
      </c>
      <c r="BB3754" t="s">
        <v>83</v>
      </c>
    </row>
    <row r="3755" spans="1:54" x14ac:dyDescent="0.4">
      <c r="A3755">
        <v>946851</v>
      </c>
      <c r="D3755" t="s">
        <v>54</v>
      </c>
      <c r="E3755" t="s">
        <v>55</v>
      </c>
      <c r="G3755">
        <v>1</v>
      </c>
      <c r="H3755" t="s">
        <v>56</v>
      </c>
      <c r="I3755" t="s">
        <v>57</v>
      </c>
      <c r="K3755" t="s">
        <v>3171</v>
      </c>
      <c r="L3755" t="s">
        <v>3172</v>
      </c>
      <c r="M3755" t="s">
        <v>223</v>
      </c>
      <c r="N3755" t="s">
        <v>234</v>
      </c>
      <c r="O3755" t="s">
        <v>87</v>
      </c>
      <c r="P3755" t="s">
        <v>687</v>
      </c>
      <c r="R3755" t="s">
        <v>688</v>
      </c>
      <c r="S3755" t="s">
        <v>689</v>
      </c>
      <c r="T3755">
        <v>201.4</v>
      </c>
      <c r="U3755">
        <v>199.5</v>
      </c>
      <c r="V3755">
        <f t="shared" si="116"/>
        <v>200.45</v>
      </c>
      <c r="W3755">
        <f t="shared" si="117"/>
        <v>1.9000000000000057</v>
      </c>
      <c r="X3755">
        <v>-2.7716669999999999</v>
      </c>
      <c r="Y3755">
        <v>51.125278000000002</v>
      </c>
      <c r="Z3755" t="s">
        <v>520</v>
      </c>
      <c r="AA3755" t="s">
        <v>91</v>
      </c>
      <c r="AB3755" t="s">
        <v>92</v>
      </c>
      <c r="AC3755" t="s">
        <v>93</v>
      </c>
      <c r="AD3755" t="s">
        <v>691</v>
      </c>
      <c r="AE3755" t="s">
        <v>692</v>
      </c>
      <c r="AG3755" t="s">
        <v>3891</v>
      </c>
      <c r="AH3755" t="s">
        <v>72</v>
      </c>
      <c r="AI3755" t="s">
        <v>3156</v>
      </c>
      <c r="AJ3755">
        <v>1888</v>
      </c>
      <c r="AK3755" t="s">
        <v>3892</v>
      </c>
      <c r="AN3755" t="s">
        <v>114</v>
      </c>
      <c r="AO3755" t="s">
        <v>77</v>
      </c>
      <c r="AP3755" t="s">
        <v>78</v>
      </c>
      <c r="AQ3755" t="s">
        <v>3893</v>
      </c>
      <c r="AR3755" t="s">
        <v>80</v>
      </c>
      <c r="AS3755">
        <v>315</v>
      </c>
      <c r="AT3755" t="s">
        <v>81</v>
      </c>
      <c r="AU3755">
        <v>9.2899999999999991</v>
      </c>
      <c r="AV3755">
        <v>36.090000000000003</v>
      </c>
      <c r="AW3755" t="s">
        <v>82</v>
      </c>
      <c r="AX3755">
        <v>315</v>
      </c>
      <c r="AY3755" t="s">
        <v>81</v>
      </c>
      <c r="AZ3755">
        <v>1.21</v>
      </c>
      <c r="BA3755">
        <v>37.4</v>
      </c>
      <c r="BB3755" t="s">
        <v>83</v>
      </c>
    </row>
    <row r="3756" spans="1:54" x14ac:dyDescent="0.4">
      <c r="A3756">
        <v>986427</v>
      </c>
      <c r="D3756" t="s">
        <v>54</v>
      </c>
      <c r="G3756">
        <v>1</v>
      </c>
      <c r="H3756" t="s">
        <v>84</v>
      </c>
      <c r="I3756" t="s">
        <v>57</v>
      </c>
      <c r="K3756" t="s">
        <v>3184</v>
      </c>
      <c r="L3756" t="s">
        <v>3968</v>
      </c>
      <c r="M3756" t="s">
        <v>223</v>
      </c>
      <c r="N3756" t="s">
        <v>2449</v>
      </c>
      <c r="O3756" t="s">
        <v>87</v>
      </c>
      <c r="P3756" t="s">
        <v>687</v>
      </c>
      <c r="R3756" t="s">
        <v>688</v>
      </c>
      <c r="S3756" t="s">
        <v>689</v>
      </c>
      <c r="T3756">
        <v>201.4</v>
      </c>
      <c r="U3756">
        <v>199.5</v>
      </c>
      <c r="V3756">
        <f t="shared" si="116"/>
        <v>200.45</v>
      </c>
      <c r="W3756">
        <f t="shared" si="117"/>
        <v>1.9000000000000057</v>
      </c>
      <c r="X3756">
        <v>-1.456944</v>
      </c>
      <c r="Y3756">
        <v>52.235557999999997</v>
      </c>
      <c r="Z3756" t="s">
        <v>1596</v>
      </c>
      <c r="AA3756" t="s">
        <v>91</v>
      </c>
      <c r="AB3756" t="s">
        <v>92</v>
      </c>
      <c r="AC3756" t="s">
        <v>690</v>
      </c>
      <c r="AD3756" t="s">
        <v>691</v>
      </c>
      <c r="AE3756" t="s">
        <v>692</v>
      </c>
      <c r="AF3756" t="s">
        <v>3969</v>
      </c>
      <c r="AG3756" t="s">
        <v>3970</v>
      </c>
      <c r="AH3756" t="s">
        <v>72</v>
      </c>
      <c r="AI3756" t="s">
        <v>3971</v>
      </c>
      <c r="AJ3756">
        <v>2010</v>
      </c>
      <c r="AK3756" t="s">
        <v>3972</v>
      </c>
      <c r="AM3756" t="s">
        <v>3973</v>
      </c>
      <c r="AN3756" t="s">
        <v>192</v>
      </c>
      <c r="AO3756" t="s">
        <v>77</v>
      </c>
      <c r="AP3756" t="s">
        <v>115</v>
      </c>
      <c r="AR3756" t="s">
        <v>80</v>
      </c>
      <c r="AS3756">
        <v>315</v>
      </c>
      <c r="AT3756" t="s">
        <v>81</v>
      </c>
      <c r="AU3756">
        <v>9.6</v>
      </c>
      <c r="AV3756">
        <v>37.44</v>
      </c>
      <c r="AW3756" t="s">
        <v>82</v>
      </c>
      <c r="AX3756">
        <v>315</v>
      </c>
      <c r="AY3756" t="s">
        <v>81</v>
      </c>
      <c r="AZ3756">
        <v>1.69</v>
      </c>
      <c r="BA3756">
        <v>38.72</v>
      </c>
      <c r="BB3756" t="s">
        <v>83</v>
      </c>
    </row>
    <row r="3757" spans="1:54" x14ac:dyDescent="0.4">
      <c r="A3757">
        <v>989446</v>
      </c>
      <c r="D3757" t="s">
        <v>54</v>
      </c>
      <c r="G3757">
        <v>1</v>
      </c>
      <c r="H3757" t="s">
        <v>56</v>
      </c>
      <c r="I3757" t="s">
        <v>57</v>
      </c>
      <c r="K3757" t="s">
        <v>3171</v>
      </c>
      <c r="L3757" t="s">
        <v>3172</v>
      </c>
      <c r="M3757" t="s">
        <v>223</v>
      </c>
      <c r="N3757" t="s">
        <v>234</v>
      </c>
      <c r="O3757" t="s">
        <v>87</v>
      </c>
      <c r="P3757" t="s">
        <v>687</v>
      </c>
      <c r="R3757" t="s">
        <v>688</v>
      </c>
      <c r="S3757" t="s">
        <v>689</v>
      </c>
      <c r="T3757">
        <v>201.4</v>
      </c>
      <c r="U3757">
        <v>199.5</v>
      </c>
      <c r="V3757">
        <f t="shared" si="116"/>
        <v>200.45</v>
      </c>
      <c r="W3757">
        <f t="shared" si="117"/>
        <v>1.9000000000000057</v>
      </c>
      <c r="X3757">
        <v>-2.7313890000000001</v>
      </c>
      <c r="Y3757">
        <v>51.125</v>
      </c>
      <c r="Z3757" t="s">
        <v>602</v>
      </c>
      <c r="AA3757" t="s">
        <v>91</v>
      </c>
      <c r="AB3757" t="s">
        <v>92</v>
      </c>
      <c r="AC3757" t="s">
        <v>93</v>
      </c>
      <c r="AD3757" t="s">
        <v>691</v>
      </c>
      <c r="AE3757" t="s">
        <v>692</v>
      </c>
      <c r="AH3757" t="s">
        <v>72</v>
      </c>
      <c r="AI3757" t="s">
        <v>1045</v>
      </c>
      <c r="AJ3757">
        <v>1840</v>
      </c>
      <c r="AK3757" t="s">
        <v>3974</v>
      </c>
      <c r="AN3757" t="s">
        <v>192</v>
      </c>
      <c r="AO3757" t="s">
        <v>77</v>
      </c>
      <c r="AP3757" t="s">
        <v>359</v>
      </c>
      <c r="AQ3757" t="s">
        <v>3975</v>
      </c>
      <c r="AR3757" t="s">
        <v>80</v>
      </c>
      <c r="AS3757">
        <v>315</v>
      </c>
      <c r="AT3757" t="s">
        <v>81</v>
      </c>
      <c r="AU3757">
        <v>9.32</v>
      </c>
      <c r="AV3757">
        <v>36.1</v>
      </c>
      <c r="AW3757" t="s">
        <v>82</v>
      </c>
      <c r="AX3757">
        <v>315</v>
      </c>
      <c r="AY3757" t="s">
        <v>81</v>
      </c>
      <c r="AZ3757">
        <v>1.24</v>
      </c>
      <c r="BA3757">
        <v>37.409999999999997</v>
      </c>
      <c r="BB3757" t="s">
        <v>83</v>
      </c>
    </row>
    <row r="3758" spans="1:54" x14ac:dyDescent="0.4">
      <c r="A3758">
        <v>989446</v>
      </c>
      <c r="D3758" t="s">
        <v>54</v>
      </c>
      <c r="G3758">
        <v>1</v>
      </c>
      <c r="H3758" t="s">
        <v>56</v>
      </c>
      <c r="I3758" t="s">
        <v>57</v>
      </c>
      <c r="K3758" t="s">
        <v>3171</v>
      </c>
      <c r="L3758" t="s">
        <v>3172</v>
      </c>
      <c r="M3758" t="s">
        <v>223</v>
      </c>
      <c r="N3758" t="s">
        <v>234</v>
      </c>
      <c r="O3758" t="s">
        <v>87</v>
      </c>
      <c r="P3758" t="s">
        <v>687</v>
      </c>
      <c r="R3758" t="s">
        <v>688</v>
      </c>
      <c r="S3758" t="s">
        <v>689</v>
      </c>
      <c r="T3758">
        <v>201.4</v>
      </c>
      <c r="U3758">
        <v>199.5</v>
      </c>
      <c r="V3758">
        <f t="shared" si="116"/>
        <v>200.45</v>
      </c>
      <c r="W3758">
        <f t="shared" si="117"/>
        <v>1.9000000000000057</v>
      </c>
      <c r="X3758">
        <v>-2.7313890000000001</v>
      </c>
      <c r="Y3758">
        <v>51.125</v>
      </c>
      <c r="Z3758" t="s">
        <v>602</v>
      </c>
      <c r="AA3758" t="s">
        <v>91</v>
      </c>
      <c r="AB3758" t="s">
        <v>92</v>
      </c>
      <c r="AC3758" t="s">
        <v>93</v>
      </c>
      <c r="AD3758" t="s">
        <v>691</v>
      </c>
      <c r="AE3758" t="s">
        <v>692</v>
      </c>
      <c r="AH3758" t="s">
        <v>72</v>
      </c>
      <c r="AI3758" t="s">
        <v>1045</v>
      </c>
      <c r="AJ3758">
        <v>1840</v>
      </c>
      <c r="AK3758" t="s">
        <v>3974</v>
      </c>
      <c r="AN3758" t="s">
        <v>192</v>
      </c>
      <c r="AO3758" t="s">
        <v>77</v>
      </c>
      <c r="AP3758" t="s">
        <v>359</v>
      </c>
      <c r="AQ3758" t="s">
        <v>3975</v>
      </c>
      <c r="AR3758" t="s">
        <v>80</v>
      </c>
      <c r="AS3758">
        <v>315</v>
      </c>
      <c r="AT3758" t="s">
        <v>81</v>
      </c>
      <c r="AU3758">
        <v>9.32</v>
      </c>
      <c r="AV3758">
        <v>36.1</v>
      </c>
      <c r="AW3758" t="s">
        <v>82</v>
      </c>
      <c r="AX3758">
        <v>315</v>
      </c>
      <c r="AY3758" t="s">
        <v>81</v>
      </c>
      <c r="AZ3758">
        <v>1.24</v>
      </c>
      <c r="BA3758">
        <v>37.409999999999997</v>
      </c>
      <c r="BB3758" t="s">
        <v>83</v>
      </c>
    </row>
    <row r="3759" spans="1:54" x14ac:dyDescent="0.4">
      <c r="A3759">
        <v>989446</v>
      </c>
      <c r="D3759" t="s">
        <v>54</v>
      </c>
      <c r="G3759">
        <v>1</v>
      </c>
      <c r="H3759" t="s">
        <v>56</v>
      </c>
      <c r="I3759" t="s">
        <v>57</v>
      </c>
      <c r="K3759" t="s">
        <v>3171</v>
      </c>
      <c r="L3759" t="s">
        <v>3172</v>
      </c>
      <c r="M3759" t="s">
        <v>223</v>
      </c>
      <c r="N3759" t="s">
        <v>234</v>
      </c>
      <c r="O3759" t="s">
        <v>87</v>
      </c>
      <c r="P3759" t="s">
        <v>687</v>
      </c>
      <c r="R3759" t="s">
        <v>688</v>
      </c>
      <c r="S3759" t="s">
        <v>689</v>
      </c>
      <c r="T3759">
        <v>201.4</v>
      </c>
      <c r="U3759">
        <v>199.5</v>
      </c>
      <c r="V3759">
        <f t="shared" si="116"/>
        <v>200.45</v>
      </c>
      <c r="W3759">
        <f t="shared" si="117"/>
        <v>1.9000000000000057</v>
      </c>
      <c r="X3759">
        <v>-2.7313890000000001</v>
      </c>
      <c r="Y3759">
        <v>51.125</v>
      </c>
      <c r="Z3759" t="s">
        <v>602</v>
      </c>
      <c r="AA3759" t="s">
        <v>91</v>
      </c>
      <c r="AB3759" t="s">
        <v>92</v>
      </c>
      <c r="AC3759" t="s">
        <v>93</v>
      </c>
      <c r="AD3759" t="s">
        <v>691</v>
      </c>
      <c r="AE3759" t="s">
        <v>692</v>
      </c>
      <c r="AH3759" t="s">
        <v>72</v>
      </c>
      <c r="AI3759" t="s">
        <v>1045</v>
      </c>
      <c r="AJ3759">
        <v>1840</v>
      </c>
      <c r="AK3759" t="s">
        <v>3974</v>
      </c>
      <c r="AN3759" t="s">
        <v>192</v>
      </c>
      <c r="AO3759" t="s">
        <v>77</v>
      </c>
      <c r="AP3759" t="s">
        <v>359</v>
      </c>
      <c r="AQ3759" t="s">
        <v>3975</v>
      </c>
      <c r="AR3759" t="s">
        <v>80</v>
      </c>
      <c r="AS3759">
        <v>315</v>
      </c>
      <c r="AT3759" t="s">
        <v>81</v>
      </c>
      <c r="AU3759">
        <v>9.32</v>
      </c>
      <c r="AV3759">
        <v>36.1</v>
      </c>
      <c r="AW3759" t="s">
        <v>82</v>
      </c>
      <c r="AX3759">
        <v>315</v>
      </c>
      <c r="AY3759" t="s">
        <v>81</v>
      </c>
      <c r="AZ3759">
        <v>1.24</v>
      </c>
      <c r="BA3759">
        <v>37.409999999999997</v>
      </c>
      <c r="BB3759" t="s">
        <v>83</v>
      </c>
    </row>
    <row r="3760" spans="1:54" x14ac:dyDescent="0.4">
      <c r="A3760">
        <v>989446</v>
      </c>
      <c r="D3760" t="s">
        <v>54</v>
      </c>
      <c r="G3760">
        <v>1</v>
      </c>
      <c r="H3760" t="s">
        <v>56</v>
      </c>
      <c r="I3760" t="s">
        <v>57</v>
      </c>
      <c r="K3760" t="s">
        <v>3171</v>
      </c>
      <c r="L3760" t="s">
        <v>3172</v>
      </c>
      <c r="M3760" t="s">
        <v>223</v>
      </c>
      <c r="N3760" t="s">
        <v>234</v>
      </c>
      <c r="O3760" t="s">
        <v>87</v>
      </c>
      <c r="P3760" t="s">
        <v>687</v>
      </c>
      <c r="R3760" t="s">
        <v>688</v>
      </c>
      <c r="S3760" t="s">
        <v>689</v>
      </c>
      <c r="T3760">
        <v>201.4</v>
      </c>
      <c r="U3760">
        <v>199.5</v>
      </c>
      <c r="V3760">
        <f t="shared" si="116"/>
        <v>200.45</v>
      </c>
      <c r="W3760">
        <f t="shared" si="117"/>
        <v>1.9000000000000057</v>
      </c>
      <c r="X3760">
        <v>-2.7313890000000001</v>
      </c>
      <c r="Y3760">
        <v>51.125</v>
      </c>
      <c r="Z3760" t="s">
        <v>602</v>
      </c>
      <c r="AA3760" t="s">
        <v>91</v>
      </c>
      <c r="AB3760" t="s">
        <v>92</v>
      </c>
      <c r="AC3760" t="s">
        <v>93</v>
      </c>
      <c r="AD3760" t="s">
        <v>691</v>
      </c>
      <c r="AE3760" t="s">
        <v>692</v>
      </c>
      <c r="AH3760" t="s">
        <v>72</v>
      </c>
      <c r="AI3760" t="s">
        <v>1045</v>
      </c>
      <c r="AJ3760">
        <v>1840</v>
      </c>
      <c r="AK3760" t="s">
        <v>3974</v>
      </c>
      <c r="AN3760" t="s">
        <v>192</v>
      </c>
      <c r="AO3760" t="s">
        <v>77</v>
      </c>
      <c r="AP3760" t="s">
        <v>359</v>
      </c>
      <c r="AQ3760" t="s">
        <v>3975</v>
      </c>
      <c r="AR3760" t="s">
        <v>80</v>
      </c>
      <c r="AS3760">
        <v>315</v>
      </c>
      <c r="AT3760" t="s">
        <v>81</v>
      </c>
      <c r="AU3760">
        <v>9.32</v>
      </c>
      <c r="AV3760">
        <v>36.1</v>
      </c>
      <c r="AW3760" t="s">
        <v>82</v>
      </c>
      <c r="AX3760">
        <v>315</v>
      </c>
      <c r="AY3760" t="s">
        <v>81</v>
      </c>
      <c r="AZ3760">
        <v>1.24</v>
      </c>
      <c r="BA3760">
        <v>37.409999999999997</v>
      </c>
      <c r="BB3760" t="s">
        <v>83</v>
      </c>
    </row>
    <row r="3761" spans="1:54" x14ac:dyDescent="0.4">
      <c r="A3761">
        <v>989446</v>
      </c>
      <c r="D3761" t="s">
        <v>54</v>
      </c>
      <c r="G3761">
        <v>1</v>
      </c>
      <c r="H3761" t="s">
        <v>56</v>
      </c>
      <c r="I3761" t="s">
        <v>57</v>
      </c>
      <c r="K3761" t="s">
        <v>3171</v>
      </c>
      <c r="L3761" t="s">
        <v>3172</v>
      </c>
      <c r="M3761" t="s">
        <v>223</v>
      </c>
      <c r="N3761" t="s">
        <v>234</v>
      </c>
      <c r="O3761" t="s">
        <v>87</v>
      </c>
      <c r="P3761" t="s">
        <v>687</v>
      </c>
      <c r="R3761" t="s">
        <v>688</v>
      </c>
      <c r="S3761" t="s">
        <v>689</v>
      </c>
      <c r="T3761">
        <v>201.4</v>
      </c>
      <c r="U3761">
        <v>199.5</v>
      </c>
      <c r="V3761">
        <f t="shared" si="116"/>
        <v>200.45</v>
      </c>
      <c r="W3761">
        <f t="shared" si="117"/>
        <v>1.9000000000000057</v>
      </c>
      <c r="X3761">
        <v>-2.7313890000000001</v>
      </c>
      <c r="Y3761">
        <v>51.125</v>
      </c>
      <c r="Z3761" t="s">
        <v>602</v>
      </c>
      <c r="AA3761" t="s">
        <v>91</v>
      </c>
      <c r="AB3761" t="s">
        <v>92</v>
      </c>
      <c r="AC3761" t="s">
        <v>93</v>
      </c>
      <c r="AD3761" t="s">
        <v>691</v>
      </c>
      <c r="AE3761" t="s">
        <v>692</v>
      </c>
      <c r="AH3761" t="s">
        <v>72</v>
      </c>
      <c r="AI3761" t="s">
        <v>1045</v>
      </c>
      <c r="AJ3761">
        <v>1840</v>
      </c>
      <c r="AK3761" t="s">
        <v>3974</v>
      </c>
      <c r="AN3761" t="s">
        <v>192</v>
      </c>
      <c r="AO3761" t="s">
        <v>77</v>
      </c>
      <c r="AP3761" t="s">
        <v>359</v>
      </c>
      <c r="AQ3761" t="s">
        <v>3975</v>
      </c>
      <c r="AR3761" t="s">
        <v>80</v>
      </c>
      <c r="AS3761">
        <v>315</v>
      </c>
      <c r="AT3761" t="s">
        <v>81</v>
      </c>
      <c r="AU3761">
        <v>9.32</v>
      </c>
      <c r="AV3761">
        <v>36.1</v>
      </c>
      <c r="AW3761" t="s">
        <v>82</v>
      </c>
      <c r="AX3761">
        <v>315</v>
      </c>
      <c r="AY3761" t="s">
        <v>81</v>
      </c>
      <c r="AZ3761">
        <v>1.24</v>
      </c>
      <c r="BA3761">
        <v>37.409999999999997</v>
      </c>
      <c r="BB3761" t="s">
        <v>83</v>
      </c>
    </row>
    <row r="3762" spans="1:54" x14ac:dyDescent="0.4">
      <c r="A3762">
        <v>989446</v>
      </c>
      <c r="D3762" t="s">
        <v>54</v>
      </c>
      <c r="G3762">
        <v>1</v>
      </c>
      <c r="H3762" t="s">
        <v>56</v>
      </c>
      <c r="I3762" t="s">
        <v>57</v>
      </c>
      <c r="K3762" t="s">
        <v>3171</v>
      </c>
      <c r="L3762" t="s">
        <v>3172</v>
      </c>
      <c r="M3762" t="s">
        <v>223</v>
      </c>
      <c r="N3762" t="s">
        <v>234</v>
      </c>
      <c r="O3762" t="s">
        <v>87</v>
      </c>
      <c r="P3762" t="s">
        <v>687</v>
      </c>
      <c r="R3762" t="s">
        <v>688</v>
      </c>
      <c r="S3762" t="s">
        <v>689</v>
      </c>
      <c r="T3762">
        <v>201.4</v>
      </c>
      <c r="U3762">
        <v>199.5</v>
      </c>
      <c r="V3762">
        <f t="shared" si="116"/>
        <v>200.45</v>
      </c>
      <c r="W3762">
        <f t="shared" si="117"/>
        <v>1.9000000000000057</v>
      </c>
      <c r="X3762">
        <v>-2.7313890000000001</v>
      </c>
      <c r="Y3762">
        <v>51.125</v>
      </c>
      <c r="Z3762" t="s">
        <v>602</v>
      </c>
      <c r="AA3762" t="s">
        <v>91</v>
      </c>
      <c r="AB3762" t="s">
        <v>92</v>
      </c>
      <c r="AC3762" t="s">
        <v>93</v>
      </c>
      <c r="AD3762" t="s">
        <v>691</v>
      </c>
      <c r="AE3762" t="s">
        <v>692</v>
      </c>
      <c r="AH3762" t="s">
        <v>72</v>
      </c>
      <c r="AI3762" t="s">
        <v>1045</v>
      </c>
      <c r="AJ3762">
        <v>1840</v>
      </c>
      <c r="AK3762" t="s">
        <v>3974</v>
      </c>
      <c r="AN3762" t="s">
        <v>192</v>
      </c>
      <c r="AO3762" t="s">
        <v>77</v>
      </c>
      <c r="AP3762" t="s">
        <v>359</v>
      </c>
      <c r="AQ3762" t="s">
        <v>3975</v>
      </c>
      <c r="AR3762" t="s">
        <v>80</v>
      </c>
      <c r="AS3762">
        <v>315</v>
      </c>
      <c r="AT3762" t="s">
        <v>81</v>
      </c>
      <c r="AU3762">
        <v>9.32</v>
      </c>
      <c r="AV3762">
        <v>36.1</v>
      </c>
      <c r="AW3762" t="s">
        <v>82</v>
      </c>
      <c r="AX3762">
        <v>315</v>
      </c>
      <c r="AY3762" t="s">
        <v>81</v>
      </c>
      <c r="AZ3762">
        <v>1.24</v>
      </c>
      <c r="BA3762">
        <v>37.409999999999997</v>
      </c>
      <c r="BB3762" t="s">
        <v>83</v>
      </c>
    </row>
    <row r="3763" spans="1:54" x14ac:dyDescent="0.4">
      <c r="A3763">
        <v>989451</v>
      </c>
      <c r="D3763" t="s">
        <v>54</v>
      </c>
      <c r="G3763">
        <v>1</v>
      </c>
      <c r="H3763" t="s">
        <v>84</v>
      </c>
      <c r="I3763" t="s">
        <v>57</v>
      </c>
      <c r="K3763" t="s">
        <v>3184</v>
      </c>
      <c r="L3763" t="s">
        <v>3185</v>
      </c>
      <c r="M3763" t="s">
        <v>223</v>
      </c>
      <c r="N3763" t="s">
        <v>2449</v>
      </c>
      <c r="O3763" t="s">
        <v>87</v>
      </c>
      <c r="P3763" t="s">
        <v>687</v>
      </c>
      <c r="R3763" t="s">
        <v>688</v>
      </c>
      <c r="S3763" t="s">
        <v>689</v>
      </c>
      <c r="T3763">
        <v>201.4</v>
      </c>
      <c r="U3763">
        <v>199.5</v>
      </c>
      <c r="V3763">
        <f t="shared" si="116"/>
        <v>200.45</v>
      </c>
      <c r="W3763">
        <f t="shared" si="117"/>
        <v>1.9000000000000057</v>
      </c>
      <c r="X3763">
        <v>-2.7313890000000001</v>
      </c>
      <c r="Y3763">
        <v>51.125</v>
      </c>
      <c r="Z3763" t="s">
        <v>602</v>
      </c>
      <c r="AA3763" t="s">
        <v>91</v>
      </c>
      <c r="AB3763" t="s">
        <v>92</v>
      </c>
      <c r="AC3763" t="s">
        <v>93</v>
      </c>
      <c r="AD3763" t="s">
        <v>691</v>
      </c>
      <c r="AE3763" t="s">
        <v>692</v>
      </c>
      <c r="AH3763" t="s">
        <v>72</v>
      </c>
      <c r="AI3763" t="s">
        <v>3976</v>
      </c>
      <c r="AJ3763">
        <v>1996</v>
      </c>
      <c r="AK3763" t="s">
        <v>3974</v>
      </c>
      <c r="AN3763" t="s">
        <v>192</v>
      </c>
      <c r="AO3763" t="s">
        <v>77</v>
      </c>
      <c r="AP3763" t="s">
        <v>359</v>
      </c>
      <c r="AQ3763" t="s">
        <v>3975</v>
      </c>
      <c r="AR3763" t="s">
        <v>80</v>
      </c>
      <c r="AS3763">
        <v>315</v>
      </c>
      <c r="AT3763" t="s">
        <v>81</v>
      </c>
      <c r="AU3763">
        <v>9.32</v>
      </c>
      <c r="AV3763">
        <v>36.1</v>
      </c>
      <c r="AW3763" t="s">
        <v>82</v>
      </c>
      <c r="AX3763">
        <v>315</v>
      </c>
      <c r="AY3763" t="s">
        <v>81</v>
      </c>
      <c r="AZ3763">
        <v>1.24</v>
      </c>
      <c r="BA3763">
        <v>37.409999999999997</v>
      </c>
      <c r="BB3763" t="s">
        <v>83</v>
      </c>
    </row>
    <row r="3764" spans="1:54" x14ac:dyDescent="0.4">
      <c r="A3764">
        <v>989454</v>
      </c>
      <c r="D3764" t="s">
        <v>54</v>
      </c>
      <c r="G3764">
        <v>1</v>
      </c>
      <c r="H3764" t="s">
        <v>84</v>
      </c>
      <c r="I3764" t="s">
        <v>57</v>
      </c>
      <c r="K3764" t="s">
        <v>3184</v>
      </c>
      <c r="L3764" t="s">
        <v>3977</v>
      </c>
      <c r="M3764" t="s">
        <v>223</v>
      </c>
      <c r="N3764" t="s">
        <v>2449</v>
      </c>
      <c r="O3764" t="s">
        <v>87</v>
      </c>
      <c r="P3764" t="s">
        <v>687</v>
      </c>
      <c r="R3764" t="s">
        <v>688</v>
      </c>
      <c r="S3764" t="s">
        <v>689</v>
      </c>
      <c r="T3764">
        <v>201.4</v>
      </c>
      <c r="U3764">
        <v>199.5</v>
      </c>
      <c r="V3764">
        <f t="shared" si="116"/>
        <v>200.45</v>
      </c>
      <c r="W3764">
        <f t="shared" si="117"/>
        <v>1.9000000000000057</v>
      </c>
      <c r="X3764">
        <v>-2.7313890000000001</v>
      </c>
      <c r="Y3764">
        <v>51.125</v>
      </c>
      <c r="Z3764" t="s">
        <v>602</v>
      </c>
      <c r="AA3764" t="s">
        <v>91</v>
      </c>
      <c r="AB3764" t="s">
        <v>92</v>
      </c>
      <c r="AC3764" t="s">
        <v>93</v>
      </c>
      <c r="AD3764" t="s">
        <v>691</v>
      </c>
      <c r="AE3764" t="s">
        <v>692</v>
      </c>
      <c r="AH3764" t="s">
        <v>72</v>
      </c>
      <c r="AI3764" t="s">
        <v>1045</v>
      </c>
      <c r="AJ3764">
        <v>1840</v>
      </c>
      <c r="AK3764" t="s">
        <v>3974</v>
      </c>
      <c r="AN3764" t="s">
        <v>192</v>
      </c>
      <c r="AO3764" t="s">
        <v>77</v>
      </c>
      <c r="AP3764" t="s">
        <v>359</v>
      </c>
      <c r="AQ3764" t="s">
        <v>3975</v>
      </c>
      <c r="AR3764" t="s">
        <v>80</v>
      </c>
      <c r="AS3764">
        <v>315</v>
      </c>
      <c r="AT3764" t="s">
        <v>81</v>
      </c>
      <c r="AU3764">
        <v>9.32</v>
      </c>
      <c r="AV3764">
        <v>36.1</v>
      </c>
      <c r="AW3764" t="s">
        <v>82</v>
      </c>
      <c r="AX3764">
        <v>315</v>
      </c>
      <c r="AY3764" t="s">
        <v>81</v>
      </c>
      <c r="AZ3764">
        <v>1.24</v>
      </c>
      <c r="BA3764">
        <v>37.409999999999997</v>
      </c>
      <c r="BB3764" t="s">
        <v>83</v>
      </c>
    </row>
    <row r="3765" spans="1:54" x14ac:dyDescent="0.4">
      <c r="A3765">
        <v>990033</v>
      </c>
      <c r="D3765" t="s">
        <v>54</v>
      </c>
      <c r="G3765">
        <v>1</v>
      </c>
      <c r="H3765" t="s">
        <v>84</v>
      </c>
      <c r="I3765" t="s">
        <v>57</v>
      </c>
      <c r="K3765" t="s">
        <v>3184</v>
      </c>
      <c r="L3765" t="s">
        <v>3185</v>
      </c>
      <c r="M3765" t="s">
        <v>223</v>
      </c>
      <c r="N3765" t="s">
        <v>2449</v>
      </c>
      <c r="O3765" t="s">
        <v>87</v>
      </c>
      <c r="P3765" t="s">
        <v>687</v>
      </c>
      <c r="R3765" t="s">
        <v>688</v>
      </c>
      <c r="S3765" t="s">
        <v>689</v>
      </c>
      <c r="T3765">
        <v>201.4</v>
      </c>
      <c r="U3765">
        <v>199.5</v>
      </c>
      <c r="V3765">
        <f t="shared" si="116"/>
        <v>200.45</v>
      </c>
      <c r="W3765">
        <f t="shared" si="117"/>
        <v>1.9000000000000057</v>
      </c>
      <c r="X3765">
        <v>-1.148889</v>
      </c>
      <c r="Y3765">
        <v>52.752499</v>
      </c>
      <c r="Z3765" t="s">
        <v>520</v>
      </c>
      <c r="AA3765" t="s">
        <v>91</v>
      </c>
      <c r="AB3765" t="s">
        <v>92</v>
      </c>
      <c r="AC3765" t="s">
        <v>3979</v>
      </c>
      <c r="AD3765" t="s">
        <v>691</v>
      </c>
      <c r="AE3765" t="s">
        <v>692</v>
      </c>
      <c r="AF3765" t="s">
        <v>3980</v>
      </c>
      <c r="AG3765" t="s">
        <v>3603</v>
      </c>
      <c r="AH3765" t="s">
        <v>72</v>
      </c>
      <c r="AI3765" t="s">
        <v>3951</v>
      </c>
      <c r="AJ3765">
        <v>1994</v>
      </c>
      <c r="AK3765" t="s">
        <v>3981</v>
      </c>
      <c r="AM3765" t="s">
        <v>3982</v>
      </c>
      <c r="AN3765" t="s">
        <v>192</v>
      </c>
      <c r="AO3765" t="s">
        <v>77</v>
      </c>
      <c r="AP3765" t="s">
        <v>359</v>
      </c>
      <c r="AQ3765" t="s">
        <v>3983</v>
      </c>
      <c r="AR3765" t="s">
        <v>80</v>
      </c>
      <c r="AS3765">
        <v>315</v>
      </c>
      <c r="AT3765" t="s">
        <v>81</v>
      </c>
      <c r="AU3765">
        <v>9.5299999999999994</v>
      </c>
      <c r="AV3765">
        <v>37.99</v>
      </c>
      <c r="AW3765" t="s">
        <v>82</v>
      </c>
      <c r="AX3765">
        <v>315</v>
      </c>
      <c r="AY3765" t="s">
        <v>81</v>
      </c>
      <c r="AZ3765">
        <v>1.68</v>
      </c>
      <c r="BA3765">
        <v>39.270000000000003</v>
      </c>
      <c r="BB3765" t="s">
        <v>83</v>
      </c>
    </row>
    <row r="3766" spans="1:54" x14ac:dyDescent="0.4">
      <c r="A3766">
        <v>990034</v>
      </c>
      <c r="D3766" t="s">
        <v>54</v>
      </c>
      <c r="G3766">
        <v>1</v>
      </c>
      <c r="H3766" t="s">
        <v>84</v>
      </c>
      <c r="I3766" t="s">
        <v>57</v>
      </c>
      <c r="K3766" t="s">
        <v>3184</v>
      </c>
      <c r="L3766" t="s">
        <v>3185</v>
      </c>
      <c r="M3766" t="s">
        <v>223</v>
      </c>
      <c r="N3766" t="s">
        <v>2449</v>
      </c>
      <c r="O3766" t="s">
        <v>87</v>
      </c>
      <c r="P3766" t="s">
        <v>687</v>
      </c>
      <c r="R3766" t="s">
        <v>688</v>
      </c>
      <c r="S3766" t="s">
        <v>689</v>
      </c>
      <c r="T3766">
        <v>201.4</v>
      </c>
      <c r="U3766">
        <v>199.5</v>
      </c>
      <c r="V3766">
        <f t="shared" si="116"/>
        <v>200.45</v>
      </c>
      <c r="W3766">
        <f t="shared" si="117"/>
        <v>1.9000000000000057</v>
      </c>
      <c r="X3766">
        <v>-2.548333</v>
      </c>
      <c r="Y3766">
        <v>51.143889999999999</v>
      </c>
      <c r="Z3766" t="s">
        <v>520</v>
      </c>
      <c r="AA3766" t="s">
        <v>91</v>
      </c>
      <c r="AB3766" t="s">
        <v>92</v>
      </c>
      <c r="AC3766" t="s">
        <v>93</v>
      </c>
      <c r="AD3766" t="s">
        <v>691</v>
      </c>
      <c r="AH3766" t="s">
        <v>72</v>
      </c>
      <c r="AI3766" t="s">
        <v>3951</v>
      </c>
      <c r="AJ3766">
        <v>1994</v>
      </c>
      <c r="AK3766" t="s">
        <v>3984</v>
      </c>
      <c r="AN3766" t="s">
        <v>192</v>
      </c>
      <c r="AO3766" t="s">
        <v>77</v>
      </c>
      <c r="AP3766" t="s">
        <v>359</v>
      </c>
      <c r="AR3766" t="s">
        <v>80</v>
      </c>
      <c r="AS3766">
        <v>315</v>
      </c>
      <c r="AT3766" t="s">
        <v>81</v>
      </c>
      <c r="AU3766">
        <v>9.44</v>
      </c>
      <c r="AV3766">
        <v>36.17</v>
      </c>
      <c r="AW3766" t="s">
        <v>82</v>
      </c>
      <c r="AX3766">
        <v>315</v>
      </c>
      <c r="AY3766" t="s">
        <v>81</v>
      </c>
      <c r="AZ3766">
        <v>1.36</v>
      </c>
      <c r="BA3766">
        <v>37.47</v>
      </c>
      <c r="BB3766" t="s">
        <v>83</v>
      </c>
    </row>
    <row r="3767" spans="1:54" x14ac:dyDescent="0.4">
      <c r="A3767">
        <v>991109</v>
      </c>
      <c r="D3767" t="s">
        <v>54</v>
      </c>
      <c r="G3767">
        <v>1</v>
      </c>
      <c r="H3767" t="s">
        <v>84</v>
      </c>
      <c r="I3767" t="s">
        <v>57</v>
      </c>
      <c r="K3767" t="s">
        <v>3171</v>
      </c>
      <c r="L3767" t="s">
        <v>3172</v>
      </c>
      <c r="M3767" t="s">
        <v>223</v>
      </c>
      <c r="N3767" t="s">
        <v>234</v>
      </c>
      <c r="O3767" t="s">
        <v>87</v>
      </c>
      <c r="P3767" t="s">
        <v>687</v>
      </c>
      <c r="R3767" t="s">
        <v>688</v>
      </c>
      <c r="S3767" t="s">
        <v>689</v>
      </c>
      <c r="T3767">
        <v>201.4</v>
      </c>
      <c r="U3767">
        <v>199.5</v>
      </c>
      <c r="V3767">
        <f t="shared" si="116"/>
        <v>200.45</v>
      </c>
      <c r="W3767">
        <f t="shared" si="117"/>
        <v>1.9000000000000057</v>
      </c>
      <c r="X3767">
        <v>-2.7313890000000001</v>
      </c>
      <c r="Y3767">
        <v>51.125</v>
      </c>
      <c r="Z3767" t="s">
        <v>602</v>
      </c>
      <c r="AA3767" t="s">
        <v>91</v>
      </c>
      <c r="AB3767" t="s">
        <v>92</v>
      </c>
      <c r="AC3767" t="s">
        <v>93</v>
      </c>
      <c r="AD3767" t="s">
        <v>691</v>
      </c>
      <c r="AE3767" t="s">
        <v>692</v>
      </c>
      <c r="AH3767" t="s">
        <v>72</v>
      </c>
      <c r="AI3767" t="s">
        <v>2370</v>
      </c>
      <c r="AJ3767">
        <v>1865</v>
      </c>
      <c r="AK3767" t="s">
        <v>3974</v>
      </c>
      <c r="AN3767" t="s">
        <v>192</v>
      </c>
      <c r="AO3767" t="s">
        <v>77</v>
      </c>
      <c r="AP3767" t="s">
        <v>359</v>
      </c>
      <c r="AQ3767" t="s">
        <v>3975</v>
      </c>
      <c r="AR3767" t="s">
        <v>80</v>
      </c>
      <c r="AS3767">
        <v>315</v>
      </c>
      <c r="AT3767" t="s">
        <v>81</v>
      </c>
      <c r="AU3767">
        <v>9.32</v>
      </c>
      <c r="AV3767">
        <v>36.1</v>
      </c>
      <c r="AW3767" t="s">
        <v>82</v>
      </c>
      <c r="AX3767">
        <v>315</v>
      </c>
      <c r="AY3767" t="s">
        <v>81</v>
      </c>
      <c r="AZ3767">
        <v>1.24</v>
      </c>
      <c r="BA3767">
        <v>37.409999999999997</v>
      </c>
      <c r="BB3767" t="s">
        <v>83</v>
      </c>
    </row>
    <row r="3768" spans="1:54" x14ac:dyDescent="0.4">
      <c r="A3768">
        <v>991111</v>
      </c>
      <c r="D3768" t="s">
        <v>54</v>
      </c>
      <c r="G3768">
        <v>1</v>
      </c>
      <c r="H3768" t="s">
        <v>84</v>
      </c>
      <c r="I3768" t="s">
        <v>57</v>
      </c>
      <c r="K3768" t="s">
        <v>141</v>
      </c>
      <c r="L3768" t="s">
        <v>2448</v>
      </c>
      <c r="M3768" t="s">
        <v>223</v>
      </c>
      <c r="N3768" t="s">
        <v>2449</v>
      </c>
      <c r="O3768" t="s">
        <v>87</v>
      </c>
      <c r="P3768" t="s">
        <v>687</v>
      </c>
      <c r="R3768" t="s">
        <v>688</v>
      </c>
      <c r="S3768" t="s">
        <v>689</v>
      </c>
      <c r="T3768">
        <v>201.4</v>
      </c>
      <c r="U3768">
        <v>199.5</v>
      </c>
      <c r="V3768">
        <f t="shared" si="116"/>
        <v>200.45</v>
      </c>
      <c r="W3768">
        <f t="shared" si="117"/>
        <v>1.9000000000000057</v>
      </c>
      <c r="X3768">
        <v>-2.7313890000000001</v>
      </c>
      <c r="Y3768">
        <v>51.125</v>
      </c>
      <c r="Z3768" t="s">
        <v>602</v>
      </c>
      <c r="AA3768" t="s">
        <v>91</v>
      </c>
      <c r="AB3768" t="s">
        <v>92</v>
      </c>
      <c r="AC3768" t="s">
        <v>93</v>
      </c>
      <c r="AD3768" t="s">
        <v>691</v>
      </c>
      <c r="AE3768" t="s">
        <v>692</v>
      </c>
      <c r="AH3768" t="s">
        <v>72</v>
      </c>
      <c r="AI3768" t="s">
        <v>2370</v>
      </c>
      <c r="AJ3768">
        <v>1865</v>
      </c>
      <c r="AK3768" t="s">
        <v>3974</v>
      </c>
      <c r="AN3768" t="s">
        <v>192</v>
      </c>
      <c r="AO3768" t="s">
        <v>77</v>
      </c>
      <c r="AP3768" t="s">
        <v>359</v>
      </c>
      <c r="AQ3768" t="s">
        <v>3975</v>
      </c>
      <c r="AR3768" t="s">
        <v>80</v>
      </c>
      <c r="AS3768">
        <v>315</v>
      </c>
      <c r="AT3768" t="s">
        <v>81</v>
      </c>
      <c r="AU3768">
        <v>9.32</v>
      </c>
      <c r="AV3768">
        <v>36.1</v>
      </c>
      <c r="AW3768" t="s">
        <v>82</v>
      </c>
      <c r="AX3768">
        <v>315</v>
      </c>
      <c r="AY3768" t="s">
        <v>81</v>
      </c>
      <c r="AZ3768">
        <v>1.24</v>
      </c>
      <c r="BA3768">
        <v>37.409999999999997</v>
      </c>
      <c r="BB3768" t="s">
        <v>83</v>
      </c>
    </row>
    <row r="3769" spans="1:54" x14ac:dyDescent="0.4">
      <c r="A3769">
        <v>1040454</v>
      </c>
      <c r="D3769" t="s">
        <v>54</v>
      </c>
      <c r="G3769">
        <v>2</v>
      </c>
      <c r="H3769" t="s">
        <v>84</v>
      </c>
      <c r="I3769" t="s">
        <v>57</v>
      </c>
      <c r="K3769" t="s">
        <v>3184</v>
      </c>
      <c r="L3769" t="s">
        <v>3998</v>
      </c>
      <c r="M3769" t="s">
        <v>223</v>
      </c>
      <c r="N3769" t="s">
        <v>2449</v>
      </c>
      <c r="O3769" t="s">
        <v>87</v>
      </c>
      <c r="P3769" t="s">
        <v>687</v>
      </c>
      <c r="R3769" t="s">
        <v>688</v>
      </c>
      <c r="S3769" t="s">
        <v>689</v>
      </c>
      <c r="T3769">
        <v>201.4</v>
      </c>
      <c r="U3769">
        <v>199.5</v>
      </c>
      <c r="V3769">
        <f t="shared" si="116"/>
        <v>200.45</v>
      </c>
      <c r="W3769">
        <f t="shared" si="117"/>
        <v>1.9000000000000057</v>
      </c>
      <c r="X3769">
        <v>-2.7313890000000001</v>
      </c>
      <c r="Y3769">
        <v>51.125</v>
      </c>
      <c r="Z3769" t="s">
        <v>602</v>
      </c>
      <c r="AA3769" t="s">
        <v>91</v>
      </c>
      <c r="AB3769" t="s">
        <v>92</v>
      </c>
      <c r="AC3769" t="s">
        <v>93</v>
      </c>
      <c r="AD3769" t="s">
        <v>691</v>
      </c>
      <c r="AE3769" t="s">
        <v>692</v>
      </c>
      <c r="AH3769" t="s">
        <v>72</v>
      </c>
      <c r="AI3769" t="s">
        <v>3999</v>
      </c>
      <c r="AJ3769">
        <v>2012</v>
      </c>
      <c r="AK3769" t="s">
        <v>3974</v>
      </c>
      <c r="AN3769" t="s">
        <v>192</v>
      </c>
      <c r="AO3769" t="s">
        <v>77</v>
      </c>
      <c r="AP3769" t="s">
        <v>359</v>
      </c>
      <c r="AQ3769" t="s">
        <v>3975</v>
      </c>
      <c r="AR3769" t="s">
        <v>80</v>
      </c>
      <c r="AS3769">
        <v>315</v>
      </c>
      <c r="AT3769" t="s">
        <v>81</v>
      </c>
      <c r="AU3769">
        <v>9.32</v>
      </c>
      <c r="AV3769">
        <v>36.1</v>
      </c>
      <c r="AW3769" t="s">
        <v>82</v>
      </c>
      <c r="AX3769">
        <v>315</v>
      </c>
      <c r="AY3769" t="s">
        <v>81</v>
      </c>
      <c r="AZ3769">
        <v>1.24</v>
      </c>
      <c r="BA3769">
        <v>37.409999999999997</v>
      </c>
      <c r="BB3769" t="s">
        <v>83</v>
      </c>
    </row>
    <row r="3770" spans="1:54" x14ac:dyDescent="0.4">
      <c r="A3770">
        <v>1040456</v>
      </c>
      <c r="D3770" t="s">
        <v>54</v>
      </c>
      <c r="E3770" t="s">
        <v>152</v>
      </c>
      <c r="G3770">
        <v>1</v>
      </c>
      <c r="H3770" t="s">
        <v>84</v>
      </c>
      <c r="I3770" t="s">
        <v>57</v>
      </c>
      <c r="K3770" t="s">
        <v>141</v>
      </c>
      <c r="L3770" t="s">
        <v>4000</v>
      </c>
      <c r="M3770" t="s">
        <v>223</v>
      </c>
      <c r="N3770" t="s">
        <v>2449</v>
      </c>
      <c r="O3770" t="s">
        <v>87</v>
      </c>
      <c r="P3770" t="s">
        <v>687</v>
      </c>
      <c r="R3770" t="s">
        <v>688</v>
      </c>
      <c r="S3770" t="s">
        <v>689</v>
      </c>
      <c r="T3770">
        <v>201.4</v>
      </c>
      <c r="U3770">
        <v>199.5</v>
      </c>
      <c r="V3770">
        <f t="shared" si="116"/>
        <v>200.45</v>
      </c>
      <c r="W3770">
        <f t="shared" si="117"/>
        <v>1.9000000000000057</v>
      </c>
      <c r="X3770">
        <v>-3.3333330000000001</v>
      </c>
      <c r="Y3770">
        <v>51.183334000000002</v>
      </c>
      <c r="Z3770" t="s">
        <v>520</v>
      </c>
      <c r="AA3770" t="s">
        <v>91</v>
      </c>
      <c r="AB3770" t="s">
        <v>92</v>
      </c>
      <c r="AC3770" t="s">
        <v>93</v>
      </c>
      <c r="AD3770" t="s">
        <v>691</v>
      </c>
      <c r="AE3770" t="s">
        <v>692</v>
      </c>
      <c r="AH3770" t="s">
        <v>72</v>
      </c>
      <c r="AI3770" t="s">
        <v>3999</v>
      </c>
      <c r="AJ3770">
        <v>2012</v>
      </c>
      <c r="AK3770" t="s">
        <v>3286</v>
      </c>
      <c r="AN3770" t="s">
        <v>114</v>
      </c>
      <c r="AO3770" t="s">
        <v>160</v>
      </c>
      <c r="AP3770" t="s">
        <v>115</v>
      </c>
      <c r="AQ3770" t="s">
        <v>3287</v>
      </c>
      <c r="AR3770" t="s">
        <v>80</v>
      </c>
      <c r="AS3770">
        <v>315</v>
      </c>
      <c r="AT3770" t="s">
        <v>81</v>
      </c>
      <c r="AU3770">
        <v>8.8699999999999992</v>
      </c>
      <c r="AV3770">
        <v>35.99</v>
      </c>
      <c r="AW3770" t="s">
        <v>82</v>
      </c>
      <c r="AX3770">
        <v>315</v>
      </c>
      <c r="AY3770" t="s">
        <v>81</v>
      </c>
      <c r="AZ3770">
        <v>0.76</v>
      </c>
      <c r="BA3770">
        <v>37.340000000000003</v>
      </c>
      <c r="BB3770" t="s">
        <v>83</v>
      </c>
    </row>
    <row r="3771" spans="1:54" x14ac:dyDescent="0.4">
      <c r="A3771">
        <v>1092070</v>
      </c>
      <c r="D3771" t="s">
        <v>54</v>
      </c>
      <c r="E3771" t="s">
        <v>55</v>
      </c>
      <c r="G3771">
        <v>1</v>
      </c>
      <c r="H3771" t="s">
        <v>84</v>
      </c>
      <c r="I3771" t="s">
        <v>57</v>
      </c>
      <c r="K3771" t="s">
        <v>141</v>
      </c>
      <c r="L3771" t="s">
        <v>4100</v>
      </c>
      <c r="M3771" t="s">
        <v>60</v>
      </c>
      <c r="P3771" t="s">
        <v>687</v>
      </c>
      <c r="R3771" t="s">
        <v>688</v>
      </c>
      <c r="S3771" t="s">
        <v>689</v>
      </c>
      <c r="T3771">
        <v>201.4</v>
      </c>
      <c r="U3771">
        <v>199.5</v>
      </c>
      <c r="V3771">
        <f t="shared" si="116"/>
        <v>200.45</v>
      </c>
      <c r="W3771">
        <f t="shared" si="117"/>
        <v>1.9000000000000057</v>
      </c>
      <c r="X3771">
        <v>102.084496</v>
      </c>
      <c r="Y3771">
        <v>25.168742999999999</v>
      </c>
      <c r="Z3771" t="s">
        <v>124</v>
      </c>
      <c r="AA3771" t="s">
        <v>379</v>
      </c>
      <c r="AB3771" t="s">
        <v>828</v>
      </c>
      <c r="AC3771" t="s">
        <v>829</v>
      </c>
      <c r="AD3771" t="s">
        <v>829</v>
      </c>
      <c r="AF3771" t="s">
        <v>830</v>
      </c>
      <c r="AH3771" t="s">
        <v>72</v>
      </c>
      <c r="AI3771" t="s">
        <v>683</v>
      </c>
      <c r="AJ3771">
        <v>1951</v>
      </c>
      <c r="AK3771" t="s">
        <v>994</v>
      </c>
      <c r="AN3771" t="s">
        <v>192</v>
      </c>
      <c r="AO3771">
        <v>6</v>
      </c>
      <c r="AP3771" t="s">
        <v>78</v>
      </c>
      <c r="AQ3771" t="s">
        <v>995</v>
      </c>
      <c r="AR3771" t="s">
        <v>80</v>
      </c>
      <c r="AS3771">
        <v>611</v>
      </c>
      <c r="AT3771" t="s">
        <v>81</v>
      </c>
      <c r="AU3771">
        <v>120.17</v>
      </c>
      <c r="AV3771">
        <v>37.799999999999997</v>
      </c>
      <c r="AW3771" t="s">
        <v>82</v>
      </c>
      <c r="AX3771">
        <v>611</v>
      </c>
      <c r="AY3771" t="s">
        <v>81</v>
      </c>
      <c r="AZ3771">
        <v>104.63</v>
      </c>
      <c r="BA3771">
        <v>34.36</v>
      </c>
      <c r="BB3771" t="s">
        <v>83</v>
      </c>
    </row>
    <row r="3772" spans="1:54" x14ac:dyDescent="0.4">
      <c r="A3772">
        <v>1092071</v>
      </c>
      <c r="D3772" t="s">
        <v>54</v>
      </c>
      <c r="E3772" t="s">
        <v>55</v>
      </c>
      <c r="G3772">
        <v>1</v>
      </c>
      <c r="H3772" t="s">
        <v>84</v>
      </c>
      <c r="I3772" t="s">
        <v>57</v>
      </c>
      <c r="K3772" t="s">
        <v>141</v>
      </c>
      <c r="L3772" t="s">
        <v>1002</v>
      </c>
      <c r="M3772" t="s">
        <v>60</v>
      </c>
      <c r="N3772" t="s">
        <v>256</v>
      </c>
      <c r="O3772" t="s">
        <v>87</v>
      </c>
      <c r="P3772" t="s">
        <v>687</v>
      </c>
      <c r="R3772" t="s">
        <v>688</v>
      </c>
      <c r="S3772" t="s">
        <v>689</v>
      </c>
      <c r="T3772">
        <v>201.4</v>
      </c>
      <c r="U3772">
        <v>199.5</v>
      </c>
      <c r="V3772">
        <f t="shared" si="116"/>
        <v>200.45</v>
      </c>
      <c r="W3772">
        <f t="shared" si="117"/>
        <v>1.9000000000000057</v>
      </c>
      <c r="X3772">
        <v>102.084496</v>
      </c>
      <c r="Y3772">
        <v>25.168742999999999</v>
      </c>
      <c r="Z3772" t="s">
        <v>124</v>
      </c>
      <c r="AA3772" t="s">
        <v>379</v>
      </c>
      <c r="AB3772" t="s">
        <v>828</v>
      </c>
      <c r="AC3772" t="s">
        <v>829</v>
      </c>
      <c r="AD3772" t="s">
        <v>829</v>
      </c>
      <c r="AF3772" t="s">
        <v>830</v>
      </c>
      <c r="AH3772" t="s">
        <v>72</v>
      </c>
      <c r="AI3772" t="s">
        <v>683</v>
      </c>
      <c r="AJ3772">
        <v>1951</v>
      </c>
      <c r="AK3772" t="s">
        <v>994</v>
      </c>
      <c r="AN3772" t="s">
        <v>192</v>
      </c>
      <c r="AO3772">
        <v>6</v>
      </c>
      <c r="AP3772" t="s">
        <v>78</v>
      </c>
      <c r="AQ3772" t="s">
        <v>995</v>
      </c>
      <c r="AR3772" t="s">
        <v>80</v>
      </c>
      <c r="AS3772">
        <v>611</v>
      </c>
      <c r="AT3772" t="s">
        <v>81</v>
      </c>
      <c r="AU3772">
        <v>120.17</v>
      </c>
      <c r="AV3772">
        <v>37.799999999999997</v>
      </c>
      <c r="AW3772" t="s">
        <v>82</v>
      </c>
      <c r="AX3772">
        <v>611</v>
      </c>
      <c r="AY3772" t="s">
        <v>81</v>
      </c>
      <c r="AZ3772">
        <v>104.63</v>
      </c>
      <c r="BA3772">
        <v>34.36</v>
      </c>
      <c r="BB3772" t="s">
        <v>83</v>
      </c>
    </row>
    <row r="3773" spans="1:54" x14ac:dyDescent="0.4">
      <c r="A3773">
        <v>1092072</v>
      </c>
      <c r="D3773" t="s">
        <v>54</v>
      </c>
      <c r="E3773" t="s">
        <v>55</v>
      </c>
      <c r="G3773">
        <v>1</v>
      </c>
      <c r="H3773" t="s">
        <v>84</v>
      </c>
      <c r="I3773" t="s">
        <v>57</v>
      </c>
      <c r="K3773" t="s">
        <v>141</v>
      </c>
      <c r="L3773" t="s">
        <v>1001</v>
      </c>
      <c r="M3773" t="s">
        <v>60</v>
      </c>
      <c r="O3773" t="s">
        <v>87</v>
      </c>
      <c r="P3773" t="s">
        <v>687</v>
      </c>
      <c r="R3773" t="s">
        <v>688</v>
      </c>
      <c r="S3773" t="s">
        <v>689</v>
      </c>
      <c r="T3773">
        <v>201.4</v>
      </c>
      <c r="U3773">
        <v>199.5</v>
      </c>
      <c r="V3773">
        <f t="shared" si="116"/>
        <v>200.45</v>
      </c>
      <c r="W3773">
        <f t="shared" si="117"/>
        <v>1.9000000000000057</v>
      </c>
      <c r="X3773">
        <v>102.084496</v>
      </c>
      <c r="Y3773">
        <v>25.168742999999999</v>
      </c>
      <c r="Z3773" t="s">
        <v>124</v>
      </c>
      <c r="AA3773" t="s">
        <v>379</v>
      </c>
      <c r="AB3773" t="s">
        <v>828</v>
      </c>
      <c r="AC3773" t="s">
        <v>829</v>
      </c>
      <c r="AD3773" t="s">
        <v>829</v>
      </c>
      <c r="AF3773" t="s">
        <v>830</v>
      </c>
      <c r="AH3773" t="s">
        <v>72</v>
      </c>
      <c r="AI3773" t="s">
        <v>683</v>
      </c>
      <c r="AJ3773">
        <v>1951</v>
      </c>
      <c r="AK3773" t="s">
        <v>994</v>
      </c>
      <c r="AN3773" t="s">
        <v>192</v>
      </c>
      <c r="AO3773">
        <v>6</v>
      </c>
      <c r="AP3773" t="s">
        <v>78</v>
      </c>
      <c r="AQ3773" t="s">
        <v>995</v>
      </c>
      <c r="AR3773" t="s">
        <v>80</v>
      </c>
      <c r="AS3773">
        <v>611</v>
      </c>
      <c r="AT3773" t="s">
        <v>81</v>
      </c>
      <c r="AU3773">
        <v>120.17</v>
      </c>
      <c r="AV3773">
        <v>37.799999999999997</v>
      </c>
      <c r="AW3773" t="s">
        <v>82</v>
      </c>
      <c r="AX3773">
        <v>611</v>
      </c>
      <c r="AY3773" t="s">
        <v>81</v>
      </c>
      <c r="AZ3773">
        <v>104.63</v>
      </c>
      <c r="BA3773">
        <v>34.36</v>
      </c>
      <c r="BB3773" t="s">
        <v>83</v>
      </c>
    </row>
    <row r="3774" spans="1:54" x14ac:dyDescent="0.4">
      <c r="A3774">
        <v>1092073</v>
      </c>
      <c r="D3774" t="s">
        <v>54</v>
      </c>
      <c r="E3774" t="s">
        <v>55</v>
      </c>
      <c r="G3774">
        <v>1</v>
      </c>
      <c r="H3774" t="s">
        <v>56</v>
      </c>
      <c r="I3774" t="s">
        <v>57</v>
      </c>
      <c r="K3774" t="s">
        <v>999</v>
      </c>
      <c r="L3774" t="s">
        <v>1000</v>
      </c>
      <c r="M3774" t="s">
        <v>60</v>
      </c>
      <c r="N3774" t="s">
        <v>119</v>
      </c>
      <c r="O3774" t="s">
        <v>170</v>
      </c>
      <c r="P3774" t="s">
        <v>687</v>
      </c>
      <c r="R3774" t="s">
        <v>688</v>
      </c>
      <c r="S3774" t="s">
        <v>689</v>
      </c>
      <c r="T3774">
        <v>201.4</v>
      </c>
      <c r="U3774">
        <v>199.5</v>
      </c>
      <c r="V3774">
        <f t="shared" si="116"/>
        <v>200.45</v>
      </c>
      <c r="W3774">
        <f t="shared" si="117"/>
        <v>1.9000000000000057</v>
      </c>
      <c r="X3774">
        <v>102.084496</v>
      </c>
      <c r="Y3774">
        <v>25.168742999999999</v>
      </c>
      <c r="Z3774" t="s">
        <v>124</v>
      </c>
      <c r="AA3774" t="s">
        <v>379</v>
      </c>
      <c r="AB3774" t="s">
        <v>828</v>
      </c>
      <c r="AC3774" t="s">
        <v>829</v>
      </c>
      <c r="AD3774" t="s">
        <v>829</v>
      </c>
      <c r="AF3774" t="s">
        <v>830</v>
      </c>
      <c r="AH3774" t="s">
        <v>72</v>
      </c>
      <c r="AI3774" t="s">
        <v>683</v>
      </c>
      <c r="AJ3774">
        <v>1941</v>
      </c>
      <c r="AK3774" t="s">
        <v>994</v>
      </c>
      <c r="AN3774" t="s">
        <v>192</v>
      </c>
      <c r="AO3774">
        <v>6</v>
      </c>
      <c r="AP3774" t="s">
        <v>78</v>
      </c>
      <c r="AQ3774" t="s">
        <v>995</v>
      </c>
      <c r="AR3774" t="s">
        <v>80</v>
      </c>
      <c r="AS3774">
        <v>611</v>
      </c>
      <c r="AT3774" t="s">
        <v>81</v>
      </c>
      <c r="AU3774">
        <v>120.17</v>
      </c>
      <c r="AV3774">
        <v>37.799999999999997</v>
      </c>
      <c r="AW3774" t="s">
        <v>82</v>
      </c>
      <c r="AX3774">
        <v>611</v>
      </c>
      <c r="AY3774" t="s">
        <v>81</v>
      </c>
      <c r="AZ3774">
        <v>104.63</v>
      </c>
      <c r="BA3774">
        <v>34.36</v>
      </c>
      <c r="BB3774" t="s">
        <v>83</v>
      </c>
    </row>
    <row r="3775" spans="1:54" x14ac:dyDescent="0.4">
      <c r="A3775">
        <v>1092073</v>
      </c>
      <c r="D3775" t="s">
        <v>54</v>
      </c>
      <c r="E3775" t="s">
        <v>55</v>
      </c>
      <c r="G3775">
        <v>1</v>
      </c>
      <c r="H3775" t="s">
        <v>56</v>
      </c>
      <c r="I3775" t="s">
        <v>57</v>
      </c>
      <c r="K3775" t="s">
        <v>999</v>
      </c>
      <c r="L3775" t="s">
        <v>1000</v>
      </c>
      <c r="M3775" t="s">
        <v>60</v>
      </c>
      <c r="N3775" t="s">
        <v>119</v>
      </c>
      <c r="O3775" t="s">
        <v>170</v>
      </c>
      <c r="P3775" t="s">
        <v>687</v>
      </c>
      <c r="R3775" t="s">
        <v>688</v>
      </c>
      <c r="S3775" t="s">
        <v>689</v>
      </c>
      <c r="T3775">
        <v>201.4</v>
      </c>
      <c r="U3775">
        <v>199.5</v>
      </c>
      <c r="V3775">
        <f t="shared" si="116"/>
        <v>200.45</v>
      </c>
      <c r="W3775">
        <f t="shared" si="117"/>
        <v>1.9000000000000057</v>
      </c>
      <c r="X3775">
        <v>102.084496</v>
      </c>
      <c r="Y3775">
        <v>25.168742999999999</v>
      </c>
      <c r="Z3775" t="s">
        <v>124</v>
      </c>
      <c r="AA3775" t="s">
        <v>379</v>
      </c>
      <c r="AB3775" t="s">
        <v>828</v>
      </c>
      <c r="AC3775" t="s">
        <v>829</v>
      </c>
      <c r="AD3775" t="s">
        <v>829</v>
      </c>
      <c r="AF3775" t="s">
        <v>830</v>
      </c>
      <c r="AH3775" t="s">
        <v>72</v>
      </c>
      <c r="AI3775" t="s">
        <v>683</v>
      </c>
      <c r="AJ3775">
        <v>1941</v>
      </c>
      <c r="AK3775" t="s">
        <v>994</v>
      </c>
      <c r="AN3775" t="s">
        <v>192</v>
      </c>
      <c r="AO3775">
        <v>6</v>
      </c>
      <c r="AP3775" t="s">
        <v>78</v>
      </c>
      <c r="AQ3775" t="s">
        <v>995</v>
      </c>
      <c r="AR3775" t="s">
        <v>80</v>
      </c>
      <c r="AS3775">
        <v>611</v>
      </c>
      <c r="AT3775" t="s">
        <v>81</v>
      </c>
      <c r="AU3775">
        <v>120.17</v>
      </c>
      <c r="AV3775">
        <v>37.799999999999997</v>
      </c>
      <c r="AW3775" t="s">
        <v>82</v>
      </c>
      <c r="AX3775">
        <v>611</v>
      </c>
      <c r="AY3775" t="s">
        <v>81</v>
      </c>
      <c r="AZ3775">
        <v>104.63</v>
      </c>
      <c r="BA3775">
        <v>34.36</v>
      </c>
      <c r="BB3775" t="s">
        <v>83</v>
      </c>
    </row>
    <row r="3776" spans="1:54" s="3" customFormat="1" ht="14.25" customHeight="1" x14ac:dyDescent="0.4">
      <c r="A3776">
        <v>1092254</v>
      </c>
      <c r="B3776"/>
      <c r="C3776"/>
      <c r="D3776" t="s">
        <v>54</v>
      </c>
      <c r="E3776"/>
      <c r="F3776"/>
      <c r="G3776">
        <v>2</v>
      </c>
      <c r="H3776" t="s">
        <v>84</v>
      </c>
      <c r="I3776" t="s">
        <v>57</v>
      </c>
      <c r="J3776"/>
      <c r="K3776" t="s">
        <v>141</v>
      </c>
      <c r="L3776" t="s">
        <v>4100</v>
      </c>
      <c r="M3776" t="s">
        <v>60</v>
      </c>
      <c r="N3776"/>
      <c r="O3776"/>
      <c r="P3776" t="s">
        <v>687</v>
      </c>
      <c r="Q3776"/>
      <c r="R3776" t="s">
        <v>688</v>
      </c>
      <c r="S3776" t="s">
        <v>689</v>
      </c>
      <c r="T3776">
        <v>201.4</v>
      </c>
      <c r="U3776">
        <v>199.5</v>
      </c>
      <c r="V3776">
        <f t="shared" si="116"/>
        <v>200.45</v>
      </c>
      <c r="W3776">
        <f t="shared" si="117"/>
        <v>1.9000000000000057</v>
      </c>
      <c r="X3776">
        <v>102.090401</v>
      </c>
      <c r="Y3776">
        <v>25.175985000000001</v>
      </c>
      <c r="Z3776" t="s">
        <v>124</v>
      </c>
      <c r="AA3776" t="s">
        <v>379</v>
      </c>
      <c r="AB3776" t="s">
        <v>828</v>
      </c>
      <c r="AC3776" t="s">
        <v>829</v>
      </c>
      <c r="AD3776" t="s">
        <v>829</v>
      </c>
      <c r="AE3776"/>
      <c r="AF3776" t="s">
        <v>830</v>
      </c>
      <c r="AG3776"/>
      <c r="AH3776" t="s">
        <v>72</v>
      </c>
      <c r="AI3776" t="s">
        <v>683</v>
      </c>
      <c r="AJ3776">
        <v>1942</v>
      </c>
      <c r="AK3776" t="s">
        <v>996</v>
      </c>
      <c r="AL3776"/>
      <c r="AM3776" t="s">
        <v>997</v>
      </c>
      <c r="AN3776" t="s">
        <v>192</v>
      </c>
      <c r="AO3776">
        <v>6</v>
      </c>
      <c r="AP3776" t="s">
        <v>78</v>
      </c>
      <c r="AQ3776" t="s">
        <v>998</v>
      </c>
      <c r="AR3776" t="s">
        <v>80</v>
      </c>
      <c r="AS3776">
        <v>611</v>
      </c>
      <c r="AT3776" t="s">
        <v>81</v>
      </c>
      <c r="AU3776">
        <v>120.18</v>
      </c>
      <c r="AV3776">
        <v>37.81</v>
      </c>
      <c r="AW3776" t="s">
        <v>82</v>
      </c>
      <c r="AX3776">
        <v>611</v>
      </c>
      <c r="AY3776" t="s">
        <v>81</v>
      </c>
      <c r="AZ3776">
        <v>104.64</v>
      </c>
      <c r="BA3776">
        <v>34.369999999999997</v>
      </c>
      <c r="BB3776" t="s">
        <v>83</v>
      </c>
    </row>
    <row r="3777" spans="1:54" s="3" customFormat="1" ht="14.25" customHeight="1" x14ac:dyDescent="0.4">
      <c r="A3777">
        <v>1104636</v>
      </c>
      <c r="B3777"/>
      <c r="C3777"/>
      <c r="D3777" t="s">
        <v>54</v>
      </c>
      <c r="E3777" t="s">
        <v>4290</v>
      </c>
      <c r="F3777"/>
      <c r="G3777">
        <v>1</v>
      </c>
      <c r="H3777" t="s">
        <v>84</v>
      </c>
      <c r="I3777" t="s">
        <v>57</v>
      </c>
      <c r="J3777"/>
      <c r="K3777" t="s">
        <v>141</v>
      </c>
      <c r="L3777" t="s">
        <v>4291</v>
      </c>
      <c r="M3777" t="s">
        <v>60</v>
      </c>
      <c r="N3777" t="s">
        <v>326</v>
      </c>
      <c r="O3777" t="s">
        <v>170</v>
      </c>
      <c r="P3777" t="s">
        <v>687</v>
      </c>
      <c r="Q3777"/>
      <c r="R3777" t="s">
        <v>688</v>
      </c>
      <c r="S3777" t="s">
        <v>689</v>
      </c>
      <c r="T3777">
        <v>201.4</v>
      </c>
      <c r="U3777">
        <v>199.5</v>
      </c>
      <c r="V3777">
        <f t="shared" si="116"/>
        <v>200.45</v>
      </c>
      <c r="W3777">
        <f t="shared" si="117"/>
        <v>1.9000000000000057</v>
      </c>
      <c r="X3777">
        <v>-5.69</v>
      </c>
      <c r="Y3777">
        <v>54.798999999999999</v>
      </c>
      <c r="Z3777" t="s">
        <v>520</v>
      </c>
      <c r="AA3777" t="s">
        <v>91</v>
      </c>
      <c r="AB3777" t="s">
        <v>4292</v>
      </c>
      <c r="AC3777" t="s">
        <v>4293</v>
      </c>
      <c r="AD3777" t="s">
        <v>4294</v>
      </c>
      <c r="AE3777" t="s">
        <v>692</v>
      </c>
      <c r="AF3777"/>
      <c r="AG3777"/>
      <c r="AH3777" t="s">
        <v>11</v>
      </c>
      <c r="AI3777" t="s">
        <v>4295</v>
      </c>
      <c r="AJ3777">
        <v>2021</v>
      </c>
      <c r="AK3777" t="s">
        <v>4296</v>
      </c>
      <c r="AL3777"/>
      <c r="AM3777"/>
      <c r="AN3777" t="s">
        <v>76</v>
      </c>
      <c r="AO3777">
        <v>3</v>
      </c>
      <c r="AP3777" t="s">
        <v>78</v>
      </c>
      <c r="AQ3777" t="s">
        <v>4297</v>
      </c>
      <c r="AR3777" t="s">
        <v>80</v>
      </c>
      <c r="AS3777">
        <v>313</v>
      </c>
      <c r="AT3777" t="s">
        <v>81</v>
      </c>
      <c r="AU3777">
        <v>5.09</v>
      </c>
      <c r="AV3777">
        <v>38.270000000000003</v>
      </c>
      <c r="AW3777" t="s">
        <v>82</v>
      </c>
      <c r="AX3777">
        <v>313</v>
      </c>
      <c r="AY3777" t="s">
        <v>81</v>
      </c>
      <c r="AZ3777">
        <v>-3.02</v>
      </c>
      <c r="BA3777">
        <v>40.08</v>
      </c>
      <c r="BB3777" t="s">
        <v>83</v>
      </c>
    </row>
    <row r="3778" spans="1:54" s="3" customFormat="1" ht="14.25" customHeight="1" x14ac:dyDescent="0.4">
      <c r="A3778">
        <v>1108750</v>
      </c>
      <c r="B3778"/>
      <c r="C3778"/>
      <c r="D3778" t="s">
        <v>54</v>
      </c>
      <c r="E3778"/>
      <c r="F3778"/>
      <c r="G3778"/>
      <c r="H3778"/>
      <c r="I3778" t="s">
        <v>57</v>
      </c>
      <c r="J3778"/>
      <c r="K3778" t="s">
        <v>141</v>
      </c>
      <c r="L3778" t="s">
        <v>4325</v>
      </c>
      <c r="M3778" t="s">
        <v>223</v>
      </c>
      <c r="N3778" t="s">
        <v>234</v>
      </c>
      <c r="O3778" t="s">
        <v>87</v>
      </c>
      <c r="P3778" t="s">
        <v>687</v>
      </c>
      <c r="Q3778"/>
      <c r="R3778" t="s">
        <v>688</v>
      </c>
      <c r="S3778" t="s">
        <v>689</v>
      </c>
      <c r="T3778">
        <v>201.4</v>
      </c>
      <c r="U3778">
        <v>199.5</v>
      </c>
      <c r="V3778">
        <f t="shared" si="116"/>
        <v>200.45</v>
      </c>
      <c r="W3778">
        <f t="shared" si="117"/>
        <v>1.9000000000000057</v>
      </c>
      <c r="X3778">
        <v>-3.35</v>
      </c>
      <c r="Y3778">
        <v>51.116669000000002</v>
      </c>
      <c r="Z3778" t="s">
        <v>602</v>
      </c>
      <c r="AA3778" t="s">
        <v>91</v>
      </c>
      <c r="AB3778"/>
      <c r="AC3778" t="s">
        <v>93</v>
      </c>
      <c r="AD3778"/>
      <c r="AE3778"/>
      <c r="AF3778"/>
      <c r="AG3778"/>
      <c r="AH3778" t="s">
        <v>72</v>
      </c>
      <c r="AI3778" t="s">
        <v>4326</v>
      </c>
      <c r="AJ3778">
        <v>1974</v>
      </c>
      <c r="AK3778" t="s">
        <v>4327</v>
      </c>
      <c r="AL3778"/>
      <c r="AM3778"/>
      <c r="AN3778" t="s">
        <v>192</v>
      </c>
      <c r="AO3778" t="s">
        <v>160</v>
      </c>
      <c r="AP3778" t="s">
        <v>78</v>
      </c>
      <c r="AQ3778" t="s">
        <v>4328</v>
      </c>
      <c r="AR3778" t="s">
        <v>80</v>
      </c>
      <c r="AS3778">
        <v>315</v>
      </c>
      <c r="AT3778" t="s">
        <v>81</v>
      </c>
      <c r="AU3778">
        <v>8.89</v>
      </c>
      <c r="AV3778">
        <v>35.93</v>
      </c>
      <c r="AW3778" t="s">
        <v>82</v>
      </c>
      <c r="AX3778">
        <v>315</v>
      </c>
      <c r="AY3778" t="s">
        <v>81</v>
      </c>
      <c r="AZ3778">
        <v>0.78</v>
      </c>
      <c r="BA3778">
        <v>37.270000000000003</v>
      </c>
      <c r="BB3778" t="s">
        <v>83</v>
      </c>
    </row>
    <row r="3779" spans="1:54" s="3" customFormat="1" ht="14.25" customHeight="1" x14ac:dyDescent="0.4">
      <c r="A3779">
        <v>1108753</v>
      </c>
      <c r="B3779"/>
      <c r="C3779"/>
      <c r="D3779" t="s">
        <v>54</v>
      </c>
      <c r="E3779"/>
      <c r="F3779"/>
      <c r="G3779"/>
      <c r="H3779"/>
      <c r="I3779" t="s">
        <v>57</v>
      </c>
      <c r="J3779"/>
      <c r="K3779" t="s">
        <v>141</v>
      </c>
      <c r="L3779" t="s">
        <v>4329</v>
      </c>
      <c r="M3779" t="s">
        <v>223</v>
      </c>
      <c r="N3779" t="s">
        <v>234</v>
      </c>
      <c r="O3779" t="s">
        <v>87</v>
      </c>
      <c r="P3779" t="s">
        <v>687</v>
      </c>
      <c r="Q3779"/>
      <c r="R3779" t="s">
        <v>688</v>
      </c>
      <c r="S3779" t="s">
        <v>689</v>
      </c>
      <c r="T3779">
        <v>201.4</v>
      </c>
      <c r="U3779">
        <v>199.5</v>
      </c>
      <c r="V3779">
        <f t="shared" ref="V3779:V3842" si="118">(T3779+U3779)/2</f>
        <v>200.45</v>
      </c>
      <c r="W3779">
        <f t="shared" ref="W3779:W3842" si="119">T3779-U3779</f>
        <v>1.9000000000000057</v>
      </c>
      <c r="X3779">
        <v>-3.35</v>
      </c>
      <c r="Y3779">
        <v>51.116669000000002</v>
      </c>
      <c r="Z3779" t="s">
        <v>602</v>
      </c>
      <c r="AA3779" t="s">
        <v>91</v>
      </c>
      <c r="AB3779"/>
      <c r="AC3779" t="s">
        <v>93</v>
      </c>
      <c r="AD3779"/>
      <c r="AE3779"/>
      <c r="AF3779"/>
      <c r="AG3779"/>
      <c r="AH3779" t="s">
        <v>72</v>
      </c>
      <c r="AI3779" t="s">
        <v>4330</v>
      </c>
      <c r="AJ3779">
        <v>2012</v>
      </c>
      <c r="AK3779" t="s">
        <v>4327</v>
      </c>
      <c r="AL3779"/>
      <c r="AM3779"/>
      <c r="AN3779" t="s">
        <v>192</v>
      </c>
      <c r="AO3779" t="s">
        <v>160</v>
      </c>
      <c r="AP3779" t="s">
        <v>78</v>
      </c>
      <c r="AQ3779" t="s">
        <v>4328</v>
      </c>
      <c r="AR3779" t="s">
        <v>80</v>
      </c>
      <c r="AS3779">
        <v>315</v>
      </c>
      <c r="AT3779" t="s">
        <v>81</v>
      </c>
      <c r="AU3779">
        <v>8.89</v>
      </c>
      <c r="AV3779">
        <v>35.93</v>
      </c>
      <c r="AW3779" t="s">
        <v>82</v>
      </c>
      <c r="AX3779">
        <v>315</v>
      </c>
      <c r="AY3779" t="s">
        <v>81</v>
      </c>
      <c r="AZ3779">
        <v>0.78</v>
      </c>
      <c r="BA3779">
        <v>37.270000000000003</v>
      </c>
      <c r="BB3779" t="s">
        <v>83</v>
      </c>
    </row>
    <row r="3780" spans="1:54" s="3" customFormat="1" ht="14.25" customHeight="1" x14ac:dyDescent="0.4">
      <c r="A3780">
        <v>1125626</v>
      </c>
      <c r="B3780"/>
      <c r="C3780"/>
      <c r="D3780" t="s">
        <v>4338</v>
      </c>
      <c r="E3780"/>
      <c r="F3780"/>
      <c r="G3780"/>
      <c r="H3780"/>
      <c r="I3780" t="s">
        <v>57</v>
      </c>
      <c r="J3780"/>
      <c r="K3780" t="s">
        <v>537</v>
      </c>
      <c r="L3780" t="s">
        <v>538</v>
      </c>
      <c r="M3780" t="s">
        <v>223</v>
      </c>
      <c r="N3780" t="s">
        <v>234</v>
      </c>
      <c r="O3780" t="s">
        <v>87</v>
      </c>
      <c r="P3780" t="s">
        <v>687</v>
      </c>
      <c r="Q3780"/>
      <c r="R3780" t="s">
        <v>688</v>
      </c>
      <c r="S3780" t="s">
        <v>689</v>
      </c>
      <c r="T3780">
        <v>201.4</v>
      </c>
      <c r="U3780">
        <v>199.5</v>
      </c>
      <c r="V3780">
        <f t="shared" si="118"/>
        <v>200.45</v>
      </c>
      <c r="W3780">
        <f t="shared" si="119"/>
        <v>1.9000000000000057</v>
      </c>
      <c r="X3780">
        <v>-1.86</v>
      </c>
      <c r="Y3780">
        <v>52.360000999999997</v>
      </c>
      <c r="Z3780" t="s">
        <v>1890</v>
      </c>
      <c r="AA3780" t="s">
        <v>91</v>
      </c>
      <c r="AB3780" t="s">
        <v>92</v>
      </c>
      <c r="AC3780" t="s">
        <v>690</v>
      </c>
      <c r="AD3780" t="s">
        <v>691</v>
      </c>
      <c r="AE3780" t="s">
        <v>692</v>
      </c>
      <c r="AF3780" t="s">
        <v>4339</v>
      </c>
      <c r="AG3780"/>
      <c r="AH3780" t="s">
        <v>72</v>
      </c>
      <c r="AI3780" t="s">
        <v>4340</v>
      </c>
      <c r="AJ3780">
        <v>2007</v>
      </c>
      <c r="AK3780" t="s">
        <v>4341</v>
      </c>
      <c r="AL3780"/>
      <c r="AM3780" t="s">
        <v>4342</v>
      </c>
      <c r="AN3780" t="s">
        <v>114</v>
      </c>
      <c r="AO3780">
        <v>2</v>
      </c>
      <c r="AP3780" t="s">
        <v>115</v>
      </c>
      <c r="AQ3780"/>
      <c r="AR3780" t="s">
        <v>80</v>
      </c>
      <c r="AS3780">
        <v>315</v>
      </c>
      <c r="AT3780" t="s">
        <v>81</v>
      </c>
      <c r="AU3780">
        <v>9.02</v>
      </c>
      <c r="AV3780">
        <v>37.07</v>
      </c>
      <c r="AW3780" t="s">
        <v>82</v>
      </c>
      <c r="AX3780">
        <v>315</v>
      </c>
      <c r="AY3780" t="s">
        <v>81</v>
      </c>
      <c r="AZ3780">
        <v>0.85</v>
      </c>
      <c r="BA3780">
        <v>38.619999999999997</v>
      </c>
      <c r="BB3780" t="s">
        <v>83</v>
      </c>
    </row>
    <row r="3781" spans="1:54" s="3" customFormat="1" ht="14.25" customHeight="1" x14ac:dyDescent="0.4">
      <c r="A3781">
        <v>1125628</v>
      </c>
      <c r="B3781"/>
      <c r="C3781"/>
      <c r="D3781" t="s">
        <v>4338</v>
      </c>
      <c r="E3781"/>
      <c r="F3781"/>
      <c r="G3781"/>
      <c r="H3781"/>
      <c r="I3781" t="s">
        <v>57</v>
      </c>
      <c r="J3781"/>
      <c r="K3781" t="s">
        <v>537</v>
      </c>
      <c r="L3781" t="s">
        <v>538</v>
      </c>
      <c r="M3781" t="s">
        <v>223</v>
      </c>
      <c r="N3781" t="s">
        <v>234</v>
      </c>
      <c r="O3781" t="s">
        <v>87</v>
      </c>
      <c r="P3781" t="s">
        <v>687</v>
      </c>
      <c r="Q3781"/>
      <c r="R3781" t="s">
        <v>688</v>
      </c>
      <c r="S3781" t="s">
        <v>689</v>
      </c>
      <c r="T3781">
        <v>201.4</v>
      </c>
      <c r="U3781">
        <v>199.5</v>
      </c>
      <c r="V3781">
        <f t="shared" si="118"/>
        <v>200.45</v>
      </c>
      <c r="W3781">
        <f t="shared" si="119"/>
        <v>1.9000000000000057</v>
      </c>
      <c r="X3781">
        <v>-1.86</v>
      </c>
      <c r="Y3781">
        <v>52.360000999999997</v>
      </c>
      <c r="Z3781" t="s">
        <v>1890</v>
      </c>
      <c r="AA3781" t="s">
        <v>91</v>
      </c>
      <c r="AB3781" t="s">
        <v>92</v>
      </c>
      <c r="AC3781" t="s">
        <v>690</v>
      </c>
      <c r="AD3781" t="s">
        <v>691</v>
      </c>
      <c r="AE3781" t="s">
        <v>692</v>
      </c>
      <c r="AF3781" t="s">
        <v>4339</v>
      </c>
      <c r="AG3781"/>
      <c r="AH3781" t="s">
        <v>11</v>
      </c>
      <c r="AI3781" t="s">
        <v>4340</v>
      </c>
      <c r="AJ3781">
        <v>2007</v>
      </c>
      <c r="AK3781" t="s">
        <v>4341</v>
      </c>
      <c r="AL3781"/>
      <c r="AM3781" t="s">
        <v>4342</v>
      </c>
      <c r="AN3781" t="s">
        <v>114</v>
      </c>
      <c r="AO3781">
        <v>2</v>
      </c>
      <c r="AP3781" t="s">
        <v>115</v>
      </c>
      <c r="AQ3781"/>
      <c r="AR3781" t="s">
        <v>80</v>
      </c>
      <c r="AS3781">
        <v>315</v>
      </c>
      <c r="AT3781" t="s">
        <v>81</v>
      </c>
      <c r="AU3781">
        <v>9.02</v>
      </c>
      <c r="AV3781">
        <v>37.07</v>
      </c>
      <c r="AW3781" t="s">
        <v>82</v>
      </c>
      <c r="AX3781">
        <v>315</v>
      </c>
      <c r="AY3781" t="s">
        <v>81</v>
      </c>
      <c r="AZ3781">
        <v>0.85</v>
      </c>
      <c r="BA3781">
        <v>38.619999999999997</v>
      </c>
      <c r="BB3781" t="s">
        <v>83</v>
      </c>
    </row>
    <row r="3782" spans="1:54" s="3" customFormat="1" ht="14.25" customHeight="1" x14ac:dyDescent="0.4">
      <c r="A3782">
        <v>1125629</v>
      </c>
      <c r="B3782"/>
      <c r="C3782"/>
      <c r="D3782" t="s">
        <v>4338</v>
      </c>
      <c r="E3782"/>
      <c r="F3782"/>
      <c r="G3782"/>
      <c r="H3782"/>
      <c r="I3782" t="s">
        <v>57</v>
      </c>
      <c r="J3782"/>
      <c r="K3782" t="s">
        <v>141</v>
      </c>
      <c r="L3782" t="s">
        <v>4329</v>
      </c>
      <c r="M3782" t="s">
        <v>223</v>
      </c>
      <c r="N3782" t="s">
        <v>234</v>
      </c>
      <c r="O3782" t="s">
        <v>87</v>
      </c>
      <c r="P3782" t="s">
        <v>687</v>
      </c>
      <c r="Q3782"/>
      <c r="R3782" t="s">
        <v>688</v>
      </c>
      <c r="S3782" t="s">
        <v>689</v>
      </c>
      <c r="T3782">
        <v>201.4</v>
      </c>
      <c r="U3782">
        <v>199.5</v>
      </c>
      <c r="V3782">
        <f t="shared" si="118"/>
        <v>200.45</v>
      </c>
      <c r="W3782">
        <f t="shared" si="119"/>
        <v>1.9000000000000057</v>
      </c>
      <c r="X3782">
        <v>-1.86</v>
      </c>
      <c r="Y3782">
        <v>52.360000999999997</v>
      </c>
      <c r="Z3782" t="s">
        <v>1890</v>
      </c>
      <c r="AA3782" t="s">
        <v>91</v>
      </c>
      <c r="AB3782" t="s">
        <v>92</v>
      </c>
      <c r="AC3782" t="s">
        <v>690</v>
      </c>
      <c r="AD3782" t="s">
        <v>691</v>
      </c>
      <c r="AE3782" t="s">
        <v>692</v>
      </c>
      <c r="AF3782" t="s">
        <v>4339</v>
      </c>
      <c r="AG3782"/>
      <c r="AH3782" t="s">
        <v>72</v>
      </c>
      <c r="AI3782" t="s">
        <v>4340</v>
      </c>
      <c r="AJ3782">
        <v>2007</v>
      </c>
      <c r="AK3782" t="s">
        <v>4341</v>
      </c>
      <c r="AL3782"/>
      <c r="AM3782" t="s">
        <v>4342</v>
      </c>
      <c r="AN3782" t="s">
        <v>114</v>
      </c>
      <c r="AO3782">
        <v>2</v>
      </c>
      <c r="AP3782" t="s">
        <v>115</v>
      </c>
      <c r="AQ3782"/>
      <c r="AR3782" t="s">
        <v>80</v>
      </c>
      <c r="AS3782">
        <v>315</v>
      </c>
      <c r="AT3782" t="s">
        <v>81</v>
      </c>
      <c r="AU3782">
        <v>9.02</v>
      </c>
      <c r="AV3782">
        <v>37.07</v>
      </c>
      <c r="AW3782" t="s">
        <v>82</v>
      </c>
      <c r="AX3782">
        <v>315</v>
      </c>
      <c r="AY3782" t="s">
        <v>81</v>
      </c>
      <c r="AZ3782">
        <v>0.85</v>
      </c>
      <c r="BA3782">
        <v>38.619999999999997</v>
      </c>
      <c r="BB3782" t="s">
        <v>83</v>
      </c>
    </row>
    <row r="3783" spans="1:54" s="3" customFormat="1" ht="14.25" customHeight="1" x14ac:dyDescent="0.4">
      <c r="A3783">
        <v>1162052</v>
      </c>
      <c r="B3783"/>
      <c r="C3783"/>
      <c r="D3783" t="s">
        <v>4435</v>
      </c>
      <c r="E3783"/>
      <c r="F3783"/>
      <c r="G3783">
        <v>1</v>
      </c>
      <c r="H3783" t="s">
        <v>84</v>
      </c>
      <c r="I3783" t="s">
        <v>57</v>
      </c>
      <c r="J3783"/>
      <c r="K3783" t="s">
        <v>537</v>
      </c>
      <c r="L3783" t="s">
        <v>538</v>
      </c>
      <c r="M3783" t="s">
        <v>223</v>
      </c>
      <c r="N3783" t="s">
        <v>234</v>
      </c>
      <c r="O3783" t="s">
        <v>87</v>
      </c>
      <c r="P3783" t="s">
        <v>687</v>
      </c>
      <c r="Q3783"/>
      <c r="R3783" t="s">
        <v>688</v>
      </c>
      <c r="S3783" t="s">
        <v>689</v>
      </c>
      <c r="T3783">
        <v>201.4</v>
      </c>
      <c r="U3783">
        <v>199.5</v>
      </c>
      <c r="V3783">
        <f t="shared" si="118"/>
        <v>200.45</v>
      </c>
      <c r="W3783">
        <f t="shared" si="119"/>
        <v>1.9000000000000057</v>
      </c>
      <c r="X3783">
        <v>-2.15</v>
      </c>
      <c r="Y3783">
        <v>52.029998999999997</v>
      </c>
      <c r="Z3783" t="s">
        <v>1004</v>
      </c>
      <c r="AA3783" t="s">
        <v>91</v>
      </c>
      <c r="AB3783" t="s">
        <v>92</v>
      </c>
      <c r="AC3783"/>
      <c r="AD3783" t="s">
        <v>691</v>
      </c>
      <c r="AE3783" t="s">
        <v>692</v>
      </c>
      <c r="AF3783"/>
      <c r="AG3783"/>
      <c r="AH3783" t="s">
        <v>72</v>
      </c>
      <c r="AI3783" t="s">
        <v>3174</v>
      </c>
      <c r="AJ3783">
        <v>1860</v>
      </c>
      <c r="AK3783" t="s">
        <v>4436</v>
      </c>
      <c r="AL3783"/>
      <c r="AM3783"/>
      <c r="AN3783" t="s">
        <v>114</v>
      </c>
      <c r="AO3783">
        <v>2</v>
      </c>
      <c r="AP3783" t="s">
        <v>115</v>
      </c>
      <c r="AQ3783" t="s">
        <v>4437</v>
      </c>
      <c r="AR3783" t="s">
        <v>80</v>
      </c>
      <c r="AS3783">
        <v>315</v>
      </c>
      <c r="AT3783" t="s">
        <v>81</v>
      </c>
      <c r="AU3783">
        <v>9.01</v>
      </c>
      <c r="AV3783">
        <v>36.700000000000003</v>
      </c>
      <c r="AW3783" t="s">
        <v>82</v>
      </c>
      <c r="AX3783">
        <v>315</v>
      </c>
      <c r="AY3783" t="s">
        <v>81</v>
      </c>
      <c r="AZ3783">
        <v>0.79</v>
      </c>
      <c r="BA3783">
        <v>38.24</v>
      </c>
      <c r="BB3783" t="s">
        <v>83</v>
      </c>
    </row>
    <row r="3784" spans="1:54" s="3" customFormat="1" ht="14.25" customHeight="1" x14ac:dyDescent="0.4">
      <c r="A3784">
        <v>1162053</v>
      </c>
      <c r="B3784"/>
      <c r="C3784"/>
      <c r="D3784" t="s">
        <v>4435</v>
      </c>
      <c r="E3784"/>
      <c r="F3784"/>
      <c r="G3784">
        <v>1</v>
      </c>
      <c r="H3784" t="s">
        <v>84</v>
      </c>
      <c r="I3784" t="s">
        <v>57</v>
      </c>
      <c r="J3784"/>
      <c r="K3784" t="s">
        <v>537</v>
      </c>
      <c r="L3784" t="s">
        <v>538</v>
      </c>
      <c r="M3784" t="s">
        <v>223</v>
      </c>
      <c r="N3784" t="s">
        <v>234</v>
      </c>
      <c r="O3784" t="s">
        <v>87</v>
      </c>
      <c r="P3784" t="s">
        <v>687</v>
      </c>
      <c r="Q3784"/>
      <c r="R3784" t="s">
        <v>688</v>
      </c>
      <c r="S3784" t="s">
        <v>689</v>
      </c>
      <c r="T3784">
        <v>201.4</v>
      </c>
      <c r="U3784">
        <v>199.5</v>
      </c>
      <c r="V3784">
        <f t="shared" si="118"/>
        <v>200.45</v>
      </c>
      <c r="W3784">
        <f t="shared" si="119"/>
        <v>1.9000000000000057</v>
      </c>
      <c r="X3784">
        <v>-2.15</v>
      </c>
      <c r="Y3784">
        <v>52.029998999999997</v>
      </c>
      <c r="Z3784" t="s">
        <v>1004</v>
      </c>
      <c r="AA3784" t="s">
        <v>91</v>
      </c>
      <c r="AB3784" t="s">
        <v>92</v>
      </c>
      <c r="AC3784"/>
      <c r="AD3784" t="s">
        <v>691</v>
      </c>
      <c r="AE3784" t="s">
        <v>692</v>
      </c>
      <c r="AF3784"/>
      <c r="AG3784"/>
      <c r="AH3784" t="s">
        <v>72</v>
      </c>
      <c r="AI3784" t="s">
        <v>3174</v>
      </c>
      <c r="AJ3784">
        <v>1860</v>
      </c>
      <c r="AK3784" t="s">
        <v>4436</v>
      </c>
      <c r="AL3784"/>
      <c r="AM3784"/>
      <c r="AN3784" t="s">
        <v>114</v>
      </c>
      <c r="AO3784">
        <v>2</v>
      </c>
      <c r="AP3784" t="s">
        <v>115</v>
      </c>
      <c r="AQ3784" t="s">
        <v>4437</v>
      </c>
      <c r="AR3784" t="s">
        <v>80</v>
      </c>
      <c r="AS3784">
        <v>315</v>
      </c>
      <c r="AT3784" t="s">
        <v>81</v>
      </c>
      <c r="AU3784">
        <v>9.01</v>
      </c>
      <c r="AV3784">
        <v>36.700000000000003</v>
      </c>
      <c r="AW3784" t="s">
        <v>82</v>
      </c>
      <c r="AX3784">
        <v>315</v>
      </c>
      <c r="AY3784" t="s">
        <v>81</v>
      </c>
      <c r="AZ3784">
        <v>0.79</v>
      </c>
      <c r="BA3784">
        <v>38.24</v>
      </c>
      <c r="BB3784" t="s">
        <v>83</v>
      </c>
    </row>
    <row r="3785" spans="1:54" s="3" customFormat="1" ht="14.25" customHeight="1" x14ac:dyDescent="0.4">
      <c r="A3785">
        <v>1162057</v>
      </c>
      <c r="B3785"/>
      <c r="C3785"/>
      <c r="D3785" t="s">
        <v>4435</v>
      </c>
      <c r="E3785"/>
      <c r="F3785"/>
      <c r="G3785"/>
      <c r="H3785"/>
      <c r="I3785" t="s">
        <v>57</v>
      </c>
      <c r="J3785"/>
      <c r="K3785" t="s">
        <v>537</v>
      </c>
      <c r="L3785" t="s">
        <v>538</v>
      </c>
      <c r="M3785" t="s">
        <v>223</v>
      </c>
      <c r="N3785" t="s">
        <v>234</v>
      </c>
      <c r="O3785" t="s">
        <v>87</v>
      </c>
      <c r="P3785" t="s">
        <v>687</v>
      </c>
      <c r="Q3785"/>
      <c r="R3785" t="s">
        <v>688</v>
      </c>
      <c r="S3785" t="s">
        <v>689</v>
      </c>
      <c r="T3785">
        <v>201.4</v>
      </c>
      <c r="U3785">
        <v>199.5</v>
      </c>
      <c r="V3785">
        <f t="shared" si="118"/>
        <v>200.45</v>
      </c>
      <c r="W3785">
        <f t="shared" si="119"/>
        <v>1.9000000000000057</v>
      </c>
      <c r="X3785">
        <v>-2.15</v>
      </c>
      <c r="Y3785">
        <v>52.029998999999997</v>
      </c>
      <c r="Z3785" t="s">
        <v>1004</v>
      </c>
      <c r="AA3785" t="s">
        <v>91</v>
      </c>
      <c r="AB3785" t="s">
        <v>92</v>
      </c>
      <c r="AC3785"/>
      <c r="AD3785" t="s">
        <v>691</v>
      </c>
      <c r="AE3785" t="s">
        <v>692</v>
      </c>
      <c r="AF3785"/>
      <c r="AG3785"/>
      <c r="AH3785" t="s">
        <v>72</v>
      </c>
      <c r="AI3785" t="s">
        <v>3174</v>
      </c>
      <c r="AJ3785">
        <v>1860</v>
      </c>
      <c r="AK3785" t="s">
        <v>4436</v>
      </c>
      <c r="AL3785"/>
      <c r="AM3785"/>
      <c r="AN3785" t="s">
        <v>114</v>
      </c>
      <c r="AO3785">
        <v>2</v>
      </c>
      <c r="AP3785" t="s">
        <v>115</v>
      </c>
      <c r="AQ3785" t="s">
        <v>4437</v>
      </c>
      <c r="AR3785" t="s">
        <v>80</v>
      </c>
      <c r="AS3785">
        <v>315</v>
      </c>
      <c r="AT3785" t="s">
        <v>81</v>
      </c>
      <c r="AU3785">
        <v>9.01</v>
      </c>
      <c r="AV3785">
        <v>36.700000000000003</v>
      </c>
      <c r="AW3785" t="s">
        <v>82</v>
      </c>
      <c r="AX3785">
        <v>315</v>
      </c>
      <c r="AY3785" t="s">
        <v>81</v>
      </c>
      <c r="AZ3785">
        <v>0.79</v>
      </c>
      <c r="BA3785">
        <v>38.24</v>
      </c>
      <c r="BB3785" t="s">
        <v>83</v>
      </c>
    </row>
    <row r="3786" spans="1:54" s="3" customFormat="1" ht="14.25" customHeight="1" x14ac:dyDescent="0.4">
      <c r="A3786">
        <v>1162058</v>
      </c>
      <c r="B3786"/>
      <c r="C3786"/>
      <c r="D3786" t="s">
        <v>4435</v>
      </c>
      <c r="E3786"/>
      <c r="F3786"/>
      <c r="G3786"/>
      <c r="H3786"/>
      <c r="I3786" t="s">
        <v>57</v>
      </c>
      <c r="J3786"/>
      <c r="K3786" t="s">
        <v>4438</v>
      </c>
      <c r="L3786" t="s">
        <v>4439</v>
      </c>
      <c r="M3786" t="s">
        <v>223</v>
      </c>
      <c r="N3786" t="s">
        <v>234</v>
      </c>
      <c r="O3786" t="s">
        <v>87</v>
      </c>
      <c r="P3786" t="s">
        <v>687</v>
      </c>
      <c r="Q3786"/>
      <c r="R3786" t="s">
        <v>688</v>
      </c>
      <c r="S3786" t="s">
        <v>689</v>
      </c>
      <c r="T3786">
        <v>201.4</v>
      </c>
      <c r="U3786">
        <v>199.5</v>
      </c>
      <c r="V3786">
        <f t="shared" si="118"/>
        <v>200.45</v>
      </c>
      <c r="W3786">
        <f t="shared" si="119"/>
        <v>1.9000000000000057</v>
      </c>
      <c r="X3786">
        <v>-2.15</v>
      </c>
      <c r="Y3786">
        <v>52.029998999999997</v>
      </c>
      <c r="Z3786" t="s">
        <v>1004</v>
      </c>
      <c r="AA3786" t="s">
        <v>91</v>
      </c>
      <c r="AB3786" t="s">
        <v>92</v>
      </c>
      <c r="AC3786"/>
      <c r="AD3786" t="s">
        <v>691</v>
      </c>
      <c r="AE3786" t="s">
        <v>692</v>
      </c>
      <c r="AF3786"/>
      <c r="AG3786"/>
      <c r="AH3786" t="s">
        <v>72</v>
      </c>
      <c r="AI3786" t="s">
        <v>3174</v>
      </c>
      <c r="AJ3786">
        <v>1860</v>
      </c>
      <c r="AK3786" t="s">
        <v>4436</v>
      </c>
      <c r="AL3786"/>
      <c r="AM3786"/>
      <c r="AN3786" t="s">
        <v>114</v>
      </c>
      <c r="AO3786">
        <v>2</v>
      </c>
      <c r="AP3786" t="s">
        <v>115</v>
      </c>
      <c r="AQ3786" t="s">
        <v>4437</v>
      </c>
      <c r="AR3786" t="s">
        <v>80</v>
      </c>
      <c r="AS3786">
        <v>315</v>
      </c>
      <c r="AT3786" t="s">
        <v>81</v>
      </c>
      <c r="AU3786">
        <v>9.01</v>
      </c>
      <c r="AV3786">
        <v>36.700000000000003</v>
      </c>
      <c r="AW3786" t="s">
        <v>82</v>
      </c>
      <c r="AX3786">
        <v>315</v>
      </c>
      <c r="AY3786" t="s">
        <v>81</v>
      </c>
      <c r="AZ3786">
        <v>0.79</v>
      </c>
      <c r="BA3786">
        <v>38.24</v>
      </c>
      <c r="BB3786" t="s">
        <v>83</v>
      </c>
    </row>
    <row r="3787" spans="1:54" s="3" customFormat="1" ht="14.25" customHeight="1" x14ac:dyDescent="0.4">
      <c r="A3787">
        <v>1162059</v>
      </c>
      <c r="B3787"/>
      <c r="C3787"/>
      <c r="D3787" t="s">
        <v>4435</v>
      </c>
      <c r="E3787"/>
      <c r="F3787"/>
      <c r="G3787">
        <v>1</v>
      </c>
      <c r="H3787" t="s">
        <v>84</v>
      </c>
      <c r="I3787" t="s">
        <v>57</v>
      </c>
      <c r="J3787"/>
      <c r="K3787" t="s">
        <v>3171</v>
      </c>
      <c r="L3787" t="s">
        <v>3172</v>
      </c>
      <c r="M3787" t="s">
        <v>223</v>
      </c>
      <c r="N3787" t="s">
        <v>234</v>
      </c>
      <c r="O3787" t="s">
        <v>87</v>
      </c>
      <c r="P3787" t="s">
        <v>687</v>
      </c>
      <c r="Q3787"/>
      <c r="R3787" t="s">
        <v>688</v>
      </c>
      <c r="S3787" t="s">
        <v>689</v>
      </c>
      <c r="T3787">
        <v>201.4</v>
      </c>
      <c r="U3787">
        <v>199.5</v>
      </c>
      <c r="V3787">
        <f t="shared" si="118"/>
        <v>200.45</v>
      </c>
      <c r="W3787">
        <f t="shared" si="119"/>
        <v>1.9000000000000057</v>
      </c>
      <c r="X3787">
        <v>-2.15</v>
      </c>
      <c r="Y3787">
        <v>52.029998999999997</v>
      </c>
      <c r="Z3787" t="s">
        <v>1004</v>
      </c>
      <c r="AA3787" t="s">
        <v>91</v>
      </c>
      <c r="AB3787" t="s">
        <v>92</v>
      </c>
      <c r="AC3787"/>
      <c r="AD3787" t="s">
        <v>691</v>
      </c>
      <c r="AE3787" t="s">
        <v>692</v>
      </c>
      <c r="AF3787"/>
      <c r="AG3787"/>
      <c r="AH3787" t="s">
        <v>72</v>
      </c>
      <c r="AI3787" t="s">
        <v>3174</v>
      </c>
      <c r="AJ3787">
        <v>1860</v>
      </c>
      <c r="AK3787" t="s">
        <v>4436</v>
      </c>
      <c r="AL3787"/>
      <c r="AM3787"/>
      <c r="AN3787" t="s">
        <v>114</v>
      </c>
      <c r="AO3787">
        <v>2</v>
      </c>
      <c r="AP3787" t="s">
        <v>115</v>
      </c>
      <c r="AQ3787" t="s">
        <v>4437</v>
      </c>
      <c r="AR3787" t="s">
        <v>80</v>
      </c>
      <c r="AS3787">
        <v>315</v>
      </c>
      <c r="AT3787" t="s">
        <v>81</v>
      </c>
      <c r="AU3787">
        <v>9.01</v>
      </c>
      <c r="AV3787">
        <v>36.700000000000003</v>
      </c>
      <c r="AW3787" t="s">
        <v>82</v>
      </c>
      <c r="AX3787">
        <v>315</v>
      </c>
      <c r="AY3787" t="s">
        <v>81</v>
      </c>
      <c r="AZ3787">
        <v>0.79</v>
      </c>
      <c r="BA3787">
        <v>38.24</v>
      </c>
      <c r="BB3787" t="s">
        <v>83</v>
      </c>
    </row>
    <row r="3788" spans="1:54" s="3" customFormat="1" ht="14.25" customHeight="1" x14ac:dyDescent="0.4">
      <c r="A3788">
        <v>1162070</v>
      </c>
      <c r="B3788"/>
      <c r="C3788"/>
      <c r="D3788" t="s">
        <v>2134</v>
      </c>
      <c r="E3788"/>
      <c r="F3788"/>
      <c r="G3788"/>
      <c r="H3788"/>
      <c r="I3788" t="s">
        <v>57</v>
      </c>
      <c r="J3788"/>
      <c r="K3788" t="s">
        <v>537</v>
      </c>
      <c r="L3788" t="s">
        <v>538</v>
      </c>
      <c r="M3788" t="s">
        <v>223</v>
      </c>
      <c r="N3788" t="s">
        <v>234</v>
      </c>
      <c r="O3788" t="s">
        <v>87</v>
      </c>
      <c r="P3788" t="s">
        <v>687</v>
      </c>
      <c r="Q3788"/>
      <c r="R3788" t="s">
        <v>688</v>
      </c>
      <c r="S3788" t="s">
        <v>689</v>
      </c>
      <c r="T3788">
        <v>201.4</v>
      </c>
      <c r="U3788">
        <v>199.5</v>
      </c>
      <c r="V3788">
        <f t="shared" si="118"/>
        <v>200.45</v>
      </c>
      <c r="W3788">
        <f t="shared" si="119"/>
        <v>1.9000000000000057</v>
      </c>
      <c r="X3788">
        <v>-1.7949999999999999</v>
      </c>
      <c r="Y3788">
        <v>52.185001</v>
      </c>
      <c r="Z3788" t="s">
        <v>520</v>
      </c>
      <c r="AA3788" t="s">
        <v>91</v>
      </c>
      <c r="AB3788" t="s">
        <v>92</v>
      </c>
      <c r="AC3788" t="s">
        <v>690</v>
      </c>
      <c r="AD3788"/>
      <c r="AE3788"/>
      <c r="AF3788"/>
      <c r="AG3788" t="s">
        <v>3603</v>
      </c>
      <c r="AH3788" t="s">
        <v>11</v>
      </c>
      <c r="AI3788" t="s">
        <v>3174</v>
      </c>
      <c r="AJ3788">
        <v>1860</v>
      </c>
      <c r="AK3788" t="s">
        <v>4440</v>
      </c>
      <c r="AL3788"/>
      <c r="AM3788"/>
      <c r="AN3788" t="s">
        <v>114</v>
      </c>
      <c r="AO3788">
        <v>3</v>
      </c>
      <c r="AP3788" t="s">
        <v>115</v>
      </c>
      <c r="AQ3788"/>
      <c r="AR3788" t="s">
        <v>80</v>
      </c>
      <c r="AS3788">
        <v>315</v>
      </c>
      <c r="AT3788" t="s">
        <v>81</v>
      </c>
      <c r="AU3788">
        <v>9.4</v>
      </c>
      <c r="AV3788">
        <v>37.31</v>
      </c>
      <c r="AW3788" t="s">
        <v>82</v>
      </c>
      <c r="AX3788">
        <v>315</v>
      </c>
      <c r="AY3788" t="s">
        <v>81</v>
      </c>
      <c r="AZ3788">
        <v>1.46</v>
      </c>
      <c r="BA3788">
        <v>38.6</v>
      </c>
      <c r="BB3788" t="s">
        <v>83</v>
      </c>
    </row>
    <row r="3789" spans="1:54" s="3" customFormat="1" ht="14.25" customHeight="1" x14ac:dyDescent="0.4">
      <c r="A3789">
        <v>1190870</v>
      </c>
      <c r="B3789"/>
      <c r="C3789"/>
      <c r="D3789" t="s">
        <v>4435</v>
      </c>
      <c r="E3789"/>
      <c r="F3789"/>
      <c r="G3789">
        <v>1</v>
      </c>
      <c r="H3789" t="s">
        <v>56</v>
      </c>
      <c r="I3789" t="s">
        <v>57</v>
      </c>
      <c r="J3789"/>
      <c r="K3789" t="s">
        <v>4438</v>
      </c>
      <c r="L3789" t="s">
        <v>4439</v>
      </c>
      <c r="M3789" t="s">
        <v>223</v>
      </c>
      <c r="N3789" t="s">
        <v>234</v>
      </c>
      <c r="O3789" t="s">
        <v>87</v>
      </c>
      <c r="P3789" t="s">
        <v>687</v>
      </c>
      <c r="Q3789"/>
      <c r="R3789" t="s">
        <v>688</v>
      </c>
      <c r="S3789" t="s">
        <v>689</v>
      </c>
      <c r="T3789">
        <v>201.4</v>
      </c>
      <c r="U3789">
        <v>199.5</v>
      </c>
      <c r="V3789">
        <f t="shared" si="118"/>
        <v>200.45</v>
      </c>
      <c r="W3789">
        <f t="shared" si="119"/>
        <v>1.9000000000000057</v>
      </c>
      <c r="X3789">
        <v>-2.9314279999999999</v>
      </c>
      <c r="Y3789">
        <v>50.724803999999999</v>
      </c>
      <c r="Z3789" t="s">
        <v>1004</v>
      </c>
      <c r="AA3789" t="s">
        <v>91</v>
      </c>
      <c r="AB3789" t="s">
        <v>92</v>
      </c>
      <c r="AC3789" t="s">
        <v>4487</v>
      </c>
      <c r="AD3789" t="s">
        <v>691</v>
      </c>
      <c r="AE3789" t="s">
        <v>692</v>
      </c>
      <c r="AF3789"/>
      <c r="AG3789"/>
      <c r="AH3789" t="s">
        <v>72</v>
      </c>
      <c r="AI3789" t="s">
        <v>4488</v>
      </c>
      <c r="AJ3789">
        <v>1834</v>
      </c>
      <c r="AK3789" t="s">
        <v>4489</v>
      </c>
      <c r="AL3789"/>
      <c r="AM3789"/>
      <c r="AN3789" t="s">
        <v>114</v>
      </c>
      <c r="AO3789">
        <v>6</v>
      </c>
      <c r="AP3789" t="s">
        <v>115</v>
      </c>
      <c r="AQ3789" t="s">
        <v>4490</v>
      </c>
      <c r="AR3789" t="s">
        <v>80</v>
      </c>
      <c r="AS3789">
        <v>315</v>
      </c>
      <c r="AT3789" t="s">
        <v>81</v>
      </c>
      <c r="AU3789">
        <v>9.16</v>
      </c>
      <c r="AV3789">
        <v>35.31</v>
      </c>
      <c r="AW3789" t="s">
        <v>82</v>
      </c>
      <c r="AX3789">
        <v>315</v>
      </c>
      <c r="AY3789" t="s">
        <v>81</v>
      </c>
      <c r="AZ3789">
        <v>0.8</v>
      </c>
      <c r="BA3789">
        <v>36.85</v>
      </c>
      <c r="BB3789" t="s">
        <v>83</v>
      </c>
    </row>
    <row r="3790" spans="1:54" s="3" customFormat="1" ht="14.25" customHeight="1" x14ac:dyDescent="0.4">
      <c r="A3790">
        <v>1190871</v>
      </c>
      <c r="B3790"/>
      <c r="C3790"/>
      <c r="D3790" t="s">
        <v>4435</v>
      </c>
      <c r="E3790"/>
      <c r="F3790"/>
      <c r="G3790">
        <v>1</v>
      </c>
      <c r="H3790" t="s">
        <v>56</v>
      </c>
      <c r="I3790" t="s">
        <v>57</v>
      </c>
      <c r="J3790"/>
      <c r="K3790" t="s">
        <v>537</v>
      </c>
      <c r="L3790" t="s">
        <v>538</v>
      </c>
      <c r="M3790" t="s">
        <v>223</v>
      </c>
      <c r="N3790" t="s">
        <v>234</v>
      </c>
      <c r="O3790" t="s">
        <v>87</v>
      </c>
      <c r="P3790" t="s">
        <v>687</v>
      </c>
      <c r="Q3790"/>
      <c r="R3790" t="s">
        <v>688</v>
      </c>
      <c r="S3790" t="s">
        <v>689</v>
      </c>
      <c r="T3790">
        <v>201.4</v>
      </c>
      <c r="U3790">
        <v>199.5</v>
      </c>
      <c r="V3790">
        <f t="shared" si="118"/>
        <v>200.45</v>
      </c>
      <c r="W3790">
        <f t="shared" si="119"/>
        <v>1.9000000000000057</v>
      </c>
      <c r="X3790">
        <v>-2.922005</v>
      </c>
      <c r="Y3790">
        <v>50.732658000000001</v>
      </c>
      <c r="Z3790" t="s">
        <v>1004</v>
      </c>
      <c r="AA3790" t="s">
        <v>91</v>
      </c>
      <c r="AB3790" t="s">
        <v>92</v>
      </c>
      <c r="AC3790" t="s">
        <v>4487</v>
      </c>
      <c r="AD3790" t="s">
        <v>691</v>
      </c>
      <c r="AE3790" t="s">
        <v>692</v>
      </c>
      <c r="AF3790"/>
      <c r="AG3790"/>
      <c r="AH3790" t="s">
        <v>72</v>
      </c>
      <c r="AI3790" t="s">
        <v>4488</v>
      </c>
      <c r="AJ3790">
        <v>1834</v>
      </c>
      <c r="AK3790" t="s">
        <v>4491</v>
      </c>
      <c r="AL3790"/>
      <c r="AM3790"/>
      <c r="AN3790" t="s">
        <v>114</v>
      </c>
      <c r="AO3790">
        <v>6</v>
      </c>
      <c r="AP3790" t="s">
        <v>115</v>
      </c>
      <c r="AQ3790" t="s">
        <v>4492</v>
      </c>
      <c r="AR3790" t="s">
        <v>80</v>
      </c>
      <c r="AS3790">
        <v>315</v>
      </c>
      <c r="AT3790" t="s">
        <v>81</v>
      </c>
      <c r="AU3790">
        <v>9.17</v>
      </c>
      <c r="AV3790">
        <v>35.32</v>
      </c>
      <c r="AW3790" t="s">
        <v>82</v>
      </c>
      <c r="AX3790">
        <v>315</v>
      </c>
      <c r="AY3790" t="s">
        <v>81</v>
      </c>
      <c r="AZ3790">
        <v>0.8</v>
      </c>
      <c r="BA3790">
        <v>36.86</v>
      </c>
      <c r="BB3790" t="s">
        <v>83</v>
      </c>
    </row>
    <row r="3791" spans="1:54" s="3" customFormat="1" ht="14.25" customHeight="1" x14ac:dyDescent="0.4">
      <c r="A3791">
        <v>1190874</v>
      </c>
      <c r="B3791"/>
      <c r="C3791"/>
      <c r="D3791" t="s">
        <v>54</v>
      </c>
      <c r="E3791" t="s">
        <v>55</v>
      </c>
      <c r="F3791"/>
      <c r="G3791">
        <v>1</v>
      </c>
      <c r="H3791" t="s">
        <v>56</v>
      </c>
      <c r="I3791" t="s">
        <v>57</v>
      </c>
      <c r="J3791"/>
      <c r="K3791" t="s">
        <v>537</v>
      </c>
      <c r="L3791" t="s">
        <v>538</v>
      </c>
      <c r="M3791" t="s">
        <v>223</v>
      </c>
      <c r="N3791" t="s">
        <v>234</v>
      </c>
      <c r="O3791" t="s">
        <v>87</v>
      </c>
      <c r="P3791" t="s">
        <v>687</v>
      </c>
      <c r="Q3791"/>
      <c r="R3791" t="s">
        <v>688</v>
      </c>
      <c r="S3791" t="s">
        <v>689</v>
      </c>
      <c r="T3791">
        <v>201.4</v>
      </c>
      <c r="U3791">
        <v>199.5</v>
      </c>
      <c r="V3791">
        <f t="shared" si="118"/>
        <v>200.45</v>
      </c>
      <c r="W3791">
        <f t="shared" si="119"/>
        <v>1.9000000000000057</v>
      </c>
      <c r="X3791">
        <v>-2.7716669999999999</v>
      </c>
      <c r="Y3791">
        <v>51.125278000000002</v>
      </c>
      <c r="Z3791" t="s">
        <v>520</v>
      </c>
      <c r="AA3791" t="s">
        <v>91</v>
      </c>
      <c r="AB3791" t="s">
        <v>92</v>
      </c>
      <c r="AC3791" t="s">
        <v>93</v>
      </c>
      <c r="AD3791" t="s">
        <v>691</v>
      </c>
      <c r="AE3791" t="s">
        <v>692</v>
      </c>
      <c r="AF3791"/>
      <c r="AG3791" t="s">
        <v>3891</v>
      </c>
      <c r="AH3791" t="s">
        <v>72</v>
      </c>
      <c r="AI3791" t="s">
        <v>4488</v>
      </c>
      <c r="AJ3791">
        <v>1834</v>
      </c>
      <c r="AK3791" t="s">
        <v>3892</v>
      </c>
      <c r="AL3791"/>
      <c r="AM3791"/>
      <c r="AN3791" t="s">
        <v>114</v>
      </c>
      <c r="AO3791" t="s">
        <v>77</v>
      </c>
      <c r="AP3791" t="s">
        <v>78</v>
      </c>
      <c r="AQ3791" t="s">
        <v>3893</v>
      </c>
      <c r="AR3791" t="s">
        <v>80</v>
      </c>
      <c r="AS3791">
        <v>315</v>
      </c>
      <c r="AT3791" t="s">
        <v>81</v>
      </c>
      <c r="AU3791">
        <v>9.2899999999999991</v>
      </c>
      <c r="AV3791">
        <v>36.090000000000003</v>
      </c>
      <c r="AW3791" t="s">
        <v>82</v>
      </c>
      <c r="AX3791">
        <v>315</v>
      </c>
      <c r="AY3791" t="s">
        <v>81</v>
      </c>
      <c r="AZ3791">
        <v>1.21</v>
      </c>
      <c r="BA3791">
        <v>37.4</v>
      </c>
      <c r="BB3791" t="s">
        <v>83</v>
      </c>
    </row>
    <row r="3792" spans="1:54" s="3" customFormat="1" ht="14.25" customHeight="1" x14ac:dyDescent="0.4">
      <c r="A3792">
        <v>1190878</v>
      </c>
      <c r="B3792"/>
      <c r="C3792"/>
      <c r="D3792" t="s">
        <v>54</v>
      </c>
      <c r="E3792" t="s">
        <v>55</v>
      </c>
      <c r="F3792"/>
      <c r="G3792">
        <v>1</v>
      </c>
      <c r="H3792" t="s">
        <v>56</v>
      </c>
      <c r="I3792" t="s">
        <v>57</v>
      </c>
      <c r="J3792"/>
      <c r="K3792" t="s">
        <v>537</v>
      </c>
      <c r="L3792" t="s">
        <v>538</v>
      </c>
      <c r="M3792" t="s">
        <v>223</v>
      </c>
      <c r="N3792" t="s">
        <v>234</v>
      </c>
      <c r="O3792" t="s">
        <v>87</v>
      </c>
      <c r="P3792" t="s">
        <v>687</v>
      </c>
      <c r="Q3792"/>
      <c r="R3792" t="s">
        <v>688</v>
      </c>
      <c r="S3792" t="s">
        <v>689</v>
      </c>
      <c r="T3792">
        <v>201.4</v>
      </c>
      <c r="U3792">
        <v>199.5</v>
      </c>
      <c r="V3792">
        <f t="shared" si="118"/>
        <v>200.45</v>
      </c>
      <c r="W3792">
        <f t="shared" si="119"/>
        <v>1.9000000000000057</v>
      </c>
      <c r="X3792">
        <v>-2.7716669999999999</v>
      </c>
      <c r="Y3792">
        <v>51.125278000000002</v>
      </c>
      <c r="Z3792" t="s">
        <v>520</v>
      </c>
      <c r="AA3792" t="s">
        <v>91</v>
      </c>
      <c r="AB3792" t="s">
        <v>92</v>
      </c>
      <c r="AC3792" t="s">
        <v>93</v>
      </c>
      <c r="AD3792" t="s">
        <v>691</v>
      </c>
      <c r="AE3792" t="s">
        <v>692</v>
      </c>
      <c r="AF3792"/>
      <c r="AG3792" t="s">
        <v>3891</v>
      </c>
      <c r="AH3792" t="s">
        <v>72</v>
      </c>
      <c r="AI3792" t="s">
        <v>4488</v>
      </c>
      <c r="AJ3792">
        <v>1834</v>
      </c>
      <c r="AK3792" t="s">
        <v>3892</v>
      </c>
      <c r="AL3792"/>
      <c r="AM3792"/>
      <c r="AN3792" t="s">
        <v>114</v>
      </c>
      <c r="AO3792" t="s">
        <v>77</v>
      </c>
      <c r="AP3792" t="s">
        <v>78</v>
      </c>
      <c r="AQ3792" t="s">
        <v>3893</v>
      </c>
      <c r="AR3792" t="s">
        <v>80</v>
      </c>
      <c r="AS3792">
        <v>315</v>
      </c>
      <c r="AT3792" t="s">
        <v>81</v>
      </c>
      <c r="AU3792">
        <v>9.2899999999999991</v>
      </c>
      <c r="AV3792">
        <v>36.090000000000003</v>
      </c>
      <c r="AW3792" t="s">
        <v>82</v>
      </c>
      <c r="AX3792">
        <v>315</v>
      </c>
      <c r="AY3792" t="s">
        <v>81</v>
      </c>
      <c r="AZ3792">
        <v>1.21</v>
      </c>
      <c r="BA3792">
        <v>37.4</v>
      </c>
      <c r="BB3792" t="s">
        <v>83</v>
      </c>
    </row>
    <row r="3793" spans="1:54" s="3" customFormat="1" ht="14.25" customHeight="1" x14ac:dyDescent="0.4">
      <c r="A3793">
        <v>1190917</v>
      </c>
      <c r="B3793"/>
      <c r="C3793"/>
      <c r="D3793" t="s">
        <v>54</v>
      </c>
      <c r="E3793"/>
      <c r="F3793"/>
      <c r="G3793">
        <v>1</v>
      </c>
      <c r="H3793" t="s">
        <v>56</v>
      </c>
      <c r="I3793" t="s">
        <v>57</v>
      </c>
      <c r="J3793"/>
      <c r="K3793" t="s">
        <v>537</v>
      </c>
      <c r="L3793" t="s">
        <v>538</v>
      </c>
      <c r="M3793" t="s">
        <v>223</v>
      </c>
      <c r="N3793" t="s">
        <v>234</v>
      </c>
      <c r="O3793" t="s">
        <v>87</v>
      </c>
      <c r="P3793" t="s">
        <v>687</v>
      </c>
      <c r="Q3793"/>
      <c r="R3793" t="s">
        <v>688</v>
      </c>
      <c r="S3793" t="s">
        <v>689</v>
      </c>
      <c r="T3793">
        <v>201.4</v>
      </c>
      <c r="U3793">
        <v>199.5</v>
      </c>
      <c r="V3793">
        <f t="shared" si="118"/>
        <v>200.45</v>
      </c>
      <c r="W3793">
        <f t="shared" si="119"/>
        <v>1.9000000000000057</v>
      </c>
      <c r="X3793">
        <v>-2.7313890000000001</v>
      </c>
      <c r="Y3793">
        <v>51.125</v>
      </c>
      <c r="Z3793" t="s">
        <v>602</v>
      </c>
      <c r="AA3793" t="s">
        <v>91</v>
      </c>
      <c r="AB3793" t="s">
        <v>92</v>
      </c>
      <c r="AC3793" t="s">
        <v>93</v>
      </c>
      <c r="AD3793" t="s">
        <v>691</v>
      </c>
      <c r="AE3793" t="s">
        <v>692</v>
      </c>
      <c r="AF3793"/>
      <c r="AG3793"/>
      <c r="AH3793" t="s">
        <v>72</v>
      </c>
      <c r="AI3793" t="s">
        <v>3156</v>
      </c>
      <c r="AJ3793">
        <v>1888</v>
      </c>
      <c r="AK3793" t="s">
        <v>3974</v>
      </c>
      <c r="AL3793"/>
      <c r="AM3793"/>
      <c r="AN3793" t="s">
        <v>192</v>
      </c>
      <c r="AO3793" t="s">
        <v>77</v>
      </c>
      <c r="AP3793" t="s">
        <v>359</v>
      </c>
      <c r="AQ3793" t="s">
        <v>3975</v>
      </c>
      <c r="AR3793" t="s">
        <v>80</v>
      </c>
      <c r="AS3793">
        <v>315</v>
      </c>
      <c r="AT3793" t="s">
        <v>81</v>
      </c>
      <c r="AU3793">
        <v>9.32</v>
      </c>
      <c r="AV3793">
        <v>36.1</v>
      </c>
      <c r="AW3793" t="s">
        <v>82</v>
      </c>
      <c r="AX3793">
        <v>315</v>
      </c>
      <c r="AY3793" t="s">
        <v>81</v>
      </c>
      <c r="AZ3793">
        <v>1.24</v>
      </c>
      <c r="BA3793">
        <v>37.409999999999997</v>
      </c>
      <c r="BB3793" t="s">
        <v>83</v>
      </c>
    </row>
    <row r="3794" spans="1:54" s="3" customFormat="1" ht="14.25" customHeight="1" x14ac:dyDescent="0.4">
      <c r="A3794">
        <v>1199898</v>
      </c>
      <c r="B3794"/>
      <c r="C3794"/>
      <c r="D3794" t="s">
        <v>54</v>
      </c>
      <c r="E3794" t="s">
        <v>55</v>
      </c>
      <c r="F3794"/>
      <c r="G3794">
        <v>1</v>
      </c>
      <c r="H3794" t="s">
        <v>84</v>
      </c>
      <c r="I3794" t="s">
        <v>57</v>
      </c>
      <c r="J3794"/>
      <c r="K3794" t="s">
        <v>141</v>
      </c>
      <c r="L3794" t="s">
        <v>4325</v>
      </c>
      <c r="M3794" t="s">
        <v>223</v>
      </c>
      <c r="N3794" t="s">
        <v>234</v>
      </c>
      <c r="O3794" t="s">
        <v>87</v>
      </c>
      <c r="P3794" t="s">
        <v>687</v>
      </c>
      <c r="Q3794"/>
      <c r="R3794" t="s">
        <v>688</v>
      </c>
      <c r="S3794" t="s">
        <v>689</v>
      </c>
      <c r="T3794">
        <v>201.4</v>
      </c>
      <c r="U3794">
        <v>199.5</v>
      </c>
      <c r="V3794">
        <f t="shared" si="118"/>
        <v>200.45</v>
      </c>
      <c r="W3794">
        <f t="shared" si="119"/>
        <v>1.9000000000000057</v>
      </c>
      <c r="X3794">
        <v>6.049722</v>
      </c>
      <c r="Y3794">
        <v>49.744166999999997</v>
      </c>
      <c r="Z3794" t="s">
        <v>520</v>
      </c>
      <c r="AA3794" t="s">
        <v>1201</v>
      </c>
      <c r="AB3794" t="s">
        <v>4495</v>
      </c>
      <c r="AC3794"/>
      <c r="AD3794" t="s">
        <v>4496</v>
      </c>
      <c r="AE3794"/>
      <c r="AF3794"/>
      <c r="AG3794" t="s">
        <v>3970</v>
      </c>
      <c r="AH3794" t="s">
        <v>11</v>
      </c>
      <c r="AI3794" t="s">
        <v>4497</v>
      </c>
      <c r="AJ3794">
        <v>2014</v>
      </c>
      <c r="AK3794" t="s">
        <v>4498</v>
      </c>
      <c r="AL3794"/>
      <c r="AM3794"/>
      <c r="AN3794" t="s">
        <v>76</v>
      </c>
      <c r="AO3794" t="s">
        <v>77</v>
      </c>
      <c r="AP3794" t="s">
        <v>78</v>
      </c>
      <c r="AQ3794" t="s">
        <v>4499</v>
      </c>
      <c r="AR3794" t="s">
        <v>80</v>
      </c>
      <c r="AS3794">
        <v>315</v>
      </c>
      <c r="AT3794" t="s">
        <v>81</v>
      </c>
      <c r="AU3794">
        <v>16.329999999999998</v>
      </c>
      <c r="AV3794">
        <v>37.380000000000003</v>
      </c>
      <c r="AW3794" t="s">
        <v>82</v>
      </c>
      <c r="AX3794">
        <v>315</v>
      </c>
      <c r="AY3794" t="s">
        <v>81</v>
      </c>
      <c r="AZ3794">
        <v>8.4600000000000009</v>
      </c>
      <c r="BA3794">
        <v>38.130000000000003</v>
      </c>
      <c r="BB3794" t="s">
        <v>83</v>
      </c>
    </row>
    <row r="3795" spans="1:54" s="3" customFormat="1" ht="14.25" customHeight="1" x14ac:dyDescent="0.4">
      <c r="A3795">
        <v>1209934</v>
      </c>
      <c r="B3795"/>
      <c r="C3795"/>
      <c r="D3795" t="s">
        <v>54</v>
      </c>
      <c r="E3795" t="s">
        <v>55</v>
      </c>
      <c r="F3795"/>
      <c r="G3795">
        <v>1</v>
      </c>
      <c r="H3795" t="s">
        <v>84</v>
      </c>
      <c r="I3795" t="s">
        <v>57</v>
      </c>
      <c r="J3795"/>
      <c r="K3795" t="s">
        <v>741</v>
      </c>
      <c r="L3795" t="s">
        <v>4511</v>
      </c>
      <c r="M3795" t="s">
        <v>60</v>
      </c>
      <c r="N3795" t="s">
        <v>256</v>
      </c>
      <c r="O3795" t="s">
        <v>87</v>
      </c>
      <c r="P3795" t="s">
        <v>687</v>
      </c>
      <c r="Q3795"/>
      <c r="R3795" t="s">
        <v>688</v>
      </c>
      <c r="S3795" t="s">
        <v>689</v>
      </c>
      <c r="T3795">
        <v>201.4</v>
      </c>
      <c r="U3795">
        <v>199.5</v>
      </c>
      <c r="V3795">
        <f t="shared" si="118"/>
        <v>200.45</v>
      </c>
      <c r="W3795">
        <f t="shared" si="119"/>
        <v>1.9000000000000057</v>
      </c>
      <c r="X3795">
        <v>-113.53565999999999</v>
      </c>
      <c r="Y3795">
        <v>37.101726999999997</v>
      </c>
      <c r="Z3795" t="s">
        <v>356</v>
      </c>
      <c r="AA3795" t="s">
        <v>66</v>
      </c>
      <c r="AB3795" t="s">
        <v>2563</v>
      </c>
      <c r="AC3795" t="s">
        <v>1829</v>
      </c>
      <c r="AD3795" t="s">
        <v>808</v>
      </c>
      <c r="AE3795" t="s">
        <v>809</v>
      </c>
      <c r="AF3795" t="s">
        <v>4512</v>
      </c>
      <c r="AG3795"/>
      <c r="AH3795" t="s">
        <v>11</v>
      </c>
      <c r="AI3795" t="s">
        <v>4513</v>
      </c>
      <c r="AJ3795">
        <v>2006</v>
      </c>
      <c r="AK3795" t="s">
        <v>4514</v>
      </c>
      <c r="AL3795"/>
      <c r="AM3795" t="s">
        <v>4515</v>
      </c>
      <c r="AN3795" t="s">
        <v>192</v>
      </c>
      <c r="AO3795">
        <v>6</v>
      </c>
      <c r="AP3795" t="s">
        <v>115</v>
      </c>
      <c r="AQ3795" t="s">
        <v>4516</v>
      </c>
      <c r="AR3795" t="s">
        <v>80</v>
      </c>
      <c r="AS3795">
        <v>101</v>
      </c>
      <c r="AT3795" t="s">
        <v>81</v>
      </c>
      <c r="AU3795">
        <v>-41.78</v>
      </c>
      <c r="AV3795">
        <v>13.13</v>
      </c>
      <c r="AW3795" t="s">
        <v>82</v>
      </c>
      <c r="AX3795">
        <v>132</v>
      </c>
      <c r="AY3795" t="s">
        <v>81</v>
      </c>
      <c r="AZ3795">
        <v>-55.63</v>
      </c>
      <c r="BA3795">
        <v>16.55</v>
      </c>
      <c r="BB3795" t="s">
        <v>83</v>
      </c>
    </row>
    <row r="3796" spans="1:54" s="3" customFormat="1" ht="14.25" customHeight="1" x14ac:dyDescent="0.4">
      <c r="A3796">
        <v>1299065</v>
      </c>
      <c r="B3796"/>
      <c r="C3796"/>
      <c r="D3796" t="s">
        <v>54</v>
      </c>
      <c r="E3796" t="s">
        <v>55</v>
      </c>
      <c r="F3796"/>
      <c r="G3796">
        <v>2</v>
      </c>
      <c r="H3796" t="s">
        <v>84</v>
      </c>
      <c r="I3796" t="s">
        <v>57</v>
      </c>
      <c r="J3796"/>
      <c r="K3796" t="s">
        <v>992</v>
      </c>
      <c r="L3796" t="s">
        <v>993</v>
      </c>
      <c r="M3796" t="s">
        <v>60</v>
      </c>
      <c r="N3796"/>
      <c r="O3796"/>
      <c r="P3796" t="s">
        <v>687</v>
      </c>
      <c r="Q3796"/>
      <c r="R3796" t="s">
        <v>688</v>
      </c>
      <c r="S3796" t="s">
        <v>689</v>
      </c>
      <c r="T3796">
        <v>201.4</v>
      </c>
      <c r="U3796">
        <v>199.5</v>
      </c>
      <c r="V3796">
        <f t="shared" si="118"/>
        <v>200.45</v>
      </c>
      <c r="W3796">
        <f t="shared" si="119"/>
        <v>1.9000000000000057</v>
      </c>
      <c r="X3796">
        <v>102.082504</v>
      </c>
      <c r="Y3796">
        <v>24.957121000000001</v>
      </c>
      <c r="Z3796" t="s">
        <v>346</v>
      </c>
      <c r="AA3796" t="s">
        <v>379</v>
      </c>
      <c r="AB3796" t="s">
        <v>828</v>
      </c>
      <c r="AC3796" t="s">
        <v>829</v>
      </c>
      <c r="AD3796" t="s">
        <v>829</v>
      </c>
      <c r="AE3796"/>
      <c r="AF3796" t="s">
        <v>830</v>
      </c>
      <c r="AG3796"/>
      <c r="AH3796" t="s">
        <v>72</v>
      </c>
      <c r="AI3796" t="s">
        <v>4591</v>
      </c>
      <c r="AJ3796">
        <v>2015</v>
      </c>
      <c r="AK3796" t="s">
        <v>4592</v>
      </c>
      <c r="AL3796"/>
      <c r="AM3796" t="s">
        <v>4593</v>
      </c>
      <c r="AN3796" t="s">
        <v>114</v>
      </c>
      <c r="AO3796">
        <v>6</v>
      </c>
      <c r="AP3796" t="s">
        <v>115</v>
      </c>
      <c r="AQ3796" t="s">
        <v>4594</v>
      </c>
      <c r="AR3796" t="s">
        <v>80</v>
      </c>
      <c r="AS3796">
        <v>611</v>
      </c>
      <c r="AT3796" t="s">
        <v>81</v>
      </c>
      <c r="AU3796">
        <v>120.21</v>
      </c>
      <c r="AV3796">
        <v>37.590000000000003</v>
      </c>
      <c r="AW3796" t="s">
        <v>82</v>
      </c>
      <c r="AX3796">
        <v>611</v>
      </c>
      <c r="AY3796" t="s">
        <v>81</v>
      </c>
      <c r="AZ3796">
        <v>104.66</v>
      </c>
      <c r="BA3796">
        <v>34.15</v>
      </c>
      <c r="BB3796" t="s">
        <v>83</v>
      </c>
    </row>
    <row r="3797" spans="1:54" s="3" customFormat="1" ht="14.25" customHeight="1" x14ac:dyDescent="0.4">
      <c r="A3797">
        <v>1299067</v>
      </c>
      <c r="B3797"/>
      <c r="C3797"/>
      <c r="D3797" t="s">
        <v>54</v>
      </c>
      <c r="E3797" t="s">
        <v>55</v>
      </c>
      <c r="F3797"/>
      <c r="G3797">
        <v>1</v>
      </c>
      <c r="H3797" t="s">
        <v>56</v>
      </c>
      <c r="I3797" t="s">
        <v>57</v>
      </c>
      <c r="J3797"/>
      <c r="K3797" t="s">
        <v>141</v>
      </c>
      <c r="L3797" t="s">
        <v>4100</v>
      </c>
      <c r="M3797" t="s">
        <v>60</v>
      </c>
      <c r="N3797"/>
      <c r="O3797"/>
      <c r="P3797" t="s">
        <v>687</v>
      </c>
      <c r="Q3797"/>
      <c r="R3797" t="s">
        <v>688</v>
      </c>
      <c r="S3797" t="s">
        <v>689</v>
      </c>
      <c r="T3797">
        <v>201.4</v>
      </c>
      <c r="U3797">
        <v>199.5</v>
      </c>
      <c r="V3797">
        <f t="shared" si="118"/>
        <v>200.45</v>
      </c>
      <c r="W3797">
        <f t="shared" si="119"/>
        <v>1.9000000000000057</v>
      </c>
      <c r="X3797">
        <v>102.082504</v>
      </c>
      <c r="Y3797">
        <v>24.957121000000001</v>
      </c>
      <c r="Z3797" t="s">
        <v>346</v>
      </c>
      <c r="AA3797" t="s">
        <v>379</v>
      </c>
      <c r="AB3797" t="s">
        <v>828</v>
      </c>
      <c r="AC3797" t="s">
        <v>829</v>
      </c>
      <c r="AD3797" t="s">
        <v>829</v>
      </c>
      <c r="AE3797"/>
      <c r="AF3797" t="s">
        <v>830</v>
      </c>
      <c r="AG3797"/>
      <c r="AH3797" t="s">
        <v>11</v>
      </c>
      <c r="AI3797" t="s">
        <v>4591</v>
      </c>
      <c r="AJ3797">
        <v>2013</v>
      </c>
      <c r="AK3797" t="s">
        <v>4592</v>
      </c>
      <c r="AL3797"/>
      <c r="AM3797" t="s">
        <v>4593</v>
      </c>
      <c r="AN3797" t="s">
        <v>114</v>
      </c>
      <c r="AO3797">
        <v>6</v>
      </c>
      <c r="AP3797" t="s">
        <v>115</v>
      </c>
      <c r="AQ3797" t="s">
        <v>4594</v>
      </c>
      <c r="AR3797" t="s">
        <v>80</v>
      </c>
      <c r="AS3797">
        <v>611</v>
      </c>
      <c r="AT3797" t="s">
        <v>81</v>
      </c>
      <c r="AU3797">
        <v>120.21</v>
      </c>
      <c r="AV3797">
        <v>37.590000000000003</v>
      </c>
      <c r="AW3797" t="s">
        <v>82</v>
      </c>
      <c r="AX3797">
        <v>611</v>
      </c>
      <c r="AY3797" t="s">
        <v>81</v>
      </c>
      <c r="AZ3797">
        <v>104.66</v>
      </c>
      <c r="BA3797">
        <v>34.15</v>
      </c>
      <c r="BB3797" t="s">
        <v>83</v>
      </c>
    </row>
    <row r="3798" spans="1:54" s="3" customFormat="1" ht="14.25" customHeight="1" x14ac:dyDescent="0.4">
      <c r="A3798">
        <v>1306174</v>
      </c>
      <c r="B3798"/>
      <c r="C3798"/>
      <c r="D3798" t="s">
        <v>54</v>
      </c>
      <c r="E3798"/>
      <c r="F3798" t="s">
        <v>1283</v>
      </c>
      <c r="G3798">
        <v>2</v>
      </c>
      <c r="H3798" t="s">
        <v>84</v>
      </c>
      <c r="I3798" t="s">
        <v>57</v>
      </c>
      <c r="J3798"/>
      <c r="K3798" t="s">
        <v>141</v>
      </c>
      <c r="L3798" t="s">
        <v>4611</v>
      </c>
      <c r="M3798" t="s">
        <v>60</v>
      </c>
      <c r="N3798" t="s">
        <v>256</v>
      </c>
      <c r="O3798" t="s">
        <v>87</v>
      </c>
      <c r="P3798" t="s">
        <v>687</v>
      </c>
      <c r="Q3798"/>
      <c r="R3798" t="s">
        <v>688</v>
      </c>
      <c r="S3798" t="s">
        <v>689</v>
      </c>
      <c r="T3798">
        <v>201.4</v>
      </c>
      <c r="U3798">
        <v>199.5</v>
      </c>
      <c r="V3798">
        <f t="shared" si="118"/>
        <v>200.45</v>
      </c>
      <c r="W3798">
        <f t="shared" si="119"/>
        <v>1.9000000000000057</v>
      </c>
      <c r="X3798">
        <v>-72.018608</v>
      </c>
      <c r="Y3798">
        <v>8.1508330000000004</v>
      </c>
      <c r="Z3798" t="s">
        <v>124</v>
      </c>
      <c r="AA3798" t="s">
        <v>1155</v>
      </c>
      <c r="AB3798" t="s">
        <v>1156</v>
      </c>
      <c r="AC3798" t="s">
        <v>1157</v>
      </c>
      <c r="AD3798" t="s">
        <v>1158</v>
      </c>
      <c r="AE3798"/>
      <c r="AF3798"/>
      <c r="AG3798"/>
      <c r="AH3798" t="s">
        <v>72</v>
      </c>
      <c r="AI3798" t="s">
        <v>903</v>
      </c>
      <c r="AJ3798">
        <v>2014</v>
      </c>
      <c r="AK3798" t="s">
        <v>4612</v>
      </c>
      <c r="AL3798"/>
      <c r="AM3798" t="s">
        <v>4613</v>
      </c>
      <c r="AN3798" t="s">
        <v>76</v>
      </c>
      <c r="AO3798" t="s">
        <v>77</v>
      </c>
      <c r="AP3798" t="s">
        <v>115</v>
      </c>
      <c r="AQ3798" t="s">
        <v>4614</v>
      </c>
      <c r="AR3798" t="s">
        <v>80</v>
      </c>
      <c r="AS3798">
        <v>203</v>
      </c>
      <c r="AT3798" t="s">
        <v>81</v>
      </c>
      <c r="AU3798">
        <v>-31.35</v>
      </c>
      <c r="AV3798">
        <v>-4.03</v>
      </c>
      <c r="AW3798" t="s">
        <v>82</v>
      </c>
      <c r="AX3798">
        <v>201</v>
      </c>
      <c r="AY3798" t="s">
        <v>81</v>
      </c>
      <c r="AZ3798">
        <v>-42.15</v>
      </c>
      <c r="BA3798">
        <v>1.06</v>
      </c>
      <c r="BB3798" t="s">
        <v>83</v>
      </c>
    </row>
    <row r="3799" spans="1:54" s="3" customFormat="1" ht="14.25" customHeight="1" x14ac:dyDescent="0.4">
      <c r="A3799">
        <v>1311443</v>
      </c>
      <c r="B3799"/>
      <c r="C3799"/>
      <c r="D3799" t="s">
        <v>54</v>
      </c>
      <c r="E3799" t="s">
        <v>55</v>
      </c>
      <c r="F3799"/>
      <c r="G3799">
        <v>1</v>
      </c>
      <c r="H3799" t="s">
        <v>84</v>
      </c>
      <c r="I3799" t="s">
        <v>57</v>
      </c>
      <c r="J3799"/>
      <c r="K3799" t="s">
        <v>141</v>
      </c>
      <c r="L3799" t="s">
        <v>4640</v>
      </c>
      <c r="M3799" t="s">
        <v>60</v>
      </c>
      <c r="N3799" t="s">
        <v>256</v>
      </c>
      <c r="O3799" t="s">
        <v>87</v>
      </c>
      <c r="P3799" t="s">
        <v>687</v>
      </c>
      <c r="Q3799"/>
      <c r="R3799" t="s">
        <v>688</v>
      </c>
      <c r="S3799" t="s">
        <v>689</v>
      </c>
      <c r="T3799">
        <v>201.4</v>
      </c>
      <c r="U3799">
        <v>199.5</v>
      </c>
      <c r="V3799">
        <f t="shared" si="118"/>
        <v>200.45</v>
      </c>
      <c r="W3799">
        <f t="shared" si="119"/>
        <v>1.9000000000000057</v>
      </c>
      <c r="X3799">
        <v>-3.1697220000000002</v>
      </c>
      <c r="Y3799">
        <v>51.406387000000002</v>
      </c>
      <c r="Z3799" t="s">
        <v>520</v>
      </c>
      <c r="AA3799" t="s">
        <v>91</v>
      </c>
      <c r="AB3799" t="s">
        <v>373</v>
      </c>
      <c r="AC3799" t="s">
        <v>4641</v>
      </c>
      <c r="AD3799" t="s">
        <v>691</v>
      </c>
      <c r="AE3799" t="s">
        <v>692</v>
      </c>
      <c r="AF3799" t="s">
        <v>4642</v>
      </c>
      <c r="AG3799" t="s">
        <v>4643</v>
      </c>
      <c r="AH3799" t="s">
        <v>72</v>
      </c>
      <c r="AI3799" t="s">
        <v>4644</v>
      </c>
      <c r="AJ3799">
        <v>2016</v>
      </c>
      <c r="AK3799" t="s">
        <v>4645</v>
      </c>
      <c r="AL3799"/>
      <c r="AM3799"/>
      <c r="AN3799" t="s">
        <v>192</v>
      </c>
      <c r="AO3799" t="s">
        <v>77</v>
      </c>
      <c r="AP3799" t="s">
        <v>115</v>
      </c>
      <c r="AQ3799" t="s">
        <v>4646</v>
      </c>
      <c r="AR3799" t="s">
        <v>80</v>
      </c>
      <c r="AS3799">
        <v>315</v>
      </c>
      <c r="AT3799" t="s">
        <v>81</v>
      </c>
      <c r="AU3799">
        <v>8.64</v>
      </c>
      <c r="AV3799">
        <v>35.86</v>
      </c>
      <c r="AW3799" t="s">
        <v>82</v>
      </c>
      <c r="AX3799">
        <v>315</v>
      </c>
      <c r="AY3799" t="s">
        <v>81</v>
      </c>
      <c r="AZ3799">
        <v>0.32</v>
      </c>
      <c r="BA3799">
        <v>37.44</v>
      </c>
      <c r="BB3799" t="s">
        <v>83</v>
      </c>
    </row>
    <row r="3800" spans="1:54" s="3" customFormat="1" ht="14.25" customHeight="1" x14ac:dyDescent="0.4">
      <c r="A3800">
        <v>1347918</v>
      </c>
      <c r="B3800"/>
      <c r="C3800"/>
      <c r="D3800" t="s">
        <v>3188</v>
      </c>
      <c r="E3800"/>
      <c r="F3800"/>
      <c r="G3800">
        <v>16</v>
      </c>
      <c r="H3800" t="s">
        <v>84</v>
      </c>
      <c r="I3800" t="s">
        <v>57</v>
      </c>
      <c r="J3800"/>
      <c r="K3800" t="s">
        <v>4786</v>
      </c>
      <c r="L3800" t="s">
        <v>4787</v>
      </c>
      <c r="M3800" t="s">
        <v>60</v>
      </c>
      <c r="N3800" t="s">
        <v>326</v>
      </c>
      <c r="O3800" t="s">
        <v>170</v>
      </c>
      <c r="P3800" t="s">
        <v>687</v>
      </c>
      <c r="Q3800"/>
      <c r="R3800" t="s">
        <v>688</v>
      </c>
      <c r="S3800" t="s">
        <v>689</v>
      </c>
      <c r="T3800">
        <v>201.4</v>
      </c>
      <c r="U3800">
        <v>199.5</v>
      </c>
      <c r="V3800">
        <f t="shared" si="118"/>
        <v>200.45</v>
      </c>
      <c r="W3800">
        <f t="shared" si="119"/>
        <v>1.9000000000000057</v>
      </c>
      <c r="X3800">
        <v>102</v>
      </c>
      <c r="Y3800">
        <v>24.941943999999999</v>
      </c>
      <c r="Z3800" t="s">
        <v>105</v>
      </c>
      <c r="AA3800" t="s">
        <v>379</v>
      </c>
      <c r="AB3800" t="s">
        <v>828</v>
      </c>
      <c r="AC3800" t="s">
        <v>829</v>
      </c>
      <c r="AD3800" t="s">
        <v>829</v>
      </c>
      <c r="AE3800"/>
      <c r="AF3800" t="s">
        <v>830</v>
      </c>
      <c r="AG3800"/>
      <c r="AH3800" t="s">
        <v>11</v>
      </c>
      <c r="AI3800" t="s">
        <v>4591</v>
      </c>
      <c r="AJ3800">
        <v>2016</v>
      </c>
      <c r="AK3800" t="s">
        <v>4788</v>
      </c>
      <c r="AL3800"/>
      <c r="AM3800" t="s">
        <v>4789</v>
      </c>
      <c r="AN3800" t="s">
        <v>76</v>
      </c>
      <c r="AO3800" t="s">
        <v>77</v>
      </c>
      <c r="AP3800" t="s">
        <v>78</v>
      </c>
      <c r="AQ3800" t="s">
        <v>4790</v>
      </c>
      <c r="AR3800" t="s">
        <v>80</v>
      </c>
      <c r="AS3800">
        <v>611</v>
      </c>
      <c r="AT3800" t="s">
        <v>81</v>
      </c>
      <c r="AU3800">
        <v>120.12</v>
      </c>
      <c r="AV3800">
        <v>37.57</v>
      </c>
      <c r="AW3800" t="s">
        <v>82</v>
      </c>
      <c r="AX3800">
        <v>611</v>
      </c>
      <c r="AY3800" t="s">
        <v>81</v>
      </c>
      <c r="AZ3800">
        <v>104.57</v>
      </c>
      <c r="BA3800">
        <v>34.130000000000003</v>
      </c>
      <c r="BB3800" t="s">
        <v>83</v>
      </c>
    </row>
    <row r="3801" spans="1:54" s="3" customFormat="1" ht="14.25" customHeight="1" x14ac:dyDescent="0.4">
      <c r="A3801">
        <v>1390020</v>
      </c>
      <c r="B3801"/>
      <c r="C3801"/>
      <c r="D3801" t="s">
        <v>54</v>
      </c>
      <c r="E3801"/>
      <c r="F3801"/>
      <c r="G3801">
        <v>1</v>
      </c>
      <c r="H3801" t="s">
        <v>84</v>
      </c>
      <c r="I3801" t="s">
        <v>57</v>
      </c>
      <c r="J3801"/>
      <c r="K3801" t="s">
        <v>244</v>
      </c>
      <c r="L3801" t="s">
        <v>245</v>
      </c>
      <c r="M3801" t="s">
        <v>60</v>
      </c>
      <c r="N3801"/>
      <c r="O3801" t="s">
        <v>170</v>
      </c>
      <c r="P3801" t="s">
        <v>687</v>
      </c>
      <c r="Q3801"/>
      <c r="R3801" t="s">
        <v>688</v>
      </c>
      <c r="S3801" t="s">
        <v>689</v>
      </c>
      <c r="T3801">
        <v>201.4</v>
      </c>
      <c r="U3801">
        <v>199.5</v>
      </c>
      <c r="V3801">
        <f t="shared" si="118"/>
        <v>200.45</v>
      </c>
      <c r="W3801">
        <f t="shared" si="119"/>
        <v>1.9000000000000057</v>
      </c>
      <c r="X3801">
        <v>11.085229</v>
      </c>
      <c r="Y3801">
        <v>50.287253999999997</v>
      </c>
      <c r="Z3801" t="s">
        <v>1004</v>
      </c>
      <c r="AA3801" t="s">
        <v>211</v>
      </c>
      <c r="AB3801" t="s">
        <v>953</v>
      </c>
      <c r="AC3801"/>
      <c r="AD3801" t="s">
        <v>3270</v>
      </c>
      <c r="AE3801"/>
      <c r="AF3801"/>
      <c r="AG3801"/>
      <c r="AH3801" t="s">
        <v>11</v>
      </c>
      <c r="AI3801" t="s">
        <v>4209</v>
      </c>
      <c r="AJ3801">
        <v>1952</v>
      </c>
      <c r="AK3801" t="s">
        <v>4902</v>
      </c>
      <c r="AL3801"/>
      <c r="AM3801"/>
      <c r="AN3801" t="s">
        <v>114</v>
      </c>
      <c r="AO3801">
        <v>6</v>
      </c>
      <c r="AP3801" t="s">
        <v>115</v>
      </c>
      <c r="AQ3801" t="s">
        <v>4903</v>
      </c>
      <c r="AR3801" t="s">
        <v>80</v>
      </c>
      <c r="AS3801">
        <v>305</v>
      </c>
      <c r="AT3801" t="s">
        <v>81</v>
      </c>
      <c r="AU3801">
        <v>19.309999999999999</v>
      </c>
      <c r="AV3801">
        <v>39.08</v>
      </c>
      <c r="AW3801" t="s">
        <v>82</v>
      </c>
      <c r="AX3801">
        <v>305</v>
      </c>
      <c r="AY3801" t="s">
        <v>81</v>
      </c>
      <c r="AZ3801">
        <v>11.5</v>
      </c>
      <c r="BA3801">
        <v>39.86</v>
      </c>
      <c r="BB3801" t="s">
        <v>83</v>
      </c>
    </row>
    <row r="3802" spans="1:54" s="3" customFormat="1" ht="14.25" customHeight="1" x14ac:dyDescent="0.4">
      <c r="A3802">
        <v>1402790</v>
      </c>
      <c r="B3802"/>
      <c r="C3802"/>
      <c r="D3802" t="s">
        <v>54</v>
      </c>
      <c r="E3802" t="s">
        <v>55</v>
      </c>
      <c r="F3802"/>
      <c r="G3802"/>
      <c r="H3802"/>
      <c r="I3802" t="s">
        <v>57</v>
      </c>
      <c r="J3802"/>
      <c r="K3802" t="s">
        <v>141</v>
      </c>
      <c r="L3802" t="s">
        <v>4923</v>
      </c>
      <c r="M3802" t="s">
        <v>60</v>
      </c>
      <c r="N3802" t="s">
        <v>256</v>
      </c>
      <c r="O3802" t="s">
        <v>87</v>
      </c>
      <c r="P3802" t="s">
        <v>687</v>
      </c>
      <c r="Q3802"/>
      <c r="R3802" t="s">
        <v>688</v>
      </c>
      <c r="S3802" t="s">
        <v>689</v>
      </c>
      <c r="T3802">
        <v>201.4</v>
      </c>
      <c r="U3802">
        <v>199.5</v>
      </c>
      <c r="V3802">
        <f t="shared" si="118"/>
        <v>200.45</v>
      </c>
      <c r="W3802">
        <f t="shared" si="119"/>
        <v>1.9000000000000057</v>
      </c>
      <c r="X3802">
        <v>101.63839</v>
      </c>
      <c r="Y3802">
        <v>24.686271999999999</v>
      </c>
      <c r="Z3802" t="s">
        <v>124</v>
      </c>
      <c r="AA3802" t="s">
        <v>379</v>
      </c>
      <c r="AB3802" t="s">
        <v>828</v>
      </c>
      <c r="AC3802" t="s">
        <v>4924</v>
      </c>
      <c r="AD3802" t="s">
        <v>1013</v>
      </c>
      <c r="AE3802"/>
      <c r="AF3802" t="s">
        <v>620</v>
      </c>
      <c r="AG3802"/>
      <c r="AH3802" t="s">
        <v>72</v>
      </c>
      <c r="AI3802" t="s">
        <v>1815</v>
      </c>
      <c r="AJ3802">
        <v>2017</v>
      </c>
      <c r="AK3802" t="s">
        <v>4925</v>
      </c>
      <c r="AL3802"/>
      <c r="AM3802"/>
      <c r="AN3802" t="s">
        <v>114</v>
      </c>
      <c r="AO3802">
        <v>6</v>
      </c>
      <c r="AP3802" t="s">
        <v>115</v>
      </c>
      <c r="AQ3802" t="s">
        <v>4926</v>
      </c>
      <c r="AR3802" t="s">
        <v>80</v>
      </c>
      <c r="AS3802">
        <v>611</v>
      </c>
      <c r="AT3802" t="s">
        <v>81</v>
      </c>
      <c r="AU3802">
        <v>119.76</v>
      </c>
      <c r="AV3802">
        <v>37.26</v>
      </c>
      <c r="AW3802" t="s">
        <v>82</v>
      </c>
      <c r="AX3802">
        <v>611</v>
      </c>
      <c r="AY3802" t="s">
        <v>81</v>
      </c>
      <c r="AZ3802">
        <v>104.21</v>
      </c>
      <c r="BA3802">
        <v>33.840000000000003</v>
      </c>
      <c r="BB3802" t="s">
        <v>83</v>
      </c>
    </row>
    <row r="3803" spans="1:54" s="3" customFormat="1" ht="14.25" customHeight="1" x14ac:dyDescent="0.4">
      <c r="A3803">
        <v>1406778</v>
      </c>
      <c r="B3803"/>
      <c r="C3803"/>
      <c r="D3803" t="s">
        <v>54</v>
      </c>
      <c r="E3803"/>
      <c r="F3803"/>
      <c r="G3803">
        <v>3</v>
      </c>
      <c r="H3803" t="s">
        <v>84</v>
      </c>
      <c r="I3803" t="s">
        <v>57</v>
      </c>
      <c r="J3803"/>
      <c r="K3803" t="s">
        <v>141</v>
      </c>
      <c r="L3803" t="s">
        <v>4959</v>
      </c>
      <c r="M3803" t="s">
        <v>60</v>
      </c>
      <c r="N3803"/>
      <c r="O3803"/>
      <c r="P3803" t="s">
        <v>687</v>
      </c>
      <c r="Q3803"/>
      <c r="R3803" t="s">
        <v>688</v>
      </c>
      <c r="S3803" t="s">
        <v>689</v>
      </c>
      <c r="T3803">
        <v>201.4</v>
      </c>
      <c r="U3803">
        <v>199.5</v>
      </c>
      <c r="V3803">
        <f t="shared" si="118"/>
        <v>200.45</v>
      </c>
      <c r="W3803">
        <f t="shared" si="119"/>
        <v>1.9000000000000057</v>
      </c>
      <c r="X3803">
        <v>102.073402</v>
      </c>
      <c r="Y3803">
        <v>25.131474000000001</v>
      </c>
      <c r="Z3803" t="s">
        <v>124</v>
      </c>
      <c r="AA3803" t="s">
        <v>379</v>
      </c>
      <c r="AB3803" t="s">
        <v>828</v>
      </c>
      <c r="AC3803" t="s">
        <v>4960</v>
      </c>
      <c r="AD3803" t="s">
        <v>829</v>
      </c>
      <c r="AE3803"/>
      <c r="AF3803" t="s">
        <v>830</v>
      </c>
      <c r="AG3803"/>
      <c r="AH3803" t="s">
        <v>72</v>
      </c>
      <c r="AI3803" t="s">
        <v>1815</v>
      </c>
      <c r="AJ3803">
        <v>2017</v>
      </c>
      <c r="AK3803" t="s">
        <v>4961</v>
      </c>
      <c r="AL3803"/>
      <c r="AM3803"/>
      <c r="AN3803" t="s">
        <v>114</v>
      </c>
      <c r="AO3803">
        <v>6</v>
      </c>
      <c r="AP3803"/>
      <c r="AQ3803" t="s">
        <v>4962</v>
      </c>
      <c r="AR3803" t="s">
        <v>80</v>
      </c>
      <c r="AS3803">
        <v>611</v>
      </c>
      <c r="AT3803" t="s">
        <v>81</v>
      </c>
      <c r="AU3803">
        <v>120.16</v>
      </c>
      <c r="AV3803">
        <v>37.76</v>
      </c>
      <c r="AW3803" t="s">
        <v>82</v>
      </c>
      <c r="AX3803">
        <v>611</v>
      </c>
      <c r="AY3803" t="s">
        <v>81</v>
      </c>
      <c r="AZ3803">
        <v>104.62</v>
      </c>
      <c r="BA3803">
        <v>34.33</v>
      </c>
      <c r="BB3803" t="s">
        <v>83</v>
      </c>
    </row>
    <row r="3804" spans="1:54" s="3" customFormat="1" ht="14.25" customHeight="1" x14ac:dyDescent="0.4">
      <c r="A3804">
        <v>1407038</v>
      </c>
      <c r="B3804"/>
      <c r="C3804"/>
      <c r="D3804" t="s">
        <v>54</v>
      </c>
      <c r="E3804" t="s">
        <v>55</v>
      </c>
      <c r="F3804"/>
      <c r="G3804">
        <v>1</v>
      </c>
      <c r="H3804" t="s">
        <v>84</v>
      </c>
      <c r="I3804" t="s">
        <v>57</v>
      </c>
      <c r="J3804"/>
      <c r="K3804" t="s">
        <v>741</v>
      </c>
      <c r="L3804" t="s">
        <v>4968</v>
      </c>
      <c r="M3804" t="s">
        <v>60</v>
      </c>
      <c r="N3804" t="s">
        <v>256</v>
      </c>
      <c r="O3804" t="s">
        <v>87</v>
      </c>
      <c r="P3804" t="s">
        <v>687</v>
      </c>
      <c r="Q3804"/>
      <c r="R3804" t="s">
        <v>688</v>
      </c>
      <c r="S3804" t="s">
        <v>689</v>
      </c>
      <c r="T3804">
        <v>201.4</v>
      </c>
      <c r="U3804">
        <v>199.5</v>
      </c>
      <c r="V3804">
        <f t="shared" si="118"/>
        <v>200.45</v>
      </c>
      <c r="W3804">
        <f t="shared" si="119"/>
        <v>1.9000000000000057</v>
      </c>
      <c r="X3804">
        <v>102.084496</v>
      </c>
      <c r="Y3804">
        <v>25.168742999999999</v>
      </c>
      <c r="Z3804" t="s">
        <v>124</v>
      </c>
      <c r="AA3804" t="s">
        <v>379</v>
      </c>
      <c r="AB3804" t="s">
        <v>828</v>
      </c>
      <c r="AC3804" t="s">
        <v>829</v>
      </c>
      <c r="AD3804" t="s">
        <v>829</v>
      </c>
      <c r="AE3804"/>
      <c r="AF3804" t="s">
        <v>830</v>
      </c>
      <c r="AG3804"/>
      <c r="AH3804" t="s">
        <v>72</v>
      </c>
      <c r="AI3804" t="s">
        <v>4969</v>
      </c>
      <c r="AJ3804">
        <v>2014</v>
      </c>
      <c r="AK3804" t="s">
        <v>994</v>
      </c>
      <c r="AL3804"/>
      <c r="AM3804"/>
      <c r="AN3804" t="s">
        <v>192</v>
      </c>
      <c r="AO3804">
        <v>6</v>
      </c>
      <c r="AP3804" t="s">
        <v>78</v>
      </c>
      <c r="AQ3804" t="s">
        <v>995</v>
      </c>
      <c r="AR3804" t="s">
        <v>80</v>
      </c>
      <c r="AS3804">
        <v>611</v>
      </c>
      <c r="AT3804" t="s">
        <v>81</v>
      </c>
      <c r="AU3804">
        <v>120.17</v>
      </c>
      <c r="AV3804">
        <v>37.799999999999997</v>
      </c>
      <c r="AW3804" t="s">
        <v>82</v>
      </c>
      <c r="AX3804">
        <v>611</v>
      </c>
      <c r="AY3804" t="s">
        <v>81</v>
      </c>
      <c r="AZ3804">
        <v>104.63</v>
      </c>
      <c r="BA3804">
        <v>34.36</v>
      </c>
      <c r="BB3804" t="s">
        <v>83</v>
      </c>
    </row>
    <row r="3805" spans="1:54" s="3" customFormat="1" ht="14.25" customHeight="1" x14ac:dyDescent="0.4">
      <c r="A3805">
        <v>1410191</v>
      </c>
      <c r="B3805"/>
      <c r="C3805"/>
      <c r="D3805" t="s">
        <v>54</v>
      </c>
      <c r="E3805"/>
      <c r="F3805"/>
      <c r="G3805">
        <v>1</v>
      </c>
      <c r="H3805" t="s">
        <v>84</v>
      </c>
      <c r="I3805" t="s">
        <v>57</v>
      </c>
      <c r="J3805"/>
      <c r="K3805" t="s">
        <v>132</v>
      </c>
      <c r="L3805" t="s">
        <v>133</v>
      </c>
      <c r="M3805" t="s">
        <v>60</v>
      </c>
      <c r="N3805" t="s">
        <v>119</v>
      </c>
      <c r="O3805" t="s">
        <v>134</v>
      </c>
      <c r="P3805" t="s">
        <v>687</v>
      </c>
      <c r="Q3805"/>
      <c r="R3805" t="s">
        <v>688</v>
      </c>
      <c r="S3805" t="s">
        <v>689</v>
      </c>
      <c r="T3805">
        <v>201.4</v>
      </c>
      <c r="U3805">
        <v>199.5</v>
      </c>
      <c r="V3805">
        <f t="shared" si="118"/>
        <v>200.45</v>
      </c>
      <c r="W3805">
        <f t="shared" si="119"/>
        <v>1.9000000000000057</v>
      </c>
      <c r="X3805">
        <v>102.090401</v>
      </c>
      <c r="Y3805">
        <v>25.175985000000001</v>
      </c>
      <c r="Z3805" t="s">
        <v>124</v>
      </c>
      <c r="AA3805" t="s">
        <v>379</v>
      </c>
      <c r="AB3805" t="s">
        <v>828</v>
      </c>
      <c r="AC3805" t="s">
        <v>829</v>
      </c>
      <c r="AD3805" t="s">
        <v>829</v>
      </c>
      <c r="AE3805"/>
      <c r="AF3805" t="s">
        <v>830</v>
      </c>
      <c r="AG3805"/>
      <c r="AH3805" t="s">
        <v>11</v>
      </c>
      <c r="AI3805" t="s">
        <v>683</v>
      </c>
      <c r="AJ3805">
        <v>1982</v>
      </c>
      <c r="AK3805" t="s">
        <v>996</v>
      </c>
      <c r="AL3805"/>
      <c r="AM3805" t="s">
        <v>997</v>
      </c>
      <c r="AN3805" t="s">
        <v>192</v>
      </c>
      <c r="AO3805">
        <v>6</v>
      </c>
      <c r="AP3805" t="s">
        <v>78</v>
      </c>
      <c r="AQ3805" t="s">
        <v>998</v>
      </c>
      <c r="AR3805" t="s">
        <v>80</v>
      </c>
      <c r="AS3805">
        <v>611</v>
      </c>
      <c r="AT3805" t="s">
        <v>81</v>
      </c>
      <c r="AU3805">
        <v>120.18</v>
      </c>
      <c r="AV3805">
        <v>37.81</v>
      </c>
      <c r="AW3805" t="s">
        <v>82</v>
      </c>
      <c r="AX3805">
        <v>611</v>
      </c>
      <c r="AY3805" t="s">
        <v>81</v>
      </c>
      <c r="AZ3805">
        <v>104.64</v>
      </c>
      <c r="BA3805">
        <v>34.369999999999997</v>
      </c>
      <c r="BB3805" t="s">
        <v>83</v>
      </c>
    </row>
    <row r="3806" spans="1:54" s="3" customFormat="1" ht="14.25" customHeight="1" x14ac:dyDescent="0.4">
      <c r="A3806">
        <v>1429655</v>
      </c>
      <c r="B3806"/>
      <c r="C3806"/>
      <c r="D3806" t="s">
        <v>853</v>
      </c>
      <c r="E3806"/>
      <c r="F3806"/>
      <c r="G3806"/>
      <c r="H3806"/>
      <c r="I3806" t="s">
        <v>57</v>
      </c>
      <c r="J3806"/>
      <c r="K3806" t="s">
        <v>141</v>
      </c>
      <c r="L3806" t="s">
        <v>5365</v>
      </c>
      <c r="M3806" t="s">
        <v>223</v>
      </c>
      <c r="N3806" t="s">
        <v>234</v>
      </c>
      <c r="O3806" t="s">
        <v>87</v>
      </c>
      <c r="P3806" t="s">
        <v>687</v>
      </c>
      <c r="Q3806"/>
      <c r="R3806" t="s">
        <v>688</v>
      </c>
      <c r="S3806" t="s">
        <v>689</v>
      </c>
      <c r="T3806">
        <v>201.4</v>
      </c>
      <c r="U3806">
        <v>199.5</v>
      </c>
      <c r="V3806">
        <f t="shared" si="118"/>
        <v>200.45</v>
      </c>
      <c r="W3806">
        <f t="shared" si="119"/>
        <v>1.9000000000000057</v>
      </c>
      <c r="X3806">
        <v>-1.1499999999999999</v>
      </c>
      <c r="Y3806">
        <v>52.733001999999999</v>
      </c>
      <c r="Z3806" t="s">
        <v>520</v>
      </c>
      <c r="AA3806" t="s">
        <v>91</v>
      </c>
      <c r="AB3806" t="s">
        <v>92</v>
      </c>
      <c r="AC3806" t="s">
        <v>3979</v>
      </c>
      <c r="AD3806"/>
      <c r="AE3806"/>
      <c r="AF3806"/>
      <c r="AG3806"/>
      <c r="AH3806" t="s">
        <v>72</v>
      </c>
      <c r="AI3806" t="s">
        <v>1045</v>
      </c>
      <c r="AJ3806">
        <v>1884</v>
      </c>
      <c r="AK3806" t="s">
        <v>5366</v>
      </c>
      <c r="AL3806"/>
      <c r="AM3806"/>
      <c r="AN3806" t="s">
        <v>114</v>
      </c>
      <c r="AO3806">
        <v>3</v>
      </c>
      <c r="AP3806" t="s">
        <v>115</v>
      </c>
      <c r="AQ3806"/>
      <c r="AR3806" t="s">
        <v>80</v>
      </c>
      <c r="AS3806">
        <v>315</v>
      </c>
      <c r="AT3806" t="s">
        <v>81</v>
      </c>
      <c r="AU3806">
        <v>9.5399999999999991</v>
      </c>
      <c r="AV3806">
        <v>37.97</v>
      </c>
      <c r="AW3806" t="s">
        <v>82</v>
      </c>
      <c r="AX3806">
        <v>315</v>
      </c>
      <c r="AY3806" t="s">
        <v>81</v>
      </c>
      <c r="AZ3806">
        <v>1.69</v>
      </c>
      <c r="BA3806">
        <v>39.25</v>
      </c>
      <c r="BB3806" t="s">
        <v>83</v>
      </c>
    </row>
    <row r="3807" spans="1:54" s="3" customFormat="1" ht="14.25" customHeight="1" x14ac:dyDescent="0.4">
      <c r="A3807">
        <v>1432612</v>
      </c>
      <c r="B3807"/>
      <c r="C3807"/>
      <c r="D3807" t="s">
        <v>54</v>
      </c>
      <c r="E3807" t="s">
        <v>55</v>
      </c>
      <c r="F3807"/>
      <c r="G3807">
        <v>1</v>
      </c>
      <c r="H3807" t="s">
        <v>84</v>
      </c>
      <c r="I3807" t="s">
        <v>57</v>
      </c>
      <c r="J3807"/>
      <c r="K3807" t="s">
        <v>537</v>
      </c>
      <c r="L3807" t="s">
        <v>538</v>
      </c>
      <c r="M3807" t="s">
        <v>223</v>
      </c>
      <c r="N3807" t="s">
        <v>234</v>
      </c>
      <c r="O3807" t="s">
        <v>87</v>
      </c>
      <c r="P3807" t="s">
        <v>687</v>
      </c>
      <c r="Q3807"/>
      <c r="R3807" t="s">
        <v>688</v>
      </c>
      <c r="S3807" t="s">
        <v>689</v>
      </c>
      <c r="T3807">
        <v>201.4</v>
      </c>
      <c r="U3807">
        <v>199.5</v>
      </c>
      <c r="V3807">
        <f t="shared" si="118"/>
        <v>200.45</v>
      </c>
      <c r="W3807">
        <f t="shared" si="119"/>
        <v>1.9000000000000057</v>
      </c>
      <c r="X3807">
        <v>-2.7716669999999999</v>
      </c>
      <c r="Y3807">
        <v>51.125278000000002</v>
      </c>
      <c r="Z3807" t="s">
        <v>520</v>
      </c>
      <c r="AA3807" t="s">
        <v>91</v>
      </c>
      <c r="AB3807" t="s">
        <v>92</v>
      </c>
      <c r="AC3807" t="s">
        <v>93</v>
      </c>
      <c r="AD3807" t="s">
        <v>691</v>
      </c>
      <c r="AE3807" t="s">
        <v>692</v>
      </c>
      <c r="AF3807"/>
      <c r="AG3807" t="s">
        <v>3891</v>
      </c>
      <c r="AH3807" t="s">
        <v>72</v>
      </c>
      <c r="AI3807" t="s">
        <v>4330</v>
      </c>
      <c r="AJ3807">
        <v>2017</v>
      </c>
      <c r="AK3807" t="s">
        <v>3892</v>
      </c>
      <c r="AL3807"/>
      <c r="AM3807"/>
      <c r="AN3807" t="s">
        <v>114</v>
      </c>
      <c r="AO3807" t="s">
        <v>77</v>
      </c>
      <c r="AP3807" t="s">
        <v>78</v>
      </c>
      <c r="AQ3807" t="s">
        <v>3893</v>
      </c>
      <c r="AR3807" t="s">
        <v>80</v>
      </c>
      <c r="AS3807">
        <v>315</v>
      </c>
      <c r="AT3807" t="s">
        <v>81</v>
      </c>
      <c r="AU3807">
        <v>9.2899999999999991</v>
      </c>
      <c r="AV3807">
        <v>36.090000000000003</v>
      </c>
      <c r="AW3807" t="s">
        <v>82</v>
      </c>
      <c r="AX3807">
        <v>315</v>
      </c>
      <c r="AY3807" t="s">
        <v>81</v>
      </c>
      <c r="AZ3807">
        <v>1.21</v>
      </c>
      <c r="BA3807">
        <v>37.4</v>
      </c>
      <c r="BB3807" t="s">
        <v>83</v>
      </c>
    </row>
    <row r="3808" spans="1:54" s="3" customFormat="1" ht="14.25" customHeight="1" x14ac:dyDescent="0.4">
      <c r="A3808">
        <v>1432613</v>
      </c>
      <c r="B3808"/>
      <c r="C3808"/>
      <c r="D3808" t="s">
        <v>54</v>
      </c>
      <c r="E3808"/>
      <c r="F3808"/>
      <c r="G3808">
        <v>2</v>
      </c>
      <c r="H3808" t="s">
        <v>84</v>
      </c>
      <c r="I3808" t="s">
        <v>57</v>
      </c>
      <c r="J3808"/>
      <c r="K3808" t="s">
        <v>537</v>
      </c>
      <c r="L3808" t="s">
        <v>538</v>
      </c>
      <c r="M3808" t="s">
        <v>223</v>
      </c>
      <c r="N3808" t="s">
        <v>234</v>
      </c>
      <c r="O3808" t="s">
        <v>87</v>
      </c>
      <c r="P3808" t="s">
        <v>687</v>
      </c>
      <c r="Q3808"/>
      <c r="R3808" t="s">
        <v>688</v>
      </c>
      <c r="S3808" t="s">
        <v>689</v>
      </c>
      <c r="T3808">
        <v>201.4</v>
      </c>
      <c r="U3808">
        <v>199.5</v>
      </c>
      <c r="V3808">
        <f t="shared" si="118"/>
        <v>200.45</v>
      </c>
      <c r="W3808">
        <f t="shared" si="119"/>
        <v>1.9000000000000057</v>
      </c>
      <c r="X3808">
        <v>-2.7313890000000001</v>
      </c>
      <c r="Y3808">
        <v>51.125</v>
      </c>
      <c r="Z3808" t="s">
        <v>602</v>
      </c>
      <c r="AA3808" t="s">
        <v>91</v>
      </c>
      <c r="AB3808" t="s">
        <v>92</v>
      </c>
      <c r="AC3808" t="s">
        <v>93</v>
      </c>
      <c r="AD3808" t="s">
        <v>691</v>
      </c>
      <c r="AE3808" t="s">
        <v>692</v>
      </c>
      <c r="AF3808"/>
      <c r="AG3808"/>
      <c r="AH3808" t="s">
        <v>72</v>
      </c>
      <c r="AI3808" t="s">
        <v>4330</v>
      </c>
      <c r="AJ3808">
        <v>2017</v>
      </c>
      <c r="AK3808" t="s">
        <v>3974</v>
      </c>
      <c r="AL3808"/>
      <c r="AM3808"/>
      <c r="AN3808" t="s">
        <v>192</v>
      </c>
      <c r="AO3808" t="s">
        <v>77</v>
      </c>
      <c r="AP3808" t="s">
        <v>359</v>
      </c>
      <c r="AQ3808" t="s">
        <v>3975</v>
      </c>
      <c r="AR3808" t="s">
        <v>80</v>
      </c>
      <c r="AS3808">
        <v>315</v>
      </c>
      <c r="AT3808" t="s">
        <v>81</v>
      </c>
      <c r="AU3808">
        <v>9.32</v>
      </c>
      <c r="AV3808">
        <v>36.1</v>
      </c>
      <c r="AW3808" t="s">
        <v>82</v>
      </c>
      <c r="AX3808">
        <v>315</v>
      </c>
      <c r="AY3808" t="s">
        <v>81</v>
      </c>
      <c r="AZ3808">
        <v>1.24</v>
      </c>
      <c r="BA3808">
        <v>37.409999999999997</v>
      </c>
      <c r="BB3808" t="s">
        <v>83</v>
      </c>
    </row>
    <row r="3809" spans="1:54" s="3" customFormat="1" ht="14.25" customHeight="1" x14ac:dyDescent="0.4">
      <c r="A3809">
        <v>1432614</v>
      </c>
      <c r="B3809"/>
      <c r="C3809"/>
      <c r="D3809" t="s">
        <v>54</v>
      </c>
      <c r="E3809"/>
      <c r="F3809"/>
      <c r="G3809">
        <v>3</v>
      </c>
      <c r="H3809" t="s">
        <v>84</v>
      </c>
      <c r="I3809" t="s">
        <v>57</v>
      </c>
      <c r="J3809"/>
      <c r="K3809" t="s">
        <v>537</v>
      </c>
      <c r="L3809" t="s">
        <v>538</v>
      </c>
      <c r="M3809" t="s">
        <v>223</v>
      </c>
      <c r="N3809" t="s">
        <v>234</v>
      </c>
      <c r="O3809" t="s">
        <v>87</v>
      </c>
      <c r="P3809" t="s">
        <v>687</v>
      </c>
      <c r="Q3809"/>
      <c r="R3809" t="s">
        <v>688</v>
      </c>
      <c r="S3809" t="s">
        <v>689</v>
      </c>
      <c r="T3809">
        <v>201.4</v>
      </c>
      <c r="U3809">
        <v>199.5</v>
      </c>
      <c r="V3809">
        <f t="shared" si="118"/>
        <v>200.45</v>
      </c>
      <c r="W3809">
        <f t="shared" si="119"/>
        <v>1.9000000000000057</v>
      </c>
      <c r="X3809">
        <v>-2.7313890000000001</v>
      </c>
      <c r="Y3809">
        <v>51.125</v>
      </c>
      <c r="Z3809" t="s">
        <v>602</v>
      </c>
      <c r="AA3809" t="s">
        <v>91</v>
      </c>
      <c r="AB3809" t="s">
        <v>92</v>
      </c>
      <c r="AC3809" t="s">
        <v>93</v>
      </c>
      <c r="AD3809" t="s">
        <v>691</v>
      </c>
      <c r="AE3809" t="s">
        <v>692</v>
      </c>
      <c r="AF3809"/>
      <c r="AG3809"/>
      <c r="AH3809" t="s">
        <v>72</v>
      </c>
      <c r="AI3809" t="s">
        <v>4330</v>
      </c>
      <c r="AJ3809">
        <v>2017</v>
      </c>
      <c r="AK3809" t="s">
        <v>3974</v>
      </c>
      <c r="AL3809"/>
      <c r="AM3809"/>
      <c r="AN3809" t="s">
        <v>192</v>
      </c>
      <c r="AO3809" t="s">
        <v>77</v>
      </c>
      <c r="AP3809" t="s">
        <v>359</v>
      </c>
      <c r="AQ3809" t="s">
        <v>3975</v>
      </c>
      <c r="AR3809" t="s">
        <v>80</v>
      </c>
      <c r="AS3809">
        <v>315</v>
      </c>
      <c r="AT3809" t="s">
        <v>81</v>
      </c>
      <c r="AU3809">
        <v>9.32</v>
      </c>
      <c r="AV3809">
        <v>36.1</v>
      </c>
      <c r="AW3809" t="s">
        <v>82</v>
      </c>
      <c r="AX3809">
        <v>315</v>
      </c>
      <c r="AY3809" t="s">
        <v>81</v>
      </c>
      <c r="AZ3809">
        <v>1.24</v>
      </c>
      <c r="BA3809">
        <v>37.409999999999997</v>
      </c>
      <c r="BB3809" t="s">
        <v>83</v>
      </c>
    </row>
    <row r="3810" spans="1:54" s="3" customFormat="1" ht="14.25" customHeight="1" x14ac:dyDescent="0.4">
      <c r="A3810">
        <v>1433004</v>
      </c>
      <c r="B3810"/>
      <c r="C3810"/>
      <c r="D3810" t="s">
        <v>54</v>
      </c>
      <c r="E3810"/>
      <c r="F3810"/>
      <c r="G3810">
        <v>4</v>
      </c>
      <c r="H3810" t="s">
        <v>84</v>
      </c>
      <c r="I3810" t="s">
        <v>57</v>
      </c>
      <c r="J3810"/>
      <c r="K3810" t="s">
        <v>537</v>
      </c>
      <c r="L3810" t="s">
        <v>5380</v>
      </c>
      <c r="M3810" t="s">
        <v>223</v>
      </c>
      <c r="N3810" t="s">
        <v>234</v>
      </c>
      <c r="O3810" t="s">
        <v>87</v>
      </c>
      <c r="P3810" t="s">
        <v>687</v>
      </c>
      <c r="Q3810"/>
      <c r="R3810" t="s">
        <v>688</v>
      </c>
      <c r="S3810" t="s">
        <v>689</v>
      </c>
      <c r="T3810">
        <v>201.4</v>
      </c>
      <c r="U3810">
        <v>199.5</v>
      </c>
      <c r="V3810">
        <f t="shared" si="118"/>
        <v>200.45</v>
      </c>
      <c r="W3810">
        <f t="shared" si="119"/>
        <v>1.9000000000000057</v>
      </c>
      <c r="X3810">
        <v>-2.7313890000000001</v>
      </c>
      <c r="Y3810">
        <v>51.125</v>
      </c>
      <c r="Z3810" t="s">
        <v>602</v>
      </c>
      <c r="AA3810" t="s">
        <v>91</v>
      </c>
      <c r="AB3810" t="s">
        <v>92</v>
      </c>
      <c r="AC3810" t="s">
        <v>93</v>
      </c>
      <c r="AD3810" t="s">
        <v>691</v>
      </c>
      <c r="AE3810" t="s">
        <v>692</v>
      </c>
      <c r="AF3810"/>
      <c r="AG3810"/>
      <c r="AH3810" t="s">
        <v>72</v>
      </c>
      <c r="AI3810" t="s">
        <v>5381</v>
      </c>
      <c r="AJ3810">
        <v>1979</v>
      </c>
      <c r="AK3810" t="s">
        <v>3974</v>
      </c>
      <c r="AL3810"/>
      <c r="AM3810"/>
      <c r="AN3810" t="s">
        <v>192</v>
      </c>
      <c r="AO3810" t="s">
        <v>77</v>
      </c>
      <c r="AP3810" t="s">
        <v>359</v>
      </c>
      <c r="AQ3810" t="s">
        <v>3975</v>
      </c>
      <c r="AR3810" t="s">
        <v>80</v>
      </c>
      <c r="AS3810">
        <v>315</v>
      </c>
      <c r="AT3810" t="s">
        <v>81</v>
      </c>
      <c r="AU3810">
        <v>9.32</v>
      </c>
      <c r="AV3810">
        <v>36.1</v>
      </c>
      <c r="AW3810" t="s">
        <v>82</v>
      </c>
      <c r="AX3810">
        <v>315</v>
      </c>
      <c r="AY3810" t="s">
        <v>81</v>
      </c>
      <c r="AZ3810">
        <v>1.24</v>
      </c>
      <c r="BA3810">
        <v>37.409999999999997</v>
      </c>
      <c r="BB3810" t="s">
        <v>83</v>
      </c>
    </row>
    <row r="3811" spans="1:54" s="3" customFormat="1" ht="14.25" customHeight="1" x14ac:dyDescent="0.4">
      <c r="A3811">
        <v>1433006</v>
      </c>
      <c r="B3811"/>
      <c r="C3811"/>
      <c r="D3811" t="s">
        <v>54</v>
      </c>
      <c r="E3811"/>
      <c r="F3811"/>
      <c r="G3811">
        <v>1</v>
      </c>
      <c r="H3811" t="s">
        <v>84</v>
      </c>
      <c r="I3811" t="s">
        <v>57</v>
      </c>
      <c r="J3811"/>
      <c r="K3811" t="s">
        <v>537</v>
      </c>
      <c r="L3811" t="s">
        <v>538</v>
      </c>
      <c r="M3811" t="s">
        <v>223</v>
      </c>
      <c r="N3811" t="s">
        <v>234</v>
      </c>
      <c r="O3811" t="s">
        <v>87</v>
      </c>
      <c r="P3811" t="s">
        <v>687</v>
      </c>
      <c r="Q3811"/>
      <c r="R3811" t="s">
        <v>688</v>
      </c>
      <c r="S3811" t="s">
        <v>689</v>
      </c>
      <c r="T3811">
        <v>201.4</v>
      </c>
      <c r="U3811">
        <v>199.5</v>
      </c>
      <c r="V3811">
        <f t="shared" si="118"/>
        <v>200.45</v>
      </c>
      <c r="W3811">
        <f t="shared" si="119"/>
        <v>1.9000000000000057</v>
      </c>
      <c r="X3811">
        <v>-2.7313890000000001</v>
      </c>
      <c r="Y3811">
        <v>51.125</v>
      </c>
      <c r="Z3811" t="s">
        <v>602</v>
      </c>
      <c r="AA3811" t="s">
        <v>91</v>
      </c>
      <c r="AB3811" t="s">
        <v>92</v>
      </c>
      <c r="AC3811" t="s">
        <v>93</v>
      </c>
      <c r="AD3811" t="s">
        <v>691</v>
      </c>
      <c r="AE3811" t="s">
        <v>692</v>
      </c>
      <c r="AF3811"/>
      <c r="AG3811"/>
      <c r="AH3811" t="s">
        <v>11</v>
      </c>
      <c r="AI3811" t="s">
        <v>5381</v>
      </c>
      <c r="AJ3811">
        <v>1979</v>
      </c>
      <c r="AK3811" t="s">
        <v>3974</v>
      </c>
      <c r="AL3811"/>
      <c r="AM3811"/>
      <c r="AN3811" t="s">
        <v>192</v>
      </c>
      <c r="AO3811" t="s">
        <v>77</v>
      </c>
      <c r="AP3811" t="s">
        <v>359</v>
      </c>
      <c r="AQ3811" t="s">
        <v>3975</v>
      </c>
      <c r="AR3811" t="s">
        <v>80</v>
      </c>
      <c r="AS3811">
        <v>315</v>
      </c>
      <c r="AT3811" t="s">
        <v>81</v>
      </c>
      <c r="AU3811">
        <v>9.32</v>
      </c>
      <c r="AV3811">
        <v>36.1</v>
      </c>
      <c r="AW3811" t="s">
        <v>82</v>
      </c>
      <c r="AX3811">
        <v>315</v>
      </c>
      <c r="AY3811" t="s">
        <v>81</v>
      </c>
      <c r="AZ3811">
        <v>1.24</v>
      </c>
      <c r="BA3811">
        <v>37.409999999999997</v>
      </c>
      <c r="BB3811" t="s">
        <v>83</v>
      </c>
    </row>
    <row r="3812" spans="1:54" s="3" customFormat="1" ht="14.25" customHeight="1" x14ac:dyDescent="0.4">
      <c r="A3812">
        <v>1439364</v>
      </c>
      <c r="B3812"/>
      <c r="C3812"/>
      <c r="D3812" t="s">
        <v>54</v>
      </c>
      <c r="E3812"/>
      <c r="F3812"/>
      <c r="G3812">
        <v>1</v>
      </c>
      <c r="H3812" t="s">
        <v>84</v>
      </c>
      <c r="I3812" t="s">
        <v>57</v>
      </c>
      <c r="J3812"/>
      <c r="K3812" t="s">
        <v>5390</v>
      </c>
      <c r="L3812" t="s">
        <v>5391</v>
      </c>
      <c r="M3812" t="s">
        <v>223</v>
      </c>
      <c r="N3812" t="s">
        <v>234</v>
      </c>
      <c r="O3812" t="s">
        <v>87</v>
      </c>
      <c r="P3812" t="s">
        <v>687</v>
      </c>
      <c r="Q3812"/>
      <c r="R3812" t="s">
        <v>688</v>
      </c>
      <c r="S3812" t="s">
        <v>689</v>
      </c>
      <c r="T3812">
        <v>201.4</v>
      </c>
      <c r="U3812">
        <v>199.5</v>
      </c>
      <c r="V3812">
        <f t="shared" si="118"/>
        <v>200.45</v>
      </c>
      <c r="W3812">
        <f t="shared" si="119"/>
        <v>1.9000000000000057</v>
      </c>
      <c r="X3812">
        <v>-1.1957469999999999</v>
      </c>
      <c r="Y3812">
        <v>52.816532000000002</v>
      </c>
      <c r="Z3812" t="s">
        <v>520</v>
      </c>
      <c r="AA3812" t="s">
        <v>91</v>
      </c>
      <c r="AB3812" t="s">
        <v>92</v>
      </c>
      <c r="AC3812" t="s">
        <v>1131</v>
      </c>
      <c r="AD3812" t="s">
        <v>5392</v>
      </c>
      <c r="AE3812" t="s">
        <v>692</v>
      </c>
      <c r="AF3812" t="s">
        <v>5393</v>
      </c>
      <c r="AG3812"/>
      <c r="AH3812" t="s">
        <v>72</v>
      </c>
      <c r="AI3812" t="s">
        <v>5394</v>
      </c>
      <c r="AJ3812">
        <v>2017</v>
      </c>
      <c r="AK3812" t="s">
        <v>5395</v>
      </c>
      <c r="AL3812"/>
      <c r="AM3812" t="s">
        <v>5396</v>
      </c>
      <c r="AN3812" t="s">
        <v>114</v>
      </c>
      <c r="AO3812">
        <v>6</v>
      </c>
      <c r="AP3812"/>
      <c r="AQ3812" t="s">
        <v>5397</v>
      </c>
      <c r="AR3812" t="s">
        <v>80</v>
      </c>
      <c r="AS3812">
        <v>315</v>
      </c>
      <c r="AT3812" t="s">
        <v>81</v>
      </c>
      <c r="AU3812">
        <v>9.2200000000000006</v>
      </c>
      <c r="AV3812">
        <v>37.659999999999997</v>
      </c>
      <c r="AW3812" t="s">
        <v>82</v>
      </c>
      <c r="AX3812">
        <v>315</v>
      </c>
      <c r="AY3812" t="s">
        <v>81</v>
      </c>
      <c r="AZ3812">
        <v>1.1200000000000001</v>
      </c>
      <c r="BA3812">
        <v>39.19</v>
      </c>
      <c r="BB3812" t="s">
        <v>83</v>
      </c>
    </row>
    <row r="3813" spans="1:54" s="3" customFormat="1" ht="14.25" customHeight="1" x14ac:dyDescent="0.4">
      <c r="A3813">
        <v>1441012</v>
      </c>
      <c r="B3813"/>
      <c r="C3813"/>
      <c r="D3813" t="s">
        <v>54</v>
      </c>
      <c r="E3813"/>
      <c r="F3813"/>
      <c r="G3813">
        <v>1</v>
      </c>
      <c r="H3813" t="s">
        <v>84</v>
      </c>
      <c r="I3813" t="s">
        <v>57</v>
      </c>
      <c r="J3813"/>
      <c r="K3813" t="s">
        <v>141</v>
      </c>
      <c r="L3813" t="s">
        <v>5399</v>
      </c>
      <c r="M3813" t="s">
        <v>223</v>
      </c>
      <c r="N3813" t="s">
        <v>2449</v>
      </c>
      <c r="O3813" t="s">
        <v>87</v>
      </c>
      <c r="P3813" t="s">
        <v>687</v>
      </c>
      <c r="Q3813"/>
      <c r="R3813" t="s">
        <v>688</v>
      </c>
      <c r="S3813" t="s">
        <v>689</v>
      </c>
      <c r="T3813">
        <v>201.4</v>
      </c>
      <c r="U3813">
        <v>199.5</v>
      </c>
      <c r="V3813">
        <f t="shared" si="118"/>
        <v>200.45</v>
      </c>
      <c r="W3813">
        <f t="shared" si="119"/>
        <v>1.9000000000000057</v>
      </c>
      <c r="X3813">
        <v>11.0481</v>
      </c>
      <c r="Y3813">
        <v>51.896178999999997</v>
      </c>
      <c r="Z3813" t="s">
        <v>520</v>
      </c>
      <c r="AA3813" t="s">
        <v>211</v>
      </c>
      <c r="AB3813" t="s">
        <v>5400</v>
      </c>
      <c r="AC3813"/>
      <c r="AD3813"/>
      <c r="AE3813"/>
      <c r="AF3813"/>
      <c r="AG3813" t="s">
        <v>5401</v>
      </c>
      <c r="AH3813" t="s">
        <v>72</v>
      </c>
      <c r="AI3813" t="s">
        <v>5402</v>
      </c>
      <c r="AJ3813">
        <v>2019</v>
      </c>
      <c r="AK3813" t="s">
        <v>5403</v>
      </c>
      <c r="AL3813"/>
      <c r="AM3813" t="s">
        <v>5404</v>
      </c>
      <c r="AN3813" t="s">
        <v>114</v>
      </c>
      <c r="AO3813">
        <v>5</v>
      </c>
      <c r="AP3813"/>
      <c r="AQ3813" t="s">
        <v>5405</v>
      </c>
      <c r="AR3813" t="s">
        <v>80</v>
      </c>
      <c r="AS3813">
        <v>315</v>
      </c>
      <c r="AT3813" t="s">
        <v>81</v>
      </c>
      <c r="AU3813">
        <v>18.52</v>
      </c>
      <c r="AV3813">
        <v>40.799999999999997</v>
      </c>
      <c r="AW3813" t="s">
        <v>82</v>
      </c>
      <c r="AX3813">
        <v>315</v>
      </c>
      <c r="AY3813" t="s">
        <v>81</v>
      </c>
      <c r="AZ3813">
        <v>11.13</v>
      </c>
      <c r="BA3813">
        <v>41.36</v>
      </c>
      <c r="BB3813" t="s">
        <v>83</v>
      </c>
    </row>
    <row r="3814" spans="1:54" s="3" customFormat="1" ht="14.25" customHeight="1" x14ac:dyDescent="0.4">
      <c r="A3814">
        <v>1625162</v>
      </c>
      <c r="B3814"/>
      <c r="C3814"/>
      <c r="D3814" t="s">
        <v>54</v>
      </c>
      <c r="E3814" t="s">
        <v>55</v>
      </c>
      <c r="F3814"/>
      <c r="G3814">
        <v>1</v>
      </c>
      <c r="H3814" t="s">
        <v>56</v>
      </c>
      <c r="I3814" t="s">
        <v>57</v>
      </c>
      <c r="J3814"/>
      <c r="K3814" t="s">
        <v>141</v>
      </c>
      <c r="L3814" t="s">
        <v>1002</v>
      </c>
      <c r="M3814" t="s">
        <v>60</v>
      </c>
      <c r="N3814" t="s">
        <v>256</v>
      </c>
      <c r="O3814" t="s">
        <v>87</v>
      </c>
      <c r="P3814" t="s">
        <v>687</v>
      </c>
      <c r="Q3814"/>
      <c r="R3814" t="s">
        <v>688</v>
      </c>
      <c r="S3814" t="s">
        <v>689</v>
      </c>
      <c r="T3814">
        <v>201.4</v>
      </c>
      <c r="U3814">
        <v>199.5</v>
      </c>
      <c r="V3814">
        <f t="shared" si="118"/>
        <v>200.45</v>
      </c>
      <c r="W3814">
        <f t="shared" si="119"/>
        <v>1.9000000000000057</v>
      </c>
      <c r="X3814">
        <v>102.082504</v>
      </c>
      <c r="Y3814">
        <v>24.957121000000001</v>
      </c>
      <c r="Z3814" t="s">
        <v>346</v>
      </c>
      <c r="AA3814" t="s">
        <v>379</v>
      </c>
      <c r="AB3814" t="s">
        <v>828</v>
      </c>
      <c r="AC3814" t="s">
        <v>829</v>
      </c>
      <c r="AD3814" t="s">
        <v>829</v>
      </c>
      <c r="AE3814"/>
      <c r="AF3814" t="s">
        <v>830</v>
      </c>
      <c r="AG3814"/>
      <c r="AH3814" t="s">
        <v>72</v>
      </c>
      <c r="AI3814" t="s">
        <v>5202</v>
      </c>
      <c r="AJ3814">
        <v>2023</v>
      </c>
      <c r="AK3814" t="s">
        <v>4592</v>
      </c>
      <c r="AL3814"/>
      <c r="AM3814" t="s">
        <v>4593</v>
      </c>
      <c r="AN3814" t="s">
        <v>114</v>
      </c>
      <c r="AO3814">
        <v>6</v>
      </c>
      <c r="AP3814" t="s">
        <v>115</v>
      </c>
      <c r="AQ3814" t="s">
        <v>4594</v>
      </c>
      <c r="AR3814" t="s">
        <v>80</v>
      </c>
      <c r="AS3814">
        <v>611</v>
      </c>
      <c r="AT3814" t="s">
        <v>81</v>
      </c>
      <c r="AU3814">
        <v>120.21</v>
      </c>
      <c r="AV3814">
        <v>37.590000000000003</v>
      </c>
      <c r="AW3814" t="s">
        <v>82</v>
      </c>
      <c r="AX3814">
        <v>611</v>
      </c>
      <c r="AY3814" t="s">
        <v>81</v>
      </c>
      <c r="AZ3814">
        <v>104.66</v>
      </c>
      <c r="BA3814">
        <v>34.15</v>
      </c>
      <c r="BB3814" t="s">
        <v>83</v>
      </c>
    </row>
    <row r="3815" spans="1:54" s="3" customFormat="1" ht="14.25" customHeight="1" x14ac:dyDescent="0.4">
      <c r="A3815">
        <v>1625162</v>
      </c>
      <c r="B3815"/>
      <c r="C3815"/>
      <c r="D3815" t="s">
        <v>54</v>
      </c>
      <c r="E3815" t="s">
        <v>55</v>
      </c>
      <c r="F3815"/>
      <c r="G3815">
        <v>1</v>
      </c>
      <c r="H3815" t="s">
        <v>56</v>
      </c>
      <c r="I3815" t="s">
        <v>57</v>
      </c>
      <c r="J3815"/>
      <c r="K3815" t="s">
        <v>141</v>
      </c>
      <c r="L3815" t="s">
        <v>1002</v>
      </c>
      <c r="M3815" t="s">
        <v>60</v>
      </c>
      <c r="N3815" t="s">
        <v>256</v>
      </c>
      <c r="O3815" t="s">
        <v>87</v>
      </c>
      <c r="P3815" t="s">
        <v>687</v>
      </c>
      <c r="Q3815"/>
      <c r="R3815" t="s">
        <v>688</v>
      </c>
      <c r="S3815" t="s">
        <v>689</v>
      </c>
      <c r="T3815">
        <v>201.4</v>
      </c>
      <c r="U3815">
        <v>199.5</v>
      </c>
      <c r="V3815">
        <f t="shared" si="118"/>
        <v>200.45</v>
      </c>
      <c r="W3815">
        <f t="shared" si="119"/>
        <v>1.9000000000000057</v>
      </c>
      <c r="X3815">
        <v>102.082504</v>
      </c>
      <c r="Y3815">
        <v>24.957121000000001</v>
      </c>
      <c r="Z3815" t="s">
        <v>346</v>
      </c>
      <c r="AA3815" t="s">
        <v>379</v>
      </c>
      <c r="AB3815" t="s">
        <v>828</v>
      </c>
      <c r="AC3815" t="s">
        <v>829</v>
      </c>
      <c r="AD3815" t="s">
        <v>829</v>
      </c>
      <c r="AE3815"/>
      <c r="AF3815" t="s">
        <v>830</v>
      </c>
      <c r="AG3815"/>
      <c r="AH3815" t="s">
        <v>72</v>
      </c>
      <c r="AI3815" t="s">
        <v>5202</v>
      </c>
      <c r="AJ3815">
        <v>2023</v>
      </c>
      <c r="AK3815" t="s">
        <v>4592</v>
      </c>
      <c r="AL3815"/>
      <c r="AM3815" t="s">
        <v>4593</v>
      </c>
      <c r="AN3815" t="s">
        <v>114</v>
      </c>
      <c r="AO3815">
        <v>6</v>
      </c>
      <c r="AP3815" t="s">
        <v>115</v>
      </c>
      <c r="AQ3815" t="s">
        <v>4594</v>
      </c>
      <c r="AR3815" t="s">
        <v>80</v>
      </c>
      <c r="AS3815">
        <v>611</v>
      </c>
      <c r="AT3815" t="s">
        <v>81</v>
      </c>
      <c r="AU3815">
        <v>120.21</v>
      </c>
      <c r="AV3815">
        <v>37.590000000000003</v>
      </c>
      <c r="AW3815" t="s">
        <v>82</v>
      </c>
      <c r="AX3815">
        <v>611</v>
      </c>
      <c r="AY3815" t="s">
        <v>81</v>
      </c>
      <c r="AZ3815">
        <v>104.66</v>
      </c>
      <c r="BA3815">
        <v>34.15</v>
      </c>
      <c r="BB3815" t="s">
        <v>83</v>
      </c>
    </row>
    <row r="3816" spans="1:54" s="3" customFormat="1" ht="14.25" customHeight="1" x14ac:dyDescent="0.4">
      <c r="A3816">
        <v>1633856</v>
      </c>
      <c r="B3816"/>
      <c r="C3816"/>
      <c r="D3816" t="s">
        <v>54</v>
      </c>
      <c r="E3816"/>
      <c r="F3816"/>
      <c r="G3816">
        <v>1</v>
      </c>
      <c r="H3816" t="s">
        <v>84</v>
      </c>
      <c r="I3816" t="s">
        <v>57</v>
      </c>
      <c r="J3816"/>
      <c r="K3816" t="s">
        <v>537</v>
      </c>
      <c r="L3816" t="s">
        <v>538</v>
      </c>
      <c r="M3816" t="s">
        <v>223</v>
      </c>
      <c r="N3816" t="s">
        <v>234</v>
      </c>
      <c r="O3816" t="s">
        <v>87</v>
      </c>
      <c r="P3816" t="s">
        <v>687</v>
      </c>
      <c r="Q3816"/>
      <c r="R3816" t="s">
        <v>688</v>
      </c>
      <c r="S3816" t="s">
        <v>689</v>
      </c>
      <c r="T3816">
        <v>201.4</v>
      </c>
      <c r="U3816">
        <v>199.5</v>
      </c>
      <c r="V3816">
        <f t="shared" si="118"/>
        <v>200.45</v>
      </c>
      <c r="W3816">
        <f t="shared" si="119"/>
        <v>1.9000000000000057</v>
      </c>
      <c r="X3816">
        <v>-2.7313890000000001</v>
      </c>
      <c r="Y3816">
        <v>51.125</v>
      </c>
      <c r="Z3816" t="s">
        <v>602</v>
      </c>
      <c r="AA3816" t="s">
        <v>91</v>
      </c>
      <c r="AB3816" t="s">
        <v>92</v>
      </c>
      <c r="AC3816" t="s">
        <v>93</v>
      </c>
      <c r="AD3816" t="s">
        <v>691</v>
      </c>
      <c r="AE3816" t="s">
        <v>692</v>
      </c>
      <c r="AF3816"/>
      <c r="AG3816"/>
      <c r="AH3816" t="s">
        <v>72</v>
      </c>
      <c r="AI3816" t="s">
        <v>1045</v>
      </c>
      <c r="AJ3816">
        <v>1854</v>
      </c>
      <c r="AK3816" t="s">
        <v>3974</v>
      </c>
      <c r="AL3816"/>
      <c r="AM3816"/>
      <c r="AN3816" t="s">
        <v>192</v>
      </c>
      <c r="AO3816" t="s">
        <v>77</v>
      </c>
      <c r="AP3816" t="s">
        <v>359</v>
      </c>
      <c r="AQ3816" t="s">
        <v>3975</v>
      </c>
      <c r="AR3816" t="s">
        <v>80</v>
      </c>
      <c r="AS3816">
        <v>315</v>
      </c>
      <c r="AT3816" t="s">
        <v>81</v>
      </c>
      <c r="AU3816">
        <v>9.32</v>
      </c>
      <c r="AV3816">
        <v>36.1</v>
      </c>
      <c r="AW3816" t="s">
        <v>82</v>
      </c>
      <c r="AX3816">
        <v>315</v>
      </c>
      <c r="AY3816" t="s">
        <v>81</v>
      </c>
      <c r="AZ3816">
        <v>1.24</v>
      </c>
      <c r="BA3816">
        <v>37.409999999999997</v>
      </c>
      <c r="BB3816" t="s">
        <v>83</v>
      </c>
    </row>
    <row r="3817" spans="1:54" s="3" customFormat="1" ht="14.25" customHeight="1" x14ac:dyDescent="0.4">
      <c r="A3817">
        <v>601711</v>
      </c>
      <c r="B3817"/>
      <c r="C3817"/>
      <c r="D3817" t="s">
        <v>167</v>
      </c>
      <c r="E3817"/>
      <c r="F3817"/>
      <c r="G3817"/>
      <c r="H3817"/>
      <c r="I3817" t="s">
        <v>57</v>
      </c>
      <c r="J3817"/>
      <c r="K3817" t="s">
        <v>771</v>
      </c>
      <c r="L3817" t="s">
        <v>772</v>
      </c>
      <c r="M3817" t="s">
        <v>223</v>
      </c>
      <c r="N3817"/>
      <c r="O3817"/>
      <c r="P3817" t="s">
        <v>224</v>
      </c>
      <c r="Q3817"/>
      <c r="R3817" t="s">
        <v>183</v>
      </c>
      <c r="S3817" t="s">
        <v>64</v>
      </c>
      <c r="T3817">
        <v>246.7</v>
      </c>
      <c r="U3817">
        <v>242</v>
      </c>
      <c r="V3817">
        <f t="shared" si="118"/>
        <v>244.35</v>
      </c>
      <c r="W3817">
        <f t="shared" si="119"/>
        <v>4.6999999999999886</v>
      </c>
      <c r="X3817">
        <v>34.883330999999998</v>
      </c>
      <c r="Y3817">
        <v>30.566668</v>
      </c>
      <c r="Z3817" t="s">
        <v>1361</v>
      </c>
      <c r="AA3817" t="s">
        <v>1351</v>
      </c>
      <c r="AB3817"/>
      <c r="AC3817"/>
      <c r="AD3817"/>
      <c r="AE3817"/>
      <c r="AF3817"/>
      <c r="AG3817"/>
      <c r="AH3817" t="s">
        <v>11</v>
      </c>
      <c r="AI3817" t="s">
        <v>1352</v>
      </c>
      <c r="AJ3817">
        <v>1956</v>
      </c>
      <c r="AK3817" t="s">
        <v>1362</v>
      </c>
      <c r="AL3817"/>
      <c r="AM3817"/>
      <c r="AN3817" t="s">
        <v>192</v>
      </c>
      <c r="AO3817" t="s">
        <v>160</v>
      </c>
      <c r="AP3817" t="s">
        <v>359</v>
      </c>
      <c r="AQ3817" t="s">
        <v>1354</v>
      </c>
      <c r="AR3817" t="s">
        <v>80</v>
      </c>
      <c r="AS3817">
        <v>508</v>
      </c>
      <c r="AT3817" t="s">
        <v>81</v>
      </c>
      <c r="AU3817">
        <v>39.1</v>
      </c>
      <c r="AV3817">
        <v>-3.42</v>
      </c>
      <c r="AW3817" t="s">
        <v>82</v>
      </c>
      <c r="AX3817">
        <v>508</v>
      </c>
      <c r="AY3817" t="s">
        <v>81</v>
      </c>
      <c r="AZ3817">
        <v>34.950000000000003</v>
      </c>
      <c r="BA3817">
        <v>-13.96</v>
      </c>
      <c r="BB3817" t="s">
        <v>83</v>
      </c>
    </row>
    <row r="3818" spans="1:54" s="3" customFormat="1" ht="14.25" customHeight="1" x14ac:dyDescent="0.4">
      <c r="A3818">
        <v>601712</v>
      </c>
      <c r="B3818"/>
      <c r="C3818"/>
      <c r="D3818" t="s">
        <v>167</v>
      </c>
      <c r="E3818"/>
      <c r="F3818"/>
      <c r="G3818"/>
      <c r="H3818"/>
      <c r="I3818" t="s">
        <v>57</v>
      </c>
      <c r="J3818"/>
      <c r="K3818" t="s">
        <v>1347</v>
      </c>
      <c r="L3818" t="s">
        <v>1348</v>
      </c>
      <c r="M3818" t="s">
        <v>223</v>
      </c>
      <c r="N3818" t="s">
        <v>485</v>
      </c>
      <c r="O3818" t="s">
        <v>1349</v>
      </c>
      <c r="P3818" t="s">
        <v>224</v>
      </c>
      <c r="Q3818"/>
      <c r="R3818" t="s">
        <v>183</v>
      </c>
      <c r="S3818" t="s">
        <v>64</v>
      </c>
      <c r="T3818">
        <v>246.7</v>
      </c>
      <c r="U3818">
        <v>242</v>
      </c>
      <c r="V3818">
        <f t="shared" si="118"/>
        <v>244.35</v>
      </c>
      <c r="W3818">
        <f t="shared" si="119"/>
        <v>4.6999999999999886</v>
      </c>
      <c r="X3818">
        <v>34.883330999999998</v>
      </c>
      <c r="Y3818">
        <v>30.566668</v>
      </c>
      <c r="Z3818" t="s">
        <v>1361</v>
      </c>
      <c r="AA3818" t="s">
        <v>1351</v>
      </c>
      <c r="AB3818"/>
      <c r="AC3818"/>
      <c r="AD3818"/>
      <c r="AE3818"/>
      <c r="AF3818"/>
      <c r="AG3818"/>
      <c r="AH3818" t="s">
        <v>11</v>
      </c>
      <c r="AI3818" t="s">
        <v>1352</v>
      </c>
      <c r="AJ3818">
        <v>1956</v>
      </c>
      <c r="AK3818" t="s">
        <v>1362</v>
      </c>
      <c r="AL3818"/>
      <c r="AM3818"/>
      <c r="AN3818" t="s">
        <v>192</v>
      </c>
      <c r="AO3818" t="s">
        <v>160</v>
      </c>
      <c r="AP3818" t="s">
        <v>359</v>
      </c>
      <c r="AQ3818" t="s">
        <v>1354</v>
      </c>
      <c r="AR3818" t="s">
        <v>80</v>
      </c>
      <c r="AS3818">
        <v>508</v>
      </c>
      <c r="AT3818" t="s">
        <v>81</v>
      </c>
      <c r="AU3818">
        <v>39.1</v>
      </c>
      <c r="AV3818">
        <v>-3.42</v>
      </c>
      <c r="AW3818" t="s">
        <v>82</v>
      </c>
      <c r="AX3818">
        <v>508</v>
      </c>
      <c r="AY3818" t="s">
        <v>81</v>
      </c>
      <c r="AZ3818">
        <v>34.950000000000003</v>
      </c>
      <c r="BA3818">
        <v>-13.96</v>
      </c>
      <c r="BB3818" t="s">
        <v>83</v>
      </c>
    </row>
    <row r="3819" spans="1:54" s="3" customFormat="1" ht="14.25" customHeight="1" x14ac:dyDescent="0.4">
      <c r="A3819">
        <v>601714</v>
      </c>
      <c r="B3819"/>
      <c r="C3819"/>
      <c r="D3819" t="s">
        <v>167</v>
      </c>
      <c r="E3819"/>
      <c r="F3819"/>
      <c r="G3819"/>
      <c r="H3819"/>
      <c r="I3819" t="s">
        <v>57</v>
      </c>
      <c r="J3819"/>
      <c r="K3819" t="s">
        <v>1359</v>
      </c>
      <c r="L3819" t="s">
        <v>1360</v>
      </c>
      <c r="M3819" t="s">
        <v>223</v>
      </c>
      <c r="N3819"/>
      <c r="O3819"/>
      <c r="P3819" t="s">
        <v>224</v>
      </c>
      <c r="Q3819"/>
      <c r="R3819" t="s">
        <v>183</v>
      </c>
      <c r="S3819" t="s">
        <v>64</v>
      </c>
      <c r="T3819">
        <v>246.7</v>
      </c>
      <c r="U3819">
        <v>242</v>
      </c>
      <c r="V3819">
        <f t="shared" si="118"/>
        <v>244.35</v>
      </c>
      <c r="W3819">
        <f t="shared" si="119"/>
        <v>4.6999999999999886</v>
      </c>
      <c r="X3819">
        <v>34.883330999999998</v>
      </c>
      <c r="Y3819">
        <v>30.566668</v>
      </c>
      <c r="Z3819" t="s">
        <v>1361</v>
      </c>
      <c r="AA3819" t="s">
        <v>1351</v>
      </c>
      <c r="AB3819"/>
      <c r="AC3819"/>
      <c r="AD3819"/>
      <c r="AE3819"/>
      <c r="AF3819"/>
      <c r="AG3819"/>
      <c r="AH3819" t="s">
        <v>11</v>
      </c>
      <c r="AI3819" t="s">
        <v>1352</v>
      </c>
      <c r="AJ3819">
        <v>1956</v>
      </c>
      <c r="AK3819" t="s">
        <v>1362</v>
      </c>
      <c r="AL3819"/>
      <c r="AM3819"/>
      <c r="AN3819" t="s">
        <v>192</v>
      </c>
      <c r="AO3819" t="s">
        <v>160</v>
      </c>
      <c r="AP3819" t="s">
        <v>359</v>
      </c>
      <c r="AQ3819" t="s">
        <v>1354</v>
      </c>
      <c r="AR3819" t="s">
        <v>80</v>
      </c>
      <c r="AS3819">
        <v>508</v>
      </c>
      <c r="AT3819" t="s">
        <v>81</v>
      </c>
      <c r="AU3819">
        <v>39.1</v>
      </c>
      <c r="AV3819">
        <v>-3.42</v>
      </c>
      <c r="AW3819" t="s">
        <v>82</v>
      </c>
      <c r="AX3819">
        <v>508</v>
      </c>
      <c r="AY3819" t="s">
        <v>81</v>
      </c>
      <c r="AZ3819">
        <v>34.950000000000003</v>
      </c>
      <c r="BA3819">
        <v>-13.96</v>
      </c>
      <c r="BB3819" t="s">
        <v>83</v>
      </c>
    </row>
    <row r="3820" spans="1:54" s="3" customFormat="1" ht="14.25" customHeight="1" x14ac:dyDescent="0.4">
      <c r="A3820">
        <v>797944</v>
      </c>
      <c r="B3820"/>
      <c r="C3820"/>
      <c r="D3820" t="s">
        <v>54</v>
      </c>
      <c r="E3820" t="s">
        <v>310</v>
      </c>
      <c r="F3820"/>
      <c r="G3820">
        <v>1</v>
      </c>
      <c r="H3820" t="s">
        <v>56</v>
      </c>
      <c r="I3820" t="s">
        <v>57</v>
      </c>
      <c r="J3820"/>
      <c r="K3820" t="s">
        <v>221</v>
      </c>
      <c r="L3820" t="s">
        <v>2086</v>
      </c>
      <c r="M3820" t="s">
        <v>223</v>
      </c>
      <c r="N3820"/>
      <c r="O3820"/>
      <c r="P3820" t="s">
        <v>224</v>
      </c>
      <c r="Q3820"/>
      <c r="R3820" t="s">
        <v>183</v>
      </c>
      <c r="S3820" t="s">
        <v>64</v>
      </c>
      <c r="T3820">
        <v>246.7</v>
      </c>
      <c r="U3820">
        <v>242</v>
      </c>
      <c r="V3820">
        <f t="shared" si="118"/>
        <v>244.35</v>
      </c>
      <c r="W3820">
        <f t="shared" si="119"/>
        <v>4.6999999999999886</v>
      </c>
      <c r="X3820">
        <v>8.9391669999999994</v>
      </c>
      <c r="Y3820">
        <v>45.911945000000003</v>
      </c>
      <c r="Z3820" t="s">
        <v>1415</v>
      </c>
      <c r="AA3820" t="s">
        <v>226</v>
      </c>
      <c r="AB3820" t="s">
        <v>2079</v>
      </c>
      <c r="AC3820" t="s">
        <v>2080</v>
      </c>
      <c r="AD3820" t="s">
        <v>2075</v>
      </c>
      <c r="AE3820"/>
      <c r="AF3820"/>
      <c r="AG3820" t="s">
        <v>2087</v>
      </c>
      <c r="AH3820" t="s">
        <v>72</v>
      </c>
      <c r="AI3820" t="s">
        <v>2013</v>
      </c>
      <c r="AJ3820">
        <v>1989</v>
      </c>
      <c r="AK3820" t="s">
        <v>2088</v>
      </c>
      <c r="AL3820"/>
      <c r="AM3820"/>
      <c r="AN3820" t="s">
        <v>192</v>
      </c>
      <c r="AO3820" t="s">
        <v>77</v>
      </c>
      <c r="AP3820" t="s">
        <v>115</v>
      </c>
      <c r="AQ3820" t="s">
        <v>2089</v>
      </c>
      <c r="AR3820" t="s">
        <v>80</v>
      </c>
      <c r="AS3820">
        <v>307</v>
      </c>
      <c r="AT3820" t="s">
        <v>81</v>
      </c>
      <c r="AU3820">
        <v>34.29</v>
      </c>
      <c r="AV3820">
        <v>16.7</v>
      </c>
      <c r="AW3820" t="s">
        <v>82</v>
      </c>
      <c r="AX3820">
        <v>307</v>
      </c>
      <c r="AY3820" t="s">
        <v>81</v>
      </c>
      <c r="AZ3820">
        <v>22.06</v>
      </c>
      <c r="BA3820">
        <v>7.2</v>
      </c>
      <c r="BB3820" t="s">
        <v>83</v>
      </c>
    </row>
    <row r="3821" spans="1:54" s="3" customFormat="1" ht="14.25" customHeight="1" x14ac:dyDescent="0.4">
      <c r="A3821">
        <v>797945</v>
      </c>
      <c r="B3821"/>
      <c r="C3821"/>
      <c r="D3821" t="s">
        <v>853</v>
      </c>
      <c r="E3821" t="s">
        <v>310</v>
      </c>
      <c r="F3821"/>
      <c r="G3821">
        <v>1</v>
      </c>
      <c r="H3821" t="s">
        <v>56</v>
      </c>
      <c r="I3821" t="s">
        <v>57</v>
      </c>
      <c r="J3821"/>
      <c r="K3821" t="s">
        <v>221</v>
      </c>
      <c r="L3821" t="s">
        <v>2086</v>
      </c>
      <c r="M3821" t="s">
        <v>223</v>
      </c>
      <c r="N3821"/>
      <c r="O3821"/>
      <c r="P3821" t="s">
        <v>224</v>
      </c>
      <c r="Q3821"/>
      <c r="R3821" t="s">
        <v>183</v>
      </c>
      <c r="S3821" t="s">
        <v>64</v>
      </c>
      <c r="T3821">
        <v>246.7</v>
      </c>
      <c r="U3821">
        <v>242</v>
      </c>
      <c r="V3821">
        <f t="shared" si="118"/>
        <v>244.35</v>
      </c>
      <c r="W3821">
        <f t="shared" si="119"/>
        <v>4.6999999999999886</v>
      </c>
      <c r="X3821">
        <v>8.9391669999999994</v>
      </c>
      <c r="Y3821">
        <v>45.911945000000003</v>
      </c>
      <c r="Z3821" t="s">
        <v>1415</v>
      </c>
      <c r="AA3821" t="s">
        <v>226</v>
      </c>
      <c r="AB3821" t="s">
        <v>2079</v>
      </c>
      <c r="AC3821" t="s">
        <v>2080</v>
      </c>
      <c r="AD3821" t="s">
        <v>2075</v>
      </c>
      <c r="AE3821"/>
      <c r="AF3821"/>
      <c r="AG3821" t="s">
        <v>2087</v>
      </c>
      <c r="AH3821" t="s">
        <v>72</v>
      </c>
      <c r="AI3821" t="s">
        <v>2013</v>
      </c>
      <c r="AJ3821">
        <v>1989</v>
      </c>
      <c r="AK3821" t="s">
        <v>2090</v>
      </c>
      <c r="AL3821"/>
      <c r="AM3821"/>
      <c r="AN3821" t="s">
        <v>192</v>
      </c>
      <c r="AO3821" t="s">
        <v>77</v>
      </c>
      <c r="AP3821" t="s">
        <v>78</v>
      </c>
      <c r="AQ3821" t="s">
        <v>2089</v>
      </c>
      <c r="AR3821" t="s">
        <v>80</v>
      </c>
      <c r="AS3821">
        <v>307</v>
      </c>
      <c r="AT3821" t="s">
        <v>81</v>
      </c>
      <c r="AU3821">
        <v>34.29</v>
      </c>
      <c r="AV3821">
        <v>16.7</v>
      </c>
      <c r="AW3821" t="s">
        <v>82</v>
      </c>
      <c r="AX3821">
        <v>307</v>
      </c>
      <c r="AY3821" t="s">
        <v>81</v>
      </c>
      <c r="AZ3821">
        <v>22.06</v>
      </c>
      <c r="BA3821">
        <v>7.2</v>
      </c>
      <c r="BB3821" t="s">
        <v>83</v>
      </c>
    </row>
    <row r="3822" spans="1:54" s="3" customFormat="1" ht="14.25" customHeight="1" x14ac:dyDescent="0.4">
      <c r="A3822">
        <v>797946</v>
      </c>
      <c r="B3822"/>
      <c r="C3822"/>
      <c r="D3822" t="s">
        <v>853</v>
      </c>
      <c r="E3822" t="s">
        <v>310</v>
      </c>
      <c r="F3822"/>
      <c r="G3822">
        <v>1</v>
      </c>
      <c r="H3822" t="s">
        <v>56</v>
      </c>
      <c r="I3822" t="s">
        <v>57</v>
      </c>
      <c r="J3822"/>
      <c r="K3822" t="s">
        <v>221</v>
      </c>
      <c r="L3822" t="s">
        <v>2086</v>
      </c>
      <c r="M3822" t="s">
        <v>223</v>
      </c>
      <c r="N3822"/>
      <c r="O3822"/>
      <c r="P3822" t="s">
        <v>224</v>
      </c>
      <c r="Q3822"/>
      <c r="R3822" t="s">
        <v>183</v>
      </c>
      <c r="S3822" t="s">
        <v>64</v>
      </c>
      <c r="T3822">
        <v>246.7</v>
      </c>
      <c r="U3822">
        <v>242</v>
      </c>
      <c r="V3822">
        <f t="shared" si="118"/>
        <v>244.35</v>
      </c>
      <c r="W3822">
        <f t="shared" si="119"/>
        <v>4.6999999999999886</v>
      </c>
      <c r="X3822">
        <v>8.9391669999999994</v>
      </c>
      <c r="Y3822">
        <v>45.911945000000003</v>
      </c>
      <c r="Z3822" t="s">
        <v>1415</v>
      </c>
      <c r="AA3822" t="s">
        <v>226</v>
      </c>
      <c r="AB3822" t="s">
        <v>2079</v>
      </c>
      <c r="AC3822" t="s">
        <v>2080</v>
      </c>
      <c r="AD3822" t="s">
        <v>2075</v>
      </c>
      <c r="AE3822"/>
      <c r="AF3822"/>
      <c r="AG3822" t="s">
        <v>2087</v>
      </c>
      <c r="AH3822" t="s">
        <v>72</v>
      </c>
      <c r="AI3822" t="s">
        <v>2013</v>
      </c>
      <c r="AJ3822">
        <v>1989</v>
      </c>
      <c r="AK3822" t="s">
        <v>2091</v>
      </c>
      <c r="AL3822"/>
      <c r="AM3822"/>
      <c r="AN3822" t="s">
        <v>192</v>
      </c>
      <c r="AO3822" t="s">
        <v>77</v>
      </c>
      <c r="AP3822" t="s">
        <v>115</v>
      </c>
      <c r="AQ3822" t="s">
        <v>2089</v>
      </c>
      <c r="AR3822" t="s">
        <v>80</v>
      </c>
      <c r="AS3822">
        <v>307</v>
      </c>
      <c r="AT3822" t="s">
        <v>81</v>
      </c>
      <c r="AU3822">
        <v>34.29</v>
      </c>
      <c r="AV3822">
        <v>16.7</v>
      </c>
      <c r="AW3822" t="s">
        <v>82</v>
      </c>
      <c r="AX3822">
        <v>307</v>
      </c>
      <c r="AY3822" t="s">
        <v>81</v>
      </c>
      <c r="AZ3822">
        <v>22.06</v>
      </c>
      <c r="BA3822">
        <v>7.2</v>
      </c>
      <c r="BB3822" t="s">
        <v>83</v>
      </c>
    </row>
    <row r="3823" spans="1:54" s="3" customFormat="1" ht="14.25" customHeight="1" x14ac:dyDescent="0.4">
      <c r="A3823">
        <v>797946</v>
      </c>
      <c r="B3823"/>
      <c r="C3823"/>
      <c r="D3823" t="s">
        <v>853</v>
      </c>
      <c r="E3823" t="s">
        <v>310</v>
      </c>
      <c r="F3823"/>
      <c r="G3823">
        <v>1</v>
      </c>
      <c r="H3823" t="s">
        <v>56</v>
      </c>
      <c r="I3823" t="s">
        <v>57</v>
      </c>
      <c r="J3823"/>
      <c r="K3823" t="s">
        <v>221</v>
      </c>
      <c r="L3823" t="s">
        <v>2086</v>
      </c>
      <c r="M3823" t="s">
        <v>223</v>
      </c>
      <c r="N3823"/>
      <c r="O3823"/>
      <c r="P3823" t="s">
        <v>224</v>
      </c>
      <c r="Q3823"/>
      <c r="R3823" t="s">
        <v>183</v>
      </c>
      <c r="S3823" t="s">
        <v>64</v>
      </c>
      <c r="T3823">
        <v>246.7</v>
      </c>
      <c r="U3823">
        <v>242</v>
      </c>
      <c r="V3823">
        <f t="shared" si="118"/>
        <v>244.35</v>
      </c>
      <c r="W3823">
        <f t="shared" si="119"/>
        <v>4.6999999999999886</v>
      </c>
      <c r="X3823">
        <v>8.9391669999999994</v>
      </c>
      <c r="Y3823">
        <v>45.911945000000003</v>
      </c>
      <c r="Z3823" t="s">
        <v>1415</v>
      </c>
      <c r="AA3823" t="s">
        <v>226</v>
      </c>
      <c r="AB3823" t="s">
        <v>2079</v>
      </c>
      <c r="AC3823" t="s">
        <v>2080</v>
      </c>
      <c r="AD3823" t="s">
        <v>2075</v>
      </c>
      <c r="AE3823"/>
      <c r="AF3823"/>
      <c r="AG3823" t="s">
        <v>2087</v>
      </c>
      <c r="AH3823" t="s">
        <v>72</v>
      </c>
      <c r="AI3823" t="s">
        <v>2013</v>
      </c>
      <c r="AJ3823">
        <v>1989</v>
      </c>
      <c r="AK3823" t="s">
        <v>2091</v>
      </c>
      <c r="AL3823"/>
      <c r="AM3823"/>
      <c r="AN3823" t="s">
        <v>192</v>
      </c>
      <c r="AO3823" t="s">
        <v>77</v>
      </c>
      <c r="AP3823" t="s">
        <v>115</v>
      </c>
      <c r="AQ3823" t="s">
        <v>2089</v>
      </c>
      <c r="AR3823" t="s">
        <v>80</v>
      </c>
      <c r="AS3823">
        <v>307</v>
      </c>
      <c r="AT3823" t="s">
        <v>81</v>
      </c>
      <c r="AU3823">
        <v>34.29</v>
      </c>
      <c r="AV3823">
        <v>16.7</v>
      </c>
      <c r="AW3823" t="s">
        <v>82</v>
      </c>
      <c r="AX3823">
        <v>307</v>
      </c>
      <c r="AY3823" t="s">
        <v>81</v>
      </c>
      <c r="AZ3823">
        <v>22.06</v>
      </c>
      <c r="BA3823">
        <v>7.2</v>
      </c>
      <c r="BB3823" t="s">
        <v>83</v>
      </c>
    </row>
    <row r="3824" spans="1:54" s="3" customFormat="1" ht="14.25" customHeight="1" x14ac:dyDescent="0.4">
      <c r="A3824">
        <v>797947</v>
      </c>
      <c r="B3824"/>
      <c r="C3824"/>
      <c r="D3824" t="s">
        <v>853</v>
      </c>
      <c r="E3824" t="s">
        <v>310</v>
      </c>
      <c r="F3824"/>
      <c r="G3824">
        <v>1</v>
      </c>
      <c r="H3824" t="s">
        <v>56</v>
      </c>
      <c r="I3824" t="s">
        <v>57</v>
      </c>
      <c r="J3824"/>
      <c r="K3824" t="s">
        <v>221</v>
      </c>
      <c r="L3824" t="s">
        <v>2086</v>
      </c>
      <c r="M3824" t="s">
        <v>223</v>
      </c>
      <c r="N3824"/>
      <c r="O3824"/>
      <c r="P3824" t="s">
        <v>224</v>
      </c>
      <c r="Q3824"/>
      <c r="R3824" t="s">
        <v>183</v>
      </c>
      <c r="S3824" t="s">
        <v>64</v>
      </c>
      <c r="T3824">
        <v>246.7</v>
      </c>
      <c r="U3824">
        <v>242</v>
      </c>
      <c r="V3824">
        <f t="shared" si="118"/>
        <v>244.35</v>
      </c>
      <c r="W3824">
        <f t="shared" si="119"/>
        <v>4.6999999999999886</v>
      </c>
      <c r="X3824">
        <v>8.9391669999999994</v>
      </c>
      <c r="Y3824">
        <v>45.911945000000003</v>
      </c>
      <c r="Z3824" t="s">
        <v>1415</v>
      </c>
      <c r="AA3824" t="s">
        <v>226</v>
      </c>
      <c r="AB3824" t="s">
        <v>2079</v>
      </c>
      <c r="AC3824" t="s">
        <v>2080</v>
      </c>
      <c r="AD3824" t="s">
        <v>2075</v>
      </c>
      <c r="AE3824"/>
      <c r="AF3824"/>
      <c r="AG3824" t="s">
        <v>2087</v>
      </c>
      <c r="AH3824" t="s">
        <v>72</v>
      </c>
      <c r="AI3824" t="s">
        <v>2013</v>
      </c>
      <c r="AJ3824">
        <v>1989</v>
      </c>
      <c r="AK3824" t="s">
        <v>2092</v>
      </c>
      <c r="AL3824"/>
      <c r="AM3824"/>
      <c r="AN3824" t="s">
        <v>192</v>
      </c>
      <c r="AO3824" t="s">
        <v>77</v>
      </c>
      <c r="AP3824" t="s">
        <v>115</v>
      </c>
      <c r="AQ3824" t="s">
        <v>2089</v>
      </c>
      <c r="AR3824" t="s">
        <v>80</v>
      </c>
      <c r="AS3824">
        <v>307</v>
      </c>
      <c r="AT3824" t="s">
        <v>81</v>
      </c>
      <c r="AU3824">
        <v>34.29</v>
      </c>
      <c r="AV3824">
        <v>16.7</v>
      </c>
      <c r="AW3824" t="s">
        <v>82</v>
      </c>
      <c r="AX3824">
        <v>307</v>
      </c>
      <c r="AY3824" t="s">
        <v>81</v>
      </c>
      <c r="AZ3824">
        <v>22.06</v>
      </c>
      <c r="BA3824">
        <v>7.2</v>
      </c>
      <c r="BB3824" t="s">
        <v>83</v>
      </c>
    </row>
    <row r="3825" spans="1:54" s="3" customFormat="1" ht="14.25" customHeight="1" x14ac:dyDescent="0.4">
      <c r="A3825">
        <v>797947</v>
      </c>
      <c r="B3825"/>
      <c r="C3825"/>
      <c r="D3825" t="s">
        <v>853</v>
      </c>
      <c r="E3825" t="s">
        <v>310</v>
      </c>
      <c r="F3825"/>
      <c r="G3825">
        <v>1</v>
      </c>
      <c r="H3825" t="s">
        <v>56</v>
      </c>
      <c r="I3825" t="s">
        <v>57</v>
      </c>
      <c r="J3825"/>
      <c r="K3825" t="s">
        <v>221</v>
      </c>
      <c r="L3825" t="s">
        <v>2086</v>
      </c>
      <c r="M3825" t="s">
        <v>223</v>
      </c>
      <c r="N3825"/>
      <c r="O3825"/>
      <c r="P3825" t="s">
        <v>224</v>
      </c>
      <c r="Q3825"/>
      <c r="R3825" t="s">
        <v>183</v>
      </c>
      <c r="S3825" t="s">
        <v>64</v>
      </c>
      <c r="T3825">
        <v>246.7</v>
      </c>
      <c r="U3825">
        <v>242</v>
      </c>
      <c r="V3825">
        <f t="shared" si="118"/>
        <v>244.35</v>
      </c>
      <c r="W3825">
        <f t="shared" si="119"/>
        <v>4.6999999999999886</v>
      </c>
      <c r="X3825">
        <v>8.9391669999999994</v>
      </c>
      <c r="Y3825">
        <v>45.911945000000003</v>
      </c>
      <c r="Z3825" t="s">
        <v>1415</v>
      </c>
      <c r="AA3825" t="s">
        <v>226</v>
      </c>
      <c r="AB3825" t="s">
        <v>2079</v>
      </c>
      <c r="AC3825" t="s">
        <v>2080</v>
      </c>
      <c r="AD3825" t="s">
        <v>2075</v>
      </c>
      <c r="AE3825"/>
      <c r="AF3825"/>
      <c r="AG3825" t="s">
        <v>2087</v>
      </c>
      <c r="AH3825" t="s">
        <v>72</v>
      </c>
      <c r="AI3825" t="s">
        <v>2013</v>
      </c>
      <c r="AJ3825">
        <v>1989</v>
      </c>
      <c r="AK3825" t="s">
        <v>2092</v>
      </c>
      <c r="AL3825"/>
      <c r="AM3825"/>
      <c r="AN3825" t="s">
        <v>192</v>
      </c>
      <c r="AO3825" t="s">
        <v>77</v>
      </c>
      <c r="AP3825" t="s">
        <v>115</v>
      </c>
      <c r="AQ3825" t="s">
        <v>2089</v>
      </c>
      <c r="AR3825" t="s">
        <v>80</v>
      </c>
      <c r="AS3825">
        <v>307</v>
      </c>
      <c r="AT3825" t="s">
        <v>81</v>
      </c>
      <c r="AU3825">
        <v>34.29</v>
      </c>
      <c r="AV3825">
        <v>16.7</v>
      </c>
      <c r="AW3825" t="s">
        <v>82</v>
      </c>
      <c r="AX3825">
        <v>307</v>
      </c>
      <c r="AY3825" t="s">
        <v>81</v>
      </c>
      <c r="AZ3825">
        <v>22.06</v>
      </c>
      <c r="BA3825">
        <v>7.2</v>
      </c>
      <c r="BB3825" t="s">
        <v>83</v>
      </c>
    </row>
    <row r="3826" spans="1:54" s="3" customFormat="1" ht="14.25" customHeight="1" x14ac:dyDescent="0.4">
      <c r="A3826">
        <v>797947</v>
      </c>
      <c r="B3826"/>
      <c r="C3826"/>
      <c r="D3826" t="s">
        <v>853</v>
      </c>
      <c r="E3826" t="s">
        <v>310</v>
      </c>
      <c r="F3826"/>
      <c r="G3826">
        <v>1</v>
      </c>
      <c r="H3826" t="s">
        <v>56</v>
      </c>
      <c r="I3826" t="s">
        <v>57</v>
      </c>
      <c r="J3826"/>
      <c r="K3826" t="s">
        <v>221</v>
      </c>
      <c r="L3826" t="s">
        <v>2086</v>
      </c>
      <c r="M3826" t="s">
        <v>223</v>
      </c>
      <c r="N3826"/>
      <c r="O3826"/>
      <c r="P3826" t="s">
        <v>224</v>
      </c>
      <c r="Q3826"/>
      <c r="R3826" t="s">
        <v>183</v>
      </c>
      <c r="S3826" t="s">
        <v>64</v>
      </c>
      <c r="T3826">
        <v>246.7</v>
      </c>
      <c r="U3826">
        <v>242</v>
      </c>
      <c r="V3826">
        <f t="shared" si="118"/>
        <v>244.35</v>
      </c>
      <c r="W3826">
        <f t="shared" si="119"/>
        <v>4.6999999999999886</v>
      </c>
      <c r="X3826">
        <v>8.9391669999999994</v>
      </c>
      <c r="Y3826">
        <v>45.911945000000003</v>
      </c>
      <c r="Z3826" t="s">
        <v>1415</v>
      </c>
      <c r="AA3826" t="s">
        <v>226</v>
      </c>
      <c r="AB3826" t="s">
        <v>2079</v>
      </c>
      <c r="AC3826" t="s">
        <v>2080</v>
      </c>
      <c r="AD3826" t="s">
        <v>2075</v>
      </c>
      <c r="AE3826"/>
      <c r="AF3826"/>
      <c r="AG3826" t="s">
        <v>2087</v>
      </c>
      <c r="AH3826" t="s">
        <v>72</v>
      </c>
      <c r="AI3826" t="s">
        <v>2013</v>
      </c>
      <c r="AJ3826">
        <v>1989</v>
      </c>
      <c r="AK3826" t="s">
        <v>2092</v>
      </c>
      <c r="AL3826"/>
      <c r="AM3826"/>
      <c r="AN3826" t="s">
        <v>192</v>
      </c>
      <c r="AO3826" t="s">
        <v>77</v>
      </c>
      <c r="AP3826" t="s">
        <v>115</v>
      </c>
      <c r="AQ3826" t="s">
        <v>2089</v>
      </c>
      <c r="AR3826" t="s">
        <v>80</v>
      </c>
      <c r="AS3826">
        <v>307</v>
      </c>
      <c r="AT3826" t="s">
        <v>81</v>
      </c>
      <c r="AU3826">
        <v>34.29</v>
      </c>
      <c r="AV3826">
        <v>16.7</v>
      </c>
      <c r="AW3826" t="s">
        <v>82</v>
      </c>
      <c r="AX3826">
        <v>307</v>
      </c>
      <c r="AY3826" t="s">
        <v>81</v>
      </c>
      <c r="AZ3826">
        <v>22.06</v>
      </c>
      <c r="BA3826">
        <v>7.2</v>
      </c>
      <c r="BB3826" t="s">
        <v>83</v>
      </c>
    </row>
    <row r="3827" spans="1:54" s="3" customFormat="1" ht="14.25" customHeight="1" x14ac:dyDescent="0.4">
      <c r="A3827">
        <v>797947</v>
      </c>
      <c r="B3827"/>
      <c r="C3827"/>
      <c r="D3827" t="s">
        <v>853</v>
      </c>
      <c r="E3827" t="s">
        <v>310</v>
      </c>
      <c r="F3827"/>
      <c r="G3827">
        <v>1</v>
      </c>
      <c r="H3827" t="s">
        <v>56</v>
      </c>
      <c r="I3827" t="s">
        <v>57</v>
      </c>
      <c r="J3827"/>
      <c r="K3827" t="s">
        <v>221</v>
      </c>
      <c r="L3827" t="s">
        <v>2086</v>
      </c>
      <c r="M3827" t="s">
        <v>223</v>
      </c>
      <c r="N3827"/>
      <c r="O3827"/>
      <c r="P3827" t="s">
        <v>224</v>
      </c>
      <c r="Q3827"/>
      <c r="R3827" t="s">
        <v>183</v>
      </c>
      <c r="S3827" t="s">
        <v>64</v>
      </c>
      <c r="T3827">
        <v>246.7</v>
      </c>
      <c r="U3827">
        <v>242</v>
      </c>
      <c r="V3827">
        <f t="shared" si="118"/>
        <v>244.35</v>
      </c>
      <c r="W3827">
        <f t="shared" si="119"/>
        <v>4.6999999999999886</v>
      </c>
      <c r="X3827">
        <v>8.9391669999999994</v>
      </c>
      <c r="Y3827">
        <v>45.911945000000003</v>
      </c>
      <c r="Z3827" t="s">
        <v>1415</v>
      </c>
      <c r="AA3827" t="s">
        <v>226</v>
      </c>
      <c r="AB3827" t="s">
        <v>2079</v>
      </c>
      <c r="AC3827" t="s">
        <v>2080</v>
      </c>
      <c r="AD3827" t="s">
        <v>2075</v>
      </c>
      <c r="AE3827"/>
      <c r="AF3827"/>
      <c r="AG3827" t="s">
        <v>2087</v>
      </c>
      <c r="AH3827" t="s">
        <v>72</v>
      </c>
      <c r="AI3827" t="s">
        <v>2013</v>
      </c>
      <c r="AJ3827">
        <v>1989</v>
      </c>
      <c r="AK3827" t="s">
        <v>2092</v>
      </c>
      <c r="AL3827"/>
      <c r="AM3827"/>
      <c r="AN3827" t="s">
        <v>192</v>
      </c>
      <c r="AO3827" t="s">
        <v>77</v>
      </c>
      <c r="AP3827" t="s">
        <v>115</v>
      </c>
      <c r="AQ3827" t="s">
        <v>2089</v>
      </c>
      <c r="AR3827" t="s">
        <v>80</v>
      </c>
      <c r="AS3827">
        <v>307</v>
      </c>
      <c r="AT3827" t="s">
        <v>81</v>
      </c>
      <c r="AU3827">
        <v>34.29</v>
      </c>
      <c r="AV3827">
        <v>16.7</v>
      </c>
      <c r="AW3827" t="s">
        <v>82</v>
      </c>
      <c r="AX3827">
        <v>307</v>
      </c>
      <c r="AY3827" t="s">
        <v>81</v>
      </c>
      <c r="AZ3827">
        <v>22.06</v>
      </c>
      <c r="BA3827">
        <v>7.2</v>
      </c>
      <c r="BB3827" t="s">
        <v>83</v>
      </c>
    </row>
    <row r="3828" spans="1:54" s="3" customFormat="1" ht="14.25" customHeight="1" x14ac:dyDescent="0.4">
      <c r="A3828">
        <v>884125</v>
      </c>
      <c r="B3828"/>
      <c r="C3828"/>
      <c r="D3828" t="s">
        <v>179</v>
      </c>
      <c r="E3828" t="s">
        <v>55</v>
      </c>
      <c r="F3828" t="s">
        <v>600</v>
      </c>
      <c r="G3828">
        <v>1</v>
      </c>
      <c r="H3828" t="s">
        <v>56</v>
      </c>
      <c r="I3828" t="s">
        <v>57</v>
      </c>
      <c r="J3828"/>
      <c r="K3828" t="s">
        <v>141</v>
      </c>
      <c r="L3828" t="s">
        <v>3343</v>
      </c>
      <c r="M3828" t="s">
        <v>223</v>
      </c>
      <c r="N3828"/>
      <c r="O3828"/>
      <c r="P3828" t="s">
        <v>224</v>
      </c>
      <c r="Q3828"/>
      <c r="R3828" t="s">
        <v>183</v>
      </c>
      <c r="S3828" t="s">
        <v>64</v>
      </c>
      <c r="T3828">
        <v>246.7</v>
      </c>
      <c r="U3828">
        <v>242</v>
      </c>
      <c r="V3828">
        <f t="shared" si="118"/>
        <v>244.35</v>
      </c>
      <c r="W3828">
        <f t="shared" si="119"/>
        <v>4.6999999999999886</v>
      </c>
      <c r="X3828">
        <v>-117.566666</v>
      </c>
      <c r="Y3828">
        <v>40.033332999999999</v>
      </c>
      <c r="Z3828" t="s">
        <v>1004</v>
      </c>
      <c r="AA3828" t="s">
        <v>66</v>
      </c>
      <c r="AB3828" t="s">
        <v>558</v>
      </c>
      <c r="AC3828" t="s">
        <v>559</v>
      </c>
      <c r="AD3828" t="s">
        <v>3344</v>
      </c>
      <c r="AE3828" t="s">
        <v>3345</v>
      </c>
      <c r="AF3828" t="s">
        <v>3346</v>
      </c>
      <c r="AG3828" t="s">
        <v>3347</v>
      </c>
      <c r="AH3828" t="s">
        <v>72</v>
      </c>
      <c r="AI3828" t="s">
        <v>3202</v>
      </c>
      <c r="AJ3828">
        <v>1997</v>
      </c>
      <c r="AK3828" t="s">
        <v>3348</v>
      </c>
      <c r="AL3828"/>
      <c r="AM3828"/>
      <c r="AN3828" t="s">
        <v>192</v>
      </c>
      <c r="AO3828" t="s">
        <v>160</v>
      </c>
      <c r="AP3828" t="s">
        <v>78</v>
      </c>
      <c r="AQ3828" t="s">
        <v>3349</v>
      </c>
      <c r="AR3828" t="s">
        <v>80</v>
      </c>
      <c r="AS3828">
        <v>101</v>
      </c>
      <c r="AT3828" t="s">
        <v>81</v>
      </c>
      <c r="AU3828">
        <v>-38.04</v>
      </c>
      <c r="AV3828">
        <v>24.59</v>
      </c>
      <c r="AW3828" t="s">
        <v>82</v>
      </c>
      <c r="AX3828">
        <v>131</v>
      </c>
      <c r="AY3828" t="s">
        <v>81</v>
      </c>
      <c r="AZ3828">
        <v>-43.1</v>
      </c>
      <c r="BA3828">
        <v>9.15</v>
      </c>
      <c r="BB3828" t="s">
        <v>83</v>
      </c>
    </row>
    <row r="3829" spans="1:54" s="3" customFormat="1" ht="14.25" customHeight="1" x14ac:dyDescent="0.4">
      <c r="A3829">
        <v>884857</v>
      </c>
      <c r="B3829"/>
      <c r="C3829"/>
      <c r="D3829" t="s">
        <v>853</v>
      </c>
      <c r="E3829" t="s">
        <v>55</v>
      </c>
      <c r="F3829" t="s">
        <v>600</v>
      </c>
      <c r="G3829">
        <v>1</v>
      </c>
      <c r="H3829" t="s">
        <v>56</v>
      </c>
      <c r="I3829" t="s">
        <v>57</v>
      </c>
      <c r="J3829"/>
      <c r="K3829" t="s">
        <v>802</v>
      </c>
      <c r="L3829" t="s">
        <v>803</v>
      </c>
      <c r="M3829" t="s">
        <v>223</v>
      </c>
      <c r="N3829" t="s">
        <v>234</v>
      </c>
      <c r="O3829" t="s">
        <v>87</v>
      </c>
      <c r="P3829" t="s">
        <v>224</v>
      </c>
      <c r="Q3829"/>
      <c r="R3829" t="s">
        <v>183</v>
      </c>
      <c r="S3829" t="s">
        <v>64</v>
      </c>
      <c r="T3829">
        <v>246.7</v>
      </c>
      <c r="U3829">
        <v>242</v>
      </c>
      <c r="V3829">
        <f t="shared" si="118"/>
        <v>244.35</v>
      </c>
      <c r="W3829">
        <f t="shared" si="119"/>
        <v>4.6999999999999886</v>
      </c>
      <c r="X3829">
        <v>8.9405560000000008</v>
      </c>
      <c r="Y3829">
        <v>45.911945000000003</v>
      </c>
      <c r="Z3829" t="s">
        <v>1415</v>
      </c>
      <c r="AA3829" t="s">
        <v>226</v>
      </c>
      <c r="AB3829"/>
      <c r="AC3829"/>
      <c r="AD3829" t="s">
        <v>2075</v>
      </c>
      <c r="AE3829"/>
      <c r="AF3829" t="s">
        <v>3350</v>
      </c>
      <c r="AG3829"/>
      <c r="AH3829" t="s">
        <v>72</v>
      </c>
      <c r="AI3829" t="s">
        <v>228</v>
      </c>
      <c r="AJ3829">
        <v>1989</v>
      </c>
      <c r="AK3829" t="s">
        <v>3351</v>
      </c>
      <c r="AL3829"/>
      <c r="AM3829"/>
      <c r="AN3829" t="s">
        <v>192</v>
      </c>
      <c r="AO3829" t="s">
        <v>77</v>
      </c>
      <c r="AP3829" t="s">
        <v>115</v>
      </c>
      <c r="AQ3829"/>
      <c r="AR3829" t="s">
        <v>80</v>
      </c>
      <c r="AS3829">
        <v>307</v>
      </c>
      <c r="AT3829" t="s">
        <v>81</v>
      </c>
      <c r="AU3829">
        <v>34.29</v>
      </c>
      <c r="AV3829">
        <v>16.7</v>
      </c>
      <c r="AW3829" t="s">
        <v>82</v>
      </c>
      <c r="AX3829">
        <v>307</v>
      </c>
      <c r="AY3829" t="s">
        <v>81</v>
      </c>
      <c r="AZ3829">
        <v>22.06</v>
      </c>
      <c r="BA3829">
        <v>7.2</v>
      </c>
      <c r="BB3829" t="s">
        <v>83</v>
      </c>
    </row>
    <row r="3830" spans="1:54" s="3" customFormat="1" ht="14.25" customHeight="1" x14ac:dyDescent="0.4">
      <c r="A3830">
        <v>906287</v>
      </c>
      <c r="B3830"/>
      <c r="C3830"/>
      <c r="D3830" t="s">
        <v>54</v>
      </c>
      <c r="E3830" t="s">
        <v>297</v>
      </c>
      <c r="F3830"/>
      <c r="G3830"/>
      <c r="H3830"/>
      <c r="I3830" t="s">
        <v>57</v>
      </c>
      <c r="J3830"/>
      <c r="K3830" t="s">
        <v>802</v>
      </c>
      <c r="L3830" t="s">
        <v>803</v>
      </c>
      <c r="M3830" t="s">
        <v>223</v>
      </c>
      <c r="N3830" t="s">
        <v>234</v>
      </c>
      <c r="O3830" t="s">
        <v>87</v>
      </c>
      <c r="P3830" t="s">
        <v>224</v>
      </c>
      <c r="Q3830"/>
      <c r="R3830" t="s">
        <v>183</v>
      </c>
      <c r="S3830" t="s">
        <v>64</v>
      </c>
      <c r="T3830">
        <v>246.7</v>
      </c>
      <c r="U3830">
        <v>242</v>
      </c>
      <c r="V3830">
        <f t="shared" si="118"/>
        <v>244.35</v>
      </c>
      <c r="W3830">
        <f t="shared" si="119"/>
        <v>4.6999999999999886</v>
      </c>
      <c r="X3830">
        <v>-116.716667</v>
      </c>
      <c r="Y3830">
        <v>40</v>
      </c>
      <c r="Z3830" t="s">
        <v>520</v>
      </c>
      <c r="AA3830" t="s">
        <v>66</v>
      </c>
      <c r="AB3830" t="s">
        <v>558</v>
      </c>
      <c r="AC3830" t="s">
        <v>3509</v>
      </c>
      <c r="AD3830"/>
      <c r="AE3830"/>
      <c r="AF3830"/>
      <c r="AG3830" t="s">
        <v>3510</v>
      </c>
      <c r="AH3830" t="s">
        <v>72</v>
      </c>
      <c r="AI3830" t="s">
        <v>3511</v>
      </c>
      <c r="AJ3830">
        <v>1868</v>
      </c>
      <c r="AK3830" t="s">
        <v>3512</v>
      </c>
      <c r="AL3830"/>
      <c r="AM3830"/>
      <c r="AN3830" t="s">
        <v>114</v>
      </c>
      <c r="AO3830" t="s">
        <v>160</v>
      </c>
      <c r="AP3830" t="s">
        <v>115</v>
      </c>
      <c r="AQ3830" t="s">
        <v>3513</v>
      </c>
      <c r="AR3830" t="s">
        <v>80</v>
      </c>
      <c r="AS3830">
        <v>101</v>
      </c>
      <c r="AT3830" t="s">
        <v>81</v>
      </c>
      <c r="AU3830">
        <v>-37.39</v>
      </c>
      <c r="AV3830">
        <v>24.31</v>
      </c>
      <c r="AW3830" t="s">
        <v>82</v>
      </c>
      <c r="AX3830">
        <v>131</v>
      </c>
      <c r="AY3830" t="s">
        <v>81</v>
      </c>
      <c r="AZ3830">
        <v>-42.52</v>
      </c>
      <c r="BA3830">
        <v>8.84</v>
      </c>
      <c r="BB3830" t="s">
        <v>83</v>
      </c>
    </row>
    <row r="3831" spans="1:54" s="3" customFormat="1" ht="14.25" customHeight="1" x14ac:dyDescent="0.4">
      <c r="A3831">
        <v>909076</v>
      </c>
      <c r="B3831"/>
      <c r="C3831"/>
      <c r="D3831" t="s">
        <v>54</v>
      </c>
      <c r="E3831" t="s">
        <v>152</v>
      </c>
      <c r="F3831"/>
      <c r="G3831">
        <v>1</v>
      </c>
      <c r="H3831" t="s">
        <v>84</v>
      </c>
      <c r="I3831" t="s">
        <v>57</v>
      </c>
      <c r="J3831"/>
      <c r="K3831" t="s">
        <v>232</v>
      </c>
      <c r="L3831" t="s">
        <v>233</v>
      </c>
      <c r="M3831" t="s">
        <v>223</v>
      </c>
      <c r="N3831" t="s">
        <v>234</v>
      </c>
      <c r="O3831" t="s">
        <v>87</v>
      </c>
      <c r="P3831" t="s">
        <v>224</v>
      </c>
      <c r="Q3831"/>
      <c r="R3831" t="s">
        <v>183</v>
      </c>
      <c r="S3831" t="s">
        <v>64</v>
      </c>
      <c r="T3831">
        <v>246.7</v>
      </c>
      <c r="U3831">
        <v>242</v>
      </c>
      <c r="V3831">
        <f t="shared" si="118"/>
        <v>244.35</v>
      </c>
      <c r="W3831">
        <f t="shared" si="119"/>
        <v>4.6999999999999886</v>
      </c>
      <c r="X3831">
        <v>-117.53833</v>
      </c>
      <c r="Y3831">
        <v>40.048611000000001</v>
      </c>
      <c r="Z3831" t="s">
        <v>520</v>
      </c>
      <c r="AA3831" t="s">
        <v>66</v>
      </c>
      <c r="AB3831" t="s">
        <v>558</v>
      </c>
      <c r="AC3831" t="s">
        <v>559</v>
      </c>
      <c r="AD3831" t="s">
        <v>3344</v>
      </c>
      <c r="AE3831"/>
      <c r="AF3831" t="s">
        <v>3346</v>
      </c>
      <c r="AG3831" t="s">
        <v>3347</v>
      </c>
      <c r="AH3831" t="s">
        <v>11</v>
      </c>
      <c r="AI3831" t="s">
        <v>3562</v>
      </c>
      <c r="AJ3831">
        <v>1990</v>
      </c>
      <c r="AK3831" t="s">
        <v>3563</v>
      </c>
      <c r="AL3831"/>
      <c r="AM3831"/>
      <c r="AN3831" t="s">
        <v>76</v>
      </c>
      <c r="AO3831" t="s">
        <v>77</v>
      </c>
      <c r="AP3831" t="s">
        <v>115</v>
      </c>
      <c r="AQ3831" t="s">
        <v>3564</v>
      </c>
      <c r="AR3831" t="s">
        <v>80</v>
      </c>
      <c r="AS3831">
        <v>101</v>
      </c>
      <c r="AT3831" t="s">
        <v>81</v>
      </c>
      <c r="AU3831">
        <v>-38.01</v>
      </c>
      <c r="AV3831">
        <v>24.6</v>
      </c>
      <c r="AW3831" t="s">
        <v>82</v>
      </c>
      <c r="AX3831">
        <v>131</v>
      </c>
      <c r="AY3831" t="s">
        <v>81</v>
      </c>
      <c r="AZ3831">
        <v>-43.08</v>
      </c>
      <c r="BA3831">
        <v>9.15</v>
      </c>
      <c r="BB3831" t="s">
        <v>83</v>
      </c>
    </row>
    <row r="3832" spans="1:54" s="3" customFormat="1" ht="14.25" customHeight="1" x14ac:dyDescent="0.4">
      <c r="A3832">
        <v>920614</v>
      </c>
      <c r="B3832"/>
      <c r="C3832"/>
      <c r="D3832" t="s">
        <v>54</v>
      </c>
      <c r="E3832" t="s">
        <v>55</v>
      </c>
      <c r="F3832"/>
      <c r="G3832">
        <v>1</v>
      </c>
      <c r="H3832" t="s">
        <v>84</v>
      </c>
      <c r="I3832" t="s">
        <v>57</v>
      </c>
      <c r="J3832"/>
      <c r="K3832" t="s">
        <v>771</v>
      </c>
      <c r="L3832" t="s">
        <v>3368</v>
      </c>
      <c r="M3832" t="s">
        <v>223</v>
      </c>
      <c r="N3832"/>
      <c r="O3832"/>
      <c r="P3832" t="s">
        <v>224</v>
      </c>
      <c r="Q3832"/>
      <c r="R3832" t="s">
        <v>183</v>
      </c>
      <c r="S3832" t="s">
        <v>64</v>
      </c>
      <c r="T3832">
        <v>246.7</v>
      </c>
      <c r="U3832">
        <v>242</v>
      </c>
      <c r="V3832">
        <f t="shared" si="118"/>
        <v>244.35</v>
      </c>
      <c r="W3832">
        <f t="shared" si="119"/>
        <v>4.6999999999999886</v>
      </c>
      <c r="X3832">
        <v>8.7249999999999996</v>
      </c>
      <c r="Y3832">
        <v>49.314999</v>
      </c>
      <c r="Z3832" t="s">
        <v>520</v>
      </c>
      <c r="AA3832" t="s">
        <v>211</v>
      </c>
      <c r="AB3832" t="s">
        <v>212</v>
      </c>
      <c r="AC3832" t="s">
        <v>3616</v>
      </c>
      <c r="AD3832" t="s">
        <v>3617</v>
      </c>
      <c r="AE3832" t="s">
        <v>1378</v>
      </c>
      <c r="AF3832"/>
      <c r="AG3832"/>
      <c r="AH3832" t="s">
        <v>72</v>
      </c>
      <c r="AI3832" t="s">
        <v>2013</v>
      </c>
      <c r="AJ3832">
        <v>1995</v>
      </c>
      <c r="AK3832" t="s">
        <v>3618</v>
      </c>
      <c r="AL3832"/>
      <c r="AM3832" t="s">
        <v>3619</v>
      </c>
      <c r="AN3832" t="s">
        <v>114</v>
      </c>
      <c r="AO3832">
        <v>3</v>
      </c>
      <c r="AP3832" t="s">
        <v>78</v>
      </c>
      <c r="AQ3832" t="s">
        <v>3620</v>
      </c>
      <c r="AR3832" t="s">
        <v>80</v>
      </c>
      <c r="AS3832">
        <v>305</v>
      </c>
      <c r="AT3832" t="s">
        <v>81</v>
      </c>
      <c r="AU3832">
        <v>28.23</v>
      </c>
      <c r="AV3832">
        <v>27.85</v>
      </c>
      <c r="AW3832" t="s">
        <v>82</v>
      </c>
      <c r="AX3832">
        <v>305</v>
      </c>
      <c r="AY3832" t="s">
        <v>81</v>
      </c>
      <c r="AZ3832">
        <v>18.87</v>
      </c>
      <c r="BA3832">
        <v>14.93</v>
      </c>
      <c r="BB3832" t="s">
        <v>83</v>
      </c>
    </row>
    <row r="3833" spans="1:54" s="3" customFormat="1" ht="14.25" customHeight="1" x14ac:dyDescent="0.4">
      <c r="A3833">
        <v>1094854</v>
      </c>
      <c r="B3833"/>
      <c r="C3833"/>
      <c r="D3833" t="s">
        <v>54</v>
      </c>
      <c r="E3833"/>
      <c r="F3833"/>
      <c r="G3833">
        <v>1</v>
      </c>
      <c r="H3833" t="s">
        <v>84</v>
      </c>
      <c r="I3833" t="s">
        <v>57</v>
      </c>
      <c r="J3833"/>
      <c r="K3833" t="s">
        <v>771</v>
      </c>
      <c r="L3833" t="s">
        <v>772</v>
      </c>
      <c r="M3833" t="s">
        <v>223</v>
      </c>
      <c r="N3833"/>
      <c r="O3833"/>
      <c r="P3833" t="s">
        <v>224</v>
      </c>
      <c r="Q3833"/>
      <c r="R3833" t="s">
        <v>183</v>
      </c>
      <c r="S3833" t="s">
        <v>64</v>
      </c>
      <c r="T3833">
        <v>246.7</v>
      </c>
      <c r="U3833">
        <v>242</v>
      </c>
      <c r="V3833">
        <f t="shared" si="118"/>
        <v>244.35</v>
      </c>
      <c r="W3833">
        <f t="shared" si="119"/>
        <v>4.6999999999999886</v>
      </c>
      <c r="X3833">
        <v>13.783333000000001</v>
      </c>
      <c r="Y3833">
        <v>52.466667000000001</v>
      </c>
      <c r="Z3833" t="s">
        <v>520</v>
      </c>
      <c r="AA3833" t="s">
        <v>211</v>
      </c>
      <c r="AB3833"/>
      <c r="AC3833"/>
      <c r="AD3833" t="s">
        <v>4181</v>
      </c>
      <c r="AE3833" t="s">
        <v>1378</v>
      </c>
      <c r="AF3833" t="s">
        <v>4182</v>
      </c>
      <c r="AG3833"/>
      <c r="AH3833" t="s">
        <v>72</v>
      </c>
      <c r="AI3833" t="s">
        <v>4147</v>
      </c>
      <c r="AJ3833">
        <v>1996</v>
      </c>
      <c r="AK3833" t="s">
        <v>4183</v>
      </c>
      <c r="AL3833"/>
      <c r="AM3833" t="s">
        <v>4114</v>
      </c>
      <c r="AN3833" t="s">
        <v>192</v>
      </c>
      <c r="AO3833" t="s">
        <v>77</v>
      </c>
      <c r="AP3833" t="s">
        <v>115</v>
      </c>
      <c r="AQ3833"/>
      <c r="AR3833" t="s">
        <v>80</v>
      </c>
      <c r="AS3833">
        <v>315</v>
      </c>
      <c r="AT3833" t="s">
        <v>81</v>
      </c>
      <c r="AU3833">
        <v>30.91</v>
      </c>
      <c r="AV3833">
        <v>31.68</v>
      </c>
      <c r="AW3833" t="s">
        <v>82</v>
      </c>
      <c r="AX3833">
        <v>315</v>
      </c>
      <c r="AY3833" t="s">
        <v>81</v>
      </c>
      <c r="AZ3833">
        <v>20.59</v>
      </c>
      <c r="BA3833">
        <v>19.100000000000001</v>
      </c>
      <c r="BB3833" t="s">
        <v>83</v>
      </c>
    </row>
    <row r="3834" spans="1:54" s="3" customFormat="1" ht="15" customHeight="1" x14ac:dyDescent="0.4">
      <c r="A3834">
        <v>1094855</v>
      </c>
      <c r="B3834"/>
      <c r="C3834"/>
      <c r="D3834" t="s">
        <v>54</v>
      </c>
      <c r="E3834"/>
      <c r="F3834"/>
      <c r="G3834">
        <v>1</v>
      </c>
      <c r="H3834" t="s">
        <v>84</v>
      </c>
      <c r="I3834" t="s">
        <v>57</v>
      </c>
      <c r="J3834"/>
      <c r="K3834" t="s">
        <v>771</v>
      </c>
      <c r="L3834" t="s">
        <v>772</v>
      </c>
      <c r="M3834" t="s">
        <v>223</v>
      </c>
      <c r="N3834"/>
      <c r="O3834"/>
      <c r="P3834" t="s">
        <v>224</v>
      </c>
      <c r="Q3834"/>
      <c r="R3834" t="s">
        <v>183</v>
      </c>
      <c r="S3834" t="s">
        <v>64</v>
      </c>
      <c r="T3834">
        <v>246.7</v>
      </c>
      <c r="U3834">
        <v>242</v>
      </c>
      <c r="V3834">
        <f t="shared" si="118"/>
        <v>244.35</v>
      </c>
      <c r="W3834">
        <f t="shared" si="119"/>
        <v>4.6999999999999886</v>
      </c>
      <c r="X3834">
        <v>13.783333000000001</v>
      </c>
      <c r="Y3834">
        <v>52.466667000000001</v>
      </c>
      <c r="Z3834" t="s">
        <v>520</v>
      </c>
      <c r="AA3834" t="s">
        <v>211</v>
      </c>
      <c r="AB3834"/>
      <c r="AC3834"/>
      <c r="AD3834" t="s">
        <v>4181</v>
      </c>
      <c r="AE3834" t="s">
        <v>1378</v>
      </c>
      <c r="AF3834" t="s">
        <v>4182</v>
      </c>
      <c r="AG3834"/>
      <c r="AH3834" t="s">
        <v>72</v>
      </c>
      <c r="AI3834" t="s">
        <v>4147</v>
      </c>
      <c r="AJ3834">
        <v>1996</v>
      </c>
      <c r="AK3834" t="s">
        <v>4183</v>
      </c>
      <c r="AL3834"/>
      <c r="AM3834" t="s">
        <v>4114</v>
      </c>
      <c r="AN3834" t="s">
        <v>192</v>
      </c>
      <c r="AO3834" t="s">
        <v>77</v>
      </c>
      <c r="AP3834" t="s">
        <v>115</v>
      </c>
      <c r="AQ3834"/>
      <c r="AR3834" t="s">
        <v>80</v>
      </c>
      <c r="AS3834">
        <v>315</v>
      </c>
      <c r="AT3834" t="s">
        <v>81</v>
      </c>
      <c r="AU3834">
        <v>30.91</v>
      </c>
      <c r="AV3834">
        <v>31.68</v>
      </c>
      <c r="AW3834" t="s">
        <v>82</v>
      </c>
      <c r="AX3834">
        <v>315</v>
      </c>
      <c r="AY3834" t="s">
        <v>81</v>
      </c>
      <c r="AZ3834">
        <v>20.59</v>
      </c>
      <c r="BA3834">
        <v>19.100000000000001</v>
      </c>
      <c r="BB3834" t="s">
        <v>83</v>
      </c>
    </row>
    <row r="3835" spans="1:54" s="3" customFormat="1" ht="15" customHeight="1" x14ac:dyDescent="0.4">
      <c r="A3835">
        <v>1094858</v>
      </c>
      <c r="B3835"/>
      <c r="C3835"/>
      <c r="D3835" t="s">
        <v>54</v>
      </c>
      <c r="E3835"/>
      <c r="F3835"/>
      <c r="G3835">
        <v>1</v>
      </c>
      <c r="H3835" t="s">
        <v>56</v>
      </c>
      <c r="I3835" t="s">
        <v>57</v>
      </c>
      <c r="J3835"/>
      <c r="K3835" t="s">
        <v>771</v>
      </c>
      <c r="L3835" t="s">
        <v>772</v>
      </c>
      <c r="M3835" t="s">
        <v>223</v>
      </c>
      <c r="N3835"/>
      <c r="O3835"/>
      <c r="P3835" t="s">
        <v>224</v>
      </c>
      <c r="Q3835"/>
      <c r="R3835" t="s">
        <v>183</v>
      </c>
      <c r="S3835" t="s">
        <v>64</v>
      </c>
      <c r="T3835">
        <v>246.7</v>
      </c>
      <c r="U3835">
        <v>242</v>
      </c>
      <c r="V3835">
        <f t="shared" si="118"/>
        <v>244.35</v>
      </c>
      <c r="W3835">
        <f t="shared" si="119"/>
        <v>4.6999999999999886</v>
      </c>
      <c r="X3835">
        <v>13.783333000000001</v>
      </c>
      <c r="Y3835">
        <v>52.466667000000001</v>
      </c>
      <c r="Z3835" t="s">
        <v>520</v>
      </c>
      <c r="AA3835" t="s">
        <v>211</v>
      </c>
      <c r="AB3835"/>
      <c r="AC3835"/>
      <c r="AD3835" t="s">
        <v>4181</v>
      </c>
      <c r="AE3835" t="s">
        <v>1378</v>
      </c>
      <c r="AF3835" t="s">
        <v>4182</v>
      </c>
      <c r="AG3835"/>
      <c r="AH3835" t="s">
        <v>72</v>
      </c>
      <c r="AI3835" t="s">
        <v>4147</v>
      </c>
      <c r="AJ3835">
        <v>1996</v>
      </c>
      <c r="AK3835" t="s">
        <v>4183</v>
      </c>
      <c r="AL3835"/>
      <c r="AM3835" t="s">
        <v>4114</v>
      </c>
      <c r="AN3835" t="s">
        <v>192</v>
      </c>
      <c r="AO3835" t="s">
        <v>77</v>
      </c>
      <c r="AP3835" t="s">
        <v>115</v>
      </c>
      <c r="AQ3835"/>
      <c r="AR3835" t="s">
        <v>80</v>
      </c>
      <c r="AS3835">
        <v>315</v>
      </c>
      <c r="AT3835" t="s">
        <v>81</v>
      </c>
      <c r="AU3835">
        <v>30.91</v>
      </c>
      <c r="AV3835">
        <v>31.68</v>
      </c>
      <c r="AW3835" t="s">
        <v>82</v>
      </c>
      <c r="AX3835">
        <v>315</v>
      </c>
      <c r="AY3835" t="s">
        <v>81</v>
      </c>
      <c r="AZ3835">
        <v>20.59</v>
      </c>
      <c r="BA3835">
        <v>19.100000000000001</v>
      </c>
      <c r="BB3835" t="s">
        <v>83</v>
      </c>
    </row>
    <row r="3836" spans="1:54" s="3" customFormat="1" ht="15" customHeight="1" x14ac:dyDescent="0.4">
      <c r="A3836">
        <v>1094858</v>
      </c>
      <c r="B3836"/>
      <c r="C3836"/>
      <c r="D3836" t="s">
        <v>54</v>
      </c>
      <c r="E3836"/>
      <c r="F3836"/>
      <c r="G3836">
        <v>1</v>
      </c>
      <c r="H3836" t="s">
        <v>56</v>
      </c>
      <c r="I3836" t="s">
        <v>57</v>
      </c>
      <c r="J3836"/>
      <c r="K3836" t="s">
        <v>771</v>
      </c>
      <c r="L3836" t="s">
        <v>772</v>
      </c>
      <c r="M3836" t="s">
        <v>223</v>
      </c>
      <c r="N3836"/>
      <c r="O3836"/>
      <c r="P3836" t="s">
        <v>224</v>
      </c>
      <c r="Q3836"/>
      <c r="R3836" t="s">
        <v>183</v>
      </c>
      <c r="S3836" t="s">
        <v>64</v>
      </c>
      <c r="T3836">
        <v>246.7</v>
      </c>
      <c r="U3836">
        <v>242</v>
      </c>
      <c r="V3836">
        <f t="shared" si="118"/>
        <v>244.35</v>
      </c>
      <c r="W3836">
        <f t="shared" si="119"/>
        <v>4.6999999999999886</v>
      </c>
      <c r="X3836">
        <v>13.783333000000001</v>
      </c>
      <c r="Y3836">
        <v>52.466667000000001</v>
      </c>
      <c r="Z3836" t="s">
        <v>520</v>
      </c>
      <c r="AA3836" t="s">
        <v>211</v>
      </c>
      <c r="AB3836"/>
      <c r="AC3836"/>
      <c r="AD3836" t="s">
        <v>4181</v>
      </c>
      <c r="AE3836" t="s">
        <v>1378</v>
      </c>
      <c r="AF3836" t="s">
        <v>4182</v>
      </c>
      <c r="AG3836"/>
      <c r="AH3836" t="s">
        <v>72</v>
      </c>
      <c r="AI3836" t="s">
        <v>4147</v>
      </c>
      <c r="AJ3836">
        <v>1996</v>
      </c>
      <c r="AK3836" t="s">
        <v>4183</v>
      </c>
      <c r="AL3836"/>
      <c r="AM3836" t="s">
        <v>4114</v>
      </c>
      <c r="AN3836" t="s">
        <v>192</v>
      </c>
      <c r="AO3836" t="s">
        <v>77</v>
      </c>
      <c r="AP3836" t="s">
        <v>115</v>
      </c>
      <c r="AQ3836"/>
      <c r="AR3836" t="s">
        <v>80</v>
      </c>
      <c r="AS3836">
        <v>315</v>
      </c>
      <c r="AT3836" t="s">
        <v>81</v>
      </c>
      <c r="AU3836">
        <v>30.91</v>
      </c>
      <c r="AV3836">
        <v>31.68</v>
      </c>
      <c r="AW3836" t="s">
        <v>82</v>
      </c>
      <c r="AX3836">
        <v>315</v>
      </c>
      <c r="AY3836" t="s">
        <v>81</v>
      </c>
      <c r="AZ3836">
        <v>20.59</v>
      </c>
      <c r="BA3836">
        <v>19.100000000000001</v>
      </c>
      <c r="BB3836" t="s">
        <v>83</v>
      </c>
    </row>
    <row r="3837" spans="1:54" s="3" customFormat="1" ht="15" customHeight="1" x14ac:dyDescent="0.4">
      <c r="A3837">
        <v>1094859</v>
      </c>
      <c r="B3837"/>
      <c r="C3837"/>
      <c r="D3837" t="s">
        <v>54</v>
      </c>
      <c r="E3837"/>
      <c r="F3837"/>
      <c r="G3837">
        <v>1</v>
      </c>
      <c r="H3837" t="s">
        <v>84</v>
      </c>
      <c r="I3837" t="s">
        <v>57</v>
      </c>
      <c r="J3837"/>
      <c r="K3837" t="s">
        <v>771</v>
      </c>
      <c r="L3837" t="s">
        <v>772</v>
      </c>
      <c r="M3837" t="s">
        <v>223</v>
      </c>
      <c r="N3837"/>
      <c r="O3837"/>
      <c r="P3837" t="s">
        <v>224</v>
      </c>
      <c r="Q3837"/>
      <c r="R3837" t="s">
        <v>183</v>
      </c>
      <c r="S3837" t="s">
        <v>64</v>
      </c>
      <c r="T3837">
        <v>246.7</v>
      </c>
      <c r="U3837">
        <v>242</v>
      </c>
      <c r="V3837">
        <f t="shared" si="118"/>
        <v>244.35</v>
      </c>
      <c r="W3837">
        <f t="shared" si="119"/>
        <v>4.6999999999999886</v>
      </c>
      <c r="X3837">
        <v>13.783333000000001</v>
      </c>
      <c r="Y3837">
        <v>52.466667000000001</v>
      </c>
      <c r="Z3837" t="s">
        <v>520</v>
      </c>
      <c r="AA3837" t="s">
        <v>211</v>
      </c>
      <c r="AB3837"/>
      <c r="AC3837"/>
      <c r="AD3837" t="s">
        <v>4181</v>
      </c>
      <c r="AE3837" t="s">
        <v>1378</v>
      </c>
      <c r="AF3837" t="s">
        <v>4182</v>
      </c>
      <c r="AG3837"/>
      <c r="AH3837" t="s">
        <v>72</v>
      </c>
      <c r="AI3837" t="s">
        <v>4147</v>
      </c>
      <c r="AJ3837">
        <v>1996</v>
      </c>
      <c r="AK3837" t="s">
        <v>4183</v>
      </c>
      <c r="AL3837"/>
      <c r="AM3837" t="s">
        <v>4114</v>
      </c>
      <c r="AN3837" t="s">
        <v>192</v>
      </c>
      <c r="AO3837" t="s">
        <v>77</v>
      </c>
      <c r="AP3837" t="s">
        <v>115</v>
      </c>
      <c r="AQ3837"/>
      <c r="AR3837" t="s">
        <v>80</v>
      </c>
      <c r="AS3837">
        <v>315</v>
      </c>
      <c r="AT3837" t="s">
        <v>81</v>
      </c>
      <c r="AU3837">
        <v>30.91</v>
      </c>
      <c r="AV3837">
        <v>31.68</v>
      </c>
      <c r="AW3837" t="s">
        <v>82</v>
      </c>
      <c r="AX3837">
        <v>315</v>
      </c>
      <c r="AY3837" t="s">
        <v>81</v>
      </c>
      <c r="AZ3837">
        <v>20.59</v>
      </c>
      <c r="BA3837">
        <v>19.100000000000001</v>
      </c>
      <c r="BB3837" t="s">
        <v>83</v>
      </c>
    </row>
    <row r="3838" spans="1:54" s="3" customFormat="1" ht="15" customHeight="1" x14ac:dyDescent="0.4">
      <c r="A3838">
        <v>1102351</v>
      </c>
      <c r="B3838"/>
      <c r="C3838"/>
      <c r="D3838" t="s">
        <v>853</v>
      </c>
      <c r="E3838"/>
      <c r="F3838"/>
      <c r="G3838"/>
      <c r="H3838"/>
      <c r="I3838" t="s">
        <v>57</v>
      </c>
      <c r="J3838"/>
      <c r="K3838" t="s">
        <v>771</v>
      </c>
      <c r="L3838" t="s">
        <v>772</v>
      </c>
      <c r="M3838" t="s">
        <v>223</v>
      </c>
      <c r="N3838"/>
      <c r="O3838"/>
      <c r="P3838" t="s">
        <v>224</v>
      </c>
      <c r="Q3838"/>
      <c r="R3838" t="s">
        <v>183</v>
      </c>
      <c r="S3838" t="s">
        <v>64</v>
      </c>
      <c r="T3838">
        <v>246.7</v>
      </c>
      <c r="U3838">
        <v>242</v>
      </c>
      <c r="V3838">
        <f t="shared" si="118"/>
        <v>244.35</v>
      </c>
      <c r="W3838">
        <f t="shared" si="119"/>
        <v>4.6999999999999886</v>
      </c>
      <c r="X3838">
        <v>9.9380000000000006</v>
      </c>
      <c r="Y3838">
        <v>51.612000000000002</v>
      </c>
      <c r="Z3838" t="s">
        <v>1596</v>
      </c>
      <c r="AA3838" t="s">
        <v>211</v>
      </c>
      <c r="AB3838" t="s">
        <v>1163</v>
      </c>
      <c r="AC3838"/>
      <c r="AD3838"/>
      <c r="AE3838" t="s">
        <v>1378</v>
      </c>
      <c r="AF3838"/>
      <c r="AG3838"/>
      <c r="AH3838" t="s">
        <v>11</v>
      </c>
      <c r="AI3838" t="s">
        <v>4278</v>
      </c>
      <c r="AJ3838">
        <v>1986</v>
      </c>
      <c r="AK3838" t="s">
        <v>4279</v>
      </c>
      <c r="AL3838"/>
      <c r="AM3838"/>
      <c r="AN3838" t="s">
        <v>192</v>
      </c>
      <c r="AO3838">
        <v>3</v>
      </c>
      <c r="AP3838" t="s">
        <v>78</v>
      </c>
      <c r="AQ3838"/>
      <c r="AR3838" t="s">
        <v>80</v>
      </c>
      <c r="AS3838">
        <v>315</v>
      </c>
      <c r="AT3838" t="s">
        <v>81</v>
      </c>
      <c r="AU3838">
        <v>28.49</v>
      </c>
      <c r="AV3838">
        <v>30.26</v>
      </c>
      <c r="AW3838" t="s">
        <v>82</v>
      </c>
      <c r="AX3838">
        <v>315</v>
      </c>
      <c r="AY3838" t="s">
        <v>81</v>
      </c>
      <c r="AZ3838">
        <v>18.690000000000001</v>
      </c>
      <c r="BA3838">
        <v>17.34</v>
      </c>
      <c r="BB3838" t="s">
        <v>83</v>
      </c>
    </row>
    <row r="3839" spans="1:54" s="3" customFormat="1" ht="15" customHeight="1" x14ac:dyDescent="0.4">
      <c r="A3839">
        <v>1162165</v>
      </c>
      <c r="B3839"/>
      <c r="C3839"/>
      <c r="D3839" t="s">
        <v>54</v>
      </c>
      <c r="E3839"/>
      <c r="F3839"/>
      <c r="G3839"/>
      <c r="H3839"/>
      <c r="I3839" t="s">
        <v>57</v>
      </c>
      <c r="J3839"/>
      <c r="K3839" t="s">
        <v>232</v>
      </c>
      <c r="L3839" t="s">
        <v>233</v>
      </c>
      <c r="M3839" t="s">
        <v>223</v>
      </c>
      <c r="N3839" t="s">
        <v>234</v>
      </c>
      <c r="O3839" t="s">
        <v>87</v>
      </c>
      <c r="P3839" t="s">
        <v>224</v>
      </c>
      <c r="Q3839"/>
      <c r="R3839" t="s">
        <v>183</v>
      </c>
      <c r="S3839" t="s">
        <v>64</v>
      </c>
      <c r="T3839">
        <v>246.7</v>
      </c>
      <c r="U3839">
        <v>242</v>
      </c>
      <c r="V3839">
        <f t="shared" si="118"/>
        <v>244.35</v>
      </c>
      <c r="W3839">
        <f t="shared" si="119"/>
        <v>4.6999999999999886</v>
      </c>
      <c r="X3839">
        <v>8.9049999999999994</v>
      </c>
      <c r="Y3839">
        <v>45.889999000000003</v>
      </c>
      <c r="Z3839" t="s">
        <v>1415</v>
      </c>
      <c r="AA3839" t="s">
        <v>593</v>
      </c>
      <c r="AB3839"/>
      <c r="AC3839"/>
      <c r="AD3839" t="s">
        <v>2075</v>
      </c>
      <c r="AE3839"/>
      <c r="AF3839" t="s">
        <v>3350</v>
      </c>
      <c r="AG3839"/>
      <c r="AH3839" t="s">
        <v>72</v>
      </c>
      <c r="AI3839" t="s">
        <v>4441</v>
      </c>
      <c r="AJ3839">
        <v>1886</v>
      </c>
      <c r="AK3839" t="s">
        <v>4442</v>
      </c>
      <c r="AL3839"/>
      <c r="AM3839"/>
      <c r="AN3839" t="s">
        <v>192</v>
      </c>
      <c r="AO3839">
        <v>2</v>
      </c>
      <c r="AP3839" t="s">
        <v>78</v>
      </c>
      <c r="AQ3839"/>
      <c r="AR3839" t="s">
        <v>80</v>
      </c>
      <c r="AS3839">
        <v>307</v>
      </c>
      <c r="AT3839" t="s">
        <v>81</v>
      </c>
      <c r="AU3839">
        <v>34.26</v>
      </c>
      <c r="AV3839">
        <v>16.71</v>
      </c>
      <c r="AW3839" t="s">
        <v>82</v>
      </c>
      <c r="AX3839">
        <v>307</v>
      </c>
      <c r="AY3839" t="s">
        <v>81</v>
      </c>
      <c r="AZ3839">
        <v>22.03</v>
      </c>
      <c r="BA3839">
        <v>7.2</v>
      </c>
      <c r="BB3839" t="s">
        <v>83</v>
      </c>
    </row>
    <row r="3840" spans="1:54" s="3" customFormat="1" ht="15" customHeight="1" x14ac:dyDescent="0.4">
      <c r="A3840">
        <v>1162174</v>
      </c>
      <c r="B3840"/>
      <c r="C3840"/>
      <c r="D3840" t="s">
        <v>54</v>
      </c>
      <c r="E3840"/>
      <c r="F3840"/>
      <c r="G3840"/>
      <c r="H3840"/>
      <c r="I3840" t="s">
        <v>57</v>
      </c>
      <c r="J3840"/>
      <c r="K3840" t="s">
        <v>221</v>
      </c>
      <c r="L3840" t="s">
        <v>222</v>
      </c>
      <c r="M3840" t="s">
        <v>223</v>
      </c>
      <c r="N3840"/>
      <c r="O3840"/>
      <c r="P3840" t="s">
        <v>224</v>
      </c>
      <c r="Q3840"/>
      <c r="R3840" t="s">
        <v>183</v>
      </c>
      <c r="S3840" t="s">
        <v>64</v>
      </c>
      <c r="T3840">
        <v>246.7</v>
      </c>
      <c r="U3840">
        <v>242</v>
      </c>
      <c r="V3840">
        <f t="shared" si="118"/>
        <v>244.35</v>
      </c>
      <c r="W3840">
        <f t="shared" si="119"/>
        <v>4.6999999999999886</v>
      </c>
      <c r="X3840">
        <v>8.9049999999999994</v>
      </c>
      <c r="Y3840">
        <v>45.889999000000003</v>
      </c>
      <c r="Z3840" t="s">
        <v>1415</v>
      </c>
      <c r="AA3840" t="s">
        <v>593</v>
      </c>
      <c r="AB3840"/>
      <c r="AC3840"/>
      <c r="AD3840" t="s">
        <v>2075</v>
      </c>
      <c r="AE3840"/>
      <c r="AF3840" t="s">
        <v>3350</v>
      </c>
      <c r="AG3840"/>
      <c r="AH3840" t="s">
        <v>72</v>
      </c>
      <c r="AI3840" t="s">
        <v>4441</v>
      </c>
      <c r="AJ3840">
        <v>1886</v>
      </c>
      <c r="AK3840" t="s">
        <v>4442</v>
      </c>
      <c r="AL3840"/>
      <c r="AM3840"/>
      <c r="AN3840" t="s">
        <v>192</v>
      </c>
      <c r="AO3840">
        <v>2</v>
      </c>
      <c r="AP3840" t="s">
        <v>78</v>
      </c>
      <c r="AQ3840"/>
      <c r="AR3840" t="s">
        <v>80</v>
      </c>
      <c r="AS3840">
        <v>307</v>
      </c>
      <c r="AT3840" t="s">
        <v>81</v>
      </c>
      <c r="AU3840">
        <v>34.26</v>
      </c>
      <c r="AV3840">
        <v>16.71</v>
      </c>
      <c r="AW3840" t="s">
        <v>82</v>
      </c>
      <c r="AX3840">
        <v>307</v>
      </c>
      <c r="AY3840" t="s">
        <v>81</v>
      </c>
      <c r="AZ3840">
        <v>22.03</v>
      </c>
      <c r="BA3840">
        <v>7.2</v>
      </c>
      <c r="BB3840" t="s">
        <v>83</v>
      </c>
    </row>
    <row r="3841" spans="1:54" s="3" customFormat="1" ht="15" customHeight="1" x14ac:dyDescent="0.4">
      <c r="A3841">
        <v>1162175</v>
      </c>
      <c r="B3841"/>
      <c r="C3841"/>
      <c r="D3841" t="s">
        <v>54</v>
      </c>
      <c r="E3841"/>
      <c r="F3841"/>
      <c r="G3841"/>
      <c r="H3841"/>
      <c r="I3841" t="s">
        <v>57</v>
      </c>
      <c r="J3841"/>
      <c r="K3841" t="s">
        <v>746</v>
      </c>
      <c r="L3841" t="s">
        <v>1357</v>
      </c>
      <c r="M3841" t="s">
        <v>60</v>
      </c>
      <c r="N3841" t="s">
        <v>119</v>
      </c>
      <c r="O3841" t="s">
        <v>345</v>
      </c>
      <c r="P3841" t="s">
        <v>224</v>
      </c>
      <c r="Q3841"/>
      <c r="R3841" t="s">
        <v>183</v>
      </c>
      <c r="S3841" t="s">
        <v>64</v>
      </c>
      <c r="T3841">
        <v>246.7</v>
      </c>
      <c r="U3841">
        <v>242</v>
      </c>
      <c r="V3841">
        <f t="shared" si="118"/>
        <v>244.35</v>
      </c>
      <c r="W3841">
        <f t="shared" si="119"/>
        <v>4.6999999999999886</v>
      </c>
      <c r="X3841">
        <v>8.9049999999999994</v>
      </c>
      <c r="Y3841">
        <v>45.889999000000003</v>
      </c>
      <c r="Z3841" t="s">
        <v>1415</v>
      </c>
      <c r="AA3841" t="s">
        <v>593</v>
      </c>
      <c r="AB3841"/>
      <c r="AC3841"/>
      <c r="AD3841" t="s">
        <v>2075</v>
      </c>
      <c r="AE3841"/>
      <c r="AF3841" t="s">
        <v>3350</v>
      </c>
      <c r="AG3841"/>
      <c r="AH3841" t="s">
        <v>72</v>
      </c>
      <c r="AI3841" t="s">
        <v>4441</v>
      </c>
      <c r="AJ3841">
        <v>1886</v>
      </c>
      <c r="AK3841" t="s">
        <v>4442</v>
      </c>
      <c r="AL3841"/>
      <c r="AM3841"/>
      <c r="AN3841" t="s">
        <v>192</v>
      </c>
      <c r="AO3841">
        <v>2</v>
      </c>
      <c r="AP3841" t="s">
        <v>78</v>
      </c>
      <c r="AQ3841"/>
      <c r="AR3841" t="s">
        <v>80</v>
      </c>
      <c r="AS3841">
        <v>307</v>
      </c>
      <c r="AT3841" t="s">
        <v>81</v>
      </c>
      <c r="AU3841">
        <v>34.26</v>
      </c>
      <c r="AV3841">
        <v>16.71</v>
      </c>
      <c r="AW3841" t="s">
        <v>82</v>
      </c>
      <c r="AX3841">
        <v>307</v>
      </c>
      <c r="AY3841" t="s">
        <v>81</v>
      </c>
      <c r="AZ3841">
        <v>22.03</v>
      </c>
      <c r="BA3841">
        <v>7.2</v>
      </c>
      <c r="BB3841" t="s">
        <v>83</v>
      </c>
    </row>
    <row r="3842" spans="1:54" s="3" customFormat="1" ht="15" customHeight="1" x14ac:dyDescent="0.4">
      <c r="A3842">
        <v>1186493</v>
      </c>
      <c r="B3842"/>
      <c r="C3842"/>
      <c r="D3842" t="s">
        <v>54</v>
      </c>
      <c r="E3842"/>
      <c r="F3842"/>
      <c r="G3842">
        <v>1</v>
      </c>
      <c r="H3842" t="s">
        <v>84</v>
      </c>
      <c r="I3842" t="s">
        <v>57</v>
      </c>
      <c r="J3842"/>
      <c r="K3842" t="s">
        <v>802</v>
      </c>
      <c r="L3842" t="s">
        <v>803</v>
      </c>
      <c r="M3842" t="s">
        <v>223</v>
      </c>
      <c r="N3842" t="s">
        <v>234</v>
      </c>
      <c r="O3842" t="s">
        <v>87</v>
      </c>
      <c r="P3842" t="s">
        <v>224</v>
      </c>
      <c r="Q3842"/>
      <c r="R3842" t="s">
        <v>183</v>
      </c>
      <c r="S3842" t="s">
        <v>64</v>
      </c>
      <c r="T3842">
        <v>246.7</v>
      </c>
      <c r="U3842">
        <v>242</v>
      </c>
      <c r="V3842">
        <f t="shared" si="118"/>
        <v>244.35</v>
      </c>
      <c r="W3842">
        <f t="shared" si="119"/>
        <v>4.6999999999999886</v>
      </c>
      <c r="X3842">
        <v>-117.53278400000001</v>
      </c>
      <c r="Y3842">
        <v>39.578609</v>
      </c>
      <c r="Z3842" t="s">
        <v>1596</v>
      </c>
      <c r="AA3842" t="s">
        <v>66</v>
      </c>
      <c r="AB3842" t="s">
        <v>558</v>
      </c>
      <c r="AC3842" t="s">
        <v>3509</v>
      </c>
      <c r="AD3842"/>
      <c r="AE3842"/>
      <c r="AF3842"/>
      <c r="AG3842"/>
      <c r="AH3842" t="s">
        <v>72</v>
      </c>
      <c r="AI3842" t="s">
        <v>561</v>
      </c>
      <c r="AJ3842">
        <v>1908</v>
      </c>
      <c r="AK3842" t="s">
        <v>4485</v>
      </c>
      <c r="AL3842"/>
      <c r="AM3842"/>
      <c r="AN3842" t="s">
        <v>192</v>
      </c>
      <c r="AO3842">
        <v>5</v>
      </c>
      <c r="AP3842"/>
      <c r="AQ3842" t="s">
        <v>4486</v>
      </c>
      <c r="AR3842" t="s">
        <v>80</v>
      </c>
      <c r="AS3842">
        <v>101</v>
      </c>
      <c r="AT3842" t="s">
        <v>81</v>
      </c>
      <c r="AU3842">
        <v>-38.200000000000003</v>
      </c>
      <c r="AV3842">
        <v>24.16</v>
      </c>
      <c r="AW3842" t="s">
        <v>82</v>
      </c>
      <c r="AX3842">
        <v>131</v>
      </c>
      <c r="AY3842" t="s">
        <v>81</v>
      </c>
      <c r="AZ3842">
        <v>-43.28</v>
      </c>
      <c r="BA3842">
        <v>8.73</v>
      </c>
      <c r="BB3842" t="s">
        <v>83</v>
      </c>
    </row>
    <row r="3843" spans="1:54" s="3" customFormat="1" ht="15" customHeight="1" x14ac:dyDescent="0.4">
      <c r="A3843">
        <v>1306712</v>
      </c>
      <c r="B3843"/>
      <c r="C3843"/>
      <c r="D3843" t="s">
        <v>54</v>
      </c>
      <c r="E3843"/>
      <c r="F3843"/>
      <c r="G3843"/>
      <c r="H3843"/>
      <c r="I3843" t="s">
        <v>57</v>
      </c>
      <c r="J3843"/>
      <c r="K3843" t="s">
        <v>141</v>
      </c>
      <c r="L3843" t="s">
        <v>4615</v>
      </c>
      <c r="M3843" t="s">
        <v>223</v>
      </c>
      <c r="N3843"/>
      <c r="O3843"/>
      <c r="P3843" t="s">
        <v>224</v>
      </c>
      <c r="Q3843"/>
      <c r="R3843" t="s">
        <v>183</v>
      </c>
      <c r="S3843" t="s">
        <v>64</v>
      </c>
      <c r="T3843">
        <v>246.7</v>
      </c>
      <c r="U3843">
        <v>242</v>
      </c>
      <c r="V3843">
        <f t="shared" ref="V3843:V3906" si="120">(T3843+U3843)/2</f>
        <v>244.35</v>
      </c>
      <c r="W3843">
        <f t="shared" ref="W3843:W3906" si="121">T3843-U3843</f>
        <v>4.6999999999999886</v>
      </c>
      <c r="X3843">
        <v>8.9420000000000002</v>
      </c>
      <c r="Y3843">
        <v>45.908999999999999</v>
      </c>
      <c r="Z3843" t="s">
        <v>520</v>
      </c>
      <c r="AA3843" t="s">
        <v>226</v>
      </c>
      <c r="AB3843"/>
      <c r="AC3843"/>
      <c r="AD3843" t="s">
        <v>2075</v>
      </c>
      <c r="AE3843"/>
      <c r="AF3843"/>
      <c r="AG3843"/>
      <c r="AH3843" t="s">
        <v>72</v>
      </c>
      <c r="AI3843" t="s">
        <v>2013</v>
      </c>
      <c r="AJ3843">
        <v>1987</v>
      </c>
      <c r="AK3843" t="s">
        <v>4616</v>
      </c>
      <c r="AL3843"/>
      <c r="AM3843"/>
      <c r="AN3843"/>
      <c r="AO3843">
        <v>3</v>
      </c>
      <c r="AP3843"/>
      <c r="AQ3843" t="s">
        <v>4617</v>
      </c>
      <c r="AR3843" t="s">
        <v>80</v>
      </c>
      <c r="AS3843">
        <v>307</v>
      </c>
      <c r="AT3843" t="s">
        <v>81</v>
      </c>
      <c r="AU3843">
        <v>34.28</v>
      </c>
      <c r="AV3843">
        <v>16.7</v>
      </c>
      <c r="AW3843" t="s">
        <v>82</v>
      </c>
      <c r="AX3843">
        <v>307</v>
      </c>
      <c r="AY3843" t="s">
        <v>81</v>
      </c>
      <c r="AZ3843">
        <v>22.06</v>
      </c>
      <c r="BA3843">
        <v>7.2</v>
      </c>
      <c r="BB3843" t="s">
        <v>83</v>
      </c>
    </row>
    <row r="3844" spans="1:54" s="3" customFormat="1" ht="15" customHeight="1" x14ac:dyDescent="0.4">
      <c r="A3844">
        <v>1306715</v>
      </c>
      <c r="B3844"/>
      <c r="C3844"/>
      <c r="D3844" t="s">
        <v>54</v>
      </c>
      <c r="E3844"/>
      <c r="F3844"/>
      <c r="G3844"/>
      <c r="H3844"/>
      <c r="I3844" t="s">
        <v>57</v>
      </c>
      <c r="J3844"/>
      <c r="K3844" t="s">
        <v>141</v>
      </c>
      <c r="L3844" t="s">
        <v>4618</v>
      </c>
      <c r="M3844" t="s">
        <v>223</v>
      </c>
      <c r="N3844"/>
      <c r="O3844"/>
      <c r="P3844" t="s">
        <v>224</v>
      </c>
      <c r="Q3844"/>
      <c r="R3844" t="s">
        <v>183</v>
      </c>
      <c r="S3844" t="s">
        <v>64</v>
      </c>
      <c r="T3844">
        <v>246.7</v>
      </c>
      <c r="U3844">
        <v>242</v>
      </c>
      <c r="V3844">
        <f t="shared" si="120"/>
        <v>244.35</v>
      </c>
      <c r="W3844">
        <f t="shared" si="121"/>
        <v>4.6999999999999886</v>
      </c>
      <c r="X3844">
        <v>8.9420000000000002</v>
      </c>
      <c r="Y3844">
        <v>45.908999999999999</v>
      </c>
      <c r="Z3844" t="s">
        <v>520</v>
      </c>
      <c r="AA3844" t="s">
        <v>226</v>
      </c>
      <c r="AB3844"/>
      <c r="AC3844"/>
      <c r="AD3844" t="s">
        <v>2075</v>
      </c>
      <c r="AE3844"/>
      <c r="AF3844"/>
      <c r="AG3844"/>
      <c r="AH3844" t="s">
        <v>72</v>
      </c>
      <c r="AI3844" t="s">
        <v>2013</v>
      </c>
      <c r="AJ3844">
        <v>1987</v>
      </c>
      <c r="AK3844" t="s">
        <v>4619</v>
      </c>
      <c r="AL3844"/>
      <c r="AM3844"/>
      <c r="AN3844"/>
      <c r="AO3844">
        <v>3</v>
      </c>
      <c r="AP3844"/>
      <c r="AQ3844" t="s">
        <v>4617</v>
      </c>
      <c r="AR3844" t="s">
        <v>80</v>
      </c>
      <c r="AS3844">
        <v>307</v>
      </c>
      <c r="AT3844" t="s">
        <v>81</v>
      </c>
      <c r="AU3844">
        <v>34.28</v>
      </c>
      <c r="AV3844">
        <v>16.7</v>
      </c>
      <c r="AW3844" t="s">
        <v>82</v>
      </c>
      <c r="AX3844">
        <v>307</v>
      </c>
      <c r="AY3844" t="s">
        <v>81</v>
      </c>
      <c r="AZ3844">
        <v>22.06</v>
      </c>
      <c r="BA3844">
        <v>7.2</v>
      </c>
      <c r="BB3844" t="s">
        <v>83</v>
      </c>
    </row>
    <row r="3845" spans="1:54" s="3" customFormat="1" ht="15" customHeight="1" x14ac:dyDescent="0.4">
      <c r="A3845">
        <v>1310837</v>
      </c>
      <c r="B3845"/>
      <c r="C3845"/>
      <c r="D3845" t="s">
        <v>853</v>
      </c>
      <c r="E3845"/>
      <c r="F3845"/>
      <c r="G3845"/>
      <c r="H3845"/>
      <c r="I3845" t="s">
        <v>57</v>
      </c>
      <c r="J3845"/>
      <c r="K3845" t="s">
        <v>232</v>
      </c>
      <c r="L3845" t="s">
        <v>233</v>
      </c>
      <c r="M3845" t="s">
        <v>223</v>
      </c>
      <c r="N3845" t="s">
        <v>234</v>
      </c>
      <c r="O3845" t="s">
        <v>87</v>
      </c>
      <c r="P3845" t="s">
        <v>224</v>
      </c>
      <c r="Q3845"/>
      <c r="R3845" t="s">
        <v>183</v>
      </c>
      <c r="S3845" t="s">
        <v>64</v>
      </c>
      <c r="T3845">
        <v>246.7</v>
      </c>
      <c r="U3845">
        <v>242</v>
      </c>
      <c r="V3845">
        <f t="shared" si="120"/>
        <v>244.35</v>
      </c>
      <c r="W3845">
        <f t="shared" si="121"/>
        <v>4.6999999999999886</v>
      </c>
      <c r="X3845">
        <v>8.9420000000000002</v>
      </c>
      <c r="Y3845">
        <v>45.908999999999999</v>
      </c>
      <c r="Z3845" t="s">
        <v>1415</v>
      </c>
      <c r="AA3845" t="s">
        <v>226</v>
      </c>
      <c r="AB3845"/>
      <c r="AC3845"/>
      <c r="AD3845" t="s">
        <v>2075</v>
      </c>
      <c r="AE3845"/>
      <c r="AF3845" t="s">
        <v>3350</v>
      </c>
      <c r="AG3845"/>
      <c r="AH3845" t="s">
        <v>72</v>
      </c>
      <c r="AI3845" t="s">
        <v>3132</v>
      </c>
      <c r="AJ3845">
        <v>1997</v>
      </c>
      <c r="AK3845" t="s">
        <v>4639</v>
      </c>
      <c r="AL3845"/>
      <c r="AM3845"/>
      <c r="AN3845" t="s">
        <v>192</v>
      </c>
      <c r="AO3845">
        <v>3</v>
      </c>
      <c r="AP3845" t="s">
        <v>78</v>
      </c>
      <c r="AQ3845"/>
      <c r="AR3845" t="s">
        <v>80</v>
      </c>
      <c r="AS3845">
        <v>307</v>
      </c>
      <c r="AT3845" t="s">
        <v>81</v>
      </c>
      <c r="AU3845">
        <v>34.28</v>
      </c>
      <c r="AV3845">
        <v>16.7</v>
      </c>
      <c r="AW3845" t="s">
        <v>82</v>
      </c>
      <c r="AX3845">
        <v>307</v>
      </c>
      <c r="AY3845" t="s">
        <v>81</v>
      </c>
      <c r="AZ3845">
        <v>22.06</v>
      </c>
      <c r="BA3845">
        <v>7.2</v>
      </c>
      <c r="BB3845" t="s">
        <v>83</v>
      </c>
    </row>
    <row r="3846" spans="1:54" s="3" customFormat="1" ht="15" customHeight="1" x14ac:dyDescent="0.4">
      <c r="A3846">
        <v>1417418</v>
      </c>
      <c r="B3846"/>
      <c r="C3846"/>
      <c r="D3846" t="s">
        <v>54</v>
      </c>
      <c r="E3846"/>
      <c r="F3846"/>
      <c r="G3846"/>
      <c r="H3846"/>
      <c r="I3846" t="s">
        <v>57</v>
      </c>
      <c r="J3846"/>
      <c r="K3846" t="s">
        <v>755</v>
      </c>
      <c r="L3846" t="s">
        <v>756</v>
      </c>
      <c r="M3846" t="s">
        <v>223</v>
      </c>
      <c r="N3846"/>
      <c r="O3846"/>
      <c r="P3846" t="s">
        <v>224</v>
      </c>
      <c r="Q3846"/>
      <c r="R3846" t="s">
        <v>183</v>
      </c>
      <c r="S3846" t="s">
        <v>64</v>
      </c>
      <c r="T3846">
        <v>246.7</v>
      </c>
      <c r="U3846">
        <v>242</v>
      </c>
      <c r="V3846">
        <f t="shared" si="120"/>
        <v>244.35</v>
      </c>
      <c r="W3846">
        <f t="shared" si="121"/>
        <v>4.6999999999999886</v>
      </c>
      <c r="X3846">
        <v>11.64</v>
      </c>
      <c r="Y3846">
        <v>49.985557999999997</v>
      </c>
      <c r="Z3846" t="s">
        <v>520</v>
      </c>
      <c r="AA3846" t="s">
        <v>211</v>
      </c>
      <c r="AB3846" t="s">
        <v>2654</v>
      </c>
      <c r="AC3846" t="s">
        <v>3634</v>
      </c>
      <c r="AD3846" t="s">
        <v>4990</v>
      </c>
      <c r="AE3846" t="s">
        <v>1378</v>
      </c>
      <c r="AF3846"/>
      <c r="AG3846" t="s">
        <v>5146</v>
      </c>
      <c r="AH3846" t="s">
        <v>72</v>
      </c>
      <c r="AI3846" t="s">
        <v>5147</v>
      </c>
      <c r="AJ3846">
        <v>2011</v>
      </c>
      <c r="AK3846" t="s">
        <v>5148</v>
      </c>
      <c r="AL3846"/>
      <c r="AM3846"/>
      <c r="AN3846" t="s">
        <v>114</v>
      </c>
      <c r="AO3846" t="s">
        <v>77</v>
      </c>
      <c r="AP3846" t="s">
        <v>359</v>
      </c>
      <c r="AQ3846"/>
      <c r="AR3846" t="s">
        <v>80</v>
      </c>
      <c r="AS3846">
        <v>305</v>
      </c>
      <c r="AT3846" t="s">
        <v>81</v>
      </c>
      <c r="AU3846">
        <v>30.14</v>
      </c>
      <c r="AV3846">
        <v>28.94</v>
      </c>
      <c r="AW3846" t="s">
        <v>82</v>
      </c>
      <c r="AX3846">
        <v>305</v>
      </c>
      <c r="AY3846" t="s">
        <v>81</v>
      </c>
      <c r="AZ3846">
        <v>20.399999999999999</v>
      </c>
      <c r="BA3846">
        <v>16.28</v>
      </c>
      <c r="BB3846" t="s">
        <v>83</v>
      </c>
    </row>
    <row r="3847" spans="1:54" s="3" customFormat="1" ht="15" customHeight="1" x14ac:dyDescent="0.4">
      <c r="A3847">
        <v>1417419</v>
      </c>
      <c r="B3847"/>
      <c r="C3847"/>
      <c r="D3847" t="s">
        <v>54</v>
      </c>
      <c r="E3847"/>
      <c r="F3847"/>
      <c r="G3847"/>
      <c r="H3847"/>
      <c r="I3847" t="s">
        <v>57</v>
      </c>
      <c r="J3847"/>
      <c r="K3847" t="s">
        <v>755</v>
      </c>
      <c r="L3847" t="s">
        <v>756</v>
      </c>
      <c r="M3847" t="s">
        <v>223</v>
      </c>
      <c r="N3847"/>
      <c r="O3847"/>
      <c r="P3847" t="s">
        <v>224</v>
      </c>
      <c r="Q3847"/>
      <c r="R3847" t="s">
        <v>183</v>
      </c>
      <c r="S3847" t="s">
        <v>64</v>
      </c>
      <c r="T3847">
        <v>246.7</v>
      </c>
      <c r="U3847">
        <v>242</v>
      </c>
      <c r="V3847">
        <f t="shared" si="120"/>
        <v>244.35</v>
      </c>
      <c r="W3847">
        <f t="shared" si="121"/>
        <v>4.6999999999999886</v>
      </c>
      <c r="X3847">
        <v>11.64</v>
      </c>
      <c r="Y3847">
        <v>49.985557999999997</v>
      </c>
      <c r="Z3847" t="s">
        <v>520</v>
      </c>
      <c r="AA3847" t="s">
        <v>211</v>
      </c>
      <c r="AB3847" t="s">
        <v>2654</v>
      </c>
      <c r="AC3847" t="s">
        <v>3634</v>
      </c>
      <c r="AD3847" t="s">
        <v>4990</v>
      </c>
      <c r="AE3847" t="s">
        <v>1378</v>
      </c>
      <c r="AF3847"/>
      <c r="AG3847" t="s">
        <v>5146</v>
      </c>
      <c r="AH3847" t="s">
        <v>72</v>
      </c>
      <c r="AI3847" t="s">
        <v>5147</v>
      </c>
      <c r="AJ3847">
        <v>2011</v>
      </c>
      <c r="AK3847" t="s">
        <v>5148</v>
      </c>
      <c r="AL3847"/>
      <c r="AM3847"/>
      <c r="AN3847" t="s">
        <v>114</v>
      </c>
      <c r="AO3847" t="s">
        <v>77</v>
      </c>
      <c r="AP3847" t="s">
        <v>359</v>
      </c>
      <c r="AQ3847"/>
      <c r="AR3847" t="s">
        <v>80</v>
      </c>
      <c r="AS3847">
        <v>305</v>
      </c>
      <c r="AT3847" t="s">
        <v>81</v>
      </c>
      <c r="AU3847">
        <v>30.14</v>
      </c>
      <c r="AV3847">
        <v>28.94</v>
      </c>
      <c r="AW3847" t="s">
        <v>82</v>
      </c>
      <c r="AX3847">
        <v>305</v>
      </c>
      <c r="AY3847" t="s">
        <v>81</v>
      </c>
      <c r="AZ3847">
        <v>20.399999999999999</v>
      </c>
      <c r="BA3847">
        <v>16.28</v>
      </c>
      <c r="BB3847" t="s">
        <v>83</v>
      </c>
    </row>
    <row r="3848" spans="1:54" s="3" customFormat="1" ht="15" customHeight="1" x14ac:dyDescent="0.4">
      <c r="A3848">
        <v>1418531</v>
      </c>
      <c r="B3848"/>
      <c r="C3848"/>
      <c r="D3848" t="s">
        <v>54</v>
      </c>
      <c r="E3848"/>
      <c r="F3848"/>
      <c r="G3848"/>
      <c r="H3848"/>
      <c r="I3848" t="s">
        <v>57</v>
      </c>
      <c r="J3848"/>
      <c r="K3848" t="s">
        <v>771</v>
      </c>
      <c r="L3848" t="s">
        <v>3368</v>
      </c>
      <c r="M3848" t="s">
        <v>223</v>
      </c>
      <c r="N3848"/>
      <c r="O3848"/>
      <c r="P3848" t="s">
        <v>224</v>
      </c>
      <c r="Q3848"/>
      <c r="R3848" t="s">
        <v>183</v>
      </c>
      <c r="S3848" t="s">
        <v>64</v>
      </c>
      <c r="T3848">
        <v>246.7</v>
      </c>
      <c r="U3848">
        <v>242</v>
      </c>
      <c r="V3848">
        <f t="shared" si="120"/>
        <v>244.35</v>
      </c>
      <c r="W3848">
        <f t="shared" si="121"/>
        <v>4.6999999999999886</v>
      </c>
      <c r="X3848">
        <v>11.64</v>
      </c>
      <c r="Y3848">
        <v>49.985557999999997</v>
      </c>
      <c r="Z3848" t="s">
        <v>520</v>
      </c>
      <c r="AA3848" t="s">
        <v>211</v>
      </c>
      <c r="AB3848" t="s">
        <v>2654</v>
      </c>
      <c r="AC3848" t="s">
        <v>3634</v>
      </c>
      <c r="AD3848" t="s">
        <v>4990</v>
      </c>
      <c r="AE3848" t="s">
        <v>1378</v>
      </c>
      <c r="AF3848"/>
      <c r="AG3848" t="s">
        <v>5146</v>
      </c>
      <c r="AH3848" t="s">
        <v>72</v>
      </c>
      <c r="AI3848" t="s">
        <v>5147</v>
      </c>
      <c r="AJ3848">
        <v>2014</v>
      </c>
      <c r="AK3848" t="s">
        <v>5148</v>
      </c>
      <c r="AL3848"/>
      <c r="AM3848"/>
      <c r="AN3848" t="s">
        <v>114</v>
      </c>
      <c r="AO3848" t="s">
        <v>77</v>
      </c>
      <c r="AP3848" t="s">
        <v>359</v>
      </c>
      <c r="AQ3848"/>
      <c r="AR3848" t="s">
        <v>80</v>
      </c>
      <c r="AS3848">
        <v>305</v>
      </c>
      <c r="AT3848" t="s">
        <v>81</v>
      </c>
      <c r="AU3848">
        <v>30.14</v>
      </c>
      <c r="AV3848">
        <v>28.94</v>
      </c>
      <c r="AW3848" t="s">
        <v>82</v>
      </c>
      <c r="AX3848">
        <v>305</v>
      </c>
      <c r="AY3848" t="s">
        <v>81</v>
      </c>
      <c r="AZ3848">
        <v>20.399999999999999</v>
      </c>
      <c r="BA3848">
        <v>16.28</v>
      </c>
      <c r="BB3848" t="s">
        <v>83</v>
      </c>
    </row>
    <row r="3849" spans="1:54" s="3" customFormat="1" ht="15" customHeight="1" x14ac:dyDescent="0.4">
      <c r="A3849">
        <v>1419160</v>
      </c>
      <c r="B3849"/>
      <c r="C3849"/>
      <c r="D3849" t="s">
        <v>179</v>
      </c>
      <c r="E3849" t="s">
        <v>55</v>
      </c>
      <c r="F3849" t="s">
        <v>600</v>
      </c>
      <c r="G3849"/>
      <c r="H3849"/>
      <c r="I3849" t="s">
        <v>57</v>
      </c>
      <c r="J3849"/>
      <c r="K3849" t="s">
        <v>232</v>
      </c>
      <c r="L3849" t="s">
        <v>804</v>
      </c>
      <c r="M3849" t="s">
        <v>223</v>
      </c>
      <c r="N3849" t="s">
        <v>234</v>
      </c>
      <c r="O3849" t="s">
        <v>87</v>
      </c>
      <c r="P3849" t="s">
        <v>224</v>
      </c>
      <c r="Q3849"/>
      <c r="R3849" t="s">
        <v>183</v>
      </c>
      <c r="S3849" t="s">
        <v>64</v>
      </c>
      <c r="T3849">
        <v>246.7</v>
      </c>
      <c r="U3849">
        <v>242</v>
      </c>
      <c r="V3849">
        <f t="shared" si="120"/>
        <v>244.35</v>
      </c>
      <c r="W3849">
        <f t="shared" si="121"/>
        <v>4.6999999999999886</v>
      </c>
      <c r="X3849">
        <v>-117.566666</v>
      </c>
      <c r="Y3849">
        <v>40.033332999999999</v>
      </c>
      <c r="Z3849" t="s">
        <v>1004</v>
      </c>
      <c r="AA3849" t="s">
        <v>66</v>
      </c>
      <c r="AB3849" t="s">
        <v>558</v>
      </c>
      <c r="AC3849" t="s">
        <v>559</v>
      </c>
      <c r="AD3849" t="s">
        <v>3344</v>
      </c>
      <c r="AE3849" t="s">
        <v>3345</v>
      </c>
      <c r="AF3849" t="s">
        <v>3346</v>
      </c>
      <c r="AG3849" t="s">
        <v>3347</v>
      </c>
      <c r="AH3849" t="s">
        <v>72</v>
      </c>
      <c r="AI3849" t="s">
        <v>5244</v>
      </c>
      <c r="AJ3849">
        <v>2004</v>
      </c>
      <c r="AK3849" t="s">
        <v>3348</v>
      </c>
      <c r="AL3849"/>
      <c r="AM3849"/>
      <c r="AN3849" t="s">
        <v>192</v>
      </c>
      <c r="AO3849" t="s">
        <v>160</v>
      </c>
      <c r="AP3849" t="s">
        <v>78</v>
      </c>
      <c r="AQ3849" t="s">
        <v>3349</v>
      </c>
      <c r="AR3849" t="s">
        <v>80</v>
      </c>
      <c r="AS3849">
        <v>101</v>
      </c>
      <c r="AT3849" t="s">
        <v>81</v>
      </c>
      <c r="AU3849">
        <v>-38.04</v>
      </c>
      <c r="AV3849">
        <v>24.59</v>
      </c>
      <c r="AW3849" t="s">
        <v>82</v>
      </c>
      <c r="AX3849">
        <v>131</v>
      </c>
      <c r="AY3849" t="s">
        <v>81</v>
      </c>
      <c r="AZ3849">
        <v>-43.1</v>
      </c>
      <c r="BA3849">
        <v>9.15</v>
      </c>
      <c r="BB3849" t="s">
        <v>83</v>
      </c>
    </row>
    <row r="3850" spans="1:54" s="3" customFormat="1" ht="15" customHeight="1" x14ac:dyDescent="0.4">
      <c r="A3850">
        <v>1419210</v>
      </c>
      <c r="B3850"/>
      <c r="C3850"/>
      <c r="D3850" t="s">
        <v>54</v>
      </c>
      <c r="E3850"/>
      <c r="F3850"/>
      <c r="G3850"/>
      <c r="H3850"/>
      <c r="I3850" t="s">
        <v>57</v>
      </c>
      <c r="J3850"/>
      <c r="K3850" t="s">
        <v>141</v>
      </c>
      <c r="L3850" t="s">
        <v>601</v>
      </c>
      <c r="M3850" t="s">
        <v>223</v>
      </c>
      <c r="N3850"/>
      <c r="O3850"/>
      <c r="P3850" t="s">
        <v>224</v>
      </c>
      <c r="Q3850"/>
      <c r="R3850" t="s">
        <v>183</v>
      </c>
      <c r="S3850" t="s">
        <v>64</v>
      </c>
      <c r="T3850">
        <v>246.7</v>
      </c>
      <c r="U3850">
        <v>242</v>
      </c>
      <c r="V3850">
        <f t="shared" si="120"/>
        <v>244.35</v>
      </c>
      <c r="W3850">
        <f t="shared" si="121"/>
        <v>4.6999999999999886</v>
      </c>
      <c r="X3850">
        <v>34.816665999999998</v>
      </c>
      <c r="Y3850">
        <v>30.6</v>
      </c>
      <c r="Z3850" t="s">
        <v>1361</v>
      </c>
      <c r="AA3850" t="s">
        <v>1351</v>
      </c>
      <c r="AB3850"/>
      <c r="AC3850"/>
      <c r="AD3850" t="s">
        <v>4754</v>
      </c>
      <c r="AE3850"/>
      <c r="AF3850"/>
      <c r="AG3850"/>
      <c r="AH3850" t="s">
        <v>11</v>
      </c>
      <c r="AI3850" t="s">
        <v>2013</v>
      </c>
      <c r="AJ3850">
        <v>2002</v>
      </c>
      <c r="AK3850" t="s">
        <v>5259</v>
      </c>
      <c r="AL3850"/>
      <c r="AM3850" t="s">
        <v>5260</v>
      </c>
      <c r="AN3850" t="s">
        <v>114</v>
      </c>
      <c r="AO3850" t="s">
        <v>160</v>
      </c>
      <c r="AP3850" t="s">
        <v>78</v>
      </c>
      <c r="AQ3850" t="s">
        <v>5261</v>
      </c>
      <c r="AR3850" t="s">
        <v>80</v>
      </c>
      <c r="AS3850">
        <v>508</v>
      </c>
      <c r="AT3850" t="s">
        <v>81</v>
      </c>
      <c r="AU3850">
        <v>39.06</v>
      </c>
      <c r="AV3850">
        <v>-3.36</v>
      </c>
      <c r="AW3850" t="s">
        <v>82</v>
      </c>
      <c r="AX3850">
        <v>508</v>
      </c>
      <c r="AY3850" t="s">
        <v>81</v>
      </c>
      <c r="AZ3850">
        <v>34.9</v>
      </c>
      <c r="BA3850">
        <v>-13.91</v>
      </c>
      <c r="BB3850" t="s">
        <v>83</v>
      </c>
    </row>
    <row r="3851" spans="1:54" s="3" customFormat="1" ht="15.75" customHeight="1" x14ac:dyDescent="0.4">
      <c r="A3851">
        <v>1419211</v>
      </c>
      <c r="B3851"/>
      <c r="C3851"/>
      <c r="D3851" t="s">
        <v>54</v>
      </c>
      <c r="E3851"/>
      <c r="F3851"/>
      <c r="G3851"/>
      <c r="H3851"/>
      <c r="I3851" t="s">
        <v>57</v>
      </c>
      <c r="J3851"/>
      <c r="K3851" t="s">
        <v>141</v>
      </c>
      <c r="L3851" t="s">
        <v>1355</v>
      </c>
      <c r="M3851" t="s">
        <v>223</v>
      </c>
      <c r="N3851"/>
      <c r="O3851"/>
      <c r="P3851" t="s">
        <v>224</v>
      </c>
      <c r="Q3851"/>
      <c r="R3851" t="s">
        <v>183</v>
      </c>
      <c r="S3851" t="s">
        <v>64</v>
      </c>
      <c r="T3851">
        <v>246.7</v>
      </c>
      <c r="U3851">
        <v>242</v>
      </c>
      <c r="V3851">
        <f t="shared" si="120"/>
        <v>244.35</v>
      </c>
      <c r="W3851">
        <f t="shared" si="121"/>
        <v>4.6999999999999886</v>
      </c>
      <c r="X3851">
        <v>34.816665999999998</v>
      </c>
      <c r="Y3851">
        <v>30.6</v>
      </c>
      <c r="Z3851" t="s">
        <v>1361</v>
      </c>
      <c r="AA3851" t="s">
        <v>1351</v>
      </c>
      <c r="AB3851"/>
      <c r="AC3851"/>
      <c r="AD3851" t="s">
        <v>4754</v>
      </c>
      <c r="AE3851"/>
      <c r="AF3851"/>
      <c r="AG3851"/>
      <c r="AH3851" t="s">
        <v>72</v>
      </c>
      <c r="AI3851" t="s">
        <v>2013</v>
      </c>
      <c r="AJ3851">
        <v>2002</v>
      </c>
      <c r="AK3851" t="s">
        <v>5259</v>
      </c>
      <c r="AL3851"/>
      <c r="AM3851" t="s">
        <v>5260</v>
      </c>
      <c r="AN3851" t="s">
        <v>114</v>
      </c>
      <c r="AO3851" t="s">
        <v>160</v>
      </c>
      <c r="AP3851" t="s">
        <v>78</v>
      </c>
      <c r="AQ3851" t="s">
        <v>5261</v>
      </c>
      <c r="AR3851" t="s">
        <v>80</v>
      </c>
      <c r="AS3851">
        <v>508</v>
      </c>
      <c r="AT3851" t="s">
        <v>81</v>
      </c>
      <c r="AU3851">
        <v>39.06</v>
      </c>
      <c r="AV3851">
        <v>-3.36</v>
      </c>
      <c r="AW3851" t="s">
        <v>82</v>
      </c>
      <c r="AX3851">
        <v>508</v>
      </c>
      <c r="AY3851" t="s">
        <v>81</v>
      </c>
      <c r="AZ3851">
        <v>34.9</v>
      </c>
      <c r="BA3851">
        <v>-13.91</v>
      </c>
      <c r="BB3851" t="s">
        <v>83</v>
      </c>
    </row>
    <row r="3852" spans="1:54" s="3" customFormat="1" ht="15.75" customHeight="1" x14ac:dyDescent="0.4">
      <c r="A3852">
        <v>1419212</v>
      </c>
      <c r="B3852"/>
      <c r="C3852"/>
      <c r="D3852" t="s">
        <v>54</v>
      </c>
      <c r="E3852"/>
      <c r="F3852"/>
      <c r="G3852"/>
      <c r="H3852"/>
      <c r="I3852" t="s">
        <v>57</v>
      </c>
      <c r="J3852"/>
      <c r="K3852" t="s">
        <v>141</v>
      </c>
      <c r="L3852" t="s">
        <v>1355</v>
      </c>
      <c r="M3852" t="s">
        <v>223</v>
      </c>
      <c r="N3852"/>
      <c r="O3852"/>
      <c r="P3852" t="s">
        <v>224</v>
      </c>
      <c r="Q3852"/>
      <c r="R3852" t="s">
        <v>183</v>
      </c>
      <c r="S3852" t="s">
        <v>64</v>
      </c>
      <c r="T3852">
        <v>246.7</v>
      </c>
      <c r="U3852">
        <v>242</v>
      </c>
      <c r="V3852">
        <f t="shared" si="120"/>
        <v>244.35</v>
      </c>
      <c r="W3852">
        <f t="shared" si="121"/>
        <v>4.6999999999999886</v>
      </c>
      <c r="X3852">
        <v>34.816665999999998</v>
      </c>
      <c r="Y3852">
        <v>30.6</v>
      </c>
      <c r="Z3852" t="s">
        <v>1361</v>
      </c>
      <c r="AA3852" t="s">
        <v>1351</v>
      </c>
      <c r="AB3852"/>
      <c r="AC3852"/>
      <c r="AD3852" t="s">
        <v>4754</v>
      </c>
      <c r="AE3852"/>
      <c r="AF3852"/>
      <c r="AG3852"/>
      <c r="AH3852" t="s">
        <v>72</v>
      </c>
      <c r="AI3852" t="s">
        <v>2013</v>
      </c>
      <c r="AJ3852">
        <v>2002</v>
      </c>
      <c r="AK3852" t="s">
        <v>5259</v>
      </c>
      <c r="AL3852"/>
      <c r="AM3852" t="s">
        <v>5260</v>
      </c>
      <c r="AN3852" t="s">
        <v>114</v>
      </c>
      <c r="AO3852" t="s">
        <v>160</v>
      </c>
      <c r="AP3852" t="s">
        <v>78</v>
      </c>
      <c r="AQ3852" t="s">
        <v>5261</v>
      </c>
      <c r="AR3852" t="s">
        <v>80</v>
      </c>
      <c r="AS3852">
        <v>508</v>
      </c>
      <c r="AT3852" t="s">
        <v>81</v>
      </c>
      <c r="AU3852">
        <v>39.06</v>
      </c>
      <c r="AV3852">
        <v>-3.36</v>
      </c>
      <c r="AW3852" t="s">
        <v>82</v>
      </c>
      <c r="AX3852">
        <v>508</v>
      </c>
      <c r="AY3852" t="s">
        <v>81</v>
      </c>
      <c r="AZ3852">
        <v>34.9</v>
      </c>
      <c r="BA3852">
        <v>-13.91</v>
      </c>
      <c r="BB3852" t="s">
        <v>83</v>
      </c>
    </row>
    <row r="3853" spans="1:54" s="3" customFormat="1" ht="15" customHeight="1" x14ac:dyDescent="0.4">
      <c r="A3853">
        <v>1419509</v>
      </c>
      <c r="B3853"/>
      <c r="C3853"/>
      <c r="D3853" t="s">
        <v>54</v>
      </c>
      <c r="E3853"/>
      <c r="F3853"/>
      <c r="G3853"/>
      <c r="H3853"/>
      <c r="I3853" t="s">
        <v>57</v>
      </c>
      <c r="J3853"/>
      <c r="K3853" t="s">
        <v>2470</v>
      </c>
      <c r="L3853" t="s">
        <v>2471</v>
      </c>
      <c r="M3853" t="s">
        <v>223</v>
      </c>
      <c r="N3853"/>
      <c r="O3853"/>
      <c r="P3853" t="s">
        <v>224</v>
      </c>
      <c r="Q3853"/>
      <c r="R3853" t="s">
        <v>183</v>
      </c>
      <c r="S3853" t="s">
        <v>64</v>
      </c>
      <c r="T3853">
        <v>246.7</v>
      </c>
      <c r="U3853">
        <v>242</v>
      </c>
      <c r="V3853">
        <f t="shared" si="120"/>
        <v>244.35</v>
      </c>
      <c r="W3853">
        <f t="shared" si="121"/>
        <v>4.6999999999999886</v>
      </c>
      <c r="X3853">
        <v>34.816665999999998</v>
      </c>
      <c r="Y3853">
        <v>30.6</v>
      </c>
      <c r="Z3853" t="s">
        <v>1361</v>
      </c>
      <c r="AA3853" t="s">
        <v>1351</v>
      </c>
      <c r="AB3853"/>
      <c r="AC3853"/>
      <c r="AD3853" t="s">
        <v>4754</v>
      </c>
      <c r="AE3853"/>
      <c r="AF3853"/>
      <c r="AG3853"/>
      <c r="AH3853" t="s">
        <v>11</v>
      </c>
      <c r="AI3853" t="s">
        <v>1487</v>
      </c>
      <c r="AJ3853">
        <v>1981</v>
      </c>
      <c r="AK3853" t="s">
        <v>5259</v>
      </c>
      <c r="AL3853"/>
      <c r="AM3853" t="s">
        <v>5260</v>
      </c>
      <c r="AN3853" t="s">
        <v>114</v>
      </c>
      <c r="AO3853" t="s">
        <v>160</v>
      </c>
      <c r="AP3853" t="s">
        <v>78</v>
      </c>
      <c r="AQ3853" t="s">
        <v>5261</v>
      </c>
      <c r="AR3853" t="s">
        <v>80</v>
      </c>
      <c r="AS3853">
        <v>508</v>
      </c>
      <c r="AT3853" t="s">
        <v>81</v>
      </c>
      <c r="AU3853">
        <v>39.06</v>
      </c>
      <c r="AV3853">
        <v>-3.36</v>
      </c>
      <c r="AW3853" t="s">
        <v>82</v>
      </c>
      <c r="AX3853">
        <v>508</v>
      </c>
      <c r="AY3853" t="s">
        <v>81</v>
      </c>
      <c r="AZ3853">
        <v>34.9</v>
      </c>
      <c r="BA3853">
        <v>-13.91</v>
      </c>
      <c r="BB3853" t="s">
        <v>83</v>
      </c>
    </row>
    <row r="3854" spans="1:54" s="3" customFormat="1" ht="15" customHeight="1" x14ac:dyDescent="0.4">
      <c r="A3854">
        <v>1445529</v>
      </c>
      <c r="B3854"/>
      <c r="C3854"/>
      <c r="D3854" t="s">
        <v>2134</v>
      </c>
      <c r="E3854"/>
      <c r="F3854"/>
      <c r="G3854">
        <v>1</v>
      </c>
      <c r="H3854" t="s">
        <v>84</v>
      </c>
      <c r="I3854" t="s">
        <v>57</v>
      </c>
      <c r="J3854"/>
      <c r="K3854" t="s">
        <v>3200</v>
      </c>
      <c r="L3854" t="s">
        <v>5406</v>
      </c>
      <c r="M3854" t="s">
        <v>60</v>
      </c>
      <c r="N3854"/>
      <c r="O3854"/>
      <c r="P3854" t="s">
        <v>224</v>
      </c>
      <c r="Q3854"/>
      <c r="R3854" t="s">
        <v>183</v>
      </c>
      <c r="S3854" t="s">
        <v>64</v>
      </c>
      <c r="T3854">
        <v>246.7</v>
      </c>
      <c r="U3854">
        <v>242</v>
      </c>
      <c r="V3854">
        <f t="shared" si="120"/>
        <v>244.35</v>
      </c>
      <c r="W3854">
        <f t="shared" si="121"/>
        <v>4.6999999999999886</v>
      </c>
      <c r="X3854">
        <v>8.8063889999999994</v>
      </c>
      <c r="Y3854">
        <v>45.855277999999998</v>
      </c>
      <c r="Z3854" t="s">
        <v>1415</v>
      </c>
      <c r="AA3854" t="s">
        <v>593</v>
      </c>
      <c r="AB3854"/>
      <c r="AC3854"/>
      <c r="AD3854" t="s">
        <v>5407</v>
      </c>
      <c r="AE3854"/>
      <c r="AF3854"/>
      <c r="AG3854" t="s">
        <v>5408</v>
      </c>
      <c r="AH3854" t="s">
        <v>72</v>
      </c>
      <c r="AI3854" t="s">
        <v>5409</v>
      </c>
      <c r="AJ3854">
        <v>2013</v>
      </c>
      <c r="AK3854" t="s">
        <v>5410</v>
      </c>
      <c r="AL3854"/>
      <c r="AM3854"/>
      <c r="AN3854" t="s">
        <v>76</v>
      </c>
      <c r="AO3854" t="s">
        <v>77</v>
      </c>
      <c r="AP3854" t="s">
        <v>78</v>
      </c>
      <c r="AQ3854" t="s">
        <v>5411</v>
      </c>
      <c r="AR3854" t="s">
        <v>80</v>
      </c>
      <c r="AS3854">
        <v>307</v>
      </c>
      <c r="AT3854" t="s">
        <v>81</v>
      </c>
      <c r="AU3854">
        <v>34.19</v>
      </c>
      <c r="AV3854">
        <v>16.760000000000002</v>
      </c>
      <c r="AW3854" t="s">
        <v>82</v>
      </c>
      <c r="AX3854">
        <v>307</v>
      </c>
      <c r="AY3854" t="s">
        <v>81</v>
      </c>
      <c r="AZ3854">
        <v>21.96</v>
      </c>
      <c r="BA3854">
        <v>7.22</v>
      </c>
      <c r="BB3854" t="s">
        <v>83</v>
      </c>
    </row>
    <row r="3855" spans="1:54" s="3" customFormat="1" ht="15" customHeight="1" x14ac:dyDescent="0.4">
      <c r="A3855">
        <v>1445531</v>
      </c>
      <c r="B3855"/>
      <c r="C3855"/>
      <c r="D3855" t="s">
        <v>2134</v>
      </c>
      <c r="E3855"/>
      <c r="F3855"/>
      <c r="G3855">
        <v>1</v>
      </c>
      <c r="H3855" t="s">
        <v>84</v>
      </c>
      <c r="I3855" t="s">
        <v>57</v>
      </c>
      <c r="J3855"/>
      <c r="K3855" t="s">
        <v>141</v>
      </c>
      <c r="L3855" t="s">
        <v>3721</v>
      </c>
      <c r="M3855" t="s">
        <v>60</v>
      </c>
      <c r="N3855"/>
      <c r="O3855" t="s">
        <v>87</v>
      </c>
      <c r="P3855" t="s">
        <v>224</v>
      </c>
      <c r="Q3855"/>
      <c r="R3855" t="s">
        <v>183</v>
      </c>
      <c r="S3855" t="s">
        <v>64</v>
      </c>
      <c r="T3855">
        <v>246.7</v>
      </c>
      <c r="U3855">
        <v>242</v>
      </c>
      <c r="V3855">
        <f t="shared" si="120"/>
        <v>244.35</v>
      </c>
      <c r="W3855">
        <f t="shared" si="121"/>
        <v>4.6999999999999886</v>
      </c>
      <c r="X3855">
        <v>8.8130000000000006</v>
      </c>
      <c r="Y3855">
        <v>45.859000999999999</v>
      </c>
      <c r="Z3855" t="s">
        <v>1415</v>
      </c>
      <c r="AA3855" t="s">
        <v>593</v>
      </c>
      <c r="AB3855"/>
      <c r="AC3855"/>
      <c r="AD3855" t="s">
        <v>5407</v>
      </c>
      <c r="AE3855"/>
      <c r="AF3855"/>
      <c r="AG3855" t="s">
        <v>5408</v>
      </c>
      <c r="AH3855" t="s">
        <v>11</v>
      </c>
      <c r="AI3855" t="s">
        <v>5409</v>
      </c>
      <c r="AJ3855">
        <v>2013</v>
      </c>
      <c r="AK3855" t="s">
        <v>5412</v>
      </c>
      <c r="AL3855"/>
      <c r="AM3855"/>
      <c r="AN3855" t="s">
        <v>192</v>
      </c>
      <c r="AO3855">
        <v>3</v>
      </c>
      <c r="AP3855" t="s">
        <v>78</v>
      </c>
      <c r="AQ3855"/>
      <c r="AR3855" t="s">
        <v>80</v>
      </c>
      <c r="AS3855">
        <v>307</v>
      </c>
      <c r="AT3855" t="s">
        <v>81</v>
      </c>
      <c r="AU3855">
        <v>34.200000000000003</v>
      </c>
      <c r="AV3855">
        <v>16.760000000000002</v>
      </c>
      <c r="AW3855" t="s">
        <v>82</v>
      </c>
      <c r="AX3855">
        <v>307</v>
      </c>
      <c r="AY3855" t="s">
        <v>81</v>
      </c>
      <c r="AZ3855">
        <v>21.96</v>
      </c>
      <c r="BA3855">
        <v>7.22</v>
      </c>
      <c r="BB3855" t="s">
        <v>83</v>
      </c>
    </row>
    <row r="3856" spans="1:54" s="3" customFormat="1" ht="15" customHeight="1" x14ac:dyDescent="0.4">
      <c r="A3856">
        <v>1504406</v>
      </c>
      <c r="B3856"/>
      <c r="C3856"/>
      <c r="D3856" t="s">
        <v>54</v>
      </c>
      <c r="E3856"/>
      <c r="F3856"/>
      <c r="G3856">
        <v>1</v>
      </c>
      <c r="H3856" t="s">
        <v>84</v>
      </c>
      <c r="I3856" t="s">
        <v>57</v>
      </c>
      <c r="J3856"/>
      <c r="K3856" t="s">
        <v>802</v>
      </c>
      <c r="L3856" t="s">
        <v>803</v>
      </c>
      <c r="M3856" t="s">
        <v>223</v>
      </c>
      <c r="N3856" t="s">
        <v>234</v>
      </c>
      <c r="O3856" t="s">
        <v>87</v>
      </c>
      <c r="P3856" t="s">
        <v>224</v>
      </c>
      <c r="Q3856"/>
      <c r="R3856" t="s">
        <v>183</v>
      </c>
      <c r="S3856" t="s">
        <v>64</v>
      </c>
      <c r="T3856">
        <v>246.7</v>
      </c>
      <c r="U3856">
        <v>242</v>
      </c>
      <c r="V3856">
        <f t="shared" si="120"/>
        <v>244.35</v>
      </c>
      <c r="W3856">
        <f t="shared" si="121"/>
        <v>4.6999999999999886</v>
      </c>
      <c r="X3856">
        <v>-117.558891</v>
      </c>
      <c r="Y3856">
        <v>40.059165999999998</v>
      </c>
      <c r="Z3856" t="s">
        <v>520</v>
      </c>
      <c r="AA3856" t="s">
        <v>66</v>
      </c>
      <c r="AB3856" t="s">
        <v>558</v>
      </c>
      <c r="AC3856" t="s">
        <v>559</v>
      </c>
      <c r="AD3856" t="s">
        <v>3344</v>
      </c>
      <c r="AE3856" t="s">
        <v>3345</v>
      </c>
      <c r="AF3856" t="s">
        <v>3346</v>
      </c>
      <c r="AG3856" t="s">
        <v>5476</v>
      </c>
      <c r="AH3856" t="s">
        <v>72</v>
      </c>
      <c r="AI3856" t="s">
        <v>3204</v>
      </c>
      <c r="AJ3856">
        <v>2020</v>
      </c>
      <c r="AK3856" t="s">
        <v>5477</v>
      </c>
      <c r="AL3856"/>
      <c r="AM3856" t="s">
        <v>5478</v>
      </c>
      <c r="AN3856"/>
      <c r="AO3856" t="s">
        <v>77</v>
      </c>
      <c r="AP3856"/>
      <c r="AQ3856" t="s">
        <v>5479</v>
      </c>
      <c r="AR3856" t="s">
        <v>80</v>
      </c>
      <c r="AS3856">
        <v>101</v>
      </c>
      <c r="AT3856" t="s">
        <v>81</v>
      </c>
      <c r="AU3856">
        <v>-38.020000000000003</v>
      </c>
      <c r="AV3856">
        <v>24.61</v>
      </c>
      <c r="AW3856" t="s">
        <v>82</v>
      </c>
      <c r="AX3856">
        <v>131</v>
      </c>
      <c r="AY3856" t="s">
        <v>81</v>
      </c>
      <c r="AZ3856">
        <v>-43.09</v>
      </c>
      <c r="BA3856">
        <v>9.17</v>
      </c>
      <c r="BB3856" t="s">
        <v>83</v>
      </c>
    </row>
    <row r="3857" spans="1:54" s="3" customFormat="1" ht="15" customHeight="1" x14ac:dyDescent="0.4">
      <c r="A3857">
        <v>388713</v>
      </c>
      <c r="B3857"/>
      <c r="C3857"/>
      <c r="D3857" t="s">
        <v>54</v>
      </c>
      <c r="E3857" t="s">
        <v>55</v>
      </c>
      <c r="F3857"/>
      <c r="G3857">
        <v>1</v>
      </c>
      <c r="H3857" t="s">
        <v>84</v>
      </c>
      <c r="I3857" t="s">
        <v>57</v>
      </c>
      <c r="J3857"/>
      <c r="K3857" t="s">
        <v>565</v>
      </c>
      <c r="L3857" t="s">
        <v>651</v>
      </c>
      <c r="M3857" t="s">
        <v>223</v>
      </c>
      <c r="N3857" t="s">
        <v>234</v>
      </c>
      <c r="O3857" t="s">
        <v>87</v>
      </c>
      <c r="P3857" t="s">
        <v>103</v>
      </c>
      <c r="Q3857"/>
      <c r="R3857" t="s">
        <v>104</v>
      </c>
      <c r="S3857" t="s">
        <v>64</v>
      </c>
      <c r="T3857">
        <v>251.2</v>
      </c>
      <c r="U3857">
        <v>246.7</v>
      </c>
      <c r="V3857">
        <f t="shared" si="120"/>
        <v>248.95</v>
      </c>
      <c r="W3857">
        <f t="shared" si="121"/>
        <v>4.5</v>
      </c>
      <c r="X3857">
        <v>117</v>
      </c>
      <c r="Y3857">
        <v>33</v>
      </c>
      <c r="Z3857" t="s">
        <v>520</v>
      </c>
      <c r="AA3857" t="s">
        <v>379</v>
      </c>
      <c r="AB3857" t="s">
        <v>652</v>
      </c>
      <c r="AC3857" t="s">
        <v>653</v>
      </c>
      <c r="AD3857"/>
      <c r="AE3857"/>
      <c r="AF3857"/>
      <c r="AG3857"/>
      <c r="AH3857" t="s">
        <v>72</v>
      </c>
      <c r="AI3857" t="s">
        <v>654</v>
      </c>
      <c r="AJ3857">
        <v>1998</v>
      </c>
      <c r="AK3857" t="s">
        <v>655</v>
      </c>
      <c r="AL3857"/>
      <c r="AM3857" t="s">
        <v>656</v>
      </c>
      <c r="AN3857" t="s">
        <v>341</v>
      </c>
      <c r="AO3857" t="s">
        <v>657</v>
      </c>
      <c r="AP3857" t="s">
        <v>359</v>
      </c>
      <c r="AQ3857" t="s">
        <v>658</v>
      </c>
      <c r="AR3857" t="s">
        <v>80</v>
      </c>
      <c r="AS3857">
        <v>604</v>
      </c>
      <c r="AT3857" t="s">
        <v>81</v>
      </c>
      <c r="AU3857">
        <v>116.49</v>
      </c>
      <c r="AV3857">
        <v>7.27</v>
      </c>
      <c r="AW3857" t="s">
        <v>82</v>
      </c>
      <c r="AX3857">
        <v>604</v>
      </c>
      <c r="AY3857" t="s">
        <v>81</v>
      </c>
      <c r="AZ3857">
        <v>94.69</v>
      </c>
      <c r="BA3857">
        <v>28.9</v>
      </c>
      <c r="BB3857" t="s">
        <v>83</v>
      </c>
    </row>
    <row r="3858" spans="1:54" s="3" customFormat="1" ht="15" customHeight="1" x14ac:dyDescent="0.4">
      <c r="A3858">
        <v>388714</v>
      </c>
      <c r="B3858"/>
      <c r="C3858"/>
      <c r="D3858" t="s">
        <v>54</v>
      </c>
      <c r="E3858" t="s">
        <v>55</v>
      </c>
      <c r="F3858"/>
      <c r="G3858">
        <v>1</v>
      </c>
      <c r="H3858" t="s">
        <v>84</v>
      </c>
      <c r="I3858" t="s">
        <v>57</v>
      </c>
      <c r="J3858"/>
      <c r="K3858" t="s">
        <v>565</v>
      </c>
      <c r="L3858" t="s">
        <v>651</v>
      </c>
      <c r="M3858" t="s">
        <v>223</v>
      </c>
      <c r="N3858" t="s">
        <v>234</v>
      </c>
      <c r="O3858" t="s">
        <v>87</v>
      </c>
      <c r="P3858" t="s">
        <v>103</v>
      </c>
      <c r="Q3858"/>
      <c r="R3858" t="s">
        <v>104</v>
      </c>
      <c r="S3858" t="s">
        <v>64</v>
      </c>
      <c r="T3858">
        <v>251.2</v>
      </c>
      <c r="U3858">
        <v>246.7</v>
      </c>
      <c r="V3858">
        <f t="shared" si="120"/>
        <v>248.95</v>
      </c>
      <c r="W3858">
        <f t="shared" si="121"/>
        <v>4.5</v>
      </c>
      <c r="X3858">
        <v>117</v>
      </c>
      <c r="Y3858">
        <v>33</v>
      </c>
      <c r="Z3858" t="s">
        <v>520</v>
      </c>
      <c r="AA3858" t="s">
        <v>379</v>
      </c>
      <c r="AB3858" t="s">
        <v>652</v>
      </c>
      <c r="AC3858"/>
      <c r="AD3858"/>
      <c r="AE3858"/>
      <c r="AF3858"/>
      <c r="AG3858"/>
      <c r="AH3858" t="s">
        <v>72</v>
      </c>
      <c r="AI3858" t="s">
        <v>659</v>
      </c>
      <c r="AJ3858">
        <v>1996</v>
      </c>
      <c r="AK3858" t="s">
        <v>660</v>
      </c>
      <c r="AL3858"/>
      <c r="AM3858" t="s">
        <v>661</v>
      </c>
      <c r="AN3858" t="s">
        <v>341</v>
      </c>
      <c r="AO3858" t="s">
        <v>657</v>
      </c>
      <c r="AP3858" t="s">
        <v>115</v>
      </c>
      <c r="AQ3858" t="s">
        <v>662</v>
      </c>
      <c r="AR3858" t="s">
        <v>80</v>
      </c>
      <c r="AS3858">
        <v>604</v>
      </c>
      <c r="AT3858" t="s">
        <v>81</v>
      </c>
      <c r="AU3858">
        <v>116.49</v>
      </c>
      <c r="AV3858">
        <v>7.27</v>
      </c>
      <c r="AW3858" t="s">
        <v>82</v>
      </c>
      <c r="AX3858">
        <v>604</v>
      </c>
      <c r="AY3858" t="s">
        <v>81</v>
      </c>
      <c r="AZ3858">
        <v>94.69</v>
      </c>
      <c r="BA3858">
        <v>28.9</v>
      </c>
      <c r="BB3858" t="s">
        <v>83</v>
      </c>
    </row>
    <row r="3859" spans="1:54" s="3" customFormat="1" ht="15" customHeight="1" x14ac:dyDescent="0.4">
      <c r="A3859">
        <v>792533</v>
      </c>
      <c r="B3859"/>
      <c r="C3859"/>
      <c r="D3859" t="s">
        <v>54</v>
      </c>
      <c r="E3859"/>
      <c r="F3859"/>
      <c r="G3859"/>
      <c r="H3859"/>
      <c r="I3859" t="s">
        <v>57</v>
      </c>
      <c r="J3859"/>
      <c r="K3859" t="s">
        <v>141</v>
      </c>
      <c r="L3859" t="s">
        <v>2007</v>
      </c>
      <c r="M3859" t="s">
        <v>223</v>
      </c>
      <c r="N3859"/>
      <c r="O3859"/>
      <c r="P3859" t="s">
        <v>103</v>
      </c>
      <c r="Q3859"/>
      <c r="R3859" t="s">
        <v>104</v>
      </c>
      <c r="S3859" t="s">
        <v>64</v>
      </c>
      <c r="T3859">
        <v>251.2</v>
      </c>
      <c r="U3859">
        <v>246.7</v>
      </c>
      <c r="V3859">
        <f t="shared" si="120"/>
        <v>248.95</v>
      </c>
      <c r="W3859">
        <f t="shared" si="121"/>
        <v>4.5</v>
      </c>
      <c r="X3859">
        <v>-106.442497</v>
      </c>
      <c r="Y3859">
        <v>42.731945000000003</v>
      </c>
      <c r="Z3859" t="s">
        <v>1596</v>
      </c>
      <c r="AA3859" t="s">
        <v>66</v>
      </c>
      <c r="AB3859" t="s">
        <v>2008</v>
      </c>
      <c r="AC3859" t="s">
        <v>2009</v>
      </c>
      <c r="AD3859" t="s">
        <v>2010</v>
      </c>
      <c r="AE3859" t="s">
        <v>2011</v>
      </c>
      <c r="AF3859" t="s">
        <v>2012</v>
      </c>
      <c r="AG3859"/>
      <c r="AH3859" t="s">
        <v>72</v>
      </c>
      <c r="AI3859" t="s">
        <v>2013</v>
      </c>
      <c r="AJ3859">
        <v>1998</v>
      </c>
      <c r="AK3859" t="s">
        <v>2014</v>
      </c>
      <c r="AL3859"/>
      <c r="AM3859"/>
      <c r="AN3859" t="s">
        <v>192</v>
      </c>
      <c r="AO3859" t="s">
        <v>77</v>
      </c>
      <c r="AP3859" t="s">
        <v>115</v>
      </c>
      <c r="AQ3859" t="s">
        <v>2015</v>
      </c>
      <c r="AR3859" t="s">
        <v>80</v>
      </c>
      <c r="AS3859">
        <v>101</v>
      </c>
      <c r="AT3859" t="s">
        <v>81</v>
      </c>
      <c r="AU3859">
        <v>-27.7</v>
      </c>
      <c r="AV3859">
        <v>24.67</v>
      </c>
      <c r="AW3859" t="s">
        <v>82</v>
      </c>
      <c r="AX3859">
        <v>101</v>
      </c>
      <c r="AY3859" t="s">
        <v>81</v>
      </c>
      <c r="AZ3859">
        <v>-31.6</v>
      </c>
      <c r="BA3859">
        <v>11.2</v>
      </c>
      <c r="BB3859" t="s">
        <v>83</v>
      </c>
    </row>
    <row r="3860" spans="1:54" s="3" customFormat="1" ht="15" customHeight="1" x14ac:dyDescent="0.4">
      <c r="A3860">
        <v>792622</v>
      </c>
      <c r="B3860"/>
      <c r="C3860"/>
      <c r="D3860" t="s">
        <v>2001</v>
      </c>
      <c r="E3860" t="s">
        <v>152</v>
      </c>
      <c r="F3860"/>
      <c r="G3860">
        <v>1</v>
      </c>
      <c r="H3860" t="s">
        <v>56</v>
      </c>
      <c r="I3860" t="s">
        <v>57</v>
      </c>
      <c r="J3860"/>
      <c r="K3860" t="s">
        <v>100</v>
      </c>
      <c r="L3860" t="s">
        <v>2040</v>
      </c>
      <c r="M3860" t="s">
        <v>60</v>
      </c>
      <c r="N3860"/>
      <c r="O3860"/>
      <c r="P3860" t="s">
        <v>224</v>
      </c>
      <c r="Q3860"/>
      <c r="R3860" t="s">
        <v>183</v>
      </c>
      <c r="S3860" t="s">
        <v>64</v>
      </c>
      <c r="T3860">
        <v>246.7</v>
      </c>
      <c r="U3860">
        <v>245.5</v>
      </c>
      <c r="V3860">
        <f t="shared" si="120"/>
        <v>246.1</v>
      </c>
      <c r="W3860">
        <f t="shared" si="121"/>
        <v>1.1999999999999886</v>
      </c>
      <c r="X3860">
        <v>10.653055999999999</v>
      </c>
      <c r="Y3860">
        <v>50.453887999999999</v>
      </c>
      <c r="Z3860" t="s">
        <v>1923</v>
      </c>
      <c r="AA3860" t="s">
        <v>211</v>
      </c>
      <c r="AB3860" t="s">
        <v>977</v>
      </c>
      <c r="AC3860" t="s">
        <v>2041</v>
      </c>
      <c r="AD3860" t="s">
        <v>2042</v>
      </c>
      <c r="AE3860" t="s">
        <v>2043</v>
      </c>
      <c r="AF3860" t="s">
        <v>2044</v>
      </c>
      <c r="AG3860"/>
      <c r="AH3860" t="s">
        <v>72</v>
      </c>
      <c r="AI3860" t="s">
        <v>2045</v>
      </c>
      <c r="AJ3860">
        <v>2008</v>
      </c>
      <c r="AK3860" t="s">
        <v>2046</v>
      </c>
      <c r="AL3860"/>
      <c r="AM3860"/>
      <c r="AN3860" t="s">
        <v>114</v>
      </c>
      <c r="AO3860" t="s">
        <v>77</v>
      </c>
      <c r="AP3860" t="s">
        <v>115</v>
      </c>
      <c r="AQ3860" t="s">
        <v>2047</v>
      </c>
      <c r="AR3860" t="s">
        <v>80</v>
      </c>
      <c r="AS3860">
        <v>305</v>
      </c>
      <c r="AT3860" t="s">
        <v>81</v>
      </c>
      <c r="AU3860">
        <v>29.31</v>
      </c>
      <c r="AV3860">
        <v>29.25</v>
      </c>
      <c r="AW3860" t="s">
        <v>82</v>
      </c>
      <c r="AX3860">
        <v>305</v>
      </c>
      <c r="AY3860" t="s">
        <v>81</v>
      </c>
      <c r="AZ3860">
        <v>19.600000000000001</v>
      </c>
      <c r="BA3860">
        <v>16.46</v>
      </c>
      <c r="BB3860" t="s">
        <v>83</v>
      </c>
    </row>
    <row r="3861" spans="1:54" s="3" customFormat="1" ht="15" customHeight="1" x14ac:dyDescent="0.4">
      <c r="A3861">
        <v>792622</v>
      </c>
      <c r="B3861"/>
      <c r="C3861"/>
      <c r="D3861" t="s">
        <v>2001</v>
      </c>
      <c r="E3861" t="s">
        <v>152</v>
      </c>
      <c r="F3861"/>
      <c r="G3861">
        <v>1</v>
      </c>
      <c r="H3861" t="s">
        <v>56</v>
      </c>
      <c r="I3861" t="s">
        <v>57</v>
      </c>
      <c r="J3861"/>
      <c r="K3861" t="s">
        <v>100</v>
      </c>
      <c r="L3861" t="s">
        <v>2040</v>
      </c>
      <c r="M3861" t="s">
        <v>60</v>
      </c>
      <c r="N3861"/>
      <c r="O3861"/>
      <c r="P3861" t="s">
        <v>224</v>
      </c>
      <c r="Q3861"/>
      <c r="R3861" t="s">
        <v>183</v>
      </c>
      <c r="S3861" t="s">
        <v>64</v>
      </c>
      <c r="T3861">
        <v>246.7</v>
      </c>
      <c r="U3861">
        <v>245.5</v>
      </c>
      <c r="V3861">
        <f t="shared" si="120"/>
        <v>246.1</v>
      </c>
      <c r="W3861">
        <f t="shared" si="121"/>
        <v>1.1999999999999886</v>
      </c>
      <c r="X3861">
        <v>10.653055999999999</v>
      </c>
      <c r="Y3861">
        <v>50.453887999999999</v>
      </c>
      <c r="Z3861" t="s">
        <v>1923</v>
      </c>
      <c r="AA3861" t="s">
        <v>211</v>
      </c>
      <c r="AB3861" t="s">
        <v>977</v>
      </c>
      <c r="AC3861" t="s">
        <v>2041</v>
      </c>
      <c r="AD3861" t="s">
        <v>2042</v>
      </c>
      <c r="AE3861" t="s">
        <v>2043</v>
      </c>
      <c r="AF3861" t="s">
        <v>2044</v>
      </c>
      <c r="AG3861"/>
      <c r="AH3861" t="s">
        <v>72</v>
      </c>
      <c r="AI3861" t="s">
        <v>2045</v>
      </c>
      <c r="AJ3861">
        <v>2008</v>
      </c>
      <c r="AK3861" t="s">
        <v>2046</v>
      </c>
      <c r="AL3861"/>
      <c r="AM3861"/>
      <c r="AN3861" t="s">
        <v>114</v>
      </c>
      <c r="AO3861" t="s">
        <v>77</v>
      </c>
      <c r="AP3861" t="s">
        <v>115</v>
      </c>
      <c r="AQ3861" t="s">
        <v>2047</v>
      </c>
      <c r="AR3861" t="s">
        <v>80</v>
      </c>
      <c r="AS3861">
        <v>305</v>
      </c>
      <c r="AT3861" t="s">
        <v>81</v>
      </c>
      <c r="AU3861">
        <v>29.31</v>
      </c>
      <c r="AV3861">
        <v>29.25</v>
      </c>
      <c r="AW3861" t="s">
        <v>82</v>
      </c>
      <c r="AX3861">
        <v>305</v>
      </c>
      <c r="AY3861" t="s">
        <v>81</v>
      </c>
      <c r="AZ3861">
        <v>19.600000000000001</v>
      </c>
      <c r="BA3861">
        <v>16.46</v>
      </c>
      <c r="BB3861" t="s">
        <v>83</v>
      </c>
    </row>
    <row r="3862" spans="1:54" s="3" customFormat="1" ht="15" customHeight="1" x14ac:dyDescent="0.4">
      <c r="A3862">
        <v>821274</v>
      </c>
      <c r="B3862"/>
      <c r="C3862"/>
      <c r="D3862" t="s">
        <v>853</v>
      </c>
      <c r="E3862"/>
      <c r="F3862"/>
      <c r="G3862"/>
      <c r="H3862"/>
      <c r="I3862" t="s">
        <v>57</v>
      </c>
      <c r="J3862"/>
      <c r="K3862" t="s">
        <v>2124</v>
      </c>
      <c r="L3862" t="s">
        <v>2125</v>
      </c>
      <c r="M3862" t="s">
        <v>223</v>
      </c>
      <c r="N3862" t="s">
        <v>234</v>
      </c>
      <c r="O3862" t="s">
        <v>87</v>
      </c>
      <c r="P3862" t="s">
        <v>103</v>
      </c>
      <c r="Q3862"/>
      <c r="R3862" t="s">
        <v>104</v>
      </c>
      <c r="S3862" t="s">
        <v>64</v>
      </c>
      <c r="T3862">
        <v>251.2</v>
      </c>
      <c r="U3862">
        <v>246.7</v>
      </c>
      <c r="V3862">
        <f t="shared" si="120"/>
        <v>248.95</v>
      </c>
      <c r="W3862">
        <f t="shared" si="121"/>
        <v>4.5</v>
      </c>
      <c r="X3862">
        <v>141.46665999999999</v>
      </c>
      <c r="Y3862">
        <v>38.516666000000001</v>
      </c>
      <c r="Z3862" t="s">
        <v>520</v>
      </c>
      <c r="AA3862" t="s">
        <v>2126</v>
      </c>
      <c r="AB3862" t="s">
        <v>2127</v>
      </c>
      <c r="AC3862"/>
      <c r="AD3862"/>
      <c r="AE3862"/>
      <c r="AF3862"/>
      <c r="AG3862"/>
      <c r="AH3862" t="s">
        <v>72</v>
      </c>
      <c r="AI3862" t="s">
        <v>659</v>
      </c>
      <c r="AJ3862">
        <v>1998</v>
      </c>
      <c r="AK3862" t="s">
        <v>2421</v>
      </c>
      <c r="AL3862"/>
      <c r="AM3862"/>
      <c r="AN3862" t="s">
        <v>114</v>
      </c>
      <c r="AO3862" t="s">
        <v>160</v>
      </c>
      <c r="AP3862" t="s">
        <v>115</v>
      </c>
      <c r="AQ3862" t="s">
        <v>2422</v>
      </c>
      <c r="AR3862" t="s">
        <v>80</v>
      </c>
      <c r="AS3862">
        <v>610</v>
      </c>
      <c r="AT3862" t="s">
        <v>81</v>
      </c>
      <c r="AU3862">
        <v>138.63</v>
      </c>
      <c r="AV3862">
        <v>4.6500000000000004</v>
      </c>
      <c r="AW3862" t="s">
        <v>82</v>
      </c>
      <c r="AX3862" t="s">
        <v>528</v>
      </c>
      <c r="AY3862" t="s">
        <v>81</v>
      </c>
      <c r="AZ3862"/>
      <c r="BA3862"/>
      <c r="BB3862" t="s">
        <v>83</v>
      </c>
    </row>
    <row r="3863" spans="1:54" s="3" customFormat="1" ht="15" customHeight="1" x14ac:dyDescent="0.4">
      <c r="A3863">
        <v>837482</v>
      </c>
      <c r="B3863"/>
      <c r="C3863"/>
      <c r="D3863" t="s">
        <v>2134</v>
      </c>
      <c r="E3863"/>
      <c r="F3863"/>
      <c r="G3863"/>
      <c r="H3863"/>
      <c r="I3863" t="s">
        <v>57</v>
      </c>
      <c r="J3863"/>
      <c r="K3863" t="s">
        <v>100</v>
      </c>
      <c r="L3863" t="s">
        <v>2653</v>
      </c>
      <c r="M3863" t="s">
        <v>60</v>
      </c>
      <c r="N3863"/>
      <c r="O3863"/>
      <c r="P3863" t="s">
        <v>224</v>
      </c>
      <c r="Q3863"/>
      <c r="R3863" t="s">
        <v>183</v>
      </c>
      <c r="S3863" t="s">
        <v>64</v>
      </c>
      <c r="T3863">
        <v>246.7</v>
      </c>
      <c r="U3863">
        <v>245.5</v>
      </c>
      <c r="V3863">
        <f t="shared" si="120"/>
        <v>246.1</v>
      </c>
      <c r="W3863">
        <f t="shared" si="121"/>
        <v>1.1999999999999886</v>
      </c>
      <c r="X3863">
        <v>11.032222000000001</v>
      </c>
      <c r="Y3863">
        <v>50.331668999999998</v>
      </c>
      <c r="Z3863" t="s">
        <v>1923</v>
      </c>
      <c r="AA3863" t="s">
        <v>211</v>
      </c>
      <c r="AB3863" t="s">
        <v>2654</v>
      </c>
      <c r="AC3863" t="s">
        <v>2655</v>
      </c>
      <c r="AD3863" t="s">
        <v>2042</v>
      </c>
      <c r="AE3863" t="s">
        <v>2043</v>
      </c>
      <c r="AF3863" t="s">
        <v>2044</v>
      </c>
      <c r="AG3863"/>
      <c r="AH3863" t="s">
        <v>72</v>
      </c>
      <c r="AI3863" t="s">
        <v>693</v>
      </c>
      <c r="AJ3863">
        <v>1911</v>
      </c>
      <c r="AK3863" t="s">
        <v>2656</v>
      </c>
      <c r="AL3863"/>
      <c r="AM3863"/>
      <c r="AN3863" t="s">
        <v>114</v>
      </c>
      <c r="AO3863" t="s">
        <v>77</v>
      </c>
      <c r="AP3863"/>
      <c r="AQ3863" t="s">
        <v>2657</v>
      </c>
      <c r="AR3863" t="s">
        <v>80</v>
      </c>
      <c r="AS3863">
        <v>305</v>
      </c>
      <c r="AT3863" t="s">
        <v>81</v>
      </c>
      <c r="AU3863">
        <v>29.61</v>
      </c>
      <c r="AV3863">
        <v>29.19</v>
      </c>
      <c r="AW3863" t="s">
        <v>82</v>
      </c>
      <c r="AX3863">
        <v>305</v>
      </c>
      <c r="AY3863" t="s">
        <v>81</v>
      </c>
      <c r="AZ3863">
        <v>19.88</v>
      </c>
      <c r="BA3863">
        <v>16.440000000000001</v>
      </c>
      <c r="BB3863" t="s">
        <v>83</v>
      </c>
    </row>
    <row r="3864" spans="1:54" s="3" customFormat="1" ht="15" customHeight="1" x14ac:dyDescent="0.4">
      <c r="A3864">
        <v>943872</v>
      </c>
      <c r="B3864"/>
      <c r="C3864"/>
      <c r="D3864" t="s">
        <v>853</v>
      </c>
      <c r="E3864" t="s">
        <v>152</v>
      </c>
      <c r="F3864"/>
      <c r="G3864">
        <v>1</v>
      </c>
      <c r="H3864" t="s">
        <v>56</v>
      </c>
      <c r="I3864" t="s">
        <v>57</v>
      </c>
      <c r="J3864"/>
      <c r="K3864" t="s">
        <v>580</v>
      </c>
      <c r="L3864" t="s">
        <v>3870</v>
      </c>
      <c r="M3864" t="s">
        <v>60</v>
      </c>
      <c r="N3864"/>
      <c r="O3864" t="s">
        <v>87</v>
      </c>
      <c r="P3864" t="s">
        <v>103</v>
      </c>
      <c r="Q3864"/>
      <c r="R3864" t="s">
        <v>104</v>
      </c>
      <c r="S3864" t="s">
        <v>64</v>
      </c>
      <c r="T3864">
        <v>251.2</v>
      </c>
      <c r="U3864">
        <v>246.7</v>
      </c>
      <c r="V3864">
        <f t="shared" si="120"/>
        <v>248.95</v>
      </c>
      <c r="W3864">
        <f t="shared" si="121"/>
        <v>4.5</v>
      </c>
      <c r="X3864">
        <v>10.011111</v>
      </c>
      <c r="Y3864">
        <v>51.465000000000003</v>
      </c>
      <c r="Z3864" t="s">
        <v>105</v>
      </c>
      <c r="AA3864" t="s">
        <v>211</v>
      </c>
      <c r="AB3864" t="s">
        <v>1163</v>
      </c>
      <c r="AC3864" t="s">
        <v>3769</v>
      </c>
      <c r="AD3864" t="s">
        <v>2042</v>
      </c>
      <c r="AE3864" t="s">
        <v>2043</v>
      </c>
      <c r="AF3864" t="s">
        <v>3871</v>
      </c>
      <c r="AG3864"/>
      <c r="AH3864" t="s">
        <v>72</v>
      </c>
      <c r="AI3864" t="s">
        <v>693</v>
      </c>
      <c r="AJ3864">
        <v>1902</v>
      </c>
      <c r="AK3864" t="s">
        <v>3872</v>
      </c>
      <c r="AL3864"/>
      <c r="AM3864" t="s">
        <v>3873</v>
      </c>
      <c r="AN3864" t="s">
        <v>192</v>
      </c>
      <c r="AO3864" t="s">
        <v>77</v>
      </c>
      <c r="AP3864" t="s">
        <v>115</v>
      </c>
      <c r="AQ3864" t="s">
        <v>3874</v>
      </c>
      <c r="AR3864" t="s">
        <v>80</v>
      </c>
      <c r="AS3864">
        <v>315</v>
      </c>
      <c r="AT3864" t="s">
        <v>81</v>
      </c>
      <c r="AU3864">
        <v>29.36</v>
      </c>
      <c r="AV3864">
        <v>29.34</v>
      </c>
      <c r="AW3864" t="s">
        <v>82</v>
      </c>
      <c r="AX3864">
        <v>315</v>
      </c>
      <c r="AY3864" t="s">
        <v>81</v>
      </c>
      <c r="AZ3864">
        <v>20.329999999999998</v>
      </c>
      <c r="BA3864">
        <v>16.89</v>
      </c>
      <c r="BB3864" t="s">
        <v>83</v>
      </c>
    </row>
    <row r="3865" spans="1:54" s="3" customFormat="1" ht="15" customHeight="1" x14ac:dyDescent="0.4">
      <c r="A3865">
        <v>1076935</v>
      </c>
      <c r="B3865"/>
      <c r="C3865"/>
      <c r="D3865" t="s">
        <v>54</v>
      </c>
      <c r="E3865"/>
      <c r="F3865"/>
      <c r="G3865">
        <v>1</v>
      </c>
      <c r="H3865" t="s">
        <v>56</v>
      </c>
      <c r="I3865" t="s">
        <v>57</v>
      </c>
      <c r="J3865"/>
      <c r="K3865" t="s">
        <v>4049</v>
      </c>
      <c r="L3865" t="s">
        <v>4050</v>
      </c>
      <c r="M3865" t="s">
        <v>60</v>
      </c>
      <c r="N3865"/>
      <c r="O3865"/>
      <c r="P3865" t="s">
        <v>224</v>
      </c>
      <c r="Q3865"/>
      <c r="R3865" t="s">
        <v>183</v>
      </c>
      <c r="S3865" t="s">
        <v>64</v>
      </c>
      <c r="T3865">
        <v>246.7</v>
      </c>
      <c r="U3865">
        <v>245.5</v>
      </c>
      <c r="V3865">
        <f t="shared" si="120"/>
        <v>246.1</v>
      </c>
      <c r="W3865">
        <f t="shared" si="121"/>
        <v>1.1999999999999886</v>
      </c>
      <c r="X3865">
        <v>11.733333</v>
      </c>
      <c r="Y3865">
        <v>51.799999</v>
      </c>
      <c r="Z3865" t="s">
        <v>124</v>
      </c>
      <c r="AA3865" t="s">
        <v>211</v>
      </c>
      <c r="AB3865" t="s">
        <v>266</v>
      </c>
      <c r="AC3865" t="s">
        <v>4051</v>
      </c>
      <c r="AD3865" t="s">
        <v>2042</v>
      </c>
      <c r="AE3865" t="s">
        <v>2043</v>
      </c>
      <c r="AF3865" t="s">
        <v>4052</v>
      </c>
      <c r="AG3865"/>
      <c r="AH3865" t="s">
        <v>72</v>
      </c>
      <c r="AI3865" t="s">
        <v>4053</v>
      </c>
      <c r="AJ3865">
        <v>1917</v>
      </c>
      <c r="AK3865" t="s">
        <v>4054</v>
      </c>
      <c r="AL3865"/>
      <c r="AM3865" t="s">
        <v>4050</v>
      </c>
      <c r="AN3865" t="s">
        <v>114</v>
      </c>
      <c r="AO3865" t="s">
        <v>160</v>
      </c>
      <c r="AP3865" t="s">
        <v>78</v>
      </c>
      <c r="AQ3865" t="s">
        <v>4055</v>
      </c>
      <c r="AR3865" t="s">
        <v>80</v>
      </c>
      <c r="AS3865">
        <v>315</v>
      </c>
      <c r="AT3865" t="s">
        <v>81</v>
      </c>
      <c r="AU3865">
        <v>29.69</v>
      </c>
      <c r="AV3865">
        <v>30.72</v>
      </c>
      <c r="AW3865" t="s">
        <v>82</v>
      </c>
      <c r="AX3865">
        <v>315</v>
      </c>
      <c r="AY3865" t="s">
        <v>81</v>
      </c>
      <c r="AZ3865">
        <v>19.68</v>
      </c>
      <c r="BA3865">
        <v>17.96</v>
      </c>
      <c r="BB3865" t="s">
        <v>83</v>
      </c>
    </row>
    <row r="3866" spans="1:54" s="3" customFormat="1" ht="15" customHeight="1" x14ac:dyDescent="0.4">
      <c r="A3866">
        <v>1091077</v>
      </c>
      <c r="B3866"/>
      <c r="C3866"/>
      <c r="D3866" t="s">
        <v>54</v>
      </c>
      <c r="E3866"/>
      <c r="F3866"/>
      <c r="G3866"/>
      <c r="H3866"/>
      <c r="I3866" t="s">
        <v>57</v>
      </c>
      <c r="J3866"/>
      <c r="K3866" t="s">
        <v>1873</v>
      </c>
      <c r="L3866" t="s">
        <v>2815</v>
      </c>
      <c r="M3866" t="s">
        <v>60</v>
      </c>
      <c r="N3866"/>
      <c r="O3866"/>
      <c r="P3866" t="s">
        <v>103</v>
      </c>
      <c r="Q3866"/>
      <c r="R3866" t="s">
        <v>104</v>
      </c>
      <c r="S3866" t="s">
        <v>64</v>
      </c>
      <c r="T3866">
        <v>251.2</v>
      </c>
      <c r="U3866">
        <v>246.7</v>
      </c>
      <c r="V3866">
        <f t="shared" si="120"/>
        <v>248.95</v>
      </c>
      <c r="W3866">
        <f t="shared" si="121"/>
        <v>4.5</v>
      </c>
      <c r="X3866">
        <v>27.805834000000001</v>
      </c>
      <c r="Y3866">
        <v>-28.456388</v>
      </c>
      <c r="Z3866" t="s">
        <v>124</v>
      </c>
      <c r="AA3866" t="s">
        <v>106</v>
      </c>
      <c r="AB3866" t="s">
        <v>1625</v>
      </c>
      <c r="AC3866"/>
      <c r="AD3866" t="s">
        <v>2023</v>
      </c>
      <c r="AE3866" t="s">
        <v>110</v>
      </c>
      <c r="AF3866"/>
      <c r="AG3866" t="s">
        <v>4078</v>
      </c>
      <c r="AH3866" t="s">
        <v>11</v>
      </c>
      <c r="AI3866" t="s">
        <v>4079</v>
      </c>
      <c r="AJ3866">
        <v>2000</v>
      </c>
      <c r="AK3866" t="s">
        <v>4080</v>
      </c>
      <c r="AL3866"/>
      <c r="AM3866"/>
      <c r="AN3866" t="s">
        <v>849</v>
      </c>
      <c r="AO3866" t="s">
        <v>77</v>
      </c>
      <c r="AP3866" t="s">
        <v>78</v>
      </c>
      <c r="AQ3866"/>
      <c r="AR3866" t="s">
        <v>80</v>
      </c>
      <c r="AS3866">
        <v>701</v>
      </c>
      <c r="AT3866" t="s">
        <v>81</v>
      </c>
      <c r="AU3866">
        <v>-5.55</v>
      </c>
      <c r="AV3866">
        <v>-50.04</v>
      </c>
      <c r="AW3866" t="s">
        <v>82</v>
      </c>
      <c r="AX3866">
        <v>701</v>
      </c>
      <c r="AY3866" t="s">
        <v>81</v>
      </c>
      <c r="AZ3866">
        <v>-12.07</v>
      </c>
      <c r="BA3866">
        <v>-64.63</v>
      </c>
      <c r="BB3866" t="s">
        <v>83</v>
      </c>
    </row>
    <row r="3867" spans="1:54" s="3" customFormat="1" ht="15" customHeight="1" x14ac:dyDescent="0.4">
      <c r="A3867">
        <v>1094776</v>
      </c>
      <c r="B3867"/>
      <c r="C3867"/>
      <c r="D3867" t="s">
        <v>54</v>
      </c>
      <c r="E3867"/>
      <c r="F3867"/>
      <c r="G3867">
        <v>1</v>
      </c>
      <c r="H3867" t="s">
        <v>84</v>
      </c>
      <c r="I3867" t="s">
        <v>57</v>
      </c>
      <c r="J3867"/>
      <c r="K3867" t="s">
        <v>141</v>
      </c>
      <c r="L3867" t="s">
        <v>2007</v>
      </c>
      <c r="M3867" t="s">
        <v>223</v>
      </c>
      <c r="N3867"/>
      <c r="O3867"/>
      <c r="P3867" t="s">
        <v>103</v>
      </c>
      <c r="Q3867"/>
      <c r="R3867" t="s">
        <v>104</v>
      </c>
      <c r="S3867" t="s">
        <v>64</v>
      </c>
      <c r="T3867">
        <v>251.2</v>
      </c>
      <c r="U3867">
        <v>246.7</v>
      </c>
      <c r="V3867">
        <f t="shared" si="120"/>
        <v>248.95</v>
      </c>
      <c r="W3867">
        <f t="shared" si="121"/>
        <v>4.5</v>
      </c>
      <c r="X3867">
        <v>-106.357224</v>
      </c>
      <c r="Y3867">
        <v>42.679442999999999</v>
      </c>
      <c r="Z3867" t="s">
        <v>602</v>
      </c>
      <c r="AA3867" t="s">
        <v>66</v>
      </c>
      <c r="AB3867" t="s">
        <v>2008</v>
      </c>
      <c r="AC3867" t="s">
        <v>4116</v>
      </c>
      <c r="AD3867" t="s">
        <v>2010</v>
      </c>
      <c r="AE3867" t="s">
        <v>2011</v>
      </c>
      <c r="AF3867" t="s">
        <v>2012</v>
      </c>
      <c r="AG3867"/>
      <c r="AH3867" t="s">
        <v>72</v>
      </c>
      <c r="AI3867" t="s">
        <v>2013</v>
      </c>
      <c r="AJ3867">
        <v>1998</v>
      </c>
      <c r="AK3867" t="s">
        <v>4117</v>
      </c>
      <c r="AL3867"/>
      <c r="AM3867"/>
      <c r="AN3867" t="s">
        <v>192</v>
      </c>
      <c r="AO3867" t="s">
        <v>77</v>
      </c>
      <c r="AP3867" t="s">
        <v>115</v>
      </c>
      <c r="AQ3867"/>
      <c r="AR3867" t="s">
        <v>80</v>
      </c>
      <c r="AS3867">
        <v>101</v>
      </c>
      <c r="AT3867" t="s">
        <v>81</v>
      </c>
      <c r="AU3867">
        <v>-27.66</v>
      </c>
      <c r="AV3867">
        <v>24.6</v>
      </c>
      <c r="AW3867" t="s">
        <v>82</v>
      </c>
      <c r="AX3867">
        <v>101</v>
      </c>
      <c r="AY3867" t="s">
        <v>81</v>
      </c>
      <c r="AZ3867">
        <v>-31.56</v>
      </c>
      <c r="BA3867">
        <v>11.13</v>
      </c>
      <c r="BB3867" t="s">
        <v>83</v>
      </c>
    </row>
    <row r="3868" spans="1:54" s="3" customFormat="1" ht="15.75" customHeight="1" x14ac:dyDescent="0.4">
      <c r="A3868">
        <v>1094777</v>
      </c>
      <c r="B3868"/>
      <c r="C3868"/>
      <c r="D3868" t="s">
        <v>54</v>
      </c>
      <c r="E3868"/>
      <c r="F3868"/>
      <c r="G3868">
        <v>1</v>
      </c>
      <c r="H3868" t="s">
        <v>84</v>
      </c>
      <c r="I3868" t="s">
        <v>57</v>
      </c>
      <c r="J3868"/>
      <c r="K3868" t="s">
        <v>141</v>
      </c>
      <c r="L3868" t="s">
        <v>2007</v>
      </c>
      <c r="M3868" t="s">
        <v>223</v>
      </c>
      <c r="N3868"/>
      <c r="O3868"/>
      <c r="P3868" t="s">
        <v>103</v>
      </c>
      <c r="Q3868"/>
      <c r="R3868" t="s">
        <v>104</v>
      </c>
      <c r="S3868" t="s">
        <v>64</v>
      </c>
      <c r="T3868">
        <v>251.2</v>
      </c>
      <c r="U3868">
        <v>246.7</v>
      </c>
      <c r="V3868">
        <f t="shared" si="120"/>
        <v>248.95</v>
      </c>
      <c r="W3868">
        <f t="shared" si="121"/>
        <v>4.5</v>
      </c>
      <c r="X3868">
        <v>-106.29299899999999</v>
      </c>
      <c r="Y3868">
        <v>42.627997999999998</v>
      </c>
      <c r="Z3868" t="s">
        <v>602</v>
      </c>
      <c r="AA3868" t="s">
        <v>66</v>
      </c>
      <c r="AB3868" t="s">
        <v>2008</v>
      </c>
      <c r="AC3868"/>
      <c r="AD3868" t="s">
        <v>2010</v>
      </c>
      <c r="AE3868" t="s">
        <v>2011</v>
      </c>
      <c r="AF3868" t="s">
        <v>2012</v>
      </c>
      <c r="AG3868"/>
      <c r="AH3868" t="s">
        <v>72</v>
      </c>
      <c r="AI3868" t="s">
        <v>4101</v>
      </c>
      <c r="AJ3868">
        <v>1991</v>
      </c>
      <c r="AK3868" t="s">
        <v>4118</v>
      </c>
      <c r="AL3868"/>
      <c r="AM3868"/>
      <c r="AN3868" t="s">
        <v>192</v>
      </c>
      <c r="AO3868">
        <v>3</v>
      </c>
      <c r="AP3868" t="s">
        <v>115</v>
      </c>
      <c r="AQ3868" t="s">
        <v>4119</v>
      </c>
      <c r="AR3868" t="s">
        <v>80</v>
      </c>
      <c r="AS3868">
        <v>101</v>
      </c>
      <c r="AT3868" t="s">
        <v>81</v>
      </c>
      <c r="AU3868">
        <v>-27.63</v>
      </c>
      <c r="AV3868">
        <v>24.54</v>
      </c>
      <c r="AW3868" t="s">
        <v>82</v>
      </c>
      <c r="AX3868">
        <v>101</v>
      </c>
      <c r="AY3868" t="s">
        <v>81</v>
      </c>
      <c r="AZ3868">
        <v>-31.54</v>
      </c>
      <c r="BA3868">
        <v>11.06</v>
      </c>
      <c r="BB3868" t="s">
        <v>83</v>
      </c>
    </row>
    <row r="3869" spans="1:54" s="3" customFormat="1" ht="15" customHeight="1" x14ac:dyDescent="0.4">
      <c r="A3869">
        <v>1094778</v>
      </c>
      <c r="B3869"/>
      <c r="C3869"/>
      <c r="D3869" t="s">
        <v>54</v>
      </c>
      <c r="E3869"/>
      <c r="F3869"/>
      <c r="G3869">
        <v>1</v>
      </c>
      <c r="H3869" t="s">
        <v>84</v>
      </c>
      <c r="I3869" t="s">
        <v>57</v>
      </c>
      <c r="J3869"/>
      <c r="K3869" t="s">
        <v>141</v>
      </c>
      <c r="L3869" t="s">
        <v>2007</v>
      </c>
      <c r="M3869" t="s">
        <v>223</v>
      </c>
      <c r="N3869"/>
      <c r="O3869"/>
      <c r="P3869" t="s">
        <v>103</v>
      </c>
      <c r="Q3869"/>
      <c r="R3869" t="s">
        <v>104</v>
      </c>
      <c r="S3869" t="s">
        <v>64</v>
      </c>
      <c r="T3869">
        <v>251.2</v>
      </c>
      <c r="U3869">
        <v>246.7</v>
      </c>
      <c r="V3869">
        <f t="shared" si="120"/>
        <v>248.95</v>
      </c>
      <c r="W3869">
        <f t="shared" si="121"/>
        <v>4.5</v>
      </c>
      <c r="X3869">
        <v>-106.250832</v>
      </c>
      <c r="Y3869">
        <v>42.682220000000001</v>
      </c>
      <c r="Z3869" t="s">
        <v>602</v>
      </c>
      <c r="AA3869" t="s">
        <v>66</v>
      </c>
      <c r="AB3869" t="s">
        <v>2008</v>
      </c>
      <c r="AC3869"/>
      <c r="AD3869" t="s">
        <v>2010</v>
      </c>
      <c r="AE3869" t="s">
        <v>2011</v>
      </c>
      <c r="AF3869" t="s">
        <v>2012</v>
      </c>
      <c r="AG3869"/>
      <c r="AH3869" t="s">
        <v>72</v>
      </c>
      <c r="AI3869" t="s">
        <v>2013</v>
      </c>
      <c r="AJ3869">
        <v>1998</v>
      </c>
      <c r="AK3869" t="s">
        <v>4120</v>
      </c>
      <c r="AL3869"/>
      <c r="AM3869"/>
      <c r="AN3869" t="s">
        <v>192</v>
      </c>
      <c r="AO3869" t="s">
        <v>77</v>
      </c>
      <c r="AP3869" t="s">
        <v>115</v>
      </c>
      <c r="AQ3869"/>
      <c r="AR3869" t="s">
        <v>80</v>
      </c>
      <c r="AS3869">
        <v>101</v>
      </c>
      <c r="AT3869" t="s">
        <v>81</v>
      </c>
      <c r="AU3869">
        <v>-27.58</v>
      </c>
      <c r="AV3869">
        <v>24.58</v>
      </c>
      <c r="AW3869" t="s">
        <v>82</v>
      </c>
      <c r="AX3869">
        <v>101</v>
      </c>
      <c r="AY3869" t="s">
        <v>81</v>
      </c>
      <c r="AZ3869">
        <v>-31.49</v>
      </c>
      <c r="BA3869">
        <v>11.09</v>
      </c>
      <c r="BB3869" t="s">
        <v>83</v>
      </c>
    </row>
    <row r="3870" spans="1:54" s="3" customFormat="1" ht="15" customHeight="1" x14ac:dyDescent="0.4">
      <c r="A3870">
        <v>1134401</v>
      </c>
      <c r="B3870"/>
      <c r="C3870"/>
      <c r="D3870" t="s">
        <v>54</v>
      </c>
      <c r="E3870"/>
      <c r="F3870"/>
      <c r="G3870"/>
      <c r="H3870"/>
      <c r="I3870" t="s">
        <v>57</v>
      </c>
      <c r="J3870"/>
      <c r="K3870" t="s">
        <v>565</v>
      </c>
      <c r="L3870" t="s">
        <v>651</v>
      </c>
      <c r="M3870" t="s">
        <v>223</v>
      </c>
      <c r="N3870" t="s">
        <v>234</v>
      </c>
      <c r="O3870" t="s">
        <v>87</v>
      </c>
      <c r="P3870" t="s">
        <v>103</v>
      </c>
      <c r="Q3870"/>
      <c r="R3870" t="s">
        <v>104</v>
      </c>
      <c r="S3870" t="s">
        <v>64</v>
      </c>
      <c r="T3870">
        <v>251.2</v>
      </c>
      <c r="U3870">
        <v>246.7</v>
      </c>
      <c r="V3870">
        <f t="shared" si="120"/>
        <v>248.95</v>
      </c>
      <c r="W3870">
        <f t="shared" si="121"/>
        <v>4.5</v>
      </c>
      <c r="X3870">
        <v>117.269997</v>
      </c>
      <c r="Y3870">
        <v>31.040001</v>
      </c>
      <c r="Z3870" t="s">
        <v>520</v>
      </c>
      <c r="AA3870" t="s">
        <v>379</v>
      </c>
      <c r="AB3870" t="s">
        <v>652</v>
      </c>
      <c r="AC3870"/>
      <c r="AD3870"/>
      <c r="AE3870"/>
      <c r="AF3870"/>
      <c r="AG3870"/>
      <c r="AH3870" t="s">
        <v>72</v>
      </c>
      <c r="AI3870" t="s">
        <v>228</v>
      </c>
      <c r="AJ3870">
        <v>2000</v>
      </c>
      <c r="AK3870" t="s">
        <v>4373</v>
      </c>
      <c r="AL3870"/>
      <c r="AM3870" t="s">
        <v>4374</v>
      </c>
      <c r="AN3870" t="s">
        <v>341</v>
      </c>
      <c r="AO3870">
        <v>2</v>
      </c>
      <c r="AP3870" t="s">
        <v>359</v>
      </c>
      <c r="AQ3870"/>
      <c r="AR3870" t="s">
        <v>80</v>
      </c>
      <c r="AS3870">
        <v>611</v>
      </c>
      <c r="AT3870" t="s">
        <v>81</v>
      </c>
      <c r="AU3870">
        <v>116.59</v>
      </c>
      <c r="AV3870">
        <v>-5.78</v>
      </c>
      <c r="AW3870" t="s">
        <v>82</v>
      </c>
      <c r="AX3870">
        <v>611</v>
      </c>
      <c r="AY3870" t="s">
        <v>81</v>
      </c>
      <c r="AZ3870">
        <v>101.95</v>
      </c>
      <c r="BA3870">
        <v>18.53</v>
      </c>
      <c r="BB3870" t="s">
        <v>83</v>
      </c>
    </row>
    <row r="3871" spans="1:54" s="3" customFormat="1" ht="15" customHeight="1" x14ac:dyDescent="0.4">
      <c r="A3871">
        <v>1134402</v>
      </c>
      <c r="B3871"/>
      <c r="C3871"/>
      <c r="D3871" t="s">
        <v>54</v>
      </c>
      <c r="E3871"/>
      <c r="F3871"/>
      <c r="G3871"/>
      <c r="H3871"/>
      <c r="I3871" t="s">
        <v>57</v>
      </c>
      <c r="J3871"/>
      <c r="K3871" t="s">
        <v>565</v>
      </c>
      <c r="L3871" t="s">
        <v>651</v>
      </c>
      <c r="M3871" t="s">
        <v>223</v>
      </c>
      <c r="N3871" t="s">
        <v>234</v>
      </c>
      <c r="O3871" t="s">
        <v>87</v>
      </c>
      <c r="P3871" t="s">
        <v>103</v>
      </c>
      <c r="Q3871"/>
      <c r="R3871" t="s">
        <v>104</v>
      </c>
      <c r="S3871" t="s">
        <v>64</v>
      </c>
      <c r="T3871">
        <v>251.2</v>
      </c>
      <c r="U3871">
        <v>246.7</v>
      </c>
      <c r="V3871">
        <f t="shared" si="120"/>
        <v>248.95</v>
      </c>
      <c r="W3871">
        <f t="shared" si="121"/>
        <v>4.5</v>
      </c>
      <c r="X3871">
        <v>117.269997</v>
      </c>
      <c r="Y3871">
        <v>31.040001</v>
      </c>
      <c r="Z3871" t="s">
        <v>520</v>
      </c>
      <c r="AA3871" t="s">
        <v>379</v>
      </c>
      <c r="AB3871" t="s">
        <v>652</v>
      </c>
      <c r="AC3871"/>
      <c r="AD3871"/>
      <c r="AE3871"/>
      <c r="AF3871"/>
      <c r="AG3871"/>
      <c r="AH3871" t="s">
        <v>72</v>
      </c>
      <c r="AI3871" t="s">
        <v>228</v>
      </c>
      <c r="AJ3871">
        <v>2000</v>
      </c>
      <c r="AK3871" t="s">
        <v>4373</v>
      </c>
      <c r="AL3871"/>
      <c r="AM3871" t="s">
        <v>4374</v>
      </c>
      <c r="AN3871" t="s">
        <v>341</v>
      </c>
      <c r="AO3871">
        <v>2</v>
      </c>
      <c r="AP3871" t="s">
        <v>359</v>
      </c>
      <c r="AQ3871"/>
      <c r="AR3871" t="s">
        <v>80</v>
      </c>
      <c r="AS3871">
        <v>611</v>
      </c>
      <c r="AT3871" t="s">
        <v>81</v>
      </c>
      <c r="AU3871">
        <v>116.59</v>
      </c>
      <c r="AV3871">
        <v>-5.78</v>
      </c>
      <c r="AW3871" t="s">
        <v>82</v>
      </c>
      <c r="AX3871">
        <v>611</v>
      </c>
      <c r="AY3871" t="s">
        <v>81</v>
      </c>
      <c r="AZ3871">
        <v>101.95</v>
      </c>
      <c r="BA3871">
        <v>18.53</v>
      </c>
      <c r="BB3871" t="s">
        <v>83</v>
      </c>
    </row>
    <row r="3872" spans="1:54" s="3" customFormat="1" ht="15" customHeight="1" x14ac:dyDescent="0.4">
      <c r="A3872">
        <v>1134403</v>
      </c>
      <c r="B3872"/>
      <c r="C3872"/>
      <c r="D3872" t="s">
        <v>54</v>
      </c>
      <c r="E3872"/>
      <c r="F3872"/>
      <c r="G3872"/>
      <c r="H3872"/>
      <c r="I3872" t="s">
        <v>57</v>
      </c>
      <c r="J3872"/>
      <c r="K3872" t="s">
        <v>565</v>
      </c>
      <c r="L3872" t="s">
        <v>651</v>
      </c>
      <c r="M3872" t="s">
        <v>223</v>
      </c>
      <c r="N3872" t="s">
        <v>234</v>
      </c>
      <c r="O3872" t="s">
        <v>87</v>
      </c>
      <c r="P3872" t="s">
        <v>103</v>
      </c>
      <c r="Q3872"/>
      <c r="R3872" t="s">
        <v>104</v>
      </c>
      <c r="S3872" t="s">
        <v>64</v>
      </c>
      <c r="T3872">
        <v>251.2</v>
      </c>
      <c r="U3872">
        <v>246.7</v>
      </c>
      <c r="V3872">
        <f t="shared" si="120"/>
        <v>248.95</v>
      </c>
      <c r="W3872">
        <f t="shared" si="121"/>
        <v>4.5</v>
      </c>
      <c r="X3872">
        <v>117.269997</v>
      </c>
      <c r="Y3872">
        <v>31.040001</v>
      </c>
      <c r="Z3872" t="s">
        <v>520</v>
      </c>
      <c r="AA3872" t="s">
        <v>379</v>
      </c>
      <c r="AB3872" t="s">
        <v>652</v>
      </c>
      <c r="AC3872"/>
      <c r="AD3872"/>
      <c r="AE3872"/>
      <c r="AF3872"/>
      <c r="AG3872"/>
      <c r="AH3872" t="s">
        <v>72</v>
      </c>
      <c r="AI3872" t="s">
        <v>228</v>
      </c>
      <c r="AJ3872">
        <v>2000</v>
      </c>
      <c r="AK3872" t="s">
        <v>4373</v>
      </c>
      <c r="AL3872"/>
      <c r="AM3872" t="s">
        <v>4374</v>
      </c>
      <c r="AN3872" t="s">
        <v>341</v>
      </c>
      <c r="AO3872">
        <v>2</v>
      </c>
      <c r="AP3872" t="s">
        <v>359</v>
      </c>
      <c r="AQ3872"/>
      <c r="AR3872" t="s">
        <v>80</v>
      </c>
      <c r="AS3872">
        <v>611</v>
      </c>
      <c r="AT3872" t="s">
        <v>81</v>
      </c>
      <c r="AU3872">
        <v>116.59</v>
      </c>
      <c r="AV3872">
        <v>-5.78</v>
      </c>
      <c r="AW3872" t="s">
        <v>82</v>
      </c>
      <c r="AX3872">
        <v>611</v>
      </c>
      <c r="AY3872" t="s">
        <v>81</v>
      </c>
      <c r="AZ3872">
        <v>101.95</v>
      </c>
      <c r="BA3872">
        <v>18.53</v>
      </c>
      <c r="BB3872" t="s">
        <v>83</v>
      </c>
    </row>
    <row r="3873" spans="1:54" s="3" customFormat="1" ht="15" customHeight="1" x14ac:dyDescent="0.4">
      <c r="A3873">
        <v>1200768</v>
      </c>
      <c r="B3873"/>
      <c r="C3873"/>
      <c r="D3873" t="s">
        <v>2134</v>
      </c>
      <c r="E3873"/>
      <c r="F3873"/>
      <c r="G3873">
        <v>1</v>
      </c>
      <c r="H3873" t="s">
        <v>84</v>
      </c>
      <c r="I3873" t="s">
        <v>57</v>
      </c>
      <c r="J3873"/>
      <c r="K3873" t="s">
        <v>3908</v>
      </c>
      <c r="L3873" t="s">
        <v>4500</v>
      </c>
      <c r="M3873" t="s">
        <v>60</v>
      </c>
      <c r="N3873"/>
      <c r="O3873"/>
      <c r="P3873" t="s">
        <v>103</v>
      </c>
      <c r="Q3873"/>
      <c r="R3873" t="s">
        <v>104</v>
      </c>
      <c r="S3873" t="s">
        <v>64</v>
      </c>
      <c r="T3873">
        <v>251.2</v>
      </c>
      <c r="U3873">
        <v>246.7</v>
      </c>
      <c r="V3873">
        <f t="shared" si="120"/>
        <v>248.95</v>
      </c>
      <c r="W3873">
        <f t="shared" si="121"/>
        <v>4.5</v>
      </c>
      <c r="X3873">
        <v>111.640556</v>
      </c>
      <c r="Y3873">
        <v>31.060832999999999</v>
      </c>
      <c r="Z3873" t="s">
        <v>520</v>
      </c>
      <c r="AA3873" t="s">
        <v>379</v>
      </c>
      <c r="AB3873" t="s">
        <v>3239</v>
      </c>
      <c r="AC3873" t="s">
        <v>3432</v>
      </c>
      <c r="AD3873"/>
      <c r="AE3873"/>
      <c r="AF3873"/>
      <c r="AG3873"/>
      <c r="AH3873" t="s">
        <v>72</v>
      </c>
      <c r="AI3873" t="s">
        <v>4393</v>
      </c>
      <c r="AJ3873">
        <v>2014</v>
      </c>
      <c r="AK3873" t="s">
        <v>4501</v>
      </c>
      <c r="AL3873"/>
      <c r="AM3873"/>
      <c r="AN3873"/>
      <c r="AO3873" t="s">
        <v>77</v>
      </c>
      <c r="AP3873"/>
      <c r="AQ3873"/>
      <c r="AR3873" t="s">
        <v>80</v>
      </c>
      <c r="AS3873">
        <v>611</v>
      </c>
      <c r="AT3873" t="s">
        <v>81</v>
      </c>
      <c r="AU3873">
        <v>111.81</v>
      </c>
      <c r="AV3873">
        <v>-6.65</v>
      </c>
      <c r="AW3873" t="s">
        <v>82</v>
      </c>
      <c r="AX3873">
        <v>611</v>
      </c>
      <c r="AY3873" t="s">
        <v>81</v>
      </c>
      <c r="AZ3873">
        <v>97.94</v>
      </c>
      <c r="BA3873">
        <v>15.6</v>
      </c>
      <c r="BB3873" t="s">
        <v>83</v>
      </c>
    </row>
    <row r="3874" spans="1:54" s="3" customFormat="1" ht="15" customHeight="1" x14ac:dyDescent="0.4">
      <c r="A3874">
        <v>1202577</v>
      </c>
      <c r="B3874"/>
      <c r="C3874"/>
      <c r="D3874" t="s">
        <v>853</v>
      </c>
      <c r="E3874"/>
      <c r="F3874"/>
      <c r="G3874">
        <v>3</v>
      </c>
      <c r="H3874" t="s">
        <v>84</v>
      </c>
      <c r="I3874" t="s">
        <v>57</v>
      </c>
      <c r="J3874"/>
      <c r="K3874" t="s">
        <v>565</v>
      </c>
      <c r="L3874" t="s">
        <v>651</v>
      </c>
      <c r="M3874" t="s">
        <v>223</v>
      </c>
      <c r="N3874" t="s">
        <v>234</v>
      </c>
      <c r="O3874" t="s">
        <v>87</v>
      </c>
      <c r="P3874" t="s">
        <v>103</v>
      </c>
      <c r="Q3874"/>
      <c r="R3874" t="s">
        <v>104</v>
      </c>
      <c r="S3874" t="s">
        <v>64</v>
      </c>
      <c r="T3874">
        <v>251.2</v>
      </c>
      <c r="U3874">
        <v>246.7</v>
      </c>
      <c r="V3874">
        <f t="shared" si="120"/>
        <v>248.95</v>
      </c>
      <c r="W3874">
        <f t="shared" si="121"/>
        <v>4.5</v>
      </c>
      <c r="X3874">
        <v>117.81970200000001</v>
      </c>
      <c r="Y3874">
        <v>31.6206</v>
      </c>
      <c r="Z3874" t="s">
        <v>4502</v>
      </c>
      <c r="AA3874" t="s">
        <v>379</v>
      </c>
      <c r="AB3874" t="s">
        <v>652</v>
      </c>
      <c r="AC3874"/>
      <c r="AD3874" t="s">
        <v>4503</v>
      </c>
      <c r="AE3874"/>
      <c r="AF3874"/>
      <c r="AG3874" t="s">
        <v>4504</v>
      </c>
      <c r="AH3874" t="s">
        <v>11</v>
      </c>
      <c r="AI3874" t="s">
        <v>659</v>
      </c>
      <c r="AJ3874">
        <v>2014</v>
      </c>
      <c r="AK3874" t="s">
        <v>4505</v>
      </c>
      <c r="AL3874"/>
      <c r="AM3874"/>
      <c r="AN3874" t="s">
        <v>192</v>
      </c>
      <c r="AO3874">
        <v>4</v>
      </c>
      <c r="AP3874" t="s">
        <v>78</v>
      </c>
      <c r="AQ3874" t="s">
        <v>4506</v>
      </c>
      <c r="AR3874" t="s">
        <v>80</v>
      </c>
      <c r="AS3874">
        <v>604</v>
      </c>
      <c r="AT3874" t="s">
        <v>81</v>
      </c>
      <c r="AU3874">
        <v>116.01</v>
      </c>
      <c r="AV3874">
        <v>5.8</v>
      </c>
      <c r="AW3874" t="s">
        <v>82</v>
      </c>
      <c r="AX3874">
        <v>611</v>
      </c>
      <c r="AY3874" t="s">
        <v>81</v>
      </c>
      <c r="AZ3874">
        <v>101.96</v>
      </c>
      <c r="BA3874">
        <v>19.28</v>
      </c>
      <c r="BB3874" t="s">
        <v>83</v>
      </c>
    </row>
    <row r="3875" spans="1:54" s="3" customFormat="1" ht="15" customHeight="1" x14ac:dyDescent="0.4">
      <c r="A3875">
        <v>1301648</v>
      </c>
      <c r="B3875"/>
      <c r="C3875"/>
      <c r="D3875" t="s">
        <v>54</v>
      </c>
      <c r="E3875"/>
      <c r="F3875"/>
      <c r="G3875"/>
      <c r="H3875"/>
      <c r="I3875" t="s">
        <v>57</v>
      </c>
      <c r="J3875"/>
      <c r="K3875" t="s">
        <v>141</v>
      </c>
      <c r="L3875" t="s">
        <v>4595</v>
      </c>
      <c r="M3875" t="s">
        <v>60</v>
      </c>
      <c r="N3875"/>
      <c r="O3875"/>
      <c r="P3875" t="s">
        <v>103</v>
      </c>
      <c r="Q3875"/>
      <c r="R3875" t="s">
        <v>104</v>
      </c>
      <c r="S3875" t="s">
        <v>64</v>
      </c>
      <c r="T3875">
        <v>251.2</v>
      </c>
      <c r="U3875">
        <v>246.7</v>
      </c>
      <c r="V3875">
        <f t="shared" si="120"/>
        <v>248.95</v>
      </c>
      <c r="W3875">
        <f t="shared" si="121"/>
        <v>4.5</v>
      </c>
      <c r="X3875">
        <v>111.640556</v>
      </c>
      <c r="Y3875">
        <v>31.060832999999999</v>
      </c>
      <c r="Z3875" t="s">
        <v>520</v>
      </c>
      <c r="AA3875" t="s">
        <v>379</v>
      </c>
      <c r="AB3875" t="s">
        <v>3239</v>
      </c>
      <c r="AC3875" t="s">
        <v>3432</v>
      </c>
      <c r="AD3875"/>
      <c r="AE3875"/>
      <c r="AF3875"/>
      <c r="AG3875"/>
      <c r="AH3875" t="s">
        <v>72</v>
      </c>
      <c r="AI3875" t="s">
        <v>4393</v>
      </c>
      <c r="AJ3875">
        <v>2014</v>
      </c>
      <c r="AK3875" t="s">
        <v>4596</v>
      </c>
      <c r="AL3875"/>
      <c r="AM3875"/>
      <c r="AN3875"/>
      <c r="AO3875" t="s">
        <v>77</v>
      </c>
      <c r="AP3875"/>
      <c r="AQ3875"/>
      <c r="AR3875" t="s">
        <v>80</v>
      </c>
      <c r="AS3875">
        <v>611</v>
      </c>
      <c r="AT3875" t="s">
        <v>81</v>
      </c>
      <c r="AU3875">
        <v>111.81</v>
      </c>
      <c r="AV3875">
        <v>-6.65</v>
      </c>
      <c r="AW3875" t="s">
        <v>82</v>
      </c>
      <c r="AX3875">
        <v>611</v>
      </c>
      <c r="AY3875" t="s">
        <v>81</v>
      </c>
      <c r="AZ3875">
        <v>97.94</v>
      </c>
      <c r="BA3875">
        <v>15.6</v>
      </c>
      <c r="BB3875" t="s">
        <v>83</v>
      </c>
    </row>
    <row r="3876" spans="1:54" s="3" customFormat="1" ht="15" customHeight="1" x14ac:dyDescent="0.4">
      <c r="A3876">
        <v>1329759</v>
      </c>
      <c r="B3876"/>
      <c r="C3876"/>
      <c r="D3876" t="s">
        <v>853</v>
      </c>
      <c r="E3876"/>
      <c r="F3876"/>
      <c r="G3876">
        <v>1</v>
      </c>
      <c r="H3876" t="s">
        <v>56</v>
      </c>
      <c r="I3876" t="s">
        <v>57</v>
      </c>
      <c r="J3876"/>
      <c r="K3876" t="s">
        <v>141</v>
      </c>
      <c r="L3876" t="s">
        <v>4706</v>
      </c>
      <c r="M3876" t="s">
        <v>60</v>
      </c>
      <c r="N3876"/>
      <c r="O3876"/>
      <c r="P3876" t="s">
        <v>103</v>
      </c>
      <c r="Q3876"/>
      <c r="R3876" t="s">
        <v>104</v>
      </c>
      <c r="S3876" t="s">
        <v>64</v>
      </c>
      <c r="T3876">
        <v>251.2</v>
      </c>
      <c r="U3876">
        <v>246.7</v>
      </c>
      <c r="V3876">
        <f t="shared" si="120"/>
        <v>248.95</v>
      </c>
      <c r="W3876">
        <f t="shared" si="121"/>
        <v>4.5</v>
      </c>
      <c r="X3876">
        <v>117.81970200000001</v>
      </c>
      <c r="Y3876">
        <v>31.6206</v>
      </c>
      <c r="Z3876" t="s">
        <v>4502</v>
      </c>
      <c r="AA3876" t="s">
        <v>379</v>
      </c>
      <c r="AB3876" t="s">
        <v>652</v>
      </c>
      <c r="AC3876"/>
      <c r="AD3876" t="s">
        <v>4503</v>
      </c>
      <c r="AE3876"/>
      <c r="AF3876"/>
      <c r="AG3876" t="s">
        <v>4504</v>
      </c>
      <c r="AH3876" t="s">
        <v>72</v>
      </c>
      <c r="AI3876" t="s">
        <v>659</v>
      </c>
      <c r="AJ3876">
        <v>2015</v>
      </c>
      <c r="AK3876" t="s">
        <v>4505</v>
      </c>
      <c r="AL3876"/>
      <c r="AM3876"/>
      <c r="AN3876" t="s">
        <v>192</v>
      </c>
      <c r="AO3876">
        <v>4</v>
      </c>
      <c r="AP3876" t="s">
        <v>78</v>
      </c>
      <c r="AQ3876" t="s">
        <v>4506</v>
      </c>
      <c r="AR3876" t="s">
        <v>80</v>
      </c>
      <c r="AS3876">
        <v>604</v>
      </c>
      <c r="AT3876" t="s">
        <v>81</v>
      </c>
      <c r="AU3876">
        <v>116.01</v>
      </c>
      <c r="AV3876">
        <v>5.8</v>
      </c>
      <c r="AW3876" t="s">
        <v>82</v>
      </c>
      <c r="AX3876">
        <v>611</v>
      </c>
      <c r="AY3876" t="s">
        <v>81</v>
      </c>
      <c r="AZ3876">
        <v>101.96</v>
      </c>
      <c r="BA3876">
        <v>19.28</v>
      </c>
      <c r="BB3876" t="s">
        <v>83</v>
      </c>
    </row>
    <row r="3877" spans="1:54" s="3" customFormat="1" ht="15" customHeight="1" x14ac:dyDescent="0.4">
      <c r="A3877">
        <v>1329760</v>
      </c>
      <c r="B3877"/>
      <c r="C3877"/>
      <c r="D3877" t="s">
        <v>853</v>
      </c>
      <c r="E3877"/>
      <c r="F3877"/>
      <c r="G3877">
        <v>1</v>
      </c>
      <c r="H3877" t="s">
        <v>56</v>
      </c>
      <c r="I3877" t="s">
        <v>57</v>
      </c>
      <c r="J3877"/>
      <c r="K3877" t="s">
        <v>141</v>
      </c>
      <c r="L3877" t="s">
        <v>4707</v>
      </c>
      <c r="M3877" t="s">
        <v>60</v>
      </c>
      <c r="N3877"/>
      <c r="O3877"/>
      <c r="P3877" t="s">
        <v>103</v>
      </c>
      <c r="Q3877"/>
      <c r="R3877" t="s">
        <v>104</v>
      </c>
      <c r="S3877" t="s">
        <v>64</v>
      </c>
      <c r="T3877">
        <v>251.2</v>
      </c>
      <c r="U3877">
        <v>246.7</v>
      </c>
      <c r="V3877">
        <f t="shared" si="120"/>
        <v>248.95</v>
      </c>
      <c r="W3877">
        <f t="shared" si="121"/>
        <v>4.5</v>
      </c>
      <c r="X3877">
        <v>117.81970200000001</v>
      </c>
      <c r="Y3877">
        <v>31.6206</v>
      </c>
      <c r="Z3877" t="s">
        <v>4502</v>
      </c>
      <c r="AA3877" t="s">
        <v>379</v>
      </c>
      <c r="AB3877" t="s">
        <v>652</v>
      </c>
      <c r="AC3877"/>
      <c r="AD3877" t="s">
        <v>4503</v>
      </c>
      <c r="AE3877"/>
      <c r="AF3877"/>
      <c r="AG3877" t="s">
        <v>4504</v>
      </c>
      <c r="AH3877" t="s">
        <v>72</v>
      </c>
      <c r="AI3877" t="s">
        <v>3571</v>
      </c>
      <c r="AJ3877">
        <v>2016</v>
      </c>
      <c r="AK3877" t="s">
        <v>4505</v>
      </c>
      <c r="AL3877"/>
      <c r="AM3877"/>
      <c r="AN3877" t="s">
        <v>192</v>
      </c>
      <c r="AO3877">
        <v>4</v>
      </c>
      <c r="AP3877" t="s">
        <v>78</v>
      </c>
      <c r="AQ3877" t="s">
        <v>4506</v>
      </c>
      <c r="AR3877" t="s">
        <v>80</v>
      </c>
      <c r="AS3877">
        <v>604</v>
      </c>
      <c r="AT3877" t="s">
        <v>81</v>
      </c>
      <c r="AU3877">
        <v>116.01</v>
      </c>
      <c r="AV3877">
        <v>5.8</v>
      </c>
      <c r="AW3877" t="s">
        <v>82</v>
      </c>
      <c r="AX3877">
        <v>611</v>
      </c>
      <c r="AY3877" t="s">
        <v>81</v>
      </c>
      <c r="AZ3877">
        <v>101.96</v>
      </c>
      <c r="BA3877">
        <v>19.28</v>
      </c>
      <c r="BB3877" t="s">
        <v>83</v>
      </c>
    </row>
    <row r="3878" spans="1:54" s="3" customFormat="1" ht="15" customHeight="1" x14ac:dyDescent="0.4">
      <c r="A3878">
        <v>1409443</v>
      </c>
      <c r="B3878"/>
      <c r="C3878"/>
      <c r="D3878" t="s">
        <v>54</v>
      </c>
      <c r="E3878"/>
      <c r="F3878"/>
      <c r="G3878">
        <v>1</v>
      </c>
      <c r="H3878" t="s">
        <v>84</v>
      </c>
      <c r="I3878" t="s">
        <v>57</v>
      </c>
      <c r="J3878"/>
      <c r="K3878" t="s">
        <v>141</v>
      </c>
      <c r="L3878" t="s">
        <v>4978</v>
      </c>
      <c r="M3878" t="s">
        <v>60</v>
      </c>
      <c r="N3878"/>
      <c r="O3878"/>
      <c r="P3878" t="s">
        <v>103</v>
      </c>
      <c r="Q3878"/>
      <c r="R3878" t="s">
        <v>104</v>
      </c>
      <c r="S3878" t="s">
        <v>64</v>
      </c>
      <c r="T3878">
        <v>251.2</v>
      </c>
      <c r="U3878">
        <v>246.7</v>
      </c>
      <c r="V3878">
        <f t="shared" si="120"/>
        <v>248.95</v>
      </c>
      <c r="W3878">
        <f t="shared" si="121"/>
        <v>4.5</v>
      </c>
      <c r="X3878">
        <v>111.555832</v>
      </c>
      <c r="Y3878">
        <v>31.218056000000001</v>
      </c>
      <c r="Z3878" t="s">
        <v>520</v>
      </c>
      <c r="AA3878" t="s">
        <v>379</v>
      </c>
      <c r="AB3878" t="s">
        <v>3239</v>
      </c>
      <c r="AC3878" t="s">
        <v>4979</v>
      </c>
      <c r="AD3878" t="s">
        <v>3339</v>
      </c>
      <c r="AE3878"/>
      <c r="AF3878"/>
      <c r="AG3878"/>
      <c r="AH3878" t="s">
        <v>72</v>
      </c>
      <c r="AI3878" t="s">
        <v>4393</v>
      </c>
      <c r="AJ3878">
        <v>2014</v>
      </c>
      <c r="AK3878" t="s">
        <v>4980</v>
      </c>
      <c r="AL3878"/>
      <c r="AM3878" t="s">
        <v>4981</v>
      </c>
      <c r="AN3878" t="s">
        <v>114</v>
      </c>
      <c r="AO3878" t="s">
        <v>77</v>
      </c>
      <c r="AP3878" t="s">
        <v>115</v>
      </c>
      <c r="AQ3878"/>
      <c r="AR3878" t="s">
        <v>80</v>
      </c>
      <c r="AS3878">
        <v>611</v>
      </c>
      <c r="AT3878" t="s">
        <v>81</v>
      </c>
      <c r="AU3878">
        <v>111.72</v>
      </c>
      <c r="AV3878">
        <v>-6.51</v>
      </c>
      <c r="AW3878" t="s">
        <v>82</v>
      </c>
      <c r="AX3878">
        <v>611</v>
      </c>
      <c r="AY3878" t="s">
        <v>81</v>
      </c>
      <c r="AZ3878">
        <v>97.79</v>
      </c>
      <c r="BA3878">
        <v>15.69</v>
      </c>
      <c r="BB3878" t="s">
        <v>83</v>
      </c>
    </row>
    <row r="3879" spans="1:54" s="3" customFormat="1" ht="15" customHeight="1" x14ac:dyDescent="0.4">
      <c r="A3879">
        <v>1412645</v>
      </c>
      <c r="B3879"/>
      <c r="C3879"/>
      <c r="D3879" t="s">
        <v>54</v>
      </c>
      <c r="E3879"/>
      <c r="F3879"/>
      <c r="G3879"/>
      <c r="H3879"/>
      <c r="I3879" t="s">
        <v>57</v>
      </c>
      <c r="J3879"/>
      <c r="K3879" t="s">
        <v>2124</v>
      </c>
      <c r="L3879" t="s">
        <v>2125</v>
      </c>
      <c r="M3879" t="s">
        <v>223</v>
      </c>
      <c r="N3879" t="s">
        <v>234</v>
      </c>
      <c r="O3879" t="s">
        <v>87</v>
      </c>
      <c r="P3879" t="s">
        <v>103</v>
      </c>
      <c r="Q3879"/>
      <c r="R3879" t="s">
        <v>104</v>
      </c>
      <c r="S3879" t="s">
        <v>64</v>
      </c>
      <c r="T3879">
        <v>251.2</v>
      </c>
      <c r="U3879">
        <v>246.7</v>
      </c>
      <c r="V3879">
        <f t="shared" si="120"/>
        <v>248.95</v>
      </c>
      <c r="W3879">
        <f t="shared" si="121"/>
        <v>4.5</v>
      </c>
      <c r="X3879">
        <v>-118.075836</v>
      </c>
      <c r="Y3879">
        <v>40.277779000000002</v>
      </c>
      <c r="Z3879" t="s">
        <v>520</v>
      </c>
      <c r="AA3879" t="s">
        <v>66</v>
      </c>
      <c r="AB3879" t="s">
        <v>558</v>
      </c>
      <c r="AC3879" t="s">
        <v>559</v>
      </c>
      <c r="AD3879" t="s">
        <v>560</v>
      </c>
      <c r="AE3879" t="s">
        <v>3345</v>
      </c>
      <c r="AF3879" t="s">
        <v>5017</v>
      </c>
      <c r="AG3879" t="s">
        <v>4504</v>
      </c>
      <c r="AH3879" t="s">
        <v>11</v>
      </c>
      <c r="AI3879" t="s">
        <v>5018</v>
      </c>
      <c r="AJ3879">
        <v>2016</v>
      </c>
      <c r="AK3879" t="s">
        <v>5019</v>
      </c>
      <c r="AL3879"/>
      <c r="AM3879"/>
      <c r="AN3879" t="s">
        <v>192</v>
      </c>
      <c r="AO3879" t="s">
        <v>77</v>
      </c>
      <c r="AP3879"/>
      <c r="AQ3879" t="s">
        <v>5020</v>
      </c>
      <c r="AR3879" t="s">
        <v>80</v>
      </c>
      <c r="AS3879">
        <v>101</v>
      </c>
      <c r="AT3879" t="s">
        <v>81</v>
      </c>
      <c r="AU3879">
        <v>-37.64</v>
      </c>
      <c r="AV3879">
        <v>25.68</v>
      </c>
      <c r="AW3879" t="s">
        <v>82</v>
      </c>
      <c r="AX3879">
        <v>131</v>
      </c>
      <c r="AY3879" t="s">
        <v>81</v>
      </c>
      <c r="AZ3879">
        <v>-42.29</v>
      </c>
      <c r="BA3879">
        <v>11.51</v>
      </c>
      <c r="BB3879" t="s">
        <v>83</v>
      </c>
    </row>
    <row r="3880" spans="1:54" s="3" customFormat="1" ht="15" customHeight="1" x14ac:dyDescent="0.4">
      <c r="A3880">
        <v>1415295</v>
      </c>
      <c r="B3880"/>
      <c r="C3880"/>
      <c r="D3880" t="s">
        <v>54</v>
      </c>
      <c r="E3880"/>
      <c r="F3880"/>
      <c r="G3880"/>
      <c r="H3880"/>
      <c r="I3880" t="s">
        <v>57</v>
      </c>
      <c r="J3880"/>
      <c r="K3880" t="s">
        <v>3861</v>
      </c>
      <c r="L3880" t="s">
        <v>5042</v>
      </c>
      <c r="M3880" t="s">
        <v>60</v>
      </c>
      <c r="N3880"/>
      <c r="O3880"/>
      <c r="P3880" t="s">
        <v>103</v>
      </c>
      <c r="Q3880"/>
      <c r="R3880" t="s">
        <v>104</v>
      </c>
      <c r="S3880" t="s">
        <v>64</v>
      </c>
      <c r="T3880">
        <v>251.2</v>
      </c>
      <c r="U3880">
        <v>246.7</v>
      </c>
      <c r="V3880">
        <f t="shared" si="120"/>
        <v>248.95</v>
      </c>
      <c r="W3880">
        <f t="shared" si="121"/>
        <v>4.5</v>
      </c>
      <c r="X3880">
        <v>19.039166999999999</v>
      </c>
      <c r="Y3880">
        <v>50.389999000000003</v>
      </c>
      <c r="Z3880" t="s">
        <v>520</v>
      </c>
      <c r="AA3880" t="s">
        <v>697</v>
      </c>
      <c r="AB3880" t="s">
        <v>5043</v>
      </c>
      <c r="AC3880"/>
      <c r="AD3880" t="s">
        <v>3756</v>
      </c>
      <c r="AE3880"/>
      <c r="AF3880"/>
      <c r="AG3880"/>
      <c r="AH3880" t="s">
        <v>72</v>
      </c>
      <c r="AI3880" t="s">
        <v>5041</v>
      </c>
      <c r="AJ3880">
        <v>2016</v>
      </c>
      <c r="AK3880" t="s">
        <v>5044</v>
      </c>
      <c r="AL3880"/>
      <c r="AM3880"/>
      <c r="AN3880" t="s">
        <v>114</v>
      </c>
      <c r="AO3880" t="s">
        <v>77</v>
      </c>
      <c r="AP3880"/>
      <c r="AQ3880" t="s">
        <v>5045</v>
      </c>
      <c r="AR3880" t="s">
        <v>80</v>
      </c>
      <c r="AS3880">
        <v>305</v>
      </c>
      <c r="AT3880" t="s">
        <v>81</v>
      </c>
      <c r="AU3880">
        <v>36</v>
      </c>
      <c r="AV3880">
        <v>29.7</v>
      </c>
      <c r="AW3880" t="s">
        <v>82</v>
      </c>
      <c r="AX3880">
        <v>305</v>
      </c>
      <c r="AY3880" t="s">
        <v>81</v>
      </c>
      <c r="AZ3880">
        <v>26.26</v>
      </c>
      <c r="BA3880">
        <v>18.16</v>
      </c>
      <c r="BB3880" t="s">
        <v>83</v>
      </c>
    </row>
    <row r="3881" spans="1:54" s="3" customFormat="1" ht="15" customHeight="1" x14ac:dyDescent="0.4">
      <c r="A3881">
        <v>1416219</v>
      </c>
      <c r="B3881"/>
      <c r="C3881"/>
      <c r="D3881" t="s">
        <v>54</v>
      </c>
      <c r="E3881"/>
      <c r="F3881"/>
      <c r="G3881"/>
      <c r="H3881"/>
      <c r="I3881" t="s">
        <v>57</v>
      </c>
      <c r="J3881"/>
      <c r="K3881" t="s">
        <v>1873</v>
      </c>
      <c r="L3881" t="s">
        <v>2815</v>
      </c>
      <c r="M3881" t="s">
        <v>60</v>
      </c>
      <c r="N3881"/>
      <c r="O3881"/>
      <c r="P3881" t="s">
        <v>103</v>
      </c>
      <c r="Q3881"/>
      <c r="R3881" t="s">
        <v>104</v>
      </c>
      <c r="S3881" t="s">
        <v>64</v>
      </c>
      <c r="T3881">
        <v>251.2</v>
      </c>
      <c r="U3881">
        <v>246.7</v>
      </c>
      <c r="V3881">
        <f t="shared" si="120"/>
        <v>248.95</v>
      </c>
      <c r="W3881">
        <f t="shared" si="121"/>
        <v>4.5</v>
      </c>
      <c r="X3881">
        <v>55.761665000000001</v>
      </c>
      <c r="Y3881">
        <v>52.429442999999999</v>
      </c>
      <c r="Z3881" t="s">
        <v>432</v>
      </c>
      <c r="AA3881" t="s">
        <v>239</v>
      </c>
      <c r="AB3881" t="s">
        <v>399</v>
      </c>
      <c r="AC3881"/>
      <c r="AD3881" t="s">
        <v>5075</v>
      </c>
      <c r="AE3881"/>
      <c r="AF3881"/>
      <c r="AG3881"/>
      <c r="AH3881" t="s">
        <v>11</v>
      </c>
      <c r="AI3881" t="s">
        <v>1937</v>
      </c>
      <c r="AJ3881">
        <v>2003</v>
      </c>
      <c r="AK3881" t="s">
        <v>5076</v>
      </c>
      <c r="AL3881"/>
      <c r="AM3881" t="s">
        <v>5077</v>
      </c>
      <c r="AN3881" t="s">
        <v>192</v>
      </c>
      <c r="AO3881" t="s">
        <v>77</v>
      </c>
      <c r="AP3881" t="s">
        <v>78</v>
      </c>
      <c r="AQ3881" t="s">
        <v>5078</v>
      </c>
      <c r="AR3881" t="s">
        <v>80</v>
      </c>
      <c r="AS3881">
        <v>302</v>
      </c>
      <c r="AT3881" t="s">
        <v>81</v>
      </c>
      <c r="AU3881">
        <v>60.52</v>
      </c>
      <c r="AV3881">
        <v>40.72</v>
      </c>
      <c r="AW3881" t="s">
        <v>82</v>
      </c>
      <c r="AX3881">
        <v>301</v>
      </c>
      <c r="AY3881" t="s">
        <v>81</v>
      </c>
      <c r="AZ3881">
        <v>45.22</v>
      </c>
      <c r="BA3881">
        <v>33.299999999999997</v>
      </c>
      <c r="BB3881" t="s">
        <v>83</v>
      </c>
    </row>
    <row r="3882" spans="1:54" s="3" customFormat="1" ht="15" customHeight="1" x14ac:dyDescent="0.4">
      <c r="A3882">
        <v>1416225</v>
      </c>
      <c r="B3882"/>
      <c r="C3882"/>
      <c r="D3882" t="s">
        <v>54</v>
      </c>
      <c r="E3882"/>
      <c r="F3882"/>
      <c r="G3882"/>
      <c r="H3882"/>
      <c r="I3882" t="s">
        <v>57</v>
      </c>
      <c r="J3882"/>
      <c r="K3882" t="s">
        <v>1873</v>
      </c>
      <c r="L3882" t="s">
        <v>2815</v>
      </c>
      <c r="M3882" t="s">
        <v>60</v>
      </c>
      <c r="N3882"/>
      <c r="O3882"/>
      <c r="P3882" t="s">
        <v>103</v>
      </c>
      <c r="Q3882"/>
      <c r="R3882" t="s">
        <v>104</v>
      </c>
      <c r="S3882" t="s">
        <v>64</v>
      </c>
      <c r="T3882">
        <v>251.2</v>
      </c>
      <c r="U3882">
        <v>246.7</v>
      </c>
      <c r="V3882">
        <f t="shared" si="120"/>
        <v>248.95</v>
      </c>
      <c r="W3882">
        <f t="shared" si="121"/>
        <v>4.5</v>
      </c>
      <c r="X3882">
        <v>55.534720999999998</v>
      </c>
      <c r="Y3882">
        <v>52.402779000000002</v>
      </c>
      <c r="Z3882" t="s">
        <v>432</v>
      </c>
      <c r="AA3882" t="s">
        <v>239</v>
      </c>
      <c r="AB3882" t="s">
        <v>399</v>
      </c>
      <c r="AC3882"/>
      <c r="AD3882" t="s">
        <v>5075</v>
      </c>
      <c r="AE3882"/>
      <c r="AF3882"/>
      <c r="AG3882"/>
      <c r="AH3882" t="s">
        <v>11</v>
      </c>
      <c r="AI3882" t="s">
        <v>1937</v>
      </c>
      <c r="AJ3882">
        <v>2003</v>
      </c>
      <c r="AK3882" t="s">
        <v>5079</v>
      </c>
      <c r="AL3882"/>
      <c r="AM3882"/>
      <c r="AN3882" t="s">
        <v>192</v>
      </c>
      <c r="AO3882" t="s">
        <v>77</v>
      </c>
      <c r="AP3882" t="s">
        <v>78</v>
      </c>
      <c r="AQ3882" t="s">
        <v>5080</v>
      </c>
      <c r="AR3882" t="s">
        <v>80</v>
      </c>
      <c r="AS3882">
        <v>302</v>
      </c>
      <c r="AT3882" t="s">
        <v>81</v>
      </c>
      <c r="AU3882">
        <v>60.38</v>
      </c>
      <c r="AV3882">
        <v>40.619999999999997</v>
      </c>
      <c r="AW3882" t="s">
        <v>82</v>
      </c>
      <c r="AX3882">
        <v>301</v>
      </c>
      <c r="AY3882" t="s">
        <v>81</v>
      </c>
      <c r="AZ3882">
        <v>45.13</v>
      </c>
      <c r="BA3882">
        <v>33.18</v>
      </c>
      <c r="BB3882" t="s">
        <v>83</v>
      </c>
    </row>
    <row r="3883" spans="1:54" s="3" customFormat="1" ht="15" customHeight="1" x14ac:dyDescent="0.4">
      <c r="A3883">
        <v>1416232</v>
      </c>
      <c r="B3883"/>
      <c r="C3883"/>
      <c r="D3883" t="s">
        <v>54</v>
      </c>
      <c r="E3883"/>
      <c r="F3883"/>
      <c r="G3883"/>
      <c r="H3883"/>
      <c r="I3883" t="s">
        <v>57</v>
      </c>
      <c r="J3883"/>
      <c r="K3883" t="s">
        <v>1873</v>
      </c>
      <c r="L3883" t="s">
        <v>2815</v>
      </c>
      <c r="M3883" t="s">
        <v>60</v>
      </c>
      <c r="N3883"/>
      <c r="O3883"/>
      <c r="P3883" t="s">
        <v>103</v>
      </c>
      <c r="Q3883"/>
      <c r="R3883" t="s">
        <v>104</v>
      </c>
      <c r="S3883" t="s">
        <v>64</v>
      </c>
      <c r="T3883">
        <v>251.2</v>
      </c>
      <c r="U3883">
        <v>246.7</v>
      </c>
      <c r="V3883">
        <f t="shared" si="120"/>
        <v>248.95</v>
      </c>
      <c r="W3883">
        <f t="shared" si="121"/>
        <v>4.5</v>
      </c>
      <c r="X3883">
        <v>55.850833999999999</v>
      </c>
      <c r="Y3883">
        <v>52.163891</v>
      </c>
      <c r="Z3883" t="s">
        <v>582</v>
      </c>
      <c r="AA3883" t="s">
        <v>239</v>
      </c>
      <c r="AB3883" t="s">
        <v>638</v>
      </c>
      <c r="AC3883"/>
      <c r="AD3883" t="s">
        <v>5075</v>
      </c>
      <c r="AE3883"/>
      <c r="AF3883"/>
      <c r="AG3883"/>
      <c r="AH3883" t="s">
        <v>11</v>
      </c>
      <c r="AI3883" t="s">
        <v>1937</v>
      </c>
      <c r="AJ3883">
        <v>2003</v>
      </c>
      <c r="AK3883" t="s">
        <v>5081</v>
      </c>
      <c r="AL3883"/>
      <c r="AM3883"/>
      <c r="AN3883" t="s">
        <v>192</v>
      </c>
      <c r="AO3883" t="s">
        <v>77</v>
      </c>
      <c r="AP3883" t="s">
        <v>78</v>
      </c>
      <c r="AQ3883" t="s">
        <v>5082</v>
      </c>
      <c r="AR3883" t="s">
        <v>80</v>
      </c>
      <c r="AS3883">
        <v>302</v>
      </c>
      <c r="AT3883" t="s">
        <v>81</v>
      </c>
      <c r="AU3883">
        <v>60.76</v>
      </c>
      <c r="AV3883">
        <v>40.520000000000003</v>
      </c>
      <c r="AW3883" t="s">
        <v>82</v>
      </c>
      <c r="AX3883">
        <v>301</v>
      </c>
      <c r="AY3883" t="s">
        <v>81</v>
      </c>
      <c r="AZ3883">
        <v>45.49</v>
      </c>
      <c r="BA3883">
        <v>33.15</v>
      </c>
      <c r="BB3883" t="s">
        <v>83</v>
      </c>
    </row>
    <row r="3884" spans="1:54" s="3" customFormat="1" ht="15" customHeight="1" x14ac:dyDescent="0.4">
      <c r="A3884">
        <v>1416234</v>
      </c>
      <c r="B3884"/>
      <c r="C3884"/>
      <c r="D3884" t="s">
        <v>54</v>
      </c>
      <c r="E3884"/>
      <c r="F3884"/>
      <c r="G3884"/>
      <c r="H3884"/>
      <c r="I3884" t="s">
        <v>57</v>
      </c>
      <c r="J3884"/>
      <c r="K3884" t="s">
        <v>1873</v>
      </c>
      <c r="L3884" t="s">
        <v>2815</v>
      </c>
      <c r="M3884" t="s">
        <v>60</v>
      </c>
      <c r="N3884"/>
      <c r="O3884"/>
      <c r="P3884" t="s">
        <v>103</v>
      </c>
      <c r="Q3884"/>
      <c r="R3884" t="s">
        <v>104</v>
      </c>
      <c r="S3884" t="s">
        <v>64</v>
      </c>
      <c r="T3884">
        <v>251.2</v>
      </c>
      <c r="U3884">
        <v>246.7</v>
      </c>
      <c r="V3884">
        <f t="shared" si="120"/>
        <v>248.95</v>
      </c>
      <c r="W3884">
        <f t="shared" si="121"/>
        <v>4.5</v>
      </c>
      <c r="X3884">
        <v>55.844166000000001</v>
      </c>
      <c r="Y3884">
        <v>52.154719999999998</v>
      </c>
      <c r="Z3884" t="s">
        <v>582</v>
      </c>
      <c r="AA3884" t="s">
        <v>239</v>
      </c>
      <c r="AB3884" t="s">
        <v>638</v>
      </c>
      <c r="AC3884"/>
      <c r="AD3884" t="s">
        <v>5075</v>
      </c>
      <c r="AE3884"/>
      <c r="AF3884"/>
      <c r="AG3884"/>
      <c r="AH3884" t="s">
        <v>11</v>
      </c>
      <c r="AI3884" t="s">
        <v>1937</v>
      </c>
      <c r="AJ3884">
        <v>2003</v>
      </c>
      <c r="AK3884" t="s">
        <v>5083</v>
      </c>
      <c r="AL3884"/>
      <c r="AM3884"/>
      <c r="AN3884" t="s">
        <v>192</v>
      </c>
      <c r="AO3884" t="s">
        <v>77</v>
      </c>
      <c r="AP3884" t="s">
        <v>78</v>
      </c>
      <c r="AQ3884" t="s">
        <v>5084</v>
      </c>
      <c r="AR3884" t="s">
        <v>80</v>
      </c>
      <c r="AS3884">
        <v>302</v>
      </c>
      <c r="AT3884" t="s">
        <v>81</v>
      </c>
      <c r="AU3884">
        <v>60.76</v>
      </c>
      <c r="AV3884">
        <v>40.51</v>
      </c>
      <c r="AW3884" t="s">
        <v>82</v>
      </c>
      <c r="AX3884">
        <v>301</v>
      </c>
      <c r="AY3884" t="s">
        <v>81</v>
      </c>
      <c r="AZ3884">
        <v>45.5</v>
      </c>
      <c r="BA3884">
        <v>33.15</v>
      </c>
      <c r="BB3884" t="s">
        <v>83</v>
      </c>
    </row>
    <row r="3885" spans="1:54" s="3" customFormat="1" ht="15" customHeight="1" x14ac:dyDescent="0.4">
      <c r="A3885">
        <v>1416237</v>
      </c>
      <c r="B3885"/>
      <c r="C3885"/>
      <c r="D3885" t="s">
        <v>54</v>
      </c>
      <c r="E3885"/>
      <c r="F3885"/>
      <c r="G3885"/>
      <c r="H3885"/>
      <c r="I3885" t="s">
        <v>57</v>
      </c>
      <c r="J3885"/>
      <c r="K3885" t="s">
        <v>1873</v>
      </c>
      <c r="L3885" t="s">
        <v>2815</v>
      </c>
      <c r="M3885" t="s">
        <v>60</v>
      </c>
      <c r="N3885"/>
      <c r="O3885"/>
      <c r="P3885" t="s">
        <v>103</v>
      </c>
      <c r="Q3885"/>
      <c r="R3885" t="s">
        <v>104</v>
      </c>
      <c r="S3885" t="s">
        <v>64</v>
      </c>
      <c r="T3885">
        <v>251.2</v>
      </c>
      <c r="U3885">
        <v>246.7</v>
      </c>
      <c r="V3885">
        <f t="shared" si="120"/>
        <v>248.95</v>
      </c>
      <c r="W3885">
        <f t="shared" si="121"/>
        <v>4.5</v>
      </c>
      <c r="X3885">
        <v>55.722220999999998</v>
      </c>
      <c r="Y3885">
        <v>52.030276999999998</v>
      </c>
      <c r="Z3885" t="s">
        <v>969</v>
      </c>
      <c r="AA3885" t="s">
        <v>239</v>
      </c>
      <c r="AB3885" t="s">
        <v>638</v>
      </c>
      <c r="AC3885"/>
      <c r="AD3885" t="s">
        <v>5075</v>
      </c>
      <c r="AE3885"/>
      <c r="AF3885"/>
      <c r="AG3885"/>
      <c r="AH3885" t="s">
        <v>11</v>
      </c>
      <c r="AI3885" t="s">
        <v>1937</v>
      </c>
      <c r="AJ3885">
        <v>2003</v>
      </c>
      <c r="AK3885" t="s">
        <v>5085</v>
      </c>
      <c r="AL3885"/>
      <c r="AM3885"/>
      <c r="AN3885" t="s">
        <v>192</v>
      </c>
      <c r="AO3885" t="s">
        <v>77</v>
      </c>
      <c r="AP3885" t="s">
        <v>78</v>
      </c>
      <c r="AQ3885" t="s">
        <v>5086</v>
      </c>
      <c r="AR3885" t="s">
        <v>80</v>
      </c>
      <c r="AS3885">
        <v>302</v>
      </c>
      <c r="AT3885" t="s">
        <v>81</v>
      </c>
      <c r="AU3885">
        <v>60.76</v>
      </c>
      <c r="AV3885">
        <v>40.36</v>
      </c>
      <c r="AW3885" t="s">
        <v>82</v>
      </c>
      <c r="AX3885">
        <v>301</v>
      </c>
      <c r="AY3885" t="s">
        <v>81</v>
      </c>
      <c r="AZ3885">
        <v>45.54</v>
      </c>
      <c r="BA3885">
        <v>33.01</v>
      </c>
      <c r="BB3885" t="s">
        <v>83</v>
      </c>
    </row>
    <row r="3886" spans="1:54" s="3" customFormat="1" ht="15" customHeight="1" x14ac:dyDescent="0.4">
      <c r="A3886">
        <v>1416239</v>
      </c>
      <c r="B3886"/>
      <c r="C3886"/>
      <c r="D3886" t="s">
        <v>54</v>
      </c>
      <c r="E3886"/>
      <c r="F3886"/>
      <c r="G3886"/>
      <c r="H3886"/>
      <c r="I3886" t="s">
        <v>57</v>
      </c>
      <c r="J3886"/>
      <c r="K3886" t="s">
        <v>1873</v>
      </c>
      <c r="L3886" t="s">
        <v>2815</v>
      </c>
      <c r="M3886" t="s">
        <v>60</v>
      </c>
      <c r="N3886"/>
      <c r="O3886"/>
      <c r="P3886" t="s">
        <v>103</v>
      </c>
      <c r="Q3886"/>
      <c r="R3886" t="s">
        <v>104</v>
      </c>
      <c r="S3886" t="s">
        <v>64</v>
      </c>
      <c r="T3886">
        <v>251.2</v>
      </c>
      <c r="U3886">
        <v>246.7</v>
      </c>
      <c r="V3886">
        <f t="shared" si="120"/>
        <v>248.95</v>
      </c>
      <c r="W3886">
        <f t="shared" si="121"/>
        <v>4.5</v>
      </c>
      <c r="X3886">
        <v>55.647499000000003</v>
      </c>
      <c r="Y3886">
        <v>52.029998999999997</v>
      </c>
      <c r="Z3886" t="s">
        <v>432</v>
      </c>
      <c r="AA3886" t="s">
        <v>239</v>
      </c>
      <c r="AB3886" t="s">
        <v>638</v>
      </c>
      <c r="AC3886"/>
      <c r="AD3886" t="s">
        <v>5075</v>
      </c>
      <c r="AE3886"/>
      <c r="AF3886"/>
      <c r="AG3886"/>
      <c r="AH3886" t="s">
        <v>11</v>
      </c>
      <c r="AI3886" t="s">
        <v>1937</v>
      </c>
      <c r="AJ3886">
        <v>2003</v>
      </c>
      <c r="AK3886" t="s">
        <v>5087</v>
      </c>
      <c r="AL3886"/>
      <c r="AM3886"/>
      <c r="AN3886" t="s">
        <v>192</v>
      </c>
      <c r="AO3886" t="s">
        <v>77</v>
      </c>
      <c r="AP3886" t="s">
        <v>78</v>
      </c>
      <c r="AQ3886" t="s">
        <v>5088</v>
      </c>
      <c r="AR3886" t="s">
        <v>80</v>
      </c>
      <c r="AS3886">
        <v>302</v>
      </c>
      <c r="AT3886" t="s">
        <v>81</v>
      </c>
      <c r="AU3886">
        <v>60.71</v>
      </c>
      <c r="AV3886">
        <v>40.340000000000003</v>
      </c>
      <c r="AW3886" t="s">
        <v>82</v>
      </c>
      <c r="AX3886">
        <v>301</v>
      </c>
      <c r="AY3886" t="s">
        <v>81</v>
      </c>
      <c r="AZ3886">
        <v>45.51</v>
      </c>
      <c r="BA3886">
        <v>32.97</v>
      </c>
      <c r="BB3886" t="s">
        <v>83</v>
      </c>
    </row>
    <row r="3887" spans="1:54" s="3" customFormat="1" ht="15" customHeight="1" x14ac:dyDescent="0.4">
      <c r="A3887">
        <v>1416255</v>
      </c>
      <c r="B3887"/>
      <c r="C3887"/>
      <c r="D3887" t="s">
        <v>54</v>
      </c>
      <c r="E3887"/>
      <c r="F3887"/>
      <c r="G3887"/>
      <c r="H3887"/>
      <c r="I3887" t="s">
        <v>57</v>
      </c>
      <c r="J3887"/>
      <c r="K3887" t="s">
        <v>1873</v>
      </c>
      <c r="L3887" t="s">
        <v>2815</v>
      </c>
      <c r="M3887" t="s">
        <v>60</v>
      </c>
      <c r="N3887"/>
      <c r="O3887"/>
      <c r="P3887" t="s">
        <v>103</v>
      </c>
      <c r="Q3887"/>
      <c r="R3887" t="s">
        <v>104</v>
      </c>
      <c r="S3887" t="s">
        <v>64</v>
      </c>
      <c r="T3887">
        <v>251.2</v>
      </c>
      <c r="U3887">
        <v>246.7</v>
      </c>
      <c r="V3887">
        <f t="shared" si="120"/>
        <v>248.95</v>
      </c>
      <c r="W3887">
        <f t="shared" si="121"/>
        <v>4.5</v>
      </c>
      <c r="X3887">
        <v>55.893889999999999</v>
      </c>
      <c r="Y3887">
        <v>51.283611000000001</v>
      </c>
      <c r="Z3887" t="s">
        <v>969</v>
      </c>
      <c r="AA3887" t="s">
        <v>239</v>
      </c>
      <c r="AB3887" t="s">
        <v>638</v>
      </c>
      <c r="AC3887"/>
      <c r="AD3887" t="s">
        <v>5075</v>
      </c>
      <c r="AE3887"/>
      <c r="AF3887"/>
      <c r="AG3887"/>
      <c r="AH3887" t="s">
        <v>11</v>
      </c>
      <c r="AI3887" t="s">
        <v>1937</v>
      </c>
      <c r="AJ3887">
        <v>2003</v>
      </c>
      <c r="AK3887" t="s">
        <v>5089</v>
      </c>
      <c r="AL3887"/>
      <c r="AM3887"/>
      <c r="AN3887" t="s">
        <v>192</v>
      </c>
      <c r="AO3887" t="s">
        <v>77</v>
      </c>
      <c r="AP3887" t="s">
        <v>78</v>
      </c>
      <c r="AQ3887" t="s">
        <v>5090</v>
      </c>
      <c r="AR3887" t="s">
        <v>80</v>
      </c>
      <c r="AS3887">
        <v>302</v>
      </c>
      <c r="AT3887" t="s">
        <v>81</v>
      </c>
      <c r="AU3887">
        <v>61.38</v>
      </c>
      <c r="AV3887">
        <v>39.770000000000003</v>
      </c>
      <c r="AW3887" t="s">
        <v>82</v>
      </c>
      <c r="AX3887">
        <v>301</v>
      </c>
      <c r="AY3887" t="s">
        <v>81</v>
      </c>
      <c r="AZ3887">
        <v>46.27</v>
      </c>
      <c r="BA3887">
        <v>32.57</v>
      </c>
      <c r="BB3887" t="s">
        <v>83</v>
      </c>
    </row>
    <row r="3888" spans="1:54" s="3" customFormat="1" ht="15" customHeight="1" x14ac:dyDescent="0.4">
      <c r="A3888">
        <v>1416277</v>
      </c>
      <c r="B3888"/>
      <c r="C3888"/>
      <c r="D3888" t="s">
        <v>54</v>
      </c>
      <c r="E3888"/>
      <c r="F3888"/>
      <c r="G3888"/>
      <c r="H3888"/>
      <c r="I3888" t="s">
        <v>57</v>
      </c>
      <c r="J3888"/>
      <c r="K3888" t="s">
        <v>1873</v>
      </c>
      <c r="L3888" t="s">
        <v>2815</v>
      </c>
      <c r="M3888" t="s">
        <v>60</v>
      </c>
      <c r="N3888"/>
      <c r="O3888"/>
      <c r="P3888" t="s">
        <v>103</v>
      </c>
      <c r="Q3888"/>
      <c r="R3888" t="s">
        <v>104</v>
      </c>
      <c r="S3888" t="s">
        <v>64</v>
      </c>
      <c r="T3888">
        <v>251.2</v>
      </c>
      <c r="U3888">
        <v>246.7</v>
      </c>
      <c r="V3888">
        <f t="shared" si="120"/>
        <v>248.95</v>
      </c>
      <c r="W3888">
        <f t="shared" si="121"/>
        <v>4.5</v>
      </c>
      <c r="X3888">
        <v>55.202221000000002</v>
      </c>
      <c r="Y3888">
        <v>51.446666999999998</v>
      </c>
      <c r="Z3888" t="s">
        <v>432</v>
      </c>
      <c r="AA3888" t="s">
        <v>239</v>
      </c>
      <c r="AB3888" t="s">
        <v>638</v>
      </c>
      <c r="AC3888" t="s">
        <v>2791</v>
      </c>
      <c r="AD3888" t="s">
        <v>1577</v>
      </c>
      <c r="AE3888"/>
      <c r="AF3888"/>
      <c r="AG3888"/>
      <c r="AH3888" t="s">
        <v>11</v>
      </c>
      <c r="AI3888" t="s">
        <v>1937</v>
      </c>
      <c r="AJ3888">
        <v>2003</v>
      </c>
      <c r="AK3888" t="s">
        <v>5091</v>
      </c>
      <c r="AL3888"/>
      <c r="AM3888"/>
      <c r="AN3888" t="s">
        <v>114</v>
      </c>
      <c r="AO3888" t="s">
        <v>77</v>
      </c>
      <c r="AP3888" t="s">
        <v>115</v>
      </c>
      <c r="AQ3888" t="s">
        <v>5092</v>
      </c>
      <c r="AR3888" t="s">
        <v>80</v>
      </c>
      <c r="AS3888">
        <v>302</v>
      </c>
      <c r="AT3888" t="s">
        <v>81</v>
      </c>
      <c r="AU3888">
        <v>60.78</v>
      </c>
      <c r="AV3888">
        <v>39.700000000000003</v>
      </c>
      <c r="AW3888" t="s">
        <v>82</v>
      </c>
      <c r="AX3888">
        <v>301</v>
      </c>
      <c r="AY3888" t="s">
        <v>81</v>
      </c>
      <c r="AZ3888">
        <v>45.78</v>
      </c>
      <c r="BA3888">
        <v>32.369999999999997</v>
      </c>
      <c r="BB3888" t="s">
        <v>83</v>
      </c>
    </row>
    <row r="3889" spans="1:54" s="3" customFormat="1" ht="15" customHeight="1" x14ac:dyDescent="0.4">
      <c r="A3889">
        <v>1416278</v>
      </c>
      <c r="B3889"/>
      <c r="C3889"/>
      <c r="D3889" t="s">
        <v>54</v>
      </c>
      <c r="E3889"/>
      <c r="F3889"/>
      <c r="G3889"/>
      <c r="H3889"/>
      <c r="I3889" t="s">
        <v>57</v>
      </c>
      <c r="J3889"/>
      <c r="K3889" t="s">
        <v>141</v>
      </c>
      <c r="L3889" t="s">
        <v>629</v>
      </c>
      <c r="M3889" t="s">
        <v>60</v>
      </c>
      <c r="N3889"/>
      <c r="O3889"/>
      <c r="P3889" t="s">
        <v>103</v>
      </c>
      <c r="Q3889"/>
      <c r="R3889" t="s">
        <v>104</v>
      </c>
      <c r="S3889" t="s">
        <v>64</v>
      </c>
      <c r="T3889">
        <v>251.2</v>
      </c>
      <c r="U3889">
        <v>246.7</v>
      </c>
      <c r="V3889">
        <f t="shared" si="120"/>
        <v>248.95</v>
      </c>
      <c r="W3889">
        <f t="shared" si="121"/>
        <v>4.5</v>
      </c>
      <c r="X3889">
        <v>55.202221000000002</v>
      </c>
      <c r="Y3889">
        <v>51.446666999999998</v>
      </c>
      <c r="Z3889" t="s">
        <v>432</v>
      </c>
      <c r="AA3889" t="s">
        <v>239</v>
      </c>
      <c r="AB3889" t="s">
        <v>638</v>
      </c>
      <c r="AC3889" t="s">
        <v>2791</v>
      </c>
      <c r="AD3889" t="s">
        <v>1577</v>
      </c>
      <c r="AE3889"/>
      <c r="AF3889"/>
      <c r="AG3889"/>
      <c r="AH3889" t="s">
        <v>11</v>
      </c>
      <c r="AI3889" t="s">
        <v>1937</v>
      </c>
      <c r="AJ3889">
        <v>2003</v>
      </c>
      <c r="AK3889" t="s">
        <v>5091</v>
      </c>
      <c r="AL3889"/>
      <c r="AM3889"/>
      <c r="AN3889" t="s">
        <v>114</v>
      </c>
      <c r="AO3889" t="s">
        <v>77</v>
      </c>
      <c r="AP3889" t="s">
        <v>115</v>
      </c>
      <c r="AQ3889" t="s">
        <v>5092</v>
      </c>
      <c r="AR3889" t="s">
        <v>80</v>
      </c>
      <c r="AS3889">
        <v>302</v>
      </c>
      <c r="AT3889" t="s">
        <v>81</v>
      </c>
      <c r="AU3889">
        <v>60.78</v>
      </c>
      <c r="AV3889">
        <v>39.700000000000003</v>
      </c>
      <c r="AW3889" t="s">
        <v>82</v>
      </c>
      <c r="AX3889">
        <v>301</v>
      </c>
      <c r="AY3889" t="s">
        <v>81</v>
      </c>
      <c r="AZ3889">
        <v>45.78</v>
      </c>
      <c r="BA3889">
        <v>32.369999999999997</v>
      </c>
      <c r="BB3889" t="s">
        <v>83</v>
      </c>
    </row>
    <row r="3890" spans="1:54" s="3" customFormat="1" ht="15" customHeight="1" x14ac:dyDescent="0.4">
      <c r="A3890">
        <v>1417106</v>
      </c>
      <c r="B3890"/>
      <c r="C3890"/>
      <c r="D3890" t="s">
        <v>54</v>
      </c>
      <c r="E3890"/>
      <c r="F3890"/>
      <c r="G3890"/>
      <c r="H3890"/>
      <c r="I3890" t="s">
        <v>57</v>
      </c>
      <c r="J3890"/>
      <c r="K3890" t="s">
        <v>149</v>
      </c>
      <c r="L3890" t="s">
        <v>5119</v>
      </c>
      <c r="M3890" t="s">
        <v>60</v>
      </c>
      <c r="N3890"/>
      <c r="O3890"/>
      <c r="P3890" t="s">
        <v>103</v>
      </c>
      <c r="Q3890"/>
      <c r="R3890" t="s">
        <v>104</v>
      </c>
      <c r="S3890" t="s">
        <v>64</v>
      </c>
      <c r="T3890">
        <v>251.2</v>
      </c>
      <c r="U3890">
        <v>246.7</v>
      </c>
      <c r="V3890">
        <f t="shared" si="120"/>
        <v>248.95</v>
      </c>
      <c r="W3890">
        <f t="shared" si="121"/>
        <v>4.5</v>
      </c>
      <c r="X3890">
        <v>51.779167000000001</v>
      </c>
      <c r="Y3890">
        <v>52.797221999999998</v>
      </c>
      <c r="Z3890" t="s">
        <v>432</v>
      </c>
      <c r="AA3890" t="s">
        <v>239</v>
      </c>
      <c r="AB3890" t="s">
        <v>638</v>
      </c>
      <c r="AC3890"/>
      <c r="AD3890" t="s">
        <v>5120</v>
      </c>
      <c r="AE3890"/>
      <c r="AF3890"/>
      <c r="AG3890"/>
      <c r="AH3890" t="s">
        <v>11</v>
      </c>
      <c r="AI3890" t="s">
        <v>1937</v>
      </c>
      <c r="AJ3890">
        <v>2003</v>
      </c>
      <c r="AK3890" t="s">
        <v>5121</v>
      </c>
      <c r="AL3890"/>
      <c r="AM3890" t="s">
        <v>5122</v>
      </c>
      <c r="AN3890" t="s">
        <v>114</v>
      </c>
      <c r="AO3890" t="s">
        <v>77</v>
      </c>
      <c r="AP3890" t="s">
        <v>115</v>
      </c>
      <c r="AQ3890" t="s">
        <v>5123</v>
      </c>
      <c r="AR3890" t="s">
        <v>80</v>
      </c>
      <c r="AS3890">
        <v>302</v>
      </c>
      <c r="AT3890" t="s">
        <v>81</v>
      </c>
      <c r="AU3890">
        <v>57.54</v>
      </c>
      <c r="AV3890">
        <v>39.82</v>
      </c>
      <c r="AW3890" t="s">
        <v>82</v>
      </c>
      <c r="AX3890">
        <v>301</v>
      </c>
      <c r="AY3890" t="s">
        <v>81</v>
      </c>
      <c r="AZ3890">
        <v>42.9</v>
      </c>
      <c r="BA3890">
        <v>31.82</v>
      </c>
      <c r="BB3890" t="s">
        <v>83</v>
      </c>
    </row>
    <row r="3891" spans="1:54" s="3" customFormat="1" ht="15" customHeight="1" x14ac:dyDescent="0.4">
      <c r="A3891">
        <v>1417172</v>
      </c>
      <c r="B3891"/>
      <c r="C3891"/>
      <c r="D3891" t="s">
        <v>54</v>
      </c>
      <c r="E3891"/>
      <c r="F3891"/>
      <c r="G3891"/>
      <c r="H3891"/>
      <c r="I3891" t="s">
        <v>57</v>
      </c>
      <c r="J3891"/>
      <c r="K3891" t="s">
        <v>141</v>
      </c>
      <c r="L3891" t="s">
        <v>629</v>
      </c>
      <c r="M3891" t="s">
        <v>60</v>
      </c>
      <c r="N3891"/>
      <c r="O3891"/>
      <c r="P3891" t="s">
        <v>103</v>
      </c>
      <c r="Q3891"/>
      <c r="R3891" t="s">
        <v>104</v>
      </c>
      <c r="S3891" t="s">
        <v>64</v>
      </c>
      <c r="T3891">
        <v>251.2</v>
      </c>
      <c r="U3891">
        <v>246.7</v>
      </c>
      <c r="V3891">
        <f t="shared" si="120"/>
        <v>248.95</v>
      </c>
      <c r="W3891">
        <f t="shared" si="121"/>
        <v>4.5</v>
      </c>
      <c r="X3891">
        <v>51.174720999999998</v>
      </c>
      <c r="Y3891">
        <v>52.417499999999997</v>
      </c>
      <c r="Z3891" t="s">
        <v>406</v>
      </c>
      <c r="AA3891" t="s">
        <v>239</v>
      </c>
      <c r="AB3891" t="s">
        <v>5065</v>
      </c>
      <c r="AC3891" t="s">
        <v>5127</v>
      </c>
      <c r="AD3891" t="s">
        <v>5120</v>
      </c>
      <c r="AE3891"/>
      <c r="AF3891"/>
      <c r="AG3891"/>
      <c r="AH3891" t="s">
        <v>11</v>
      </c>
      <c r="AI3891" t="s">
        <v>1937</v>
      </c>
      <c r="AJ3891">
        <v>2003</v>
      </c>
      <c r="AK3891" t="s">
        <v>5128</v>
      </c>
      <c r="AL3891"/>
      <c r="AM3891"/>
      <c r="AN3891" t="s">
        <v>192</v>
      </c>
      <c r="AO3891" t="s">
        <v>77</v>
      </c>
      <c r="AP3891" t="s">
        <v>78</v>
      </c>
      <c r="AQ3891" t="s">
        <v>5129</v>
      </c>
      <c r="AR3891" t="s">
        <v>80</v>
      </c>
      <c r="AS3891">
        <v>302</v>
      </c>
      <c r="AT3891" t="s">
        <v>81</v>
      </c>
      <c r="AU3891">
        <v>57.37</v>
      </c>
      <c r="AV3891">
        <v>39.31</v>
      </c>
      <c r="AW3891" t="s">
        <v>82</v>
      </c>
      <c r="AX3891">
        <v>301</v>
      </c>
      <c r="AY3891" t="s">
        <v>81</v>
      </c>
      <c r="AZ3891">
        <v>42.91</v>
      </c>
      <c r="BA3891">
        <v>31.3</v>
      </c>
      <c r="BB3891" t="s">
        <v>83</v>
      </c>
    </row>
    <row r="3892" spans="1:54" s="3" customFormat="1" ht="15" customHeight="1" x14ac:dyDescent="0.4">
      <c r="A3892">
        <v>1419019</v>
      </c>
      <c r="B3892"/>
      <c r="C3892"/>
      <c r="D3892" t="s">
        <v>54</v>
      </c>
      <c r="E3892"/>
      <c r="F3892"/>
      <c r="G3892"/>
      <c r="H3892"/>
      <c r="I3892" t="s">
        <v>57</v>
      </c>
      <c r="J3892"/>
      <c r="K3892" t="s">
        <v>556</v>
      </c>
      <c r="L3892" t="s">
        <v>557</v>
      </c>
      <c r="M3892" t="s">
        <v>223</v>
      </c>
      <c r="N3892" t="s">
        <v>234</v>
      </c>
      <c r="O3892" t="s">
        <v>87</v>
      </c>
      <c r="P3892" t="s">
        <v>103</v>
      </c>
      <c r="Q3892"/>
      <c r="R3892" t="s">
        <v>104</v>
      </c>
      <c r="S3892" t="s">
        <v>64</v>
      </c>
      <c r="T3892">
        <v>251.2</v>
      </c>
      <c r="U3892">
        <v>246.7</v>
      </c>
      <c r="V3892">
        <f t="shared" si="120"/>
        <v>248.95</v>
      </c>
      <c r="W3892">
        <f t="shared" si="121"/>
        <v>4.5</v>
      </c>
      <c r="X3892">
        <v>-118.12666299999999</v>
      </c>
      <c r="Y3892">
        <v>40.508609999999997</v>
      </c>
      <c r="Z3892" t="s">
        <v>520</v>
      </c>
      <c r="AA3892" t="s">
        <v>66</v>
      </c>
      <c r="AB3892" t="s">
        <v>558</v>
      </c>
      <c r="AC3892"/>
      <c r="AD3892" t="s">
        <v>560</v>
      </c>
      <c r="AE3892"/>
      <c r="AF3892"/>
      <c r="AG3892" t="s">
        <v>5224</v>
      </c>
      <c r="AH3892" t="s">
        <v>72</v>
      </c>
      <c r="AI3892" t="s">
        <v>5225</v>
      </c>
      <c r="AJ3892">
        <v>1987</v>
      </c>
      <c r="AK3892" t="s">
        <v>5226</v>
      </c>
      <c r="AL3892"/>
      <c r="AM3892"/>
      <c r="AN3892" t="s">
        <v>76</v>
      </c>
      <c r="AO3892" t="s">
        <v>77</v>
      </c>
      <c r="AP3892" t="s">
        <v>359</v>
      </c>
      <c r="AQ3892" t="s">
        <v>5227</v>
      </c>
      <c r="AR3892" t="s">
        <v>80</v>
      </c>
      <c r="AS3892">
        <v>101</v>
      </c>
      <c r="AT3892" t="s">
        <v>81</v>
      </c>
      <c r="AU3892">
        <v>-37.57</v>
      </c>
      <c r="AV3892">
        <v>25.9</v>
      </c>
      <c r="AW3892" t="s">
        <v>82</v>
      </c>
      <c r="AX3892">
        <v>131</v>
      </c>
      <c r="AY3892" t="s">
        <v>81</v>
      </c>
      <c r="AZ3892">
        <v>-42.21</v>
      </c>
      <c r="BA3892">
        <v>11.74</v>
      </c>
      <c r="BB3892" t="s">
        <v>83</v>
      </c>
    </row>
    <row r="3893" spans="1:54" s="3" customFormat="1" ht="15" customHeight="1" x14ac:dyDescent="0.4">
      <c r="A3893">
        <v>1419116</v>
      </c>
      <c r="B3893"/>
      <c r="C3893"/>
      <c r="D3893" t="s">
        <v>54</v>
      </c>
      <c r="E3893"/>
      <c r="F3893"/>
      <c r="G3893"/>
      <c r="H3893"/>
      <c r="I3893" t="s">
        <v>57</v>
      </c>
      <c r="J3893"/>
      <c r="K3893" t="s">
        <v>232</v>
      </c>
      <c r="L3893" t="s">
        <v>804</v>
      </c>
      <c r="M3893" t="s">
        <v>223</v>
      </c>
      <c r="N3893" t="s">
        <v>234</v>
      </c>
      <c r="O3893" t="s">
        <v>87</v>
      </c>
      <c r="P3893" t="s">
        <v>103</v>
      </c>
      <c r="Q3893"/>
      <c r="R3893" t="s">
        <v>104</v>
      </c>
      <c r="S3893" t="s">
        <v>64</v>
      </c>
      <c r="T3893">
        <v>251.2</v>
      </c>
      <c r="U3893">
        <v>246.7</v>
      </c>
      <c r="V3893">
        <f t="shared" si="120"/>
        <v>248.95</v>
      </c>
      <c r="W3893">
        <f t="shared" si="121"/>
        <v>4.5</v>
      </c>
      <c r="X3893">
        <v>15.67</v>
      </c>
      <c r="Y3893">
        <v>78.5</v>
      </c>
      <c r="Z3893" t="s">
        <v>520</v>
      </c>
      <c r="AA3893" t="s">
        <v>4636</v>
      </c>
      <c r="AB3893"/>
      <c r="AC3893"/>
      <c r="AD3893"/>
      <c r="AE3893"/>
      <c r="AF3893"/>
      <c r="AG3893"/>
      <c r="AH3893" t="s">
        <v>72</v>
      </c>
      <c r="AI3893" t="s">
        <v>5240</v>
      </c>
      <c r="AJ3893">
        <v>2005</v>
      </c>
      <c r="AK3893" t="s">
        <v>5241</v>
      </c>
      <c r="AL3893"/>
      <c r="AM3893"/>
      <c r="AN3893" t="s">
        <v>192</v>
      </c>
      <c r="AO3893">
        <v>2</v>
      </c>
      <c r="AP3893" t="s">
        <v>78</v>
      </c>
      <c r="AQ3893"/>
      <c r="AR3893" t="s">
        <v>80</v>
      </c>
      <c r="AS3893">
        <v>309</v>
      </c>
      <c r="AT3893" t="s">
        <v>81</v>
      </c>
      <c r="AU3893">
        <v>21.35</v>
      </c>
      <c r="AV3893">
        <v>55.85</v>
      </c>
      <c r="AW3893" t="s">
        <v>82</v>
      </c>
      <c r="AX3893">
        <v>309</v>
      </c>
      <c r="AY3893" t="s">
        <v>81</v>
      </c>
      <c r="AZ3893">
        <v>9.23</v>
      </c>
      <c r="BA3893">
        <v>42.29</v>
      </c>
      <c r="BB3893" t="s">
        <v>83</v>
      </c>
    </row>
    <row r="3894" spans="1:54" s="3" customFormat="1" ht="15" customHeight="1" x14ac:dyDescent="0.4">
      <c r="A3894">
        <v>1419471</v>
      </c>
      <c r="B3894"/>
      <c r="C3894"/>
      <c r="D3894" t="s">
        <v>54</v>
      </c>
      <c r="E3894"/>
      <c r="F3894"/>
      <c r="G3894"/>
      <c r="H3894"/>
      <c r="I3894" t="s">
        <v>57</v>
      </c>
      <c r="J3894"/>
      <c r="K3894" t="s">
        <v>565</v>
      </c>
      <c r="L3894" t="s">
        <v>566</v>
      </c>
      <c r="M3894" t="s">
        <v>223</v>
      </c>
      <c r="N3894" t="s">
        <v>234</v>
      </c>
      <c r="O3894" t="s">
        <v>87</v>
      </c>
      <c r="P3894" t="s">
        <v>103</v>
      </c>
      <c r="Q3894"/>
      <c r="R3894" t="s">
        <v>104</v>
      </c>
      <c r="S3894" t="s">
        <v>64</v>
      </c>
      <c r="T3894">
        <v>251.2</v>
      </c>
      <c r="U3894">
        <v>246.7</v>
      </c>
      <c r="V3894">
        <f t="shared" si="120"/>
        <v>248.95</v>
      </c>
      <c r="W3894">
        <f t="shared" si="121"/>
        <v>4.5</v>
      </c>
      <c r="X3894">
        <v>17.589167</v>
      </c>
      <c r="Y3894">
        <v>78.256111000000004</v>
      </c>
      <c r="Z3894" t="s">
        <v>520</v>
      </c>
      <c r="AA3894" t="s">
        <v>567</v>
      </c>
      <c r="AB3894" t="s">
        <v>3529</v>
      </c>
      <c r="AC3894"/>
      <c r="AD3894" t="s">
        <v>5276</v>
      </c>
      <c r="AE3894"/>
      <c r="AF3894" t="s">
        <v>570</v>
      </c>
      <c r="AG3894"/>
      <c r="AH3894" t="s">
        <v>72</v>
      </c>
      <c r="AI3894" t="s">
        <v>5277</v>
      </c>
      <c r="AJ3894">
        <v>1993</v>
      </c>
      <c r="AK3894" t="s">
        <v>5278</v>
      </c>
      <c r="AL3894"/>
      <c r="AM3894"/>
      <c r="AN3894" t="s">
        <v>76</v>
      </c>
      <c r="AO3894" t="s">
        <v>77</v>
      </c>
      <c r="AP3894" t="s">
        <v>230</v>
      </c>
      <c r="AQ3894"/>
      <c r="AR3894" t="s">
        <v>80</v>
      </c>
      <c r="AS3894">
        <v>311</v>
      </c>
      <c r="AT3894" t="s">
        <v>81</v>
      </c>
      <c r="AU3894">
        <v>22.15</v>
      </c>
      <c r="AV3894">
        <v>55.78</v>
      </c>
      <c r="AW3894" t="s">
        <v>82</v>
      </c>
      <c r="AX3894">
        <v>310</v>
      </c>
      <c r="AY3894" t="s">
        <v>81</v>
      </c>
      <c r="AZ3894">
        <v>9.85</v>
      </c>
      <c r="BA3894">
        <v>42.29</v>
      </c>
      <c r="BB3894" t="s">
        <v>83</v>
      </c>
    </row>
    <row r="3895" spans="1:54" s="3" customFormat="1" ht="15" customHeight="1" x14ac:dyDescent="0.4">
      <c r="A3895">
        <v>1419474</v>
      </c>
      <c r="B3895"/>
      <c r="C3895"/>
      <c r="D3895" t="s">
        <v>54</v>
      </c>
      <c r="E3895"/>
      <c r="F3895"/>
      <c r="G3895"/>
      <c r="H3895"/>
      <c r="I3895" t="s">
        <v>57</v>
      </c>
      <c r="J3895"/>
      <c r="K3895" t="s">
        <v>5279</v>
      </c>
      <c r="L3895" t="s">
        <v>5280</v>
      </c>
      <c r="M3895" t="s">
        <v>223</v>
      </c>
      <c r="N3895" t="s">
        <v>234</v>
      </c>
      <c r="O3895" t="s">
        <v>87</v>
      </c>
      <c r="P3895" t="s">
        <v>103</v>
      </c>
      <c r="Q3895"/>
      <c r="R3895" t="s">
        <v>104</v>
      </c>
      <c r="S3895" t="s">
        <v>64</v>
      </c>
      <c r="T3895">
        <v>251.2</v>
      </c>
      <c r="U3895">
        <v>246.7</v>
      </c>
      <c r="V3895">
        <f t="shared" si="120"/>
        <v>248.95</v>
      </c>
      <c r="W3895">
        <f t="shared" si="121"/>
        <v>4.5</v>
      </c>
      <c r="X3895">
        <v>100.066666</v>
      </c>
      <c r="Y3895">
        <v>7.7366669999999997</v>
      </c>
      <c r="Z3895" t="s">
        <v>520</v>
      </c>
      <c r="AA3895" t="s">
        <v>3783</v>
      </c>
      <c r="AB3895" t="s">
        <v>5281</v>
      </c>
      <c r="AC3895"/>
      <c r="AD3895" t="s">
        <v>5282</v>
      </c>
      <c r="AE3895"/>
      <c r="AF3895" t="s">
        <v>5283</v>
      </c>
      <c r="AG3895"/>
      <c r="AH3895" t="s">
        <v>72</v>
      </c>
      <c r="AI3895" t="s">
        <v>5277</v>
      </c>
      <c r="AJ3895">
        <v>1993</v>
      </c>
      <c r="AK3895" t="s">
        <v>5284</v>
      </c>
      <c r="AL3895"/>
      <c r="AM3895"/>
      <c r="AN3895" t="s">
        <v>114</v>
      </c>
      <c r="AO3895" t="s">
        <v>77</v>
      </c>
      <c r="AP3895" t="s">
        <v>359</v>
      </c>
      <c r="AQ3895"/>
      <c r="AR3895" t="s">
        <v>80</v>
      </c>
      <c r="AS3895">
        <v>616</v>
      </c>
      <c r="AT3895" t="s">
        <v>81</v>
      </c>
      <c r="AU3895">
        <v>101.27</v>
      </c>
      <c r="AV3895">
        <v>-20.61</v>
      </c>
      <c r="AW3895" t="s">
        <v>82</v>
      </c>
      <c r="AX3895">
        <v>616</v>
      </c>
      <c r="AY3895" t="s">
        <v>81</v>
      </c>
      <c r="AZ3895">
        <v>98.51</v>
      </c>
      <c r="BA3895">
        <v>-15.62</v>
      </c>
      <c r="BB3895" t="s">
        <v>83</v>
      </c>
    </row>
    <row r="3896" spans="1:54" s="3" customFormat="1" ht="15" customHeight="1" x14ac:dyDescent="0.4">
      <c r="A3896">
        <v>1420109</v>
      </c>
      <c r="B3896"/>
      <c r="C3896"/>
      <c r="D3896" t="s">
        <v>54</v>
      </c>
      <c r="E3896"/>
      <c r="F3896"/>
      <c r="G3896"/>
      <c r="H3896"/>
      <c r="I3896" t="s">
        <v>57</v>
      </c>
      <c r="J3896"/>
      <c r="K3896" t="s">
        <v>5314</v>
      </c>
      <c r="L3896" t="s">
        <v>5315</v>
      </c>
      <c r="M3896" t="s">
        <v>223</v>
      </c>
      <c r="N3896" t="s">
        <v>234</v>
      </c>
      <c r="O3896" t="s">
        <v>87</v>
      </c>
      <c r="P3896" t="s">
        <v>103</v>
      </c>
      <c r="Q3896"/>
      <c r="R3896" t="s">
        <v>104</v>
      </c>
      <c r="S3896" t="s">
        <v>64</v>
      </c>
      <c r="T3896">
        <v>251.2</v>
      </c>
      <c r="U3896">
        <v>246.7</v>
      </c>
      <c r="V3896">
        <f t="shared" si="120"/>
        <v>248.95</v>
      </c>
      <c r="W3896">
        <f t="shared" si="121"/>
        <v>4.5</v>
      </c>
      <c r="X3896">
        <v>16.299999</v>
      </c>
      <c r="Y3896">
        <v>78.339995999999999</v>
      </c>
      <c r="Z3896" t="s">
        <v>520</v>
      </c>
      <c r="AA3896" t="s">
        <v>4636</v>
      </c>
      <c r="AB3896"/>
      <c r="AC3896"/>
      <c r="AD3896" t="s">
        <v>5276</v>
      </c>
      <c r="AE3896" t="s">
        <v>5278</v>
      </c>
      <c r="AF3896"/>
      <c r="AG3896"/>
      <c r="AH3896" t="s">
        <v>72</v>
      </c>
      <c r="AI3896" t="s">
        <v>3132</v>
      </c>
      <c r="AJ3896">
        <v>2003</v>
      </c>
      <c r="AK3896" t="s">
        <v>5316</v>
      </c>
      <c r="AL3896"/>
      <c r="AM3896"/>
      <c r="AN3896" t="s">
        <v>192</v>
      </c>
      <c r="AO3896">
        <v>2</v>
      </c>
      <c r="AP3896" t="s">
        <v>78</v>
      </c>
      <c r="AQ3896"/>
      <c r="AR3896" t="s">
        <v>80</v>
      </c>
      <c r="AS3896">
        <v>309</v>
      </c>
      <c r="AT3896" t="s">
        <v>81</v>
      </c>
      <c r="AU3896">
        <v>21.67</v>
      </c>
      <c r="AV3896">
        <v>55.75</v>
      </c>
      <c r="AW3896" t="s">
        <v>82</v>
      </c>
      <c r="AX3896">
        <v>309</v>
      </c>
      <c r="AY3896" t="s">
        <v>81</v>
      </c>
      <c r="AZ3896">
        <v>9.49</v>
      </c>
      <c r="BA3896">
        <v>42.22</v>
      </c>
      <c r="BB3896" t="s">
        <v>83</v>
      </c>
    </row>
    <row r="3897" spans="1:54" s="3" customFormat="1" ht="15" customHeight="1" x14ac:dyDescent="0.4">
      <c r="A3897">
        <v>1420150</v>
      </c>
      <c r="B3897"/>
      <c r="C3897"/>
      <c r="D3897" t="s">
        <v>54</v>
      </c>
      <c r="E3897"/>
      <c r="F3897"/>
      <c r="G3897"/>
      <c r="H3897"/>
      <c r="I3897" t="s">
        <v>57</v>
      </c>
      <c r="J3897"/>
      <c r="K3897" t="s">
        <v>141</v>
      </c>
      <c r="L3897" t="s">
        <v>5317</v>
      </c>
      <c r="M3897" t="s">
        <v>223</v>
      </c>
      <c r="N3897" t="s">
        <v>234</v>
      </c>
      <c r="O3897" t="s">
        <v>87</v>
      </c>
      <c r="P3897" t="s">
        <v>103</v>
      </c>
      <c r="Q3897"/>
      <c r="R3897" t="s">
        <v>104</v>
      </c>
      <c r="S3897" t="s">
        <v>64</v>
      </c>
      <c r="T3897">
        <v>251.2</v>
      </c>
      <c r="U3897">
        <v>246.7</v>
      </c>
      <c r="V3897">
        <f t="shared" si="120"/>
        <v>248.95</v>
      </c>
      <c r="W3897">
        <f t="shared" si="121"/>
        <v>4.5</v>
      </c>
      <c r="X3897">
        <v>15.895277999999999</v>
      </c>
      <c r="Y3897">
        <v>78.335830999999999</v>
      </c>
      <c r="Z3897" t="s">
        <v>520</v>
      </c>
      <c r="AA3897" t="s">
        <v>4636</v>
      </c>
      <c r="AB3897"/>
      <c r="AC3897"/>
      <c r="AD3897" t="s">
        <v>569</v>
      </c>
      <c r="AE3897"/>
      <c r="AF3897" t="s">
        <v>570</v>
      </c>
      <c r="AG3897"/>
      <c r="AH3897" t="s">
        <v>72</v>
      </c>
      <c r="AI3897" t="s">
        <v>4389</v>
      </c>
      <c r="AJ3897">
        <v>1999</v>
      </c>
      <c r="AK3897" t="s">
        <v>5318</v>
      </c>
      <c r="AL3897"/>
      <c r="AM3897"/>
      <c r="AN3897" t="s">
        <v>114</v>
      </c>
      <c r="AO3897" t="s">
        <v>77</v>
      </c>
      <c r="AP3897" t="s">
        <v>115</v>
      </c>
      <c r="AQ3897" t="s">
        <v>5319</v>
      </c>
      <c r="AR3897" t="s">
        <v>80</v>
      </c>
      <c r="AS3897">
        <v>309</v>
      </c>
      <c r="AT3897" t="s">
        <v>81</v>
      </c>
      <c r="AU3897">
        <v>21.54</v>
      </c>
      <c r="AV3897">
        <v>55.71</v>
      </c>
      <c r="AW3897" t="s">
        <v>82</v>
      </c>
      <c r="AX3897">
        <v>309</v>
      </c>
      <c r="AY3897" t="s">
        <v>81</v>
      </c>
      <c r="AZ3897">
        <v>9.4</v>
      </c>
      <c r="BA3897">
        <v>42.17</v>
      </c>
      <c r="BB3897" t="s">
        <v>83</v>
      </c>
    </row>
    <row r="3898" spans="1:54" s="3" customFormat="1" ht="15" customHeight="1" x14ac:dyDescent="0.4">
      <c r="A3898">
        <v>1420151</v>
      </c>
      <c r="B3898"/>
      <c r="C3898"/>
      <c r="D3898" t="s">
        <v>54</v>
      </c>
      <c r="E3898"/>
      <c r="F3898"/>
      <c r="G3898"/>
      <c r="H3898"/>
      <c r="I3898" t="s">
        <v>57</v>
      </c>
      <c r="J3898"/>
      <c r="K3898" t="s">
        <v>5285</v>
      </c>
      <c r="L3898" t="s">
        <v>5320</v>
      </c>
      <c r="M3898" t="s">
        <v>223</v>
      </c>
      <c r="N3898" t="s">
        <v>234</v>
      </c>
      <c r="O3898" t="s">
        <v>87</v>
      </c>
      <c r="P3898" t="s">
        <v>103</v>
      </c>
      <c r="Q3898"/>
      <c r="R3898" t="s">
        <v>104</v>
      </c>
      <c r="S3898" t="s">
        <v>64</v>
      </c>
      <c r="T3898">
        <v>251.2</v>
      </c>
      <c r="U3898">
        <v>246.7</v>
      </c>
      <c r="V3898">
        <f t="shared" si="120"/>
        <v>248.95</v>
      </c>
      <c r="W3898">
        <f t="shared" si="121"/>
        <v>4.5</v>
      </c>
      <c r="X3898">
        <v>15.383333</v>
      </c>
      <c r="Y3898">
        <v>78.583336000000003</v>
      </c>
      <c r="Z3898" t="s">
        <v>520</v>
      </c>
      <c r="AA3898" t="s">
        <v>4636</v>
      </c>
      <c r="AB3898"/>
      <c r="AC3898"/>
      <c r="AD3898" t="s">
        <v>5276</v>
      </c>
      <c r="AE3898"/>
      <c r="AF3898"/>
      <c r="AG3898"/>
      <c r="AH3898" t="s">
        <v>72</v>
      </c>
      <c r="AI3898" t="s">
        <v>3132</v>
      </c>
      <c r="AJ3898">
        <v>2002</v>
      </c>
      <c r="AK3898" t="s">
        <v>5321</v>
      </c>
      <c r="AL3898"/>
      <c r="AM3898"/>
      <c r="AN3898" t="s">
        <v>114</v>
      </c>
      <c r="AO3898" t="s">
        <v>160</v>
      </c>
      <c r="AP3898" t="s">
        <v>359</v>
      </c>
      <c r="AQ3898" t="s">
        <v>5322</v>
      </c>
      <c r="AR3898" t="s">
        <v>80</v>
      </c>
      <c r="AS3898">
        <v>309</v>
      </c>
      <c r="AT3898" t="s">
        <v>81</v>
      </c>
      <c r="AU3898">
        <v>21.2</v>
      </c>
      <c r="AV3898">
        <v>55.9</v>
      </c>
      <c r="AW3898" t="s">
        <v>82</v>
      </c>
      <c r="AX3898">
        <v>309</v>
      </c>
      <c r="AY3898" t="s">
        <v>81</v>
      </c>
      <c r="AZ3898">
        <v>9.1</v>
      </c>
      <c r="BA3898">
        <v>42.33</v>
      </c>
      <c r="BB3898" t="s">
        <v>83</v>
      </c>
    </row>
    <row r="3899" spans="1:54" s="3" customFormat="1" ht="15" customHeight="1" x14ac:dyDescent="0.4">
      <c r="A3899">
        <v>1420184</v>
      </c>
      <c r="B3899"/>
      <c r="C3899"/>
      <c r="D3899" t="s">
        <v>54</v>
      </c>
      <c r="E3899"/>
      <c r="F3899"/>
      <c r="G3899"/>
      <c r="H3899"/>
      <c r="I3899" t="s">
        <v>57</v>
      </c>
      <c r="J3899"/>
      <c r="K3899" t="s">
        <v>5285</v>
      </c>
      <c r="L3899" t="s">
        <v>5286</v>
      </c>
      <c r="M3899" t="s">
        <v>223</v>
      </c>
      <c r="N3899" t="s">
        <v>234</v>
      </c>
      <c r="O3899" t="s">
        <v>87</v>
      </c>
      <c r="P3899" t="s">
        <v>103</v>
      </c>
      <c r="Q3899"/>
      <c r="R3899" t="s">
        <v>104</v>
      </c>
      <c r="S3899" t="s">
        <v>64</v>
      </c>
      <c r="T3899">
        <v>251.2</v>
      </c>
      <c r="U3899">
        <v>246.7</v>
      </c>
      <c r="V3899">
        <f t="shared" si="120"/>
        <v>248.95</v>
      </c>
      <c r="W3899">
        <f t="shared" si="121"/>
        <v>4.5</v>
      </c>
      <c r="X3899">
        <v>15.895277999999999</v>
      </c>
      <c r="Y3899">
        <v>78.335830999999999</v>
      </c>
      <c r="Z3899" t="s">
        <v>520</v>
      </c>
      <c r="AA3899" t="s">
        <v>4636</v>
      </c>
      <c r="AB3899"/>
      <c r="AC3899"/>
      <c r="AD3899" t="s">
        <v>569</v>
      </c>
      <c r="AE3899"/>
      <c r="AF3899" t="s">
        <v>570</v>
      </c>
      <c r="AG3899"/>
      <c r="AH3899" t="s">
        <v>72</v>
      </c>
      <c r="AI3899" t="s">
        <v>4189</v>
      </c>
      <c r="AJ3899">
        <v>2010</v>
      </c>
      <c r="AK3899" t="s">
        <v>5318</v>
      </c>
      <c r="AL3899"/>
      <c r="AM3899"/>
      <c r="AN3899" t="s">
        <v>114</v>
      </c>
      <c r="AO3899" t="s">
        <v>77</v>
      </c>
      <c r="AP3899" t="s">
        <v>115</v>
      </c>
      <c r="AQ3899" t="s">
        <v>5319</v>
      </c>
      <c r="AR3899" t="s">
        <v>80</v>
      </c>
      <c r="AS3899">
        <v>309</v>
      </c>
      <c r="AT3899" t="s">
        <v>81</v>
      </c>
      <c r="AU3899">
        <v>21.54</v>
      </c>
      <c r="AV3899">
        <v>55.71</v>
      </c>
      <c r="AW3899" t="s">
        <v>82</v>
      </c>
      <c r="AX3899">
        <v>309</v>
      </c>
      <c r="AY3899" t="s">
        <v>81</v>
      </c>
      <c r="AZ3899">
        <v>9.4</v>
      </c>
      <c r="BA3899">
        <v>42.17</v>
      </c>
      <c r="BB3899" t="s">
        <v>83</v>
      </c>
    </row>
    <row r="3900" spans="1:54" s="3" customFormat="1" ht="15" customHeight="1" x14ac:dyDescent="0.4">
      <c r="A3900">
        <v>1529048</v>
      </c>
      <c r="B3900"/>
      <c r="C3900"/>
      <c r="D3900" t="s">
        <v>54</v>
      </c>
      <c r="E3900"/>
      <c r="F3900"/>
      <c r="G3900"/>
      <c r="H3900"/>
      <c r="I3900" t="s">
        <v>57</v>
      </c>
      <c r="J3900"/>
      <c r="K3900" t="s">
        <v>556</v>
      </c>
      <c r="L3900" t="s">
        <v>557</v>
      </c>
      <c r="M3900" t="s">
        <v>223</v>
      </c>
      <c r="N3900" t="s">
        <v>234</v>
      </c>
      <c r="O3900" t="s">
        <v>87</v>
      </c>
      <c r="P3900" t="s">
        <v>103</v>
      </c>
      <c r="Q3900"/>
      <c r="R3900" t="s">
        <v>104</v>
      </c>
      <c r="S3900" t="s">
        <v>64</v>
      </c>
      <c r="T3900">
        <v>251.2</v>
      </c>
      <c r="U3900">
        <v>246.7</v>
      </c>
      <c r="V3900">
        <f t="shared" si="120"/>
        <v>248.95</v>
      </c>
      <c r="W3900">
        <f t="shared" si="121"/>
        <v>4.5</v>
      </c>
      <c r="X3900">
        <v>16.601199999999999</v>
      </c>
      <c r="Y3900">
        <v>78.305199000000002</v>
      </c>
      <c r="Z3900" t="s">
        <v>1890</v>
      </c>
      <c r="AA3900" t="s">
        <v>4636</v>
      </c>
      <c r="AB3900"/>
      <c r="AC3900"/>
      <c r="AD3900" t="s">
        <v>569</v>
      </c>
      <c r="AE3900"/>
      <c r="AF3900" t="s">
        <v>570</v>
      </c>
      <c r="AG3900"/>
      <c r="AH3900" t="s">
        <v>11</v>
      </c>
      <c r="AI3900" t="s">
        <v>5493</v>
      </c>
      <c r="AJ3900">
        <v>2018</v>
      </c>
      <c r="AK3900" t="s">
        <v>5494</v>
      </c>
      <c r="AL3900"/>
      <c r="AM3900"/>
      <c r="AN3900" t="s">
        <v>76</v>
      </c>
      <c r="AO3900">
        <v>4</v>
      </c>
      <c r="AP3900" t="s">
        <v>78</v>
      </c>
      <c r="AQ3900" t="s">
        <v>5495</v>
      </c>
      <c r="AR3900" t="s">
        <v>80</v>
      </c>
      <c r="AS3900">
        <v>309</v>
      </c>
      <c r="AT3900" t="s">
        <v>81</v>
      </c>
      <c r="AU3900">
        <v>21.79</v>
      </c>
      <c r="AV3900">
        <v>55.74</v>
      </c>
      <c r="AW3900" t="s">
        <v>82</v>
      </c>
      <c r="AX3900">
        <v>309</v>
      </c>
      <c r="AY3900" t="s">
        <v>81</v>
      </c>
      <c r="AZ3900">
        <v>9.58</v>
      </c>
      <c r="BA3900">
        <v>42.22</v>
      </c>
      <c r="BB3900" t="s">
        <v>83</v>
      </c>
    </row>
    <row r="3901" spans="1:54" s="3" customFormat="1" ht="15" customHeight="1" x14ac:dyDescent="0.4">
      <c r="A3901">
        <v>1605531</v>
      </c>
      <c r="B3901"/>
      <c r="C3901"/>
      <c r="D3901" t="s">
        <v>54</v>
      </c>
      <c r="E3901"/>
      <c r="F3901"/>
      <c r="G3901">
        <v>1</v>
      </c>
      <c r="H3901" t="s">
        <v>84</v>
      </c>
      <c r="I3901" t="s">
        <v>57</v>
      </c>
      <c r="J3901"/>
      <c r="K3901" t="s">
        <v>141</v>
      </c>
      <c r="L3901" t="s">
        <v>5617</v>
      </c>
      <c r="M3901" t="s">
        <v>60</v>
      </c>
      <c r="N3901"/>
      <c r="O3901"/>
      <c r="P3901" t="s">
        <v>103</v>
      </c>
      <c r="Q3901"/>
      <c r="R3901" t="s">
        <v>104</v>
      </c>
      <c r="S3901" t="s">
        <v>64</v>
      </c>
      <c r="T3901">
        <v>251.2</v>
      </c>
      <c r="U3901">
        <v>246.7</v>
      </c>
      <c r="V3901">
        <f t="shared" si="120"/>
        <v>248.95</v>
      </c>
      <c r="W3901">
        <f t="shared" si="121"/>
        <v>4.5</v>
      </c>
      <c r="X3901">
        <v>105.304298</v>
      </c>
      <c r="Y3901">
        <v>24.662983000000001</v>
      </c>
      <c r="Z3901" t="s">
        <v>520</v>
      </c>
      <c r="AA3901" t="s">
        <v>379</v>
      </c>
      <c r="AB3901" t="s">
        <v>3333</v>
      </c>
      <c r="AC3901"/>
      <c r="AD3901" t="s">
        <v>5618</v>
      </c>
      <c r="AE3901"/>
      <c r="AF3901"/>
      <c r="AG3901"/>
      <c r="AH3901" t="s">
        <v>72</v>
      </c>
      <c r="AI3901" t="s">
        <v>5619</v>
      </c>
      <c r="AJ3901">
        <v>2022</v>
      </c>
      <c r="AK3901" t="s">
        <v>5620</v>
      </c>
      <c r="AL3901"/>
      <c r="AM3901"/>
      <c r="AN3901" t="s">
        <v>192</v>
      </c>
      <c r="AO3901">
        <v>6</v>
      </c>
      <c r="AP3901"/>
      <c r="AQ3901" t="s">
        <v>5621</v>
      </c>
      <c r="AR3901" t="s">
        <v>80</v>
      </c>
      <c r="AS3901">
        <v>611</v>
      </c>
      <c r="AT3901" t="s">
        <v>81</v>
      </c>
      <c r="AU3901">
        <v>106.96</v>
      </c>
      <c r="AV3901">
        <v>-13.68</v>
      </c>
      <c r="AW3901" t="s">
        <v>82</v>
      </c>
      <c r="AX3901">
        <v>611</v>
      </c>
      <c r="AY3901" t="s">
        <v>81</v>
      </c>
      <c r="AZ3901">
        <v>97.05</v>
      </c>
      <c r="BA3901">
        <v>7.15</v>
      </c>
      <c r="BB3901" t="s">
        <v>83</v>
      </c>
    </row>
    <row r="3902" spans="1:54" s="3" customFormat="1" ht="15" customHeight="1" x14ac:dyDescent="0.4">
      <c r="A3902">
        <v>1632821</v>
      </c>
      <c r="B3902"/>
      <c r="C3902"/>
      <c r="D3902" t="s">
        <v>2001</v>
      </c>
      <c r="E3902" t="s">
        <v>55</v>
      </c>
      <c r="F3902"/>
      <c r="G3902">
        <v>1</v>
      </c>
      <c r="H3902" t="s">
        <v>56</v>
      </c>
      <c r="I3902" t="s">
        <v>57</v>
      </c>
      <c r="J3902"/>
      <c r="K3902" t="s">
        <v>3861</v>
      </c>
      <c r="L3902" t="s">
        <v>5656</v>
      </c>
      <c r="M3902" t="s">
        <v>60</v>
      </c>
      <c r="N3902"/>
      <c r="O3902"/>
      <c r="P3902" t="s">
        <v>103</v>
      </c>
      <c r="Q3902"/>
      <c r="R3902" t="s">
        <v>104</v>
      </c>
      <c r="S3902" t="s">
        <v>64</v>
      </c>
      <c r="T3902">
        <v>251.2</v>
      </c>
      <c r="U3902">
        <v>246.7</v>
      </c>
      <c r="V3902">
        <f t="shared" si="120"/>
        <v>248.95</v>
      </c>
      <c r="W3902">
        <f t="shared" si="121"/>
        <v>4.5</v>
      </c>
      <c r="X3902">
        <v>111.640556</v>
      </c>
      <c r="Y3902">
        <v>31.060832999999999</v>
      </c>
      <c r="Z3902" t="s">
        <v>1415</v>
      </c>
      <c r="AA3902" t="s">
        <v>379</v>
      </c>
      <c r="AB3902" t="s">
        <v>3239</v>
      </c>
      <c r="AC3902" t="s">
        <v>3432</v>
      </c>
      <c r="AD3902" t="s">
        <v>3339</v>
      </c>
      <c r="AE3902"/>
      <c r="AF3902" t="s">
        <v>3433</v>
      </c>
      <c r="AG3902"/>
      <c r="AH3902" t="s">
        <v>72</v>
      </c>
      <c r="AI3902" t="s">
        <v>5657</v>
      </c>
      <c r="AJ3902">
        <v>2023</v>
      </c>
      <c r="AK3902" t="s">
        <v>5658</v>
      </c>
      <c r="AL3902"/>
      <c r="AM3902"/>
      <c r="AN3902" t="s">
        <v>114</v>
      </c>
      <c r="AO3902" t="s">
        <v>77</v>
      </c>
      <c r="AP3902"/>
      <c r="AQ3902" t="s">
        <v>5659</v>
      </c>
      <c r="AR3902" t="s">
        <v>80</v>
      </c>
      <c r="AS3902">
        <v>611</v>
      </c>
      <c r="AT3902" t="s">
        <v>81</v>
      </c>
      <c r="AU3902">
        <v>111.81</v>
      </c>
      <c r="AV3902">
        <v>-6.65</v>
      </c>
      <c r="AW3902" t="s">
        <v>82</v>
      </c>
      <c r="AX3902">
        <v>611</v>
      </c>
      <c r="AY3902" t="s">
        <v>81</v>
      </c>
      <c r="AZ3902">
        <v>97.94</v>
      </c>
      <c r="BA3902">
        <v>15.6</v>
      </c>
      <c r="BB3902" t="s">
        <v>83</v>
      </c>
    </row>
    <row r="3903" spans="1:54" s="3" customFormat="1" ht="15" customHeight="1" x14ac:dyDescent="0.4">
      <c r="A3903">
        <v>806205</v>
      </c>
      <c r="B3903"/>
      <c r="C3903"/>
      <c r="D3903" t="s">
        <v>54</v>
      </c>
      <c r="E3903" t="s">
        <v>310</v>
      </c>
      <c r="F3903" t="s">
        <v>258</v>
      </c>
      <c r="G3903">
        <v>1</v>
      </c>
      <c r="H3903" t="s">
        <v>56</v>
      </c>
      <c r="I3903" t="s">
        <v>57</v>
      </c>
      <c r="J3903"/>
      <c r="K3903" t="s">
        <v>141</v>
      </c>
      <c r="L3903" t="s">
        <v>2159</v>
      </c>
      <c r="M3903" t="s">
        <v>60</v>
      </c>
      <c r="N3903"/>
      <c r="O3903" t="s">
        <v>87</v>
      </c>
      <c r="P3903" t="s">
        <v>224</v>
      </c>
      <c r="Q3903"/>
      <c r="R3903" t="s">
        <v>183</v>
      </c>
      <c r="S3903" t="s">
        <v>64</v>
      </c>
      <c r="T3903">
        <v>246.7</v>
      </c>
      <c r="U3903">
        <v>243.8</v>
      </c>
      <c r="V3903">
        <f t="shared" si="120"/>
        <v>245.25</v>
      </c>
      <c r="W3903">
        <f t="shared" si="121"/>
        <v>2.8999999999999773</v>
      </c>
      <c r="X3903">
        <v>104.47139</v>
      </c>
      <c r="Y3903">
        <v>25.700001</v>
      </c>
      <c r="Z3903" t="s">
        <v>1415</v>
      </c>
      <c r="AA3903" t="s">
        <v>379</v>
      </c>
      <c r="AB3903" t="s">
        <v>682</v>
      </c>
      <c r="AC3903" t="s">
        <v>2160</v>
      </c>
      <c r="AD3903" t="s">
        <v>2161</v>
      </c>
      <c r="AE3903"/>
      <c r="AF3903"/>
      <c r="AG3903"/>
      <c r="AH3903" t="s">
        <v>72</v>
      </c>
      <c r="AI3903" t="s">
        <v>1810</v>
      </c>
      <c r="AJ3903">
        <v>2006</v>
      </c>
      <c r="AK3903" t="s">
        <v>2162</v>
      </c>
      <c r="AL3903"/>
      <c r="AM3903" t="s">
        <v>2163</v>
      </c>
      <c r="AN3903" t="s">
        <v>114</v>
      </c>
      <c r="AO3903" t="s">
        <v>160</v>
      </c>
      <c r="AP3903" t="s">
        <v>78</v>
      </c>
      <c r="AQ3903" t="s">
        <v>2164</v>
      </c>
      <c r="AR3903" t="s">
        <v>80</v>
      </c>
      <c r="AS3903">
        <v>611</v>
      </c>
      <c r="AT3903" t="s">
        <v>81</v>
      </c>
      <c r="AU3903">
        <v>106.94</v>
      </c>
      <c r="AV3903">
        <v>-10.43</v>
      </c>
      <c r="AW3903" t="s">
        <v>82</v>
      </c>
      <c r="AX3903">
        <v>611</v>
      </c>
      <c r="AY3903" t="s">
        <v>81</v>
      </c>
      <c r="AZ3903">
        <v>94.86</v>
      </c>
      <c r="BA3903">
        <v>11.55</v>
      </c>
      <c r="BB3903" t="s">
        <v>83</v>
      </c>
    </row>
    <row r="3904" spans="1:54" s="3" customFormat="1" ht="15" customHeight="1" x14ac:dyDescent="0.4">
      <c r="A3904">
        <v>806205</v>
      </c>
      <c r="B3904"/>
      <c r="C3904"/>
      <c r="D3904" t="s">
        <v>54</v>
      </c>
      <c r="E3904" t="s">
        <v>310</v>
      </c>
      <c r="F3904" t="s">
        <v>258</v>
      </c>
      <c r="G3904">
        <v>1</v>
      </c>
      <c r="H3904" t="s">
        <v>56</v>
      </c>
      <c r="I3904" t="s">
        <v>57</v>
      </c>
      <c r="J3904"/>
      <c r="K3904" t="s">
        <v>141</v>
      </c>
      <c r="L3904" t="s">
        <v>2159</v>
      </c>
      <c r="M3904" t="s">
        <v>60</v>
      </c>
      <c r="N3904"/>
      <c r="O3904" t="s">
        <v>87</v>
      </c>
      <c r="P3904" t="s">
        <v>224</v>
      </c>
      <c r="Q3904"/>
      <c r="R3904" t="s">
        <v>183</v>
      </c>
      <c r="S3904" t="s">
        <v>64</v>
      </c>
      <c r="T3904">
        <v>246.7</v>
      </c>
      <c r="U3904">
        <v>243.8</v>
      </c>
      <c r="V3904">
        <f t="shared" si="120"/>
        <v>245.25</v>
      </c>
      <c r="W3904">
        <f t="shared" si="121"/>
        <v>2.8999999999999773</v>
      </c>
      <c r="X3904">
        <v>104.47139</v>
      </c>
      <c r="Y3904">
        <v>25.700001</v>
      </c>
      <c r="Z3904" t="s">
        <v>1415</v>
      </c>
      <c r="AA3904" t="s">
        <v>379</v>
      </c>
      <c r="AB3904" t="s">
        <v>682</v>
      </c>
      <c r="AC3904" t="s">
        <v>2160</v>
      </c>
      <c r="AD3904" t="s">
        <v>2161</v>
      </c>
      <c r="AE3904"/>
      <c r="AF3904"/>
      <c r="AG3904"/>
      <c r="AH3904" t="s">
        <v>72</v>
      </c>
      <c r="AI3904" t="s">
        <v>1810</v>
      </c>
      <c r="AJ3904">
        <v>2006</v>
      </c>
      <c r="AK3904" t="s">
        <v>2162</v>
      </c>
      <c r="AL3904"/>
      <c r="AM3904" t="s">
        <v>2163</v>
      </c>
      <c r="AN3904" t="s">
        <v>114</v>
      </c>
      <c r="AO3904" t="s">
        <v>160</v>
      </c>
      <c r="AP3904" t="s">
        <v>78</v>
      </c>
      <c r="AQ3904" t="s">
        <v>2164</v>
      </c>
      <c r="AR3904" t="s">
        <v>80</v>
      </c>
      <c r="AS3904">
        <v>611</v>
      </c>
      <c r="AT3904" t="s">
        <v>81</v>
      </c>
      <c r="AU3904">
        <v>106.94</v>
      </c>
      <c r="AV3904">
        <v>-10.43</v>
      </c>
      <c r="AW3904" t="s">
        <v>82</v>
      </c>
      <c r="AX3904">
        <v>611</v>
      </c>
      <c r="AY3904" t="s">
        <v>81</v>
      </c>
      <c r="AZ3904">
        <v>94.86</v>
      </c>
      <c r="BA3904">
        <v>11.55</v>
      </c>
      <c r="BB3904" t="s">
        <v>83</v>
      </c>
    </row>
    <row r="3905" spans="1:54" s="3" customFormat="1" ht="15" customHeight="1" x14ac:dyDescent="0.4">
      <c r="A3905">
        <v>806205</v>
      </c>
      <c r="B3905"/>
      <c r="C3905"/>
      <c r="D3905" t="s">
        <v>54</v>
      </c>
      <c r="E3905" t="s">
        <v>310</v>
      </c>
      <c r="F3905" t="s">
        <v>258</v>
      </c>
      <c r="G3905">
        <v>1</v>
      </c>
      <c r="H3905" t="s">
        <v>56</v>
      </c>
      <c r="I3905" t="s">
        <v>57</v>
      </c>
      <c r="J3905"/>
      <c r="K3905" t="s">
        <v>141</v>
      </c>
      <c r="L3905" t="s">
        <v>2159</v>
      </c>
      <c r="M3905" t="s">
        <v>60</v>
      </c>
      <c r="N3905"/>
      <c r="O3905" t="s">
        <v>87</v>
      </c>
      <c r="P3905" t="s">
        <v>224</v>
      </c>
      <c r="Q3905"/>
      <c r="R3905" t="s">
        <v>183</v>
      </c>
      <c r="S3905" t="s">
        <v>64</v>
      </c>
      <c r="T3905">
        <v>246.7</v>
      </c>
      <c r="U3905">
        <v>243.8</v>
      </c>
      <c r="V3905">
        <f t="shared" si="120"/>
        <v>245.25</v>
      </c>
      <c r="W3905">
        <f t="shared" si="121"/>
        <v>2.8999999999999773</v>
      </c>
      <c r="X3905">
        <v>104.47139</v>
      </c>
      <c r="Y3905">
        <v>25.700001</v>
      </c>
      <c r="Z3905" t="s">
        <v>1415</v>
      </c>
      <c r="AA3905" t="s">
        <v>379</v>
      </c>
      <c r="AB3905" t="s">
        <v>682</v>
      </c>
      <c r="AC3905" t="s">
        <v>2160</v>
      </c>
      <c r="AD3905" t="s">
        <v>2161</v>
      </c>
      <c r="AE3905"/>
      <c r="AF3905"/>
      <c r="AG3905"/>
      <c r="AH3905" t="s">
        <v>72</v>
      </c>
      <c r="AI3905" t="s">
        <v>1810</v>
      </c>
      <c r="AJ3905">
        <v>2006</v>
      </c>
      <c r="AK3905" t="s">
        <v>2162</v>
      </c>
      <c r="AL3905"/>
      <c r="AM3905" t="s">
        <v>2163</v>
      </c>
      <c r="AN3905" t="s">
        <v>114</v>
      </c>
      <c r="AO3905" t="s">
        <v>160</v>
      </c>
      <c r="AP3905" t="s">
        <v>78</v>
      </c>
      <c r="AQ3905" t="s">
        <v>2164</v>
      </c>
      <c r="AR3905" t="s">
        <v>80</v>
      </c>
      <c r="AS3905">
        <v>611</v>
      </c>
      <c r="AT3905" t="s">
        <v>81</v>
      </c>
      <c r="AU3905">
        <v>106.94</v>
      </c>
      <c r="AV3905">
        <v>-10.43</v>
      </c>
      <c r="AW3905" t="s">
        <v>82</v>
      </c>
      <c r="AX3905">
        <v>611</v>
      </c>
      <c r="AY3905" t="s">
        <v>81</v>
      </c>
      <c r="AZ3905">
        <v>94.86</v>
      </c>
      <c r="BA3905">
        <v>11.55</v>
      </c>
      <c r="BB3905" t="s">
        <v>83</v>
      </c>
    </row>
    <row r="3906" spans="1:54" s="3" customFormat="1" ht="15" customHeight="1" x14ac:dyDescent="0.4">
      <c r="A3906">
        <v>895602</v>
      </c>
      <c r="B3906"/>
      <c r="C3906"/>
      <c r="D3906" t="s">
        <v>54</v>
      </c>
      <c r="E3906" t="s">
        <v>152</v>
      </c>
      <c r="F3906" t="s">
        <v>3389</v>
      </c>
      <c r="G3906">
        <v>4</v>
      </c>
      <c r="H3906" t="s">
        <v>84</v>
      </c>
      <c r="I3906" t="s">
        <v>57</v>
      </c>
      <c r="J3906"/>
      <c r="K3906" t="s">
        <v>1347</v>
      </c>
      <c r="L3906" t="s">
        <v>1348</v>
      </c>
      <c r="M3906" t="s">
        <v>223</v>
      </c>
      <c r="N3906" t="s">
        <v>485</v>
      </c>
      <c r="O3906" t="s">
        <v>1349</v>
      </c>
      <c r="P3906" t="s">
        <v>224</v>
      </c>
      <c r="Q3906"/>
      <c r="R3906" t="s">
        <v>183</v>
      </c>
      <c r="S3906" t="s">
        <v>64</v>
      </c>
      <c r="T3906">
        <v>246.7</v>
      </c>
      <c r="U3906">
        <v>243.8</v>
      </c>
      <c r="V3906">
        <f t="shared" si="120"/>
        <v>245.25</v>
      </c>
      <c r="W3906">
        <f t="shared" si="121"/>
        <v>2.8999999999999773</v>
      </c>
      <c r="X3906">
        <v>11.116667</v>
      </c>
      <c r="Y3906">
        <v>45.75</v>
      </c>
      <c r="Z3906" t="s">
        <v>3390</v>
      </c>
      <c r="AA3906" t="s">
        <v>593</v>
      </c>
      <c r="AB3906" t="s">
        <v>3391</v>
      </c>
      <c r="AC3906"/>
      <c r="AD3906" t="s">
        <v>3392</v>
      </c>
      <c r="AE3906"/>
      <c r="AF3906"/>
      <c r="AG3906" t="s">
        <v>3393</v>
      </c>
      <c r="AH3906" t="s">
        <v>72</v>
      </c>
      <c r="AI3906" t="s">
        <v>3394</v>
      </c>
      <c r="AJ3906">
        <v>2002</v>
      </c>
      <c r="AK3906" t="s">
        <v>3395</v>
      </c>
      <c r="AL3906"/>
      <c r="AM3906"/>
      <c r="AN3906" t="s">
        <v>341</v>
      </c>
      <c r="AO3906" t="s">
        <v>160</v>
      </c>
      <c r="AP3906" t="s">
        <v>78</v>
      </c>
      <c r="AQ3906" t="s">
        <v>3396</v>
      </c>
      <c r="AR3906" t="s">
        <v>80</v>
      </c>
      <c r="AS3906">
        <v>307</v>
      </c>
      <c r="AT3906" t="s">
        <v>81</v>
      </c>
      <c r="AU3906">
        <v>34.81</v>
      </c>
      <c r="AV3906">
        <v>15.26</v>
      </c>
      <c r="AW3906" t="s">
        <v>82</v>
      </c>
      <c r="AX3906">
        <v>307</v>
      </c>
      <c r="AY3906" t="s">
        <v>81</v>
      </c>
      <c r="AZ3906">
        <v>23.14</v>
      </c>
      <c r="BA3906">
        <v>6.11</v>
      </c>
      <c r="BB3906" t="s">
        <v>83</v>
      </c>
    </row>
    <row r="3907" spans="1:54" s="3" customFormat="1" ht="15" customHeight="1" x14ac:dyDescent="0.4">
      <c r="A3907">
        <v>895605</v>
      </c>
      <c r="B3907"/>
      <c r="C3907"/>
      <c r="D3907" t="s">
        <v>54</v>
      </c>
      <c r="E3907" t="s">
        <v>152</v>
      </c>
      <c r="F3907" t="s">
        <v>3389</v>
      </c>
      <c r="G3907">
        <v>1</v>
      </c>
      <c r="H3907" t="s">
        <v>84</v>
      </c>
      <c r="I3907" t="s">
        <v>57</v>
      </c>
      <c r="J3907"/>
      <c r="K3907" t="s">
        <v>771</v>
      </c>
      <c r="L3907" t="s">
        <v>772</v>
      </c>
      <c r="M3907" t="s">
        <v>223</v>
      </c>
      <c r="N3907"/>
      <c r="O3907"/>
      <c r="P3907" t="s">
        <v>224</v>
      </c>
      <c r="Q3907"/>
      <c r="R3907" t="s">
        <v>183</v>
      </c>
      <c r="S3907" t="s">
        <v>64</v>
      </c>
      <c r="T3907">
        <v>246.7</v>
      </c>
      <c r="U3907">
        <v>243.8</v>
      </c>
      <c r="V3907">
        <f t="shared" ref="V3907:V3970" si="122">(T3907+U3907)/2</f>
        <v>245.25</v>
      </c>
      <c r="W3907">
        <f t="shared" ref="W3907:W3970" si="123">T3907-U3907</f>
        <v>2.8999999999999773</v>
      </c>
      <c r="X3907">
        <v>11.116667</v>
      </c>
      <c r="Y3907">
        <v>45.75</v>
      </c>
      <c r="Z3907" t="s">
        <v>3390</v>
      </c>
      <c r="AA3907" t="s">
        <v>593</v>
      </c>
      <c r="AB3907" t="s">
        <v>3391</v>
      </c>
      <c r="AC3907"/>
      <c r="AD3907" t="s">
        <v>3392</v>
      </c>
      <c r="AE3907"/>
      <c r="AF3907"/>
      <c r="AG3907" t="s">
        <v>3393</v>
      </c>
      <c r="AH3907" t="s">
        <v>11</v>
      </c>
      <c r="AI3907" t="s">
        <v>3394</v>
      </c>
      <c r="AJ3907">
        <v>2002</v>
      </c>
      <c r="AK3907" t="s">
        <v>3395</v>
      </c>
      <c r="AL3907"/>
      <c r="AM3907"/>
      <c r="AN3907" t="s">
        <v>341</v>
      </c>
      <c r="AO3907" t="s">
        <v>160</v>
      </c>
      <c r="AP3907" t="s">
        <v>78</v>
      </c>
      <c r="AQ3907" t="s">
        <v>3396</v>
      </c>
      <c r="AR3907" t="s">
        <v>80</v>
      </c>
      <c r="AS3907">
        <v>307</v>
      </c>
      <c r="AT3907" t="s">
        <v>81</v>
      </c>
      <c r="AU3907">
        <v>34.81</v>
      </c>
      <c r="AV3907">
        <v>15.26</v>
      </c>
      <c r="AW3907" t="s">
        <v>82</v>
      </c>
      <c r="AX3907">
        <v>307</v>
      </c>
      <c r="AY3907" t="s">
        <v>81</v>
      </c>
      <c r="AZ3907">
        <v>23.14</v>
      </c>
      <c r="BA3907">
        <v>6.11</v>
      </c>
      <c r="BB3907" t="s">
        <v>83</v>
      </c>
    </row>
    <row r="3908" spans="1:54" s="3" customFormat="1" ht="15" customHeight="1" x14ac:dyDescent="0.4">
      <c r="A3908">
        <v>899762</v>
      </c>
      <c r="B3908"/>
      <c r="C3908"/>
      <c r="D3908" t="s">
        <v>54</v>
      </c>
      <c r="E3908"/>
      <c r="F3908"/>
      <c r="G3908"/>
      <c r="H3908"/>
      <c r="I3908" t="s">
        <v>57</v>
      </c>
      <c r="J3908"/>
      <c r="K3908" t="s">
        <v>232</v>
      </c>
      <c r="L3908" t="s">
        <v>3436</v>
      </c>
      <c r="M3908" t="s">
        <v>223</v>
      </c>
      <c r="N3908" t="s">
        <v>234</v>
      </c>
      <c r="O3908" t="s">
        <v>87</v>
      </c>
      <c r="P3908" t="s">
        <v>224</v>
      </c>
      <c r="Q3908"/>
      <c r="R3908" t="s">
        <v>183</v>
      </c>
      <c r="S3908" t="s">
        <v>64</v>
      </c>
      <c r="T3908">
        <v>246.7</v>
      </c>
      <c r="U3908">
        <v>243.8</v>
      </c>
      <c r="V3908">
        <f t="shared" si="122"/>
        <v>245.25</v>
      </c>
      <c r="W3908">
        <f t="shared" si="123"/>
        <v>2.8999999999999773</v>
      </c>
      <c r="X3908">
        <v>104.905556</v>
      </c>
      <c r="Y3908">
        <v>25.518888</v>
      </c>
      <c r="Z3908" t="s">
        <v>1596</v>
      </c>
      <c r="AA3908" t="s">
        <v>379</v>
      </c>
      <c r="AB3908" t="s">
        <v>682</v>
      </c>
      <c r="AC3908" t="s">
        <v>2160</v>
      </c>
      <c r="AD3908"/>
      <c r="AE3908"/>
      <c r="AF3908"/>
      <c r="AG3908" t="s">
        <v>3440</v>
      </c>
      <c r="AH3908" t="s">
        <v>72</v>
      </c>
      <c r="AI3908" t="s">
        <v>659</v>
      </c>
      <c r="AJ3908">
        <v>2008</v>
      </c>
      <c r="AK3908" t="s">
        <v>3441</v>
      </c>
      <c r="AL3908"/>
      <c r="AM3908"/>
      <c r="AN3908" t="s">
        <v>76</v>
      </c>
      <c r="AO3908" t="s">
        <v>77</v>
      </c>
      <c r="AP3908" t="s">
        <v>78</v>
      </c>
      <c r="AQ3908" t="s">
        <v>3438</v>
      </c>
      <c r="AR3908" t="s">
        <v>80</v>
      </c>
      <c r="AS3908">
        <v>611</v>
      </c>
      <c r="AT3908" t="s">
        <v>81</v>
      </c>
      <c r="AU3908">
        <v>107.34</v>
      </c>
      <c r="AV3908">
        <v>-10.6</v>
      </c>
      <c r="AW3908" t="s">
        <v>82</v>
      </c>
      <c r="AX3908">
        <v>611</v>
      </c>
      <c r="AY3908" t="s">
        <v>81</v>
      </c>
      <c r="AZ3908">
        <v>95.3</v>
      </c>
      <c r="BA3908">
        <v>11.61</v>
      </c>
      <c r="BB3908" t="s">
        <v>83</v>
      </c>
    </row>
    <row r="3909" spans="1:54" s="3" customFormat="1" ht="15" customHeight="1" x14ac:dyDescent="0.4">
      <c r="A3909">
        <v>899772</v>
      </c>
      <c r="B3909"/>
      <c r="C3909"/>
      <c r="D3909" t="s">
        <v>54</v>
      </c>
      <c r="E3909"/>
      <c r="F3909"/>
      <c r="G3909"/>
      <c r="H3909"/>
      <c r="I3909" t="s">
        <v>57</v>
      </c>
      <c r="J3909"/>
      <c r="K3909" t="s">
        <v>232</v>
      </c>
      <c r="L3909" t="s">
        <v>3436</v>
      </c>
      <c r="M3909" t="s">
        <v>223</v>
      </c>
      <c r="N3909" t="s">
        <v>234</v>
      </c>
      <c r="O3909" t="s">
        <v>87</v>
      </c>
      <c r="P3909" t="s">
        <v>224</v>
      </c>
      <c r="Q3909"/>
      <c r="R3909" t="s">
        <v>183</v>
      </c>
      <c r="S3909" t="s">
        <v>64</v>
      </c>
      <c r="T3909">
        <v>246.7</v>
      </c>
      <c r="U3909">
        <v>243.8</v>
      </c>
      <c r="V3909">
        <f t="shared" si="122"/>
        <v>245.25</v>
      </c>
      <c r="W3909">
        <f t="shared" si="123"/>
        <v>2.8999999999999773</v>
      </c>
      <c r="X3909">
        <v>104.905556</v>
      </c>
      <c r="Y3909">
        <v>25.518888</v>
      </c>
      <c r="Z3909" t="s">
        <v>1596</v>
      </c>
      <c r="AA3909" t="s">
        <v>379</v>
      </c>
      <c r="AB3909" t="s">
        <v>682</v>
      </c>
      <c r="AC3909" t="s">
        <v>2160</v>
      </c>
      <c r="AD3909"/>
      <c r="AE3909"/>
      <c r="AF3909"/>
      <c r="AG3909"/>
      <c r="AH3909" t="s">
        <v>72</v>
      </c>
      <c r="AI3909" t="s">
        <v>659</v>
      </c>
      <c r="AJ3909">
        <v>2008</v>
      </c>
      <c r="AK3909" t="s">
        <v>3446</v>
      </c>
      <c r="AL3909"/>
      <c r="AM3909"/>
      <c r="AN3909" t="s">
        <v>76</v>
      </c>
      <c r="AO3909" t="s">
        <v>77</v>
      </c>
      <c r="AP3909" t="s">
        <v>78</v>
      </c>
      <c r="AQ3909" t="s">
        <v>3438</v>
      </c>
      <c r="AR3909" t="s">
        <v>80</v>
      </c>
      <c r="AS3909">
        <v>611</v>
      </c>
      <c r="AT3909" t="s">
        <v>81</v>
      </c>
      <c r="AU3909">
        <v>107.34</v>
      </c>
      <c r="AV3909">
        <v>-10.6</v>
      </c>
      <c r="AW3909" t="s">
        <v>82</v>
      </c>
      <c r="AX3909">
        <v>611</v>
      </c>
      <c r="AY3909" t="s">
        <v>81</v>
      </c>
      <c r="AZ3909">
        <v>95.3</v>
      </c>
      <c r="BA3909">
        <v>11.61</v>
      </c>
      <c r="BB3909" t="s">
        <v>83</v>
      </c>
    </row>
    <row r="3910" spans="1:54" s="3" customFormat="1" ht="15" customHeight="1" x14ac:dyDescent="0.4">
      <c r="A3910">
        <v>913706</v>
      </c>
      <c r="B3910"/>
      <c r="C3910"/>
      <c r="D3910" t="s">
        <v>54</v>
      </c>
      <c r="E3910" t="s">
        <v>310</v>
      </c>
      <c r="F3910"/>
      <c r="G3910">
        <v>1</v>
      </c>
      <c r="H3910" t="s">
        <v>56</v>
      </c>
      <c r="I3910" t="s">
        <v>57</v>
      </c>
      <c r="J3910"/>
      <c r="K3910" t="s">
        <v>556</v>
      </c>
      <c r="L3910" t="s">
        <v>3570</v>
      </c>
      <c r="M3910" t="s">
        <v>223</v>
      </c>
      <c r="N3910" t="s">
        <v>234</v>
      </c>
      <c r="O3910" t="s">
        <v>87</v>
      </c>
      <c r="P3910" t="s">
        <v>224</v>
      </c>
      <c r="Q3910"/>
      <c r="R3910" t="s">
        <v>183</v>
      </c>
      <c r="S3910" t="s">
        <v>64</v>
      </c>
      <c r="T3910">
        <v>246.7</v>
      </c>
      <c r="U3910">
        <v>243.8</v>
      </c>
      <c r="V3910">
        <f t="shared" si="122"/>
        <v>245.25</v>
      </c>
      <c r="W3910">
        <f t="shared" si="123"/>
        <v>2.8999999999999773</v>
      </c>
      <c r="X3910">
        <v>104.84889200000001</v>
      </c>
      <c r="Y3910">
        <v>25.475833999999999</v>
      </c>
      <c r="Z3910" t="s">
        <v>520</v>
      </c>
      <c r="AA3910" t="s">
        <v>379</v>
      </c>
      <c r="AB3910" t="s">
        <v>682</v>
      </c>
      <c r="AC3910" t="s">
        <v>2160</v>
      </c>
      <c r="AD3910" t="s">
        <v>2161</v>
      </c>
      <c r="AE3910"/>
      <c r="AF3910" t="s">
        <v>1188</v>
      </c>
      <c r="AG3910" t="s">
        <v>3440</v>
      </c>
      <c r="AH3910" t="s">
        <v>72</v>
      </c>
      <c r="AI3910" t="s">
        <v>3571</v>
      </c>
      <c r="AJ3910">
        <v>2008</v>
      </c>
      <c r="AK3910" t="s">
        <v>3572</v>
      </c>
      <c r="AL3910"/>
      <c r="AM3910"/>
      <c r="AN3910" t="s">
        <v>114</v>
      </c>
      <c r="AO3910" t="s">
        <v>77</v>
      </c>
      <c r="AP3910" t="s">
        <v>115</v>
      </c>
      <c r="AQ3910"/>
      <c r="AR3910" t="s">
        <v>80</v>
      </c>
      <c r="AS3910">
        <v>611</v>
      </c>
      <c r="AT3910" t="s">
        <v>81</v>
      </c>
      <c r="AU3910">
        <v>107.29</v>
      </c>
      <c r="AV3910">
        <v>-10.64</v>
      </c>
      <c r="AW3910" t="s">
        <v>82</v>
      </c>
      <c r="AX3910">
        <v>611</v>
      </c>
      <c r="AY3910" t="s">
        <v>81</v>
      </c>
      <c r="AZ3910">
        <v>95.28</v>
      </c>
      <c r="BA3910">
        <v>11.54</v>
      </c>
      <c r="BB3910" t="s">
        <v>83</v>
      </c>
    </row>
    <row r="3911" spans="1:54" s="3" customFormat="1" ht="15" customHeight="1" x14ac:dyDescent="0.4">
      <c r="A3911">
        <v>915088</v>
      </c>
      <c r="B3911"/>
      <c r="C3911"/>
      <c r="D3911" t="s">
        <v>54</v>
      </c>
      <c r="E3911" t="s">
        <v>310</v>
      </c>
      <c r="F3911" t="s">
        <v>2523</v>
      </c>
      <c r="G3911">
        <v>1</v>
      </c>
      <c r="H3911" t="s">
        <v>56</v>
      </c>
      <c r="I3911" t="s">
        <v>57</v>
      </c>
      <c r="J3911"/>
      <c r="K3911" t="s">
        <v>232</v>
      </c>
      <c r="L3911" t="s">
        <v>804</v>
      </c>
      <c r="M3911" t="s">
        <v>223</v>
      </c>
      <c r="N3911" t="s">
        <v>234</v>
      </c>
      <c r="O3911" t="s">
        <v>87</v>
      </c>
      <c r="P3911" t="s">
        <v>224</v>
      </c>
      <c r="Q3911"/>
      <c r="R3911" t="s">
        <v>183</v>
      </c>
      <c r="S3911" t="s">
        <v>64</v>
      </c>
      <c r="T3911">
        <v>246.7</v>
      </c>
      <c r="U3911">
        <v>243.8</v>
      </c>
      <c r="V3911">
        <f t="shared" si="122"/>
        <v>245.25</v>
      </c>
      <c r="W3911">
        <f t="shared" si="123"/>
        <v>2.8999999999999773</v>
      </c>
      <c r="X3911">
        <v>104.833336</v>
      </c>
      <c r="Y3911">
        <v>25.466667000000001</v>
      </c>
      <c r="Z3911" t="s">
        <v>520</v>
      </c>
      <c r="AA3911" t="s">
        <v>379</v>
      </c>
      <c r="AB3911" t="s">
        <v>682</v>
      </c>
      <c r="AC3911" t="s">
        <v>2160</v>
      </c>
      <c r="AD3911" t="s">
        <v>2161</v>
      </c>
      <c r="AE3911"/>
      <c r="AF3911"/>
      <c r="AG3911" t="s">
        <v>3584</v>
      </c>
      <c r="AH3911" t="s">
        <v>72</v>
      </c>
      <c r="AI3911" t="s">
        <v>3571</v>
      </c>
      <c r="AJ3911">
        <v>2007</v>
      </c>
      <c r="AK3911" t="s">
        <v>3585</v>
      </c>
      <c r="AL3911"/>
      <c r="AM3911"/>
      <c r="AN3911" t="s">
        <v>114</v>
      </c>
      <c r="AO3911" t="s">
        <v>160</v>
      </c>
      <c r="AP3911" t="s">
        <v>115</v>
      </c>
      <c r="AQ3911" t="s">
        <v>3586</v>
      </c>
      <c r="AR3911" t="s">
        <v>80</v>
      </c>
      <c r="AS3911">
        <v>611</v>
      </c>
      <c r="AT3911" t="s">
        <v>81</v>
      </c>
      <c r="AU3911">
        <v>107.28</v>
      </c>
      <c r="AV3911">
        <v>-10.65</v>
      </c>
      <c r="AW3911" t="s">
        <v>82</v>
      </c>
      <c r="AX3911">
        <v>611</v>
      </c>
      <c r="AY3911" t="s">
        <v>81</v>
      </c>
      <c r="AZ3911">
        <v>95.27</v>
      </c>
      <c r="BA3911">
        <v>11.53</v>
      </c>
      <c r="BB3911" t="s">
        <v>83</v>
      </c>
    </row>
    <row r="3912" spans="1:54" s="3" customFormat="1" ht="15" customHeight="1" x14ac:dyDescent="0.4">
      <c r="A3912">
        <v>915702</v>
      </c>
      <c r="B3912"/>
      <c r="C3912"/>
      <c r="D3912" t="s">
        <v>54</v>
      </c>
      <c r="E3912" t="s">
        <v>152</v>
      </c>
      <c r="F3912"/>
      <c r="G3912">
        <v>1</v>
      </c>
      <c r="H3912" t="s">
        <v>84</v>
      </c>
      <c r="I3912" t="s">
        <v>57</v>
      </c>
      <c r="J3912"/>
      <c r="K3912" t="s">
        <v>232</v>
      </c>
      <c r="L3912" t="s">
        <v>804</v>
      </c>
      <c r="M3912" t="s">
        <v>223</v>
      </c>
      <c r="N3912" t="s">
        <v>234</v>
      </c>
      <c r="O3912" t="s">
        <v>87</v>
      </c>
      <c r="P3912" t="s">
        <v>224</v>
      </c>
      <c r="Q3912"/>
      <c r="R3912" t="s">
        <v>183</v>
      </c>
      <c r="S3912" t="s">
        <v>64</v>
      </c>
      <c r="T3912">
        <v>246.7</v>
      </c>
      <c r="U3912">
        <v>243.8</v>
      </c>
      <c r="V3912">
        <f t="shared" si="122"/>
        <v>245.25</v>
      </c>
      <c r="W3912">
        <f t="shared" si="123"/>
        <v>2.8999999999999773</v>
      </c>
      <c r="X3912">
        <v>8.75</v>
      </c>
      <c r="Y3912">
        <v>48.716667000000001</v>
      </c>
      <c r="Z3912" t="s">
        <v>520</v>
      </c>
      <c r="AA3912" t="s">
        <v>211</v>
      </c>
      <c r="AB3912" t="s">
        <v>212</v>
      </c>
      <c r="AC3912" t="s">
        <v>3587</v>
      </c>
      <c r="AD3912"/>
      <c r="AE3912"/>
      <c r="AF3912"/>
      <c r="AG3912" t="s">
        <v>3588</v>
      </c>
      <c r="AH3912" t="s">
        <v>72</v>
      </c>
      <c r="AI3912" t="s">
        <v>3132</v>
      </c>
      <c r="AJ3912">
        <v>2001</v>
      </c>
      <c r="AK3912" t="s">
        <v>3589</v>
      </c>
      <c r="AL3912"/>
      <c r="AM3912"/>
      <c r="AN3912" t="s">
        <v>114</v>
      </c>
      <c r="AO3912" t="s">
        <v>160</v>
      </c>
      <c r="AP3912" t="s">
        <v>359</v>
      </c>
      <c r="AQ3912"/>
      <c r="AR3912" t="s">
        <v>80</v>
      </c>
      <c r="AS3912">
        <v>305</v>
      </c>
      <c r="AT3912" t="s">
        <v>81</v>
      </c>
      <c r="AU3912">
        <v>28.4</v>
      </c>
      <c r="AV3912">
        <v>27.27</v>
      </c>
      <c r="AW3912" t="s">
        <v>82</v>
      </c>
      <c r="AX3912">
        <v>305</v>
      </c>
      <c r="AY3912" t="s">
        <v>81</v>
      </c>
      <c r="AZ3912">
        <v>19.12</v>
      </c>
      <c r="BA3912">
        <v>14.38</v>
      </c>
      <c r="BB3912" t="s">
        <v>83</v>
      </c>
    </row>
    <row r="3913" spans="1:54" s="3" customFormat="1" ht="15" customHeight="1" x14ac:dyDescent="0.4">
      <c r="A3913">
        <v>931832</v>
      </c>
      <c r="B3913"/>
      <c r="C3913"/>
      <c r="D3913" t="s">
        <v>54</v>
      </c>
      <c r="E3913" t="s">
        <v>310</v>
      </c>
      <c r="F3913" t="s">
        <v>2523</v>
      </c>
      <c r="G3913">
        <v>1</v>
      </c>
      <c r="H3913" t="s">
        <v>56</v>
      </c>
      <c r="I3913" t="s">
        <v>57</v>
      </c>
      <c r="J3913"/>
      <c r="K3913" t="s">
        <v>141</v>
      </c>
      <c r="L3913" t="s">
        <v>3803</v>
      </c>
      <c r="M3913" t="s">
        <v>223</v>
      </c>
      <c r="N3913"/>
      <c r="O3913"/>
      <c r="P3913" t="s">
        <v>224</v>
      </c>
      <c r="Q3913"/>
      <c r="R3913" t="s">
        <v>183</v>
      </c>
      <c r="S3913" t="s">
        <v>64</v>
      </c>
      <c r="T3913">
        <v>246.7</v>
      </c>
      <c r="U3913">
        <v>243.8</v>
      </c>
      <c r="V3913">
        <f t="shared" si="122"/>
        <v>245.25</v>
      </c>
      <c r="W3913">
        <f t="shared" si="123"/>
        <v>2.8999999999999773</v>
      </c>
      <c r="X3913">
        <v>104.833336</v>
      </c>
      <c r="Y3913">
        <v>25.466667000000001</v>
      </c>
      <c r="Z3913" t="s">
        <v>520</v>
      </c>
      <c r="AA3913" t="s">
        <v>379</v>
      </c>
      <c r="AB3913" t="s">
        <v>682</v>
      </c>
      <c r="AC3913" t="s">
        <v>2160</v>
      </c>
      <c r="AD3913" t="s">
        <v>2161</v>
      </c>
      <c r="AE3913"/>
      <c r="AF3913"/>
      <c r="AG3913" t="s">
        <v>3584</v>
      </c>
      <c r="AH3913" t="s">
        <v>72</v>
      </c>
      <c r="AI3913" t="s">
        <v>3804</v>
      </c>
      <c r="AJ3913">
        <v>2011</v>
      </c>
      <c r="AK3913" t="s">
        <v>3585</v>
      </c>
      <c r="AL3913"/>
      <c r="AM3913"/>
      <c r="AN3913" t="s">
        <v>114</v>
      </c>
      <c r="AO3913" t="s">
        <v>160</v>
      </c>
      <c r="AP3913" t="s">
        <v>115</v>
      </c>
      <c r="AQ3913" t="s">
        <v>3586</v>
      </c>
      <c r="AR3913" t="s">
        <v>80</v>
      </c>
      <c r="AS3913">
        <v>611</v>
      </c>
      <c r="AT3913" t="s">
        <v>81</v>
      </c>
      <c r="AU3913">
        <v>107.28</v>
      </c>
      <c r="AV3913">
        <v>-10.65</v>
      </c>
      <c r="AW3913" t="s">
        <v>82</v>
      </c>
      <c r="AX3913">
        <v>611</v>
      </c>
      <c r="AY3913" t="s">
        <v>81</v>
      </c>
      <c r="AZ3913">
        <v>95.27</v>
      </c>
      <c r="BA3913">
        <v>11.53</v>
      </c>
      <c r="BB3913" t="s">
        <v>83</v>
      </c>
    </row>
    <row r="3914" spans="1:54" s="3" customFormat="1" ht="15" customHeight="1" x14ac:dyDescent="0.4">
      <c r="A3914">
        <v>931832</v>
      </c>
      <c r="B3914"/>
      <c r="C3914"/>
      <c r="D3914" t="s">
        <v>54</v>
      </c>
      <c r="E3914" t="s">
        <v>310</v>
      </c>
      <c r="F3914" t="s">
        <v>2523</v>
      </c>
      <c r="G3914">
        <v>1</v>
      </c>
      <c r="H3914" t="s">
        <v>56</v>
      </c>
      <c r="I3914" t="s">
        <v>57</v>
      </c>
      <c r="J3914"/>
      <c r="K3914" t="s">
        <v>141</v>
      </c>
      <c r="L3914" t="s">
        <v>3803</v>
      </c>
      <c r="M3914" t="s">
        <v>223</v>
      </c>
      <c r="N3914"/>
      <c r="O3914"/>
      <c r="P3914" t="s">
        <v>224</v>
      </c>
      <c r="Q3914"/>
      <c r="R3914" t="s">
        <v>183</v>
      </c>
      <c r="S3914" t="s">
        <v>64</v>
      </c>
      <c r="T3914">
        <v>246.7</v>
      </c>
      <c r="U3914">
        <v>243.8</v>
      </c>
      <c r="V3914">
        <f t="shared" si="122"/>
        <v>245.25</v>
      </c>
      <c r="W3914">
        <f t="shared" si="123"/>
        <v>2.8999999999999773</v>
      </c>
      <c r="X3914">
        <v>104.833336</v>
      </c>
      <c r="Y3914">
        <v>25.466667000000001</v>
      </c>
      <c r="Z3914" t="s">
        <v>520</v>
      </c>
      <c r="AA3914" t="s">
        <v>379</v>
      </c>
      <c r="AB3914" t="s">
        <v>682</v>
      </c>
      <c r="AC3914" t="s">
        <v>2160</v>
      </c>
      <c r="AD3914" t="s">
        <v>2161</v>
      </c>
      <c r="AE3914"/>
      <c r="AF3914"/>
      <c r="AG3914" t="s">
        <v>3584</v>
      </c>
      <c r="AH3914" t="s">
        <v>72</v>
      </c>
      <c r="AI3914" t="s">
        <v>3804</v>
      </c>
      <c r="AJ3914">
        <v>2011</v>
      </c>
      <c r="AK3914" t="s">
        <v>3585</v>
      </c>
      <c r="AL3914"/>
      <c r="AM3914"/>
      <c r="AN3914" t="s">
        <v>114</v>
      </c>
      <c r="AO3914" t="s">
        <v>160</v>
      </c>
      <c r="AP3914" t="s">
        <v>115</v>
      </c>
      <c r="AQ3914" t="s">
        <v>3586</v>
      </c>
      <c r="AR3914" t="s">
        <v>80</v>
      </c>
      <c r="AS3914">
        <v>611</v>
      </c>
      <c r="AT3914" t="s">
        <v>81</v>
      </c>
      <c r="AU3914">
        <v>107.28</v>
      </c>
      <c r="AV3914">
        <v>-10.65</v>
      </c>
      <c r="AW3914" t="s">
        <v>82</v>
      </c>
      <c r="AX3914">
        <v>611</v>
      </c>
      <c r="AY3914" t="s">
        <v>81</v>
      </c>
      <c r="AZ3914">
        <v>95.27</v>
      </c>
      <c r="BA3914">
        <v>11.53</v>
      </c>
      <c r="BB3914" t="s">
        <v>83</v>
      </c>
    </row>
    <row r="3915" spans="1:54" s="3" customFormat="1" ht="15" customHeight="1" x14ac:dyDescent="0.4">
      <c r="A3915">
        <v>931832</v>
      </c>
      <c r="B3915"/>
      <c r="C3915"/>
      <c r="D3915" t="s">
        <v>54</v>
      </c>
      <c r="E3915" t="s">
        <v>310</v>
      </c>
      <c r="F3915" t="s">
        <v>2523</v>
      </c>
      <c r="G3915">
        <v>1</v>
      </c>
      <c r="H3915" t="s">
        <v>56</v>
      </c>
      <c r="I3915" t="s">
        <v>57</v>
      </c>
      <c r="J3915"/>
      <c r="K3915" t="s">
        <v>141</v>
      </c>
      <c r="L3915" t="s">
        <v>3803</v>
      </c>
      <c r="M3915" t="s">
        <v>223</v>
      </c>
      <c r="N3915"/>
      <c r="O3915"/>
      <c r="P3915" t="s">
        <v>224</v>
      </c>
      <c r="Q3915"/>
      <c r="R3915" t="s">
        <v>183</v>
      </c>
      <c r="S3915" t="s">
        <v>64</v>
      </c>
      <c r="T3915">
        <v>246.7</v>
      </c>
      <c r="U3915">
        <v>243.8</v>
      </c>
      <c r="V3915">
        <f t="shared" si="122"/>
        <v>245.25</v>
      </c>
      <c r="W3915">
        <f t="shared" si="123"/>
        <v>2.8999999999999773</v>
      </c>
      <c r="X3915">
        <v>104.833336</v>
      </c>
      <c r="Y3915">
        <v>25.466667000000001</v>
      </c>
      <c r="Z3915" t="s">
        <v>520</v>
      </c>
      <c r="AA3915" t="s">
        <v>379</v>
      </c>
      <c r="AB3915" t="s">
        <v>682</v>
      </c>
      <c r="AC3915" t="s">
        <v>2160</v>
      </c>
      <c r="AD3915" t="s">
        <v>2161</v>
      </c>
      <c r="AE3915"/>
      <c r="AF3915"/>
      <c r="AG3915" t="s">
        <v>3584</v>
      </c>
      <c r="AH3915" t="s">
        <v>72</v>
      </c>
      <c r="AI3915" t="s">
        <v>3804</v>
      </c>
      <c r="AJ3915">
        <v>2011</v>
      </c>
      <c r="AK3915" t="s">
        <v>3585</v>
      </c>
      <c r="AL3915"/>
      <c r="AM3915"/>
      <c r="AN3915" t="s">
        <v>114</v>
      </c>
      <c r="AO3915" t="s">
        <v>160</v>
      </c>
      <c r="AP3915" t="s">
        <v>115</v>
      </c>
      <c r="AQ3915" t="s">
        <v>3586</v>
      </c>
      <c r="AR3915" t="s">
        <v>80</v>
      </c>
      <c r="AS3915">
        <v>611</v>
      </c>
      <c r="AT3915" t="s">
        <v>81</v>
      </c>
      <c r="AU3915">
        <v>107.28</v>
      </c>
      <c r="AV3915">
        <v>-10.65</v>
      </c>
      <c r="AW3915" t="s">
        <v>82</v>
      </c>
      <c r="AX3915">
        <v>611</v>
      </c>
      <c r="AY3915" t="s">
        <v>81</v>
      </c>
      <c r="AZ3915">
        <v>95.27</v>
      </c>
      <c r="BA3915">
        <v>11.53</v>
      </c>
      <c r="BB3915" t="s">
        <v>83</v>
      </c>
    </row>
    <row r="3916" spans="1:54" s="3" customFormat="1" ht="15" customHeight="1" x14ac:dyDescent="0.4">
      <c r="A3916">
        <v>931832</v>
      </c>
      <c r="B3916"/>
      <c r="C3916"/>
      <c r="D3916" t="s">
        <v>54</v>
      </c>
      <c r="E3916" t="s">
        <v>310</v>
      </c>
      <c r="F3916" t="s">
        <v>2523</v>
      </c>
      <c r="G3916">
        <v>1</v>
      </c>
      <c r="H3916" t="s">
        <v>56</v>
      </c>
      <c r="I3916" t="s">
        <v>57</v>
      </c>
      <c r="J3916"/>
      <c r="K3916" t="s">
        <v>141</v>
      </c>
      <c r="L3916" t="s">
        <v>3803</v>
      </c>
      <c r="M3916" t="s">
        <v>223</v>
      </c>
      <c r="N3916"/>
      <c r="O3916"/>
      <c r="P3916" t="s">
        <v>224</v>
      </c>
      <c r="Q3916"/>
      <c r="R3916" t="s">
        <v>183</v>
      </c>
      <c r="S3916" t="s">
        <v>64</v>
      </c>
      <c r="T3916">
        <v>246.7</v>
      </c>
      <c r="U3916">
        <v>243.8</v>
      </c>
      <c r="V3916">
        <f t="shared" si="122"/>
        <v>245.25</v>
      </c>
      <c r="W3916">
        <f t="shared" si="123"/>
        <v>2.8999999999999773</v>
      </c>
      <c r="X3916">
        <v>104.833336</v>
      </c>
      <c r="Y3916">
        <v>25.466667000000001</v>
      </c>
      <c r="Z3916" t="s">
        <v>520</v>
      </c>
      <c r="AA3916" t="s">
        <v>379</v>
      </c>
      <c r="AB3916" t="s">
        <v>682</v>
      </c>
      <c r="AC3916" t="s">
        <v>2160</v>
      </c>
      <c r="AD3916" t="s">
        <v>2161</v>
      </c>
      <c r="AE3916"/>
      <c r="AF3916"/>
      <c r="AG3916" t="s">
        <v>3584</v>
      </c>
      <c r="AH3916" t="s">
        <v>72</v>
      </c>
      <c r="AI3916" t="s">
        <v>3804</v>
      </c>
      <c r="AJ3916">
        <v>2011</v>
      </c>
      <c r="AK3916" t="s">
        <v>3585</v>
      </c>
      <c r="AL3916"/>
      <c r="AM3916"/>
      <c r="AN3916" t="s">
        <v>114</v>
      </c>
      <c r="AO3916" t="s">
        <v>160</v>
      </c>
      <c r="AP3916" t="s">
        <v>115</v>
      </c>
      <c r="AQ3916" t="s">
        <v>3586</v>
      </c>
      <c r="AR3916" t="s">
        <v>80</v>
      </c>
      <c r="AS3916">
        <v>611</v>
      </c>
      <c r="AT3916" t="s">
        <v>81</v>
      </c>
      <c r="AU3916">
        <v>107.28</v>
      </c>
      <c r="AV3916">
        <v>-10.65</v>
      </c>
      <c r="AW3916" t="s">
        <v>82</v>
      </c>
      <c r="AX3916">
        <v>611</v>
      </c>
      <c r="AY3916" t="s">
        <v>81</v>
      </c>
      <c r="AZ3916">
        <v>95.27</v>
      </c>
      <c r="BA3916">
        <v>11.53</v>
      </c>
      <c r="BB3916" t="s">
        <v>83</v>
      </c>
    </row>
    <row r="3917" spans="1:54" s="3" customFormat="1" ht="15" customHeight="1" x14ac:dyDescent="0.4">
      <c r="A3917">
        <v>931832</v>
      </c>
      <c r="B3917"/>
      <c r="C3917"/>
      <c r="D3917" t="s">
        <v>54</v>
      </c>
      <c r="E3917" t="s">
        <v>310</v>
      </c>
      <c r="F3917" t="s">
        <v>2523</v>
      </c>
      <c r="G3917">
        <v>1</v>
      </c>
      <c r="H3917" t="s">
        <v>56</v>
      </c>
      <c r="I3917" t="s">
        <v>57</v>
      </c>
      <c r="J3917"/>
      <c r="K3917" t="s">
        <v>141</v>
      </c>
      <c r="L3917" t="s">
        <v>3803</v>
      </c>
      <c r="M3917" t="s">
        <v>223</v>
      </c>
      <c r="N3917"/>
      <c r="O3917"/>
      <c r="P3917" t="s">
        <v>224</v>
      </c>
      <c r="Q3917"/>
      <c r="R3917" t="s">
        <v>183</v>
      </c>
      <c r="S3917" t="s">
        <v>64</v>
      </c>
      <c r="T3917">
        <v>246.7</v>
      </c>
      <c r="U3917">
        <v>243.8</v>
      </c>
      <c r="V3917">
        <f t="shared" si="122"/>
        <v>245.25</v>
      </c>
      <c r="W3917">
        <f t="shared" si="123"/>
        <v>2.8999999999999773</v>
      </c>
      <c r="X3917">
        <v>104.833336</v>
      </c>
      <c r="Y3917">
        <v>25.466667000000001</v>
      </c>
      <c r="Z3917" t="s">
        <v>520</v>
      </c>
      <c r="AA3917" t="s">
        <v>379</v>
      </c>
      <c r="AB3917" t="s">
        <v>682</v>
      </c>
      <c r="AC3917" t="s">
        <v>2160</v>
      </c>
      <c r="AD3917" t="s">
        <v>2161</v>
      </c>
      <c r="AE3917"/>
      <c r="AF3917"/>
      <c r="AG3917" t="s">
        <v>3584</v>
      </c>
      <c r="AH3917" t="s">
        <v>72</v>
      </c>
      <c r="AI3917" t="s">
        <v>3804</v>
      </c>
      <c r="AJ3917">
        <v>2011</v>
      </c>
      <c r="AK3917" t="s">
        <v>3585</v>
      </c>
      <c r="AL3917"/>
      <c r="AM3917"/>
      <c r="AN3917" t="s">
        <v>114</v>
      </c>
      <c r="AO3917" t="s">
        <v>160</v>
      </c>
      <c r="AP3917" t="s">
        <v>115</v>
      </c>
      <c r="AQ3917" t="s">
        <v>3586</v>
      </c>
      <c r="AR3917" t="s">
        <v>80</v>
      </c>
      <c r="AS3917">
        <v>611</v>
      </c>
      <c r="AT3917" t="s">
        <v>81</v>
      </c>
      <c r="AU3917">
        <v>107.28</v>
      </c>
      <c r="AV3917">
        <v>-10.65</v>
      </c>
      <c r="AW3917" t="s">
        <v>82</v>
      </c>
      <c r="AX3917">
        <v>611</v>
      </c>
      <c r="AY3917" t="s">
        <v>81</v>
      </c>
      <c r="AZ3917">
        <v>95.27</v>
      </c>
      <c r="BA3917">
        <v>11.53</v>
      </c>
      <c r="BB3917" t="s">
        <v>83</v>
      </c>
    </row>
    <row r="3918" spans="1:54" s="3" customFormat="1" ht="15" customHeight="1" x14ac:dyDescent="0.4">
      <c r="A3918">
        <v>935625</v>
      </c>
      <c r="B3918"/>
      <c r="C3918"/>
      <c r="D3918" t="s">
        <v>2001</v>
      </c>
      <c r="E3918" t="s">
        <v>310</v>
      </c>
      <c r="F3918" t="s">
        <v>2523</v>
      </c>
      <c r="G3918">
        <v>1</v>
      </c>
      <c r="H3918" t="s">
        <v>56</v>
      </c>
      <c r="I3918" t="s">
        <v>57</v>
      </c>
      <c r="J3918"/>
      <c r="K3918" t="s">
        <v>3362</v>
      </c>
      <c r="L3918" t="s">
        <v>3855</v>
      </c>
      <c r="M3918" t="s">
        <v>223</v>
      </c>
      <c r="N3918"/>
      <c r="O3918"/>
      <c r="P3918" t="s">
        <v>224</v>
      </c>
      <c r="Q3918"/>
      <c r="R3918" t="s">
        <v>183</v>
      </c>
      <c r="S3918" t="s">
        <v>64</v>
      </c>
      <c r="T3918">
        <v>246.7</v>
      </c>
      <c r="U3918">
        <v>243.8</v>
      </c>
      <c r="V3918">
        <f t="shared" si="122"/>
        <v>245.25</v>
      </c>
      <c r="W3918">
        <f t="shared" si="123"/>
        <v>2.8999999999999773</v>
      </c>
      <c r="X3918">
        <v>104.327904</v>
      </c>
      <c r="Y3918">
        <v>24.779699000000001</v>
      </c>
      <c r="Z3918" t="s">
        <v>602</v>
      </c>
      <c r="AA3918" t="s">
        <v>379</v>
      </c>
      <c r="AB3918" t="s">
        <v>828</v>
      </c>
      <c r="AC3918" t="s">
        <v>3856</v>
      </c>
      <c r="AD3918" t="s">
        <v>2161</v>
      </c>
      <c r="AE3918"/>
      <c r="AF3918" t="s">
        <v>1188</v>
      </c>
      <c r="AG3918" t="s">
        <v>3440</v>
      </c>
      <c r="AH3918" t="s">
        <v>72</v>
      </c>
      <c r="AI3918" t="s">
        <v>3857</v>
      </c>
      <c r="AJ3918">
        <v>2011</v>
      </c>
      <c r="AK3918" t="s">
        <v>3858</v>
      </c>
      <c r="AL3918"/>
      <c r="AM3918" t="s">
        <v>3859</v>
      </c>
      <c r="AN3918" t="s">
        <v>76</v>
      </c>
      <c r="AO3918">
        <v>4</v>
      </c>
      <c r="AP3918" t="s">
        <v>115</v>
      </c>
      <c r="AQ3918" t="s">
        <v>3860</v>
      </c>
      <c r="AR3918" t="s">
        <v>80</v>
      </c>
      <c r="AS3918">
        <v>611</v>
      </c>
      <c r="AT3918" t="s">
        <v>81</v>
      </c>
      <c r="AU3918">
        <v>106.84</v>
      </c>
      <c r="AV3918">
        <v>-11.35</v>
      </c>
      <c r="AW3918" t="s">
        <v>82</v>
      </c>
      <c r="AX3918">
        <v>611</v>
      </c>
      <c r="AY3918" t="s">
        <v>81</v>
      </c>
      <c r="AZ3918">
        <v>95.25</v>
      </c>
      <c r="BA3918">
        <v>10.7</v>
      </c>
      <c r="BB3918" t="s">
        <v>83</v>
      </c>
    </row>
    <row r="3919" spans="1:54" s="3" customFormat="1" ht="15" customHeight="1" x14ac:dyDescent="0.4">
      <c r="A3919">
        <v>935627</v>
      </c>
      <c r="B3919"/>
      <c r="C3919"/>
      <c r="D3919" t="s">
        <v>2001</v>
      </c>
      <c r="E3919" t="s">
        <v>310</v>
      </c>
      <c r="F3919" t="s">
        <v>2523</v>
      </c>
      <c r="G3919">
        <v>2</v>
      </c>
      <c r="H3919" t="s">
        <v>84</v>
      </c>
      <c r="I3919" t="s">
        <v>57</v>
      </c>
      <c r="J3919"/>
      <c r="K3919" t="s">
        <v>3861</v>
      </c>
      <c r="L3919" t="s">
        <v>3862</v>
      </c>
      <c r="M3919" t="s">
        <v>60</v>
      </c>
      <c r="N3919"/>
      <c r="O3919"/>
      <c r="P3919" t="s">
        <v>224</v>
      </c>
      <c r="Q3919"/>
      <c r="R3919" t="s">
        <v>183</v>
      </c>
      <c r="S3919" t="s">
        <v>64</v>
      </c>
      <c r="T3919">
        <v>246.7</v>
      </c>
      <c r="U3919">
        <v>243.8</v>
      </c>
      <c r="V3919">
        <f t="shared" si="122"/>
        <v>245.25</v>
      </c>
      <c r="W3919">
        <f t="shared" si="123"/>
        <v>2.8999999999999773</v>
      </c>
      <c r="X3919">
        <v>104.327003</v>
      </c>
      <c r="Y3919">
        <v>24.73</v>
      </c>
      <c r="Z3919" t="s">
        <v>602</v>
      </c>
      <c r="AA3919" t="s">
        <v>379</v>
      </c>
      <c r="AB3919" t="s">
        <v>828</v>
      </c>
      <c r="AC3919" t="s">
        <v>3856</v>
      </c>
      <c r="AD3919" t="s">
        <v>2161</v>
      </c>
      <c r="AE3919"/>
      <c r="AF3919" t="s">
        <v>1188</v>
      </c>
      <c r="AG3919"/>
      <c r="AH3919" t="s">
        <v>72</v>
      </c>
      <c r="AI3919" t="s">
        <v>1810</v>
      </c>
      <c r="AJ3919">
        <v>2011</v>
      </c>
      <c r="AK3919" t="s">
        <v>3863</v>
      </c>
      <c r="AL3919"/>
      <c r="AM3919"/>
      <c r="AN3919" t="s">
        <v>192</v>
      </c>
      <c r="AO3919">
        <v>2</v>
      </c>
      <c r="AP3919" t="s">
        <v>115</v>
      </c>
      <c r="AQ3919"/>
      <c r="AR3919" t="s">
        <v>80</v>
      </c>
      <c r="AS3919">
        <v>611</v>
      </c>
      <c r="AT3919" t="s">
        <v>81</v>
      </c>
      <c r="AU3919">
        <v>106.84</v>
      </c>
      <c r="AV3919">
        <v>-11.4</v>
      </c>
      <c r="AW3919" t="s">
        <v>82</v>
      </c>
      <c r="AX3919">
        <v>611</v>
      </c>
      <c r="AY3919" t="s">
        <v>81</v>
      </c>
      <c r="AZ3919">
        <v>95.27</v>
      </c>
      <c r="BA3919">
        <v>10.66</v>
      </c>
      <c r="BB3919" t="s">
        <v>83</v>
      </c>
    </row>
    <row r="3920" spans="1:54" s="3" customFormat="1" ht="15" customHeight="1" x14ac:dyDescent="0.4">
      <c r="A3920">
        <v>935632</v>
      </c>
      <c r="B3920"/>
      <c r="C3920"/>
      <c r="D3920" t="s">
        <v>54</v>
      </c>
      <c r="E3920" t="s">
        <v>310</v>
      </c>
      <c r="F3920"/>
      <c r="G3920">
        <v>1</v>
      </c>
      <c r="H3920" t="s">
        <v>84</v>
      </c>
      <c r="I3920" t="s">
        <v>57</v>
      </c>
      <c r="J3920"/>
      <c r="K3920" t="s">
        <v>3861</v>
      </c>
      <c r="L3920" t="s">
        <v>3862</v>
      </c>
      <c r="M3920" t="s">
        <v>60</v>
      </c>
      <c r="N3920"/>
      <c r="O3920"/>
      <c r="P3920" t="s">
        <v>224</v>
      </c>
      <c r="Q3920"/>
      <c r="R3920" t="s">
        <v>183</v>
      </c>
      <c r="S3920" t="s">
        <v>64</v>
      </c>
      <c r="T3920">
        <v>246.7</v>
      </c>
      <c r="U3920">
        <v>243.8</v>
      </c>
      <c r="V3920">
        <f t="shared" si="122"/>
        <v>245.25</v>
      </c>
      <c r="W3920">
        <f t="shared" si="123"/>
        <v>2.8999999999999773</v>
      </c>
      <c r="X3920">
        <v>104.84889200000001</v>
      </c>
      <c r="Y3920">
        <v>25.475833999999999</v>
      </c>
      <c r="Z3920" t="s">
        <v>520</v>
      </c>
      <c r="AA3920" t="s">
        <v>379</v>
      </c>
      <c r="AB3920" t="s">
        <v>682</v>
      </c>
      <c r="AC3920" t="s">
        <v>2160</v>
      </c>
      <c r="AD3920" t="s">
        <v>2161</v>
      </c>
      <c r="AE3920"/>
      <c r="AF3920" t="s">
        <v>1188</v>
      </c>
      <c r="AG3920" t="s">
        <v>3440</v>
      </c>
      <c r="AH3920" t="s">
        <v>72</v>
      </c>
      <c r="AI3920" t="s">
        <v>1810</v>
      </c>
      <c r="AJ3920">
        <v>2011</v>
      </c>
      <c r="AK3920" t="s">
        <v>3572</v>
      </c>
      <c r="AL3920"/>
      <c r="AM3920"/>
      <c r="AN3920" t="s">
        <v>114</v>
      </c>
      <c r="AO3920" t="s">
        <v>77</v>
      </c>
      <c r="AP3920" t="s">
        <v>115</v>
      </c>
      <c r="AQ3920"/>
      <c r="AR3920" t="s">
        <v>80</v>
      </c>
      <c r="AS3920">
        <v>611</v>
      </c>
      <c r="AT3920" t="s">
        <v>81</v>
      </c>
      <c r="AU3920">
        <v>107.29</v>
      </c>
      <c r="AV3920">
        <v>-10.64</v>
      </c>
      <c r="AW3920" t="s">
        <v>82</v>
      </c>
      <c r="AX3920">
        <v>611</v>
      </c>
      <c r="AY3920" t="s">
        <v>81</v>
      </c>
      <c r="AZ3920">
        <v>95.28</v>
      </c>
      <c r="BA3920">
        <v>11.54</v>
      </c>
      <c r="BB3920" t="s">
        <v>83</v>
      </c>
    </row>
    <row r="3921" spans="1:54" s="3" customFormat="1" ht="15" customHeight="1" x14ac:dyDescent="0.4">
      <c r="A3921">
        <v>963746</v>
      </c>
      <c r="B3921"/>
      <c r="C3921"/>
      <c r="D3921" t="s">
        <v>2001</v>
      </c>
      <c r="E3921" t="s">
        <v>310</v>
      </c>
      <c r="F3921" t="s">
        <v>2523</v>
      </c>
      <c r="G3921">
        <v>1</v>
      </c>
      <c r="H3921" t="s">
        <v>56</v>
      </c>
      <c r="I3921" t="s">
        <v>57</v>
      </c>
      <c r="J3921"/>
      <c r="K3921" t="s">
        <v>141</v>
      </c>
      <c r="L3921" t="s">
        <v>3906</v>
      </c>
      <c r="M3921" t="s">
        <v>223</v>
      </c>
      <c r="N3921"/>
      <c r="O3921"/>
      <c r="P3921" t="s">
        <v>224</v>
      </c>
      <c r="Q3921"/>
      <c r="R3921" t="s">
        <v>183</v>
      </c>
      <c r="S3921" t="s">
        <v>64</v>
      </c>
      <c r="T3921">
        <v>246.7</v>
      </c>
      <c r="U3921">
        <v>243.8</v>
      </c>
      <c r="V3921">
        <f t="shared" si="122"/>
        <v>245.25</v>
      </c>
      <c r="W3921">
        <f t="shared" si="123"/>
        <v>2.8999999999999773</v>
      </c>
      <c r="X3921">
        <v>104.327904</v>
      </c>
      <c r="Y3921">
        <v>24.779699000000001</v>
      </c>
      <c r="Z3921" t="s">
        <v>602</v>
      </c>
      <c r="AA3921" t="s">
        <v>379</v>
      </c>
      <c r="AB3921" t="s">
        <v>828</v>
      </c>
      <c r="AC3921" t="s">
        <v>3856</v>
      </c>
      <c r="AD3921" t="s">
        <v>2161</v>
      </c>
      <c r="AE3921"/>
      <c r="AF3921" t="s">
        <v>1188</v>
      </c>
      <c r="AG3921" t="s">
        <v>3440</v>
      </c>
      <c r="AH3921" t="s">
        <v>72</v>
      </c>
      <c r="AI3921" t="s">
        <v>3907</v>
      </c>
      <c r="AJ3921">
        <v>2011</v>
      </c>
      <c r="AK3921" t="s">
        <v>3858</v>
      </c>
      <c r="AL3921"/>
      <c r="AM3921" t="s">
        <v>3859</v>
      </c>
      <c r="AN3921" t="s">
        <v>76</v>
      </c>
      <c r="AO3921">
        <v>4</v>
      </c>
      <c r="AP3921" t="s">
        <v>115</v>
      </c>
      <c r="AQ3921" t="s">
        <v>3860</v>
      </c>
      <c r="AR3921" t="s">
        <v>80</v>
      </c>
      <c r="AS3921">
        <v>611</v>
      </c>
      <c r="AT3921" t="s">
        <v>81</v>
      </c>
      <c r="AU3921">
        <v>106.84</v>
      </c>
      <c r="AV3921">
        <v>-11.35</v>
      </c>
      <c r="AW3921" t="s">
        <v>82</v>
      </c>
      <c r="AX3921">
        <v>611</v>
      </c>
      <c r="AY3921" t="s">
        <v>81</v>
      </c>
      <c r="AZ3921">
        <v>95.25</v>
      </c>
      <c r="BA3921">
        <v>10.7</v>
      </c>
      <c r="BB3921" t="s">
        <v>83</v>
      </c>
    </row>
    <row r="3922" spans="1:54" s="3" customFormat="1" ht="15" customHeight="1" x14ac:dyDescent="0.4">
      <c r="A3922">
        <v>1012675</v>
      </c>
      <c r="B3922"/>
      <c r="C3922"/>
      <c r="D3922" t="s">
        <v>54</v>
      </c>
      <c r="E3922" t="s">
        <v>310</v>
      </c>
      <c r="F3922"/>
      <c r="G3922">
        <v>1</v>
      </c>
      <c r="H3922" t="s">
        <v>84</v>
      </c>
      <c r="I3922" t="s">
        <v>57</v>
      </c>
      <c r="J3922"/>
      <c r="K3922" t="s">
        <v>3861</v>
      </c>
      <c r="L3922" t="s">
        <v>3995</v>
      </c>
      <c r="M3922" t="s">
        <v>60</v>
      </c>
      <c r="N3922"/>
      <c r="O3922"/>
      <c r="P3922" t="s">
        <v>224</v>
      </c>
      <c r="Q3922"/>
      <c r="R3922" t="s">
        <v>183</v>
      </c>
      <c r="S3922" t="s">
        <v>64</v>
      </c>
      <c r="T3922">
        <v>246.7</v>
      </c>
      <c r="U3922">
        <v>243.8</v>
      </c>
      <c r="V3922">
        <f t="shared" si="122"/>
        <v>245.25</v>
      </c>
      <c r="W3922">
        <f t="shared" si="123"/>
        <v>2.8999999999999773</v>
      </c>
      <c r="X3922">
        <v>104.308891</v>
      </c>
      <c r="Y3922">
        <v>24.884722</v>
      </c>
      <c r="Z3922" t="s">
        <v>520</v>
      </c>
      <c r="AA3922" t="s">
        <v>379</v>
      </c>
      <c r="AB3922" t="s">
        <v>828</v>
      </c>
      <c r="AC3922" t="s">
        <v>3856</v>
      </c>
      <c r="AD3922" t="s">
        <v>2161</v>
      </c>
      <c r="AE3922"/>
      <c r="AF3922" t="s">
        <v>3456</v>
      </c>
      <c r="AG3922"/>
      <c r="AH3922" t="s">
        <v>72</v>
      </c>
      <c r="AI3922" t="s">
        <v>3565</v>
      </c>
      <c r="AJ3922">
        <v>2012</v>
      </c>
      <c r="AK3922" t="s">
        <v>3996</v>
      </c>
      <c r="AL3922"/>
      <c r="AM3922"/>
      <c r="AN3922" t="s">
        <v>341</v>
      </c>
      <c r="AO3922" t="s">
        <v>77</v>
      </c>
      <c r="AP3922" t="s">
        <v>359</v>
      </c>
      <c r="AQ3922" t="s">
        <v>3997</v>
      </c>
      <c r="AR3922" t="s">
        <v>80</v>
      </c>
      <c r="AS3922">
        <v>611</v>
      </c>
      <c r="AT3922" t="s">
        <v>81</v>
      </c>
      <c r="AU3922">
        <v>106.82</v>
      </c>
      <c r="AV3922">
        <v>-11.25</v>
      </c>
      <c r="AW3922" t="s">
        <v>82</v>
      </c>
      <c r="AX3922">
        <v>611</v>
      </c>
      <c r="AY3922" t="s">
        <v>81</v>
      </c>
      <c r="AZ3922">
        <v>95.18</v>
      </c>
      <c r="BA3922">
        <v>10.78</v>
      </c>
      <c r="BB3922" t="s">
        <v>83</v>
      </c>
    </row>
    <row r="3923" spans="1:54" s="3" customFormat="1" ht="15" customHeight="1" x14ac:dyDescent="0.4">
      <c r="A3923">
        <v>1095497</v>
      </c>
      <c r="B3923"/>
      <c r="C3923"/>
      <c r="D3923" t="s">
        <v>54</v>
      </c>
      <c r="E3923"/>
      <c r="F3923"/>
      <c r="G3923">
        <v>1</v>
      </c>
      <c r="H3923" t="s">
        <v>84</v>
      </c>
      <c r="I3923" t="s">
        <v>57</v>
      </c>
      <c r="J3923"/>
      <c r="K3923" t="s">
        <v>141</v>
      </c>
      <c r="L3923" t="s">
        <v>4234</v>
      </c>
      <c r="M3923" t="s">
        <v>223</v>
      </c>
      <c r="N3923" t="s">
        <v>234</v>
      </c>
      <c r="O3923" t="s">
        <v>87</v>
      </c>
      <c r="P3923" t="s">
        <v>224</v>
      </c>
      <c r="Q3923"/>
      <c r="R3923" t="s">
        <v>183</v>
      </c>
      <c r="S3923" t="s">
        <v>64</v>
      </c>
      <c r="T3923">
        <v>246.7</v>
      </c>
      <c r="U3923">
        <v>243.8</v>
      </c>
      <c r="V3923">
        <f t="shared" si="122"/>
        <v>245.25</v>
      </c>
      <c r="W3923">
        <f t="shared" si="123"/>
        <v>2.8999999999999773</v>
      </c>
      <c r="X3923">
        <v>-117.540001</v>
      </c>
      <c r="Y3923">
        <v>40.049999</v>
      </c>
      <c r="Z3923" t="s">
        <v>520</v>
      </c>
      <c r="AA3923" t="s">
        <v>66</v>
      </c>
      <c r="AB3923" t="s">
        <v>558</v>
      </c>
      <c r="AC3923"/>
      <c r="AD3923" t="s">
        <v>3344</v>
      </c>
      <c r="AE3923" t="s">
        <v>3345</v>
      </c>
      <c r="AF3923" t="s">
        <v>3346</v>
      </c>
      <c r="AG3923" t="s">
        <v>4235</v>
      </c>
      <c r="AH3923" t="s">
        <v>72</v>
      </c>
      <c r="AI3923" t="s">
        <v>4236</v>
      </c>
      <c r="AJ3923">
        <v>2013</v>
      </c>
      <c r="AK3923" t="s">
        <v>4237</v>
      </c>
      <c r="AL3923"/>
      <c r="AM3923"/>
      <c r="AN3923" t="s">
        <v>192</v>
      </c>
      <c r="AO3923">
        <v>2</v>
      </c>
      <c r="AP3923" t="s">
        <v>115</v>
      </c>
      <c r="AQ3923"/>
      <c r="AR3923" t="s">
        <v>80</v>
      </c>
      <c r="AS3923">
        <v>101</v>
      </c>
      <c r="AT3923" t="s">
        <v>81</v>
      </c>
      <c r="AU3923">
        <v>-38.01</v>
      </c>
      <c r="AV3923">
        <v>24.6</v>
      </c>
      <c r="AW3923" t="s">
        <v>82</v>
      </c>
      <c r="AX3923">
        <v>131</v>
      </c>
      <c r="AY3923" t="s">
        <v>81</v>
      </c>
      <c r="AZ3923">
        <v>-43.08</v>
      </c>
      <c r="BA3923">
        <v>9.16</v>
      </c>
      <c r="BB3923" t="s">
        <v>83</v>
      </c>
    </row>
    <row r="3924" spans="1:54" s="3" customFormat="1" ht="15" customHeight="1" x14ac:dyDescent="0.4">
      <c r="A3924">
        <v>1102551</v>
      </c>
      <c r="B3924"/>
      <c r="C3924"/>
      <c r="D3924" t="s">
        <v>54</v>
      </c>
      <c r="E3924" t="s">
        <v>310</v>
      </c>
      <c r="F3924"/>
      <c r="G3924">
        <v>1</v>
      </c>
      <c r="H3924" t="s">
        <v>84</v>
      </c>
      <c r="I3924" t="s">
        <v>57</v>
      </c>
      <c r="J3924"/>
      <c r="K3924" t="s">
        <v>232</v>
      </c>
      <c r="L3924" t="s">
        <v>804</v>
      </c>
      <c r="M3924" t="s">
        <v>223</v>
      </c>
      <c r="N3924" t="s">
        <v>234</v>
      </c>
      <c r="O3924" t="s">
        <v>87</v>
      </c>
      <c r="P3924" t="s">
        <v>224</v>
      </c>
      <c r="Q3924"/>
      <c r="R3924" t="s">
        <v>183</v>
      </c>
      <c r="S3924" t="s">
        <v>64</v>
      </c>
      <c r="T3924">
        <v>246.7</v>
      </c>
      <c r="U3924">
        <v>243.8</v>
      </c>
      <c r="V3924">
        <f t="shared" si="122"/>
        <v>245.25</v>
      </c>
      <c r="W3924">
        <f t="shared" si="123"/>
        <v>2.8999999999999773</v>
      </c>
      <c r="X3924">
        <v>104.308891</v>
      </c>
      <c r="Y3924">
        <v>24.884722</v>
      </c>
      <c r="Z3924" t="s">
        <v>520</v>
      </c>
      <c r="AA3924" t="s">
        <v>379</v>
      </c>
      <c r="AB3924" t="s">
        <v>828</v>
      </c>
      <c r="AC3924" t="s">
        <v>3856</v>
      </c>
      <c r="AD3924" t="s">
        <v>2161</v>
      </c>
      <c r="AE3924"/>
      <c r="AF3924" t="s">
        <v>3456</v>
      </c>
      <c r="AG3924"/>
      <c r="AH3924" t="s">
        <v>72</v>
      </c>
      <c r="AI3924" t="s">
        <v>3857</v>
      </c>
      <c r="AJ3924">
        <v>2013</v>
      </c>
      <c r="AK3924" t="s">
        <v>3996</v>
      </c>
      <c r="AL3924"/>
      <c r="AM3924"/>
      <c r="AN3924" t="s">
        <v>341</v>
      </c>
      <c r="AO3924" t="s">
        <v>77</v>
      </c>
      <c r="AP3924" t="s">
        <v>359</v>
      </c>
      <c r="AQ3924" t="s">
        <v>3997</v>
      </c>
      <c r="AR3924" t="s">
        <v>80</v>
      </c>
      <c r="AS3924">
        <v>611</v>
      </c>
      <c r="AT3924" t="s">
        <v>81</v>
      </c>
      <c r="AU3924">
        <v>106.82</v>
      </c>
      <c r="AV3924">
        <v>-11.25</v>
      </c>
      <c r="AW3924" t="s">
        <v>82</v>
      </c>
      <c r="AX3924">
        <v>611</v>
      </c>
      <c r="AY3924" t="s">
        <v>81</v>
      </c>
      <c r="AZ3924">
        <v>95.18</v>
      </c>
      <c r="BA3924">
        <v>10.78</v>
      </c>
      <c r="BB3924" t="s">
        <v>83</v>
      </c>
    </row>
    <row r="3925" spans="1:54" s="3" customFormat="1" ht="15" customHeight="1" x14ac:dyDescent="0.4">
      <c r="A3925">
        <v>1129589</v>
      </c>
      <c r="B3925"/>
      <c r="C3925"/>
      <c r="D3925" t="s">
        <v>54</v>
      </c>
      <c r="E3925" t="s">
        <v>310</v>
      </c>
      <c r="F3925" t="s">
        <v>258</v>
      </c>
      <c r="G3925">
        <v>1</v>
      </c>
      <c r="H3925" t="s">
        <v>56</v>
      </c>
      <c r="I3925" t="s">
        <v>57</v>
      </c>
      <c r="J3925"/>
      <c r="K3925" t="s">
        <v>746</v>
      </c>
      <c r="L3925" t="s">
        <v>4354</v>
      </c>
      <c r="M3925" t="s">
        <v>223</v>
      </c>
      <c r="N3925" t="s">
        <v>1126</v>
      </c>
      <c r="O3925" t="s">
        <v>345</v>
      </c>
      <c r="P3925" t="s">
        <v>224</v>
      </c>
      <c r="Q3925"/>
      <c r="R3925" t="s">
        <v>183</v>
      </c>
      <c r="S3925" t="s">
        <v>64</v>
      </c>
      <c r="T3925">
        <v>246.7</v>
      </c>
      <c r="U3925">
        <v>243.8</v>
      </c>
      <c r="V3925">
        <f t="shared" si="122"/>
        <v>245.25</v>
      </c>
      <c r="W3925">
        <f t="shared" si="123"/>
        <v>2.8999999999999773</v>
      </c>
      <c r="X3925">
        <v>104.47139</v>
      </c>
      <c r="Y3925">
        <v>25.700001</v>
      </c>
      <c r="Z3925" t="s">
        <v>1415</v>
      </c>
      <c r="AA3925" t="s">
        <v>379</v>
      </c>
      <c r="AB3925" t="s">
        <v>682</v>
      </c>
      <c r="AC3925" t="s">
        <v>2160</v>
      </c>
      <c r="AD3925" t="s">
        <v>2161</v>
      </c>
      <c r="AE3925"/>
      <c r="AF3925"/>
      <c r="AG3925"/>
      <c r="AH3925" t="s">
        <v>72</v>
      </c>
      <c r="AI3925" t="s">
        <v>383</v>
      </c>
      <c r="AJ3925">
        <v>2003</v>
      </c>
      <c r="AK3925" t="s">
        <v>2162</v>
      </c>
      <c r="AL3925"/>
      <c r="AM3925" t="s">
        <v>2163</v>
      </c>
      <c r="AN3925" t="s">
        <v>114</v>
      </c>
      <c r="AO3925" t="s">
        <v>160</v>
      </c>
      <c r="AP3925" t="s">
        <v>78</v>
      </c>
      <c r="AQ3925" t="s">
        <v>2164</v>
      </c>
      <c r="AR3925" t="s">
        <v>80</v>
      </c>
      <c r="AS3925">
        <v>611</v>
      </c>
      <c r="AT3925" t="s">
        <v>81</v>
      </c>
      <c r="AU3925">
        <v>106.94</v>
      </c>
      <c r="AV3925">
        <v>-10.43</v>
      </c>
      <c r="AW3925" t="s">
        <v>82</v>
      </c>
      <c r="AX3925">
        <v>611</v>
      </c>
      <c r="AY3925" t="s">
        <v>81</v>
      </c>
      <c r="AZ3925">
        <v>94.86</v>
      </c>
      <c r="BA3925">
        <v>11.55</v>
      </c>
      <c r="BB3925" t="s">
        <v>83</v>
      </c>
    </row>
    <row r="3926" spans="1:54" s="3" customFormat="1" ht="15" customHeight="1" x14ac:dyDescent="0.4">
      <c r="A3926">
        <v>1129589</v>
      </c>
      <c r="B3926"/>
      <c r="C3926"/>
      <c r="D3926" t="s">
        <v>54</v>
      </c>
      <c r="E3926" t="s">
        <v>310</v>
      </c>
      <c r="F3926" t="s">
        <v>258</v>
      </c>
      <c r="G3926">
        <v>1</v>
      </c>
      <c r="H3926" t="s">
        <v>56</v>
      </c>
      <c r="I3926" t="s">
        <v>57</v>
      </c>
      <c r="J3926"/>
      <c r="K3926" t="s">
        <v>746</v>
      </c>
      <c r="L3926" t="s">
        <v>4354</v>
      </c>
      <c r="M3926" t="s">
        <v>223</v>
      </c>
      <c r="N3926" t="s">
        <v>1126</v>
      </c>
      <c r="O3926" t="s">
        <v>345</v>
      </c>
      <c r="P3926" t="s">
        <v>224</v>
      </c>
      <c r="Q3926"/>
      <c r="R3926" t="s">
        <v>183</v>
      </c>
      <c r="S3926" t="s">
        <v>64</v>
      </c>
      <c r="T3926">
        <v>246.7</v>
      </c>
      <c r="U3926">
        <v>243.8</v>
      </c>
      <c r="V3926">
        <f t="shared" si="122"/>
        <v>245.25</v>
      </c>
      <c r="W3926">
        <f t="shared" si="123"/>
        <v>2.8999999999999773</v>
      </c>
      <c r="X3926">
        <v>104.47139</v>
      </c>
      <c r="Y3926">
        <v>25.700001</v>
      </c>
      <c r="Z3926" t="s">
        <v>1415</v>
      </c>
      <c r="AA3926" t="s">
        <v>379</v>
      </c>
      <c r="AB3926" t="s">
        <v>682</v>
      </c>
      <c r="AC3926" t="s">
        <v>2160</v>
      </c>
      <c r="AD3926" t="s">
        <v>2161</v>
      </c>
      <c r="AE3926"/>
      <c r="AF3926"/>
      <c r="AG3926"/>
      <c r="AH3926" t="s">
        <v>72</v>
      </c>
      <c r="AI3926" t="s">
        <v>383</v>
      </c>
      <c r="AJ3926">
        <v>2003</v>
      </c>
      <c r="AK3926" t="s">
        <v>2162</v>
      </c>
      <c r="AL3926"/>
      <c r="AM3926" t="s">
        <v>2163</v>
      </c>
      <c r="AN3926" t="s">
        <v>114</v>
      </c>
      <c r="AO3926" t="s">
        <v>160</v>
      </c>
      <c r="AP3926" t="s">
        <v>78</v>
      </c>
      <c r="AQ3926" t="s">
        <v>2164</v>
      </c>
      <c r="AR3926" t="s">
        <v>80</v>
      </c>
      <c r="AS3926">
        <v>611</v>
      </c>
      <c r="AT3926" t="s">
        <v>81</v>
      </c>
      <c r="AU3926">
        <v>106.94</v>
      </c>
      <c r="AV3926">
        <v>-10.43</v>
      </c>
      <c r="AW3926" t="s">
        <v>82</v>
      </c>
      <c r="AX3926">
        <v>611</v>
      </c>
      <c r="AY3926" t="s">
        <v>81</v>
      </c>
      <c r="AZ3926">
        <v>94.86</v>
      </c>
      <c r="BA3926">
        <v>11.55</v>
      </c>
      <c r="BB3926" t="s">
        <v>83</v>
      </c>
    </row>
    <row r="3927" spans="1:54" s="3" customFormat="1" ht="15" customHeight="1" x14ac:dyDescent="0.4">
      <c r="A3927">
        <v>1137542</v>
      </c>
      <c r="B3927"/>
      <c r="C3927"/>
      <c r="D3927" t="s">
        <v>54</v>
      </c>
      <c r="E3927" t="s">
        <v>310</v>
      </c>
      <c r="F3927" t="s">
        <v>258</v>
      </c>
      <c r="G3927">
        <v>3</v>
      </c>
      <c r="H3927" t="s">
        <v>84</v>
      </c>
      <c r="I3927" t="s">
        <v>57</v>
      </c>
      <c r="J3927"/>
      <c r="K3927" t="s">
        <v>3861</v>
      </c>
      <c r="L3927" t="s">
        <v>3995</v>
      </c>
      <c r="M3927" t="s">
        <v>60</v>
      </c>
      <c r="N3927"/>
      <c r="O3927"/>
      <c r="P3927" t="s">
        <v>224</v>
      </c>
      <c r="Q3927"/>
      <c r="R3927" t="s">
        <v>183</v>
      </c>
      <c r="S3927" t="s">
        <v>64</v>
      </c>
      <c r="T3927">
        <v>246.7</v>
      </c>
      <c r="U3927">
        <v>243.8</v>
      </c>
      <c r="V3927">
        <f t="shared" si="122"/>
        <v>245.25</v>
      </c>
      <c r="W3927">
        <f t="shared" si="123"/>
        <v>2.8999999999999773</v>
      </c>
      <c r="X3927">
        <v>104.47139</v>
      </c>
      <c r="Y3927">
        <v>25.700001</v>
      </c>
      <c r="Z3927" t="s">
        <v>1415</v>
      </c>
      <c r="AA3927" t="s">
        <v>379</v>
      </c>
      <c r="AB3927" t="s">
        <v>682</v>
      </c>
      <c r="AC3927" t="s">
        <v>2160</v>
      </c>
      <c r="AD3927" t="s">
        <v>2161</v>
      </c>
      <c r="AE3927"/>
      <c r="AF3927"/>
      <c r="AG3927"/>
      <c r="AH3927" t="s">
        <v>72</v>
      </c>
      <c r="AI3927" t="s">
        <v>1810</v>
      </c>
      <c r="AJ3927">
        <v>2013</v>
      </c>
      <c r="AK3927" t="s">
        <v>2162</v>
      </c>
      <c r="AL3927"/>
      <c r="AM3927" t="s">
        <v>2163</v>
      </c>
      <c r="AN3927" t="s">
        <v>114</v>
      </c>
      <c r="AO3927" t="s">
        <v>160</v>
      </c>
      <c r="AP3927" t="s">
        <v>78</v>
      </c>
      <c r="AQ3927" t="s">
        <v>2164</v>
      </c>
      <c r="AR3927" t="s">
        <v>80</v>
      </c>
      <c r="AS3927">
        <v>611</v>
      </c>
      <c r="AT3927" t="s">
        <v>81</v>
      </c>
      <c r="AU3927">
        <v>106.94</v>
      </c>
      <c r="AV3927">
        <v>-10.43</v>
      </c>
      <c r="AW3927" t="s">
        <v>82</v>
      </c>
      <c r="AX3927">
        <v>611</v>
      </c>
      <c r="AY3927" t="s">
        <v>81</v>
      </c>
      <c r="AZ3927">
        <v>94.86</v>
      </c>
      <c r="BA3927">
        <v>11.55</v>
      </c>
      <c r="BB3927" t="s">
        <v>83</v>
      </c>
    </row>
    <row r="3928" spans="1:54" s="3" customFormat="1" ht="15" customHeight="1" x14ac:dyDescent="0.4">
      <c r="A3928">
        <v>1193266</v>
      </c>
      <c r="B3928"/>
      <c r="C3928"/>
      <c r="D3928" t="s">
        <v>2001</v>
      </c>
      <c r="E3928" t="s">
        <v>310</v>
      </c>
      <c r="F3928" t="s">
        <v>2523</v>
      </c>
      <c r="G3928">
        <v>1</v>
      </c>
      <c r="H3928" t="s">
        <v>84</v>
      </c>
      <c r="I3928" t="s">
        <v>57</v>
      </c>
      <c r="J3928"/>
      <c r="K3928" t="s">
        <v>141</v>
      </c>
      <c r="L3928" t="s">
        <v>4493</v>
      </c>
      <c r="M3928" t="s">
        <v>223</v>
      </c>
      <c r="N3928"/>
      <c r="O3928"/>
      <c r="P3928" t="s">
        <v>224</v>
      </c>
      <c r="Q3928"/>
      <c r="R3928" t="s">
        <v>183</v>
      </c>
      <c r="S3928" t="s">
        <v>64</v>
      </c>
      <c r="T3928">
        <v>246.7</v>
      </c>
      <c r="U3928">
        <v>243.8</v>
      </c>
      <c r="V3928">
        <f t="shared" si="122"/>
        <v>245.25</v>
      </c>
      <c r="W3928">
        <f t="shared" si="123"/>
        <v>2.8999999999999773</v>
      </c>
      <c r="X3928">
        <v>104.327904</v>
      </c>
      <c r="Y3928">
        <v>24.779699000000001</v>
      </c>
      <c r="Z3928" t="s">
        <v>602</v>
      </c>
      <c r="AA3928" t="s">
        <v>379</v>
      </c>
      <c r="AB3928" t="s">
        <v>828</v>
      </c>
      <c r="AC3928" t="s">
        <v>3856</v>
      </c>
      <c r="AD3928" t="s">
        <v>2161</v>
      </c>
      <c r="AE3928"/>
      <c r="AF3928" t="s">
        <v>1188</v>
      </c>
      <c r="AG3928" t="s">
        <v>3440</v>
      </c>
      <c r="AH3928" t="s">
        <v>72</v>
      </c>
      <c r="AI3928" t="s">
        <v>3565</v>
      </c>
      <c r="AJ3928">
        <v>2014</v>
      </c>
      <c r="AK3928" t="s">
        <v>3858</v>
      </c>
      <c r="AL3928"/>
      <c r="AM3928" t="s">
        <v>3859</v>
      </c>
      <c r="AN3928" t="s">
        <v>76</v>
      </c>
      <c r="AO3928">
        <v>4</v>
      </c>
      <c r="AP3928" t="s">
        <v>115</v>
      </c>
      <c r="AQ3928" t="s">
        <v>3860</v>
      </c>
      <c r="AR3928" t="s">
        <v>80</v>
      </c>
      <c r="AS3928">
        <v>611</v>
      </c>
      <c r="AT3928" t="s">
        <v>81</v>
      </c>
      <c r="AU3928">
        <v>106.84</v>
      </c>
      <c r="AV3928">
        <v>-11.35</v>
      </c>
      <c r="AW3928" t="s">
        <v>82</v>
      </c>
      <c r="AX3928">
        <v>611</v>
      </c>
      <c r="AY3928" t="s">
        <v>81</v>
      </c>
      <c r="AZ3928">
        <v>95.25</v>
      </c>
      <c r="BA3928">
        <v>10.7</v>
      </c>
      <c r="BB3928" t="s">
        <v>83</v>
      </c>
    </row>
    <row r="3929" spans="1:54" s="3" customFormat="1" ht="15" customHeight="1" x14ac:dyDescent="0.4">
      <c r="A3929">
        <v>1347595</v>
      </c>
      <c r="B3929"/>
      <c r="C3929"/>
      <c r="D3929" t="s">
        <v>54</v>
      </c>
      <c r="E3929"/>
      <c r="F3929"/>
      <c r="G3929">
        <v>27</v>
      </c>
      <c r="H3929" t="s">
        <v>84</v>
      </c>
      <c r="I3929" t="s">
        <v>57</v>
      </c>
      <c r="J3929"/>
      <c r="K3929" t="s">
        <v>746</v>
      </c>
      <c r="L3929" t="s">
        <v>1357</v>
      </c>
      <c r="M3929" t="s">
        <v>60</v>
      </c>
      <c r="N3929" t="s">
        <v>119</v>
      </c>
      <c r="O3929" t="s">
        <v>345</v>
      </c>
      <c r="P3929" t="s">
        <v>224</v>
      </c>
      <c r="Q3929"/>
      <c r="R3929" t="s">
        <v>183</v>
      </c>
      <c r="S3929" t="s">
        <v>64</v>
      </c>
      <c r="T3929">
        <v>246.7</v>
      </c>
      <c r="U3929">
        <v>243.8</v>
      </c>
      <c r="V3929">
        <f t="shared" si="122"/>
        <v>245.25</v>
      </c>
      <c r="W3929">
        <f t="shared" si="123"/>
        <v>2.8999999999999773</v>
      </c>
      <c r="X3929">
        <v>34.790278999999998</v>
      </c>
      <c r="Y3929">
        <v>30.345832999999999</v>
      </c>
      <c r="Z3929" t="s">
        <v>520</v>
      </c>
      <c r="AA3929" t="s">
        <v>1351</v>
      </c>
      <c r="AB3929"/>
      <c r="AC3929"/>
      <c r="AD3929" t="s">
        <v>4754</v>
      </c>
      <c r="AE3929"/>
      <c r="AF3929" t="s">
        <v>4755</v>
      </c>
      <c r="AG3929"/>
      <c r="AH3929" t="s">
        <v>72</v>
      </c>
      <c r="AI3929" t="s">
        <v>2013</v>
      </c>
      <c r="AJ3929">
        <v>2001</v>
      </c>
      <c r="AK3929" t="s">
        <v>4756</v>
      </c>
      <c r="AL3929"/>
      <c r="AM3929"/>
      <c r="AN3929" t="s">
        <v>114</v>
      </c>
      <c r="AO3929" t="s">
        <v>77</v>
      </c>
      <c r="AP3929" t="s">
        <v>78</v>
      </c>
      <c r="AQ3929"/>
      <c r="AR3929" t="s">
        <v>80</v>
      </c>
      <c r="AS3929">
        <v>508</v>
      </c>
      <c r="AT3929" t="s">
        <v>81</v>
      </c>
      <c r="AU3929">
        <v>38.92</v>
      </c>
      <c r="AV3929">
        <v>-3.58</v>
      </c>
      <c r="AW3929" t="s">
        <v>82</v>
      </c>
      <c r="AX3929">
        <v>508</v>
      </c>
      <c r="AY3929" t="s">
        <v>81</v>
      </c>
      <c r="AZ3929">
        <v>34.81</v>
      </c>
      <c r="BA3929">
        <v>-14.15</v>
      </c>
      <c r="BB3929" t="s">
        <v>83</v>
      </c>
    </row>
    <row r="3930" spans="1:54" s="3" customFormat="1" ht="15" customHeight="1" x14ac:dyDescent="0.4">
      <c r="A3930">
        <v>1380905</v>
      </c>
      <c r="B3930"/>
      <c r="C3930"/>
      <c r="D3930" t="s">
        <v>54</v>
      </c>
      <c r="E3930"/>
      <c r="F3930" t="s">
        <v>2523</v>
      </c>
      <c r="G3930"/>
      <c r="H3930"/>
      <c r="I3930" t="s">
        <v>57</v>
      </c>
      <c r="J3930"/>
      <c r="K3930" t="s">
        <v>746</v>
      </c>
      <c r="L3930" t="s">
        <v>4354</v>
      </c>
      <c r="M3930" t="s">
        <v>223</v>
      </c>
      <c r="N3930" t="s">
        <v>1126</v>
      </c>
      <c r="O3930" t="s">
        <v>345</v>
      </c>
      <c r="P3930" t="s">
        <v>224</v>
      </c>
      <c r="Q3930"/>
      <c r="R3930" t="s">
        <v>183</v>
      </c>
      <c r="S3930" t="s">
        <v>64</v>
      </c>
      <c r="T3930">
        <v>246.7</v>
      </c>
      <c r="U3930">
        <v>243.8</v>
      </c>
      <c r="V3930">
        <f t="shared" si="122"/>
        <v>245.25</v>
      </c>
      <c r="W3930">
        <f t="shared" si="123"/>
        <v>2.8999999999999773</v>
      </c>
      <c r="X3930">
        <v>104.327904</v>
      </c>
      <c r="Y3930">
        <v>24.779699000000001</v>
      </c>
      <c r="Z3930" t="s">
        <v>520</v>
      </c>
      <c r="AA3930" t="s">
        <v>379</v>
      </c>
      <c r="AB3930" t="s">
        <v>828</v>
      </c>
      <c r="AC3930" t="s">
        <v>3856</v>
      </c>
      <c r="AD3930"/>
      <c r="AE3930"/>
      <c r="AF3930"/>
      <c r="AG3930"/>
      <c r="AH3930" t="s">
        <v>72</v>
      </c>
      <c r="AI3930" t="s">
        <v>3857</v>
      </c>
      <c r="AJ3930">
        <v>2017</v>
      </c>
      <c r="AK3930" t="s">
        <v>4852</v>
      </c>
      <c r="AL3930"/>
      <c r="AM3930"/>
      <c r="AN3930"/>
      <c r="AO3930">
        <v>4</v>
      </c>
      <c r="AP3930"/>
      <c r="AQ3930"/>
      <c r="AR3930" t="s">
        <v>80</v>
      </c>
      <c r="AS3930">
        <v>611</v>
      </c>
      <c r="AT3930" t="s">
        <v>81</v>
      </c>
      <c r="AU3930">
        <v>107.44</v>
      </c>
      <c r="AV3930">
        <v>-9.5399999999999991</v>
      </c>
      <c r="AW3930" t="s">
        <v>82</v>
      </c>
      <c r="AX3930">
        <v>611</v>
      </c>
      <c r="AY3930" t="s">
        <v>81</v>
      </c>
      <c r="AZ3930">
        <v>94.44</v>
      </c>
      <c r="BA3930">
        <v>13.71</v>
      </c>
      <c r="BB3930" t="s">
        <v>83</v>
      </c>
    </row>
    <row r="3931" spans="1:54" s="3" customFormat="1" ht="15" customHeight="1" x14ac:dyDescent="0.4">
      <c r="A3931">
        <v>1409641</v>
      </c>
      <c r="B3931"/>
      <c r="C3931"/>
      <c r="D3931" t="s">
        <v>853</v>
      </c>
      <c r="E3931"/>
      <c r="F3931" t="s">
        <v>2523</v>
      </c>
      <c r="G3931">
        <v>1</v>
      </c>
      <c r="H3931" t="s">
        <v>84</v>
      </c>
      <c r="I3931" t="s">
        <v>57</v>
      </c>
      <c r="J3931"/>
      <c r="K3931" t="s">
        <v>771</v>
      </c>
      <c r="L3931" t="s">
        <v>772</v>
      </c>
      <c r="M3931" t="s">
        <v>223</v>
      </c>
      <c r="N3931"/>
      <c r="O3931"/>
      <c r="P3931" t="s">
        <v>224</v>
      </c>
      <c r="Q3931"/>
      <c r="R3931" t="s">
        <v>183</v>
      </c>
      <c r="S3931" t="s">
        <v>64</v>
      </c>
      <c r="T3931">
        <v>246.7</v>
      </c>
      <c r="U3931">
        <v>243.8</v>
      </c>
      <c r="V3931">
        <f t="shared" si="122"/>
        <v>245.25</v>
      </c>
      <c r="W3931">
        <f t="shared" si="123"/>
        <v>2.8999999999999773</v>
      </c>
      <c r="X3931">
        <v>104.327904</v>
      </c>
      <c r="Y3931">
        <v>24.779699000000001</v>
      </c>
      <c r="Z3931" t="s">
        <v>520</v>
      </c>
      <c r="AA3931" t="s">
        <v>379</v>
      </c>
      <c r="AB3931" t="s">
        <v>828</v>
      </c>
      <c r="AC3931" t="s">
        <v>3856</v>
      </c>
      <c r="AD3931" t="s">
        <v>2161</v>
      </c>
      <c r="AE3931"/>
      <c r="AF3931"/>
      <c r="AG3931"/>
      <c r="AH3931" t="s">
        <v>72</v>
      </c>
      <c r="AI3931" t="s">
        <v>3857</v>
      </c>
      <c r="AJ3931">
        <v>2014</v>
      </c>
      <c r="AK3931" t="s">
        <v>4982</v>
      </c>
      <c r="AL3931"/>
      <c r="AM3931" t="s">
        <v>4983</v>
      </c>
      <c r="AN3931" t="s">
        <v>76</v>
      </c>
      <c r="AO3931">
        <v>4</v>
      </c>
      <c r="AP3931" t="s">
        <v>78</v>
      </c>
      <c r="AQ3931" t="s">
        <v>4984</v>
      </c>
      <c r="AR3931" t="s">
        <v>80</v>
      </c>
      <c r="AS3931">
        <v>611</v>
      </c>
      <c r="AT3931" t="s">
        <v>81</v>
      </c>
      <c r="AU3931">
        <v>106.84</v>
      </c>
      <c r="AV3931">
        <v>-11.35</v>
      </c>
      <c r="AW3931" t="s">
        <v>82</v>
      </c>
      <c r="AX3931">
        <v>611</v>
      </c>
      <c r="AY3931" t="s">
        <v>81</v>
      </c>
      <c r="AZ3931">
        <v>95.25</v>
      </c>
      <c r="BA3931">
        <v>10.7</v>
      </c>
      <c r="BB3931" t="s">
        <v>83</v>
      </c>
    </row>
    <row r="3932" spans="1:54" s="3" customFormat="1" ht="15" customHeight="1" x14ac:dyDescent="0.4">
      <c r="A3932">
        <v>1409644</v>
      </c>
      <c r="B3932"/>
      <c r="C3932"/>
      <c r="D3932" t="s">
        <v>54</v>
      </c>
      <c r="E3932" t="s">
        <v>310</v>
      </c>
      <c r="F3932" t="s">
        <v>2523</v>
      </c>
      <c r="G3932">
        <v>1</v>
      </c>
      <c r="H3932" t="s">
        <v>84</v>
      </c>
      <c r="I3932" t="s">
        <v>57</v>
      </c>
      <c r="J3932"/>
      <c r="K3932" t="s">
        <v>771</v>
      </c>
      <c r="L3932" t="s">
        <v>772</v>
      </c>
      <c r="M3932" t="s">
        <v>223</v>
      </c>
      <c r="N3932"/>
      <c r="O3932"/>
      <c r="P3932" t="s">
        <v>224</v>
      </c>
      <c r="Q3932"/>
      <c r="R3932" t="s">
        <v>183</v>
      </c>
      <c r="S3932" t="s">
        <v>64</v>
      </c>
      <c r="T3932">
        <v>246.7</v>
      </c>
      <c r="U3932">
        <v>243.8</v>
      </c>
      <c r="V3932">
        <f t="shared" si="122"/>
        <v>245.25</v>
      </c>
      <c r="W3932">
        <f t="shared" si="123"/>
        <v>2.8999999999999773</v>
      </c>
      <c r="X3932">
        <v>104.833336</v>
      </c>
      <c r="Y3932">
        <v>25.466667000000001</v>
      </c>
      <c r="Z3932" t="s">
        <v>520</v>
      </c>
      <c r="AA3932" t="s">
        <v>379</v>
      </c>
      <c r="AB3932" t="s">
        <v>682</v>
      </c>
      <c r="AC3932" t="s">
        <v>2160</v>
      </c>
      <c r="AD3932" t="s">
        <v>2161</v>
      </c>
      <c r="AE3932"/>
      <c r="AF3932"/>
      <c r="AG3932" t="s">
        <v>3584</v>
      </c>
      <c r="AH3932" t="s">
        <v>72</v>
      </c>
      <c r="AI3932" t="s">
        <v>3571</v>
      </c>
      <c r="AJ3932">
        <v>2006</v>
      </c>
      <c r="AK3932" t="s">
        <v>3585</v>
      </c>
      <c r="AL3932"/>
      <c r="AM3932"/>
      <c r="AN3932" t="s">
        <v>114</v>
      </c>
      <c r="AO3932" t="s">
        <v>160</v>
      </c>
      <c r="AP3932" t="s">
        <v>115</v>
      </c>
      <c r="AQ3932" t="s">
        <v>3586</v>
      </c>
      <c r="AR3932" t="s">
        <v>80</v>
      </c>
      <c r="AS3932">
        <v>611</v>
      </c>
      <c r="AT3932" t="s">
        <v>81</v>
      </c>
      <c r="AU3932">
        <v>107.28</v>
      </c>
      <c r="AV3932">
        <v>-10.65</v>
      </c>
      <c r="AW3932" t="s">
        <v>82</v>
      </c>
      <c r="AX3932">
        <v>611</v>
      </c>
      <c r="AY3932" t="s">
        <v>81</v>
      </c>
      <c r="AZ3932">
        <v>95.27</v>
      </c>
      <c r="BA3932">
        <v>11.53</v>
      </c>
      <c r="BB3932" t="s">
        <v>83</v>
      </c>
    </row>
    <row r="3933" spans="1:54" s="3" customFormat="1" ht="15" customHeight="1" x14ac:dyDescent="0.4">
      <c r="A3933">
        <v>1415693</v>
      </c>
      <c r="B3933"/>
      <c r="C3933"/>
      <c r="D3933" t="s">
        <v>54</v>
      </c>
      <c r="E3933" t="s">
        <v>310</v>
      </c>
      <c r="F3933"/>
      <c r="G3933"/>
      <c r="H3933"/>
      <c r="I3933" t="s">
        <v>57</v>
      </c>
      <c r="J3933"/>
      <c r="K3933" t="s">
        <v>141</v>
      </c>
      <c r="L3933" t="s">
        <v>4493</v>
      </c>
      <c r="M3933" t="s">
        <v>223</v>
      </c>
      <c r="N3933"/>
      <c r="O3933"/>
      <c r="P3933" t="s">
        <v>224</v>
      </c>
      <c r="Q3933"/>
      <c r="R3933" t="s">
        <v>183</v>
      </c>
      <c r="S3933" t="s">
        <v>64</v>
      </c>
      <c r="T3933">
        <v>246.7</v>
      </c>
      <c r="U3933">
        <v>243.8</v>
      </c>
      <c r="V3933">
        <f t="shared" si="122"/>
        <v>245.25</v>
      </c>
      <c r="W3933">
        <f t="shared" si="123"/>
        <v>2.8999999999999773</v>
      </c>
      <c r="X3933">
        <v>104.308891</v>
      </c>
      <c r="Y3933">
        <v>24.884722</v>
      </c>
      <c r="Z3933" t="s">
        <v>520</v>
      </c>
      <c r="AA3933" t="s">
        <v>379</v>
      </c>
      <c r="AB3933" t="s">
        <v>828</v>
      </c>
      <c r="AC3933" t="s">
        <v>3856</v>
      </c>
      <c r="AD3933" t="s">
        <v>2161</v>
      </c>
      <c r="AE3933"/>
      <c r="AF3933" t="s">
        <v>3456</v>
      </c>
      <c r="AG3933"/>
      <c r="AH3933" t="s">
        <v>72</v>
      </c>
      <c r="AI3933" t="s">
        <v>5060</v>
      </c>
      <c r="AJ3933">
        <v>2016</v>
      </c>
      <c r="AK3933" t="s">
        <v>3996</v>
      </c>
      <c r="AL3933"/>
      <c r="AM3933"/>
      <c r="AN3933" t="s">
        <v>341</v>
      </c>
      <c r="AO3933" t="s">
        <v>77</v>
      </c>
      <c r="AP3933" t="s">
        <v>359</v>
      </c>
      <c r="AQ3933" t="s">
        <v>3997</v>
      </c>
      <c r="AR3933" t="s">
        <v>80</v>
      </c>
      <c r="AS3933">
        <v>611</v>
      </c>
      <c r="AT3933" t="s">
        <v>81</v>
      </c>
      <c r="AU3933">
        <v>106.82</v>
      </c>
      <c r="AV3933">
        <v>-11.25</v>
      </c>
      <c r="AW3933" t="s">
        <v>82</v>
      </c>
      <c r="AX3933">
        <v>611</v>
      </c>
      <c r="AY3933" t="s">
        <v>81</v>
      </c>
      <c r="AZ3933">
        <v>95.18</v>
      </c>
      <c r="BA3933">
        <v>10.78</v>
      </c>
      <c r="BB3933" t="s">
        <v>83</v>
      </c>
    </row>
    <row r="3934" spans="1:54" s="3" customFormat="1" ht="15" customHeight="1" x14ac:dyDescent="0.4">
      <c r="A3934">
        <v>1417530</v>
      </c>
      <c r="B3934"/>
      <c r="C3934"/>
      <c r="D3934" t="s">
        <v>54</v>
      </c>
      <c r="E3934" t="s">
        <v>310</v>
      </c>
      <c r="F3934"/>
      <c r="G3934"/>
      <c r="H3934"/>
      <c r="I3934" t="s">
        <v>57</v>
      </c>
      <c r="J3934"/>
      <c r="K3934" t="s">
        <v>141</v>
      </c>
      <c r="L3934" t="s">
        <v>5152</v>
      </c>
      <c r="M3934" t="s">
        <v>223</v>
      </c>
      <c r="N3934"/>
      <c r="O3934"/>
      <c r="P3934" t="s">
        <v>224</v>
      </c>
      <c r="Q3934"/>
      <c r="R3934" t="s">
        <v>183</v>
      </c>
      <c r="S3934" t="s">
        <v>64</v>
      </c>
      <c r="T3934">
        <v>246.7</v>
      </c>
      <c r="U3934">
        <v>243.8</v>
      </c>
      <c r="V3934">
        <f t="shared" si="122"/>
        <v>245.25</v>
      </c>
      <c r="W3934">
        <f t="shared" si="123"/>
        <v>2.8999999999999773</v>
      </c>
      <c r="X3934">
        <v>104.308891</v>
      </c>
      <c r="Y3934">
        <v>24.884722</v>
      </c>
      <c r="Z3934" t="s">
        <v>520</v>
      </c>
      <c r="AA3934" t="s">
        <v>379</v>
      </c>
      <c r="AB3934" t="s">
        <v>828</v>
      </c>
      <c r="AC3934" t="s">
        <v>3856</v>
      </c>
      <c r="AD3934" t="s">
        <v>2161</v>
      </c>
      <c r="AE3934"/>
      <c r="AF3934" t="s">
        <v>3456</v>
      </c>
      <c r="AG3934"/>
      <c r="AH3934" t="s">
        <v>72</v>
      </c>
      <c r="AI3934" t="s">
        <v>3380</v>
      </c>
      <c r="AJ3934">
        <v>2015</v>
      </c>
      <c r="AK3934" t="s">
        <v>3996</v>
      </c>
      <c r="AL3934"/>
      <c r="AM3934"/>
      <c r="AN3934" t="s">
        <v>341</v>
      </c>
      <c r="AO3934" t="s">
        <v>77</v>
      </c>
      <c r="AP3934" t="s">
        <v>359</v>
      </c>
      <c r="AQ3934" t="s">
        <v>3997</v>
      </c>
      <c r="AR3934" t="s">
        <v>80</v>
      </c>
      <c r="AS3934">
        <v>611</v>
      </c>
      <c r="AT3934" t="s">
        <v>81</v>
      </c>
      <c r="AU3934">
        <v>106.82</v>
      </c>
      <c r="AV3934">
        <v>-11.25</v>
      </c>
      <c r="AW3934" t="s">
        <v>82</v>
      </c>
      <c r="AX3934">
        <v>611</v>
      </c>
      <c r="AY3934" t="s">
        <v>81</v>
      </c>
      <c r="AZ3934">
        <v>95.18</v>
      </c>
      <c r="BA3934">
        <v>10.78</v>
      </c>
      <c r="BB3934" t="s">
        <v>83</v>
      </c>
    </row>
    <row r="3935" spans="1:54" s="3" customFormat="1" ht="15" customHeight="1" x14ac:dyDescent="0.4">
      <c r="A3935">
        <v>1418523</v>
      </c>
      <c r="B3935"/>
      <c r="C3935"/>
      <c r="D3935" t="s">
        <v>54</v>
      </c>
      <c r="E3935" t="s">
        <v>310</v>
      </c>
      <c r="F3935"/>
      <c r="G3935"/>
      <c r="H3935"/>
      <c r="I3935" t="s">
        <v>57</v>
      </c>
      <c r="J3935"/>
      <c r="K3935" t="s">
        <v>771</v>
      </c>
      <c r="L3935" t="s">
        <v>3368</v>
      </c>
      <c r="M3935" t="s">
        <v>223</v>
      </c>
      <c r="N3935"/>
      <c r="O3935"/>
      <c r="P3935" t="s">
        <v>224</v>
      </c>
      <c r="Q3935"/>
      <c r="R3935" t="s">
        <v>183</v>
      </c>
      <c r="S3935" t="s">
        <v>64</v>
      </c>
      <c r="T3935">
        <v>246.7</v>
      </c>
      <c r="U3935">
        <v>243.8</v>
      </c>
      <c r="V3935">
        <f t="shared" si="122"/>
        <v>245.25</v>
      </c>
      <c r="W3935">
        <f t="shared" si="123"/>
        <v>2.8999999999999773</v>
      </c>
      <c r="X3935">
        <v>104.84889200000001</v>
      </c>
      <c r="Y3935">
        <v>25.475833999999999</v>
      </c>
      <c r="Z3935" t="s">
        <v>520</v>
      </c>
      <c r="AA3935" t="s">
        <v>379</v>
      </c>
      <c r="AB3935" t="s">
        <v>682</v>
      </c>
      <c r="AC3935" t="s">
        <v>2160</v>
      </c>
      <c r="AD3935" t="s">
        <v>2161</v>
      </c>
      <c r="AE3935"/>
      <c r="AF3935" t="s">
        <v>1188</v>
      </c>
      <c r="AG3935" t="s">
        <v>3440</v>
      </c>
      <c r="AH3935" t="s">
        <v>72</v>
      </c>
      <c r="AI3935" t="s">
        <v>3571</v>
      </c>
      <c r="AJ3935">
        <v>2006</v>
      </c>
      <c r="AK3935" t="s">
        <v>3572</v>
      </c>
      <c r="AL3935"/>
      <c r="AM3935"/>
      <c r="AN3935" t="s">
        <v>114</v>
      </c>
      <c r="AO3935" t="s">
        <v>77</v>
      </c>
      <c r="AP3935" t="s">
        <v>115</v>
      </c>
      <c r="AQ3935"/>
      <c r="AR3935" t="s">
        <v>80</v>
      </c>
      <c r="AS3935">
        <v>611</v>
      </c>
      <c r="AT3935" t="s">
        <v>81</v>
      </c>
      <c r="AU3935">
        <v>107.29</v>
      </c>
      <c r="AV3935">
        <v>-10.64</v>
      </c>
      <c r="AW3935" t="s">
        <v>82</v>
      </c>
      <c r="AX3935">
        <v>611</v>
      </c>
      <c r="AY3935" t="s">
        <v>81</v>
      </c>
      <c r="AZ3935">
        <v>95.28</v>
      </c>
      <c r="BA3935">
        <v>11.54</v>
      </c>
      <c r="BB3935" t="s">
        <v>83</v>
      </c>
    </row>
    <row r="3936" spans="1:54" s="3" customFormat="1" ht="15" customHeight="1" x14ac:dyDescent="0.4">
      <c r="A3936">
        <v>1418533</v>
      </c>
      <c r="B3936"/>
      <c r="C3936"/>
      <c r="D3936" t="s">
        <v>54</v>
      </c>
      <c r="E3936"/>
      <c r="F3936"/>
      <c r="G3936"/>
      <c r="H3936"/>
      <c r="I3936" t="s">
        <v>57</v>
      </c>
      <c r="J3936"/>
      <c r="K3936" t="s">
        <v>771</v>
      </c>
      <c r="L3936" t="s">
        <v>3368</v>
      </c>
      <c r="M3936" t="s">
        <v>223</v>
      </c>
      <c r="N3936"/>
      <c r="O3936"/>
      <c r="P3936" t="s">
        <v>224</v>
      </c>
      <c r="Q3936"/>
      <c r="R3936" t="s">
        <v>183</v>
      </c>
      <c r="S3936" t="s">
        <v>64</v>
      </c>
      <c r="T3936">
        <v>246.7</v>
      </c>
      <c r="U3936">
        <v>243.8</v>
      </c>
      <c r="V3936">
        <f t="shared" si="122"/>
        <v>245.25</v>
      </c>
      <c r="W3936">
        <f t="shared" si="123"/>
        <v>2.8999999999999773</v>
      </c>
      <c r="X3936">
        <v>8.3094000000000001</v>
      </c>
      <c r="Y3936">
        <v>52.100700000000003</v>
      </c>
      <c r="Z3936" t="s">
        <v>520</v>
      </c>
      <c r="AA3936" t="s">
        <v>211</v>
      </c>
      <c r="AB3936" t="s">
        <v>5186</v>
      </c>
      <c r="AC3936"/>
      <c r="AD3936" t="s">
        <v>5187</v>
      </c>
      <c r="AE3936" t="s">
        <v>1378</v>
      </c>
      <c r="AF3936" t="s">
        <v>5188</v>
      </c>
      <c r="AG3936"/>
      <c r="AH3936" t="s">
        <v>72</v>
      </c>
      <c r="AI3936" t="s">
        <v>5147</v>
      </c>
      <c r="AJ3936">
        <v>2014</v>
      </c>
      <c r="AK3936" t="s">
        <v>5189</v>
      </c>
      <c r="AL3936"/>
      <c r="AM3936"/>
      <c r="AN3936" t="s">
        <v>76</v>
      </c>
      <c r="AO3936">
        <v>4</v>
      </c>
      <c r="AP3936" t="s">
        <v>115</v>
      </c>
      <c r="AQ3936" t="s">
        <v>5190</v>
      </c>
      <c r="AR3936" t="s">
        <v>80</v>
      </c>
      <c r="AS3936">
        <v>315</v>
      </c>
      <c r="AT3936" t="s">
        <v>81</v>
      </c>
      <c r="AU3936">
        <v>27.22</v>
      </c>
      <c r="AV3936">
        <v>30.51</v>
      </c>
      <c r="AW3936" t="s">
        <v>82</v>
      </c>
      <c r="AX3936">
        <v>315</v>
      </c>
      <c r="AY3936" t="s">
        <v>81</v>
      </c>
      <c r="AZ3936">
        <v>17.52</v>
      </c>
      <c r="BA3936">
        <v>17.41</v>
      </c>
      <c r="BB3936" t="s">
        <v>83</v>
      </c>
    </row>
    <row r="3937" spans="1:54" s="3" customFormat="1" ht="15" customHeight="1" x14ac:dyDescent="0.4">
      <c r="A3937">
        <v>1418765</v>
      </c>
      <c r="B3937"/>
      <c r="C3937"/>
      <c r="D3937" t="s">
        <v>54</v>
      </c>
      <c r="E3937"/>
      <c r="F3937" t="s">
        <v>3935</v>
      </c>
      <c r="G3937"/>
      <c r="H3937"/>
      <c r="I3937" t="s">
        <v>57</v>
      </c>
      <c r="J3937"/>
      <c r="K3937" t="s">
        <v>232</v>
      </c>
      <c r="L3937" t="s">
        <v>233</v>
      </c>
      <c r="M3937" t="s">
        <v>223</v>
      </c>
      <c r="N3937" t="s">
        <v>234</v>
      </c>
      <c r="O3937" t="s">
        <v>87</v>
      </c>
      <c r="P3937" t="s">
        <v>224</v>
      </c>
      <c r="Q3937"/>
      <c r="R3937" t="s">
        <v>183</v>
      </c>
      <c r="S3937" t="s">
        <v>64</v>
      </c>
      <c r="T3937">
        <v>246.7</v>
      </c>
      <c r="U3937">
        <v>243.8</v>
      </c>
      <c r="V3937">
        <f t="shared" si="122"/>
        <v>245.25</v>
      </c>
      <c r="W3937">
        <f t="shared" si="123"/>
        <v>2.8999999999999773</v>
      </c>
      <c r="X3937">
        <v>104.980003</v>
      </c>
      <c r="Y3937">
        <v>25.6</v>
      </c>
      <c r="Z3937" t="s">
        <v>520</v>
      </c>
      <c r="AA3937" t="s">
        <v>379</v>
      </c>
      <c r="AB3937" t="s">
        <v>682</v>
      </c>
      <c r="AC3937"/>
      <c r="AD3937" t="s">
        <v>2161</v>
      </c>
      <c r="AE3937"/>
      <c r="AF3937" t="s">
        <v>1188</v>
      </c>
      <c r="AG3937" t="s">
        <v>3440</v>
      </c>
      <c r="AH3937" t="s">
        <v>72</v>
      </c>
      <c r="AI3937" t="s">
        <v>5203</v>
      </c>
      <c r="AJ3937">
        <v>2010</v>
      </c>
      <c r="AK3937" t="s">
        <v>5204</v>
      </c>
      <c r="AL3937"/>
      <c r="AM3937"/>
      <c r="AN3937" t="s">
        <v>192</v>
      </c>
      <c r="AO3937">
        <v>1</v>
      </c>
      <c r="AP3937" t="s">
        <v>115</v>
      </c>
      <c r="AQ3937"/>
      <c r="AR3937" t="s">
        <v>80</v>
      </c>
      <c r="AS3937">
        <v>611</v>
      </c>
      <c r="AT3937" t="s">
        <v>81</v>
      </c>
      <c r="AU3937">
        <v>107.41</v>
      </c>
      <c r="AV3937">
        <v>-10.51</v>
      </c>
      <c r="AW3937" t="s">
        <v>82</v>
      </c>
      <c r="AX3937">
        <v>611</v>
      </c>
      <c r="AY3937" t="s">
        <v>81</v>
      </c>
      <c r="AZ3937">
        <v>95.32</v>
      </c>
      <c r="BA3937">
        <v>11.71</v>
      </c>
      <c r="BB3937" t="s">
        <v>83</v>
      </c>
    </row>
    <row r="3938" spans="1:54" s="3" customFormat="1" ht="15" customHeight="1" x14ac:dyDescent="0.4">
      <c r="A3938">
        <v>1419101</v>
      </c>
      <c r="B3938"/>
      <c r="C3938"/>
      <c r="D3938" t="s">
        <v>54</v>
      </c>
      <c r="E3938" t="s">
        <v>310</v>
      </c>
      <c r="F3938" t="s">
        <v>2523</v>
      </c>
      <c r="G3938"/>
      <c r="H3938"/>
      <c r="I3938" t="s">
        <v>57</v>
      </c>
      <c r="J3938"/>
      <c r="K3938" t="s">
        <v>1347</v>
      </c>
      <c r="L3938" t="s">
        <v>1348</v>
      </c>
      <c r="M3938" t="s">
        <v>223</v>
      </c>
      <c r="N3938" t="s">
        <v>485</v>
      </c>
      <c r="O3938" t="s">
        <v>1349</v>
      </c>
      <c r="P3938" t="s">
        <v>224</v>
      </c>
      <c r="Q3938"/>
      <c r="R3938" t="s">
        <v>183</v>
      </c>
      <c r="S3938" t="s">
        <v>64</v>
      </c>
      <c r="T3938">
        <v>246.7</v>
      </c>
      <c r="U3938">
        <v>243.8</v>
      </c>
      <c r="V3938">
        <f t="shared" si="122"/>
        <v>245.25</v>
      </c>
      <c r="W3938">
        <f t="shared" si="123"/>
        <v>2.8999999999999773</v>
      </c>
      <c r="X3938">
        <v>104.833336</v>
      </c>
      <c r="Y3938">
        <v>25.466667000000001</v>
      </c>
      <c r="Z3938" t="s">
        <v>520</v>
      </c>
      <c r="AA3938" t="s">
        <v>379</v>
      </c>
      <c r="AB3938" t="s">
        <v>682</v>
      </c>
      <c r="AC3938" t="s">
        <v>2160</v>
      </c>
      <c r="AD3938" t="s">
        <v>2161</v>
      </c>
      <c r="AE3938"/>
      <c r="AF3938"/>
      <c r="AG3938" t="s">
        <v>3584</v>
      </c>
      <c r="AH3938" t="s">
        <v>72</v>
      </c>
      <c r="AI3938" t="s">
        <v>3571</v>
      </c>
      <c r="AJ3938">
        <v>2008</v>
      </c>
      <c r="AK3938" t="s">
        <v>3585</v>
      </c>
      <c r="AL3938"/>
      <c r="AM3938"/>
      <c r="AN3938" t="s">
        <v>114</v>
      </c>
      <c r="AO3938" t="s">
        <v>160</v>
      </c>
      <c r="AP3938" t="s">
        <v>115</v>
      </c>
      <c r="AQ3938" t="s">
        <v>3586</v>
      </c>
      <c r="AR3938" t="s">
        <v>80</v>
      </c>
      <c r="AS3938">
        <v>611</v>
      </c>
      <c r="AT3938" t="s">
        <v>81</v>
      </c>
      <c r="AU3938">
        <v>107.28</v>
      </c>
      <c r="AV3938">
        <v>-10.65</v>
      </c>
      <c r="AW3938" t="s">
        <v>82</v>
      </c>
      <c r="AX3938">
        <v>611</v>
      </c>
      <c r="AY3938" t="s">
        <v>81</v>
      </c>
      <c r="AZ3938">
        <v>95.27</v>
      </c>
      <c r="BA3938">
        <v>11.53</v>
      </c>
      <c r="BB3938" t="s">
        <v>83</v>
      </c>
    </row>
    <row r="3939" spans="1:54" s="3" customFormat="1" ht="15" customHeight="1" x14ac:dyDescent="0.4">
      <c r="A3939">
        <v>1419309</v>
      </c>
      <c r="B3939"/>
      <c r="C3939"/>
      <c r="D3939" t="s">
        <v>54</v>
      </c>
      <c r="E3939"/>
      <c r="F3939"/>
      <c r="G3939"/>
      <c r="H3939"/>
      <c r="I3939" t="s">
        <v>57</v>
      </c>
      <c r="J3939"/>
      <c r="K3939" t="s">
        <v>221</v>
      </c>
      <c r="L3939" t="s">
        <v>2086</v>
      </c>
      <c r="M3939" t="s">
        <v>223</v>
      </c>
      <c r="N3939"/>
      <c r="O3939"/>
      <c r="P3939" t="s">
        <v>224</v>
      </c>
      <c r="Q3939"/>
      <c r="R3939" t="s">
        <v>183</v>
      </c>
      <c r="S3939" t="s">
        <v>64</v>
      </c>
      <c r="T3939">
        <v>246.7</v>
      </c>
      <c r="U3939">
        <v>243.8</v>
      </c>
      <c r="V3939">
        <f t="shared" si="122"/>
        <v>245.25</v>
      </c>
      <c r="W3939">
        <f t="shared" si="123"/>
        <v>2.8999999999999773</v>
      </c>
      <c r="X3939">
        <v>11.290556</v>
      </c>
      <c r="Y3939">
        <v>51.915000999999997</v>
      </c>
      <c r="Z3939" t="s">
        <v>520</v>
      </c>
      <c r="AA3939" t="s">
        <v>211</v>
      </c>
      <c r="AB3939" t="s">
        <v>266</v>
      </c>
      <c r="AC3939"/>
      <c r="AD3939" t="s">
        <v>4181</v>
      </c>
      <c r="AE3939" t="s">
        <v>1378</v>
      </c>
      <c r="AF3939"/>
      <c r="AG3939"/>
      <c r="AH3939" t="s">
        <v>72</v>
      </c>
      <c r="AI3939" t="s">
        <v>5147</v>
      </c>
      <c r="AJ3939">
        <v>2013</v>
      </c>
      <c r="AK3939" t="s">
        <v>5271</v>
      </c>
      <c r="AL3939"/>
      <c r="AM3939"/>
      <c r="AN3939" t="s">
        <v>114</v>
      </c>
      <c r="AO3939" t="s">
        <v>77</v>
      </c>
      <c r="AP3939" t="s">
        <v>359</v>
      </c>
      <c r="AQ3939" t="s">
        <v>5272</v>
      </c>
      <c r="AR3939" t="s">
        <v>80</v>
      </c>
      <c r="AS3939">
        <v>315</v>
      </c>
      <c r="AT3939" t="s">
        <v>81</v>
      </c>
      <c r="AU3939">
        <v>29.35</v>
      </c>
      <c r="AV3939">
        <v>30.76</v>
      </c>
      <c r="AW3939" t="s">
        <v>82</v>
      </c>
      <c r="AX3939">
        <v>315</v>
      </c>
      <c r="AY3939" t="s">
        <v>81</v>
      </c>
      <c r="AZ3939">
        <v>19.37</v>
      </c>
      <c r="BA3939">
        <v>17.96</v>
      </c>
      <c r="BB3939" t="s">
        <v>83</v>
      </c>
    </row>
    <row r="3940" spans="1:54" s="3" customFormat="1" ht="15" customHeight="1" x14ac:dyDescent="0.4">
      <c r="A3940">
        <v>1441011</v>
      </c>
      <c r="B3940"/>
      <c r="C3940"/>
      <c r="D3940" t="s">
        <v>54</v>
      </c>
      <c r="E3940" t="s">
        <v>310</v>
      </c>
      <c r="F3940"/>
      <c r="G3940">
        <v>1</v>
      </c>
      <c r="H3940" t="s">
        <v>84</v>
      </c>
      <c r="I3940" t="s">
        <v>57</v>
      </c>
      <c r="J3940"/>
      <c r="K3940" t="s">
        <v>221</v>
      </c>
      <c r="L3940" t="s">
        <v>5398</v>
      </c>
      <c r="M3940" t="s">
        <v>223</v>
      </c>
      <c r="N3940"/>
      <c r="O3940"/>
      <c r="P3940" t="s">
        <v>224</v>
      </c>
      <c r="Q3940"/>
      <c r="R3940" t="s">
        <v>183</v>
      </c>
      <c r="S3940" t="s">
        <v>64</v>
      </c>
      <c r="T3940">
        <v>246.7</v>
      </c>
      <c r="U3940">
        <v>243.8</v>
      </c>
      <c r="V3940">
        <f t="shared" si="122"/>
        <v>245.25</v>
      </c>
      <c r="W3940">
        <f t="shared" si="123"/>
        <v>2.8999999999999773</v>
      </c>
      <c r="X3940">
        <v>104.84889200000001</v>
      </c>
      <c r="Y3940">
        <v>25.475833999999999</v>
      </c>
      <c r="Z3940" t="s">
        <v>520</v>
      </c>
      <c r="AA3940" t="s">
        <v>379</v>
      </c>
      <c r="AB3940" t="s">
        <v>682</v>
      </c>
      <c r="AC3940" t="s">
        <v>2160</v>
      </c>
      <c r="AD3940" t="s">
        <v>2161</v>
      </c>
      <c r="AE3940"/>
      <c r="AF3940" t="s">
        <v>1188</v>
      </c>
      <c r="AG3940" t="s">
        <v>3440</v>
      </c>
      <c r="AH3940" t="s">
        <v>72</v>
      </c>
      <c r="AI3940" t="s">
        <v>3571</v>
      </c>
      <c r="AJ3940">
        <v>2018</v>
      </c>
      <c r="AK3940" t="s">
        <v>3572</v>
      </c>
      <c r="AL3940"/>
      <c r="AM3940"/>
      <c r="AN3940" t="s">
        <v>114</v>
      </c>
      <c r="AO3940" t="s">
        <v>77</v>
      </c>
      <c r="AP3940" t="s">
        <v>115</v>
      </c>
      <c r="AQ3940"/>
      <c r="AR3940" t="s">
        <v>80</v>
      </c>
      <c r="AS3940">
        <v>611</v>
      </c>
      <c r="AT3940" t="s">
        <v>81</v>
      </c>
      <c r="AU3940">
        <v>107.29</v>
      </c>
      <c r="AV3940">
        <v>-10.64</v>
      </c>
      <c r="AW3940" t="s">
        <v>82</v>
      </c>
      <c r="AX3940">
        <v>611</v>
      </c>
      <c r="AY3940" t="s">
        <v>81</v>
      </c>
      <c r="AZ3940">
        <v>95.28</v>
      </c>
      <c r="BA3940">
        <v>11.54</v>
      </c>
      <c r="BB3940" t="s">
        <v>83</v>
      </c>
    </row>
    <row r="3941" spans="1:54" s="3" customFormat="1" ht="15" customHeight="1" x14ac:dyDescent="0.4">
      <c r="A3941">
        <v>1530062</v>
      </c>
      <c r="B3941"/>
      <c r="C3941"/>
      <c r="D3941" t="s">
        <v>54</v>
      </c>
      <c r="E3941"/>
      <c r="F3941"/>
      <c r="G3941"/>
      <c r="H3941"/>
      <c r="I3941" t="s">
        <v>57</v>
      </c>
      <c r="J3941"/>
      <c r="K3941" t="s">
        <v>141</v>
      </c>
      <c r="L3941" t="s">
        <v>1355</v>
      </c>
      <c r="M3941" t="s">
        <v>223</v>
      </c>
      <c r="N3941"/>
      <c r="O3941"/>
      <c r="P3941" t="s">
        <v>224</v>
      </c>
      <c r="Q3941"/>
      <c r="R3941" t="s">
        <v>183</v>
      </c>
      <c r="S3941" t="s">
        <v>64</v>
      </c>
      <c r="T3941">
        <v>246.7</v>
      </c>
      <c r="U3941">
        <v>243.8</v>
      </c>
      <c r="V3941">
        <f t="shared" si="122"/>
        <v>245.25</v>
      </c>
      <c r="W3941">
        <f t="shared" si="123"/>
        <v>2.8999999999999773</v>
      </c>
      <c r="X3941">
        <v>34.816665999999998</v>
      </c>
      <c r="Y3941">
        <v>30.6</v>
      </c>
      <c r="Z3941" t="s">
        <v>520</v>
      </c>
      <c r="AA3941" t="s">
        <v>1351</v>
      </c>
      <c r="AB3941" t="s">
        <v>5257</v>
      </c>
      <c r="AC3941"/>
      <c r="AD3941" t="s">
        <v>4754</v>
      </c>
      <c r="AE3941"/>
      <c r="AF3941" t="s">
        <v>5506</v>
      </c>
      <c r="AG3941"/>
      <c r="AH3941" t="s">
        <v>72</v>
      </c>
      <c r="AI3941" t="s">
        <v>5507</v>
      </c>
      <c r="AJ3941">
        <v>1985</v>
      </c>
      <c r="AK3941" t="s">
        <v>5508</v>
      </c>
      <c r="AL3941"/>
      <c r="AM3941"/>
      <c r="AN3941" t="s">
        <v>114</v>
      </c>
      <c r="AO3941" t="s">
        <v>160</v>
      </c>
      <c r="AP3941" t="s">
        <v>78</v>
      </c>
      <c r="AQ3941"/>
      <c r="AR3941" t="s">
        <v>80</v>
      </c>
      <c r="AS3941">
        <v>508</v>
      </c>
      <c r="AT3941" t="s">
        <v>81</v>
      </c>
      <c r="AU3941">
        <v>39.06</v>
      </c>
      <c r="AV3941">
        <v>-3.36</v>
      </c>
      <c r="AW3941" t="s">
        <v>82</v>
      </c>
      <c r="AX3941">
        <v>508</v>
      </c>
      <c r="AY3941" t="s">
        <v>81</v>
      </c>
      <c r="AZ3941">
        <v>34.9</v>
      </c>
      <c r="BA3941">
        <v>-13.91</v>
      </c>
      <c r="BB3941" t="s">
        <v>83</v>
      </c>
    </row>
    <row r="3942" spans="1:54" s="3" customFormat="1" ht="15" customHeight="1" x14ac:dyDescent="0.4">
      <c r="A3942">
        <v>1648021</v>
      </c>
      <c r="B3942"/>
      <c r="C3942"/>
      <c r="D3942" t="s">
        <v>54</v>
      </c>
      <c r="E3942"/>
      <c r="F3942"/>
      <c r="G3942">
        <v>1</v>
      </c>
      <c r="H3942" t="s">
        <v>84</v>
      </c>
      <c r="I3942" t="s">
        <v>57</v>
      </c>
      <c r="J3942"/>
      <c r="K3942" t="s">
        <v>221</v>
      </c>
      <c r="L3942" t="s">
        <v>5683</v>
      </c>
      <c r="M3942" t="s">
        <v>223</v>
      </c>
      <c r="N3942"/>
      <c r="O3942"/>
      <c r="P3942" t="s">
        <v>224</v>
      </c>
      <c r="Q3942"/>
      <c r="R3942" t="s">
        <v>183</v>
      </c>
      <c r="S3942" t="s">
        <v>64</v>
      </c>
      <c r="T3942">
        <v>246.7</v>
      </c>
      <c r="U3942">
        <v>243.8</v>
      </c>
      <c r="V3942">
        <f t="shared" si="122"/>
        <v>245.25</v>
      </c>
      <c r="W3942">
        <f t="shared" si="123"/>
        <v>2.8999999999999773</v>
      </c>
      <c r="X3942">
        <v>104.199997</v>
      </c>
      <c r="Y3942">
        <v>24.9</v>
      </c>
      <c r="Z3942" t="s">
        <v>1596</v>
      </c>
      <c r="AA3942" t="s">
        <v>379</v>
      </c>
      <c r="AB3942" t="s">
        <v>828</v>
      </c>
      <c r="AC3942"/>
      <c r="AD3942" t="s">
        <v>2161</v>
      </c>
      <c r="AE3942"/>
      <c r="AF3942" t="s">
        <v>5684</v>
      </c>
      <c r="AG3942"/>
      <c r="AH3942" t="s">
        <v>72</v>
      </c>
      <c r="AI3942" t="s">
        <v>1040</v>
      </c>
      <c r="AJ3942">
        <v>2022</v>
      </c>
      <c r="AK3942" t="s">
        <v>5685</v>
      </c>
      <c r="AL3942"/>
      <c r="AM3942"/>
      <c r="AN3942" t="s">
        <v>114</v>
      </c>
      <c r="AO3942">
        <v>1</v>
      </c>
      <c r="AP3942" t="s">
        <v>78</v>
      </c>
      <c r="AQ3942"/>
      <c r="AR3942" t="s">
        <v>80</v>
      </c>
      <c r="AS3942">
        <v>611</v>
      </c>
      <c r="AT3942" t="s">
        <v>81</v>
      </c>
      <c r="AU3942">
        <v>106.72</v>
      </c>
      <c r="AV3942">
        <v>-11.24</v>
      </c>
      <c r="AW3942" t="s">
        <v>82</v>
      </c>
      <c r="AX3942">
        <v>611</v>
      </c>
      <c r="AY3942" t="s">
        <v>81</v>
      </c>
      <c r="AZ3942">
        <v>95.08</v>
      </c>
      <c r="BA3942">
        <v>10.74</v>
      </c>
      <c r="BB3942" t="s">
        <v>83</v>
      </c>
    </row>
    <row r="3943" spans="1:54" s="3" customFormat="1" ht="15" customHeight="1" x14ac:dyDescent="0.4">
      <c r="A3943">
        <v>1648024</v>
      </c>
      <c r="B3943"/>
      <c r="C3943"/>
      <c r="D3943" t="s">
        <v>54</v>
      </c>
      <c r="E3943" t="s">
        <v>310</v>
      </c>
      <c r="F3943"/>
      <c r="G3943">
        <v>1</v>
      </c>
      <c r="H3943" t="s">
        <v>84</v>
      </c>
      <c r="I3943" t="s">
        <v>57</v>
      </c>
      <c r="J3943"/>
      <c r="K3943" t="s">
        <v>221</v>
      </c>
      <c r="L3943" t="s">
        <v>5687</v>
      </c>
      <c r="M3943" t="s">
        <v>223</v>
      </c>
      <c r="N3943"/>
      <c r="O3943"/>
      <c r="P3943" t="s">
        <v>224</v>
      </c>
      <c r="Q3943"/>
      <c r="R3943" t="s">
        <v>183</v>
      </c>
      <c r="S3943" t="s">
        <v>64</v>
      </c>
      <c r="T3943">
        <v>246.7</v>
      </c>
      <c r="U3943">
        <v>243.8</v>
      </c>
      <c r="V3943">
        <f t="shared" si="122"/>
        <v>245.25</v>
      </c>
      <c r="W3943">
        <f t="shared" si="123"/>
        <v>2.8999999999999773</v>
      </c>
      <c r="X3943">
        <v>104.308891</v>
      </c>
      <c r="Y3943">
        <v>24.884722</v>
      </c>
      <c r="Z3943" t="s">
        <v>520</v>
      </c>
      <c r="AA3943" t="s">
        <v>379</v>
      </c>
      <c r="AB3943" t="s">
        <v>828</v>
      </c>
      <c r="AC3943" t="s">
        <v>3856</v>
      </c>
      <c r="AD3943" t="s">
        <v>2161</v>
      </c>
      <c r="AE3943"/>
      <c r="AF3943" t="s">
        <v>3456</v>
      </c>
      <c r="AG3943"/>
      <c r="AH3943" t="s">
        <v>72</v>
      </c>
      <c r="AI3943" t="s">
        <v>1040</v>
      </c>
      <c r="AJ3943">
        <v>2023</v>
      </c>
      <c r="AK3943" t="s">
        <v>3996</v>
      </c>
      <c r="AL3943"/>
      <c r="AM3943"/>
      <c r="AN3943" t="s">
        <v>341</v>
      </c>
      <c r="AO3943" t="s">
        <v>77</v>
      </c>
      <c r="AP3943" t="s">
        <v>359</v>
      </c>
      <c r="AQ3943" t="s">
        <v>3997</v>
      </c>
      <c r="AR3943" t="s">
        <v>80</v>
      </c>
      <c r="AS3943">
        <v>611</v>
      </c>
      <c r="AT3943" t="s">
        <v>81</v>
      </c>
      <c r="AU3943">
        <v>106.82</v>
      </c>
      <c r="AV3943">
        <v>-11.25</v>
      </c>
      <c r="AW3943" t="s">
        <v>82</v>
      </c>
      <c r="AX3943">
        <v>611</v>
      </c>
      <c r="AY3943" t="s">
        <v>81</v>
      </c>
      <c r="AZ3943">
        <v>95.18</v>
      </c>
      <c r="BA3943">
        <v>10.78</v>
      </c>
      <c r="BB3943" t="s">
        <v>83</v>
      </c>
    </row>
    <row r="3944" spans="1:54" s="3" customFormat="1" ht="15" customHeight="1" x14ac:dyDescent="0.4">
      <c r="A3944">
        <v>916023</v>
      </c>
      <c r="B3944"/>
      <c r="C3944"/>
      <c r="D3944" t="s">
        <v>54</v>
      </c>
      <c r="E3944" t="s">
        <v>152</v>
      </c>
      <c r="F3944"/>
      <c r="G3944">
        <v>1</v>
      </c>
      <c r="H3944" t="s">
        <v>84</v>
      </c>
      <c r="I3944" t="s">
        <v>57</v>
      </c>
      <c r="J3944"/>
      <c r="K3944" t="s">
        <v>141</v>
      </c>
      <c r="L3944" t="s">
        <v>529</v>
      </c>
      <c r="M3944" t="s">
        <v>223</v>
      </c>
      <c r="N3944"/>
      <c r="O3944"/>
      <c r="P3944" t="s">
        <v>224</v>
      </c>
      <c r="Q3944"/>
      <c r="R3944" t="s">
        <v>183</v>
      </c>
      <c r="S3944" t="s">
        <v>64</v>
      </c>
      <c r="T3944">
        <v>246.7</v>
      </c>
      <c r="U3944">
        <v>244.7</v>
      </c>
      <c r="V3944">
        <f t="shared" si="122"/>
        <v>245.7</v>
      </c>
      <c r="W3944">
        <f t="shared" si="123"/>
        <v>2</v>
      </c>
      <c r="X3944">
        <v>17.965136999999999</v>
      </c>
      <c r="Y3944">
        <v>50.474505999999998</v>
      </c>
      <c r="Z3944" t="s">
        <v>520</v>
      </c>
      <c r="AA3944" t="s">
        <v>697</v>
      </c>
      <c r="AB3944" t="s">
        <v>3595</v>
      </c>
      <c r="AC3944"/>
      <c r="AD3944" t="s">
        <v>3596</v>
      </c>
      <c r="AE3944"/>
      <c r="AF3944"/>
      <c r="AG3944" t="s">
        <v>3597</v>
      </c>
      <c r="AH3944" t="s">
        <v>72</v>
      </c>
      <c r="AI3944" t="s">
        <v>2013</v>
      </c>
      <c r="AJ3944">
        <v>1999</v>
      </c>
      <c r="AK3944" t="s">
        <v>3598</v>
      </c>
      <c r="AL3944"/>
      <c r="AM3944" t="s">
        <v>3599</v>
      </c>
      <c r="AN3944" t="s">
        <v>114</v>
      </c>
      <c r="AO3944">
        <v>6</v>
      </c>
      <c r="AP3944" t="s">
        <v>115</v>
      </c>
      <c r="AQ3944" t="s">
        <v>3600</v>
      </c>
      <c r="AR3944" t="s">
        <v>80</v>
      </c>
      <c r="AS3944">
        <v>305</v>
      </c>
      <c r="AT3944" t="s">
        <v>81</v>
      </c>
      <c r="AU3944">
        <v>34.479999999999997</v>
      </c>
      <c r="AV3944">
        <v>30.5</v>
      </c>
      <c r="AW3944" t="s">
        <v>82</v>
      </c>
      <c r="AX3944">
        <v>305</v>
      </c>
      <c r="AY3944" t="s">
        <v>81</v>
      </c>
      <c r="AZ3944">
        <v>23.99</v>
      </c>
      <c r="BA3944">
        <v>18.489999999999998</v>
      </c>
      <c r="BB3944" t="s">
        <v>83</v>
      </c>
    </row>
    <row r="3945" spans="1:54" s="3" customFormat="1" ht="15" customHeight="1" x14ac:dyDescent="0.4">
      <c r="A3945">
        <v>930320</v>
      </c>
      <c r="B3945"/>
      <c r="C3945"/>
      <c r="D3945" t="s">
        <v>54</v>
      </c>
      <c r="E3945"/>
      <c r="F3945"/>
      <c r="G3945">
        <v>1</v>
      </c>
      <c r="H3945" t="s">
        <v>84</v>
      </c>
      <c r="I3945" t="s">
        <v>57</v>
      </c>
      <c r="J3945"/>
      <c r="K3945" t="s">
        <v>141</v>
      </c>
      <c r="L3945" t="s">
        <v>529</v>
      </c>
      <c r="M3945" t="s">
        <v>223</v>
      </c>
      <c r="N3945"/>
      <c r="O3945"/>
      <c r="P3945" t="s">
        <v>224</v>
      </c>
      <c r="Q3945"/>
      <c r="R3945" t="s">
        <v>183</v>
      </c>
      <c r="S3945" t="s">
        <v>64</v>
      </c>
      <c r="T3945">
        <v>246.7</v>
      </c>
      <c r="U3945">
        <v>244.7</v>
      </c>
      <c r="V3945">
        <f t="shared" si="122"/>
        <v>245.7</v>
      </c>
      <c r="W3945">
        <f t="shared" si="123"/>
        <v>2</v>
      </c>
      <c r="X3945">
        <v>11.901672</v>
      </c>
      <c r="Y3945">
        <v>51.484245000000001</v>
      </c>
      <c r="Z3945" t="s">
        <v>124</v>
      </c>
      <c r="AA3945" t="s">
        <v>211</v>
      </c>
      <c r="AB3945" t="s">
        <v>266</v>
      </c>
      <c r="AC3945"/>
      <c r="AD3945" t="s">
        <v>3756</v>
      </c>
      <c r="AE3945" t="s">
        <v>3757</v>
      </c>
      <c r="AF3945"/>
      <c r="AG3945" t="s">
        <v>3597</v>
      </c>
      <c r="AH3945" t="s">
        <v>72</v>
      </c>
      <c r="AI3945" t="s">
        <v>2013</v>
      </c>
      <c r="AJ3945">
        <v>1999</v>
      </c>
      <c r="AK3945" t="s">
        <v>3758</v>
      </c>
      <c r="AL3945"/>
      <c r="AM3945"/>
      <c r="AN3945" t="s">
        <v>114</v>
      </c>
      <c r="AO3945">
        <v>6</v>
      </c>
      <c r="AP3945" t="s">
        <v>115</v>
      </c>
      <c r="AQ3945" t="s">
        <v>3759</v>
      </c>
      <c r="AR3945" t="s">
        <v>80</v>
      </c>
      <c r="AS3945">
        <v>305</v>
      </c>
      <c r="AT3945" t="s">
        <v>81</v>
      </c>
      <c r="AU3945">
        <v>29.9</v>
      </c>
      <c r="AV3945">
        <v>30.44</v>
      </c>
      <c r="AW3945" t="s">
        <v>82</v>
      </c>
      <c r="AX3945">
        <v>305</v>
      </c>
      <c r="AY3945" t="s">
        <v>81</v>
      </c>
      <c r="AZ3945">
        <v>19.920000000000002</v>
      </c>
      <c r="BA3945">
        <v>17.72</v>
      </c>
      <c r="BB3945" t="s">
        <v>83</v>
      </c>
    </row>
    <row r="3946" spans="1:54" s="3" customFormat="1" ht="15" customHeight="1" x14ac:dyDescent="0.4">
      <c r="A3946">
        <v>1195725</v>
      </c>
      <c r="B3946"/>
      <c r="C3946"/>
      <c r="D3946" t="s">
        <v>2134</v>
      </c>
      <c r="E3946"/>
      <c r="F3946"/>
      <c r="G3946">
        <v>1</v>
      </c>
      <c r="H3946" t="s">
        <v>84</v>
      </c>
      <c r="I3946" t="s">
        <v>57</v>
      </c>
      <c r="J3946"/>
      <c r="K3946" t="s">
        <v>221</v>
      </c>
      <c r="L3946" t="s">
        <v>3190</v>
      </c>
      <c r="M3946" t="s">
        <v>223</v>
      </c>
      <c r="N3946"/>
      <c r="O3946"/>
      <c r="P3946" t="s">
        <v>224</v>
      </c>
      <c r="Q3946"/>
      <c r="R3946" t="s">
        <v>183</v>
      </c>
      <c r="S3946" t="s">
        <v>64</v>
      </c>
      <c r="T3946">
        <v>246.7</v>
      </c>
      <c r="U3946">
        <v>244.7</v>
      </c>
      <c r="V3946">
        <f t="shared" si="122"/>
        <v>245.7</v>
      </c>
      <c r="W3946">
        <f t="shared" si="123"/>
        <v>2</v>
      </c>
      <c r="X3946">
        <v>6.78</v>
      </c>
      <c r="Y3946">
        <v>51.966000000000001</v>
      </c>
      <c r="Z3946" t="s">
        <v>1415</v>
      </c>
      <c r="AA3946" t="s">
        <v>3191</v>
      </c>
      <c r="AB3946"/>
      <c r="AC3946"/>
      <c r="AD3946" t="s">
        <v>3193</v>
      </c>
      <c r="AE3946"/>
      <c r="AF3946"/>
      <c r="AG3946"/>
      <c r="AH3946" t="s">
        <v>72</v>
      </c>
      <c r="AI3946" t="s">
        <v>3202</v>
      </c>
      <c r="AJ3946">
        <v>2014</v>
      </c>
      <c r="AK3946" t="s">
        <v>4494</v>
      </c>
      <c r="AL3946"/>
      <c r="AM3946"/>
      <c r="AN3946" t="s">
        <v>192</v>
      </c>
      <c r="AO3946">
        <v>3</v>
      </c>
      <c r="AP3946" t="s">
        <v>78</v>
      </c>
      <c r="AQ3946"/>
      <c r="AR3946" t="s">
        <v>80</v>
      </c>
      <c r="AS3946">
        <v>315</v>
      </c>
      <c r="AT3946" t="s">
        <v>81</v>
      </c>
      <c r="AU3946">
        <v>26.19</v>
      </c>
      <c r="AV3946">
        <v>30.17</v>
      </c>
      <c r="AW3946" t="s">
        <v>82</v>
      </c>
      <c r="AX3946">
        <v>315</v>
      </c>
      <c r="AY3946" t="s">
        <v>81</v>
      </c>
      <c r="AZ3946">
        <v>16.66</v>
      </c>
      <c r="BA3946">
        <v>16.93</v>
      </c>
      <c r="BB3946" t="s">
        <v>83</v>
      </c>
    </row>
    <row r="3947" spans="1:54" s="3" customFormat="1" ht="15" customHeight="1" x14ac:dyDescent="0.4">
      <c r="A3947">
        <v>1195726</v>
      </c>
      <c r="B3947"/>
      <c r="C3947"/>
      <c r="D3947" t="s">
        <v>2134</v>
      </c>
      <c r="E3947"/>
      <c r="F3947"/>
      <c r="G3947"/>
      <c r="H3947"/>
      <c r="I3947" t="s">
        <v>57</v>
      </c>
      <c r="J3947"/>
      <c r="K3947" t="s">
        <v>3200</v>
      </c>
      <c r="L3947" t="s">
        <v>3201</v>
      </c>
      <c r="M3947" t="s">
        <v>60</v>
      </c>
      <c r="N3947"/>
      <c r="O3947"/>
      <c r="P3947" t="s">
        <v>224</v>
      </c>
      <c r="Q3947"/>
      <c r="R3947" t="s">
        <v>183</v>
      </c>
      <c r="S3947" t="s">
        <v>64</v>
      </c>
      <c r="T3947">
        <v>246.7</v>
      </c>
      <c r="U3947">
        <v>244.7</v>
      </c>
      <c r="V3947">
        <f t="shared" si="122"/>
        <v>245.7</v>
      </c>
      <c r="W3947">
        <f t="shared" si="123"/>
        <v>2</v>
      </c>
      <c r="X3947">
        <v>6.78</v>
      </c>
      <c r="Y3947">
        <v>51.966000000000001</v>
      </c>
      <c r="Z3947" t="s">
        <v>1415</v>
      </c>
      <c r="AA3947" t="s">
        <v>3191</v>
      </c>
      <c r="AB3947"/>
      <c r="AC3947"/>
      <c r="AD3947" t="s">
        <v>3193</v>
      </c>
      <c r="AE3947"/>
      <c r="AF3947"/>
      <c r="AG3947"/>
      <c r="AH3947" t="s">
        <v>11</v>
      </c>
      <c r="AI3947" t="s">
        <v>3202</v>
      </c>
      <c r="AJ3947">
        <v>2014</v>
      </c>
      <c r="AK3947" t="s">
        <v>4494</v>
      </c>
      <c r="AL3947"/>
      <c r="AM3947"/>
      <c r="AN3947" t="s">
        <v>192</v>
      </c>
      <c r="AO3947">
        <v>3</v>
      </c>
      <c r="AP3947" t="s">
        <v>78</v>
      </c>
      <c r="AQ3947"/>
      <c r="AR3947" t="s">
        <v>80</v>
      </c>
      <c r="AS3947">
        <v>315</v>
      </c>
      <c r="AT3947" t="s">
        <v>81</v>
      </c>
      <c r="AU3947">
        <v>26.19</v>
      </c>
      <c r="AV3947">
        <v>30.17</v>
      </c>
      <c r="AW3947" t="s">
        <v>82</v>
      </c>
      <c r="AX3947">
        <v>315</v>
      </c>
      <c r="AY3947" t="s">
        <v>81</v>
      </c>
      <c r="AZ3947">
        <v>16.66</v>
      </c>
      <c r="BA3947">
        <v>16.93</v>
      </c>
      <c r="BB3947" t="s">
        <v>83</v>
      </c>
    </row>
    <row r="3948" spans="1:54" s="3" customFormat="1" ht="15" customHeight="1" x14ac:dyDescent="0.4">
      <c r="A3948">
        <v>1195727</v>
      </c>
      <c r="B3948"/>
      <c r="C3948"/>
      <c r="D3948" t="s">
        <v>2134</v>
      </c>
      <c r="E3948"/>
      <c r="F3948"/>
      <c r="G3948"/>
      <c r="H3948"/>
      <c r="I3948" t="s">
        <v>57</v>
      </c>
      <c r="J3948"/>
      <c r="K3948" t="s">
        <v>141</v>
      </c>
      <c r="L3948" t="s">
        <v>529</v>
      </c>
      <c r="M3948" t="s">
        <v>223</v>
      </c>
      <c r="N3948"/>
      <c r="O3948"/>
      <c r="P3948" t="s">
        <v>224</v>
      </c>
      <c r="Q3948"/>
      <c r="R3948" t="s">
        <v>183</v>
      </c>
      <c r="S3948" t="s">
        <v>64</v>
      </c>
      <c r="T3948">
        <v>246.7</v>
      </c>
      <c r="U3948">
        <v>244.7</v>
      </c>
      <c r="V3948">
        <f t="shared" si="122"/>
        <v>245.7</v>
      </c>
      <c r="W3948">
        <f t="shared" si="123"/>
        <v>2</v>
      </c>
      <c r="X3948">
        <v>6.78</v>
      </c>
      <c r="Y3948">
        <v>51.966000000000001</v>
      </c>
      <c r="Z3948" t="s">
        <v>1415</v>
      </c>
      <c r="AA3948" t="s">
        <v>3191</v>
      </c>
      <c r="AB3948"/>
      <c r="AC3948"/>
      <c r="AD3948" t="s">
        <v>3193</v>
      </c>
      <c r="AE3948"/>
      <c r="AF3948"/>
      <c r="AG3948"/>
      <c r="AH3948" t="s">
        <v>11</v>
      </c>
      <c r="AI3948" t="s">
        <v>3202</v>
      </c>
      <c r="AJ3948">
        <v>2014</v>
      </c>
      <c r="AK3948" t="s">
        <v>4494</v>
      </c>
      <c r="AL3948"/>
      <c r="AM3948"/>
      <c r="AN3948" t="s">
        <v>192</v>
      </c>
      <c r="AO3948">
        <v>3</v>
      </c>
      <c r="AP3948" t="s">
        <v>78</v>
      </c>
      <c r="AQ3948"/>
      <c r="AR3948" t="s">
        <v>80</v>
      </c>
      <c r="AS3948">
        <v>315</v>
      </c>
      <c r="AT3948" t="s">
        <v>81</v>
      </c>
      <c r="AU3948">
        <v>26.19</v>
      </c>
      <c r="AV3948">
        <v>30.17</v>
      </c>
      <c r="AW3948" t="s">
        <v>82</v>
      </c>
      <c r="AX3948">
        <v>315</v>
      </c>
      <c r="AY3948" t="s">
        <v>81</v>
      </c>
      <c r="AZ3948">
        <v>16.66</v>
      </c>
      <c r="BA3948">
        <v>16.93</v>
      </c>
      <c r="BB3948" t="s">
        <v>83</v>
      </c>
    </row>
    <row r="3949" spans="1:54" s="3" customFormat="1" ht="15" customHeight="1" x14ac:dyDescent="0.4">
      <c r="A3949">
        <v>1347584</v>
      </c>
      <c r="B3949"/>
      <c r="C3949"/>
      <c r="D3949" t="s">
        <v>54</v>
      </c>
      <c r="E3949" t="s">
        <v>152</v>
      </c>
      <c r="F3949"/>
      <c r="G3949"/>
      <c r="H3949"/>
      <c r="I3949" t="s">
        <v>57</v>
      </c>
      <c r="J3949"/>
      <c r="K3949" t="s">
        <v>746</v>
      </c>
      <c r="L3949" t="s">
        <v>4309</v>
      </c>
      <c r="M3949" t="s">
        <v>60</v>
      </c>
      <c r="N3949"/>
      <c r="O3949"/>
      <c r="P3949" t="s">
        <v>224</v>
      </c>
      <c r="Q3949"/>
      <c r="R3949" t="s">
        <v>183</v>
      </c>
      <c r="S3949" t="s">
        <v>64</v>
      </c>
      <c r="T3949">
        <v>246.7</v>
      </c>
      <c r="U3949">
        <v>244.7</v>
      </c>
      <c r="V3949">
        <f t="shared" si="122"/>
        <v>245.7</v>
      </c>
      <c r="W3949">
        <f t="shared" si="123"/>
        <v>2</v>
      </c>
      <c r="X3949">
        <v>17.965136999999999</v>
      </c>
      <c r="Y3949">
        <v>50.474505999999998</v>
      </c>
      <c r="Z3949" t="s">
        <v>520</v>
      </c>
      <c r="AA3949" t="s">
        <v>697</v>
      </c>
      <c r="AB3949" t="s">
        <v>3595</v>
      </c>
      <c r="AC3949"/>
      <c r="AD3949" t="s">
        <v>3596</v>
      </c>
      <c r="AE3949"/>
      <c r="AF3949"/>
      <c r="AG3949" t="s">
        <v>3597</v>
      </c>
      <c r="AH3949" t="s">
        <v>72</v>
      </c>
      <c r="AI3949" t="s">
        <v>612</v>
      </c>
      <c r="AJ3949">
        <v>2011</v>
      </c>
      <c r="AK3949" t="s">
        <v>3598</v>
      </c>
      <c r="AL3949"/>
      <c r="AM3949" t="s">
        <v>3599</v>
      </c>
      <c r="AN3949" t="s">
        <v>114</v>
      </c>
      <c r="AO3949">
        <v>6</v>
      </c>
      <c r="AP3949" t="s">
        <v>115</v>
      </c>
      <c r="AQ3949" t="s">
        <v>3600</v>
      </c>
      <c r="AR3949" t="s">
        <v>80</v>
      </c>
      <c r="AS3949">
        <v>305</v>
      </c>
      <c r="AT3949" t="s">
        <v>81</v>
      </c>
      <c r="AU3949">
        <v>34.479999999999997</v>
      </c>
      <c r="AV3949">
        <v>30.5</v>
      </c>
      <c r="AW3949" t="s">
        <v>82</v>
      </c>
      <c r="AX3949">
        <v>305</v>
      </c>
      <c r="AY3949" t="s">
        <v>81</v>
      </c>
      <c r="AZ3949">
        <v>23.99</v>
      </c>
      <c r="BA3949">
        <v>18.489999999999998</v>
      </c>
      <c r="BB3949" t="s">
        <v>83</v>
      </c>
    </row>
    <row r="3950" spans="1:54" s="3" customFormat="1" ht="15" customHeight="1" x14ac:dyDescent="0.4">
      <c r="A3950">
        <v>1521053</v>
      </c>
      <c r="B3950"/>
      <c r="C3950"/>
      <c r="D3950" t="s">
        <v>54</v>
      </c>
      <c r="E3950"/>
      <c r="F3950"/>
      <c r="G3950">
        <v>1</v>
      </c>
      <c r="H3950" t="s">
        <v>84</v>
      </c>
      <c r="I3950" t="s">
        <v>57</v>
      </c>
      <c r="J3950"/>
      <c r="K3950" t="s">
        <v>141</v>
      </c>
      <c r="L3950" t="s">
        <v>529</v>
      </c>
      <c r="M3950" t="s">
        <v>223</v>
      </c>
      <c r="N3950"/>
      <c r="O3950"/>
      <c r="P3950" t="s">
        <v>224</v>
      </c>
      <c r="Q3950"/>
      <c r="R3950" t="s">
        <v>183</v>
      </c>
      <c r="S3950" t="s">
        <v>64</v>
      </c>
      <c r="T3950">
        <v>246.7</v>
      </c>
      <c r="U3950">
        <v>244.7</v>
      </c>
      <c r="V3950">
        <f t="shared" si="122"/>
        <v>245.7</v>
      </c>
      <c r="W3950">
        <f t="shared" si="123"/>
        <v>2</v>
      </c>
      <c r="X3950">
        <v>11.589167</v>
      </c>
      <c r="Y3950">
        <v>50.926945000000003</v>
      </c>
      <c r="Z3950" t="s">
        <v>520</v>
      </c>
      <c r="AA3950" t="s">
        <v>211</v>
      </c>
      <c r="AB3950"/>
      <c r="AC3950"/>
      <c r="AD3950" t="s">
        <v>3756</v>
      </c>
      <c r="AE3950" t="s">
        <v>3757</v>
      </c>
      <c r="AF3950"/>
      <c r="AG3950"/>
      <c r="AH3950" t="s">
        <v>72</v>
      </c>
      <c r="AI3950" t="s">
        <v>4189</v>
      </c>
      <c r="AJ3950">
        <v>2014</v>
      </c>
      <c r="AK3950" t="s">
        <v>5486</v>
      </c>
      <c r="AL3950"/>
      <c r="AM3950" t="s">
        <v>5487</v>
      </c>
      <c r="AN3950" t="s">
        <v>192</v>
      </c>
      <c r="AO3950" t="s">
        <v>77</v>
      </c>
      <c r="AP3950" t="s">
        <v>115</v>
      </c>
      <c r="AQ3950"/>
      <c r="AR3950" t="s">
        <v>80</v>
      </c>
      <c r="AS3950">
        <v>305</v>
      </c>
      <c r="AT3950" t="s">
        <v>81</v>
      </c>
      <c r="AU3950">
        <v>29.84</v>
      </c>
      <c r="AV3950">
        <v>29.85</v>
      </c>
      <c r="AW3950" t="s">
        <v>82</v>
      </c>
      <c r="AX3950">
        <v>305</v>
      </c>
      <c r="AY3950" t="s">
        <v>81</v>
      </c>
      <c r="AZ3950">
        <v>19.97</v>
      </c>
      <c r="BA3950">
        <v>17.13</v>
      </c>
      <c r="BB3950" t="s">
        <v>83</v>
      </c>
    </row>
    <row r="3951" spans="1:54" s="3" customFormat="1" ht="15" customHeight="1" x14ac:dyDescent="0.4">
      <c r="A3951">
        <v>384378</v>
      </c>
      <c r="B3951"/>
      <c r="C3951"/>
      <c r="D3951" t="s">
        <v>54</v>
      </c>
      <c r="E3951" t="s">
        <v>55</v>
      </c>
      <c r="F3951"/>
      <c r="G3951"/>
      <c r="H3951"/>
      <c r="I3951" t="s">
        <v>57</v>
      </c>
      <c r="J3951"/>
      <c r="K3951" t="s">
        <v>141</v>
      </c>
      <c r="L3951" t="s">
        <v>608</v>
      </c>
      <c r="M3951" t="s">
        <v>60</v>
      </c>
      <c r="N3951"/>
      <c r="O3951"/>
      <c r="P3951" t="s">
        <v>102</v>
      </c>
      <c r="Q3951"/>
      <c r="R3951" t="s">
        <v>104</v>
      </c>
      <c r="S3951" t="s">
        <v>64</v>
      </c>
      <c r="T3951">
        <v>251.90199999999999</v>
      </c>
      <c r="U3951">
        <v>251.2</v>
      </c>
      <c r="V3951">
        <f t="shared" si="122"/>
        <v>251.55099999999999</v>
      </c>
      <c r="W3951">
        <f t="shared" si="123"/>
        <v>0.70199999999999818</v>
      </c>
      <c r="X3951">
        <v>45.906387000000002</v>
      </c>
      <c r="Y3951">
        <v>57.884166999999998</v>
      </c>
      <c r="Z3951" t="s">
        <v>124</v>
      </c>
      <c r="AA3951" t="s">
        <v>239</v>
      </c>
      <c r="AB3951" t="s">
        <v>609</v>
      </c>
      <c r="AC3951" t="s">
        <v>610</v>
      </c>
      <c r="AD3951" t="s">
        <v>611</v>
      </c>
      <c r="AE3951"/>
      <c r="AF3951"/>
      <c r="AG3951"/>
      <c r="AH3951" t="s">
        <v>72</v>
      </c>
      <c r="AI3951" t="s">
        <v>612</v>
      </c>
      <c r="AJ3951">
        <v>1992</v>
      </c>
      <c r="AK3951" t="s">
        <v>613</v>
      </c>
      <c r="AL3951"/>
      <c r="AM3951" t="s">
        <v>614</v>
      </c>
      <c r="AN3951" t="s">
        <v>192</v>
      </c>
      <c r="AO3951" t="s">
        <v>77</v>
      </c>
      <c r="AP3951" t="s">
        <v>78</v>
      </c>
      <c r="AQ3951" t="s">
        <v>615</v>
      </c>
      <c r="AR3951" t="s">
        <v>80</v>
      </c>
      <c r="AS3951">
        <v>302</v>
      </c>
      <c r="AT3951" t="s">
        <v>81</v>
      </c>
      <c r="AU3951">
        <v>50.48</v>
      </c>
      <c r="AV3951">
        <v>41.35</v>
      </c>
      <c r="AW3951" t="s">
        <v>82</v>
      </c>
      <c r="AX3951">
        <v>301</v>
      </c>
      <c r="AY3951" t="s">
        <v>81</v>
      </c>
      <c r="AZ3951">
        <v>37.53</v>
      </c>
      <c r="BA3951">
        <v>32.369999999999997</v>
      </c>
      <c r="BB3951" t="s">
        <v>83</v>
      </c>
    </row>
    <row r="3952" spans="1:54" s="3" customFormat="1" ht="15" customHeight="1" x14ac:dyDescent="0.4">
      <c r="A3952">
        <v>387513</v>
      </c>
      <c r="B3952"/>
      <c r="C3952"/>
      <c r="D3952" t="s">
        <v>54</v>
      </c>
      <c r="E3952"/>
      <c r="F3952"/>
      <c r="G3952">
        <v>2</v>
      </c>
      <c r="H3952" t="s">
        <v>435</v>
      </c>
      <c r="I3952" t="s">
        <v>57</v>
      </c>
      <c r="J3952"/>
      <c r="K3952" t="s">
        <v>141</v>
      </c>
      <c r="L3952" t="s">
        <v>629</v>
      </c>
      <c r="M3952" t="s">
        <v>60</v>
      </c>
      <c r="N3952"/>
      <c r="O3952"/>
      <c r="P3952" t="s">
        <v>102</v>
      </c>
      <c r="Q3952"/>
      <c r="R3952" t="s">
        <v>104</v>
      </c>
      <c r="S3952" t="s">
        <v>64</v>
      </c>
      <c r="T3952">
        <v>251.90199999999999</v>
      </c>
      <c r="U3952">
        <v>251.2</v>
      </c>
      <c r="V3952">
        <f t="shared" si="122"/>
        <v>251.55099999999999</v>
      </c>
      <c r="W3952">
        <f t="shared" si="123"/>
        <v>0.70199999999999818</v>
      </c>
      <c r="X3952">
        <v>55.724997999999999</v>
      </c>
      <c r="Y3952">
        <v>51.344444000000003</v>
      </c>
      <c r="Z3952" t="s">
        <v>432</v>
      </c>
      <c r="AA3952" t="s">
        <v>239</v>
      </c>
      <c r="AB3952" t="s">
        <v>638</v>
      </c>
      <c r="AC3952" t="s">
        <v>639</v>
      </c>
      <c r="AD3952" t="s">
        <v>640</v>
      </c>
      <c r="AE3952"/>
      <c r="AF3952"/>
      <c r="AG3952"/>
      <c r="AH3952" t="s">
        <v>11</v>
      </c>
      <c r="AI3952" t="s">
        <v>633</v>
      </c>
      <c r="AJ3952">
        <v>1978</v>
      </c>
      <c r="AK3952" t="s">
        <v>641</v>
      </c>
      <c r="AL3952"/>
      <c r="AM3952" t="s">
        <v>642</v>
      </c>
      <c r="AN3952" t="s">
        <v>114</v>
      </c>
      <c r="AO3952" t="s">
        <v>77</v>
      </c>
      <c r="AP3952" t="s">
        <v>115</v>
      </c>
      <c r="AQ3952" t="s">
        <v>643</v>
      </c>
      <c r="AR3952" t="s">
        <v>80</v>
      </c>
      <c r="AS3952">
        <v>302</v>
      </c>
      <c r="AT3952" t="s">
        <v>81</v>
      </c>
      <c r="AU3952">
        <v>61.14</v>
      </c>
      <c r="AV3952">
        <v>38.51</v>
      </c>
      <c r="AW3952" t="s">
        <v>82</v>
      </c>
      <c r="AX3952">
        <v>301</v>
      </c>
      <c r="AY3952" t="s">
        <v>81</v>
      </c>
      <c r="AZ3952">
        <v>47.67</v>
      </c>
      <c r="BA3952">
        <v>31.49</v>
      </c>
      <c r="BB3952" t="s">
        <v>83</v>
      </c>
    </row>
    <row r="3953" spans="1:54" s="3" customFormat="1" ht="15" customHeight="1" x14ac:dyDescent="0.4">
      <c r="A3953">
        <v>747968</v>
      </c>
      <c r="B3953"/>
      <c r="C3953"/>
      <c r="D3953" t="s">
        <v>54</v>
      </c>
      <c r="E3953" t="s">
        <v>152</v>
      </c>
      <c r="F3953"/>
      <c r="G3953">
        <v>1</v>
      </c>
      <c r="H3953" t="s">
        <v>56</v>
      </c>
      <c r="I3953" t="s">
        <v>57</v>
      </c>
      <c r="J3953"/>
      <c r="K3953" t="s">
        <v>1600</v>
      </c>
      <c r="L3953" t="s">
        <v>1601</v>
      </c>
      <c r="M3953" t="s">
        <v>60</v>
      </c>
      <c r="N3953"/>
      <c r="O3953"/>
      <c r="P3953" t="s">
        <v>102</v>
      </c>
      <c r="Q3953"/>
      <c r="R3953" t="s">
        <v>104</v>
      </c>
      <c r="S3953" t="s">
        <v>64</v>
      </c>
      <c r="T3953">
        <v>251.90199999999999</v>
      </c>
      <c r="U3953">
        <v>251.2</v>
      </c>
      <c r="V3953">
        <f t="shared" si="122"/>
        <v>251.55099999999999</v>
      </c>
      <c r="W3953">
        <f t="shared" si="123"/>
        <v>0.70199999999999818</v>
      </c>
      <c r="X3953">
        <v>25.001389</v>
      </c>
      <c r="Y3953">
        <v>-31.729721000000001</v>
      </c>
      <c r="Z3953" t="s">
        <v>105</v>
      </c>
      <c r="AA3953" t="s">
        <v>106</v>
      </c>
      <c r="AB3953" t="s">
        <v>107</v>
      </c>
      <c r="AC3953" t="s">
        <v>1602</v>
      </c>
      <c r="AD3953" t="s">
        <v>1603</v>
      </c>
      <c r="AE3953" t="s">
        <v>110</v>
      </c>
      <c r="AF3953" t="s">
        <v>1604</v>
      </c>
      <c r="AG3953" t="s">
        <v>1531</v>
      </c>
      <c r="AH3953" t="s">
        <v>72</v>
      </c>
      <c r="AI3953" t="s">
        <v>1532</v>
      </c>
      <c r="AJ3953">
        <v>2003</v>
      </c>
      <c r="AK3953" t="s">
        <v>1605</v>
      </c>
      <c r="AL3953"/>
      <c r="AM3953" t="s">
        <v>1606</v>
      </c>
      <c r="AN3953" t="s">
        <v>76</v>
      </c>
      <c r="AO3953" t="s">
        <v>77</v>
      </c>
      <c r="AP3953" t="s">
        <v>636</v>
      </c>
      <c r="AQ3953" t="s">
        <v>1607</v>
      </c>
      <c r="AR3953" t="s">
        <v>80</v>
      </c>
      <c r="AS3953">
        <v>701</v>
      </c>
      <c r="AT3953" t="s">
        <v>81</v>
      </c>
      <c r="AU3953">
        <v>-13.72</v>
      </c>
      <c r="AV3953">
        <v>-50.48</v>
      </c>
      <c r="AW3953" t="s">
        <v>82</v>
      </c>
      <c r="AX3953">
        <v>701</v>
      </c>
      <c r="AY3953" t="s">
        <v>81</v>
      </c>
      <c r="AZ3953">
        <v>-24.45</v>
      </c>
      <c r="BA3953">
        <v>-63.47</v>
      </c>
      <c r="BB3953" t="s">
        <v>83</v>
      </c>
    </row>
    <row r="3954" spans="1:54" s="3" customFormat="1" ht="15" customHeight="1" x14ac:dyDescent="0.4">
      <c r="A3954">
        <v>749261</v>
      </c>
      <c r="B3954"/>
      <c r="C3954"/>
      <c r="D3954" t="s">
        <v>54</v>
      </c>
      <c r="E3954" t="s">
        <v>55</v>
      </c>
      <c r="F3954"/>
      <c r="G3954">
        <v>1</v>
      </c>
      <c r="H3954" t="s">
        <v>56</v>
      </c>
      <c r="I3954" t="s">
        <v>57</v>
      </c>
      <c r="J3954"/>
      <c r="K3954" t="s">
        <v>1600</v>
      </c>
      <c r="L3954" t="s">
        <v>1601</v>
      </c>
      <c r="M3954" t="s">
        <v>60</v>
      </c>
      <c r="N3954"/>
      <c r="O3954"/>
      <c r="P3954" t="s">
        <v>102</v>
      </c>
      <c r="Q3954"/>
      <c r="R3954" t="s">
        <v>104</v>
      </c>
      <c r="S3954" t="s">
        <v>64</v>
      </c>
      <c r="T3954">
        <v>251.90199999999999</v>
      </c>
      <c r="U3954">
        <v>251.2</v>
      </c>
      <c r="V3954">
        <f t="shared" si="122"/>
        <v>251.55099999999999</v>
      </c>
      <c r="W3954">
        <f t="shared" si="123"/>
        <v>0.70199999999999818</v>
      </c>
      <c r="X3954">
        <v>26.057500999999998</v>
      </c>
      <c r="Y3954">
        <v>-30.473057000000001</v>
      </c>
      <c r="Z3954" t="s">
        <v>105</v>
      </c>
      <c r="AA3954" t="s">
        <v>106</v>
      </c>
      <c r="AB3954" t="s">
        <v>1625</v>
      </c>
      <c r="AC3954" t="s">
        <v>1626</v>
      </c>
      <c r="AD3954" t="s">
        <v>109</v>
      </c>
      <c r="AE3954" t="s">
        <v>110</v>
      </c>
      <c r="AF3954"/>
      <c r="AG3954" t="s">
        <v>1531</v>
      </c>
      <c r="AH3954" t="s">
        <v>72</v>
      </c>
      <c r="AI3954" t="s">
        <v>1627</v>
      </c>
      <c r="AJ3954">
        <v>2002</v>
      </c>
      <c r="AK3954" t="s">
        <v>1628</v>
      </c>
      <c r="AL3954"/>
      <c r="AM3954"/>
      <c r="AN3954" t="s">
        <v>192</v>
      </c>
      <c r="AO3954" t="s">
        <v>77</v>
      </c>
      <c r="AP3954" t="s">
        <v>359</v>
      </c>
      <c r="AQ3954" t="s">
        <v>1629</v>
      </c>
      <c r="AR3954" t="s">
        <v>80</v>
      </c>
      <c r="AS3954">
        <v>701</v>
      </c>
      <c r="AT3954" t="s">
        <v>81</v>
      </c>
      <c r="AU3954">
        <v>-11.29</v>
      </c>
      <c r="AV3954">
        <v>-50.5</v>
      </c>
      <c r="AW3954" t="s">
        <v>82</v>
      </c>
      <c r="AX3954">
        <v>701</v>
      </c>
      <c r="AY3954" t="s">
        <v>81</v>
      </c>
      <c r="AZ3954">
        <v>-20.99</v>
      </c>
      <c r="BA3954">
        <v>-63.64</v>
      </c>
      <c r="BB3954" t="s">
        <v>83</v>
      </c>
    </row>
    <row r="3955" spans="1:54" s="3" customFormat="1" ht="15" customHeight="1" x14ac:dyDescent="0.4">
      <c r="A3955">
        <v>749261</v>
      </c>
      <c r="B3955"/>
      <c r="C3955"/>
      <c r="D3955" t="s">
        <v>54</v>
      </c>
      <c r="E3955" t="s">
        <v>55</v>
      </c>
      <c r="F3955"/>
      <c r="G3955">
        <v>1</v>
      </c>
      <c r="H3955" t="s">
        <v>56</v>
      </c>
      <c r="I3955" t="s">
        <v>57</v>
      </c>
      <c r="J3955"/>
      <c r="K3955" t="s">
        <v>1600</v>
      </c>
      <c r="L3955" t="s">
        <v>1601</v>
      </c>
      <c r="M3955" t="s">
        <v>60</v>
      </c>
      <c r="N3955"/>
      <c r="O3955"/>
      <c r="P3955" t="s">
        <v>102</v>
      </c>
      <c r="Q3955"/>
      <c r="R3955" t="s">
        <v>104</v>
      </c>
      <c r="S3955" t="s">
        <v>64</v>
      </c>
      <c r="T3955">
        <v>251.90199999999999</v>
      </c>
      <c r="U3955">
        <v>251.2</v>
      </c>
      <c r="V3955">
        <f t="shared" si="122"/>
        <v>251.55099999999999</v>
      </c>
      <c r="W3955">
        <f t="shared" si="123"/>
        <v>0.70199999999999818</v>
      </c>
      <c r="X3955">
        <v>26.057500999999998</v>
      </c>
      <c r="Y3955">
        <v>-30.473057000000001</v>
      </c>
      <c r="Z3955" t="s">
        <v>105</v>
      </c>
      <c r="AA3955" t="s">
        <v>106</v>
      </c>
      <c r="AB3955" t="s">
        <v>1625</v>
      </c>
      <c r="AC3955" t="s">
        <v>1626</v>
      </c>
      <c r="AD3955" t="s">
        <v>109</v>
      </c>
      <c r="AE3955" t="s">
        <v>110</v>
      </c>
      <c r="AF3955"/>
      <c r="AG3955" t="s">
        <v>1531</v>
      </c>
      <c r="AH3955" t="s">
        <v>72</v>
      </c>
      <c r="AI3955" t="s">
        <v>1627</v>
      </c>
      <c r="AJ3955">
        <v>2002</v>
      </c>
      <c r="AK3955" t="s">
        <v>1628</v>
      </c>
      <c r="AL3955"/>
      <c r="AM3955"/>
      <c r="AN3955" t="s">
        <v>192</v>
      </c>
      <c r="AO3955" t="s">
        <v>77</v>
      </c>
      <c r="AP3955" t="s">
        <v>359</v>
      </c>
      <c r="AQ3955" t="s">
        <v>1629</v>
      </c>
      <c r="AR3955" t="s">
        <v>80</v>
      </c>
      <c r="AS3955">
        <v>701</v>
      </c>
      <c r="AT3955" t="s">
        <v>81</v>
      </c>
      <c r="AU3955">
        <v>-11.29</v>
      </c>
      <c r="AV3955">
        <v>-50.5</v>
      </c>
      <c r="AW3955" t="s">
        <v>82</v>
      </c>
      <c r="AX3955">
        <v>701</v>
      </c>
      <c r="AY3955" t="s">
        <v>81</v>
      </c>
      <c r="AZ3955">
        <v>-20.99</v>
      </c>
      <c r="BA3955">
        <v>-63.64</v>
      </c>
      <c r="BB3955" t="s">
        <v>83</v>
      </c>
    </row>
    <row r="3956" spans="1:54" s="3" customFormat="1" ht="15" customHeight="1" x14ac:dyDescent="0.4">
      <c r="A3956">
        <v>749261</v>
      </c>
      <c r="B3956"/>
      <c r="C3956"/>
      <c r="D3956" t="s">
        <v>54</v>
      </c>
      <c r="E3956" t="s">
        <v>55</v>
      </c>
      <c r="F3956"/>
      <c r="G3956">
        <v>1</v>
      </c>
      <c r="H3956" t="s">
        <v>56</v>
      </c>
      <c r="I3956" t="s">
        <v>57</v>
      </c>
      <c r="J3956"/>
      <c r="K3956" t="s">
        <v>1600</v>
      </c>
      <c r="L3956" t="s">
        <v>1601</v>
      </c>
      <c r="M3956" t="s">
        <v>60</v>
      </c>
      <c r="N3956"/>
      <c r="O3956"/>
      <c r="P3956" t="s">
        <v>102</v>
      </c>
      <c r="Q3956"/>
      <c r="R3956" t="s">
        <v>104</v>
      </c>
      <c r="S3956" t="s">
        <v>64</v>
      </c>
      <c r="T3956">
        <v>251.90199999999999</v>
      </c>
      <c r="U3956">
        <v>251.2</v>
      </c>
      <c r="V3956">
        <f t="shared" si="122"/>
        <v>251.55099999999999</v>
      </c>
      <c r="W3956">
        <f t="shared" si="123"/>
        <v>0.70199999999999818</v>
      </c>
      <c r="X3956">
        <v>26.057500999999998</v>
      </c>
      <c r="Y3956">
        <v>-30.473057000000001</v>
      </c>
      <c r="Z3956" t="s">
        <v>105</v>
      </c>
      <c r="AA3956" t="s">
        <v>106</v>
      </c>
      <c r="AB3956" t="s">
        <v>1625</v>
      </c>
      <c r="AC3956" t="s">
        <v>1626</v>
      </c>
      <c r="AD3956" t="s">
        <v>109</v>
      </c>
      <c r="AE3956" t="s">
        <v>110</v>
      </c>
      <c r="AF3956"/>
      <c r="AG3956" t="s">
        <v>1531</v>
      </c>
      <c r="AH3956" t="s">
        <v>72</v>
      </c>
      <c r="AI3956" t="s">
        <v>1627</v>
      </c>
      <c r="AJ3956">
        <v>2002</v>
      </c>
      <c r="AK3956" t="s">
        <v>1628</v>
      </c>
      <c r="AL3956"/>
      <c r="AM3956"/>
      <c r="AN3956" t="s">
        <v>192</v>
      </c>
      <c r="AO3956" t="s">
        <v>77</v>
      </c>
      <c r="AP3956" t="s">
        <v>359</v>
      </c>
      <c r="AQ3956" t="s">
        <v>1629</v>
      </c>
      <c r="AR3956" t="s">
        <v>80</v>
      </c>
      <c r="AS3956">
        <v>701</v>
      </c>
      <c r="AT3956" t="s">
        <v>81</v>
      </c>
      <c r="AU3956">
        <v>-11.29</v>
      </c>
      <c r="AV3956">
        <v>-50.5</v>
      </c>
      <c r="AW3956" t="s">
        <v>82</v>
      </c>
      <c r="AX3956">
        <v>701</v>
      </c>
      <c r="AY3956" t="s">
        <v>81</v>
      </c>
      <c r="AZ3956">
        <v>-20.99</v>
      </c>
      <c r="BA3956">
        <v>-63.64</v>
      </c>
      <c r="BB3956" t="s">
        <v>83</v>
      </c>
    </row>
    <row r="3957" spans="1:54" s="3" customFormat="1" ht="15" customHeight="1" x14ac:dyDescent="0.4">
      <c r="A3957">
        <v>749261</v>
      </c>
      <c r="B3957"/>
      <c r="C3957"/>
      <c r="D3957" t="s">
        <v>54</v>
      </c>
      <c r="E3957" t="s">
        <v>55</v>
      </c>
      <c r="F3957"/>
      <c r="G3957">
        <v>1</v>
      </c>
      <c r="H3957" t="s">
        <v>56</v>
      </c>
      <c r="I3957" t="s">
        <v>57</v>
      </c>
      <c r="J3957"/>
      <c r="K3957" t="s">
        <v>1600</v>
      </c>
      <c r="L3957" t="s">
        <v>1601</v>
      </c>
      <c r="M3957" t="s">
        <v>60</v>
      </c>
      <c r="N3957"/>
      <c r="O3957"/>
      <c r="P3957" t="s">
        <v>102</v>
      </c>
      <c r="Q3957"/>
      <c r="R3957" t="s">
        <v>104</v>
      </c>
      <c r="S3957" t="s">
        <v>64</v>
      </c>
      <c r="T3957">
        <v>251.90199999999999</v>
      </c>
      <c r="U3957">
        <v>251.2</v>
      </c>
      <c r="V3957">
        <f t="shared" si="122"/>
        <v>251.55099999999999</v>
      </c>
      <c r="W3957">
        <f t="shared" si="123"/>
        <v>0.70199999999999818</v>
      </c>
      <c r="X3957">
        <v>26.057500999999998</v>
      </c>
      <c r="Y3957">
        <v>-30.473057000000001</v>
      </c>
      <c r="Z3957" t="s">
        <v>105</v>
      </c>
      <c r="AA3957" t="s">
        <v>106</v>
      </c>
      <c r="AB3957" t="s">
        <v>1625</v>
      </c>
      <c r="AC3957" t="s">
        <v>1626</v>
      </c>
      <c r="AD3957" t="s">
        <v>109</v>
      </c>
      <c r="AE3957" t="s">
        <v>110</v>
      </c>
      <c r="AF3957"/>
      <c r="AG3957" t="s">
        <v>1531</v>
      </c>
      <c r="AH3957" t="s">
        <v>72</v>
      </c>
      <c r="AI3957" t="s">
        <v>1627</v>
      </c>
      <c r="AJ3957">
        <v>2002</v>
      </c>
      <c r="AK3957" t="s">
        <v>1628</v>
      </c>
      <c r="AL3957"/>
      <c r="AM3957"/>
      <c r="AN3957" t="s">
        <v>192</v>
      </c>
      <c r="AO3957" t="s">
        <v>77</v>
      </c>
      <c r="AP3957" t="s">
        <v>359</v>
      </c>
      <c r="AQ3957" t="s">
        <v>1629</v>
      </c>
      <c r="AR3957" t="s">
        <v>80</v>
      </c>
      <c r="AS3957">
        <v>701</v>
      </c>
      <c r="AT3957" t="s">
        <v>81</v>
      </c>
      <c r="AU3957">
        <v>-11.29</v>
      </c>
      <c r="AV3957">
        <v>-50.5</v>
      </c>
      <c r="AW3957" t="s">
        <v>82</v>
      </c>
      <c r="AX3957">
        <v>701</v>
      </c>
      <c r="AY3957" t="s">
        <v>81</v>
      </c>
      <c r="AZ3957">
        <v>-20.99</v>
      </c>
      <c r="BA3957">
        <v>-63.64</v>
      </c>
      <c r="BB3957" t="s">
        <v>83</v>
      </c>
    </row>
    <row r="3958" spans="1:54" s="3" customFormat="1" ht="15" customHeight="1" x14ac:dyDescent="0.4">
      <c r="A3958">
        <v>790404</v>
      </c>
      <c r="B3958"/>
      <c r="C3958"/>
      <c r="D3958" t="s">
        <v>179</v>
      </c>
      <c r="E3958"/>
      <c r="F3958"/>
      <c r="G3958">
        <v>1</v>
      </c>
      <c r="H3958" t="s">
        <v>56</v>
      </c>
      <c r="I3958" t="s">
        <v>57</v>
      </c>
      <c r="J3958"/>
      <c r="K3958" t="s">
        <v>1957</v>
      </c>
      <c r="L3958" t="s">
        <v>1958</v>
      </c>
      <c r="M3958" t="s">
        <v>60</v>
      </c>
      <c r="N3958"/>
      <c r="O3958"/>
      <c r="P3958" t="s">
        <v>102</v>
      </c>
      <c r="Q3958"/>
      <c r="R3958" t="s">
        <v>104</v>
      </c>
      <c r="S3958" t="s">
        <v>64</v>
      </c>
      <c r="T3958">
        <v>251.90199999999999</v>
      </c>
      <c r="U3958">
        <v>251.2</v>
      </c>
      <c r="V3958">
        <f t="shared" si="122"/>
        <v>251.55099999999999</v>
      </c>
      <c r="W3958">
        <f t="shared" si="123"/>
        <v>0.70199999999999818</v>
      </c>
      <c r="X3958">
        <v>148</v>
      </c>
      <c r="Y3958">
        <v>-24.833331999999999</v>
      </c>
      <c r="Z3958" t="s">
        <v>105</v>
      </c>
      <c r="AA3958" t="s">
        <v>1959</v>
      </c>
      <c r="AB3958" t="s">
        <v>1960</v>
      </c>
      <c r="AC3958"/>
      <c r="AD3958" t="s">
        <v>1961</v>
      </c>
      <c r="AE3958" t="s">
        <v>1962</v>
      </c>
      <c r="AF3958"/>
      <c r="AG3958"/>
      <c r="AH3958" t="s">
        <v>72</v>
      </c>
      <c r="AI3958" t="s">
        <v>1963</v>
      </c>
      <c r="AJ3958">
        <v>1979</v>
      </c>
      <c r="AK3958" t="s">
        <v>1964</v>
      </c>
      <c r="AL3958"/>
      <c r="AM3958" t="s">
        <v>1965</v>
      </c>
      <c r="AN3958" t="s">
        <v>192</v>
      </c>
      <c r="AO3958" t="s">
        <v>160</v>
      </c>
      <c r="AP3958" t="s">
        <v>78</v>
      </c>
      <c r="AQ3958" t="s">
        <v>1966</v>
      </c>
      <c r="AR3958" t="s">
        <v>80</v>
      </c>
      <c r="AS3958">
        <v>801</v>
      </c>
      <c r="AT3958" t="s">
        <v>81</v>
      </c>
      <c r="AU3958">
        <v>124.8</v>
      </c>
      <c r="AV3958">
        <v>-69.819999999999993</v>
      </c>
      <c r="AW3958" t="s">
        <v>82</v>
      </c>
      <c r="AX3958">
        <v>801</v>
      </c>
      <c r="AY3958" t="s">
        <v>81</v>
      </c>
      <c r="AZ3958">
        <v>138.01</v>
      </c>
      <c r="BA3958">
        <v>-58.72</v>
      </c>
      <c r="BB3958" t="s">
        <v>83</v>
      </c>
    </row>
    <row r="3959" spans="1:54" s="3" customFormat="1" ht="15" customHeight="1" x14ac:dyDescent="0.4">
      <c r="A3959">
        <v>790404</v>
      </c>
      <c r="B3959"/>
      <c r="C3959"/>
      <c r="D3959" t="s">
        <v>179</v>
      </c>
      <c r="E3959"/>
      <c r="F3959"/>
      <c r="G3959">
        <v>1</v>
      </c>
      <c r="H3959" t="s">
        <v>56</v>
      </c>
      <c r="I3959" t="s">
        <v>57</v>
      </c>
      <c r="J3959"/>
      <c r="K3959" t="s">
        <v>1957</v>
      </c>
      <c r="L3959" t="s">
        <v>1958</v>
      </c>
      <c r="M3959" t="s">
        <v>60</v>
      </c>
      <c r="N3959"/>
      <c r="O3959"/>
      <c r="P3959" t="s">
        <v>102</v>
      </c>
      <c r="Q3959"/>
      <c r="R3959" t="s">
        <v>104</v>
      </c>
      <c r="S3959" t="s">
        <v>64</v>
      </c>
      <c r="T3959">
        <v>251.90199999999999</v>
      </c>
      <c r="U3959">
        <v>251.2</v>
      </c>
      <c r="V3959">
        <f t="shared" si="122"/>
        <v>251.55099999999999</v>
      </c>
      <c r="W3959">
        <f t="shared" si="123"/>
        <v>0.70199999999999818</v>
      </c>
      <c r="X3959">
        <v>148</v>
      </c>
      <c r="Y3959">
        <v>-24.833331999999999</v>
      </c>
      <c r="Z3959" t="s">
        <v>105</v>
      </c>
      <c r="AA3959" t="s">
        <v>1959</v>
      </c>
      <c r="AB3959" t="s">
        <v>1960</v>
      </c>
      <c r="AC3959"/>
      <c r="AD3959" t="s">
        <v>1961</v>
      </c>
      <c r="AE3959" t="s">
        <v>1962</v>
      </c>
      <c r="AF3959"/>
      <c r="AG3959"/>
      <c r="AH3959" t="s">
        <v>72</v>
      </c>
      <c r="AI3959" t="s">
        <v>1963</v>
      </c>
      <c r="AJ3959">
        <v>1979</v>
      </c>
      <c r="AK3959" t="s">
        <v>1964</v>
      </c>
      <c r="AL3959"/>
      <c r="AM3959" t="s">
        <v>1965</v>
      </c>
      <c r="AN3959" t="s">
        <v>192</v>
      </c>
      <c r="AO3959" t="s">
        <v>160</v>
      </c>
      <c r="AP3959" t="s">
        <v>78</v>
      </c>
      <c r="AQ3959" t="s">
        <v>1966</v>
      </c>
      <c r="AR3959" t="s">
        <v>80</v>
      </c>
      <c r="AS3959">
        <v>801</v>
      </c>
      <c r="AT3959" t="s">
        <v>81</v>
      </c>
      <c r="AU3959">
        <v>124.8</v>
      </c>
      <c r="AV3959">
        <v>-69.819999999999993</v>
      </c>
      <c r="AW3959" t="s">
        <v>82</v>
      </c>
      <c r="AX3959">
        <v>801</v>
      </c>
      <c r="AY3959" t="s">
        <v>81</v>
      </c>
      <c r="AZ3959">
        <v>138.01</v>
      </c>
      <c r="BA3959">
        <v>-58.72</v>
      </c>
      <c r="BB3959" t="s">
        <v>83</v>
      </c>
    </row>
    <row r="3960" spans="1:54" s="3" customFormat="1" ht="15" customHeight="1" x14ac:dyDescent="0.4">
      <c r="A3960">
        <v>790405</v>
      </c>
      <c r="B3960"/>
      <c r="C3960"/>
      <c r="D3960" t="s">
        <v>179</v>
      </c>
      <c r="E3960"/>
      <c r="F3960"/>
      <c r="G3960">
        <v>1</v>
      </c>
      <c r="H3960" t="s">
        <v>56</v>
      </c>
      <c r="I3960" t="s">
        <v>57</v>
      </c>
      <c r="J3960"/>
      <c r="K3960" t="s">
        <v>141</v>
      </c>
      <c r="L3960" t="s">
        <v>1967</v>
      </c>
      <c r="M3960" t="s">
        <v>60</v>
      </c>
      <c r="N3960"/>
      <c r="O3960"/>
      <c r="P3960" t="s">
        <v>102</v>
      </c>
      <c r="Q3960"/>
      <c r="R3960" t="s">
        <v>104</v>
      </c>
      <c r="S3960" t="s">
        <v>64</v>
      </c>
      <c r="T3960">
        <v>251.90199999999999</v>
      </c>
      <c r="U3960">
        <v>251.2</v>
      </c>
      <c r="V3960">
        <f t="shared" si="122"/>
        <v>251.55099999999999</v>
      </c>
      <c r="W3960">
        <f t="shared" si="123"/>
        <v>0.70199999999999818</v>
      </c>
      <c r="X3960">
        <v>148</v>
      </c>
      <c r="Y3960">
        <v>-24.833331999999999</v>
      </c>
      <c r="Z3960" t="s">
        <v>105</v>
      </c>
      <c r="AA3960" t="s">
        <v>1959</v>
      </c>
      <c r="AB3960" t="s">
        <v>1960</v>
      </c>
      <c r="AC3960"/>
      <c r="AD3960" t="s">
        <v>1961</v>
      </c>
      <c r="AE3960" t="s">
        <v>1962</v>
      </c>
      <c r="AF3960"/>
      <c r="AG3960"/>
      <c r="AH3960" t="s">
        <v>72</v>
      </c>
      <c r="AI3960" t="s">
        <v>1963</v>
      </c>
      <c r="AJ3960">
        <v>1979</v>
      </c>
      <c r="AK3960" t="s">
        <v>1964</v>
      </c>
      <c r="AL3960"/>
      <c r="AM3960" t="s">
        <v>1965</v>
      </c>
      <c r="AN3960" t="s">
        <v>192</v>
      </c>
      <c r="AO3960" t="s">
        <v>160</v>
      </c>
      <c r="AP3960" t="s">
        <v>78</v>
      </c>
      <c r="AQ3960" t="s">
        <v>1966</v>
      </c>
      <c r="AR3960" t="s">
        <v>80</v>
      </c>
      <c r="AS3960">
        <v>801</v>
      </c>
      <c r="AT3960" t="s">
        <v>81</v>
      </c>
      <c r="AU3960">
        <v>124.8</v>
      </c>
      <c r="AV3960">
        <v>-69.819999999999993</v>
      </c>
      <c r="AW3960" t="s">
        <v>82</v>
      </c>
      <c r="AX3960">
        <v>801</v>
      </c>
      <c r="AY3960" t="s">
        <v>81</v>
      </c>
      <c r="AZ3960">
        <v>138.01</v>
      </c>
      <c r="BA3960">
        <v>-58.72</v>
      </c>
      <c r="BB3960" t="s">
        <v>83</v>
      </c>
    </row>
    <row r="3961" spans="1:54" s="3" customFormat="1" ht="15" customHeight="1" x14ac:dyDescent="0.4">
      <c r="A3961">
        <v>790405</v>
      </c>
      <c r="B3961"/>
      <c r="C3961"/>
      <c r="D3961" t="s">
        <v>179</v>
      </c>
      <c r="E3961"/>
      <c r="F3961"/>
      <c r="G3961">
        <v>1</v>
      </c>
      <c r="H3961" t="s">
        <v>56</v>
      </c>
      <c r="I3961" t="s">
        <v>57</v>
      </c>
      <c r="J3961"/>
      <c r="K3961" t="s">
        <v>141</v>
      </c>
      <c r="L3961" t="s">
        <v>1967</v>
      </c>
      <c r="M3961" t="s">
        <v>60</v>
      </c>
      <c r="N3961"/>
      <c r="O3961"/>
      <c r="P3961" t="s">
        <v>102</v>
      </c>
      <c r="Q3961"/>
      <c r="R3961" t="s">
        <v>104</v>
      </c>
      <c r="S3961" t="s">
        <v>64</v>
      </c>
      <c r="T3961">
        <v>251.90199999999999</v>
      </c>
      <c r="U3961">
        <v>251.2</v>
      </c>
      <c r="V3961">
        <f t="shared" si="122"/>
        <v>251.55099999999999</v>
      </c>
      <c r="W3961">
        <f t="shared" si="123"/>
        <v>0.70199999999999818</v>
      </c>
      <c r="X3961">
        <v>148</v>
      </c>
      <c r="Y3961">
        <v>-24.833331999999999</v>
      </c>
      <c r="Z3961" t="s">
        <v>105</v>
      </c>
      <c r="AA3961" t="s">
        <v>1959</v>
      </c>
      <c r="AB3961" t="s">
        <v>1960</v>
      </c>
      <c r="AC3961"/>
      <c r="AD3961" t="s">
        <v>1961</v>
      </c>
      <c r="AE3961" t="s">
        <v>1962</v>
      </c>
      <c r="AF3961"/>
      <c r="AG3961"/>
      <c r="AH3961" t="s">
        <v>72</v>
      </c>
      <c r="AI3961" t="s">
        <v>1963</v>
      </c>
      <c r="AJ3961">
        <v>1979</v>
      </c>
      <c r="AK3961" t="s">
        <v>1964</v>
      </c>
      <c r="AL3961"/>
      <c r="AM3961" t="s">
        <v>1965</v>
      </c>
      <c r="AN3961" t="s">
        <v>192</v>
      </c>
      <c r="AO3961" t="s">
        <v>160</v>
      </c>
      <c r="AP3961" t="s">
        <v>78</v>
      </c>
      <c r="AQ3961" t="s">
        <v>1966</v>
      </c>
      <c r="AR3961" t="s">
        <v>80</v>
      </c>
      <c r="AS3961">
        <v>801</v>
      </c>
      <c r="AT3961" t="s">
        <v>81</v>
      </c>
      <c r="AU3961">
        <v>124.8</v>
      </c>
      <c r="AV3961">
        <v>-69.819999999999993</v>
      </c>
      <c r="AW3961" t="s">
        <v>82</v>
      </c>
      <c r="AX3961">
        <v>801</v>
      </c>
      <c r="AY3961" t="s">
        <v>81</v>
      </c>
      <c r="AZ3961">
        <v>138.01</v>
      </c>
      <c r="BA3961">
        <v>-58.72</v>
      </c>
      <c r="BB3961" t="s">
        <v>83</v>
      </c>
    </row>
    <row r="3962" spans="1:54" s="3" customFormat="1" ht="15" customHeight="1" x14ac:dyDescent="0.4">
      <c r="A3962">
        <v>792534</v>
      </c>
      <c r="B3962"/>
      <c r="C3962"/>
      <c r="D3962" t="s">
        <v>54</v>
      </c>
      <c r="E3962"/>
      <c r="F3962"/>
      <c r="G3962">
        <v>1</v>
      </c>
      <c r="H3962" t="s">
        <v>56</v>
      </c>
      <c r="I3962" t="s">
        <v>57</v>
      </c>
      <c r="J3962"/>
      <c r="K3962" t="s">
        <v>141</v>
      </c>
      <c r="L3962" t="s">
        <v>2016</v>
      </c>
      <c r="M3962" t="s">
        <v>60</v>
      </c>
      <c r="N3962"/>
      <c r="O3962" t="s">
        <v>170</v>
      </c>
      <c r="P3962" t="s">
        <v>102</v>
      </c>
      <c r="Q3962"/>
      <c r="R3962" t="s">
        <v>104</v>
      </c>
      <c r="S3962" t="s">
        <v>64</v>
      </c>
      <c r="T3962">
        <v>251.90199999999999</v>
      </c>
      <c r="U3962">
        <v>251.2</v>
      </c>
      <c r="V3962">
        <f t="shared" si="122"/>
        <v>251.55099999999999</v>
      </c>
      <c r="W3962">
        <f t="shared" si="123"/>
        <v>0.70199999999999818</v>
      </c>
      <c r="X3962">
        <v>25.381111000000001</v>
      </c>
      <c r="Y3962">
        <v>-31.761666999999999</v>
      </c>
      <c r="Z3962" t="s">
        <v>124</v>
      </c>
      <c r="AA3962" t="s">
        <v>106</v>
      </c>
      <c r="AB3962" t="s">
        <v>107</v>
      </c>
      <c r="AC3962" t="s">
        <v>1530</v>
      </c>
      <c r="AD3962" t="s">
        <v>109</v>
      </c>
      <c r="AE3962" t="s">
        <v>110</v>
      </c>
      <c r="AF3962"/>
      <c r="AG3962"/>
      <c r="AH3962" t="s">
        <v>72</v>
      </c>
      <c r="AI3962" t="s">
        <v>2017</v>
      </c>
      <c r="AJ3962">
        <v>1912</v>
      </c>
      <c r="AK3962" t="s">
        <v>2018</v>
      </c>
      <c r="AL3962"/>
      <c r="AM3962" t="s">
        <v>2019</v>
      </c>
      <c r="AN3962" t="s">
        <v>341</v>
      </c>
      <c r="AO3962" t="s">
        <v>77</v>
      </c>
      <c r="AP3962" t="s">
        <v>115</v>
      </c>
      <c r="AQ3962" t="s">
        <v>2020</v>
      </c>
      <c r="AR3962" t="s">
        <v>80</v>
      </c>
      <c r="AS3962">
        <v>701</v>
      </c>
      <c r="AT3962" t="s">
        <v>81</v>
      </c>
      <c r="AU3962">
        <v>-13.48</v>
      </c>
      <c r="AV3962">
        <v>-50.76</v>
      </c>
      <c r="AW3962" t="s">
        <v>82</v>
      </c>
      <c r="AX3962">
        <v>701</v>
      </c>
      <c r="AY3962" t="s">
        <v>81</v>
      </c>
      <c r="AZ3962">
        <v>-24.17</v>
      </c>
      <c r="BA3962">
        <v>-63.77</v>
      </c>
      <c r="BB3962" t="s">
        <v>83</v>
      </c>
    </row>
    <row r="3963" spans="1:54" s="3" customFormat="1" ht="15" customHeight="1" x14ac:dyDescent="0.4">
      <c r="A3963">
        <v>792619</v>
      </c>
      <c r="B3963"/>
      <c r="C3963"/>
      <c r="D3963" t="s">
        <v>54</v>
      </c>
      <c r="E3963" t="s">
        <v>55</v>
      </c>
      <c r="F3963"/>
      <c r="G3963">
        <v>3</v>
      </c>
      <c r="H3963" t="s">
        <v>84</v>
      </c>
      <c r="I3963" t="s">
        <v>57</v>
      </c>
      <c r="J3963"/>
      <c r="K3963" t="s">
        <v>100</v>
      </c>
      <c r="L3963" t="s">
        <v>2034</v>
      </c>
      <c r="M3963" t="s">
        <v>60</v>
      </c>
      <c r="N3963"/>
      <c r="O3963"/>
      <c r="P3963" t="s">
        <v>102</v>
      </c>
      <c r="Q3963"/>
      <c r="R3963" t="s">
        <v>104</v>
      </c>
      <c r="S3963" t="s">
        <v>64</v>
      </c>
      <c r="T3963">
        <v>251.90199999999999</v>
      </c>
      <c r="U3963">
        <v>251.2</v>
      </c>
      <c r="V3963">
        <f t="shared" si="122"/>
        <v>251.55099999999999</v>
      </c>
      <c r="W3963">
        <f t="shared" si="123"/>
        <v>0.70199999999999818</v>
      </c>
      <c r="X3963">
        <v>45.906387000000002</v>
      </c>
      <c r="Y3963">
        <v>57.884166999999998</v>
      </c>
      <c r="Z3963" t="s">
        <v>124</v>
      </c>
      <c r="AA3963" t="s">
        <v>239</v>
      </c>
      <c r="AB3963" t="s">
        <v>609</v>
      </c>
      <c r="AC3963" t="s">
        <v>610</v>
      </c>
      <c r="AD3963" t="s">
        <v>611</v>
      </c>
      <c r="AE3963"/>
      <c r="AF3963"/>
      <c r="AG3963"/>
      <c r="AH3963" t="s">
        <v>72</v>
      </c>
      <c r="AI3963" t="s">
        <v>2035</v>
      </c>
      <c r="AJ3963">
        <v>2000</v>
      </c>
      <c r="AK3963" t="s">
        <v>613</v>
      </c>
      <c r="AL3963"/>
      <c r="AM3963" t="s">
        <v>614</v>
      </c>
      <c r="AN3963" t="s">
        <v>192</v>
      </c>
      <c r="AO3963" t="s">
        <v>77</v>
      </c>
      <c r="AP3963" t="s">
        <v>78</v>
      </c>
      <c r="AQ3963" t="s">
        <v>615</v>
      </c>
      <c r="AR3963" t="s">
        <v>80</v>
      </c>
      <c r="AS3963">
        <v>302</v>
      </c>
      <c r="AT3963" t="s">
        <v>81</v>
      </c>
      <c r="AU3963">
        <v>50.48</v>
      </c>
      <c r="AV3963">
        <v>41.35</v>
      </c>
      <c r="AW3963" t="s">
        <v>82</v>
      </c>
      <c r="AX3963">
        <v>301</v>
      </c>
      <c r="AY3963" t="s">
        <v>81</v>
      </c>
      <c r="AZ3963">
        <v>37.53</v>
      </c>
      <c r="BA3963">
        <v>32.369999999999997</v>
      </c>
      <c r="BB3963" t="s">
        <v>83</v>
      </c>
    </row>
    <row r="3964" spans="1:54" s="3" customFormat="1" ht="15" customHeight="1" x14ac:dyDescent="0.4">
      <c r="A3964">
        <v>792621</v>
      </c>
      <c r="B3964"/>
      <c r="C3964"/>
      <c r="D3964" t="s">
        <v>54</v>
      </c>
      <c r="E3964"/>
      <c r="F3964"/>
      <c r="G3964">
        <v>1</v>
      </c>
      <c r="H3964" t="s">
        <v>56</v>
      </c>
      <c r="I3964" t="s">
        <v>57</v>
      </c>
      <c r="J3964"/>
      <c r="K3964" t="s">
        <v>100</v>
      </c>
      <c r="L3964" t="s">
        <v>2034</v>
      </c>
      <c r="M3964" t="s">
        <v>60</v>
      </c>
      <c r="N3964"/>
      <c r="O3964"/>
      <c r="P3964" t="s">
        <v>102</v>
      </c>
      <c r="Q3964"/>
      <c r="R3964" t="s">
        <v>104</v>
      </c>
      <c r="S3964" t="s">
        <v>64</v>
      </c>
      <c r="T3964">
        <v>251.90199999999999</v>
      </c>
      <c r="U3964">
        <v>251.2</v>
      </c>
      <c r="V3964">
        <f t="shared" si="122"/>
        <v>251.55099999999999</v>
      </c>
      <c r="W3964">
        <f t="shared" si="123"/>
        <v>0.70199999999999818</v>
      </c>
      <c r="X3964">
        <v>45.150002000000001</v>
      </c>
      <c r="Y3964">
        <v>57.125</v>
      </c>
      <c r="Z3964" t="s">
        <v>124</v>
      </c>
      <c r="AA3964" t="s">
        <v>239</v>
      </c>
      <c r="AB3964" t="s">
        <v>2036</v>
      </c>
      <c r="AC3964" t="s">
        <v>2037</v>
      </c>
      <c r="AD3964"/>
      <c r="AE3964"/>
      <c r="AF3964"/>
      <c r="AG3964"/>
      <c r="AH3964" t="s">
        <v>72</v>
      </c>
      <c r="AI3964" t="s">
        <v>2035</v>
      </c>
      <c r="AJ3964">
        <v>2000</v>
      </c>
      <c r="AK3964" t="s">
        <v>2037</v>
      </c>
      <c r="AL3964"/>
      <c r="AM3964" t="s">
        <v>2038</v>
      </c>
      <c r="AN3964" t="s">
        <v>114</v>
      </c>
      <c r="AO3964" t="s">
        <v>77</v>
      </c>
      <c r="AP3964" t="s">
        <v>115</v>
      </c>
      <c r="AQ3964" t="s">
        <v>2039</v>
      </c>
      <c r="AR3964" t="s">
        <v>80</v>
      </c>
      <c r="AS3964">
        <v>302</v>
      </c>
      <c r="AT3964" t="s">
        <v>81</v>
      </c>
      <c r="AU3964">
        <v>50.49</v>
      </c>
      <c r="AV3964">
        <v>40.49</v>
      </c>
      <c r="AW3964" t="s">
        <v>82</v>
      </c>
      <c r="AX3964">
        <v>301</v>
      </c>
      <c r="AY3964" t="s">
        <v>81</v>
      </c>
      <c r="AZ3964">
        <v>37.76</v>
      </c>
      <c r="BA3964">
        <v>31.53</v>
      </c>
      <c r="BB3964" t="s">
        <v>83</v>
      </c>
    </row>
    <row r="3965" spans="1:54" s="3" customFormat="1" ht="15" customHeight="1" x14ac:dyDescent="0.4">
      <c r="A3965">
        <v>842090</v>
      </c>
      <c r="B3965"/>
      <c r="C3965"/>
      <c r="D3965" t="s">
        <v>54</v>
      </c>
      <c r="E3965"/>
      <c r="F3965"/>
      <c r="G3965">
        <v>1</v>
      </c>
      <c r="H3965" t="s">
        <v>56</v>
      </c>
      <c r="I3965" t="s">
        <v>57</v>
      </c>
      <c r="J3965"/>
      <c r="K3965" t="s">
        <v>2888</v>
      </c>
      <c r="L3965" t="s">
        <v>2889</v>
      </c>
      <c r="M3965" t="s">
        <v>60</v>
      </c>
      <c r="N3965"/>
      <c r="O3965"/>
      <c r="P3965" t="s">
        <v>102</v>
      </c>
      <c r="Q3965"/>
      <c r="R3965" t="s">
        <v>104</v>
      </c>
      <c r="S3965" t="s">
        <v>64</v>
      </c>
      <c r="T3965">
        <v>251.90199999999999</v>
      </c>
      <c r="U3965">
        <v>251.2</v>
      </c>
      <c r="V3965">
        <f t="shared" si="122"/>
        <v>251.55099999999999</v>
      </c>
      <c r="W3965">
        <f t="shared" si="123"/>
        <v>0.70199999999999818</v>
      </c>
      <c r="X3965">
        <v>88.883330999999998</v>
      </c>
      <c r="Y3965">
        <v>44.083331999999999</v>
      </c>
      <c r="Z3965" t="s">
        <v>184</v>
      </c>
      <c r="AA3965" t="s">
        <v>379</v>
      </c>
      <c r="AB3965" t="s">
        <v>2166</v>
      </c>
      <c r="AC3965" t="s">
        <v>2890</v>
      </c>
      <c r="AD3965" t="s">
        <v>2891</v>
      </c>
      <c r="AE3965" t="s">
        <v>2892</v>
      </c>
      <c r="AF3965"/>
      <c r="AG3965"/>
      <c r="AH3965" t="s">
        <v>72</v>
      </c>
      <c r="AI3965" t="s">
        <v>2893</v>
      </c>
      <c r="AJ3965">
        <v>1940</v>
      </c>
      <c r="AK3965" t="s">
        <v>2894</v>
      </c>
      <c r="AL3965"/>
      <c r="AM3965" t="s">
        <v>2895</v>
      </c>
      <c r="AN3965" t="s">
        <v>114</v>
      </c>
      <c r="AO3965" t="s">
        <v>160</v>
      </c>
      <c r="AP3965" t="s">
        <v>115</v>
      </c>
      <c r="AQ3965" t="s">
        <v>2896</v>
      </c>
      <c r="AR3965" t="s">
        <v>80</v>
      </c>
      <c r="AS3965" t="s">
        <v>528</v>
      </c>
      <c r="AT3965" t="s">
        <v>81</v>
      </c>
      <c r="AU3965"/>
      <c r="AV3965"/>
      <c r="AW3965" t="s">
        <v>82</v>
      </c>
      <c r="AX3965">
        <v>407</v>
      </c>
      <c r="AY3965" t="s">
        <v>81</v>
      </c>
      <c r="AZ3965">
        <v>73.17</v>
      </c>
      <c r="BA3965">
        <v>44.64</v>
      </c>
      <c r="BB3965" t="s">
        <v>83</v>
      </c>
    </row>
    <row r="3966" spans="1:54" s="3" customFormat="1" ht="15" customHeight="1" x14ac:dyDescent="0.4">
      <c r="A3966">
        <v>842090</v>
      </c>
      <c r="B3966"/>
      <c r="C3966"/>
      <c r="D3966" t="s">
        <v>54</v>
      </c>
      <c r="E3966"/>
      <c r="F3966"/>
      <c r="G3966">
        <v>1</v>
      </c>
      <c r="H3966" t="s">
        <v>56</v>
      </c>
      <c r="I3966" t="s">
        <v>57</v>
      </c>
      <c r="J3966"/>
      <c r="K3966" t="s">
        <v>2888</v>
      </c>
      <c r="L3966" t="s">
        <v>2889</v>
      </c>
      <c r="M3966" t="s">
        <v>60</v>
      </c>
      <c r="N3966"/>
      <c r="O3966"/>
      <c r="P3966" t="s">
        <v>102</v>
      </c>
      <c r="Q3966"/>
      <c r="R3966" t="s">
        <v>104</v>
      </c>
      <c r="S3966" t="s">
        <v>64</v>
      </c>
      <c r="T3966">
        <v>251.90199999999999</v>
      </c>
      <c r="U3966">
        <v>251.2</v>
      </c>
      <c r="V3966">
        <f t="shared" si="122"/>
        <v>251.55099999999999</v>
      </c>
      <c r="W3966">
        <f t="shared" si="123"/>
        <v>0.70199999999999818</v>
      </c>
      <c r="X3966">
        <v>88.883330999999998</v>
      </c>
      <c r="Y3966">
        <v>44.083331999999999</v>
      </c>
      <c r="Z3966" t="s">
        <v>184</v>
      </c>
      <c r="AA3966" t="s">
        <v>379</v>
      </c>
      <c r="AB3966" t="s">
        <v>2166</v>
      </c>
      <c r="AC3966" t="s">
        <v>2890</v>
      </c>
      <c r="AD3966" t="s">
        <v>2891</v>
      </c>
      <c r="AE3966" t="s">
        <v>2892</v>
      </c>
      <c r="AF3966"/>
      <c r="AG3966"/>
      <c r="AH3966" t="s">
        <v>72</v>
      </c>
      <c r="AI3966" t="s">
        <v>2893</v>
      </c>
      <c r="AJ3966">
        <v>1940</v>
      </c>
      <c r="AK3966" t="s">
        <v>2894</v>
      </c>
      <c r="AL3966"/>
      <c r="AM3966" t="s">
        <v>2895</v>
      </c>
      <c r="AN3966" t="s">
        <v>114</v>
      </c>
      <c r="AO3966" t="s">
        <v>160</v>
      </c>
      <c r="AP3966" t="s">
        <v>115</v>
      </c>
      <c r="AQ3966" t="s">
        <v>2896</v>
      </c>
      <c r="AR3966" t="s">
        <v>80</v>
      </c>
      <c r="AS3966" t="s">
        <v>528</v>
      </c>
      <c r="AT3966" t="s">
        <v>81</v>
      </c>
      <c r="AU3966"/>
      <c r="AV3966"/>
      <c r="AW3966" t="s">
        <v>82</v>
      </c>
      <c r="AX3966">
        <v>407</v>
      </c>
      <c r="AY3966" t="s">
        <v>81</v>
      </c>
      <c r="AZ3966">
        <v>73.17</v>
      </c>
      <c r="BA3966">
        <v>44.64</v>
      </c>
      <c r="BB3966" t="s">
        <v>83</v>
      </c>
    </row>
    <row r="3967" spans="1:54" s="3" customFormat="1" ht="15" customHeight="1" x14ac:dyDescent="0.4">
      <c r="A3967">
        <v>842090</v>
      </c>
      <c r="B3967"/>
      <c r="C3967"/>
      <c r="D3967" t="s">
        <v>54</v>
      </c>
      <c r="E3967"/>
      <c r="F3967"/>
      <c r="G3967">
        <v>1</v>
      </c>
      <c r="H3967" t="s">
        <v>56</v>
      </c>
      <c r="I3967" t="s">
        <v>57</v>
      </c>
      <c r="J3967"/>
      <c r="K3967" t="s">
        <v>2888</v>
      </c>
      <c r="L3967" t="s">
        <v>2889</v>
      </c>
      <c r="M3967" t="s">
        <v>60</v>
      </c>
      <c r="N3967"/>
      <c r="O3967"/>
      <c r="P3967" t="s">
        <v>102</v>
      </c>
      <c r="Q3967"/>
      <c r="R3967" t="s">
        <v>104</v>
      </c>
      <c r="S3967" t="s">
        <v>64</v>
      </c>
      <c r="T3967">
        <v>251.90199999999999</v>
      </c>
      <c r="U3967">
        <v>251.2</v>
      </c>
      <c r="V3967">
        <f t="shared" si="122"/>
        <v>251.55099999999999</v>
      </c>
      <c r="W3967">
        <f t="shared" si="123"/>
        <v>0.70199999999999818</v>
      </c>
      <c r="X3967">
        <v>88.883330999999998</v>
      </c>
      <c r="Y3967">
        <v>44.083331999999999</v>
      </c>
      <c r="Z3967" t="s">
        <v>184</v>
      </c>
      <c r="AA3967" t="s">
        <v>379</v>
      </c>
      <c r="AB3967" t="s">
        <v>2166</v>
      </c>
      <c r="AC3967" t="s">
        <v>2890</v>
      </c>
      <c r="AD3967" t="s">
        <v>2891</v>
      </c>
      <c r="AE3967" t="s">
        <v>2892</v>
      </c>
      <c r="AF3967"/>
      <c r="AG3967"/>
      <c r="AH3967" t="s">
        <v>72</v>
      </c>
      <c r="AI3967" t="s">
        <v>2893</v>
      </c>
      <c r="AJ3967">
        <v>1940</v>
      </c>
      <c r="AK3967" t="s">
        <v>2894</v>
      </c>
      <c r="AL3967"/>
      <c r="AM3967" t="s">
        <v>2895</v>
      </c>
      <c r="AN3967" t="s">
        <v>114</v>
      </c>
      <c r="AO3967" t="s">
        <v>160</v>
      </c>
      <c r="AP3967" t="s">
        <v>115</v>
      </c>
      <c r="AQ3967" t="s">
        <v>2896</v>
      </c>
      <c r="AR3967" t="s">
        <v>80</v>
      </c>
      <c r="AS3967" t="s">
        <v>528</v>
      </c>
      <c r="AT3967" t="s">
        <v>81</v>
      </c>
      <c r="AU3967"/>
      <c r="AV3967"/>
      <c r="AW3967" t="s">
        <v>82</v>
      </c>
      <c r="AX3967">
        <v>407</v>
      </c>
      <c r="AY3967" t="s">
        <v>81</v>
      </c>
      <c r="AZ3967">
        <v>73.17</v>
      </c>
      <c r="BA3967">
        <v>44.64</v>
      </c>
      <c r="BB3967" t="s">
        <v>83</v>
      </c>
    </row>
    <row r="3968" spans="1:54" s="3" customFormat="1" ht="15" customHeight="1" x14ac:dyDescent="0.4">
      <c r="A3968">
        <v>842964</v>
      </c>
      <c r="B3968"/>
      <c r="C3968"/>
      <c r="D3968" t="s">
        <v>54</v>
      </c>
      <c r="E3968"/>
      <c r="F3968"/>
      <c r="G3968">
        <v>1</v>
      </c>
      <c r="H3968" t="s">
        <v>56</v>
      </c>
      <c r="I3968" t="s">
        <v>57</v>
      </c>
      <c r="J3968"/>
      <c r="K3968" t="s">
        <v>100</v>
      </c>
      <c r="L3968" t="s">
        <v>2034</v>
      </c>
      <c r="M3968" t="s">
        <v>60</v>
      </c>
      <c r="N3968"/>
      <c r="O3968"/>
      <c r="P3968" t="s">
        <v>102</v>
      </c>
      <c r="Q3968"/>
      <c r="R3968" t="s">
        <v>104</v>
      </c>
      <c r="S3968" t="s">
        <v>64</v>
      </c>
      <c r="T3968">
        <v>251.90199999999999</v>
      </c>
      <c r="U3968">
        <v>251.2</v>
      </c>
      <c r="V3968">
        <f t="shared" si="122"/>
        <v>251.55099999999999</v>
      </c>
      <c r="W3968">
        <f t="shared" si="123"/>
        <v>0.70199999999999818</v>
      </c>
      <c r="X3968">
        <v>45.150002000000001</v>
      </c>
      <c r="Y3968">
        <v>57.125</v>
      </c>
      <c r="Z3968" t="s">
        <v>124</v>
      </c>
      <c r="AA3968" t="s">
        <v>239</v>
      </c>
      <c r="AB3968" t="s">
        <v>2036</v>
      </c>
      <c r="AC3968" t="s">
        <v>2037</v>
      </c>
      <c r="AD3968"/>
      <c r="AE3968"/>
      <c r="AF3968"/>
      <c r="AG3968"/>
      <c r="AH3968" t="s">
        <v>72</v>
      </c>
      <c r="AI3968" t="s">
        <v>400</v>
      </c>
      <c r="AJ3968">
        <v>1974</v>
      </c>
      <c r="AK3968" t="s">
        <v>2997</v>
      </c>
      <c r="AL3968"/>
      <c r="AM3968" t="s">
        <v>2998</v>
      </c>
      <c r="AN3968" t="s">
        <v>114</v>
      </c>
      <c r="AO3968" t="s">
        <v>77</v>
      </c>
      <c r="AP3968" t="s">
        <v>115</v>
      </c>
      <c r="AQ3968" t="s">
        <v>2999</v>
      </c>
      <c r="AR3968" t="s">
        <v>80</v>
      </c>
      <c r="AS3968">
        <v>302</v>
      </c>
      <c r="AT3968" t="s">
        <v>81</v>
      </c>
      <c r="AU3968">
        <v>50.49</v>
      </c>
      <c r="AV3968">
        <v>40.49</v>
      </c>
      <c r="AW3968" t="s">
        <v>82</v>
      </c>
      <c r="AX3968">
        <v>301</v>
      </c>
      <c r="AY3968" t="s">
        <v>81</v>
      </c>
      <c r="AZ3968">
        <v>37.76</v>
      </c>
      <c r="BA3968">
        <v>31.53</v>
      </c>
      <c r="BB3968" t="s">
        <v>83</v>
      </c>
    </row>
    <row r="3969" spans="1:54" s="3" customFormat="1" ht="15" customHeight="1" x14ac:dyDescent="0.4">
      <c r="A3969">
        <v>842965</v>
      </c>
      <c r="B3969"/>
      <c r="C3969"/>
      <c r="D3969" t="s">
        <v>54</v>
      </c>
      <c r="E3969"/>
      <c r="F3969"/>
      <c r="G3969">
        <v>1</v>
      </c>
      <c r="H3969" t="s">
        <v>56</v>
      </c>
      <c r="I3969" t="s">
        <v>57</v>
      </c>
      <c r="J3969"/>
      <c r="K3969" t="s">
        <v>100</v>
      </c>
      <c r="L3969" t="s">
        <v>2034</v>
      </c>
      <c r="M3969" t="s">
        <v>60</v>
      </c>
      <c r="N3969"/>
      <c r="O3969"/>
      <c r="P3969" t="s">
        <v>102</v>
      </c>
      <c r="Q3969"/>
      <c r="R3969" t="s">
        <v>104</v>
      </c>
      <c r="S3969" t="s">
        <v>64</v>
      </c>
      <c r="T3969">
        <v>251.90199999999999</v>
      </c>
      <c r="U3969">
        <v>251.2</v>
      </c>
      <c r="V3969">
        <f t="shared" si="122"/>
        <v>251.55099999999999</v>
      </c>
      <c r="W3969">
        <f t="shared" si="123"/>
        <v>0.70199999999999818</v>
      </c>
      <c r="X3969">
        <v>45.150002000000001</v>
      </c>
      <c r="Y3969">
        <v>57.125</v>
      </c>
      <c r="Z3969" t="s">
        <v>124</v>
      </c>
      <c r="AA3969" t="s">
        <v>239</v>
      </c>
      <c r="AB3969" t="s">
        <v>2036</v>
      </c>
      <c r="AC3969" t="s">
        <v>2037</v>
      </c>
      <c r="AD3969"/>
      <c r="AE3969"/>
      <c r="AF3969"/>
      <c r="AG3969"/>
      <c r="AH3969" t="s">
        <v>72</v>
      </c>
      <c r="AI3969" t="s">
        <v>400</v>
      </c>
      <c r="AJ3969">
        <v>1974</v>
      </c>
      <c r="AK3969" t="s">
        <v>3000</v>
      </c>
      <c r="AL3969"/>
      <c r="AM3969" t="s">
        <v>3001</v>
      </c>
      <c r="AN3969" t="s">
        <v>114</v>
      </c>
      <c r="AO3969" t="s">
        <v>77</v>
      </c>
      <c r="AP3969" t="s">
        <v>115</v>
      </c>
      <c r="AQ3969" t="s">
        <v>3002</v>
      </c>
      <c r="AR3969" t="s">
        <v>80</v>
      </c>
      <c r="AS3969">
        <v>302</v>
      </c>
      <c r="AT3969" t="s">
        <v>81</v>
      </c>
      <c r="AU3969">
        <v>50.49</v>
      </c>
      <c r="AV3969">
        <v>40.49</v>
      </c>
      <c r="AW3969" t="s">
        <v>82</v>
      </c>
      <c r="AX3969">
        <v>301</v>
      </c>
      <c r="AY3969" t="s">
        <v>81</v>
      </c>
      <c r="AZ3969">
        <v>37.76</v>
      </c>
      <c r="BA3969">
        <v>31.53</v>
      </c>
      <c r="BB3969" t="s">
        <v>83</v>
      </c>
    </row>
    <row r="3970" spans="1:54" s="3" customFormat="1" ht="15" customHeight="1" x14ac:dyDescent="0.4">
      <c r="A3970">
        <v>842974</v>
      </c>
      <c r="B3970"/>
      <c r="C3970"/>
      <c r="D3970" t="s">
        <v>54</v>
      </c>
      <c r="E3970"/>
      <c r="F3970"/>
      <c r="G3970">
        <v>1</v>
      </c>
      <c r="H3970" t="s">
        <v>56</v>
      </c>
      <c r="I3970" t="s">
        <v>57</v>
      </c>
      <c r="J3970"/>
      <c r="K3970" t="s">
        <v>100</v>
      </c>
      <c r="L3970" t="s">
        <v>2034</v>
      </c>
      <c r="M3970" t="s">
        <v>60</v>
      </c>
      <c r="N3970"/>
      <c r="O3970"/>
      <c r="P3970" t="s">
        <v>102</v>
      </c>
      <c r="Q3970"/>
      <c r="R3970" t="s">
        <v>104</v>
      </c>
      <c r="S3970" t="s">
        <v>64</v>
      </c>
      <c r="T3970">
        <v>251.90199999999999</v>
      </c>
      <c r="U3970">
        <v>251.2</v>
      </c>
      <c r="V3970">
        <f t="shared" si="122"/>
        <v>251.55099999999999</v>
      </c>
      <c r="W3970">
        <f t="shared" si="123"/>
        <v>0.70199999999999818</v>
      </c>
      <c r="X3970">
        <v>47.961109</v>
      </c>
      <c r="Y3970">
        <v>59.140555999999997</v>
      </c>
      <c r="Z3970" t="s">
        <v>124</v>
      </c>
      <c r="AA3970" t="s">
        <v>239</v>
      </c>
      <c r="AB3970" t="s">
        <v>501</v>
      </c>
      <c r="AC3970" t="s">
        <v>3006</v>
      </c>
      <c r="AD3970"/>
      <c r="AE3970"/>
      <c r="AF3970"/>
      <c r="AG3970"/>
      <c r="AH3970" t="s">
        <v>72</v>
      </c>
      <c r="AI3970" t="s">
        <v>400</v>
      </c>
      <c r="AJ3970">
        <v>1974</v>
      </c>
      <c r="AK3970" t="s">
        <v>3007</v>
      </c>
      <c r="AL3970"/>
      <c r="AM3970" t="s">
        <v>3008</v>
      </c>
      <c r="AN3970" t="s">
        <v>114</v>
      </c>
      <c r="AO3970" t="s">
        <v>77</v>
      </c>
      <c r="AP3970" t="s">
        <v>115</v>
      </c>
      <c r="AQ3970" t="s">
        <v>3009</v>
      </c>
      <c r="AR3970" t="s">
        <v>80</v>
      </c>
      <c r="AS3970">
        <v>302</v>
      </c>
      <c r="AT3970" t="s">
        <v>81</v>
      </c>
      <c r="AU3970">
        <v>50.89</v>
      </c>
      <c r="AV3970">
        <v>42.97</v>
      </c>
      <c r="AW3970" t="s">
        <v>82</v>
      </c>
      <c r="AX3970">
        <v>301</v>
      </c>
      <c r="AY3970" t="s">
        <v>81</v>
      </c>
      <c r="AZ3970">
        <v>37.450000000000003</v>
      </c>
      <c r="BA3970">
        <v>34.020000000000003</v>
      </c>
      <c r="BB3970" t="s">
        <v>83</v>
      </c>
    </row>
    <row r="3971" spans="1:54" s="3" customFormat="1" ht="15" customHeight="1" x14ac:dyDescent="0.4">
      <c r="A3971">
        <v>842975</v>
      </c>
      <c r="B3971"/>
      <c r="C3971"/>
      <c r="D3971" t="s">
        <v>54</v>
      </c>
      <c r="E3971" t="s">
        <v>55</v>
      </c>
      <c r="F3971"/>
      <c r="G3971">
        <v>1</v>
      </c>
      <c r="H3971" t="s">
        <v>56</v>
      </c>
      <c r="I3971" t="s">
        <v>57</v>
      </c>
      <c r="J3971"/>
      <c r="K3971" t="s">
        <v>100</v>
      </c>
      <c r="L3971" t="s">
        <v>2034</v>
      </c>
      <c r="M3971" t="s">
        <v>60</v>
      </c>
      <c r="N3971"/>
      <c r="O3971"/>
      <c r="P3971" t="s">
        <v>102</v>
      </c>
      <c r="Q3971"/>
      <c r="R3971" t="s">
        <v>104</v>
      </c>
      <c r="S3971" t="s">
        <v>64</v>
      </c>
      <c r="T3971">
        <v>251.90199999999999</v>
      </c>
      <c r="U3971">
        <v>251.2</v>
      </c>
      <c r="V3971">
        <f t="shared" ref="V3971:V3988" si="124">(T3971+U3971)/2</f>
        <v>251.55099999999999</v>
      </c>
      <c r="W3971">
        <f t="shared" ref="W3971:W3988" si="125">T3971-U3971</f>
        <v>0.70199999999999818</v>
      </c>
      <c r="X3971">
        <v>45.906387000000002</v>
      </c>
      <c r="Y3971">
        <v>57.884166999999998</v>
      </c>
      <c r="Z3971" t="s">
        <v>124</v>
      </c>
      <c r="AA3971" t="s">
        <v>239</v>
      </c>
      <c r="AB3971" t="s">
        <v>609</v>
      </c>
      <c r="AC3971" t="s">
        <v>610</v>
      </c>
      <c r="AD3971" t="s">
        <v>611</v>
      </c>
      <c r="AE3971"/>
      <c r="AF3971"/>
      <c r="AG3971"/>
      <c r="AH3971" t="s">
        <v>72</v>
      </c>
      <c r="AI3971" t="s">
        <v>400</v>
      </c>
      <c r="AJ3971">
        <v>2008</v>
      </c>
      <c r="AK3971" t="s">
        <v>613</v>
      </c>
      <c r="AL3971"/>
      <c r="AM3971" t="s">
        <v>614</v>
      </c>
      <c r="AN3971" t="s">
        <v>192</v>
      </c>
      <c r="AO3971" t="s">
        <v>77</v>
      </c>
      <c r="AP3971" t="s">
        <v>78</v>
      </c>
      <c r="AQ3971" t="s">
        <v>615</v>
      </c>
      <c r="AR3971" t="s">
        <v>80</v>
      </c>
      <c r="AS3971">
        <v>302</v>
      </c>
      <c r="AT3971" t="s">
        <v>81</v>
      </c>
      <c r="AU3971">
        <v>50.48</v>
      </c>
      <c r="AV3971">
        <v>41.35</v>
      </c>
      <c r="AW3971" t="s">
        <v>82</v>
      </c>
      <c r="AX3971">
        <v>301</v>
      </c>
      <c r="AY3971" t="s">
        <v>81</v>
      </c>
      <c r="AZ3971">
        <v>37.53</v>
      </c>
      <c r="BA3971">
        <v>32.369999999999997</v>
      </c>
      <c r="BB3971" t="s">
        <v>83</v>
      </c>
    </row>
    <row r="3972" spans="1:54" s="3" customFormat="1" ht="15" customHeight="1" x14ac:dyDescent="0.4">
      <c r="A3972">
        <v>846843</v>
      </c>
      <c r="B3972"/>
      <c r="C3972"/>
      <c r="D3972" t="s">
        <v>54</v>
      </c>
      <c r="E3972"/>
      <c r="F3972"/>
      <c r="G3972">
        <v>1</v>
      </c>
      <c r="H3972" t="s">
        <v>421</v>
      </c>
      <c r="I3972" t="s">
        <v>57</v>
      </c>
      <c r="J3972"/>
      <c r="K3972" t="s">
        <v>2801</v>
      </c>
      <c r="L3972" t="s">
        <v>2802</v>
      </c>
      <c r="M3972" t="s">
        <v>60</v>
      </c>
      <c r="N3972" t="s">
        <v>119</v>
      </c>
      <c r="O3972" t="s">
        <v>87</v>
      </c>
      <c r="P3972" t="s">
        <v>102</v>
      </c>
      <c r="Q3972"/>
      <c r="R3972" t="s">
        <v>104</v>
      </c>
      <c r="S3972" t="s">
        <v>64</v>
      </c>
      <c r="T3972">
        <v>251.90199999999999</v>
      </c>
      <c r="U3972">
        <v>251.2</v>
      </c>
      <c r="V3972">
        <f t="shared" si="124"/>
        <v>251.55099999999999</v>
      </c>
      <c r="W3972">
        <f t="shared" si="125"/>
        <v>0.70199999999999818</v>
      </c>
      <c r="X3972">
        <v>55.724997999999999</v>
      </c>
      <c r="Y3972">
        <v>51.344444000000003</v>
      </c>
      <c r="Z3972" t="s">
        <v>432</v>
      </c>
      <c r="AA3972" t="s">
        <v>239</v>
      </c>
      <c r="AB3972" t="s">
        <v>638</v>
      </c>
      <c r="AC3972" t="s">
        <v>639</v>
      </c>
      <c r="AD3972" t="s">
        <v>640</v>
      </c>
      <c r="AE3972"/>
      <c r="AF3972"/>
      <c r="AG3972"/>
      <c r="AH3972" t="s">
        <v>11</v>
      </c>
      <c r="AI3972" t="s">
        <v>1937</v>
      </c>
      <c r="AJ3972">
        <v>2003</v>
      </c>
      <c r="AK3972" t="s">
        <v>641</v>
      </c>
      <c r="AL3972"/>
      <c r="AM3972" t="s">
        <v>642</v>
      </c>
      <c r="AN3972" t="s">
        <v>114</v>
      </c>
      <c r="AO3972" t="s">
        <v>77</v>
      </c>
      <c r="AP3972" t="s">
        <v>115</v>
      </c>
      <c r="AQ3972" t="s">
        <v>643</v>
      </c>
      <c r="AR3972" t="s">
        <v>80</v>
      </c>
      <c r="AS3972">
        <v>302</v>
      </c>
      <c r="AT3972" t="s">
        <v>81</v>
      </c>
      <c r="AU3972">
        <v>61.14</v>
      </c>
      <c r="AV3972">
        <v>38.51</v>
      </c>
      <c r="AW3972" t="s">
        <v>82</v>
      </c>
      <c r="AX3972">
        <v>301</v>
      </c>
      <c r="AY3972" t="s">
        <v>81</v>
      </c>
      <c r="AZ3972">
        <v>47.67</v>
      </c>
      <c r="BA3972">
        <v>31.49</v>
      </c>
      <c r="BB3972" t="s">
        <v>83</v>
      </c>
    </row>
    <row r="3973" spans="1:54" s="3" customFormat="1" ht="15" customHeight="1" x14ac:dyDescent="0.4">
      <c r="A3973">
        <v>847026</v>
      </c>
      <c r="B3973"/>
      <c r="C3973"/>
      <c r="D3973" t="s">
        <v>54</v>
      </c>
      <c r="E3973"/>
      <c r="F3973"/>
      <c r="G3973">
        <v>1</v>
      </c>
      <c r="H3973" t="s">
        <v>56</v>
      </c>
      <c r="I3973" t="s">
        <v>57</v>
      </c>
      <c r="J3973"/>
      <c r="K3973" t="s">
        <v>141</v>
      </c>
      <c r="L3973" t="s">
        <v>3109</v>
      </c>
      <c r="M3973" t="s">
        <v>60</v>
      </c>
      <c r="N3973"/>
      <c r="O3973"/>
      <c r="P3973" t="s">
        <v>102</v>
      </c>
      <c r="Q3973"/>
      <c r="R3973" t="s">
        <v>104</v>
      </c>
      <c r="S3973" t="s">
        <v>64</v>
      </c>
      <c r="T3973">
        <v>251.90199999999999</v>
      </c>
      <c r="U3973">
        <v>251.2</v>
      </c>
      <c r="V3973">
        <f t="shared" si="124"/>
        <v>251.55099999999999</v>
      </c>
      <c r="W3973">
        <f t="shared" si="125"/>
        <v>0.70199999999999818</v>
      </c>
      <c r="X3973">
        <v>45.075001</v>
      </c>
      <c r="Y3973">
        <v>57.424999</v>
      </c>
      <c r="Z3973" t="s">
        <v>124</v>
      </c>
      <c r="AA3973" t="s">
        <v>239</v>
      </c>
      <c r="AB3973" t="s">
        <v>2036</v>
      </c>
      <c r="AC3973" t="s">
        <v>3110</v>
      </c>
      <c r="AD3973" t="s">
        <v>3111</v>
      </c>
      <c r="AE3973"/>
      <c r="AF3973"/>
      <c r="AG3973"/>
      <c r="AH3973" t="s">
        <v>72</v>
      </c>
      <c r="AI3973" t="s">
        <v>3106</v>
      </c>
      <c r="AJ3973">
        <v>1978</v>
      </c>
      <c r="AK3973" t="s">
        <v>3112</v>
      </c>
      <c r="AL3973"/>
      <c r="AM3973" t="s">
        <v>3001</v>
      </c>
      <c r="AN3973" t="s">
        <v>114</v>
      </c>
      <c r="AO3973" t="s">
        <v>77</v>
      </c>
      <c r="AP3973" t="s">
        <v>115</v>
      </c>
      <c r="AQ3973" t="s">
        <v>3113</v>
      </c>
      <c r="AR3973" t="s">
        <v>80</v>
      </c>
      <c r="AS3973">
        <v>302</v>
      </c>
      <c r="AT3973" t="s">
        <v>81</v>
      </c>
      <c r="AU3973">
        <v>50.26</v>
      </c>
      <c r="AV3973">
        <v>40.729999999999997</v>
      </c>
      <c r="AW3973" t="s">
        <v>82</v>
      </c>
      <c r="AX3973">
        <v>301</v>
      </c>
      <c r="AY3973" t="s">
        <v>81</v>
      </c>
      <c r="AZ3973">
        <v>37.49</v>
      </c>
      <c r="BA3973">
        <v>31.73</v>
      </c>
      <c r="BB3973" t="s">
        <v>83</v>
      </c>
    </row>
    <row r="3974" spans="1:54" s="3" customFormat="1" ht="15" customHeight="1" x14ac:dyDescent="0.4">
      <c r="A3974">
        <v>847027</v>
      </c>
      <c r="B3974"/>
      <c r="C3974"/>
      <c r="D3974" t="s">
        <v>54</v>
      </c>
      <c r="E3974"/>
      <c r="F3974"/>
      <c r="G3974">
        <v>2</v>
      </c>
      <c r="H3974" t="s">
        <v>421</v>
      </c>
      <c r="I3974" t="s">
        <v>57</v>
      </c>
      <c r="J3974"/>
      <c r="K3974" t="s">
        <v>2801</v>
      </c>
      <c r="L3974" t="s">
        <v>2802</v>
      </c>
      <c r="M3974" t="s">
        <v>60</v>
      </c>
      <c r="N3974" t="s">
        <v>119</v>
      </c>
      <c r="O3974" t="s">
        <v>87</v>
      </c>
      <c r="P3974" t="s">
        <v>102</v>
      </c>
      <c r="Q3974"/>
      <c r="R3974" t="s">
        <v>104</v>
      </c>
      <c r="S3974" t="s">
        <v>64</v>
      </c>
      <c r="T3974">
        <v>251.90199999999999</v>
      </c>
      <c r="U3974">
        <v>251.2</v>
      </c>
      <c r="V3974">
        <f t="shared" si="124"/>
        <v>251.55099999999999</v>
      </c>
      <c r="W3974">
        <f t="shared" si="125"/>
        <v>0.70199999999999818</v>
      </c>
      <c r="X3974">
        <v>45.075001</v>
      </c>
      <c r="Y3974">
        <v>57.424999</v>
      </c>
      <c r="Z3974" t="s">
        <v>124</v>
      </c>
      <c r="AA3974" t="s">
        <v>239</v>
      </c>
      <c r="AB3974" t="s">
        <v>2036</v>
      </c>
      <c r="AC3974" t="s">
        <v>3110</v>
      </c>
      <c r="AD3974" t="s">
        <v>3111</v>
      </c>
      <c r="AE3974"/>
      <c r="AF3974"/>
      <c r="AG3974"/>
      <c r="AH3974" t="s">
        <v>11</v>
      </c>
      <c r="AI3974" t="s">
        <v>612</v>
      </c>
      <c r="AJ3974">
        <v>2008</v>
      </c>
      <c r="AK3974" t="s">
        <v>3112</v>
      </c>
      <c r="AL3974"/>
      <c r="AM3974" t="s">
        <v>3001</v>
      </c>
      <c r="AN3974" t="s">
        <v>114</v>
      </c>
      <c r="AO3974" t="s">
        <v>77</v>
      </c>
      <c r="AP3974" t="s">
        <v>115</v>
      </c>
      <c r="AQ3974" t="s">
        <v>3113</v>
      </c>
      <c r="AR3974" t="s">
        <v>80</v>
      </c>
      <c r="AS3974">
        <v>302</v>
      </c>
      <c r="AT3974" t="s">
        <v>81</v>
      </c>
      <c r="AU3974">
        <v>50.26</v>
      </c>
      <c r="AV3974">
        <v>40.729999999999997</v>
      </c>
      <c r="AW3974" t="s">
        <v>82</v>
      </c>
      <c r="AX3974">
        <v>301</v>
      </c>
      <c r="AY3974" t="s">
        <v>81</v>
      </c>
      <c r="AZ3974">
        <v>37.49</v>
      </c>
      <c r="BA3974">
        <v>31.73</v>
      </c>
      <c r="BB3974" t="s">
        <v>83</v>
      </c>
    </row>
    <row r="3975" spans="1:54" s="3" customFormat="1" ht="15" customHeight="1" x14ac:dyDescent="0.4">
      <c r="A3975">
        <v>902092</v>
      </c>
      <c r="B3975"/>
      <c r="C3975"/>
      <c r="D3975" t="s">
        <v>54</v>
      </c>
      <c r="E3975" t="s">
        <v>297</v>
      </c>
      <c r="F3975"/>
      <c r="G3975">
        <v>1</v>
      </c>
      <c r="H3975" t="s">
        <v>56</v>
      </c>
      <c r="I3975" t="s">
        <v>57</v>
      </c>
      <c r="J3975"/>
      <c r="K3975" t="s">
        <v>141</v>
      </c>
      <c r="L3975" t="s">
        <v>3470</v>
      </c>
      <c r="M3975" t="s">
        <v>60</v>
      </c>
      <c r="N3975"/>
      <c r="O3975"/>
      <c r="P3975" t="s">
        <v>102</v>
      </c>
      <c r="Q3975"/>
      <c r="R3975" t="s">
        <v>104</v>
      </c>
      <c r="S3975" t="s">
        <v>64</v>
      </c>
      <c r="T3975">
        <v>251.90199999999999</v>
      </c>
      <c r="U3975">
        <v>251.2</v>
      </c>
      <c r="V3975">
        <f t="shared" si="124"/>
        <v>251.55099999999999</v>
      </c>
      <c r="W3975">
        <f t="shared" si="125"/>
        <v>0.70199999999999818</v>
      </c>
      <c r="X3975">
        <v>88.883330999999998</v>
      </c>
      <c r="Y3975">
        <v>44.083331999999999</v>
      </c>
      <c r="Z3975" t="s">
        <v>184</v>
      </c>
      <c r="AA3975" t="s">
        <v>379</v>
      </c>
      <c r="AB3975" t="s">
        <v>2166</v>
      </c>
      <c r="AC3975"/>
      <c r="AD3975" t="s">
        <v>2891</v>
      </c>
      <c r="AE3975" t="s">
        <v>2892</v>
      </c>
      <c r="AF3975"/>
      <c r="AG3975" t="s">
        <v>3471</v>
      </c>
      <c r="AH3975" t="s">
        <v>72</v>
      </c>
      <c r="AI3975" t="s">
        <v>683</v>
      </c>
      <c r="AJ3975">
        <v>1973</v>
      </c>
      <c r="AK3975" t="s">
        <v>3472</v>
      </c>
      <c r="AL3975"/>
      <c r="AM3975" t="s">
        <v>3473</v>
      </c>
      <c r="AN3975" t="s">
        <v>114</v>
      </c>
      <c r="AO3975" t="s">
        <v>160</v>
      </c>
      <c r="AP3975" t="s">
        <v>115</v>
      </c>
      <c r="AQ3975" t="s">
        <v>3474</v>
      </c>
      <c r="AR3975" t="s">
        <v>80</v>
      </c>
      <c r="AS3975" t="s">
        <v>528</v>
      </c>
      <c r="AT3975" t="s">
        <v>81</v>
      </c>
      <c r="AU3975"/>
      <c r="AV3975"/>
      <c r="AW3975" t="s">
        <v>82</v>
      </c>
      <c r="AX3975">
        <v>407</v>
      </c>
      <c r="AY3975" t="s">
        <v>81</v>
      </c>
      <c r="AZ3975">
        <v>73.17</v>
      </c>
      <c r="BA3975">
        <v>44.64</v>
      </c>
      <c r="BB3975" t="s">
        <v>83</v>
      </c>
    </row>
    <row r="3976" spans="1:54" s="3" customFormat="1" ht="15" customHeight="1" x14ac:dyDescent="0.4">
      <c r="A3976">
        <v>922705</v>
      </c>
      <c r="B3976"/>
      <c r="C3976"/>
      <c r="D3976" t="s">
        <v>54</v>
      </c>
      <c r="E3976"/>
      <c r="F3976"/>
      <c r="G3976">
        <v>1</v>
      </c>
      <c r="H3976" t="s">
        <v>56</v>
      </c>
      <c r="I3976" t="s">
        <v>57</v>
      </c>
      <c r="J3976"/>
      <c r="K3976" t="s">
        <v>1957</v>
      </c>
      <c r="L3976" t="s">
        <v>3654</v>
      </c>
      <c r="M3976" t="s">
        <v>60</v>
      </c>
      <c r="N3976"/>
      <c r="O3976"/>
      <c r="P3976" t="s">
        <v>102</v>
      </c>
      <c r="Q3976"/>
      <c r="R3976" t="s">
        <v>104</v>
      </c>
      <c r="S3976" t="s">
        <v>64</v>
      </c>
      <c r="T3976">
        <v>251.90199999999999</v>
      </c>
      <c r="U3976">
        <v>251.2</v>
      </c>
      <c r="V3976">
        <f t="shared" si="124"/>
        <v>251.55099999999999</v>
      </c>
      <c r="W3976">
        <f t="shared" si="125"/>
        <v>0.70199999999999818</v>
      </c>
      <c r="X3976">
        <v>29.133333</v>
      </c>
      <c r="Y3976">
        <v>-28.283332999999999</v>
      </c>
      <c r="Z3976" t="s">
        <v>124</v>
      </c>
      <c r="AA3976" t="s">
        <v>106</v>
      </c>
      <c r="AB3976" t="s">
        <v>1625</v>
      </c>
      <c r="AC3976"/>
      <c r="AD3976" t="s">
        <v>109</v>
      </c>
      <c r="AE3976" t="s">
        <v>110</v>
      </c>
      <c r="AF3976"/>
      <c r="AG3976" t="s">
        <v>2175</v>
      </c>
      <c r="AH3976" t="s">
        <v>72</v>
      </c>
      <c r="AI3976" t="s">
        <v>3655</v>
      </c>
      <c r="AJ3976">
        <v>2004</v>
      </c>
      <c r="AK3976" t="s">
        <v>3674</v>
      </c>
      <c r="AL3976"/>
      <c r="AM3976" t="s">
        <v>3675</v>
      </c>
      <c r="AN3976" t="s">
        <v>114</v>
      </c>
      <c r="AO3976" t="s">
        <v>160</v>
      </c>
      <c r="AP3976" t="s">
        <v>78</v>
      </c>
      <c r="AQ3976" t="s">
        <v>3676</v>
      </c>
      <c r="AR3976" t="s">
        <v>80</v>
      </c>
      <c r="AS3976">
        <v>701</v>
      </c>
      <c r="AT3976" t="s">
        <v>81</v>
      </c>
      <c r="AU3976">
        <v>-5.96</v>
      </c>
      <c r="AV3976">
        <v>-51.32</v>
      </c>
      <c r="AW3976" t="s">
        <v>82</v>
      </c>
      <c r="AX3976">
        <v>701</v>
      </c>
      <c r="AY3976" t="s">
        <v>81</v>
      </c>
      <c r="AZ3976">
        <v>-13.41</v>
      </c>
      <c r="BA3976">
        <v>-64.680000000000007</v>
      </c>
      <c r="BB3976" t="s">
        <v>83</v>
      </c>
    </row>
    <row r="3977" spans="1:54" s="3" customFormat="1" ht="15" customHeight="1" x14ac:dyDescent="0.4">
      <c r="A3977">
        <v>923197</v>
      </c>
      <c r="B3977"/>
      <c r="C3977"/>
      <c r="D3977" t="s">
        <v>54</v>
      </c>
      <c r="E3977" t="s">
        <v>152</v>
      </c>
      <c r="F3977" t="s">
        <v>719</v>
      </c>
      <c r="G3977">
        <v>1</v>
      </c>
      <c r="H3977" t="s">
        <v>56</v>
      </c>
      <c r="I3977" t="s">
        <v>57</v>
      </c>
      <c r="J3977"/>
      <c r="K3977" t="s">
        <v>100</v>
      </c>
      <c r="L3977" t="s">
        <v>3711</v>
      </c>
      <c r="M3977" t="s">
        <v>60</v>
      </c>
      <c r="N3977"/>
      <c r="O3977"/>
      <c r="P3977" t="s">
        <v>102</v>
      </c>
      <c r="Q3977"/>
      <c r="R3977" t="s">
        <v>104</v>
      </c>
      <c r="S3977" t="s">
        <v>64</v>
      </c>
      <c r="T3977">
        <v>251.90199999999999</v>
      </c>
      <c r="U3977">
        <v>251.2</v>
      </c>
      <c r="V3977">
        <f t="shared" si="124"/>
        <v>251.55099999999999</v>
      </c>
      <c r="W3977">
        <f t="shared" si="125"/>
        <v>0.70199999999999818</v>
      </c>
      <c r="X3977">
        <v>24.950001</v>
      </c>
      <c r="Y3977">
        <v>-31.183332</v>
      </c>
      <c r="Z3977" t="s">
        <v>124</v>
      </c>
      <c r="AA3977" t="s">
        <v>106</v>
      </c>
      <c r="AB3977" t="s">
        <v>575</v>
      </c>
      <c r="AC3977" t="s">
        <v>3712</v>
      </c>
      <c r="AD3977" t="s">
        <v>109</v>
      </c>
      <c r="AE3977" t="s">
        <v>110</v>
      </c>
      <c r="AF3977"/>
      <c r="AG3977" t="s">
        <v>2175</v>
      </c>
      <c r="AH3977" t="s">
        <v>72</v>
      </c>
      <c r="AI3977" t="s">
        <v>1532</v>
      </c>
      <c r="AJ3977">
        <v>2010</v>
      </c>
      <c r="AK3977" t="s">
        <v>3713</v>
      </c>
      <c r="AL3977"/>
      <c r="AM3977"/>
      <c r="AN3977" t="s">
        <v>114</v>
      </c>
      <c r="AO3977" t="s">
        <v>160</v>
      </c>
      <c r="AP3977" t="s">
        <v>78</v>
      </c>
      <c r="AQ3977" t="s">
        <v>3714</v>
      </c>
      <c r="AR3977" t="s">
        <v>80</v>
      </c>
      <c r="AS3977">
        <v>701</v>
      </c>
      <c r="AT3977" t="s">
        <v>81</v>
      </c>
      <c r="AU3977">
        <v>-13.06</v>
      </c>
      <c r="AV3977">
        <v>-50.13</v>
      </c>
      <c r="AW3977" t="s">
        <v>82</v>
      </c>
      <c r="AX3977">
        <v>701</v>
      </c>
      <c r="AY3977" t="s">
        <v>81</v>
      </c>
      <c r="AZ3977">
        <v>-23.42</v>
      </c>
      <c r="BA3977">
        <v>-63.17</v>
      </c>
      <c r="BB3977" t="s">
        <v>83</v>
      </c>
    </row>
    <row r="3978" spans="1:54" s="3" customFormat="1" ht="15" customHeight="1" x14ac:dyDescent="0.4">
      <c r="A3978">
        <v>979958</v>
      </c>
      <c r="B3978"/>
      <c r="C3978"/>
      <c r="D3978" t="s">
        <v>54</v>
      </c>
      <c r="E3978" t="s">
        <v>152</v>
      </c>
      <c r="F3978"/>
      <c r="G3978">
        <v>1</v>
      </c>
      <c r="H3978" t="s">
        <v>56</v>
      </c>
      <c r="I3978" t="s">
        <v>57</v>
      </c>
      <c r="J3978"/>
      <c r="K3978" t="s">
        <v>141</v>
      </c>
      <c r="L3978" t="s">
        <v>3926</v>
      </c>
      <c r="M3978" t="s">
        <v>60</v>
      </c>
      <c r="N3978"/>
      <c r="O3978"/>
      <c r="P3978" t="s">
        <v>102</v>
      </c>
      <c r="Q3978"/>
      <c r="R3978" t="s">
        <v>104</v>
      </c>
      <c r="S3978" t="s">
        <v>64</v>
      </c>
      <c r="T3978">
        <v>251.90199999999999</v>
      </c>
      <c r="U3978">
        <v>251.2</v>
      </c>
      <c r="V3978">
        <f t="shared" si="124"/>
        <v>251.55099999999999</v>
      </c>
      <c r="W3978">
        <f t="shared" si="125"/>
        <v>0.70199999999999818</v>
      </c>
      <c r="X3978">
        <v>147.30360400000001</v>
      </c>
      <c r="Y3978">
        <v>-42.880553999999997</v>
      </c>
      <c r="Z3978" t="s">
        <v>346</v>
      </c>
      <c r="AA3978" t="s">
        <v>1959</v>
      </c>
      <c r="AB3978" t="s">
        <v>3927</v>
      </c>
      <c r="AC3978" t="s">
        <v>3928</v>
      </c>
      <c r="AD3978" t="s">
        <v>3929</v>
      </c>
      <c r="AE3978"/>
      <c r="AF3978" t="s">
        <v>3930</v>
      </c>
      <c r="AG3978"/>
      <c r="AH3978" t="s">
        <v>72</v>
      </c>
      <c r="AI3978" t="s">
        <v>3931</v>
      </c>
      <c r="AJ3978">
        <v>1978</v>
      </c>
      <c r="AK3978" t="s">
        <v>3932</v>
      </c>
      <c r="AL3978"/>
      <c r="AM3978" t="s">
        <v>3933</v>
      </c>
      <c r="AN3978" t="s">
        <v>192</v>
      </c>
      <c r="AO3978" t="s">
        <v>77</v>
      </c>
      <c r="AP3978" t="s">
        <v>78</v>
      </c>
      <c r="AQ3978" t="s">
        <v>3934</v>
      </c>
      <c r="AR3978" t="s">
        <v>80</v>
      </c>
      <c r="AS3978">
        <v>801</v>
      </c>
      <c r="AT3978" t="s">
        <v>81</v>
      </c>
      <c r="AU3978">
        <v>61.34</v>
      </c>
      <c r="AV3978">
        <v>-82.36</v>
      </c>
      <c r="AW3978" t="s">
        <v>82</v>
      </c>
      <c r="AX3978">
        <v>801</v>
      </c>
      <c r="AY3978" t="s">
        <v>81</v>
      </c>
      <c r="AZ3978">
        <v>135.91999999999999</v>
      </c>
      <c r="BA3978">
        <v>-76.760000000000005</v>
      </c>
      <c r="BB3978" t="s">
        <v>83</v>
      </c>
    </row>
    <row r="3979" spans="1:54" s="3" customFormat="1" ht="15" customHeight="1" x14ac:dyDescent="0.4">
      <c r="A3979">
        <v>979962</v>
      </c>
      <c r="B3979"/>
      <c r="C3979"/>
      <c r="D3979" t="s">
        <v>54</v>
      </c>
      <c r="E3979" t="s">
        <v>55</v>
      </c>
      <c r="F3979" t="s">
        <v>3935</v>
      </c>
      <c r="G3979">
        <v>1</v>
      </c>
      <c r="H3979" t="s">
        <v>84</v>
      </c>
      <c r="I3979" t="s">
        <v>57</v>
      </c>
      <c r="J3979"/>
      <c r="K3979" t="s">
        <v>141</v>
      </c>
      <c r="L3979" t="s">
        <v>3926</v>
      </c>
      <c r="M3979" t="s">
        <v>60</v>
      </c>
      <c r="N3979"/>
      <c r="O3979"/>
      <c r="P3979" t="s">
        <v>102</v>
      </c>
      <c r="Q3979"/>
      <c r="R3979" t="s">
        <v>104</v>
      </c>
      <c r="S3979" t="s">
        <v>64</v>
      </c>
      <c r="T3979">
        <v>251.90199999999999</v>
      </c>
      <c r="U3979">
        <v>251.2</v>
      </c>
      <c r="V3979">
        <f t="shared" si="124"/>
        <v>251.55099999999999</v>
      </c>
      <c r="W3979">
        <f t="shared" si="125"/>
        <v>0.70199999999999818</v>
      </c>
      <c r="X3979">
        <v>148.90167199999999</v>
      </c>
      <c r="Y3979">
        <v>-23.640277999999999</v>
      </c>
      <c r="Z3979" t="s">
        <v>124</v>
      </c>
      <c r="AA3979" t="s">
        <v>1959</v>
      </c>
      <c r="AB3979" t="s">
        <v>1960</v>
      </c>
      <c r="AC3979"/>
      <c r="AD3979" t="s">
        <v>1961</v>
      </c>
      <c r="AE3979" t="s">
        <v>1962</v>
      </c>
      <c r="AF3979"/>
      <c r="AG3979"/>
      <c r="AH3979" t="s">
        <v>72</v>
      </c>
      <c r="AI3979" t="s">
        <v>3936</v>
      </c>
      <c r="AJ3979">
        <v>1979</v>
      </c>
      <c r="AK3979" t="s">
        <v>3937</v>
      </c>
      <c r="AL3979"/>
      <c r="AM3979" t="s">
        <v>3938</v>
      </c>
      <c r="AN3979" t="s">
        <v>341</v>
      </c>
      <c r="AO3979" t="s">
        <v>77</v>
      </c>
      <c r="AP3979"/>
      <c r="AQ3979" t="s">
        <v>3939</v>
      </c>
      <c r="AR3979" t="s">
        <v>80</v>
      </c>
      <c r="AS3979">
        <v>801</v>
      </c>
      <c r="AT3979" t="s">
        <v>81</v>
      </c>
      <c r="AU3979">
        <v>128.13999999999999</v>
      </c>
      <c r="AV3979">
        <v>-68.97</v>
      </c>
      <c r="AW3979" t="s">
        <v>82</v>
      </c>
      <c r="AX3979">
        <v>801</v>
      </c>
      <c r="AY3979" t="s">
        <v>81</v>
      </c>
      <c r="AZ3979">
        <v>139.55000000000001</v>
      </c>
      <c r="BA3979">
        <v>-57.52</v>
      </c>
      <c r="BB3979" t="s">
        <v>83</v>
      </c>
    </row>
    <row r="3980" spans="1:54" s="3" customFormat="1" ht="15" customHeight="1" x14ac:dyDescent="0.4">
      <c r="A3980">
        <v>979963</v>
      </c>
      <c r="B3980"/>
      <c r="C3980"/>
      <c r="D3980" t="s">
        <v>179</v>
      </c>
      <c r="E3980"/>
      <c r="F3980"/>
      <c r="G3980"/>
      <c r="H3980"/>
      <c r="I3980" t="s">
        <v>57</v>
      </c>
      <c r="J3980"/>
      <c r="K3980" t="s">
        <v>141</v>
      </c>
      <c r="L3980" t="s">
        <v>3940</v>
      </c>
      <c r="M3980" t="s">
        <v>60</v>
      </c>
      <c r="N3980"/>
      <c r="O3980"/>
      <c r="P3980" t="s">
        <v>102</v>
      </c>
      <c r="Q3980"/>
      <c r="R3980" t="s">
        <v>104</v>
      </c>
      <c r="S3980" t="s">
        <v>64</v>
      </c>
      <c r="T3980">
        <v>251.90199999999999</v>
      </c>
      <c r="U3980">
        <v>251.2</v>
      </c>
      <c r="V3980">
        <f t="shared" si="124"/>
        <v>251.55099999999999</v>
      </c>
      <c r="W3980">
        <f t="shared" si="125"/>
        <v>0.70199999999999818</v>
      </c>
      <c r="X3980">
        <v>148</v>
      </c>
      <c r="Y3980">
        <v>-24.833331999999999</v>
      </c>
      <c r="Z3980" t="s">
        <v>105</v>
      </c>
      <c r="AA3980" t="s">
        <v>1959</v>
      </c>
      <c r="AB3980" t="s">
        <v>1960</v>
      </c>
      <c r="AC3980"/>
      <c r="AD3980" t="s">
        <v>1961</v>
      </c>
      <c r="AE3980" t="s">
        <v>1962</v>
      </c>
      <c r="AF3980"/>
      <c r="AG3980"/>
      <c r="AH3980" t="s">
        <v>72</v>
      </c>
      <c r="AI3980" t="s">
        <v>3936</v>
      </c>
      <c r="AJ3980">
        <v>1979</v>
      </c>
      <c r="AK3980" t="s">
        <v>1964</v>
      </c>
      <c r="AL3980"/>
      <c r="AM3980" t="s">
        <v>1965</v>
      </c>
      <c r="AN3980" t="s">
        <v>192</v>
      </c>
      <c r="AO3980" t="s">
        <v>160</v>
      </c>
      <c r="AP3980" t="s">
        <v>78</v>
      </c>
      <c r="AQ3980" t="s">
        <v>1966</v>
      </c>
      <c r="AR3980" t="s">
        <v>80</v>
      </c>
      <c r="AS3980">
        <v>801</v>
      </c>
      <c r="AT3980" t="s">
        <v>81</v>
      </c>
      <c r="AU3980">
        <v>124.8</v>
      </c>
      <c r="AV3980">
        <v>-69.819999999999993</v>
      </c>
      <c r="AW3980" t="s">
        <v>82</v>
      </c>
      <c r="AX3980">
        <v>801</v>
      </c>
      <c r="AY3980" t="s">
        <v>81</v>
      </c>
      <c r="AZ3980">
        <v>138.01</v>
      </c>
      <c r="BA3980">
        <v>-58.72</v>
      </c>
      <c r="BB3980" t="s">
        <v>83</v>
      </c>
    </row>
    <row r="3981" spans="1:54" s="3" customFormat="1" ht="15" customHeight="1" x14ac:dyDescent="0.4">
      <c r="A3981">
        <v>981517</v>
      </c>
      <c r="B3981"/>
      <c r="C3981"/>
      <c r="D3981" t="s">
        <v>54</v>
      </c>
      <c r="E3981" t="s">
        <v>55</v>
      </c>
      <c r="F3981"/>
      <c r="G3981">
        <v>1</v>
      </c>
      <c r="H3981" t="s">
        <v>56</v>
      </c>
      <c r="I3981" t="s">
        <v>57</v>
      </c>
      <c r="J3981"/>
      <c r="K3981" t="s">
        <v>2052</v>
      </c>
      <c r="L3981" t="s">
        <v>3656</v>
      </c>
      <c r="M3981" t="s">
        <v>60</v>
      </c>
      <c r="N3981"/>
      <c r="O3981" t="s">
        <v>87</v>
      </c>
      <c r="P3981" t="s">
        <v>102</v>
      </c>
      <c r="Q3981"/>
      <c r="R3981" t="s">
        <v>104</v>
      </c>
      <c r="S3981" t="s">
        <v>64</v>
      </c>
      <c r="T3981">
        <v>251.90199999999999</v>
      </c>
      <c r="U3981">
        <v>251.2</v>
      </c>
      <c r="V3981">
        <f t="shared" si="124"/>
        <v>251.55099999999999</v>
      </c>
      <c r="W3981">
        <f t="shared" si="125"/>
        <v>0.70199999999999818</v>
      </c>
      <c r="X3981">
        <v>88.883330999999998</v>
      </c>
      <c r="Y3981">
        <v>44.083331999999999</v>
      </c>
      <c r="Z3981" t="s">
        <v>184</v>
      </c>
      <c r="AA3981" t="s">
        <v>379</v>
      </c>
      <c r="AB3981" t="s">
        <v>2166</v>
      </c>
      <c r="AC3981"/>
      <c r="AD3981" t="s">
        <v>2891</v>
      </c>
      <c r="AE3981" t="s">
        <v>2892</v>
      </c>
      <c r="AF3981"/>
      <c r="AG3981"/>
      <c r="AH3981" t="s">
        <v>72</v>
      </c>
      <c r="AI3981" t="s">
        <v>683</v>
      </c>
      <c r="AJ3981">
        <v>1963</v>
      </c>
      <c r="AK3981" t="s">
        <v>3963</v>
      </c>
      <c r="AL3981"/>
      <c r="AM3981" t="s">
        <v>3964</v>
      </c>
      <c r="AN3981" t="s">
        <v>114</v>
      </c>
      <c r="AO3981" t="s">
        <v>160</v>
      </c>
      <c r="AP3981" t="s">
        <v>115</v>
      </c>
      <c r="AQ3981" t="s">
        <v>3965</v>
      </c>
      <c r="AR3981" t="s">
        <v>80</v>
      </c>
      <c r="AS3981" t="s">
        <v>528</v>
      </c>
      <c r="AT3981" t="s">
        <v>81</v>
      </c>
      <c r="AU3981"/>
      <c r="AV3981"/>
      <c r="AW3981" t="s">
        <v>82</v>
      </c>
      <c r="AX3981">
        <v>407</v>
      </c>
      <c r="AY3981" t="s">
        <v>81</v>
      </c>
      <c r="AZ3981">
        <v>73.17</v>
      </c>
      <c r="BA3981">
        <v>44.64</v>
      </c>
      <c r="BB3981" t="s">
        <v>83</v>
      </c>
    </row>
    <row r="3982" spans="1:54" s="3" customFormat="1" ht="15" customHeight="1" x14ac:dyDescent="0.4">
      <c r="A3982">
        <v>1076305</v>
      </c>
      <c r="B3982"/>
      <c r="C3982"/>
      <c r="D3982" t="s">
        <v>54</v>
      </c>
      <c r="E3982"/>
      <c r="F3982"/>
      <c r="G3982">
        <v>1</v>
      </c>
      <c r="H3982" t="s">
        <v>421</v>
      </c>
      <c r="I3982" t="s">
        <v>57</v>
      </c>
      <c r="J3982"/>
      <c r="K3982" t="s">
        <v>2801</v>
      </c>
      <c r="L3982" t="s">
        <v>2802</v>
      </c>
      <c r="M3982" t="s">
        <v>60</v>
      </c>
      <c r="N3982" t="s">
        <v>119</v>
      </c>
      <c r="O3982" t="s">
        <v>87</v>
      </c>
      <c r="P3982" t="s">
        <v>102</v>
      </c>
      <c r="Q3982"/>
      <c r="R3982" t="s">
        <v>104</v>
      </c>
      <c r="S3982" t="s">
        <v>64</v>
      </c>
      <c r="T3982">
        <v>251.90199999999999</v>
      </c>
      <c r="U3982">
        <v>251.2</v>
      </c>
      <c r="V3982">
        <f t="shared" si="124"/>
        <v>251.55099999999999</v>
      </c>
      <c r="W3982">
        <f t="shared" si="125"/>
        <v>0.70199999999999818</v>
      </c>
      <c r="X3982">
        <v>16.411111999999999</v>
      </c>
      <c r="Y3982">
        <v>50.420833999999999</v>
      </c>
      <c r="Z3982" t="s">
        <v>124</v>
      </c>
      <c r="AA3982" t="s">
        <v>697</v>
      </c>
      <c r="AB3982" t="s">
        <v>4038</v>
      </c>
      <c r="AC3982" t="s">
        <v>4039</v>
      </c>
      <c r="AD3982"/>
      <c r="AE3982" t="s">
        <v>4040</v>
      </c>
      <c r="AF3982"/>
      <c r="AG3982"/>
      <c r="AH3982" t="s">
        <v>11</v>
      </c>
      <c r="AI3982" t="s">
        <v>693</v>
      </c>
      <c r="AJ3982">
        <v>1942</v>
      </c>
      <c r="AK3982" t="s">
        <v>4041</v>
      </c>
      <c r="AL3982"/>
      <c r="AM3982"/>
      <c r="AN3982" t="s">
        <v>114</v>
      </c>
      <c r="AO3982" t="s">
        <v>77</v>
      </c>
      <c r="AP3982" t="s">
        <v>115</v>
      </c>
      <c r="AQ3982" t="s">
        <v>4042</v>
      </c>
      <c r="AR3982" t="s">
        <v>80</v>
      </c>
      <c r="AS3982">
        <v>305</v>
      </c>
      <c r="AT3982" t="s">
        <v>81</v>
      </c>
      <c r="AU3982">
        <v>34.380000000000003</v>
      </c>
      <c r="AV3982">
        <v>28.15</v>
      </c>
      <c r="AW3982" t="s">
        <v>82</v>
      </c>
      <c r="AX3982">
        <v>305</v>
      </c>
      <c r="AY3982" t="s">
        <v>81</v>
      </c>
      <c r="AZ3982">
        <v>25.8</v>
      </c>
      <c r="BA3982">
        <v>17.05</v>
      </c>
      <c r="BB3982" t="s">
        <v>83</v>
      </c>
    </row>
    <row r="3983" spans="1:54" s="3" customFormat="1" ht="15" customHeight="1" x14ac:dyDescent="0.4">
      <c r="A3983">
        <v>1087072</v>
      </c>
      <c r="B3983"/>
      <c r="C3983"/>
      <c r="D3983" t="s">
        <v>179</v>
      </c>
      <c r="E3983"/>
      <c r="F3983"/>
      <c r="G3983"/>
      <c r="H3983"/>
      <c r="I3983" t="s">
        <v>57</v>
      </c>
      <c r="J3983"/>
      <c r="K3983" t="s">
        <v>100</v>
      </c>
      <c r="L3983" t="s">
        <v>4066</v>
      </c>
      <c r="M3983" t="s">
        <v>60</v>
      </c>
      <c r="N3983"/>
      <c r="O3983"/>
      <c r="P3983" t="s">
        <v>102</v>
      </c>
      <c r="Q3983"/>
      <c r="R3983" t="s">
        <v>104</v>
      </c>
      <c r="S3983" t="s">
        <v>64</v>
      </c>
      <c r="T3983">
        <v>251.90199999999999</v>
      </c>
      <c r="U3983">
        <v>251.2</v>
      </c>
      <c r="V3983">
        <f t="shared" si="124"/>
        <v>251.55099999999999</v>
      </c>
      <c r="W3983">
        <f t="shared" si="125"/>
        <v>0.70199999999999818</v>
      </c>
      <c r="X3983">
        <v>148</v>
      </c>
      <c r="Y3983">
        <v>-24.833331999999999</v>
      </c>
      <c r="Z3983" t="s">
        <v>105</v>
      </c>
      <c r="AA3983" t="s">
        <v>1959</v>
      </c>
      <c r="AB3983" t="s">
        <v>1960</v>
      </c>
      <c r="AC3983"/>
      <c r="AD3983" t="s">
        <v>1961</v>
      </c>
      <c r="AE3983" t="s">
        <v>1962</v>
      </c>
      <c r="AF3983"/>
      <c r="AG3983"/>
      <c r="AH3983" t="s">
        <v>72</v>
      </c>
      <c r="AI3983" t="s">
        <v>4067</v>
      </c>
      <c r="AJ3983">
        <v>2020</v>
      </c>
      <c r="AK3983" t="s">
        <v>1964</v>
      </c>
      <c r="AL3983"/>
      <c r="AM3983" t="s">
        <v>1965</v>
      </c>
      <c r="AN3983" t="s">
        <v>192</v>
      </c>
      <c r="AO3983" t="s">
        <v>160</v>
      </c>
      <c r="AP3983" t="s">
        <v>78</v>
      </c>
      <c r="AQ3983" t="s">
        <v>1966</v>
      </c>
      <c r="AR3983" t="s">
        <v>80</v>
      </c>
      <c r="AS3983">
        <v>801</v>
      </c>
      <c r="AT3983" t="s">
        <v>81</v>
      </c>
      <c r="AU3983">
        <v>124.8</v>
      </c>
      <c r="AV3983">
        <v>-69.819999999999993</v>
      </c>
      <c r="AW3983" t="s">
        <v>82</v>
      </c>
      <c r="AX3983">
        <v>801</v>
      </c>
      <c r="AY3983" t="s">
        <v>81</v>
      </c>
      <c r="AZ3983">
        <v>138.01</v>
      </c>
      <c r="BA3983">
        <v>-58.72</v>
      </c>
      <c r="BB3983" t="s">
        <v>83</v>
      </c>
    </row>
    <row r="3984" spans="1:54" s="3" customFormat="1" ht="15" customHeight="1" x14ac:dyDescent="0.4">
      <c r="A3984">
        <v>1130047</v>
      </c>
      <c r="B3984"/>
      <c r="C3984"/>
      <c r="D3984" t="s">
        <v>54</v>
      </c>
      <c r="E3984" t="s">
        <v>55</v>
      </c>
      <c r="F3984"/>
      <c r="G3984">
        <v>1</v>
      </c>
      <c r="H3984" t="s">
        <v>56</v>
      </c>
      <c r="I3984" t="s">
        <v>57</v>
      </c>
      <c r="J3984"/>
      <c r="K3984" t="s">
        <v>2052</v>
      </c>
      <c r="L3984" t="s">
        <v>3656</v>
      </c>
      <c r="M3984" t="s">
        <v>60</v>
      </c>
      <c r="N3984"/>
      <c r="O3984" t="s">
        <v>87</v>
      </c>
      <c r="P3984" t="s">
        <v>102</v>
      </c>
      <c r="Q3984"/>
      <c r="R3984" t="s">
        <v>104</v>
      </c>
      <c r="S3984" t="s">
        <v>64</v>
      </c>
      <c r="T3984">
        <v>251.90199999999999</v>
      </c>
      <c r="U3984">
        <v>251.2</v>
      </c>
      <c r="V3984">
        <f t="shared" si="124"/>
        <v>251.55099999999999</v>
      </c>
      <c r="W3984">
        <f t="shared" si="125"/>
        <v>0.70199999999999818</v>
      </c>
      <c r="X3984">
        <v>88.833336000000003</v>
      </c>
      <c r="Y3984">
        <v>44</v>
      </c>
      <c r="Z3984" t="s">
        <v>124</v>
      </c>
      <c r="AA3984" t="s">
        <v>379</v>
      </c>
      <c r="AB3984" t="s">
        <v>2166</v>
      </c>
      <c r="AC3984"/>
      <c r="AD3984" t="s">
        <v>2891</v>
      </c>
      <c r="AE3984" t="s">
        <v>2892</v>
      </c>
      <c r="AF3984"/>
      <c r="AG3984"/>
      <c r="AH3984" t="s">
        <v>72</v>
      </c>
      <c r="AI3984" t="s">
        <v>683</v>
      </c>
      <c r="AJ3984">
        <v>1936</v>
      </c>
      <c r="AK3984" t="s">
        <v>4355</v>
      </c>
      <c r="AL3984"/>
      <c r="AM3984"/>
      <c r="AN3984" t="s">
        <v>114</v>
      </c>
      <c r="AO3984" t="s">
        <v>657</v>
      </c>
      <c r="AP3984" t="s">
        <v>359</v>
      </c>
      <c r="AQ3984" t="s">
        <v>4356</v>
      </c>
      <c r="AR3984" t="s">
        <v>80</v>
      </c>
      <c r="AS3984" t="s">
        <v>528</v>
      </c>
      <c r="AT3984" t="s">
        <v>81</v>
      </c>
      <c r="AU3984"/>
      <c r="AV3984"/>
      <c r="AW3984" t="s">
        <v>82</v>
      </c>
      <c r="AX3984">
        <v>407</v>
      </c>
      <c r="AY3984" t="s">
        <v>81</v>
      </c>
      <c r="AZ3984">
        <v>73.239999999999995</v>
      </c>
      <c r="BA3984">
        <v>44.57</v>
      </c>
      <c r="BB3984" t="s">
        <v>83</v>
      </c>
    </row>
    <row r="3985" spans="1:54" s="3" customFormat="1" ht="15" customHeight="1" x14ac:dyDescent="0.4">
      <c r="A3985">
        <v>1416560</v>
      </c>
      <c r="B3985"/>
      <c r="C3985"/>
      <c r="D3985" t="s">
        <v>54</v>
      </c>
      <c r="E3985"/>
      <c r="F3985"/>
      <c r="G3985"/>
      <c r="H3985"/>
      <c r="I3985" t="s">
        <v>57</v>
      </c>
      <c r="J3985"/>
      <c r="K3985" t="s">
        <v>141</v>
      </c>
      <c r="L3985" t="s">
        <v>629</v>
      </c>
      <c r="M3985" t="s">
        <v>60</v>
      </c>
      <c r="N3985"/>
      <c r="O3985"/>
      <c r="P3985" t="s">
        <v>102</v>
      </c>
      <c r="Q3985"/>
      <c r="R3985" t="s">
        <v>104</v>
      </c>
      <c r="S3985" t="s">
        <v>64</v>
      </c>
      <c r="T3985">
        <v>251.90199999999999</v>
      </c>
      <c r="U3985">
        <v>251.2</v>
      </c>
      <c r="V3985">
        <f t="shared" si="124"/>
        <v>251.55099999999999</v>
      </c>
      <c r="W3985">
        <f t="shared" si="125"/>
        <v>0.70199999999999818</v>
      </c>
      <c r="X3985">
        <v>52.690834000000002</v>
      </c>
      <c r="Y3985">
        <v>52.369999</v>
      </c>
      <c r="Z3985" t="s">
        <v>432</v>
      </c>
      <c r="AA3985" t="s">
        <v>239</v>
      </c>
      <c r="AB3985" t="s">
        <v>638</v>
      </c>
      <c r="AC3985" t="s">
        <v>2803</v>
      </c>
      <c r="AD3985" t="s">
        <v>5105</v>
      </c>
      <c r="AE3985"/>
      <c r="AF3985"/>
      <c r="AG3985"/>
      <c r="AH3985" t="s">
        <v>11</v>
      </c>
      <c r="AI3985" t="s">
        <v>1937</v>
      </c>
      <c r="AJ3985">
        <v>2003</v>
      </c>
      <c r="AK3985" t="s">
        <v>5106</v>
      </c>
      <c r="AL3985"/>
      <c r="AM3985" t="s">
        <v>5107</v>
      </c>
      <c r="AN3985" t="s">
        <v>192</v>
      </c>
      <c r="AO3985" t="s">
        <v>77</v>
      </c>
      <c r="AP3985" t="s">
        <v>115</v>
      </c>
      <c r="AQ3985" t="s">
        <v>5108</v>
      </c>
      <c r="AR3985" t="s">
        <v>80</v>
      </c>
      <c r="AS3985">
        <v>302</v>
      </c>
      <c r="AT3985" t="s">
        <v>81</v>
      </c>
      <c r="AU3985">
        <v>58.41</v>
      </c>
      <c r="AV3985">
        <v>38.46</v>
      </c>
      <c r="AW3985" t="s">
        <v>82</v>
      </c>
      <c r="AX3985">
        <v>301</v>
      </c>
      <c r="AY3985" t="s">
        <v>81</v>
      </c>
      <c r="AZ3985">
        <v>45.26</v>
      </c>
      <c r="BA3985">
        <v>30.93</v>
      </c>
      <c r="BB3985" t="s">
        <v>83</v>
      </c>
    </row>
    <row r="3986" spans="1:54" s="3" customFormat="1" ht="15" customHeight="1" x14ac:dyDescent="0.4">
      <c r="A3986">
        <v>1417181</v>
      </c>
      <c r="B3986"/>
      <c r="C3986"/>
      <c r="D3986" t="s">
        <v>54</v>
      </c>
      <c r="E3986"/>
      <c r="F3986"/>
      <c r="G3986"/>
      <c r="H3986"/>
      <c r="I3986" t="s">
        <v>57</v>
      </c>
      <c r="J3986"/>
      <c r="K3986" t="s">
        <v>100</v>
      </c>
      <c r="L3986" t="s">
        <v>2034</v>
      </c>
      <c r="M3986" t="s">
        <v>60</v>
      </c>
      <c r="N3986"/>
      <c r="O3986"/>
      <c r="P3986" t="s">
        <v>102</v>
      </c>
      <c r="Q3986"/>
      <c r="R3986" t="s">
        <v>104</v>
      </c>
      <c r="S3986" t="s">
        <v>64</v>
      </c>
      <c r="T3986">
        <v>251.90199999999999</v>
      </c>
      <c r="U3986">
        <v>251.2</v>
      </c>
      <c r="V3986">
        <f t="shared" si="124"/>
        <v>251.55099999999999</v>
      </c>
      <c r="W3986">
        <f t="shared" si="125"/>
        <v>0.70199999999999818</v>
      </c>
      <c r="X3986">
        <v>50.432777000000002</v>
      </c>
      <c r="Y3986">
        <v>52.850833999999999</v>
      </c>
      <c r="Z3986" t="s">
        <v>432</v>
      </c>
      <c r="AA3986" t="s">
        <v>239</v>
      </c>
      <c r="AB3986" t="s">
        <v>5065</v>
      </c>
      <c r="AC3986" t="s">
        <v>5127</v>
      </c>
      <c r="AD3986" t="s">
        <v>5105</v>
      </c>
      <c r="AE3986"/>
      <c r="AF3986"/>
      <c r="AG3986"/>
      <c r="AH3986" t="s">
        <v>11</v>
      </c>
      <c r="AI3986" t="s">
        <v>1937</v>
      </c>
      <c r="AJ3986">
        <v>2003</v>
      </c>
      <c r="AK3986" t="s">
        <v>5132</v>
      </c>
      <c r="AL3986"/>
      <c r="AM3986"/>
      <c r="AN3986" t="s">
        <v>192</v>
      </c>
      <c r="AO3986" t="s">
        <v>77</v>
      </c>
      <c r="AP3986" t="s">
        <v>78</v>
      </c>
      <c r="AQ3986" t="s">
        <v>5133</v>
      </c>
      <c r="AR3986" t="s">
        <v>80</v>
      </c>
      <c r="AS3986">
        <v>302</v>
      </c>
      <c r="AT3986" t="s">
        <v>81</v>
      </c>
      <c r="AU3986">
        <v>56.59</v>
      </c>
      <c r="AV3986">
        <v>38.21</v>
      </c>
      <c r="AW3986" t="s">
        <v>82</v>
      </c>
      <c r="AX3986">
        <v>301</v>
      </c>
      <c r="AY3986" t="s">
        <v>81</v>
      </c>
      <c r="AZ3986">
        <v>43.71</v>
      </c>
      <c r="BA3986">
        <v>30.35</v>
      </c>
      <c r="BB3986" t="s">
        <v>83</v>
      </c>
    </row>
    <row r="3987" spans="1:54" s="3" customFormat="1" ht="15" customHeight="1" x14ac:dyDescent="0.4">
      <c r="A3987">
        <v>1420094</v>
      </c>
      <c r="B3987"/>
      <c r="C3987"/>
      <c r="D3987" t="s">
        <v>54</v>
      </c>
      <c r="E3987" t="s">
        <v>55</v>
      </c>
      <c r="F3987"/>
      <c r="G3987"/>
      <c r="H3987"/>
      <c r="I3987" t="s">
        <v>57</v>
      </c>
      <c r="J3987"/>
      <c r="K3987" t="s">
        <v>2801</v>
      </c>
      <c r="L3987" t="s">
        <v>2802</v>
      </c>
      <c r="M3987" t="s">
        <v>60</v>
      </c>
      <c r="N3987" t="s">
        <v>119</v>
      </c>
      <c r="O3987" t="s">
        <v>87</v>
      </c>
      <c r="P3987" t="s">
        <v>102</v>
      </c>
      <c r="Q3987"/>
      <c r="R3987" t="s">
        <v>104</v>
      </c>
      <c r="S3987" t="s">
        <v>64</v>
      </c>
      <c r="T3987">
        <v>251.90199999999999</v>
      </c>
      <c r="U3987">
        <v>251.2</v>
      </c>
      <c r="V3987">
        <f t="shared" si="124"/>
        <v>251.55099999999999</v>
      </c>
      <c r="W3987">
        <f t="shared" si="125"/>
        <v>0.70199999999999818</v>
      </c>
      <c r="X3987">
        <v>45.906387000000002</v>
      </c>
      <c r="Y3987">
        <v>57.884166999999998</v>
      </c>
      <c r="Z3987" t="s">
        <v>124</v>
      </c>
      <c r="AA3987" t="s">
        <v>239</v>
      </c>
      <c r="AB3987" t="s">
        <v>609</v>
      </c>
      <c r="AC3987" t="s">
        <v>610</v>
      </c>
      <c r="AD3987" t="s">
        <v>611</v>
      </c>
      <c r="AE3987"/>
      <c r="AF3987"/>
      <c r="AG3987"/>
      <c r="AH3987" t="s">
        <v>11</v>
      </c>
      <c r="AI3987" t="s">
        <v>5311</v>
      </c>
      <c r="AJ3987">
        <v>2012</v>
      </c>
      <c r="AK3987" t="s">
        <v>613</v>
      </c>
      <c r="AL3987"/>
      <c r="AM3987" t="s">
        <v>614</v>
      </c>
      <c r="AN3987" t="s">
        <v>192</v>
      </c>
      <c r="AO3987" t="s">
        <v>77</v>
      </c>
      <c r="AP3987" t="s">
        <v>78</v>
      </c>
      <c r="AQ3987" t="s">
        <v>615</v>
      </c>
      <c r="AR3987" t="s">
        <v>80</v>
      </c>
      <c r="AS3987">
        <v>302</v>
      </c>
      <c r="AT3987" t="s">
        <v>81</v>
      </c>
      <c r="AU3987">
        <v>50.48</v>
      </c>
      <c r="AV3987">
        <v>41.35</v>
      </c>
      <c r="AW3987" t="s">
        <v>82</v>
      </c>
      <c r="AX3987">
        <v>301</v>
      </c>
      <c r="AY3987" t="s">
        <v>81</v>
      </c>
      <c r="AZ3987">
        <v>37.53</v>
      </c>
      <c r="BA3987">
        <v>32.369999999999997</v>
      </c>
      <c r="BB3987" t="s">
        <v>83</v>
      </c>
    </row>
    <row r="3988" spans="1:54" s="3" customFormat="1" ht="15" customHeight="1" x14ac:dyDescent="0.4">
      <c r="A3988">
        <v>1534873</v>
      </c>
      <c r="B3988"/>
      <c r="C3988"/>
      <c r="D3988" t="s">
        <v>54</v>
      </c>
      <c r="E3988" t="s">
        <v>55</v>
      </c>
      <c r="F3988" t="s">
        <v>3935</v>
      </c>
      <c r="G3988">
        <v>1</v>
      </c>
      <c r="H3988" t="s">
        <v>84</v>
      </c>
      <c r="I3988" t="s">
        <v>57</v>
      </c>
      <c r="J3988"/>
      <c r="K3988" t="s">
        <v>100</v>
      </c>
      <c r="L3988" t="s">
        <v>4066</v>
      </c>
      <c r="M3988" t="s">
        <v>60</v>
      </c>
      <c r="N3988"/>
      <c r="O3988"/>
      <c r="P3988" t="s">
        <v>102</v>
      </c>
      <c r="Q3988"/>
      <c r="R3988" t="s">
        <v>104</v>
      </c>
      <c r="S3988" t="s">
        <v>64</v>
      </c>
      <c r="T3988">
        <v>251.90199999999999</v>
      </c>
      <c r="U3988">
        <v>251.2</v>
      </c>
      <c r="V3988">
        <f t="shared" si="124"/>
        <v>251.55099999999999</v>
      </c>
      <c r="W3988">
        <f t="shared" si="125"/>
        <v>0.70199999999999818</v>
      </c>
      <c r="X3988">
        <v>148.90167199999999</v>
      </c>
      <c r="Y3988">
        <v>-23.640277999999999</v>
      </c>
      <c r="Z3988" t="s">
        <v>124</v>
      </c>
      <c r="AA3988" t="s">
        <v>1959</v>
      </c>
      <c r="AB3988" t="s">
        <v>1960</v>
      </c>
      <c r="AC3988"/>
      <c r="AD3988" t="s">
        <v>1961</v>
      </c>
      <c r="AE3988" t="s">
        <v>1962</v>
      </c>
      <c r="AF3988"/>
      <c r="AG3988"/>
      <c r="AH3988" t="s">
        <v>72</v>
      </c>
      <c r="AI3988" t="s">
        <v>4067</v>
      </c>
      <c r="AJ3988">
        <v>2020</v>
      </c>
      <c r="AK3988" t="s">
        <v>3937</v>
      </c>
      <c r="AL3988"/>
      <c r="AM3988" t="s">
        <v>3938</v>
      </c>
      <c r="AN3988" t="s">
        <v>341</v>
      </c>
      <c r="AO3988" t="s">
        <v>77</v>
      </c>
      <c r="AP3988"/>
      <c r="AQ3988" t="s">
        <v>3939</v>
      </c>
      <c r="AR3988" t="s">
        <v>80</v>
      </c>
      <c r="AS3988">
        <v>801</v>
      </c>
      <c r="AT3988" t="s">
        <v>81</v>
      </c>
      <c r="AU3988">
        <v>128.13999999999999</v>
      </c>
      <c r="AV3988">
        <v>-68.97</v>
      </c>
      <c r="AW3988" t="s">
        <v>82</v>
      </c>
      <c r="AX3988">
        <v>801</v>
      </c>
      <c r="AY3988" t="s">
        <v>81</v>
      </c>
      <c r="AZ3988">
        <v>139.55000000000001</v>
      </c>
      <c r="BA3988">
        <v>-57.52</v>
      </c>
      <c r="BB3988" t="s">
        <v>83</v>
      </c>
    </row>
  </sheetData>
  <autoFilter ref="A1:BB3988" xr:uid="{D60044DF-9B6A-460B-8892-AE8C4128598C}">
    <sortState xmlns:xlrd2="http://schemas.microsoft.com/office/spreadsheetml/2017/richdata2" ref="A2:BB3991">
      <sortCondition descending="1" ref="W1"/>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reptilia_occ_(PBDB+New)_genus_f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Tiago Simões</cp:lastModifiedBy>
  <dcterms:created xsi:type="dcterms:W3CDTF">2025-05-22T19:54:36Z</dcterms:created>
  <dcterms:modified xsi:type="dcterms:W3CDTF">2025-05-22T20:09:05Z</dcterms:modified>
</cp:coreProperties>
</file>